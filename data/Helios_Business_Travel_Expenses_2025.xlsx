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" documentId="11_A6413FB40B27DAE5E2E69E18BAB6B2616C1BB4D7" xr6:coauthVersionLast="47" xr6:coauthVersionMax="47" xr10:uidLastSave="{8BE49FF4-8F25-47C7-A4AD-FC8914027E94}"/>
  <bookViews>
    <workbookView xWindow="0" yWindow="0" windowWidth="16384" windowHeight="8192" tabRatio="500" xr2:uid="{00000000-000D-0000-FFFF-FFFF00000000}"/>
  </bookViews>
  <sheets>
    <sheet name="README" sheetId="1" r:id="rId1"/>
    <sheet name="Expense Details" sheetId="2" r:id="rId2"/>
    <sheet name="Trip Summary" sheetId="3" r:id="rId3"/>
    <sheet name="Employee Summary" sheetId="4" r:id="rId4"/>
    <sheet name="Category by Month" sheetId="5" r:id="rId5"/>
    <sheet name="Policy Exceptions" sheetId="6" r:id="rId6"/>
  </sheets>
  <definedNames>
    <definedName name="_xlnm._FilterDatabase" localSheetId="1" hidden="1">'Expense Details'!$A$1:$AK$2955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523" i="6" l="1"/>
  <c r="N523" i="6"/>
  <c r="L523" i="6"/>
  <c r="I523" i="6"/>
  <c r="G523" i="6"/>
  <c r="F523" i="6"/>
  <c r="E523" i="6"/>
  <c r="D523" i="6"/>
  <c r="C523" i="6"/>
  <c r="B523" i="6"/>
  <c r="A523" i="6"/>
  <c r="O522" i="6"/>
  <c r="N522" i="6"/>
  <c r="L522" i="6"/>
  <c r="I522" i="6"/>
  <c r="G522" i="6"/>
  <c r="F522" i="6"/>
  <c r="E522" i="6"/>
  <c r="D522" i="6"/>
  <c r="C522" i="6"/>
  <c r="B522" i="6"/>
  <c r="A522" i="6"/>
  <c r="O521" i="6"/>
  <c r="N521" i="6"/>
  <c r="L521" i="6"/>
  <c r="I521" i="6"/>
  <c r="G521" i="6"/>
  <c r="F521" i="6"/>
  <c r="E521" i="6"/>
  <c r="D521" i="6"/>
  <c r="C521" i="6"/>
  <c r="B521" i="6"/>
  <c r="A521" i="6"/>
  <c r="O520" i="6"/>
  <c r="N520" i="6"/>
  <c r="L520" i="6"/>
  <c r="I520" i="6"/>
  <c r="G520" i="6"/>
  <c r="F520" i="6"/>
  <c r="E520" i="6"/>
  <c r="D520" i="6"/>
  <c r="C520" i="6"/>
  <c r="B520" i="6"/>
  <c r="A520" i="6"/>
  <c r="O519" i="6"/>
  <c r="N519" i="6"/>
  <c r="L519" i="6"/>
  <c r="I519" i="6"/>
  <c r="G519" i="6"/>
  <c r="F519" i="6"/>
  <c r="E519" i="6"/>
  <c r="D519" i="6"/>
  <c r="C519" i="6"/>
  <c r="B519" i="6"/>
  <c r="A519" i="6"/>
  <c r="O518" i="6"/>
  <c r="N518" i="6"/>
  <c r="L518" i="6"/>
  <c r="I518" i="6"/>
  <c r="G518" i="6"/>
  <c r="F518" i="6"/>
  <c r="E518" i="6"/>
  <c r="D518" i="6"/>
  <c r="C518" i="6"/>
  <c r="B518" i="6"/>
  <c r="A518" i="6"/>
  <c r="O517" i="6"/>
  <c r="N517" i="6"/>
  <c r="L517" i="6"/>
  <c r="I517" i="6"/>
  <c r="G517" i="6"/>
  <c r="F517" i="6"/>
  <c r="E517" i="6"/>
  <c r="D517" i="6"/>
  <c r="C517" i="6"/>
  <c r="B517" i="6"/>
  <c r="A517" i="6"/>
  <c r="O516" i="6"/>
  <c r="N516" i="6"/>
  <c r="L516" i="6"/>
  <c r="I516" i="6"/>
  <c r="G516" i="6"/>
  <c r="F516" i="6"/>
  <c r="E516" i="6"/>
  <c r="D516" i="6"/>
  <c r="C516" i="6"/>
  <c r="B516" i="6"/>
  <c r="A516" i="6"/>
  <c r="O515" i="6"/>
  <c r="N515" i="6"/>
  <c r="L515" i="6"/>
  <c r="I515" i="6"/>
  <c r="G515" i="6"/>
  <c r="F515" i="6"/>
  <c r="E515" i="6"/>
  <c r="D515" i="6"/>
  <c r="C515" i="6"/>
  <c r="B515" i="6"/>
  <c r="A515" i="6"/>
  <c r="O514" i="6"/>
  <c r="N514" i="6"/>
  <c r="L514" i="6"/>
  <c r="I514" i="6"/>
  <c r="G514" i="6"/>
  <c r="F514" i="6"/>
  <c r="E514" i="6"/>
  <c r="D514" i="6"/>
  <c r="C514" i="6"/>
  <c r="B514" i="6"/>
  <c r="A514" i="6"/>
  <c r="O513" i="6"/>
  <c r="N513" i="6"/>
  <c r="L513" i="6"/>
  <c r="I513" i="6"/>
  <c r="G513" i="6"/>
  <c r="F513" i="6"/>
  <c r="E513" i="6"/>
  <c r="D513" i="6"/>
  <c r="C513" i="6"/>
  <c r="B513" i="6"/>
  <c r="A513" i="6"/>
  <c r="O512" i="6"/>
  <c r="N512" i="6"/>
  <c r="L512" i="6"/>
  <c r="I512" i="6"/>
  <c r="G512" i="6"/>
  <c r="F512" i="6"/>
  <c r="E512" i="6"/>
  <c r="D512" i="6"/>
  <c r="C512" i="6"/>
  <c r="B512" i="6"/>
  <c r="A512" i="6"/>
  <c r="O511" i="6"/>
  <c r="N511" i="6"/>
  <c r="L511" i="6"/>
  <c r="I511" i="6"/>
  <c r="G511" i="6"/>
  <c r="F511" i="6"/>
  <c r="E511" i="6"/>
  <c r="D511" i="6"/>
  <c r="C511" i="6"/>
  <c r="B511" i="6"/>
  <c r="A511" i="6"/>
  <c r="O510" i="6"/>
  <c r="N510" i="6"/>
  <c r="L510" i="6"/>
  <c r="I510" i="6"/>
  <c r="G510" i="6"/>
  <c r="F510" i="6"/>
  <c r="E510" i="6"/>
  <c r="D510" i="6"/>
  <c r="C510" i="6"/>
  <c r="B510" i="6"/>
  <c r="A510" i="6"/>
  <c r="O509" i="6"/>
  <c r="N509" i="6"/>
  <c r="L509" i="6"/>
  <c r="I509" i="6"/>
  <c r="G509" i="6"/>
  <c r="F509" i="6"/>
  <c r="E509" i="6"/>
  <c r="D509" i="6"/>
  <c r="C509" i="6"/>
  <c r="B509" i="6"/>
  <c r="A509" i="6"/>
  <c r="O508" i="6"/>
  <c r="N508" i="6"/>
  <c r="L508" i="6"/>
  <c r="I508" i="6"/>
  <c r="G508" i="6"/>
  <c r="F508" i="6"/>
  <c r="E508" i="6"/>
  <c r="D508" i="6"/>
  <c r="C508" i="6"/>
  <c r="B508" i="6"/>
  <c r="A508" i="6"/>
  <c r="O507" i="6"/>
  <c r="N507" i="6"/>
  <c r="L507" i="6"/>
  <c r="I507" i="6"/>
  <c r="G507" i="6"/>
  <c r="F507" i="6"/>
  <c r="E507" i="6"/>
  <c r="D507" i="6"/>
  <c r="C507" i="6"/>
  <c r="B507" i="6"/>
  <c r="A507" i="6"/>
  <c r="O506" i="6"/>
  <c r="N506" i="6"/>
  <c r="L506" i="6"/>
  <c r="I506" i="6"/>
  <c r="G506" i="6"/>
  <c r="F506" i="6"/>
  <c r="E506" i="6"/>
  <c r="D506" i="6"/>
  <c r="C506" i="6"/>
  <c r="B506" i="6"/>
  <c r="A506" i="6"/>
  <c r="O505" i="6"/>
  <c r="N505" i="6"/>
  <c r="L505" i="6"/>
  <c r="I505" i="6"/>
  <c r="G505" i="6"/>
  <c r="F505" i="6"/>
  <c r="E505" i="6"/>
  <c r="D505" i="6"/>
  <c r="C505" i="6"/>
  <c r="B505" i="6"/>
  <c r="A505" i="6"/>
  <c r="O504" i="6"/>
  <c r="N504" i="6"/>
  <c r="L504" i="6"/>
  <c r="I504" i="6"/>
  <c r="G504" i="6"/>
  <c r="F504" i="6"/>
  <c r="E504" i="6"/>
  <c r="D504" i="6"/>
  <c r="C504" i="6"/>
  <c r="B504" i="6"/>
  <c r="A504" i="6"/>
  <c r="O503" i="6"/>
  <c r="N503" i="6"/>
  <c r="L503" i="6"/>
  <c r="I503" i="6"/>
  <c r="G503" i="6"/>
  <c r="F503" i="6"/>
  <c r="E503" i="6"/>
  <c r="D503" i="6"/>
  <c r="C503" i="6"/>
  <c r="B503" i="6"/>
  <c r="A503" i="6"/>
  <c r="O502" i="6"/>
  <c r="N502" i="6"/>
  <c r="L502" i="6"/>
  <c r="I502" i="6"/>
  <c r="G502" i="6"/>
  <c r="F502" i="6"/>
  <c r="E502" i="6"/>
  <c r="D502" i="6"/>
  <c r="C502" i="6"/>
  <c r="B502" i="6"/>
  <c r="A502" i="6"/>
  <c r="O501" i="6"/>
  <c r="N501" i="6"/>
  <c r="L501" i="6"/>
  <c r="I501" i="6"/>
  <c r="G501" i="6"/>
  <c r="F501" i="6"/>
  <c r="E501" i="6"/>
  <c r="D501" i="6"/>
  <c r="C501" i="6"/>
  <c r="B501" i="6"/>
  <c r="A501" i="6"/>
  <c r="O500" i="6"/>
  <c r="N500" i="6"/>
  <c r="L500" i="6"/>
  <c r="I500" i="6"/>
  <c r="G500" i="6"/>
  <c r="F500" i="6"/>
  <c r="E500" i="6"/>
  <c r="D500" i="6"/>
  <c r="C500" i="6"/>
  <c r="B500" i="6"/>
  <c r="A500" i="6"/>
  <c r="O499" i="6"/>
  <c r="N499" i="6"/>
  <c r="L499" i="6"/>
  <c r="I499" i="6"/>
  <c r="G499" i="6"/>
  <c r="F499" i="6"/>
  <c r="E499" i="6"/>
  <c r="D499" i="6"/>
  <c r="C499" i="6"/>
  <c r="B499" i="6"/>
  <c r="A499" i="6"/>
  <c r="O498" i="6"/>
  <c r="N498" i="6"/>
  <c r="L498" i="6"/>
  <c r="I498" i="6"/>
  <c r="G498" i="6"/>
  <c r="F498" i="6"/>
  <c r="E498" i="6"/>
  <c r="D498" i="6"/>
  <c r="C498" i="6"/>
  <c r="B498" i="6"/>
  <c r="A498" i="6"/>
  <c r="O497" i="6"/>
  <c r="N497" i="6"/>
  <c r="L497" i="6"/>
  <c r="I497" i="6"/>
  <c r="G497" i="6"/>
  <c r="F497" i="6"/>
  <c r="E497" i="6"/>
  <c r="D497" i="6"/>
  <c r="C497" i="6"/>
  <c r="B497" i="6"/>
  <c r="A497" i="6"/>
  <c r="O496" i="6"/>
  <c r="N496" i="6"/>
  <c r="L496" i="6"/>
  <c r="I496" i="6"/>
  <c r="G496" i="6"/>
  <c r="F496" i="6"/>
  <c r="E496" i="6"/>
  <c r="D496" i="6"/>
  <c r="C496" i="6"/>
  <c r="B496" i="6"/>
  <c r="A496" i="6"/>
  <c r="O495" i="6"/>
  <c r="N495" i="6"/>
  <c r="L495" i="6"/>
  <c r="I495" i="6"/>
  <c r="G495" i="6"/>
  <c r="F495" i="6"/>
  <c r="E495" i="6"/>
  <c r="D495" i="6"/>
  <c r="C495" i="6"/>
  <c r="B495" i="6"/>
  <c r="A495" i="6"/>
  <c r="O494" i="6"/>
  <c r="N494" i="6"/>
  <c r="L494" i="6"/>
  <c r="I494" i="6"/>
  <c r="G494" i="6"/>
  <c r="F494" i="6"/>
  <c r="E494" i="6"/>
  <c r="D494" i="6"/>
  <c r="C494" i="6"/>
  <c r="B494" i="6"/>
  <c r="A494" i="6"/>
  <c r="O493" i="6"/>
  <c r="N493" i="6"/>
  <c r="L493" i="6"/>
  <c r="I493" i="6"/>
  <c r="G493" i="6"/>
  <c r="F493" i="6"/>
  <c r="E493" i="6"/>
  <c r="D493" i="6"/>
  <c r="C493" i="6"/>
  <c r="B493" i="6"/>
  <c r="A493" i="6"/>
  <c r="O492" i="6"/>
  <c r="N492" i="6"/>
  <c r="L492" i="6"/>
  <c r="I492" i="6"/>
  <c r="G492" i="6"/>
  <c r="F492" i="6"/>
  <c r="E492" i="6"/>
  <c r="D492" i="6"/>
  <c r="C492" i="6"/>
  <c r="B492" i="6"/>
  <c r="A492" i="6"/>
  <c r="O491" i="6"/>
  <c r="N491" i="6"/>
  <c r="L491" i="6"/>
  <c r="I491" i="6"/>
  <c r="G491" i="6"/>
  <c r="F491" i="6"/>
  <c r="E491" i="6"/>
  <c r="D491" i="6"/>
  <c r="C491" i="6"/>
  <c r="B491" i="6"/>
  <c r="A491" i="6"/>
  <c r="O490" i="6"/>
  <c r="N490" i="6"/>
  <c r="L490" i="6"/>
  <c r="I490" i="6"/>
  <c r="G490" i="6"/>
  <c r="F490" i="6"/>
  <c r="E490" i="6"/>
  <c r="D490" i="6"/>
  <c r="C490" i="6"/>
  <c r="B490" i="6"/>
  <c r="A490" i="6"/>
  <c r="O489" i="6"/>
  <c r="N489" i="6"/>
  <c r="L489" i="6"/>
  <c r="I489" i="6"/>
  <c r="G489" i="6"/>
  <c r="F489" i="6"/>
  <c r="E489" i="6"/>
  <c r="D489" i="6"/>
  <c r="C489" i="6"/>
  <c r="B489" i="6"/>
  <c r="A489" i="6"/>
  <c r="O488" i="6"/>
  <c r="N488" i="6"/>
  <c r="L488" i="6"/>
  <c r="I488" i="6"/>
  <c r="G488" i="6"/>
  <c r="F488" i="6"/>
  <c r="E488" i="6"/>
  <c r="D488" i="6"/>
  <c r="C488" i="6"/>
  <c r="B488" i="6"/>
  <c r="A488" i="6"/>
  <c r="O487" i="6"/>
  <c r="N487" i="6"/>
  <c r="L487" i="6"/>
  <c r="I487" i="6"/>
  <c r="G487" i="6"/>
  <c r="F487" i="6"/>
  <c r="E487" i="6"/>
  <c r="D487" i="6"/>
  <c r="C487" i="6"/>
  <c r="B487" i="6"/>
  <c r="A487" i="6"/>
  <c r="O486" i="6"/>
  <c r="N486" i="6"/>
  <c r="L486" i="6"/>
  <c r="I486" i="6"/>
  <c r="G486" i="6"/>
  <c r="F486" i="6"/>
  <c r="E486" i="6"/>
  <c r="D486" i="6"/>
  <c r="C486" i="6"/>
  <c r="B486" i="6"/>
  <c r="A486" i="6"/>
  <c r="O485" i="6"/>
  <c r="N485" i="6"/>
  <c r="L485" i="6"/>
  <c r="I485" i="6"/>
  <c r="G485" i="6"/>
  <c r="F485" i="6"/>
  <c r="E485" i="6"/>
  <c r="D485" i="6"/>
  <c r="C485" i="6"/>
  <c r="B485" i="6"/>
  <c r="A485" i="6"/>
  <c r="O484" i="6"/>
  <c r="N484" i="6"/>
  <c r="L484" i="6"/>
  <c r="I484" i="6"/>
  <c r="G484" i="6"/>
  <c r="F484" i="6"/>
  <c r="E484" i="6"/>
  <c r="D484" i="6"/>
  <c r="C484" i="6"/>
  <c r="B484" i="6"/>
  <c r="A484" i="6"/>
  <c r="O483" i="6"/>
  <c r="N483" i="6"/>
  <c r="L483" i="6"/>
  <c r="I483" i="6"/>
  <c r="G483" i="6"/>
  <c r="F483" i="6"/>
  <c r="E483" i="6"/>
  <c r="D483" i="6"/>
  <c r="C483" i="6"/>
  <c r="B483" i="6"/>
  <c r="A483" i="6"/>
  <c r="O482" i="6"/>
  <c r="N482" i="6"/>
  <c r="L482" i="6"/>
  <c r="I482" i="6"/>
  <c r="G482" i="6"/>
  <c r="F482" i="6"/>
  <c r="E482" i="6"/>
  <c r="D482" i="6"/>
  <c r="C482" i="6"/>
  <c r="B482" i="6"/>
  <c r="A482" i="6"/>
  <c r="O481" i="6"/>
  <c r="N481" i="6"/>
  <c r="L481" i="6"/>
  <c r="I481" i="6"/>
  <c r="G481" i="6"/>
  <c r="F481" i="6"/>
  <c r="E481" i="6"/>
  <c r="D481" i="6"/>
  <c r="C481" i="6"/>
  <c r="B481" i="6"/>
  <c r="A481" i="6"/>
  <c r="O480" i="6"/>
  <c r="N480" i="6"/>
  <c r="L480" i="6"/>
  <c r="I480" i="6"/>
  <c r="G480" i="6"/>
  <c r="F480" i="6"/>
  <c r="E480" i="6"/>
  <c r="D480" i="6"/>
  <c r="C480" i="6"/>
  <c r="B480" i="6"/>
  <c r="A480" i="6"/>
  <c r="O479" i="6"/>
  <c r="N479" i="6"/>
  <c r="L479" i="6"/>
  <c r="I479" i="6"/>
  <c r="G479" i="6"/>
  <c r="F479" i="6"/>
  <c r="E479" i="6"/>
  <c r="D479" i="6"/>
  <c r="C479" i="6"/>
  <c r="B479" i="6"/>
  <c r="A479" i="6"/>
  <c r="O478" i="6"/>
  <c r="N478" i="6"/>
  <c r="L478" i="6"/>
  <c r="I478" i="6"/>
  <c r="G478" i="6"/>
  <c r="F478" i="6"/>
  <c r="E478" i="6"/>
  <c r="D478" i="6"/>
  <c r="C478" i="6"/>
  <c r="B478" i="6"/>
  <c r="A478" i="6"/>
  <c r="O477" i="6"/>
  <c r="N477" i="6"/>
  <c r="L477" i="6"/>
  <c r="I477" i="6"/>
  <c r="G477" i="6"/>
  <c r="F477" i="6"/>
  <c r="E477" i="6"/>
  <c r="D477" i="6"/>
  <c r="C477" i="6"/>
  <c r="B477" i="6"/>
  <c r="A477" i="6"/>
  <c r="O476" i="6"/>
  <c r="N476" i="6"/>
  <c r="L476" i="6"/>
  <c r="I476" i="6"/>
  <c r="G476" i="6"/>
  <c r="F476" i="6"/>
  <c r="E476" i="6"/>
  <c r="D476" i="6"/>
  <c r="C476" i="6"/>
  <c r="B476" i="6"/>
  <c r="A476" i="6"/>
  <c r="O475" i="6"/>
  <c r="N475" i="6"/>
  <c r="L475" i="6"/>
  <c r="I475" i="6"/>
  <c r="G475" i="6"/>
  <c r="F475" i="6"/>
  <c r="E475" i="6"/>
  <c r="D475" i="6"/>
  <c r="C475" i="6"/>
  <c r="B475" i="6"/>
  <c r="A475" i="6"/>
  <c r="O474" i="6"/>
  <c r="N474" i="6"/>
  <c r="L474" i="6"/>
  <c r="I474" i="6"/>
  <c r="G474" i="6"/>
  <c r="F474" i="6"/>
  <c r="E474" i="6"/>
  <c r="D474" i="6"/>
  <c r="C474" i="6"/>
  <c r="B474" i="6"/>
  <c r="A474" i="6"/>
  <c r="O473" i="6"/>
  <c r="N473" i="6"/>
  <c r="L473" i="6"/>
  <c r="I473" i="6"/>
  <c r="G473" i="6"/>
  <c r="F473" i="6"/>
  <c r="E473" i="6"/>
  <c r="D473" i="6"/>
  <c r="C473" i="6"/>
  <c r="B473" i="6"/>
  <c r="A473" i="6"/>
  <c r="O472" i="6"/>
  <c r="N472" i="6"/>
  <c r="L472" i="6"/>
  <c r="I472" i="6"/>
  <c r="G472" i="6"/>
  <c r="F472" i="6"/>
  <c r="E472" i="6"/>
  <c r="D472" i="6"/>
  <c r="C472" i="6"/>
  <c r="B472" i="6"/>
  <c r="A472" i="6"/>
  <c r="O471" i="6"/>
  <c r="N471" i="6"/>
  <c r="L471" i="6"/>
  <c r="I471" i="6"/>
  <c r="G471" i="6"/>
  <c r="F471" i="6"/>
  <c r="E471" i="6"/>
  <c r="D471" i="6"/>
  <c r="C471" i="6"/>
  <c r="B471" i="6"/>
  <c r="A471" i="6"/>
  <c r="O470" i="6"/>
  <c r="N470" i="6"/>
  <c r="L470" i="6"/>
  <c r="I470" i="6"/>
  <c r="G470" i="6"/>
  <c r="F470" i="6"/>
  <c r="E470" i="6"/>
  <c r="D470" i="6"/>
  <c r="C470" i="6"/>
  <c r="B470" i="6"/>
  <c r="A470" i="6"/>
  <c r="O469" i="6"/>
  <c r="N469" i="6"/>
  <c r="L469" i="6"/>
  <c r="I469" i="6"/>
  <c r="G469" i="6"/>
  <c r="F469" i="6"/>
  <c r="E469" i="6"/>
  <c r="D469" i="6"/>
  <c r="C469" i="6"/>
  <c r="B469" i="6"/>
  <c r="A469" i="6"/>
  <c r="O468" i="6"/>
  <c r="N468" i="6"/>
  <c r="L468" i="6"/>
  <c r="I468" i="6"/>
  <c r="G468" i="6"/>
  <c r="F468" i="6"/>
  <c r="E468" i="6"/>
  <c r="D468" i="6"/>
  <c r="C468" i="6"/>
  <c r="B468" i="6"/>
  <c r="A468" i="6"/>
  <c r="O467" i="6"/>
  <c r="N467" i="6"/>
  <c r="L467" i="6"/>
  <c r="I467" i="6"/>
  <c r="G467" i="6"/>
  <c r="F467" i="6"/>
  <c r="E467" i="6"/>
  <c r="D467" i="6"/>
  <c r="C467" i="6"/>
  <c r="B467" i="6"/>
  <c r="A467" i="6"/>
  <c r="O466" i="6"/>
  <c r="N466" i="6"/>
  <c r="L466" i="6"/>
  <c r="I466" i="6"/>
  <c r="G466" i="6"/>
  <c r="F466" i="6"/>
  <c r="E466" i="6"/>
  <c r="D466" i="6"/>
  <c r="C466" i="6"/>
  <c r="B466" i="6"/>
  <c r="A466" i="6"/>
  <c r="O465" i="6"/>
  <c r="N465" i="6"/>
  <c r="L465" i="6"/>
  <c r="I465" i="6"/>
  <c r="G465" i="6"/>
  <c r="F465" i="6"/>
  <c r="E465" i="6"/>
  <c r="D465" i="6"/>
  <c r="C465" i="6"/>
  <c r="B465" i="6"/>
  <c r="A465" i="6"/>
  <c r="O464" i="6"/>
  <c r="N464" i="6"/>
  <c r="L464" i="6"/>
  <c r="I464" i="6"/>
  <c r="G464" i="6"/>
  <c r="F464" i="6"/>
  <c r="E464" i="6"/>
  <c r="D464" i="6"/>
  <c r="C464" i="6"/>
  <c r="B464" i="6"/>
  <c r="A464" i="6"/>
  <c r="O463" i="6"/>
  <c r="N463" i="6"/>
  <c r="L463" i="6"/>
  <c r="I463" i="6"/>
  <c r="G463" i="6"/>
  <c r="F463" i="6"/>
  <c r="E463" i="6"/>
  <c r="D463" i="6"/>
  <c r="C463" i="6"/>
  <c r="B463" i="6"/>
  <c r="A463" i="6"/>
  <c r="O462" i="6"/>
  <c r="N462" i="6"/>
  <c r="L462" i="6"/>
  <c r="I462" i="6"/>
  <c r="G462" i="6"/>
  <c r="F462" i="6"/>
  <c r="E462" i="6"/>
  <c r="D462" i="6"/>
  <c r="C462" i="6"/>
  <c r="B462" i="6"/>
  <c r="A462" i="6"/>
  <c r="O461" i="6"/>
  <c r="N461" i="6"/>
  <c r="L461" i="6"/>
  <c r="I461" i="6"/>
  <c r="G461" i="6"/>
  <c r="F461" i="6"/>
  <c r="E461" i="6"/>
  <c r="D461" i="6"/>
  <c r="C461" i="6"/>
  <c r="B461" i="6"/>
  <c r="A461" i="6"/>
  <c r="O460" i="6"/>
  <c r="N460" i="6"/>
  <c r="L460" i="6"/>
  <c r="I460" i="6"/>
  <c r="G460" i="6"/>
  <c r="F460" i="6"/>
  <c r="E460" i="6"/>
  <c r="D460" i="6"/>
  <c r="C460" i="6"/>
  <c r="B460" i="6"/>
  <c r="A460" i="6"/>
  <c r="O459" i="6"/>
  <c r="N459" i="6"/>
  <c r="L459" i="6"/>
  <c r="I459" i="6"/>
  <c r="G459" i="6"/>
  <c r="F459" i="6"/>
  <c r="E459" i="6"/>
  <c r="D459" i="6"/>
  <c r="C459" i="6"/>
  <c r="B459" i="6"/>
  <c r="A459" i="6"/>
  <c r="O458" i="6"/>
  <c r="N458" i="6"/>
  <c r="L458" i="6"/>
  <c r="I458" i="6"/>
  <c r="G458" i="6"/>
  <c r="F458" i="6"/>
  <c r="E458" i="6"/>
  <c r="D458" i="6"/>
  <c r="C458" i="6"/>
  <c r="B458" i="6"/>
  <c r="A458" i="6"/>
  <c r="O457" i="6"/>
  <c r="N457" i="6"/>
  <c r="L457" i="6"/>
  <c r="I457" i="6"/>
  <c r="G457" i="6"/>
  <c r="F457" i="6"/>
  <c r="E457" i="6"/>
  <c r="D457" i="6"/>
  <c r="C457" i="6"/>
  <c r="B457" i="6"/>
  <c r="A457" i="6"/>
  <c r="O456" i="6"/>
  <c r="N456" i="6"/>
  <c r="L456" i="6"/>
  <c r="I456" i="6"/>
  <c r="G456" i="6"/>
  <c r="F456" i="6"/>
  <c r="E456" i="6"/>
  <c r="D456" i="6"/>
  <c r="C456" i="6"/>
  <c r="B456" i="6"/>
  <c r="A456" i="6"/>
  <c r="O455" i="6"/>
  <c r="N455" i="6"/>
  <c r="L455" i="6"/>
  <c r="I455" i="6"/>
  <c r="G455" i="6"/>
  <c r="F455" i="6"/>
  <c r="E455" i="6"/>
  <c r="D455" i="6"/>
  <c r="C455" i="6"/>
  <c r="B455" i="6"/>
  <c r="A455" i="6"/>
  <c r="O454" i="6"/>
  <c r="N454" i="6"/>
  <c r="L454" i="6"/>
  <c r="I454" i="6"/>
  <c r="G454" i="6"/>
  <c r="F454" i="6"/>
  <c r="E454" i="6"/>
  <c r="D454" i="6"/>
  <c r="C454" i="6"/>
  <c r="B454" i="6"/>
  <c r="A454" i="6"/>
  <c r="O453" i="6"/>
  <c r="N453" i="6"/>
  <c r="L453" i="6"/>
  <c r="I453" i="6"/>
  <c r="G453" i="6"/>
  <c r="F453" i="6"/>
  <c r="E453" i="6"/>
  <c r="D453" i="6"/>
  <c r="C453" i="6"/>
  <c r="B453" i="6"/>
  <c r="A453" i="6"/>
  <c r="O452" i="6"/>
  <c r="N452" i="6"/>
  <c r="L452" i="6"/>
  <c r="I452" i="6"/>
  <c r="G452" i="6"/>
  <c r="F452" i="6"/>
  <c r="E452" i="6"/>
  <c r="D452" i="6"/>
  <c r="C452" i="6"/>
  <c r="B452" i="6"/>
  <c r="A452" i="6"/>
  <c r="O451" i="6"/>
  <c r="N451" i="6"/>
  <c r="L451" i="6"/>
  <c r="I451" i="6"/>
  <c r="G451" i="6"/>
  <c r="F451" i="6"/>
  <c r="E451" i="6"/>
  <c r="D451" i="6"/>
  <c r="C451" i="6"/>
  <c r="B451" i="6"/>
  <c r="A451" i="6"/>
  <c r="O450" i="6"/>
  <c r="N450" i="6"/>
  <c r="L450" i="6"/>
  <c r="I450" i="6"/>
  <c r="G450" i="6"/>
  <c r="F450" i="6"/>
  <c r="E450" i="6"/>
  <c r="D450" i="6"/>
  <c r="C450" i="6"/>
  <c r="B450" i="6"/>
  <c r="A450" i="6"/>
  <c r="O449" i="6"/>
  <c r="N449" i="6"/>
  <c r="L449" i="6"/>
  <c r="I449" i="6"/>
  <c r="G449" i="6"/>
  <c r="F449" i="6"/>
  <c r="E449" i="6"/>
  <c r="D449" i="6"/>
  <c r="C449" i="6"/>
  <c r="B449" i="6"/>
  <c r="A449" i="6"/>
  <c r="O448" i="6"/>
  <c r="N448" i="6"/>
  <c r="L448" i="6"/>
  <c r="I448" i="6"/>
  <c r="G448" i="6"/>
  <c r="F448" i="6"/>
  <c r="E448" i="6"/>
  <c r="D448" i="6"/>
  <c r="C448" i="6"/>
  <c r="B448" i="6"/>
  <c r="A448" i="6"/>
  <c r="O447" i="6"/>
  <c r="N447" i="6"/>
  <c r="L447" i="6"/>
  <c r="I447" i="6"/>
  <c r="G447" i="6"/>
  <c r="F447" i="6"/>
  <c r="E447" i="6"/>
  <c r="D447" i="6"/>
  <c r="C447" i="6"/>
  <c r="B447" i="6"/>
  <c r="A447" i="6"/>
  <c r="O446" i="6"/>
  <c r="N446" i="6"/>
  <c r="L446" i="6"/>
  <c r="I446" i="6"/>
  <c r="G446" i="6"/>
  <c r="F446" i="6"/>
  <c r="E446" i="6"/>
  <c r="D446" i="6"/>
  <c r="C446" i="6"/>
  <c r="B446" i="6"/>
  <c r="A446" i="6"/>
  <c r="O445" i="6"/>
  <c r="N445" i="6"/>
  <c r="L445" i="6"/>
  <c r="I445" i="6"/>
  <c r="G445" i="6"/>
  <c r="F445" i="6"/>
  <c r="E445" i="6"/>
  <c r="D445" i="6"/>
  <c r="C445" i="6"/>
  <c r="B445" i="6"/>
  <c r="A445" i="6"/>
  <c r="O444" i="6"/>
  <c r="N444" i="6"/>
  <c r="L444" i="6"/>
  <c r="I444" i="6"/>
  <c r="G444" i="6"/>
  <c r="F444" i="6"/>
  <c r="E444" i="6"/>
  <c r="D444" i="6"/>
  <c r="C444" i="6"/>
  <c r="B444" i="6"/>
  <c r="A444" i="6"/>
  <c r="O443" i="6"/>
  <c r="N443" i="6"/>
  <c r="L443" i="6"/>
  <c r="I443" i="6"/>
  <c r="G443" i="6"/>
  <c r="F443" i="6"/>
  <c r="E443" i="6"/>
  <c r="D443" i="6"/>
  <c r="C443" i="6"/>
  <c r="B443" i="6"/>
  <c r="A443" i="6"/>
  <c r="O442" i="6"/>
  <c r="N442" i="6"/>
  <c r="L442" i="6"/>
  <c r="I442" i="6"/>
  <c r="G442" i="6"/>
  <c r="F442" i="6"/>
  <c r="E442" i="6"/>
  <c r="D442" i="6"/>
  <c r="C442" i="6"/>
  <c r="B442" i="6"/>
  <c r="A442" i="6"/>
  <c r="O441" i="6"/>
  <c r="N441" i="6"/>
  <c r="L441" i="6"/>
  <c r="I441" i="6"/>
  <c r="G441" i="6"/>
  <c r="F441" i="6"/>
  <c r="E441" i="6"/>
  <c r="D441" i="6"/>
  <c r="C441" i="6"/>
  <c r="B441" i="6"/>
  <c r="A441" i="6"/>
  <c r="O440" i="6"/>
  <c r="N440" i="6"/>
  <c r="L440" i="6"/>
  <c r="I440" i="6"/>
  <c r="G440" i="6"/>
  <c r="F440" i="6"/>
  <c r="E440" i="6"/>
  <c r="D440" i="6"/>
  <c r="C440" i="6"/>
  <c r="B440" i="6"/>
  <c r="A440" i="6"/>
  <c r="O439" i="6"/>
  <c r="N439" i="6"/>
  <c r="L439" i="6"/>
  <c r="I439" i="6"/>
  <c r="G439" i="6"/>
  <c r="F439" i="6"/>
  <c r="E439" i="6"/>
  <c r="D439" i="6"/>
  <c r="C439" i="6"/>
  <c r="B439" i="6"/>
  <c r="A439" i="6"/>
  <c r="O438" i="6"/>
  <c r="N438" i="6"/>
  <c r="L438" i="6"/>
  <c r="I438" i="6"/>
  <c r="G438" i="6"/>
  <c r="F438" i="6"/>
  <c r="E438" i="6"/>
  <c r="D438" i="6"/>
  <c r="C438" i="6"/>
  <c r="B438" i="6"/>
  <c r="A438" i="6"/>
  <c r="O437" i="6"/>
  <c r="N437" i="6"/>
  <c r="L437" i="6"/>
  <c r="I437" i="6"/>
  <c r="G437" i="6"/>
  <c r="F437" i="6"/>
  <c r="E437" i="6"/>
  <c r="D437" i="6"/>
  <c r="C437" i="6"/>
  <c r="B437" i="6"/>
  <c r="A437" i="6"/>
  <c r="O436" i="6"/>
  <c r="N436" i="6"/>
  <c r="L436" i="6"/>
  <c r="I436" i="6"/>
  <c r="G436" i="6"/>
  <c r="F436" i="6"/>
  <c r="E436" i="6"/>
  <c r="D436" i="6"/>
  <c r="C436" i="6"/>
  <c r="B436" i="6"/>
  <c r="A436" i="6"/>
  <c r="O435" i="6"/>
  <c r="N435" i="6"/>
  <c r="L435" i="6"/>
  <c r="I435" i="6"/>
  <c r="G435" i="6"/>
  <c r="F435" i="6"/>
  <c r="E435" i="6"/>
  <c r="D435" i="6"/>
  <c r="C435" i="6"/>
  <c r="B435" i="6"/>
  <c r="A435" i="6"/>
  <c r="O434" i="6"/>
  <c r="N434" i="6"/>
  <c r="L434" i="6"/>
  <c r="I434" i="6"/>
  <c r="G434" i="6"/>
  <c r="F434" i="6"/>
  <c r="E434" i="6"/>
  <c r="D434" i="6"/>
  <c r="C434" i="6"/>
  <c r="B434" i="6"/>
  <c r="A434" i="6"/>
  <c r="O433" i="6"/>
  <c r="N433" i="6"/>
  <c r="L433" i="6"/>
  <c r="I433" i="6"/>
  <c r="G433" i="6"/>
  <c r="F433" i="6"/>
  <c r="E433" i="6"/>
  <c r="D433" i="6"/>
  <c r="C433" i="6"/>
  <c r="B433" i="6"/>
  <c r="A433" i="6"/>
  <c r="O432" i="6"/>
  <c r="N432" i="6"/>
  <c r="L432" i="6"/>
  <c r="I432" i="6"/>
  <c r="G432" i="6"/>
  <c r="F432" i="6"/>
  <c r="E432" i="6"/>
  <c r="D432" i="6"/>
  <c r="C432" i="6"/>
  <c r="B432" i="6"/>
  <c r="A432" i="6"/>
  <c r="O431" i="6"/>
  <c r="N431" i="6"/>
  <c r="L431" i="6"/>
  <c r="I431" i="6"/>
  <c r="G431" i="6"/>
  <c r="F431" i="6"/>
  <c r="E431" i="6"/>
  <c r="D431" i="6"/>
  <c r="C431" i="6"/>
  <c r="B431" i="6"/>
  <c r="A431" i="6"/>
  <c r="O430" i="6"/>
  <c r="N430" i="6"/>
  <c r="L430" i="6"/>
  <c r="I430" i="6"/>
  <c r="G430" i="6"/>
  <c r="F430" i="6"/>
  <c r="E430" i="6"/>
  <c r="D430" i="6"/>
  <c r="C430" i="6"/>
  <c r="B430" i="6"/>
  <c r="A430" i="6"/>
  <c r="O429" i="6"/>
  <c r="N429" i="6"/>
  <c r="L429" i="6"/>
  <c r="I429" i="6"/>
  <c r="G429" i="6"/>
  <c r="F429" i="6"/>
  <c r="E429" i="6"/>
  <c r="D429" i="6"/>
  <c r="C429" i="6"/>
  <c r="B429" i="6"/>
  <c r="A429" i="6"/>
  <c r="O428" i="6"/>
  <c r="N428" i="6"/>
  <c r="L428" i="6"/>
  <c r="I428" i="6"/>
  <c r="G428" i="6"/>
  <c r="F428" i="6"/>
  <c r="E428" i="6"/>
  <c r="D428" i="6"/>
  <c r="C428" i="6"/>
  <c r="B428" i="6"/>
  <c r="A428" i="6"/>
  <c r="O427" i="6"/>
  <c r="N427" i="6"/>
  <c r="L427" i="6"/>
  <c r="I427" i="6"/>
  <c r="G427" i="6"/>
  <c r="F427" i="6"/>
  <c r="E427" i="6"/>
  <c r="D427" i="6"/>
  <c r="C427" i="6"/>
  <c r="B427" i="6"/>
  <c r="A427" i="6"/>
  <c r="O426" i="6"/>
  <c r="N426" i="6"/>
  <c r="L426" i="6"/>
  <c r="I426" i="6"/>
  <c r="G426" i="6"/>
  <c r="F426" i="6"/>
  <c r="E426" i="6"/>
  <c r="D426" i="6"/>
  <c r="C426" i="6"/>
  <c r="B426" i="6"/>
  <c r="A426" i="6"/>
  <c r="O425" i="6"/>
  <c r="N425" i="6"/>
  <c r="L425" i="6"/>
  <c r="I425" i="6"/>
  <c r="G425" i="6"/>
  <c r="F425" i="6"/>
  <c r="E425" i="6"/>
  <c r="D425" i="6"/>
  <c r="C425" i="6"/>
  <c r="B425" i="6"/>
  <c r="A425" i="6"/>
  <c r="O424" i="6"/>
  <c r="N424" i="6"/>
  <c r="L424" i="6"/>
  <c r="I424" i="6"/>
  <c r="G424" i="6"/>
  <c r="F424" i="6"/>
  <c r="E424" i="6"/>
  <c r="D424" i="6"/>
  <c r="C424" i="6"/>
  <c r="B424" i="6"/>
  <c r="A424" i="6"/>
  <c r="O423" i="6"/>
  <c r="N423" i="6"/>
  <c r="L423" i="6"/>
  <c r="I423" i="6"/>
  <c r="G423" i="6"/>
  <c r="F423" i="6"/>
  <c r="E423" i="6"/>
  <c r="D423" i="6"/>
  <c r="C423" i="6"/>
  <c r="B423" i="6"/>
  <c r="A423" i="6"/>
  <c r="O422" i="6"/>
  <c r="N422" i="6"/>
  <c r="L422" i="6"/>
  <c r="I422" i="6"/>
  <c r="G422" i="6"/>
  <c r="F422" i="6"/>
  <c r="E422" i="6"/>
  <c r="D422" i="6"/>
  <c r="C422" i="6"/>
  <c r="B422" i="6"/>
  <c r="A422" i="6"/>
  <c r="O421" i="6"/>
  <c r="N421" i="6"/>
  <c r="L421" i="6"/>
  <c r="I421" i="6"/>
  <c r="G421" i="6"/>
  <c r="F421" i="6"/>
  <c r="E421" i="6"/>
  <c r="D421" i="6"/>
  <c r="C421" i="6"/>
  <c r="B421" i="6"/>
  <c r="A421" i="6"/>
  <c r="O420" i="6"/>
  <c r="N420" i="6"/>
  <c r="L420" i="6"/>
  <c r="I420" i="6"/>
  <c r="G420" i="6"/>
  <c r="F420" i="6"/>
  <c r="E420" i="6"/>
  <c r="D420" i="6"/>
  <c r="C420" i="6"/>
  <c r="B420" i="6"/>
  <c r="A420" i="6"/>
  <c r="O419" i="6"/>
  <c r="N419" i="6"/>
  <c r="L419" i="6"/>
  <c r="I419" i="6"/>
  <c r="G419" i="6"/>
  <c r="F419" i="6"/>
  <c r="E419" i="6"/>
  <c r="D419" i="6"/>
  <c r="C419" i="6"/>
  <c r="B419" i="6"/>
  <c r="A419" i="6"/>
  <c r="O418" i="6"/>
  <c r="N418" i="6"/>
  <c r="L418" i="6"/>
  <c r="I418" i="6"/>
  <c r="G418" i="6"/>
  <c r="F418" i="6"/>
  <c r="E418" i="6"/>
  <c r="D418" i="6"/>
  <c r="C418" i="6"/>
  <c r="B418" i="6"/>
  <c r="A418" i="6"/>
  <c r="O417" i="6"/>
  <c r="N417" i="6"/>
  <c r="L417" i="6"/>
  <c r="I417" i="6"/>
  <c r="G417" i="6"/>
  <c r="F417" i="6"/>
  <c r="E417" i="6"/>
  <c r="D417" i="6"/>
  <c r="C417" i="6"/>
  <c r="B417" i="6"/>
  <c r="A417" i="6"/>
  <c r="O416" i="6"/>
  <c r="N416" i="6"/>
  <c r="L416" i="6"/>
  <c r="I416" i="6"/>
  <c r="G416" i="6"/>
  <c r="F416" i="6"/>
  <c r="E416" i="6"/>
  <c r="D416" i="6"/>
  <c r="C416" i="6"/>
  <c r="B416" i="6"/>
  <c r="A416" i="6"/>
  <c r="O415" i="6"/>
  <c r="N415" i="6"/>
  <c r="L415" i="6"/>
  <c r="I415" i="6"/>
  <c r="G415" i="6"/>
  <c r="F415" i="6"/>
  <c r="E415" i="6"/>
  <c r="D415" i="6"/>
  <c r="C415" i="6"/>
  <c r="B415" i="6"/>
  <c r="A415" i="6"/>
  <c r="O414" i="6"/>
  <c r="N414" i="6"/>
  <c r="L414" i="6"/>
  <c r="I414" i="6"/>
  <c r="G414" i="6"/>
  <c r="F414" i="6"/>
  <c r="E414" i="6"/>
  <c r="D414" i="6"/>
  <c r="C414" i="6"/>
  <c r="B414" i="6"/>
  <c r="A414" i="6"/>
  <c r="O413" i="6"/>
  <c r="N413" i="6"/>
  <c r="L413" i="6"/>
  <c r="I413" i="6"/>
  <c r="G413" i="6"/>
  <c r="F413" i="6"/>
  <c r="E413" i="6"/>
  <c r="D413" i="6"/>
  <c r="C413" i="6"/>
  <c r="B413" i="6"/>
  <c r="A413" i="6"/>
  <c r="O412" i="6"/>
  <c r="N412" i="6"/>
  <c r="L412" i="6"/>
  <c r="I412" i="6"/>
  <c r="G412" i="6"/>
  <c r="F412" i="6"/>
  <c r="E412" i="6"/>
  <c r="D412" i="6"/>
  <c r="C412" i="6"/>
  <c r="B412" i="6"/>
  <c r="A412" i="6"/>
  <c r="O411" i="6"/>
  <c r="N411" i="6"/>
  <c r="L411" i="6"/>
  <c r="I411" i="6"/>
  <c r="G411" i="6"/>
  <c r="F411" i="6"/>
  <c r="E411" i="6"/>
  <c r="D411" i="6"/>
  <c r="C411" i="6"/>
  <c r="B411" i="6"/>
  <c r="A411" i="6"/>
  <c r="O410" i="6"/>
  <c r="N410" i="6"/>
  <c r="L410" i="6"/>
  <c r="I410" i="6"/>
  <c r="G410" i="6"/>
  <c r="F410" i="6"/>
  <c r="E410" i="6"/>
  <c r="D410" i="6"/>
  <c r="C410" i="6"/>
  <c r="B410" i="6"/>
  <c r="A410" i="6"/>
  <c r="O409" i="6"/>
  <c r="N409" i="6"/>
  <c r="L409" i="6"/>
  <c r="I409" i="6"/>
  <c r="G409" i="6"/>
  <c r="F409" i="6"/>
  <c r="E409" i="6"/>
  <c r="D409" i="6"/>
  <c r="C409" i="6"/>
  <c r="B409" i="6"/>
  <c r="A409" i="6"/>
  <c r="O408" i="6"/>
  <c r="N408" i="6"/>
  <c r="L408" i="6"/>
  <c r="I408" i="6"/>
  <c r="G408" i="6"/>
  <c r="F408" i="6"/>
  <c r="E408" i="6"/>
  <c r="D408" i="6"/>
  <c r="C408" i="6"/>
  <c r="B408" i="6"/>
  <c r="A408" i="6"/>
  <c r="O407" i="6"/>
  <c r="N407" i="6"/>
  <c r="L407" i="6"/>
  <c r="I407" i="6"/>
  <c r="G407" i="6"/>
  <c r="F407" i="6"/>
  <c r="E407" i="6"/>
  <c r="D407" i="6"/>
  <c r="C407" i="6"/>
  <c r="B407" i="6"/>
  <c r="A407" i="6"/>
  <c r="O406" i="6"/>
  <c r="N406" i="6"/>
  <c r="L406" i="6"/>
  <c r="I406" i="6"/>
  <c r="G406" i="6"/>
  <c r="F406" i="6"/>
  <c r="E406" i="6"/>
  <c r="D406" i="6"/>
  <c r="C406" i="6"/>
  <c r="B406" i="6"/>
  <c r="A406" i="6"/>
  <c r="O405" i="6"/>
  <c r="N405" i="6"/>
  <c r="L405" i="6"/>
  <c r="I405" i="6"/>
  <c r="G405" i="6"/>
  <c r="F405" i="6"/>
  <c r="E405" i="6"/>
  <c r="D405" i="6"/>
  <c r="C405" i="6"/>
  <c r="B405" i="6"/>
  <c r="A405" i="6"/>
  <c r="O404" i="6"/>
  <c r="N404" i="6"/>
  <c r="L404" i="6"/>
  <c r="I404" i="6"/>
  <c r="G404" i="6"/>
  <c r="F404" i="6"/>
  <c r="E404" i="6"/>
  <c r="D404" i="6"/>
  <c r="C404" i="6"/>
  <c r="B404" i="6"/>
  <c r="A404" i="6"/>
  <c r="O403" i="6"/>
  <c r="N403" i="6"/>
  <c r="L403" i="6"/>
  <c r="I403" i="6"/>
  <c r="G403" i="6"/>
  <c r="F403" i="6"/>
  <c r="E403" i="6"/>
  <c r="D403" i="6"/>
  <c r="C403" i="6"/>
  <c r="B403" i="6"/>
  <c r="A403" i="6"/>
  <c r="O402" i="6"/>
  <c r="N402" i="6"/>
  <c r="L402" i="6"/>
  <c r="I402" i="6"/>
  <c r="G402" i="6"/>
  <c r="F402" i="6"/>
  <c r="E402" i="6"/>
  <c r="D402" i="6"/>
  <c r="C402" i="6"/>
  <c r="B402" i="6"/>
  <c r="A402" i="6"/>
  <c r="O401" i="6"/>
  <c r="N401" i="6"/>
  <c r="L401" i="6"/>
  <c r="I401" i="6"/>
  <c r="G401" i="6"/>
  <c r="F401" i="6"/>
  <c r="E401" i="6"/>
  <c r="D401" i="6"/>
  <c r="C401" i="6"/>
  <c r="B401" i="6"/>
  <c r="A401" i="6"/>
  <c r="O400" i="6"/>
  <c r="N400" i="6"/>
  <c r="L400" i="6"/>
  <c r="I400" i="6"/>
  <c r="G400" i="6"/>
  <c r="F400" i="6"/>
  <c r="E400" i="6"/>
  <c r="D400" i="6"/>
  <c r="C400" i="6"/>
  <c r="B400" i="6"/>
  <c r="A400" i="6"/>
  <c r="O399" i="6"/>
  <c r="N399" i="6"/>
  <c r="L399" i="6"/>
  <c r="I399" i="6"/>
  <c r="G399" i="6"/>
  <c r="F399" i="6"/>
  <c r="E399" i="6"/>
  <c r="D399" i="6"/>
  <c r="C399" i="6"/>
  <c r="B399" i="6"/>
  <c r="A399" i="6"/>
  <c r="O398" i="6"/>
  <c r="N398" i="6"/>
  <c r="L398" i="6"/>
  <c r="I398" i="6"/>
  <c r="G398" i="6"/>
  <c r="F398" i="6"/>
  <c r="E398" i="6"/>
  <c r="D398" i="6"/>
  <c r="C398" i="6"/>
  <c r="B398" i="6"/>
  <c r="A398" i="6"/>
  <c r="O397" i="6"/>
  <c r="N397" i="6"/>
  <c r="L397" i="6"/>
  <c r="I397" i="6"/>
  <c r="G397" i="6"/>
  <c r="F397" i="6"/>
  <c r="E397" i="6"/>
  <c r="D397" i="6"/>
  <c r="C397" i="6"/>
  <c r="B397" i="6"/>
  <c r="A397" i="6"/>
  <c r="O396" i="6"/>
  <c r="N396" i="6"/>
  <c r="L396" i="6"/>
  <c r="I396" i="6"/>
  <c r="G396" i="6"/>
  <c r="F396" i="6"/>
  <c r="E396" i="6"/>
  <c r="D396" i="6"/>
  <c r="C396" i="6"/>
  <c r="B396" i="6"/>
  <c r="A396" i="6"/>
  <c r="O395" i="6"/>
  <c r="N395" i="6"/>
  <c r="L395" i="6"/>
  <c r="I395" i="6"/>
  <c r="G395" i="6"/>
  <c r="F395" i="6"/>
  <c r="E395" i="6"/>
  <c r="D395" i="6"/>
  <c r="C395" i="6"/>
  <c r="B395" i="6"/>
  <c r="A395" i="6"/>
  <c r="O394" i="6"/>
  <c r="N394" i="6"/>
  <c r="L394" i="6"/>
  <c r="I394" i="6"/>
  <c r="G394" i="6"/>
  <c r="F394" i="6"/>
  <c r="E394" i="6"/>
  <c r="D394" i="6"/>
  <c r="C394" i="6"/>
  <c r="B394" i="6"/>
  <c r="A394" i="6"/>
  <c r="O393" i="6"/>
  <c r="N393" i="6"/>
  <c r="L393" i="6"/>
  <c r="I393" i="6"/>
  <c r="G393" i="6"/>
  <c r="F393" i="6"/>
  <c r="E393" i="6"/>
  <c r="D393" i="6"/>
  <c r="C393" i="6"/>
  <c r="B393" i="6"/>
  <c r="A393" i="6"/>
  <c r="O392" i="6"/>
  <c r="N392" i="6"/>
  <c r="L392" i="6"/>
  <c r="I392" i="6"/>
  <c r="G392" i="6"/>
  <c r="F392" i="6"/>
  <c r="E392" i="6"/>
  <c r="D392" i="6"/>
  <c r="C392" i="6"/>
  <c r="B392" i="6"/>
  <c r="A392" i="6"/>
  <c r="O391" i="6"/>
  <c r="N391" i="6"/>
  <c r="L391" i="6"/>
  <c r="I391" i="6"/>
  <c r="G391" i="6"/>
  <c r="F391" i="6"/>
  <c r="E391" i="6"/>
  <c r="D391" i="6"/>
  <c r="C391" i="6"/>
  <c r="B391" i="6"/>
  <c r="A391" i="6"/>
  <c r="O390" i="6"/>
  <c r="N390" i="6"/>
  <c r="L390" i="6"/>
  <c r="I390" i="6"/>
  <c r="G390" i="6"/>
  <c r="F390" i="6"/>
  <c r="E390" i="6"/>
  <c r="D390" i="6"/>
  <c r="C390" i="6"/>
  <c r="B390" i="6"/>
  <c r="A390" i="6"/>
  <c r="O389" i="6"/>
  <c r="N389" i="6"/>
  <c r="L389" i="6"/>
  <c r="I389" i="6"/>
  <c r="G389" i="6"/>
  <c r="F389" i="6"/>
  <c r="E389" i="6"/>
  <c r="D389" i="6"/>
  <c r="C389" i="6"/>
  <c r="B389" i="6"/>
  <c r="A389" i="6"/>
  <c r="O388" i="6"/>
  <c r="N388" i="6"/>
  <c r="L388" i="6"/>
  <c r="I388" i="6"/>
  <c r="G388" i="6"/>
  <c r="F388" i="6"/>
  <c r="E388" i="6"/>
  <c r="D388" i="6"/>
  <c r="C388" i="6"/>
  <c r="B388" i="6"/>
  <c r="A388" i="6"/>
  <c r="O387" i="6"/>
  <c r="N387" i="6"/>
  <c r="L387" i="6"/>
  <c r="I387" i="6"/>
  <c r="G387" i="6"/>
  <c r="F387" i="6"/>
  <c r="E387" i="6"/>
  <c r="D387" i="6"/>
  <c r="C387" i="6"/>
  <c r="B387" i="6"/>
  <c r="A387" i="6"/>
  <c r="O386" i="6"/>
  <c r="N386" i="6"/>
  <c r="L386" i="6"/>
  <c r="I386" i="6"/>
  <c r="G386" i="6"/>
  <c r="F386" i="6"/>
  <c r="E386" i="6"/>
  <c r="D386" i="6"/>
  <c r="C386" i="6"/>
  <c r="B386" i="6"/>
  <c r="A386" i="6"/>
  <c r="O385" i="6"/>
  <c r="N385" i="6"/>
  <c r="L385" i="6"/>
  <c r="I385" i="6"/>
  <c r="G385" i="6"/>
  <c r="F385" i="6"/>
  <c r="E385" i="6"/>
  <c r="D385" i="6"/>
  <c r="C385" i="6"/>
  <c r="B385" i="6"/>
  <c r="A385" i="6"/>
  <c r="O384" i="6"/>
  <c r="N384" i="6"/>
  <c r="L384" i="6"/>
  <c r="I384" i="6"/>
  <c r="G384" i="6"/>
  <c r="F384" i="6"/>
  <c r="E384" i="6"/>
  <c r="D384" i="6"/>
  <c r="C384" i="6"/>
  <c r="B384" i="6"/>
  <c r="A384" i="6"/>
  <c r="O383" i="6"/>
  <c r="N383" i="6"/>
  <c r="L383" i="6"/>
  <c r="I383" i="6"/>
  <c r="G383" i="6"/>
  <c r="F383" i="6"/>
  <c r="E383" i="6"/>
  <c r="D383" i="6"/>
  <c r="C383" i="6"/>
  <c r="B383" i="6"/>
  <c r="A383" i="6"/>
  <c r="O382" i="6"/>
  <c r="N382" i="6"/>
  <c r="L382" i="6"/>
  <c r="I382" i="6"/>
  <c r="G382" i="6"/>
  <c r="F382" i="6"/>
  <c r="E382" i="6"/>
  <c r="D382" i="6"/>
  <c r="C382" i="6"/>
  <c r="B382" i="6"/>
  <c r="A382" i="6"/>
  <c r="O381" i="6"/>
  <c r="N381" i="6"/>
  <c r="L381" i="6"/>
  <c r="I381" i="6"/>
  <c r="G381" i="6"/>
  <c r="F381" i="6"/>
  <c r="E381" i="6"/>
  <c r="D381" i="6"/>
  <c r="C381" i="6"/>
  <c r="B381" i="6"/>
  <c r="A381" i="6"/>
  <c r="O380" i="6"/>
  <c r="N380" i="6"/>
  <c r="L380" i="6"/>
  <c r="I380" i="6"/>
  <c r="G380" i="6"/>
  <c r="F380" i="6"/>
  <c r="E380" i="6"/>
  <c r="D380" i="6"/>
  <c r="C380" i="6"/>
  <c r="B380" i="6"/>
  <c r="A380" i="6"/>
  <c r="O379" i="6"/>
  <c r="N379" i="6"/>
  <c r="L379" i="6"/>
  <c r="I379" i="6"/>
  <c r="G379" i="6"/>
  <c r="F379" i="6"/>
  <c r="E379" i="6"/>
  <c r="D379" i="6"/>
  <c r="C379" i="6"/>
  <c r="B379" i="6"/>
  <c r="A379" i="6"/>
  <c r="O378" i="6"/>
  <c r="N378" i="6"/>
  <c r="L378" i="6"/>
  <c r="I378" i="6"/>
  <c r="G378" i="6"/>
  <c r="F378" i="6"/>
  <c r="E378" i="6"/>
  <c r="D378" i="6"/>
  <c r="C378" i="6"/>
  <c r="B378" i="6"/>
  <c r="A378" i="6"/>
  <c r="O377" i="6"/>
  <c r="N377" i="6"/>
  <c r="L377" i="6"/>
  <c r="I377" i="6"/>
  <c r="G377" i="6"/>
  <c r="F377" i="6"/>
  <c r="E377" i="6"/>
  <c r="D377" i="6"/>
  <c r="C377" i="6"/>
  <c r="B377" i="6"/>
  <c r="A377" i="6"/>
  <c r="O376" i="6"/>
  <c r="N376" i="6"/>
  <c r="L376" i="6"/>
  <c r="I376" i="6"/>
  <c r="G376" i="6"/>
  <c r="F376" i="6"/>
  <c r="E376" i="6"/>
  <c r="D376" i="6"/>
  <c r="C376" i="6"/>
  <c r="B376" i="6"/>
  <c r="A376" i="6"/>
  <c r="O375" i="6"/>
  <c r="N375" i="6"/>
  <c r="L375" i="6"/>
  <c r="I375" i="6"/>
  <c r="G375" i="6"/>
  <c r="F375" i="6"/>
  <c r="E375" i="6"/>
  <c r="D375" i="6"/>
  <c r="C375" i="6"/>
  <c r="B375" i="6"/>
  <c r="A375" i="6"/>
  <c r="O374" i="6"/>
  <c r="N374" i="6"/>
  <c r="L374" i="6"/>
  <c r="I374" i="6"/>
  <c r="G374" i="6"/>
  <c r="F374" i="6"/>
  <c r="E374" i="6"/>
  <c r="D374" i="6"/>
  <c r="C374" i="6"/>
  <c r="B374" i="6"/>
  <c r="A374" i="6"/>
  <c r="O373" i="6"/>
  <c r="N373" i="6"/>
  <c r="L373" i="6"/>
  <c r="I373" i="6"/>
  <c r="G373" i="6"/>
  <c r="F373" i="6"/>
  <c r="E373" i="6"/>
  <c r="D373" i="6"/>
  <c r="C373" i="6"/>
  <c r="B373" i="6"/>
  <c r="A373" i="6"/>
  <c r="O372" i="6"/>
  <c r="N372" i="6"/>
  <c r="L372" i="6"/>
  <c r="I372" i="6"/>
  <c r="G372" i="6"/>
  <c r="F372" i="6"/>
  <c r="E372" i="6"/>
  <c r="D372" i="6"/>
  <c r="C372" i="6"/>
  <c r="B372" i="6"/>
  <c r="A372" i="6"/>
  <c r="O371" i="6"/>
  <c r="N371" i="6"/>
  <c r="L371" i="6"/>
  <c r="I371" i="6"/>
  <c r="G371" i="6"/>
  <c r="F371" i="6"/>
  <c r="E371" i="6"/>
  <c r="D371" i="6"/>
  <c r="C371" i="6"/>
  <c r="B371" i="6"/>
  <c r="A371" i="6"/>
  <c r="O370" i="6"/>
  <c r="N370" i="6"/>
  <c r="L370" i="6"/>
  <c r="I370" i="6"/>
  <c r="G370" i="6"/>
  <c r="F370" i="6"/>
  <c r="E370" i="6"/>
  <c r="D370" i="6"/>
  <c r="C370" i="6"/>
  <c r="B370" i="6"/>
  <c r="A370" i="6"/>
  <c r="O369" i="6"/>
  <c r="N369" i="6"/>
  <c r="L369" i="6"/>
  <c r="I369" i="6"/>
  <c r="G369" i="6"/>
  <c r="F369" i="6"/>
  <c r="E369" i="6"/>
  <c r="D369" i="6"/>
  <c r="C369" i="6"/>
  <c r="B369" i="6"/>
  <c r="A369" i="6"/>
  <c r="O368" i="6"/>
  <c r="N368" i="6"/>
  <c r="L368" i="6"/>
  <c r="I368" i="6"/>
  <c r="G368" i="6"/>
  <c r="F368" i="6"/>
  <c r="E368" i="6"/>
  <c r="D368" i="6"/>
  <c r="C368" i="6"/>
  <c r="B368" i="6"/>
  <c r="A368" i="6"/>
  <c r="O367" i="6"/>
  <c r="N367" i="6"/>
  <c r="L367" i="6"/>
  <c r="I367" i="6"/>
  <c r="G367" i="6"/>
  <c r="F367" i="6"/>
  <c r="E367" i="6"/>
  <c r="D367" i="6"/>
  <c r="C367" i="6"/>
  <c r="B367" i="6"/>
  <c r="A367" i="6"/>
  <c r="O366" i="6"/>
  <c r="N366" i="6"/>
  <c r="L366" i="6"/>
  <c r="I366" i="6"/>
  <c r="G366" i="6"/>
  <c r="F366" i="6"/>
  <c r="E366" i="6"/>
  <c r="D366" i="6"/>
  <c r="C366" i="6"/>
  <c r="B366" i="6"/>
  <c r="A366" i="6"/>
  <c r="O365" i="6"/>
  <c r="N365" i="6"/>
  <c r="L365" i="6"/>
  <c r="I365" i="6"/>
  <c r="G365" i="6"/>
  <c r="F365" i="6"/>
  <c r="E365" i="6"/>
  <c r="D365" i="6"/>
  <c r="C365" i="6"/>
  <c r="B365" i="6"/>
  <c r="A365" i="6"/>
  <c r="O364" i="6"/>
  <c r="N364" i="6"/>
  <c r="L364" i="6"/>
  <c r="I364" i="6"/>
  <c r="G364" i="6"/>
  <c r="F364" i="6"/>
  <c r="E364" i="6"/>
  <c r="D364" i="6"/>
  <c r="C364" i="6"/>
  <c r="B364" i="6"/>
  <c r="A364" i="6"/>
  <c r="O363" i="6"/>
  <c r="N363" i="6"/>
  <c r="L363" i="6"/>
  <c r="I363" i="6"/>
  <c r="G363" i="6"/>
  <c r="F363" i="6"/>
  <c r="E363" i="6"/>
  <c r="D363" i="6"/>
  <c r="C363" i="6"/>
  <c r="B363" i="6"/>
  <c r="A363" i="6"/>
  <c r="O362" i="6"/>
  <c r="N362" i="6"/>
  <c r="L362" i="6"/>
  <c r="I362" i="6"/>
  <c r="G362" i="6"/>
  <c r="F362" i="6"/>
  <c r="E362" i="6"/>
  <c r="D362" i="6"/>
  <c r="C362" i="6"/>
  <c r="B362" i="6"/>
  <c r="A362" i="6"/>
  <c r="O361" i="6"/>
  <c r="N361" i="6"/>
  <c r="L361" i="6"/>
  <c r="I361" i="6"/>
  <c r="G361" i="6"/>
  <c r="F361" i="6"/>
  <c r="E361" i="6"/>
  <c r="D361" i="6"/>
  <c r="C361" i="6"/>
  <c r="B361" i="6"/>
  <c r="A361" i="6"/>
  <c r="O360" i="6"/>
  <c r="N360" i="6"/>
  <c r="L360" i="6"/>
  <c r="I360" i="6"/>
  <c r="G360" i="6"/>
  <c r="F360" i="6"/>
  <c r="E360" i="6"/>
  <c r="D360" i="6"/>
  <c r="C360" i="6"/>
  <c r="B360" i="6"/>
  <c r="A360" i="6"/>
  <c r="O359" i="6"/>
  <c r="N359" i="6"/>
  <c r="L359" i="6"/>
  <c r="I359" i="6"/>
  <c r="G359" i="6"/>
  <c r="F359" i="6"/>
  <c r="E359" i="6"/>
  <c r="D359" i="6"/>
  <c r="C359" i="6"/>
  <c r="B359" i="6"/>
  <c r="A359" i="6"/>
  <c r="O358" i="6"/>
  <c r="N358" i="6"/>
  <c r="L358" i="6"/>
  <c r="I358" i="6"/>
  <c r="G358" i="6"/>
  <c r="F358" i="6"/>
  <c r="E358" i="6"/>
  <c r="D358" i="6"/>
  <c r="C358" i="6"/>
  <c r="B358" i="6"/>
  <c r="A358" i="6"/>
  <c r="O357" i="6"/>
  <c r="N357" i="6"/>
  <c r="L357" i="6"/>
  <c r="I357" i="6"/>
  <c r="G357" i="6"/>
  <c r="F357" i="6"/>
  <c r="E357" i="6"/>
  <c r="D357" i="6"/>
  <c r="C357" i="6"/>
  <c r="B357" i="6"/>
  <c r="A357" i="6"/>
  <c r="O356" i="6"/>
  <c r="N356" i="6"/>
  <c r="L356" i="6"/>
  <c r="I356" i="6"/>
  <c r="G356" i="6"/>
  <c r="F356" i="6"/>
  <c r="E356" i="6"/>
  <c r="D356" i="6"/>
  <c r="C356" i="6"/>
  <c r="B356" i="6"/>
  <c r="A356" i="6"/>
  <c r="O355" i="6"/>
  <c r="N355" i="6"/>
  <c r="L355" i="6"/>
  <c r="I355" i="6"/>
  <c r="G355" i="6"/>
  <c r="F355" i="6"/>
  <c r="E355" i="6"/>
  <c r="D355" i="6"/>
  <c r="C355" i="6"/>
  <c r="B355" i="6"/>
  <c r="A355" i="6"/>
  <c r="O354" i="6"/>
  <c r="N354" i="6"/>
  <c r="L354" i="6"/>
  <c r="I354" i="6"/>
  <c r="G354" i="6"/>
  <c r="F354" i="6"/>
  <c r="E354" i="6"/>
  <c r="D354" i="6"/>
  <c r="C354" i="6"/>
  <c r="B354" i="6"/>
  <c r="A354" i="6"/>
  <c r="O353" i="6"/>
  <c r="N353" i="6"/>
  <c r="L353" i="6"/>
  <c r="I353" i="6"/>
  <c r="G353" i="6"/>
  <c r="F353" i="6"/>
  <c r="E353" i="6"/>
  <c r="D353" i="6"/>
  <c r="C353" i="6"/>
  <c r="B353" i="6"/>
  <c r="A353" i="6"/>
  <c r="O352" i="6"/>
  <c r="N352" i="6"/>
  <c r="L352" i="6"/>
  <c r="I352" i="6"/>
  <c r="G352" i="6"/>
  <c r="F352" i="6"/>
  <c r="E352" i="6"/>
  <c r="D352" i="6"/>
  <c r="C352" i="6"/>
  <c r="B352" i="6"/>
  <c r="A352" i="6"/>
  <c r="O351" i="6"/>
  <c r="N351" i="6"/>
  <c r="L351" i="6"/>
  <c r="I351" i="6"/>
  <c r="G351" i="6"/>
  <c r="F351" i="6"/>
  <c r="E351" i="6"/>
  <c r="D351" i="6"/>
  <c r="C351" i="6"/>
  <c r="B351" i="6"/>
  <c r="A351" i="6"/>
  <c r="O350" i="6"/>
  <c r="N350" i="6"/>
  <c r="L350" i="6"/>
  <c r="I350" i="6"/>
  <c r="G350" i="6"/>
  <c r="F350" i="6"/>
  <c r="E350" i="6"/>
  <c r="D350" i="6"/>
  <c r="C350" i="6"/>
  <c r="B350" i="6"/>
  <c r="A350" i="6"/>
  <c r="O349" i="6"/>
  <c r="N349" i="6"/>
  <c r="L349" i="6"/>
  <c r="I349" i="6"/>
  <c r="G349" i="6"/>
  <c r="F349" i="6"/>
  <c r="E349" i="6"/>
  <c r="D349" i="6"/>
  <c r="C349" i="6"/>
  <c r="B349" i="6"/>
  <c r="A349" i="6"/>
  <c r="O348" i="6"/>
  <c r="N348" i="6"/>
  <c r="L348" i="6"/>
  <c r="I348" i="6"/>
  <c r="G348" i="6"/>
  <c r="F348" i="6"/>
  <c r="E348" i="6"/>
  <c r="D348" i="6"/>
  <c r="C348" i="6"/>
  <c r="B348" i="6"/>
  <c r="A348" i="6"/>
  <c r="O347" i="6"/>
  <c r="N347" i="6"/>
  <c r="L347" i="6"/>
  <c r="I347" i="6"/>
  <c r="G347" i="6"/>
  <c r="F347" i="6"/>
  <c r="E347" i="6"/>
  <c r="D347" i="6"/>
  <c r="C347" i="6"/>
  <c r="B347" i="6"/>
  <c r="A347" i="6"/>
  <c r="O346" i="6"/>
  <c r="N346" i="6"/>
  <c r="L346" i="6"/>
  <c r="I346" i="6"/>
  <c r="G346" i="6"/>
  <c r="F346" i="6"/>
  <c r="E346" i="6"/>
  <c r="D346" i="6"/>
  <c r="C346" i="6"/>
  <c r="B346" i="6"/>
  <c r="A346" i="6"/>
  <c r="O345" i="6"/>
  <c r="N345" i="6"/>
  <c r="L345" i="6"/>
  <c r="I345" i="6"/>
  <c r="G345" i="6"/>
  <c r="F345" i="6"/>
  <c r="E345" i="6"/>
  <c r="D345" i="6"/>
  <c r="C345" i="6"/>
  <c r="B345" i="6"/>
  <c r="A345" i="6"/>
  <c r="O344" i="6"/>
  <c r="N344" i="6"/>
  <c r="L344" i="6"/>
  <c r="I344" i="6"/>
  <c r="G344" i="6"/>
  <c r="F344" i="6"/>
  <c r="E344" i="6"/>
  <c r="D344" i="6"/>
  <c r="C344" i="6"/>
  <c r="B344" i="6"/>
  <c r="A344" i="6"/>
  <c r="O343" i="6"/>
  <c r="N343" i="6"/>
  <c r="L343" i="6"/>
  <c r="I343" i="6"/>
  <c r="G343" i="6"/>
  <c r="F343" i="6"/>
  <c r="E343" i="6"/>
  <c r="D343" i="6"/>
  <c r="C343" i="6"/>
  <c r="B343" i="6"/>
  <c r="A343" i="6"/>
  <c r="O342" i="6"/>
  <c r="N342" i="6"/>
  <c r="L342" i="6"/>
  <c r="I342" i="6"/>
  <c r="G342" i="6"/>
  <c r="F342" i="6"/>
  <c r="E342" i="6"/>
  <c r="D342" i="6"/>
  <c r="C342" i="6"/>
  <c r="B342" i="6"/>
  <c r="A342" i="6"/>
  <c r="O341" i="6"/>
  <c r="N341" i="6"/>
  <c r="L341" i="6"/>
  <c r="I341" i="6"/>
  <c r="G341" i="6"/>
  <c r="F341" i="6"/>
  <c r="E341" i="6"/>
  <c r="D341" i="6"/>
  <c r="C341" i="6"/>
  <c r="B341" i="6"/>
  <c r="A341" i="6"/>
  <c r="O340" i="6"/>
  <c r="N340" i="6"/>
  <c r="L340" i="6"/>
  <c r="I340" i="6"/>
  <c r="G340" i="6"/>
  <c r="F340" i="6"/>
  <c r="E340" i="6"/>
  <c r="D340" i="6"/>
  <c r="C340" i="6"/>
  <c r="B340" i="6"/>
  <c r="A340" i="6"/>
  <c r="O339" i="6"/>
  <c r="N339" i="6"/>
  <c r="L339" i="6"/>
  <c r="I339" i="6"/>
  <c r="G339" i="6"/>
  <c r="F339" i="6"/>
  <c r="E339" i="6"/>
  <c r="D339" i="6"/>
  <c r="C339" i="6"/>
  <c r="B339" i="6"/>
  <c r="A339" i="6"/>
  <c r="O338" i="6"/>
  <c r="N338" i="6"/>
  <c r="L338" i="6"/>
  <c r="I338" i="6"/>
  <c r="G338" i="6"/>
  <c r="F338" i="6"/>
  <c r="E338" i="6"/>
  <c r="D338" i="6"/>
  <c r="C338" i="6"/>
  <c r="B338" i="6"/>
  <c r="A338" i="6"/>
  <c r="O337" i="6"/>
  <c r="N337" i="6"/>
  <c r="L337" i="6"/>
  <c r="I337" i="6"/>
  <c r="G337" i="6"/>
  <c r="F337" i="6"/>
  <c r="E337" i="6"/>
  <c r="D337" i="6"/>
  <c r="C337" i="6"/>
  <c r="B337" i="6"/>
  <c r="A337" i="6"/>
  <c r="O336" i="6"/>
  <c r="N336" i="6"/>
  <c r="L336" i="6"/>
  <c r="I336" i="6"/>
  <c r="G336" i="6"/>
  <c r="F336" i="6"/>
  <c r="E336" i="6"/>
  <c r="D336" i="6"/>
  <c r="C336" i="6"/>
  <c r="B336" i="6"/>
  <c r="A336" i="6"/>
  <c r="O335" i="6"/>
  <c r="N335" i="6"/>
  <c r="L335" i="6"/>
  <c r="I335" i="6"/>
  <c r="G335" i="6"/>
  <c r="F335" i="6"/>
  <c r="E335" i="6"/>
  <c r="D335" i="6"/>
  <c r="C335" i="6"/>
  <c r="B335" i="6"/>
  <c r="A335" i="6"/>
  <c r="O334" i="6"/>
  <c r="N334" i="6"/>
  <c r="L334" i="6"/>
  <c r="I334" i="6"/>
  <c r="G334" i="6"/>
  <c r="F334" i="6"/>
  <c r="E334" i="6"/>
  <c r="D334" i="6"/>
  <c r="C334" i="6"/>
  <c r="B334" i="6"/>
  <c r="A334" i="6"/>
  <c r="O333" i="6"/>
  <c r="N333" i="6"/>
  <c r="L333" i="6"/>
  <c r="I333" i="6"/>
  <c r="G333" i="6"/>
  <c r="F333" i="6"/>
  <c r="E333" i="6"/>
  <c r="D333" i="6"/>
  <c r="C333" i="6"/>
  <c r="B333" i="6"/>
  <c r="A333" i="6"/>
  <c r="O332" i="6"/>
  <c r="N332" i="6"/>
  <c r="L332" i="6"/>
  <c r="I332" i="6"/>
  <c r="G332" i="6"/>
  <c r="F332" i="6"/>
  <c r="E332" i="6"/>
  <c r="D332" i="6"/>
  <c r="C332" i="6"/>
  <c r="B332" i="6"/>
  <c r="A332" i="6"/>
  <c r="O331" i="6"/>
  <c r="N331" i="6"/>
  <c r="L331" i="6"/>
  <c r="I331" i="6"/>
  <c r="G331" i="6"/>
  <c r="F331" i="6"/>
  <c r="E331" i="6"/>
  <c r="D331" i="6"/>
  <c r="C331" i="6"/>
  <c r="B331" i="6"/>
  <c r="A331" i="6"/>
  <c r="O330" i="6"/>
  <c r="N330" i="6"/>
  <c r="L330" i="6"/>
  <c r="I330" i="6"/>
  <c r="G330" i="6"/>
  <c r="F330" i="6"/>
  <c r="E330" i="6"/>
  <c r="D330" i="6"/>
  <c r="C330" i="6"/>
  <c r="B330" i="6"/>
  <c r="A330" i="6"/>
  <c r="O329" i="6"/>
  <c r="N329" i="6"/>
  <c r="L329" i="6"/>
  <c r="I329" i="6"/>
  <c r="G329" i="6"/>
  <c r="F329" i="6"/>
  <c r="E329" i="6"/>
  <c r="D329" i="6"/>
  <c r="C329" i="6"/>
  <c r="B329" i="6"/>
  <c r="A329" i="6"/>
  <c r="O328" i="6"/>
  <c r="N328" i="6"/>
  <c r="L328" i="6"/>
  <c r="I328" i="6"/>
  <c r="G328" i="6"/>
  <c r="F328" i="6"/>
  <c r="E328" i="6"/>
  <c r="D328" i="6"/>
  <c r="C328" i="6"/>
  <c r="B328" i="6"/>
  <c r="A328" i="6"/>
  <c r="O327" i="6"/>
  <c r="N327" i="6"/>
  <c r="L327" i="6"/>
  <c r="I327" i="6"/>
  <c r="G327" i="6"/>
  <c r="F327" i="6"/>
  <c r="E327" i="6"/>
  <c r="D327" i="6"/>
  <c r="C327" i="6"/>
  <c r="B327" i="6"/>
  <c r="A327" i="6"/>
  <c r="O326" i="6"/>
  <c r="N326" i="6"/>
  <c r="L326" i="6"/>
  <c r="I326" i="6"/>
  <c r="G326" i="6"/>
  <c r="F326" i="6"/>
  <c r="E326" i="6"/>
  <c r="D326" i="6"/>
  <c r="C326" i="6"/>
  <c r="B326" i="6"/>
  <c r="A326" i="6"/>
  <c r="O325" i="6"/>
  <c r="N325" i="6"/>
  <c r="L325" i="6"/>
  <c r="I325" i="6"/>
  <c r="G325" i="6"/>
  <c r="F325" i="6"/>
  <c r="E325" i="6"/>
  <c r="D325" i="6"/>
  <c r="C325" i="6"/>
  <c r="B325" i="6"/>
  <c r="A325" i="6"/>
  <c r="O324" i="6"/>
  <c r="N324" i="6"/>
  <c r="L324" i="6"/>
  <c r="I324" i="6"/>
  <c r="G324" i="6"/>
  <c r="F324" i="6"/>
  <c r="E324" i="6"/>
  <c r="D324" i="6"/>
  <c r="C324" i="6"/>
  <c r="B324" i="6"/>
  <c r="A324" i="6"/>
  <c r="O323" i="6"/>
  <c r="N323" i="6"/>
  <c r="L323" i="6"/>
  <c r="I323" i="6"/>
  <c r="G323" i="6"/>
  <c r="F323" i="6"/>
  <c r="E323" i="6"/>
  <c r="D323" i="6"/>
  <c r="C323" i="6"/>
  <c r="B323" i="6"/>
  <c r="A323" i="6"/>
  <c r="O322" i="6"/>
  <c r="N322" i="6"/>
  <c r="L322" i="6"/>
  <c r="I322" i="6"/>
  <c r="G322" i="6"/>
  <c r="F322" i="6"/>
  <c r="E322" i="6"/>
  <c r="D322" i="6"/>
  <c r="C322" i="6"/>
  <c r="B322" i="6"/>
  <c r="A322" i="6"/>
  <c r="O321" i="6"/>
  <c r="N321" i="6"/>
  <c r="L321" i="6"/>
  <c r="I321" i="6"/>
  <c r="G321" i="6"/>
  <c r="F321" i="6"/>
  <c r="E321" i="6"/>
  <c r="D321" i="6"/>
  <c r="C321" i="6"/>
  <c r="B321" i="6"/>
  <c r="A321" i="6"/>
  <c r="O320" i="6"/>
  <c r="N320" i="6"/>
  <c r="L320" i="6"/>
  <c r="I320" i="6"/>
  <c r="G320" i="6"/>
  <c r="F320" i="6"/>
  <c r="E320" i="6"/>
  <c r="D320" i="6"/>
  <c r="C320" i="6"/>
  <c r="B320" i="6"/>
  <c r="A320" i="6"/>
  <c r="O319" i="6"/>
  <c r="N319" i="6"/>
  <c r="L319" i="6"/>
  <c r="I319" i="6"/>
  <c r="G319" i="6"/>
  <c r="F319" i="6"/>
  <c r="E319" i="6"/>
  <c r="D319" i="6"/>
  <c r="C319" i="6"/>
  <c r="B319" i="6"/>
  <c r="A319" i="6"/>
  <c r="O318" i="6"/>
  <c r="N318" i="6"/>
  <c r="L318" i="6"/>
  <c r="I318" i="6"/>
  <c r="G318" i="6"/>
  <c r="F318" i="6"/>
  <c r="E318" i="6"/>
  <c r="D318" i="6"/>
  <c r="C318" i="6"/>
  <c r="B318" i="6"/>
  <c r="A318" i="6"/>
  <c r="O317" i="6"/>
  <c r="N317" i="6"/>
  <c r="L317" i="6"/>
  <c r="I317" i="6"/>
  <c r="G317" i="6"/>
  <c r="F317" i="6"/>
  <c r="E317" i="6"/>
  <c r="D317" i="6"/>
  <c r="C317" i="6"/>
  <c r="B317" i="6"/>
  <c r="A317" i="6"/>
  <c r="O316" i="6"/>
  <c r="N316" i="6"/>
  <c r="L316" i="6"/>
  <c r="I316" i="6"/>
  <c r="G316" i="6"/>
  <c r="F316" i="6"/>
  <c r="E316" i="6"/>
  <c r="D316" i="6"/>
  <c r="C316" i="6"/>
  <c r="B316" i="6"/>
  <c r="A316" i="6"/>
  <c r="O315" i="6"/>
  <c r="N315" i="6"/>
  <c r="L315" i="6"/>
  <c r="I315" i="6"/>
  <c r="G315" i="6"/>
  <c r="F315" i="6"/>
  <c r="E315" i="6"/>
  <c r="D315" i="6"/>
  <c r="C315" i="6"/>
  <c r="B315" i="6"/>
  <c r="A315" i="6"/>
  <c r="O314" i="6"/>
  <c r="N314" i="6"/>
  <c r="L314" i="6"/>
  <c r="I314" i="6"/>
  <c r="G314" i="6"/>
  <c r="F314" i="6"/>
  <c r="E314" i="6"/>
  <c r="D314" i="6"/>
  <c r="C314" i="6"/>
  <c r="B314" i="6"/>
  <c r="A314" i="6"/>
  <c r="O313" i="6"/>
  <c r="N313" i="6"/>
  <c r="L313" i="6"/>
  <c r="I313" i="6"/>
  <c r="G313" i="6"/>
  <c r="F313" i="6"/>
  <c r="E313" i="6"/>
  <c r="D313" i="6"/>
  <c r="C313" i="6"/>
  <c r="B313" i="6"/>
  <c r="A313" i="6"/>
  <c r="O312" i="6"/>
  <c r="N312" i="6"/>
  <c r="L312" i="6"/>
  <c r="I312" i="6"/>
  <c r="G312" i="6"/>
  <c r="F312" i="6"/>
  <c r="E312" i="6"/>
  <c r="D312" i="6"/>
  <c r="C312" i="6"/>
  <c r="B312" i="6"/>
  <c r="A312" i="6"/>
  <c r="O311" i="6"/>
  <c r="N311" i="6"/>
  <c r="L311" i="6"/>
  <c r="I311" i="6"/>
  <c r="G311" i="6"/>
  <c r="F311" i="6"/>
  <c r="E311" i="6"/>
  <c r="D311" i="6"/>
  <c r="C311" i="6"/>
  <c r="B311" i="6"/>
  <c r="A311" i="6"/>
  <c r="O310" i="6"/>
  <c r="N310" i="6"/>
  <c r="L310" i="6"/>
  <c r="I310" i="6"/>
  <c r="G310" i="6"/>
  <c r="F310" i="6"/>
  <c r="E310" i="6"/>
  <c r="D310" i="6"/>
  <c r="C310" i="6"/>
  <c r="B310" i="6"/>
  <c r="A310" i="6"/>
  <c r="O309" i="6"/>
  <c r="N309" i="6"/>
  <c r="L309" i="6"/>
  <c r="I309" i="6"/>
  <c r="G309" i="6"/>
  <c r="F309" i="6"/>
  <c r="E309" i="6"/>
  <c r="D309" i="6"/>
  <c r="C309" i="6"/>
  <c r="B309" i="6"/>
  <c r="A309" i="6"/>
  <c r="O308" i="6"/>
  <c r="N308" i="6"/>
  <c r="L308" i="6"/>
  <c r="I308" i="6"/>
  <c r="G308" i="6"/>
  <c r="F308" i="6"/>
  <c r="E308" i="6"/>
  <c r="D308" i="6"/>
  <c r="C308" i="6"/>
  <c r="B308" i="6"/>
  <c r="A308" i="6"/>
  <c r="O307" i="6"/>
  <c r="N307" i="6"/>
  <c r="L307" i="6"/>
  <c r="I307" i="6"/>
  <c r="G307" i="6"/>
  <c r="F307" i="6"/>
  <c r="E307" i="6"/>
  <c r="D307" i="6"/>
  <c r="C307" i="6"/>
  <c r="B307" i="6"/>
  <c r="A307" i="6"/>
  <c r="O306" i="6"/>
  <c r="N306" i="6"/>
  <c r="L306" i="6"/>
  <c r="I306" i="6"/>
  <c r="G306" i="6"/>
  <c r="F306" i="6"/>
  <c r="E306" i="6"/>
  <c r="D306" i="6"/>
  <c r="C306" i="6"/>
  <c r="B306" i="6"/>
  <c r="A306" i="6"/>
  <c r="O305" i="6"/>
  <c r="N305" i="6"/>
  <c r="L305" i="6"/>
  <c r="I305" i="6"/>
  <c r="G305" i="6"/>
  <c r="F305" i="6"/>
  <c r="E305" i="6"/>
  <c r="D305" i="6"/>
  <c r="C305" i="6"/>
  <c r="B305" i="6"/>
  <c r="A305" i="6"/>
  <c r="O304" i="6"/>
  <c r="N304" i="6"/>
  <c r="L304" i="6"/>
  <c r="I304" i="6"/>
  <c r="G304" i="6"/>
  <c r="F304" i="6"/>
  <c r="E304" i="6"/>
  <c r="D304" i="6"/>
  <c r="C304" i="6"/>
  <c r="B304" i="6"/>
  <c r="A304" i="6"/>
  <c r="O303" i="6"/>
  <c r="N303" i="6"/>
  <c r="L303" i="6"/>
  <c r="I303" i="6"/>
  <c r="G303" i="6"/>
  <c r="F303" i="6"/>
  <c r="E303" i="6"/>
  <c r="D303" i="6"/>
  <c r="C303" i="6"/>
  <c r="B303" i="6"/>
  <c r="A303" i="6"/>
  <c r="O302" i="6"/>
  <c r="N302" i="6"/>
  <c r="L302" i="6"/>
  <c r="I302" i="6"/>
  <c r="G302" i="6"/>
  <c r="F302" i="6"/>
  <c r="E302" i="6"/>
  <c r="D302" i="6"/>
  <c r="C302" i="6"/>
  <c r="B302" i="6"/>
  <c r="A302" i="6"/>
  <c r="O301" i="6"/>
  <c r="N301" i="6"/>
  <c r="L301" i="6"/>
  <c r="I301" i="6"/>
  <c r="G301" i="6"/>
  <c r="F301" i="6"/>
  <c r="E301" i="6"/>
  <c r="D301" i="6"/>
  <c r="C301" i="6"/>
  <c r="B301" i="6"/>
  <c r="A301" i="6"/>
  <c r="O300" i="6"/>
  <c r="N300" i="6"/>
  <c r="L300" i="6"/>
  <c r="I300" i="6"/>
  <c r="G300" i="6"/>
  <c r="F300" i="6"/>
  <c r="E300" i="6"/>
  <c r="D300" i="6"/>
  <c r="C300" i="6"/>
  <c r="B300" i="6"/>
  <c r="A300" i="6"/>
  <c r="O299" i="6"/>
  <c r="N299" i="6"/>
  <c r="L299" i="6"/>
  <c r="I299" i="6"/>
  <c r="G299" i="6"/>
  <c r="F299" i="6"/>
  <c r="E299" i="6"/>
  <c r="D299" i="6"/>
  <c r="C299" i="6"/>
  <c r="B299" i="6"/>
  <c r="A299" i="6"/>
  <c r="O298" i="6"/>
  <c r="N298" i="6"/>
  <c r="L298" i="6"/>
  <c r="I298" i="6"/>
  <c r="G298" i="6"/>
  <c r="F298" i="6"/>
  <c r="E298" i="6"/>
  <c r="D298" i="6"/>
  <c r="C298" i="6"/>
  <c r="B298" i="6"/>
  <c r="A298" i="6"/>
  <c r="O297" i="6"/>
  <c r="N297" i="6"/>
  <c r="L297" i="6"/>
  <c r="I297" i="6"/>
  <c r="G297" i="6"/>
  <c r="F297" i="6"/>
  <c r="E297" i="6"/>
  <c r="D297" i="6"/>
  <c r="C297" i="6"/>
  <c r="B297" i="6"/>
  <c r="A297" i="6"/>
  <c r="O296" i="6"/>
  <c r="N296" i="6"/>
  <c r="L296" i="6"/>
  <c r="I296" i="6"/>
  <c r="G296" i="6"/>
  <c r="F296" i="6"/>
  <c r="E296" i="6"/>
  <c r="D296" i="6"/>
  <c r="C296" i="6"/>
  <c r="B296" i="6"/>
  <c r="A296" i="6"/>
  <c r="O295" i="6"/>
  <c r="N295" i="6"/>
  <c r="L295" i="6"/>
  <c r="I295" i="6"/>
  <c r="G295" i="6"/>
  <c r="F295" i="6"/>
  <c r="E295" i="6"/>
  <c r="D295" i="6"/>
  <c r="C295" i="6"/>
  <c r="B295" i="6"/>
  <c r="A295" i="6"/>
  <c r="O294" i="6"/>
  <c r="N294" i="6"/>
  <c r="L294" i="6"/>
  <c r="I294" i="6"/>
  <c r="G294" i="6"/>
  <c r="F294" i="6"/>
  <c r="E294" i="6"/>
  <c r="D294" i="6"/>
  <c r="C294" i="6"/>
  <c r="B294" i="6"/>
  <c r="A294" i="6"/>
  <c r="O293" i="6"/>
  <c r="N293" i="6"/>
  <c r="L293" i="6"/>
  <c r="I293" i="6"/>
  <c r="G293" i="6"/>
  <c r="F293" i="6"/>
  <c r="E293" i="6"/>
  <c r="D293" i="6"/>
  <c r="C293" i="6"/>
  <c r="B293" i="6"/>
  <c r="A293" i="6"/>
  <c r="O292" i="6"/>
  <c r="N292" i="6"/>
  <c r="L292" i="6"/>
  <c r="I292" i="6"/>
  <c r="G292" i="6"/>
  <c r="F292" i="6"/>
  <c r="E292" i="6"/>
  <c r="D292" i="6"/>
  <c r="C292" i="6"/>
  <c r="B292" i="6"/>
  <c r="A292" i="6"/>
  <c r="O291" i="6"/>
  <c r="N291" i="6"/>
  <c r="L291" i="6"/>
  <c r="I291" i="6"/>
  <c r="G291" i="6"/>
  <c r="F291" i="6"/>
  <c r="E291" i="6"/>
  <c r="D291" i="6"/>
  <c r="C291" i="6"/>
  <c r="B291" i="6"/>
  <c r="A291" i="6"/>
  <c r="O290" i="6"/>
  <c r="N290" i="6"/>
  <c r="L290" i="6"/>
  <c r="I290" i="6"/>
  <c r="G290" i="6"/>
  <c r="F290" i="6"/>
  <c r="E290" i="6"/>
  <c r="D290" i="6"/>
  <c r="C290" i="6"/>
  <c r="B290" i="6"/>
  <c r="A290" i="6"/>
  <c r="O289" i="6"/>
  <c r="N289" i="6"/>
  <c r="L289" i="6"/>
  <c r="I289" i="6"/>
  <c r="G289" i="6"/>
  <c r="F289" i="6"/>
  <c r="E289" i="6"/>
  <c r="D289" i="6"/>
  <c r="C289" i="6"/>
  <c r="B289" i="6"/>
  <c r="A289" i="6"/>
  <c r="O288" i="6"/>
  <c r="N288" i="6"/>
  <c r="L288" i="6"/>
  <c r="I288" i="6"/>
  <c r="G288" i="6"/>
  <c r="F288" i="6"/>
  <c r="E288" i="6"/>
  <c r="D288" i="6"/>
  <c r="C288" i="6"/>
  <c r="B288" i="6"/>
  <c r="A288" i="6"/>
  <c r="O287" i="6"/>
  <c r="N287" i="6"/>
  <c r="L287" i="6"/>
  <c r="I287" i="6"/>
  <c r="G287" i="6"/>
  <c r="F287" i="6"/>
  <c r="E287" i="6"/>
  <c r="D287" i="6"/>
  <c r="C287" i="6"/>
  <c r="B287" i="6"/>
  <c r="A287" i="6"/>
  <c r="O286" i="6"/>
  <c r="N286" i="6"/>
  <c r="L286" i="6"/>
  <c r="I286" i="6"/>
  <c r="G286" i="6"/>
  <c r="F286" i="6"/>
  <c r="E286" i="6"/>
  <c r="D286" i="6"/>
  <c r="C286" i="6"/>
  <c r="B286" i="6"/>
  <c r="A286" i="6"/>
  <c r="O285" i="6"/>
  <c r="N285" i="6"/>
  <c r="L285" i="6"/>
  <c r="I285" i="6"/>
  <c r="G285" i="6"/>
  <c r="F285" i="6"/>
  <c r="E285" i="6"/>
  <c r="D285" i="6"/>
  <c r="C285" i="6"/>
  <c r="B285" i="6"/>
  <c r="A285" i="6"/>
  <c r="O284" i="6"/>
  <c r="N284" i="6"/>
  <c r="L284" i="6"/>
  <c r="I284" i="6"/>
  <c r="G284" i="6"/>
  <c r="F284" i="6"/>
  <c r="E284" i="6"/>
  <c r="D284" i="6"/>
  <c r="C284" i="6"/>
  <c r="B284" i="6"/>
  <c r="A284" i="6"/>
  <c r="O283" i="6"/>
  <c r="N283" i="6"/>
  <c r="L283" i="6"/>
  <c r="I283" i="6"/>
  <c r="G283" i="6"/>
  <c r="F283" i="6"/>
  <c r="E283" i="6"/>
  <c r="D283" i="6"/>
  <c r="C283" i="6"/>
  <c r="B283" i="6"/>
  <c r="A283" i="6"/>
  <c r="O282" i="6"/>
  <c r="N282" i="6"/>
  <c r="L282" i="6"/>
  <c r="I282" i="6"/>
  <c r="G282" i="6"/>
  <c r="F282" i="6"/>
  <c r="E282" i="6"/>
  <c r="D282" i="6"/>
  <c r="C282" i="6"/>
  <c r="B282" i="6"/>
  <c r="A282" i="6"/>
  <c r="O281" i="6"/>
  <c r="N281" i="6"/>
  <c r="L281" i="6"/>
  <c r="I281" i="6"/>
  <c r="G281" i="6"/>
  <c r="F281" i="6"/>
  <c r="E281" i="6"/>
  <c r="D281" i="6"/>
  <c r="C281" i="6"/>
  <c r="B281" i="6"/>
  <c r="A281" i="6"/>
  <c r="O280" i="6"/>
  <c r="N280" i="6"/>
  <c r="L280" i="6"/>
  <c r="I280" i="6"/>
  <c r="G280" i="6"/>
  <c r="F280" i="6"/>
  <c r="E280" i="6"/>
  <c r="D280" i="6"/>
  <c r="C280" i="6"/>
  <c r="B280" i="6"/>
  <c r="A280" i="6"/>
  <c r="O279" i="6"/>
  <c r="N279" i="6"/>
  <c r="L279" i="6"/>
  <c r="I279" i="6"/>
  <c r="G279" i="6"/>
  <c r="F279" i="6"/>
  <c r="E279" i="6"/>
  <c r="D279" i="6"/>
  <c r="C279" i="6"/>
  <c r="B279" i="6"/>
  <c r="A279" i="6"/>
  <c r="O278" i="6"/>
  <c r="N278" i="6"/>
  <c r="L278" i="6"/>
  <c r="I278" i="6"/>
  <c r="G278" i="6"/>
  <c r="F278" i="6"/>
  <c r="E278" i="6"/>
  <c r="D278" i="6"/>
  <c r="C278" i="6"/>
  <c r="B278" i="6"/>
  <c r="A278" i="6"/>
  <c r="O277" i="6"/>
  <c r="N277" i="6"/>
  <c r="L277" i="6"/>
  <c r="I277" i="6"/>
  <c r="G277" i="6"/>
  <c r="F277" i="6"/>
  <c r="E277" i="6"/>
  <c r="D277" i="6"/>
  <c r="C277" i="6"/>
  <c r="B277" i="6"/>
  <c r="A277" i="6"/>
  <c r="O276" i="6"/>
  <c r="N276" i="6"/>
  <c r="L276" i="6"/>
  <c r="I276" i="6"/>
  <c r="G276" i="6"/>
  <c r="F276" i="6"/>
  <c r="E276" i="6"/>
  <c r="D276" i="6"/>
  <c r="C276" i="6"/>
  <c r="B276" i="6"/>
  <c r="A276" i="6"/>
  <c r="O275" i="6"/>
  <c r="N275" i="6"/>
  <c r="L275" i="6"/>
  <c r="I275" i="6"/>
  <c r="G275" i="6"/>
  <c r="F275" i="6"/>
  <c r="E275" i="6"/>
  <c r="D275" i="6"/>
  <c r="C275" i="6"/>
  <c r="B275" i="6"/>
  <c r="A275" i="6"/>
  <c r="O274" i="6"/>
  <c r="N274" i="6"/>
  <c r="L274" i="6"/>
  <c r="I274" i="6"/>
  <c r="G274" i="6"/>
  <c r="F274" i="6"/>
  <c r="E274" i="6"/>
  <c r="D274" i="6"/>
  <c r="C274" i="6"/>
  <c r="B274" i="6"/>
  <c r="A274" i="6"/>
  <c r="O273" i="6"/>
  <c r="N273" i="6"/>
  <c r="L273" i="6"/>
  <c r="I273" i="6"/>
  <c r="G273" i="6"/>
  <c r="F273" i="6"/>
  <c r="E273" i="6"/>
  <c r="D273" i="6"/>
  <c r="C273" i="6"/>
  <c r="B273" i="6"/>
  <c r="A273" i="6"/>
  <c r="O272" i="6"/>
  <c r="N272" i="6"/>
  <c r="L272" i="6"/>
  <c r="I272" i="6"/>
  <c r="G272" i="6"/>
  <c r="F272" i="6"/>
  <c r="E272" i="6"/>
  <c r="D272" i="6"/>
  <c r="C272" i="6"/>
  <c r="B272" i="6"/>
  <c r="A272" i="6"/>
  <c r="O271" i="6"/>
  <c r="N271" i="6"/>
  <c r="L271" i="6"/>
  <c r="I271" i="6"/>
  <c r="G271" i="6"/>
  <c r="F271" i="6"/>
  <c r="E271" i="6"/>
  <c r="D271" i="6"/>
  <c r="C271" i="6"/>
  <c r="B271" i="6"/>
  <c r="A271" i="6"/>
  <c r="O270" i="6"/>
  <c r="N270" i="6"/>
  <c r="L270" i="6"/>
  <c r="I270" i="6"/>
  <c r="G270" i="6"/>
  <c r="F270" i="6"/>
  <c r="E270" i="6"/>
  <c r="D270" i="6"/>
  <c r="C270" i="6"/>
  <c r="B270" i="6"/>
  <c r="A270" i="6"/>
  <c r="O269" i="6"/>
  <c r="N269" i="6"/>
  <c r="L269" i="6"/>
  <c r="I269" i="6"/>
  <c r="G269" i="6"/>
  <c r="F269" i="6"/>
  <c r="E269" i="6"/>
  <c r="D269" i="6"/>
  <c r="C269" i="6"/>
  <c r="B269" i="6"/>
  <c r="A269" i="6"/>
  <c r="O268" i="6"/>
  <c r="N268" i="6"/>
  <c r="L268" i="6"/>
  <c r="I268" i="6"/>
  <c r="G268" i="6"/>
  <c r="F268" i="6"/>
  <c r="E268" i="6"/>
  <c r="D268" i="6"/>
  <c r="C268" i="6"/>
  <c r="B268" i="6"/>
  <c r="A268" i="6"/>
  <c r="O267" i="6"/>
  <c r="N267" i="6"/>
  <c r="L267" i="6"/>
  <c r="I267" i="6"/>
  <c r="G267" i="6"/>
  <c r="F267" i="6"/>
  <c r="E267" i="6"/>
  <c r="D267" i="6"/>
  <c r="C267" i="6"/>
  <c r="B267" i="6"/>
  <c r="A267" i="6"/>
  <c r="O266" i="6"/>
  <c r="N266" i="6"/>
  <c r="L266" i="6"/>
  <c r="I266" i="6"/>
  <c r="G266" i="6"/>
  <c r="F266" i="6"/>
  <c r="E266" i="6"/>
  <c r="D266" i="6"/>
  <c r="C266" i="6"/>
  <c r="B266" i="6"/>
  <c r="A266" i="6"/>
  <c r="O265" i="6"/>
  <c r="N265" i="6"/>
  <c r="L265" i="6"/>
  <c r="I265" i="6"/>
  <c r="G265" i="6"/>
  <c r="F265" i="6"/>
  <c r="E265" i="6"/>
  <c r="D265" i="6"/>
  <c r="C265" i="6"/>
  <c r="B265" i="6"/>
  <c r="A265" i="6"/>
  <c r="O264" i="6"/>
  <c r="N264" i="6"/>
  <c r="L264" i="6"/>
  <c r="I264" i="6"/>
  <c r="G264" i="6"/>
  <c r="F264" i="6"/>
  <c r="E264" i="6"/>
  <c r="D264" i="6"/>
  <c r="C264" i="6"/>
  <c r="B264" i="6"/>
  <c r="A264" i="6"/>
  <c r="O263" i="6"/>
  <c r="N263" i="6"/>
  <c r="L263" i="6"/>
  <c r="I263" i="6"/>
  <c r="G263" i="6"/>
  <c r="F263" i="6"/>
  <c r="E263" i="6"/>
  <c r="D263" i="6"/>
  <c r="C263" i="6"/>
  <c r="B263" i="6"/>
  <c r="A263" i="6"/>
  <c r="O262" i="6"/>
  <c r="N262" i="6"/>
  <c r="L262" i="6"/>
  <c r="I262" i="6"/>
  <c r="G262" i="6"/>
  <c r="F262" i="6"/>
  <c r="E262" i="6"/>
  <c r="D262" i="6"/>
  <c r="C262" i="6"/>
  <c r="B262" i="6"/>
  <c r="A262" i="6"/>
  <c r="O261" i="6"/>
  <c r="N261" i="6"/>
  <c r="L261" i="6"/>
  <c r="I261" i="6"/>
  <c r="G261" i="6"/>
  <c r="F261" i="6"/>
  <c r="E261" i="6"/>
  <c r="D261" i="6"/>
  <c r="C261" i="6"/>
  <c r="B261" i="6"/>
  <c r="A261" i="6"/>
  <c r="O260" i="6"/>
  <c r="N260" i="6"/>
  <c r="L260" i="6"/>
  <c r="I260" i="6"/>
  <c r="G260" i="6"/>
  <c r="F260" i="6"/>
  <c r="E260" i="6"/>
  <c r="D260" i="6"/>
  <c r="C260" i="6"/>
  <c r="B260" i="6"/>
  <c r="A260" i="6"/>
  <c r="O259" i="6"/>
  <c r="N259" i="6"/>
  <c r="L259" i="6"/>
  <c r="I259" i="6"/>
  <c r="G259" i="6"/>
  <c r="F259" i="6"/>
  <c r="E259" i="6"/>
  <c r="D259" i="6"/>
  <c r="C259" i="6"/>
  <c r="B259" i="6"/>
  <c r="A259" i="6"/>
  <c r="O258" i="6"/>
  <c r="N258" i="6"/>
  <c r="L258" i="6"/>
  <c r="I258" i="6"/>
  <c r="G258" i="6"/>
  <c r="F258" i="6"/>
  <c r="E258" i="6"/>
  <c r="D258" i="6"/>
  <c r="C258" i="6"/>
  <c r="B258" i="6"/>
  <c r="A258" i="6"/>
  <c r="O257" i="6"/>
  <c r="N257" i="6"/>
  <c r="L257" i="6"/>
  <c r="I257" i="6"/>
  <c r="G257" i="6"/>
  <c r="F257" i="6"/>
  <c r="E257" i="6"/>
  <c r="D257" i="6"/>
  <c r="C257" i="6"/>
  <c r="B257" i="6"/>
  <c r="A257" i="6"/>
  <c r="O256" i="6"/>
  <c r="N256" i="6"/>
  <c r="L256" i="6"/>
  <c r="I256" i="6"/>
  <c r="G256" i="6"/>
  <c r="F256" i="6"/>
  <c r="E256" i="6"/>
  <c r="D256" i="6"/>
  <c r="C256" i="6"/>
  <c r="B256" i="6"/>
  <c r="A256" i="6"/>
  <c r="O255" i="6"/>
  <c r="N255" i="6"/>
  <c r="L255" i="6"/>
  <c r="I255" i="6"/>
  <c r="G255" i="6"/>
  <c r="F255" i="6"/>
  <c r="E255" i="6"/>
  <c r="D255" i="6"/>
  <c r="C255" i="6"/>
  <c r="B255" i="6"/>
  <c r="A255" i="6"/>
  <c r="O254" i="6"/>
  <c r="N254" i="6"/>
  <c r="L254" i="6"/>
  <c r="I254" i="6"/>
  <c r="G254" i="6"/>
  <c r="F254" i="6"/>
  <c r="E254" i="6"/>
  <c r="D254" i="6"/>
  <c r="C254" i="6"/>
  <c r="B254" i="6"/>
  <c r="A254" i="6"/>
  <c r="O253" i="6"/>
  <c r="N253" i="6"/>
  <c r="L253" i="6"/>
  <c r="I253" i="6"/>
  <c r="G253" i="6"/>
  <c r="F253" i="6"/>
  <c r="E253" i="6"/>
  <c r="D253" i="6"/>
  <c r="C253" i="6"/>
  <c r="B253" i="6"/>
  <c r="A253" i="6"/>
  <c r="O252" i="6"/>
  <c r="N252" i="6"/>
  <c r="L252" i="6"/>
  <c r="I252" i="6"/>
  <c r="G252" i="6"/>
  <c r="F252" i="6"/>
  <c r="E252" i="6"/>
  <c r="D252" i="6"/>
  <c r="C252" i="6"/>
  <c r="B252" i="6"/>
  <c r="A252" i="6"/>
  <c r="O251" i="6"/>
  <c r="N251" i="6"/>
  <c r="L251" i="6"/>
  <c r="I251" i="6"/>
  <c r="G251" i="6"/>
  <c r="F251" i="6"/>
  <c r="E251" i="6"/>
  <c r="D251" i="6"/>
  <c r="C251" i="6"/>
  <c r="B251" i="6"/>
  <c r="A251" i="6"/>
  <c r="O250" i="6"/>
  <c r="N250" i="6"/>
  <c r="L250" i="6"/>
  <c r="I250" i="6"/>
  <c r="G250" i="6"/>
  <c r="F250" i="6"/>
  <c r="E250" i="6"/>
  <c r="D250" i="6"/>
  <c r="C250" i="6"/>
  <c r="B250" i="6"/>
  <c r="A250" i="6"/>
  <c r="O249" i="6"/>
  <c r="N249" i="6"/>
  <c r="L249" i="6"/>
  <c r="I249" i="6"/>
  <c r="G249" i="6"/>
  <c r="F249" i="6"/>
  <c r="E249" i="6"/>
  <c r="D249" i="6"/>
  <c r="C249" i="6"/>
  <c r="B249" i="6"/>
  <c r="A249" i="6"/>
  <c r="O248" i="6"/>
  <c r="N248" i="6"/>
  <c r="L248" i="6"/>
  <c r="I248" i="6"/>
  <c r="G248" i="6"/>
  <c r="F248" i="6"/>
  <c r="E248" i="6"/>
  <c r="D248" i="6"/>
  <c r="C248" i="6"/>
  <c r="B248" i="6"/>
  <c r="A248" i="6"/>
  <c r="O247" i="6"/>
  <c r="N247" i="6"/>
  <c r="L247" i="6"/>
  <c r="I247" i="6"/>
  <c r="G247" i="6"/>
  <c r="F247" i="6"/>
  <c r="E247" i="6"/>
  <c r="D247" i="6"/>
  <c r="C247" i="6"/>
  <c r="B247" i="6"/>
  <c r="A247" i="6"/>
  <c r="O246" i="6"/>
  <c r="N246" i="6"/>
  <c r="L246" i="6"/>
  <c r="I246" i="6"/>
  <c r="G246" i="6"/>
  <c r="F246" i="6"/>
  <c r="E246" i="6"/>
  <c r="D246" i="6"/>
  <c r="C246" i="6"/>
  <c r="B246" i="6"/>
  <c r="A246" i="6"/>
  <c r="O245" i="6"/>
  <c r="N245" i="6"/>
  <c r="L245" i="6"/>
  <c r="I245" i="6"/>
  <c r="G245" i="6"/>
  <c r="F245" i="6"/>
  <c r="E245" i="6"/>
  <c r="D245" i="6"/>
  <c r="C245" i="6"/>
  <c r="B245" i="6"/>
  <c r="A245" i="6"/>
  <c r="O244" i="6"/>
  <c r="N244" i="6"/>
  <c r="L244" i="6"/>
  <c r="I244" i="6"/>
  <c r="G244" i="6"/>
  <c r="F244" i="6"/>
  <c r="E244" i="6"/>
  <c r="D244" i="6"/>
  <c r="C244" i="6"/>
  <c r="B244" i="6"/>
  <c r="A244" i="6"/>
  <c r="O243" i="6"/>
  <c r="N243" i="6"/>
  <c r="L243" i="6"/>
  <c r="I243" i="6"/>
  <c r="G243" i="6"/>
  <c r="F243" i="6"/>
  <c r="E243" i="6"/>
  <c r="D243" i="6"/>
  <c r="C243" i="6"/>
  <c r="B243" i="6"/>
  <c r="A243" i="6"/>
  <c r="O242" i="6"/>
  <c r="N242" i="6"/>
  <c r="L242" i="6"/>
  <c r="I242" i="6"/>
  <c r="G242" i="6"/>
  <c r="F242" i="6"/>
  <c r="E242" i="6"/>
  <c r="D242" i="6"/>
  <c r="C242" i="6"/>
  <c r="B242" i="6"/>
  <c r="A242" i="6"/>
  <c r="O241" i="6"/>
  <c r="N241" i="6"/>
  <c r="L241" i="6"/>
  <c r="I241" i="6"/>
  <c r="G241" i="6"/>
  <c r="F241" i="6"/>
  <c r="E241" i="6"/>
  <c r="D241" i="6"/>
  <c r="C241" i="6"/>
  <c r="B241" i="6"/>
  <c r="A241" i="6"/>
  <c r="O240" i="6"/>
  <c r="N240" i="6"/>
  <c r="L240" i="6"/>
  <c r="I240" i="6"/>
  <c r="G240" i="6"/>
  <c r="F240" i="6"/>
  <c r="E240" i="6"/>
  <c r="D240" i="6"/>
  <c r="C240" i="6"/>
  <c r="B240" i="6"/>
  <c r="A240" i="6"/>
  <c r="O239" i="6"/>
  <c r="N239" i="6"/>
  <c r="L239" i="6"/>
  <c r="I239" i="6"/>
  <c r="G239" i="6"/>
  <c r="F239" i="6"/>
  <c r="E239" i="6"/>
  <c r="D239" i="6"/>
  <c r="C239" i="6"/>
  <c r="B239" i="6"/>
  <c r="A239" i="6"/>
  <c r="O238" i="6"/>
  <c r="N238" i="6"/>
  <c r="L238" i="6"/>
  <c r="I238" i="6"/>
  <c r="G238" i="6"/>
  <c r="F238" i="6"/>
  <c r="E238" i="6"/>
  <c r="D238" i="6"/>
  <c r="C238" i="6"/>
  <c r="B238" i="6"/>
  <c r="A238" i="6"/>
  <c r="O237" i="6"/>
  <c r="N237" i="6"/>
  <c r="L237" i="6"/>
  <c r="I237" i="6"/>
  <c r="G237" i="6"/>
  <c r="F237" i="6"/>
  <c r="E237" i="6"/>
  <c r="D237" i="6"/>
  <c r="C237" i="6"/>
  <c r="B237" i="6"/>
  <c r="A237" i="6"/>
  <c r="O236" i="6"/>
  <c r="N236" i="6"/>
  <c r="L236" i="6"/>
  <c r="I236" i="6"/>
  <c r="G236" i="6"/>
  <c r="F236" i="6"/>
  <c r="E236" i="6"/>
  <c r="D236" i="6"/>
  <c r="C236" i="6"/>
  <c r="B236" i="6"/>
  <c r="A236" i="6"/>
  <c r="O235" i="6"/>
  <c r="N235" i="6"/>
  <c r="L235" i="6"/>
  <c r="I235" i="6"/>
  <c r="G235" i="6"/>
  <c r="F235" i="6"/>
  <c r="E235" i="6"/>
  <c r="D235" i="6"/>
  <c r="C235" i="6"/>
  <c r="B235" i="6"/>
  <c r="A235" i="6"/>
  <c r="O234" i="6"/>
  <c r="N234" i="6"/>
  <c r="L234" i="6"/>
  <c r="I234" i="6"/>
  <c r="G234" i="6"/>
  <c r="F234" i="6"/>
  <c r="E234" i="6"/>
  <c r="D234" i="6"/>
  <c r="C234" i="6"/>
  <c r="B234" i="6"/>
  <c r="A234" i="6"/>
  <c r="O233" i="6"/>
  <c r="N233" i="6"/>
  <c r="L233" i="6"/>
  <c r="I233" i="6"/>
  <c r="G233" i="6"/>
  <c r="F233" i="6"/>
  <c r="E233" i="6"/>
  <c r="D233" i="6"/>
  <c r="C233" i="6"/>
  <c r="B233" i="6"/>
  <c r="A233" i="6"/>
  <c r="O232" i="6"/>
  <c r="N232" i="6"/>
  <c r="L232" i="6"/>
  <c r="I232" i="6"/>
  <c r="G232" i="6"/>
  <c r="F232" i="6"/>
  <c r="E232" i="6"/>
  <c r="D232" i="6"/>
  <c r="C232" i="6"/>
  <c r="B232" i="6"/>
  <c r="A232" i="6"/>
  <c r="O231" i="6"/>
  <c r="N231" i="6"/>
  <c r="L231" i="6"/>
  <c r="I231" i="6"/>
  <c r="G231" i="6"/>
  <c r="F231" i="6"/>
  <c r="E231" i="6"/>
  <c r="D231" i="6"/>
  <c r="C231" i="6"/>
  <c r="B231" i="6"/>
  <c r="A231" i="6"/>
  <c r="O230" i="6"/>
  <c r="N230" i="6"/>
  <c r="L230" i="6"/>
  <c r="I230" i="6"/>
  <c r="G230" i="6"/>
  <c r="F230" i="6"/>
  <c r="E230" i="6"/>
  <c r="D230" i="6"/>
  <c r="C230" i="6"/>
  <c r="B230" i="6"/>
  <c r="A230" i="6"/>
  <c r="O229" i="6"/>
  <c r="N229" i="6"/>
  <c r="L229" i="6"/>
  <c r="I229" i="6"/>
  <c r="G229" i="6"/>
  <c r="F229" i="6"/>
  <c r="E229" i="6"/>
  <c r="D229" i="6"/>
  <c r="C229" i="6"/>
  <c r="B229" i="6"/>
  <c r="A229" i="6"/>
  <c r="O228" i="6"/>
  <c r="N228" i="6"/>
  <c r="L228" i="6"/>
  <c r="I228" i="6"/>
  <c r="G228" i="6"/>
  <c r="F228" i="6"/>
  <c r="E228" i="6"/>
  <c r="D228" i="6"/>
  <c r="C228" i="6"/>
  <c r="B228" i="6"/>
  <c r="A228" i="6"/>
  <c r="O227" i="6"/>
  <c r="N227" i="6"/>
  <c r="L227" i="6"/>
  <c r="I227" i="6"/>
  <c r="G227" i="6"/>
  <c r="F227" i="6"/>
  <c r="E227" i="6"/>
  <c r="D227" i="6"/>
  <c r="C227" i="6"/>
  <c r="B227" i="6"/>
  <c r="A227" i="6"/>
  <c r="O226" i="6"/>
  <c r="N226" i="6"/>
  <c r="L226" i="6"/>
  <c r="I226" i="6"/>
  <c r="G226" i="6"/>
  <c r="F226" i="6"/>
  <c r="E226" i="6"/>
  <c r="D226" i="6"/>
  <c r="C226" i="6"/>
  <c r="B226" i="6"/>
  <c r="A226" i="6"/>
  <c r="O225" i="6"/>
  <c r="N225" i="6"/>
  <c r="L225" i="6"/>
  <c r="I225" i="6"/>
  <c r="G225" i="6"/>
  <c r="F225" i="6"/>
  <c r="E225" i="6"/>
  <c r="D225" i="6"/>
  <c r="C225" i="6"/>
  <c r="B225" i="6"/>
  <c r="A225" i="6"/>
  <c r="O224" i="6"/>
  <c r="N224" i="6"/>
  <c r="L224" i="6"/>
  <c r="I224" i="6"/>
  <c r="G224" i="6"/>
  <c r="F224" i="6"/>
  <c r="E224" i="6"/>
  <c r="D224" i="6"/>
  <c r="C224" i="6"/>
  <c r="B224" i="6"/>
  <c r="A224" i="6"/>
  <c r="O223" i="6"/>
  <c r="N223" i="6"/>
  <c r="L223" i="6"/>
  <c r="I223" i="6"/>
  <c r="G223" i="6"/>
  <c r="F223" i="6"/>
  <c r="E223" i="6"/>
  <c r="D223" i="6"/>
  <c r="C223" i="6"/>
  <c r="B223" i="6"/>
  <c r="A223" i="6"/>
  <c r="O222" i="6"/>
  <c r="N222" i="6"/>
  <c r="L222" i="6"/>
  <c r="I222" i="6"/>
  <c r="G222" i="6"/>
  <c r="F222" i="6"/>
  <c r="E222" i="6"/>
  <c r="D222" i="6"/>
  <c r="C222" i="6"/>
  <c r="B222" i="6"/>
  <c r="A222" i="6"/>
  <c r="O221" i="6"/>
  <c r="N221" i="6"/>
  <c r="L221" i="6"/>
  <c r="I221" i="6"/>
  <c r="G221" i="6"/>
  <c r="F221" i="6"/>
  <c r="E221" i="6"/>
  <c r="D221" i="6"/>
  <c r="C221" i="6"/>
  <c r="B221" i="6"/>
  <c r="A221" i="6"/>
  <c r="O220" i="6"/>
  <c r="N220" i="6"/>
  <c r="L220" i="6"/>
  <c r="I220" i="6"/>
  <c r="G220" i="6"/>
  <c r="F220" i="6"/>
  <c r="E220" i="6"/>
  <c r="D220" i="6"/>
  <c r="C220" i="6"/>
  <c r="B220" i="6"/>
  <c r="A220" i="6"/>
  <c r="O219" i="6"/>
  <c r="N219" i="6"/>
  <c r="L219" i="6"/>
  <c r="I219" i="6"/>
  <c r="G219" i="6"/>
  <c r="F219" i="6"/>
  <c r="E219" i="6"/>
  <c r="D219" i="6"/>
  <c r="C219" i="6"/>
  <c r="B219" i="6"/>
  <c r="A219" i="6"/>
  <c r="O218" i="6"/>
  <c r="N218" i="6"/>
  <c r="L218" i="6"/>
  <c r="I218" i="6"/>
  <c r="G218" i="6"/>
  <c r="F218" i="6"/>
  <c r="E218" i="6"/>
  <c r="D218" i="6"/>
  <c r="C218" i="6"/>
  <c r="B218" i="6"/>
  <c r="A218" i="6"/>
  <c r="O217" i="6"/>
  <c r="N217" i="6"/>
  <c r="L217" i="6"/>
  <c r="I217" i="6"/>
  <c r="G217" i="6"/>
  <c r="F217" i="6"/>
  <c r="E217" i="6"/>
  <c r="D217" i="6"/>
  <c r="C217" i="6"/>
  <c r="B217" i="6"/>
  <c r="A217" i="6"/>
  <c r="O216" i="6"/>
  <c r="N216" i="6"/>
  <c r="L216" i="6"/>
  <c r="I216" i="6"/>
  <c r="G216" i="6"/>
  <c r="F216" i="6"/>
  <c r="E216" i="6"/>
  <c r="D216" i="6"/>
  <c r="C216" i="6"/>
  <c r="B216" i="6"/>
  <c r="A216" i="6"/>
  <c r="O215" i="6"/>
  <c r="N215" i="6"/>
  <c r="L215" i="6"/>
  <c r="I215" i="6"/>
  <c r="G215" i="6"/>
  <c r="F215" i="6"/>
  <c r="E215" i="6"/>
  <c r="D215" i="6"/>
  <c r="C215" i="6"/>
  <c r="B215" i="6"/>
  <c r="A215" i="6"/>
  <c r="O214" i="6"/>
  <c r="N214" i="6"/>
  <c r="L214" i="6"/>
  <c r="I214" i="6"/>
  <c r="G214" i="6"/>
  <c r="F214" i="6"/>
  <c r="E214" i="6"/>
  <c r="D214" i="6"/>
  <c r="C214" i="6"/>
  <c r="B214" i="6"/>
  <c r="A214" i="6"/>
  <c r="O213" i="6"/>
  <c r="N213" i="6"/>
  <c r="L213" i="6"/>
  <c r="I213" i="6"/>
  <c r="G213" i="6"/>
  <c r="F213" i="6"/>
  <c r="E213" i="6"/>
  <c r="D213" i="6"/>
  <c r="C213" i="6"/>
  <c r="B213" i="6"/>
  <c r="A213" i="6"/>
  <c r="O212" i="6"/>
  <c r="N212" i="6"/>
  <c r="L212" i="6"/>
  <c r="I212" i="6"/>
  <c r="G212" i="6"/>
  <c r="F212" i="6"/>
  <c r="E212" i="6"/>
  <c r="D212" i="6"/>
  <c r="C212" i="6"/>
  <c r="B212" i="6"/>
  <c r="A212" i="6"/>
  <c r="O211" i="6"/>
  <c r="N211" i="6"/>
  <c r="L211" i="6"/>
  <c r="I211" i="6"/>
  <c r="G211" i="6"/>
  <c r="F211" i="6"/>
  <c r="E211" i="6"/>
  <c r="D211" i="6"/>
  <c r="C211" i="6"/>
  <c r="B211" i="6"/>
  <c r="A211" i="6"/>
  <c r="O210" i="6"/>
  <c r="N210" i="6"/>
  <c r="L210" i="6"/>
  <c r="I210" i="6"/>
  <c r="G210" i="6"/>
  <c r="F210" i="6"/>
  <c r="E210" i="6"/>
  <c r="D210" i="6"/>
  <c r="C210" i="6"/>
  <c r="B210" i="6"/>
  <c r="A210" i="6"/>
  <c r="O209" i="6"/>
  <c r="N209" i="6"/>
  <c r="L209" i="6"/>
  <c r="I209" i="6"/>
  <c r="G209" i="6"/>
  <c r="F209" i="6"/>
  <c r="E209" i="6"/>
  <c r="D209" i="6"/>
  <c r="C209" i="6"/>
  <c r="B209" i="6"/>
  <c r="A209" i="6"/>
  <c r="O208" i="6"/>
  <c r="N208" i="6"/>
  <c r="L208" i="6"/>
  <c r="I208" i="6"/>
  <c r="G208" i="6"/>
  <c r="F208" i="6"/>
  <c r="E208" i="6"/>
  <c r="D208" i="6"/>
  <c r="C208" i="6"/>
  <c r="B208" i="6"/>
  <c r="A208" i="6"/>
  <c r="O207" i="6"/>
  <c r="N207" i="6"/>
  <c r="L207" i="6"/>
  <c r="I207" i="6"/>
  <c r="G207" i="6"/>
  <c r="F207" i="6"/>
  <c r="E207" i="6"/>
  <c r="D207" i="6"/>
  <c r="C207" i="6"/>
  <c r="B207" i="6"/>
  <c r="A207" i="6"/>
  <c r="O206" i="6"/>
  <c r="N206" i="6"/>
  <c r="L206" i="6"/>
  <c r="I206" i="6"/>
  <c r="G206" i="6"/>
  <c r="F206" i="6"/>
  <c r="E206" i="6"/>
  <c r="D206" i="6"/>
  <c r="C206" i="6"/>
  <c r="B206" i="6"/>
  <c r="A206" i="6"/>
  <c r="O205" i="6"/>
  <c r="N205" i="6"/>
  <c r="L205" i="6"/>
  <c r="I205" i="6"/>
  <c r="G205" i="6"/>
  <c r="F205" i="6"/>
  <c r="E205" i="6"/>
  <c r="D205" i="6"/>
  <c r="C205" i="6"/>
  <c r="B205" i="6"/>
  <c r="A205" i="6"/>
  <c r="O204" i="6"/>
  <c r="N204" i="6"/>
  <c r="L204" i="6"/>
  <c r="I204" i="6"/>
  <c r="G204" i="6"/>
  <c r="F204" i="6"/>
  <c r="E204" i="6"/>
  <c r="D204" i="6"/>
  <c r="C204" i="6"/>
  <c r="B204" i="6"/>
  <c r="A204" i="6"/>
  <c r="O203" i="6"/>
  <c r="N203" i="6"/>
  <c r="L203" i="6"/>
  <c r="I203" i="6"/>
  <c r="G203" i="6"/>
  <c r="F203" i="6"/>
  <c r="E203" i="6"/>
  <c r="D203" i="6"/>
  <c r="C203" i="6"/>
  <c r="B203" i="6"/>
  <c r="A203" i="6"/>
  <c r="O202" i="6"/>
  <c r="N202" i="6"/>
  <c r="L202" i="6"/>
  <c r="I202" i="6"/>
  <c r="G202" i="6"/>
  <c r="F202" i="6"/>
  <c r="E202" i="6"/>
  <c r="D202" i="6"/>
  <c r="C202" i="6"/>
  <c r="B202" i="6"/>
  <c r="A202" i="6"/>
  <c r="O201" i="6"/>
  <c r="N201" i="6"/>
  <c r="L201" i="6"/>
  <c r="I201" i="6"/>
  <c r="G201" i="6"/>
  <c r="F201" i="6"/>
  <c r="E201" i="6"/>
  <c r="D201" i="6"/>
  <c r="C201" i="6"/>
  <c r="B201" i="6"/>
  <c r="A201" i="6"/>
  <c r="O200" i="6"/>
  <c r="N200" i="6"/>
  <c r="L200" i="6"/>
  <c r="I200" i="6"/>
  <c r="G200" i="6"/>
  <c r="F200" i="6"/>
  <c r="E200" i="6"/>
  <c r="D200" i="6"/>
  <c r="C200" i="6"/>
  <c r="B200" i="6"/>
  <c r="A200" i="6"/>
  <c r="O199" i="6"/>
  <c r="N199" i="6"/>
  <c r="L199" i="6"/>
  <c r="I199" i="6"/>
  <c r="G199" i="6"/>
  <c r="F199" i="6"/>
  <c r="E199" i="6"/>
  <c r="D199" i="6"/>
  <c r="C199" i="6"/>
  <c r="B199" i="6"/>
  <c r="A199" i="6"/>
  <c r="O198" i="6"/>
  <c r="N198" i="6"/>
  <c r="L198" i="6"/>
  <c r="I198" i="6"/>
  <c r="G198" i="6"/>
  <c r="F198" i="6"/>
  <c r="E198" i="6"/>
  <c r="D198" i="6"/>
  <c r="C198" i="6"/>
  <c r="B198" i="6"/>
  <c r="A198" i="6"/>
  <c r="O197" i="6"/>
  <c r="N197" i="6"/>
  <c r="L197" i="6"/>
  <c r="I197" i="6"/>
  <c r="G197" i="6"/>
  <c r="F197" i="6"/>
  <c r="E197" i="6"/>
  <c r="D197" i="6"/>
  <c r="C197" i="6"/>
  <c r="B197" i="6"/>
  <c r="A197" i="6"/>
  <c r="O196" i="6"/>
  <c r="N196" i="6"/>
  <c r="L196" i="6"/>
  <c r="I196" i="6"/>
  <c r="G196" i="6"/>
  <c r="F196" i="6"/>
  <c r="E196" i="6"/>
  <c r="D196" i="6"/>
  <c r="C196" i="6"/>
  <c r="B196" i="6"/>
  <c r="A196" i="6"/>
  <c r="O195" i="6"/>
  <c r="N195" i="6"/>
  <c r="L195" i="6"/>
  <c r="I195" i="6"/>
  <c r="G195" i="6"/>
  <c r="F195" i="6"/>
  <c r="E195" i="6"/>
  <c r="D195" i="6"/>
  <c r="C195" i="6"/>
  <c r="B195" i="6"/>
  <c r="A195" i="6"/>
  <c r="O194" i="6"/>
  <c r="N194" i="6"/>
  <c r="L194" i="6"/>
  <c r="I194" i="6"/>
  <c r="G194" i="6"/>
  <c r="F194" i="6"/>
  <c r="E194" i="6"/>
  <c r="D194" i="6"/>
  <c r="C194" i="6"/>
  <c r="B194" i="6"/>
  <c r="A194" i="6"/>
  <c r="O193" i="6"/>
  <c r="N193" i="6"/>
  <c r="L193" i="6"/>
  <c r="I193" i="6"/>
  <c r="G193" i="6"/>
  <c r="F193" i="6"/>
  <c r="E193" i="6"/>
  <c r="D193" i="6"/>
  <c r="C193" i="6"/>
  <c r="B193" i="6"/>
  <c r="A193" i="6"/>
  <c r="O192" i="6"/>
  <c r="N192" i="6"/>
  <c r="L192" i="6"/>
  <c r="I192" i="6"/>
  <c r="G192" i="6"/>
  <c r="F192" i="6"/>
  <c r="E192" i="6"/>
  <c r="D192" i="6"/>
  <c r="C192" i="6"/>
  <c r="B192" i="6"/>
  <c r="A192" i="6"/>
  <c r="O191" i="6"/>
  <c r="N191" i="6"/>
  <c r="L191" i="6"/>
  <c r="I191" i="6"/>
  <c r="G191" i="6"/>
  <c r="F191" i="6"/>
  <c r="E191" i="6"/>
  <c r="D191" i="6"/>
  <c r="C191" i="6"/>
  <c r="B191" i="6"/>
  <c r="A191" i="6"/>
  <c r="O190" i="6"/>
  <c r="N190" i="6"/>
  <c r="L190" i="6"/>
  <c r="I190" i="6"/>
  <c r="G190" i="6"/>
  <c r="F190" i="6"/>
  <c r="E190" i="6"/>
  <c r="D190" i="6"/>
  <c r="C190" i="6"/>
  <c r="B190" i="6"/>
  <c r="A190" i="6"/>
  <c r="O189" i="6"/>
  <c r="N189" i="6"/>
  <c r="L189" i="6"/>
  <c r="I189" i="6"/>
  <c r="G189" i="6"/>
  <c r="F189" i="6"/>
  <c r="E189" i="6"/>
  <c r="D189" i="6"/>
  <c r="C189" i="6"/>
  <c r="B189" i="6"/>
  <c r="A189" i="6"/>
  <c r="O188" i="6"/>
  <c r="N188" i="6"/>
  <c r="L188" i="6"/>
  <c r="I188" i="6"/>
  <c r="G188" i="6"/>
  <c r="F188" i="6"/>
  <c r="E188" i="6"/>
  <c r="D188" i="6"/>
  <c r="C188" i="6"/>
  <c r="B188" i="6"/>
  <c r="A188" i="6"/>
  <c r="O187" i="6"/>
  <c r="N187" i="6"/>
  <c r="L187" i="6"/>
  <c r="I187" i="6"/>
  <c r="G187" i="6"/>
  <c r="F187" i="6"/>
  <c r="E187" i="6"/>
  <c r="D187" i="6"/>
  <c r="C187" i="6"/>
  <c r="B187" i="6"/>
  <c r="A187" i="6"/>
  <c r="O186" i="6"/>
  <c r="N186" i="6"/>
  <c r="L186" i="6"/>
  <c r="I186" i="6"/>
  <c r="G186" i="6"/>
  <c r="F186" i="6"/>
  <c r="E186" i="6"/>
  <c r="D186" i="6"/>
  <c r="C186" i="6"/>
  <c r="B186" i="6"/>
  <c r="A186" i="6"/>
  <c r="O185" i="6"/>
  <c r="N185" i="6"/>
  <c r="L185" i="6"/>
  <c r="I185" i="6"/>
  <c r="G185" i="6"/>
  <c r="F185" i="6"/>
  <c r="E185" i="6"/>
  <c r="D185" i="6"/>
  <c r="C185" i="6"/>
  <c r="B185" i="6"/>
  <c r="A185" i="6"/>
  <c r="O184" i="6"/>
  <c r="N184" i="6"/>
  <c r="L184" i="6"/>
  <c r="I184" i="6"/>
  <c r="G184" i="6"/>
  <c r="F184" i="6"/>
  <c r="E184" i="6"/>
  <c r="D184" i="6"/>
  <c r="C184" i="6"/>
  <c r="B184" i="6"/>
  <c r="A184" i="6"/>
  <c r="O183" i="6"/>
  <c r="N183" i="6"/>
  <c r="L183" i="6"/>
  <c r="I183" i="6"/>
  <c r="G183" i="6"/>
  <c r="F183" i="6"/>
  <c r="E183" i="6"/>
  <c r="D183" i="6"/>
  <c r="C183" i="6"/>
  <c r="B183" i="6"/>
  <c r="A183" i="6"/>
  <c r="O182" i="6"/>
  <c r="N182" i="6"/>
  <c r="L182" i="6"/>
  <c r="I182" i="6"/>
  <c r="G182" i="6"/>
  <c r="F182" i="6"/>
  <c r="E182" i="6"/>
  <c r="D182" i="6"/>
  <c r="C182" i="6"/>
  <c r="B182" i="6"/>
  <c r="A182" i="6"/>
  <c r="O181" i="6"/>
  <c r="N181" i="6"/>
  <c r="L181" i="6"/>
  <c r="I181" i="6"/>
  <c r="G181" i="6"/>
  <c r="F181" i="6"/>
  <c r="E181" i="6"/>
  <c r="D181" i="6"/>
  <c r="C181" i="6"/>
  <c r="B181" i="6"/>
  <c r="A181" i="6"/>
  <c r="O180" i="6"/>
  <c r="N180" i="6"/>
  <c r="L180" i="6"/>
  <c r="I180" i="6"/>
  <c r="G180" i="6"/>
  <c r="F180" i="6"/>
  <c r="E180" i="6"/>
  <c r="D180" i="6"/>
  <c r="C180" i="6"/>
  <c r="B180" i="6"/>
  <c r="A180" i="6"/>
  <c r="O179" i="6"/>
  <c r="N179" i="6"/>
  <c r="L179" i="6"/>
  <c r="I179" i="6"/>
  <c r="G179" i="6"/>
  <c r="F179" i="6"/>
  <c r="E179" i="6"/>
  <c r="D179" i="6"/>
  <c r="C179" i="6"/>
  <c r="B179" i="6"/>
  <c r="A179" i="6"/>
  <c r="O178" i="6"/>
  <c r="N178" i="6"/>
  <c r="L178" i="6"/>
  <c r="I178" i="6"/>
  <c r="G178" i="6"/>
  <c r="F178" i="6"/>
  <c r="E178" i="6"/>
  <c r="D178" i="6"/>
  <c r="C178" i="6"/>
  <c r="B178" i="6"/>
  <c r="A178" i="6"/>
  <c r="O177" i="6"/>
  <c r="N177" i="6"/>
  <c r="L177" i="6"/>
  <c r="I177" i="6"/>
  <c r="G177" i="6"/>
  <c r="F177" i="6"/>
  <c r="E177" i="6"/>
  <c r="D177" i="6"/>
  <c r="C177" i="6"/>
  <c r="B177" i="6"/>
  <c r="A177" i="6"/>
  <c r="O176" i="6"/>
  <c r="N176" i="6"/>
  <c r="L176" i="6"/>
  <c r="I176" i="6"/>
  <c r="G176" i="6"/>
  <c r="F176" i="6"/>
  <c r="E176" i="6"/>
  <c r="D176" i="6"/>
  <c r="C176" i="6"/>
  <c r="B176" i="6"/>
  <c r="A176" i="6"/>
  <c r="O175" i="6"/>
  <c r="N175" i="6"/>
  <c r="L175" i="6"/>
  <c r="I175" i="6"/>
  <c r="G175" i="6"/>
  <c r="F175" i="6"/>
  <c r="E175" i="6"/>
  <c r="D175" i="6"/>
  <c r="C175" i="6"/>
  <c r="B175" i="6"/>
  <c r="A175" i="6"/>
  <c r="O174" i="6"/>
  <c r="N174" i="6"/>
  <c r="L174" i="6"/>
  <c r="I174" i="6"/>
  <c r="G174" i="6"/>
  <c r="F174" i="6"/>
  <c r="E174" i="6"/>
  <c r="D174" i="6"/>
  <c r="C174" i="6"/>
  <c r="B174" i="6"/>
  <c r="A174" i="6"/>
  <c r="O173" i="6"/>
  <c r="N173" i="6"/>
  <c r="L173" i="6"/>
  <c r="I173" i="6"/>
  <c r="G173" i="6"/>
  <c r="F173" i="6"/>
  <c r="E173" i="6"/>
  <c r="D173" i="6"/>
  <c r="C173" i="6"/>
  <c r="B173" i="6"/>
  <c r="A173" i="6"/>
  <c r="O172" i="6"/>
  <c r="N172" i="6"/>
  <c r="L172" i="6"/>
  <c r="I172" i="6"/>
  <c r="G172" i="6"/>
  <c r="F172" i="6"/>
  <c r="E172" i="6"/>
  <c r="D172" i="6"/>
  <c r="C172" i="6"/>
  <c r="B172" i="6"/>
  <c r="A172" i="6"/>
  <c r="O171" i="6"/>
  <c r="N171" i="6"/>
  <c r="L171" i="6"/>
  <c r="I171" i="6"/>
  <c r="G171" i="6"/>
  <c r="F171" i="6"/>
  <c r="E171" i="6"/>
  <c r="D171" i="6"/>
  <c r="C171" i="6"/>
  <c r="B171" i="6"/>
  <c r="A171" i="6"/>
  <c r="O170" i="6"/>
  <c r="N170" i="6"/>
  <c r="L170" i="6"/>
  <c r="I170" i="6"/>
  <c r="G170" i="6"/>
  <c r="F170" i="6"/>
  <c r="E170" i="6"/>
  <c r="D170" i="6"/>
  <c r="C170" i="6"/>
  <c r="B170" i="6"/>
  <c r="A170" i="6"/>
  <c r="O169" i="6"/>
  <c r="N169" i="6"/>
  <c r="L169" i="6"/>
  <c r="I169" i="6"/>
  <c r="G169" i="6"/>
  <c r="F169" i="6"/>
  <c r="E169" i="6"/>
  <c r="D169" i="6"/>
  <c r="C169" i="6"/>
  <c r="B169" i="6"/>
  <c r="A169" i="6"/>
  <c r="O168" i="6"/>
  <c r="N168" i="6"/>
  <c r="L168" i="6"/>
  <c r="I168" i="6"/>
  <c r="G168" i="6"/>
  <c r="F168" i="6"/>
  <c r="E168" i="6"/>
  <c r="D168" i="6"/>
  <c r="C168" i="6"/>
  <c r="B168" i="6"/>
  <c r="A168" i="6"/>
  <c r="O167" i="6"/>
  <c r="N167" i="6"/>
  <c r="L167" i="6"/>
  <c r="I167" i="6"/>
  <c r="G167" i="6"/>
  <c r="F167" i="6"/>
  <c r="E167" i="6"/>
  <c r="D167" i="6"/>
  <c r="C167" i="6"/>
  <c r="B167" i="6"/>
  <c r="A167" i="6"/>
  <c r="O166" i="6"/>
  <c r="N166" i="6"/>
  <c r="L166" i="6"/>
  <c r="I166" i="6"/>
  <c r="G166" i="6"/>
  <c r="F166" i="6"/>
  <c r="E166" i="6"/>
  <c r="D166" i="6"/>
  <c r="C166" i="6"/>
  <c r="B166" i="6"/>
  <c r="A166" i="6"/>
  <c r="O165" i="6"/>
  <c r="N165" i="6"/>
  <c r="L165" i="6"/>
  <c r="I165" i="6"/>
  <c r="G165" i="6"/>
  <c r="F165" i="6"/>
  <c r="E165" i="6"/>
  <c r="D165" i="6"/>
  <c r="C165" i="6"/>
  <c r="B165" i="6"/>
  <c r="A165" i="6"/>
  <c r="O164" i="6"/>
  <c r="N164" i="6"/>
  <c r="L164" i="6"/>
  <c r="I164" i="6"/>
  <c r="G164" i="6"/>
  <c r="F164" i="6"/>
  <c r="E164" i="6"/>
  <c r="D164" i="6"/>
  <c r="C164" i="6"/>
  <c r="B164" i="6"/>
  <c r="A164" i="6"/>
  <c r="O163" i="6"/>
  <c r="N163" i="6"/>
  <c r="L163" i="6"/>
  <c r="I163" i="6"/>
  <c r="G163" i="6"/>
  <c r="F163" i="6"/>
  <c r="E163" i="6"/>
  <c r="D163" i="6"/>
  <c r="C163" i="6"/>
  <c r="B163" i="6"/>
  <c r="A163" i="6"/>
  <c r="O162" i="6"/>
  <c r="N162" i="6"/>
  <c r="L162" i="6"/>
  <c r="I162" i="6"/>
  <c r="G162" i="6"/>
  <c r="F162" i="6"/>
  <c r="E162" i="6"/>
  <c r="D162" i="6"/>
  <c r="C162" i="6"/>
  <c r="B162" i="6"/>
  <c r="A162" i="6"/>
  <c r="O161" i="6"/>
  <c r="N161" i="6"/>
  <c r="L161" i="6"/>
  <c r="I161" i="6"/>
  <c r="G161" i="6"/>
  <c r="F161" i="6"/>
  <c r="E161" i="6"/>
  <c r="D161" i="6"/>
  <c r="C161" i="6"/>
  <c r="B161" i="6"/>
  <c r="A161" i="6"/>
  <c r="O160" i="6"/>
  <c r="N160" i="6"/>
  <c r="L160" i="6"/>
  <c r="I160" i="6"/>
  <c r="G160" i="6"/>
  <c r="F160" i="6"/>
  <c r="E160" i="6"/>
  <c r="D160" i="6"/>
  <c r="C160" i="6"/>
  <c r="B160" i="6"/>
  <c r="A160" i="6"/>
  <c r="O159" i="6"/>
  <c r="N159" i="6"/>
  <c r="L159" i="6"/>
  <c r="I159" i="6"/>
  <c r="G159" i="6"/>
  <c r="F159" i="6"/>
  <c r="E159" i="6"/>
  <c r="D159" i="6"/>
  <c r="C159" i="6"/>
  <c r="B159" i="6"/>
  <c r="A159" i="6"/>
  <c r="O158" i="6"/>
  <c r="N158" i="6"/>
  <c r="L158" i="6"/>
  <c r="I158" i="6"/>
  <c r="G158" i="6"/>
  <c r="F158" i="6"/>
  <c r="E158" i="6"/>
  <c r="D158" i="6"/>
  <c r="C158" i="6"/>
  <c r="B158" i="6"/>
  <c r="A158" i="6"/>
  <c r="O157" i="6"/>
  <c r="N157" i="6"/>
  <c r="L157" i="6"/>
  <c r="I157" i="6"/>
  <c r="G157" i="6"/>
  <c r="F157" i="6"/>
  <c r="E157" i="6"/>
  <c r="D157" i="6"/>
  <c r="C157" i="6"/>
  <c r="B157" i="6"/>
  <c r="A157" i="6"/>
  <c r="O156" i="6"/>
  <c r="N156" i="6"/>
  <c r="L156" i="6"/>
  <c r="I156" i="6"/>
  <c r="G156" i="6"/>
  <c r="F156" i="6"/>
  <c r="E156" i="6"/>
  <c r="D156" i="6"/>
  <c r="C156" i="6"/>
  <c r="B156" i="6"/>
  <c r="A156" i="6"/>
  <c r="O155" i="6"/>
  <c r="N155" i="6"/>
  <c r="L155" i="6"/>
  <c r="I155" i="6"/>
  <c r="G155" i="6"/>
  <c r="F155" i="6"/>
  <c r="E155" i="6"/>
  <c r="D155" i="6"/>
  <c r="C155" i="6"/>
  <c r="B155" i="6"/>
  <c r="A155" i="6"/>
  <c r="O154" i="6"/>
  <c r="N154" i="6"/>
  <c r="L154" i="6"/>
  <c r="I154" i="6"/>
  <c r="G154" i="6"/>
  <c r="F154" i="6"/>
  <c r="E154" i="6"/>
  <c r="D154" i="6"/>
  <c r="C154" i="6"/>
  <c r="B154" i="6"/>
  <c r="A154" i="6"/>
  <c r="O153" i="6"/>
  <c r="N153" i="6"/>
  <c r="L153" i="6"/>
  <c r="I153" i="6"/>
  <c r="G153" i="6"/>
  <c r="F153" i="6"/>
  <c r="E153" i="6"/>
  <c r="D153" i="6"/>
  <c r="C153" i="6"/>
  <c r="B153" i="6"/>
  <c r="A153" i="6"/>
  <c r="O152" i="6"/>
  <c r="N152" i="6"/>
  <c r="L152" i="6"/>
  <c r="I152" i="6"/>
  <c r="G152" i="6"/>
  <c r="F152" i="6"/>
  <c r="E152" i="6"/>
  <c r="D152" i="6"/>
  <c r="C152" i="6"/>
  <c r="B152" i="6"/>
  <c r="A152" i="6"/>
  <c r="O151" i="6"/>
  <c r="N151" i="6"/>
  <c r="L151" i="6"/>
  <c r="I151" i="6"/>
  <c r="G151" i="6"/>
  <c r="F151" i="6"/>
  <c r="E151" i="6"/>
  <c r="D151" i="6"/>
  <c r="C151" i="6"/>
  <c r="B151" i="6"/>
  <c r="A151" i="6"/>
  <c r="O150" i="6"/>
  <c r="N150" i="6"/>
  <c r="L150" i="6"/>
  <c r="I150" i="6"/>
  <c r="G150" i="6"/>
  <c r="F150" i="6"/>
  <c r="E150" i="6"/>
  <c r="D150" i="6"/>
  <c r="C150" i="6"/>
  <c r="B150" i="6"/>
  <c r="A150" i="6"/>
  <c r="O149" i="6"/>
  <c r="N149" i="6"/>
  <c r="L149" i="6"/>
  <c r="I149" i="6"/>
  <c r="G149" i="6"/>
  <c r="F149" i="6"/>
  <c r="E149" i="6"/>
  <c r="D149" i="6"/>
  <c r="C149" i="6"/>
  <c r="B149" i="6"/>
  <c r="A149" i="6"/>
  <c r="O148" i="6"/>
  <c r="N148" i="6"/>
  <c r="L148" i="6"/>
  <c r="I148" i="6"/>
  <c r="G148" i="6"/>
  <c r="F148" i="6"/>
  <c r="E148" i="6"/>
  <c r="D148" i="6"/>
  <c r="C148" i="6"/>
  <c r="B148" i="6"/>
  <c r="A148" i="6"/>
  <c r="O147" i="6"/>
  <c r="N147" i="6"/>
  <c r="L147" i="6"/>
  <c r="I147" i="6"/>
  <c r="G147" i="6"/>
  <c r="F147" i="6"/>
  <c r="E147" i="6"/>
  <c r="D147" i="6"/>
  <c r="C147" i="6"/>
  <c r="B147" i="6"/>
  <c r="A147" i="6"/>
  <c r="O146" i="6"/>
  <c r="N146" i="6"/>
  <c r="L146" i="6"/>
  <c r="I146" i="6"/>
  <c r="G146" i="6"/>
  <c r="F146" i="6"/>
  <c r="E146" i="6"/>
  <c r="D146" i="6"/>
  <c r="C146" i="6"/>
  <c r="B146" i="6"/>
  <c r="A146" i="6"/>
  <c r="O145" i="6"/>
  <c r="N145" i="6"/>
  <c r="L145" i="6"/>
  <c r="I145" i="6"/>
  <c r="G145" i="6"/>
  <c r="F145" i="6"/>
  <c r="E145" i="6"/>
  <c r="D145" i="6"/>
  <c r="C145" i="6"/>
  <c r="B145" i="6"/>
  <c r="A145" i="6"/>
  <c r="O144" i="6"/>
  <c r="N144" i="6"/>
  <c r="L144" i="6"/>
  <c r="I144" i="6"/>
  <c r="G144" i="6"/>
  <c r="F144" i="6"/>
  <c r="E144" i="6"/>
  <c r="D144" i="6"/>
  <c r="C144" i="6"/>
  <c r="B144" i="6"/>
  <c r="A144" i="6"/>
  <c r="O143" i="6"/>
  <c r="N143" i="6"/>
  <c r="L143" i="6"/>
  <c r="I143" i="6"/>
  <c r="G143" i="6"/>
  <c r="F143" i="6"/>
  <c r="E143" i="6"/>
  <c r="D143" i="6"/>
  <c r="C143" i="6"/>
  <c r="B143" i="6"/>
  <c r="A143" i="6"/>
  <c r="O142" i="6"/>
  <c r="N142" i="6"/>
  <c r="L142" i="6"/>
  <c r="I142" i="6"/>
  <c r="G142" i="6"/>
  <c r="F142" i="6"/>
  <c r="E142" i="6"/>
  <c r="D142" i="6"/>
  <c r="C142" i="6"/>
  <c r="B142" i="6"/>
  <c r="A142" i="6"/>
  <c r="O141" i="6"/>
  <c r="N141" i="6"/>
  <c r="L141" i="6"/>
  <c r="I141" i="6"/>
  <c r="G141" i="6"/>
  <c r="F141" i="6"/>
  <c r="E141" i="6"/>
  <c r="D141" i="6"/>
  <c r="C141" i="6"/>
  <c r="B141" i="6"/>
  <c r="A141" i="6"/>
  <c r="O140" i="6"/>
  <c r="N140" i="6"/>
  <c r="L140" i="6"/>
  <c r="I140" i="6"/>
  <c r="G140" i="6"/>
  <c r="F140" i="6"/>
  <c r="E140" i="6"/>
  <c r="D140" i="6"/>
  <c r="C140" i="6"/>
  <c r="B140" i="6"/>
  <c r="A140" i="6"/>
  <c r="O139" i="6"/>
  <c r="N139" i="6"/>
  <c r="L139" i="6"/>
  <c r="I139" i="6"/>
  <c r="G139" i="6"/>
  <c r="F139" i="6"/>
  <c r="E139" i="6"/>
  <c r="D139" i="6"/>
  <c r="C139" i="6"/>
  <c r="B139" i="6"/>
  <c r="A139" i="6"/>
  <c r="O138" i="6"/>
  <c r="N138" i="6"/>
  <c r="L138" i="6"/>
  <c r="I138" i="6"/>
  <c r="G138" i="6"/>
  <c r="F138" i="6"/>
  <c r="E138" i="6"/>
  <c r="D138" i="6"/>
  <c r="C138" i="6"/>
  <c r="B138" i="6"/>
  <c r="A138" i="6"/>
  <c r="O137" i="6"/>
  <c r="N137" i="6"/>
  <c r="L137" i="6"/>
  <c r="I137" i="6"/>
  <c r="G137" i="6"/>
  <c r="F137" i="6"/>
  <c r="E137" i="6"/>
  <c r="D137" i="6"/>
  <c r="C137" i="6"/>
  <c r="B137" i="6"/>
  <c r="A137" i="6"/>
  <c r="O136" i="6"/>
  <c r="N136" i="6"/>
  <c r="L136" i="6"/>
  <c r="I136" i="6"/>
  <c r="G136" i="6"/>
  <c r="F136" i="6"/>
  <c r="E136" i="6"/>
  <c r="D136" i="6"/>
  <c r="C136" i="6"/>
  <c r="B136" i="6"/>
  <c r="A136" i="6"/>
  <c r="O135" i="6"/>
  <c r="N135" i="6"/>
  <c r="L135" i="6"/>
  <c r="I135" i="6"/>
  <c r="G135" i="6"/>
  <c r="F135" i="6"/>
  <c r="E135" i="6"/>
  <c r="D135" i="6"/>
  <c r="C135" i="6"/>
  <c r="B135" i="6"/>
  <c r="A135" i="6"/>
  <c r="O134" i="6"/>
  <c r="N134" i="6"/>
  <c r="L134" i="6"/>
  <c r="I134" i="6"/>
  <c r="G134" i="6"/>
  <c r="F134" i="6"/>
  <c r="E134" i="6"/>
  <c r="D134" i="6"/>
  <c r="C134" i="6"/>
  <c r="B134" i="6"/>
  <c r="A134" i="6"/>
  <c r="O133" i="6"/>
  <c r="N133" i="6"/>
  <c r="L133" i="6"/>
  <c r="I133" i="6"/>
  <c r="G133" i="6"/>
  <c r="F133" i="6"/>
  <c r="E133" i="6"/>
  <c r="D133" i="6"/>
  <c r="C133" i="6"/>
  <c r="B133" i="6"/>
  <c r="A133" i="6"/>
  <c r="O132" i="6"/>
  <c r="N132" i="6"/>
  <c r="L132" i="6"/>
  <c r="I132" i="6"/>
  <c r="G132" i="6"/>
  <c r="F132" i="6"/>
  <c r="E132" i="6"/>
  <c r="D132" i="6"/>
  <c r="C132" i="6"/>
  <c r="B132" i="6"/>
  <c r="A132" i="6"/>
  <c r="O131" i="6"/>
  <c r="N131" i="6"/>
  <c r="L131" i="6"/>
  <c r="I131" i="6"/>
  <c r="G131" i="6"/>
  <c r="F131" i="6"/>
  <c r="E131" i="6"/>
  <c r="D131" i="6"/>
  <c r="C131" i="6"/>
  <c r="B131" i="6"/>
  <c r="A131" i="6"/>
  <c r="O130" i="6"/>
  <c r="N130" i="6"/>
  <c r="L130" i="6"/>
  <c r="I130" i="6"/>
  <c r="G130" i="6"/>
  <c r="F130" i="6"/>
  <c r="E130" i="6"/>
  <c r="D130" i="6"/>
  <c r="C130" i="6"/>
  <c r="B130" i="6"/>
  <c r="A130" i="6"/>
  <c r="O129" i="6"/>
  <c r="N129" i="6"/>
  <c r="L129" i="6"/>
  <c r="I129" i="6"/>
  <c r="G129" i="6"/>
  <c r="F129" i="6"/>
  <c r="E129" i="6"/>
  <c r="D129" i="6"/>
  <c r="C129" i="6"/>
  <c r="B129" i="6"/>
  <c r="A129" i="6"/>
  <c r="O128" i="6"/>
  <c r="N128" i="6"/>
  <c r="L128" i="6"/>
  <c r="I128" i="6"/>
  <c r="G128" i="6"/>
  <c r="F128" i="6"/>
  <c r="E128" i="6"/>
  <c r="D128" i="6"/>
  <c r="C128" i="6"/>
  <c r="B128" i="6"/>
  <c r="A128" i="6"/>
  <c r="O127" i="6"/>
  <c r="N127" i="6"/>
  <c r="L127" i="6"/>
  <c r="I127" i="6"/>
  <c r="G127" i="6"/>
  <c r="F127" i="6"/>
  <c r="E127" i="6"/>
  <c r="D127" i="6"/>
  <c r="C127" i="6"/>
  <c r="B127" i="6"/>
  <c r="A127" i="6"/>
  <c r="O126" i="6"/>
  <c r="N126" i="6"/>
  <c r="L126" i="6"/>
  <c r="I126" i="6"/>
  <c r="G126" i="6"/>
  <c r="F126" i="6"/>
  <c r="E126" i="6"/>
  <c r="D126" i="6"/>
  <c r="C126" i="6"/>
  <c r="B126" i="6"/>
  <c r="A126" i="6"/>
  <c r="O125" i="6"/>
  <c r="N125" i="6"/>
  <c r="L125" i="6"/>
  <c r="I125" i="6"/>
  <c r="G125" i="6"/>
  <c r="F125" i="6"/>
  <c r="E125" i="6"/>
  <c r="D125" i="6"/>
  <c r="C125" i="6"/>
  <c r="B125" i="6"/>
  <c r="A125" i="6"/>
  <c r="O124" i="6"/>
  <c r="N124" i="6"/>
  <c r="L124" i="6"/>
  <c r="I124" i="6"/>
  <c r="G124" i="6"/>
  <c r="F124" i="6"/>
  <c r="E124" i="6"/>
  <c r="D124" i="6"/>
  <c r="C124" i="6"/>
  <c r="B124" i="6"/>
  <c r="A124" i="6"/>
  <c r="O123" i="6"/>
  <c r="N123" i="6"/>
  <c r="L123" i="6"/>
  <c r="I123" i="6"/>
  <c r="G123" i="6"/>
  <c r="F123" i="6"/>
  <c r="E123" i="6"/>
  <c r="D123" i="6"/>
  <c r="C123" i="6"/>
  <c r="B123" i="6"/>
  <c r="A123" i="6"/>
  <c r="O122" i="6"/>
  <c r="N122" i="6"/>
  <c r="L122" i="6"/>
  <c r="I122" i="6"/>
  <c r="G122" i="6"/>
  <c r="F122" i="6"/>
  <c r="E122" i="6"/>
  <c r="D122" i="6"/>
  <c r="C122" i="6"/>
  <c r="B122" i="6"/>
  <c r="A122" i="6"/>
  <c r="O121" i="6"/>
  <c r="N121" i="6"/>
  <c r="L121" i="6"/>
  <c r="I121" i="6"/>
  <c r="G121" i="6"/>
  <c r="F121" i="6"/>
  <c r="E121" i="6"/>
  <c r="D121" i="6"/>
  <c r="C121" i="6"/>
  <c r="B121" i="6"/>
  <c r="A121" i="6"/>
  <c r="O120" i="6"/>
  <c r="N120" i="6"/>
  <c r="L120" i="6"/>
  <c r="I120" i="6"/>
  <c r="G120" i="6"/>
  <c r="F120" i="6"/>
  <c r="E120" i="6"/>
  <c r="D120" i="6"/>
  <c r="C120" i="6"/>
  <c r="B120" i="6"/>
  <c r="A120" i="6"/>
  <c r="O119" i="6"/>
  <c r="N119" i="6"/>
  <c r="L119" i="6"/>
  <c r="I119" i="6"/>
  <c r="G119" i="6"/>
  <c r="F119" i="6"/>
  <c r="E119" i="6"/>
  <c r="D119" i="6"/>
  <c r="C119" i="6"/>
  <c r="B119" i="6"/>
  <c r="A119" i="6"/>
  <c r="O118" i="6"/>
  <c r="N118" i="6"/>
  <c r="L118" i="6"/>
  <c r="I118" i="6"/>
  <c r="G118" i="6"/>
  <c r="F118" i="6"/>
  <c r="E118" i="6"/>
  <c r="D118" i="6"/>
  <c r="C118" i="6"/>
  <c r="B118" i="6"/>
  <c r="A118" i="6"/>
  <c r="O117" i="6"/>
  <c r="N117" i="6"/>
  <c r="L117" i="6"/>
  <c r="I117" i="6"/>
  <c r="G117" i="6"/>
  <c r="F117" i="6"/>
  <c r="E117" i="6"/>
  <c r="D117" i="6"/>
  <c r="C117" i="6"/>
  <c r="B117" i="6"/>
  <c r="A117" i="6"/>
  <c r="O116" i="6"/>
  <c r="N116" i="6"/>
  <c r="L116" i="6"/>
  <c r="I116" i="6"/>
  <c r="G116" i="6"/>
  <c r="F116" i="6"/>
  <c r="E116" i="6"/>
  <c r="D116" i="6"/>
  <c r="C116" i="6"/>
  <c r="B116" i="6"/>
  <c r="A116" i="6"/>
  <c r="O115" i="6"/>
  <c r="N115" i="6"/>
  <c r="L115" i="6"/>
  <c r="I115" i="6"/>
  <c r="G115" i="6"/>
  <c r="F115" i="6"/>
  <c r="E115" i="6"/>
  <c r="D115" i="6"/>
  <c r="C115" i="6"/>
  <c r="B115" i="6"/>
  <c r="A115" i="6"/>
  <c r="O114" i="6"/>
  <c r="N114" i="6"/>
  <c r="L114" i="6"/>
  <c r="I114" i="6"/>
  <c r="G114" i="6"/>
  <c r="F114" i="6"/>
  <c r="E114" i="6"/>
  <c r="D114" i="6"/>
  <c r="C114" i="6"/>
  <c r="B114" i="6"/>
  <c r="A114" i="6"/>
  <c r="O113" i="6"/>
  <c r="N113" i="6"/>
  <c r="L113" i="6"/>
  <c r="I113" i="6"/>
  <c r="G113" i="6"/>
  <c r="F113" i="6"/>
  <c r="E113" i="6"/>
  <c r="D113" i="6"/>
  <c r="C113" i="6"/>
  <c r="B113" i="6"/>
  <c r="A113" i="6"/>
  <c r="O112" i="6"/>
  <c r="N112" i="6"/>
  <c r="L112" i="6"/>
  <c r="I112" i="6"/>
  <c r="G112" i="6"/>
  <c r="F112" i="6"/>
  <c r="E112" i="6"/>
  <c r="D112" i="6"/>
  <c r="C112" i="6"/>
  <c r="B112" i="6"/>
  <c r="A112" i="6"/>
  <c r="O111" i="6"/>
  <c r="N111" i="6"/>
  <c r="L111" i="6"/>
  <c r="I111" i="6"/>
  <c r="G111" i="6"/>
  <c r="F111" i="6"/>
  <c r="E111" i="6"/>
  <c r="D111" i="6"/>
  <c r="C111" i="6"/>
  <c r="B111" i="6"/>
  <c r="A111" i="6"/>
  <c r="O110" i="6"/>
  <c r="N110" i="6"/>
  <c r="L110" i="6"/>
  <c r="I110" i="6"/>
  <c r="G110" i="6"/>
  <c r="F110" i="6"/>
  <c r="E110" i="6"/>
  <c r="D110" i="6"/>
  <c r="C110" i="6"/>
  <c r="B110" i="6"/>
  <c r="A110" i="6"/>
  <c r="O109" i="6"/>
  <c r="N109" i="6"/>
  <c r="L109" i="6"/>
  <c r="I109" i="6"/>
  <c r="G109" i="6"/>
  <c r="F109" i="6"/>
  <c r="E109" i="6"/>
  <c r="D109" i="6"/>
  <c r="C109" i="6"/>
  <c r="B109" i="6"/>
  <c r="A109" i="6"/>
  <c r="O108" i="6"/>
  <c r="N108" i="6"/>
  <c r="L108" i="6"/>
  <c r="I108" i="6"/>
  <c r="G108" i="6"/>
  <c r="F108" i="6"/>
  <c r="E108" i="6"/>
  <c r="D108" i="6"/>
  <c r="C108" i="6"/>
  <c r="B108" i="6"/>
  <c r="A108" i="6"/>
  <c r="O107" i="6"/>
  <c r="N107" i="6"/>
  <c r="L107" i="6"/>
  <c r="I107" i="6"/>
  <c r="G107" i="6"/>
  <c r="F107" i="6"/>
  <c r="E107" i="6"/>
  <c r="D107" i="6"/>
  <c r="C107" i="6"/>
  <c r="B107" i="6"/>
  <c r="A107" i="6"/>
  <c r="O106" i="6"/>
  <c r="N106" i="6"/>
  <c r="L106" i="6"/>
  <c r="I106" i="6"/>
  <c r="G106" i="6"/>
  <c r="F106" i="6"/>
  <c r="E106" i="6"/>
  <c r="D106" i="6"/>
  <c r="C106" i="6"/>
  <c r="B106" i="6"/>
  <c r="A106" i="6"/>
  <c r="O105" i="6"/>
  <c r="N105" i="6"/>
  <c r="L105" i="6"/>
  <c r="I105" i="6"/>
  <c r="G105" i="6"/>
  <c r="F105" i="6"/>
  <c r="E105" i="6"/>
  <c r="D105" i="6"/>
  <c r="C105" i="6"/>
  <c r="B105" i="6"/>
  <c r="A105" i="6"/>
  <c r="O104" i="6"/>
  <c r="N104" i="6"/>
  <c r="L104" i="6"/>
  <c r="I104" i="6"/>
  <c r="G104" i="6"/>
  <c r="F104" i="6"/>
  <c r="E104" i="6"/>
  <c r="D104" i="6"/>
  <c r="C104" i="6"/>
  <c r="B104" i="6"/>
  <c r="A104" i="6"/>
  <c r="O103" i="6"/>
  <c r="N103" i="6"/>
  <c r="L103" i="6"/>
  <c r="I103" i="6"/>
  <c r="G103" i="6"/>
  <c r="F103" i="6"/>
  <c r="E103" i="6"/>
  <c r="D103" i="6"/>
  <c r="C103" i="6"/>
  <c r="B103" i="6"/>
  <c r="A103" i="6"/>
  <c r="O102" i="6"/>
  <c r="N102" i="6"/>
  <c r="L102" i="6"/>
  <c r="I102" i="6"/>
  <c r="G102" i="6"/>
  <c r="F102" i="6"/>
  <c r="E102" i="6"/>
  <c r="D102" i="6"/>
  <c r="C102" i="6"/>
  <c r="B102" i="6"/>
  <c r="A102" i="6"/>
  <c r="O101" i="6"/>
  <c r="N101" i="6"/>
  <c r="L101" i="6"/>
  <c r="I101" i="6"/>
  <c r="G101" i="6"/>
  <c r="F101" i="6"/>
  <c r="E101" i="6"/>
  <c r="D101" i="6"/>
  <c r="C101" i="6"/>
  <c r="B101" i="6"/>
  <c r="A101" i="6"/>
  <c r="O100" i="6"/>
  <c r="N100" i="6"/>
  <c r="L100" i="6"/>
  <c r="I100" i="6"/>
  <c r="G100" i="6"/>
  <c r="F100" i="6"/>
  <c r="E100" i="6"/>
  <c r="D100" i="6"/>
  <c r="C100" i="6"/>
  <c r="B100" i="6"/>
  <c r="A100" i="6"/>
  <c r="O99" i="6"/>
  <c r="N99" i="6"/>
  <c r="L99" i="6"/>
  <c r="I99" i="6"/>
  <c r="G99" i="6"/>
  <c r="F99" i="6"/>
  <c r="E99" i="6"/>
  <c r="D99" i="6"/>
  <c r="C99" i="6"/>
  <c r="B99" i="6"/>
  <c r="A99" i="6"/>
  <c r="O98" i="6"/>
  <c r="N98" i="6"/>
  <c r="L98" i="6"/>
  <c r="I98" i="6"/>
  <c r="G98" i="6"/>
  <c r="F98" i="6"/>
  <c r="E98" i="6"/>
  <c r="D98" i="6"/>
  <c r="C98" i="6"/>
  <c r="B98" i="6"/>
  <c r="A98" i="6"/>
  <c r="O97" i="6"/>
  <c r="N97" i="6"/>
  <c r="L97" i="6"/>
  <c r="I97" i="6"/>
  <c r="G97" i="6"/>
  <c r="F97" i="6"/>
  <c r="E97" i="6"/>
  <c r="D97" i="6"/>
  <c r="C97" i="6"/>
  <c r="B97" i="6"/>
  <c r="A97" i="6"/>
  <c r="O96" i="6"/>
  <c r="N96" i="6"/>
  <c r="L96" i="6"/>
  <c r="I96" i="6"/>
  <c r="G96" i="6"/>
  <c r="F96" i="6"/>
  <c r="E96" i="6"/>
  <c r="D96" i="6"/>
  <c r="C96" i="6"/>
  <c r="B96" i="6"/>
  <c r="A96" i="6"/>
  <c r="O95" i="6"/>
  <c r="N95" i="6"/>
  <c r="L95" i="6"/>
  <c r="I95" i="6"/>
  <c r="G95" i="6"/>
  <c r="F95" i="6"/>
  <c r="E95" i="6"/>
  <c r="D95" i="6"/>
  <c r="C95" i="6"/>
  <c r="B95" i="6"/>
  <c r="A95" i="6"/>
  <c r="O94" i="6"/>
  <c r="N94" i="6"/>
  <c r="L94" i="6"/>
  <c r="I94" i="6"/>
  <c r="G94" i="6"/>
  <c r="F94" i="6"/>
  <c r="E94" i="6"/>
  <c r="D94" i="6"/>
  <c r="C94" i="6"/>
  <c r="B94" i="6"/>
  <c r="A94" i="6"/>
  <c r="O93" i="6"/>
  <c r="N93" i="6"/>
  <c r="L93" i="6"/>
  <c r="I93" i="6"/>
  <c r="G93" i="6"/>
  <c r="F93" i="6"/>
  <c r="E93" i="6"/>
  <c r="D93" i="6"/>
  <c r="C93" i="6"/>
  <c r="B93" i="6"/>
  <c r="A93" i="6"/>
  <c r="O92" i="6"/>
  <c r="N92" i="6"/>
  <c r="L92" i="6"/>
  <c r="I92" i="6"/>
  <c r="G92" i="6"/>
  <c r="F92" i="6"/>
  <c r="E92" i="6"/>
  <c r="D92" i="6"/>
  <c r="C92" i="6"/>
  <c r="B92" i="6"/>
  <c r="A92" i="6"/>
  <c r="O91" i="6"/>
  <c r="N91" i="6"/>
  <c r="L91" i="6"/>
  <c r="I91" i="6"/>
  <c r="G91" i="6"/>
  <c r="F91" i="6"/>
  <c r="E91" i="6"/>
  <c r="D91" i="6"/>
  <c r="C91" i="6"/>
  <c r="B91" i="6"/>
  <c r="A91" i="6"/>
  <c r="O90" i="6"/>
  <c r="N90" i="6"/>
  <c r="L90" i="6"/>
  <c r="I90" i="6"/>
  <c r="G90" i="6"/>
  <c r="F90" i="6"/>
  <c r="E90" i="6"/>
  <c r="D90" i="6"/>
  <c r="C90" i="6"/>
  <c r="B90" i="6"/>
  <c r="A90" i="6"/>
  <c r="O89" i="6"/>
  <c r="N89" i="6"/>
  <c r="L89" i="6"/>
  <c r="I89" i="6"/>
  <c r="G89" i="6"/>
  <c r="F89" i="6"/>
  <c r="E89" i="6"/>
  <c r="D89" i="6"/>
  <c r="C89" i="6"/>
  <c r="B89" i="6"/>
  <c r="A89" i="6"/>
  <c r="O88" i="6"/>
  <c r="N88" i="6"/>
  <c r="L88" i="6"/>
  <c r="I88" i="6"/>
  <c r="G88" i="6"/>
  <c r="F88" i="6"/>
  <c r="E88" i="6"/>
  <c r="D88" i="6"/>
  <c r="C88" i="6"/>
  <c r="B88" i="6"/>
  <c r="A88" i="6"/>
  <c r="O87" i="6"/>
  <c r="N87" i="6"/>
  <c r="L87" i="6"/>
  <c r="I87" i="6"/>
  <c r="G87" i="6"/>
  <c r="F87" i="6"/>
  <c r="E87" i="6"/>
  <c r="D87" i="6"/>
  <c r="C87" i="6"/>
  <c r="B87" i="6"/>
  <c r="A87" i="6"/>
  <c r="O86" i="6"/>
  <c r="N86" i="6"/>
  <c r="L86" i="6"/>
  <c r="I86" i="6"/>
  <c r="G86" i="6"/>
  <c r="F86" i="6"/>
  <c r="E86" i="6"/>
  <c r="D86" i="6"/>
  <c r="C86" i="6"/>
  <c r="B86" i="6"/>
  <c r="A86" i="6"/>
  <c r="O85" i="6"/>
  <c r="N85" i="6"/>
  <c r="L85" i="6"/>
  <c r="I85" i="6"/>
  <c r="G85" i="6"/>
  <c r="F85" i="6"/>
  <c r="E85" i="6"/>
  <c r="D85" i="6"/>
  <c r="C85" i="6"/>
  <c r="B85" i="6"/>
  <c r="A85" i="6"/>
  <c r="O84" i="6"/>
  <c r="N84" i="6"/>
  <c r="L84" i="6"/>
  <c r="I84" i="6"/>
  <c r="G84" i="6"/>
  <c r="F84" i="6"/>
  <c r="E84" i="6"/>
  <c r="D84" i="6"/>
  <c r="C84" i="6"/>
  <c r="B84" i="6"/>
  <c r="A84" i="6"/>
  <c r="O83" i="6"/>
  <c r="N83" i="6"/>
  <c r="L83" i="6"/>
  <c r="I83" i="6"/>
  <c r="G83" i="6"/>
  <c r="F83" i="6"/>
  <c r="E83" i="6"/>
  <c r="D83" i="6"/>
  <c r="C83" i="6"/>
  <c r="B83" i="6"/>
  <c r="A83" i="6"/>
  <c r="O82" i="6"/>
  <c r="N82" i="6"/>
  <c r="L82" i="6"/>
  <c r="I82" i="6"/>
  <c r="G82" i="6"/>
  <c r="F82" i="6"/>
  <c r="E82" i="6"/>
  <c r="D82" i="6"/>
  <c r="C82" i="6"/>
  <c r="B82" i="6"/>
  <c r="A82" i="6"/>
  <c r="O81" i="6"/>
  <c r="N81" i="6"/>
  <c r="L81" i="6"/>
  <c r="I81" i="6"/>
  <c r="G81" i="6"/>
  <c r="F81" i="6"/>
  <c r="E81" i="6"/>
  <c r="D81" i="6"/>
  <c r="C81" i="6"/>
  <c r="B81" i="6"/>
  <c r="A81" i="6"/>
  <c r="O80" i="6"/>
  <c r="N80" i="6"/>
  <c r="L80" i="6"/>
  <c r="I80" i="6"/>
  <c r="G80" i="6"/>
  <c r="F80" i="6"/>
  <c r="E80" i="6"/>
  <c r="D80" i="6"/>
  <c r="C80" i="6"/>
  <c r="B80" i="6"/>
  <c r="A80" i="6"/>
  <c r="O79" i="6"/>
  <c r="N79" i="6"/>
  <c r="L79" i="6"/>
  <c r="I79" i="6"/>
  <c r="G79" i="6"/>
  <c r="F79" i="6"/>
  <c r="E79" i="6"/>
  <c r="D79" i="6"/>
  <c r="C79" i="6"/>
  <c r="B79" i="6"/>
  <c r="A79" i="6"/>
  <c r="O78" i="6"/>
  <c r="N78" i="6"/>
  <c r="L78" i="6"/>
  <c r="I78" i="6"/>
  <c r="G78" i="6"/>
  <c r="F78" i="6"/>
  <c r="E78" i="6"/>
  <c r="D78" i="6"/>
  <c r="C78" i="6"/>
  <c r="B78" i="6"/>
  <c r="A78" i="6"/>
  <c r="O77" i="6"/>
  <c r="N77" i="6"/>
  <c r="L77" i="6"/>
  <c r="I77" i="6"/>
  <c r="G77" i="6"/>
  <c r="F77" i="6"/>
  <c r="E77" i="6"/>
  <c r="D77" i="6"/>
  <c r="C77" i="6"/>
  <c r="B77" i="6"/>
  <c r="A77" i="6"/>
  <c r="O76" i="6"/>
  <c r="N76" i="6"/>
  <c r="L76" i="6"/>
  <c r="I76" i="6"/>
  <c r="G76" i="6"/>
  <c r="F76" i="6"/>
  <c r="E76" i="6"/>
  <c r="D76" i="6"/>
  <c r="C76" i="6"/>
  <c r="B76" i="6"/>
  <c r="A76" i="6"/>
  <c r="O75" i="6"/>
  <c r="N75" i="6"/>
  <c r="L75" i="6"/>
  <c r="I75" i="6"/>
  <c r="G75" i="6"/>
  <c r="F75" i="6"/>
  <c r="E75" i="6"/>
  <c r="D75" i="6"/>
  <c r="C75" i="6"/>
  <c r="B75" i="6"/>
  <c r="A75" i="6"/>
  <c r="O74" i="6"/>
  <c r="N74" i="6"/>
  <c r="L74" i="6"/>
  <c r="I74" i="6"/>
  <c r="G74" i="6"/>
  <c r="F74" i="6"/>
  <c r="E74" i="6"/>
  <c r="D74" i="6"/>
  <c r="C74" i="6"/>
  <c r="B74" i="6"/>
  <c r="A74" i="6"/>
  <c r="O73" i="6"/>
  <c r="N73" i="6"/>
  <c r="L73" i="6"/>
  <c r="I73" i="6"/>
  <c r="G73" i="6"/>
  <c r="F73" i="6"/>
  <c r="E73" i="6"/>
  <c r="D73" i="6"/>
  <c r="C73" i="6"/>
  <c r="B73" i="6"/>
  <c r="A73" i="6"/>
  <c r="O72" i="6"/>
  <c r="N72" i="6"/>
  <c r="L72" i="6"/>
  <c r="I72" i="6"/>
  <c r="G72" i="6"/>
  <c r="F72" i="6"/>
  <c r="E72" i="6"/>
  <c r="D72" i="6"/>
  <c r="C72" i="6"/>
  <c r="B72" i="6"/>
  <c r="A72" i="6"/>
  <c r="O71" i="6"/>
  <c r="N71" i="6"/>
  <c r="L71" i="6"/>
  <c r="I71" i="6"/>
  <c r="G71" i="6"/>
  <c r="F71" i="6"/>
  <c r="E71" i="6"/>
  <c r="D71" i="6"/>
  <c r="C71" i="6"/>
  <c r="B71" i="6"/>
  <c r="A71" i="6"/>
  <c r="O70" i="6"/>
  <c r="N70" i="6"/>
  <c r="L70" i="6"/>
  <c r="I70" i="6"/>
  <c r="G70" i="6"/>
  <c r="F70" i="6"/>
  <c r="E70" i="6"/>
  <c r="D70" i="6"/>
  <c r="C70" i="6"/>
  <c r="B70" i="6"/>
  <c r="A70" i="6"/>
  <c r="O69" i="6"/>
  <c r="N69" i="6"/>
  <c r="L69" i="6"/>
  <c r="I69" i="6"/>
  <c r="G69" i="6"/>
  <c r="F69" i="6"/>
  <c r="E69" i="6"/>
  <c r="D69" i="6"/>
  <c r="C69" i="6"/>
  <c r="B69" i="6"/>
  <c r="A69" i="6"/>
  <c r="O68" i="6"/>
  <c r="N68" i="6"/>
  <c r="L68" i="6"/>
  <c r="I68" i="6"/>
  <c r="G68" i="6"/>
  <c r="F68" i="6"/>
  <c r="E68" i="6"/>
  <c r="D68" i="6"/>
  <c r="C68" i="6"/>
  <c r="B68" i="6"/>
  <c r="A68" i="6"/>
  <c r="O67" i="6"/>
  <c r="N67" i="6"/>
  <c r="L67" i="6"/>
  <c r="I67" i="6"/>
  <c r="G67" i="6"/>
  <c r="F67" i="6"/>
  <c r="E67" i="6"/>
  <c r="D67" i="6"/>
  <c r="C67" i="6"/>
  <c r="B67" i="6"/>
  <c r="A67" i="6"/>
  <c r="O66" i="6"/>
  <c r="N66" i="6"/>
  <c r="L66" i="6"/>
  <c r="I66" i="6"/>
  <c r="G66" i="6"/>
  <c r="F66" i="6"/>
  <c r="E66" i="6"/>
  <c r="D66" i="6"/>
  <c r="C66" i="6"/>
  <c r="B66" i="6"/>
  <c r="A66" i="6"/>
  <c r="O65" i="6"/>
  <c r="N65" i="6"/>
  <c r="L65" i="6"/>
  <c r="I65" i="6"/>
  <c r="G65" i="6"/>
  <c r="F65" i="6"/>
  <c r="E65" i="6"/>
  <c r="D65" i="6"/>
  <c r="C65" i="6"/>
  <c r="B65" i="6"/>
  <c r="A65" i="6"/>
  <c r="O64" i="6"/>
  <c r="N64" i="6"/>
  <c r="L64" i="6"/>
  <c r="I64" i="6"/>
  <c r="G64" i="6"/>
  <c r="F64" i="6"/>
  <c r="E64" i="6"/>
  <c r="D64" i="6"/>
  <c r="C64" i="6"/>
  <c r="B64" i="6"/>
  <c r="A64" i="6"/>
  <c r="O63" i="6"/>
  <c r="N63" i="6"/>
  <c r="L63" i="6"/>
  <c r="I63" i="6"/>
  <c r="G63" i="6"/>
  <c r="F63" i="6"/>
  <c r="E63" i="6"/>
  <c r="D63" i="6"/>
  <c r="C63" i="6"/>
  <c r="B63" i="6"/>
  <c r="A63" i="6"/>
  <c r="O62" i="6"/>
  <c r="N62" i="6"/>
  <c r="L62" i="6"/>
  <c r="I62" i="6"/>
  <c r="G62" i="6"/>
  <c r="F62" i="6"/>
  <c r="E62" i="6"/>
  <c r="D62" i="6"/>
  <c r="C62" i="6"/>
  <c r="B62" i="6"/>
  <c r="A62" i="6"/>
  <c r="O61" i="6"/>
  <c r="N61" i="6"/>
  <c r="L61" i="6"/>
  <c r="I61" i="6"/>
  <c r="G61" i="6"/>
  <c r="F61" i="6"/>
  <c r="E61" i="6"/>
  <c r="D61" i="6"/>
  <c r="C61" i="6"/>
  <c r="B61" i="6"/>
  <c r="A61" i="6"/>
  <c r="O60" i="6"/>
  <c r="N60" i="6"/>
  <c r="L60" i="6"/>
  <c r="I60" i="6"/>
  <c r="G60" i="6"/>
  <c r="F60" i="6"/>
  <c r="E60" i="6"/>
  <c r="D60" i="6"/>
  <c r="C60" i="6"/>
  <c r="B60" i="6"/>
  <c r="A60" i="6"/>
  <c r="O59" i="6"/>
  <c r="N59" i="6"/>
  <c r="L59" i="6"/>
  <c r="I59" i="6"/>
  <c r="G59" i="6"/>
  <c r="F59" i="6"/>
  <c r="E59" i="6"/>
  <c r="D59" i="6"/>
  <c r="C59" i="6"/>
  <c r="B59" i="6"/>
  <c r="A59" i="6"/>
  <c r="O58" i="6"/>
  <c r="N58" i="6"/>
  <c r="L58" i="6"/>
  <c r="I58" i="6"/>
  <c r="G58" i="6"/>
  <c r="F58" i="6"/>
  <c r="E58" i="6"/>
  <c r="D58" i="6"/>
  <c r="C58" i="6"/>
  <c r="B58" i="6"/>
  <c r="A58" i="6"/>
  <c r="O57" i="6"/>
  <c r="N57" i="6"/>
  <c r="L57" i="6"/>
  <c r="I57" i="6"/>
  <c r="G57" i="6"/>
  <c r="F57" i="6"/>
  <c r="E57" i="6"/>
  <c r="D57" i="6"/>
  <c r="C57" i="6"/>
  <c r="B57" i="6"/>
  <c r="A57" i="6"/>
  <c r="O56" i="6"/>
  <c r="N56" i="6"/>
  <c r="L56" i="6"/>
  <c r="I56" i="6"/>
  <c r="G56" i="6"/>
  <c r="F56" i="6"/>
  <c r="E56" i="6"/>
  <c r="D56" i="6"/>
  <c r="C56" i="6"/>
  <c r="B56" i="6"/>
  <c r="A56" i="6"/>
  <c r="O55" i="6"/>
  <c r="N55" i="6"/>
  <c r="L55" i="6"/>
  <c r="I55" i="6"/>
  <c r="G55" i="6"/>
  <c r="F55" i="6"/>
  <c r="E55" i="6"/>
  <c r="D55" i="6"/>
  <c r="C55" i="6"/>
  <c r="B55" i="6"/>
  <c r="A55" i="6"/>
  <c r="O54" i="6"/>
  <c r="N54" i="6"/>
  <c r="L54" i="6"/>
  <c r="I54" i="6"/>
  <c r="G54" i="6"/>
  <c r="F54" i="6"/>
  <c r="E54" i="6"/>
  <c r="D54" i="6"/>
  <c r="C54" i="6"/>
  <c r="B54" i="6"/>
  <c r="A54" i="6"/>
  <c r="O53" i="6"/>
  <c r="N53" i="6"/>
  <c r="L53" i="6"/>
  <c r="I53" i="6"/>
  <c r="G53" i="6"/>
  <c r="F53" i="6"/>
  <c r="E53" i="6"/>
  <c r="D53" i="6"/>
  <c r="C53" i="6"/>
  <c r="B53" i="6"/>
  <c r="A53" i="6"/>
  <c r="O52" i="6"/>
  <c r="N52" i="6"/>
  <c r="L52" i="6"/>
  <c r="I52" i="6"/>
  <c r="G52" i="6"/>
  <c r="F52" i="6"/>
  <c r="E52" i="6"/>
  <c r="D52" i="6"/>
  <c r="C52" i="6"/>
  <c r="B52" i="6"/>
  <c r="A52" i="6"/>
  <c r="O51" i="6"/>
  <c r="N51" i="6"/>
  <c r="L51" i="6"/>
  <c r="I51" i="6"/>
  <c r="G51" i="6"/>
  <c r="F51" i="6"/>
  <c r="E51" i="6"/>
  <c r="D51" i="6"/>
  <c r="C51" i="6"/>
  <c r="B51" i="6"/>
  <c r="A51" i="6"/>
  <c r="O50" i="6"/>
  <c r="N50" i="6"/>
  <c r="L50" i="6"/>
  <c r="I50" i="6"/>
  <c r="G50" i="6"/>
  <c r="F50" i="6"/>
  <c r="E50" i="6"/>
  <c r="D50" i="6"/>
  <c r="C50" i="6"/>
  <c r="B50" i="6"/>
  <c r="A50" i="6"/>
  <c r="O49" i="6"/>
  <c r="N49" i="6"/>
  <c r="L49" i="6"/>
  <c r="I49" i="6"/>
  <c r="G49" i="6"/>
  <c r="F49" i="6"/>
  <c r="E49" i="6"/>
  <c r="D49" i="6"/>
  <c r="C49" i="6"/>
  <c r="B49" i="6"/>
  <c r="A49" i="6"/>
  <c r="O48" i="6"/>
  <c r="N48" i="6"/>
  <c r="L48" i="6"/>
  <c r="I48" i="6"/>
  <c r="G48" i="6"/>
  <c r="F48" i="6"/>
  <c r="E48" i="6"/>
  <c r="D48" i="6"/>
  <c r="C48" i="6"/>
  <c r="B48" i="6"/>
  <c r="A48" i="6"/>
  <c r="O47" i="6"/>
  <c r="N47" i="6"/>
  <c r="L47" i="6"/>
  <c r="I47" i="6"/>
  <c r="G47" i="6"/>
  <c r="F47" i="6"/>
  <c r="E47" i="6"/>
  <c r="D47" i="6"/>
  <c r="C47" i="6"/>
  <c r="B47" i="6"/>
  <c r="A47" i="6"/>
  <c r="O46" i="6"/>
  <c r="N46" i="6"/>
  <c r="L46" i="6"/>
  <c r="I46" i="6"/>
  <c r="G46" i="6"/>
  <c r="F46" i="6"/>
  <c r="E46" i="6"/>
  <c r="D46" i="6"/>
  <c r="C46" i="6"/>
  <c r="B46" i="6"/>
  <c r="A46" i="6"/>
  <c r="O45" i="6"/>
  <c r="N45" i="6"/>
  <c r="L45" i="6"/>
  <c r="I45" i="6"/>
  <c r="G45" i="6"/>
  <c r="F45" i="6"/>
  <c r="E45" i="6"/>
  <c r="D45" i="6"/>
  <c r="C45" i="6"/>
  <c r="B45" i="6"/>
  <c r="A45" i="6"/>
  <c r="O44" i="6"/>
  <c r="N44" i="6"/>
  <c r="L44" i="6"/>
  <c r="I44" i="6"/>
  <c r="G44" i="6"/>
  <c r="F44" i="6"/>
  <c r="E44" i="6"/>
  <c r="D44" i="6"/>
  <c r="C44" i="6"/>
  <c r="B44" i="6"/>
  <c r="A44" i="6"/>
  <c r="O43" i="6"/>
  <c r="N43" i="6"/>
  <c r="L43" i="6"/>
  <c r="I43" i="6"/>
  <c r="G43" i="6"/>
  <c r="F43" i="6"/>
  <c r="E43" i="6"/>
  <c r="D43" i="6"/>
  <c r="C43" i="6"/>
  <c r="B43" i="6"/>
  <c r="A43" i="6"/>
  <c r="O42" i="6"/>
  <c r="N42" i="6"/>
  <c r="L42" i="6"/>
  <c r="I42" i="6"/>
  <c r="G42" i="6"/>
  <c r="F42" i="6"/>
  <c r="E42" i="6"/>
  <c r="D42" i="6"/>
  <c r="C42" i="6"/>
  <c r="B42" i="6"/>
  <c r="A42" i="6"/>
  <c r="O41" i="6"/>
  <c r="N41" i="6"/>
  <c r="L41" i="6"/>
  <c r="I41" i="6"/>
  <c r="G41" i="6"/>
  <c r="F41" i="6"/>
  <c r="E41" i="6"/>
  <c r="D41" i="6"/>
  <c r="C41" i="6"/>
  <c r="B41" i="6"/>
  <c r="A41" i="6"/>
  <c r="O40" i="6"/>
  <c r="N40" i="6"/>
  <c r="L40" i="6"/>
  <c r="I40" i="6"/>
  <c r="G40" i="6"/>
  <c r="F40" i="6"/>
  <c r="E40" i="6"/>
  <c r="D40" i="6"/>
  <c r="C40" i="6"/>
  <c r="B40" i="6"/>
  <c r="A40" i="6"/>
  <c r="O39" i="6"/>
  <c r="N39" i="6"/>
  <c r="L39" i="6"/>
  <c r="I39" i="6"/>
  <c r="G39" i="6"/>
  <c r="F39" i="6"/>
  <c r="E39" i="6"/>
  <c r="D39" i="6"/>
  <c r="C39" i="6"/>
  <c r="B39" i="6"/>
  <c r="A39" i="6"/>
  <c r="O38" i="6"/>
  <c r="N38" i="6"/>
  <c r="L38" i="6"/>
  <c r="I38" i="6"/>
  <c r="G38" i="6"/>
  <c r="F38" i="6"/>
  <c r="E38" i="6"/>
  <c r="D38" i="6"/>
  <c r="C38" i="6"/>
  <c r="B38" i="6"/>
  <c r="A38" i="6"/>
  <c r="O37" i="6"/>
  <c r="N37" i="6"/>
  <c r="L37" i="6"/>
  <c r="I37" i="6"/>
  <c r="G37" i="6"/>
  <c r="F37" i="6"/>
  <c r="E37" i="6"/>
  <c r="D37" i="6"/>
  <c r="C37" i="6"/>
  <c r="B37" i="6"/>
  <c r="A37" i="6"/>
  <c r="O36" i="6"/>
  <c r="N36" i="6"/>
  <c r="L36" i="6"/>
  <c r="I36" i="6"/>
  <c r="G36" i="6"/>
  <c r="F36" i="6"/>
  <c r="E36" i="6"/>
  <c r="D36" i="6"/>
  <c r="C36" i="6"/>
  <c r="B36" i="6"/>
  <c r="A36" i="6"/>
  <c r="O35" i="6"/>
  <c r="N35" i="6"/>
  <c r="L35" i="6"/>
  <c r="I35" i="6"/>
  <c r="G35" i="6"/>
  <c r="F35" i="6"/>
  <c r="E35" i="6"/>
  <c r="D35" i="6"/>
  <c r="C35" i="6"/>
  <c r="B35" i="6"/>
  <c r="A35" i="6"/>
  <c r="O34" i="6"/>
  <c r="N34" i="6"/>
  <c r="L34" i="6"/>
  <c r="I34" i="6"/>
  <c r="G34" i="6"/>
  <c r="F34" i="6"/>
  <c r="E34" i="6"/>
  <c r="D34" i="6"/>
  <c r="C34" i="6"/>
  <c r="B34" i="6"/>
  <c r="A34" i="6"/>
  <c r="O33" i="6"/>
  <c r="N33" i="6"/>
  <c r="L33" i="6"/>
  <c r="I33" i="6"/>
  <c r="G33" i="6"/>
  <c r="F33" i="6"/>
  <c r="E33" i="6"/>
  <c r="D33" i="6"/>
  <c r="C33" i="6"/>
  <c r="B33" i="6"/>
  <c r="A33" i="6"/>
  <c r="O32" i="6"/>
  <c r="N32" i="6"/>
  <c r="L32" i="6"/>
  <c r="I32" i="6"/>
  <c r="G32" i="6"/>
  <c r="F32" i="6"/>
  <c r="E32" i="6"/>
  <c r="D32" i="6"/>
  <c r="C32" i="6"/>
  <c r="B32" i="6"/>
  <c r="A32" i="6"/>
  <c r="O31" i="6"/>
  <c r="N31" i="6"/>
  <c r="L31" i="6"/>
  <c r="I31" i="6"/>
  <c r="G31" i="6"/>
  <c r="F31" i="6"/>
  <c r="E31" i="6"/>
  <c r="D31" i="6"/>
  <c r="C31" i="6"/>
  <c r="B31" i="6"/>
  <c r="A31" i="6"/>
  <c r="O30" i="6"/>
  <c r="N30" i="6"/>
  <c r="L30" i="6"/>
  <c r="I30" i="6"/>
  <c r="G30" i="6"/>
  <c r="F30" i="6"/>
  <c r="E30" i="6"/>
  <c r="D30" i="6"/>
  <c r="C30" i="6"/>
  <c r="B30" i="6"/>
  <c r="A30" i="6"/>
  <c r="O29" i="6"/>
  <c r="N29" i="6"/>
  <c r="L29" i="6"/>
  <c r="I29" i="6"/>
  <c r="G29" i="6"/>
  <c r="F29" i="6"/>
  <c r="E29" i="6"/>
  <c r="D29" i="6"/>
  <c r="C29" i="6"/>
  <c r="B29" i="6"/>
  <c r="A29" i="6"/>
  <c r="O28" i="6"/>
  <c r="N28" i="6"/>
  <c r="L28" i="6"/>
  <c r="I28" i="6"/>
  <c r="G28" i="6"/>
  <c r="F28" i="6"/>
  <c r="E28" i="6"/>
  <c r="D28" i="6"/>
  <c r="C28" i="6"/>
  <c r="B28" i="6"/>
  <c r="A28" i="6"/>
  <c r="O27" i="6"/>
  <c r="N27" i="6"/>
  <c r="L27" i="6"/>
  <c r="I27" i="6"/>
  <c r="G27" i="6"/>
  <c r="F27" i="6"/>
  <c r="E27" i="6"/>
  <c r="D27" i="6"/>
  <c r="C27" i="6"/>
  <c r="B27" i="6"/>
  <c r="A27" i="6"/>
  <c r="O26" i="6"/>
  <c r="N26" i="6"/>
  <c r="L26" i="6"/>
  <c r="I26" i="6"/>
  <c r="G26" i="6"/>
  <c r="F26" i="6"/>
  <c r="E26" i="6"/>
  <c r="D26" i="6"/>
  <c r="C26" i="6"/>
  <c r="B26" i="6"/>
  <c r="A26" i="6"/>
  <c r="O25" i="6"/>
  <c r="N25" i="6"/>
  <c r="L25" i="6"/>
  <c r="I25" i="6"/>
  <c r="G25" i="6"/>
  <c r="F25" i="6"/>
  <c r="E25" i="6"/>
  <c r="D25" i="6"/>
  <c r="C25" i="6"/>
  <c r="B25" i="6"/>
  <c r="A25" i="6"/>
  <c r="O24" i="6"/>
  <c r="N24" i="6"/>
  <c r="L24" i="6"/>
  <c r="I24" i="6"/>
  <c r="G24" i="6"/>
  <c r="F24" i="6"/>
  <c r="E24" i="6"/>
  <c r="D24" i="6"/>
  <c r="C24" i="6"/>
  <c r="B24" i="6"/>
  <c r="A24" i="6"/>
  <c r="O23" i="6"/>
  <c r="N23" i="6"/>
  <c r="L23" i="6"/>
  <c r="I23" i="6"/>
  <c r="G23" i="6"/>
  <c r="F23" i="6"/>
  <c r="E23" i="6"/>
  <c r="D23" i="6"/>
  <c r="C23" i="6"/>
  <c r="B23" i="6"/>
  <c r="A23" i="6"/>
  <c r="O22" i="6"/>
  <c r="N22" i="6"/>
  <c r="L22" i="6"/>
  <c r="I22" i="6"/>
  <c r="G22" i="6"/>
  <c r="F22" i="6"/>
  <c r="E22" i="6"/>
  <c r="D22" i="6"/>
  <c r="C22" i="6"/>
  <c r="B22" i="6"/>
  <c r="A22" i="6"/>
  <c r="O21" i="6"/>
  <c r="N21" i="6"/>
  <c r="L21" i="6"/>
  <c r="I21" i="6"/>
  <c r="G21" i="6"/>
  <c r="F21" i="6"/>
  <c r="E21" i="6"/>
  <c r="D21" i="6"/>
  <c r="C21" i="6"/>
  <c r="B21" i="6"/>
  <c r="A21" i="6"/>
  <c r="O20" i="6"/>
  <c r="N20" i="6"/>
  <c r="L20" i="6"/>
  <c r="I20" i="6"/>
  <c r="G20" i="6"/>
  <c r="F20" i="6"/>
  <c r="E20" i="6"/>
  <c r="D20" i="6"/>
  <c r="C20" i="6"/>
  <c r="B20" i="6"/>
  <c r="A20" i="6"/>
  <c r="O19" i="6"/>
  <c r="N19" i="6"/>
  <c r="L19" i="6"/>
  <c r="I19" i="6"/>
  <c r="G19" i="6"/>
  <c r="F19" i="6"/>
  <c r="E19" i="6"/>
  <c r="D19" i="6"/>
  <c r="C19" i="6"/>
  <c r="B19" i="6"/>
  <c r="A19" i="6"/>
  <c r="O18" i="6"/>
  <c r="N18" i="6"/>
  <c r="L18" i="6"/>
  <c r="I18" i="6"/>
  <c r="G18" i="6"/>
  <c r="F18" i="6"/>
  <c r="E18" i="6"/>
  <c r="D18" i="6"/>
  <c r="C18" i="6"/>
  <c r="B18" i="6"/>
  <c r="A18" i="6"/>
  <c r="O17" i="6"/>
  <c r="N17" i="6"/>
  <c r="L17" i="6"/>
  <c r="I17" i="6"/>
  <c r="G17" i="6"/>
  <c r="F17" i="6"/>
  <c r="E17" i="6"/>
  <c r="D17" i="6"/>
  <c r="C17" i="6"/>
  <c r="B17" i="6"/>
  <c r="A17" i="6"/>
  <c r="O16" i="6"/>
  <c r="N16" i="6"/>
  <c r="L16" i="6"/>
  <c r="I16" i="6"/>
  <c r="G16" i="6"/>
  <c r="F16" i="6"/>
  <c r="E16" i="6"/>
  <c r="D16" i="6"/>
  <c r="C16" i="6"/>
  <c r="B16" i="6"/>
  <c r="A16" i="6"/>
  <c r="O15" i="6"/>
  <c r="N15" i="6"/>
  <c r="L15" i="6"/>
  <c r="I15" i="6"/>
  <c r="G15" i="6"/>
  <c r="F15" i="6"/>
  <c r="E15" i="6"/>
  <c r="D15" i="6"/>
  <c r="C15" i="6"/>
  <c r="B15" i="6"/>
  <c r="A15" i="6"/>
  <c r="O14" i="6"/>
  <c r="N14" i="6"/>
  <c r="L14" i="6"/>
  <c r="I14" i="6"/>
  <c r="G14" i="6"/>
  <c r="F14" i="6"/>
  <c r="E14" i="6"/>
  <c r="D14" i="6"/>
  <c r="C14" i="6"/>
  <c r="B14" i="6"/>
  <c r="A14" i="6"/>
  <c r="O13" i="6"/>
  <c r="N13" i="6"/>
  <c r="L13" i="6"/>
  <c r="I13" i="6"/>
  <c r="G13" i="6"/>
  <c r="F13" i="6"/>
  <c r="E13" i="6"/>
  <c r="D13" i="6"/>
  <c r="C13" i="6"/>
  <c r="B13" i="6"/>
  <c r="A13" i="6"/>
  <c r="O12" i="6"/>
  <c r="N12" i="6"/>
  <c r="L12" i="6"/>
  <c r="I12" i="6"/>
  <c r="G12" i="6"/>
  <c r="F12" i="6"/>
  <c r="E12" i="6"/>
  <c r="D12" i="6"/>
  <c r="C12" i="6"/>
  <c r="B12" i="6"/>
  <c r="A12" i="6"/>
  <c r="O11" i="6"/>
  <c r="N11" i="6"/>
  <c r="L11" i="6"/>
  <c r="I11" i="6"/>
  <c r="G11" i="6"/>
  <c r="F11" i="6"/>
  <c r="E11" i="6"/>
  <c r="D11" i="6"/>
  <c r="C11" i="6"/>
  <c r="B11" i="6"/>
  <c r="A11" i="6"/>
  <c r="O10" i="6"/>
  <c r="N10" i="6"/>
  <c r="L10" i="6"/>
  <c r="I10" i="6"/>
  <c r="G10" i="6"/>
  <c r="F10" i="6"/>
  <c r="E10" i="6"/>
  <c r="D10" i="6"/>
  <c r="C10" i="6"/>
  <c r="B10" i="6"/>
  <c r="A10" i="6"/>
  <c r="O9" i="6"/>
  <c r="N9" i="6"/>
  <c r="L9" i="6"/>
  <c r="I9" i="6"/>
  <c r="G9" i="6"/>
  <c r="F9" i="6"/>
  <c r="E9" i="6"/>
  <c r="D9" i="6"/>
  <c r="C9" i="6"/>
  <c r="B9" i="6"/>
  <c r="A9" i="6"/>
  <c r="O8" i="6"/>
  <c r="N8" i="6"/>
  <c r="L8" i="6"/>
  <c r="I8" i="6"/>
  <c r="G8" i="6"/>
  <c r="F8" i="6"/>
  <c r="E8" i="6"/>
  <c r="D8" i="6"/>
  <c r="C8" i="6"/>
  <c r="B8" i="6"/>
  <c r="A8" i="6"/>
  <c r="O7" i="6"/>
  <c r="N7" i="6"/>
  <c r="L7" i="6"/>
  <c r="I7" i="6"/>
  <c r="G7" i="6"/>
  <c r="F7" i="6"/>
  <c r="E7" i="6"/>
  <c r="D7" i="6"/>
  <c r="C7" i="6"/>
  <c r="B7" i="6"/>
  <c r="A7" i="6"/>
  <c r="O6" i="6"/>
  <c r="N6" i="6"/>
  <c r="L6" i="6"/>
  <c r="I6" i="6"/>
  <c r="G6" i="6"/>
  <c r="F6" i="6"/>
  <c r="E6" i="6"/>
  <c r="D6" i="6"/>
  <c r="C6" i="6"/>
  <c r="B6" i="6"/>
  <c r="A6" i="6"/>
  <c r="O5" i="6"/>
  <c r="N5" i="6"/>
  <c r="L5" i="6"/>
  <c r="I5" i="6"/>
  <c r="I524" i="6" s="1"/>
  <c r="G5" i="6"/>
  <c r="F5" i="6"/>
  <c r="E5" i="6"/>
  <c r="D5" i="6"/>
  <c r="C5" i="6"/>
  <c r="B5" i="6"/>
  <c r="A5" i="6"/>
  <c r="H22" i="5"/>
  <c r="E20" i="5"/>
  <c r="M19" i="5"/>
  <c r="J19" i="5"/>
  <c r="E19" i="5"/>
  <c r="M18" i="5"/>
  <c r="M17" i="5"/>
  <c r="M16" i="5"/>
  <c r="G16" i="5"/>
  <c r="F28" i="4"/>
  <c r="O27" i="4"/>
  <c r="G27" i="4"/>
  <c r="O26" i="4"/>
  <c r="G26" i="4"/>
  <c r="O25" i="4"/>
  <c r="G25" i="4"/>
  <c r="O24" i="4"/>
  <c r="G24" i="4"/>
  <c r="O23" i="4"/>
  <c r="G23" i="4"/>
  <c r="O22" i="4"/>
  <c r="G22" i="4"/>
  <c r="O21" i="4"/>
  <c r="G21" i="4"/>
  <c r="O20" i="4"/>
  <c r="G20" i="4"/>
  <c r="O19" i="4"/>
  <c r="G19" i="4"/>
  <c r="O18" i="4"/>
  <c r="G18" i="4"/>
  <c r="O17" i="4"/>
  <c r="G17" i="4"/>
  <c r="O16" i="4"/>
  <c r="G16" i="4"/>
  <c r="O15" i="4"/>
  <c r="G15" i="4"/>
  <c r="O14" i="4"/>
  <c r="G14" i="4"/>
  <c r="O13" i="4"/>
  <c r="G13" i="4"/>
  <c r="O12" i="4"/>
  <c r="G12" i="4"/>
  <c r="O11" i="4"/>
  <c r="G11" i="4"/>
  <c r="O10" i="4"/>
  <c r="G10" i="4"/>
  <c r="O9" i="4"/>
  <c r="G9" i="4"/>
  <c r="O8" i="4"/>
  <c r="G8" i="4"/>
  <c r="O7" i="4"/>
  <c r="G7" i="4"/>
  <c r="O6" i="4"/>
  <c r="G6" i="4"/>
  <c r="O5" i="4"/>
  <c r="G5" i="4"/>
  <c r="O4" i="4"/>
  <c r="O28" i="4" s="1"/>
  <c r="G4" i="4"/>
  <c r="G28" i="4" s="1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J142" i="3" s="1"/>
  <c r="I4" i="3"/>
  <c r="AK2955" i="2"/>
  <c r="AF2955" i="2"/>
  <c r="V2955" i="2"/>
  <c r="AK2954" i="2"/>
  <c r="V2954" i="2"/>
  <c r="AK2953" i="2"/>
  <c r="AF2953" i="2"/>
  <c r="V2953" i="2"/>
  <c r="AK2952" i="2"/>
  <c r="V2952" i="2"/>
  <c r="AK2951" i="2"/>
  <c r="AF2951" i="2"/>
  <c r="V2951" i="2"/>
  <c r="AK2950" i="2"/>
  <c r="V2950" i="2"/>
  <c r="AK2949" i="2"/>
  <c r="AF2949" i="2"/>
  <c r="V2949" i="2"/>
  <c r="AK2948" i="2"/>
  <c r="AF2948" i="2"/>
  <c r="V2948" i="2"/>
  <c r="AK2947" i="2"/>
  <c r="AF2947" i="2"/>
  <c r="V2947" i="2"/>
  <c r="AK2946" i="2"/>
  <c r="V2946" i="2"/>
  <c r="AK2945" i="2"/>
  <c r="AF2945" i="2"/>
  <c r="V2945" i="2"/>
  <c r="AK2944" i="2"/>
  <c r="AF2944" i="2"/>
  <c r="V2944" i="2"/>
  <c r="AK2943" i="2"/>
  <c r="V2943" i="2"/>
  <c r="AK2942" i="2"/>
  <c r="AF2942" i="2"/>
  <c r="V2942" i="2"/>
  <c r="AK2941" i="2"/>
  <c r="V2941" i="2"/>
  <c r="AK2940" i="2"/>
  <c r="V2940" i="2"/>
  <c r="AK2939" i="2"/>
  <c r="V2939" i="2"/>
  <c r="AK2938" i="2"/>
  <c r="V2938" i="2"/>
  <c r="AK2937" i="2"/>
  <c r="AF2937" i="2"/>
  <c r="V2937" i="2"/>
  <c r="AK2936" i="2"/>
  <c r="AF2936" i="2"/>
  <c r="V2936" i="2"/>
  <c r="AK2935" i="2"/>
  <c r="AF2935" i="2"/>
  <c r="V2935" i="2"/>
  <c r="AK2934" i="2"/>
  <c r="V2934" i="2"/>
  <c r="AK2933" i="2"/>
  <c r="V2933" i="2"/>
  <c r="AK2932" i="2"/>
  <c r="AF2932" i="2"/>
  <c r="V2932" i="2"/>
  <c r="AK2931" i="2"/>
  <c r="AF2931" i="2"/>
  <c r="V2931" i="2"/>
  <c r="AK2930" i="2"/>
  <c r="V2930" i="2"/>
  <c r="AK2929" i="2"/>
  <c r="AF2929" i="2"/>
  <c r="V2929" i="2"/>
  <c r="AK2928" i="2"/>
  <c r="AF2928" i="2"/>
  <c r="V2928" i="2"/>
  <c r="AK2927" i="2"/>
  <c r="AF2927" i="2"/>
  <c r="V2927" i="2"/>
  <c r="AK2926" i="2"/>
  <c r="V2926" i="2"/>
  <c r="AK2925" i="2"/>
  <c r="AF2925" i="2"/>
  <c r="V2925" i="2"/>
  <c r="AK2924" i="2"/>
  <c r="V2924" i="2"/>
  <c r="AK2923" i="2"/>
  <c r="AF2923" i="2"/>
  <c r="V2923" i="2"/>
  <c r="AK2922" i="2"/>
  <c r="AF2922" i="2"/>
  <c r="V2922" i="2"/>
  <c r="AK2921" i="2"/>
  <c r="AF2921" i="2"/>
  <c r="V2921" i="2"/>
  <c r="AK2920" i="2"/>
  <c r="AF2920" i="2"/>
  <c r="V2920" i="2"/>
  <c r="AK2919" i="2"/>
  <c r="AF2919" i="2"/>
  <c r="V2919" i="2"/>
  <c r="AK2918" i="2"/>
  <c r="AF2918" i="2"/>
  <c r="V2918" i="2"/>
  <c r="AK2917" i="2"/>
  <c r="AF2917" i="2"/>
  <c r="V2917" i="2"/>
  <c r="AK2916" i="2"/>
  <c r="AF2916" i="2"/>
  <c r="V2916" i="2"/>
  <c r="AK2915" i="2"/>
  <c r="V2915" i="2"/>
  <c r="AK2914" i="2"/>
  <c r="V2914" i="2"/>
  <c r="AK2913" i="2"/>
  <c r="AF2913" i="2"/>
  <c r="V2913" i="2"/>
  <c r="AK2912" i="2"/>
  <c r="AF2912" i="2"/>
  <c r="V2912" i="2"/>
  <c r="AK2911" i="2"/>
  <c r="AF2911" i="2"/>
  <c r="V2911" i="2"/>
  <c r="AK2910" i="2"/>
  <c r="V2910" i="2"/>
  <c r="AK2909" i="2"/>
  <c r="V2909" i="2"/>
  <c r="AK2908" i="2"/>
  <c r="AF2908" i="2"/>
  <c r="V2908" i="2"/>
  <c r="AK2907" i="2"/>
  <c r="AF2907" i="2"/>
  <c r="V2907" i="2"/>
  <c r="AK2906" i="2"/>
  <c r="AF2906" i="2"/>
  <c r="V2906" i="2"/>
  <c r="AK2905" i="2"/>
  <c r="V2905" i="2"/>
  <c r="AK2904" i="2"/>
  <c r="V2904" i="2"/>
  <c r="AK2903" i="2"/>
  <c r="AF2903" i="2"/>
  <c r="V2903" i="2"/>
  <c r="AK2902" i="2"/>
  <c r="AF2902" i="2"/>
  <c r="V2902" i="2"/>
  <c r="AK2901" i="2"/>
  <c r="V2901" i="2"/>
  <c r="AK2900" i="2"/>
  <c r="V2900" i="2"/>
  <c r="AK2899" i="2"/>
  <c r="AF2899" i="2"/>
  <c r="V2899" i="2"/>
  <c r="AK2898" i="2"/>
  <c r="AF2898" i="2"/>
  <c r="V2898" i="2"/>
  <c r="AK2897" i="2"/>
  <c r="V2897" i="2"/>
  <c r="AK2896" i="2"/>
  <c r="AF2896" i="2"/>
  <c r="V2896" i="2"/>
  <c r="AK2895" i="2"/>
  <c r="AF2895" i="2"/>
  <c r="V2895" i="2"/>
  <c r="AK2894" i="2"/>
  <c r="V2894" i="2"/>
  <c r="AK2893" i="2"/>
  <c r="AF2893" i="2"/>
  <c r="V2893" i="2"/>
  <c r="AK2892" i="2"/>
  <c r="V2892" i="2"/>
  <c r="AK2891" i="2"/>
  <c r="AF2891" i="2"/>
  <c r="V2891" i="2"/>
  <c r="AK2890" i="2"/>
  <c r="AF2890" i="2"/>
  <c r="V2890" i="2"/>
  <c r="AK2889" i="2"/>
  <c r="AF2889" i="2"/>
  <c r="V2889" i="2"/>
  <c r="AK2888" i="2"/>
  <c r="AF2888" i="2"/>
  <c r="V2888" i="2"/>
  <c r="AK2887" i="2"/>
  <c r="V2887" i="2"/>
  <c r="AK2886" i="2"/>
  <c r="V2886" i="2"/>
  <c r="AK2885" i="2"/>
  <c r="AF2885" i="2"/>
  <c r="V2885" i="2"/>
  <c r="AK2884" i="2"/>
  <c r="V2884" i="2"/>
  <c r="AK2883" i="2"/>
  <c r="AF2883" i="2"/>
  <c r="V2883" i="2"/>
  <c r="AK2882" i="2"/>
  <c r="AF2882" i="2"/>
  <c r="V2882" i="2"/>
  <c r="AK2881" i="2"/>
  <c r="AF2881" i="2"/>
  <c r="V2881" i="2"/>
  <c r="AK2880" i="2"/>
  <c r="V2880" i="2"/>
  <c r="AK2879" i="2"/>
  <c r="V2879" i="2"/>
  <c r="AK2878" i="2"/>
  <c r="AF2878" i="2"/>
  <c r="V2878" i="2"/>
  <c r="AK2877" i="2"/>
  <c r="AF2877" i="2"/>
  <c r="V2877" i="2"/>
  <c r="AK2876" i="2"/>
  <c r="V2876" i="2"/>
  <c r="AK2875" i="2"/>
  <c r="V2875" i="2"/>
  <c r="AK2874" i="2"/>
  <c r="V2874" i="2"/>
  <c r="AK2873" i="2"/>
  <c r="V2873" i="2"/>
  <c r="AK2872" i="2"/>
  <c r="V2872" i="2"/>
  <c r="AK2871" i="2"/>
  <c r="AF2871" i="2"/>
  <c r="V2871" i="2"/>
  <c r="AK2870" i="2"/>
  <c r="AF2870" i="2"/>
  <c r="V2870" i="2"/>
  <c r="AK2869" i="2"/>
  <c r="AF2869" i="2"/>
  <c r="V2869" i="2"/>
  <c r="AK2868" i="2"/>
  <c r="V2868" i="2"/>
  <c r="AK2867" i="2"/>
  <c r="V2867" i="2"/>
  <c r="AK2866" i="2"/>
  <c r="AF2866" i="2"/>
  <c r="V2866" i="2"/>
  <c r="AK2865" i="2"/>
  <c r="AF2865" i="2"/>
  <c r="V2865" i="2"/>
  <c r="AK2864" i="2"/>
  <c r="V2864" i="2"/>
  <c r="AK2863" i="2"/>
  <c r="V2863" i="2"/>
  <c r="AK2862" i="2"/>
  <c r="AF2862" i="2"/>
  <c r="V2862" i="2"/>
  <c r="AK2861" i="2"/>
  <c r="AF2861" i="2"/>
  <c r="V2861" i="2"/>
  <c r="AK2860" i="2"/>
  <c r="AF2860" i="2"/>
  <c r="V2860" i="2"/>
  <c r="AK2859" i="2"/>
  <c r="AF2859" i="2"/>
  <c r="V2859" i="2"/>
  <c r="AK2858" i="2"/>
  <c r="AF2858" i="2"/>
  <c r="V2858" i="2"/>
  <c r="AK2857" i="2"/>
  <c r="AF2857" i="2"/>
  <c r="V2857" i="2"/>
  <c r="AK2856" i="2"/>
  <c r="AF2856" i="2"/>
  <c r="V2856" i="2"/>
  <c r="AK2855" i="2"/>
  <c r="V2855" i="2"/>
  <c r="AK2854" i="2"/>
  <c r="AF2854" i="2"/>
  <c r="V2854" i="2"/>
  <c r="AK2853" i="2"/>
  <c r="V2853" i="2"/>
  <c r="AK2852" i="2"/>
  <c r="AF2852" i="2"/>
  <c r="V2852" i="2"/>
  <c r="AK2851" i="2"/>
  <c r="V2851" i="2"/>
  <c r="AK2850" i="2"/>
  <c r="V2850" i="2"/>
  <c r="AK2849" i="2"/>
  <c r="AF2849" i="2"/>
  <c r="V2849" i="2"/>
  <c r="AK2848" i="2"/>
  <c r="AF2848" i="2"/>
  <c r="V2848" i="2"/>
  <c r="AK2847" i="2"/>
  <c r="V2847" i="2"/>
  <c r="AK2846" i="2"/>
  <c r="AF2846" i="2"/>
  <c r="V2846" i="2"/>
  <c r="AK2845" i="2"/>
  <c r="AF2845" i="2"/>
  <c r="V2845" i="2"/>
  <c r="AK2844" i="2"/>
  <c r="V2844" i="2"/>
  <c r="AK2843" i="2"/>
  <c r="AF2843" i="2"/>
  <c r="V2843" i="2"/>
  <c r="AK2842" i="2"/>
  <c r="AF2842" i="2"/>
  <c r="V2842" i="2"/>
  <c r="AK2841" i="2"/>
  <c r="AF2841" i="2"/>
  <c r="V2841" i="2"/>
  <c r="AK2840" i="2"/>
  <c r="V2840" i="2"/>
  <c r="AK2839" i="2"/>
  <c r="V2839" i="2"/>
  <c r="AK2838" i="2"/>
  <c r="AF2838" i="2"/>
  <c r="V2838" i="2"/>
  <c r="AK2837" i="2"/>
  <c r="V2837" i="2"/>
  <c r="AK2836" i="2"/>
  <c r="V2836" i="2"/>
  <c r="AK2835" i="2"/>
  <c r="V2835" i="2"/>
  <c r="AK2834" i="2"/>
  <c r="V2834" i="2"/>
  <c r="AK2833" i="2"/>
  <c r="V2833" i="2"/>
  <c r="AK2832" i="2"/>
  <c r="V2832" i="2"/>
  <c r="AK2831" i="2"/>
  <c r="V2831" i="2"/>
  <c r="AK2830" i="2"/>
  <c r="V2830" i="2"/>
  <c r="AK2829" i="2"/>
  <c r="AF2829" i="2"/>
  <c r="V2829" i="2"/>
  <c r="AK2828" i="2"/>
  <c r="AF2828" i="2"/>
  <c r="V2828" i="2"/>
  <c r="AK2827" i="2"/>
  <c r="AF2827" i="2"/>
  <c r="V2827" i="2"/>
  <c r="AK2826" i="2"/>
  <c r="AF2826" i="2"/>
  <c r="V2826" i="2"/>
  <c r="AK2825" i="2"/>
  <c r="AF2825" i="2"/>
  <c r="V2825" i="2"/>
  <c r="AK2824" i="2"/>
  <c r="V2824" i="2"/>
  <c r="AK2823" i="2"/>
  <c r="AF2823" i="2"/>
  <c r="V2823" i="2"/>
  <c r="AK2822" i="2"/>
  <c r="V2822" i="2"/>
  <c r="AK2821" i="2"/>
  <c r="AF2821" i="2"/>
  <c r="V2821" i="2"/>
  <c r="AK2820" i="2"/>
  <c r="V2820" i="2"/>
  <c r="AK2819" i="2"/>
  <c r="AF2819" i="2"/>
  <c r="V2819" i="2"/>
  <c r="AK2818" i="2"/>
  <c r="AF2818" i="2"/>
  <c r="V2818" i="2"/>
  <c r="AK2817" i="2"/>
  <c r="AF2817" i="2"/>
  <c r="V2817" i="2"/>
  <c r="AK2816" i="2"/>
  <c r="AF2816" i="2"/>
  <c r="V2816" i="2"/>
  <c r="AK2815" i="2"/>
  <c r="AF2815" i="2"/>
  <c r="V2815" i="2"/>
  <c r="AK2814" i="2"/>
  <c r="V2814" i="2"/>
  <c r="AK2813" i="2"/>
  <c r="AF2813" i="2"/>
  <c r="V2813" i="2"/>
  <c r="AK2812" i="2"/>
  <c r="AF2812" i="2"/>
  <c r="V2812" i="2"/>
  <c r="AK2811" i="2"/>
  <c r="AF2811" i="2"/>
  <c r="V2811" i="2"/>
  <c r="AK2810" i="2"/>
  <c r="AF2810" i="2"/>
  <c r="V2810" i="2"/>
  <c r="AK2809" i="2"/>
  <c r="V2809" i="2"/>
  <c r="AK2808" i="2"/>
  <c r="AF2808" i="2"/>
  <c r="V2808" i="2"/>
  <c r="AK2807" i="2"/>
  <c r="V2807" i="2"/>
  <c r="AK2806" i="2"/>
  <c r="V2806" i="2"/>
  <c r="AK2805" i="2"/>
  <c r="V2805" i="2"/>
  <c r="AK2804" i="2"/>
  <c r="AF2804" i="2"/>
  <c r="V2804" i="2"/>
  <c r="AK2803" i="2"/>
  <c r="V2803" i="2"/>
  <c r="AK2802" i="2"/>
  <c r="V2802" i="2"/>
  <c r="AK2801" i="2"/>
  <c r="AF2801" i="2"/>
  <c r="V2801" i="2"/>
  <c r="AK2800" i="2"/>
  <c r="AF2800" i="2"/>
  <c r="V2800" i="2"/>
  <c r="AK2799" i="2"/>
  <c r="AF2799" i="2"/>
  <c r="V2799" i="2"/>
  <c r="AK2798" i="2"/>
  <c r="AF2798" i="2"/>
  <c r="V2798" i="2"/>
  <c r="AK2797" i="2"/>
  <c r="AF2797" i="2"/>
  <c r="V2797" i="2"/>
  <c r="AK2796" i="2"/>
  <c r="AF2796" i="2"/>
  <c r="V2796" i="2"/>
  <c r="AK2795" i="2"/>
  <c r="V2795" i="2"/>
  <c r="AK2794" i="2"/>
  <c r="AF2794" i="2"/>
  <c r="V2794" i="2"/>
  <c r="AK2793" i="2"/>
  <c r="AF2793" i="2"/>
  <c r="V2793" i="2"/>
  <c r="AK2792" i="2"/>
  <c r="V2792" i="2"/>
  <c r="AK2791" i="2"/>
  <c r="AF2791" i="2"/>
  <c r="V2791" i="2"/>
  <c r="AK2790" i="2"/>
  <c r="AF2790" i="2"/>
  <c r="V2790" i="2"/>
  <c r="AK2789" i="2"/>
  <c r="AF2789" i="2"/>
  <c r="V2789" i="2"/>
  <c r="AK2788" i="2"/>
  <c r="AF2788" i="2"/>
  <c r="V2788" i="2"/>
  <c r="AK2787" i="2"/>
  <c r="AF2787" i="2"/>
  <c r="V2787" i="2"/>
  <c r="AK2786" i="2"/>
  <c r="V2786" i="2"/>
  <c r="AK2785" i="2"/>
  <c r="V2785" i="2"/>
  <c r="AK2784" i="2"/>
  <c r="AF2784" i="2"/>
  <c r="V2784" i="2"/>
  <c r="AK2783" i="2"/>
  <c r="V2783" i="2"/>
  <c r="AK2782" i="2"/>
  <c r="V2782" i="2"/>
  <c r="AK2781" i="2"/>
  <c r="V2781" i="2"/>
  <c r="AK2780" i="2"/>
  <c r="AF2780" i="2"/>
  <c r="V2780" i="2"/>
  <c r="AK2779" i="2"/>
  <c r="AF2779" i="2"/>
  <c r="V2779" i="2"/>
  <c r="AK2778" i="2"/>
  <c r="AF2778" i="2"/>
  <c r="V2778" i="2"/>
  <c r="AK2777" i="2"/>
  <c r="AF2777" i="2"/>
  <c r="V2777" i="2"/>
  <c r="AK2776" i="2"/>
  <c r="V2776" i="2"/>
  <c r="AK2775" i="2"/>
  <c r="AF2775" i="2"/>
  <c r="V2775" i="2"/>
  <c r="AK2774" i="2"/>
  <c r="V2774" i="2"/>
  <c r="AK2773" i="2"/>
  <c r="V2773" i="2"/>
  <c r="AK2772" i="2"/>
  <c r="AF2772" i="2"/>
  <c r="V2772" i="2"/>
  <c r="AK2771" i="2"/>
  <c r="AF2771" i="2"/>
  <c r="V2771" i="2"/>
  <c r="AK2770" i="2"/>
  <c r="AF2770" i="2"/>
  <c r="V2770" i="2"/>
  <c r="AK2769" i="2"/>
  <c r="V2769" i="2"/>
  <c r="AK2768" i="2"/>
  <c r="AF2768" i="2"/>
  <c r="V2768" i="2"/>
  <c r="AK2767" i="2"/>
  <c r="AF2767" i="2"/>
  <c r="V2767" i="2"/>
  <c r="AK2766" i="2"/>
  <c r="V2766" i="2"/>
  <c r="AK2765" i="2"/>
  <c r="V2765" i="2"/>
  <c r="AK2764" i="2"/>
  <c r="AF2764" i="2"/>
  <c r="V2764" i="2"/>
  <c r="AK2763" i="2"/>
  <c r="AF2763" i="2"/>
  <c r="V2763" i="2"/>
  <c r="AK2762" i="2"/>
  <c r="V2762" i="2"/>
  <c r="AK2761" i="2"/>
  <c r="AF2761" i="2"/>
  <c r="V2761" i="2"/>
  <c r="AK2760" i="2"/>
  <c r="AF2760" i="2"/>
  <c r="V2760" i="2"/>
  <c r="AK2759" i="2"/>
  <c r="AF2759" i="2"/>
  <c r="V2759" i="2"/>
  <c r="AK2758" i="2"/>
  <c r="AF2758" i="2"/>
  <c r="V2758" i="2"/>
  <c r="AK2757" i="2"/>
  <c r="V2757" i="2"/>
  <c r="AK2756" i="2"/>
  <c r="AF2756" i="2"/>
  <c r="V2756" i="2"/>
  <c r="AK2755" i="2"/>
  <c r="V2755" i="2"/>
  <c r="AK2754" i="2"/>
  <c r="AF2754" i="2"/>
  <c r="V2754" i="2"/>
  <c r="AK2753" i="2"/>
  <c r="AF2753" i="2"/>
  <c r="V2753" i="2"/>
  <c r="AK2752" i="2"/>
  <c r="AF2752" i="2"/>
  <c r="V2752" i="2"/>
  <c r="AK2751" i="2"/>
  <c r="AF2751" i="2"/>
  <c r="V2751" i="2"/>
  <c r="AK2750" i="2"/>
  <c r="V2750" i="2"/>
  <c r="AK2749" i="2"/>
  <c r="V2749" i="2"/>
  <c r="AK2748" i="2"/>
  <c r="AF2748" i="2"/>
  <c r="V2748" i="2"/>
  <c r="AK2747" i="2"/>
  <c r="AF2747" i="2"/>
  <c r="V2747" i="2"/>
  <c r="AK2746" i="2"/>
  <c r="AF2746" i="2"/>
  <c r="V2746" i="2"/>
  <c r="AK2745" i="2"/>
  <c r="AF2745" i="2"/>
  <c r="V2745" i="2"/>
  <c r="AK2744" i="2"/>
  <c r="V2744" i="2"/>
  <c r="AK2743" i="2"/>
  <c r="AF2743" i="2"/>
  <c r="V2743" i="2"/>
  <c r="AK2742" i="2"/>
  <c r="AF2742" i="2"/>
  <c r="V2742" i="2"/>
  <c r="AK2741" i="2"/>
  <c r="V2741" i="2"/>
  <c r="AK2740" i="2"/>
  <c r="AF2740" i="2"/>
  <c r="V2740" i="2"/>
  <c r="AK2739" i="2"/>
  <c r="V2739" i="2"/>
  <c r="AK2738" i="2"/>
  <c r="AF2738" i="2"/>
  <c r="V2738" i="2"/>
  <c r="AK2737" i="2"/>
  <c r="V2737" i="2"/>
  <c r="AK2736" i="2"/>
  <c r="AF2736" i="2"/>
  <c r="V2736" i="2"/>
  <c r="AK2735" i="2"/>
  <c r="AF2735" i="2"/>
  <c r="V2735" i="2"/>
  <c r="AK2734" i="2"/>
  <c r="AF2734" i="2"/>
  <c r="V2734" i="2"/>
  <c r="AK2733" i="2"/>
  <c r="AF2733" i="2"/>
  <c r="V2733" i="2"/>
  <c r="AK2732" i="2"/>
  <c r="V2732" i="2"/>
  <c r="AK2731" i="2"/>
  <c r="V2731" i="2"/>
  <c r="AK2730" i="2"/>
  <c r="V2730" i="2"/>
  <c r="AK2729" i="2"/>
  <c r="V2729" i="2"/>
  <c r="AK2728" i="2"/>
  <c r="V2728" i="2"/>
  <c r="AK2727" i="2"/>
  <c r="AF2727" i="2"/>
  <c r="V2727" i="2"/>
  <c r="AK2726" i="2"/>
  <c r="AF2726" i="2"/>
  <c r="V2726" i="2"/>
  <c r="AK2725" i="2"/>
  <c r="AF2725" i="2"/>
  <c r="V2725" i="2"/>
  <c r="AK2724" i="2"/>
  <c r="V2724" i="2"/>
  <c r="AK2723" i="2"/>
  <c r="AF2723" i="2"/>
  <c r="V2723" i="2"/>
  <c r="AK2722" i="2"/>
  <c r="V2722" i="2"/>
  <c r="AK2721" i="2"/>
  <c r="V2721" i="2"/>
  <c r="AK2720" i="2"/>
  <c r="V2720" i="2"/>
  <c r="AK2719" i="2"/>
  <c r="AF2719" i="2"/>
  <c r="V2719" i="2"/>
  <c r="AK2718" i="2"/>
  <c r="V2718" i="2"/>
  <c r="AK2717" i="2"/>
  <c r="V2717" i="2"/>
  <c r="AK2716" i="2"/>
  <c r="AF2716" i="2"/>
  <c r="V2716" i="2"/>
  <c r="AK2715" i="2"/>
  <c r="V2715" i="2"/>
  <c r="AK2714" i="2"/>
  <c r="V2714" i="2"/>
  <c r="AK2713" i="2"/>
  <c r="AF2713" i="2"/>
  <c r="V2713" i="2"/>
  <c r="AK2712" i="2"/>
  <c r="AF2712" i="2"/>
  <c r="V2712" i="2"/>
  <c r="AK2711" i="2"/>
  <c r="V2711" i="2"/>
  <c r="AK2710" i="2"/>
  <c r="AF2710" i="2"/>
  <c r="V2710" i="2"/>
  <c r="AK2709" i="2"/>
  <c r="AF2709" i="2"/>
  <c r="V2709" i="2"/>
  <c r="AK2708" i="2"/>
  <c r="AF2708" i="2"/>
  <c r="V2708" i="2"/>
  <c r="AK2707" i="2"/>
  <c r="V2707" i="2"/>
  <c r="AK2706" i="2"/>
  <c r="AF2706" i="2"/>
  <c r="V2706" i="2"/>
  <c r="AK2705" i="2"/>
  <c r="V2705" i="2"/>
  <c r="AK2704" i="2"/>
  <c r="V2704" i="2"/>
  <c r="AK2703" i="2"/>
  <c r="AF2703" i="2"/>
  <c r="V2703" i="2"/>
  <c r="AK2702" i="2"/>
  <c r="AF2702" i="2"/>
  <c r="V2702" i="2"/>
  <c r="AK2701" i="2"/>
  <c r="AF2701" i="2"/>
  <c r="V2701" i="2"/>
  <c r="AK2700" i="2"/>
  <c r="AF2700" i="2"/>
  <c r="V2700" i="2"/>
  <c r="AK2699" i="2"/>
  <c r="V2699" i="2"/>
  <c r="AK2698" i="2"/>
  <c r="AF2698" i="2"/>
  <c r="V2698" i="2"/>
  <c r="AK2697" i="2"/>
  <c r="AF2697" i="2"/>
  <c r="V2697" i="2"/>
  <c r="AK2696" i="2"/>
  <c r="V2696" i="2"/>
  <c r="AK2695" i="2"/>
  <c r="V2695" i="2"/>
  <c r="AK2694" i="2"/>
  <c r="V2694" i="2"/>
  <c r="AK2693" i="2"/>
  <c r="AF2693" i="2"/>
  <c r="V2693" i="2"/>
  <c r="AK2692" i="2"/>
  <c r="V2692" i="2"/>
  <c r="AK2691" i="2"/>
  <c r="AF2691" i="2"/>
  <c r="V2691" i="2"/>
  <c r="AK2690" i="2"/>
  <c r="V2690" i="2"/>
  <c r="AK2689" i="2"/>
  <c r="V2689" i="2"/>
  <c r="AK2688" i="2"/>
  <c r="AF2688" i="2"/>
  <c r="V2688" i="2"/>
  <c r="AK2687" i="2"/>
  <c r="AF2687" i="2"/>
  <c r="V2687" i="2"/>
  <c r="AK2686" i="2"/>
  <c r="AF2686" i="2"/>
  <c r="V2686" i="2"/>
  <c r="AK2685" i="2"/>
  <c r="AF2685" i="2"/>
  <c r="V2685" i="2"/>
  <c r="AK2684" i="2"/>
  <c r="V2684" i="2"/>
  <c r="AK2683" i="2"/>
  <c r="AF2683" i="2"/>
  <c r="V2683" i="2"/>
  <c r="AK2682" i="2"/>
  <c r="AF2682" i="2"/>
  <c r="V2682" i="2"/>
  <c r="AK2681" i="2"/>
  <c r="AF2681" i="2"/>
  <c r="V2681" i="2"/>
  <c r="AK2680" i="2"/>
  <c r="AF2680" i="2"/>
  <c r="V2680" i="2"/>
  <c r="AK2679" i="2"/>
  <c r="AF2679" i="2"/>
  <c r="V2679" i="2"/>
  <c r="AK2678" i="2"/>
  <c r="V2678" i="2"/>
  <c r="AK2677" i="2"/>
  <c r="V2677" i="2"/>
  <c r="AK2676" i="2"/>
  <c r="V2676" i="2"/>
  <c r="AK2675" i="2"/>
  <c r="AF2675" i="2"/>
  <c r="V2675" i="2"/>
  <c r="AK2674" i="2"/>
  <c r="AF2674" i="2"/>
  <c r="V2674" i="2"/>
  <c r="AK2673" i="2"/>
  <c r="AF2673" i="2"/>
  <c r="V2673" i="2"/>
  <c r="AK2672" i="2"/>
  <c r="AF2672" i="2"/>
  <c r="V2672" i="2"/>
  <c r="AK2671" i="2"/>
  <c r="AF2671" i="2"/>
  <c r="V2671" i="2"/>
  <c r="AK2670" i="2"/>
  <c r="V2670" i="2"/>
  <c r="AK2669" i="2"/>
  <c r="AF2669" i="2"/>
  <c r="V2669" i="2"/>
  <c r="AK2668" i="2"/>
  <c r="AF2668" i="2"/>
  <c r="V2668" i="2"/>
  <c r="AK2667" i="2"/>
  <c r="AF2667" i="2"/>
  <c r="V2667" i="2"/>
  <c r="AK2666" i="2"/>
  <c r="V2666" i="2"/>
  <c r="AK2665" i="2"/>
  <c r="AF2665" i="2"/>
  <c r="V2665" i="2"/>
  <c r="AK2664" i="2"/>
  <c r="AF2664" i="2"/>
  <c r="V2664" i="2"/>
  <c r="AK2663" i="2"/>
  <c r="AF2663" i="2"/>
  <c r="V2663" i="2"/>
  <c r="AK2662" i="2"/>
  <c r="V2662" i="2"/>
  <c r="AK2661" i="2"/>
  <c r="V2661" i="2"/>
  <c r="AK2660" i="2"/>
  <c r="AF2660" i="2"/>
  <c r="V2660" i="2"/>
  <c r="AK2659" i="2"/>
  <c r="AF2659" i="2"/>
  <c r="V2659" i="2"/>
  <c r="AK2658" i="2"/>
  <c r="AF2658" i="2"/>
  <c r="V2658" i="2"/>
  <c r="AK2657" i="2"/>
  <c r="V2657" i="2"/>
  <c r="AK2656" i="2"/>
  <c r="AF2656" i="2"/>
  <c r="V2656" i="2"/>
  <c r="AK2655" i="2"/>
  <c r="AF2655" i="2"/>
  <c r="V2655" i="2"/>
  <c r="AK2654" i="2"/>
  <c r="AF2654" i="2"/>
  <c r="V2654" i="2"/>
  <c r="AK2653" i="2"/>
  <c r="V2653" i="2"/>
  <c r="AK2652" i="2"/>
  <c r="V2652" i="2"/>
  <c r="AK2651" i="2"/>
  <c r="AF2651" i="2"/>
  <c r="V2651" i="2"/>
  <c r="AK2650" i="2"/>
  <c r="AF2650" i="2"/>
  <c r="V2650" i="2"/>
  <c r="AK2649" i="2"/>
  <c r="AF2649" i="2"/>
  <c r="V2649" i="2"/>
  <c r="AK2648" i="2"/>
  <c r="V2648" i="2"/>
  <c r="AK2647" i="2"/>
  <c r="V2647" i="2"/>
  <c r="AK2646" i="2"/>
  <c r="AF2646" i="2"/>
  <c r="V2646" i="2"/>
  <c r="AK2645" i="2"/>
  <c r="V2645" i="2"/>
  <c r="AK2644" i="2"/>
  <c r="V2644" i="2"/>
  <c r="AK2643" i="2"/>
  <c r="V2643" i="2"/>
  <c r="AK2642" i="2"/>
  <c r="AF2642" i="2"/>
  <c r="V2642" i="2"/>
  <c r="AK2641" i="2"/>
  <c r="AF2641" i="2"/>
  <c r="V2641" i="2"/>
  <c r="AK2640" i="2"/>
  <c r="V2640" i="2"/>
  <c r="AK2639" i="2"/>
  <c r="AF2639" i="2"/>
  <c r="V2639" i="2"/>
  <c r="AK2638" i="2"/>
  <c r="V2638" i="2"/>
  <c r="AK2637" i="2"/>
  <c r="V2637" i="2"/>
  <c r="AK2636" i="2"/>
  <c r="V2636" i="2"/>
  <c r="AK2635" i="2"/>
  <c r="AF2635" i="2"/>
  <c r="V2635" i="2"/>
  <c r="AK2634" i="2"/>
  <c r="AF2634" i="2"/>
  <c r="V2634" i="2"/>
  <c r="AK2633" i="2"/>
  <c r="V2633" i="2"/>
  <c r="AK2632" i="2"/>
  <c r="AF2632" i="2"/>
  <c r="V2632" i="2"/>
  <c r="AK2631" i="2"/>
  <c r="V2631" i="2"/>
  <c r="AK2630" i="2"/>
  <c r="V2630" i="2"/>
  <c r="AK2629" i="2"/>
  <c r="V2629" i="2"/>
  <c r="AK2628" i="2"/>
  <c r="AF2628" i="2"/>
  <c r="V2628" i="2"/>
  <c r="AK2627" i="2"/>
  <c r="AF2627" i="2"/>
  <c r="V2627" i="2"/>
  <c r="AK2626" i="2"/>
  <c r="V2626" i="2"/>
  <c r="AK2625" i="2"/>
  <c r="AF2625" i="2"/>
  <c r="V2625" i="2"/>
  <c r="AK2624" i="2"/>
  <c r="V2624" i="2"/>
  <c r="AK2623" i="2"/>
  <c r="AF2623" i="2"/>
  <c r="V2623" i="2"/>
  <c r="AK2622" i="2"/>
  <c r="AF2622" i="2"/>
  <c r="V2622" i="2"/>
  <c r="AK2621" i="2"/>
  <c r="AF2621" i="2"/>
  <c r="V2621" i="2"/>
  <c r="AK2620" i="2"/>
  <c r="AF2620" i="2"/>
  <c r="V2620" i="2"/>
  <c r="AK2619" i="2"/>
  <c r="AF2619" i="2"/>
  <c r="V2619" i="2"/>
  <c r="AK2618" i="2"/>
  <c r="AF2618" i="2"/>
  <c r="V2618" i="2"/>
  <c r="AK2617" i="2"/>
  <c r="AF2617" i="2"/>
  <c r="V2617" i="2"/>
  <c r="AK2616" i="2"/>
  <c r="AF2616" i="2"/>
  <c r="V2616" i="2"/>
  <c r="AK2615" i="2"/>
  <c r="AF2615" i="2"/>
  <c r="V2615" i="2"/>
  <c r="AK2614" i="2"/>
  <c r="AF2614" i="2"/>
  <c r="V2614" i="2"/>
  <c r="AK2613" i="2"/>
  <c r="AF2613" i="2"/>
  <c r="V2613" i="2"/>
  <c r="AK2612" i="2"/>
  <c r="AF2612" i="2"/>
  <c r="V2612" i="2"/>
  <c r="AK2611" i="2"/>
  <c r="AF2611" i="2"/>
  <c r="V2611" i="2"/>
  <c r="AK2610" i="2"/>
  <c r="AF2610" i="2"/>
  <c r="V2610" i="2"/>
  <c r="AK2609" i="2"/>
  <c r="AF2609" i="2"/>
  <c r="V2609" i="2"/>
  <c r="AK2608" i="2"/>
  <c r="V2608" i="2"/>
  <c r="AK2607" i="2"/>
  <c r="V2607" i="2"/>
  <c r="AK2606" i="2"/>
  <c r="AF2606" i="2"/>
  <c r="V2606" i="2"/>
  <c r="AK2605" i="2"/>
  <c r="AF2605" i="2"/>
  <c r="V2605" i="2"/>
  <c r="AK2604" i="2"/>
  <c r="V2604" i="2"/>
  <c r="AK2603" i="2"/>
  <c r="AF2603" i="2"/>
  <c r="V2603" i="2"/>
  <c r="AK2602" i="2"/>
  <c r="V2602" i="2"/>
  <c r="AK2601" i="2"/>
  <c r="V2601" i="2"/>
  <c r="AK2600" i="2"/>
  <c r="V2600" i="2"/>
  <c r="AK2599" i="2"/>
  <c r="V2599" i="2"/>
  <c r="AK2598" i="2"/>
  <c r="AF2598" i="2"/>
  <c r="V2598" i="2"/>
  <c r="AK2597" i="2"/>
  <c r="AF2597" i="2"/>
  <c r="V2597" i="2"/>
  <c r="AK2596" i="2"/>
  <c r="V2596" i="2"/>
  <c r="AK2595" i="2"/>
  <c r="V2595" i="2"/>
  <c r="AK2594" i="2"/>
  <c r="AF2594" i="2"/>
  <c r="V2594" i="2"/>
  <c r="AK2593" i="2"/>
  <c r="AF2593" i="2"/>
  <c r="V2593" i="2"/>
  <c r="AK2592" i="2"/>
  <c r="AF2592" i="2"/>
  <c r="V2592" i="2"/>
  <c r="AK2591" i="2"/>
  <c r="AF2591" i="2"/>
  <c r="V2591" i="2"/>
  <c r="AK2590" i="2"/>
  <c r="AF2590" i="2"/>
  <c r="V2590" i="2"/>
  <c r="AK2589" i="2"/>
  <c r="AF2589" i="2"/>
  <c r="V2589" i="2"/>
  <c r="AK2588" i="2"/>
  <c r="V2588" i="2"/>
  <c r="AK2587" i="2"/>
  <c r="AF2587" i="2"/>
  <c r="V2587" i="2"/>
  <c r="AK2586" i="2"/>
  <c r="AF2586" i="2"/>
  <c r="V2586" i="2"/>
  <c r="AK2585" i="2"/>
  <c r="V2585" i="2"/>
  <c r="AK2584" i="2"/>
  <c r="V2584" i="2"/>
  <c r="AK2583" i="2"/>
  <c r="AF2583" i="2"/>
  <c r="V2583" i="2"/>
  <c r="AK2582" i="2"/>
  <c r="AF2582" i="2"/>
  <c r="V2582" i="2"/>
  <c r="AK2581" i="2"/>
  <c r="V2581" i="2"/>
  <c r="AK2580" i="2"/>
  <c r="AF2580" i="2"/>
  <c r="V2580" i="2"/>
  <c r="AK2579" i="2"/>
  <c r="AF2579" i="2"/>
  <c r="V2579" i="2"/>
  <c r="AK2578" i="2"/>
  <c r="AF2578" i="2"/>
  <c r="V2578" i="2"/>
  <c r="AK2577" i="2"/>
  <c r="V2577" i="2"/>
  <c r="AK2576" i="2"/>
  <c r="V2576" i="2"/>
  <c r="AK2575" i="2"/>
  <c r="AF2575" i="2"/>
  <c r="V2575" i="2"/>
  <c r="AK2574" i="2"/>
  <c r="V2574" i="2"/>
  <c r="AK2573" i="2"/>
  <c r="V2573" i="2"/>
  <c r="AK2572" i="2"/>
  <c r="AF2572" i="2"/>
  <c r="V2572" i="2"/>
  <c r="AK2571" i="2"/>
  <c r="V2571" i="2"/>
  <c r="AK2570" i="2"/>
  <c r="V2570" i="2"/>
  <c r="AK2569" i="2"/>
  <c r="AF2569" i="2"/>
  <c r="V2569" i="2"/>
  <c r="AK2568" i="2"/>
  <c r="V2568" i="2"/>
  <c r="AK2567" i="2"/>
  <c r="V2567" i="2"/>
  <c r="AK2566" i="2"/>
  <c r="AF2566" i="2"/>
  <c r="V2566" i="2"/>
  <c r="AK2565" i="2"/>
  <c r="AF2565" i="2"/>
  <c r="V2565" i="2"/>
  <c r="AK2564" i="2"/>
  <c r="AF2564" i="2"/>
  <c r="V2564" i="2"/>
  <c r="AK2563" i="2"/>
  <c r="V2563" i="2"/>
  <c r="AK2562" i="2"/>
  <c r="AF2562" i="2"/>
  <c r="V2562" i="2"/>
  <c r="AK2561" i="2"/>
  <c r="V2561" i="2"/>
  <c r="AK2560" i="2"/>
  <c r="V2560" i="2"/>
  <c r="AK2559" i="2"/>
  <c r="AF2559" i="2"/>
  <c r="V2559" i="2"/>
  <c r="AK2558" i="2"/>
  <c r="AF2558" i="2"/>
  <c r="V2558" i="2"/>
  <c r="AK2557" i="2"/>
  <c r="AF2557" i="2"/>
  <c r="V2557" i="2"/>
  <c r="AK2556" i="2"/>
  <c r="AF2556" i="2"/>
  <c r="V2556" i="2"/>
  <c r="AK2555" i="2"/>
  <c r="AF2555" i="2"/>
  <c r="V2555" i="2"/>
  <c r="AK2554" i="2"/>
  <c r="AF2554" i="2"/>
  <c r="V2554" i="2"/>
  <c r="AK2553" i="2"/>
  <c r="AF2553" i="2"/>
  <c r="V2553" i="2"/>
  <c r="AK2552" i="2"/>
  <c r="AF2552" i="2"/>
  <c r="V2552" i="2"/>
  <c r="AK2551" i="2"/>
  <c r="V2551" i="2"/>
  <c r="AK2550" i="2"/>
  <c r="V2550" i="2"/>
  <c r="AK2549" i="2"/>
  <c r="AF2549" i="2"/>
  <c r="V2549" i="2"/>
  <c r="AK2548" i="2"/>
  <c r="AF2548" i="2"/>
  <c r="V2548" i="2"/>
  <c r="AK2547" i="2"/>
  <c r="AF2547" i="2"/>
  <c r="V2547" i="2"/>
  <c r="AK2546" i="2"/>
  <c r="V2546" i="2"/>
  <c r="AK2545" i="2"/>
  <c r="AF2545" i="2"/>
  <c r="V2545" i="2"/>
  <c r="AK2544" i="2"/>
  <c r="AF2544" i="2"/>
  <c r="V2544" i="2"/>
  <c r="AK2543" i="2"/>
  <c r="AF2543" i="2"/>
  <c r="V2543" i="2"/>
  <c r="AK2542" i="2"/>
  <c r="V2542" i="2"/>
  <c r="AK2541" i="2"/>
  <c r="AF2541" i="2"/>
  <c r="V2541" i="2"/>
  <c r="AK2540" i="2"/>
  <c r="V2540" i="2"/>
  <c r="AK2539" i="2"/>
  <c r="V2539" i="2"/>
  <c r="AK2538" i="2"/>
  <c r="V2538" i="2"/>
  <c r="AK2537" i="2"/>
  <c r="V2537" i="2"/>
  <c r="AK2536" i="2"/>
  <c r="V2536" i="2"/>
  <c r="AK2535" i="2"/>
  <c r="AF2535" i="2"/>
  <c r="V2535" i="2"/>
  <c r="AK2534" i="2"/>
  <c r="V2534" i="2"/>
  <c r="AK2533" i="2"/>
  <c r="AF2533" i="2"/>
  <c r="V2533" i="2"/>
  <c r="AK2532" i="2"/>
  <c r="AF2532" i="2"/>
  <c r="V2532" i="2"/>
  <c r="AK2531" i="2"/>
  <c r="V2531" i="2"/>
  <c r="AK2530" i="2"/>
  <c r="AF2530" i="2"/>
  <c r="V2530" i="2"/>
  <c r="AK2529" i="2"/>
  <c r="AF2529" i="2"/>
  <c r="V2529" i="2"/>
  <c r="AK2528" i="2"/>
  <c r="AF2528" i="2"/>
  <c r="V2528" i="2"/>
  <c r="AK2527" i="2"/>
  <c r="V2527" i="2"/>
  <c r="AK2526" i="2"/>
  <c r="V2526" i="2"/>
  <c r="AK2525" i="2"/>
  <c r="AF2525" i="2"/>
  <c r="V2525" i="2"/>
  <c r="AK2524" i="2"/>
  <c r="V2524" i="2"/>
  <c r="AK2523" i="2"/>
  <c r="AF2523" i="2"/>
  <c r="V2523" i="2"/>
  <c r="AK2522" i="2"/>
  <c r="AF2522" i="2"/>
  <c r="V2522" i="2"/>
  <c r="AK2521" i="2"/>
  <c r="AF2521" i="2"/>
  <c r="V2521" i="2"/>
  <c r="AK2520" i="2"/>
  <c r="AF2520" i="2"/>
  <c r="V2520" i="2"/>
  <c r="AK2519" i="2"/>
  <c r="V2519" i="2"/>
  <c r="AK2518" i="2"/>
  <c r="V2518" i="2"/>
  <c r="AK2517" i="2"/>
  <c r="V2517" i="2"/>
  <c r="AK2516" i="2"/>
  <c r="AF2516" i="2"/>
  <c r="V2516" i="2"/>
  <c r="AK2515" i="2"/>
  <c r="AF2515" i="2"/>
  <c r="V2515" i="2"/>
  <c r="AK2514" i="2"/>
  <c r="V2514" i="2"/>
  <c r="AK2513" i="2"/>
  <c r="AF2513" i="2"/>
  <c r="V2513" i="2"/>
  <c r="AK2512" i="2"/>
  <c r="V2512" i="2"/>
  <c r="AK2511" i="2"/>
  <c r="AF2511" i="2"/>
  <c r="V2511" i="2"/>
  <c r="AK2510" i="2"/>
  <c r="V2510" i="2"/>
  <c r="AK2509" i="2"/>
  <c r="AF2509" i="2"/>
  <c r="V2509" i="2"/>
  <c r="AK2508" i="2"/>
  <c r="AF2508" i="2"/>
  <c r="V2508" i="2"/>
  <c r="AK2507" i="2"/>
  <c r="V2507" i="2"/>
  <c r="AK2506" i="2"/>
  <c r="V2506" i="2"/>
  <c r="AK2505" i="2"/>
  <c r="V2505" i="2"/>
  <c r="AK2504" i="2"/>
  <c r="V2504" i="2"/>
  <c r="AK2503" i="2"/>
  <c r="AF2503" i="2"/>
  <c r="V2503" i="2"/>
  <c r="AK2502" i="2"/>
  <c r="AF2502" i="2"/>
  <c r="V2502" i="2"/>
  <c r="AK2501" i="2"/>
  <c r="AF2501" i="2"/>
  <c r="V2501" i="2"/>
  <c r="AK2500" i="2"/>
  <c r="AF2500" i="2"/>
  <c r="V2500" i="2"/>
  <c r="AK2499" i="2"/>
  <c r="AF2499" i="2"/>
  <c r="V2499" i="2"/>
  <c r="AK2498" i="2"/>
  <c r="V2498" i="2"/>
  <c r="AK2497" i="2"/>
  <c r="V2497" i="2"/>
  <c r="AK2496" i="2"/>
  <c r="AF2496" i="2"/>
  <c r="V2496" i="2"/>
  <c r="AK2495" i="2"/>
  <c r="V2495" i="2"/>
  <c r="AK2494" i="2"/>
  <c r="AF2494" i="2"/>
  <c r="V2494" i="2"/>
  <c r="AK2493" i="2"/>
  <c r="V2493" i="2"/>
  <c r="AK2492" i="2"/>
  <c r="V2492" i="2"/>
  <c r="AK2491" i="2"/>
  <c r="AF2491" i="2"/>
  <c r="V2491" i="2"/>
  <c r="AK2490" i="2"/>
  <c r="V2490" i="2"/>
  <c r="AK2489" i="2"/>
  <c r="V2489" i="2"/>
  <c r="AK2488" i="2"/>
  <c r="V2488" i="2"/>
  <c r="AK2487" i="2"/>
  <c r="V2487" i="2"/>
  <c r="AK2486" i="2"/>
  <c r="V2486" i="2"/>
  <c r="AK2485" i="2"/>
  <c r="AF2485" i="2"/>
  <c r="V2485" i="2"/>
  <c r="AK2484" i="2"/>
  <c r="AF2484" i="2"/>
  <c r="V2484" i="2"/>
  <c r="AK2483" i="2"/>
  <c r="AF2483" i="2"/>
  <c r="V2483" i="2"/>
  <c r="AK2482" i="2"/>
  <c r="AF2482" i="2"/>
  <c r="V2482" i="2"/>
  <c r="AK2481" i="2"/>
  <c r="V2481" i="2"/>
  <c r="AK2480" i="2"/>
  <c r="AF2480" i="2"/>
  <c r="V2480" i="2"/>
  <c r="AK2479" i="2"/>
  <c r="V2479" i="2"/>
  <c r="AK2478" i="2"/>
  <c r="V2478" i="2"/>
  <c r="AK2477" i="2"/>
  <c r="V2477" i="2"/>
  <c r="AK2476" i="2"/>
  <c r="V2476" i="2"/>
  <c r="AK2475" i="2"/>
  <c r="AF2475" i="2"/>
  <c r="V2475" i="2"/>
  <c r="AK2474" i="2"/>
  <c r="V2474" i="2"/>
  <c r="AK2473" i="2"/>
  <c r="AF2473" i="2"/>
  <c r="V2473" i="2"/>
  <c r="AK2472" i="2"/>
  <c r="V2472" i="2"/>
  <c r="AK2471" i="2"/>
  <c r="AF2471" i="2"/>
  <c r="V2471" i="2"/>
  <c r="AK2470" i="2"/>
  <c r="AF2470" i="2"/>
  <c r="V2470" i="2"/>
  <c r="AK2469" i="2"/>
  <c r="V2469" i="2"/>
  <c r="AK2468" i="2"/>
  <c r="AF2468" i="2"/>
  <c r="V2468" i="2"/>
  <c r="AK2467" i="2"/>
  <c r="V2467" i="2"/>
  <c r="AK2466" i="2"/>
  <c r="V2466" i="2"/>
  <c r="AK2465" i="2"/>
  <c r="AF2465" i="2"/>
  <c r="V2465" i="2"/>
  <c r="AK2464" i="2"/>
  <c r="AF2464" i="2"/>
  <c r="V2464" i="2"/>
  <c r="AK2463" i="2"/>
  <c r="V2463" i="2"/>
  <c r="AK2462" i="2"/>
  <c r="AF2462" i="2"/>
  <c r="V2462" i="2"/>
  <c r="AK2461" i="2"/>
  <c r="V2461" i="2"/>
  <c r="AK2460" i="2"/>
  <c r="AF2460" i="2"/>
  <c r="V2460" i="2"/>
  <c r="AK2459" i="2"/>
  <c r="AF2459" i="2"/>
  <c r="V2459" i="2"/>
  <c r="AK2458" i="2"/>
  <c r="AF2458" i="2"/>
  <c r="V2458" i="2"/>
  <c r="AK2457" i="2"/>
  <c r="AF2457" i="2"/>
  <c r="V2457" i="2"/>
  <c r="AK2456" i="2"/>
  <c r="AF2456" i="2"/>
  <c r="V2456" i="2"/>
  <c r="AK2455" i="2"/>
  <c r="V2455" i="2"/>
  <c r="AK2454" i="2"/>
  <c r="AF2454" i="2"/>
  <c r="V2454" i="2"/>
  <c r="AK2453" i="2"/>
  <c r="AF2453" i="2"/>
  <c r="V2453" i="2"/>
  <c r="AK2452" i="2"/>
  <c r="AF2452" i="2"/>
  <c r="V2452" i="2"/>
  <c r="AK2451" i="2"/>
  <c r="V2451" i="2"/>
  <c r="AK2450" i="2"/>
  <c r="V2450" i="2"/>
  <c r="AK2449" i="2"/>
  <c r="AF2449" i="2"/>
  <c r="V2449" i="2"/>
  <c r="AK2448" i="2"/>
  <c r="AF2448" i="2"/>
  <c r="V2448" i="2"/>
  <c r="AK2447" i="2"/>
  <c r="AF2447" i="2"/>
  <c r="V2447" i="2"/>
  <c r="AK2446" i="2"/>
  <c r="AF2446" i="2"/>
  <c r="V2446" i="2"/>
  <c r="AK2445" i="2"/>
  <c r="AF2445" i="2"/>
  <c r="V2445" i="2"/>
  <c r="AK2444" i="2"/>
  <c r="AF2444" i="2"/>
  <c r="V2444" i="2"/>
  <c r="AK2443" i="2"/>
  <c r="AF2443" i="2"/>
  <c r="V2443" i="2"/>
  <c r="AK2442" i="2"/>
  <c r="AF2442" i="2"/>
  <c r="V2442" i="2"/>
  <c r="AK2441" i="2"/>
  <c r="V2441" i="2"/>
  <c r="AK2440" i="2"/>
  <c r="V2440" i="2"/>
  <c r="AK2439" i="2"/>
  <c r="V2439" i="2"/>
  <c r="AK2438" i="2"/>
  <c r="V2438" i="2"/>
  <c r="AK2437" i="2"/>
  <c r="AF2437" i="2"/>
  <c r="V2437" i="2"/>
  <c r="AK2436" i="2"/>
  <c r="AF2436" i="2"/>
  <c r="V2436" i="2"/>
  <c r="AK2435" i="2"/>
  <c r="AF2435" i="2"/>
  <c r="V2435" i="2"/>
  <c r="AK2434" i="2"/>
  <c r="AF2434" i="2"/>
  <c r="V2434" i="2"/>
  <c r="AK2433" i="2"/>
  <c r="AF2433" i="2"/>
  <c r="V2433" i="2"/>
  <c r="AK2432" i="2"/>
  <c r="AF2432" i="2"/>
  <c r="V2432" i="2"/>
  <c r="AK2431" i="2"/>
  <c r="V2431" i="2"/>
  <c r="AK2430" i="2"/>
  <c r="AF2430" i="2"/>
  <c r="V2430" i="2"/>
  <c r="AK2429" i="2"/>
  <c r="V2429" i="2"/>
  <c r="AK2428" i="2"/>
  <c r="V2428" i="2"/>
  <c r="AK2427" i="2"/>
  <c r="AF2427" i="2"/>
  <c r="V2427" i="2"/>
  <c r="AK2426" i="2"/>
  <c r="AF2426" i="2"/>
  <c r="V2426" i="2"/>
  <c r="AK2425" i="2"/>
  <c r="AF2425" i="2"/>
  <c r="V2425" i="2"/>
  <c r="AK2424" i="2"/>
  <c r="AF2424" i="2"/>
  <c r="V2424" i="2"/>
  <c r="AK2423" i="2"/>
  <c r="V2423" i="2"/>
  <c r="AK2422" i="2"/>
  <c r="V2422" i="2"/>
  <c r="AK2421" i="2"/>
  <c r="AF2421" i="2"/>
  <c r="V2421" i="2"/>
  <c r="AK2420" i="2"/>
  <c r="AF2420" i="2"/>
  <c r="V2420" i="2"/>
  <c r="AK2419" i="2"/>
  <c r="AF2419" i="2"/>
  <c r="N104" i="3" s="1"/>
  <c r="V2419" i="2"/>
  <c r="AK2418" i="2"/>
  <c r="AF2418" i="2"/>
  <c r="V2418" i="2"/>
  <c r="AK2417" i="2"/>
  <c r="AF2417" i="2"/>
  <c r="V2417" i="2"/>
  <c r="AK2416" i="2"/>
  <c r="AF2416" i="2"/>
  <c r="V2416" i="2"/>
  <c r="AK2415" i="2"/>
  <c r="AF2415" i="2"/>
  <c r="V2415" i="2"/>
  <c r="AK2414" i="2"/>
  <c r="AF2414" i="2"/>
  <c r="V2414" i="2"/>
  <c r="AK2413" i="2"/>
  <c r="V2413" i="2"/>
  <c r="AK2412" i="2"/>
  <c r="V2412" i="2"/>
  <c r="AK2411" i="2"/>
  <c r="AF2411" i="2"/>
  <c r="V2411" i="2"/>
  <c r="AK2410" i="2"/>
  <c r="AF2410" i="2"/>
  <c r="V2410" i="2"/>
  <c r="AK2409" i="2"/>
  <c r="V2409" i="2"/>
  <c r="AK2408" i="2"/>
  <c r="AF2408" i="2"/>
  <c r="V2408" i="2"/>
  <c r="AK2407" i="2"/>
  <c r="AF2407" i="2"/>
  <c r="V2407" i="2"/>
  <c r="AK2406" i="2"/>
  <c r="AF2406" i="2"/>
  <c r="V2406" i="2"/>
  <c r="AK2405" i="2"/>
  <c r="AF2405" i="2"/>
  <c r="V2405" i="2"/>
  <c r="AK2404" i="2"/>
  <c r="AF2404" i="2"/>
  <c r="V2404" i="2"/>
  <c r="AK2403" i="2"/>
  <c r="V2403" i="2"/>
  <c r="AK2402" i="2"/>
  <c r="V2402" i="2"/>
  <c r="AK2401" i="2"/>
  <c r="AF2401" i="2"/>
  <c r="V2401" i="2"/>
  <c r="AK2400" i="2"/>
  <c r="AF2400" i="2"/>
  <c r="V2400" i="2"/>
  <c r="AK2399" i="2"/>
  <c r="V2399" i="2"/>
  <c r="AK2398" i="2"/>
  <c r="AF2398" i="2"/>
  <c r="V2398" i="2"/>
  <c r="AK2397" i="2"/>
  <c r="V2397" i="2"/>
  <c r="AK2396" i="2"/>
  <c r="AF2396" i="2"/>
  <c r="V2396" i="2"/>
  <c r="AK2395" i="2"/>
  <c r="AF2395" i="2"/>
  <c r="V2395" i="2"/>
  <c r="AK2394" i="2"/>
  <c r="AF2394" i="2"/>
  <c r="V2394" i="2"/>
  <c r="AK2393" i="2"/>
  <c r="AF2393" i="2"/>
  <c r="V2393" i="2"/>
  <c r="AK2392" i="2"/>
  <c r="V2392" i="2"/>
  <c r="AK2391" i="2"/>
  <c r="V2391" i="2"/>
  <c r="AK2390" i="2"/>
  <c r="V2390" i="2"/>
  <c r="AK2389" i="2"/>
  <c r="AF2389" i="2"/>
  <c r="V2389" i="2"/>
  <c r="AK2388" i="2"/>
  <c r="AF2388" i="2"/>
  <c r="V2388" i="2"/>
  <c r="AK2387" i="2"/>
  <c r="AF2387" i="2"/>
  <c r="V2387" i="2"/>
  <c r="AK2386" i="2"/>
  <c r="AF2386" i="2"/>
  <c r="V2386" i="2"/>
  <c r="AK2385" i="2"/>
  <c r="V2385" i="2"/>
  <c r="AK2384" i="2"/>
  <c r="AF2384" i="2"/>
  <c r="V2384" i="2"/>
  <c r="AK2383" i="2"/>
  <c r="V2383" i="2"/>
  <c r="AK2382" i="2"/>
  <c r="AF2382" i="2"/>
  <c r="V2382" i="2"/>
  <c r="AK2381" i="2"/>
  <c r="AF2381" i="2"/>
  <c r="V2381" i="2"/>
  <c r="AK2380" i="2"/>
  <c r="AF2380" i="2"/>
  <c r="V2380" i="2"/>
  <c r="AK2379" i="2"/>
  <c r="AF2379" i="2"/>
  <c r="V2379" i="2"/>
  <c r="AK2378" i="2"/>
  <c r="V2378" i="2"/>
  <c r="AK2377" i="2"/>
  <c r="V2377" i="2"/>
  <c r="AK2376" i="2"/>
  <c r="V2376" i="2"/>
  <c r="AK2375" i="2"/>
  <c r="V2375" i="2"/>
  <c r="AK2374" i="2"/>
  <c r="AF2374" i="2"/>
  <c r="V2374" i="2"/>
  <c r="AK2373" i="2"/>
  <c r="AF2373" i="2"/>
  <c r="V2373" i="2"/>
  <c r="AK2372" i="2"/>
  <c r="V2372" i="2"/>
  <c r="AK2371" i="2"/>
  <c r="V2371" i="2"/>
  <c r="AK2370" i="2"/>
  <c r="AF2370" i="2"/>
  <c r="V2370" i="2"/>
  <c r="AK2369" i="2"/>
  <c r="V2369" i="2"/>
  <c r="AK2368" i="2"/>
  <c r="V2368" i="2"/>
  <c r="AK2367" i="2"/>
  <c r="V2367" i="2"/>
  <c r="AK2366" i="2"/>
  <c r="AF2366" i="2"/>
  <c r="V2366" i="2"/>
  <c r="AK2365" i="2"/>
  <c r="AF2365" i="2"/>
  <c r="V2365" i="2"/>
  <c r="AK2364" i="2"/>
  <c r="AF2364" i="2"/>
  <c r="V2364" i="2"/>
  <c r="AK2363" i="2"/>
  <c r="V2363" i="2"/>
  <c r="AK2362" i="2"/>
  <c r="AF2362" i="2"/>
  <c r="V2362" i="2"/>
  <c r="AK2361" i="2"/>
  <c r="AF2361" i="2"/>
  <c r="V2361" i="2"/>
  <c r="AK2360" i="2"/>
  <c r="V2360" i="2"/>
  <c r="AK2359" i="2"/>
  <c r="V2359" i="2"/>
  <c r="AK2358" i="2"/>
  <c r="V2358" i="2"/>
  <c r="AK2357" i="2"/>
  <c r="AF2357" i="2"/>
  <c r="V2357" i="2"/>
  <c r="AK2356" i="2"/>
  <c r="V2356" i="2"/>
  <c r="AK2355" i="2"/>
  <c r="AF2355" i="2"/>
  <c r="V2355" i="2"/>
  <c r="AK2354" i="2"/>
  <c r="AF2354" i="2"/>
  <c r="V2354" i="2"/>
  <c r="AK2353" i="2"/>
  <c r="V2353" i="2"/>
  <c r="AK2352" i="2"/>
  <c r="V2352" i="2"/>
  <c r="AK2351" i="2"/>
  <c r="AF2351" i="2"/>
  <c r="V2351" i="2"/>
  <c r="AK2350" i="2"/>
  <c r="AF2350" i="2"/>
  <c r="V2350" i="2"/>
  <c r="AK2349" i="2"/>
  <c r="V2349" i="2"/>
  <c r="AK2348" i="2"/>
  <c r="AF2348" i="2"/>
  <c r="V2348" i="2"/>
  <c r="AK2347" i="2"/>
  <c r="AF2347" i="2"/>
  <c r="V2347" i="2"/>
  <c r="AK2346" i="2"/>
  <c r="V2346" i="2"/>
  <c r="AK2345" i="2"/>
  <c r="AF2345" i="2"/>
  <c r="V2345" i="2"/>
  <c r="AK2344" i="2"/>
  <c r="AF2344" i="2"/>
  <c r="V2344" i="2"/>
  <c r="AK2343" i="2"/>
  <c r="V2343" i="2"/>
  <c r="AK2342" i="2"/>
  <c r="V2342" i="2"/>
  <c r="AK2341" i="2"/>
  <c r="AF2341" i="2"/>
  <c r="V2341" i="2"/>
  <c r="AK2340" i="2"/>
  <c r="AF2340" i="2"/>
  <c r="V2340" i="2"/>
  <c r="AK2339" i="2"/>
  <c r="AF2339" i="2"/>
  <c r="V2339" i="2"/>
  <c r="AK2338" i="2"/>
  <c r="AF2338" i="2"/>
  <c r="V2338" i="2"/>
  <c r="AK2337" i="2"/>
  <c r="AF2337" i="2"/>
  <c r="V2337" i="2"/>
  <c r="AK2336" i="2"/>
  <c r="AF2336" i="2"/>
  <c r="V2336" i="2"/>
  <c r="AK2335" i="2"/>
  <c r="AF2335" i="2"/>
  <c r="V2335" i="2"/>
  <c r="AK2334" i="2"/>
  <c r="AF2334" i="2"/>
  <c r="V2334" i="2"/>
  <c r="AK2333" i="2"/>
  <c r="AF2333" i="2"/>
  <c r="V2333" i="2"/>
  <c r="AK2332" i="2"/>
  <c r="AF2332" i="2"/>
  <c r="V2332" i="2"/>
  <c r="AK2331" i="2"/>
  <c r="AF2331" i="2"/>
  <c r="V2331" i="2"/>
  <c r="AK2330" i="2"/>
  <c r="AF2330" i="2"/>
  <c r="V2330" i="2"/>
  <c r="AK2329" i="2"/>
  <c r="AF2329" i="2"/>
  <c r="V2329" i="2"/>
  <c r="AK2328" i="2"/>
  <c r="AF2328" i="2"/>
  <c r="V2328" i="2"/>
  <c r="AK2327" i="2"/>
  <c r="AF2327" i="2"/>
  <c r="V2327" i="2"/>
  <c r="AK2326" i="2"/>
  <c r="V2326" i="2"/>
  <c r="AK2325" i="2"/>
  <c r="AF2325" i="2"/>
  <c r="V2325" i="2"/>
  <c r="AK2324" i="2"/>
  <c r="AF2324" i="2"/>
  <c r="V2324" i="2"/>
  <c r="AK2323" i="2"/>
  <c r="AF2323" i="2"/>
  <c r="V2323" i="2"/>
  <c r="AK2322" i="2"/>
  <c r="AF2322" i="2"/>
  <c r="V2322" i="2"/>
  <c r="AK2321" i="2"/>
  <c r="AF2321" i="2"/>
  <c r="V2321" i="2"/>
  <c r="AK2320" i="2"/>
  <c r="AF2320" i="2"/>
  <c r="V2320" i="2"/>
  <c r="AK2319" i="2"/>
  <c r="AF2319" i="2"/>
  <c r="V2319" i="2"/>
  <c r="AK2318" i="2"/>
  <c r="AF2318" i="2"/>
  <c r="V2318" i="2"/>
  <c r="AK2317" i="2"/>
  <c r="AF2317" i="2"/>
  <c r="V2317" i="2"/>
  <c r="AK2316" i="2"/>
  <c r="AF2316" i="2"/>
  <c r="V2316" i="2"/>
  <c r="AK2315" i="2"/>
  <c r="AF2315" i="2"/>
  <c r="V2315" i="2"/>
  <c r="AK2314" i="2"/>
  <c r="AF2314" i="2"/>
  <c r="V2314" i="2"/>
  <c r="AK2313" i="2"/>
  <c r="AF2313" i="2"/>
  <c r="V2313" i="2"/>
  <c r="AK2312" i="2"/>
  <c r="AF2312" i="2"/>
  <c r="V2312" i="2"/>
  <c r="AK2311" i="2"/>
  <c r="V2311" i="2"/>
  <c r="AK2310" i="2"/>
  <c r="V2310" i="2"/>
  <c r="AK2309" i="2"/>
  <c r="AF2309" i="2"/>
  <c r="V2309" i="2"/>
  <c r="AK2308" i="2"/>
  <c r="AF2308" i="2"/>
  <c r="V2308" i="2"/>
  <c r="AK2307" i="2"/>
  <c r="AF2307" i="2"/>
  <c r="V2307" i="2"/>
  <c r="AK2306" i="2"/>
  <c r="AF2306" i="2"/>
  <c r="V2306" i="2"/>
  <c r="AK2305" i="2"/>
  <c r="AF2305" i="2"/>
  <c r="V2305" i="2"/>
  <c r="AK2304" i="2"/>
  <c r="AF2304" i="2"/>
  <c r="V2304" i="2"/>
  <c r="AK2303" i="2"/>
  <c r="AF2303" i="2"/>
  <c r="V2303" i="2"/>
  <c r="AK2302" i="2"/>
  <c r="AF2302" i="2"/>
  <c r="V2302" i="2"/>
  <c r="AK2301" i="2"/>
  <c r="AF2301" i="2"/>
  <c r="V2301" i="2"/>
  <c r="AK2300" i="2"/>
  <c r="AF2300" i="2"/>
  <c r="V2300" i="2"/>
  <c r="AK2299" i="2"/>
  <c r="AF2299" i="2"/>
  <c r="V2299" i="2"/>
  <c r="AK2298" i="2"/>
  <c r="AF2298" i="2"/>
  <c r="V2298" i="2"/>
  <c r="AK2297" i="2"/>
  <c r="AF2297" i="2"/>
  <c r="V2297" i="2"/>
  <c r="AK2296" i="2"/>
  <c r="V2296" i="2"/>
  <c r="AK2295" i="2"/>
  <c r="V2295" i="2"/>
  <c r="AK2294" i="2"/>
  <c r="AF2294" i="2"/>
  <c r="V2294" i="2"/>
  <c r="AK2293" i="2"/>
  <c r="AF2293" i="2"/>
  <c r="V2293" i="2"/>
  <c r="AK2292" i="2"/>
  <c r="AF2292" i="2"/>
  <c r="V2292" i="2"/>
  <c r="AK2291" i="2"/>
  <c r="AF2291" i="2"/>
  <c r="V2291" i="2"/>
  <c r="AK2290" i="2"/>
  <c r="AF2290" i="2"/>
  <c r="V2290" i="2"/>
  <c r="AK2289" i="2"/>
  <c r="AF2289" i="2"/>
  <c r="V2289" i="2"/>
  <c r="AK2288" i="2"/>
  <c r="AF2288" i="2"/>
  <c r="V2288" i="2"/>
  <c r="AK2287" i="2"/>
  <c r="V2287" i="2"/>
  <c r="AK2286" i="2"/>
  <c r="AF2286" i="2"/>
  <c r="V2286" i="2"/>
  <c r="AK2285" i="2"/>
  <c r="AF2285" i="2"/>
  <c r="V2285" i="2"/>
  <c r="AK2284" i="2"/>
  <c r="AF2284" i="2"/>
  <c r="V2284" i="2"/>
  <c r="AK2283" i="2"/>
  <c r="AF2283" i="2"/>
  <c r="V2283" i="2"/>
  <c r="AK2282" i="2"/>
  <c r="AF2282" i="2"/>
  <c r="N50" i="3" s="1"/>
  <c r="V2282" i="2"/>
  <c r="AK2281" i="2"/>
  <c r="AF2281" i="2"/>
  <c r="V2281" i="2"/>
  <c r="AK2280" i="2"/>
  <c r="AF2280" i="2"/>
  <c r="V2280" i="2"/>
  <c r="AK2279" i="2"/>
  <c r="AF2279" i="2"/>
  <c r="V2279" i="2"/>
  <c r="AK2278" i="2"/>
  <c r="V2278" i="2"/>
  <c r="AK2277" i="2"/>
  <c r="AF2277" i="2"/>
  <c r="V2277" i="2"/>
  <c r="AK2276" i="2"/>
  <c r="V2276" i="2"/>
  <c r="AK2275" i="2"/>
  <c r="V2275" i="2"/>
  <c r="AK2274" i="2"/>
  <c r="AF2274" i="2"/>
  <c r="V2274" i="2"/>
  <c r="AK2273" i="2"/>
  <c r="V2273" i="2"/>
  <c r="AK2272" i="2"/>
  <c r="V2272" i="2"/>
  <c r="AK2271" i="2"/>
  <c r="AF2271" i="2"/>
  <c r="V2271" i="2"/>
  <c r="AK2270" i="2"/>
  <c r="V2270" i="2"/>
  <c r="AK2269" i="2"/>
  <c r="V2269" i="2"/>
  <c r="AK2268" i="2"/>
  <c r="V2268" i="2"/>
  <c r="AK2267" i="2"/>
  <c r="V2267" i="2"/>
  <c r="AK2266" i="2"/>
  <c r="AF2266" i="2"/>
  <c r="V2266" i="2"/>
  <c r="AK2265" i="2"/>
  <c r="V2265" i="2"/>
  <c r="AK2264" i="2"/>
  <c r="AF2264" i="2"/>
  <c r="V2264" i="2"/>
  <c r="AK2263" i="2"/>
  <c r="AF2263" i="2"/>
  <c r="V2263" i="2"/>
  <c r="AK2262" i="2"/>
  <c r="V2262" i="2"/>
  <c r="AK2261" i="2"/>
  <c r="AF2261" i="2"/>
  <c r="V2261" i="2"/>
  <c r="AK2260" i="2"/>
  <c r="AF2260" i="2"/>
  <c r="V2260" i="2"/>
  <c r="AK2259" i="2"/>
  <c r="AF2259" i="2"/>
  <c r="V2259" i="2"/>
  <c r="AK2258" i="2"/>
  <c r="AF2258" i="2"/>
  <c r="V2258" i="2"/>
  <c r="AK2257" i="2"/>
  <c r="AF2257" i="2"/>
  <c r="V2257" i="2"/>
  <c r="AK2256" i="2"/>
  <c r="V2256" i="2"/>
  <c r="AK2255" i="2"/>
  <c r="V2255" i="2"/>
  <c r="AK2254" i="2"/>
  <c r="AF2254" i="2"/>
  <c r="V2254" i="2"/>
  <c r="AK2253" i="2"/>
  <c r="AF2253" i="2"/>
  <c r="V2253" i="2"/>
  <c r="AK2252" i="2"/>
  <c r="V2252" i="2"/>
  <c r="AK2251" i="2"/>
  <c r="AF2251" i="2"/>
  <c r="V2251" i="2"/>
  <c r="AK2250" i="2"/>
  <c r="AF2250" i="2"/>
  <c r="V2250" i="2"/>
  <c r="AK2249" i="2"/>
  <c r="V2249" i="2"/>
  <c r="AK2248" i="2"/>
  <c r="V2248" i="2"/>
  <c r="AK2247" i="2"/>
  <c r="AF2247" i="2"/>
  <c r="V2247" i="2"/>
  <c r="AK2246" i="2"/>
  <c r="AF2246" i="2"/>
  <c r="V2246" i="2"/>
  <c r="AK2245" i="2"/>
  <c r="AF2245" i="2"/>
  <c r="V2245" i="2"/>
  <c r="AK2244" i="2"/>
  <c r="AF2244" i="2"/>
  <c r="V2244" i="2"/>
  <c r="AK2243" i="2"/>
  <c r="AF2243" i="2"/>
  <c r="V2243" i="2"/>
  <c r="AK2242" i="2"/>
  <c r="AF2242" i="2"/>
  <c r="V2242" i="2"/>
  <c r="AK2241" i="2"/>
  <c r="V2241" i="2"/>
  <c r="AK2240" i="2"/>
  <c r="AF2240" i="2"/>
  <c r="V2240" i="2"/>
  <c r="AK2239" i="2"/>
  <c r="AF2239" i="2"/>
  <c r="V2239" i="2"/>
  <c r="AK2238" i="2"/>
  <c r="AF2238" i="2"/>
  <c r="V2238" i="2"/>
  <c r="AK2237" i="2"/>
  <c r="AF2237" i="2"/>
  <c r="V2237" i="2"/>
  <c r="AK2236" i="2"/>
  <c r="V2236" i="2"/>
  <c r="AK2235" i="2"/>
  <c r="AF2235" i="2"/>
  <c r="V2235" i="2"/>
  <c r="AK2234" i="2"/>
  <c r="V2234" i="2"/>
  <c r="AK2233" i="2"/>
  <c r="V2233" i="2"/>
  <c r="AK2232" i="2"/>
  <c r="AF2232" i="2"/>
  <c r="V2232" i="2"/>
  <c r="AK2231" i="2"/>
  <c r="AF2231" i="2"/>
  <c r="V2231" i="2"/>
  <c r="AK2230" i="2"/>
  <c r="AF2230" i="2"/>
  <c r="V2230" i="2"/>
  <c r="AK2229" i="2"/>
  <c r="V2229" i="2"/>
  <c r="AK2228" i="2"/>
  <c r="V2228" i="2"/>
  <c r="AK2227" i="2"/>
  <c r="V2227" i="2"/>
  <c r="AK2226" i="2"/>
  <c r="AF2226" i="2"/>
  <c r="V2226" i="2"/>
  <c r="AK2225" i="2"/>
  <c r="AF2225" i="2"/>
  <c r="V2225" i="2"/>
  <c r="AK2224" i="2"/>
  <c r="AF2224" i="2"/>
  <c r="V2224" i="2"/>
  <c r="AK2223" i="2"/>
  <c r="AF2223" i="2"/>
  <c r="V2223" i="2"/>
  <c r="AK2222" i="2"/>
  <c r="V2222" i="2"/>
  <c r="AK2221" i="2"/>
  <c r="AF2221" i="2"/>
  <c r="V2221" i="2"/>
  <c r="AK2220" i="2"/>
  <c r="AF2220" i="2"/>
  <c r="V2220" i="2"/>
  <c r="AK2219" i="2"/>
  <c r="AF2219" i="2"/>
  <c r="V2219" i="2"/>
  <c r="AK2218" i="2"/>
  <c r="AF2218" i="2"/>
  <c r="V2218" i="2"/>
  <c r="AK2217" i="2"/>
  <c r="V2217" i="2"/>
  <c r="AK2216" i="2"/>
  <c r="AF2216" i="2"/>
  <c r="V2216" i="2"/>
  <c r="AK2215" i="2"/>
  <c r="V2215" i="2"/>
  <c r="AK2214" i="2"/>
  <c r="V2214" i="2"/>
  <c r="AK2213" i="2"/>
  <c r="AF2213" i="2"/>
  <c r="V2213" i="2"/>
  <c r="AK2212" i="2"/>
  <c r="V2212" i="2"/>
  <c r="AK2211" i="2"/>
  <c r="AF2211" i="2"/>
  <c r="V2211" i="2"/>
  <c r="AK2210" i="2"/>
  <c r="AF2210" i="2"/>
  <c r="V2210" i="2"/>
  <c r="AK2209" i="2"/>
  <c r="V2209" i="2"/>
  <c r="AK2208" i="2"/>
  <c r="V2208" i="2"/>
  <c r="AK2207" i="2"/>
  <c r="V2207" i="2"/>
  <c r="AK2206" i="2"/>
  <c r="V2206" i="2"/>
  <c r="AK2205" i="2"/>
  <c r="AF2205" i="2"/>
  <c r="V2205" i="2"/>
  <c r="AK2204" i="2"/>
  <c r="AF2204" i="2"/>
  <c r="V2204" i="2"/>
  <c r="AK2203" i="2"/>
  <c r="AF2203" i="2"/>
  <c r="V2203" i="2"/>
  <c r="AK2202" i="2"/>
  <c r="V2202" i="2"/>
  <c r="AK2201" i="2"/>
  <c r="V2201" i="2"/>
  <c r="AK2200" i="2"/>
  <c r="AF2200" i="2"/>
  <c r="V2200" i="2"/>
  <c r="AK2199" i="2"/>
  <c r="V2199" i="2"/>
  <c r="AK2198" i="2"/>
  <c r="AF2198" i="2"/>
  <c r="V2198" i="2"/>
  <c r="AK2197" i="2"/>
  <c r="V2197" i="2"/>
  <c r="AK2196" i="2"/>
  <c r="V2196" i="2"/>
  <c r="AK2195" i="2"/>
  <c r="AF2195" i="2"/>
  <c r="V2195" i="2"/>
  <c r="AK2194" i="2"/>
  <c r="V2194" i="2"/>
  <c r="AK2193" i="2"/>
  <c r="AF2193" i="2"/>
  <c r="V2193" i="2"/>
  <c r="AK2192" i="2"/>
  <c r="AF2192" i="2"/>
  <c r="V2192" i="2"/>
  <c r="AK2191" i="2"/>
  <c r="V2191" i="2"/>
  <c r="AK2190" i="2"/>
  <c r="V2190" i="2"/>
  <c r="AK2189" i="2"/>
  <c r="V2189" i="2"/>
  <c r="AK2188" i="2"/>
  <c r="AF2188" i="2"/>
  <c r="V2188" i="2"/>
  <c r="AK2187" i="2"/>
  <c r="V2187" i="2"/>
  <c r="AK2186" i="2"/>
  <c r="V2186" i="2"/>
  <c r="AK2185" i="2"/>
  <c r="AF2185" i="2"/>
  <c r="V2185" i="2"/>
  <c r="AK2184" i="2"/>
  <c r="AF2184" i="2"/>
  <c r="V2184" i="2"/>
  <c r="AK2183" i="2"/>
  <c r="AF2183" i="2"/>
  <c r="V2183" i="2"/>
  <c r="AK2182" i="2"/>
  <c r="V2182" i="2"/>
  <c r="AK2181" i="2"/>
  <c r="V2181" i="2"/>
  <c r="AK2180" i="2"/>
  <c r="AF2180" i="2"/>
  <c r="V2180" i="2"/>
  <c r="AK2179" i="2"/>
  <c r="AF2179" i="2"/>
  <c r="V2179" i="2"/>
  <c r="AK2178" i="2"/>
  <c r="AF2178" i="2"/>
  <c r="V2178" i="2"/>
  <c r="AK2177" i="2"/>
  <c r="V2177" i="2"/>
  <c r="AK2176" i="2"/>
  <c r="AF2176" i="2"/>
  <c r="V2176" i="2"/>
  <c r="AK2175" i="2"/>
  <c r="AF2175" i="2"/>
  <c r="V2175" i="2"/>
  <c r="AK2174" i="2"/>
  <c r="AF2174" i="2"/>
  <c r="V2174" i="2"/>
  <c r="AK2173" i="2"/>
  <c r="V2173" i="2"/>
  <c r="AK2172" i="2"/>
  <c r="AF2172" i="2"/>
  <c r="V2172" i="2"/>
  <c r="AK2171" i="2"/>
  <c r="AF2171" i="2"/>
  <c r="V2171" i="2"/>
  <c r="AK2170" i="2"/>
  <c r="AF2170" i="2"/>
  <c r="V2170" i="2"/>
  <c r="AK2169" i="2"/>
  <c r="AF2169" i="2"/>
  <c r="V2169" i="2"/>
  <c r="AK2168" i="2"/>
  <c r="AF2168" i="2"/>
  <c r="V2168" i="2"/>
  <c r="AK2167" i="2"/>
  <c r="AF2167" i="2"/>
  <c r="V2167" i="2"/>
  <c r="AK2166" i="2"/>
  <c r="V2166" i="2"/>
  <c r="AK2165" i="2"/>
  <c r="AF2165" i="2"/>
  <c r="V2165" i="2"/>
  <c r="AK2164" i="2"/>
  <c r="V2164" i="2"/>
  <c r="AK2163" i="2"/>
  <c r="V2163" i="2"/>
  <c r="AK2162" i="2"/>
  <c r="AF2162" i="2"/>
  <c r="V2162" i="2"/>
  <c r="AK2161" i="2"/>
  <c r="AF2161" i="2"/>
  <c r="V2161" i="2"/>
  <c r="AK2160" i="2"/>
  <c r="V2160" i="2"/>
  <c r="AK2159" i="2"/>
  <c r="V2159" i="2"/>
  <c r="AK2158" i="2"/>
  <c r="AF2158" i="2"/>
  <c r="V2158" i="2"/>
  <c r="AK2157" i="2"/>
  <c r="AF2157" i="2"/>
  <c r="V2157" i="2"/>
  <c r="AK2156" i="2"/>
  <c r="AF2156" i="2"/>
  <c r="V2156" i="2"/>
  <c r="AK2155" i="2"/>
  <c r="V2155" i="2"/>
  <c r="AK2154" i="2"/>
  <c r="V2154" i="2"/>
  <c r="AK2153" i="2"/>
  <c r="AF2153" i="2"/>
  <c r="V2153" i="2"/>
  <c r="AK2152" i="2"/>
  <c r="V2152" i="2"/>
  <c r="AK2151" i="2"/>
  <c r="AF2151" i="2"/>
  <c r="V2151" i="2"/>
  <c r="AK2150" i="2"/>
  <c r="AF2150" i="2"/>
  <c r="V2150" i="2"/>
  <c r="AK2149" i="2"/>
  <c r="AF2149" i="2"/>
  <c r="V2149" i="2"/>
  <c r="AK2148" i="2"/>
  <c r="V2148" i="2"/>
  <c r="AK2147" i="2"/>
  <c r="V2147" i="2"/>
  <c r="AK2146" i="2"/>
  <c r="AF2146" i="2"/>
  <c r="V2146" i="2"/>
  <c r="AK2145" i="2"/>
  <c r="AF2145" i="2"/>
  <c r="V2145" i="2"/>
  <c r="AK2144" i="2"/>
  <c r="V2144" i="2"/>
  <c r="AK2143" i="2"/>
  <c r="AF2143" i="2"/>
  <c r="V2143" i="2"/>
  <c r="AK2142" i="2"/>
  <c r="AF2142" i="2"/>
  <c r="V2142" i="2"/>
  <c r="AK2141" i="2"/>
  <c r="AF2141" i="2"/>
  <c r="V2141" i="2"/>
  <c r="AK2140" i="2"/>
  <c r="AF2140" i="2"/>
  <c r="V2140" i="2"/>
  <c r="AK2139" i="2"/>
  <c r="AF2139" i="2"/>
  <c r="V2139" i="2"/>
  <c r="AK2138" i="2"/>
  <c r="AF2138" i="2"/>
  <c r="V2138" i="2"/>
  <c r="AK2137" i="2"/>
  <c r="AF2137" i="2"/>
  <c r="V2137" i="2"/>
  <c r="AK2136" i="2"/>
  <c r="V2136" i="2"/>
  <c r="AK2135" i="2"/>
  <c r="AF2135" i="2"/>
  <c r="V2135" i="2"/>
  <c r="AK2134" i="2"/>
  <c r="AF2134" i="2"/>
  <c r="V2134" i="2"/>
  <c r="AK2133" i="2"/>
  <c r="V2133" i="2"/>
  <c r="AK2132" i="2"/>
  <c r="AF2132" i="2"/>
  <c r="V2132" i="2"/>
  <c r="AK2131" i="2"/>
  <c r="AF2131" i="2"/>
  <c r="V2131" i="2"/>
  <c r="AK2130" i="2"/>
  <c r="AF2130" i="2"/>
  <c r="V2130" i="2"/>
  <c r="AK2129" i="2"/>
  <c r="AF2129" i="2"/>
  <c r="V2129" i="2"/>
  <c r="AK2128" i="2"/>
  <c r="AF2128" i="2"/>
  <c r="V2128" i="2"/>
  <c r="AK2127" i="2"/>
  <c r="V2127" i="2"/>
  <c r="AK2126" i="2"/>
  <c r="V2126" i="2"/>
  <c r="AK2125" i="2"/>
  <c r="V2125" i="2"/>
  <c r="AK2124" i="2"/>
  <c r="V2124" i="2"/>
  <c r="AK2123" i="2"/>
  <c r="V2123" i="2"/>
  <c r="AK2122" i="2"/>
  <c r="V2122" i="2"/>
  <c r="AK2121" i="2"/>
  <c r="V2121" i="2"/>
  <c r="AK2120" i="2"/>
  <c r="V2120" i="2"/>
  <c r="AK2119" i="2"/>
  <c r="AF2119" i="2"/>
  <c r="V2119" i="2"/>
  <c r="AK2118" i="2"/>
  <c r="V2118" i="2"/>
  <c r="AK2117" i="2"/>
  <c r="V2117" i="2"/>
  <c r="AK2116" i="2"/>
  <c r="AF2116" i="2"/>
  <c r="V2116" i="2"/>
  <c r="AK2115" i="2"/>
  <c r="AF2115" i="2"/>
  <c r="V2115" i="2"/>
  <c r="AK2114" i="2"/>
  <c r="AF2114" i="2"/>
  <c r="V2114" i="2"/>
  <c r="AK2113" i="2"/>
  <c r="AF2113" i="2"/>
  <c r="V2113" i="2"/>
  <c r="AK2112" i="2"/>
  <c r="AF2112" i="2"/>
  <c r="V2112" i="2"/>
  <c r="AK2111" i="2"/>
  <c r="AF2111" i="2"/>
  <c r="V2111" i="2"/>
  <c r="AK2110" i="2"/>
  <c r="AF2110" i="2"/>
  <c r="V2110" i="2"/>
  <c r="AK2109" i="2"/>
  <c r="AF2109" i="2"/>
  <c r="V2109" i="2"/>
  <c r="AK2108" i="2"/>
  <c r="AF2108" i="2"/>
  <c r="V2108" i="2"/>
  <c r="AK2107" i="2"/>
  <c r="AF2107" i="2"/>
  <c r="V2107" i="2"/>
  <c r="AK2106" i="2"/>
  <c r="V2106" i="2"/>
  <c r="AK2105" i="2"/>
  <c r="AF2105" i="2"/>
  <c r="V2105" i="2"/>
  <c r="AK2104" i="2"/>
  <c r="V2104" i="2"/>
  <c r="AK2103" i="2"/>
  <c r="AF2103" i="2"/>
  <c r="V2103" i="2"/>
  <c r="AK2102" i="2"/>
  <c r="V2102" i="2"/>
  <c r="AK2101" i="2"/>
  <c r="AF2101" i="2"/>
  <c r="V2101" i="2"/>
  <c r="AK2100" i="2"/>
  <c r="AF2100" i="2"/>
  <c r="V2100" i="2"/>
  <c r="AK2099" i="2"/>
  <c r="AF2099" i="2"/>
  <c r="V2099" i="2"/>
  <c r="AK2098" i="2"/>
  <c r="V2098" i="2"/>
  <c r="AK2097" i="2"/>
  <c r="AF2097" i="2"/>
  <c r="V2097" i="2"/>
  <c r="AK2096" i="2"/>
  <c r="AF2096" i="2"/>
  <c r="V2096" i="2"/>
  <c r="AK2095" i="2"/>
  <c r="V2095" i="2"/>
  <c r="AK2094" i="2"/>
  <c r="AF2094" i="2"/>
  <c r="V2094" i="2"/>
  <c r="AK2093" i="2"/>
  <c r="V2093" i="2"/>
  <c r="AK2092" i="2"/>
  <c r="V2092" i="2"/>
  <c r="AK2091" i="2"/>
  <c r="AF2091" i="2"/>
  <c r="V2091" i="2"/>
  <c r="AK2090" i="2"/>
  <c r="V2090" i="2"/>
  <c r="AK2089" i="2"/>
  <c r="AF2089" i="2"/>
  <c r="V2089" i="2"/>
  <c r="AK2088" i="2"/>
  <c r="AF2088" i="2"/>
  <c r="V2088" i="2"/>
  <c r="AK2087" i="2"/>
  <c r="AF2087" i="2"/>
  <c r="V2087" i="2"/>
  <c r="AK2086" i="2"/>
  <c r="AF2086" i="2"/>
  <c r="V2086" i="2"/>
  <c r="AK2085" i="2"/>
  <c r="AF2085" i="2"/>
  <c r="V2085" i="2"/>
  <c r="AK2084" i="2"/>
  <c r="AF2084" i="2"/>
  <c r="V2084" i="2"/>
  <c r="AK2083" i="2"/>
  <c r="AF2083" i="2"/>
  <c r="V2083" i="2"/>
  <c r="AK2082" i="2"/>
  <c r="AF2082" i="2"/>
  <c r="V2082" i="2"/>
  <c r="AK2081" i="2"/>
  <c r="V2081" i="2"/>
  <c r="AK2080" i="2"/>
  <c r="AF2080" i="2"/>
  <c r="V2080" i="2"/>
  <c r="AK2079" i="2"/>
  <c r="AF2079" i="2"/>
  <c r="V2079" i="2"/>
  <c r="AK2078" i="2"/>
  <c r="V2078" i="2"/>
  <c r="AK2077" i="2"/>
  <c r="V2077" i="2"/>
  <c r="AK2076" i="2"/>
  <c r="V2076" i="2"/>
  <c r="AK2075" i="2"/>
  <c r="AF2075" i="2"/>
  <c r="V2075" i="2"/>
  <c r="AK2074" i="2"/>
  <c r="AF2074" i="2"/>
  <c r="V2074" i="2"/>
  <c r="AK2073" i="2"/>
  <c r="V2073" i="2"/>
  <c r="AK2072" i="2"/>
  <c r="V2072" i="2"/>
  <c r="AK2071" i="2"/>
  <c r="V2071" i="2"/>
  <c r="AK2070" i="2"/>
  <c r="V2070" i="2"/>
  <c r="AK2069" i="2"/>
  <c r="AF2069" i="2"/>
  <c r="V2069" i="2"/>
  <c r="AK2068" i="2"/>
  <c r="AF2068" i="2"/>
  <c r="V2068" i="2"/>
  <c r="AK2067" i="2"/>
  <c r="V2067" i="2"/>
  <c r="AK2066" i="2"/>
  <c r="AF2066" i="2"/>
  <c r="V2066" i="2"/>
  <c r="AK2065" i="2"/>
  <c r="AF2065" i="2"/>
  <c r="V2065" i="2"/>
  <c r="AK2064" i="2"/>
  <c r="AF2064" i="2"/>
  <c r="V2064" i="2"/>
  <c r="AK2063" i="2"/>
  <c r="AF2063" i="2"/>
  <c r="V2063" i="2"/>
  <c r="AK2062" i="2"/>
  <c r="AF2062" i="2"/>
  <c r="V2062" i="2"/>
  <c r="AK2061" i="2"/>
  <c r="AF2061" i="2"/>
  <c r="V2061" i="2"/>
  <c r="AK2060" i="2"/>
  <c r="AF2060" i="2"/>
  <c r="V2060" i="2"/>
  <c r="AK2059" i="2"/>
  <c r="V2059" i="2"/>
  <c r="AK2058" i="2"/>
  <c r="V2058" i="2"/>
  <c r="AK2057" i="2"/>
  <c r="V2057" i="2"/>
  <c r="AK2056" i="2"/>
  <c r="AF2056" i="2"/>
  <c r="V2056" i="2"/>
  <c r="AK2055" i="2"/>
  <c r="AF2055" i="2"/>
  <c r="V2055" i="2"/>
  <c r="AK2054" i="2"/>
  <c r="AF2054" i="2"/>
  <c r="V2054" i="2"/>
  <c r="AK2053" i="2"/>
  <c r="AF2053" i="2"/>
  <c r="V2053" i="2"/>
  <c r="AK2052" i="2"/>
  <c r="AF2052" i="2"/>
  <c r="V2052" i="2"/>
  <c r="AK2051" i="2"/>
  <c r="V2051" i="2"/>
  <c r="AK2050" i="2"/>
  <c r="AF2050" i="2"/>
  <c r="V2050" i="2"/>
  <c r="AK2049" i="2"/>
  <c r="AF2049" i="2"/>
  <c r="V2049" i="2"/>
  <c r="AK2048" i="2"/>
  <c r="AF2048" i="2"/>
  <c r="V2048" i="2"/>
  <c r="AK2047" i="2"/>
  <c r="AF2047" i="2"/>
  <c r="V2047" i="2"/>
  <c r="AK2046" i="2"/>
  <c r="V2046" i="2"/>
  <c r="AK2045" i="2"/>
  <c r="AF2045" i="2"/>
  <c r="V2045" i="2"/>
  <c r="AK2044" i="2"/>
  <c r="V2044" i="2"/>
  <c r="AK2043" i="2"/>
  <c r="V2043" i="2"/>
  <c r="AK2042" i="2"/>
  <c r="V2042" i="2"/>
  <c r="AK2041" i="2"/>
  <c r="AF2041" i="2"/>
  <c r="V2041" i="2"/>
  <c r="AK2040" i="2"/>
  <c r="AF2040" i="2"/>
  <c r="V2040" i="2"/>
  <c r="AK2039" i="2"/>
  <c r="V2039" i="2"/>
  <c r="AK2038" i="2"/>
  <c r="AF2038" i="2"/>
  <c r="V2038" i="2"/>
  <c r="AK2037" i="2"/>
  <c r="V2037" i="2"/>
  <c r="AK2036" i="2"/>
  <c r="V2036" i="2"/>
  <c r="AK2035" i="2"/>
  <c r="V2035" i="2"/>
  <c r="AK2034" i="2"/>
  <c r="AF2034" i="2"/>
  <c r="V2034" i="2"/>
  <c r="AK2033" i="2"/>
  <c r="V2033" i="2"/>
  <c r="AK2032" i="2"/>
  <c r="AF2032" i="2"/>
  <c r="V2032" i="2"/>
  <c r="AK2031" i="2"/>
  <c r="AF2031" i="2"/>
  <c r="V2031" i="2"/>
  <c r="AK2030" i="2"/>
  <c r="V2030" i="2"/>
  <c r="AK2029" i="2"/>
  <c r="AF2029" i="2"/>
  <c r="V2029" i="2"/>
  <c r="AK2028" i="2"/>
  <c r="AF2028" i="2"/>
  <c r="V2028" i="2"/>
  <c r="AK2027" i="2"/>
  <c r="AF2027" i="2"/>
  <c r="V2027" i="2"/>
  <c r="AK2026" i="2"/>
  <c r="AF2026" i="2"/>
  <c r="V2026" i="2"/>
  <c r="AK2025" i="2"/>
  <c r="V2025" i="2"/>
  <c r="AK2024" i="2"/>
  <c r="AF2024" i="2"/>
  <c r="V2024" i="2"/>
  <c r="AK2023" i="2"/>
  <c r="AF2023" i="2"/>
  <c r="V2023" i="2"/>
  <c r="AK2022" i="2"/>
  <c r="AF2022" i="2"/>
  <c r="V2022" i="2"/>
  <c r="AK2021" i="2"/>
  <c r="AF2021" i="2"/>
  <c r="V2021" i="2"/>
  <c r="AK2020" i="2"/>
  <c r="V2020" i="2"/>
  <c r="AK2019" i="2"/>
  <c r="V2019" i="2"/>
  <c r="AK2018" i="2"/>
  <c r="V2018" i="2"/>
  <c r="AK2017" i="2"/>
  <c r="AF2017" i="2"/>
  <c r="V2017" i="2"/>
  <c r="AK2016" i="2"/>
  <c r="AF2016" i="2"/>
  <c r="V2016" i="2"/>
  <c r="AK2015" i="2"/>
  <c r="AF2015" i="2"/>
  <c r="V2015" i="2"/>
  <c r="AK2014" i="2"/>
  <c r="V2014" i="2"/>
  <c r="AK2013" i="2"/>
  <c r="AF2013" i="2"/>
  <c r="V2013" i="2"/>
  <c r="AK2012" i="2"/>
  <c r="AF2012" i="2"/>
  <c r="V2012" i="2"/>
  <c r="AK2011" i="2"/>
  <c r="AF2011" i="2"/>
  <c r="V2011" i="2"/>
  <c r="AK2010" i="2"/>
  <c r="V2010" i="2"/>
  <c r="AK2009" i="2"/>
  <c r="AF2009" i="2"/>
  <c r="V2009" i="2"/>
  <c r="AK2008" i="2"/>
  <c r="V2008" i="2"/>
  <c r="AK2007" i="2"/>
  <c r="V2007" i="2"/>
  <c r="AK2006" i="2"/>
  <c r="AF2006" i="2"/>
  <c r="V2006" i="2"/>
  <c r="AK2005" i="2"/>
  <c r="V2005" i="2"/>
  <c r="AK2004" i="2"/>
  <c r="AF2004" i="2"/>
  <c r="V2004" i="2"/>
  <c r="AK2003" i="2"/>
  <c r="V2003" i="2"/>
  <c r="AK2002" i="2"/>
  <c r="AF2002" i="2"/>
  <c r="V2002" i="2"/>
  <c r="AK2001" i="2"/>
  <c r="AF2001" i="2"/>
  <c r="V2001" i="2"/>
  <c r="AK2000" i="2"/>
  <c r="V2000" i="2"/>
  <c r="AK1999" i="2"/>
  <c r="V1999" i="2"/>
  <c r="AK1998" i="2"/>
  <c r="AF1998" i="2"/>
  <c r="V1998" i="2"/>
  <c r="AK1997" i="2"/>
  <c r="V1997" i="2"/>
  <c r="AK1996" i="2"/>
  <c r="AF1996" i="2"/>
  <c r="V1996" i="2"/>
  <c r="AK1995" i="2"/>
  <c r="AF1995" i="2"/>
  <c r="V1995" i="2"/>
  <c r="AK1994" i="2"/>
  <c r="AF1994" i="2"/>
  <c r="V1994" i="2"/>
  <c r="AK1993" i="2"/>
  <c r="V1993" i="2"/>
  <c r="AK1992" i="2"/>
  <c r="V1992" i="2"/>
  <c r="AK1991" i="2"/>
  <c r="AF1991" i="2"/>
  <c r="V1991" i="2"/>
  <c r="AK1990" i="2"/>
  <c r="V1990" i="2"/>
  <c r="AK1989" i="2"/>
  <c r="AF1989" i="2"/>
  <c r="V1989" i="2"/>
  <c r="AK1988" i="2"/>
  <c r="AF1988" i="2"/>
  <c r="V1988" i="2"/>
  <c r="AK1987" i="2"/>
  <c r="V1987" i="2"/>
  <c r="AK1986" i="2"/>
  <c r="V1986" i="2"/>
  <c r="AK1985" i="2"/>
  <c r="AF1985" i="2"/>
  <c r="V1985" i="2"/>
  <c r="AK1984" i="2"/>
  <c r="AF1984" i="2"/>
  <c r="V1984" i="2"/>
  <c r="AK1983" i="2"/>
  <c r="V1983" i="2"/>
  <c r="AK1982" i="2"/>
  <c r="V1982" i="2"/>
  <c r="AK1981" i="2"/>
  <c r="AF1981" i="2"/>
  <c r="V1981" i="2"/>
  <c r="AK1980" i="2"/>
  <c r="AF1980" i="2"/>
  <c r="V1980" i="2"/>
  <c r="AK1979" i="2"/>
  <c r="V1979" i="2"/>
  <c r="AK1978" i="2"/>
  <c r="V1978" i="2"/>
  <c r="AK1977" i="2"/>
  <c r="V1977" i="2"/>
  <c r="AK1976" i="2"/>
  <c r="V1976" i="2"/>
  <c r="AK1975" i="2"/>
  <c r="V1975" i="2"/>
  <c r="AK1974" i="2"/>
  <c r="V1974" i="2"/>
  <c r="AK1973" i="2"/>
  <c r="V1973" i="2"/>
  <c r="AK1972" i="2"/>
  <c r="AF1972" i="2"/>
  <c r="V1972" i="2"/>
  <c r="AK1971" i="2"/>
  <c r="AF1971" i="2"/>
  <c r="V1971" i="2"/>
  <c r="AK1970" i="2"/>
  <c r="V1970" i="2"/>
  <c r="AK1969" i="2"/>
  <c r="AF1969" i="2"/>
  <c r="V1969" i="2"/>
  <c r="AK1968" i="2"/>
  <c r="AF1968" i="2"/>
  <c r="V1968" i="2"/>
  <c r="AK1967" i="2"/>
  <c r="AF1967" i="2"/>
  <c r="V1967" i="2"/>
  <c r="AK1966" i="2"/>
  <c r="V1966" i="2"/>
  <c r="AK1965" i="2"/>
  <c r="AF1965" i="2"/>
  <c r="V1965" i="2"/>
  <c r="AK1964" i="2"/>
  <c r="V1964" i="2"/>
  <c r="AK1963" i="2"/>
  <c r="AF1963" i="2"/>
  <c r="V1963" i="2"/>
  <c r="AK1962" i="2"/>
  <c r="V1962" i="2"/>
  <c r="AK1961" i="2"/>
  <c r="V1961" i="2"/>
  <c r="AK1960" i="2"/>
  <c r="AF1960" i="2"/>
  <c r="V1960" i="2"/>
  <c r="AK1959" i="2"/>
  <c r="AF1959" i="2"/>
  <c r="V1959" i="2"/>
  <c r="AK1958" i="2"/>
  <c r="AF1958" i="2"/>
  <c r="V1958" i="2"/>
  <c r="AK1957" i="2"/>
  <c r="V1957" i="2"/>
  <c r="AK1956" i="2"/>
  <c r="V1956" i="2"/>
  <c r="AK1955" i="2"/>
  <c r="AF1955" i="2"/>
  <c r="V1955" i="2"/>
  <c r="AK1954" i="2"/>
  <c r="AF1954" i="2"/>
  <c r="V1954" i="2"/>
  <c r="AK1953" i="2"/>
  <c r="AF1953" i="2"/>
  <c r="V1953" i="2"/>
  <c r="AK1952" i="2"/>
  <c r="AF1952" i="2"/>
  <c r="V1952" i="2"/>
  <c r="AK1951" i="2"/>
  <c r="AF1951" i="2"/>
  <c r="V1951" i="2"/>
  <c r="AK1950" i="2"/>
  <c r="V1950" i="2"/>
  <c r="AK1949" i="2"/>
  <c r="AF1949" i="2"/>
  <c r="V1949" i="2"/>
  <c r="AK1948" i="2"/>
  <c r="V1948" i="2"/>
  <c r="AK1947" i="2"/>
  <c r="V1947" i="2"/>
  <c r="AK1946" i="2"/>
  <c r="V1946" i="2"/>
  <c r="AK1945" i="2"/>
  <c r="V1945" i="2"/>
  <c r="AK1944" i="2"/>
  <c r="V1944" i="2"/>
  <c r="AK1943" i="2"/>
  <c r="AF1943" i="2"/>
  <c r="V1943" i="2"/>
  <c r="AK1942" i="2"/>
  <c r="V1942" i="2"/>
  <c r="AK1941" i="2"/>
  <c r="AF1941" i="2"/>
  <c r="V1941" i="2"/>
  <c r="AK1940" i="2"/>
  <c r="V1940" i="2"/>
  <c r="AK1939" i="2"/>
  <c r="V1939" i="2"/>
  <c r="AK1938" i="2"/>
  <c r="V1938" i="2"/>
  <c r="AK1937" i="2"/>
  <c r="V1937" i="2"/>
  <c r="AK1936" i="2"/>
  <c r="AF1936" i="2"/>
  <c r="V1936" i="2"/>
  <c r="AK1935" i="2"/>
  <c r="V1935" i="2"/>
  <c r="AK1934" i="2"/>
  <c r="AF1934" i="2"/>
  <c r="V1934" i="2"/>
  <c r="AK1933" i="2"/>
  <c r="AF1933" i="2"/>
  <c r="V1933" i="2"/>
  <c r="AK1932" i="2"/>
  <c r="AF1932" i="2"/>
  <c r="V1932" i="2"/>
  <c r="AK1931" i="2"/>
  <c r="AF1931" i="2"/>
  <c r="V1931" i="2"/>
  <c r="AK1930" i="2"/>
  <c r="AF1930" i="2"/>
  <c r="V1930" i="2"/>
  <c r="AK1929" i="2"/>
  <c r="V1929" i="2"/>
  <c r="AK1928" i="2"/>
  <c r="AF1928" i="2"/>
  <c r="V1928" i="2"/>
  <c r="AK1927" i="2"/>
  <c r="AF1927" i="2"/>
  <c r="V1927" i="2"/>
  <c r="AK1926" i="2"/>
  <c r="AF1926" i="2"/>
  <c r="V1926" i="2"/>
  <c r="AK1925" i="2"/>
  <c r="AF1925" i="2"/>
  <c r="V1925" i="2"/>
  <c r="AK1924" i="2"/>
  <c r="AF1924" i="2"/>
  <c r="V1924" i="2"/>
  <c r="AK1923" i="2"/>
  <c r="AF1923" i="2"/>
  <c r="V1923" i="2"/>
  <c r="AK1922" i="2"/>
  <c r="AF1922" i="2"/>
  <c r="V1922" i="2"/>
  <c r="AK1921" i="2"/>
  <c r="V1921" i="2"/>
  <c r="AK1920" i="2"/>
  <c r="AF1920" i="2"/>
  <c r="V1920" i="2"/>
  <c r="AK1919" i="2"/>
  <c r="V1919" i="2"/>
  <c r="AK1918" i="2"/>
  <c r="V1918" i="2"/>
  <c r="AK1917" i="2"/>
  <c r="AF1917" i="2"/>
  <c r="V1917" i="2"/>
  <c r="AK1916" i="2"/>
  <c r="AF1916" i="2"/>
  <c r="V1916" i="2"/>
  <c r="AK1915" i="2"/>
  <c r="AF1915" i="2"/>
  <c r="V1915" i="2"/>
  <c r="AK1914" i="2"/>
  <c r="V1914" i="2"/>
  <c r="AK1913" i="2"/>
  <c r="V1913" i="2"/>
  <c r="AK1912" i="2"/>
  <c r="AF1912" i="2"/>
  <c r="V1912" i="2"/>
  <c r="AK1911" i="2"/>
  <c r="AF1911" i="2"/>
  <c r="V1911" i="2"/>
  <c r="AK1910" i="2"/>
  <c r="AF1910" i="2"/>
  <c r="V1910" i="2"/>
  <c r="AK1909" i="2"/>
  <c r="AF1909" i="2"/>
  <c r="V1909" i="2"/>
  <c r="AK1908" i="2"/>
  <c r="AF1908" i="2"/>
  <c r="V1908" i="2"/>
  <c r="AK1907" i="2"/>
  <c r="V1907" i="2"/>
  <c r="AK1906" i="2"/>
  <c r="AF1906" i="2"/>
  <c r="V1906" i="2"/>
  <c r="AK1905" i="2"/>
  <c r="V1905" i="2"/>
  <c r="AK1904" i="2"/>
  <c r="AF1904" i="2"/>
  <c r="V1904" i="2"/>
  <c r="AK1903" i="2"/>
  <c r="AF1903" i="2"/>
  <c r="V1903" i="2"/>
  <c r="AK1902" i="2"/>
  <c r="V1902" i="2"/>
  <c r="AK1901" i="2"/>
  <c r="AF1901" i="2"/>
  <c r="V1901" i="2"/>
  <c r="AK1900" i="2"/>
  <c r="AF1900" i="2"/>
  <c r="V1900" i="2"/>
  <c r="AK1899" i="2"/>
  <c r="V1899" i="2"/>
  <c r="AK1898" i="2"/>
  <c r="AF1898" i="2"/>
  <c r="V1898" i="2"/>
  <c r="AK1897" i="2"/>
  <c r="V1897" i="2"/>
  <c r="AK1896" i="2"/>
  <c r="AF1896" i="2"/>
  <c r="V1896" i="2"/>
  <c r="AK1895" i="2"/>
  <c r="V1895" i="2"/>
  <c r="AK1894" i="2"/>
  <c r="V1894" i="2"/>
  <c r="AK1893" i="2"/>
  <c r="AF1893" i="2"/>
  <c r="V1893" i="2"/>
  <c r="AK1892" i="2"/>
  <c r="AF1892" i="2"/>
  <c r="V1892" i="2"/>
  <c r="AK1891" i="2"/>
  <c r="AF1891" i="2"/>
  <c r="V1891" i="2"/>
  <c r="AK1890" i="2"/>
  <c r="AF1890" i="2"/>
  <c r="V1890" i="2"/>
  <c r="AK1889" i="2"/>
  <c r="AF1889" i="2"/>
  <c r="V1889" i="2"/>
  <c r="AK1888" i="2"/>
  <c r="AF1888" i="2"/>
  <c r="V1888" i="2"/>
  <c r="AK1887" i="2"/>
  <c r="AF1887" i="2"/>
  <c r="V1887" i="2"/>
  <c r="AK1886" i="2"/>
  <c r="AF1886" i="2"/>
  <c r="V1886" i="2"/>
  <c r="AK1885" i="2"/>
  <c r="V1885" i="2"/>
  <c r="AK1884" i="2"/>
  <c r="AF1884" i="2"/>
  <c r="V1884" i="2"/>
  <c r="AK1883" i="2"/>
  <c r="AF1883" i="2"/>
  <c r="V1883" i="2"/>
  <c r="AK1882" i="2"/>
  <c r="AF1882" i="2"/>
  <c r="V1882" i="2"/>
  <c r="AK1881" i="2"/>
  <c r="AF1881" i="2"/>
  <c r="V1881" i="2"/>
  <c r="AK1880" i="2"/>
  <c r="V1880" i="2"/>
  <c r="AK1879" i="2"/>
  <c r="AF1879" i="2"/>
  <c r="V1879" i="2"/>
  <c r="AK1878" i="2"/>
  <c r="AF1878" i="2"/>
  <c r="V1878" i="2"/>
  <c r="AK1877" i="2"/>
  <c r="AF1877" i="2"/>
  <c r="V1877" i="2"/>
  <c r="AK1876" i="2"/>
  <c r="V1876" i="2"/>
  <c r="AK1875" i="2"/>
  <c r="V1875" i="2"/>
  <c r="AK1874" i="2"/>
  <c r="AF1874" i="2"/>
  <c r="V1874" i="2"/>
  <c r="AK1873" i="2"/>
  <c r="V1873" i="2"/>
  <c r="AK1872" i="2"/>
  <c r="AF1872" i="2"/>
  <c r="V1872" i="2"/>
  <c r="AK1871" i="2"/>
  <c r="V1871" i="2"/>
  <c r="AK1870" i="2"/>
  <c r="AF1870" i="2"/>
  <c r="V1870" i="2"/>
  <c r="AK1869" i="2"/>
  <c r="V1869" i="2"/>
  <c r="AK1868" i="2"/>
  <c r="AF1868" i="2"/>
  <c r="V1868" i="2"/>
  <c r="AK1867" i="2"/>
  <c r="V1867" i="2"/>
  <c r="AK1866" i="2"/>
  <c r="V1866" i="2"/>
  <c r="AK1865" i="2"/>
  <c r="AF1865" i="2"/>
  <c r="V1865" i="2"/>
  <c r="AK1864" i="2"/>
  <c r="V1864" i="2"/>
  <c r="AK1863" i="2"/>
  <c r="V1863" i="2"/>
  <c r="AK1862" i="2"/>
  <c r="AF1862" i="2"/>
  <c r="V1862" i="2"/>
  <c r="AK1861" i="2"/>
  <c r="AF1861" i="2"/>
  <c r="V1861" i="2"/>
  <c r="AK1860" i="2"/>
  <c r="AF1860" i="2"/>
  <c r="V1860" i="2"/>
  <c r="AK1859" i="2"/>
  <c r="V1859" i="2"/>
  <c r="AK1858" i="2"/>
  <c r="V1858" i="2"/>
  <c r="AK1857" i="2"/>
  <c r="V1857" i="2"/>
  <c r="AK1856" i="2"/>
  <c r="AF1856" i="2"/>
  <c r="V1856" i="2"/>
  <c r="AK1855" i="2"/>
  <c r="V1855" i="2"/>
  <c r="AK1854" i="2"/>
  <c r="V1854" i="2"/>
  <c r="AK1853" i="2"/>
  <c r="V1853" i="2"/>
  <c r="AK1852" i="2"/>
  <c r="V1852" i="2"/>
  <c r="AK1851" i="2"/>
  <c r="AF1851" i="2"/>
  <c r="V1851" i="2"/>
  <c r="AK1850" i="2"/>
  <c r="AF1850" i="2"/>
  <c r="V1850" i="2"/>
  <c r="AK1849" i="2"/>
  <c r="AF1849" i="2"/>
  <c r="V1849" i="2"/>
  <c r="AK1848" i="2"/>
  <c r="AF1848" i="2"/>
  <c r="V1848" i="2"/>
  <c r="AK1847" i="2"/>
  <c r="V1847" i="2"/>
  <c r="AK1846" i="2"/>
  <c r="AF1846" i="2"/>
  <c r="V1846" i="2"/>
  <c r="AK1845" i="2"/>
  <c r="AF1845" i="2"/>
  <c r="V1845" i="2"/>
  <c r="AK1844" i="2"/>
  <c r="V1844" i="2"/>
  <c r="AK1843" i="2"/>
  <c r="AF1843" i="2"/>
  <c r="V1843" i="2"/>
  <c r="AK1842" i="2"/>
  <c r="V1842" i="2"/>
  <c r="AK1841" i="2"/>
  <c r="AF1841" i="2"/>
  <c r="V1841" i="2"/>
  <c r="AK1840" i="2"/>
  <c r="AF1840" i="2"/>
  <c r="V1840" i="2"/>
  <c r="AK1839" i="2"/>
  <c r="V1839" i="2"/>
  <c r="AK1838" i="2"/>
  <c r="AF1838" i="2"/>
  <c r="V1838" i="2"/>
  <c r="AK1837" i="2"/>
  <c r="AF1837" i="2"/>
  <c r="V1837" i="2"/>
  <c r="AK1836" i="2"/>
  <c r="V1836" i="2"/>
  <c r="AK1835" i="2"/>
  <c r="V1835" i="2"/>
  <c r="AK1834" i="2"/>
  <c r="AF1834" i="2"/>
  <c r="V1834" i="2"/>
  <c r="AK1833" i="2"/>
  <c r="AF1833" i="2"/>
  <c r="V1833" i="2"/>
  <c r="AK1832" i="2"/>
  <c r="AF1832" i="2"/>
  <c r="V1832" i="2"/>
  <c r="AK1831" i="2"/>
  <c r="AF1831" i="2"/>
  <c r="V1831" i="2"/>
  <c r="AK1830" i="2"/>
  <c r="AF1830" i="2"/>
  <c r="V1830" i="2"/>
  <c r="AK1829" i="2"/>
  <c r="AF1829" i="2"/>
  <c r="V1829" i="2"/>
  <c r="AK1828" i="2"/>
  <c r="AF1828" i="2"/>
  <c r="V1828" i="2"/>
  <c r="AK1827" i="2"/>
  <c r="AF1827" i="2"/>
  <c r="V1827" i="2"/>
  <c r="AK1826" i="2"/>
  <c r="AF1826" i="2"/>
  <c r="V1826" i="2"/>
  <c r="AK1825" i="2"/>
  <c r="AF1825" i="2"/>
  <c r="V1825" i="2"/>
  <c r="AK1824" i="2"/>
  <c r="AF1824" i="2"/>
  <c r="V1824" i="2"/>
  <c r="AK1823" i="2"/>
  <c r="AF1823" i="2"/>
  <c r="V1823" i="2"/>
  <c r="AK1822" i="2"/>
  <c r="AF1822" i="2"/>
  <c r="V1822" i="2"/>
  <c r="AK1821" i="2"/>
  <c r="AF1821" i="2"/>
  <c r="V1821" i="2"/>
  <c r="AK1820" i="2"/>
  <c r="AF1820" i="2"/>
  <c r="V1820" i="2"/>
  <c r="AK1819" i="2"/>
  <c r="AF1819" i="2"/>
  <c r="V1819" i="2"/>
  <c r="AK1818" i="2"/>
  <c r="AF1818" i="2"/>
  <c r="V1818" i="2"/>
  <c r="AK1817" i="2"/>
  <c r="AF1817" i="2"/>
  <c r="V1817" i="2"/>
  <c r="AK1816" i="2"/>
  <c r="AF1816" i="2"/>
  <c r="V1816" i="2"/>
  <c r="AK1815" i="2"/>
  <c r="AF1815" i="2"/>
  <c r="V1815" i="2"/>
  <c r="AK1814" i="2"/>
  <c r="AF1814" i="2"/>
  <c r="V1814" i="2"/>
  <c r="AK1813" i="2"/>
  <c r="V1813" i="2"/>
  <c r="AK1812" i="2"/>
  <c r="AF1812" i="2"/>
  <c r="V1812" i="2"/>
  <c r="AK1811" i="2"/>
  <c r="V1811" i="2"/>
  <c r="AK1810" i="2"/>
  <c r="AF1810" i="2"/>
  <c r="V1810" i="2"/>
  <c r="AK1809" i="2"/>
  <c r="AF1809" i="2"/>
  <c r="V1809" i="2"/>
  <c r="AK1808" i="2"/>
  <c r="AF1808" i="2"/>
  <c r="V1808" i="2"/>
  <c r="AK1807" i="2"/>
  <c r="AF1807" i="2"/>
  <c r="V1807" i="2"/>
  <c r="AK1806" i="2"/>
  <c r="V1806" i="2"/>
  <c r="AK1805" i="2"/>
  <c r="AF1805" i="2"/>
  <c r="V1805" i="2"/>
  <c r="AK1804" i="2"/>
  <c r="V1804" i="2"/>
  <c r="AK1803" i="2"/>
  <c r="V1803" i="2"/>
  <c r="AK1802" i="2"/>
  <c r="AF1802" i="2"/>
  <c r="V1802" i="2"/>
  <c r="AK1801" i="2"/>
  <c r="AF1801" i="2"/>
  <c r="V1801" i="2"/>
  <c r="AK1800" i="2"/>
  <c r="AF1800" i="2"/>
  <c r="V1800" i="2"/>
  <c r="AK1799" i="2"/>
  <c r="V1799" i="2"/>
  <c r="AK1798" i="2"/>
  <c r="AF1798" i="2"/>
  <c r="V1798" i="2"/>
  <c r="AK1797" i="2"/>
  <c r="AF1797" i="2"/>
  <c r="V1797" i="2"/>
  <c r="AK1796" i="2"/>
  <c r="AF1796" i="2"/>
  <c r="V1796" i="2"/>
  <c r="AK1795" i="2"/>
  <c r="V1795" i="2"/>
  <c r="AK1794" i="2"/>
  <c r="AF1794" i="2"/>
  <c r="V1794" i="2"/>
  <c r="AK1793" i="2"/>
  <c r="V1793" i="2"/>
  <c r="AK1792" i="2"/>
  <c r="AF1792" i="2"/>
  <c r="V1792" i="2"/>
  <c r="AK1791" i="2"/>
  <c r="AF1791" i="2"/>
  <c r="V1791" i="2"/>
  <c r="AK1790" i="2"/>
  <c r="V1790" i="2"/>
  <c r="AK1789" i="2"/>
  <c r="AF1789" i="2"/>
  <c r="V1789" i="2"/>
  <c r="AK1788" i="2"/>
  <c r="AF1788" i="2"/>
  <c r="V1788" i="2"/>
  <c r="AK1787" i="2"/>
  <c r="AF1787" i="2"/>
  <c r="V1787" i="2"/>
  <c r="AK1786" i="2"/>
  <c r="AF1786" i="2"/>
  <c r="V1786" i="2"/>
  <c r="AK1785" i="2"/>
  <c r="AF1785" i="2"/>
  <c r="V1785" i="2"/>
  <c r="AK1784" i="2"/>
  <c r="AF1784" i="2"/>
  <c r="V1784" i="2"/>
  <c r="AK1783" i="2"/>
  <c r="AF1783" i="2"/>
  <c r="V1783" i="2"/>
  <c r="AK1782" i="2"/>
  <c r="AF1782" i="2"/>
  <c r="N108" i="3" s="1"/>
  <c r="V1782" i="2"/>
  <c r="AK1781" i="2"/>
  <c r="AF1781" i="2"/>
  <c r="V1781" i="2"/>
  <c r="AK1780" i="2"/>
  <c r="V1780" i="2"/>
  <c r="AK1779" i="2"/>
  <c r="V1779" i="2"/>
  <c r="AK1778" i="2"/>
  <c r="V1778" i="2"/>
  <c r="AK1777" i="2"/>
  <c r="V1777" i="2"/>
  <c r="AK1776" i="2"/>
  <c r="V1776" i="2"/>
  <c r="AK1775" i="2"/>
  <c r="V1775" i="2"/>
  <c r="AK1774" i="2"/>
  <c r="AF1774" i="2"/>
  <c r="V1774" i="2"/>
  <c r="AK1773" i="2"/>
  <c r="AF1773" i="2"/>
  <c r="V1773" i="2"/>
  <c r="AK1772" i="2"/>
  <c r="AF1772" i="2"/>
  <c r="V1772" i="2"/>
  <c r="AK1771" i="2"/>
  <c r="AF1771" i="2"/>
  <c r="V1771" i="2"/>
  <c r="AK1770" i="2"/>
  <c r="AF1770" i="2"/>
  <c r="V1770" i="2"/>
  <c r="AK1769" i="2"/>
  <c r="V1769" i="2"/>
  <c r="AK1768" i="2"/>
  <c r="V1768" i="2"/>
  <c r="AK1767" i="2"/>
  <c r="V1767" i="2"/>
  <c r="AK1766" i="2"/>
  <c r="AF1766" i="2"/>
  <c r="V1766" i="2"/>
  <c r="AK1765" i="2"/>
  <c r="AF1765" i="2"/>
  <c r="V1765" i="2"/>
  <c r="AK1764" i="2"/>
  <c r="AF1764" i="2"/>
  <c r="V1764" i="2"/>
  <c r="AK1763" i="2"/>
  <c r="AF1763" i="2"/>
  <c r="V1763" i="2"/>
  <c r="AK1762" i="2"/>
  <c r="AF1762" i="2"/>
  <c r="V1762" i="2"/>
  <c r="AK1761" i="2"/>
  <c r="AF1761" i="2"/>
  <c r="V1761" i="2"/>
  <c r="AK1760" i="2"/>
  <c r="AF1760" i="2"/>
  <c r="V1760" i="2"/>
  <c r="AK1759" i="2"/>
  <c r="V1759" i="2"/>
  <c r="AK1758" i="2"/>
  <c r="AF1758" i="2"/>
  <c r="V1758" i="2"/>
  <c r="AK1757" i="2"/>
  <c r="AF1757" i="2"/>
  <c r="V1757" i="2"/>
  <c r="AK1756" i="2"/>
  <c r="AF1756" i="2"/>
  <c r="V1756" i="2"/>
  <c r="AK1755" i="2"/>
  <c r="V1755" i="2"/>
  <c r="AK1754" i="2"/>
  <c r="AF1754" i="2"/>
  <c r="V1754" i="2"/>
  <c r="AK1753" i="2"/>
  <c r="AF1753" i="2"/>
  <c r="V1753" i="2"/>
  <c r="AK1752" i="2"/>
  <c r="AF1752" i="2"/>
  <c r="V1752" i="2"/>
  <c r="AK1751" i="2"/>
  <c r="V1751" i="2"/>
  <c r="AK1750" i="2"/>
  <c r="V1750" i="2"/>
  <c r="AK1749" i="2"/>
  <c r="V1749" i="2"/>
  <c r="AK1748" i="2"/>
  <c r="AF1748" i="2"/>
  <c r="V1748" i="2"/>
  <c r="AK1747" i="2"/>
  <c r="V1747" i="2"/>
  <c r="AK1746" i="2"/>
  <c r="AF1746" i="2"/>
  <c r="V1746" i="2"/>
  <c r="AK1745" i="2"/>
  <c r="AF1745" i="2"/>
  <c r="V1745" i="2"/>
  <c r="AK1744" i="2"/>
  <c r="AF1744" i="2"/>
  <c r="V1744" i="2"/>
  <c r="AK1743" i="2"/>
  <c r="V1743" i="2"/>
  <c r="AK1742" i="2"/>
  <c r="V1742" i="2"/>
  <c r="AK1741" i="2"/>
  <c r="AF1741" i="2"/>
  <c r="V1741" i="2"/>
  <c r="AK1740" i="2"/>
  <c r="AF1740" i="2"/>
  <c r="V1740" i="2"/>
  <c r="AK1739" i="2"/>
  <c r="AF1739" i="2"/>
  <c r="V1739" i="2"/>
  <c r="AK1738" i="2"/>
  <c r="AF1738" i="2"/>
  <c r="V1738" i="2"/>
  <c r="AK1737" i="2"/>
  <c r="AF1737" i="2"/>
  <c r="V1737" i="2"/>
  <c r="AK1736" i="2"/>
  <c r="V1736" i="2"/>
  <c r="AK1735" i="2"/>
  <c r="AF1735" i="2"/>
  <c r="V1735" i="2"/>
  <c r="AK1734" i="2"/>
  <c r="AF1734" i="2"/>
  <c r="V1734" i="2"/>
  <c r="AK1733" i="2"/>
  <c r="AF1733" i="2"/>
  <c r="V1733" i="2"/>
  <c r="AK1732" i="2"/>
  <c r="AF1732" i="2"/>
  <c r="V1732" i="2"/>
  <c r="AK1731" i="2"/>
  <c r="AF1731" i="2"/>
  <c r="V1731" i="2"/>
  <c r="AK1730" i="2"/>
  <c r="AF1730" i="2"/>
  <c r="V1730" i="2"/>
  <c r="AK1729" i="2"/>
  <c r="V1729" i="2"/>
  <c r="AK1728" i="2"/>
  <c r="AF1728" i="2"/>
  <c r="V1728" i="2"/>
  <c r="AK1727" i="2"/>
  <c r="AF1727" i="2"/>
  <c r="V1727" i="2"/>
  <c r="AK1726" i="2"/>
  <c r="V1726" i="2"/>
  <c r="AK1725" i="2"/>
  <c r="AF1725" i="2"/>
  <c r="V1725" i="2"/>
  <c r="AK1724" i="2"/>
  <c r="V1724" i="2"/>
  <c r="AK1723" i="2"/>
  <c r="AF1723" i="2"/>
  <c r="V1723" i="2"/>
  <c r="AK1722" i="2"/>
  <c r="AF1722" i="2"/>
  <c r="V1722" i="2"/>
  <c r="AK1721" i="2"/>
  <c r="V1721" i="2"/>
  <c r="AK1720" i="2"/>
  <c r="AF1720" i="2"/>
  <c r="V1720" i="2"/>
  <c r="AK1719" i="2"/>
  <c r="V1719" i="2"/>
  <c r="AK1718" i="2"/>
  <c r="V1718" i="2"/>
  <c r="AK1717" i="2"/>
  <c r="AF1717" i="2"/>
  <c r="V1717" i="2"/>
  <c r="AK1716" i="2"/>
  <c r="V1716" i="2"/>
  <c r="AK1715" i="2"/>
  <c r="AF1715" i="2"/>
  <c r="V1715" i="2"/>
  <c r="AK1714" i="2"/>
  <c r="V1714" i="2"/>
  <c r="AK1713" i="2"/>
  <c r="AF1713" i="2"/>
  <c r="V1713" i="2"/>
  <c r="AK1712" i="2"/>
  <c r="V1712" i="2"/>
  <c r="AK1711" i="2"/>
  <c r="V1711" i="2"/>
  <c r="AK1710" i="2"/>
  <c r="AF1710" i="2"/>
  <c r="V1710" i="2"/>
  <c r="AK1709" i="2"/>
  <c r="AF1709" i="2"/>
  <c r="V1709" i="2"/>
  <c r="AK1708" i="2"/>
  <c r="AF1708" i="2"/>
  <c r="V1708" i="2"/>
  <c r="AK1707" i="2"/>
  <c r="V1707" i="2"/>
  <c r="AK1706" i="2"/>
  <c r="AF1706" i="2"/>
  <c r="V1706" i="2"/>
  <c r="AK1705" i="2"/>
  <c r="V1705" i="2"/>
  <c r="AK1704" i="2"/>
  <c r="AF1704" i="2"/>
  <c r="V1704" i="2"/>
  <c r="AK1703" i="2"/>
  <c r="AF1703" i="2"/>
  <c r="V1703" i="2"/>
  <c r="AK1702" i="2"/>
  <c r="V1702" i="2"/>
  <c r="AK1701" i="2"/>
  <c r="AF1701" i="2"/>
  <c r="V1701" i="2"/>
  <c r="AK1700" i="2"/>
  <c r="AF1700" i="2"/>
  <c r="V1700" i="2"/>
  <c r="AK1699" i="2"/>
  <c r="AF1699" i="2"/>
  <c r="V1699" i="2"/>
  <c r="AK1698" i="2"/>
  <c r="V1698" i="2"/>
  <c r="AK1697" i="2"/>
  <c r="V1697" i="2"/>
  <c r="AK1696" i="2"/>
  <c r="AF1696" i="2"/>
  <c r="V1696" i="2"/>
  <c r="AK1695" i="2"/>
  <c r="V1695" i="2"/>
  <c r="AK1694" i="2"/>
  <c r="V1694" i="2"/>
  <c r="AK1693" i="2"/>
  <c r="V1693" i="2"/>
  <c r="AK1692" i="2"/>
  <c r="AF1692" i="2"/>
  <c r="V1692" i="2"/>
  <c r="AK1691" i="2"/>
  <c r="V1691" i="2"/>
  <c r="AK1690" i="2"/>
  <c r="AF1690" i="2"/>
  <c r="V1690" i="2"/>
  <c r="AK1689" i="2"/>
  <c r="V1689" i="2"/>
  <c r="AK1688" i="2"/>
  <c r="AF1688" i="2"/>
  <c r="V1688" i="2"/>
  <c r="AK1687" i="2"/>
  <c r="AF1687" i="2"/>
  <c r="V1687" i="2"/>
  <c r="AK1686" i="2"/>
  <c r="AF1686" i="2"/>
  <c r="V1686" i="2"/>
  <c r="AK1685" i="2"/>
  <c r="AF1685" i="2"/>
  <c r="V1685" i="2"/>
  <c r="AK1684" i="2"/>
  <c r="AF1684" i="2"/>
  <c r="V1684" i="2"/>
  <c r="AK1683" i="2"/>
  <c r="AF1683" i="2"/>
  <c r="V1683" i="2"/>
  <c r="AK1682" i="2"/>
  <c r="V1682" i="2"/>
  <c r="AK1681" i="2"/>
  <c r="V1681" i="2"/>
  <c r="AK1680" i="2"/>
  <c r="V1680" i="2"/>
  <c r="AK1679" i="2"/>
  <c r="AF1679" i="2"/>
  <c r="V1679" i="2"/>
  <c r="AK1678" i="2"/>
  <c r="AF1678" i="2"/>
  <c r="V1678" i="2"/>
  <c r="AK1677" i="2"/>
  <c r="AF1677" i="2"/>
  <c r="V1677" i="2"/>
  <c r="AK1676" i="2"/>
  <c r="AF1676" i="2"/>
  <c r="V1676" i="2"/>
  <c r="AK1675" i="2"/>
  <c r="V1675" i="2"/>
  <c r="AK1674" i="2"/>
  <c r="AF1674" i="2"/>
  <c r="V1674" i="2"/>
  <c r="AK1673" i="2"/>
  <c r="V1673" i="2"/>
  <c r="AK1672" i="2"/>
  <c r="AF1672" i="2"/>
  <c r="V1672" i="2"/>
  <c r="AK1671" i="2"/>
  <c r="V1671" i="2"/>
  <c r="AK1670" i="2"/>
  <c r="AF1670" i="2"/>
  <c r="V1670" i="2"/>
  <c r="AK1669" i="2"/>
  <c r="AF1669" i="2"/>
  <c r="V1669" i="2"/>
  <c r="AK1668" i="2"/>
  <c r="AF1668" i="2"/>
  <c r="V1668" i="2"/>
  <c r="AK1667" i="2"/>
  <c r="AF1667" i="2"/>
  <c r="V1667" i="2"/>
  <c r="AK1666" i="2"/>
  <c r="V1666" i="2"/>
  <c r="AK1665" i="2"/>
  <c r="AF1665" i="2"/>
  <c r="V1665" i="2"/>
  <c r="AK1664" i="2"/>
  <c r="AF1664" i="2"/>
  <c r="V1664" i="2"/>
  <c r="AK1663" i="2"/>
  <c r="V1663" i="2"/>
  <c r="AK1662" i="2"/>
  <c r="AF1662" i="2"/>
  <c r="V1662" i="2"/>
  <c r="AK1661" i="2"/>
  <c r="V1661" i="2"/>
  <c r="AK1660" i="2"/>
  <c r="V1660" i="2"/>
  <c r="AK1659" i="2"/>
  <c r="V1659" i="2"/>
  <c r="AK1658" i="2"/>
  <c r="AF1658" i="2"/>
  <c r="V1658" i="2"/>
  <c r="AK1657" i="2"/>
  <c r="AF1657" i="2"/>
  <c r="V1657" i="2"/>
  <c r="AK1656" i="2"/>
  <c r="V1656" i="2"/>
  <c r="AK1655" i="2"/>
  <c r="V1655" i="2"/>
  <c r="AK1654" i="2"/>
  <c r="AF1654" i="2"/>
  <c r="V1654" i="2"/>
  <c r="AK1653" i="2"/>
  <c r="V1653" i="2"/>
  <c r="AK1652" i="2"/>
  <c r="AF1652" i="2"/>
  <c r="V1652" i="2"/>
  <c r="AK1651" i="2"/>
  <c r="V1651" i="2"/>
  <c r="AK1650" i="2"/>
  <c r="V1650" i="2"/>
  <c r="AK1649" i="2"/>
  <c r="AF1649" i="2"/>
  <c r="V1649" i="2"/>
  <c r="AK1648" i="2"/>
  <c r="V1648" i="2"/>
  <c r="AK1647" i="2"/>
  <c r="V1647" i="2"/>
  <c r="AK1646" i="2"/>
  <c r="V1646" i="2"/>
  <c r="AK1645" i="2"/>
  <c r="V1645" i="2"/>
  <c r="AK1644" i="2"/>
  <c r="AF1644" i="2"/>
  <c r="V1644" i="2"/>
  <c r="AK1643" i="2"/>
  <c r="V1643" i="2"/>
  <c r="AK1642" i="2"/>
  <c r="AF1642" i="2"/>
  <c r="V1642" i="2"/>
  <c r="AK1641" i="2"/>
  <c r="AF1641" i="2"/>
  <c r="V1641" i="2"/>
  <c r="AK1640" i="2"/>
  <c r="AF1640" i="2"/>
  <c r="V1640" i="2"/>
  <c r="AK1639" i="2"/>
  <c r="V1639" i="2"/>
  <c r="AK1638" i="2"/>
  <c r="V1638" i="2"/>
  <c r="AK1637" i="2"/>
  <c r="AF1637" i="2"/>
  <c r="V1637" i="2"/>
  <c r="AK1636" i="2"/>
  <c r="AF1636" i="2"/>
  <c r="V1636" i="2"/>
  <c r="AK1635" i="2"/>
  <c r="V1635" i="2"/>
  <c r="AK1634" i="2"/>
  <c r="V1634" i="2"/>
  <c r="AK1633" i="2"/>
  <c r="V1633" i="2"/>
  <c r="AK1632" i="2"/>
  <c r="V1632" i="2"/>
  <c r="AK1631" i="2"/>
  <c r="AF1631" i="2"/>
  <c r="V1631" i="2"/>
  <c r="AK1630" i="2"/>
  <c r="V1630" i="2"/>
  <c r="AK1629" i="2"/>
  <c r="AF1629" i="2"/>
  <c r="V1629" i="2"/>
  <c r="AK1628" i="2"/>
  <c r="V1628" i="2"/>
  <c r="AK1627" i="2"/>
  <c r="V1627" i="2"/>
  <c r="AK1626" i="2"/>
  <c r="AF1626" i="2"/>
  <c r="V1626" i="2"/>
  <c r="AK1625" i="2"/>
  <c r="AF1625" i="2"/>
  <c r="V1625" i="2"/>
  <c r="AK1624" i="2"/>
  <c r="AF1624" i="2"/>
  <c r="V1624" i="2"/>
  <c r="AK1623" i="2"/>
  <c r="AF1623" i="2"/>
  <c r="V1623" i="2"/>
  <c r="AK1622" i="2"/>
  <c r="V1622" i="2"/>
  <c r="AK1621" i="2"/>
  <c r="AF1621" i="2"/>
  <c r="V1621" i="2"/>
  <c r="AK1620" i="2"/>
  <c r="V1620" i="2"/>
  <c r="AK1619" i="2"/>
  <c r="V1619" i="2"/>
  <c r="AK1618" i="2"/>
  <c r="V1618" i="2"/>
  <c r="AK1617" i="2"/>
  <c r="V1617" i="2"/>
  <c r="AK1616" i="2"/>
  <c r="AF1616" i="2"/>
  <c r="V1616" i="2"/>
  <c r="AK1615" i="2"/>
  <c r="V1615" i="2"/>
  <c r="AK1614" i="2"/>
  <c r="V1614" i="2"/>
  <c r="AK1613" i="2"/>
  <c r="AF1613" i="2"/>
  <c r="V1613" i="2"/>
  <c r="AK1612" i="2"/>
  <c r="AF1612" i="2"/>
  <c r="V1612" i="2"/>
  <c r="AK1611" i="2"/>
  <c r="AF1611" i="2"/>
  <c r="V1611" i="2"/>
  <c r="AK1610" i="2"/>
  <c r="AF1610" i="2"/>
  <c r="V1610" i="2"/>
  <c r="AK1609" i="2"/>
  <c r="V1609" i="2"/>
  <c r="AK1608" i="2"/>
  <c r="AF1608" i="2"/>
  <c r="V1608" i="2"/>
  <c r="AK1607" i="2"/>
  <c r="V1607" i="2"/>
  <c r="AK1606" i="2"/>
  <c r="AF1606" i="2"/>
  <c r="V1606" i="2"/>
  <c r="AK1605" i="2"/>
  <c r="V1605" i="2"/>
  <c r="AK1604" i="2"/>
  <c r="V1604" i="2"/>
  <c r="AK1603" i="2"/>
  <c r="AF1603" i="2"/>
  <c r="V1603" i="2"/>
  <c r="AK1602" i="2"/>
  <c r="AF1602" i="2"/>
  <c r="V1602" i="2"/>
  <c r="AK1601" i="2"/>
  <c r="V1601" i="2"/>
  <c r="AK1600" i="2"/>
  <c r="V1600" i="2"/>
  <c r="AK1599" i="2"/>
  <c r="AF1599" i="2"/>
  <c r="V1599" i="2"/>
  <c r="AK1598" i="2"/>
  <c r="AF1598" i="2"/>
  <c r="V1598" i="2"/>
  <c r="AK1597" i="2"/>
  <c r="AF1597" i="2"/>
  <c r="V1597" i="2"/>
  <c r="AK1596" i="2"/>
  <c r="AF1596" i="2"/>
  <c r="V1596" i="2"/>
  <c r="AK1595" i="2"/>
  <c r="AF1595" i="2"/>
  <c r="V1595" i="2"/>
  <c r="AK1594" i="2"/>
  <c r="AF1594" i="2"/>
  <c r="V1594" i="2"/>
  <c r="AK1593" i="2"/>
  <c r="V1593" i="2"/>
  <c r="AK1592" i="2"/>
  <c r="AF1592" i="2"/>
  <c r="V1592" i="2"/>
  <c r="AK1591" i="2"/>
  <c r="AF1591" i="2"/>
  <c r="V1591" i="2"/>
  <c r="AK1590" i="2"/>
  <c r="V1590" i="2"/>
  <c r="AK1589" i="2"/>
  <c r="V1589" i="2"/>
  <c r="AK1588" i="2"/>
  <c r="AF1588" i="2"/>
  <c r="V1588" i="2"/>
  <c r="AK1587" i="2"/>
  <c r="AF1587" i="2"/>
  <c r="V1587" i="2"/>
  <c r="AK1586" i="2"/>
  <c r="AF1586" i="2"/>
  <c r="V1586" i="2"/>
  <c r="AK1585" i="2"/>
  <c r="AF1585" i="2"/>
  <c r="V1585" i="2"/>
  <c r="AK1584" i="2"/>
  <c r="AF1584" i="2"/>
  <c r="V1584" i="2"/>
  <c r="AK1583" i="2"/>
  <c r="V1583" i="2"/>
  <c r="AK1582" i="2"/>
  <c r="AF1582" i="2"/>
  <c r="V1582" i="2"/>
  <c r="AK1581" i="2"/>
  <c r="AF1581" i="2"/>
  <c r="V1581" i="2"/>
  <c r="AK1580" i="2"/>
  <c r="V1580" i="2"/>
  <c r="AK1579" i="2"/>
  <c r="AF1579" i="2"/>
  <c r="V1579" i="2"/>
  <c r="AK1578" i="2"/>
  <c r="AF1578" i="2"/>
  <c r="V1578" i="2"/>
  <c r="AK1577" i="2"/>
  <c r="V1577" i="2"/>
  <c r="AK1576" i="2"/>
  <c r="AF1576" i="2"/>
  <c r="V1576" i="2"/>
  <c r="AK1575" i="2"/>
  <c r="V1575" i="2"/>
  <c r="AK1574" i="2"/>
  <c r="AF1574" i="2"/>
  <c r="V1574" i="2"/>
  <c r="AK1573" i="2"/>
  <c r="V1573" i="2"/>
  <c r="AK1572" i="2"/>
  <c r="AF1572" i="2"/>
  <c r="V1572" i="2"/>
  <c r="AK1571" i="2"/>
  <c r="AF1571" i="2"/>
  <c r="V1571" i="2"/>
  <c r="AK1570" i="2"/>
  <c r="AF1570" i="2"/>
  <c r="V1570" i="2"/>
  <c r="AK1569" i="2"/>
  <c r="V1569" i="2"/>
  <c r="AK1568" i="2"/>
  <c r="AF1568" i="2"/>
  <c r="V1568" i="2"/>
  <c r="AK1567" i="2"/>
  <c r="AF1567" i="2"/>
  <c r="V1567" i="2"/>
  <c r="AK1566" i="2"/>
  <c r="AF1566" i="2"/>
  <c r="V1566" i="2"/>
  <c r="AK1565" i="2"/>
  <c r="AF1565" i="2"/>
  <c r="V1565" i="2"/>
  <c r="AK1564" i="2"/>
  <c r="AF1564" i="2"/>
  <c r="V1564" i="2"/>
  <c r="AK1563" i="2"/>
  <c r="AF1563" i="2"/>
  <c r="V1563" i="2"/>
  <c r="AK1562" i="2"/>
  <c r="AF1562" i="2"/>
  <c r="V1562" i="2"/>
  <c r="AK1561" i="2"/>
  <c r="AF1561" i="2"/>
  <c r="V1561" i="2"/>
  <c r="AK1560" i="2"/>
  <c r="V1560" i="2"/>
  <c r="AK1559" i="2"/>
  <c r="AF1559" i="2"/>
  <c r="V1559" i="2"/>
  <c r="AK1558" i="2"/>
  <c r="V1558" i="2"/>
  <c r="AK1557" i="2"/>
  <c r="AF1557" i="2"/>
  <c r="V1557" i="2"/>
  <c r="AK1556" i="2"/>
  <c r="AF1556" i="2"/>
  <c r="V1556" i="2"/>
  <c r="AK1555" i="2"/>
  <c r="V1555" i="2"/>
  <c r="AK1554" i="2"/>
  <c r="AF1554" i="2"/>
  <c r="V1554" i="2"/>
  <c r="AK1553" i="2"/>
  <c r="V1553" i="2"/>
  <c r="AK1552" i="2"/>
  <c r="V1552" i="2"/>
  <c r="AK1551" i="2"/>
  <c r="V1551" i="2"/>
  <c r="AK1550" i="2"/>
  <c r="V1550" i="2"/>
  <c r="AK1549" i="2"/>
  <c r="AF1549" i="2"/>
  <c r="V1549" i="2"/>
  <c r="AK1548" i="2"/>
  <c r="V1548" i="2"/>
  <c r="AK1547" i="2"/>
  <c r="V1547" i="2"/>
  <c r="AK1546" i="2"/>
  <c r="AF1546" i="2"/>
  <c r="V1546" i="2"/>
  <c r="AK1545" i="2"/>
  <c r="AF1545" i="2"/>
  <c r="V1545" i="2"/>
  <c r="AK1544" i="2"/>
  <c r="AF1544" i="2"/>
  <c r="V1544" i="2"/>
  <c r="AK1543" i="2"/>
  <c r="V1543" i="2"/>
  <c r="AK1542" i="2"/>
  <c r="AF1542" i="2"/>
  <c r="V1542" i="2"/>
  <c r="AK1541" i="2"/>
  <c r="V1541" i="2"/>
  <c r="AK1540" i="2"/>
  <c r="V1540" i="2"/>
  <c r="AK1539" i="2"/>
  <c r="AF1539" i="2"/>
  <c r="V1539" i="2"/>
  <c r="AK1538" i="2"/>
  <c r="AF1538" i="2"/>
  <c r="V1538" i="2"/>
  <c r="AK1537" i="2"/>
  <c r="AF1537" i="2"/>
  <c r="V1537" i="2"/>
  <c r="AK1536" i="2"/>
  <c r="AF1536" i="2"/>
  <c r="V1536" i="2"/>
  <c r="AK1535" i="2"/>
  <c r="AF1535" i="2"/>
  <c r="V1535" i="2"/>
  <c r="AK1534" i="2"/>
  <c r="AF1534" i="2"/>
  <c r="V1534" i="2"/>
  <c r="AK1533" i="2"/>
  <c r="AF1533" i="2"/>
  <c r="V1533" i="2"/>
  <c r="AK1532" i="2"/>
  <c r="V1532" i="2"/>
  <c r="AK1531" i="2"/>
  <c r="AF1531" i="2"/>
  <c r="V1531" i="2"/>
  <c r="AK1530" i="2"/>
  <c r="V1530" i="2"/>
  <c r="AK1529" i="2"/>
  <c r="V1529" i="2"/>
  <c r="AK1528" i="2"/>
  <c r="AF1528" i="2"/>
  <c r="V1528" i="2"/>
  <c r="AK1527" i="2"/>
  <c r="AF1527" i="2"/>
  <c r="V1527" i="2"/>
  <c r="AK1526" i="2"/>
  <c r="V1526" i="2"/>
  <c r="AK1525" i="2"/>
  <c r="AF1525" i="2"/>
  <c r="V1525" i="2"/>
  <c r="AK1524" i="2"/>
  <c r="V1524" i="2"/>
  <c r="AK1523" i="2"/>
  <c r="AF1523" i="2"/>
  <c r="V1523" i="2"/>
  <c r="AK1522" i="2"/>
  <c r="AF1522" i="2"/>
  <c r="V1522" i="2"/>
  <c r="AK1521" i="2"/>
  <c r="AF1521" i="2"/>
  <c r="V1521" i="2"/>
  <c r="AK1520" i="2"/>
  <c r="AF1520" i="2"/>
  <c r="V1520" i="2"/>
  <c r="AK1519" i="2"/>
  <c r="AF1519" i="2"/>
  <c r="V1519" i="2"/>
  <c r="AK1518" i="2"/>
  <c r="AF1518" i="2"/>
  <c r="V1518" i="2"/>
  <c r="AK1517" i="2"/>
  <c r="AF1517" i="2"/>
  <c r="V1517" i="2"/>
  <c r="AK1516" i="2"/>
  <c r="V1516" i="2"/>
  <c r="AK1515" i="2"/>
  <c r="V1515" i="2"/>
  <c r="AK1514" i="2"/>
  <c r="V1514" i="2"/>
  <c r="AK1513" i="2"/>
  <c r="AF1513" i="2"/>
  <c r="V1513" i="2"/>
  <c r="AK1512" i="2"/>
  <c r="AF1512" i="2"/>
  <c r="V1512" i="2"/>
  <c r="AK1511" i="2"/>
  <c r="V1511" i="2"/>
  <c r="AK1510" i="2"/>
  <c r="V1510" i="2"/>
  <c r="AK1509" i="2"/>
  <c r="AF1509" i="2"/>
  <c r="V1509" i="2"/>
  <c r="AK1508" i="2"/>
  <c r="V1508" i="2"/>
  <c r="AK1507" i="2"/>
  <c r="AF1507" i="2"/>
  <c r="V1507" i="2"/>
  <c r="AK1506" i="2"/>
  <c r="AF1506" i="2"/>
  <c r="V1506" i="2"/>
  <c r="AK1505" i="2"/>
  <c r="V1505" i="2"/>
  <c r="AK1504" i="2"/>
  <c r="AF1504" i="2"/>
  <c r="V1504" i="2"/>
  <c r="AK1503" i="2"/>
  <c r="AF1503" i="2"/>
  <c r="V1503" i="2"/>
  <c r="AK1502" i="2"/>
  <c r="V1502" i="2"/>
  <c r="AK1501" i="2"/>
  <c r="AF1501" i="2"/>
  <c r="V1501" i="2"/>
  <c r="AK1500" i="2"/>
  <c r="AF1500" i="2"/>
  <c r="V1500" i="2"/>
  <c r="AK1499" i="2"/>
  <c r="AF1499" i="2"/>
  <c r="V1499" i="2"/>
  <c r="AK1498" i="2"/>
  <c r="V1498" i="2"/>
  <c r="AK1497" i="2"/>
  <c r="AF1497" i="2"/>
  <c r="V1497" i="2"/>
  <c r="AK1496" i="2"/>
  <c r="AF1496" i="2"/>
  <c r="V1496" i="2"/>
  <c r="AK1495" i="2"/>
  <c r="V1495" i="2"/>
  <c r="AK1494" i="2"/>
  <c r="AF1494" i="2"/>
  <c r="V1494" i="2"/>
  <c r="AK1493" i="2"/>
  <c r="AF1493" i="2"/>
  <c r="V1493" i="2"/>
  <c r="AK1492" i="2"/>
  <c r="AF1492" i="2"/>
  <c r="V1492" i="2"/>
  <c r="AK1491" i="2"/>
  <c r="AF1491" i="2"/>
  <c r="V1491" i="2"/>
  <c r="AK1490" i="2"/>
  <c r="V1490" i="2"/>
  <c r="AK1489" i="2"/>
  <c r="AF1489" i="2"/>
  <c r="V1489" i="2"/>
  <c r="AK1488" i="2"/>
  <c r="V1488" i="2"/>
  <c r="AK1487" i="2"/>
  <c r="V1487" i="2"/>
  <c r="AK1486" i="2"/>
  <c r="V1486" i="2"/>
  <c r="AK1485" i="2"/>
  <c r="V1485" i="2"/>
  <c r="AK1484" i="2"/>
  <c r="AF1484" i="2"/>
  <c r="V1484" i="2"/>
  <c r="AK1483" i="2"/>
  <c r="V1483" i="2"/>
  <c r="AK1482" i="2"/>
  <c r="AF1482" i="2"/>
  <c r="V1482" i="2"/>
  <c r="AK1481" i="2"/>
  <c r="AF1481" i="2"/>
  <c r="V1481" i="2"/>
  <c r="AK1480" i="2"/>
  <c r="V1480" i="2"/>
  <c r="AK1479" i="2"/>
  <c r="V1479" i="2"/>
  <c r="AK1478" i="2"/>
  <c r="AF1478" i="2"/>
  <c r="V1478" i="2"/>
  <c r="AK1477" i="2"/>
  <c r="AF1477" i="2"/>
  <c r="V1477" i="2"/>
  <c r="AK1476" i="2"/>
  <c r="AF1476" i="2"/>
  <c r="V1476" i="2"/>
  <c r="AK1475" i="2"/>
  <c r="AF1475" i="2"/>
  <c r="V1475" i="2"/>
  <c r="AK1474" i="2"/>
  <c r="V1474" i="2"/>
  <c r="AK1473" i="2"/>
  <c r="AF1473" i="2"/>
  <c r="V1473" i="2"/>
  <c r="AK1472" i="2"/>
  <c r="V1472" i="2"/>
  <c r="AK1471" i="2"/>
  <c r="V1471" i="2"/>
  <c r="AK1470" i="2"/>
  <c r="AF1470" i="2"/>
  <c r="V1470" i="2"/>
  <c r="AK1469" i="2"/>
  <c r="V1469" i="2"/>
  <c r="AK1468" i="2"/>
  <c r="AF1468" i="2"/>
  <c r="V1468" i="2"/>
  <c r="AK1467" i="2"/>
  <c r="V1467" i="2"/>
  <c r="AK1466" i="2"/>
  <c r="V1466" i="2"/>
  <c r="AK1465" i="2"/>
  <c r="V1465" i="2"/>
  <c r="AK1464" i="2"/>
  <c r="V1464" i="2"/>
  <c r="AK1463" i="2"/>
  <c r="V1463" i="2"/>
  <c r="AK1462" i="2"/>
  <c r="AF1462" i="2"/>
  <c r="V1462" i="2"/>
  <c r="AK1461" i="2"/>
  <c r="AF1461" i="2"/>
  <c r="V1461" i="2"/>
  <c r="AK1460" i="2"/>
  <c r="V1460" i="2"/>
  <c r="AK1459" i="2"/>
  <c r="AF1459" i="2"/>
  <c r="V1459" i="2"/>
  <c r="AK1458" i="2"/>
  <c r="AF1458" i="2"/>
  <c r="V1458" i="2"/>
  <c r="AK1457" i="2"/>
  <c r="AF1457" i="2"/>
  <c r="V1457" i="2"/>
  <c r="AK1456" i="2"/>
  <c r="V1456" i="2"/>
  <c r="AK1455" i="2"/>
  <c r="AF1455" i="2"/>
  <c r="V1455" i="2"/>
  <c r="AK1454" i="2"/>
  <c r="AF1454" i="2"/>
  <c r="V1454" i="2"/>
  <c r="AK1453" i="2"/>
  <c r="AF1453" i="2"/>
  <c r="V1453" i="2"/>
  <c r="AK1452" i="2"/>
  <c r="AF1452" i="2"/>
  <c r="V1452" i="2"/>
  <c r="AK1451" i="2"/>
  <c r="AF1451" i="2"/>
  <c r="V1451" i="2"/>
  <c r="AK1450" i="2"/>
  <c r="V1450" i="2"/>
  <c r="AK1449" i="2"/>
  <c r="V1449" i="2"/>
  <c r="AK1448" i="2"/>
  <c r="V1448" i="2"/>
  <c r="AK1447" i="2"/>
  <c r="AF1447" i="2"/>
  <c r="V1447" i="2"/>
  <c r="AK1446" i="2"/>
  <c r="AF1446" i="2"/>
  <c r="V1446" i="2"/>
  <c r="AK1445" i="2"/>
  <c r="AF1445" i="2"/>
  <c r="V1445" i="2"/>
  <c r="AK1444" i="2"/>
  <c r="V1444" i="2"/>
  <c r="AK1443" i="2"/>
  <c r="V1443" i="2"/>
  <c r="AK1442" i="2"/>
  <c r="AF1442" i="2"/>
  <c r="V1442" i="2"/>
  <c r="AK1441" i="2"/>
  <c r="V1441" i="2"/>
  <c r="AK1440" i="2"/>
  <c r="V1440" i="2"/>
  <c r="AK1439" i="2"/>
  <c r="V1439" i="2"/>
  <c r="AK1438" i="2"/>
  <c r="AF1438" i="2"/>
  <c r="V1438" i="2"/>
  <c r="AK1437" i="2"/>
  <c r="V1437" i="2"/>
  <c r="AK1436" i="2"/>
  <c r="V1436" i="2"/>
  <c r="AK1435" i="2"/>
  <c r="AF1435" i="2"/>
  <c r="V1435" i="2"/>
  <c r="AK1434" i="2"/>
  <c r="V1434" i="2"/>
  <c r="AK1433" i="2"/>
  <c r="AF1433" i="2"/>
  <c r="V1433" i="2"/>
  <c r="AK1432" i="2"/>
  <c r="AF1432" i="2"/>
  <c r="V1432" i="2"/>
  <c r="AK1431" i="2"/>
  <c r="AF1431" i="2"/>
  <c r="V1431" i="2"/>
  <c r="AK1430" i="2"/>
  <c r="V1430" i="2"/>
  <c r="AK1429" i="2"/>
  <c r="V1429" i="2"/>
  <c r="AK1428" i="2"/>
  <c r="V1428" i="2"/>
  <c r="AK1427" i="2"/>
  <c r="AF1427" i="2"/>
  <c r="V1427" i="2"/>
  <c r="AK1426" i="2"/>
  <c r="AF1426" i="2"/>
  <c r="V1426" i="2"/>
  <c r="AK1425" i="2"/>
  <c r="AF1425" i="2"/>
  <c r="V1425" i="2"/>
  <c r="AK1424" i="2"/>
  <c r="V1424" i="2"/>
  <c r="AK1423" i="2"/>
  <c r="V1423" i="2"/>
  <c r="AK1422" i="2"/>
  <c r="V1422" i="2"/>
  <c r="AK1421" i="2"/>
  <c r="V1421" i="2"/>
  <c r="AK1420" i="2"/>
  <c r="AF1420" i="2"/>
  <c r="V1420" i="2"/>
  <c r="AK1419" i="2"/>
  <c r="AF1419" i="2"/>
  <c r="V1419" i="2"/>
  <c r="AK1418" i="2"/>
  <c r="V1418" i="2"/>
  <c r="AK1417" i="2"/>
  <c r="AF1417" i="2"/>
  <c r="V1417" i="2"/>
  <c r="AK1416" i="2"/>
  <c r="AF1416" i="2"/>
  <c r="V1416" i="2"/>
  <c r="AK1415" i="2"/>
  <c r="AF1415" i="2"/>
  <c r="V1415" i="2"/>
  <c r="AK1414" i="2"/>
  <c r="AF1414" i="2"/>
  <c r="V1414" i="2"/>
  <c r="AK1413" i="2"/>
  <c r="AF1413" i="2"/>
  <c r="V1413" i="2"/>
  <c r="AK1412" i="2"/>
  <c r="AF1412" i="2"/>
  <c r="V1412" i="2"/>
  <c r="AK1411" i="2"/>
  <c r="V1411" i="2"/>
  <c r="AK1410" i="2"/>
  <c r="AF1410" i="2"/>
  <c r="V1410" i="2"/>
  <c r="AK1409" i="2"/>
  <c r="AF1409" i="2"/>
  <c r="V1409" i="2"/>
  <c r="AK1408" i="2"/>
  <c r="AF1408" i="2"/>
  <c r="V1408" i="2"/>
  <c r="AK1407" i="2"/>
  <c r="AF1407" i="2"/>
  <c r="V1407" i="2"/>
  <c r="AK1406" i="2"/>
  <c r="AF1406" i="2"/>
  <c r="V1406" i="2"/>
  <c r="AK1405" i="2"/>
  <c r="V1405" i="2"/>
  <c r="AK1404" i="2"/>
  <c r="AF1404" i="2"/>
  <c r="V1404" i="2"/>
  <c r="AK1403" i="2"/>
  <c r="AF1403" i="2"/>
  <c r="V1403" i="2"/>
  <c r="AK1402" i="2"/>
  <c r="AF1402" i="2"/>
  <c r="V1402" i="2"/>
  <c r="AK1401" i="2"/>
  <c r="V1401" i="2"/>
  <c r="AK1400" i="2"/>
  <c r="V1400" i="2"/>
  <c r="AK1399" i="2"/>
  <c r="AF1399" i="2"/>
  <c r="V1399" i="2"/>
  <c r="AK1398" i="2"/>
  <c r="AF1398" i="2"/>
  <c r="V1398" i="2"/>
  <c r="AK1397" i="2"/>
  <c r="V1397" i="2"/>
  <c r="AK1396" i="2"/>
  <c r="AF1396" i="2"/>
  <c r="V1396" i="2"/>
  <c r="AK1395" i="2"/>
  <c r="V1395" i="2"/>
  <c r="AK1394" i="2"/>
  <c r="AF1394" i="2"/>
  <c r="V1394" i="2"/>
  <c r="AK1393" i="2"/>
  <c r="V1393" i="2"/>
  <c r="AK1392" i="2"/>
  <c r="V1392" i="2"/>
  <c r="AK1391" i="2"/>
  <c r="AF1391" i="2"/>
  <c r="V1391" i="2"/>
  <c r="AK1390" i="2"/>
  <c r="V1390" i="2"/>
  <c r="AK1389" i="2"/>
  <c r="AF1389" i="2"/>
  <c r="V1389" i="2"/>
  <c r="AK1388" i="2"/>
  <c r="V1388" i="2"/>
  <c r="AK1387" i="2"/>
  <c r="AF1387" i="2"/>
  <c r="V1387" i="2"/>
  <c r="AK1386" i="2"/>
  <c r="AF1386" i="2"/>
  <c r="V1386" i="2"/>
  <c r="AK1385" i="2"/>
  <c r="V1385" i="2"/>
  <c r="AK1384" i="2"/>
  <c r="V1384" i="2"/>
  <c r="AK1383" i="2"/>
  <c r="V1383" i="2"/>
  <c r="AK1382" i="2"/>
  <c r="V1382" i="2"/>
  <c r="AK1381" i="2"/>
  <c r="AF1381" i="2"/>
  <c r="V1381" i="2"/>
  <c r="AK1380" i="2"/>
  <c r="AF1380" i="2"/>
  <c r="V1380" i="2"/>
  <c r="AK1379" i="2"/>
  <c r="AF1379" i="2"/>
  <c r="V1379" i="2"/>
  <c r="AK1378" i="2"/>
  <c r="AF1378" i="2"/>
  <c r="V1378" i="2"/>
  <c r="AK1377" i="2"/>
  <c r="AF1377" i="2"/>
  <c r="V1377" i="2"/>
  <c r="AK1376" i="2"/>
  <c r="AF1376" i="2"/>
  <c r="V1376" i="2"/>
  <c r="AK1375" i="2"/>
  <c r="AF1375" i="2"/>
  <c r="V1375" i="2"/>
  <c r="AK1374" i="2"/>
  <c r="AF1374" i="2"/>
  <c r="V1374" i="2"/>
  <c r="AK1373" i="2"/>
  <c r="AF1373" i="2"/>
  <c r="V1373" i="2"/>
  <c r="AK1372" i="2"/>
  <c r="AF1372" i="2"/>
  <c r="V1372" i="2"/>
  <c r="AK1371" i="2"/>
  <c r="V1371" i="2"/>
  <c r="AK1370" i="2"/>
  <c r="V1370" i="2"/>
  <c r="AK1369" i="2"/>
  <c r="AF1369" i="2"/>
  <c r="V1369" i="2"/>
  <c r="AK1368" i="2"/>
  <c r="AF1368" i="2"/>
  <c r="V1368" i="2"/>
  <c r="AK1367" i="2"/>
  <c r="AF1367" i="2"/>
  <c r="V1367" i="2"/>
  <c r="AK1366" i="2"/>
  <c r="AF1366" i="2"/>
  <c r="V1366" i="2"/>
  <c r="AK1365" i="2"/>
  <c r="V1365" i="2"/>
  <c r="AK1364" i="2"/>
  <c r="AF1364" i="2"/>
  <c r="V1364" i="2"/>
  <c r="AK1363" i="2"/>
  <c r="AF1363" i="2"/>
  <c r="V1363" i="2"/>
  <c r="AK1362" i="2"/>
  <c r="AF1362" i="2"/>
  <c r="V1362" i="2"/>
  <c r="AK1361" i="2"/>
  <c r="AF1361" i="2"/>
  <c r="V1361" i="2"/>
  <c r="AK1360" i="2"/>
  <c r="AF1360" i="2"/>
  <c r="V1360" i="2"/>
  <c r="AK1359" i="2"/>
  <c r="V1359" i="2"/>
  <c r="AK1358" i="2"/>
  <c r="V1358" i="2"/>
  <c r="AK1357" i="2"/>
  <c r="AF1357" i="2"/>
  <c r="V1357" i="2"/>
  <c r="AK1356" i="2"/>
  <c r="AF1356" i="2"/>
  <c r="V1356" i="2"/>
  <c r="AK1355" i="2"/>
  <c r="AF1355" i="2"/>
  <c r="V1355" i="2"/>
  <c r="AK1354" i="2"/>
  <c r="AF1354" i="2"/>
  <c r="V1354" i="2"/>
  <c r="AK1353" i="2"/>
  <c r="AF1353" i="2"/>
  <c r="V1353" i="2"/>
  <c r="AK1352" i="2"/>
  <c r="AF1352" i="2"/>
  <c r="V1352" i="2"/>
  <c r="AK1351" i="2"/>
  <c r="V1351" i="2"/>
  <c r="AK1350" i="2"/>
  <c r="V1350" i="2"/>
  <c r="AK1349" i="2"/>
  <c r="V1349" i="2"/>
  <c r="AK1348" i="2"/>
  <c r="AF1348" i="2"/>
  <c r="V1348" i="2"/>
  <c r="AK1347" i="2"/>
  <c r="AF1347" i="2"/>
  <c r="V1347" i="2"/>
  <c r="AK1346" i="2"/>
  <c r="AF1346" i="2"/>
  <c r="V1346" i="2"/>
  <c r="AK1345" i="2"/>
  <c r="V1345" i="2"/>
  <c r="AK1344" i="2"/>
  <c r="AF1344" i="2"/>
  <c r="V1344" i="2"/>
  <c r="AK1343" i="2"/>
  <c r="AF1343" i="2"/>
  <c r="V1343" i="2"/>
  <c r="AK1342" i="2"/>
  <c r="V1342" i="2"/>
  <c r="AK1341" i="2"/>
  <c r="AF1341" i="2"/>
  <c r="V1341" i="2"/>
  <c r="AK1340" i="2"/>
  <c r="AF1340" i="2"/>
  <c r="V1340" i="2"/>
  <c r="AK1339" i="2"/>
  <c r="AF1339" i="2"/>
  <c r="V1339" i="2"/>
  <c r="AK1338" i="2"/>
  <c r="AF1338" i="2"/>
  <c r="V1338" i="2"/>
  <c r="AK1337" i="2"/>
  <c r="AF1337" i="2"/>
  <c r="V1337" i="2"/>
  <c r="AK1336" i="2"/>
  <c r="AF1336" i="2"/>
  <c r="V1336" i="2"/>
  <c r="AK1335" i="2"/>
  <c r="AF1335" i="2"/>
  <c r="V1335" i="2"/>
  <c r="AK1334" i="2"/>
  <c r="V1334" i="2"/>
  <c r="AK1333" i="2"/>
  <c r="AF1333" i="2"/>
  <c r="V1333" i="2"/>
  <c r="AK1332" i="2"/>
  <c r="V1332" i="2"/>
  <c r="AK1331" i="2"/>
  <c r="AF1331" i="2"/>
  <c r="V1331" i="2"/>
  <c r="AK1330" i="2"/>
  <c r="V1330" i="2"/>
  <c r="AK1329" i="2"/>
  <c r="AF1329" i="2"/>
  <c r="V1329" i="2"/>
  <c r="AK1328" i="2"/>
  <c r="AF1328" i="2"/>
  <c r="V1328" i="2"/>
  <c r="AK1327" i="2"/>
  <c r="AF1327" i="2"/>
  <c r="V1327" i="2"/>
  <c r="AK1326" i="2"/>
  <c r="AF1326" i="2"/>
  <c r="V1326" i="2"/>
  <c r="AK1325" i="2"/>
  <c r="AF1325" i="2"/>
  <c r="V1325" i="2"/>
  <c r="AK1324" i="2"/>
  <c r="AF1324" i="2"/>
  <c r="V1324" i="2"/>
  <c r="AK1323" i="2"/>
  <c r="AF1323" i="2"/>
  <c r="V1323" i="2"/>
  <c r="AK1322" i="2"/>
  <c r="AF1322" i="2"/>
  <c r="V1322" i="2"/>
  <c r="AK1321" i="2"/>
  <c r="AF1321" i="2"/>
  <c r="V1321" i="2"/>
  <c r="AK1320" i="2"/>
  <c r="AF1320" i="2"/>
  <c r="V1320" i="2"/>
  <c r="AK1319" i="2"/>
  <c r="AF1319" i="2"/>
  <c r="N55" i="3" s="1"/>
  <c r="V1319" i="2"/>
  <c r="AK1318" i="2"/>
  <c r="AF1318" i="2"/>
  <c r="V1318" i="2"/>
  <c r="AK1317" i="2"/>
  <c r="AF1317" i="2"/>
  <c r="V1317" i="2"/>
  <c r="AK1316" i="2"/>
  <c r="AF1316" i="2"/>
  <c r="V1316" i="2"/>
  <c r="AK1315" i="2"/>
  <c r="AF1315" i="2"/>
  <c r="V1315" i="2"/>
  <c r="AK1314" i="2"/>
  <c r="V1314" i="2"/>
  <c r="AK1313" i="2"/>
  <c r="AF1313" i="2"/>
  <c r="V1313" i="2"/>
  <c r="AK1312" i="2"/>
  <c r="AF1312" i="2"/>
  <c r="V1312" i="2"/>
  <c r="AK1311" i="2"/>
  <c r="AF1311" i="2"/>
  <c r="V1311" i="2"/>
  <c r="AK1310" i="2"/>
  <c r="V1310" i="2"/>
  <c r="AK1309" i="2"/>
  <c r="AF1309" i="2"/>
  <c r="V1309" i="2"/>
  <c r="AK1308" i="2"/>
  <c r="AF1308" i="2"/>
  <c r="V1308" i="2"/>
  <c r="AK1307" i="2"/>
  <c r="AF1307" i="2"/>
  <c r="V1307" i="2"/>
  <c r="AK1306" i="2"/>
  <c r="AF1306" i="2"/>
  <c r="V1306" i="2"/>
  <c r="AK1305" i="2"/>
  <c r="V1305" i="2"/>
  <c r="AK1304" i="2"/>
  <c r="AF1304" i="2"/>
  <c r="V1304" i="2"/>
  <c r="AK1303" i="2"/>
  <c r="AF1303" i="2"/>
  <c r="V1303" i="2"/>
  <c r="AK1302" i="2"/>
  <c r="AF1302" i="2"/>
  <c r="V1302" i="2"/>
  <c r="AK1301" i="2"/>
  <c r="AF1301" i="2"/>
  <c r="V1301" i="2"/>
  <c r="AK1300" i="2"/>
  <c r="AF1300" i="2"/>
  <c r="V1300" i="2"/>
  <c r="AK1299" i="2"/>
  <c r="AF1299" i="2"/>
  <c r="V1299" i="2"/>
  <c r="AK1298" i="2"/>
  <c r="AF1298" i="2"/>
  <c r="V1298" i="2"/>
  <c r="AK1297" i="2"/>
  <c r="AF1297" i="2"/>
  <c r="V1297" i="2"/>
  <c r="AK1296" i="2"/>
  <c r="V1296" i="2"/>
  <c r="AK1295" i="2"/>
  <c r="V1295" i="2"/>
  <c r="AK1294" i="2"/>
  <c r="V1294" i="2"/>
  <c r="AK1293" i="2"/>
  <c r="AF1293" i="2"/>
  <c r="V1293" i="2"/>
  <c r="AK1292" i="2"/>
  <c r="AF1292" i="2"/>
  <c r="V1292" i="2"/>
  <c r="AK1291" i="2"/>
  <c r="V1291" i="2"/>
  <c r="AK1290" i="2"/>
  <c r="AF1290" i="2"/>
  <c r="V1290" i="2"/>
  <c r="AK1289" i="2"/>
  <c r="AF1289" i="2"/>
  <c r="V1289" i="2"/>
  <c r="AK1288" i="2"/>
  <c r="AF1288" i="2"/>
  <c r="V1288" i="2"/>
  <c r="AK1287" i="2"/>
  <c r="V1287" i="2"/>
  <c r="AK1286" i="2"/>
  <c r="AF1286" i="2"/>
  <c r="V1286" i="2"/>
  <c r="AK1285" i="2"/>
  <c r="V1285" i="2"/>
  <c r="AK1284" i="2"/>
  <c r="AF1284" i="2"/>
  <c r="V1284" i="2"/>
  <c r="AK1283" i="2"/>
  <c r="AF1283" i="2"/>
  <c r="V1283" i="2"/>
  <c r="AK1282" i="2"/>
  <c r="AF1282" i="2"/>
  <c r="V1282" i="2"/>
  <c r="AK1281" i="2"/>
  <c r="V1281" i="2"/>
  <c r="AK1280" i="2"/>
  <c r="AF1280" i="2"/>
  <c r="V1280" i="2"/>
  <c r="AK1279" i="2"/>
  <c r="AF1279" i="2"/>
  <c r="V1279" i="2"/>
  <c r="AK1278" i="2"/>
  <c r="AF1278" i="2"/>
  <c r="V1278" i="2"/>
  <c r="AK1277" i="2"/>
  <c r="V1277" i="2"/>
  <c r="AK1276" i="2"/>
  <c r="V1276" i="2"/>
  <c r="AK1275" i="2"/>
  <c r="AF1275" i="2"/>
  <c r="V1275" i="2"/>
  <c r="AK1274" i="2"/>
  <c r="AF1274" i="2"/>
  <c r="V1274" i="2"/>
  <c r="AK1273" i="2"/>
  <c r="V1273" i="2"/>
  <c r="AK1272" i="2"/>
  <c r="V1272" i="2"/>
  <c r="AK1271" i="2"/>
  <c r="AF1271" i="2"/>
  <c r="V1271" i="2"/>
  <c r="AK1270" i="2"/>
  <c r="V1270" i="2"/>
  <c r="AK1269" i="2"/>
  <c r="V1269" i="2"/>
  <c r="AK1268" i="2"/>
  <c r="V1268" i="2"/>
  <c r="AK1267" i="2"/>
  <c r="AF1267" i="2"/>
  <c r="V1267" i="2"/>
  <c r="AK1266" i="2"/>
  <c r="AF1266" i="2"/>
  <c r="V1266" i="2"/>
  <c r="AK1265" i="2"/>
  <c r="V1265" i="2"/>
  <c r="AK1264" i="2"/>
  <c r="AF1264" i="2"/>
  <c r="V1264" i="2"/>
  <c r="AK1263" i="2"/>
  <c r="V1263" i="2"/>
  <c r="AK1262" i="2"/>
  <c r="V1262" i="2"/>
  <c r="AK1261" i="2"/>
  <c r="AF1261" i="2"/>
  <c r="V1261" i="2"/>
  <c r="AK1260" i="2"/>
  <c r="V1260" i="2"/>
  <c r="AK1259" i="2"/>
  <c r="AF1259" i="2"/>
  <c r="V1259" i="2"/>
  <c r="AK1258" i="2"/>
  <c r="V1258" i="2"/>
  <c r="AK1257" i="2"/>
  <c r="V1257" i="2"/>
  <c r="AK1256" i="2"/>
  <c r="AF1256" i="2"/>
  <c r="V1256" i="2"/>
  <c r="AK1255" i="2"/>
  <c r="V1255" i="2"/>
  <c r="AK1254" i="2"/>
  <c r="AF1254" i="2"/>
  <c r="V1254" i="2"/>
  <c r="AK1253" i="2"/>
  <c r="AF1253" i="2"/>
  <c r="V1253" i="2"/>
  <c r="AK1252" i="2"/>
  <c r="AF1252" i="2"/>
  <c r="V1252" i="2"/>
  <c r="AK1251" i="2"/>
  <c r="AF1251" i="2"/>
  <c r="V1251" i="2"/>
  <c r="AK1250" i="2"/>
  <c r="V1250" i="2"/>
  <c r="AK1249" i="2"/>
  <c r="AF1249" i="2"/>
  <c r="V1249" i="2"/>
  <c r="AK1248" i="2"/>
  <c r="AF1248" i="2"/>
  <c r="V1248" i="2"/>
  <c r="AK1247" i="2"/>
  <c r="AF1247" i="2"/>
  <c r="V1247" i="2"/>
  <c r="AK1246" i="2"/>
  <c r="AF1246" i="2"/>
  <c r="V1246" i="2"/>
  <c r="AK1245" i="2"/>
  <c r="V1245" i="2"/>
  <c r="AK1244" i="2"/>
  <c r="AF1244" i="2"/>
  <c r="V1244" i="2"/>
  <c r="AK1243" i="2"/>
  <c r="AF1243" i="2"/>
  <c r="V1243" i="2"/>
  <c r="AK1242" i="2"/>
  <c r="AF1242" i="2"/>
  <c r="V1242" i="2"/>
  <c r="AK1241" i="2"/>
  <c r="AF1241" i="2"/>
  <c r="V1241" i="2"/>
  <c r="AK1240" i="2"/>
  <c r="AF1240" i="2"/>
  <c r="V1240" i="2"/>
  <c r="AK1239" i="2"/>
  <c r="V1239" i="2"/>
  <c r="AK1238" i="2"/>
  <c r="V1238" i="2"/>
  <c r="AK1237" i="2"/>
  <c r="AF1237" i="2"/>
  <c r="V1237" i="2"/>
  <c r="AK1236" i="2"/>
  <c r="V1236" i="2"/>
  <c r="AK1235" i="2"/>
  <c r="AF1235" i="2"/>
  <c r="V1235" i="2"/>
  <c r="AK1234" i="2"/>
  <c r="V1234" i="2"/>
  <c r="AK1233" i="2"/>
  <c r="V1233" i="2"/>
  <c r="AK1232" i="2"/>
  <c r="AF1232" i="2"/>
  <c r="V1232" i="2"/>
  <c r="AK1231" i="2"/>
  <c r="V1231" i="2"/>
  <c r="AK1230" i="2"/>
  <c r="AF1230" i="2"/>
  <c r="V1230" i="2"/>
  <c r="AK1229" i="2"/>
  <c r="AF1229" i="2"/>
  <c r="V1229" i="2"/>
  <c r="AK1228" i="2"/>
  <c r="AF1228" i="2"/>
  <c r="V1228" i="2"/>
  <c r="AK1227" i="2"/>
  <c r="AF1227" i="2"/>
  <c r="V1227" i="2"/>
  <c r="AK1226" i="2"/>
  <c r="AF1226" i="2"/>
  <c r="V1226" i="2"/>
  <c r="AK1225" i="2"/>
  <c r="V1225" i="2"/>
  <c r="AK1224" i="2"/>
  <c r="AF1224" i="2"/>
  <c r="V1224" i="2"/>
  <c r="AK1223" i="2"/>
  <c r="V1223" i="2"/>
  <c r="AK1222" i="2"/>
  <c r="AF1222" i="2"/>
  <c r="V1222" i="2"/>
  <c r="AK1221" i="2"/>
  <c r="V1221" i="2"/>
  <c r="AK1220" i="2"/>
  <c r="AF1220" i="2"/>
  <c r="V1220" i="2"/>
  <c r="AK1219" i="2"/>
  <c r="AF1219" i="2"/>
  <c r="V1219" i="2"/>
  <c r="AK1218" i="2"/>
  <c r="AF1218" i="2"/>
  <c r="V1218" i="2"/>
  <c r="AK1217" i="2"/>
  <c r="AF1217" i="2"/>
  <c r="V1217" i="2"/>
  <c r="AK1216" i="2"/>
  <c r="AF1216" i="2"/>
  <c r="V1216" i="2"/>
  <c r="AK1215" i="2"/>
  <c r="V1215" i="2"/>
  <c r="AK1214" i="2"/>
  <c r="AF1214" i="2"/>
  <c r="V1214" i="2"/>
  <c r="AK1213" i="2"/>
  <c r="AF1213" i="2"/>
  <c r="V1213" i="2"/>
  <c r="AK1212" i="2"/>
  <c r="AF1212" i="2"/>
  <c r="V1212" i="2"/>
  <c r="AK1211" i="2"/>
  <c r="AF1211" i="2"/>
  <c r="V1211" i="2"/>
  <c r="AK1210" i="2"/>
  <c r="AF1210" i="2"/>
  <c r="V1210" i="2"/>
  <c r="AK1209" i="2"/>
  <c r="V1209" i="2"/>
  <c r="AK1208" i="2"/>
  <c r="AF1208" i="2"/>
  <c r="V1208" i="2"/>
  <c r="AK1207" i="2"/>
  <c r="AF1207" i="2"/>
  <c r="V1207" i="2"/>
  <c r="AK1206" i="2"/>
  <c r="V1206" i="2"/>
  <c r="AK1205" i="2"/>
  <c r="AF1205" i="2"/>
  <c r="V1205" i="2"/>
  <c r="AK1204" i="2"/>
  <c r="AF1204" i="2"/>
  <c r="V1204" i="2"/>
  <c r="AK1203" i="2"/>
  <c r="V1203" i="2"/>
  <c r="AK1202" i="2"/>
  <c r="V1202" i="2"/>
  <c r="AK1201" i="2"/>
  <c r="AF1201" i="2"/>
  <c r="V1201" i="2"/>
  <c r="AK1200" i="2"/>
  <c r="V1200" i="2"/>
  <c r="AK1199" i="2"/>
  <c r="V1199" i="2"/>
  <c r="AK1198" i="2"/>
  <c r="V1198" i="2"/>
  <c r="AK1197" i="2"/>
  <c r="V1197" i="2"/>
  <c r="AK1196" i="2"/>
  <c r="AF1196" i="2"/>
  <c r="V1196" i="2"/>
  <c r="AK1195" i="2"/>
  <c r="AF1195" i="2"/>
  <c r="V1195" i="2"/>
  <c r="AK1194" i="2"/>
  <c r="AF1194" i="2"/>
  <c r="V1194" i="2"/>
  <c r="AK1193" i="2"/>
  <c r="V1193" i="2"/>
  <c r="AK1192" i="2"/>
  <c r="V1192" i="2"/>
  <c r="AK1191" i="2"/>
  <c r="AF1191" i="2"/>
  <c r="V1191" i="2"/>
  <c r="AK1190" i="2"/>
  <c r="V1190" i="2"/>
  <c r="AK1189" i="2"/>
  <c r="AF1189" i="2"/>
  <c r="V1189" i="2"/>
  <c r="AK1188" i="2"/>
  <c r="AF1188" i="2"/>
  <c r="V1188" i="2"/>
  <c r="AK1187" i="2"/>
  <c r="V1187" i="2"/>
  <c r="AK1186" i="2"/>
  <c r="V1186" i="2"/>
  <c r="AK1185" i="2"/>
  <c r="AF1185" i="2"/>
  <c r="V1185" i="2"/>
  <c r="AK1184" i="2"/>
  <c r="V1184" i="2"/>
  <c r="AK1183" i="2"/>
  <c r="V1183" i="2"/>
  <c r="AK1182" i="2"/>
  <c r="V1182" i="2"/>
  <c r="AK1181" i="2"/>
  <c r="AF1181" i="2"/>
  <c r="V1181" i="2"/>
  <c r="AK1180" i="2"/>
  <c r="V1180" i="2"/>
  <c r="AK1179" i="2"/>
  <c r="AF1179" i="2"/>
  <c r="V1179" i="2"/>
  <c r="AK1178" i="2"/>
  <c r="AF1178" i="2"/>
  <c r="V1178" i="2"/>
  <c r="AK1177" i="2"/>
  <c r="AF1177" i="2"/>
  <c r="V1177" i="2"/>
  <c r="AK1176" i="2"/>
  <c r="V1176" i="2"/>
  <c r="AK1175" i="2"/>
  <c r="AF1175" i="2"/>
  <c r="V1175" i="2"/>
  <c r="AK1174" i="2"/>
  <c r="AF1174" i="2"/>
  <c r="V1174" i="2"/>
  <c r="AK1173" i="2"/>
  <c r="AF1173" i="2"/>
  <c r="V1173" i="2"/>
  <c r="AK1172" i="2"/>
  <c r="V1172" i="2"/>
  <c r="AK1171" i="2"/>
  <c r="AF1171" i="2"/>
  <c r="V1171" i="2"/>
  <c r="AK1170" i="2"/>
  <c r="V1170" i="2"/>
  <c r="AK1169" i="2"/>
  <c r="AF1169" i="2"/>
  <c r="V1169" i="2"/>
  <c r="AK1168" i="2"/>
  <c r="V1168" i="2"/>
  <c r="AK1167" i="2"/>
  <c r="V1167" i="2"/>
  <c r="AK1166" i="2"/>
  <c r="AF1166" i="2"/>
  <c r="V1166" i="2"/>
  <c r="AK1165" i="2"/>
  <c r="AF1165" i="2"/>
  <c r="V1165" i="2"/>
  <c r="AK1164" i="2"/>
  <c r="AF1164" i="2"/>
  <c r="V1164" i="2"/>
  <c r="AK1163" i="2"/>
  <c r="AF1163" i="2"/>
  <c r="V1163" i="2"/>
  <c r="AK1162" i="2"/>
  <c r="V1162" i="2"/>
  <c r="AK1161" i="2"/>
  <c r="AF1161" i="2"/>
  <c r="V1161" i="2"/>
  <c r="AK1160" i="2"/>
  <c r="V1160" i="2"/>
  <c r="AK1159" i="2"/>
  <c r="AF1159" i="2"/>
  <c r="V1159" i="2"/>
  <c r="AK1158" i="2"/>
  <c r="AF1158" i="2"/>
  <c r="V1158" i="2"/>
  <c r="AK1157" i="2"/>
  <c r="AF1157" i="2"/>
  <c r="V1157" i="2"/>
  <c r="AK1156" i="2"/>
  <c r="AF1156" i="2"/>
  <c r="V1156" i="2"/>
  <c r="AK1155" i="2"/>
  <c r="V1155" i="2"/>
  <c r="AK1154" i="2"/>
  <c r="V1154" i="2"/>
  <c r="AK1153" i="2"/>
  <c r="V1153" i="2"/>
  <c r="AK1152" i="2"/>
  <c r="AF1152" i="2"/>
  <c r="V1152" i="2"/>
  <c r="AK1151" i="2"/>
  <c r="V1151" i="2"/>
  <c r="AK1150" i="2"/>
  <c r="AF1150" i="2"/>
  <c r="V1150" i="2"/>
  <c r="AK1149" i="2"/>
  <c r="AF1149" i="2"/>
  <c r="V1149" i="2"/>
  <c r="AK1148" i="2"/>
  <c r="AF1148" i="2"/>
  <c r="V1148" i="2"/>
  <c r="AK1147" i="2"/>
  <c r="AF1147" i="2"/>
  <c r="V1147" i="2"/>
  <c r="AK1146" i="2"/>
  <c r="V1146" i="2"/>
  <c r="AK1145" i="2"/>
  <c r="V1145" i="2"/>
  <c r="AK1144" i="2"/>
  <c r="AF1144" i="2"/>
  <c r="V1144" i="2"/>
  <c r="AK1143" i="2"/>
  <c r="AF1143" i="2"/>
  <c r="V1143" i="2"/>
  <c r="AK1142" i="2"/>
  <c r="AF1142" i="2"/>
  <c r="V1142" i="2"/>
  <c r="AK1141" i="2"/>
  <c r="AF1141" i="2"/>
  <c r="V1141" i="2"/>
  <c r="AK1140" i="2"/>
  <c r="AF1140" i="2"/>
  <c r="V1140" i="2"/>
  <c r="AK1139" i="2"/>
  <c r="V1139" i="2"/>
  <c r="AK1138" i="2"/>
  <c r="AF1138" i="2"/>
  <c r="V1138" i="2"/>
  <c r="AK1137" i="2"/>
  <c r="AF1137" i="2"/>
  <c r="V1137" i="2"/>
  <c r="AK1136" i="2"/>
  <c r="AF1136" i="2"/>
  <c r="V1136" i="2"/>
  <c r="AK1135" i="2"/>
  <c r="V1135" i="2"/>
  <c r="AK1134" i="2"/>
  <c r="V1134" i="2"/>
  <c r="AK1133" i="2"/>
  <c r="AF1133" i="2"/>
  <c r="V1133" i="2"/>
  <c r="AK1132" i="2"/>
  <c r="AF1132" i="2"/>
  <c r="V1132" i="2"/>
  <c r="AK1131" i="2"/>
  <c r="AF1131" i="2"/>
  <c r="V1131" i="2"/>
  <c r="AK1130" i="2"/>
  <c r="AF1130" i="2"/>
  <c r="V1130" i="2"/>
  <c r="AK1129" i="2"/>
  <c r="AF1129" i="2"/>
  <c r="V1129" i="2"/>
  <c r="AK1128" i="2"/>
  <c r="V1128" i="2"/>
  <c r="AK1127" i="2"/>
  <c r="V1127" i="2"/>
  <c r="AK1126" i="2"/>
  <c r="V1126" i="2"/>
  <c r="AK1125" i="2"/>
  <c r="AF1125" i="2"/>
  <c r="V1125" i="2"/>
  <c r="AK1124" i="2"/>
  <c r="AF1124" i="2"/>
  <c r="V1124" i="2"/>
  <c r="AK1123" i="2"/>
  <c r="AF1123" i="2"/>
  <c r="V1123" i="2"/>
  <c r="AK1122" i="2"/>
  <c r="AF1122" i="2"/>
  <c r="V1122" i="2"/>
  <c r="AK1121" i="2"/>
  <c r="AF1121" i="2"/>
  <c r="V1121" i="2"/>
  <c r="AK1120" i="2"/>
  <c r="AF1120" i="2"/>
  <c r="V1120" i="2"/>
  <c r="AK1119" i="2"/>
  <c r="AF1119" i="2"/>
  <c r="V1119" i="2"/>
  <c r="AK1118" i="2"/>
  <c r="V1118" i="2"/>
  <c r="AK1117" i="2"/>
  <c r="AF1117" i="2"/>
  <c r="V1117" i="2"/>
  <c r="AK1116" i="2"/>
  <c r="AF1116" i="2"/>
  <c r="V1116" i="2"/>
  <c r="AK1115" i="2"/>
  <c r="AF1115" i="2"/>
  <c r="V1115" i="2"/>
  <c r="AK1114" i="2"/>
  <c r="AF1114" i="2"/>
  <c r="V1114" i="2"/>
  <c r="AK1113" i="2"/>
  <c r="V1113" i="2"/>
  <c r="AK1112" i="2"/>
  <c r="V1112" i="2"/>
  <c r="AK1111" i="2"/>
  <c r="AF1111" i="2"/>
  <c r="V1111" i="2"/>
  <c r="AK1110" i="2"/>
  <c r="AF1110" i="2"/>
  <c r="V1110" i="2"/>
  <c r="AK1109" i="2"/>
  <c r="AF1109" i="2"/>
  <c r="V1109" i="2"/>
  <c r="AK1108" i="2"/>
  <c r="V1108" i="2"/>
  <c r="AK1107" i="2"/>
  <c r="AF1107" i="2"/>
  <c r="V1107" i="2"/>
  <c r="AK1106" i="2"/>
  <c r="V1106" i="2"/>
  <c r="AK1105" i="2"/>
  <c r="AF1105" i="2"/>
  <c r="V1105" i="2"/>
  <c r="AK1104" i="2"/>
  <c r="V1104" i="2"/>
  <c r="AK1103" i="2"/>
  <c r="V1103" i="2"/>
  <c r="AK1102" i="2"/>
  <c r="AF1102" i="2"/>
  <c r="V1102" i="2"/>
  <c r="AK1101" i="2"/>
  <c r="AF1101" i="2"/>
  <c r="V1101" i="2"/>
  <c r="AK1100" i="2"/>
  <c r="AF1100" i="2"/>
  <c r="V1100" i="2"/>
  <c r="AK1099" i="2"/>
  <c r="AF1099" i="2"/>
  <c r="V1099" i="2"/>
  <c r="AK1098" i="2"/>
  <c r="AF1098" i="2"/>
  <c r="V1098" i="2"/>
  <c r="AK1097" i="2"/>
  <c r="AF1097" i="2"/>
  <c r="V1097" i="2"/>
  <c r="AK1096" i="2"/>
  <c r="AF1096" i="2"/>
  <c r="V1096" i="2"/>
  <c r="AK1095" i="2"/>
  <c r="AF1095" i="2"/>
  <c r="V1095" i="2"/>
  <c r="AK1094" i="2"/>
  <c r="AF1094" i="2"/>
  <c r="V1094" i="2"/>
  <c r="AK1093" i="2"/>
  <c r="AF1093" i="2"/>
  <c r="V1093" i="2"/>
  <c r="AK1092" i="2"/>
  <c r="AF1092" i="2"/>
  <c r="V1092" i="2"/>
  <c r="AK1091" i="2"/>
  <c r="AF1091" i="2"/>
  <c r="V1091" i="2"/>
  <c r="AK1090" i="2"/>
  <c r="AF1090" i="2"/>
  <c r="V1090" i="2"/>
  <c r="AK1089" i="2"/>
  <c r="AF1089" i="2"/>
  <c r="V1089" i="2"/>
  <c r="AK1088" i="2"/>
  <c r="AF1088" i="2"/>
  <c r="V1088" i="2"/>
  <c r="AK1087" i="2"/>
  <c r="AF1087" i="2"/>
  <c r="V1087" i="2"/>
  <c r="AK1086" i="2"/>
  <c r="AF1086" i="2"/>
  <c r="V1086" i="2"/>
  <c r="AK1085" i="2"/>
  <c r="V1085" i="2"/>
  <c r="AK1084" i="2"/>
  <c r="V1084" i="2"/>
  <c r="AK1083" i="2"/>
  <c r="V1083" i="2"/>
  <c r="AK1082" i="2"/>
  <c r="AF1082" i="2"/>
  <c r="V1082" i="2"/>
  <c r="AK1081" i="2"/>
  <c r="AF1081" i="2"/>
  <c r="V1081" i="2"/>
  <c r="AK1080" i="2"/>
  <c r="AF1080" i="2"/>
  <c r="V1080" i="2"/>
  <c r="AK1079" i="2"/>
  <c r="AF1079" i="2"/>
  <c r="N18" i="3" s="1"/>
  <c r="V1079" i="2"/>
  <c r="AK1078" i="2"/>
  <c r="AF1078" i="2"/>
  <c r="V1078" i="2"/>
  <c r="AK1077" i="2"/>
  <c r="AF1077" i="2"/>
  <c r="V1077" i="2"/>
  <c r="AK1076" i="2"/>
  <c r="V1076" i="2"/>
  <c r="AK1075" i="2"/>
  <c r="AF1075" i="2"/>
  <c r="V1075" i="2"/>
  <c r="AK1074" i="2"/>
  <c r="AF1074" i="2"/>
  <c r="V1074" i="2"/>
  <c r="AK1073" i="2"/>
  <c r="V1073" i="2"/>
  <c r="AK1072" i="2"/>
  <c r="V1072" i="2"/>
  <c r="AK1071" i="2"/>
  <c r="AF1071" i="2"/>
  <c r="V1071" i="2"/>
  <c r="AK1070" i="2"/>
  <c r="AF1070" i="2"/>
  <c r="V1070" i="2"/>
  <c r="AK1069" i="2"/>
  <c r="V1069" i="2"/>
  <c r="AK1068" i="2"/>
  <c r="V1068" i="2"/>
  <c r="AK1067" i="2"/>
  <c r="AF1067" i="2"/>
  <c r="V1067" i="2"/>
  <c r="AK1066" i="2"/>
  <c r="AF1066" i="2"/>
  <c r="V1066" i="2"/>
  <c r="AK1065" i="2"/>
  <c r="AF1065" i="2"/>
  <c r="V1065" i="2"/>
  <c r="AK1064" i="2"/>
  <c r="V1064" i="2"/>
  <c r="AK1063" i="2"/>
  <c r="AF1063" i="2"/>
  <c r="V1063" i="2"/>
  <c r="AK1062" i="2"/>
  <c r="V1062" i="2"/>
  <c r="AK1061" i="2"/>
  <c r="AF1061" i="2"/>
  <c r="V1061" i="2"/>
  <c r="AK1060" i="2"/>
  <c r="AF1060" i="2"/>
  <c r="V1060" i="2"/>
  <c r="AK1059" i="2"/>
  <c r="AF1059" i="2"/>
  <c r="V1059" i="2"/>
  <c r="AK1058" i="2"/>
  <c r="V1058" i="2"/>
  <c r="AK1057" i="2"/>
  <c r="V1057" i="2"/>
  <c r="AK1056" i="2"/>
  <c r="V1056" i="2"/>
  <c r="AK1055" i="2"/>
  <c r="AF1055" i="2"/>
  <c r="V1055" i="2"/>
  <c r="AK1054" i="2"/>
  <c r="AF1054" i="2"/>
  <c r="V1054" i="2"/>
  <c r="AK1053" i="2"/>
  <c r="AF1053" i="2"/>
  <c r="V1053" i="2"/>
  <c r="AK1052" i="2"/>
  <c r="AF1052" i="2"/>
  <c r="V1052" i="2"/>
  <c r="AK1051" i="2"/>
  <c r="AF1051" i="2"/>
  <c r="V1051" i="2"/>
  <c r="AK1050" i="2"/>
  <c r="AF1050" i="2"/>
  <c r="V1050" i="2"/>
  <c r="AK1049" i="2"/>
  <c r="AF1049" i="2"/>
  <c r="V1049" i="2"/>
  <c r="AK1048" i="2"/>
  <c r="V1048" i="2"/>
  <c r="AK1047" i="2"/>
  <c r="AF1047" i="2"/>
  <c r="V1047" i="2"/>
  <c r="AK1046" i="2"/>
  <c r="V1046" i="2"/>
  <c r="AK1045" i="2"/>
  <c r="V1045" i="2"/>
  <c r="AK1044" i="2"/>
  <c r="AF1044" i="2"/>
  <c r="V1044" i="2"/>
  <c r="AK1043" i="2"/>
  <c r="V1043" i="2"/>
  <c r="AK1042" i="2"/>
  <c r="V1042" i="2"/>
  <c r="AK1041" i="2"/>
  <c r="V1041" i="2"/>
  <c r="AK1040" i="2"/>
  <c r="AF1040" i="2"/>
  <c r="V1040" i="2"/>
  <c r="AK1039" i="2"/>
  <c r="V1039" i="2"/>
  <c r="AK1038" i="2"/>
  <c r="V1038" i="2"/>
  <c r="AK1037" i="2"/>
  <c r="AF1037" i="2"/>
  <c r="V1037" i="2"/>
  <c r="AK1036" i="2"/>
  <c r="AF1036" i="2"/>
  <c r="V1036" i="2"/>
  <c r="AK1035" i="2"/>
  <c r="AF1035" i="2"/>
  <c r="V1035" i="2"/>
  <c r="AK1034" i="2"/>
  <c r="AF1034" i="2"/>
  <c r="V1034" i="2"/>
  <c r="AK1033" i="2"/>
  <c r="AF1033" i="2"/>
  <c r="V1033" i="2"/>
  <c r="AK1032" i="2"/>
  <c r="AF1032" i="2"/>
  <c r="V1032" i="2"/>
  <c r="AK1031" i="2"/>
  <c r="AF1031" i="2"/>
  <c r="V1031" i="2"/>
  <c r="AK1030" i="2"/>
  <c r="AF1030" i="2"/>
  <c r="V1030" i="2"/>
  <c r="AK1029" i="2"/>
  <c r="AF1029" i="2"/>
  <c r="V1029" i="2"/>
  <c r="AK1028" i="2"/>
  <c r="AF1028" i="2"/>
  <c r="V1028" i="2"/>
  <c r="AK1027" i="2"/>
  <c r="AF1027" i="2"/>
  <c r="V1027" i="2"/>
  <c r="AK1026" i="2"/>
  <c r="V1026" i="2"/>
  <c r="AK1025" i="2"/>
  <c r="V1025" i="2"/>
  <c r="AK1024" i="2"/>
  <c r="V1024" i="2"/>
  <c r="AK1023" i="2"/>
  <c r="AF1023" i="2"/>
  <c r="V1023" i="2"/>
  <c r="AK1022" i="2"/>
  <c r="V1022" i="2"/>
  <c r="AK1021" i="2"/>
  <c r="V1021" i="2"/>
  <c r="AK1020" i="2"/>
  <c r="AF1020" i="2"/>
  <c r="V1020" i="2"/>
  <c r="AK1019" i="2"/>
  <c r="V1019" i="2"/>
  <c r="AK1018" i="2"/>
  <c r="V1018" i="2"/>
  <c r="AK1017" i="2"/>
  <c r="V1017" i="2"/>
  <c r="AK1016" i="2"/>
  <c r="V1016" i="2"/>
  <c r="AK1015" i="2"/>
  <c r="AF1015" i="2"/>
  <c r="V1015" i="2"/>
  <c r="AK1014" i="2"/>
  <c r="AF1014" i="2"/>
  <c r="V1014" i="2"/>
  <c r="AK1013" i="2"/>
  <c r="AF1013" i="2"/>
  <c r="V1013" i="2"/>
  <c r="AK1012" i="2"/>
  <c r="AF1012" i="2"/>
  <c r="V1012" i="2"/>
  <c r="AK1011" i="2"/>
  <c r="AF1011" i="2"/>
  <c r="V1011" i="2"/>
  <c r="AK1010" i="2"/>
  <c r="AF1010" i="2"/>
  <c r="V1010" i="2"/>
  <c r="AK1009" i="2"/>
  <c r="V1009" i="2"/>
  <c r="AK1008" i="2"/>
  <c r="AF1008" i="2"/>
  <c r="V1008" i="2"/>
  <c r="AK1007" i="2"/>
  <c r="V1007" i="2"/>
  <c r="AK1006" i="2"/>
  <c r="V1006" i="2"/>
  <c r="AK1005" i="2"/>
  <c r="AF1005" i="2"/>
  <c r="V1005" i="2"/>
  <c r="AK1004" i="2"/>
  <c r="V1004" i="2"/>
  <c r="AK1003" i="2"/>
  <c r="V1003" i="2"/>
  <c r="AK1002" i="2"/>
  <c r="V1002" i="2"/>
  <c r="AK1001" i="2"/>
  <c r="V1001" i="2"/>
  <c r="AK1000" i="2"/>
  <c r="AF1000" i="2"/>
  <c r="V1000" i="2"/>
  <c r="AK999" i="2"/>
  <c r="AF999" i="2"/>
  <c r="V999" i="2"/>
  <c r="AK998" i="2"/>
  <c r="AF998" i="2"/>
  <c r="V998" i="2"/>
  <c r="AK997" i="2"/>
  <c r="AF997" i="2"/>
  <c r="V997" i="2"/>
  <c r="AK996" i="2"/>
  <c r="AF996" i="2"/>
  <c r="V996" i="2"/>
  <c r="AK995" i="2"/>
  <c r="V995" i="2"/>
  <c r="AK994" i="2"/>
  <c r="V994" i="2"/>
  <c r="AK993" i="2"/>
  <c r="V993" i="2"/>
  <c r="AK992" i="2"/>
  <c r="V992" i="2"/>
  <c r="AK991" i="2"/>
  <c r="AF991" i="2"/>
  <c r="V991" i="2"/>
  <c r="AK990" i="2"/>
  <c r="AF990" i="2"/>
  <c r="V990" i="2"/>
  <c r="AK989" i="2"/>
  <c r="AF989" i="2"/>
  <c r="V989" i="2"/>
  <c r="AK988" i="2"/>
  <c r="V988" i="2"/>
  <c r="AK987" i="2"/>
  <c r="V987" i="2"/>
  <c r="AK986" i="2"/>
  <c r="V986" i="2"/>
  <c r="AK985" i="2"/>
  <c r="V985" i="2"/>
  <c r="AK984" i="2"/>
  <c r="AF984" i="2"/>
  <c r="V984" i="2"/>
  <c r="AK983" i="2"/>
  <c r="AF983" i="2"/>
  <c r="V983" i="2"/>
  <c r="AK982" i="2"/>
  <c r="V982" i="2"/>
  <c r="AK981" i="2"/>
  <c r="AF981" i="2"/>
  <c r="V981" i="2"/>
  <c r="AK980" i="2"/>
  <c r="V980" i="2"/>
  <c r="AK979" i="2"/>
  <c r="AF979" i="2"/>
  <c r="V979" i="2"/>
  <c r="AK978" i="2"/>
  <c r="AF978" i="2"/>
  <c r="V978" i="2"/>
  <c r="AK977" i="2"/>
  <c r="AF977" i="2"/>
  <c r="V977" i="2"/>
  <c r="AK976" i="2"/>
  <c r="AF976" i="2"/>
  <c r="V976" i="2"/>
  <c r="AK975" i="2"/>
  <c r="V975" i="2"/>
  <c r="AK974" i="2"/>
  <c r="AF974" i="2"/>
  <c r="V974" i="2"/>
  <c r="AK973" i="2"/>
  <c r="V973" i="2"/>
  <c r="AK972" i="2"/>
  <c r="AF972" i="2"/>
  <c r="V972" i="2"/>
  <c r="AK971" i="2"/>
  <c r="V971" i="2"/>
  <c r="AK970" i="2"/>
  <c r="AF970" i="2"/>
  <c r="V970" i="2"/>
  <c r="AK969" i="2"/>
  <c r="V969" i="2"/>
  <c r="AK968" i="2"/>
  <c r="V968" i="2"/>
  <c r="AK967" i="2"/>
  <c r="V967" i="2"/>
  <c r="AK966" i="2"/>
  <c r="AF966" i="2"/>
  <c r="V966" i="2"/>
  <c r="AK965" i="2"/>
  <c r="V965" i="2"/>
  <c r="AK964" i="2"/>
  <c r="V964" i="2"/>
  <c r="AK963" i="2"/>
  <c r="AF963" i="2"/>
  <c r="V963" i="2"/>
  <c r="AK962" i="2"/>
  <c r="AF962" i="2"/>
  <c r="V962" i="2"/>
  <c r="AK961" i="2"/>
  <c r="V961" i="2"/>
  <c r="AK960" i="2"/>
  <c r="AF960" i="2"/>
  <c r="V960" i="2"/>
  <c r="AK959" i="2"/>
  <c r="AF959" i="2"/>
  <c r="V959" i="2"/>
  <c r="AK958" i="2"/>
  <c r="V958" i="2"/>
  <c r="AK957" i="2"/>
  <c r="V957" i="2"/>
  <c r="AK956" i="2"/>
  <c r="V956" i="2"/>
  <c r="AK955" i="2"/>
  <c r="V955" i="2"/>
  <c r="AK954" i="2"/>
  <c r="AF954" i="2"/>
  <c r="V954" i="2"/>
  <c r="AK953" i="2"/>
  <c r="AF953" i="2"/>
  <c r="V953" i="2"/>
  <c r="AK952" i="2"/>
  <c r="AF952" i="2"/>
  <c r="V952" i="2"/>
  <c r="AK951" i="2"/>
  <c r="AF951" i="2"/>
  <c r="V951" i="2"/>
  <c r="AK950" i="2"/>
  <c r="AF950" i="2"/>
  <c r="V950" i="2"/>
  <c r="AK949" i="2"/>
  <c r="AF949" i="2"/>
  <c r="V949" i="2"/>
  <c r="AK948" i="2"/>
  <c r="AF948" i="2"/>
  <c r="V948" i="2"/>
  <c r="AK947" i="2"/>
  <c r="V947" i="2"/>
  <c r="AK946" i="2"/>
  <c r="V946" i="2"/>
  <c r="AK945" i="2"/>
  <c r="AF945" i="2"/>
  <c r="V945" i="2"/>
  <c r="AK944" i="2"/>
  <c r="AF944" i="2"/>
  <c r="V944" i="2"/>
  <c r="AK943" i="2"/>
  <c r="V943" i="2"/>
  <c r="AK942" i="2"/>
  <c r="AF942" i="2"/>
  <c r="V942" i="2"/>
  <c r="AK941" i="2"/>
  <c r="AF941" i="2"/>
  <c r="V941" i="2"/>
  <c r="AK940" i="2"/>
  <c r="V940" i="2"/>
  <c r="AK939" i="2"/>
  <c r="V939" i="2"/>
  <c r="AK938" i="2"/>
  <c r="AF938" i="2"/>
  <c r="V938" i="2"/>
  <c r="AK937" i="2"/>
  <c r="AF937" i="2"/>
  <c r="V937" i="2"/>
  <c r="AK936" i="2"/>
  <c r="AF936" i="2"/>
  <c r="V936" i="2"/>
  <c r="AK935" i="2"/>
  <c r="AF935" i="2"/>
  <c r="V935" i="2"/>
  <c r="AK934" i="2"/>
  <c r="AF934" i="2"/>
  <c r="V934" i="2"/>
  <c r="AK933" i="2"/>
  <c r="AF933" i="2"/>
  <c r="V933" i="2"/>
  <c r="AK932" i="2"/>
  <c r="AF932" i="2"/>
  <c r="V932" i="2"/>
  <c r="AK931" i="2"/>
  <c r="AF931" i="2"/>
  <c r="V931" i="2"/>
  <c r="AK930" i="2"/>
  <c r="AF930" i="2"/>
  <c r="V930" i="2"/>
  <c r="AK929" i="2"/>
  <c r="AF929" i="2"/>
  <c r="V929" i="2"/>
  <c r="AK928" i="2"/>
  <c r="AF928" i="2"/>
  <c r="V928" i="2"/>
  <c r="AK927" i="2"/>
  <c r="V927" i="2"/>
  <c r="AK926" i="2"/>
  <c r="V926" i="2"/>
  <c r="AK925" i="2"/>
  <c r="V925" i="2"/>
  <c r="AK924" i="2"/>
  <c r="V924" i="2"/>
  <c r="AK923" i="2"/>
  <c r="V923" i="2"/>
  <c r="AK922" i="2"/>
  <c r="AF922" i="2"/>
  <c r="V922" i="2"/>
  <c r="AK921" i="2"/>
  <c r="V921" i="2"/>
  <c r="AK920" i="2"/>
  <c r="V920" i="2"/>
  <c r="AK919" i="2"/>
  <c r="AF919" i="2"/>
  <c r="V919" i="2"/>
  <c r="AK918" i="2"/>
  <c r="AF918" i="2"/>
  <c r="V918" i="2"/>
  <c r="AK917" i="2"/>
  <c r="V917" i="2"/>
  <c r="AK916" i="2"/>
  <c r="V916" i="2"/>
  <c r="AK915" i="2"/>
  <c r="AF915" i="2"/>
  <c r="V915" i="2"/>
  <c r="AK914" i="2"/>
  <c r="AF914" i="2"/>
  <c r="V914" i="2"/>
  <c r="AK913" i="2"/>
  <c r="V913" i="2"/>
  <c r="AK912" i="2"/>
  <c r="AF912" i="2"/>
  <c r="V912" i="2"/>
  <c r="AK911" i="2"/>
  <c r="AF911" i="2"/>
  <c r="V911" i="2"/>
  <c r="AK910" i="2"/>
  <c r="AF910" i="2"/>
  <c r="V910" i="2"/>
  <c r="AK909" i="2"/>
  <c r="V909" i="2"/>
  <c r="AK908" i="2"/>
  <c r="AF908" i="2"/>
  <c r="V908" i="2"/>
  <c r="AK907" i="2"/>
  <c r="V907" i="2"/>
  <c r="AK906" i="2"/>
  <c r="AF906" i="2"/>
  <c r="V906" i="2"/>
  <c r="AK905" i="2"/>
  <c r="V905" i="2"/>
  <c r="AK904" i="2"/>
  <c r="V904" i="2"/>
  <c r="AK903" i="2"/>
  <c r="V903" i="2"/>
  <c r="AK902" i="2"/>
  <c r="AF902" i="2"/>
  <c r="V902" i="2"/>
  <c r="AK901" i="2"/>
  <c r="AF901" i="2"/>
  <c r="V901" i="2"/>
  <c r="AK900" i="2"/>
  <c r="AF900" i="2"/>
  <c r="V900" i="2"/>
  <c r="AK899" i="2"/>
  <c r="AF899" i="2"/>
  <c r="V899" i="2"/>
  <c r="AK898" i="2"/>
  <c r="AF898" i="2"/>
  <c r="V898" i="2"/>
  <c r="AK897" i="2"/>
  <c r="AF897" i="2"/>
  <c r="V897" i="2"/>
  <c r="AK896" i="2"/>
  <c r="AF896" i="2"/>
  <c r="V896" i="2"/>
  <c r="AK895" i="2"/>
  <c r="AF895" i="2"/>
  <c r="V895" i="2"/>
  <c r="AK894" i="2"/>
  <c r="V894" i="2"/>
  <c r="AK893" i="2"/>
  <c r="V893" i="2"/>
  <c r="AK892" i="2"/>
  <c r="V892" i="2"/>
  <c r="AK891" i="2"/>
  <c r="AF891" i="2"/>
  <c r="V891" i="2"/>
  <c r="AK890" i="2"/>
  <c r="AF890" i="2"/>
  <c r="V890" i="2"/>
  <c r="AK889" i="2"/>
  <c r="AF889" i="2"/>
  <c r="V889" i="2"/>
  <c r="AK888" i="2"/>
  <c r="AF888" i="2"/>
  <c r="V888" i="2"/>
  <c r="AK887" i="2"/>
  <c r="AF887" i="2"/>
  <c r="V887" i="2"/>
  <c r="AK886" i="2"/>
  <c r="AF886" i="2"/>
  <c r="V886" i="2"/>
  <c r="AK885" i="2"/>
  <c r="AF885" i="2"/>
  <c r="V885" i="2"/>
  <c r="AK884" i="2"/>
  <c r="AF884" i="2"/>
  <c r="V884" i="2"/>
  <c r="AK883" i="2"/>
  <c r="V883" i="2"/>
  <c r="AK882" i="2"/>
  <c r="AF882" i="2"/>
  <c r="V882" i="2"/>
  <c r="AK881" i="2"/>
  <c r="AF881" i="2"/>
  <c r="V881" i="2"/>
  <c r="AK880" i="2"/>
  <c r="AF880" i="2"/>
  <c r="V880" i="2"/>
  <c r="AK879" i="2"/>
  <c r="V879" i="2"/>
  <c r="AK878" i="2"/>
  <c r="V878" i="2"/>
  <c r="AK877" i="2"/>
  <c r="AF877" i="2"/>
  <c r="V877" i="2"/>
  <c r="AK876" i="2"/>
  <c r="V876" i="2"/>
  <c r="AK875" i="2"/>
  <c r="V875" i="2"/>
  <c r="AK874" i="2"/>
  <c r="V874" i="2"/>
  <c r="AK873" i="2"/>
  <c r="V873" i="2"/>
  <c r="AK872" i="2"/>
  <c r="AF872" i="2"/>
  <c r="V872" i="2"/>
  <c r="AK871" i="2"/>
  <c r="AF871" i="2"/>
  <c r="V871" i="2"/>
  <c r="AK870" i="2"/>
  <c r="AF870" i="2"/>
  <c r="V870" i="2"/>
  <c r="AK869" i="2"/>
  <c r="AF869" i="2"/>
  <c r="V869" i="2"/>
  <c r="AK868" i="2"/>
  <c r="V868" i="2"/>
  <c r="AK867" i="2"/>
  <c r="AF867" i="2"/>
  <c r="V867" i="2"/>
  <c r="AK866" i="2"/>
  <c r="AF866" i="2"/>
  <c r="V866" i="2"/>
  <c r="AK865" i="2"/>
  <c r="AF865" i="2"/>
  <c r="V865" i="2"/>
  <c r="AK864" i="2"/>
  <c r="V864" i="2"/>
  <c r="AK863" i="2"/>
  <c r="AF863" i="2"/>
  <c r="V863" i="2"/>
  <c r="AK862" i="2"/>
  <c r="V862" i="2"/>
  <c r="AK861" i="2"/>
  <c r="V861" i="2"/>
  <c r="AK860" i="2"/>
  <c r="AF860" i="2"/>
  <c r="V860" i="2"/>
  <c r="AK859" i="2"/>
  <c r="AF859" i="2"/>
  <c r="V859" i="2"/>
  <c r="AK858" i="2"/>
  <c r="V858" i="2"/>
  <c r="AK857" i="2"/>
  <c r="AF857" i="2"/>
  <c r="V857" i="2"/>
  <c r="AK856" i="2"/>
  <c r="V856" i="2"/>
  <c r="AK855" i="2"/>
  <c r="AF855" i="2"/>
  <c r="V855" i="2"/>
  <c r="AK854" i="2"/>
  <c r="AF854" i="2"/>
  <c r="V854" i="2"/>
  <c r="AK853" i="2"/>
  <c r="AF853" i="2"/>
  <c r="V853" i="2"/>
  <c r="AK852" i="2"/>
  <c r="V852" i="2"/>
  <c r="AK851" i="2"/>
  <c r="V851" i="2"/>
  <c r="AK850" i="2"/>
  <c r="AF850" i="2"/>
  <c r="V850" i="2"/>
  <c r="AK849" i="2"/>
  <c r="AF849" i="2"/>
  <c r="V849" i="2"/>
  <c r="AK848" i="2"/>
  <c r="AF848" i="2"/>
  <c r="V848" i="2"/>
  <c r="AK847" i="2"/>
  <c r="V847" i="2"/>
  <c r="AK846" i="2"/>
  <c r="V846" i="2"/>
  <c r="AK845" i="2"/>
  <c r="V845" i="2"/>
  <c r="AK844" i="2"/>
  <c r="V844" i="2"/>
  <c r="AK843" i="2"/>
  <c r="AF843" i="2"/>
  <c r="V843" i="2"/>
  <c r="AK842" i="2"/>
  <c r="V842" i="2"/>
  <c r="AK841" i="2"/>
  <c r="AF841" i="2"/>
  <c r="V841" i="2"/>
  <c r="AK840" i="2"/>
  <c r="V840" i="2"/>
  <c r="AK839" i="2"/>
  <c r="AF839" i="2"/>
  <c r="V839" i="2"/>
  <c r="AK838" i="2"/>
  <c r="AF838" i="2"/>
  <c r="V838" i="2"/>
  <c r="AK837" i="2"/>
  <c r="AF837" i="2"/>
  <c r="V837" i="2"/>
  <c r="AK836" i="2"/>
  <c r="V836" i="2"/>
  <c r="AK835" i="2"/>
  <c r="V835" i="2"/>
  <c r="AK834" i="2"/>
  <c r="AF834" i="2"/>
  <c r="V834" i="2"/>
  <c r="AK833" i="2"/>
  <c r="AF833" i="2"/>
  <c r="V833" i="2"/>
  <c r="AK832" i="2"/>
  <c r="AF832" i="2"/>
  <c r="V832" i="2"/>
  <c r="AK831" i="2"/>
  <c r="AF831" i="2"/>
  <c r="V831" i="2"/>
  <c r="AK830" i="2"/>
  <c r="AF830" i="2"/>
  <c r="V830" i="2"/>
  <c r="AK829" i="2"/>
  <c r="V829" i="2"/>
  <c r="AK828" i="2"/>
  <c r="AF828" i="2"/>
  <c r="V828" i="2"/>
  <c r="AK827" i="2"/>
  <c r="AF827" i="2"/>
  <c r="V827" i="2"/>
  <c r="AK826" i="2"/>
  <c r="AF826" i="2"/>
  <c r="V826" i="2"/>
  <c r="AK825" i="2"/>
  <c r="AF825" i="2"/>
  <c r="V825" i="2"/>
  <c r="AK824" i="2"/>
  <c r="V824" i="2"/>
  <c r="AK823" i="2"/>
  <c r="AF823" i="2"/>
  <c r="V823" i="2"/>
  <c r="AK822" i="2"/>
  <c r="V822" i="2"/>
  <c r="AK821" i="2"/>
  <c r="V821" i="2"/>
  <c r="AK820" i="2"/>
  <c r="AF820" i="2"/>
  <c r="V820" i="2"/>
  <c r="AK819" i="2"/>
  <c r="AF819" i="2"/>
  <c r="V819" i="2"/>
  <c r="AK818" i="2"/>
  <c r="AF818" i="2"/>
  <c r="V818" i="2"/>
  <c r="AK817" i="2"/>
  <c r="AF817" i="2"/>
  <c r="V817" i="2"/>
  <c r="AK816" i="2"/>
  <c r="AF816" i="2"/>
  <c r="V816" i="2"/>
  <c r="AK815" i="2"/>
  <c r="V815" i="2"/>
  <c r="AK814" i="2"/>
  <c r="AF814" i="2"/>
  <c r="V814" i="2"/>
  <c r="AK813" i="2"/>
  <c r="V813" i="2"/>
  <c r="AK812" i="2"/>
  <c r="V812" i="2"/>
  <c r="AK811" i="2"/>
  <c r="V811" i="2"/>
  <c r="AK810" i="2"/>
  <c r="V810" i="2"/>
  <c r="AK809" i="2"/>
  <c r="AF809" i="2"/>
  <c r="V809" i="2"/>
  <c r="AK808" i="2"/>
  <c r="AF808" i="2"/>
  <c r="V808" i="2"/>
  <c r="AK807" i="2"/>
  <c r="AF807" i="2"/>
  <c r="V807" i="2"/>
  <c r="AK806" i="2"/>
  <c r="V806" i="2"/>
  <c r="AK805" i="2"/>
  <c r="AF805" i="2"/>
  <c r="V805" i="2"/>
  <c r="AK804" i="2"/>
  <c r="V804" i="2"/>
  <c r="AK803" i="2"/>
  <c r="AF803" i="2"/>
  <c r="V803" i="2"/>
  <c r="AK802" i="2"/>
  <c r="V802" i="2"/>
  <c r="AK801" i="2"/>
  <c r="V801" i="2"/>
  <c r="AK800" i="2"/>
  <c r="AF800" i="2"/>
  <c r="V800" i="2"/>
  <c r="AK799" i="2"/>
  <c r="AF799" i="2"/>
  <c r="V799" i="2"/>
  <c r="AK798" i="2"/>
  <c r="AF798" i="2"/>
  <c r="V798" i="2"/>
  <c r="AK797" i="2"/>
  <c r="AF797" i="2"/>
  <c r="V797" i="2"/>
  <c r="AK796" i="2"/>
  <c r="AF796" i="2"/>
  <c r="V796" i="2"/>
  <c r="AK795" i="2"/>
  <c r="V795" i="2"/>
  <c r="AK794" i="2"/>
  <c r="V794" i="2"/>
  <c r="AK793" i="2"/>
  <c r="V793" i="2"/>
  <c r="AK792" i="2"/>
  <c r="AF792" i="2"/>
  <c r="V792" i="2"/>
  <c r="AK791" i="2"/>
  <c r="AF791" i="2"/>
  <c r="V791" i="2"/>
  <c r="AK790" i="2"/>
  <c r="AF790" i="2"/>
  <c r="V790" i="2"/>
  <c r="AK789" i="2"/>
  <c r="AF789" i="2"/>
  <c r="V789" i="2"/>
  <c r="AK788" i="2"/>
  <c r="AF788" i="2"/>
  <c r="V788" i="2"/>
  <c r="AK787" i="2"/>
  <c r="AF787" i="2"/>
  <c r="V787" i="2"/>
  <c r="AK786" i="2"/>
  <c r="AF786" i="2"/>
  <c r="V786" i="2"/>
  <c r="AK785" i="2"/>
  <c r="AF785" i="2"/>
  <c r="V785" i="2"/>
  <c r="AK784" i="2"/>
  <c r="AF784" i="2"/>
  <c r="V784" i="2"/>
  <c r="AK783" i="2"/>
  <c r="AF783" i="2"/>
  <c r="V783" i="2"/>
  <c r="AK782" i="2"/>
  <c r="V782" i="2"/>
  <c r="AK781" i="2"/>
  <c r="AF781" i="2"/>
  <c r="V781" i="2"/>
  <c r="AK780" i="2"/>
  <c r="AF780" i="2"/>
  <c r="V780" i="2"/>
  <c r="AK779" i="2"/>
  <c r="V779" i="2"/>
  <c r="AK778" i="2"/>
  <c r="AF778" i="2"/>
  <c r="V778" i="2"/>
  <c r="AK777" i="2"/>
  <c r="AF777" i="2"/>
  <c r="V777" i="2"/>
  <c r="AK776" i="2"/>
  <c r="V776" i="2"/>
  <c r="AK775" i="2"/>
  <c r="V775" i="2"/>
  <c r="AK774" i="2"/>
  <c r="AF774" i="2"/>
  <c r="V774" i="2"/>
  <c r="AK773" i="2"/>
  <c r="V773" i="2"/>
  <c r="AK772" i="2"/>
  <c r="V772" i="2"/>
  <c r="AK771" i="2"/>
  <c r="AF771" i="2"/>
  <c r="V771" i="2"/>
  <c r="AK770" i="2"/>
  <c r="AF770" i="2"/>
  <c r="V770" i="2"/>
  <c r="AK769" i="2"/>
  <c r="AF769" i="2"/>
  <c r="V769" i="2"/>
  <c r="AK768" i="2"/>
  <c r="AF768" i="2"/>
  <c r="V768" i="2"/>
  <c r="AK767" i="2"/>
  <c r="AF767" i="2"/>
  <c r="V767" i="2"/>
  <c r="AK766" i="2"/>
  <c r="AF766" i="2"/>
  <c r="V766" i="2"/>
  <c r="AK765" i="2"/>
  <c r="AF765" i="2"/>
  <c r="V765" i="2"/>
  <c r="AK764" i="2"/>
  <c r="V764" i="2"/>
  <c r="AK763" i="2"/>
  <c r="V763" i="2"/>
  <c r="AK762" i="2"/>
  <c r="AF762" i="2"/>
  <c r="V762" i="2"/>
  <c r="AK761" i="2"/>
  <c r="AF761" i="2"/>
  <c r="V761" i="2"/>
  <c r="AK760" i="2"/>
  <c r="AF760" i="2"/>
  <c r="V760" i="2"/>
  <c r="AK759" i="2"/>
  <c r="V759" i="2"/>
  <c r="AK758" i="2"/>
  <c r="AF758" i="2"/>
  <c r="V758" i="2"/>
  <c r="AK757" i="2"/>
  <c r="AF757" i="2"/>
  <c r="V757" i="2"/>
  <c r="AK756" i="2"/>
  <c r="V756" i="2"/>
  <c r="AK755" i="2"/>
  <c r="AF755" i="2"/>
  <c r="V755" i="2"/>
  <c r="AK754" i="2"/>
  <c r="AF754" i="2"/>
  <c r="V754" i="2"/>
  <c r="AK753" i="2"/>
  <c r="V753" i="2"/>
  <c r="AK752" i="2"/>
  <c r="V752" i="2"/>
  <c r="AK751" i="2"/>
  <c r="AF751" i="2"/>
  <c r="V751" i="2"/>
  <c r="AK750" i="2"/>
  <c r="V750" i="2"/>
  <c r="AK749" i="2"/>
  <c r="V749" i="2"/>
  <c r="AK748" i="2"/>
  <c r="AF748" i="2"/>
  <c r="V748" i="2"/>
  <c r="AK747" i="2"/>
  <c r="AF747" i="2"/>
  <c r="V747" i="2"/>
  <c r="AK746" i="2"/>
  <c r="V746" i="2"/>
  <c r="AK745" i="2"/>
  <c r="V745" i="2"/>
  <c r="AK744" i="2"/>
  <c r="AF744" i="2"/>
  <c r="V744" i="2"/>
  <c r="AK743" i="2"/>
  <c r="V743" i="2"/>
  <c r="AK742" i="2"/>
  <c r="V742" i="2"/>
  <c r="AK741" i="2"/>
  <c r="AF741" i="2"/>
  <c r="V741" i="2"/>
  <c r="AK740" i="2"/>
  <c r="AF740" i="2"/>
  <c r="V740" i="2"/>
  <c r="AK739" i="2"/>
  <c r="V739" i="2"/>
  <c r="AK738" i="2"/>
  <c r="V738" i="2"/>
  <c r="AK737" i="2"/>
  <c r="V737" i="2"/>
  <c r="AK736" i="2"/>
  <c r="V736" i="2"/>
  <c r="AK735" i="2"/>
  <c r="AF735" i="2"/>
  <c r="V735" i="2"/>
  <c r="AK734" i="2"/>
  <c r="AF734" i="2"/>
  <c r="V734" i="2"/>
  <c r="AK733" i="2"/>
  <c r="AF733" i="2"/>
  <c r="V733" i="2"/>
  <c r="AK732" i="2"/>
  <c r="V732" i="2"/>
  <c r="AK731" i="2"/>
  <c r="AF731" i="2"/>
  <c r="V731" i="2"/>
  <c r="AK730" i="2"/>
  <c r="AF730" i="2"/>
  <c r="V730" i="2"/>
  <c r="AK729" i="2"/>
  <c r="V729" i="2"/>
  <c r="AK728" i="2"/>
  <c r="AF728" i="2"/>
  <c r="V728" i="2"/>
  <c r="AK727" i="2"/>
  <c r="AF727" i="2"/>
  <c r="V727" i="2"/>
  <c r="AK726" i="2"/>
  <c r="V726" i="2"/>
  <c r="AK725" i="2"/>
  <c r="AF725" i="2"/>
  <c r="V725" i="2"/>
  <c r="AK724" i="2"/>
  <c r="AF724" i="2"/>
  <c r="V724" i="2"/>
  <c r="AK723" i="2"/>
  <c r="V723" i="2"/>
  <c r="AK722" i="2"/>
  <c r="V722" i="2"/>
  <c r="AK721" i="2"/>
  <c r="V721" i="2"/>
  <c r="AK720" i="2"/>
  <c r="AF720" i="2"/>
  <c r="V720" i="2"/>
  <c r="AK719" i="2"/>
  <c r="AF719" i="2"/>
  <c r="V719" i="2"/>
  <c r="AK718" i="2"/>
  <c r="V718" i="2"/>
  <c r="AK717" i="2"/>
  <c r="AF717" i="2"/>
  <c r="V717" i="2"/>
  <c r="AK716" i="2"/>
  <c r="AF716" i="2"/>
  <c r="V716" i="2"/>
  <c r="AK715" i="2"/>
  <c r="V715" i="2"/>
  <c r="AK714" i="2"/>
  <c r="V714" i="2"/>
  <c r="AK713" i="2"/>
  <c r="AF713" i="2"/>
  <c r="V713" i="2"/>
  <c r="AK712" i="2"/>
  <c r="AF712" i="2"/>
  <c r="V712" i="2"/>
  <c r="AK711" i="2"/>
  <c r="AF711" i="2"/>
  <c r="V711" i="2"/>
  <c r="AK710" i="2"/>
  <c r="AF710" i="2"/>
  <c r="V710" i="2"/>
  <c r="AK709" i="2"/>
  <c r="V709" i="2"/>
  <c r="AK708" i="2"/>
  <c r="V708" i="2"/>
  <c r="AK707" i="2"/>
  <c r="AF707" i="2"/>
  <c r="V707" i="2"/>
  <c r="AK706" i="2"/>
  <c r="AF706" i="2"/>
  <c r="V706" i="2"/>
  <c r="AK705" i="2"/>
  <c r="AF705" i="2"/>
  <c r="V705" i="2"/>
  <c r="AK704" i="2"/>
  <c r="V704" i="2"/>
  <c r="AK703" i="2"/>
  <c r="V703" i="2"/>
  <c r="AK702" i="2"/>
  <c r="AF702" i="2"/>
  <c r="V702" i="2"/>
  <c r="AK701" i="2"/>
  <c r="V701" i="2"/>
  <c r="AK700" i="2"/>
  <c r="AF700" i="2"/>
  <c r="V700" i="2"/>
  <c r="AK699" i="2"/>
  <c r="V699" i="2"/>
  <c r="AK698" i="2"/>
  <c r="AF698" i="2"/>
  <c r="V698" i="2"/>
  <c r="AK697" i="2"/>
  <c r="V697" i="2"/>
  <c r="AK696" i="2"/>
  <c r="AF696" i="2"/>
  <c r="V696" i="2"/>
  <c r="AK695" i="2"/>
  <c r="V695" i="2"/>
  <c r="AK694" i="2"/>
  <c r="AF694" i="2"/>
  <c r="V694" i="2"/>
  <c r="AK693" i="2"/>
  <c r="AF693" i="2"/>
  <c r="V693" i="2"/>
  <c r="AK692" i="2"/>
  <c r="V692" i="2"/>
  <c r="AK691" i="2"/>
  <c r="V691" i="2"/>
  <c r="AK690" i="2"/>
  <c r="AF690" i="2"/>
  <c r="V690" i="2"/>
  <c r="AK689" i="2"/>
  <c r="V689" i="2"/>
  <c r="AK688" i="2"/>
  <c r="AF688" i="2"/>
  <c r="V688" i="2"/>
  <c r="AK687" i="2"/>
  <c r="AF687" i="2"/>
  <c r="V687" i="2"/>
  <c r="AK686" i="2"/>
  <c r="V686" i="2"/>
  <c r="AK685" i="2"/>
  <c r="V685" i="2"/>
  <c r="AK684" i="2"/>
  <c r="V684" i="2"/>
  <c r="AK683" i="2"/>
  <c r="V683" i="2"/>
  <c r="AK682" i="2"/>
  <c r="AF682" i="2"/>
  <c r="V682" i="2"/>
  <c r="AK681" i="2"/>
  <c r="V681" i="2"/>
  <c r="AK680" i="2"/>
  <c r="AF680" i="2"/>
  <c r="V680" i="2"/>
  <c r="AK679" i="2"/>
  <c r="AF679" i="2"/>
  <c r="V679" i="2"/>
  <c r="AK678" i="2"/>
  <c r="AF678" i="2"/>
  <c r="V678" i="2"/>
  <c r="AK677" i="2"/>
  <c r="AF677" i="2"/>
  <c r="V677" i="2"/>
  <c r="AK676" i="2"/>
  <c r="V676" i="2"/>
  <c r="AK675" i="2"/>
  <c r="V675" i="2"/>
  <c r="AK674" i="2"/>
  <c r="V674" i="2"/>
  <c r="AK673" i="2"/>
  <c r="V673" i="2"/>
  <c r="AK672" i="2"/>
  <c r="AF672" i="2"/>
  <c r="V672" i="2"/>
  <c r="AK671" i="2"/>
  <c r="AF671" i="2"/>
  <c r="V671" i="2"/>
  <c r="AK670" i="2"/>
  <c r="AF670" i="2"/>
  <c r="V670" i="2"/>
  <c r="AK669" i="2"/>
  <c r="AF669" i="2"/>
  <c r="V669" i="2"/>
  <c r="AK668" i="2"/>
  <c r="V668" i="2"/>
  <c r="AK667" i="2"/>
  <c r="AF667" i="2"/>
  <c r="V667" i="2"/>
  <c r="AK666" i="2"/>
  <c r="AF666" i="2"/>
  <c r="V666" i="2"/>
  <c r="AK665" i="2"/>
  <c r="V665" i="2"/>
  <c r="AK664" i="2"/>
  <c r="AF664" i="2"/>
  <c r="V664" i="2"/>
  <c r="AK663" i="2"/>
  <c r="AF663" i="2"/>
  <c r="V663" i="2"/>
  <c r="AK662" i="2"/>
  <c r="V662" i="2"/>
  <c r="AK661" i="2"/>
  <c r="AF661" i="2"/>
  <c r="V661" i="2"/>
  <c r="AK660" i="2"/>
  <c r="V660" i="2"/>
  <c r="AK659" i="2"/>
  <c r="AF659" i="2"/>
  <c r="V659" i="2"/>
  <c r="AK658" i="2"/>
  <c r="V658" i="2"/>
  <c r="AK657" i="2"/>
  <c r="V657" i="2"/>
  <c r="AK656" i="2"/>
  <c r="V656" i="2"/>
  <c r="AK655" i="2"/>
  <c r="AF655" i="2"/>
  <c r="V655" i="2"/>
  <c r="AK654" i="2"/>
  <c r="V654" i="2"/>
  <c r="AK653" i="2"/>
  <c r="AF653" i="2"/>
  <c r="V653" i="2"/>
  <c r="AK652" i="2"/>
  <c r="V652" i="2"/>
  <c r="AK651" i="2"/>
  <c r="AF651" i="2"/>
  <c r="V651" i="2"/>
  <c r="AK650" i="2"/>
  <c r="AF650" i="2"/>
  <c r="V650" i="2"/>
  <c r="AK649" i="2"/>
  <c r="AF649" i="2"/>
  <c r="V649" i="2"/>
  <c r="AK648" i="2"/>
  <c r="AF648" i="2"/>
  <c r="V648" i="2"/>
  <c r="AK647" i="2"/>
  <c r="AF647" i="2"/>
  <c r="V647" i="2"/>
  <c r="AK646" i="2"/>
  <c r="V646" i="2"/>
  <c r="AK645" i="2"/>
  <c r="V645" i="2"/>
  <c r="AK644" i="2"/>
  <c r="AF644" i="2"/>
  <c r="V644" i="2"/>
  <c r="AK643" i="2"/>
  <c r="V643" i="2"/>
  <c r="AK642" i="2"/>
  <c r="AF642" i="2"/>
  <c r="V642" i="2"/>
  <c r="AK641" i="2"/>
  <c r="AF641" i="2"/>
  <c r="V641" i="2"/>
  <c r="AK640" i="2"/>
  <c r="AF640" i="2"/>
  <c r="V640" i="2"/>
  <c r="AK639" i="2"/>
  <c r="AF639" i="2"/>
  <c r="V639" i="2"/>
  <c r="AK638" i="2"/>
  <c r="AF638" i="2"/>
  <c r="V638" i="2"/>
  <c r="AK637" i="2"/>
  <c r="AF637" i="2"/>
  <c r="V637" i="2"/>
  <c r="AK636" i="2"/>
  <c r="AF636" i="2"/>
  <c r="V636" i="2"/>
  <c r="AK635" i="2"/>
  <c r="AF635" i="2"/>
  <c r="V635" i="2"/>
  <c r="AK634" i="2"/>
  <c r="AF634" i="2"/>
  <c r="V634" i="2"/>
  <c r="AK633" i="2"/>
  <c r="AF633" i="2"/>
  <c r="V633" i="2"/>
  <c r="AK632" i="2"/>
  <c r="AF632" i="2"/>
  <c r="V632" i="2"/>
  <c r="AK631" i="2"/>
  <c r="AF631" i="2"/>
  <c r="V631" i="2"/>
  <c r="AK630" i="2"/>
  <c r="V630" i="2"/>
  <c r="AK629" i="2"/>
  <c r="V629" i="2"/>
  <c r="AK628" i="2"/>
  <c r="AF628" i="2"/>
  <c r="V628" i="2"/>
  <c r="AK627" i="2"/>
  <c r="V627" i="2"/>
  <c r="AK626" i="2"/>
  <c r="AF626" i="2"/>
  <c r="V626" i="2"/>
  <c r="AK625" i="2"/>
  <c r="AF625" i="2"/>
  <c r="V625" i="2"/>
  <c r="AK624" i="2"/>
  <c r="AF624" i="2"/>
  <c r="V624" i="2"/>
  <c r="AK623" i="2"/>
  <c r="AF623" i="2"/>
  <c r="V623" i="2"/>
  <c r="AK622" i="2"/>
  <c r="AF622" i="2"/>
  <c r="V622" i="2"/>
  <c r="AK621" i="2"/>
  <c r="AF621" i="2"/>
  <c r="V621" i="2"/>
  <c r="AK620" i="2"/>
  <c r="V620" i="2"/>
  <c r="AK619" i="2"/>
  <c r="AF619" i="2"/>
  <c r="V619" i="2"/>
  <c r="AK618" i="2"/>
  <c r="V618" i="2"/>
  <c r="AK617" i="2"/>
  <c r="AF617" i="2"/>
  <c r="V617" i="2"/>
  <c r="AK616" i="2"/>
  <c r="AF616" i="2"/>
  <c r="V616" i="2"/>
  <c r="AK615" i="2"/>
  <c r="AF615" i="2"/>
  <c r="V615" i="2"/>
  <c r="AK614" i="2"/>
  <c r="AF614" i="2"/>
  <c r="V614" i="2"/>
  <c r="AK613" i="2"/>
  <c r="AF613" i="2"/>
  <c r="V613" i="2"/>
  <c r="AK612" i="2"/>
  <c r="V612" i="2"/>
  <c r="AK611" i="2"/>
  <c r="V611" i="2"/>
  <c r="AK610" i="2"/>
  <c r="V610" i="2"/>
  <c r="AK609" i="2"/>
  <c r="V609" i="2"/>
  <c r="AK608" i="2"/>
  <c r="V608" i="2"/>
  <c r="AK607" i="2"/>
  <c r="V607" i="2"/>
  <c r="AK606" i="2"/>
  <c r="V606" i="2"/>
  <c r="AK605" i="2"/>
  <c r="AF605" i="2"/>
  <c r="V605" i="2"/>
  <c r="AK604" i="2"/>
  <c r="V604" i="2"/>
  <c r="AK603" i="2"/>
  <c r="V603" i="2"/>
  <c r="AK602" i="2"/>
  <c r="V602" i="2"/>
  <c r="AK601" i="2"/>
  <c r="AF601" i="2"/>
  <c r="V601" i="2"/>
  <c r="AK600" i="2"/>
  <c r="AF600" i="2"/>
  <c r="V600" i="2"/>
  <c r="AK599" i="2"/>
  <c r="V599" i="2"/>
  <c r="AK598" i="2"/>
  <c r="AF598" i="2"/>
  <c r="V598" i="2"/>
  <c r="AK597" i="2"/>
  <c r="AF597" i="2"/>
  <c r="V597" i="2"/>
  <c r="AK596" i="2"/>
  <c r="AF596" i="2"/>
  <c r="V596" i="2"/>
  <c r="AK595" i="2"/>
  <c r="AF595" i="2"/>
  <c r="V595" i="2"/>
  <c r="AK594" i="2"/>
  <c r="AF594" i="2"/>
  <c r="V594" i="2"/>
  <c r="AK593" i="2"/>
  <c r="V593" i="2"/>
  <c r="AK592" i="2"/>
  <c r="V592" i="2"/>
  <c r="AK591" i="2"/>
  <c r="AF591" i="2"/>
  <c r="V591" i="2"/>
  <c r="AK590" i="2"/>
  <c r="AF590" i="2"/>
  <c r="V590" i="2"/>
  <c r="AK589" i="2"/>
  <c r="AF589" i="2"/>
  <c r="V589" i="2"/>
  <c r="AK588" i="2"/>
  <c r="V588" i="2"/>
  <c r="AK587" i="2"/>
  <c r="AF587" i="2"/>
  <c r="V587" i="2"/>
  <c r="AK586" i="2"/>
  <c r="V586" i="2"/>
  <c r="AK585" i="2"/>
  <c r="AF585" i="2"/>
  <c r="V585" i="2"/>
  <c r="AK584" i="2"/>
  <c r="V584" i="2"/>
  <c r="AK583" i="2"/>
  <c r="AF583" i="2"/>
  <c r="V583" i="2"/>
  <c r="AK582" i="2"/>
  <c r="V582" i="2"/>
  <c r="AK581" i="2"/>
  <c r="AF581" i="2"/>
  <c r="V581" i="2"/>
  <c r="AK580" i="2"/>
  <c r="V580" i="2"/>
  <c r="AK579" i="2"/>
  <c r="AF579" i="2"/>
  <c r="V579" i="2"/>
  <c r="AK578" i="2"/>
  <c r="V578" i="2"/>
  <c r="AK577" i="2"/>
  <c r="AF577" i="2"/>
  <c r="V577" i="2"/>
  <c r="AK576" i="2"/>
  <c r="V576" i="2"/>
  <c r="AK575" i="2"/>
  <c r="AF575" i="2"/>
  <c r="V575" i="2"/>
  <c r="AK574" i="2"/>
  <c r="V574" i="2"/>
  <c r="AK573" i="2"/>
  <c r="V573" i="2"/>
  <c r="AK572" i="2"/>
  <c r="V572" i="2"/>
  <c r="AK571" i="2"/>
  <c r="V571" i="2"/>
  <c r="AK570" i="2"/>
  <c r="AF570" i="2"/>
  <c r="V570" i="2"/>
  <c r="AK569" i="2"/>
  <c r="V569" i="2"/>
  <c r="AK568" i="2"/>
  <c r="V568" i="2"/>
  <c r="AK567" i="2"/>
  <c r="AF567" i="2"/>
  <c r="V567" i="2"/>
  <c r="AK566" i="2"/>
  <c r="V566" i="2"/>
  <c r="AK565" i="2"/>
  <c r="V565" i="2"/>
  <c r="AK564" i="2"/>
  <c r="V564" i="2"/>
  <c r="AK563" i="2"/>
  <c r="V563" i="2"/>
  <c r="AK562" i="2"/>
  <c r="V562" i="2"/>
  <c r="AK561" i="2"/>
  <c r="AF561" i="2"/>
  <c r="V561" i="2"/>
  <c r="AK560" i="2"/>
  <c r="V560" i="2"/>
  <c r="AK559" i="2"/>
  <c r="AF559" i="2"/>
  <c r="V559" i="2"/>
  <c r="AK558" i="2"/>
  <c r="AF558" i="2"/>
  <c r="V558" i="2"/>
  <c r="AK557" i="2"/>
  <c r="AF557" i="2"/>
  <c r="V557" i="2"/>
  <c r="AK556" i="2"/>
  <c r="AF556" i="2"/>
  <c r="V556" i="2"/>
  <c r="AK555" i="2"/>
  <c r="AF555" i="2"/>
  <c r="V555" i="2"/>
  <c r="AK554" i="2"/>
  <c r="AF554" i="2"/>
  <c r="V554" i="2"/>
  <c r="AK553" i="2"/>
  <c r="AF553" i="2"/>
  <c r="V553" i="2"/>
  <c r="AK552" i="2"/>
  <c r="V552" i="2"/>
  <c r="AK551" i="2"/>
  <c r="AF551" i="2"/>
  <c r="V551" i="2"/>
  <c r="AK550" i="2"/>
  <c r="AF550" i="2"/>
  <c r="V550" i="2"/>
  <c r="AK549" i="2"/>
  <c r="AF549" i="2"/>
  <c r="V549" i="2"/>
  <c r="AK548" i="2"/>
  <c r="AF548" i="2"/>
  <c r="V548" i="2"/>
  <c r="AK547" i="2"/>
  <c r="AF547" i="2"/>
  <c r="V547" i="2"/>
  <c r="AK546" i="2"/>
  <c r="V546" i="2"/>
  <c r="AK545" i="2"/>
  <c r="AF545" i="2"/>
  <c r="V545" i="2"/>
  <c r="AK544" i="2"/>
  <c r="AF544" i="2"/>
  <c r="V544" i="2"/>
  <c r="AK543" i="2"/>
  <c r="AF543" i="2"/>
  <c r="V543" i="2"/>
  <c r="AK542" i="2"/>
  <c r="V542" i="2"/>
  <c r="AK541" i="2"/>
  <c r="AF541" i="2"/>
  <c r="V541" i="2"/>
  <c r="AK540" i="2"/>
  <c r="V540" i="2"/>
  <c r="AK539" i="2"/>
  <c r="V539" i="2"/>
  <c r="AK538" i="2"/>
  <c r="V538" i="2"/>
  <c r="AK537" i="2"/>
  <c r="AF537" i="2"/>
  <c r="V537" i="2"/>
  <c r="AK536" i="2"/>
  <c r="AF536" i="2"/>
  <c r="V536" i="2"/>
  <c r="AK535" i="2"/>
  <c r="AF535" i="2"/>
  <c r="V535" i="2"/>
  <c r="AK534" i="2"/>
  <c r="V534" i="2"/>
  <c r="AK533" i="2"/>
  <c r="V533" i="2"/>
  <c r="AK532" i="2"/>
  <c r="V532" i="2"/>
  <c r="AK531" i="2"/>
  <c r="AF531" i="2"/>
  <c r="V531" i="2"/>
  <c r="AK530" i="2"/>
  <c r="AF530" i="2"/>
  <c r="V530" i="2"/>
  <c r="AK529" i="2"/>
  <c r="AF529" i="2"/>
  <c r="V529" i="2"/>
  <c r="AK528" i="2"/>
  <c r="AF528" i="2"/>
  <c r="V528" i="2"/>
  <c r="AK527" i="2"/>
  <c r="AF527" i="2"/>
  <c r="V527" i="2"/>
  <c r="AK526" i="2"/>
  <c r="AF526" i="2"/>
  <c r="V526" i="2"/>
  <c r="AK525" i="2"/>
  <c r="AF525" i="2"/>
  <c r="V525" i="2"/>
  <c r="AK524" i="2"/>
  <c r="V524" i="2"/>
  <c r="AK523" i="2"/>
  <c r="AF523" i="2"/>
  <c r="V523" i="2"/>
  <c r="AK522" i="2"/>
  <c r="AF522" i="2"/>
  <c r="V522" i="2"/>
  <c r="AK521" i="2"/>
  <c r="V521" i="2"/>
  <c r="AK520" i="2"/>
  <c r="AF520" i="2"/>
  <c r="V520" i="2"/>
  <c r="AK519" i="2"/>
  <c r="V519" i="2"/>
  <c r="AK518" i="2"/>
  <c r="AF518" i="2"/>
  <c r="V518" i="2"/>
  <c r="AK517" i="2"/>
  <c r="AF517" i="2"/>
  <c r="V517" i="2"/>
  <c r="AK516" i="2"/>
  <c r="V516" i="2"/>
  <c r="AK515" i="2"/>
  <c r="AF515" i="2"/>
  <c r="V515" i="2"/>
  <c r="AK514" i="2"/>
  <c r="AF514" i="2"/>
  <c r="V514" i="2"/>
  <c r="AK513" i="2"/>
  <c r="AF513" i="2"/>
  <c r="V513" i="2"/>
  <c r="AK512" i="2"/>
  <c r="AF512" i="2"/>
  <c r="V512" i="2"/>
  <c r="AK511" i="2"/>
  <c r="V511" i="2"/>
  <c r="AK510" i="2"/>
  <c r="V510" i="2"/>
  <c r="AK509" i="2"/>
  <c r="AF509" i="2"/>
  <c r="V509" i="2"/>
  <c r="AK508" i="2"/>
  <c r="AF508" i="2"/>
  <c r="V508" i="2"/>
  <c r="AK507" i="2"/>
  <c r="AF507" i="2"/>
  <c r="V507" i="2"/>
  <c r="AK506" i="2"/>
  <c r="AF506" i="2"/>
  <c r="V506" i="2"/>
  <c r="AK505" i="2"/>
  <c r="V505" i="2"/>
  <c r="AK504" i="2"/>
  <c r="AF504" i="2"/>
  <c r="V504" i="2"/>
  <c r="AK503" i="2"/>
  <c r="AF503" i="2"/>
  <c r="V503" i="2"/>
  <c r="AK502" i="2"/>
  <c r="AF502" i="2"/>
  <c r="V502" i="2"/>
  <c r="AK501" i="2"/>
  <c r="AF501" i="2"/>
  <c r="V501" i="2"/>
  <c r="AK500" i="2"/>
  <c r="AF500" i="2"/>
  <c r="V500" i="2"/>
  <c r="AK499" i="2"/>
  <c r="V499" i="2"/>
  <c r="AK498" i="2"/>
  <c r="AF498" i="2"/>
  <c r="V498" i="2"/>
  <c r="AK497" i="2"/>
  <c r="AF497" i="2"/>
  <c r="V497" i="2"/>
  <c r="AK496" i="2"/>
  <c r="AF496" i="2"/>
  <c r="V496" i="2"/>
  <c r="AK495" i="2"/>
  <c r="AF495" i="2"/>
  <c r="V495" i="2"/>
  <c r="AK494" i="2"/>
  <c r="V494" i="2"/>
  <c r="AK493" i="2"/>
  <c r="AF493" i="2"/>
  <c r="V493" i="2"/>
  <c r="AK492" i="2"/>
  <c r="AF492" i="2"/>
  <c r="V492" i="2"/>
  <c r="AK491" i="2"/>
  <c r="AF491" i="2"/>
  <c r="V491" i="2"/>
  <c r="AK490" i="2"/>
  <c r="AF490" i="2"/>
  <c r="V490" i="2"/>
  <c r="AK489" i="2"/>
  <c r="AF489" i="2"/>
  <c r="V489" i="2"/>
  <c r="AK488" i="2"/>
  <c r="AF488" i="2"/>
  <c r="V488" i="2"/>
  <c r="AK487" i="2"/>
  <c r="AF487" i="2"/>
  <c r="V487" i="2"/>
  <c r="AK486" i="2"/>
  <c r="AF486" i="2"/>
  <c r="V486" i="2"/>
  <c r="AK485" i="2"/>
  <c r="AF485" i="2"/>
  <c r="V485" i="2"/>
  <c r="AK484" i="2"/>
  <c r="AF484" i="2"/>
  <c r="V484" i="2"/>
  <c r="AK483" i="2"/>
  <c r="AF483" i="2"/>
  <c r="V483" i="2"/>
  <c r="AK482" i="2"/>
  <c r="V482" i="2"/>
  <c r="AK481" i="2"/>
  <c r="AF481" i="2"/>
  <c r="V481" i="2"/>
  <c r="AK480" i="2"/>
  <c r="AF480" i="2"/>
  <c r="V480" i="2"/>
  <c r="AK479" i="2"/>
  <c r="AF479" i="2"/>
  <c r="V479" i="2"/>
  <c r="AK478" i="2"/>
  <c r="AF478" i="2"/>
  <c r="V478" i="2"/>
  <c r="AK477" i="2"/>
  <c r="AF477" i="2"/>
  <c r="V477" i="2"/>
  <c r="AK476" i="2"/>
  <c r="AF476" i="2"/>
  <c r="V476" i="2"/>
  <c r="AK475" i="2"/>
  <c r="V475" i="2"/>
  <c r="AK474" i="2"/>
  <c r="AF474" i="2"/>
  <c r="V474" i="2"/>
  <c r="AK473" i="2"/>
  <c r="AF473" i="2"/>
  <c r="V473" i="2"/>
  <c r="AK472" i="2"/>
  <c r="V472" i="2"/>
  <c r="AK471" i="2"/>
  <c r="AF471" i="2"/>
  <c r="V471" i="2"/>
  <c r="AK470" i="2"/>
  <c r="V470" i="2"/>
  <c r="AK469" i="2"/>
  <c r="AF469" i="2"/>
  <c r="V469" i="2"/>
  <c r="AK468" i="2"/>
  <c r="V468" i="2"/>
  <c r="AK467" i="2"/>
  <c r="AF467" i="2"/>
  <c r="V467" i="2"/>
  <c r="AK466" i="2"/>
  <c r="V466" i="2"/>
  <c r="AK465" i="2"/>
  <c r="AF465" i="2"/>
  <c r="V465" i="2"/>
  <c r="AK464" i="2"/>
  <c r="AF464" i="2"/>
  <c r="V464" i="2"/>
  <c r="AK463" i="2"/>
  <c r="AF463" i="2"/>
  <c r="V463" i="2"/>
  <c r="AK462" i="2"/>
  <c r="AF462" i="2"/>
  <c r="V462" i="2"/>
  <c r="AK461" i="2"/>
  <c r="AF461" i="2"/>
  <c r="V461" i="2"/>
  <c r="AK460" i="2"/>
  <c r="AF460" i="2"/>
  <c r="V460" i="2"/>
  <c r="AK459" i="2"/>
  <c r="AF459" i="2"/>
  <c r="V459" i="2"/>
  <c r="AK458" i="2"/>
  <c r="AF458" i="2"/>
  <c r="V458" i="2"/>
  <c r="AK457" i="2"/>
  <c r="V457" i="2"/>
  <c r="AK456" i="2"/>
  <c r="V456" i="2"/>
  <c r="AK455" i="2"/>
  <c r="AF455" i="2"/>
  <c r="V455" i="2"/>
  <c r="AK454" i="2"/>
  <c r="AF454" i="2"/>
  <c r="V454" i="2"/>
  <c r="AK453" i="2"/>
  <c r="V453" i="2"/>
  <c r="AK452" i="2"/>
  <c r="AF452" i="2"/>
  <c r="V452" i="2"/>
  <c r="AK451" i="2"/>
  <c r="AF451" i="2"/>
  <c r="V451" i="2"/>
  <c r="AK450" i="2"/>
  <c r="AF450" i="2"/>
  <c r="V450" i="2"/>
  <c r="AK449" i="2"/>
  <c r="AF449" i="2"/>
  <c r="V449" i="2"/>
  <c r="AK448" i="2"/>
  <c r="AF448" i="2"/>
  <c r="N83" i="3" s="1"/>
  <c r="V448" i="2"/>
  <c r="AK447" i="2"/>
  <c r="AF447" i="2"/>
  <c r="V447" i="2"/>
  <c r="AK446" i="2"/>
  <c r="V446" i="2"/>
  <c r="AK445" i="2"/>
  <c r="AF445" i="2"/>
  <c r="V445" i="2"/>
  <c r="AK444" i="2"/>
  <c r="V444" i="2"/>
  <c r="AK443" i="2"/>
  <c r="AF443" i="2"/>
  <c r="V443" i="2"/>
  <c r="AK442" i="2"/>
  <c r="V442" i="2"/>
  <c r="AK441" i="2"/>
  <c r="AF441" i="2"/>
  <c r="V441" i="2"/>
  <c r="AK440" i="2"/>
  <c r="AF440" i="2"/>
  <c r="V440" i="2"/>
  <c r="AK439" i="2"/>
  <c r="AF439" i="2"/>
  <c r="V439" i="2"/>
  <c r="AK438" i="2"/>
  <c r="AF438" i="2"/>
  <c r="V438" i="2"/>
  <c r="AK437" i="2"/>
  <c r="AF437" i="2"/>
  <c r="V437" i="2"/>
  <c r="AK436" i="2"/>
  <c r="V436" i="2"/>
  <c r="AK435" i="2"/>
  <c r="AF435" i="2"/>
  <c r="V435" i="2"/>
  <c r="AK434" i="2"/>
  <c r="V434" i="2"/>
  <c r="AK433" i="2"/>
  <c r="V433" i="2"/>
  <c r="AK432" i="2"/>
  <c r="AF432" i="2"/>
  <c r="V432" i="2"/>
  <c r="AK431" i="2"/>
  <c r="AF431" i="2"/>
  <c r="V431" i="2"/>
  <c r="AK430" i="2"/>
  <c r="AF430" i="2"/>
  <c r="V430" i="2"/>
  <c r="AK429" i="2"/>
  <c r="AF429" i="2"/>
  <c r="V429" i="2"/>
  <c r="AK428" i="2"/>
  <c r="AF428" i="2"/>
  <c r="V428" i="2"/>
  <c r="AK427" i="2"/>
  <c r="V427" i="2"/>
  <c r="AK426" i="2"/>
  <c r="V426" i="2"/>
  <c r="AK425" i="2"/>
  <c r="AF425" i="2"/>
  <c r="V425" i="2"/>
  <c r="AK424" i="2"/>
  <c r="V424" i="2"/>
  <c r="AK423" i="2"/>
  <c r="AF423" i="2"/>
  <c r="V423" i="2"/>
  <c r="AK422" i="2"/>
  <c r="V422" i="2"/>
  <c r="AK421" i="2"/>
  <c r="AF421" i="2"/>
  <c r="V421" i="2"/>
  <c r="AK420" i="2"/>
  <c r="AF420" i="2"/>
  <c r="V420" i="2"/>
  <c r="AK419" i="2"/>
  <c r="AF419" i="2"/>
  <c r="V419" i="2"/>
  <c r="AK418" i="2"/>
  <c r="AF418" i="2"/>
  <c r="V418" i="2"/>
  <c r="AK417" i="2"/>
  <c r="V417" i="2"/>
  <c r="AK416" i="2"/>
  <c r="V416" i="2"/>
  <c r="AK415" i="2"/>
  <c r="V415" i="2"/>
  <c r="AK414" i="2"/>
  <c r="AF414" i="2"/>
  <c r="V414" i="2"/>
  <c r="AK413" i="2"/>
  <c r="V413" i="2"/>
  <c r="AK412" i="2"/>
  <c r="V412" i="2"/>
  <c r="AK411" i="2"/>
  <c r="V411" i="2"/>
  <c r="AK410" i="2"/>
  <c r="AF410" i="2"/>
  <c r="V410" i="2"/>
  <c r="AK409" i="2"/>
  <c r="V409" i="2"/>
  <c r="AK408" i="2"/>
  <c r="V408" i="2"/>
  <c r="AK407" i="2"/>
  <c r="V407" i="2"/>
  <c r="AK406" i="2"/>
  <c r="AF406" i="2"/>
  <c r="V406" i="2"/>
  <c r="AK405" i="2"/>
  <c r="AF405" i="2"/>
  <c r="V405" i="2"/>
  <c r="AK404" i="2"/>
  <c r="V404" i="2"/>
  <c r="AK403" i="2"/>
  <c r="AF403" i="2"/>
  <c r="V403" i="2"/>
  <c r="AK402" i="2"/>
  <c r="AF402" i="2"/>
  <c r="V402" i="2"/>
  <c r="AK401" i="2"/>
  <c r="AF401" i="2"/>
  <c r="V401" i="2"/>
  <c r="AK400" i="2"/>
  <c r="V400" i="2"/>
  <c r="AK399" i="2"/>
  <c r="AF399" i="2"/>
  <c r="V399" i="2"/>
  <c r="AK398" i="2"/>
  <c r="V398" i="2"/>
  <c r="AK397" i="2"/>
  <c r="AF397" i="2"/>
  <c r="V397" i="2"/>
  <c r="AK396" i="2"/>
  <c r="AF396" i="2"/>
  <c r="V396" i="2"/>
  <c r="AK395" i="2"/>
  <c r="AF395" i="2"/>
  <c r="V395" i="2"/>
  <c r="AK394" i="2"/>
  <c r="AF394" i="2"/>
  <c r="V394" i="2"/>
  <c r="AK393" i="2"/>
  <c r="V393" i="2"/>
  <c r="AK392" i="2"/>
  <c r="V392" i="2"/>
  <c r="AK391" i="2"/>
  <c r="V391" i="2"/>
  <c r="AK390" i="2"/>
  <c r="AF390" i="2"/>
  <c r="V390" i="2"/>
  <c r="AK389" i="2"/>
  <c r="V389" i="2"/>
  <c r="AK388" i="2"/>
  <c r="AF388" i="2"/>
  <c r="V388" i="2"/>
  <c r="AK387" i="2"/>
  <c r="V387" i="2"/>
  <c r="AK386" i="2"/>
  <c r="AF386" i="2"/>
  <c r="V386" i="2"/>
  <c r="AK385" i="2"/>
  <c r="V385" i="2"/>
  <c r="AK384" i="2"/>
  <c r="V384" i="2"/>
  <c r="AK383" i="2"/>
  <c r="AF383" i="2"/>
  <c r="V383" i="2"/>
  <c r="AK382" i="2"/>
  <c r="AF382" i="2"/>
  <c r="V382" i="2"/>
  <c r="AK381" i="2"/>
  <c r="AF381" i="2"/>
  <c r="V381" i="2"/>
  <c r="AK380" i="2"/>
  <c r="AF380" i="2"/>
  <c r="V380" i="2"/>
  <c r="AK379" i="2"/>
  <c r="V379" i="2"/>
  <c r="AK378" i="2"/>
  <c r="V378" i="2"/>
  <c r="AK377" i="2"/>
  <c r="AF377" i="2"/>
  <c r="V377" i="2"/>
  <c r="AK376" i="2"/>
  <c r="AF376" i="2"/>
  <c r="V376" i="2"/>
  <c r="AK375" i="2"/>
  <c r="AF375" i="2"/>
  <c r="V375" i="2"/>
  <c r="AK374" i="2"/>
  <c r="V374" i="2"/>
  <c r="AK373" i="2"/>
  <c r="V373" i="2"/>
  <c r="AK372" i="2"/>
  <c r="AF372" i="2"/>
  <c r="V372" i="2"/>
  <c r="AK371" i="2"/>
  <c r="AF371" i="2"/>
  <c r="V371" i="2"/>
  <c r="AK370" i="2"/>
  <c r="AF370" i="2"/>
  <c r="V370" i="2"/>
  <c r="AK369" i="2"/>
  <c r="V369" i="2"/>
  <c r="AK368" i="2"/>
  <c r="AF368" i="2"/>
  <c r="V368" i="2"/>
  <c r="AK367" i="2"/>
  <c r="AF367" i="2"/>
  <c r="V367" i="2"/>
  <c r="AK366" i="2"/>
  <c r="AF366" i="2"/>
  <c r="V366" i="2"/>
  <c r="AK365" i="2"/>
  <c r="AF365" i="2"/>
  <c r="V365" i="2"/>
  <c r="AK364" i="2"/>
  <c r="V364" i="2"/>
  <c r="AK363" i="2"/>
  <c r="V363" i="2"/>
  <c r="AK362" i="2"/>
  <c r="AF362" i="2"/>
  <c r="V362" i="2"/>
  <c r="AK361" i="2"/>
  <c r="AF361" i="2"/>
  <c r="V361" i="2"/>
  <c r="AK360" i="2"/>
  <c r="AF360" i="2"/>
  <c r="V360" i="2"/>
  <c r="AK359" i="2"/>
  <c r="AF359" i="2"/>
  <c r="V359" i="2"/>
  <c r="AK358" i="2"/>
  <c r="AF358" i="2"/>
  <c r="V358" i="2"/>
  <c r="AK357" i="2"/>
  <c r="V357" i="2"/>
  <c r="AK356" i="2"/>
  <c r="AF356" i="2"/>
  <c r="V356" i="2"/>
  <c r="AK355" i="2"/>
  <c r="V355" i="2"/>
  <c r="AK354" i="2"/>
  <c r="AF354" i="2"/>
  <c r="V354" i="2"/>
  <c r="AK353" i="2"/>
  <c r="V353" i="2"/>
  <c r="AK352" i="2"/>
  <c r="AF352" i="2"/>
  <c r="V352" i="2"/>
  <c r="AK351" i="2"/>
  <c r="AF351" i="2"/>
  <c r="V351" i="2"/>
  <c r="AK350" i="2"/>
  <c r="AF350" i="2"/>
  <c r="V350" i="2"/>
  <c r="AK349" i="2"/>
  <c r="AF349" i="2"/>
  <c r="V349" i="2"/>
  <c r="AK348" i="2"/>
  <c r="V348" i="2"/>
  <c r="AK347" i="2"/>
  <c r="AF347" i="2"/>
  <c r="V347" i="2"/>
  <c r="AK346" i="2"/>
  <c r="V346" i="2"/>
  <c r="AK345" i="2"/>
  <c r="V345" i="2"/>
  <c r="AK344" i="2"/>
  <c r="V344" i="2"/>
  <c r="AK343" i="2"/>
  <c r="AF343" i="2"/>
  <c r="V343" i="2"/>
  <c r="AK342" i="2"/>
  <c r="AF342" i="2"/>
  <c r="V342" i="2"/>
  <c r="AK341" i="2"/>
  <c r="AF341" i="2"/>
  <c r="V341" i="2"/>
  <c r="AK340" i="2"/>
  <c r="AF340" i="2"/>
  <c r="V340" i="2"/>
  <c r="AK339" i="2"/>
  <c r="AF339" i="2"/>
  <c r="V339" i="2"/>
  <c r="AK338" i="2"/>
  <c r="V338" i="2"/>
  <c r="AK337" i="2"/>
  <c r="V337" i="2"/>
  <c r="AK336" i="2"/>
  <c r="V336" i="2"/>
  <c r="AK335" i="2"/>
  <c r="AF335" i="2"/>
  <c r="V335" i="2"/>
  <c r="AK334" i="2"/>
  <c r="V334" i="2"/>
  <c r="AK333" i="2"/>
  <c r="V333" i="2"/>
  <c r="AK332" i="2"/>
  <c r="AF332" i="2"/>
  <c r="V332" i="2"/>
  <c r="AK331" i="2"/>
  <c r="V331" i="2"/>
  <c r="AK330" i="2"/>
  <c r="AF330" i="2"/>
  <c r="V330" i="2"/>
  <c r="AK329" i="2"/>
  <c r="V329" i="2"/>
  <c r="AK328" i="2"/>
  <c r="AF328" i="2"/>
  <c r="V328" i="2"/>
  <c r="AK327" i="2"/>
  <c r="V327" i="2"/>
  <c r="AK326" i="2"/>
  <c r="AF326" i="2"/>
  <c r="V326" i="2"/>
  <c r="AK325" i="2"/>
  <c r="V325" i="2"/>
  <c r="AK324" i="2"/>
  <c r="AF324" i="2"/>
  <c r="V324" i="2"/>
  <c r="AK323" i="2"/>
  <c r="V323" i="2"/>
  <c r="AK322" i="2"/>
  <c r="AF322" i="2"/>
  <c r="V322" i="2"/>
  <c r="AK321" i="2"/>
  <c r="AF321" i="2"/>
  <c r="V321" i="2"/>
  <c r="AK320" i="2"/>
  <c r="AF320" i="2"/>
  <c r="V320" i="2"/>
  <c r="AK319" i="2"/>
  <c r="AF319" i="2"/>
  <c r="V319" i="2"/>
  <c r="AK318" i="2"/>
  <c r="AF318" i="2"/>
  <c r="V318" i="2"/>
  <c r="AK317" i="2"/>
  <c r="AF317" i="2"/>
  <c r="V317" i="2"/>
  <c r="AK316" i="2"/>
  <c r="AF316" i="2"/>
  <c r="V316" i="2"/>
  <c r="AK315" i="2"/>
  <c r="AF315" i="2"/>
  <c r="V315" i="2"/>
  <c r="AK314" i="2"/>
  <c r="V314" i="2"/>
  <c r="AK313" i="2"/>
  <c r="AF313" i="2"/>
  <c r="V313" i="2"/>
  <c r="AK312" i="2"/>
  <c r="V312" i="2"/>
  <c r="AK311" i="2"/>
  <c r="V311" i="2"/>
  <c r="AK310" i="2"/>
  <c r="AF310" i="2"/>
  <c r="V310" i="2"/>
  <c r="AK309" i="2"/>
  <c r="V309" i="2"/>
  <c r="AK308" i="2"/>
  <c r="AF308" i="2"/>
  <c r="V308" i="2"/>
  <c r="AK307" i="2"/>
  <c r="AF307" i="2"/>
  <c r="V307" i="2"/>
  <c r="AK306" i="2"/>
  <c r="V306" i="2"/>
  <c r="AK305" i="2"/>
  <c r="AF305" i="2"/>
  <c r="V305" i="2"/>
  <c r="AK304" i="2"/>
  <c r="V304" i="2"/>
  <c r="AK303" i="2"/>
  <c r="V303" i="2"/>
  <c r="AK302" i="2"/>
  <c r="AF302" i="2"/>
  <c r="V302" i="2"/>
  <c r="AK301" i="2"/>
  <c r="V301" i="2"/>
  <c r="AK300" i="2"/>
  <c r="V300" i="2"/>
  <c r="AK299" i="2"/>
  <c r="AF299" i="2"/>
  <c r="V299" i="2"/>
  <c r="AK298" i="2"/>
  <c r="V298" i="2"/>
  <c r="AK297" i="2"/>
  <c r="V297" i="2"/>
  <c r="AK296" i="2"/>
  <c r="V296" i="2"/>
  <c r="AK295" i="2"/>
  <c r="AF295" i="2"/>
  <c r="V295" i="2"/>
  <c r="AK294" i="2"/>
  <c r="V294" i="2"/>
  <c r="AK293" i="2"/>
  <c r="AF293" i="2"/>
  <c r="V293" i="2"/>
  <c r="AK292" i="2"/>
  <c r="V292" i="2"/>
  <c r="AK291" i="2"/>
  <c r="V291" i="2"/>
  <c r="AK290" i="2"/>
  <c r="V290" i="2"/>
  <c r="AK289" i="2"/>
  <c r="V289" i="2"/>
  <c r="AK288" i="2"/>
  <c r="V288" i="2"/>
  <c r="AK287" i="2"/>
  <c r="AF287" i="2"/>
  <c r="V287" i="2"/>
  <c r="AK286" i="2"/>
  <c r="V286" i="2"/>
  <c r="AK285" i="2"/>
  <c r="V285" i="2"/>
  <c r="AK284" i="2"/>
  <c r="AF284" i="2"/>
  <c r="V284" i="2"/>
  <c r="AK283" i="2"/>
  <c r="AF283" i="2"/>
  <c r="V283" i="2"/>
  <c r="AK282" i="2"/>
  <c r="AF282" i="2"/>
  <c r="V282" i="2"/>
  <c r="AK281" i="2"/>
  <c r="V281" i="2"/>
  <c r="AK280" i="2"/>
  <c r="V280" i="2"/>
  <c r="AK279" i="2"/>
  <c r="AF279" i="2"/>
  <c r="V279" i="2"/>
  <c r="AK278" i="2"/>
  <c r="AF278" i="2"/>
  <c r="V278" i="2"/>
  <c r="AK277" i="2"/>
  <c r="AF277" i="2"/>
  <c r="V277" i="2"/>
  <c r="AK276" i="2"/>
  <c r="AF276" i="2"/>
  <c r="V276" i="2"/>
  <c r="AK275" i="2"/>
  <c r="AF275" i="2"/>
  <c r="V275" i="2"/>
  <c r="AK274" i="2"/>
  <c r="V274" i="2"/>
  <c r="AK273" i="2"/>
  <c r="V273" i="2"/>
  <c r="AK272" i="2"/>
  <c r="AF272" i="2"/>
  <c r="V272" i="2"/>
  <c r="AK271" i="2"/>
  <c r="AF271" i="2"/>
  <c r="V271" i="2"/>
  <c r="AK270" i="2"/>
  <c r="V270" i="2"/>
  <c r="AK269" i="2"/>
  <c r="AF269" i="2"/>
  <c r="V269" i="2"/>
  <c r="AK268" i="2"/>
  <c r="V268" i="2"/>
  <c r="AK267" i="2"/>
  <c r="AF267" i="2"/>
  <c r="V267" i="2"/>
  <c r="AK266" i="2"/>
  <c r="V266" i="2"/>
  <c r="AK265" i="2"/>
  <c r="AF265" i="2"/>
  <c r="V265" i="2"/>
  <c r="AK264" i="2"/>
  <c r="V264" i="2"/>
  <c r="AK263" i="2"/>
  <c r="AF263" i="2"/>
  <c r="V263" i="2"/>
  <c r="AK262" i="2"/>
  <c r="AF262" i="2"/>
  <c r="V262" i="2"/>
  <c r="AK261" i="2"/>
  <c r="AF261" i="2"/>
  <c r="V261" i="2"/>
  <c r="AK260" i="2"/>
  <c r="AF260" i="2"/>
  <c r="V260" i="2"/>
  <c r="AK259" i="2"/>
  <c r="AF259" i="2"/>
  <c r="V259" i="2"/>
  <c r="AK258" i="2"/>
  <c r="AF258" i="2"/>
  <c r="V258" i="2"/>
  <c r="AK257" i="2"/>
  <c r="AF257" i="2"/>
  <c r="V257" i="2"/>
  <c r="AK256" i="2"/>
  <c r="V256" i="2"/>
  <c r="AK255" i="2"/>
  <c r="V255" i="2"/>
  <c r="AK254" i="2"/>
  <c r="AF254" i="2"/>
  <c r="V254" i="2"/>
  <c r="AK253" i="2"/>
  <c r="AF253" i="2"/>
  <c r="V253" i="2"/>
  <c r="AK252" i="2"/>
  <c r="AF252" i="2"/>
  <c r="V252" i="2"/>
  <c r="AK251" i="2"/>
  <c r="V251" i="2"/>
  <c r="AK250" i="2"/>
  <c r="AF250" i="2"/>
  <c r="V250" i="2"/>
  <c r="AK249" i="2"/>
  <c r="AF249" i="2"/>
  <c r="V249" i="2"/>
  <c r="AK248" i="2"/>
  <c r="AF248" i="2"/>
  <c r="V248" i="2"/>
  <c r="AK247" i="2"/>
  <c r="AF247" i="2"/>
  <c r="V247" i="2"/>
  <c r="AK246" i="2"/>
  <c r="V246" i="2"/>
  <c r="AK245" i="2"/>
  <c r="V245" i="2"/>
  <c r="AK244" i="2"/>
  <c r="V244" i="2"/>
  <c r="AK243" i="2"/>
  <c r="V243" i="2"/>
  <c r="AK242" i="2"/>
  <c r="V242" i="2"/>
  <c r="AK241" i="2"/>
  <c r="AF241" i="2"/>
  <c r="V241" i="2"/>
  <c r="AK240" i="2"/>
  <c r="AF240" i="2"/>
  <c r="V240" i="2"/>
  <c r="AK239" i="2"/>
  <c r="AF239" i="2"/>
  <c r="V239" i="2"/>
  <c r="AK238" i="2"/>
  <c r="AF238" i="2"/>
  <c r="V238" i="2"/>
  <c r="AK237" i="2"/>
  <c r="AF237" i="2"/>
  <c r="V237" i="2"/>
  <c r="AK236" i="2"/>
  <c r="AF236" i="2"/>
  <c r="V236" i="2"/>
  <c r="AK235" i="2"/>
  <c r="AF235" i="2"/>
  <c r="V235" i="2"/>
  <c r="AK234" i="2"/>
  <c r="AF234" i="2"/>
  <c r="V234" i="2"/>
  <c r="AK233" i="2"/>
  <c r="AF233" i="2"/>
  <c r="V233" i="2"/>
  <c r="AK232" i="2"/>
  <c r="V232" i="2"/>
  <c r="AK231" i="2"/>
  <c r="AF231" i="2"/>
  <c r="V231" i="2"/>
  <c r="AK230" i="2"/>
  <c r="AF230" i="2"/>
  <c r="V230" i="2"/>
  <c r="AK229" i="2"/>
  <c r="AF229" i="2"/>
  <c r="V229" i="2"/>
  <c r="AK228" i="2"/>
  <c r="AF228" i="2"/>
  <c r="V228" i="2"/>
  <c r="AK227" i="2"/>
  <c r="V227" i="2"/>
  <c r="AK226" i="2"/>
  <c r="V226" i="2"/>
  <c r="AK225" i="2"/>
  <c r="V225" i="2"/>
  <c r="AK224" i="2"/>
  <c r="V224" i="2"/>
  <c r="AK223" i="2"/>
  <c r="AF223" i="2"/>
  <c r="V223" i="2"/>
  <c r="AK222" i="2"/>
  <c r="AF222" i="2"/>
  <c r="V222" i="2"/>
  <c r="AK221" i="2"/>
  <c r="V221" i="2"/>
  <c r="AK220" i="2"/>
  <c r="AF220" i="2"/>
  <c r="V220" i="2"/>
  <c r="AK219" i="2"/>
  <c r="V219" i="2"/>
  <c r="AK218" i="2"/>
  <c r="V218" i="2"/>
  <c r="AK217" i="2"/>
  <c r="AF217" i="2"/>
  <c r="V217" i="2"/>
  <c r="AK216" i="2"/>
  <c r="AF216" i="2"/>
  <c r="V216" i="2"/>
  <c r="AK215" i="2"/>
  <c r="V215" i="2"/>
  <c r="AK214" i="2"/>
  <c r="V214" i="2"/>
  <c r="AK213" i="2"/>
  <c r="AF213" i="2"/>
  <c r="V213" i="2"/>
  <c r="AK212" i="2"/>
  <c r="AF212" i="2"/>
  <c r="V212" i="2"/>
  <c r="AK211" i="2"/>
  <c r="V211" i="2"/>
  <c r="AK210" i="2"/>
  <c r="AF210" i="2"/>
  <c r="V210" i="2"/>
  <c r="AK209" i="2"/>
  <c r="AF209" i="2"/>
  <c r="V209" i="2"/>
  <c r="AK208" i="2"/>
  <c r="V208" i="2"/>
  <c r="AK207" i="2"/>
  <c r="AF207" i="2"/>
  <c r="V207" i="2"/>
  <c r="AK206" i="2"/>
  <c r="AF206" i="2"/>
  <c r="V206" i="2"/>
  <c r="AK205" i="2"/>
  <c r="V205" i="2"/>
  <c r="AK204" i="2"/>
  <c r="V204" i="2"/>
  <c r="AK203" i="2"/>
  <c r="V203" i="2"/>
  <c r="AK202" i="2"/>
  <c r="V202" i="2"/>
  <c r="AK201" i="2"/>
  <c r="AF201" i="2"/>
  <c r="V201" i="2"/>
  <c r="AK200" i="2"/>
  <c r="V200" i="2"/>
  <c r="AK199" i="2"/>
  <c r="AF199" i="2"/>
  <c r="V199" i="2"/>
  <c r="AK198" i="2"/>
  <c r="V198" i="2"/>
  <c r="AK197" i="2"/>
  <c r="V197" i="2"/>
  <c r="AK196" i="2"/>
  <c r="AF196" i="2"/>
  <c r="V196" i="2"/>
  <c r="AK195" i="2"/>
  <c r="V195" i="2"/>
  <c r="AK194" i="2"/>
  <c r="AF194" i="2"/>
  <c r="V194" i="2"/>
  <c r="AK193" i="2"/>
  <c r="AF193" i="2"/>
  <c r="V193" i="2"/>
  <c r="AK192" i="2"/>
  <c r="AF192" i="2"/>
  <c r="V192" i="2"/>
  <c r="AK191" i="2"/>
  <c r="AF191" i="2"/>
  <c r="V191" i="2"/>
  <c r="AK190" i="2"/>
  <c r="V190" i="2"/>
  <c r="AK189" i="2"/>
  <c r="AF189" i="2"/>
  <c r="V189" i="2"/>
  <c r="AK188" i="2"/>
  <c r="V188" i="2"/>
  <c r="AK187" i="2"/>
  <c r="V187" i="2"/>
  <c r="AK186" i="2"/>
  <c r="AF186" i="2"/>
  <c r="V186" i="2"/>
  <c r="AK185" i="2"/>
  <c r="AF185" i="2"/>
  <c r="V185" i="2"/>
  <c r="AK184" i="2"/>
  <c r="AF184" i="2"/>
  <c r="V184" i="2"/>
  <c r="AK183" i="2"/>
  <c r="AF183" i="2"/>
  <c r="V183" i="2"/>
  <c r="AK182" i="2"/>
  <c r="AF182" i="2"/>
  <c r="V182" i="2"/>
  <c r="AK181" i="2"/>
  <c r="V181" i="2"/>
  <c r="AK180" i="2"/>
  <c r="AF180" i="2"/>
  <c r="V180" i="2"/>
  <c r="AK179" i="2"/>
  <c r="AF179" i="2"/>
  <c r="V179" i="2"/>
  <c r="AK178" i="2"/>
  <c r="AF178" i="2"/>
  <c r="V178" i="2"/>
  <c r="AK177" i="2"/>
  <c r="AF177" i="2"/>
  <c r="V177" i="2"/>
  <c r="AK176" i="2"/>
  <c r="V176" i="2"/>
  <c r="AK175" i="2"/>
  <c r="AF175" i="2"/>
  <c r="V175" i="2"/>
  <c r="AK174" i="2"/>
  <c r="V174" i="2"/>
  <c r="AK173" i="2"/>
  <c r="AF173" i="2"/>
  <c r="V173" i="2"/>
  <c r="AK172" i="2"/>
  <c r="V172" i="2"/>
  <c r="AK171" i="2"/>
  <c r="V171" i="2"/>
  <c r="AK170" i="2"/>
  <c r="AF170" i="2"/>
  <c r="V170" i="2"/>
  <c r="AK169" i="2"/>
  <c r="V169" i="2"/>
  <c r="AK168" i="2"/>
  <c r="AF168" i="2"/>
  <c r="V168" i="2"/>
  <c r="AK167" i="2"/>
  <c r="AF167" i="2"/>
  <c r="V167" i="2"/>
  <c r="AK166" i="2"/>
  <c r="AF166" i="2"/>
  <c r="V166" i="2"/>
  <c r="AK165" i="2"/>
  <c r="AF165" i="2"/>
  <c r="V165" i="2"/>
  <c r="AK164" i="2"/>
  <c r="V164" i="2"/>
  <c r="AK163" i="2"/>
  <c r="AF163" i="2"/>
  <c r="V163" i="2"/>
  <c r="AK162" i="2"/>
  <c r="AF162" i="2"/>
  <c r="V162" i="2"/>
  <c r="AK161" i="2"/>
  <c r="V161" i="2"/>
  <c r="AK160" i="2"/>
  <c r="AF160" i="2"/>
  <c r="V160" i="2"/>
  <c r="AK159" i="2"/>
  <c r="AF159" i="2"/>
  <c r="V159" i="2"/>
  <c r="AK158" i="2"/>
  <c r="V158" i="2"/>
  <c r="AK157" i="2"/>
  <c r="AF157" i="2"/>
  <c r="V157" i="2"/>
  <c r="AK156" i="2"/>
  <c r="AF156" i="2"/>
  <c r="V156" i="2"/>
  <c r="AK155" i="2"/>
  <c r="V155" i="2"/>
  <c r="AK154" i="2"/>
  <c r="AF154" i="2"/>
  <c r="V154" i="2"/>
  <c r="AK153" i="2"/>
  <c r="V153" i="2"/>
  <c r="AK152" i="2"/>
  <c r="AF152" i="2"/>
  <c r="V152" i="2"/>
  <c r="AK151" i="2"/>
  <c r="AF151" i="2"/>
  <c r="V151" i="2"/>
  <c r="AK150" i="2"/>
  <c r="AF150" i="2"/>
  <c r="V150" i="2"/>
  <c r="AK149" i="2"/>
  <c r="V149" i="2"/>
  <c r="AK148" i="2"/>
  <c r="V148" i="2"/>
  <c r="AK147" i="2"/>
  <c r="AF147" i="2"/>
  <c r="V147" i="2"/>
  <c r="AK146" i="2"/>
  <c r="V146" i="2"/>
  <c r="AK145" i="2"/>
  <c r="AF145" i="2"/>
  <c r="V145" i="2"/>
  <c r="AK144" i="2"/>
  <c r="AF144" i="2"/>
  <c r="V144" i="2"/>
  <c r="AK143" i="2"/>
  <c r="AF143" i="2"/>
  <c r="V143" i="2"/>
  <c r="AK142" i="2"/>
  <c r="V142" i="2"/>
  <c r="AK141" i="2"/>
  <c r="V141" i="2"/>
  <c r="AK140" i="2"/>
  <c r="V140" i="2"/>
  <c r="AK139" i="2"/>
  <c r="AF139" i="2"/>
  <c r="V139" i="2"/>
  <c r="AK138" i="2"/>
  <c r="AF138" i="2"/>
  <c r="V138" i="2"/>
  <c r="AK137" i="2"/>
  <c r="AF137" i="2"/>
  <c r="V137" i="2"/>
  <c r="AK136" i="2"/>
  <c r="V136" i="2"/>
  <c r="AK135" i="2"/>
  <c r="AF135" i="2"/>
  <c r="V135" i="2"/>
  <c r="AK134" i="2"/>
  <c r="V134" i="2"/>
  <c r="AK133" i="2"/>
  <c r="AF133" i="2"/>
  <c r="V133" i="2"/>
  <c r="AK132" i="2"/>
  <c r="V132" i="2"/>
  <c r="AK131" i="2"/>
  <c r="AF131" i="2"/>
  <c r="V131" i="2"/>
  <c r="AK130" i="2"/>
  <c r="V130" i="2"/>
  <c r="AK129" i="2"/>
  <c r="V129" i="2"/>
  <c r="AK128" i="2"/>
  <c r="AF128" i="2"/>
  <c r="V128" i="2"/>
  <c r="AK127" i="2"/>
  <c r="AF127" i="2"/>
  <c r="V127" i="2"/>
  <c r="AK126" i="2"/>
  <c r="AF126" i="2"/>
  <c r="V126" i="2"/>
  <c r="AK125" i="2"/>
  <c r="AF125" i="2"/>
  <c r="V125" i="2"/>
  <c r="AK124" i="2"/>
  <c r="V124" i="2"/>
  <c r="AK123" i="2"/>
  <c r="V123" i="2"/>
  <c r="AK122" i="2"/>
  <c r="AF122" i="2"/>
  <c r="V122" i="2"/>
  <c r="AK121" i="2"/>
  <c r="AF121" i="2"/>
  <c r="V121" i="2"/>
  <c r="AK120" i="2"/>
  <c r="V120" i="2"/>
  <c r="AK119" i="2"/>
  <c r="V119" i="2"/>
  <c r="AK118" i="2"/>
  <c r="AF118" i="2"/>
  <c r="V118" i="2"/>
  <c r="AK117" i="2"/>
  <c r="V117" i="2"/>
  <c r="AK116" i="2"/>
  <c r="V116" i="2"/>
  <c r="AK115" i="2"/>
  <c r="AF115" i="2"/>
  <c r="V115" i="2"/>
  <c r="AK114" i="2"/>
  <c r="V114" i="2"/>
  <c r="AK113" i="2"/>
  <c r="AF113" i="2"/>
  <c r="V113" i="2"/>
  <c r="AK112" i="2"/>
  <c r="AF112" i="2"/>
  <c r="V112" i="2"/>
  <c r="AK111" i="2"/>
  <c r="V111" i="2"/>
  <c r="AK110" i="2"/>
  <c r="AF110" i="2"/>
  <c r="V110" i="2"/>
  <c r="AK109" i="2"/>
  <c r="V109" i="2"/>
  <c r="AK108" i="2"/>
  <c r="V108" i="2"/>
  <c r="AK107" i="2"/>
  <c r="V107" i="2"/>
  <c r="AK106" i="2"/>
  <c r="AF106" i="2"/>
  <c r="V106" i="2"/>
  <c r="AK105" i="2"/>
  <c r="V105" i="2"/>
  <c r="AK104" i="2"/>
  <c r="AF104" i="2"/>
  <c r="V104" i="2"/>
  <c r="AK103" i="2"/>
  <c r="V103" i="2"/>
  <c r="AK102" i="2"/>
  <c r="AF102" i="2"/>
  <c r="V102" i="2"/>
  <c r="AK101" i="2"/>
  <c r="V101" i="2"/>
  <c r="AK100" i="2"/>
  <c r="V100" i="2"/>
  <c r="AK99" i="2"/>
  <c r="V99" i="2"/>
  <c r="AK98" i="2"/>
  <c r="V98" i="2"/>
  <c r="AK97" i="2"/>
  <c r="AF97" i="2"/>
  <c r="V97" i="2"/>
  <c r="AK96" i="2"/>
  <c r="V96" i="2"/>
  <c r="AK95" i="2"/>
  <c r="AF95" i="2"/>
  <c r="V95" i="2"/>
  <c r="AK94" i="2"/>
  <c r="V94" i="2"/>
  <c r="AK93" i="2"/>
  <c r="AF93" i="2"/>
  <c r="V93" i="2"/>
  <c r="AK92" i="2"/>
  <c r="AF92" i="2"/>
  <c r="V92" i="2"/>
  <c r="AK91" i="2"/>
  <c r="AF91" i="2"/>
  <c r="V91" i="2"/>
  <c r="AK90" i="2"/>
  <c r="V90" i="2"/>
  <c r="AK89" i="2"/>
  <c r="AF89" i="2"/>
  <c r="V89" i="2"/>
  <c r="AK88" i="2"/>
  <c r="AF88" i="2"/>
  <c r="V88" i="2"/>
  <c r="AK87" i="2"/>
  <c r="V87" i="2"/>
  <c r="AK86" i="2"/>
  <c r="AF86" i="2"/>
  <c r="V86" i="2"/>
  <c r="AK85" i="2"/>
  <c r="V85" i="2"/>
  <c r="AK84" i="2"/>
  <c r="V84" i="2"/>
  <c r="AK83" i="2"/>
  <c r="AF83" i="2"/>
  <c r="V83" i="2"/>
  <c r="AK82" i="2"/>
  <c r="AF82" i="2"/>
  <c r="V82" i="2"/>
  <c r="AK81" i="2"/>
  <c r="V81" i="2"/>
  <c r="AK80" i="2"/>
  <c r="V80" i="2"/>
  <c r="AK79" i="2"/>
  <c r="AF79" i="2"/>
  <c r="V79" i="2"/>
  <c r="AK78" i="2"/>
  <c r="V78" i="2"/>
  <c r="AK77" i="2"/>
  <c r="V77" i="2"/>
  <c r="AK76" i="2"/>
  <c r="AF76" i="2"/>
  <c r="V76" i="2"/>
  <c r="AK75" i="2"/>
  <c r="V75" i="2"/>
  <c r="AK74" i="2"/>
  <c r="AF74" i="2"/>
  <c r="V74" i="2"/>
  <c r="AK73" i="2"/>
  <c r="AF73" i="2"/>
  <c r="V73" i="2"/>
  <c r="AK72" i="2"/>
  <c r="AF72" i="2"/>
  <c r="V72" i="2"/>
  <c r="AK71" i="2"/>
  <c r="AF71" i="2"/>
  <c r="V71" i="2"/>
  <c r="AK70" i="2"/>
  <c r="V70" i="2"/>
  <c r="AK69" i="2"/>
  <c r="AF69" i="2"/>
  <c r="V69" i="2"/>
  <c r="AK68" i="2"/>
  <c r="V68" i="2"/>
  <c r="AK67" i="2"/>
  <c r="AF67" i="2"/>
  <c r="V67" i="2"/>
  <c r="AK66" i="2"/>
  <c r="AF66" i="2"/>
  <c r="V66" i="2"/>
  <c r="AK65" i="2"/>
  <c r="AF65" i="2"/>
  <c r="V65" i="2"/>
  <c r="AK64" i="2"/>
  <c r="V64" i="2"/>
  <c r="AK63" i="2"/>
  <c r="AF63" i="2"/>
  <c r="V63" i="2"/>
  <c r="AK62" i="2"/>
  <c r="AF62" i="2"/>
  <c r="V62" i="2"/>
  <c r="AK61" i="2"/>
  <c r="V61" i="2"/>
  <c r="AK60" i="2"/>
  <c r="V60" i="2"/>
  <c r="AK59" i="2"/>
  <c r="AF59" i="2"/>
  <c r="V59" i="2"/>
  <c r="AK58" i="2"/>
  <c r="AF58" i="2"/>
  <c r="V58" i="2"/>
  <c r="AK57" i="2"/>
  <c r="V57" i="2"/>
  <c r="AK56" i="2"/>
  <c r="V56" i="2"/>
  <c r="AK55" i="2"/>
  <c r="AF55" i="2"/>
  <c r="V55" i="2"/>
  <c r="AK54" i="2"/>
  <c r="AF54" i="2"/>
  <c r="V54" i="2"/>
  <c r="AK53" i="2"/>
  <c r="V53" i="2"/>
  <c r="AK52" i="2"/>
  <c r="AF52" i="2"/>
  <c r="V52" i="2"/>
  <c r="AK51" i="2"/>
  <c r="AF51" i="2"/>
  <c r="V51" i="2"/>
  <c r="AK50" i="2"/>
  <c r="AF50" i="2"/>
  <c r="V50" i="2"/>
  <c r="AK49" i="2"/>
  <c r="V49" i="2"/>
  <c r="AK48" i="2"/>
  <c r="AF48" i="2"/>
  <c r="V48" i="2"/>
  <c r="AK47" i="2"/>
  <c r="V47" i="2"/>
  <c r="AK46" i="2"/>
  <c r="V46" i="2"/>
  <c r="AK45" i="2"/>
  <c r="V45" i="2"/>
  <c r="AK44" i="2"/>
  <c r="AF44" i="2"/>
  <c r="V44" i="2"/>
  <c r="AK43" i="2"/>
  <c r="AF43" i="2"/>
  <c r="V43" i="2"/>
  <c r="AK42" i="2"/>
  <c r="AF42" i="2"/>
  <c r="V42" i="2"/>
  <c r="AK41" i="2"/>
  <c r="V41" i="2"/>
  <c r="AK40" i="2"/>
  <c r="V40" i="2"/>
  <c r="AK39" i="2"/>
  <c r="V39" i="2"/>
  <c r="AK38" i="2"/>
  <c r="AF38" i="2"/>
  <c r="V38" i="2"/>
  <c r="AK37" i="2"/>
  <c r="AF37" i="2"/>
  <c r="V37" i="2"/>
  <c r="AK36" i="2"/>
  <c r="AF36" i="2"/>
  <c r="V36" i="2"/>
  <c r="AK35" i="2"/>
  <c r="V35" i="2"/>
  <c r="AK34" i="2"/>
  <c r="V34" i="2"/>
  <c r="AK33" i="2"/>
  <c r="AF33" i="2"/>
  <c r="V33" i="2"/>
  <c r="AK32" i="2"/>
  <c r="AF32" i="2"/>
  <c r="V32" i="2"/>
  <c r="AK31" i="2"/>
  <c r="V31" i="2"/>
  <c r="AK30" i="2"/>
  <c r="AF30" i="2"/>
  <c r="V30" i="2"/>
  <c r="AK29" i="2"/>
  <c r="AF29" i="2"/>
  <c r="V29" i="2"/>
  <c r="AK28" i="2"/>
  <c r="AF28" i="2"/>
  <c r="V28" i="2"/>
  <c r="AK27" i="2"/>
  <c r="AF27" i="2"/>
  <c r="V27" i="2"/>
  <c r="AK26" i="2"/>
  <c r="AF26" i="2"/>
  <c r="V26" i="2"/>
  <c r="AK25" i="2"/>
  <c r="AF25" i="2"/>
  <c r="V25" i="2"/>
  <c r="AK24" i="2"/>
  <c r="AF24" i="2"/>
  <c r="V24" i="2"/>
  <c r="AK23" i="2"/>
  <c r="AF23" i="2"/>
  <c r="V23" i="2"/>
  <c r="AK22" i="2"/>
  <c r="AF22" i="2"/>
  <c r="V22" i="2"/>
  <c r="AK21" i="2"/>
  <c r="V21" i="2"/>
  <c r="AK20" i="2"/>
  <c r="AF20" i="2"/>
  <c r="V20" i="2"/>
  <c r="AK19" i="2"/>
  <c r="AF19" i="2"/>
  <c r="V19" i="2"/>
  <c r="AK18" i="2"/>
  <c r="V18" i="2"/>
  <c r="AK17" i="2"/>
  <c r="AF17" i="2"/>
  <c r="V17" i="2"/>
  <c r="AK16" i="2"/>
  <c r="V16" i="2"/>
  <c r="AK15" i="2"/>
  <c r="AF15" i="2"/>
  <c r="V15" i="2"/>
  <c r="AK14" i="2"/>
  <c r="AF14" i="2"/>
  <c r="V14" i="2"/>
  <c r="AK13" i="2"/>
  <c r="AF13" i="2"/>
  <c r="V13" i="2"/>
  <c r="AK12" i="2"/>
  <c r="V12" i="2"/>
  <c r="AK11" i="2"/>
  <c r="AF11" i="2"/>
  <c r="V11" i="2"/>
  <c r="AK10" i="2"/>
  <c r="AF10" i="2"/>
  <c r="V10" i="2"/>
  <c r="AK9" i="2"/>
  <c r="V9" i="2"/>
  <c r="AK8" i="2"/>
  <c r="AF8" i="2"/>
  <c r="V8" i="2"/>
  <c r="AK7" i="2"/>
  <c r="V7" i="2"/>
  <c r="AK6" i="2"/>
  <c r="AF6" i="2"/>
  <c r="V6" i="2"/>
  <c r="AK5" i="2"/>
  <c r="V5" i="2"/>
  <c r="AK4" i="2"/>
  <c r="AF4" i="2"/>
  <c r="V4" i="2"/>
  <c r="AK3" i="2"/>
  <c r="V3" i="2"/>
  <c r="AK2" i="2"/>
  <c r="AF2" i="2"/>
  <c r="V2" i="2"/>
  <c r="H5" i="6" l="1"/>
  <c r="B5" i="5"/>
  <c r="I23" i="4"/>
  <c r="H23" i="4"/>
  <c r="K64" i="3"/>
  <c r="L64" i="3" s="1"/>
  <c r="AB2" i="2"/>
  <c r="AA2" i="2"/>
  <c r="X2" i="2"/>
  <c r="Y2" i="2" s="1"/>
  <c r="B17" i="5"/>
  <c r="AF3" i="2"/>
  <c r="AB3" i="2"/>
  <c r="AA3" i="2"/>
  <c r="X3" i="2"/>
  <c r="Y3" i="2" s="1"/>
  <c r="H6" i="6"/>
  <c r="B7" i="5"/>
  <c r="K23" i="4"/>
  <c r="AB4" i="2"/>
  <c r="AA4" i="2"/>
  <c r="X4" i="2"/>
  <c r="Y4" i="2" s="1"/>
  <c r="B11" i="5"/>
  <c r="L23" i="4"/>
  <c r="AF5" i="2"/>
  <c r="AB5" i="2"/>
  <c r="AA5" i="2"/>
  <c r="X5" i="2"/>
  <c r="Y5" i="2" s="1"/>
  <c r="B6" i="5"/>
  <c r="J23" i="4"/>
  <c r="AB6" i="2"/>
  <c r="AA6" i="2"/>
  <c r="X6" i="2"/>
  <c r="Y6" i="2" s="1"/>
  <c r="AF7" i="2"/>
  <c r="AB7" i="2"/>
  <c r="AA7" i="2"/>
  <c r="X7" i="2"/>
  <c r="Y7" i="2" s="1"/>
  <c r="B9" i="5"/>
  <c r="AB8" i="2"/>
  <c r="AA8" i="2"/>
  <c r="X8" i="2"/>
  <c r="Y8" i="2" s="1"/>
  <c r="B8" i="5"/>
  <c r="AF9" i="2"/>
  <c r="AB9" i="2"/>
  <c r="AA9" i="2"/>
  <c r="X9" i="2"/>
  <c r="Y9" i="2" s="1"/>
  <c r="AB10" i="2"/>
  <c r="AA10" i="2"/>
  <c r="X10" i="2"/>
  <c r="Y10" i="2" s="1"/>
  <c r="AB11" i="2"/>
  <c r="AA11" i="2"/>
  <c r="X11" i="2"/>
  <c r="Y11" i="2" s="1"/>
  <c r="AF12" i="2"/>
  <c r="AB12" i="2"/>
  <c r="AA12" i="2"/>
  <c r="X12" i="2"/>
  <c r="Y12" i="2" s="1"/>
  <c r="H7" i="6"/>
  <c r="AB13" i="2"/>
  <c r="AA13" i="2"/>
  <c r="X13" i="2"/>
  <c r="Y13" i="2" s="1"/>
  <c r="H8" i="6"/>
  <c r="AB14" i="2"/>
  <c r="AA14" i="2"/>
  <c r="X14" i="2"/>
  <c r="Y14" i="2" s="1"/>
  <c r="AB15" i="2"/>
  <c r="AA15" i="2"/>
  <c r="X15" i="2"/>
  <c r="Y15" i="2" s="1"/>
  <c r="H9" i="6"/>
  <c r="AF16" i="2"/>
  <c r="AB16" i="2"/>
  <c r="AA16" i="2"/>
  <c r="X16" i="2"/>
  <c r="Y16" i="2" s="1"/>
  <c r="I24" i="4"/>
  <c r="H24" i="4"/>
  <c r="K119" i="3"/>
  <c r="L119" i="3" s="1"/>
  <c r="AB17" i="2"/>
  <c r="AA17" i="2"/>
  <c r="X17" i="2"/>
  <c r="Y17" i="2" s="1"/>
  <c r="AF18" i="2"/>
  <c r="AB18" i="2"/>
  <c r="AA18" i="2"/>
  <c r="X18" i="2"/>
  <c r="Y18" i="2" s="1"/>
  <c r="L24" i="4"/>
  <c r="AB19" i="2"/>
  <c r="AA19" i="2"/>
  <c r="X19" i="2"/>
  <c r="Y19" i="2" s="1"/>
  <c r="H10" i="6"/>
  <c r="K24" i="4"/>
  <c r="AB20" i="2"/>
  <c r="AA20" i="2"/>
  <c r="X20" i="2"/>
  <c r="Y20" i="2" s="1"/>
  <c r="AF21" i="2"/>
  <c r="AB21" i="2"/>
  <c r="AA21" i="2"/>
  <c r="X21" i="2"/>
  <c r="Y21" i="2" s="1"/>
  <c r="I21" i="4"/>
  <c r="H21" i="4"/>
  <c r="K112" i="3"/>
  <c r="L112" i="3" s="1"/>
  <c r="AB22" i="2"/>
  <c r="AA22" i="2"/>
  <c r="X22" i="2"/>
  <c r="Y22" i="2" s="1"/>
  <c r="B16" i="5"/>
  <c r="AB23" i="2"/>
  <c r="AA23" i="2"/>
  <c r="X23" i="2"/>
  <c r="Y23" i="2" s="1"/>
  <c r="L21" i="4"/>
  <c r="AB24" i="2"/>
  <c r="AA24" i="2"/>
  <c r="X24" i="2"/>
  <c r="Y24" i="2" s="1"/>
  <c r="K21" i="4"/>
  <c r="AB25" i="2"/>
  <c r="AA25" i="2"/>
  <c r="X25" i="2"/>
  <c r="Y25" i="2" s="1"/>
  <c r="AB26" i="2"/>
  <c r="AA26" i="2"/>
  <c r="X26" i="2"/>
  <c r="Y26" i="2" s="1"/>
  <c r="H11" i="6"/>
  <c r="AB27" i="2"/>
  <c r="AA27" i="2"/>
  <c r="X27" i="2"/>
  <c r="Y27" i="2" s="1"/>
  <c r="J24" i="4"/>
  <c r="AB28" i="2"/>
  <c r="AA28" i="2"/>
  <c r="X28" i="2"/>
  <c r="Y28" i="2" s="1"/>
  <c r="B18" i="5"/>
  <c r="AB29" i="2"/>
  <c r="AA29" i="2"/>
  <c r="X29" i="2"/>
  <c r="Y29" i="2" s="1"/>
  <c r="AB30" i="2"/>
  <c r="AA30" i="2"/>
  <c r="X30" i="2"/>
  <c r="Y30" i="2" s="1"/>
  <c r="H12" i="6"/>
  <c r="AF31" i="2"/>
  <c r="AB31" i="2"/>
  <c r="AA31" i="2"/>
  <c r="X31" i="2"/>
  <c r="Y31" i="2" s="1"/>
  <c r="AB32" i="2"/>
  <c r="AA32" i="2"/>
  <c r="X32" i="2"/>
  <c r="Y32" i="2" s="1"/>
  <c r="AB33" i="2"/>
  <c r="AA33" i="2"/>
  <c r="X33" i="2"/>
  <c r="Y33" i="2" s="1"/>
  <c r="J21" i="4"/>
  <c r="AF34" i="2"/>
  <c r="AB34" i="2"/>
  <c r="AA34" i="2"/>
  <c r="X34" i="2"/>
  <c r="Y34" i="2" s="1"/>
  <c r="H13" i="6"/>
  <c r="AF35" i="2"/>
  <c r="AB35" i="2"/>
  <c r="AA35" i="2"/>
  <c r="X35" i="2"/>
  <c r="Y35" i="2" s="1"/>
  <c r="AB36" i="2"/>
  <c r="AA36" i="2"/>
  <c r="X36" i="2"/>
  <c r="Y36" i="2" s="1"/>
  <c r="AB37" i="2"/>
  <c r="AA37" i="2"/>
  <c r="X37" i="2"/>
  <c r="Y37" i="2" s="1"/>
  <c r="AB38" i="2"/>
  <c r="AA38" i="2"/>
  <c r="X38" i="2"/>
  <c r="Y38" i="2" s="1"/>
  <c r="AF39" i="2"/>
  <c r="AB39" i="2"/>
  <c r="AA39" i="2"/>
  <c r="X39" i="2"/>
  <c r="Y39" i="2" s="1"/>
  <c r="AF40" i="2"/>
  <c r="AB40" i="2"/>
  <c r="AA40" i="2"/>
  <c r="X40" i="2"/>
  <c r="Y40" i="2" s="1"/>
  <c r="AF41" i="2"/>
  <c r="AB41" i="2"/>
  <c r="AA41" i="2"/>
  <c r="X41" i="2"/>
  <c r="Y41" i="2" s="1"/>
  <c r="AB42" i="2"/>
  <c r="AA42" i="2"/>
  <c r="X42" i="2"/>
  <c r="Y42" i="2" s="1"/>
  <c r="AB43" i="2"/>
  <c r="AA43" i="2"/>
  <c r="X43" i="2"/>
  <c r="Y43" i="2" s="1"/>
  <c r="AB44" i="2"/>
  <c r="AA44" i="2"/>
  <c r="X44" i="2"/>
  <c r="Y44" i="2" s="1"/>
  <c r="AF45" i="2"/>
  <c r="AB45" i="2"/>
  <c r="AA45" i="2"/>
  <c r="X45" i="2"/>
  <c r="Y45" i="2" s="1"/>
  <c r="AF46" i="2"/>
  <c r="AB46" i="2"/>
  <c r="AA46" i="2"/>
  <c r="X46" i="2"/>
  <c r="Y46" i="2" s="1"/>
  <c r="AF47" i="2"/>
  <c r="AB47" i="2"/>
  <c r="AA47" i="2"/>
  <c r="X47" i="2"/>
  <c r="Y47" i="2" s="1"/>
  <c r="AB48" i="2"/>
  <c r="AA48" i="2"/>
  <c r="X48" i="2"/>
  <c r="Y48" i="2" s="1"/>
  <c r="AF49" i="2"/>
  <c r="AB49" i="2"/>
  <c r="AA49" i="2"/>
  <c r="X49" i="2"/>
  <c r="Y49" i="2" s="1"/>
  <c r="H14" i="6"/>
  <c r="AB50" i="2"/>
  <c r="AA50" i="2"/>
  <c r="X50" i="2"/>
  <c r="Y50" i="2" s="1"/>
  <c r="AB51" i="2"/>
  <c r="AA51" i="2"/>
  <c r="X51" i="2"/>
  <c r="Y51" i="2" s="1"/>
  <c r="AB52" i="2"/>
  <c r="AA52" i="2"/>
  <c r="X52" i="2"/>
  <c r="Y52" i="2" s="1"/>
  <c r="AF53" i="2"/>
  <c r="AB53" i="2"/>
  <c r="AA53" i="2"/>
  <c r="X53" i="2"/>
  <c r="Y53" i="2" s="1"/>
  <c r="AB54" i="2"/>
  <c r="AA54" i="2"/>
  <c r="X54" i="2"/>
  <c r="Y54" i="2" s="1"/>
  <c r="AB55" i="2"/>
  <c r="AA55" i="2"/>
  <c r="X55" i="2"/>
  <c r="Y55" i="2" s="1"/>
  <c r="AF56" i="2"/>
  <c r="AB56" i="2"/>
  <c r="AA56" i="2"/>
  <c r="X56" i="2"/>
  <c r="Y56" i="2" s="1"/>
  <c r="I16" i="4"/>
  <c r="H16" i="4"/>
  <c r="K120" i="3"/>
  <c r="L120" i="3" s="1"/>
  <c r="AF57" i="2"/>
  <c r="AB57" i="2"/>
  <c r="AA57" i="2"/>
  <c r="X57" i="2"/>
  <c r="Y57" i="2" s="1"/>
  <c r="AB58" i="2"/>
  <c r="AA58" i="2"/>
  <c r="X58" i="2"/>
  <c r="Y58" i="2" s="1"/>
  <c r="L16" i="4"/>
  <c r="AB59" i="2"/>
  <c r="AA59" i="2"/>
  <c r="X59" i="2"/>
  <c r="Y59" i="2" s="1"/>
  <c r="K16" i="4"/>
  <c r="AF60" i="2"/>
  <c r="AB60" i="2"/>
  <c r="AA60" i="2"/>
  <c r="X60" i="2"/>
  <c r="Y60" i="2" s="1"/>
  <c r="H15" i="6"/>
  <c r="AF61" i="2"/>
  <c r="AB61" i="2"/>
  <c r="AA61" i="2"/>
  <c r="X61" i="2"/>
  <c r="Y61" i="2" s="1"/>
  <c r="AB62" i="2"/>
  <c r="AA62" i="2"/>
  <c r="X62" i="2"/>
  <c r="Y62" i="2" s="1"/>
  <c r="AB63" i="2"/>
  <c r="AA63" i="2"/>
  <c r="X63" i="2"/>
  <c r="Y63" i="2" s="1"/>
  <c r="AF64" i="2"/>
  <c r="AB64" i="2"/>
  <c r="AA64" i="2"/>
  <c r="X64" i="2"/>
  <c r="Y64" i="2" s="1"/>
  <c r="AB65" i="2"/>
  <c r="AA65" i="2"/>
  <c r="X65" i="2"/>
  <c r="Y65" i="2" s="1"/>
  <c r="AB66" i="2"/>
  <c r="AA66" i="2"/>
  <c r="X66" i="2"/>
  <c r="Y66" i="2" s="1"/>
  <c r="J16" i="4"/>
  <c r="AB67" i="2"/>
  <c r="AA67" i="2"/>
  <c r="X67" i="2"/>
  <c r="Y67" i="2" s="1"/>
  <c r="H16" i="6"/>
  <c r="AF68" i="2"/>
  <c r="AB68" i="2"/>
  <c r="AA68" i="2"/>
  <c r="X68" i="2"/>
  <c r="Y68" i="2" s="1"/>
  <c r="AB69" i="2"/>
  <c r="AA69" i="2"/>
  <c r="X69" i="2"/>
  <c r="Y69" i="2" s="1"/>
  <c r="AF70" i="2"/>
  <c r="AB70" i="2"/>
  <c r="AA70" i="2"/>
  <c r="X70" i="2"/>
  <c r="Y70" i="2" s="1"/>
  <c r="AB71" i="2"/>
  <c r="AA71" i="2"/>
  <c r="X71" i="2"/>
  <c r="Y71" i="2" s="1"/>
  <c r="H17" i="6"/>
  <c r="AB72" i="2"/>
  <c r="AA72" i="2"/>
  <c r="X72" i="2"/>
  <c r="Y72" i="2" s="1"/>
  <c r="AB73" i="2"/>
  <c r="AA73" i="2"/>
  <c r="X73" i="2"/>
  <c r="Y73" i="2" s="1"/>
  <c r="AB74" i="2"/>
  <c r="AA74" i="2"/>
  <c r="X74" i="2"/>
  <c r="Y74" i="2" s="1"/>
  <c r="AF75" i="2"/>
  <c r="AB75" i="2"/>
  <c r="AA75" i="2"/>
  <c r="X75" i="2"/>
  <c r="Y75" i="2" s="1"/>
  <c r="B21" i="5"/>
  <c r="AB76" i="2"/>
  <c r="AA76" i="2"/>
  <c r="X76" i="2"/>
  <c r="Y76" i="2" s="1"/>
  <c r="AF77" i="2"/>
  <c r="AB77" i="2"/>
  <c r="AA77" i="2"/>
  <c r="X77" i="2"/>
  <c r="Y77" i="2" s="1"/>
  <c r="AF78" i="2"/>
  <c r="AB78" i="2"/>
  <c r="AA78" i="2"/>
  <c r="X78" i="2"/>
  <c r="Y78" i="2" s="1"/>
  <c r="H18" i="6"/>
  <c r="I22" i="4"/>
  <c r="H22" i="4"/>
  <c r="K126" i="3"/>
  <c r="L126" i="3" s="1"/>
  <c r="AB79" i="2"/>
  <c r="AA79" i="2"/>
  <c r="X79" i="2"/>
  <c r="Y79" i="2" s="1"/>
  <c r="K22" i="4"/>
  <c r="AF80" i="2"/>
  <c r="AB80" i="2"/>
  <c r="AA80" i="2"/>
  <c r="X80" i="2"/>
  <c r="Y80" i="2" s="1"/>
  <c r="AF81" i="2"/>
  <c r="AB81" i="2"/>
  <c r="AA81" i="2"/>
  <c r="X81" i="2"/>
  <c r="Y81" i="2" s="1"/>
  <c r="AB82" i="2"/>
  <c r="AA82" i="2"/>
  <c r="X82" i="2"/>
  <c r="Y82" i="2" s="1"/>
  <c r="AB83" i="2"/>
  <c r="AA83" i="2"/>
  <c r="X83" i="2"/>
  <c r="Y83" i="2" s="1"/>
  <c r="AF84" i="2"/>
  <c r="AB84" i="2"/>
  <c r="AA84" i="2"/>
  <c r="X84" i="2"/>
  <c r="Y84" i="2" s="1"/>
  <c r="AF85" i="2"/>
  <c r="AB85" i="2"/>
  <c r="AA85" i="2"/>
  <c r="X85" i="2"/>
  <c r="Y85" i="2" s="1"/>
  <c r="AB86" i="2"/>
  <c r="AA86" i="2"/>
  <c r="X86" i="2"/>
  <c r="Y86" i="2" s="1"/>
  <c r="B12" i="5"/>
  <c r="L22" i="4"/>
  <c r="AF87" i="2"/>
  <c r="AB87" i="2"/>
  <c r="AA87" i="2"/>
  <c r="X87" i="2"/>
  <c r="Y87" i="2" s="1"/>
  <c r="AB88" i="2"/>
  <c r="AA88" i="2"/>
  <c r="X88" i="2"/>
  <c r="Y88" i="2" s="1"/>
  <c r="J22" i="4"/>
  <c r="AB89" i="2"/>
  <c r="AA89" i="2"/>
  <c r="X89" i="2"/>
  <c r="Y89" i="2" s="1"/>
  <c r="H19" i="6"/>
  <c r="AF90" i="2"/>
  <c r="AB90" i="2"/>
  <c r="AA90" i="2"/>
  <c r="X90" i="2"/>
  <c r="Y90" i="2" s="1"/>
  <c r="AB91" i="2"/>
  <c r="AA91" i="2"/>
  <c r="X91" i="2"/>
  <c r="Y91" i="2" s="1"/>
  <c r="AB92" i="2"/>
  <c r="AA92" i="2"/>
  <c r="X92" i="2"/>
  <c r="Y92" i="2" s="1"/>
  <c r="H20" i="6"/>
  <c r="I17" i="4"/>
  <c r="H17" i="4"/>
  <c r="K134" i="3"/>
  <c r="L134" i="3" s="1"/>
  <c r="AB93" i="2"/>
  <c r="AA93" i="2"/>
  <c r="X93" i="2"/>
  <c r="Y93" i="2" s="1"/>
  <c r="K17" i="4"/>
  <c r="AF94" i="2"/>
  <c r="AB94" i="2"/>
  <c r="AA94" i="2"/>
  <c r="X94" i="2"/>
  <c r="Y94" i="2" s="1"/>
  <c r="H21" i="6"/>
  <c r="AB95" i="2"/>
  <c r="AA95" i="2"/>
  <c r="X95" i="2"/>
  <c r="Y95" i="2" s="1"/>
  <c r="AF96" i="2"/>
  <c r="AB96" i="2"/>
  <c r="AA96" i="2"/>
  <c r="X96" i="2"/>
  <c r="Y96" i="2" s="1"/>
  <c r="AB97" i="2"/>
  <c r="AA97" i="2"/>
  <c r="X97" i="2"/>
  <c r="Y97" i="2" s="1"/>
  <c r="AF98" i="2"/>
  <c r="AB98" i="2"/>
  <c r="AA98" i="2"/>
  <c r="X98" i="2"/>
  <c r="Y98" i="2" s="1"/>
  <c r="AF99" i="2"/>
  <c r="AB99" i="2"/>
  <c r="AA99" i="2"/>
  <c r="X99" i="2"/>
  <c r="Y99" i="2" s="1"/>
  <c r="AF100" i="2"/>
  <c r="AB100" i="2"/>
  <c r="AA100" i="2"/>
  <c r="X100" i="2"/>
  <c r="Y100" i="2" s="1"/>
  <c r="H22" i="6"/>
  <c r="AF101" i="2"/>
  <c r="AB101" i="2"/>
  <c r="AA101" i="2"/>
  <c r="X101" i="2"/>
  <c r="Y101" i="2" s="1"/>
  <c r="L17" i="4"/>
  <c r="AB102" i="2"/>
  <c r="AA102" i="2"/>
  <c r="X102" i="2"/>
  <c r="Y102" i="2" s="1"/>
  <c r="J17" i="4"/>
  <c r="AF103" i="2"/>
  <c r="AB103" i="2"/>
  <c r="AA103" i="2"/>
  <c r="X103" i="2"/>
  <c r="Y103" i="2" s="1"/>
  <c r="AB104" i="2"/>
  <c r="AA104" i="2"/>
  <c r="X104" i="2"/>
  <c r="Y104" i="2" s="1"/>
  <c r="AF105" i="2"/>
  <c r="AB105" i="2"/>
  <c r="AA105" i="2"/>
  <c r="X105" i="2"/>
  <c r="Y105" i="2" s="1"/>
  <c r="AB106" i="2"/>
  <c r="AA106" i="2"/>
  <c r="X106" i="2"/>
  <c r="Y106" i="2" s="1"/>
  <c r="AF107" i="2"/>
  <c r="AB107" i="2"/>
  <c r="AA107" i="2"/>
  <c r="X107" i="2"/>
  <c r="Y107" i="2" s="1"/>
  <c r="AF108" i="2"/>
  <c r="AB108" i="2"/>
  <c r="AA108" i="2"/>
  <c r="X108" i="2"/>
  <c r="Y108" i="2" s="1"/>
  <c r="AF109" i="2"/>
  <c r="AB109" i="2"/>
  <c r="AA109" i="2"/>
  <c r="X109" i="2"/>
  <c r="Y109" i="2" s="1"/>
  <c r="H23" i="6"/>
  <c r="AB110" i="2"/>
  <c r="AA110" i="2"/>
  <c r="X110" i="2"/>
  <c r="Y110" i="2" s="1"/>
  <c r="AF111" i="2"/>
  <c r="AB111" i="2"/>
  <c r="AA111" i="2"/>
  <c r="X111" i="2"/>
  <c r="Y111" i="2" s="1"/>
  <c r="AB112" i="2"/>
  <c r="AA112" i="2"/>
  <c r="X112" i="2"/>
  <c r="Y112" i="2" s="1"/>
  <c r="AB113" i="2"/>
  <c r="AA113" i="2"/>
  <c r="X113" i="2"/>
  <c r="Y113" i="2" s="1"/>
  <c r="AF114" i="2"/>
  <c r="AB114" i="2"/>
  <c r="AA114" i="2"/>
  <c r="X114" i="2"/>
  <c r="Y114" i="2" s="1"/>
  <c r="AB115" i="2"/>
  <c r="AA115" i="2"/>
  <c r="X115" i="2"/>
  <c r="Y115" i="2" s="1"/>
  <c r="I15" i="4"/>
  <c r="H15" i="4"/>
  <c r="K28" i="3"/>
  <c r="L28" i="3" s="1"/>
  <c r="AF116" i="2"/>
  <c r="AB116" i="2"/>
  <c r="AA116" i="2"/>
  <c r="X116" i="2"/>
  <c r="Y116" i="2" s="1"/>
  <c r="K15" i="4"/>
  <c r="AF117" i="2"/>
  <c r="AB117" i="2"/>
  <c r="AA117" i="2"/>
  <c r="X117" i="2"/>
  <c r="Y117" i="2" s="1"/>
  <c r="AB118" i="2"/>
  <c r="AA118" i="2"/>
  <c r="X118" i="2"/>
  <c r="Y118" i="2" s="1"/>
  <c r="AF119" i="2"/>
  <c r="AB119" i="2"/>
  <c r="AA119" i="2"/>
  <c r="X119" i="2"/>
  <c r="Y119" i="2" s="1"/>
  <c r="H24" i="6"/>
  <c r="AF120" i="2"/>
  <c r="AB120" i="2"/>
  <c r="AA120" i="2"/>
  <c r="X120" i="2"/>
  <c r="Y120" i="2" s="1"/>
  <c r="AB121" i="2"/>
  <c r="AA121" i="2"/>
  <c r="X121" i="2"/>
  <c r="Y121" i="2" s="1"/>
  <c r="AB122" i="2"/>
  <c r="AA122" i="2"/>
  <c r="X122" i="2"/>
  <c r="Y122" i="2" s="1"/>
  <c r="AF123" i="2"/>
  <c r="AB123" i="2"/>
  <c r="AA123" i="2"/>
  <c r="X123" i="2"/>
  <c r="Y123" i="2" s="1"/>
  <c r="AF124" i="2"/>
  <c r="AB124" i="2"/>
  <c r="AA124" i="2"/>
  <c r="X124" i="2"/>
  <c r="Y124" i="2" s="1"/>
  <c r="AB125" i="2"/>
  <c r="AA125" i="2"/>
  <c r="X125" i="2"/>
  <c r="Y125" i="2" s="1"/>
  <c r="L15" i="4"/>
  <c r="AB126" i="2"/>
  <c r="AA126" i="2"/>
  <c r="X126" i="2"/>
  <c r="Y126" i="2" s="1"/>
  <c r="J15" i="4"/>
  <c r="AB127" i="2"/>
  <c r="AA127" i="2"/>
  <c r="X127" i="2"/>
  <c r="Y127" i="2" s="1"/>
  <c r="AB128" i="2"/>
  <c r="AA128" i="2"/>
  <c r="X128" i="2"/>
  <c r="Y128" i="2" s="1"/>
  <c r="AF129" i="2"/>
  <c r="AB129" i="2"/>
  <c r="AA129" i="2"/>
  <c r="X129" i="2"/>
  <c r="Y129" i="2" s="1"/>
  <c r="AF130" i="2"/>
  <c r="AB130" i="2"/>
  <c r="AA130" i="2"/>
  <c r="X130" i="2"/>
  <c r="Y130" i="2" s="1"/>
  <c r="AB131" i="2"/>
  <c r="AA131" i="2"/>
  <c r="X131" i="2"/>
  <c r="Y131" i="2" s="1"/>
  <c r="AF132" i="2"/>
  <c r="AB132" i="2"/>
  <c r="AA132" i="2"/>
  <c r="X132" i="2"/>
  <c r="Y132" i="2" s="1"/>
  <c r="H25" i="6"/>
  <c r="AB133" i="2"/>
  <c r="AA133" i="2"/>
  <c r="X133" i="2"/>
  <c r="Y133" i="2" s="1"/>
  <c r="AF134" i="2"/>
  <c r="AB134" i="2"/>
  <c r="AA134" i="2"/>
  <c r="X134" i="2"/>
  <c r="Y134" i="2" s="1"/>
  <c r="AB135" i="2"/>
  <c r="AA135" i="2"/>
  <c r="X135" i="2"/>
  <c r="Y135" i="2" s="1"/>
  <c r="AF136" i="2"/>
  <c r="AB136" i="2"/>
  <c r="AA136" i="2"/>
  <c r="X136" i="2"/>
  <c r="Y136" i="2" s="1"/>
  <c r="AB137" i="2"/>
  <c r="AA137" i="2"/>
  <c r="X137" i="2"/>
  <c r="Y137" i="2" s="1"/>
  <c r="I6" i="4"/>
  <c r="H6" i="4"/>
  <c r="K140" i="3"/>
  <c r="L140" i="3" s="1"/>
  <c r="AB138" i="2"/>
  <c r="AA138" i="2"/>
  <c r="X138" i="2"/>
  <c r="Y138" i="2" s="1"/>
  <c r="K6" i="4"/>
  <c r="AB139" i="2"/>
  <c r="AA139" i="2"/>
  <c r="X139" i="2"/>
  <c r="Y139" i="2" s="1"/>
  <c r="H26" i="6"/>
  <c r="AF140" i="2"/>
  <c r="AB140" i="2"/>
  <c r="AA140" i="2"/>
  <c r="X140" i="2"/>
  <c r="Y140" i="2" s="1"/>
  <c r="AF141" i="2"/>
  <c r="AB141" i="2"/>
  <c r="AA141" i="2"/>
  <c r="X141" i="2"/>
  <c r="Y141" i="2" s="1"/>
  <c r="AF142" i="2"/>
  <c r="AB142" i="2"/>
  <c r="AA142" i="2"/>
  <c r="X142" i="2"/>
  <c r="Y142" i="2" s="1"/>
  <c r="AB143" i="2"/>
  <c r="AA143" i="2"/>
  <c r="X143" i="2"/>
  <c r="Y143" i="2" s="1"/>
  <c r="H27" i="6"/>
  <c r="AB144" i="2"/>
  <c r="AA144" i="2"/>
  <c r="X144" i="2"/>
  <c r="Y144" i="2" s="1"/>
  <c r="AB145" i="2"/>
  <c r="AA145" i="2"/>
  <c r="X145" i="2"/>
  <c r="Y145" i="2" s="1"/>
  <c r="H28" i="6"/>
  <c r="AF146" i="2"/>
  <c r="AB146" i="2"/>
  <c r="AA146" i="2"/>
  <c r="X146" i="2"/>
  <c r="Y146" i="2" s="1"/>
  <c r="AB147" i="2"/>
  <c r="AA147" i="2"/>
  <c r="X147" i="2"/>
  <c r="Y147" i="2" s="1"/>
  <c r="AF148" i="2"/>
  <c r="AB148" i="2"/>
  <c r="AA148" i="2"/>
  <c r="X148" i="2"/>
  <c r="Y148" i="2" s="1"/>
  <c r="AF149" i="2"/>
  <c r="AB149" i="2"/>
  <c r="AA149" i="2"/>
  <c r="X149" i="2"/>
  <c r="Y149" i="2" s="1"/>
  <c r="AB150" i="2"/>
  <c r="AA150" i="2"/>
  <c r="X150" i="2"/>
  <c r="Y150" i="2" s="1"/>
  <c r="AB151" i="2"/>
  <c r="AA151" i="2"/>
  <c r="X151" i="2"/>
  <c r="Y151" i="2" s="1"/>
  <c r="B10" i="5"/>
  <c r="AB152" i="2"/>
  <c r="AA152" i="2"/>
  <c r="X152" i="2"/>
  <c r="Y152" i="2" s="1"/>
  <c r="B20" i="5"/>
  <c r="AF153" i="2"/>
  <c r="AB153" i="2"/>
  <c r="AA153" i="2"/>
  <c r="X153" i="2"/>
  <c r="Y153" i="2" s="1"/>
  <c r="L6" i="4"/>
  <c r="AB154" i="2"/>
  <c r="AA154" i="2"/>
  <c r="X154" i="2"/>
  <c r="Y154" i="2" s="1"/>
  <c r="J6" i="4"/>
  <c r="AF155" i="2"/>
  <c r="AB155" i="2"/>
  <c r="AA155" i="2"/>
  <c r="X155" i="2"/>
  <c r="Y155" i="2" s="1"/>
  <c r="AB156" i="2"/>
  <c r="AA156" i="2"/>
  <c r="X156" i="2"/>
  <c r="Y156" i="2" s="1"/>
  <c r="AB157" i="2"/>
  <c r="AA157" i="2"/>
  <c r="X157" i="2"/>
  <c r="Y157" i="2" s="1"/>
  <c r="B22" i="5"/>
  <c r="AF158" i="2"/>
  <c r="AB158" i="2"/>
  <c r="AA158" i="2"/>
  <c r="X158" i="2"/>
  <c r="Y158" i="2" s="1"/>
  <c r="H29" i="6"/>
  <c r="I13" i="4"/>
  <c r="H13" i="4"/>
  <c r="K99" i="3"/>
  <c r="L99" i="3" s="1"/>
  <c r="AB159" i="2"/>
  <c r="AA159" i="2"/>
  <c r="X159" i="2"/>
  <c r="Y159" i="2" s="1"/>
  <c r="H30" i="6"/>
  <c r="AB160" i="2"/>
  <c r="AA160" i="2"/>
  <c r="X160" i="2"/>
  <c r="Y160" i="2" s="1"/>
  <c r="L13" i="4"/>
  <c r="AF161" i="2"/>
  <c r="AB161" i="2"/>
  <c r="AA161" i="2"/>
  <c r="X161" i="2"/>
  <c r="Y161" i="2" s="1"/>
  <c r="K13" i="4"/>
  <c r="AB162" i="2"/>
  <c r="AA162" i="2"/>
  <c r="X162" i="2"/>
  <c r="Y162" i="2" s="1"/>
  <c r="AB163" i="2"/>
  <c r="AA163" i="2"/>
  <c r="X163" i="2"/>
  <c r="Y163" i="2" s="1"/>
  <c r="H31" i="6"/>
  <c r="AF164" i="2"/>
  <c r="AB164" i="2"/>
  <c r="AA164" i="2"/>
  <c r="X164" i="2"/>
  <c r="Y164" i="2" s="1"/>
  <c r="AB165" i="2"/>
  <c r="AA165" i="2"/>
  <c r="X165" i="2"/>
  <c r="Y165" i="2" s="1"/>
  <c r="AB166" i="2"/>
  <c r="AA166" i="2"/>
  <c r="X166" i="2"/>
  <c r="Y166" i="2" s="1"/>
  <c r="AB167" i="2"/>
  <c r="AA167" i="2"/>
  <c r="X167" i="2"/>
  <c r="Y167" i="2" s="1"/>
  <c r="AB168" i="2"/>
  <c r="AA168" i="2"/>
  <c r="X168" i="2"/>
  <c r="Y168" i="2" s="1"/>
  <c r="H32" i="6"/>
  <c r="K127" i="3"/>
  <c r="L127" i="3" s="1"/>
  <c r="AF169" i="2"/>
  <c r="AB169" i="2"/>
  <c r="AA169" i="2"/>
  <c r="X169" i="2"/>
  <c r="Y169" i="2" s="1"/>
  <c r="AB170" i="2"/>
  <c r="AA170" i="2"/>
  <c r="X170" i="2"/>
  <c r="Y170" i="2" s="1"/>
  <c r="AF171" i="2"/>
  <c r="AB171" i="2"/>
  <c r="AA171" i="2"/>
  <c r="X171" i="2"/>
  <c r="Y171" i="2" s="1"/>
  <c r="AF172" i="2"/>
  <c r="AB172" i="2"/>
  <c r="AA172" i="2"/>
  <c r="X172" i="2"/>
  <c r="Y172" i="2" s="1"/>
  <c r="I4" i="4"/>
  <c r="H4" i="4"/>
  <c r="K136" i="3"/>
  <c r="L136" i="3" s="1"/>
  <c r="AB173" i="2"/>
  <c r="AA173" i="2"/>
  <c r="X173" i="2"/>
  <c r="Y173" i="2" s="1"/>
  <c r="L4" i="4"/>
  <c r="AF174" i="2"/>
  <c r="AB174" i="2"/>
  <c r="AA174" i="2"/>
  <c r="X174" i="2"/>
  <c r="Y174" i="2" s="1"/>
  <c r="K4" i="4"/>
  <c r="AB175" i="2"/>
  <c r="AA175" i="2"/>
  <c r="X175" i="2"/>
  <c r="Y175" i="2" s="1"/>
  <c r="H33" i="6"/>
  <c r="AF176" i="2"/>
  <c r="AB176" i="2"/>
  <c r="AA176" i="2"/>
  <c r="X176" i="2"/>
  <c r="Y176" i="2" s="1"/>
  <c r="J13" i="4"/>
  <c r="AB177" i="2"/>
  <c r="AA177" i="2"/>
  <c r="X177" i="2"/>
  <c r="Y177" i="2" s="1"/>
  <c r="H34" i="6"/>
  <c r="AB178" i="2"/>
  <c r="AA178" i="2"/>
  <c r="X178" i="2"/>
  <c r="Y178" i="2" s="1"/>
  <c r="H35" i="6"/>
  <c r="AB179" i="2"/>
  <c r="AA179" i="2"/>
  <c r="X179" i="2"/>
  <c r="Y179" i="2" s="1"/>
  <c r="AB180" i="2"/>
  <c r="AA180" i="2"/>
  <c r="X180" i="2"/>
  <c r="Y180" i="2" s="1"/>
  <c r="H36" i="6"/>
  <c r="AF181" i="2"/>
  <c r="AB181" i="2"/>
  <c r="AA181" i="2"/>
  <c r="X181" i="2"/>
  <c r="Y181" i="2" s="1"/>
  <c r="AB182" i="2"/>
  <c r="AA182" i="2"/>
  <c r="X182" i="2"/>
  <c r="Y182" i="2" s="1"/>
  <c r="AB183" i="2"/>
  <c r="AA183" i="2"/>
  <c r="X183" i="2"/>
  <c r="Y183" i="2" s="1"/>
  <c r="AB184" i="2"/>
  <c r="AA184" i="2"/>
  <c r="X184" i="2"/>
  <c r="Y184" i="2" s="1"/>
  <c r="H37" i="6"/>
  <c r="AB185" i="2"/>
  <c r="AA185" i="2"/>
  <c r="X185" i="2"/>
  <c r="Y185" i="2" s="1"/>
  <c r="J4" i="4"/>
  <c r="AB186" i="2"/>
  <c r="AA186" i="2"/>
  <c r="X186" i="2"/>
  <c r="Y186" i="2" s="1"/>
  <c r="AF187" i="2"/>
  <c r="AB187" i="2"/>
  <c r="AA187" i="2"/>
  <c r="X187" i="2"/>
  <c r="Y187" i="2" s="1"/>
  <c r="AF188" i="2"/>
  <c r="AB188" i="2"/>
  <c r="AA188" i="2"/>
  <c r="X188" i="2"/>
  <c r="Y188" i="2" s="1"/>
  <c r="H38" i="6"/>
  <c r="AB189" i="2"/>
  <c r="AA189" i="2"/>
  <c r="X189" i="2"/>
  <c r="Y189" i="2" s="1"/>
  <c r="H39" i="6"/>
  <c r="AF190" i="2"/>
  <c r="AB190" i="2"/>
  <c r="AA190" i="2"/>
  <c r="X190" i="2"/>
  <c r="Y190" i="2" s="1"/>
  <c r="AB191" i="2"/>
  <c r="AA191" i="2"/>
  <c r="X191" i="2"/>
  <c r="Y191" i="2" s="1"/>
  <c r="AB192" i="2"/>
  <c r="AA192" i="2"/>
  <c r="X192" i="2"/>
  <c r="Y192" i="2" s="1"/>
  <c r="AB193" i="2"/>
  <c r="AA193" i="2"/>
  <c r="X193" i="2"/>
  <c r="Y193" i="2" s="1"/>
  <c r="AB194" i="2"/>
  <c r="AA194" i="2"/>
  <c r="X194" i="2"/>
  <c r="Y194" i="2" s="1"/>
  <c r="AF195" i="2"/>
  <c r="AB195" i="2"/>
  <c r="AA195" i="2"/>
  <c r="X195" i="2"/>
  <c r="Y195" i="2" s="1"/>
  <c r="AB196" i="2"/>
  <c r="AA196" i="2"/>
  <c r="X196" i="2"/>
  <c r="Y196" i="2" s="1"/>
  <c r="AF197" i="2"/>
  <c r="AB197" i="2"/>
  <c r="AA197" i="2"/>
  <c r="X197" i="2"/>
  <c r="Y197" i="2" s="1"/>
  <c r="AF198" i="2"/>
  <c r="AB198" i="2"/>
  <c r="AA198" i="2"/>
  <c r="X198" i="2"/>
  <c r="Y198" i="2" s="1"/>
  <c r="K42" i="3"/>
  <c r="L42" i="3" s="1"/>
  <c r="AB199" i="2"/>
  <c r="AA199" i="2"/>
  <c r="X199" i="2"/>
  <c r="Y199" i="2" s="1"/>
  <c r="AF200" i="2"/>
  <c r="AB200" i="2"/>
  <c r="AA200" i="2"/>
  <c r="X200" i="2"/>
  <c r="Y200" i="2" s="1"/>
  <c r="AB201" i="2"/>
  <c r="AA201" i="2"/>
  <c r="X201" i="2"/>
  <c r="Y201" i="2" s="1"/>
  <c r="AF202" i="2"/>
  <c r="AB202" i="2"/>
  <c r="AA202" i="2"/>
  <c r="X202" i="2"/>
  <c r="Y202" i="2" s="1"/>
  <c r="H40" i="6"/>
  <c r="AF203" i="2"/>
  <c r="AB203" i="2"/>
  <c r="AA203" i="2"/>
  <c r="X203" i="2"/>
  <c r="Y203" i="2" s="1"/>
  <c r="B19" i="5"/>
  <c r="AF204" i="2"/>
  <c r="AB204" i="2"/>
  <c r="AA204" i="2"/>
  <c r="X204" i="2"/>
  <c r="Y204" i="2" s="1"/>
  <c r="H41" i="6"/>
  <c r="AF205" i="2"/>
  <c r="AB205" i="2"/>
  <c r="AA205" i="2"/>
  <c r="X205" i="2"/>
  <c r="Y205" i="2" s="1"/>
  <c r="AB206" i="2"/>
  <c r="AA206" i="2"/>
  <c r="X206" i="2"/>
  <c r="Y206" i="2" s="1"/>
  <c r="AB207" i="2"/>
  <c r="AA207" i="2"/>
  <c r="X207" i="2"/>
  <c r="Y207" i="2" s="1"/>
  <c r="AF208" i="2"/>
  <c r="AB208" i="2"/>
  <c r="AA208" i="2"/>
  <c r="X208" i="2"/>
  <c r="Y208" i="2" s="1"/>
  <c r="AB209" i="2"/>
  <c r="AA209" i="2"/>
  <c r="X209" i="2"/>
  <c r="Y209" i="2" s="1"/>
  <c r="AB210" i="2"/>
  <c r="AA210" i="2"/>
  <c r="X210" i="2"/>
  <c r="Y210" i="2" s="1"/>
  <c r="AF211" i="2"/>
  <c r="AB211" i="2"/>
  <c r="AA211" i="2"/>
  <c r="X211" i="2"/>
  <c r="Y211" i="2" s="1"/>
  <c r="AB212" i="2"/>
  <c r="AA212" i="2"/>
  <c r="X212" i="2"/>
  <c r="Y212" i="2" s="1"/>
  <c r="H42" i="6"/>
  <c r="AB213" i="2"/>
  <c r="AA213" i="2"/>
  <c r="X213" i="2"/>
  <c r="Y213" i="2" s="1"/>
  <c r="B13" i="5"/>
  <c r="AF214" i="2"/>
  <c r="AB214" i="2"/>
  <c r="AA214" i="2"/>
  <c r="X214" i="2"/>
  <c r="Y214" i="2" s="1"/>
  <c r="AF215" i="2"/>
  <c r="AB215" i="2"/>
  <c r="AA215" i="2"/>
  <c r="X215" i="2"/>
  <c r="Y215" i="2" s="1"/>
  <c r="AB216" i="2"/>
  <c r="AA216" i="2"/>
  <c r="X216" i="2"/>
  <c r="Y216" i="2" s="1"/>
  <c r="AB217" i="2"/>
  <c r="AA217" i="2"/>
  <c r="X217" i="2"/>
  <c r="Y217" i="2" s="1"/>
  <c r="AF218" i="2"/>
  <c r="AB218" i="2"/>
  <c r="AA218" i="2"/>
  <c r="X218" i="2"/>
  <c r="Y218" i="2" s="1"/>
  <c r="H43" i="6"/>
  <c r="I20" i="4"/>
  <c r="H20" i="4"/>
  <c r="K76" i="3"/>
  <c r="L76" i="3" s="1"/>
  <c r="AF219" i="2"/>
  <c r="AB219" i="2"/>
  <c r="AA219" i="2"/>
  <c r="X219" i="2"/>
  <c r="Y219" i="2" s="1"/>
  <c r="L20" i="4"/>
  <c r="AB220" i="2"/>
  <c r="AA220" i="2"/>
  <c r="X220" i="2"/>
  <c r="Y220" i="2" s="1"/>
  <c r="K20" i="4"/>
  <c r="AF221" i="2"/>
  <c r="AB221" i="2"/>
  <c r="AA221" i="2"/>
  <c r="X221" i="2"/>
  <c r="Y221" i="2" s="1"/>
  <c r="AB222" i="2"/>
  <c r="AA222" i="2"/>
  <c r="X222" i="2"/>
  <c r="Y222" i="2" s="1"/>
  <c r="AB223" i="2"/>
  <c r="AA223" i="2"/>
  <c r="X223" i="2"/>
  <c r="Y223" i="2" s="1"/>
  <c r="AF224" i="2"/>
  <c r="AB224" i="2"/>
  <c r="AA224" i="2"/>
  <c r="X224" i="2"/>
  <c r="Y224" i="2" s="1"/>
  <c r="AF225" i="2"/>
  <c r="AB225" i="2"/>
  <c r="AA225" i="2"/>
  <c r="X225" i="2"/>
  <c r="Y225" i="2" s="1"/>
  <c r="AF226" i="2"/>
  <c r="AB226" i="2"/>
  <c r="AA226" i="2"/>
  <c r="X226" i="2"/>
  <c r="Y226" i="2" s="1"/>
  <c r="H44" i="6"/>
  <c r="AF227" i="2"/>
  <c r="AB227" i="2"/>
  <c r="AA227" i="2"/>
  <c r="X227" i="2"/>
  <c r="Y227" i="2" s="1"/>
  <c r="AB228" i="2"/>
  <c r="AA228" i="2"/>
  <c r="X228" i="2"/>
  <c r="Y228" i="2" s="1"/>
  <c r="AB229" i="2"/>
  <c r="AA229" i="2"/>
  <c r="X229" i="2"/>
  <c r="Y229" i="2" s="1"/>
  <c r="AB230" i="2"/>
  <c r="AA230" i="2"/>
  <c r="X230" i="2"/>
  <c r="Y230" i="2" s="1"/>
  <c r="AB231" i="2"/>
  <c r="AA231" i="2"/>
  <c r="X231" i="2"/>
  <c r="Y231" i="2" s="1"/>
  <c r="B14" i="5"/>
  <c r="AF232" i="2"/>
  <c r="AB232" i="2"/>
  <c r="AA232" i="2"/>
  <c r="X232" i="2"/>
  <c r="Y232" i="2" s="1"/>
  <c r="H45" i="6"/>
  <c r="AB233" i="2"/>
  <c r="AA233" i="2"/>
  <c r="X233" i="2"/>
  <c r="Y233" i="2" s="1"/>
  <c r="AB234" i="2"/>
  <c r="AA234" i="2"/>
  <c r="X234" i="2"/>
  <c r="Y234" i="2" s="1"/>
  <c r="B15" i="5"/>
  <c r="AB235" i="2"/>
  <c r="AA235" i="2"/>
  <c r="X235" i="2"/>
  <c r="Y235" i="2" s="1"/>
  <c r="H46" i="6"/>
  <c r="AB236" i="2"/>
  <c r="AA236" i="2"/>
  <c r="X236" i="2"/>
  <c r="Y236" i="2" s="1"/>
  <c r="AB237" i="2"/>
  <c r="AA237" i="2"/>
  <c r="X237" i="2"/>
  <c r="Y237" i="2" s="1"/>
  <c r="AB238" i="2"/>
  <c r="AA238" i="2"/>
  <c r="X238" i="2"/>
  <c r="Y238" i="2" s="1"/>
  <c r="AB239" i="2"/>
  <c r="AA239" i="2"/>
  <c r="X239" i="2"/>
  <c r="Y239" i="2" s="1"/>
  <c r="J20" i="4"/>
  <c r="AB240" i="2"/>
  <c r="AA240" i="2"/>
  <c r="X240" i="2"/>
  <c r="Y240" i="2" s="1"/>
  <c r="AB241" i="2"/>
  <c r="AA241" i="2"/>
  <c r="X241" i="2"/>
  <c r="Y241" i="2" s="1"/>
  <c r="AF242" i="2"/>
  <c r="AB242" i="2"/>
  <c r="AA242" i="2"/>
  <c r="X242" i="2"/>
  <c r="Y242" i="2" s="1"/>
  <c r="AF243" i="2"/>
  <c r="AB243" i="2"/>
  <c r="AA243" i="2"/>
  <c r="X243" i="2"/>
  <c r="Y243" i="2" s="1"/>
  <c r="AF244" i="2"/>
  <c r="AB244" i="2"/>
  <c r="AA244" i="2"/>
  <c r="X244" i="2"/>
  <c r="Y244" i="2" s="1"/>
  <c r="AF245" i="2"/>
  <c r="AB245" i="2"/>
  <c r="AA245" i="2"/>
  <c r="X245" i="2"/>
  <c r="Y245" i="2" s="1"/>
  <c r="H47" i="6"/>
  <c r="I14" i="4"/>
  <c r="H14" i="4"/>
  <c r="K94" i="3"/>
  <c r="L94" i="3" s="1"/>
  <c r="AF246" i="2"/>
  <c r="AB246" i="2"/>
  <c r="AA246" i="2"/>
  <c r="X246" i="2"/>
  <c r="Y246" i="2" s="1"/>
  <c r="AB247" i="2"/>
  <c r="AA247" i="2"/>
  <c r="X247" i="2"/>
  <c r="Y247" i="2" s="1"/>
  <c r="K14" i="4"/>
  <c r="AB248" i="2"/>
  <c r="AA248" i="2"/>
  <c r="X248" i="2"/>
  <c r="Y248" i="2" s="1"/>
  <c r="AB249" i="2"/>
  <c r="AA249" i="2"/>
  <c r="X249" i="2"/>
  <c r="Y249" i="2" s="1"/>
  <c r="AB250" i="2"/>
  <c r="AA250" i="2"/>
  <c r="X250" i="2"/>
  <c r="Y250" i="2" s="1"/>
  <c r="H48" i="6"/>
  <c r="AF251" i="2"/>
  <c r="AB251" i="2"/>
  <c r="AA251" i="2"/>
  <c r="X251" i="2"/>
  <c r="Y251" i="2" s="1"/>
  <c r="AB252" i="2"/>
  <c r="AA252" i="2"/>
  <c r="X252" i="2"/>
  <c r="Y252" i="2" s="1"/>
  <c r="H49" i="6"/>
  <c r="AB253" i="2"/>
  <c r="AA253" i="2"/>
  <c r="X253" i="2"/>
  <c r="Y253" i="2" s="1"/>
  <c r="AB254" i="2"/>
  <c r="AA254" i="2"/>
  <c r="X254" i="2"/>
  <c r="Y254" i="2" s="1"/>
  <c r="H50" i="6"/>
  <c r="K40" i="3"/>
  <c r="L40" i="3" s="1"/>
  <c r="AF255" i="2"/>
  <c r="AB255" i="2"/>
  <c r="AA255" i="2"/>
  <c r="X255" i="2"/>
  <c r="Y255" i="2" s="1"/>
  <c r="AF256" i="2"/>
  <c r="AB256" i="2"/>
  <c r="AA256" i="2"/>
  <c r="X256" i="2"/>
  <c r="Y256" i="2" s="1"/>
  <c r="AB257" i="2"/>
  <c r="AA257" i="2"/>
  <c r="X257" i="2"/>
  <c r="Y257" i="2" s="1"/>
  <c r="AB258" i="2"/>
  <c r="AA258" i="2"/>
  <c r="X258" i="2"/>
  <c r="Y258" i="2" s="1"/>
  <c r="H51" i="6"/>
  <c r="AB259" i="2"/>
  <c r="AA259" i="2"/>
  <c r="X259" i="2"/>
  <c r="Y259" i="2" s="1"/>
  <c r="H52" i="6"/>
  <c r="AB260" i="2"/>
  <c r="AA260" i="2"/>
  <c r="X260" i="2"/>
  <c r="Y260" i="2" s="1"/>
  <c r="AB261" i="2"/>
  <c r="AA261" i="2"/>
  <c r="X261" i="2"/>
  <c r="Y261" i="2" s="1"/>
  <c r="H53" i="6"/>
  <c r="AB262" i="2"/>
  <c r="AA262" i="2"/>
  <c r="X262" i="2"/>
  <c r="Y262" i="2" s="1"/>
  <c r="AB263" i="2"/>
  <c r="AA263" i="2"/>
  <c r="X263" i="2"/>
  <c r="Y263" i="2" s="1"/>
  <c r="AF264" i="2"/>
  <c r="AB264" i="2"/>
  <c r="AA264" i="2"/>
  <c r="X264" i="2"/>
  <c r="Y264" i="2" s="1"/>
  <c r="AB265" i="2"/>
  <c r="AA265" i="2"/>
  <c r="X265" i="2"/>
  <c r="Y265" i="2" s="1"/>
  <c r="H54" i="6"/>
  <c r="L14" i="4"/>
  <c r="AF266" i="2"/>
  <c r="AB266" i="2"/>
  <c r="AA266" i="2"/>
  <c r="X266" i="2"/>
  <c r="Y266" i="2" s="1"/>
  <c r="AB267" i="2"/>
  <c r="AA267" i="2"/>
  <c r="X267" i="2"/>
  <c r="Y267" i="2" s="1"/>
  <c r="J14" i="4"/>
  <c r="AF268" i="2"/>
  <c r="AB268" i="2"/>
  <c r="AA268" i="2"/>
  <c r="X268" i="2"/>
  <c r="Y268" i="2" s="1"/>
  <c r="H55" i="6"/>
  <c r="AB269" i="2"/>
  <c r="AA269" i="2"/>
  <c r="X269" i="2"/>
  <c r="Y269" i="2" s="1"/>
  <c r="AF270" i="2"/>
  <c r="AB270" i="2"/>
  <c r="AA270" i="2"/>
  <c r="X270" i="2"/>
  <c r="Y270" i="2" s="1"/>
  <c r="AB271" i="2"/>
  <c r="AA271" i="2"/>
  <c r="X271" i="2"/>
  <c r="Y271" i="2" s="1"/>
  <c r="H56" i="6"/>
  <c r="AB272" i="2"/>
  <c r="AA272" i="2"/>
  <c r="X272" i="2"/>
  <c r="Y272" i="2" s="1"/>
  <c r="H57" i="6"/>
  <c r="AF273" i="2"/>
  <c r="AB273" i="2"/>
  <c r="AA273" i="2"/>
  <c r="X273" i="2"/>
  <c r="Y273" i="2" s="1"/>
  <c r="AF274" i="2"/>
  <c r="AB274" i="2"/>
  <c r="AA274" i="2"/>
  <c r="X274" i="2"/>
  <c r="Y274" i="2" s="1"/>
  <c r="AB275" i="2"/>
  <c r="AA275" i="2"/>
  <c r="X275" i="2"/>
  <c r="Y275" i="2" s="1"/>
  <c r="AB276" i="2"/>
  <c r="AA276" i="2"/>
  <c r="X276" i="2"/>
  <c r="Y276" i="2" s="1"/>
  <c r="AB277" i="2"/>
  <c r="AA277" i="2"/>
  <c r="X277" i="2"/>
  <c r="Y277" i="2" s="1"/>
  <c r="AB278" i="2"/>
  <c r="AA278" i="2"/>
  <c r="X278" i="2"/>
  <c r="Y278" i="2" s="1"/>
  <c r="H58" i="6"/>
  <c r="AB279" i="2"/>
  <c r="AA279" i="2"/>
  <c r="X279" i="2"/>
  <c r="Y279" i="2" s="1"/>
  <c r="AF280" i="2"/>
  <c r="AB280" i="2"/>
  <c r="AA280" i="2"/>
  <c r="X280" i="2"/>
  <c r="Y280" i="2" s="1"/>
  <c r="H59" i="6"/>
  <c r="I12" i="4"/>
  <c r="H12" i="4"/>
  <c r="K8" i="3"/>
  <c r="L8" i="3" s="1"/>
  <c r="AF281" i="2"/>
  <c r="AB281" i="2"/>
  <c r="AA281" i="2"/>
  <c r="X281" i="2"/>
  <c r="Y281" i="2" s="1"/>
  <c r="L12" i="4"/>
  <c r="AB282" i="2"/>
  <c r="AA282" i="2"/>
  <c r="X282" i="2"/>
  <c r="Y282" i="2" s="1"/>
  <c r="K12" i="4"/>
  <c r="AB283" i="2"/>
  <c r="AA283" i="2"/>
  <c r="X283" i="2"/>
  <c r="Y283" i="2" s="1"/>
  <c r="AB284" i="2"/>
  <c r="AA284" i="2"/>
  <c r="X284" i="2"/>
  <c r="Y284" i="2" s="1"/>
  <c r="AF285" i="2"/>
  <c r="AB285" i="2"/>
  <c r="AA285" i="2"/>
  <c r="X285" i="2"/>
  <c r="Y285" i="2" s="1"/>
  <c r="AF286" i="2"/>
  <c r="AB286" i="2"/>
  <c r="AA286" i="2"/>
  <c r="X286" i="2"/>
  <c r="Y286" i="2" s="1"/>
  <c r="H60" i="6"/>
  <c r="AB287" i="2"/>
  <c r="AA287" i="2"/>
  <c r="X287" i="2"/>
  <c r="Y287" i="2" s="1"/>
  <c r="AF288" i="2"/>
  <c r="AB288" i="2"/>
  <c r="AA288" i="2"/>
  <c r="X288" i="2"/>
  <c r="Y288" i="2" s="1"/>
  <c r="AF289" i="2"/>
  <c r="AB289" i="2"/>
  <c r="AA289" i="2"/>
  <c r="X289" i="2"/>
  <c r="Y289" i="2" s="1"/>
  <c r="AF290" i="2"/>
  <c r="AB290" i="2"/>
  <c r="AA290" i="2"/>
  <c r="X290" i="2"/>
  <c r="Y290" i="2" s="1"/>
  <c r="AF291" i="2"/>
  <c r="AB291" i="2"/>
  <c r="AA291" i="2"/>
  <c r="X291" i="2"/>
  <c r="Y291" i="2" s="1"/>
  <c r="AF292" i="2"/>
  <c r="AB292" i="2"/>
  <c r="AA292" i="2"/>
  <c r="X292" i="2"/>
  <c r="Y292" i="2" s="1"/>
  <c r="AB293" i="2"/>
  <c r="AA293" i="2"/>
  <c r="X293" i="2"/>
  <c r="Y293" i="2" s="1"/>
  <c r="I25" i="4"/>
  <c r="H25" i="4"/>
  <c r="K84" i="3"/>
  <c r="L84" i="3" s="1"/>
  <c r="AF294" i="2"/>
  <c r="AB294" i="2"/>
  <c r="AA294" i="2"/>
  <c r="X294" i="2"/>
  <c r="Y294" i="2" s="1"/>
  <c r="AB295" i="2"/>
  <c r="AA295" i="2"/>
  <c r="X295" i="2"/>
  <c r="Y295" i="2" s="1"/>
  <c r="H61" i="6"/>
  <c r="K25" i="4"/>
  <c r="AF296" i="2"/>
  <c r="AB296" i="2"/>
  <c r="AA296" i="2"/>
  <c r="X296" i="2"/>
  <c r="Y296" i="2" s="1"/>
  <c r="AF297" i="2"/>
  <c r="AB297" i="2"/>
  <c r="AA297" i="2"/>
  <c r="X297" i="2"/>
  <c r="Y297" i="2" s="1"/>
  <c r="AF298" i="2"/>
  <c r="AB298" i="2"/>
  <c r="AA298" i="2"/>
  <c r="X298" i="2"/>
  <c r="Y298" i="2" s="1"/>
  <c r="AB299" i="2"/>
  <c r="AA299" i="2"/>
  <c r="X299" i="2"/>
  <c r="Y299" i="2" s="1"/>
  <c r="AF300" i="2"/>
  <c r="AB300" i="2"/>
  <c r="AA300" i="2"/>
  <c r="X300" i="2"/>
  <c r="Y300" i="2" s="1"/>
  <c r="AF301" i="2"/>
  <c r="AB301" i="2"/>
  <c r="AA301" i="2"/>
  <c r="X301" i="2"/>
  <c r="Y301" i="2" s="1"/>
  <c r="AB302" i="2"/>
  <c r="AA302" i="2"/>
  <c r="X302" i="2"/>
  <c r="Y302" i="2" s="1"/>
  <c r="AF303" i="2"/>
  <c r="AB303" i="2"/>
  <c r="AA303" i="2"/>
  <c r="X303" i="2"/>
  <c r="Y303" i="2" s="1"/>
  <c r="H62" i="6"/>
  <c r="AF304" i="2"/>
  <c r="AB304" i="2"/>
  <c r="AA304" i="2"/>
  <c r="X304" i="2"/>
  <c r="Y304" i="2" s="1"/>
  <c r="H63" i="6"/>
  <c r="J12" i="4"/>
  <c r="AB305" i="2"/>
  <c r="AA305" i="2"/>
  <c r="X305" i="2"/>
  <c r="Y305" i="2" s="1"/>
  <c r="AF306" i="2"/>
  <c r="AB306" i="2"/>
  <c r="AA306" i="2"/>
  <c r="X306" i="2"/>
  <c r="Y306" i="2" s="1"/>
  <c r="H64" i="6"/>
  <c r="AB307" i="2"/>
  <c r="AA307" i="2"/>
  <c r="X307" i="2"/>
  <c r="Y307" i="2" s="1"/>
  <c r="H65" i="6"/>
  <c r="AB308" i="2"/>
  <c r="AA308" i="2"/>
  <c r="X308" i="2"/>
  <c r="Y308" i="2" s="1"/>
  <c r="AF309" i="2"/>
  <c r="AB309" i="2"/>
  <c r="AA309" i="2"/>
  <c r="X309" i="2"/>
  <c r="Y309" i="2" s="1"/>
  <c r="AB310" i="2"/>
  <c r="AA310" i="2"/>
  <c r="X310" i="2"/>
  <c r="Y310" i="2" s="1"/>
  <c r="AF311" i="2"/>
  <c r="AB311" i="2"/>
  <c r="AA311" i="2"/>
  <c r="X311" i="2"/>
  <c r="Y311" i="2" s="1"/>
  <c r="J25" i="4"/>
  <c r="AF312" i="2"/>
  <c r="AB312" i="2"/>
  <c r="AA312" i="2"/>
  <c r="X312" i="2"/>
  <c r="Y312" i="2" s="1"/>
  <c r="AB313" i="2"/>
  <c r="AA313" i="2"/>
  <c r="X313" i="2"/>
  <c r="Y313" i="2" s="1"/>
  <c r="AF314" i="2"/>
  <c r="AB314" i="2"/>
  <c r="AA314" i="2"/>
  <c r="X314" i="2"/>
  <c r="Y314" i="2" s="1"/>
  <c r="AB315" i="2"/>
  <c r="AA315" i="2"/>
  <c r="X315" i="2"/>
  <c r="Y315" i="2" s="1"/>
  <c r="AB316" i="2"/>
  <c r="AA316" i="2"/>
  <c r="X316" i="2"/>
  <c r="Y316" i="2" s="1"/>
  <c r="AB317" i="2"/>
  <c r="AA317" i="2"/>
  <c r="X317" i="2"/>
  <c r="Y317" i="2" s="1"/>
  <c r="H66" i="6"/>
  <c r="AB318" i="2"/>
  <c r="AA318" i="2"/>
  <c r="X318" i="2"/>
  <c r="Y318" i="2" s="1"/>
  <c r="AB319" i="2"/>
  <c r="AA319" i="2"/>
  <c r="X319" i="2"/>
  <c r="Y319" i="2" s="1"/>
  <c r="AB320" i="2"/>
  <c r="AA320" i="2"/>
  <c r="X320" i="2"/>
  <c r="Y320" i="2" s="1"/>
  <c r="I26" i="4"/>
  <c r="H26" i="4"/>
  <c r="K79" i="3"/>
  <c r="L79" i="3" s="1"/>
  <c r="AB321" i="2"/>
  <c r="AA321" i="2"/>
  <c r="X321" i="2"/>
  <c r="Y321" i="2" s="1"/>
  <c r="AB322" i="2"/>
  <c r="AA322" i="2"/>
  <c r="X322" i="2"/>
  <c r="Y322" i="2" s="1"/>
  <c r="L26" i="4"/>
  <c r="AF323" i="2"/>
  <c r="AB323" i="2"/>
  <c r="AA323" i="2"/>
  <c r="X323" i="2"/>
  <c r="Y323" i="2" s="1"/>
  <c r="K26" i="4"/>
  <c r="AB324" i="2"/>
  <c r="AA324" i="2"/>
  <c r="X324" i="2"/>
  <c r="Y324" i="2" s="1"/>
  <c r="AF325" i="2"/>
  <c r="AB325" i="2"/>
  <c r="AA325" i="2"/>
  <c r="X325" i="2"/>
  <c r="Y325" i="2" s="1"/>
  <c r="L25" i="4"/>
  <c r="AB326" i="2"/>
  <c r="AA326" i="2"/>
  <c r="X326" i="2"/>
  <c r="Y326" i="2" s="1"/>
  <c r="H67" i="6"/>
  <c r="AF327" i="2"/>
  <c r="AB327" i="2"/>
  <c r="AA327" i="2"/>
  <c r="X327" i="2"/>
  <c r="Y327" i="2" s="1"/>
  <c r="AB328" i="2"/>
  <c r="AA328" i="2"/>
  <c r="X328" i="2"/>
  <c r="Y328" i="2" s="1"/>
  <c r="AF329" i="2"/>
  <c r="AB329" i="2"/>
  <c r="AA329" i="2"/>
  <c r="X329" i="2"/>
  <c r="Y329" i="2" s="1"/>
  <c r="AB330" i="2"/>
  <c r="AA330" i="2"/>
  <c r="X330" i="2"/>
  <c r="Y330" i="2" s="1"/>
  <c r="AF331" i="2"/>
  <c r="AB331" i="2"/>
  <c r="AA331" i="2"/>
  <c r="X331" i="2"/>
  <c r="Y331" i="2" s="1"/>
  <c r="AB332" i="2"/>
  <c r="AA332" i="2"/>
  <c r="X332" i="2"/>
  <c r="Y332" i="2" s="1"/>
  <c r="AF333" i="2"/>
  <c r="AB333" i="2"/>
  <c r="AA333" i="2"/>
  <c r="X333" i="2"/>
  <c r="Y333" i="2" s="1"/>
  <c r="AF334" i="2"/>
  <c r="AB334" i="2"/>
  <c r="AA334" i="2"/>
  <c r="X334" i="2"/>
  <c r="Y334" i="2" s="1"/>
  <c r="J26" i="4"/>
  <c r="AB335" i="2"/>
  <c r="AA335" i="2"/>
  <c r="X335" i="2"/>
  <c r="Y335" i="2" s="1"/>
  <c r="AF336" i="2"/>
  <c r="AB336" i="2"/>
  <c r="AA336" i="2"/>
  <c r="X336" i="2"/>
  <c r="Y336" i="2" s="1"/>
  <c r="AF337" i="2"/>
  <c r="AB337" i="2"/>
  <c r="AA337" i="2"/>
  <c r="X337" i="2"/>
  <c r="Y337" i="2" s="1"/>
  <c r="AF338" i="2"/>
  <c r="AB338" i="2"/>
  <c r="AA338" i="2"/>
  <c r="X338" i="2"/>
  <c r="Y338" i="2" s="1"/>
  <c r="AB339" i="2"/>
  <c r="AA339" i="2"/>
  <c r="X339" i="2"/>
  <c r="Y339" i="2" s="1"/>
  <c r="AB340" i="2"/>
  <c r="AA340" i="2"/>
  <c r="X340" i="2"/>
  <c r="Y340" i="2" s="1"/>
  <c r="AB341" i="2"/>
  <c r="AA341" i="2"/>
  <c r="X341" i="2"/>
  <c r="Y341" i="2" s="1"/>
  <c r="AB342" i="2"/>
  <c r="AA342" i="2"/>
  <c r="X342" i="2"/>
  <c r="Y342" i="2" s="1"/>
  <c r="AB343" i="2"/>
  <c r="AA343" i="2"/>
  <c r="X343" i="2"/>
  <c r="Y343" i="2" s="1"/>
  <c r="AF344" i="2"/>
  <c r="AB344" i="2"/>
  <c r="AA344" i="2"/>
  <c r="X344" i="2"/>
  <c r="Y344" i="2" s="1"/>
  <c r="AF345" i="2"/>
  <c r="AB345" i="2"/>
  <c r="AA345" i="2"/>
  <c r="X345" i="2"/>
  <c r="Y345" i="2" s="1"/>
  <c r="AF346" i="2"/>
  <c r="AB346" i="2"/>
  <c r="AA346" i="2"/>
  <c r="X346" i="2"/>
  <c r="Y346" i="2" s="1"/>
  <c r="AB347" i="2"/>
  <c r="AA347" i="2"/>
  <c r="X347" i="2"/>
  <c r="Y347" i="2" s="1"/>
  <c r="AF348" i="2"/>
  <c r="AB348" i="2"/>
  <c r="AA348" i="2"/>
  <c r="X348" i="2"/>
  <c r="Y348" i="2" s="1"/>
  <c r="AB349" i="2"/>
  <c r="AA349" i="2"/>
  <c r="X349" i="2"/>
  <c r="Y349" i="2" s="1"/>
  <c r="AB350" i="2"/>
  <c r="AA350" i="2"/>
  <c r="X350" i="2"/>
  <c r="Y350" i="2" s="1"/>
  <c r="AB351" i="2"/>
  <c r="AA351" i="2"/>
  <c r="X351" i="2"/>
  <c r="Y351" i="2" s="1"/>
  <c r="AB352" i="2"/>
  <c r="AA352" i="2"/>
  <c r="X352" i="2"/>
  <c r="Y352" i="2" s="1"/>
  <c r="K81" i="3"/>
  <c r="L81" i="3" s="1"/>
  <c r="AF353" i="2"/>
  <c r="AB353" i="2"/>
  <c r="AA353" i="2"/>
  <c r="X353" i="2"/>
  <c r="Y353" i="2" s="1"/>
  <c r="AB354" i="2"/>
  <c r="AA354" i="2"/>
  <c r="X354" i="2"/>
  <c r="Y354" i="2" s="1"/>
  <c r="AF355" i="2"/>
  <c r="AB355" i="2"/>
  <c r="AA355" i="2"/>
  <c r="X355" i="2"/>
  <c r="Y355" i="2" s="1"/>
  <c r="AB356" i="2"/>
  <c r="AA356" i="2"/>
  <c r="X356" i="2"/>
  <c r="Y356" i="2" s="1"/>
  <c r="AF357" i="2"/>
  <c r="AB357" i="2"/>
  <c r="AA357" i="2"/>
  <c r="X357" i="2"/>
  <c r="Y357" i="2" s="1"/>
  <c r="AB358" i="2"/>
  <c r="AA358" i="2"/>
  <c r="X358" i="2"/>
  <c r="Y358" i="2" s="1"/>
  <c r="H68" i="6"/>
  <c r="AB359" i="2"/>
  <c r="AA359" i="2"/>
  <c r="X359" i="2"/>
  <c r="Y359" i="2" s="1"/>
  <c r="C9" i="5"/>
  <c r="AB360" i="2"/>
  <c r="AA360" i="2"/>
  <c r="X360" i="2"/>
  <c r="Y360" i="2" s="1"/>
  <c r="C8" i="5"/>
  <c r="AB361" i="2"/>
  <c r="AA361" i="2"/>
  <c r="X361" i="2"/>
  <c r="Y361" i="2" s="1"/>
  <c r="C21" i="5"/>
  <c r="AB362" i="2"/>
  <c r="AA362" i="2"/>
  <c r="X362" i="2"/>
  <c r="Y362" i="2" s="1"/>
  <c r="C7" i="5"/>
  <c r="AF363" i="2"/>
  <c r="AB363" i="2"/>
  <c r="AA363" i="2"/>
  <c r="X363" i="2"/>
  <c r="Y363" i="2" s="1"/>
  <c r="C13" i="5"/>
  <c r="AF364" i="2"/>
  <c r="AB364" i="2"/>
  <c r="AA364" i="2"/>
  <c r="X364" i="2"/>
  <c r="Y364" i="2" s="1"/>
  <c r="C11" i="5"/>
  <c r="AB365" i="2"/>
  <c r="AA365" i="2"/>
  <c r="X365" i="2"/>
  <c r="Y365" i="2" s="1"/>
  <c r="C6" i="5"/>
  <c r="AB366" i="2"/>
  <c r="AA366" i="2"/>
  <c r="X366" i="2"/>
  <c r="Y366" i="2" s="1"/>
  <c r="AB367" i="2"/>
  <c r="AA367" i="2"/>
  <c r="X367" i="2"/>
  <c r="Y367" i="2" s="1"/>
  <c r="H69" i="6"/>
  <c r="AB368" i="2"/>
  <c r="AA368" i="2"/>
  <c r="X368" i="2"/>
  <c r="Y368" i="2" s="1"/>
  <c r="AF369" i="2"/>
  <c r="AB369" i="2"/>
  <c r="AA369" i="2"/>
  <c r="X369" i="2"/>
  <c r="Y369" i="2" s="1"/>
  <c r="H70" i="6"/>
  <c r="C10" i="5"/>
  <c r="AB370" i="2"/>
  <c r="AA370" i="2"/>
  <c r="X370" i="2"/>
  <c r="Y370" i="2" s="1"/>
  <c r="AB371" i="2"/>
  <c r="AA371" i="2"/>
  <c r="X371" i="2"/>
  <c r="Y371" i="2" s="1"/>
  <c r="AB372" i="2"/>
  <c r="AA372" i="2"/>
  <c r="X372" i="2"/>
  <c r="Y372" i="2" s="1"/>
  <c r="AF373" i="2"/>
  <c r="AB373" i="2"/>
  <c r="AA373" i="2"/>
  <c r="X373" i="2"/>
  <c r="Y373" i="2" s="1"/>
  <c r="AF374" i="2"/>
  <c r="AB374" i="2"/>
  <c r="AA374" i="2"/>
  <c r="X374" i="2"/>
  <c r="Y374" i="2" s="1"/>
  <c r="AB375" i="2"/>
  <c r="AA375" i="2"/>
  <c r="X375" i="2"/>
  <c r="Y375" i="2" s="1"/>
  <c r="AB376" i="2"/>
  <c r="AA376" i="2"/>
  <c r="X376" i="2"/>
  <c r="Y376" i="2" s="1"/>
  <c r="H71" i="6"/>
  <c r="AB377" i="2"/>
  <c r="AA377" i="2"/>
  <c r="X377" i="2"/>
  <c r="Y377" i="2" s="1"/>
  <c r="C14" i="5"/>
  <c r="AF378" i="2"/>
  <c r="AB378" i="2"/>
  <c r="AA378" i="2"/>
  <c r="X378" i="2"/>
  <c r="Y378" i="2" s="1"/>
  <c r="AF379" i="2"/>
  <c r="AB379" i="2"/>
  <c r="AA379" i="2"/>
  <c r="X379" i="2"/>
  <c r="Y379" i="2" s="1"/>
  <c r="AB380" i="2"/>
  <c r="AA380" i="2"/>
  <c r="X380" i="2"/>
  <c r="Y380" i="2" s="1"/>
  <c r="H72" i="6"/>
  <c r="AB381" i="2"/>
  <c r="AA381" i="2"/>
  <c r="X381" i="2"/>
  <c r="Y381" i="2" s="1"/>
  <c r="H73" i="6"/>
  <c r="AB382" i="2"/>
  <c r="AA382" i="2"/>
  <c r="X382" i="2"/>
  <c r="Y382" i="2" s="1"/>
  <c r="C15" i="5"/>
  <c r="AB383" i="2"/>
  <c r="AA383" i="2"/>
  <c r="X383" i="2"/>
  <c r="Y383" i="2" s="1"/>
  <c r="AF384" i="2"/>
  <c r="AB384" i="2"/>
  <c r="AA384" i="2"/>
  <c r="X384" i="2"/>
  <c r="Y384" i="2" s="1"/>
  <c r="AF385" i="2"/>
  <c r="AB385" i="2"/>
  <c r="AA385" i="2"/>
  <c r="X385" i="2"/>
  <c r="Y385" i="2" s="1"/>
  <c r="AB386" i="2"/>
  <c r="AA386" i="2"/>
  <c r="X386" i="2"/>
  <c r="Y386" i="2" s="1"/>
  <c r="AF387" i="2"/>
  <c r="AB387" i="2"/>
  <c r="AA387" i="2"/>
  <c r="X387" i="2"/>
  <c r="Y387" i="2" s="1"/>
  <c r="AB388" i="2"/>
  <c r="AA388" i="2"/>
  <c r="X388" i="2"/>
  <c r="Y388" i="2" s="1"/>
  <c r="AF389" i="2"/>
  <c r="AB389" i="2"/>
  <c r="AA389" i="2"/>
  <c r="X389" i="2"/>
  <c r="Y389" i="2" s="1"/>
  <c r="AB390" i="2"/>
  <c r="AA390" i="2"/>
  <c r="X390" i="2"/>
  <c r="Y390" i="2" s="1"/>
  <c r="H74" i="6"/>
  <c r="AF391" i="2"/>
  <c r="AB391" i="2"/>
  <c r="AA391" i="2"/>
  <c r="X391" i="2"/>
  <c r="Y391" i="2" s="1"/>
  <c r="AF392" i="2"/>
  <c r="AB392" i="2"/>
  <c r="AA392" i="2"/>
  <c r="X392" i="2"/>
  <c r="Y392" i="2" s="1"/>
  <c r="AF393" i="2"/>
  <c r="AB393" i="2"/>
  <c r="AA393" i="2"/>
  <c r="X393" i="2"/>
  <c r="Y393" i="2" s="1"/>
  <c r="AB394" i="2"/>
  <c r="AA394" i="2"/>
  <c r="X394" i="2"/>
  <c r="Y394" i="2" s="1"/>
  <c r="AB395" i="2"/>
  <c r="AA395" i="2"/>
  <c r="X395" i="2"/>
  <c r="Y395" i="2" s="1"/>
  <c r="AB396" i="2"/>
  <c r="AA396" i="2"/>
  <c r="X396" i="2"/>
  <c r="Y396" i="2" s="1"/>
  <c r="AB397" i="2"/>
  <c r="AA397" i="2"/>
  <c r="X397" i="2"/>
  <c r="Y397" i="2" s="1"/>
  <c r="H75" i="6"/>
  <c r="AF398" i="2"/>
  <c r="AB398" i="2"/>
  <c r="AA398" i="2"/>
  <c r="X398" i="2"/>
  <c r="Y398" i="2" s="1"/>
  <c r="H76" i="6"/>
  <c r="C20" i="5"/>
  <c r="AB399" i="2"/>
  <c r="AA399" i="2"/>
  <c r="X399" i="2"/>
  <c r="Y399" i="2" s="1"/>
  <c r="AF400" i="2"/>
  <c r="AB400" i="2"/>
  <c r="AA400" i="2"/>
  <c r="X400" i="2"/>
  <c r="Y400" i="2" s="1"/>
  <c r="H77" i="6"/>
  <c r="AB401" i="2"/>
  <c r="AA401" i="2"/>
  <c r="X401" i="2"/>
  <c r="Y401" i="2" s="1"/>
  <c r="AB402" i="2"/>
  <c r="AA402" i="2"/>
  <c r="X402" i="2"/>
  <c r="Y402" i="2" s="1"/>
  <c r="AB403" i="2"/>
  <c r="AA403" i="2"/>
  <c r="X403" i="2"/>
  <c r="Y403" i="2" s="1"/>
  <c r="C5" i="5"/>
  <c r="I9" i="4"/>
  <c r="H9" i="4"/>
  <c r="K121" i="3"/>
  <c r="L121" i="3" s="1"/>
  <c r="AF404" i="2"/>
  <c r="AB404" i="2"/>
  <c r="AA404" i="2"/>
  <c r="X404" i="2"/>
  <c r="Y404" i="2" s="1"/>
  <c r="K9" i="4"/>
  <c r="AB405" i="2"/>
  <c r="AA405" i="2"/>
  <c r="X405" i="2"/>
  <c r="Y405" i="2" s="1"/>
  <c r="AB406" i="2"/>
  <c r="AA406" i="2"/>
  <c r="X406" i="2"/>
  <c r="Y406" i="2" s="1"/>
  <c r="AF407" i="2"/>
  <c r="AB407" i="2"/>
  <c r="AA407" i="2"/>
  <c r="X407" i="2"/>
  <c r="Y407" i="2" s="1"/>
  <c r="AF408" i="2"/>
  <c r="AB408" i="2"/>
  <c r="AA408" i="2"/>
  <c r="X408" i="2"/>
  <c r="Y408" i="2" s="1"/>
  <c r="AF409" i="2"/>
  <c r="AB409" i="2"/>
  <c r="AA409" i="2"/>
  <c r="X409" i="2"/>
  <c r="Y409" i="2" s="1"/>
  <c r="AB410" i="2"/>
  <c r="AA410" i="2"/>
  <c r="X410" i="2"/>
  <c r="Y410" i="2" s="1"/>
  <c r="AF411" i="2"/>
  <c r="AB411" i="2"/>
  <c r="AA411" i="2"/>
  <c r="X411" i="2"/>
  <c r="Y411" i="2" s="1"/>
  <c r="H78" i="6"/>
  <c r="AF412" i="2"/>
  <c r="AB412" i="2"/>
  <c r="AA412" i="2"/>
  <c r="X412" i="2"/>
  <c r="Y412" i="2" s="1"/>
  <c r="AF413" i="2"/>
  <c r="AB413" i="2"/>
  <c r="AA413" i="2"/>
  <c r="X413" i="2"/>
  <c r="Y413" i="2" s="1"/>
  <c r="AB414" i="2"/>
  <c r="AA414" i="2"/>
  <c r="X414" i="2"/>
  <c r="Y414" i="2" s="1"/>
  <c r="H79" i="6"/>
  <c r="AF415" i="2"/>
  <c r="AB415" i="2"/>
  <c r="AA415" i="2"/>
  <c r="X415" i="2"/>
  <c r="Y415" i="2" s="1"/>
  <c r="AF416" i="2"/>
  <c r="AB416" i="2"/>
  <c r="AA416" i="2"/>
  <c r="X416" i="2"/>
  <c r="Y416" i="2" s="1"/>
  <c r="J9" i="4"/>
  <c r="AF417" i="2"/>
  <c r="AB417" i="2"/>
  <c r="AA417" i="2"/>
  <c r="X417" i="2"/>
  <c r="Y417" i="2" s="1"/>
  <c r="C18" i="5"/>
  <c r="AB418" i="2"/>
  <c r="AA418" i="2"/>
  <c r="X418" i="2"/>
  <c r="Y418" i="2" s="1"/>
  <c r="H80" i="6"/>
  <c r="AB419" i="2"/>
  <c r="AA419" i="2"/>
  <c r="X419" i="2"/>
  <c r="Y419" i="2" s="1"/>
  <c r="AB420" i="2"/>
  <c r="AA420" i="2"/>
  <c r="X420" i="2"/>
  <c r="Y420" i="2" s="1"/>
  <c r="AB421" i="2"/>
  <c r="AA421" i="2"/>
  <c r="X421" i="2"/>
  <c r="Y421" i="2" s="1"/>
  <c r="H81" i="6"/>
  <c r="I19" i="4"/>
  <c r="H19" i="4"/>
  <c r="K124" i="3"/>
  <c r="L124" i="3" s="1"/>
  <c r="AF422" i="2"/>
  <c r="AB422" i="2"/>
  <c r="AA422" i="2"/>
  <c r="X422" i="2"/>
  <c r="Y422" i="2" s="1"/>
  <c r="C17" i="5"/>
  <c r="AB423" i="2"/>
  <c r="AA423" i="2"/>
  <c r="X423" i="2"/>
  <c r="Y423" i="2" s="1"/>
  <c r="K19" i="4"/>
  <c r="AF424" i="2"/>
  <c r="AB424" i="2"/>
  <c r="AA424" i="2"/>
  <c r="X424" i="2"/>
  <c r="Y424" i="2" s="1"/>
  <c r="AB425" i="2"/>
  <c r="AA425" i="2"/>
  <c r="X425" i="2"/>
  <c r="Y425" i="2" s="1"/>
  <c r="K23" i="3"/>
  <c r="L23" i="3" s="1"/>
  <c r="AF426" i="2"/>
  <c r="AB426" i="2"/>
  <c r="AA426" i="2"/>
  <c r="X426" i="2"/>
  <c r="Y426" i="2" s="1"/>
  <c r="AF427" i="2"/>
  <c r="AB427" i="2"/>
  <c r="AA427" i="2"/>
  <c r="X427" i="2"/>
  <c r="Y427" i="2" s="1"/>
  <c r="AB428" i="2"/>
  <c r="AA428" i="2"/>
  <c r="X428" i="2"/>
  <c r="Y428" i="2" s="1"/>
  <c r="AB429" i="2"/>
  <c r="AA429" i="2"/>
  <c r="X429" i="2"/>
  <c r="Y429" i="2" s="1"/>
  <c r="C19" i="5"/>
  <c r="AB430" i="2"/>
  <c r="AA430" i="2"/>
  <c r="X430" i="2"/>
  <c r="Y430" i="2" s="1"/>
  <c r="AB431" i="2"/>
  <c r="AA431" i="2"/>
  <c r="X431" i="2"/>
  <c r="Y431" i="2" s="1"/>
  <c r="AB432" i="2"/>
  <c r="AA432" i="2"/>
  <c r="X432" i="2"/>
  <c r="Y432" i="2" s="1"/>
  <c r="AF433" i="2"/>
  <c r="AB433" i="2"/>
  <c r="AA433" i="2"/>
  <c r="X433" i="2"/>
  <c r="Y433" i="2" s="1"/>
  <c r="AF434" i="2"/>
  <c r="AB434" i="2"/>
  <c r="AA434" i="2"/>
  <c r="X434" i="2"/>
  <c r="Y434" i="2" s="1"/>
  <c r="C12" i="5"/>
  <c r="L19" i="4"/>
  <c r="AB435" i="2"/>
  <c r="AA435" i="2"/>
  <c r="X435" i="2"/>
  <c r="Y435" i="2" s="1"/>
  <c r="AF436" i="2"/>
  <c r="AB436" i="2"/>
  <c r="AA436" i="2"/>
  <c r="X436" i="2"/>
  <c r="Y436" i="2" s="1"/>
  <c r="J19" i="4"/>
  <c r="AB437" i="2"/>
  <c r="AA437" i="2"/>
  <c r="X437" i="2"/>
  <c r="Y437" i="2" s="1"/>
  <c r="AB438" i="2"/>
  <c r="AA438" i="2"/>
  <c r="X438" i="2"/>
  <c r="Y438" i="2" s="1"/>
  <c r="AB439" i="2"/>
  <c r="AA439" i="2"/>
  <c r="X439" i="2"/>
  <c r="Y439" i="2" s="1"/>
  <c r="H82" i="6"/>
  <c r="AB440" i="2"/>
  <c r="AA440" i="2"/>
  <c r="X440" i="2"/>
  <c r="Y440" i="2" s="1"/>
  <c r="AB441" i="2"/>
  <c r="AA441" i="2"/>
  <c r="X441" i="2"/>
  <c r="Y441" i="2" s="1"/>
  <c r="AF442" i="2"/>
  <c r="AB442" i="2"/>
  <c r="AA442" i="2"/>
  <c r="X442" i="2"/>
  <c r="Y442" i="2" s="1"/>
  <c r="AB443" i="2"/>
  <c r="AA443" i="2"/>
  <c r="X443" i="2"/>
  <c r="Y443" i="2" s="1"/>
  <c r="H83" i="6"/>
  <c r="AF444" i="2"/>
  <c r="AB444" i="2"/>
  <c r="AA444" i="2"/>
  <c r="X444" i="2"/>
  <c r="Y444" i="2" s="1"/>
  <c r="AB445" i="2"/>
  <c r="AA445" i="2"/>
  <c r="X445" i="2"/>
  <c r="Y445" i="2" s="1"/>
  <c r="AF446" i="2"/>
  <c r="AB446" i="2"/>
  <c r="AA446" i="2"/>
  <c r="X446" i="2"/>
  <c r="Y446" i="2" s="1"/>
  <c r="AB447" i="2"/>
  <c r="AA447" i="2"/>
  <c r="X447" i="2"/>
  <c r="Y447" i="2" s="1"/>
  <c r="H84" i="6"/>
  <c r="K83" i="3"/>
  <c r="L83" i="3" s="1"/>
  <c r="AB448" i="2"/>
  <c r="AA448" i="2"/>
  <c r="X448" i="2"/>
  <c r="Y448" i="2" s="1"/>
  <c r="H85" i="6"/>
  <c r="AB449" i="2"/>
  <c r="AA449" i="2"/>
  <c r="X449" i="2"/>
  <c r="Y449" i="2" s="1"/>
  <c r="AB450" i="2"/>
  <c r="AA450" i="2"/>
  <c r="X450" i="2"/>
  <c r="Y450" i="2" s="1"/>
  <c r="H86" i="6"/>
  <c r="AB451" i="2"/>
  <c r="AA451" i="2"/>
  <c r="X451" i="2"/>
  <c r="Y451" i="2" s="1"/>
  <c r="AB452" i="2"/>
  <c r="AA452" i="2"/>
  <c r="X452" i="2"/>
  <c r="Y452" i="2" s="1"/>
  <c r="H87" i="6"/>
  <c r="AF453" i="2"/>
  <c r="AB453" i="2"/>
  <c r="AA453" i="2"/>
  <c r="X453" i="2"/>
  <c r="Y453" i="2" s="1"/>
  <c r="AB454" i="2"/>
  <c r="AA454" i="2"/>
  <c r="X454" i="2"/>
  <c r="Y454" i="2" s="1"/>
  <c r="AB455" i="2"/>
  <c r="AA455" i="2"/>
  <c r="X455" i="2"/>
  <c r="Y455" i="2" s="1"/>
  <c r="AF456" i="2"/>
  <c r="AB456" i="2"/>
  <c r="AA456" i="2"/>
  <c r="X456" i="2"/>
  <c r="Y456" i="2" s="1"/>
  <c r="H88" i="6"/>
  <c r="AF457" i="2"/>
  <c r="AB457" i="2"/>
  <c r="AA457" i="2"/>
  <c r="X457" i="2"/>
  <c r="Y457" i="2" s="1"/>
  <c r="AB458" i="2"/>
  <c r="AA458" i="2"/>
  <c r="X458" i="2"/>
  <c r="Y458" i="2" s="1"/>
  <c r="AB459" i="2"/>
  <c r="AA459" i="2"/>
  <c r="X459" i="2"/>
  <c r="Y459" i="2" s="1"/>
  <c r="AB460" i="2"/>
  <c r="AA460" i="2"/>
  <c r="X460" i="2"/>
  <c r="Y460" i="2" s="1"/>
  <c r="AB461" i="2"/>
  <c r="AA461" i="2"/>
  <c r="X461" i="2"/>
  <c r="Y461" i="2" s="1"/>
  <c r="AB462" i="2"/>
  <c r="AA462" i="2"/>
  <c r="X462" i="2"/>
  <c r="Y462" i="2" s="1"/>
  <c r="AB463" i="2"/>
  <c r="AA463" i="2"/>
  <c r="X463" i="2"/>
  <c r="Y463" i="2" s="1"/>
  <c r="H89" i="6"/>
  <c r="AB464" i="2"/>
  <c r="AA464" i="2"/>
  <c r="X464" i="2"/>
  <c r="Y464" i="2" s="1"/>
  <c r="AB465" i="2"/>
  <c r="AA465" i="2"/>
  <c r="X465" i="2"/>
  <c r="Y465" i="2" s="1"/>
  <c r="AF466" i="2"/>
  <c r="AB466" i="2"/>
  <c r="AA466" i="2"/>
  <c r="X466" i="2"/>
  <c r="Y466" i="2" s="1"/>
  <c r="AB467" i="2"/>
  <c r="AA467" i="2"/>
  <c r="X467" i="2"/>
  <c r="Y467" i="2" s="1"/>
  <c r="AF468" i="2"/>
  <c r="AB468" i="2"/>
  <c r="AA468" i="2"/>
  <c r="X468" i="2"/>
  <c r="Y468" i="2" s="1"/>
  <c r="AB469" i="2"/>
  <c r="AA469" i="2"/>
  <c r="X469" i="2"/>
  <c r="Y469" i="2" s="1"/>
  <c r="AF470" i="2"/>
  <c r="AB470" i="2"/>
  <c r="AA470" i="2"/>
  <c r="X470" i="2"/>
  <c r="Y470" i="2" s="1"/>
  <c r="H90" i="6"/>
  <c r="AB471" i="2"/>
  <c r="AA471" i="2"/>
  <c r="X471" i="2"/>
  <c r="Y471" i="2" s="1"/>
  <c r="H91" i="6"/>
  <c r="AF472" i="2"/>
  <c r="AB472" i="2"/>
  <c r="AA472" i="2"/>
  <c r="X472" i="2"/>
  <c r="Y472" i="2" s="1"/>
  <c r="H92" i="6"/>
  <c r="K59" i="3"/>
  <c r="L59" i="3" s="1"/>
  <c r="AB473" i="2"/>
  <c r="AA473" i="2"/>
  <c r="X473" i="2"/>
  <c r="Y473" i="2" s="1"/>
  <c r="AB474" i="2"/>
  <c r="AA474" i="2"/>
  <c r="X474" i="2"/>
  <c r="Y474" i="2" s="1"/>
  <c r="AF475" i="2"/>
  <c r="AB475" i="2"/>
  <c r="AA475" i="2"/>
  <c r="X475" i="2"/>
  <c r="Y475" i="2" s="1"/>
  <c r="AB476" i="2"/>
  <c r="AA476" i="2"/>
  <c r="X476" i="2"/>
  <c r="Y476" i="2" s="1"/>
  <c r="AB477" i="2"/>
  <c r="AA477" i="2"/>
  <c r="X477" i="2"/>
  <c r="Y477" i="2" s="1"/>
  <c r="AB478" i="2"/>
  <c r="AA478" i="2"/>
  <c r="X478" i="2"/>
  <c r="Y478" i="2" s="1"/>
  <c r="H93" i="6"/>
  <c r="AB479" i="2"/>
  <c r="AA479" i="2"/>
  <c r="X479" i="2"/>
  <c r="Y479" i="2" s="1"/>
  <c r="AB480" i="2"/>
  <c r="AA480" i="2"/>
  <c r="X480" i="2"/>
  <c r="Y480" i="2" s="1"/>
  <c r="AB481" i="2"/>
  <c r="AA481" i="2"/>
  <c r="X481" i="2"/>
  <c r="Y481" i="2" s="1"/>
  <c r="AF482" i="2"/>
  <c r="AB482" i="2"/>
  <c r="AA482" i="2"/>
  <c r="X482" i="2"/>
  <c r="Y482" i="2" s="1"/>
  <c r="AB483" i="2"/>
  <c r="AA483" i="2"/>
  <c r="X483" i="2"/>
  <c r="Y483" i="2" s="1"/>
  <c r="AB484" i="2"/>
  <c r="AA484" i="2"/>
  <c r="X484" i="2"/>
  <c r="Y484" i="2" s="1"/>
  <c r="AB485" i="2"/>
  <c r="AA485" i="2"/>
  <c r="X485" i="2"/>
  <c r="Y485" i="2" s="1"/>
  <c r="AB486" i="2"/>
  <c r="AA486" i="2"/>
  <c r="X486" i="2"/>
  <c r="Y486" i="2" s="1"/>
  <c r="H94" i="6"/>
  <c r="AB487" i="2"/>
  <c r="AA487" i="2"/>
  <c r="X487" i="2"/>
  <c r="Y487" i="2" s="1"/>
  <c r="AB488" i="2"/>
  <c r="AA488" i="2"/>
  <c r="X488" i="2"/>
  <c r="Y488" i="2" s="1"/>
  <c r="AB489" i="2"/>
  <c r="AA489" i="2"/>
  <c r="X489" i="2"/>
  <c r="Y489" i="2" s="1"/>
  <c r="AB490" i="2"/>
  <c r="AA490" i="2"/>
  <c r="X490" i="2"/>
  <c r="Y490" i="2" s="1"/>
  <c r="AB491" i="2"/>
  <c r="AA491" i="2"/>
  <c r="X491" i="2"/>
  <c r="Y491" i="2" s="1"/>
  <c r="AB492" i="2"/>
  <c r="AA492" i="2"/>
  <c r="X492" i="2"/>
  <c r="Y492" i="2" s="1"/>
  <c r="AB493" i="2"/>
  <c r="AA493" i="2"/>
  <c r="X493" i="2"/>
  <c r="Y493" i="2" s="1"/>
  <c r="AF494" i="2"/>
  <c r="AB494" i="2"/>
  <c r="AA494" i="2"/>
  <c r="X494" i="2"/>
  <c r="Y494" i="2" s="1"/>
  <c r="AB495" i="2"/>
  <c r="AA495" i="2"/>
  <c r="X495" i="2"/>
  <c r="Y495" i="2" s="1"/>
  <c r="AB496" i="2"/>
  <c r="AA496" i="2"/>
  <c r="X496" i="2"/>
  <c r="Y496" i="2" s="1"/>
  <c r="AB497" i="2"/>
  <c r="AA497" i="2"/>
  <c r="X497" i="2"/>
  <c r="Y497" i="2" s="1"/>
  <c r="AB498" i="2"/>
  <c r="AA498" i="2"/>
  <c r="X498" i="2"/>
  <c r="Y498" i="2" s="1"/>
  <c r="K105" i="3"/>
  <c r="L105" i="3" s="1"/>
  <c r="AF499" i="2"/>
  <c r="AB499" i="2"/>
  <c r="AA499" i="2"/>
  <c r="X499" i="2"/>
  <c r="Y499" i="2" s="1"/>
  <c r="AB500" i="2"/>
  <c r="AA500" i="2"/>
  <c r="X500" i="2"/>
  <c r="Y500" i="2" s="1"/>
  <c r="AB501" i="2"/>
  <c r="AA501" i="2"/>
  <c r="X501" i="2"/>
  <c r="Y501" i="2" s="1"/>
  <c r="AB502" i="2"/>
  <c r="AA502" i="2"/>
  <c r="X502" i="2"/>
  <c r="Y502" i="2" s="1"/>
  <c r="H95" i="6"/>
  <c r="I18" i="4"/>
  <c r="H18" i="4"/>
  <c r="K109" i="3"/>
  <c r="L109" i="3" s="1"/>
  <c r="AB503" i="2"/>
  <c r="AA503" i="2"/>
  <c r="X503" i="2"/>
  <c r="Y503" i="2" s="1"/>
  <c r="K18" i="4"/>
  <c r="AB504" i="2"/>
  <c r="AA504" i="2"/>
  <c r="X504" i="2"/>
  <c r="Y504" i="2" s="1"/>
  <c r="AF505" i="2"/>
  <c r="AB505" i="2"/>
  <c r="AA505" i="2"/>
  <c r="X505" i="2"/>
  <c r="Y505" i="2" s="1"/>
  <c r="AB506" i="2"/>
  <c r="AA506" i="2"/>
  <c r="X506" i="2"/>
  <c r="Y506" i="2" s="1"/>
  <c r="AB507" i="2"/>
  <c r="AA507" i="2"/>
  <c r="X507" i="2"/>
  <c r="Y507" i="2" s="1"/>
  <c r="AB508" i="2"/>
  <c r="AA508" i="2"/>
  <c r="X508" i="2"/>
  <c r="Y508" i="2" s="1"/>
  <c r="AB509" i="2"/>
  <c r="AA509" i="2"/>
  <c r="X509" i="2"/>
  <c r="Y509" i="2" s="1"/>
  <c r="AF510" i="2"/>
  <c r="AB510" i="2"/>
  <c r="AA510" i="2"/>
  <c r="X510" i="2"/>
  <c r="Y510" i="2" s="1"/>
  <c r="AF511" i="2"/>
  <c r="AB511" i="2"/>
  <c r="AA511" i="2"/>
  <c r="X511" i="2"/>
  <c r="Y511" i="2" s="1"/>
  <c r="AB512" i="2"/>
  <c r="AA512" i="2"/>
  <c r="X512" i="2"/>
  <c r="Y512" i="2" s="1"/>
  <c r="AB513" i="2"/>
  <c r="AA513" i="2"/>
  <c r="X513" i="2"/>
  <c r="Y513" i="2" s="1"/>
  <c r="AB514" i="2"/>
  <c r="AA514" i="2"/>
  <c r="X514" i="2"/>
  <c r="Y514" i="2" s="1"/>
  <c r="AB515" i="2"/>
  <c r="AA515" i="2"/>
  <c r="X515" i="2"/>
  <c r="Y515" i="2" s="1"/>
  <c r="I27" i="4"/>
  <c r="H27" i="4"/>
  <c r="K95" i="3"/>
  <c r="L95" i="3" s="1"/>
  <c r="AF516" i="2"/>
  <c r="AB516" i="2"/>
  <c r="AA516" i="2"/>
  <c r="X516" i="2"/>
  <c r="Y516" i="2" s="1"/>
  <c r="AB517" i="2"/>
  <c r="AA517" i="2"/>
  <c r="X517" i="2"/>
  <c r="Y517" i="2" s="1"/>
  <c r="L27" i="4"/>
  <c r="AB518" i="2"/>
  <c r="AA518" i="2"/>
  <c r="X518" i="2"/>
  <c r="Y518" i="2" s="1"/>
  <c r="K27" i="4"/>
  <c r="AF519" i="2"/>
  <c r="AB519" i="2"/>
  <c r="AA519" i="2"/>
  <c r="X519" i="2"/>
  <c r="Y519" i="2" s="1"/>
  <c r="AB520" i="2"/>
  <c r="AA520" i="2"/>
  <c r="X520" i="2"/>
  <c r="Y520" i="2" s="1"/>
  <c r="AF521" i="2"/>
  <c r="AB521" i="2"/>
  <c r="AA521" i="2"/>
  <c r="X521" i="2"/>
  <c r="Y521" i="2" s="1"/>
  <c r="H96" i="6"/>
  <c r="AB522" i="2"/>
  <c r="AA522" i="2"/>
  <c r="X522" i="2"/>
  <c r="Y522" i="2" s="1"/>
  <c r="AB523" i="2"/>
  <c r="AA523" i="2"/>
  <c r="X523" i="2"/>
  <c r="Y523" i="2" s="1"/>
  <c r="AF524" i="2"/>
  <c r="AB524" i="2"/>
  <c r="AA524" i="2"/>
  <c r="X524" i="2"/>
  <c r="Y524" i="2" s="1"/>
  <c r="AB525" i="2"/>
  <c r="AA525" i="2"/>
  <c r="X525" i="2"/>
  <c r="Y525" i="2" s="1"/>
  <c r="AB526" i="2"/>
  <c r="AA526" i="2"/>
  <c r="X526" i="2"/>
  <c r="Y526" i="2" s="1"/>
  <c r="L18" i="4"/>
  <c r="AB527" i="2"/>
  <c r="AA527" i="2"/>
  <c r="X527" i="2"/>
  <c r="Y527" i="2" s="1"/>
  <c r="J18" i="4"/>
  <c r="AB528" i="2"/>
  <c r="AA528" i="2"/>
  <c r="X528" i="2"/>
  <c r="Y528" i="2" s="1"/>
  <c r="AB529" i="2"/>
  <c r="AA529" i="2"/>
  <c r="X529" i="2"/>
  <c r="Y529" i="2" s="1"/>
  <c r="AB530" i="2"/>
  <c r="AA530" i="2"/>
  <c r="X530" i="2"/>
  <c r="Y530" i="2" s="1"/>
  <c r="AB531" i="2"/>
  <c r="AA531" i="2"/>
  <c r="X531" i="2"/>
  <c r="Y531" i="2" s="1"/>
  <c r="AF532" i="2"/>
  <c r="AB532" i="2"/>
  <c r="AA532" i="2"/>
  <c r="X532" i="2"/>
  <c r="Y532" i="2" s="1"/>
  <c r="H97" i="6"/>
  <c r="AF533" i="2"/>
  <c r="AB533" i="2"/>
  <c r="AA533" i="2"/>
  <c r="X533" i="2"/>
  <c r="Y533" i="2" s="1"/>
  <c r="AF534" i="2"/>
  <c r="AB534" i="2"/>
  <c r="AA534" i="2"/>
  <c r="X534" i="2"/>
  <c r="Y534" i="2" s="1"/>
  <c r="AB535" i="2"/>
  <c r="AA535" i="2"/>
  <c r="X535" i="2"/>
  <c r="Y535" i="2" s="1"/>
  <c r="AB536" i="2"/>
  <c r="AA536" i="2"/>
  <c r="X536" i="2"/>
  <c r="Y536" i="2" s="1"/>
  <c r="AB537" i="2"/>
  <c r="AA537" i="2"/>
  <c r="X537" i="2"/>
  <c r="Y537" i="2" s="1"/>
  <c r="AF538" i="2"/>
  <c r="AB538" i="2"/>
  <c r="AA538" i="2"/>
  <c r="X538" i="2"/>
  <c r="Y538" i="2" s="1"/>
  <c r="J27" i="4"/>
  <c r="AF539" i="2"/>
  <c r="AB539" i="2"/>
  <c r="AA539" i="2"/>
  <c r="X539" i="2"/>
  <c r="Y539" i="2" s="1"/>
  <c r="AF540" i="2"/>
  <c r="AB540" i="2"/>
  <c r="AA540" i="2"/>
  <c r="X540" i="2"/>
  <c r="Y540" i="2" s="1"/>
  <c r="H98" i="6"/>
  <c r="AB541" i="2"/>
  <c r="AA541" i="2"/>
  <c r="X541" i="2"/>
  <c r="Y541" i="2" s="1"/>
  <c r="AF542" i="2"/>
  <c r="AB542" i="2"/>
  <c r="AA542" i="2"/>
  <c r="X542" i="2"/>
  <c r="Y542" i="2" s="1"/>
  <c r="C22" i="5"/>
  <c r="AB543" i="2"/>
  <c r="AA543" i="2"/>
  <c r="X543" i="2"/>
  <c r="Y543" i="2" s="1"/>
  <c r="AB544" i="2"/>
  <c r="AA544" i="2"/>
  <c r="X544" i="2"/>
  <c r="Y544" i="2" s="1"/>
  <c r="AB545" i="2"/>
  <c r="AA545" i="2"/>
  <c r="X545" i="2"/>
  <c r="Y545" i="2" s="1"/>
  <c r="AF546" i="2"/>
  <c r="AB546" i="2"/>
  <c r="AA546" i="2"/>
  <c r="X546" i="2"/>
  <c r="Y546" i="2" s="1"/>
  <c r="AB547" i="2"/>
  <c r="AA547" i="2"/>
  <c r="X547" i="2"/>
  <c r="Y547" i="2" s="1"/>
  <c r="AB548" i="2"/>
  <c r="AA548" i="2"/>
  <c r="X548" i="2"/>
  <c r="Y548" i="2" s="1"/>
  <c r="AB549" i="2"/>
  <c r="AA549" i="2"/>
  <c r="X549" i="2"/>
  <c r="Y549" i="2" s="1"/>
  <c r="H99" i="6"/>
  <c r="AB550" i="2"/>
  <c r="AA550" i="2"/>
  <c r="X550" i="2"/>
  <c r="Y550" i="2" s="1"/>
  <c r="AB551" i="2"/>
  <c r="AA551" i="2"/>
  <c r="X551" i="2"/>
  <c r="Y551" i="2" s="1"/>
  <c r="AF552" i="2"/>
  <c r="AB552" i="2"/>
  <c r="AA552" i="2"/>
  <c r="X552" i="2"/>
  <c r="Y552" i="2" s="1"/>
  <c r="AB553" i="2"/>
  <c r="AA553" i="2"/>
  <c r="X553" i="2"/>
  <c r="Y553" i="2" s="1"/>
  <c r="AB554" i="2"/>
  <c r="AA554" i="2"/>
  <c r="X554" i="2"/>
  <c r="Y554" i="2" s="1"/>
  <c r="AB555" i="2"/>
  <c r="AA555" i="2"/>
  <c r="X555" i="2"/>
  <c r="Y555" i="2" s="1"/>
  <c r="AB556" i="2"/>
  <c r="AA556" i="2"/>
  <c r="X556" i="2"/>
  <c r="Y556" i="2" s="1"/>
  <c r="AB557" i="2"/>
  <c r="AA557" i="2"/>
  <c r="X557" i="2"/>
  <c r="Y557" i="2" s="1"/>
  <c r="AB558" i="2"/>
  <c r="AA558" i="2"/>
  <c r="X558" i="2"/>
  <c r="Y558" i="2" s="1"/>
  <c r="AB559" i="2"/>
  <c r="AA559" i="2"/>
  <c r="X559" i="2"/>
  <c r="Y559" i="2" s="1"/>
  <c r="AF560" i="2"/>
  <c r="AB560" i="2"/>
  <c r="AA560" i="2"/>
  <c r="X560" i="2"/>
  <c r="Y560" i="2" s="1"/>
  <c r="AB561" i="2"/>
  <c r="AA561" i="2"/>
  <c r="X561" i="2"/>
  <c r="Y561" i="2" s="1"/>
  <c r="AF562" i="2"/>
  <c r="AB562" i="2"/>
  <c r="AA562" i="2"/>
  <c r="X562" i="2"/>
  <c r="Y562" i="2" s="1"/>
  <c r="AF563" i="2"/>
  <c r="AB563" i="2"/>
  <c r="AA563" i="2"/>
  <c r="X563" i="2"/>
  <c r="Y563" i="2" s="1"/>
  <c r="H100" i="6"/>
  <c r="AF564" i="2"/>
  <c r="AB564" i="2"/>
  <c r="AA564" i="2"/>
  <c r="X564" i="2"/>
  <c r="Y564" i="2" s="1"/>
  <c r="AF565" i="2"/>
  <c r="AB565" i="2"/>
  <c r="AA565" i="2"/>
  <c r="X565" i="2"/>
  <c r="Y565" i="2" s="1"/>
  <c r="AF566" i="2"/>
  <c r="AB566" i="2"/>
  <c r="AA566" i="2"/>
  <c r="X566" i="2"/>
  <c r="Y566" i="2" s="1"/>
  <c r="AB567" i="2"/>
  <c r="AA567" i="2"/>
  <c r="X567" i="2"/>
  <c r="Y567" i="2" s="1"/>
  <c r="AF568" i="2"/>
  <c r="AB568" i="2"/>
  <c r="AA568" i="2"/>
  <c r="X568" i="2"/>
  <c r="Y568" i="2" s="1"/>
  <c r="AF569" i="2"/>
  <c r="AB569" i="2"/>
  <c r="AA569" i="2"/>
  <c r="X569" i="2"/>
  <c r="Y569" i="2" s="1"/>
  <c r="H101" i="6"/>
  <c r="AB570" i="2"/>
  <c r="AA570" i="2"/>
  <c r="X570" i="2"/>
  <c r="Y570" i="2" s="1"/>
  <c r="AF571" i="2"/>
  <c r="AB571" i="2"/>
  <c r="AA571" i="2"/>
  <c r="X571" i="2"/>
  <c r="Y571" i="2" s="1"/>
  <c r="H102" i="6"/>
  <c r="K115" i="3"/>
  <c r="L115" i="3" s="1"/>
  <c r="AF572" i="2"/>
  <c r="AB572" i="2"/>
  <c r="AA572" i="2"/>
  <c r="X572" i="2"/>
  <c r="Y572" i="2" s="1"/>
  <c r="AF573" i="2"/>
  <c r="AB573" i="2"/>
  <c r="AA573" i="2"/>
  <c r="X573" i="2"/>
  <c r="Y573" i="2" s="1"/>
  <c r="AF574" i="2"/>
  <c r="AB574" i="2"/>
  <c r="AA574" i="2"/>
  <c r="X574" i="2"/>
  <c r="Y574" i="2" s="1"/>
  <c r="H103" i="6"/>
  <c r="AB575" i="2"/>
  <c r="AA575" i="2"/>
  <c r="X575" i="2"/>
  <c r="Y575" i="2" s="1"/>
  <c r="AF576" i="2"/>
  <c r="AB576" i="2"/>
  <c r="AA576" i="2"/>
  <c r="X576" i="2"/>
  <c r="Y576" i="2" s="1"/>
  <c r="AB577" i="2"/>
  <c r="AA577" i="2"/>
  <c r="X577" i="2"/>
  <c r="Y577" i="2" s="1"/>
  <c r="AF578" i="2"/>
  <c r="AB578" i="2"/>
  <c r="AA578" i="2"/>
  <c r="X578" i="2"/>
  <c r="Y578" i="2" s="1"/>
  <c r="AB579" i="2"/>
  <c r="AA579" i="2"/>
  <c r="X579" i="2"/>
  <c r="Y579" i="2" s="1"/>
  <c r="AF580" i="2"/>
  <c r="AB580" i="2"/>
  <c r="AA580" i="2"/>
  <c r="X580" i="2"/>
  <c r="Y580" i="2" s="1"/>
  <c r="AB581" i="2"/>
  <c r="AA581" i="2"/>
  <c r="X581" i="2"/>
  <c r="Y581" i="2" s="1"/>
  <c r="AF582" i="2"/>
  <c r="AB582" i="2"/>
  <c r="AA582" i="2"/>
  <c r="X582" i="2"/>
  <c r="Y582" i="2" s="1"/>
  <c r="AB583" i="2"/>
  <c r="AA583" i="2"/>
  <c r="X583" i="2"/>
  <c r="Y583" i="2" s="1"/>
  <c r="AF584" i="2"/>
  <c r="AB584" i="2"/>
  <c r="AA584" i="2"/>
  <c r="X584" i="2"/>
  <c r="Y584" i="2" s="1"/>
  <c r="AB585" i="2"/>
  <c r="AA585" i="2"/>
  <c r="X585" i="2"/>
  <c r="Y585" i="2" s="1"/>
  <c r="H104" i="6"/>
  <c r="AF586" i="2"/>
  <c r="AB586" i="2"/>
  <c r="AA586" i="2"/>
  <c r="X586" i="2"/>
  <c r="Y586" i="2" s="1"/>
  <c r="AB587" i="2"/>
  <c r="AA587" i="2"/>
  <c r="X587" i="2"/>
  <c r="Y587" i="2" s="1"/>
  <c r="AF588" i="2"/>
  <c r="AB588" i="2"/>
  <c r="AA588" i="2"/>
  <c r="X588" i="2"/>
  <c r="Y588" i="2" s="1"/>
  <c r="AB589" i="2"/>
  <c r="AA589" i="2"/>
  <c r="X589" i="2"/>
  <c r="Y589" i="2" s="1"/>
  <c r="AB590" i="2"/>
  <c r="AA590" i="2"/>
  <c r="X590" i="2"/>
  <c r="Y590" i="2" s="1"/>
  <c r="AB591" i="2"/>
  <c r="AA591" i="2"/>
  <c r="X591" i="2"/>
  <c r="Y591" i="2" s="1"/>
  <c r="AF592" i="2"/>
  <c r="AB592" i="2"/>
  <c r="AA592" i="2"/>
  <c r="X592" i="2"/>
  <c r="Y592" i="2" s="1"/>
  <c r="AF593" i="2"/>
  <c r="AB593" i="2"/>
  <c r="AA593" i="2"/>
  <c r="X593" i="2"/>
  <c r="Y593" i="2" s="1"/>
  <c r="AB594" i="2"/>
  <c r="AA594" i="2"/>
  <c r="X594" i="2"/>
  <c r="Y594" i="2" s="1"/>
  <c r="H105" i="6"/>
  <c r="AB595" i="2"/>
  <c r="AA595" i="2"/>
  <c r="X595" i="2"/>
  <c r="Y595" i="2" s="1"/>
  <c r="AB596" i="2"/>
  <c r="AA596" i="2"/>
  <c r="X596" i="2"/>
  <c r="Y596" i="2" s="1"/>
  <c r="AB597" i="2"/>
  <c r="AA597" i="2"/>
  <c r="X597" i="2"/>
  <c r="Y597" i="2" s="1"/>
  <c r="AB598" i="2"/>
  <c r="AA598" i="2"/>
  <c r="X598" i="2"/>
  <c r="Y598" i="2" s="1"/>
  <c r="AF599" i="2"/>
  <c r="AB599" i="2"/>
  <c r="AA599" i="2"/>
  <c r="X599" i="2"/>
  <c r="Y599" i="2" s="1"/>
  <c r="H106" i="6"/>
  <c r="AB600" i="2"/>
  <c r="AA600" i="2"/>
  <c r="X600" i="2"/>
  <c r="Y600" i="2" s="1"/>
  <c r="H107" i="6"/>
  <c r="K21" i="3"/>
  <c r="L21" i="3" s="1"/>
  <c r="AB601" i="2"/>
  <c r="AA601" i="2"/>
  <c r="X601" i="2"/>
  <c r="Y601" i="2" s="1"/>
  <c r="H108" i="6"/>
  <c r="AF602" i="2"/>
  <c r="AB602" i="2"/>
  <c r="AA602" i="2"/>
  <c r="X602" i="2"/>
  <c r="Y602" i="2" s="1"/>
  <c r="AF603" i="2"/>
  <c r="AB603" i="2"/>
  <c r="AA603" i="2"/>
  <c r="X603" i="2"/>
  <c r="Y603" i="2" s="1"/>
  <c r="AF604" i="2"/>
  <c r="AB604" i="2"/>
  <c r="AA604" i="2"/>
  <c r="X604" i="2"/>
  <c r="Y604" i="2" s="1"/>
  <c r="AB605" i="2"/>
  <c r="AA605" i="2"/>
  <c r="X605" i="2"/>
  <c r="Y605" i="2" s="1"/>
  <c r="AF606" i="2"/>
  <c r="AB606" i="2"/>
  <c r="AA606" i="2"/>
  <c r="X606" i="2"/>
  <c r="Y606" i="2" s="1"/>
  <c r="AF607" i="2"/>
  <c r="AB607" i="2"/>
  <c r="AA607" i="2"/>
  <c r="X607" i="2"/>
  <c r="Y607" i="2" s="1"/>
  <c r="H109" i="6"/>
  <c r="AF608" i="2"/>
  <c r="AB608" i="2"/>
  <c r="AA608" i="2"/>
  <c r="X608" i="2"/>
  <c r="Y608" i="2" s="1"/>
  <c r="AF609" i="2"/>
  <c r="AB609" i="2"/>
  <c r="AA609" i="2"/>
  <c r="X609" i="2"/>
  <c r="Y609" i="2" s="1"/>
  <c r="H110" i="6"/>
  <c r="AF610" i="2"/>
  <c r="AB610" i="2"/>
  <c r="AA610" i="2"/>
  <c r="X610" i="2"/>
  <c r="Y610" i="2" s="1"/>
  <c r="K26" i="3"/>
  <c r="L26" i="3" s="1"/>
  <c r="AF611" i="2"/>
  <c r="AB611" i="2"/>
  <c r="AA611" i="2"/>
  <c r="X611" i="2"/>
  <c r="Y611" i="2" s="1"/>
  <c r="AF612" i="2"/>
  <c r="AB612" i="2"/>
  <c r="AA612" i="2"/>
  <c r="X612" i="2"/>
  <c r="Y612" i="2" s="1"/>
  <c r="AB613" i="2"/>
  <c r="AA613" i="2"/>
  <c r="X613" i="2"/>
  <c r="Y613" i="2" s="1"/>
  <c r="AB614" i="2"/>
  <c r="AA614" i="2"/>
  <c r="X614" i="2"/>
  <c r="Y614" i="2" s="1"/>
  <c r="H111" i="6"/>
  <c r="K5" i="3"/>
  <c r="L5" i="3" s="1"/>
  <c r="AB615" i="2"/>
  <c r="AA615" i="2"/>
  <c r="X615" i="2"/>
  <c r="Y615" i="2" s="1"/>
  <c r="AB616" i="2"/>
  <c r="AA616" i="2"/>
  <c r="X616" i="2"/>
  <c r="Y616" i="2" s="1"/>
  <c r="H112" i="6"/>
  <c r="AB617" i="2"/>
  <c r="AA617" i="2"/>
  <c r="X617" i="2"/>
  <c r="Y617" i="2" s="1"/>
  <c r="H113" i="6"/>
  <c r="AF618" i="2"/>
  <c r="AB618" i="2"/>
  <c r="AA618" i="2"/>
  <c r="X618" i="2"/>
  <c r="Y618" i="2" s="1"/>
  <c r="H114" i="6"/>
  <c r="K20" i="3"/>
  <c r="L20" i="3" s="1"/>
  <c r="AB619" i="2"/>
  <c r="AA619" i="2"/>
  <c r="X619" i="2"/>
  <c r="Y619" i="2" s="1"/>
  <c r="AF620" i="2"/>
  <c r="AB620" i="2"/>
  <c r="AA620" i="2"/>
  <c r="X620" i="2"/>
  <c r="Y620" i="2" s="1"/>
  <c r="C16" i="5"/>
  <c r="AB621" i="2"/>
  <c r="AA621" i="2"/>
  <c r="X621" i="2"/>
  <c r="Y621" i="2" s="1"/>
  <c r="AB622" i="2"/>
  <c r="AA622" i="2"/>
  <c r="X622" i="2"/>
  <c r="Y622" i="2" s="1"/>
  <c r="AB623" i="2"/>
  <c r="AA623" i="2"/>
  <c r="X623" i="2"/>
  <c r="Y623" i="2" s="1"/>
  <c r="AB624" i="2"/>
  <c r="AA624" i="2"/>
  <c r="X624" i="2"/>
  <c r="Y624" i="2" s="1"/>
  <c r="AB625" i="2"/>
  <c r="AA625" i="2"/>
  <c r="X625" i="2"/>
  <c r="Y625" i="2" s="1"/>
  <c r="AB626" i="2"/>
  <c r="AA626" i="2"/>
  <c r="X626" i="2"/>
  <c r="Y626" i="2" s="1"/>
  <c r="AF627" i="2"/>
  <c r="AB627" i="2"/>
  <c r="AA627" i="2"/>
  <c r="X627" i="2"/>
  <c r="Y627" i="2" s="1"/>
  <c r="AB628" i="2"/>
  <c r="AA628" i="2"/>
  <c r="X628" i="2"/>
  <c r="Y628" i="2" s="1"/>
  <c r="AF629" i="2"/>
  <c r="AB629" i="2"/>
  <c r="AA629" i="2"/>
  <c r="X629" i="2"/>
  <c r="Y629" i="2" s="1"/>
  <c r="AF630" i="2"/>
  <c r="AB630" i="2"/>
  <c r="AA630" i="2"/>
  <c r="X630" i="2"/>
  <c r="Y630" i="2" s="1"/>
  <c r="AB631" i="2"/>
  <c r="AA631" i="2"/>
  <c r="X631" i="2"/>
  <c r="Y631" i="2" s="1"/>
  <c r="AB632" i="2"/>
  <c r="AA632" i="2"/>
  <c r="X632" i="2"/>
  <c r="Y632" i="2" s="1"/>
  <c r="AB633" i="2"/>
  <c r="AA633" i="2"/>
  <c r="X633" i="2"/>
  <c r="Y633" i="2" s="1"/>
  <c r="H115" i="6"/>
  <c r="AB634" i="2"/>
  <c r="AA634" i="2"/>
  <c r="X634" i="2"/>
  <c r="Y634" i="2" s="1"/>
  <c r="H116" i="6"/>
  <c r="AB635" i="2"/>
  <c r="AA635" i="2"/>
  <c r="X635" i="2"/>
  <c r="Y635" i="2" s="1"/>
  <c r="AB636" i="2"/>
  <c r="AA636" i="2"/>
  <c r="X636" i="2"/>
  <c r="Y636" i="2" s="1"/>
  <c r="AB637" i="2"/>
  <c r="AA637" i="2"/>
  <c r="X637" i="2"/>
  <c r="Y637" i="2" s="1"/>
  <c r="AB638" i="2"/>
  <c r="AA638" i="2"/>
  <c r="X638" i="2"/>
  <c r="Y638" i="2" s="1"/>
  <c r="AB639" i="2"/>
  <c r="AA639" i="2"/>
  <c r="X639" i="2"/>
  <c r="Y639" i="2" s="1"/>
  <c r="AB640" i="2"/>
  <c r="AA640" i="2"/>
  <c r="X640" i="2"/>
  <c r="Y640" i="2" s="1"/>
  <c r="AB641" i="2"/>
  <c r="AA641" i="2"/>
  <c r="X641" i="2"/>
  <c r="Y641" i="2" s="1"/>
  <c r="H117" i="6"/>
  <c r="AB642" i="2"/>
  <c r="AA642" i="2"/>
  <c r="X642" i="2"/>
  <c r="Y642" i="2" s="1"/>
  <c r="K131" i="3"/>
  <c r="L131" i="3" s="1"/>
  <c r="AF643" i="2"/>
  <c r="AB643" i="2"/>
  <c r="AA643" i="2"/>
  <c r="X643" i="2"/>
  <c r="Y643" i="2" s="1"/>
  <c r="AB644" i="2"/>
  <c r="AA644" i="2"/>
  <c r="X644" i="2"/>
  <c r="Y644" i="2" s="1"/>
  <c r="AF645" i="2"/>
  <c r="AB645" i="2"/>
  <c r="AA645" i="2"/>
  <c r="X645" i="2"/>
  <c r="Y645" i="2" s="1"/>
  <c r="AF646" i="2"/>
  <c r="AB646" i="2"/>
  <c r="AA646" i="2"/>
  <c r="X646" i="2"/>
  <c r="Y646" i="2" s="1"/>
  <c r="AB647" i="2"/>
  <c r="AA647" i="2"/>
  <c r="X647" i="2"/>
  <c r="Y647" i="2" s="1"/>
  <c r="H118" i="6"/>
  <c r="AB648" i="2"/>
  <c r="AA648" i="2"/>
  <c r="X648" i="2"/>
  <c r="Y648" i="2" s="1"/>
  <c r="AB649" i="2"/>
  <c r="AA649" i="2"/>
  <c r="X649" i="2"/>
  <c r="Y649" i="2" s="1"/>
  <c r="AB650" i="2"/>
  <c r="AA650" i="2"/>
  <c r="X650" i="2"/>
  <c r="Y650" i="2" s="1"/>
  <c r="AB651" i="2"/>
  <c r="AA651" i="2"/>
  <c r="X651" i="2"/>
  <c r="Y651" i="2" s="1"/>
  <c r="AF652" i="2"/>
  <c r="AB652" i="2"/>
  <c r="AA652" i="2"/>
  <c r="X652" i="2"/>
  <c r="Y652" i="2" s="1"/>
  <c r="AB653" i="2"/>
  <c r="AA653" i="2"/>
  <c r="X653" i="2"/>
  <c r="Y653" i="2" s="1"/>
  <c r="AF654" i="2"/>
  <c r="AB654" i="2"/>
  <c r="AA654" i="2"/>
  <c r="X654" i="2"/>
  <c r="Y654" i="2" s="1"/>
  <c r="AB655" i="2"/>
  <c r="AA655" i="2"/>
  <c r="X655" i="2"/>
  <c r="Y655" i="2" s="1"/>
  <c r="AF656" i="2"/>
  <c r="AB656" i="2"/>
  <c r="AA656" i="2"/>
  <c r="X656" i="2"/>
  <c r="Y656" i="2" s="1"/>
  <c r="H119" i="6"/>
  <c r="AF657" i="2"/>
  <c r="AB657" i="2"/>
  <c r="AA657" i="2"/>
  <c r="X657" i="2"/>
  <c r="Y657" i="2" s="1"/>
  <c r="AF658" i="2"/>
  <c r="AB658" i="2"/>
  <c r="AA658" i="2"/>
  <c r="X658" i="2"/>
  <c r="Y658" i="2" s="1"/>
  <c r="K19" i="3"/>
  <c r="L19" i="3" s="1"/>
  <c r="AB659" i="2"/>
  <c r="AA659" i="2"/>
  <c r="X659" i="2"/>
  <c r="Y659" i="2" s="1"/>
  <c r="AF660" i="2"/>
  <c r="AB660" i="2"/>
  <c r="AA660" i="2"/>
  <c r="X660" i="2"/>
  <c r="Y660" i="2" s="1"/>
  <c r="AB661" i="2"/>
  <c r="AA661" i="2"/>
  <c r="X661" i="2"/>
  <c r="Y661" i="2" s="1"/>
  <c r="AF662" i="2"/>
  <c r="AB662" i="2"/>
  <c r="AA662" i="2"/>
  <c r="X662" i="2"/>
  <c r="Y662" i="2" s="1"/>
  <c r="AB663" i="2"/>
  <c r="AA663" i="2"/>
  <c r="X663" i="2"/>
  <c r="Y663" i="2" s="1"/>
  <c r="AB664" i="2"/>
  <c r="AA664" i="2"/>
  <c r="X664" i="2"/>
  <c r="Y664" i="2" s="1"/>
  <c r="AF665" i="2"/>
  <c r="AB665" i="2"/>
  <c r="AA665" i="2"/>
  <c r="X665" i="2"/>
  <c r="Y665" i="2" s="1"/>
  <c r="AB666" i="2"/>
  <c r="AA666" i="2"/>
  <c r="X666" i="2"/>
  <c r="Y666" i="2" s="1"/>
  <c r="AB667" i="2"/>
  <c r="AA667" i="2"/>
  <c r="X667" i="2"/>
  <c r="Y667" i="2" s="1"/>
  <c r="AF668" i="2"/>
  <c r="AB668" i="2"/>
  <c r="AA668" i="2"/>
  <c r="X668" i="2"/>
  <c r="Y668" i="2" s="1"/>
  <c r="AB669" i="2"/>
  <c r="AA669" i="2"/>
  <c r="X669" i="2"/>
  <c r="Y669" i="2" s="1"/>
  <c r="AB670" i="2"/>
  <c r="AA670" i="2"/>
  <c r="X670" i="2"/>
  <c r="Y670" i="2" s="1"/>
  <c r="AB671" i="2"/>
  <c r="AA671" i="2"/>
  <c r="X671" i="2"/>
  <c r="Y671" i="2" s="1"/>
  <c r="AB672" i="2"/>
  <c r="AA672" i="2"/>
  <c r="X672" i="2"/>
  <c r="Y672" i="2" s="1"/>
  <c r="D13" i="5"/>
  <c r="AF673" i="2"/>
  <c r="AB673" i="2"/>
  <c r="AA673" i="2"/>
  <c r="X673" i="2"/>
  <c r="Y673" i="2" s="1"/>
  <c r="D6" i="5"/>
  <c r="AF674" i="2"/>
  <c r="AB674" i="2"/>
  <c r="AA674" i="2"/>
  <c r="X674" i="2"/>
  <c r="Y674" i="2" s="1"/>
  <c r="D7" i="5"/>
  <c r="AF675" i="2"/>
  <c r="AB675" i="2"/>
  <c r="AA675" i="2"/>
  <c r="X675" i="2"/>
  <c r="Y675" i="2" s="1"/>
  <c r="D9" i="5"/>
  <c r="AF676" i="2"/>
  <c r="AB676" i="2"/>
  <c r="AA676" i="2"/>
  <c r="X676" i="2"/>
  <c r="Y676" i="2" s="1"/>
  <c r="D11" i="5"/>
  <c r="AB677" i="2"/>
  <c r="AA677" i="2"/>
  <c r="X677" i="2"/>
  <c r="Y677" i="2" s="1"/>
  <c r="AB678" i="2"/>
  <c r="AA678" i="2"/>
  <c r="X678" i="2"/>
  <c r="Y678" i="2" s="1"/>
  <c r="D8" i="5"/>
  <c r="AB679" i="2"/>
  <c r="AA679" i="2"/>
  <c r="X679" i="2"/>
  <c r="Y679" i="2" s="1"/>
  <c r="AB680" i="2"/>
  <c r="AA680" i="2"/>
  <c r="X680" i="2"/>
  <c r="Y680" i="2" s="1"/>
  <c r="AF681" i="2"/>
  <c r="AB681" i="2"/>
  <c r="AA681" i="2"/>
  <c r="X681" i="2"/>
  <c r="Y681" i="2" s="1"/>
  <c r="AB682" i="2"/>
  <c r="AA682" i="2"/>
  <c r="X682" i="2"/>
  <c r="Y682" i="2" s="1"/>
  <c r="AF683" i="2"/>
  <c r="AB683" i="2"/>
  <c r="AA683" i="2"/>
  <c r="X683" i="2"/>
  <c r="Y683" i="2" s="1"/>
  <c r="D21" i="5"/>
  <c r="AF684" i="2"/>
  <c r="AB684" i="2"/>
  <c r="AA684" i="2"/>
  <c r="X684" i="2"/>
  <c r="Y684" i="2" s="1"/>
  <c r="AF685" i="2"/>
  <c r="AB685" i="2"/>
  <c r="AA685" i="2"/>
  <c r="X685" i="2"/>
  <c r="Y685" i="2" s="1"/>
  <c r="AF686" i="2"/>
  <c r="AB686" i="2"/>
  <c r="AA686" i="2"/>
  <c r="X686" i="2"/>
  <c r="Y686" i="2" s="1"/>
  <c r="AB687" i="2"/>
  <c r="AA687" i="2"/>
  <c r="X687" i="2"/>
  <c r="Y687" i="2" s="1"/>
  <c r="D14" i="5"/>
  <c r="AB688" i="2"/>
  <c r="AA688" i="2"/>
  <c r="X688" i="2"/>
  <c r="Y688" i="2" s="1"/>
  <c r="AF689" i="2"/>
  <c r="AB689" i="2"/>
  <c r="AA689" i="2"/>
  <c r="X689" i="2"/>
  <c r="Y689" i="2" s="1"/>
  <c r="AB690" i="2"/>
  <c r="AA690" i="2"/>
  <c r="X690" i="2"/>
  <c r="Y690" i="2" s="1"/>
  <c r="AF691" i="2"/>
  <c r="AB691" i="2"/>
  <c r="AA691" i="2"/>
  <c r="X691" i="2"/>
  <c r="Y691" i="2" s="1"/>
  <c r="H120" i="6"/>
  <c r="AF692" i="2"/>
  <c r="AB692" i="2"/>
  <c r="AA692" i="2"/>
  <c r="X692" i="2"/>
  <c r="Y692" i="2" s="1"/>
  <c r="H121" i="6"/>
  <c r="AB693" i="2"/>
  <c r="AA693" i="2"/>
  <c r="X693" i="2"/>
  <c r="Y693" i="2" s="1"/>
  <c r="AB694" i="2"/>
  <c r="AA694" i="2"/>
  <c r="X694" i="2"/>
  <c r="Y694" i="2" s="1"/>
  <c r="AF695" i="2"/>
  <c r="AB695" i="2"/>
  <c r="AA695" i="2"/>
  <c r="X695" i="2"/>
  <c r="Y695" i="2" s="1"/>
  <c r="AB696" i="2"/>
  <c r="AA696" i="2"/>
  <c r="X696" i="2"/>
  <c r="Y696" i="2" s="1"/>
  <c r="AF697" i="2"/>
  <c r="AB697" i="2"/>
  <c r="AA697" i="2"/>
  <c r="X697" i="2"/>
  <c r="Y697" i="2" s="1"/>
  <c r="AB698" i="2"/>
  <c r="AA698" i="2"/>
  <c r="X698" i="2"/>
  <c r="Y698" i="2" s="1"/>
  <c r="AF699" i="2"/>
  <c r="AB699" i="2"/>
  <c r="AA699" i="2"/>
  <c r="X699" i="2"/>
  <c r="Y699" i="2" s="1"/>
  <c r="AB700" i="2"/>
  <c r="AA700" i="2"/>
  <c r="X700" i="2"/>
  <c r="Y700" i="2" s="1"/>
  <c r="AF701" i="2"/>
  <c r="AB701" i="2"/>
  <c r="AA701" i="2"/>
  <c r="X701" i="2"/>
  <c r="Y701" i="2" s="1"/>
  <c r="AB702" i="2"/>
  <c r="AA702" i="2"/>
  <c r="X702" i="2"/>
  <c r="Y702" i="2" s="1"/>
  <c r="D5" i="5"/>
  <c r="K111" i="3"/>
  <c r="L111" i="3" s="1"/>
  <c r="AF703" i="2"/>
  <c r="AB703" i="2"/>
  <c r="AA703" i="2"/>
  <c r="X703" i="2"/>
  <c r="Y703" i="2" s="1"/>
  <c r="AF704" i="2"/>
  <c r="AB704" i="2"/>
  <c r="AA704" i="2"/>
  <c r="X704" i="2"/>
  <c r="Y704" i="2" s="1"/>
  <c r="AB705" i="2"/>
  <c r="AA705" i="2"/>
  <c r="X705" i="2"/>
  <c r="Y705" i="2" s="1"/>
  <c r="AB706" i="2"/>
  <c r="AA706" i="2"/>
  <c r="X706" i="2"/>
  <c r="Y706" i="2" s="1"/>
  <c r="H122" i="6"/>
  <c r="AB707" i="2"/>
  <c r="AA707" i="2"/>
  <c r="X707" i="2"/>
  <c r="Y707" i="2" s="1"/>
  <c r="AF708" i="2"/>
  <c r="AB708" i="2"/>
  <c r="AA708" i="2"/>
  <c r="X708" i="2"/>
  <c r="Y708" i="2" s="1"/>
  <c r="AF709" i="2"/>
  <c r="AB709" i="2"/>
  <c r="AA709" i="2"/>
  <c r="X709" i="2"/>
  <c r="Y709" i="2" s="1"/>
  <c r="AB710" i="2"/>
  <c r="AA710" i="2"/>
  <c r="X710" i="2"/>
  <c r="Y710" i="2" s="1"/>
  <c r="AB711" i="2"/>
  <c r="AA711" i="2"/>
  <c r="X711" i="2"/>
  <c r="Y711" i="2" s="1"/>
  <c r="AB712" i="2"/>
  <c r="AA712" i="2"/>
  <c r="X712" i="2"/>
  <c r="Y712" i="2" s="1"/>
  <c r="AB713" i="2"/>
  <c r="AA713" i="2"/>
  <c r="X713" i="2"/>
  <c r="Y713" i="2" s="1"/>
  <c r="AF714" i="2"/>
  <c r="AB714" i="2"/>
  <c r="AA714" i="2"/>
  <c r="X714" i="2"/>
  <c r="Y714" i="2" s="1"/>
  <c r="AF715" i="2"/>
  <c r="AB715" i="2"/>
  <c r="AA715" i="2"/>
  <c r="X715" i="2"/>
  <c r="Y715" i="2" s="1"/>
  <c r="H123" i="6"/>
  <c r="AB716" i="2"/>
  <c r="AA716" i="2"/>
  <c r="X716" i="2"/>
  <c r="Y716" i="2" s="1"/>
  <c r="AB717" i="2"/>
  <c r="AA717" i="2"/>
  <c r="X717" i="2"/>
  <c r="Y717" i="2" s="1"/>
  <c r="AF718" i="2"/>
  <c r="AB718" i="2"/>
  <c r="AA718" i="2"/>
  <c r="X718" i="2"/>
  <c r="Y718" i="2" s="1"/>
  <c r="H124" i="6"/>
  <c r="K123" i="3"/>
  <c r="L123" i="3" s="1"/>
  <c r="AB719" i="2"/>
  <c r="AA719" i="2"/>
  <c r="X719" i="2"/>
  <c r="Y719" i="2" s="1"/>
  <c r="H125" i="6"/>
  <c r="AB720" i="2"/>
  <c r="AA720" i="2"/>
  <c r="X720" i="2"/>
  <c r="Y720" i="2" s="1"/>
  <c r="H126" i="6"/>
  <c r="AF721" i="2"/>
  <c r="AB721" i="2"/>
  <c r="AA721" i="2"/>
  <c r="X721" i="2"/>
  <c r="Y721" i="2" s="1"/>
  <c r="AF722" i="2"/>
  <c r="AB722" i="2"/>
  <c r="AA722" i="2"/>
  <c r="X722" i="2"/>
  <c r="Y722" i="2" s="1"/>
  <c r="AF723" i="2"/>
  <c r="AB723" i="2"/>
  <c r="AA723" i="2"/>
  <c r="X723" i="2"/>
  <c r="Y723" i="2" s="1"/>
  <c r="AB724" i="2"/>
  <c r="AA724" i="2"/>
  <c r="X724" i="2"/>
  <c r="Y724" i="2" s="1"/>
  <c r="AB725" i="2"/>
  <c r="AA725" i="2"/>
  <c r="X725" i="2"/>
  <c r="Y725" i="2" s="1"/>
  <c r="H127" i="6"/>
  <c r="AF726" i="2"/>
  <c r="AB726" i="2"/>
  <c r="AA726" i="2"/>
  <c r="X726" i="2"/>
  <c r="Y726" i="2" s="1"/>
  <c r="AB727" i="2"/>
  <c r="AA727" i="2"/>
  <c r="X727" i="2"/>
  <c r="Y727" i="2" s="1"/>
  <c r="AB728" i="2"/>
  <c r="AA728" i="2"/>
  <c r="X728" i="2"/>
  <c r="Y728" i="2" s="1"/>
  <c r="AF729" i="2"/>
  <c r="AB729" i="2"/>
  <c r="AA729" i="2"/>
  <c r="X729" i="2"/>
  <c r="Y729" i="2" s="1"/>
  <c r="AB730" i="2"/>
  <c r="AA730" i="2"/>
  <c r="X730" i="2"/>
  <c r="Y730" i="2" s="1"/>
  <c r="AB731" i="2"/>
  <c r="AA731" i="2"/>
  <c r="X731" i="2"/>
  <c r="Y731" i="2" s="1"/>
  <c r="AF732" i="2"/>
  <c r="AB732" i="2"/>
  <c r="AA732" i="2"/>
  <c r="X732" i="2"/>
  <c r="Y732" i="2" s="1"/>
  <c r="AB733" i="2"/>
  <c r="AA733" i="2"/>
  <c r="X733" i="2"/>
  <c r="Y733" i="2" s="1"/>
  <c r="AB734" i="2"/>
  <c r="AA734" i="2"/>
  <c r="X734" i="2"/>
  <c r="Y734" i="2" s="1"/>
  <c r="AB735" i="2"/>
  <c r="AA735" i="2"/>
  <c r="X735" i="2"/>
  <c r="Y735" i="2" s="1"/>
  <c r="AF736" i="2"/>
  <c r="AB736" i="2"/>
  <c r="AA736" i="2"/>
  <c r="X736" i="2"/>
  <c r="Y736" i="2" s="1"/>
  <c r="AF737" i="2"/>
  <c r="AB737" i="2"/>
  <c r="AA737" i="2"/>
  <c r="X737" i="2"/>
  <c r="Y737" i="2" s="1"/>
  <c r="AF738" i="2"/>
  <c r="AB738" i="2"/>
  <c r="AA738" i="2"/>
  <c r="X738" i="2"/>
  <c r="Y738" i="2" s="1"/>
  <c r="H128" i="6"/>
  <c r="AF739" i="2"/>
  <c r="AB739" i="2"/>
  <c r="AA739" i="2"/>
  <c r="X739" i="2"/>
  <c r="Y739" i="2" s="1"/>
  <c r="AB740" i="2"/>
  <c r="AA740" i="2"/>
  <c r="X740" i="2"/>
  <c r="Y740" i="2" s="1"/>
  <c r="H129" i="6"/>
  <c r="AB741" i="2"/>
  <c r="AA741" i="2"/>
  <c r="X741" i="2"/>
  <c r="Y741" i="2" s="1"/>
  <c r="H130" i="6"/>
  <c r="AF742" i="2"/>
  <c r="AB742" i="2"/>
  <c r="AA742" i="2"/>
  <c r="X742" i="2"/>
  <c r="Y742" i="2" s="1"/>
  <c r="AF743" i="2"/>
  <c r="AB743" i="2"/>
  <c r="AA743" i="2"/>
  <c r="X743" i="2"/>
  <c r="Y743" i="2" s="1"/>
  <c r="AB744" i="2"/>
  <c r="AA744" i="2"/>
  <c r="X744" i="2"/>
  <c r="Y744" i="2" s="1"/>
  <c r="AF745" i="2"/>
  <c r="AB745" i="2"/>
  <c r="AA745" i="2"/>
  <c r="X745" i="2"/>
  <c r="Y745" i="2" s="1"/>
  <c r="AF746" i="2"/>
  <c r="AB746" i="2"/>
  <c r="AA746" i="2"/>
  <c r="X746" i="2"/>
  <c r="Y746" i="2" s="1"/>
  <c r="H131" i="6"/>
  <c r="D15" i="5"/>
  <c r="AB747" i="2"/>
  <c r="AA747" i="2"/>
  <c r="X747" i="2"/>
  <c r="Y747" i="2" s="1"/>
  <c r="H132" i="6"/>
  <c r="AB748" i="2"/>
  <c r="AA748" i="2"/>
  <c r="X748" i="2"/>
  <c r="Y748" i="2" s="1"/>
  <c r="AF749" i="2"/>
  <c r="AB749" i="2"/>
  <c r="AA749" i="2"/>
  <c r="X749" i="2"/>
  <c r="Y749" i="2" s="1"/>
  <c r="AF750" i="2"/>
  <c r="AB750" i="2"/>
  <c r="AA750" i="2"/>
  <c r="X750" i="2"/>
  <c r="Y750" i="2" s="1"/>
  <c r="AB751" i="2"/>
  <c r="AA751" i="2"/>
  <c r="X751" i="2"/>
  <c r="Y751" i="2" s="1"/>
  <c r="AF752" i="2"/>
  <c r="AB752" i="2"/>
  <c r="AA752" i="2"/>
  <c r="X752" i="2"/>
  <c r="Y752" i="2" s="1"/>
  <c r="AF753" i="2"/>
  <c r="AB753" i="2"/>
  <c r="AA753" i="2"/>
  <c r="X753" i="2"/>
  <c r="Y753" i="2" s="1"/>
  <c r="AB754" i="2"/>
  <c r="AA754" i="2"/>
  <c r="X754" i="2"/>
  <c r="Y754" i="2" s="1"/>
  <c r="H133" i="6"/>
  <c r="AB755" i="2"/>
  <c r="AA755" i="2"/>
  <c r="X755" i="2"/>
  <c r="Y755" i="2" s="1"/>
  <c r="H134" i="6"/>
  <c r="AF756" i="2"/>
  <c r="AB756" i="2"/>
  <c r="AA756" i="2"/>
  <c r="X756" i="2"/>
  <c r="Y756" i="2" s="1"/>
  <c r="H135" i="6"/>
  <c r="AB757" i="2"/>
  <c r="AA757" i="2"/>
  <c r="X757" i="2"/>
  <c r="Y757" i="2" s="1"/>
  <c r="H136" i="6"/>
  <c r="AB758" i="2"/>
  <c r="AA758" i="2"/>
  <c r="X758" i="2"/>
  <c r="Y758" i="2" s="1"/>
  <c r="AF759" i="2"/>
  <c r="AB759" i="2"/>
  <c r="AA759" i="2"/>
  <c r="X759" i="2"/>
  <c r="Y759" i="2" s="1"/>
  <c r="AB760" i="2"/>
  <c r="AA760" i="2"/>
  <c r="X760" i="2"/>
  <c r="Y760" i="2" s="1"/>
  <c r="AB761" i="2"/>
  <c r="AA761" i="2"/>
  <c r="X761" i="2"/>
  <c r="Y761" i="2" s="1"/>
  <c r="H137" i="6"/>
  <c r="AB762" i="2"/>
  <c r="AA762" i="2"/>
  <c r="X762" i="2"/>
  <c r="Y762" i="2" s="1"/>
  <c r="AF763" i="2"/>
  <c r="AB763" i="2"/>
  <c r="AA763" i="2"/>
  <c r="X763" i="2"/>
  <c r="Y763" i="2" s="1"/>
  <c r="AF764" i="2"/>
  <c r="AB764" i="2"/>
  <c r="AA764" i="2"/>
  <c r="X764" i="2"/>
  <c r="Y764" i="2" s="1"/>
  <c r="AB765" i="2"/>
  <c r="AA765" i="2"/>
  <c r="X765" i="2"/>
  <c r="Y765" i="2" s="1"/>
  <c r="AB766" i="2"/>
  <c r="AA766" i="2"/>
  <c r="X766" i="2"/>
  <c r="Y766" i="2" s="1"/>
  <c r="AB767" i="2"/>
  <c r="AA767" i="2"/>
  <c r="X767" i="2"/>
  <c r="Y767" i="2" s="1"/>
  <c r="I10" i="4"/>
  <c r="H10" i="4"/>
  <c r="K56" i="3"/>
  <c r="L56" i="3" s="1"/>
  <c r="AB768" i="2"/>
  <c r="AA768" i="2"/>
  <c r="X768" i="2"/>
  <c r="Y768" i="2" s="1"/>
  <c r="L10" i="4"/>
  <c r="AB769" i="2"/>
  <c r="AA769" i="2"/>
  <c r="X769" i="2"/>
  <c r="Y769" i="2" s="1"/>
  <c r="K10" i="4"/>
  <c r="AB770" i="2"/>
  <c r="AA770" i="2"/>
  <c r="X770" i="2"/>
  <c r="Y770" i="2" s="1"/>
  <c r="AB771" i="2"/>
  <c r="AA771" i="2"/>
  <c r="X771" i="2"/>
  <c r="Y771" i="2" s="1"/>
  <c r="AF772" i="2"/>
  <c r="AB772" i="2"/>
  <c r="AA772" i="2"/>
  <c r="X772" i="2"/>
  <c r="Y772" i="2" s="1"/>
  <c r="K92" i="3"/>
  <c r="L92" i="3" s="1"/>
  <c r="AF773" i="2"/>
  <c r="AB773" i="2"/>
  <c r="AA773" i="2"/>
  <c r="X773" i="2"/>
  <c r="Y773" i="2" s="1"/>
  <c r="AB774" i="2"/>
  <c r="AA774" i="2"/>
  <c r="X774" i="2"/>
  <c r="Y774" i="2" s="1"/>
  <c r="AF775" i="2"/>
  <c r="AB775" i="2"/>
  <c r="AA775" i="2"/>
  <c r="X775" i="2"/>
  <c r="Y775" i="2" s="1"/>
  <c r="H138" i="6"/>
  <c r="AF776" i="2"/>
  <c r="AB776" i="2"/>
  <c r="AA776" i="2"/>
  <c r="X776" i="2"/>
  <c r="Y776" i="2" s="1"/>
  <c r="H139" i="6"/>
  <c r="AB777" i="2"/>
  <c r="AA777" i="2"/>
  <c r="X777" i="2"/>
  <c r="Y777" i="2" s="1"/>
  <c r="H140" i="6"/>
  <c r="AB778" i="2"/>
  <c r="AA778" i="2"/>
  <c r="X778" i="2"/>
  <c r="Y778" i="2" s="1"/>
  <c r="AF779" i="2"/>
  <c r="AB779" i="2"/>
  <c r="AA779" i="2"/>
  <c r="X779" i="2"/>
  <c r="Y779" i="2" s="1"/>
  <c r="AB780" i="2"/>
  <c r="AA780" i="2"/>
  <c r="X780" i="2"/>
  <c r="Y780" i="2" s="1"/>
  <c r="AB781" i="2"/>
  <c r="AA781" i="2"/>
  <c r="X781" i="2"/>
  <c r="Y781" i="2" s="1"/>
  <c r="AF782" i="2"/>
  <c r="AB782" i="2"/>
  <c r="AA782" i="2"/>
  <c r="X782" i="2"/>
  <c r="Y782" i="2" s="1"/>
  <c r="AB783" i="2"/>
  <c r="AA783" i="2"/>
  <c r="X783" i="2"/>
  <c r="Y783" i="2" s="1"/>
  <c r="AB784" i="2"/>
  <c r="AA784" i="2"/>
  <c r="X784" i="2"/>
  <c r="Y784" i="2" s="1"/>
  <c r="H141" i="6"/>
  <c r="K30" i="3"/>
  <c r="L30" i="3" s="1"/>
  <c r="AB785" i="2"/>
  <c r="AA785" i="2"/>
  <c r="X785" i="2"/>
  <c r="Y785" i="2" s="1"/>
  <c r="AB786" i="2"/>
  <c r="AA786" i="2"/>
  <c r="X786" i="2"/>
  <c r="Y786" i="2" s="1"/>
  <c r="AB787" i="2"/>
  <c r="AA787" i="2"/>
  <c r="X787" i="2"/>
  <c r="Y787" i="2" s="1"/>
  <c r="AB788" i="2"/>
  <c r="AA788" i="2"/>
  <c r="X788" i="2"/>
  <c r="Y788" i="2" s="1"/>
  <c r="H142" i="6"/>
  <c r="AB789" i="2"/>
  <c r="AA789" i="2"/>
  <c r="X789" i="2"/>
  <c r="Y789" i="2" s="1"/>
  <c r="J10" i="4"/>
  <c r="AB790" i="2"/>
  <c r="AA790" i="2"/>
  <c r="X790" i="2"/>
  <c r="Y790" i="2" s="1"/>
  <c r="D18" i="5"/>
  <c r="AB791" i="2"/>
  <c r="AA791" i="2"/>
  <c r="X791" i="2"/>
  <c r="Y791" i="2" s="1"/>
  <c r="H143" i="6"/>
  <c r="AB792" i="2"/>
  <c r="AA792" i="2"/>
  <c r="X792" i="2"/>
  <c r="Y792" i="2" s="1"/>
  <c r="AF793" i="2"/>
  <c r="AB793" i="2"/>
  <c r="AA793" i="2"/>
  <c r="X793" i="2"/>
  <c r="Y793" i="2" s="1"/>
  <c r="AF794" i="2"/>
  <c r="AB794" i="2"/>
  <c r="AA794" i="2"/>
  <c r="X794" i="2"/>
  <c r="Y794" i="2" s="1"/>
  <c r="AF795" i="2"/>
  <c r="AB795" i="2"/>
  <c r="AA795" i="2"/>
  <c r="X795" i="2"/>
  <c r="Y795" i="2" s="1"/>
  <c r="AB796" i="2"/>
  <c r="AA796" i="2"/>
  <c r="X796" i="2"/>
  <c r="Y796" i="2" s="1"/>
  <c r="AB797" i="2"/>
  <c r="AA797" i="2"/>
  <c r="X797" i="2"/>
  <c r="Y797" i="2" s="1"/>
  <c r="AB798" i="2"/>
  <c r="AA798" i="2"/>
  <c r="X798" i="2"/>
  <c r="Y798" i="2" s="1"/>
  <c r="H144" i="6"/>
  <c r="D22" i="5"/>
  <c r="AB799" i="2"/>
  <c r="AA799" i="2"/>
  <c r="X799" i="2"/>
  <c r="Y799" i="2" s="1"/>
  <c r="AB800" i="2"/>
  <c r="AA800" i="2"/>
  <c r="X800" i="2"/>
  <c r="Y800" i="2" s="1"/>
  <c r="AF801" i="2"/>
  <c r="AB801" i="2"/>
  <c r="AA801" i="2"/>
  <c r="X801" i="2"/>
  <c r="Y801" i="2" s="1"/>
  <c r="AF802" i="2"/>
  <c r="AB802" i="2"/>
  <c r="AA802" i="2"/>
  <c r="X802" i="2"/>
  <c r="Y802" i="2" s="1"/>
  <c r="AB803" i="2"/>
  <c r="AA803" i="2"/>
  <c r="X803" i="2"/>
  <c r="Y803" i="2" s="1"/>
  <c r="AF804" i="2"/>
  <c r="AB804" i="2"/>
  <c r="AA804" i="2"/>
  <c r="X804" i="2"/>
  <c r="Y804" i="2" s="1"/>
  <c r="AB805" i="2"/>
  <c r="AA805" i="2"/>
  <c r="X805" i="2"/>
  <c r="Y805" i="2" s="1"/>
  <c r="AF806" i="2"/>
  <c r="AB806" i="2"/>
  <c r="AA806" i="2"/>
  <c r="X806" i="2"/>
  <c r="Y806" i="2" s="1"/>
  <c r="AB807" i="2"/>
  <c r="AA807" i="2"/>
  <c r="X807" i="2"/>
  <c r="Y807" i="2" s="1"/>
  <c r="AB808" i="2"/>
  <c r="AA808" i="2"/>
  <c r="X808" i="2"/>
  <c r="Y808" i="2" s="1"/>
  <c r="AB809" i="2"/>
  <c r="AA809" i="2"/>
  <c r="X809" i="2"/>
  <c r="Y809" i="2" s="1"/>
  <c r="AF810" i="2"/>
  <c r="AB810" i="2"/>
  <c r="AA810" i="2"/>
  <c r="X810" i="2"/>
  <c r="Y810" i="2" s="1"/>
  <c r="D10" i="5"/>
  <c r="AF811" i="2"/>
  <c r="AB811" i="2"/>
  <c r="AA811" i="2"/>
  <c r="X811" i="2"/>
  <c r="Y811" i="2" s="1"/>
  <c r="H145" i="6"/>
  <c r="AF812" i="2"/>
  <c r="AB812" i="2"/>
  <c r="AA812" i="2"/>
  <c r="X812" i="2"/>
  <c r="Y812" i="2" s="1"/>
  <c r="AF813" i="2"/>
  <c r="AB813" i="2"/>
  <c r="AA813" i="2"/>
  <c r="X813" i="2"/>
  <c r="Y813" i="2" s="1"/>
  <c r="AB814" i="2"/>
  <c r="AA814" i="2"/>
  <c r="X814" i="2"/>
  <c r="Y814" i="2" s="1"/>
  <c r="AF815" i="2"/>
  <c r="AB815" i="2"/>
  <c r="AA815" i="2"/>
  <c r="X815" i="2"/>
  <c r="Y815" i="2" s="1"/>
  <c r="AB816" i="2"/>
  <c r="AA816" i="2"/>
  <c r="X816" i="2"/>
  <c r="Y816" i="2" s="1"/>
  <c r="AB817" i="2"/>
  <c r="AA817" i="2"/>
  <c r="X817" i="2"/>
  <c r="Y817" i="2" s="1"/>
  <c r="AB818" i="2"/>
  <c r="AA818" i="2"/>
  <c r="X818" i="2"/>
  <c r="Y818" i="2" s="1"/>
  <c r="AB819" i="2"/>
  <c r="AA819" i="2"/>
  <c r="X819" i="2"/>
  <c r="Y819" i="2" s="1"/>
  <c r="AB820" i="2"/>
  <c r="AA820" i="2"/>
  <c r="X820" i="2"/>
  <c r="Y820" i="2" s="1"/>
  <c r="AF821" i="2"/>
  <c r="AB821" i="2"/>
  <c r="AA821" i="2"/>
  <c r="X821" i="2"/>
  <c r="Y821" i="2" s="1"/>
  <c r="AF822" i="2"/>
  <c r="AB822" i="2"/>
  <c r="AA822" i="2"/>
  <c r="X822" i="2"/>
  <c r="Y822" i="2" s="1"/>
  <c r="H146" i="6"/>
  <c r="AB823" i="2"/>
  <c r="AA823" i="2"/>
  <c r="X823" i="2"/>
  <c r="Y823" i="2" s="1"/>
  <c r="AF824" i="2"/>
  <c r="AB824" i="2"/>
  <c r="AA824" i="2"/>
  <c r="X824" i="2"/>
  <c r="Y824" i="2" s="1"/>
  <c r="H147" i="6"/>
  <c r="AB825" i="2"/>
  <c r="AA825" i="2"/>
  <c r="X825" i="2"/>
  <c r="Y825" i="2" s="1"/>
  <c r="AB826" i="2"/>
  <c r="AA826" i="2"/>
  <c r="X826" i="2"/>
  <c r="Y826" i="2" s="1"/>
  <c r="H148" i="6"/>
  <c r="AB827" i="2"/>
  <c r="AA827" i="2"/>
  <c r="X827" i="2"/>
  <c r="Y827" i="2" s="1"/>
  <c r="AB828" i="2"/>
  <c r="AA828" i="2"/>
  <c r="X828" i="2"/>
  <c r="Y828" i="2" s="1"/>
  <c r="AF829" i="2"/>
  <c r="AB829" i="2"/>
  <c r="AA829" i="2"/>
  <c r="X829" i="2"/>
  <c r="Y829" i="2" s="1"/>
  <c r="AB830" i="2"/>
  <c r="AA830" i="2"/>
  <c r="X830" i="2"/>
  <c r="Y830" i="2" s="1"/>
  <c r="AB831" i="2"/>
  <c r="AA831" i="2"/>
  <c r="X831" i="2"/>
  <c r="Y831" i="2" s="1"/>
  <c r="AB832" i="2"/>
  <c r="AA832" i="2"/>
  <c r="X832" i="2"/>
  <c r="Y832" i="2" s="1"/>
  <c r="AB833" i="2"/>
  <c r="AA833" i="2"/>
  <c r="X833" i="2"/>
  <c r="Y833" i="2" s="1"/>
  <c r="D20" i="5"/>
  <c r="AB834" i="2"/>
  <c r="AA834" i="2"/>
  <c r="X834" i="2"/>
  <c r="Y834" i="2" s="1"/>
  <c r="AF835" i="2"/>
  <c r="AB835" i="2"/>
  <c r="AA835" i="2"/>
  <c r="X835" i="2"/>
  <c r="Y835" i="2" s="1"/>
  <c r="AF836" i="2"/>
  <c r="AB836" i="2"/>
  <c r="AA836" i="2"/>
  <c r="X836" i="2"/>
  <c r="Y836" i="2" s="1"/>
  <c r="AB837" i="2"/>
  <c r="AA837" i="2"/>
  <c r="X837" i="2"/>
  <c r="Y837" i="2" s="1"/>
  <c r="H149" i="6"/>
  <c r="AB838" i="2"/>
  <c r="AA838" i="2"/>
  <c r="X838" i="2"/>
  <c r="Y838" i="2" s="1"/>
  <c r="AB839" i="2"/>
  <c r="AA839" i="2"/>
  <c r="X839" i="2"/>
  <c r="Y839" i="2" s="1"/>
  <c r="AF840" i="2"/>
  <c r="AB840" i="2"/>
  <c r="AA840" i="2"/>
  <c r="X840" i="2"/>
  <c r="Y840" i="2" s="1"/>
  <c r="H150" i="6"/>
  <c r="I8" i="4"/>
  <c r="H8" i="4"/>
  <c r="K57" i="3"/>
  <c r="L57" i="3" s="1"/>
  <c r="AB841" i="2"/>
  <c r="AA841" i="2"/>
  <c r="X841" i="2"/>
  <c r="Y841" i="2" s="1"/>
  <c r="H151" i="6"/>
  <c r="D17" i="5"/>
  <c r="AF842" i="2"/>
  <c r="AB842" i="2"/>
  <c r="AA842" i="2"/>
  <c r="X842" i="2"/>
  <c r="Y842" i="2" s="1"/>
  <c r="D16" i="5"/>
  <c r="AB843" i="2"/>
  <c r="AA843" i="2"/>
  <c r="X843" i="2"/>
  <c r="Y843" i="2" s="1"/>
  <c r="L8" i="4"/>
  <c r="AF844" i="2"/>
  <c r="AB844" i="2"/>
  <c r="AA844" i="2"/>
  <c r="X844" i="2"/>
  <c r="Y844" i="2" s="1"/>
  <c r="K8" i="4"/>
  <c r="AF845" i="2"/>
  <c r="AB845" i="2"/>
  <c r="AA845" i="2"/>
  <c r="X845" i="2"/>
  <c r="Y845" i="2" s="1"/>
  <c r="H152" i="6"/>
  <c r="AF846" i="2"/>
  <c r="AB846" i="2"/>
  <c r="AA846" i="2"/>
  <c r="X846" i="2"/>
  <c r="Y846" i="2" s="1"/>
  <c r="H153" i="6"/>
  <c r="AF847" i="2"/>
  <c r="AB847" i="2"/>
  <c r="AA847" i="2"/>
  <c r="X847" i="2"/>
  <c r="Y847" i="2" s="1"/>
  <c r="D12" i="5"/>
  <c r="AB848" i="2"/>
  <c r="AA848" i="2"/>
  <c r="X848" i="2"/>
  <c r="Y848" i="2" s="1"/>
  <c r="J8" i="4"/>
  <c r="AB849" i="2"/>
  <c r="AA849" i="2"/>
  <c r="X849" i="2"/>
  <c r="Y849" i="2" s="1"/>
  <c r="AB850" i="2"/>
  <c r="AA850" i="2"/>
  <c r="X850" i="2"/>
  <c r="Y850" i="2" s="1"/>
  <c r="AF851" i="2"/>
  <c r="AB851" i="2"/>
  <c r="AA851" i="2"/>
  <c r="X851" i="2"/>
  <c r="Y851" i="2" s="1"/>
  <c r="AF852" i="2"/>
  <c r="AB852" i="2"/>
  <c r="AA852" i="2"/>
  <c r="X852" i="2"/>
  <c r="Y852" i="2" s="1"/>
  <c r="H154" i="6"/>
  <c r="K74" i="3"/>
  <c r="L74" i="3" s="1"/>
  <c r="AB853" i="2"/>
  <c r="AA853" i="2"/>
  <c r="X853" i="2"/>
  <c r="Y853" i="2" s="1"/>
  <c r="AB854" i="2"/>
  <c r="AA854" i="2"/>
  <c r="X854" i="2"/>
  <c r="Y854" i="2" s="1"/>
  <c r="AB855" i="2"/>
  <c r="AA855" i="2"/>
  <c r="X855" i="2"/>
  <c r="Y855" i="2" s="1"/>
  <c r="AF856" i="2"/>
  <c r="AB856" i="2"/>
  <c r="AA856" i="2"/>
  <c r="X856" i="2"/>
  <c r="Y856" i="2" s="1"/>
  <c r="AB857" i="2"/>
  <c r="AA857" i="2"/>
  <c r="X857" i="2"/>
  <c r="Y857" i="2" s="1"/>
  <c r="AF858" i="2"/>
  <c r="AB858" i="2"/>
  <c r="AA858" i="2"/>
  <c r="X858" i="2"/>
  <c r="Y858" i="2" s="1"/>
  <c r="AB859" i="2"/>
  <c r="AA859" i="2"/>
  <c r="X859" i="2"/>
  <c r="Y859" i="2" s="1"/>
  <c r="AB860" i="2"/>
  <c r="AA860" i="2"/>
  <c r="X860" i="2"/>
  <c r="Y860" i="2" s="1"/>
  <c r="AF861" i="2"/>
  <c r="AB861" i="2"/>
  <c r="AA861" i="2"/>
  <c r="X861" i="2"/>
  <c r="Y861" i="2" s="1"/>
  <c r="AF862" i="2"/>
  <c r="AB862" i="2"/>
  <c r="AA862" i="2"/>
  <c r="X862" i="2"/>
  <c r="Y862" i="2" s="1"/>
  <c r="H155" i="6"/>
  <c r="AB863" i="2"/>
  <c r="AA863" i="2"/>
  <c r="X863" i="2"/>
  <c r="Y863" i="2" s="1"/>
  <c r="K25" i="3"/>
  <c r="L25" i="3" s="1"/>
  <c r="AF864" i="2"/>
  <c r="AB864" i="2"/>
  <c r="AA864" i="2"/>
  <c r="X864" i="2"/>
  <c r="Y864" i="2" s="1"/>
  <c r="H156" i="6"/>
  <c r="AB865" i="2"/>
  <c r="AA865" i="2"/>
  <c r="X865" i="2"/>
  <c r="Y865" i="2" s="1"/>
  <c r="AB866" i="2"/>
  <c r="AA866" i="2"/>
  <c r="X866" i="2"/>
  <c r="Y866" i="2" s="1"/>
  <c r="AB867" i="2"/>
  <c r="AA867" i="2"/>
  <c r="X867" i="2"/>
  <c r="Y867" i="2" s="1"/>
  <c r="AF868" i="2"/>
  <c r="AB868" i="2"/>
  <c r="AA868" i="2"/>
  <c r="X868" i="2"/>
  <c r="Y868" i="2" s="1"/>
  <c r="AB869" i="2"/>
  <c r="AA869" i="2"/>
  <c r="X869" i="2"/>
  <c r="Y869" i="2" s="1"/>
  <c r="AB870" i="2"/>
  <c r="AA870" i="2"/>
  <c r="X870" i="2"/>
  <c r="Y870" i="2" s="1"/>
  <c r="H157" i="6"/>
  <c r="AB871" i="2"/>
  <c r="AA871" i="2"/>
  <c r="X871" i="2"/>
  <c r="Y871" i="2" s="1"/>
  <c r="H158" i="6"/>
  <c r="AB872" i="2"/>
  <c r="AA872" i="2"/>
  <c r="X872" i="2"/>
  <c r="Y872" i="2" s="1"/>
  <c r="AF873" i="2"/>
  <c r="AB873" i="2"/>
  <c r="AA873" i="2"/>
  <c r="X873" i="2"/>
  <c r="Y873" i="2" s="1"/>
  <c r="AF874" i="2"/>
  <c r="AB874" i="2"/>
  <c r="AA874" i="2"/>
  <c r="X874" i="2"/>
  <c r="Y874" i="2" s="1"/>
  <c r="H159" i="6"/>
  <c r="AF875" i="2"/>
  <c r="AB875" i="2"/>
  <c r="AA875" i="2"/>
  <c r="X875" i="2"/>
  <c r="Y875" i="2" s="1"/>
  <c r="AF876" i="2"/>
  <c r="AB876" i="2"/>
  <c r="AA876" i="2"/>
  <c r="X876" i="2"/>
  <c r="Y876" i="2" s="1"/>
  <c r="AB877" i="2"/>
  <c r="AA877" i="2"/>
  <c r="X877" i="2"/>
  <c r="Y877" i="2" s="1"/>
  <c r="AF878" i="2"/>
  <c r="AB878" i="2"/>
  <c r="AA878" i="2"/>
  <c r="X878" i="2"/>
  <c r="Y878" i="2" s="1"/>
  <c r="AF879" i="2"/>
  <c r="AB879" i="2"/>
  <c r="AA879" i="2"/>
  <c r="X879" i="2"/>
  <c r="Y879" i="2" s="1"/>
  <c r="AB880" i="2"/>
  <c r="AA880" i="2"/>
  <c r="X880" i="2"/>
  <c r="Y880" i="2" s="1"/>
  <c r="H160" i="6"/>
  <c r="AB881" i="2"/>
  <c r="AA881" i="2"/>
  <c r="X881" i="2"/>
  <c r="Y881" i="2" s="1"/>
  <c r="H161" i="6"/>
  <c r="AB882" i="2"/>
  <c r="AA882" i="2"/>
  <c r="X882" i="2"/>
  <c r="Y882" i="2" s="1"/>
  <c r="AF883" i="2"/>
  <c r="AB883" i="2"/>
  <c r="AA883" i="2"/>
  <c r="X883" i="2"/>
  <c r="Y883" i="2" s="1"/>
  <c r="AB884" i="2"/>
  <c r="AA884" i="2"/>
  <c r="X884" i="2"/>
  <c r="Y884" i="2" s="1"/>
  <c r="AB885" i="2"/>
  <c r="AA885" i="2"/>
  <c r="X885" i="2"/>
  <c r="Y885" i="2" s="1"/>
  <c r="AB886" i="2"/>
  <c r="AA886" i="2"/>
  <c r="X886" i="2"/>
  <c r="Y886" i="2" s="1"/>
  <c r="AB887" i="2"/>
  <c r="AA887" i="2"/>
  <c r="X887" i="2"/>
  <c r="Y887" i="2" s="1"/>
  <c r="AB888" i="2"/>
  <c r="AA888" i="2"/>
  <c r="X888" i="2"/>
  <c r="Y888" i="2" s="1"/>
  <c r="H162" i="6"/>
  <c r="AB889" i="2"/>
  <c r="AA889" i="2"/>
  <c r="X889" i="2"/>
  <c r="Y889" i="2" s="1"/>
  <c r="AB890" i="2"/>
  <c r="AA890" i="2"/>
  <c r="X890" i="2"/>
  <c r="Y890" i="2" s="1"/>
  <c r="AB891" i="2"/>
  <c r="AA891" i="2"/>
  <c r="X891" i="2"/>
  <c r="Y891" i="2" s="1"/>
  <c r="H163" i="6"/>
  <c r="AF892" i="2"/>
  <c r="AB892" i="2"/>
  <c r="AA892" i="2"/>
  <c r="X892" i="2"/>
  <c r="Y892" i="2" s="1"/>
  <c r="AF893" i="2"/>
  <c r="AB893" i="2"/>
  <c r="AA893" i="2"/>
  <c r="X893" i="2"/>
  <c r="Y893" i="2" s="1"/>
  <c r="AF894" i="2"/>
  <c r="AB894" i="2"/>
  <c r="AA894" i="2"/>
  <c r="X894" i="2"/>
  <c r="Y894" i="2" s="1"/>
  <c r="AB895" i="2"/>
  <c r="AA895" i="2"/>
  <c r="X895" i="2"/>
  <c r="Y895" i="2" s="1"/>
  <c r="H164" i="6"/>
  <c r="AB896" i="2"/>
  <c r="AA896" i="2"/>
  <c r="X896" i="2"/>
  <c r="Y896" i="2" s="1"/>
  <c r="AB897" i="2"/>
  <c r="AA897" i="2"/>
  <c r="X897" i="2"/>
  <c r="Y897" i="2" s="1"/>
  <c r="AB898" i="2"/>
  <c r="AA898" i="2"/>
  <c r="X898" i="2"/>
  <c r="Y898" i="2" s="1"/>
  <c r="AB899" i="2"/>
  <c r="AA899" i="2"/>
  <c r="X899" i="2"/>
  <c r="Y899" i="2" s="1"/>
  <c r="AB900" i="2"/>
  <c r="AA900" i="2"/>
  <c r="X900" i="2"/>
  <c r="Y900" i="2" s="1"/>
  <c r="AB901" i="2"/>
  <c r="AA901" i="2"/>
  <c r="X901" i="2"/>
  <c r="Y901" i="2" s="1"/>
  <c r="AB902" i="2"/>
  <c r="AA902" i="2"/>
  <c r="X902" i="2"/>
  <c r="Y902" i="2" s="1"/>
  <c r="H165" i="6"/>
  <c r="AF903" i="2"/>
  <c r="AB903" i="2"/>
  <c r="AA903" i="2"/>
  <c r="X903" i="2"/>
  <c r="Y903" i="2" s="1"/>
  <c r="AF904" i="2"/>
  <c r="AB904" i="2"/>
  <c r="AA904" i="2"/>
  <c r="X904" i="2"/>
  <c r="Y904" i="2" s="1"/>
  <c r="AF905" i="2"/>
  <c r="AB905" i="2"/>
  <c r="AA905" i="2"/>
  <c r="X905" i="2"/>
  <c r="Y905" i="2" s="1"/>
  <c r="AB906" i="2"/>
  <c r="AA906" i="2"/>
  <c r="X906" i="2"/>
  <c r="Y906" i="2" s="1"/>
  <c r="AF907" i="2"/>
  <c r="AB907" i="2"/>
  <c r="AA907" i="2"/>
  <c r="X907" i="2"/>
  <c r="Y907" i="2" s="1"/>
  <c r="H166" i="6"/>
  <c r="AB908" i="2"/>
  <c r="AA908" i="2"/>
  <c r="X908" i="2"/>
  <c r="Y908" i="2" s="1"/>
  <c r="AF909" i="2"/>
  <c r="AB909" i="2"/>
  <c r="AA909" i="2"/>
  <c r="X909" i="2"/>
  <c r="Y909" i="2" s="1"/>
  <c r="AB910" i="2"/>
  <c r="AA910" i="2"/>
  <c r="X910" i="2"/>
  <c r="Y910" i="2" s="1"/>
  <c r="AB911" i="2"/>
  <c r="AA911" i="2"/>
  <c r="X911" i="2"/>
  <c r="Y911" i="2" s="1"/>
  <c r="H167" i="6"/>
  <c r="AB912" i="2"/>
  <c r="AA912" i="2"/>
  <c r="X912" i="2"/>
  <c r="Y912" i="2" s="1"/>
  <c r="H168" i="6"/>
  <c r="K122" i="3"/>
  <c r="L122" i="3" s="1"/>
  <c r="AF913" i="2"/>
  <c r="AB913" i="2"/>
  <c r="AA913" i="2"/>
  <c r="X913" i="2"/>
  <c r="Y913" i="2" s="1"/>
  <c r="AB914" i="2"/>
  <c r="AA914" i="2"/>
  <c r="X914" i="2"/>
  <c r="Y914" i="2" s="1"/>
  <c r="AB915" i="2"/>
  <c r="AA915" i="2"/>
  <c r="X915" i="2"/>
  <c r="Y915" i="2" s="1"/>
  <c r="AF916" i="2"/>
  <c r="AB916" i="2"/>
  <c r="AA916" i="2"/>
  <c r="X916" i="2"/>
  <c r="Y916" i="2" s="1"/>
  <c r="AF917" i="2"/>
  <c r="AB917" i="2"/>
  <c r="AA917" i="2"/>
  <c r="X917" i="2"/>
  <c r="Y917" i="2" s="1"/>
  <c r="AB918" i="2"/>
  <c r="AA918" i="2"/>
  <c r="X918" i="2"/>
  <c r="Y918" i="2" s="1"/>
  <c r="D19" i="5"/>
  <c r="AB919" i="2"/>
  <c r="AA919" i="2"/>
  <c r="X919" i="2"/>
  <c r="Y919" i="2" s="1"/>
  <c r="K38" i="3"/>
  <c r="L38" i="3" s="1"/>
  <c r="AF920" i="2"/>
  <c r="AB920" i="2"/>
  <c r="AA920" i="2"/>
  <c r="X920" i="2"/>
  <c r="Y920" i="2" s="1"/>
  <c r="AF921" i="2"/>
  <c r="AB921" i="2"/>
  <c r="AA921" i="2"/>
  <c r="X921" i="2"/>
  <c r="Y921" i="2" s="1"/>
  <c r="AB922" i="2"/>
  <c r="AA922" i="2"/>
  <c r="X922" i="2"/>
  <c r="Y922" i="2" s="1"/>
  <c r="AF923" i="2"/>
  <c r="AB923" i="2"/>
  <c r="AA923" i="2"/>
  <c r="X923" i="2"/>
  <c r="Y923" i="2" s="1"/>
  <c r="AF924" i="2"/>
  <c r="AB924" i="2"/>
  <c r="AA924" i="2"/>
  <c r="X924" i="2"/>
  <c r="Y924" i="2" s="1"/>
  <c r="AF925" i="2"/>
  <c r="AB925" i="2"/>
  <c r="AA925" i="2"/>
  <c r="X925" i="2"/>
  <c r="Y925" i="2" s="1"/>
  <c r="AF926" i="2"/>
  <c r="AB926" i="2"/>
  <c r="AA926" i="2"/>
  <c r="X926" i="2"/>
  <c r="Y926" i="2" s="1"/>
  <c r="H169" i="6"/>
  <c r="AF927" i="2"/>
  <c r="AB927" i="2"/>
  <c r="AA927" i="2"/>
  <c r="X927" i="2"/>
  <c r="Y927" i="2" s="1"/>
  <c r="AB928" i="2"/>
  <c r="AA928" i="2"/>
  <c r="X928" i="2"/>
  <c r="Y928" i="2" s="1"/>
  <c r="AB929" i="2"/>
  <c r="AA929" i="2"/>
  <c r="X929" i="2"/>
  <c r="Y929" i="2" s="1"/>
  <c r="E10" i="5"/>
  <c r="AB930" i="2"/>
  <c r="AA930" i="2"/>
  <c r="X930" i="2"/>
  <c r="Y930" i="2" s="1"/>
  <c r="H170" i="6"/>
  <c r="E11" i="5"/>
  <c r="AB931" i="2"/>
  <c r="AA931" i="2"/>
  <c r="X931" i="2"/>
  <c r="Y931" i="2" s="1"/>
  <c r="E6" i="5"/>
  <c r="AB932" i="2"/>
  <c r="AA932" i="2"/>
  <c r="X932" i="2"/>
  <c r="Y932" i="2" s="1"/>
  <c r="E18" i="5"/>
  <c r="AB933" i="2"/>
  <c r="AA933" i="2"/>
  <c r="X933" i="2"/>
  <c r="Y933" i="2" s="1"/>
  <c r="E7" i="5"/>
  <c r="AB934" i="2"/>
  <c r="AA934" i="2"/>
  <c r="X934" i="2"/>
  <c r="Y934" i="2" s="1"/>
  <c r="E9" i="5"/>
  <c r="AB935" i="2"/>
  <c r="AA935" i="2"/>
  <c r="X935" i="2"/>
  <c r="Y935" i="2" s="1"/>
  <c r="E8" i="5"/>
  <c r="AB936" i="2"/>
  <c r="AA936" i="2"/>
  <c r="X936" i="2"/>
  <c r="Y936" i="2" s="1"/>
  <c r="AB937" i="2"/>
  <c r="AA937" i="2"/>
  <c r="X937" i="2"/>
  <c r="Y937" i="2" s="1"/>
  <c r="AB938" i="2"/>
  <c r="AA938" i="2"/>
  <c r="X938" i="2"/>
  <c r="Y938" i="2" s="1"/>
  <c r="AF939" i="2"/>
  <c r="AB939" i="2"/>
  <c r="AA939" i="2"/>
  <c r="X939" i="2"/>
  <c r="Y939" i="2" s="1"/>
  <c r="AF940" i="2"/>
  <c r="AB940" i="2"/>
  <c r="AA940" i="2"/>
  <c r="X940" i="2"/>
  <c r="Y940" i="2" s="1"/>
  <c r="H171" i="6"/>
  <c r="E5" i="5"/>
  <c r="K114" i="3"/>
  <c r="L114" i="3" s="1"/>
  <c r="AB941" i="2"/>
  <c r="AA941" i="2"/>
  <c r="X941" i="2"/>
  <c r="Y941" i="2" s="1"/>
  <c r="E16" i="5"/>
  <c r="AB942" i="2"/>
  <c r="AA942" i="2"/>
  <c r="X942" i="2"/>
  <c r="Y942" i="2" s="1"/>
  <c r="AF943" i="2"/>
  <c r="AB943" i="2"/>
  <c r="AA943" i="2"/>
  <c r="X943" i="2"/>
  <c r="Y943" i="2" s="1"/>
  <c r="AB944" i="2"/>
  <c r="AA944" i="2"/>
  <c r="X944" i="2"/>
  <c r="Y944" i="2" s="1"/>
  <c r="AB945" i="2"/>
  <c r="AA945" i="2"/>
  <c r="X945" i="2"/>
  <c r="Y945" i="2" s="1"/>
  <c r="AF946" i="2"/>
  <c r="AB946" i="2"/>
  <c r="AA946" i="2"/>
  <c r="X946" i="2"/>
  <c r="Y946" i="2" s="1"/>
  <c r="E21" i="5"/>
  <c r="AF947" i="2"/>
  <c r="AB947" i="2"/>
  <c r="AA947" i="2"/>
  <c r="X947" i="2"/>
  <c r="Y947" i="2" s="1"/>
  <c r="AB948" i="2"/>
  <c r="AA948" i="2"/>
  <c r="X948" i="2"/>
  <c r="Y948" i="2" s="1"/>
  <c r="AB949" i="2"/>
  <c r="AA949" i="2"/>
  <c r="X949" i="2"/>
  <c r="Y949" i="2" s="1"/>
  <c r="H172" i="6"/>
  <c r="E13" i="5"/>
  <c r="AB950" i="2"/>
  <c r="AA950" i="2"/>
  <c r="X950" i="2"/>
  <c r="Y950" i="2" s="1"/>
  <c r="AB951" i="2"/>
  <c r="AA951" i="2"/>
  <c r="X951" i="2"/>
  <c r="Y951" i="2" s="1"/>
  <c r="AB952" i="2"/>
  <c r="AA952" i="2"/>
  <c r="X952" i="2"/>
  <c r="Y952" i="2" s="1"/>
  <c r="AB953" i="2"/>
  <c r="AA953" i="2"/>
  <c r="X953" i="2"/>
  <c r="Y953" i="2" s="1"/>
  <c r="AB954" i="2"/>
  <c r="AA954" i="2"/>
  <c r="X954" i="2"/>
  <c r="Y954" i="2" s="1"/>
  <c r="AF955" i="2"/>
  <c r="AB955" i="2"/>
  <c r="AA955" i="2"/>
  <c r="X955" i="2"/>
  <c r="Y955" i="2" s="1"/>
  <c r="E22" i="5"/>
  <c r="AF956" i="2"/>
  <c r="AB956" i="2"/>
  <c r="AA956" i="2"/>
  <c r="X956" i="2"/>
  <c r="Y956" i="2" s="1"/>
  <c r="H173" i="6"/>
  <c r="AF957" i="2"/>
  <c r="AB957" i="2"/>
  <c r="AA957" i="2"/>
  <c r="X957" i="2"/>
  <c r="Y957" i="2" s="1"/>
  <c r="AF958" i="2"/>
  <c r="AB958" i="2"/>
  <c r="AA958" i="2"/>
  <c r="X958" i="2"/>
  <c r="Y958" i="2" s="1"/>
  <c r="AB959" i="2"/>
  <c r="AA959" i="2"/>
  <c r="X959" i="2"/>
  <c r="Y959" i="2" s="1"/>
  <c r="H174" i="6"/>
  <c r="E14" i="5"/>
  <c r="AB960" i="2"/>
  <c r="AA960" i="2"/>
  <c r="X960" i="2"/>
  <c r="Y960" i="2" s="1"/>
  <c r="AF961" i="2"/>
  <c r="AB961" i="2"/>
  <c r="AA961" i="2"/>
  <c r="X961" i="2"/>
  <c r="Y961" i="2" s="1"/>
  <c r="AB962" i="2"/>
  <c r="AA962" i="2"/>
  <c r="X962" i="2"/>
  <c r="Y962" i="2" s="1"/>
  <c r="AB963" i="2"/>
  <c r="AA963" i="2"/>
  <c r="X963" i="2"/>
  <c r="Y963" i="2" s="1"/>
  <c r="AF964" i="2"/>
  <c r="AB964" i="2"/>
  <c r="AA964" i="2"/>
  <c r="X964" i="2"/>
  <c r="Y964" i="2" s="1"/>
  <c r="AF965" i="2"/>
  <c r="AB965" i="2"/>
  <c r="AA965" i="2"/>
  <c r="X965" i="2"/>
  <c r="Y965" i="2" s="1"/>
  <c r="AB966" i="2"/>
  <c r="AA966" i="2"/>
  <c r="X966" i="2"/>
  <c r="Y966" i="2" s="1"/>
  <c r="AF967" i="2"/>
  <c r="AB967" i="2"/>
  <c r="AA967" i="2"/>
  <c r="X967" i="2"/>
  <c r="Y967" i="2" s="1"/>
  <c r="H175" i="6"/>
  <c r="AF968" i="2"/>
  <c r="AB968" i="2"/>
  <c r="AA968" i="2"/>
  <c r="X968" i="2"/>
  <c r="Y968" i="2" s="1"/>
  <c r="AF969" i="2"/>
  <c r="AB969" i="2"/>
  <c r="AA969" i="2"/>
  <c r="X969" i="2"/>
  <c r="Y969" i="2" s="1"/>
  <c r="AB970" i="2"/>
  <c r="AA970" i="2"/>
  <c r="X970" i="2"/>
  <c r="Y970" i="2" s="1"/>
  <c r="AF971" i="2"/>
  <c r="AB971" i="2"/>
  <c r="AA971" i="2"/>
  <c r="X971" i="2"/>
  <c r="Y971" i="2" s="1"/>
  <c r="AB972" i="2"/>
  <c r="AA972" i="2"/>
  <c r="X972" i="2"/>
  <c r="Y972" i="2" s="1"/>
  <c r="AF973" i="2"/>
  <c r="AB973" i="2"/>
  <c r="AA973" i="2"/>
  <c r="X973" i="2"/>
  <c r="Y973" i="2" s="1"/>
  <c r="AB974" i="2"/>
  <c r="AA974" i="2"/>
  <c r="X974" i="2"/>
  <c r="Y974" i="2" s="1"/>
  <c r="AF975" i="2"/>
  <c r="AB975" i="2"/>
  <c r="AA975" i="2"/>
  <c r="X975" i="2"/>
  <c r="Y975" i="2" s="1"/>
  <c r="H176" i="6"/>
  <c r="AB976" i="2"/>
  <c r="AA976" i="2"/>
  <c r="X976" i="2"/>
  <c r="Y976" i="2" s="1"/>
  <c r="H177" i="6"/>
  <c r="AB977" i="2"/>
  <c r="AA977" i="2"/>
  <c r="X977" i="2"/>
  <c r="Y977" i="2" s="1"/>
  <c r="K51" i="3"/>
  <c r="L51" i="3" s="1"/>
  <c r="AB978" i="2"/>
  <c r="AA978" i="2"/>
  <c r="X978" i="2"/>
  <c r="Y978" i="2" s="1"/>
  <c r="AB979" i="2"/>
  <c r="AA979" i="2"/>
  <c r="X979" i="2"/>
  <c r="Y979" i="2" s="1"/>
  <c r="AF980" i="2"/>
  <c r="AB980" i="2"/>
  <c r="AA980" i="2"/>
  <c r="X980" i="2"/>
  <c r="Y980" i="2" s="1"/>
  <c r="AB981" i="2"/>
  <c r="AA981" i="2"/>
  <c r="X981" i="2"/>
  <c r="Y981" i="2" s="1"/>
  <c r="AF982" i="2"/>
  <c r="AB982" i="2"/>
  <c r="AA982" i="2"/>
  <c r="X982" i="2"/>
  <c r="Y982" i="2" s="1"/>
  <c r="H178" i="6"/>
  <c r="K138" i="3"/>
  <c r="L138" i="3" s="1"/>
  <c r="AB983" i="2"/>
  <c r="AA983" i="2"/>
  <c r="X983" i="2"/>
  <c r="Y983" i="2" s="1"/>
  <c r="E17" i="5"/>
  <c r="AB984" i="2"/>
  <c r="AA984" i="2"/>
  <c r="X984" i="2"/>
  <c r="Y984" i="2" s="1"/>
  <c r="H179" i="6"/>
  <c r="AF985" i="2"/>
  <c r="AB985" i="2"/>
  <c r="AA985" i="2"/>
  <c r="X985" i="2"/>
  <c r="Y985" i="2" s="1"/>
  <c r="AF986" i="2"/>
  <c r="AB986" i="2"/>
  <c r="AA986" i="2"/>
  <c r="X986" i="2"/>
  <c r="Y986" i="2" s="1"/>
  <c r="AF987" i="2"/>
  <c r="AB987" i="2"/>
  <c r="AA987" i="2"/>
  <c r="X987" i="2"/>
  <c r="Y987" i="2" s="1"/>
  <c r="H180" i="6"/>
  <c r="AF988" i="2"/>
  <c r="AB988" i="2"/>
  <c r="AA988" i="2"/>
  <c r="X988" i="2"/>
  <c r="Y988" i="2" s="1"/>
  <c r="H181" i="6"/>
  <c r="E12" i="5"/>
  <c r="AB989" i="2"/>
  <c r="AA989" i="2"/>
  <c r="X989" i="2"/>
  <c r="Y989" i="2" s="1"/>
  <c r="AB990" i="2"/>
  <c r="AA990" i="2"/>
  <c r="X990" i="2"/>
  <c r="Y990" i="2" s="1"/>
  <c r="AB991" i="2"/>
  <c r="AA991" i="2"/>
  <c r="X991" i="2"/>
  <c r="Y991" i="2" s="1"/>
  <c r="H182" i="6"/>
  <c r="AF992" i="2"/>
  <c r="AB992" i="2"/>
  <c r="AA992" i="2"/>
  <c r="X992" i="2"/>
  <c r="Y992" i="2" s="1"/>
  <c r="AF993" i="2"/>
  <c r="AB993" i="2"/>
  <c r="AA993" i="2"/>
  <c r="X993" i="2"/>
  <c r="Y993" i="2" s="1"/>
  <c r="AF994" i="2"/>
  <c r="AB994" i="2"/>
  <c r="AA994" i="2"/>
  <c r="X994" i="2"/>
  <c r="Y994" i="2" s="1"/>
  <c r="AF995" i="2"/>
  <c r="AB995" i="2"/>
  <c r="AA995" i="2"/>
  <c r="X995" i="2"/>
  <c r="Y995" i="2" s="1"/>
  <c r="AB996" i="2"/>
  <c r="AA996" i="2"/>
  <c r="X996" i="2"/>
  <c r="Y996" i="2" s="1"/>
  <c r="AB997" i="2"/>
  <c r="AA997" i="2"/>
  <c r="X997" i="2"/>
  <c r="Y997" i="2" s="1"/>
  <c r="AB998" i="2"/>
  <c r="AA998" i="2"/>
  <c r="X998" i="2"/>
  <c r="Y998" i="2" s="1"/>
  <c r="H183" i="6"/>
  <c r="AB999" i="2"/>
  <c r="AA999" i="2"/>
  <c r="X999" i="2"/>
  <c r="Y999" i="2" s="1"/>
  <c r="AB1000" i="2"/>
  <c r="AA1000" i="2"/>
  <c r="X1000" i="2"/>
  <c r="Y1000" i="2" s="1"/>
  <c r="AF1001" i="2"/>
  <c r="AB1001" i="2"/>
  <c r="AA1001" i="2"/>
  <c r="X1001" i="2"/>
  <c r="Y1001" i="2" s="1"/>
  <c r="AF1002" i="2"/>
  <c r="AB1002" i="2"/>
  <c r="AA1002" i="2"/>
  <c r="X1002" i="2"/>
  <c r="Y1002" i="2" s="1"/>
  <c r="AF1003" i="2"/>
  <c r="AB1003" i="2"/>
  <c r="AA1003" i="2"/>
  <c r="X1003" i="2"/>
  <c r="Y1003" i="2" s="1"/>
  <c r="AF1004" i="2"/>
  <c r="AB1004" i="2"/>
  <c r="AA1004" i="2"/>
  <c r="X1004" i="2"/>
  <c r="Y1004" i="2" s="1"/>
  <c r="AB1005" i="2"/>
  <c r="AA1005" i="2"/>
  <c r="X1005" i="2"/>
  <c r="Y1005" i="2" s="1"/>
  <c r="AF1006" i="2"/>
  <c r="AB1006" i="2"/>
  <c r="AA1006" i="2"/>
  <c r="X1006" i="2"/>
  <c r="Y1006" i="2" s="1"/>
  <c r="E15" i="5"/>
  <c r="AF1007" i="2"/>
  <c r="AB1007" i="2"/>
  <c r="AA1007" i="2"/>
  <c r="X1007" i="2"/>
  <c r="Y1007" i="2" s="1"/>
  <c r="AB1008" i="2"/>
  <c r="AA1008" i="2"/>
  <c r="X1008" i="2"/>
  <c r="Y1008" i="2" s="1"/>
  <c r="AF1009" i="2"/>
  <c r="AB1009" i="2"/>
  <c r="AA1009" i="2"/>
  <c r="X1009" i="2"/>
  <c r="Y1009" i="2" s="1"/>
  <c r="AB1010" i="2"/>
  <c r="AA1010" i="2"/>
  <c r="X1010" i="2"/>
  <c r="Y1010" i="2" s="1"/>
  <c r="K34" i="3"/>
  <c r="L34" i="3" s="1"/>
  <c r="AB1011" i="2"/>
  <c r="AA1011" i="2"/>
  <c r="X1011" i="2"/>
  <c r="Y1011" i="2" s="1"/>
  <c r="AB1012" i="2"/>
  <c r="AA1012" i="2"/>
  <c r="X1012" i="2"/>
  <c r="Y1012" i="2" s="1"/>
  <c r="AB1013" i="2"/>
  <c r="AA1013" i="2"/>
  <c r="X1013" i="2"/>
  <c r="Y1013" i="2" s="1"/>
  <c r="H184" i="6"/>
  <c r="AB1014" i="2"/>
  <c r="AA1014" i="2"/>
  <c r="X1014" i="2"/>
  <c r="Y1014" i="2" s="1"/>
  <c r="H185" i="6"/>
  <c r="AB1015" i="2"/>
  <c r="AA1015" i="2"/>
  <c r="X1015" i="2"/>
  <c r="Y1015" i="2" s="1"/>
  <c r="H186" i="6"/>
  <c r="AF1016" i="2"/>
  <c r="AB1016" i="2"/>
  <c r="AA1016" i="2"/>
  <c r="X1016" i="2"/>
  <c r="Y1016" i="2" s="1"/>
  <c r="AF1017" i="2"/>
  <c r="AB1017" i="2"/>
  <c r="AA1017" i="2"/>
  <c r="X1017" i="2"/>
  <c r="Y1017" i="2" s="1"/>
  <c r="AF1018" i="2"/>
  <c r="AB1018" i="2"/>
  <c r="AA1018" i="2"/>
  <c r="X1018" i="2"/>
  <c r="Y1018" i="2" s="1"/>
  <c r="AF1019" i="2"/>
  <c r="AB1019" i="2"/>
  <c r="AA1019" i="2"/>
  <c r="X1019" i="2"/>
  <c r="Y1019" i="2" s="1"/>
  <c r="AB1020" i="2"/>
  <c r="AA1020" i="2"/>
  <c r="X1020" i="2"/>
  <c r="Y1020" i="2" s="1"/>
  <c r="H187" i="6"/>
  <c r="AF1021" i="2"/>
  <c r="AB1021" i="2"/>
  <c r="AA1021" i="2"/>
  <c r="X1021" i="2"/>
  <c r="Y1021" i="2" s="1"/>
  <c r="AF1022" i="2"/>
  <c r="AB1022" i="2"/>
  <c r="AA1022" i="2"/>
  <c r="X1022" i="2"/>
  <c r="Y1022" i="2" s="1"/>
  <c r="H188" i="6"/>
  <c r="AB1023" i="2"/>
  <c r="AA1023" i="2"/>
  <c r="X1023" i="2"/>
  <c r="Y1023" i="2" s="1"/>
  <c r="AF1024" i="2"/>
  <c r="AB1024" i="2"/>
  <c r="AA1024" i="2"/>
  <c r="X1024" i="2"/>
  <c r="Y1024" i="2" s="1"/>
  <c r="AF1025" i="2"/>
  <c r="AB1025" i="2"/>
  <c r="AA1025" i="2"/>
  <c r="X1025" i="2"/>
  <c r="Y1025" i="2" s="1"/>
  <c r="AF1026" i="2"/>
  <c r="AB1026" i="2"/>
  <c r="AA1026" i="2"/>
  <c r="X1026" i="2"/>
  <c r="Y1026" i="2" s="1"/>
  <c r="AB1027" i="2"/>
  <c r="AA1027" i="2"/>
  <c r="X1027" i="2"/>
  <c r="Y1027" i="2" s="1"/>
  <c r="H189" i="6"/>
  <c r="AB1028" i="2"/>
  <c r="AA1028" i="2"/>
  <c r="X1028" i="2"/>
  <c r="Y1028" i="2" s="1"/>
  <c r="AB1029" i="2"/>
  <c r="AA1029" i="2"/>
  <c r="X1029" i="2"/>
  <c r="Y1029" i="2" s="1"/>
  <c r="AB1030" i="2"/>
  <c r="AA1030" i="2"/>
  <c r="X1030" i="2"/>
  <c r="Y1030" i="2" s="1"/>
  <c r="AB1031" i="2"/>
  <c r="AA1031" i="2"/>
  <c r="X1031" i="2"/>
  <c r="Y1031" i="2" s="1"/>
  <c r="AB1032" i="2"/>
  <c r="AA1032" i="2"/>
  <c r="X1032" i="2"/>
  <c r="Y1032" i="2" s="1"/>
  <c r="AB1033" i="2"/>
  <c r="AA1033" i="2"/>
  <c r="X1033" i="2"/>
  <c r="Y1033" i="2" s="1"/>
  <c r="AB1034" i="2"/>
  <c r="AA1034" i="2"/>
  <c r="X1034" i="2"/>
  <c r="Y1034" i="2" s="1"/>
  <c r="H190" i="6"/>
  <c r="AB1035" i="2"/>
  <c r="AA1035" i="2"/>
  <c r="X1035" i="2"/>
  <c r="Y1035" i="2" s="1"/>
  <c r="H191" i="6"/>
  <c r="AB1036" i="2"/>
  <c r="AA1036" i="2"/>
  <c r="X1036" i="2"/>
  <c r="Y1036" i="2" s="1"/>
  <c r="AB1037" i="2"/>
  <c r="AA1037" i="2"/>
  <c r="X1037" i="2"/>
  <c r="Y1037" i="2" s="1"/>
  <c r="AF1038" i="2"/>
  <c r="AB1038" i="2"/>
  <c r="AA1038" i="2"/>
  <c r="X1038" i="2"/>
  <c r="Y1038" i="2" s="1"/>
  <c r="AF1039" i="2"/>
  <c r="AB1039" i="2"/>
  <c r="AA1039" i="2"/>
  <c r="X1039" i="2"/>
  <c r="Y1039" i="2" s="1"/>
  <c r="AB1040" i="2"/>
  <c r="AA1040" i="2"/>
  <c r="X1040" i="2"/>
  <c r="Y1040" i="2" s="1"/>
  <c r="AF1041" i="2"/>
  <c r="AB1041" i="2"/>
  <c r="AA1041" i="2"/>
  <c r="X1041" i="2"/>
  <c r="Y1041" i="2" s="1"/>
  <c r="AF1042" i="2"/>
  <c r="AB1042" i="2"/>
  <c r="AA1042" i="2"/>
  <c r="X1042" i="2"/>
  <c r="Y1042" i="2" s="1"/>
  <c r="AF1043" i="2"/>
  <c r="AB1043" i="2"/>
  <c r="AA1043" i="2"/>
  <c r="X1043" i="2"/>
  <c r="Y1043" i="2" s="1"/>
  <c r="H192" i="6"/>
  <c r="AB1044" i="2"/>
  <c r="AA1044" i="2"/>
  <c r="X1044" i="2"/>
  <c r="Y1044" i="2" s="1"/>
  <c r="K53" i="3"/>
  <c r="L53" i="3" s="1"/>
  <c r="AF1045" i="2"/>
  <c r="AB1045" i="2"/>
  <c r="AA1045" i="2"/>
  <c r="X1045" i="2"/>
  <c r="Y1045" i="2" s="1"/>
  <c r="AF1046" i="2"/>
  <c r="AB1046" i="2"/>
  <c r="AA1046" i="2"/>
  <c r="X1046" i="2"/>
  <c r="Y1046" i="2" s="1"/>
  <c r="AB1047" i="2"/>
  <c r="AA1047" i="2"/>
  <c r="X1047" i="2"/>
  <c r="Y1047" i="2" s="1"/>
  <c r="AF1048" i="2"/>
  <c r="AB1048" i="2"/>
  <c r="AA1048" i="2"/>
  <c r="X1048" i="2"/>
  <c r="Y1048" i="2" s="1"/>
  <c r="AB1049" i="2"/>
  <c r="AA1049" i="2"/>
  <c r="X1049" i="2"/>
  <c r="Y1049" i="2" s="1"/>
  <c r="AB1050" i="2"/>
  <c r="AA1050" i="2"/>
  <c r="X1050" i="2"/>
  <c r="Y1050" i="2" s="1"/>
  <c r="AB1051" i="2"/>
  <c r="AA1051" i="2"/>
  <c r="X1051" i="2"/>
  <c r="Y1051" i="2" s="1"/>
  <c r="AB1052" i="2"/>
  <c r="AA1052" i="2"/>
  <c r="X1052" i="2"/>
  <c r="Y1052" i="2" s="1"/>
  <c r="AB1053" i="2"/>
  <c r="AA1053" i="2"/>
  <c r="X1053" i="2"/>
  <c r="Y1053" i="2" s="1"/>
  <c r="H193" i="6"/>
  <c r="AB1054" i="2"/>
  <c r="AA1054" i="2"/>
  <c r="X1054" i="2"/>
  <c r="Y1054" i="2" s="1"/>
  <c r="AB1055" i="2"/>
  <c r="AA1055" i="2"/>
  <c r="X1055" i="2"/>
  <c r="Y1055" i="2" s="1"/>
  <c r="AF1056" i="2"/>
  <c r="AB1056" i="2"/>
  <c r="AA1056" i="2"/>
  <c r="X1056" i="2"/>
  <c r="Y1056" i="2" s="1"/>
  <c r="AF1057" i="2"/>
  <c r="AB1057" i="2"/>
  <c r="AA1057" i="2"/>
  <c r="X1057" i="2"/>
  <c r="Y1057" i="2" s="1"/>
  <c r="AF1058" i="2"/>
  <c r="AB1058" i="2"/>
  <c r="AA1058" i="2"/>
  <c r="X1058" i="2"/>
  <c r="Y1058" i="2" s="1"/>
  <c r="AB1059" i="2"/>
  <c r="AA1059" i="2"/>
  <c r="X1059" i="2"/>
  <c r="Y1059" i="2" s="1"/>
  <c r="H194" i="6"/>
  <c r="AB1060" i="2"/>
  <c r="AA1060" i="2"/>
  <c r="X1060" i="2"/>
  <c r="Y1060" i="2" s="1"/>
  <c r="AB1061" i="2"/>
  <c r="AA1061" i="2"/>
  <c r="X1061" i="2"/>
  <c r="Y1061" i="2" s="1"/>
  <c r="H195" i="6"/>
  <c r="AF1062" i="2"/>
  <c r="AB1062" i="2"/>
  <c r="AA1062" i="2"/>
  <c r="X1062" i="2"/>
  <c r="Y1062" i="2" s="1"/>
  <c r="AB1063" i="2"/>
  <c r="AA1063" i="2"/>
  <c r="X1063" i="2"/>
  <c r="Y1063" i="2" s="1"/>
  <c r="AF1064" i="2"/>
  <c r="AB1064" i="2"/>
  <c r="AA1064" i="2"/>
  <c r="X1064" i="2"/>
  <c r="Y1064" i="2" s="1"/>
  <c r="AB1065" i="2"/>
  <c r="AA1065" i="2"/>
  <c r="X1065" i="2"/>
  <c r="Y1065" i="2" s="1"/>
  <c r="AB1066" i="2"/>
  <c r="AA1066" i="2"/>
  <c r="X1066" i="2"/>
  <c r="Y1066" i="2" s="1"/>
  <c r="H196" i="6"/>
  <c r="AB1067" i="2"/>
  <c r="AA1067" i="2"/>
  <c r="X1067" i="2"/>
  <c r="Y1067" i="2" s="1"/>
  <c r="AF1068" i="2"/>
  <c r="AB1068" i="2"/>
  <c r="AA1068" i="2"/>
  <c r="X1068" i="2"/>
  <c r="Y1068" i="2" s="1"/>
  <c r="AF1069" i="2"/>
  <c r="AB1069" i="2"/>
  <c r="AA1069" i="2"/>
  <c r="X1069" i="2"/>
  <c r="Y1069" i="2" s="1"/>
  <c r="AB1070" i="2"/>
  <c r="AA1070" i="2"/>
  <c r="X1070" i="2"/>
  <c r="Y1070" i="2" s="1"/>
  <c r="AB1071" i="2"/>
  <c r="AA1071" i="2"/>
  <c r="X1071" i="2"/>
  <c r="Y1071" i="2" s="1"/>
  <c r="AF1072" i="2"/>
  <c r="AB1072" i="2"/>
  <c r="AA1072" i="2"/>
  <c r="X1072" i="2"/>
  <c r="Y1072" i="2" s="1"/>
  <c r="AF1073" i="2"/>
  <c r="AB1073" i="2"/>
  <c r="AA1073" i="2"/>
  <c r="X1073" i="2"/>
  <c r="Y1073" i="2" s="1"/>
  <c r="K61" i="3"/>
  <c r="L61" i="3" s="1"/>
  <c r="AB1074" i="2"/>
  <c r="AA1074" i="2"/>
  <c r="X1074" i="2"/>
  <c r="Y1074" i="2" s="1"/>
  <c r="AB1075" i="2"/>
  <c r="AA1075" i="2"/>
  <c r="X1075" i="2"/>
  <c r="Y1075" i="2" s="1"/>
  <c r="AF1076" i="2"/>
  <c r="AB1076" i="2"/>
  <c r="AA1076" i="2"/>
  <c r="X1076" i="2"/>
  <c r="Y1076" i="2" s="1"/>
  <c r="AB1077" i="2"/>
  <c r="AA1077" i="2"/>
  <c r="X1077" i="2"/>
  <c r="Y1077" i="2" s="1"/>
  <c r="AB1078" i="2"/>
  <c r="AA1078" i="2"/>
  <c r="X1078" i="2"/>
  <c r="Y1078" i="2" s="1"/>
  <c r="K18" i="3"/>
  <c r="L18" i="3" s="1"/>
  <c r="AB1079" i="2"/>
  <c r="AA1079" i="2"/>
  <c r="X1079" i="2"/>
  <c r="Y1079" i="2" s="1"/>
  <c r="AB1080" i="2"/>
  <c r="AA1080" i="2"/>
  <c r="X1080" i="2"/>
  <c r="Y1080" i="2" s="1"/>
  <c r="H197" i="6"/>
  <c r="AB1081" i="2"/>
  <c r="AA1081" i="2"/>
  <c r="X1081" i="2"/>
  <c r="Y1081" i="2" s="1"/>
  <c r="AB1082" i="2"/>
  <c r="AA1082" i="2"/>
  <c r="X1082" i="2"/>
  <c r="Y1082" i="2" s="1"/>
  <c r="AF1083" i="2"/>
  <c r="AB1083" i="2"/>
  <c r="AA1083" i="2"/>
  <c r="X1083" i="2"/>
  <c r="Y1083" i="2" s="1"/>
  <c r="AF1084" i="2"/>
  <c r="AB1084" i="2"/>
  <c r="AA1084" i="2"/>
  <c r="X1084" i="2"/>
  <c r="Y1084" i="2" s="1"/>
  <c r="AF1085" i="2"/>
  <c r="AB1085" i="2"/>
  <c r="AA1085" i="2"/>
  <c r="X1085" i="2"/>
  <c r="Y1085" i="2" s="1"/>
  <c r="AB1086" i="2"/>
  <c r="AA1086" i="2"/>
  <c r="X1086" i="2"/>
  <c r="Y1086" i="2" s="1"/>
  <c r="H198" i="6"/>
  <c r="AB1087" i="2"/>
  <c r="AA1087" i="2"/>
  <c r="X1087" i="2"/>
  <c r="Y1087" i="2" s="1"/>
  <c r="AB1088" i="2"/>
  <c r="AA1088" i="2"/>
  <c r="X1088" i="2"/>
  <c r="Y1088" i="2" s="1"/>
  <c r="AB1089" i="2"/>
  <c r="AA1089" i="2"/>
  <c r="X1089" i="2"/>
  <c r="Y1089" i="2" s="1"/>
  <c r="AB1090" i="2"/>
  <c r="AA1090" i="2"/>
  <c r="X1090" i="2"/>
  <c r="Y1090" i="2" s="1"/>
  <c r="AB1091" i="2"/>
  <c r="AA1091" i="2"/>
  <c r="X1091" i="2"/>
  <c r="Y1091" i="2" s="1"/>
  <c r="H199" i="6"/>
  <c r="AB1092" i="2"/>
  <c r="AA1092" i="2"/>
  <c r="X1092" i="2"/>
  <c r="Y1092" i="2" s="1"/>
  <c r="AB1093" i="2"/>
  <c r="AA1093" i="2"/>
  <c r="X1093" i="2"/>
  <c r="Y1093" i="2" s="1"/>
  <c r="AB1094" i="2"/>
  <c r="AA1094" i="2"/>
  <c r="X1094" i="2"/>
  <c r="Y1094" i="2" s="1"/>
  <c r="AB1095" i="2"/>
  <c r="AA1095" i="2"/>
  <c r="X1095" i="2"/>
  <c r="Y1095" i="2" s="1"/>
  <c r="AB1096" i="2"/>
  <c r="AA1096" i="2"/>
  <c r="X1096" i="2"/>
  <c r="Y1096" i="2" s="1"/>
  <c r="AB1097" i="2"/>
  <c r="AA1097" i="2"/>
  <c r="X1097" i="2"/>
  <c r="Y1097" i="2" s="1"/>
  <c r="AB1098" i="2"/>
  <c r="AA1098" i="2"/>
  <c r="X1098" i="2"/>
  <c r="Y1098" i="2" s="1"/>
  <c r="AB1099" i="2"/>
  <c r="AA1099" i="2"/>
  <c r="X1099" i="2"/>
  <c r="Y1099" i="2" s="1"/>
  <c r="H200" i="6"/>
  <c r="AB1100" i="2"/>
  <c r="AA1100" i="2"/>
  <c r="X1100" i="2"/>
  <c r="Y1100" i="2" s="1"/>
  <c r="AB1101" i="2"/>
  <c r="AA1101" i="2"/>
  <c r="X1101" i="2"/>
  <c r="Y1101" i="2" s="1"/>
  <c r="H201" i="6"/>
  <c r="AB1102" i="2"/>
  <c r="AA1102" i="2"/>
  <c r="X1102" i="2"/>
  <c r="Y1102" i="2" s="1"/>
  <c r="AF1103" i="2"/>
  <c r="AB1103" i="2"/>
  <c r="AA1103" i="2"/>
  <c r="X1103" i="2"/>
  <c r="Y1103" i="2" s="1"/>
  <c r="AF1104" i="2"/>
  <c r="AB1104" i="2"/>
  <c r="AA1104" i="2"/>
  <c r="X1104" i="2"/>
  <c r="Y1104" i="2" s="1"/>
  <c r="AB1105" i="2"/>
  <c r="AA1105" i="2"/>
  <c r="X1105" i="2"/>
  <c r="Y1105" i="2" s="1"/>
  <c r="AF1106" i="2"/>
  <c r="AB1106" i="2"/>
  <c r="AA1106" i="2"/>
  <c r="X1106" i="2"/>
  <c r="Y1106" i="2" s="1"/>
  <c r="AB1107" i="2"/>
  <c r="AA1107" i="2"/>
  <c r="X1107" i="2"/>
  <c r="Y1107" i="2" s="1"/>
  <c r="AF1108" i="2"/>
  <c r="AB1108" i="2"/>
  <c r="AA1108" i="2"/>
  <c r="X1108" i="2"/>
  <c r="Y1108" i="2" s="1"/>
  <c r="AB1109" i="2"/>
  <c r="AA1109" i="2"/>
  <c r="X1109" i="2"/>
  <c r="Y1109" i="2" s="1"/>
  <c r="AB1110" i="2"/>
  <c r="AA1110" i="2"/>
  <c r="X1110" i="2"/>
  <c r="Y1110" i="2" s="1"/>
  <c r="H202" i="6"/>
  <c r="AB1111" i="2"/>
  <c r="AA1111" i="2"/>
  <c r="X1111" i="2"/>
  <c r="Y1111" i="2" s="1"/>
  <c r="AF1112" i="2"/>
  <c r="AB1112" i="2"/>
  <c r="AA1112" i="2"/>
  <c r="X1112" i="2"/>
  <c r="Y1112" i="2" s="1"/>
  <c r="AF1113" i="2"/>
  <c r="AB1113" i="2"/>
  <c r="AA1113" i="2"/>
  <c r="X1113" i="2"/>
  <c r="Y1113" i="2" s="1"/>
  <c r="H203" i="6"/>
  <c r="AB1114" i="2"/>
  <c r="AA1114" i="2"/>
  <c r="X1114" i="2"/>
  <c r="Y1114" i="2" s="1"/>
  <c r="AB1115" i="2"/>
  <c r="AA1115" i="2"/>
  <c r="X1115" i="2"/>
  <c r="Y1115" i="2" s="1"/>
  <c r="AB1116" i="2"/>
  <c r="AA1116" i="2"/>
  <c r="X1116" i="2"/>
  <c r="Y1116" i="2" s="1"/>
  <c r="H204" i="6"/>
  <c r="AB1117" i="2"/>
  <c r="AA1117" i="2"/>
  <c r="X1117" i="2"/>
  <c r="Y1117" i="2" s="1"/>
  <c r="AF1118" i="2"/>
  <c r="AB1118" i="2"/>
  <c r="AA1118" i="2"/>
  <c r="X1118" i="2"/>
  <c r="Y1118" i="2" s="1"/>
  <c r="AB1119" i="2"/>
  <c r="AA1119" i="2"/>
  <c r="X1119" i="2"/>
  <c r="Y1119" i="2" s="1"/>
  <c r="AB1120" i="2"/>
  <c r="AA1120" i="2"/>
  <c r="X1120" i="2"/>
  <c r="Y1120" i="2" s="1"/>
  <c r="AB1121" i="2"/>
  <c r="AA1121" i="2"/>
  <c r="X1121" i="2"/>
  <c r="Y1121" i="2" s="1"/>
  <c r="AB1122" i="2"/>
  <c r="AA1122" i="2"/>
  <c r="X1122" i="2"/>
  <c r="Y1122" i="2" s="1"/>
  <c r="H205" i="6"/>
  <c r="AB1123" i="2"/>
  <c r="AA1123" i="2"/>
  <c r="X1123" i="2"/>
  <c r="Y1123" i="2" s="1"/>
  <c r="AB1124" i="2"/>
  <c r="AA1124" i="2"/>
  <c r="X1124" i="2"/>
  <c r="Y1124" i="2" s="1"/>
  <c r="AB1125" i="2"/>
  <c r="AA1125" i="2"/>
  <c r="X1125" i="2"/>
  <c r="Y1125" i="2" s="1"/>
  <c r="AF1126" i="2"/>
  <c r="AB1126" i="2"/>
  <c r="AA1126" i="2"/>
  <c r="X1126" i="2"/>
  <c r="Y1126" i="2" s="1"/>
  <c r="AF1127" i="2"/>
  <c r="AB1127" i="2"/>
  <c r="AA1127" i="2"/>
  <c r="X1127" i="2"/>
  <c r="Y1127" i="2" s="1"/>
  <c r="AF1128" i="2"/>
  <c r="AB1128" i="2"/>
  <c r="AA1128" i="2"/>
  <c r="X1128" i="2"/>
  <c r="Y1128" i="2" s="1"/>
  <c r="AB1129" i="2"/>
  <c r="AA1129" i="2"/>
  <c r="X1129" i="2"/>
  <c r="Y1129" i="2" s="1"/>
  <c r="AB1130" i="2"/>
  <c r="AA1130" i="2"/>
  <c r="X1130" i="2"/>
  <c r="Y1130" i="2" s="1"/>
  <c r="AB1131" i="2"/>
  <c r="AA1131" i="2"/>
  <c r="X1131" i="2"/>
  <c r="Y1131" i="2" s="1"/>
  <c r="K107" i="3"/>
  <c r="L107" i="3" s="1"/>
  <c r="AB1132" i="2"/>
  <c r="AA1132" i="2"/>
  <c r="X1132" i="2"/>
  <c r="Y1132" i="2" s="1"/>
  <c r="AB1133" i="2"/>
  <c r="AA1133" i="2"/>
  <c r="X1133" i="2"/>
  <c r="Y1133" i="2" s="1"/>
  <c r="AF1134" i="2"/>
  <c r="AB1134" i="2"/>
  <c r="AA1134" i="2"/>
  <c r="X1134" i="2"/>
  <c r="Y1134" i="2" s="1"/>
  <c r="AF1135" i="2"/>
  <c r="AB1135" i="2"/>
  <c r="AA1135" i="2"/>
  <c r="X1135" i="2"/>
  <c r="Y1135" i="2" s="1"/>
  <c r="AB1136" i="2"/>
  <c r="AA1136" i="2"/>
  <c r="X1136" i="2"/>
  <c r="Y1136" i="2" s="1"/>
  <c r="AB1137" i="2"/>
  <c r="AA1137" i="2"/>
  <c r="X1137" i="2"/>
  <c r="Y1137" i="2" s="1"/>
  <c r="H206" i="6"/>
  <c r="AB1138" i="2"/>
  <c r="AA1138" i="2"/>
  <c r="X1138" i="2"/>
  <c r="Y1138" i="2" s="1"/>
  <c r="AF1139" i="2"/>
  <c r="AB1139" i="2"/>
  <c r="AA1139" i="2"/>
  <c r="X1139" i="2"/>
  <c r="Y1139" i="2" s="1"/>
  <c r="AB1140" i="2"/>
  <c r="AA1140" i="2"/>
  <c r="X1140" i="2"/>
  <c r="Y1140" i="2" s="1"/>
  <c r="H207" i="6"/>
  <c r="AB1141" i="2"/>
  <c r="AA1141" i="2"/>
  <c r="X1141" i="2"/>
  <c r="Y1141" i="2" s="1"/>
  <c r="AB1142" i="2"/>
  <c r="AA1142" i="2"/>
  <c r="X1142" i="2"/>
  <c r="Y1142" i="2" s="1"/>
  <c r="AB1143" i="2"/>
  <c r="AA1143" i="2"/>
  <c r="X1143" i="2"/>
  <c r="Y1143" i="2" s="1"/>
  <c r="AB1144" i="2"/>
  <c r="AA1144" i="2"/>
  <c r="X1144" i="2"/>
  <c r="Y1144" i="2" s="1"/>
  <c r="H208" i="6"/>
  <c r="K4" i="3"/>
  <c r="AF1145" i="2"/>
  <c r="AB1145" i="2"/>
  <c r="AA1145" i="2"/>
  <c r="X1145" i="2"/>
  <c r="Y1145" i="2" s="1"/>
  <c r="AF1146" i="2"/>
  <c r="AB1146" i="2"/>
  <c r="AA1146" i="2"/>
  <c r="X1146" i="2"/>
  <c r="Y1146" i="2" s="1"/>
  <c r="AB1147" i="2"/>
  <c r="AA1147" i="2"/>
  <c r="X1147" i="2"/>
  <c r="Y1147" i="2" s="1"/>
  <c r="AB1148" i="2"/>
  <c r="AA1148" i="2"/>
  <c r="X1148" i="2"/>
  <c r="Y1148" i="2" s="1"/>
  <c r="AB1149" i="2"/>
  <c r="AA1149" i="2"/>
  <c r="X1149" i="2"/>
  <c r="Y1149" i="2" s="1"/>
  <c r="H209" i="6"/>
  <c r="AB1150" i="2"/>
  <c r="AA1150" i="2"/>
  <c r="X1150" i="2"/>
  <c r="Y1150" i="2" s="1"/>
  <c r="AF1151" i="2"/>
  <c r="AB1151" i="2"/>
  <c r="AA1151" i="2"/>
  <c r="X1151" i="2"/>
  <c r="Y1151" i="2" s="1"/>
  <c r="AB1152" i="2"/>
  <c r="AA1152" i="2"/>
  <c r="X1152" i="2"/>
  <c r="Y1152" i="2" s="1"/>
  <c r="AF1153" i="2"/>
  <c r="AB1153" i="2"/>
  <c r="AA1153" i="2"/>
  <c r="X1153" i="2"/>
  <c r="Y1153" i="2" s="1"/>
  <c r="AF1154" i="2"/>
  <c r="AB1154" i="2"/>
  <c r="AA1154" i="2"/>
  <c r="X1154" i="2"/>
  <c r="Y1154" i="2" s="1"/>
  <c r="AF1155" i="2"/>
  <c r="AB1155" i="2"/>
  <c r="AA1155" i="2"/>
  <c r="X1155" i="2"/>
  <c r="Y1155" i="2" s="1"/>
  <c r="AB1156" i="2"/>
  <c r="AA1156" i="2"/>
  <c r="X1156" i="2"/>
  <c r="Y1156" i="2" s="1"/>
  <c r="AB1157" i="2"/>
  <c r="AA1157" i="2"/>
  <c r="X1157" i="2"/>
  <c r="Y1157" i="2" s="1"/>
  <c r="H210" i="6"/>
  <c r="AB1158" i="2"/>
  <c r="AA1158" i="2"/>
  <c r="X1158" i="2"/>
  <c r="Y1158" i="2" s="1"/>
  <c r="H211" i="6"/>
  <c r="AB1159" i="2"/>
  <c r="AA1159" i="2"/>
  <c r="X1159" i="2"/>
  <c r="Y1159" i="2" s="1"/>
  <c r="AF1160" i="2"/>
  <c r="AB1160" i="2"/>
  <c r="AA1160" i="2"/>
  <c r="X1160" i="2"/>
  <c r="Y1160" i="2" s="1"/>
  <c r="AB1161" i="2"/>
  <c r="AA1161" i="2"/>
  <c r="X1161" i="2"/>
  <c r="Y1161" i="2" s="1"/>
  <c r="AF1162" i="2"/>
  <c r="AB1162" i="2"/>
  <c r="AA1162" i="2"/>
  <c r="X1162" i="2"/>
  <c r="Y1162" i="2" s="1"/>
  <c r="AB1163" i="2"/>
  <c r="AA1163" i="2"/>
  <c r="X1163" i="2"/>
  <c r="Y1163" i="2" s="1"/>
  <c r="AB1164" i="2"/>
  <c r="AA1164" i="2"/>
  <c r="X1164" i="2"/>
  <c r="Y1164" i="2" s="1"/>
  <c r="AB1165" i="2"/>
  <c r="AA1165" i="2"/>
  <c r="X1165" i="2"/>
  <c r="Y1165" i="2" s="1"/>
  <c r="H212" i="6"/>
  <c r="AB1166" i="2"/>
  <c r="AA1166" i="2"/>
  <c r="X1166" i="2"/>
  <c r="Y1166" i="2" s="1"/>
  <c r="H213" i="6"/>
  <c r="AF1167" i="2"/>
  <c r="AB1167" i="2"/>
  <c r="AA1167" i="2"/>
  <c r="X1167" i="2"/>
  <c r="Y1167" i="2" s="1"/>
  <c r="H214" i="6"/>
  <c r="AF1168" i="2"/>
  <c r="AB1168" i="2"/>
  <c r="AA1168" i="2"/>
  <c r="X1168" i="2"/>
  <c r="Y1168" i="2" s="1"/>
  <c r="H215" i="6"/>
  <c r="AB1169" i="2"/>
  <c r="AA1169" i="2"/>
  <c r="X1169" i="2"/>
  <c r="Y1169" i="2" s="1"/>
  <c r="AF1170" i="2"/>
  <c r="AB1170" i="2"/>
  <c r="AA1170" i="2"/>
  <c r="X1170" i="2"/>
  <c r="Y1170" i="2" s="1"/>
  <c r="AB1171" i="2"/>
  <c r="AA1171" i="2"/>
  <c r="X1171" i="2"/>
  <c r="Y1171" i="2" s="1"/>
  <c r="AF1172" i="2"/>
  <c r="AB1172" i="2"/>
  <c r="AA1172" i="2"/>
  <c r="X1172" i="2"/>
  <c r="Y1172" i="2" s="1"/>
  <c r="AB1173" i="2"/>
  <c r="AA1173" i="2"/>
  <c r="X1173" i="2"/>
  <c r="Y1173" i="2" s="1"/>
  <c r="H216" i="6"/>
  <c r="AB1174" i="2"/>
  <c r="AA1174" i="2"/>
  <c r="X1174" i="2"/>
  <c r="Y1174" i="2" s="1"/>
  <c r="AB1175" i="2"/>
  <c r="AA1175" i="2"/>
  <c r="X1175" i="2"/>
  <c r="Y1175" i="2" s="1"/>
  <c r="H217" i="6"/>
  <c r="AF1176" i="2"/>
  <c r="AB1176" i="2"/>
  <c r="AA1176" i="2"/>
  <c r="X1176" i="2"/>
  <c r="Y1176" i="2" s="1"/>
  <c r="H218" i="6"/>
  <c r="AB1177" i="2"/>
  <c r="AA1177" i="2"/>
  <c r="X1177" i="2"/>
  <c r="Y1177" i="2" s="1"/>
  <c r="AB1178" i="2"/>
  <c r="AA1178" i="2"/>
  <c r="X1178" i="2"/>
  <c r="Y1178" i="2" s="1"/>
  <c r="H219" i="6"/>
  <c r="F5" i="5"/>
  <c r="K49" i="3"/>
  <c r="L49" i="3" s="1"/>
  <c r="AB1179" i="2"/>
  <c r="AA1179" i="2"/>
  <c r="X1179" i="2"/>
  <c r="Y1179" i="2" s="1"/>
  <c r="F7" i="5"/>
  <c r="AF1180" i="2"/>
  <c r="AB1180" i="2"/>
  <c r="AA1180" i="2"/>
  <c r="X1180" i="2"/>
  <c r="Y1180" i="2" s="1"/>
  <c r="F8" i="5"/>
  <c r="AB1181" i="2"/>
  <c r="AA1181" i="2"/>
  <c r="X1181" i="2"/>
  <c r="Y1181" i="2" s="1"/>
  <c r="H220" i="6"/>
  <c r="K98" i="3"/>
  <c r="L98" i="3" s="1"/>
  <c r="AF1182" i="2"/>
  <c r="AB1182" i="2"/>
  <c r="AA1182" i="2"/>
  <c r="X1182" i="2"/>
  <c r="Y1182" i="2" s="1"/>
  <c r="F16" i="5"/>
  <c r="AF1183" i="2"/>
  <c r="AB1183" i="2"/>
  <c r="AA1183" i="2"/>
  <c r="X1183" i="2"/>
  <c r="Y1183" i="2" s="1"/>
  <c r="F9" i="5"/>
  <c r="AF1184" i="2"/>
  <c r="AB1184" i="2"/>
  <c r="AA1184" i="2"/>
  <c r="X1184" i="2"/>
  <c r="Y1184" i="2" s="1"/>
  <c r="AB1185" i="2"/>
  <c r="AA1185" i="2"/>
  <c r="X1185" i="2"/>
  <c r="Y1185" i="2" s="1"/>
  <c r="F6" i="5"/>
  <c r="AF1186" i="2"/>
  <c r="AB1186" i="2"/>
  <c r="AA1186" i="2"/>
  <c r="X1186" i="2"/>
  <c r="Y1186" i="2" s="1"/>
  <c r="AF1187" i="2"/>
  <c r="AB1187" i="2"/>
  <c r="AA1187" i="2"/>
  <c r="X1187" i="2"/>
  <c r="Y1187" i="2" s="1"/>
  <c r="AB1188" i="2"/>
  <c r="AA1188" i="2"/>
  <c r="X1188" i="2"/>
  <c r="Y1188" i="2" s="1"/>
  <c r="H221" i="6"/>
  <c r="AB1189" i="2"/>
  <c r="AA1189" i="2"/>
  <c r="X1189" i="2"/>
  <c r="Y1189" i="2" s="1"/>
  <c r="F20" i="5"/>
  <c r="AF1190" i="2"/>
  <c r="AB1190" i="2"/>
  <c r="AA1190" i="2"/>
  <c r="X1190" i="2"/>
  <c r="Y1190" i="2" s="1"/>
  <c r="H222" i="6"/>
  <c r="F12" i="5"/>
  <c r="AB1191" i="2"/>
  <c r="AA1191" i="2"/>
  <c r="X1191" i="2"/>
  <c r="Y1191" i="2" s="1"/>
  <c r="H223" i="6"/>
  <c r="F11" i="5"/>
  <c r="AF1192" i="2"/>
  <c r="AB1192" i="2"/>
  <c r="AA1192" i="2"/>
  <c r="X1192" i="2"/>
  <c r="Y1192" i="2" s="1"/>
  <c r="H224" i="6"/>
  <c r="AF1193" i="2"/>
  <c r="AB1193" i="2"/>
  <c r="AA1193" i="2"/>
  <c r="X1193" i="2"/>
  <c r="Y1193" i="2" s="1"/>
  <c r="F18" i="5"/>
  <c r="AB1194" i="2"/>
  <c r="AA1194" i="2"/>
  <c r="X1194" i="2"/>
  <c r="Y1194" i="2" s="1"/>
  <c r="AB1195" i="2"/>
  <c r="AA1195" i="2"/>
  <c r="X1195" i="2"/>
  <c r="Y1195" i="2" s="1"/>
  <c r="AB1196" i="2"/>
  <c r="AA1196" i="2"/>
  <c r="X1196" i="2"/>
  <c r="Y1196" i="2" s="1"/>
  <c r="AF1197" i="2"/>
  <c r="AB1197" i="2"/>
  <c r="AA1197" i="2"/>
  <c r="X1197" i="2"/>
  <c r="Y1197" i="2" s="1"/>
  <c r="F22" i="5"/>
  <c r="AF1198" i="2"/>
  <c r="AB1198" i="2"/>
  <c r="AA1198" i="2"/>
  <c r="X1198" i="2"/>
  <c r="Y1198" i="2" s="1"/>
  <c r="AF1199" i="2"/>
  <c r="AB1199" i="2"/>
  <c r="AA1199" i="2"/>
  <c r="X1199" i="2"/>
  <c r="Y1199" i="2" s="1"/>
  <c r="AF1200" i="2"/>
  <c r="AB1200" i="2"/>
  <c r="AA1200" i="2"/>
  <c r="X1200" i="2"/>
  <c r="Y1200" i="2" s="1"/>
  <c r="AB1201" i="2"/>
  <c r="AA1201" i="2"/>
  <c r="X1201" i="2"/>
  <c r="Y1201" i="2" s="1"/>
  <c r="AF1202" i="2"/>
  <c r="AB1202" i="2"/>
  <c r="AA1202" i="2"/>
  <c r="X1202" i="2"/>
  <c r="Y1202" i="2" s="1"/>
  <c r="H225" i="6"/>
  <c r="AF1203" i="2"/>
  <c r="AB1203" i="2"/>
  <c r="AA1203" i="2"/>
  <c r="X1203" i="2"/>
  <c r="Y1203" i="2" s="1"/>
  <c r="AB1204" i="2"/>
  <c r="AA1204" i="2"/>
  <c r="X1204" i="2"/>
  <c r="Y1204" i="2" s="1"/>
  <c r="AB1205" i="2"/>
  <c r="AA1205" i="2"/>
  <c r="X1205" i="2"/>
  <c r="Y1205" i="2" s="1"/>
  <c r="AF1206" i="2"/>
  <c r="AB1206" i="2"/>
  <c r="AA1206" i="2"/>
  <c r="X1206" i="2"/>
  <c r="Y1206" i="2" s="1"/>
  <c r="H226" i="6"/>
  <c r="AB1207" i="2"/>
  <c r="AA1207" i="2"/>
  <c r="X1207" i="2"/>
  <c r="Y1207" i="2" s="1"/>
  <c r="AB1208" i="2"/>
  <c r="AA1208" i="2"/>
  <c r="X1208" i="2"/>
  <c r="Y1208" i="2" s="1"/>
  <c r="AF1209" i="2"/>
  <c r="AB1209" i="2"/>
  <c r="AA1209" i="2"/>
  <c r="X1209" i="2"/>
  <c r="Y1209" i="2" s="1"/>
  <c r="AB1210" i="2"/>
  <c r="AA1210" i="2"/>
  <c r="X1210" i="2"/>
  <c r="Y1210" i="2" s="1"/>
  <c r="AB1211" i="2"/>
  <c r="AA1211" i="2"/>
  <c r="X1211" i="2"/>
  <c r="Y1211" i="2" s="1"/>
  <c r="AB1212" i="2"/>
  <c r="AA1212" i="2"/>
  <c r="X1212" i="2"/>
  <c r="Y1212" i="2" s="1"/>
  <c r="AB1213" i="2"/>
  <c r="AA1213" i="2"/>
  <c r="X1213" i="2"/>
  <c r="Y1213" i="2" s="1"/>
  <c r="K69" i="3"/>
  <c r="L69" i="3" s="1"/>
  <c r="AB1214" i="2"/>
  <c r="AA1214" i="2"/>
  <c r="X1214" i="2"/>
  <c r="Y1214" i="2" s="1"/>
  <c r="F17" i="5"/>
  <c r="AF1215" i="2"/>
  <c r="AB1215" i="2"/>
  <c r="AA1215" i="2"/>
  <c r="X1215" i="2"/>
  <c r="Y1215" i="2" s="1"/>
  <c r="AB1216" i="2"/>
  <c r="AA1216" i="2"/>
  <c r="X1216" i="2"/>
  <c r="Y1216" i="2" s="1"/>
  <c r="AB1217" i="2"/>
  <c r="AA1217" i="2"/>
  <c r="X1217" i="2"/>
  <c r="Y1217" i="2" s="1"/>
  <c r="AB1218" i="2"/>
  <c r="AA1218" i="2"/>
  <c r="X1218" i="2"/>
  <c r="Y1218" i="2" s="1"/>
  <c r="AB1219" i="2"/>
  <c r="AA1219" i="2"/>
  <c r="X1219" i="2"/>
  <c r="Y1219" i="2" s="1"/>
  <c r="AB1220" i="2"/>
  <c r="AA1220" i="2"/>
  <c r="X1220" i="2"/>
  <c r="Y1220" i="2" s="1"/>
  <c r="AF1221" i="2"/>
  <c r="AB1221" i="2"/>
  <c r="AA1221" i="2"/>
  <c r="X1221" i="2"/>
  <c r="Y1221" i="2" s="1"/>
  <c r="AB1222" i="2"/>
  <c r="AA1222" i="2"/>
  <c r="X1222" i="2"/>
  <c r="Y1222" i="2" s="1"/>
  <c r="AF1223" i="2"/>
  <c r="AB1223" i="2"/>
  <c r="AA1223" i="2"/>
  <c r="X1223" i="2"/>
  <c r="Y1223" i="2" s="1"/>
  <c r="F13" i="5"/>
  <c r="AB1224" i="2"/>
  <c r="AA1224" i="2"/>
  <c r="X1224" i="2"/>
  <c r="Y1224" i="2" s="1"/>
  <c r="AF1225" i="2"/>
  <c r="AB1225" i="2"/>
  <c r="AA1225" i="2"/>
  <c r="X1225" i="2"/>
  <c r="Y1225" i="2" s="1"/>
  <c r="AB1226" i="2"/>
  <c r="AA1226" i="2"/>
  <c r="X1226" i="2"/>
  <c r="Y1226" i="2" s="1"/>
  <c r="AB1227" i="2"/>
  <c r="AA1227" i="2"/>
  <c r="X1227" i="2"/>
  <c r="Y1227" i="2" s="1"/>
  <c r="AB1228" i="2"/>
  <c r="AA1228" i="2"/>
  <c r="X1228" i="2"/>
  <c r="Y1228" i="2" s="1"/>
  <c r="AB1229" i="2"/>
  <c r="AA1229" i="2"/>
  <c r="X1229" i="2"/>
  <c r="Y1229" i="2" s="1"/>
  <c r="AB1230" i="2"/>
  <c r="AA1230" i="2"/>
  <c r="X1230" i="2"/>
  <c r="Y1230" i="2" s="1"/>
  <c r="AF1231" i="2"/>
  <c r="AB1231" i="2"/>
  <c r="AA1231" i="2"/>
  <c r="X1231" i="2"/>
  <c r="Y1231" i="2" s="1"/>
  <c r="AB1232" i="2"/>
  <c r="AA1232" i="2"/>
  <c r="X1232" i="2"/>
  <c r="Y1232" i="2" s="1"/>
  <c r="AF1233" i="2"/>
  <c r="AB1233" i="2"/>
  <c r="AA1233" i="2"/>
  <c r="X1233" i="2"/>
  <c r="Y1233" i="2" s="1"/>
  <c r="F14" i="5"/>
  <c r="AF1234" i="2"/>
  <c r="AB1234" i="2"/>
  <c r="AA1234" i="2"/>
  <c r="X1234" i="2"/>
  <c r="Y1234" i="2" s="1"/>
  <c r="AB1235" i="2"/>
  <c r="AA1235" i="2"/>
  <c r="X1235" i="2"/>
  <c r="Y1235" i="2" s="1"/>
  <c r="AF1236" i="2"/>
  <c r="AB1236" i="2"/>
  <c r="AA1236" i="2"/>
  <c r="X1236" i="2"/>
  <c r="Y1236" i="2" s="1"/>
  <c r="AB1237" i="2"/>
  <c r="AA1237" i="2"/>
  <c r="X1237" i="2"/>
  <c r="Y1237" i="2" s="1"/>
  <c r="H227" i="6"/>
  <c r="K89" i="3"/>
  <c r="L89" i="3" s="1"/>
  <c r="AF1238" i="2"/>
  <c r="AB1238" i="2"/>
  <c r="AA1238" i="2"/>
  <c r="X1238" i="2"/>
  <c r="Y1238" i="2" s="1"/>
  <c r="AF1239" i="2"/>
  <c r="AB1239" i="2"/>
  <c r="AA1239" i="2"/>
  <c r="X1239" i="2"/>
  <c r="Y1239" i="2" s="1"/>
  <c r="H228" i="6"/>
  <c r="AB1240" i="2"/>
  <c r="AA1240" i="2"/>
  <c r="X1240" i="2"/>
  <c r="Y1240" i="2" s="1"/>
  <c r="AB1241" i="2"/>
  <c r="AA1241" i="2"/>
  <c r="X1241" i="2"/>
  <c r="Y1241" i="2" s="1"/>
  <c r="AB1242" i="2"/>
  <c r="AA1242" i="2"/>
  <c r="X1242" i="2"/>
  <c r="Y1242" i="2" s="1"/>
  <c r="F19" i="5"/>
  <c r="AB1243" i="2"/>
  <c r="AA1243" i="2"/>
  <c r="X1243" i="2"/>
  <c r="Y1243" i="2" s="1"/>
  <c r="AB1244" i="2"/>
  <c r="AA1244" i="2"/>
  <c r="X1244" i="2"/>
  <c r="Y1244" i="2" s="1"/>
  <c r="AF1245" i="2"/>
  <c r="AB1245" i="2"/>
  <c r="AA1245" i="2"/>
  <c r="X1245" i="2"/>
  <c r="Y1245" i="2" s="1"/>
  <c r="AB1246" i="2"/>
  <c r="AA1246" i="2"/>
  <c r="X1246" i="2"/>
  <c r="Y1246" i="2" s="1"/>
  <c r="H229" i="6"/>
  <c r="AB1247" i="2"/>
  <c r="AA1247" i="2"/>
  <c r="X1247" i="2"/>
  <c r="Y1247" i="2" s="1"/>
  <c r="AB1248" i="2"/>
  <c r="AA1248" i="2"/>
  <c r="X1248" i="2"/>
  <c r="Y1248" i="2" s="1"/>
  <c r="AB1249" i="2"/>
  <c r="AA1249" i="2"/>
  <c r="X1249" i="2"/>
  <c r="Y1249" i="2" s="1"/>
  <c r="H230" i="6"/>
  <c r="K139" i="3"/>
  <c r="L139" i="3" s="1"/>
  <c r="AF1250" i="2"/>
  <c r="AB1250" i="2"/>
  <c r="AA1250" i="2"/>
  <c r="X1250" i="2"/>
  <c r="Y1250" i="2" s="1"/>
  <c r="AB1251" i="2"/>
  <c r="AA1251" i="2"/>
  <c r="X1251" i="2"/>
  <c r="Y1251" i="2" s="1"/>
  <c r="AB1252" i="2"/>
  <c r="AA1252" i="2"/>
  <c r="X1252" i="2"/>
  <c r="Y1252" i="2" s="1"/>
  <c r="AB1253" i="2"/>
  <c r="AA1253" i="2"/>
  <c r="X1253" i="2"/>
  <c r="Y1253" i="2" s="1"/>
  <c r="AB1254" i="2"/>
  <c r="AA1254" i="2"/>
  <c r="X1254" i="2"/>
  <c r="Y1254" i="2" s="1"/>
  <c r="AF1255" i="2"/>
  <c r="AB1255" i="2"/>
  <c r="AA1255" i="2"/>
  <c r="X1255" i="2"/>
  <c r="Y1255" i="2" s="1"/>
  <c r="H231" i="6"/>
  <c r="AB1256" i="2"/>
  <c r="AA1256" i="2"/>
  <c r="X1256" i="2"/>
  <c r="Y1256" i="2" s="1"/>
  <c r="H232" i="6"/>
  <c r="AF1257" i="2"/>
  <c r="AB1257" i="2"/>
  <c r="AA1257" i="2"/>
  <c r="X1257" i="2"/>
  <c r="Y1257" i="2" s="1"/>
  <c r="AF1258" i="2"/>
  <c r="AB1258" i="2"/>
  <c r="AA1258" i="2"/>
  <c r="X1258" i="2"/>
  <c r="Y1258" i="2" s="1"/>
  <c r="AB1259" i="2"/>
  <c r="AA1259" i="2"/>
  <c r="X1259" i="2"/>
  <c r="Y1259" i="2" s="1"/>
  <c r="AF1260" i="2"/>
  <c r="AB1260" i="2"/>
  <c r="AA1260" i="2"/>
  <c r="X1260" i="2"/>
  <c r="Y1260" i="2" s="1"/>
  <c r="AB1261" i="2"/>
  <c r="AA1261" i="2"/>
  <c r="X1261" i="2"/>
  <c r="Y1261" i="2" s="1"/>
  <c r="K133" i="3"/>
  <c r="L133" i="3" s="1"/>
  <c r="AF1262" i="2"/>
  <c r="AB1262" i="2"/>
  <c r="AA1262" i="2"/>
  <c r="X1262" i="2"/>
  <c r="Y1262" i="2" s="1"/>
  <c r="AF1263" i="2"/>
  <c r="AB1263" i="2"/>
  <c r="AA1263" i="2"/>
  <c r="X1263" i="2"/>
  <c r="Y1263" i="2" s="1"/>
  <c r="AB1264" i="2"/>
  <c r="AA1264" i="2"/>
  <c r="X1264" i="2"/>
  <c r="Y1264" i="2" s="1"/>
  <c r="AF1265" i="2"/>
  <c r="AB1265" i="2"/>
  <c r="AA1265" i="2"/>
  <c r="X1265" i="2"/>
  <c r="Y1265" i="2" s="1"/>
  <c r="AB1266" i="2"/>
  <c r="AA1266" i="2"/>
  <c r="X1266" i="2"/>
  <c r="Y1266" i="2" s="1"/>
  <c r="AB1267" i="2"/>
  <c r="AA1267" i="2"/>
  <c r="X1267" i="2"/>
  <c r="Y1267" i="2" s="1"/>
  <c r="AF1268" i="2"/>
  <c r="AB1268" i="2"/>
  <c r="AA1268" i="2"/>
  <c r="X1268" i="2"/>
  <c r="Y1268" i="2" s="1"/>
  <c r="H233" i="6"/>
  <c r="AF1269" i="2"/>
  <c r="AB1269" i="2"/>
  <c r="AA1269" i="2"/>
  <c r="X1269" i="2"/>
  <c r="Y1269" i="2" s="1"/>
  <c r="H234" i="6"/>
  <c r="K9" i="3"/>
  <c r="L9" i="3" s="1"/>
  <c r="AF1270" i="2"/>
  <c r="AB1270" i="2"/>
  <c r="AA1270" i="2"/>
  <c r="X1270" i="2"/>
  <c r="Y1270" i="2" s="1"/>
  <c r="AB1271" i="2"/>
  <c r="AA1271" i="2"/>
  <c r="X1271" i="2"/>
  <c r="Y1271" i="2" s="1"/>
  <c r="AF1272" i="2"/>
  <c r="AB1272" i="2"/>
  <c r="AA1272" i="2"/>
  <c r="X1272" i="2"/>
  <c r="Y1272" i="2" s="1"/>
  <c r="AF1273" i="2"/>
  <c r="AB1273" i="2"/>
  <c r="AA1273" i="2"/>
  <c r="X1273" i="2"/>
  <c r="Y1273" i="2" s="1"/>
  <c r="AB1274" i="2"/>
  <c r="AA1274" i="2"/>
  <c r="X1274" i="2"/>
  <c r="Y1274" i="2" s="1"/>
  <c r="AB1275" i="2"/>
  <c r="AA1275" i="2"/>
  <c r="X1275" i="2"/>
  <c r="Y1275" i="2" s="1"/>
  <c r="AF1276" i="2"/>
  <c r="AB1276" i="2"/>
  <c r="AA1276" i="2"/>
  <c r="X1276" i="2"/>
  <c r="Y1276" i="2" s="1"/>
  <c r="H235" i="6"/>
  <c r="AF1277" i="2"/>
  <c r="AB1277" i="2"/>
  <c r="AA1277" i="2"/>
  <c r="X1277" i="2"/>
  <c r="Y1277" i="2" s="1"/>
  <c r="AB1278" i="2"/>
  <c r="AA1278" i="2"/>
  <c r="X1278" i="2"/>
  <c r="Y1278" i="2" s="1"/>
  <c r="F21" i="5"/>
  <c r="AB1279" i="2"/>
  <c r="AA1279" i="2"/>
  <c r="X1279" i="2"/>
  <c r="Y1279" i="2" s="1"/>
  <c r="AB1280" i="2"/>
  <c r="AA1280" i="2"/>
  <c r="X1280" i="2"/>
  <c r="Y1280" i="2" s="1"/>
  <c r="AF1281" i="2"/>
  <c r="AB1281" i="2"/>
  <c r="AA1281" i="2"/>
  <c r="X1281" i="2"/>
  <c r="Y1281" i="2" s="1"/>
  <c r="AB1282" i="2"/>
  <c r="AA1282" i="2"/>
  <c r="X1282" i="2"/>
  <c r="Y1282" i="2" s="1"/>
  <c r="AB1283" i="2"/>
  <c r="AA1283" i="2"/>
  <c r="X1283" i="2"/>
  <c r="Y1283" i="2" s="1"/>
  <c r="AB1284" i="2"/>
  <c r="AA1284" i="2"/>
  <c r="X1284" i="2"/>
  <c r="Y1284" i="2" s="1"/>
  <c r="AF1285" i="2"/>
  <c r="AB1285" i="2"/>
  <c r="AA1285" i="2"/>
  <c r="X1285" i="2"/>
  <c r="Y1285" i="2" s="1"/>
  <c r="AB1286" i="2"/>
  <c r="AA1286" i="2"/>
  <c r="X1286" i="2"/>
  <c r="Y1286" i="2" s="1"/>
  <c r="AF1287" i="2"/>
  <c r="AB1287" i="2"/>
  <c r="AA1287" i="2"/>
  <c r="X1287" i="2"/>
  <c r="Y1287" i="2" s="1"/>
  <c r="H236" i="6"/>
  <c r="F10" i="5"/>
  <c r="AB1288" i="2"/>
  <c r="AA1288" i="2"/>
  <c r="X1288" i="2"/>
  <c r="Y1288" i="2" s="1"/>
  <c r="H237" i="6"/>
  <c r="AB1289" i="2"/>
  <c r="AA1289" i="2"/>
  <c r="X1289" i="2"/>
  <c r="Y1289" i="2" s="1"/>
  <c r="AB1290" i="2"/>
  <c r="AA1290" i="2"/>
  <c r="X1290" i="2"/>
  <c r="Y1290" i="2" s="1"/>
  <c r="AF1291" i="2"/>
  <c r="AB1291" i="2"/>
  <c r="AA1291" i="2"/>
  <c r="X1291" i="2"/>
  <c r="Y1291" i="2" s="1"/>
  <c r="AB1292" i="2"/>
  <c r="AA1292" i="2"/>
  <c r="X1292" i="2"/>
  <c r="Y1292" i="2" s="1"/>
  <c r="AB1293" i="2"/>
  <c r="AA1293" i="2"/>
  <c r="X1293" i="2"/>
  <c r="Y1293" i="2" s="1"/>
  <c r="AF1294" i="2"/>
  <c r="AB1294" i="2"/>
  <c r="AA1294" i="2"/>
  <c r="X1294" i="2"/>
  <c r="Y1294" i="2" s="1"/>
  <c r="AF1295" i="2"/>
  <c r="AB1295" i="2"/>
  <c r="AA1295" i="2"/>
  <c r="X1295" i="2"/>
  <c r="Y1295" i="2" s="1"/>
  <c r="AF1296" i="2"/>
  <c r="AB1296" i="2"/>
  <c r="AA1296" i="2"/>
  <c r="X1296" i="2"/>
  <c r="Y1296" i="2" s="1"/>
  <c r="AB1297" i="2"/>
  <c r="AA1297" i="2"/>
  <c r="X1297" i="2"/>
  <c r="Y1297" i="2" s="1"/>
  <c r="AB1298" i="2"/>
  <c r="AA1298" i="2"/>
  <c r="X1298" i="2"/>
  <c r="Y1298" i="2" s="1"/>
  <c r="AB1299" i="2"/>
  <c r="AA1299" i="2"/>
  <c r="X1299" i="2"/>
  <c r="Y1299" i="2" s="1"/>
  <c r="AB1300" i="2"/>
  <c r="AA1300" i="2"/>
  <c r="X1300" i="2"/>
  <c r="Y1300" i="2" s="1"/>
  <c r="AB1301" i="2"/>
  <c r="AA1301" i="2"/>
  <c r="X1301" i="2"/>
  <c r="Y1301" i="2" s="1"/>
  <c r="AB1302" i="2"/>
  <c r="AA1302" i="2"/>
  <c r="X1302" i="2"/>
  <c r="Y1302" i="2" s="1"/>
  <c r="AB1303" i="2"/>
  <c r="AA1303" i="2"/>
  <c r="X1303" i="2"/>
  <c r="Y1303" i="2" s="1"/>
  <c r="AB1304" i="2"/>
  <c r="AA1304" i="2"/>
  <c r="X1304" i="2"/>
  <c r="Y1304" i="2" s="1"/>
  <c r="AF1305" i="2"/>
  <c r="AB1305" i="2"/>
  <c r="AA1305" i="2"/>
  <c r="X1305" i="2"/>
  <c r="Y1305" i="2" s="1"/>
  <c r="AB1306" i="2"/>
  <c r="AA1306" i="2"/>
  <c r="X1306" i="2"/>
  <c r="Y1306" i="2" s="1"/>
  <c r="H238" i="6"/>
  <c r="AB1307" i="2"/>
  <c r="AA1307" i="2"/>
  <c r="X1307" i="2"/>
  <c r="Y1307" i="2" s="1"/>
  <c r="H239" i="6"/>
  <c r="AB1308" i="2"/>
  <c r="AA1308" i="2"/>
  <c r="X1308" i="2"/>
  <c r="Y1308" i="2" s="1"/>
  <c r="AB1309" i="2"/>
  <c r="AA1309" i="2"/>
  <c r="X1309" i="2"/>
  <c r="Y1309" i="2" s="1"/>
  <c r="AF1310" i="2"/>
  <c r="AB1310" i="2"/>
  <c r="AA1310" i="2"/>
  <c r="X1310" i="2"/>
  <c r="Y1310" i="2" s="1"/>
  <c r="AB1311" i="2"/>
  <c r="AA1311" i="2"/>
  <c r="X1311" i="2"/>
  <c r="Y1311" i="2" s="1"/>
  <c r="AB1312" i="2"/>
  <c r="AA1312" i="2"/>
  <c r="X1312" i="2"/>
  <c r="Y1312" i="2" s="1"/>
  <c r="AB1313" i="2"/>
  <c r="AA1313" i="2"/>
  <c r="X1313" i="2"/>
  <c r="Y1313" i="2" s="1"/>
  <c r="H240" i="6"/>
  <c r="K102" i="3"/>
  <c r="L102" i="3" s="1"/>
  <c r="AF1314" i="2"/>
  <c r="AB1314" i="2"/>
  <c r="AA1314" i="2"/>
  <c r="X1314" i="2"/>
  <c r="Y1314" i="2" s="1"/>
  <c r="H241" i="6"/>
  <c r="AB1315" i="2"/>
  <c r="AA1315" i="2"/>
  <c r="X1315" i="2"/>
  <c r="Y1315" i="2" s="1"/>
  <c r="AB1316" i="2"/>
  <c r="AA1316" i="2"/>
  <c r="X1316" i="2"/>
  <c r="Y1316" i="2" s="1"/>
  <c r="AB1317" i="2"/>
  <c r="AA1317" i="2"/>
  <c r="X1317" i="2"/>
  <c r="Y1317" i="2" s="1"/>
  <c r="AB1318" i="2"/>
  <c r="AA1318" i="2"/>
  <c r="X1318" i="2"/>
  <c r="Y1318" i="2" s="1"/>
  <c r="H242" i="6"/>
  <c r="K55" i="3"/>
  <c r="L55" i="3" s="1"/>
  <c r="AB1319" i="2"/>
  <c r="AA1319" i="2"/>
  <c r="X1319" i="2"/>
  <c r="Y1319" i="2" s="1"/>
  <c r="AB1320" i="2"/>
  <c r="AA1320" i="2"/>
  <c r="X1320" i="2"/>
  <c r="Y1320" i="2" s="1"/>
  <c r="AB1321" i="2"/>
  <c r="AA1321" i="2"/>
  <c r="X1321" i="2"/>
  <c r="Y1321" i="2" s="1"/>
  <c r="H243" i="6"/>
  <c r="I7" i="4"/>
  <c r="H7" i="4"/>
  <c r="K91" i="3"/>
  <c r="L91" i="3" s="1"/>
  <c r="AB1322" i="2"/>
  <c r="AA1322" i="2"/>
  <c r="X1322" i="2"/>
  <c r="Y1322" i="2" s="1"/>
  <c r="L7" i="4"/>
  <c r="AB1323" i="2"/>
  <c r="AA1323" i="2"/>
  <c r="X1323" i="2"/>
  <c r="Y1323" i="2" s="1"/>
  <c r="K7" i="4"/>
  <c r="AB1324" i="2"/>
  <c r="AA1324" i="2"/>
  <c r="X1324" i="2"/>
  <c r="Y1324" i="2" s="1"/>
  <c r="AB1325" i="2"/>
  <c r="AA1325" i="2"/>
  <c r="X1325" i="2"/>
  <c r="Y1325" i="2" s="1"/>
  <c r="AB1326" i="2"/>
  <c r="AA1326" i="2"/>
  <c r="X1326" i="2"/>
  <c r="Y1326" i="2" s="1"/>
  <c r="AB1327" i="2"/>
  <c r="AA1327" i="2"/>
  <c r="X1327" i="2"/>
  <c r="Y1327" i="2" s="1"/>
  <c r="AB1328" i="2"/>
  <c r="AA1328" i="2"/>
  <c r="X1328" i="2"/>
  <c r="Y1328" i="2" s="1"/>
  <c r="AB1329" i="2"/>
  <c r="AA1329" i="2"/>
  <c r="X1329" i="2"/>
  <c r="Y1329" i="2" s="1"/>
  <c r="AF1330" i="2"/>
  <c r="AB1330" i="2"/>
  <c r="AA1330" i="2"/>
  <c r="X1330" i="2"/>
  <c r="Y1330" i="2" s="1"/>
  <c r="AB1331" i="2"/>
  <c r="AA1331" i="2"/>
  <c r="X1331" i="2"/>
  <c r="Y1331" i="2" s="1"/>
  <c r="AF1332" i="2"/>
  <c r="AB1332" i="2"/>
  <c r="AA1332" i="2"/>
  <c r="X1332" i="2"/>
  <c r="Y1332" i="2" s="1"/>
  <c r="AB1333" i="2"/>
  <c r="AA1333" i="2"/>
  <c r="X1333" i="2"/>
  <c r="Y1333" i="2" s="1"/>
  <c r="AF1334" i="2"/>
  <c r="AB1334" i="2"/>
  <c r="AA1334" i="2"/>
  <c r="X1334" i="2"/>
  <c r="Y1334" i="2" s="1"/>
  <c r="F15" i="5"/>
  <c r="AB1335" i="2"/>
  <c r="AA1335" i="2"/>
  <c r="X1335" i="2"/>
  <c r="Y1335" i="2" s="1"/>
  <c r="AB1336" i="2"/>
  <c r="AA1336" i="2"/>
  <c r="X1336" i="2"/>
  <c r="Y1336" i="2" s="1"/>
  <c r="AB1337" i="2"/>
  <c r="AA1337" i="2"/>
  <c r="X1337" i="2"/>
  <c r="Y1337" i="2" s="1"/>
  <c r="AB1338" i="2"/>
  <c r="AA1338" i="2"/>
  <c r="X1338" i="2"/>
  <c r="Y1338" i="2" s="1"/>
  <c r="H244" i="6"/>
  <c r="AB1339" i="2"/>
  <c r="AA1339" i="2"/>
  <c r="X1339" i="2"/>
  <c r="Y1339" i="2" s="1"/>
  <c r="AB1340" i="2"/>
  <c r="AA1340" i="2"/>
  <c r="X1340" i="2"/>
  <c r="Y1340" i="2" s="1"/>
  <c r="AB1341" i="2"/>
  <c r="AA1341" i="2"/>
  <c r="X1341" i="2"/>
  <c r="Y1341" i="2" s="1"/>
  <c r="J7" i="4"/>
  <c r="AF1342" i="2"/>
  <c r="AB1342" i="2"/>
  <c r="AA1342" i="2"/>
  <c r="X1342" i="2"/>
  <c r="Y1342" i="2" s="1"/>
  <c r="AB1343" i="2"/>
  <c r="AA1343" i="2"/>
  <c r="X1343" i="2"/>
  <c r="Y1343" i="2" s="1"/>
  <c r="AB1344" i="2"/>
  <c r="AA1344" i="2"/>
  <c r="X1344" i="2"/>
  <c r="Y1344" i="2" s="1"/>
  <c r="AF1345" i="2"/>
  <c r="AB1345" i="2"/>
  <c r="AA1345" i="2"/>
  <c r="X1345" i="2"/>
  <c r="Y1345" i="2" s="1"/>
  <c r="AB1346" i="2"/>
  <c r="AA1346" i="2"/>
  <c r="X1346" i="2"/>
  <c r="Y1346" i="2" s="1"/>
  <c r="AB1347" i="2"/>
  <c r="AA1347" i="2"/>
  <c r="X1347" i="2"/>
  <c r="Y1347" i="2" s="1"/>
  <c r="AB1348" i="2"/>
  <c r="AA1348" i="2"/>
  <c r="X1348" i="2"/>
  <c r="Y1348" i="2" s="1"/>
  <c r="AF1349" i="2"/>
  <c r="AB1349" i="2"/>
  <c r="AA1349" i="2"/>
  <c r="X1349" i="2"/>
  <c r="Y1349" i="2" s="1"/>
  <c r="AF1350" i="2"/>
  <c r="AB1350" i="2"/>
  <c r="AA1350" i="2"/>
  <c r="X1350" i="2"/>
  <c r="Y1350" i="2" s="1"/>
  <c r="H245" i="6"/>
  <c r="AF1351" i="2"/>
  <c r="AB1351" i="2"/>
  <c r="AA1351" i="2"/>
  <c r="X1351" i="2"/>
  <c r="Y1351" i="2" s="1"/>
  <c r="AB1352" i="2"/>
  <c r="AA1352" i="2"/>
  <c r="X1352" i="2"/>
  <c r="Y1352" i="2" s="1"/>
  <c r="AB1353" i="2"/>
  <c r="AA1353" i="2"/>
  <c r="X1353" i="2"/>
  <c r="Y1353" i="2" s="1"/>
  <c r="H246" i="6"/>
  <c r="AB1354" i="2"/>
  <c r="AA1354" i="2"/>
  <c r="X1354" i="2"/>
  <c r="Y1354" i="2" s="1"/>
  <c r="AB1355" i="2"/>
  <c r="AA1355" i="2"/>
  <c r="X1355" i="2"/>
  <c r="Y1355" i="2" s="1"/>
  <c r="AB1356" i="2"/>
  <c r="AA1356" i="2"/>
  <c r="X1356" i="2"/>
  <c r="Y1356" i="2" s="1"/>
  <c r="H247" i="6"/>
  <c r="AB1357" i="2"/>
  <c r="AA1357" i="2"/>
  <c r="X1357" i="2"/>
  <c r="Y1357" i="2" s="1"/>
  <c r="H248" i="6"/>
  <c r="AF1358" i="2"/>
  <c r="AB1358" i="2"/>
  <c r="AA1358" i="2"/>
  <c r="X1358" i="2"/>
  <c r="Y1358" i="2" s="1"/>
  <c r="AF1359" i="2"/>
  <c r="AB1359" i="2"/>
  <c r="AA1359" i="2"/>
  <c r="X1359" i="2"/>
  <c r="Y1359" i="2" s="1"/>
  <c r="G11" i="5"/>
  <c r="AB1360" i="2"/>
  <c r="AA1360" i="2"/>
  <c r="X1360" i="2"/>
  <c r="Y1360" i="2" s="1"/>
  <c r="G7" i="5"/>
  <c r="AB1361" i="2"/>
  <c r="AA1361" i="2"/>
  <c r="X1361" i="2"/>
  <c r="Y1361" i="2" s="1"/>
  <c r="G9" i="5"/>
  <c r="AB1362" i="2"/>
  <c r="AA1362" i="2"/>
  <c r="X1362" i="2"/>
  <c r="Y1362" i="2" s="1"/>
  <c r="H249" i="6"/>
  <c r="G8" i="5"/>
  <c r="AB1363" i="2"/>
  <c r="AA1363" i="2"/>
  <c r="X1363" i="2"/>
  <c r="Y1363" i="2" s="1"/>
  <c r="AB1364" i="2"/>
  <c r="AA1364" i="2"/>
  <c r="X1364" i="2"/>
  <c r="Y1364" i="2" s="1"/>
  <c r="AF1365" i="2"/>
  <c r="AB1365" i="2"/>
  <c r="AA1365" i="2"/>
  <c r="X1365" i="2"/>
  <c r="Y1365" i="2" s="1"/>
  <c r="AB1366" i="2"/>
  <c r="AA1366" i="2"/>
  <c r="X1366" i="2"/>
  <c r="Y1366" i="2" s="1"/>
  <c r="AB1367" i="2"/>
  <c r="AA1367" i="2"/>
  <c r="X1367" i="2"/>
  <c r="Y1367" i="2" s="1"/>
  <c r="AB1368" i="2"/>
  <c r="AA1368" i="2"/>
  <c r="X1368" i="2"/>
  <c r="Y1368" i="2" s="1"/>
  <c r="AB1369" i="2"/>
  <c r="AA1369" i="2"/>
  <c r="X1369" i="2"/>
  <c r="Y1369" i="2" s="1"/>
  <c r="AF1370" i="2"/>
  <c r="AB1370" i="2"/>
  <c r="AA1370" i="2"/>
  <c r="X1370" i="2"/>
  <c r="Y1370" i="2" s="1"/>
  <c r="H250" i="6"/>
  <c r="AF1371" i="2"/>
  <c r="AB1371" i="2"/>
  <c r="AA1371" i="2"/>
  <c r="X1371" i="2"/>
  <c r="Y1371" i="2" s="1"/>
  <c r="AB1372" i="2"/>
  <c r="AA1372" i="2"/>
  <c r="X1372" i="2"/>
  <c r="Y1372" i="2" s="1"/>
  <c r="AB1373" i="2"/>
  <c r="AA1373" i="2"/>
  <c r="X1373" i="2"/>
  <c r="Y1373" i="2" s="1"/>
  <c r="G20" i="5"/>
  <c r="AB1374" i="2"/>
  <c r="AA1374" i="2"/>
  <c r="X1374" i="2"/>
  <c r="Y1374" i="2" s="1"/>
  <c r="AB1375" i="2"/>
  <c r="AA1375" i="2"/>
  <c r="X1375" i="2"/>
  <c r="Y1375" i="2" s="1"/>
  <c r="AB1376" i="2"/>
  <c r="AA1376" i="2"/>
  <c r="X1376" i="2"/>
  <c r="Y1376" i="2" s="1"/>
  <c r="AB1377" i="2"/>
  <c r="AA1377" i="2"/>
  <c r="X1377" i="2"/>
  <c r="Y1377" i="2" s="1"/>
  <c r="H251" i="6"/>
  <c r="AB1378" i="2"/>
  <c r="AA1378" i="2"/>
  <c r="X1378" i="2"/>
  <c r="Y1378" i="2" s="1"/>
  <c r="G5" i="5"/>
  <c r="K27" i="3"/>
  <c r="L27" i="3" s="1"/>
  <c r="AB1379" i="2"/>
  <c r="AA1379" i="2"/>
  <c r="X1379" i="2"/>
  <c r="Y1379" i="2" s="1"/>
  <c r="AB1380" i="2"/>
  <c r="AA1380" i="2"/>
  <c r="X1380" i="2"/>
  <c r="Y1380" i="2" s="1"/>
  <c r="AB1381" i="2"/>
  <c r="AA1381" i="2"/>
  <c r="X1381" i="2"/>
  <c r="Y1381" i="2" s="1"/>
  <c r="AF1382" i="2"/>
  <c r="AB1382" i="2"/>
  <c r="AA1382" i="2"/>
  <c r="X1382" i="2"/>
  <c r="Y1382" i="2" s="1"/>
  <c r="AF1383" i="2"/>
  <c r="AB1383" i="2"/>
  <c r="AA1383" i="2"/>
  <c r="X1383" i="2"/>
  <c r="Y1383" i="2" s="1"/>
  <c r="G13" i="5"/>
  <c r="AF1384" i="2"/>
  <c r="AB1384" i="2"/>
  <c r="AA1384" i="2"/>
  <c r="X1384" i="2"/>
  <c r="Y1384" i="2" s="1"/>
  <c r="H252" i="6"/>
  <c r="G12" i="5"/>
  <c r="AF1385" i="2"/>
  <c r="AB1385" i="2"/>
  <c r="AA1385" i="2"/>
  <c r="X1385" i="2"/>
  <c r="Y1385" i="2" s="1"/>
  <c r="G6" i="5"/>
  <c r="AB1386" i="2"/>
  <c r="AA1386" i="2"/>
  <c r="X1386" i="2"/>
  <c r="Y1386" i="2" s="1"/>
  <c r="G18" i="5"/>
  <c r="AB1387" i="2"/>
  <c r="AA1387" i="2"/>
  <c r="X1387" i="2"/>
  <c r="Y1387" i="2" s="1"/>
  <c r="AF1388" i="2"/>
  <c r="AB1388" i="2"/>
  <c r="AA1388" i="2"/>
  <c r="X1388" i="2"/>
  <c r="Y1388" i="2" s="1"/>
  <c r="AB1389" i="2"/>
  <c r="AA1389" i="2"/>
  <c r="X1389" i="2"/>
  <c r="Y1389" i="2" s="1"/>
  <c r="H253" i="6"/>
  <c r="AF1390" i="2"/>
  <c r="AB1390" i="2"/>
  <c r="AA1390" i="2"/>
  <c r="X1390" i="2"/>
  <c r="Y1390" i="2" s="1"/>
  <c r="H254" i="6"/>
  <c r="G14" i="5"/>
  <c r="AB1391" i="2"/>
  <c r="AA1391" i="2"/>
  <c r="X1391" i="2"/>
  <c r="Y1391" i="2" s="1"/>
  <c r="AF1392" i="2"/>
  <c r="AB1392" i="2"/>
  <c r="AA1392" i="2"/>
  <c r="X1392" i="2"/>
  <c r="Y1392" i="2" s="1"/>
  <c r="H255" i="6"/>
  <c r="AF1393" i="2"/>
  <c r="AB1393" i="2"/>
  <c r="AA1393" i="2"/>
  <c r="X1393" i="2"/>
  <c r="Y1393" i="2" s="1"/>
  <c r="AB1394" i="2"/>
  <c r="AA1394" i="2"/>
  <c r="X1394" i="2"/>
  <c r="Y1394" i="2" s="1"/>
  <c r="AF1395" i="2"/>
  <c r="AB1395" i="2"/>
  <c r="AA1395" i="2"/>
  <c r="X1395" i="2"/>
  <c r="Y1395" i="2" s="1"/>
  <c r="G15" i="5"/>
  <c r="AB1396" i="2"/>
  <c r="AA1396" i="2"/>
  <c r="X1396" i="2"/>
  <c r="Y1396" i="2" s="1"/>
  <c r="H256" i="6"/>
  <c r="K106" i="3"/>
  <c r="L106" i="3" s="1"/>
  <c r="AF1397" i="2"/>
  <c r="AB1397" i="2"/>
  <c r="AA1397" i="2"/>
  <c r="X1397" i="2"/>
  <c r="Y1397" i="2" s="1"/>
  <c r="H257" i="6"/>
  <c r="AB1398" i="2"/>
  <c r="AA1398" i="2"/>
  <c r="X1398" i="2"/>
  <c r="Y1398" i="2" s="1"/>
  <c r="AB1399" i="2"/>
  <c r="AA1399" i="2"/>
  <c r="X1399" i="2"/>
  <c r="Y1399" i="2" s="1"/>
  <c r="G19" i="5"/>
  <c r="AF1400" i="2"/>
  <c r="AB1400" i="2"/>
  <c r="AA1400" i="2"/>
  <c r="X1400" i="2"/>
  <c r="Y1400" i="2" s="1"/>
  <c r="H258" i="6"/>
  <c r="K13" i="3"/>
  <c r="L13" i="3" s="1"/>
  <c r="AF1401" i="2"/>
  <c r="AB1401" i="2"/>
  <c r="AA1401" i="2"/>
  <c r="X1401" i="2"/>
  <c r="Y1401" i="2" s="1"/>
  <c r="H259" i="6"/>
  <c r="AB1402" i="2"/>
  <c r="AA1402" i="2"/>
  <c r="X1402" i="2"/>
  <c r="Y1402" i="2" s="1"/>
  <c r="AB1403" i="2"/>
  <c r="AA1403" i="2"/>
  <c r="X1403" i="2"/>
  <c r="Y1403" i="2" s="1"/>
  <c r="G21" i="5"/>
  <c r="AB1404" i="2"/>
  <c r="AA1404" i="2"/>
  <c r="X1404" i="2"/>
  <c r="Y1404" i="2" s="1"/>
  <c r="AF1405" i="2"/>
  <c r="AB1405" i="2"/>
  <c r="AA1405" i="2"/>
  <c r="X1405" i="2"/>
  <c r="Y1405" i="2" s="1"/>
  <c r="AB1406" i="2"/>
  <c r="AA1406" i="2"/>
  <c r="X1406" i="2"/>
  <c r="Y1406" i="2" s="1"/>
  <c r="AB1407" i="2"/>
  <c r="AA1407" i="2"/>
  <c r="X1407" i="2"/>
  <c r="Y1407" i="2" s="1"/>
  <c r="AB1408" i="2"/>
  <c r="AA1408" i="2"/>
  <c r="X1408" i="2"/>
  <c r="Y1408" i="2" s="1"/>
  <c r="G10" i="5"/>
  <c r="AB1409" i="2"/>
  <c r="AA1409" i="2"/>
  <c r="X1409" i="2"/>
  <c r="Y1409" i="2" s="1"/>
  <c r="AB1410" i="2"/>
  <c r="AA1410" i="2"/>
  <c r="X1410" i="2"/>
  <c r="Y1410" i="2" s="1"/>
  <c r="AF1411" i="2"/>
  <c r="AB1411" i="2"/>
  <c r="AA1411" i="2"/>
  <c r="X1411" i="2"/>
  <c r="Y1411" i="2" s="1"/>
  <c r="H260" i="6"/>
  <c r="AB1412" i="2"/>
  <c r="AA1412" i="2"/>
  <c r="X1412" i="2"/>
  <c r="Y1412" i="2" s="1"/>
  <c r="AB1413" i="2"/>
  <c r="AA1413" i="2"/>
  <c r="X1413" i="2"/>
  <c r="Y1413" i="2" s="1"/>
  <c r="AB1414" i="2"/>
  <c r="AA1414" i="2"/>
  <c r="X1414" i="2"/>
  <c r="Y1414" i="2" s="1"/>
  <c r="H261" i="6"/>
  <c r="AB1415" i="2"/>
  <c r="AA1415" i="2"/>
  <c r="X1415" i="2"/>
  <c r="Y1415" i="2" s="1"/>
  <c r="AB1416" i="2"/>
  <c r="AA1416" i="2"/>
  <c r="X1416" i="2"/>
  <c r="Y1416" i="2" s="1"/>
  <c r="AB1417" i="2"/>
  <c r="AA1417" i="2"/>
  <c r="X1417" i="2"/>
  <c r="Y1417" i="2" s="1"/>
  <c r="H262" i="6"/>
  <c r="AF1418" i="2"/>
  <c r="AB1418" i="2"/>
  <c r="AA1418" i="2"/>
  <c r="X1418" i="2"/>
  <c r="Y1418" i="2" s="1"/>
  <c r="AB1419" i="2"/>
  <c r="AA1419" i="2"/>
  <c r="X1419" i="2"/>
  <c r="Y1419" i="2" s="1"/>
  <c r="AB1420" i="2"/>
  <c r="AA1420" i="2"/>
  <c r="X1420" i="2"/>
  <c r="Y1420" i="2" s="1"/>
  <c r="AF1421" i="2"/>
  <c r="AB1421" i="2"/>
  <c r="AA1421" i="2"/>
  <c r="X1421" i="2"/>
  <c r="Y1421" i="2" s="1"/>
  <c r="AF1422" i="2"/>
  <c r="AB1422" i="2"/>
  <c r="AA1422" i="2"/>
  <c r="X1422" i="2"/>
  <c r="Y1422" i="2" s="1"/>
  <c r="H263" i="6"/>
  <c r="AF1423" i="2"/>
  <c r="AB1423" i="2"/>
  <c r="AA1423" i="2"/>
  <c r="X1423" i="2"/>
  <c r="Y1423" i="2" s="1"/>
  <c r="AF1424" i="2"/>
  <c r="AB1424" i="2"/>
  <c r="AA1424" i="2"/>
  <c r="X1424" i="2"/>
  <c r="Y1424" i="2" s="1"/>
  <c r="AB1425" i="2"/>
  <c r="AA1425" i="2"/>
  <c r="X1425" i="2"/>
  <c r="Y1425" i="2" s="1"/>
  <c r="H264" i="6"/>
  <c r="AB1426" i="2"/>
  <c r="AA1426" i="2"/>
  <c r="X1426" i="2"/>
  <c r="Y1426" i="2" s="1"/>
  <c r="AB1427" i="2"/>
  <c r="AA1427" i="2"/>
  <c r="X1427" i="2"/>
  <c r="Y1427" i="2" s="1"/>
  <c r="AF1428" i="2"/>
  <c r="AB1428" i="2"/>
  <c r="AA1428" i="2"/>
  <c r="X1428" i="2"/>
  <c r="Y1428" i="2" s="1"/>
  <c r="AF1429" i="2"/>
  <c r="AB1429" i="2"/>
  <c r="AA1429" i="2"/>
  <c r="X1429" i="2"/>
  <c r="Y1429" i="2" s="1"/>
  <c r="AF1430" i="2"/>
  <c r="AB1430" i="2"/>
  <c r="AA1430" i="2"/>
  <c r="X1430" i="2"/>
  <c r="Y1430" i="2" s="1"/>
  <c r="AB1431" i="2"/>
  <c r="AA1431" i="2"/>
  <c r="X1431" i="2"/>
  <c r="Y1431" i="2" s="1"/>
  <c r="AB1432" i="2"/>
  <c r="AA1432" i="2"/>
  <c r="X1432" i="2"/>
  <c r="Y1432" i="2" s="1"/>
  <c r="AB1433" i="2"/>
  <c r="AA1433" i="2"/>
  <c r="X1433" i="2"/>
  <c r="Y1433" i="2" s="1"/>
  <c r="AF1434" i="2"/>
  <c r="AB1434" i="2"/>
  <c r="AA1434" i="2"/>
  <c r="X1434" i="2"/>
  <c r="Y1434" i="2" s="1"/>
  <c r="AB1435" i="2"/>
  <c r="AA1435" i="2"/>
  <c r="X1435" i="2"/>
  <c r="Y1435" i="2" s="1"/>
  <c r="AF1436" i="2"/>
  <c r="AB1436" i="2"/>
  <c r="AA1436" i="2"/>
  <c r="X1436" i="2"/>
  <c r="Y1436" i="2" s="1"/>
  <c r="AF1437" i="2"/>
  <c r="AB1437" i="2"/>
  <c r="AA1437" i="2"/>
  <c r="X1437" i="2"/>
  <c r="Y1437" i="2" s="1"/>
  <c r="K93" i="3"/>
  <c r="L93" i="3" s="1"/>
  <c r="AB1438" i="2"/>
  <c r="AA1438" i="2"/>
  <c r="X1438" i="2"/>
  <c r="Y1438" i="2" s="1"/>
  <c r="AF1439" i="2"/>
  <c r="AB1439" i="2"/>
  <c r="AA1439" i="2"/>
  <c r="X1439" i="2"/>
  <c r="Y1439" i="2" s="1"/>
  <c r="AF1440" i="2"/>
  <c r="AB1440" i="2"/>
  <c r="AA1440" i="2"/>
  <c r="X1440" i="2"/>
  <c r="Y1440" i="2" s="1"/>
  <c r="AF1441" i="2"/>
  <c r="AB1441" i="2"/>
  <c r="AA1441" i="2"/>
  <c r="X1441" i="2"/>
  <c r="Y1441" i="2" s="1"/>
  <c r="AB1442" i="2"/>
  <c r="AA1442" i="2"/>
  <c r="X1442" i="2"/>
  <c r="Y1442" i="2" s="1"/>
  <c r="AF1443" i="2"/>
  <c r="AB1443" i="2"/>
  <c r="AA1443" i="2"/>
  <c r="X1443" i="2"/>
  <c r="Y1443" i="2" s="1"/>
  <c r="AF1444" i="2"/>
  <c r="AB1444" i="2"/>
  <c r="AA1444" i="2"/>
  <c r="X1444" i="2"/>
  <c r="Y1444" i="2" s="1"/>
  <c r="AB1445" i="2"/>
  <c r="AA1445" i="2"/>
  <c r="X1445" i="2"/>
  <c r="Y1445" i="2" s="1"/>
  <c r="AB1446" i="2"/>
  <c r="AA1446" i="2"/>
  <c r="X1446" i="2"/>
  <c r="Y1446" i="2" s="1"/>
  <c r="AB1447" i="2"/>
  <c r="AA1447" i="2"/>
  <c r="X1447" i="2"/>
  <c r="Y1447" i="2" s="1"/>
  <c r="AF1448" i="2"/>
  <c r="AB1448" i="2"/>
  <c r="AA1448" i="2"/>
  <c r="X1448" i="2"/>
  <c r="Y1448" i="2" s="1"/>
  <c r="AF1449" i="2"/>
  <c r="AB1449" i="2"/>
  <c r="AA1449" i="2"/>
  <c r="X1449" i="2"/>
  <c r="Y1449" i="2" s="1"/>
  <c r="AF1450" i="2"/>
  <c r="AB1450" i="2"/>
  <c r="AA1450" i="2"/>
  <c r="X1450" i="2"/>
  <c r="Y1450" i="2" s="1"/>
  <c r="AB1451" i="2"/>
  <c r="AA1451" i="2"/>
  <c r="X1451" i="2"/>
  <c r="Y1451" i="2" s="1"/>
  <c r="H265" i="6"/>
  <c r="AB1452" i="2"/>
  <c r="AA1452" i="2"/>
  <c r="X1452" i="2"/>
  <c r="Y1452" i="2" s="1"/>
  <c r="AB1453" i="2"/>
  <c r="AA1453" i="2"/>
  <c r="X1453" i="2"/>
  <c r="Y1453" i="2" s="1"/>
  <c r="K110" i="3"/>
  <c r="L110" i="3" s="1"/>
  <c r="AB1454" i="2"/>
  <c r="AA1454" i="2"/>
  <c r="X1454" i="2"/>
  <c r="Y1454" i="2" s="1"/>
  <c r="AB1455" i="2"/>
  <c r="AA1455" i="2"/>
  <c r="X1455" i="2"/>
  <c r="Y1455" i="2" s="1"/>
  <c r="AF1456" i="2"/>
  <c r="AB1456" i="2"/>
  <c r="AA1456" i="2"/>
  <c r="X1456" i="2"/>
  <c r="Y1456" i="2" s="1"/>
  <c r="AB1457" i="2"/>
  <c r="AA1457" i="2"/>
  <c r="X1457" i="2"/>
  <c r="Y1457" i="2" s="1"/>
  <c r="AB1458" i="2"/>
  <c r="AA1458" i="2"/>
  <c r="X1458" i="2"/>
  <c r="Y1458" i="2" s="1"/>
  <c r="AB1459" i="2"/>
  <c r="AA1459" i="2"/>
  <c r="X1459" i="2"/>
  <c r="Y1459" i="2" s="1"/>
  <c r="AF1460" i="2"/>
  <c r="AB1460" i="2"/>
  <c r="AA1460" i="2"/>
  <c r="X1460" i="2"/>
  <c r="Y1460" i="2" s="1"/>
  <c r="AB1461" i="2"/>
  <c r="AA1461" i="2"/>
  <c r="X1461" i="2"/>
  <c r="Y1461" i="2" s="1"/>
  <c r="AB1462" i="2"/>
  <c r="AA1462" i="2"/>
  <c r="X1462" i="2"/>
  <c r="Y1462" i="2" s="1"/>
  <c r="AF1463" i="2"/>
  <c r="AB1463" i="2"/>
  <c r="AA1463" i="2"/>
  <c r="X1463" i="2"/>
  <c r="Y1463" i="2" s="1"/>
  <c r="AF1464" i="2"/>
  <c r="AB1464" i="2"/>
  <c r="AA1464" i="2"/>
  <c r="X1464" i="2"/>
  <c r="Y1464" i="2" s="1"/>
  <c r="AF1465" i="2"/>
  <c r="AB1465" i="2"/>
  <c r="AA1465" i="2"/>
  <c r="X1465" i="2"/>
  <c r="Y1465" i="2" s="1"/>
  <c r="H266" i="6"/>
  <c r="AF1466" i="2"/>
  <c r="AB1466" i="2"/>
  <c r="AA1466" i="2"/>
  <c r="X1466" i="2"/>
  <c r="Y1466" i="2" s="1"/>
  <c r="H267" i="6"/>
  <c r="G22" i="5"/>
  <c r="AF1467" i="2"/>
  <c r="AB1467" i="2"/>
  <c r="AA1467" i="2"/>
  <c r="X1467" i="2"/>
  <c r="Y1467" i="2" s="1"/>
  <c r="H268" i="6"/>
  <c r="AB1468" i="2"/>
  <c r="AA1468" i="2"/>
  <c r="X1468" i="2"/>
  <c r="Y1468" i="2" s="1"/>
  <c r="AF1469" i="2"/>
  <c r="AB1469" i="2"/>
  <c r="AA1469" i="2"/>
  <c r="X1469" i="2"/>
  <c r="Y1469" i="2" s="1"/>
  <c r="AB1470" i="2"/>
  <c r="AA1470" i="2"/>
  <c r="X1470" i="2"/>
  <c r="Y1470" i="2" s="1"/>
  <c r="AF1471" i="2"/>
  <c r="AB1471" i="2"/>
  <c r="AA1471" i="2"/>
  <c r="X1471" i="2"/>
  <c r="Y1471" i="2" s="1"/>
  <c r="AF1472" i="2"/>
  <c r="AB1472" i="2"/>
  <c r="AA1472" i="2"/>
  <c r="X1472" i="2"/>
  <c r="Y1472" i="2" s="1"/>
  <c r="AB1473" i="2"/>
  <c r="AA1473" i="2"/>
  <c r="X1473" i="2"/>
  <c r="Y1473" i="2" s="1"/>
  <c r="AF1474" i="2"/>
  <c r="AB1474" i="2"/>
  <c r="AA1474" i="2"/>
  <c r="X1474" i="2"/>
  <c r="Y1474" i="2" s="1"/>
  <c r="AB1475" i="2"/>
  <c r="AA1475" i="2"/>
  <c r="X1475" i="2"/>
  <c r="Y1475" i="2" s="1"/>
  <c r="AB1476" i="2"/>
  <c r="AA1476" i="2"/>
  <c r="X1476" i="2"/>
  <c r="Y1476" i="2" s="1"/>
  <c r="AB1477" i="2"/>
  <c r="AA1477" i="2"/>
  <c r="X1477" i="2"/>
  <c r="Y1477" i="2" s="1"/>
  <c r="AB1478" i="2"/>
  <c r="AA1478" i="2"/>
  <c r="X1478" i="2"/>
  <c r="Y1478" i="2" s="1"/>
  <c r="AF1479" i="2"/>
  <c r="AB1479" i="2"/>
  <c r="AA1479" i="2"/>
  <c r="X1479" i="2"/>
  <c r="Y1479" i="2" s="1"/>
  <c r="AF1480" i="2"/>
  <c r="AB1480" i="2"/>
  <c r="AA1480" i="2"/>
  <c r="X1480" i="2"/>
  <c r="Y1480" i="2" s="1"/>
  <c r="H269" i="6"/>
  <c r="AB1481" i="2"/>
  <c r="AA1481" i="2"/>
  <c r="X1481" i="2"/>
  <c r="Y1481" i="2" s="1"/>
  <c r="AB1482" i="2"/>
  <c r="AA1482" i="2"/>
  <c r="X1482" i="2"/>
  <c r="Y1482" i="2" s="1"/>
  <c r="AF1483" i="2"/>
  <c r="AB1483" i="2"/>
  <c r="AA1483" i="2"/>
  <c r="X1483" i="2"/>
  <c r="Y1483" i="2" s="1"/>
  <c r="AB1484" i="2"/>
  <c r="AA1484" i="2"/>
  <c r="X1484" i="2"/>
  <c r="Y1484" i="2" s="1"/>
  <c r="AF1485" i="2"/>
  <c r="AB1485" i="2"/>
  <c r="AA1485" i="2"/>
  <c r="X1485" i="2"/>
  <c r="Y1485" i="2" s="1"/>
  <c r="AF1486" i="2"/>
  <c r="AB1486" i="2"/>
  <c r="AA1486" i="2"/>
  <c r="X1486" i="2"/>
  <c r="Y1486" i="2" s="1"/>
  <c r="AF1487" i="2"/>
  <c r="AB1487" i="2"/>
  <c r="AA1487" i="2"/>
  <c r="X1487" i="2"/>
  <c r="Y1487" i="2" s="1"/>
  <c r="AF1488" i="2"/>
  <c r="AB1488" i="2"/>
  <c r="AA1488" i="2"/>
  <c r="X1488" i="2"/>
  <c r="Y1488" i="2" s="1"/>
  <c r="AB1489" i="2"/>
  <c r="AA1489" i="2"/>
  <c r="X1489" i="2"/>
  <c r="Y1489" i="2" s="1"/>
  <c r="AF1490" i="2"/>
  <c r="AB1490" i="2"/>
  <c r="AA1490" i="2"/>
  <c r="X1490" i="2"/>
  <c r="Y1490" i="2" s="1"/>
  <c r="K132" i="3"/>
  <c r="L132" i="3" s="1"/>
  <c r="AB1491" i="2"/>
  <c r="AA1491" i="2"/>
  <c r="X1491" i="2"/>
  <c r="Y1491" i="2" s="1"/>
  <c r="G17" i="5"/>
  <c r="AB1492" i="2"/>
  <c r="AA1492" i="2"/>
  <c r="X1492" i="2"/>
  <c r="Y1492" i="2" s="1"/>
  <c r="AB1493" i="2"/>
  <c r="AA1493" i="2"/>
  <c r="X1493" i="2"/>
  <c r="Y1493" i="2" s="1"/>
  <c r="AB1494" i="2"/>
  <c r="AA1494" i="2"/>
  <c r="X1494" i="2"/>
  <c r="Y1494" i="2" s="1"/>
  <c r="AF1495" i="2"/>
  <c r="AB1495" i="2"/>
  <c r="AA1495" i="2"/>
  <c r="X1495" i="2"/>
  <c r="Y1495" i="2" s="1"/>
  <c r="AB1496" i="2"/>
  <c r="AA1496" i="2"/>
  <c r="X1496" i="2"/>
  <c r="Y1496" i="2" s="1"/>
  <c r="AB1497" i="2"/>
  <c r="AA1497" i="2"/>
  <c r="X1497" i="2"/>
  <c r="Y1497" i="2" s="1"/>
  <c r="AF1498" i="2"/>
  <c r="AB1498" i="2"/>
  <c r="AA1498" i="2"/>
  <c r="X1498" i="2"/>
  <c r="Y1498" i="2" s="1"/>
  <c r="AB1499" i="2"/>
  <c r="AA1499" i="2"/>
  <c r="X1499" i="2"/>
  <c r="Y1499" i="2" s="1"/>
  <c r="AB1500" i="2"/>
  <c r="AA1500" i="2"/>
  <c r="X1500" i="2"/>
  <c r="Y1500" i="2" s="1"/>
  <c r="H270" i="6"/>
  <c r="AB1501" i="2"/>
  <c r="AA1501" i="2"/>
  <c r="X1501" i="2"/>
  <c r="Y1501" i="2" s="1"/>
  <c r="AF1502" i="2"/>
  <c r="AB1502" i="2"/>
  <c r="AA1502" i="2"/>
  <c r="X1502" i="2"/>
  <c r="Y1502" i="2" s="1"/>
  <c r="AB1503" i="2"/>
  <c r="AA1503" i="2"/>
  <c r="X1503" i="2"/>
  <c r="Y1503" i="2" s="1"/>
  <c r="AB1504" i="2"/>
  <c r="AA1504" i="2"/>
  <c r="X1504" i="2"/>
  <c r="Y1504" i="2" s="1"/>
  <c r="AF1505" i="2"/>
  <c r="AB1505" i="2"/>
  <c r="AA1505" i="2"/>
  <c r="X1505" i="2"/>
  <c r="Y1505" i="2" s="1"/>
  <c r="H271" i="6"/>
  <c r="AB1506" i="2"/>
  <c r="AA1506" i="2"/>
  <c r="X1506" i="2"/>
  <c r="Y1506" i="2" s="1"/>
  <c r="H272" i="6"/>
  <c r="AB1507" i="2"/>
  <c r="AA1507" i="2"/>
  <c r="X1507" i="2"/>
  <c r="Y1507" i="2" s="1"/>
  <c r="AF1508" i="2"/>
  <c r="AB1508" i="2"/>
  <c r="AA1508" i="2"/>
  <c r="X1508" i="2"/>
  <c r="Y1508" i="2" s="1"/>
  <c r="AB1509" i="2"/>
  <c r="AA1509" i="2"/>
  <c r="X1509" i="2"/>
  <c r="Y1509" i="2" s="1"/>
  <c r="AF1510" i="2"/>
  <c r="AB1510" i="2"/>
  <c r="AA1510" i="2"/>
  <c r="X1510" i="2"/>
  <c r="Y1510" i="2" s="1"/>
  <c r="AF1511" i="2"/>
  <c r="AB1511" i="2"/>
  <c r="AA1511" i="2"/>
  <c r="X1511" i="2"/>
  <c r="Y1511" i="2" s="1"/>
  <c r="H273" i="6"/>
  <c r="AB1512" i="2"/>
  <c r="AA1512" i="2"/>
  <c r="X1512" i="2"/>
  <c r="Y1512" i="2" s="1"/>
  <c r="AB1513" i="2"/>
  <c r="AA1513" i="2"/>
  <c r="X1513" i="2"/>
  <c r="Y1513" i="2" s="1"/>
  <c r="H274" i="6"/>
  <c r="AF1514" i="2"/>
  <c r="AB1514" i="2"/>
  <c r="AA1514" i="2"/>
  <c r="X1514" i="2"/>
  <c r="Y1514" i="2" s="1"/>
  <c r="AF1515" i="2"/>
  <c r="AB1515" i="2"/>
  <c r="AA1515" i="2"/>
  <c r="X1515" i="2"/>
  <c r="Y1515" i="2" s="1"/>
  <c r="H275" i="6"/>
  <c r="AF1516" i="2"/>
  <c r="AB1516" i="2"/>
  <c r="AA1516" i="2"/>
  <c r="X1516" i="2"/>
  <c r="Y1516" i="2" s="1"/>
  <c r="H276" i="6"/>
  <c r="AB1517" i="2"/>
  <c r="AA1517" i="2"/>
  <c r="X1517" i="2"/>
  <c r="Y1517" i="2" s="1"/>
  <c r="AB1518" i="2"/>
  <c r="AA1518" i="2"/>
  <c r="X1518" i="2"/>
  <c r="Y1518" i="2" s="1"/>
  <c r="AB1519" i="2"/>
  <c r="AA1519" i="2"/>
  <c r="X1519" i="2"/>
  <c r="Y1519" i="2" s="1"/>
  <c r="H277" i="6"/>
  <c r="AB1520" i="2"/>
  <c r="AA1520" i="2"/>
  <c r="X1520" i="2"/>
  <c r="Y1520" i="2" s="1"/>
  <c r="H278" i="6"/>
  <c r="AB1521" i="2"/>
  <c r="AA1521" i="2"/>
  <c r="X1521" i="2"/>
  <c r="Y1521" i="2" s="1"/>
  <c r="AB1522" i="2"/>
  <c r="AA1522" i="2"/>
  <c r="X1522" i="2"/>
  <c r="Y1522" i="2" s="1"/>
  <c r="H279" i="6"/>
  <c r="AB1523" i="2"/>
  <c r="AA1523" i="2"/>
  <c r="X1523" i="2"/>
  <c r="Y1523" i="2" s="1"/>
  <c r="AF1524" i="2"/>
  <c r="AB1524" i="2"/>
  <c r="AA1524" i="2"/>
  <c r="X1524" i="2"/>
  <c r="Y1524" i="2" s="1"/>
  <c r="AB1525" i="2"/>
  <c r="AA1525" i="2"/>
  <c r="X1525" i="2"/>
  <c r="Y1525" i="2" s="1"/>
  <c r="AF1526" i="2"/>
  <c r="AB1526" i="2"/>
  <c r="AA1526" i="2"/>
  <c r="X1526" i="2"/>
  <c r="Y1526" i="2" s="1"/>
  <c r="AB1527" i="2"/>
  <c r="AA1527" i="2"/>
  <c r="X1527" i="2"/>
  <c r="Y1527" i="2" s="1"/>
  <c r="K36" i="3"/>
  <c r="L36" i="3" s="1"/>
  <c r="AB1528" i="2"/>
  <c r="AA1528" i="2"/>
  <c r="X1528" i="2"/>
  <c r="Y1528" i="2" s="1"/>
  <c r="AF1529" i="2"/>
  <c r="AB1529" i="2"/>
  <c r="AA1529" i="2"/>
  <c r="X1529" i="2"/>
  <c r="Y1529" i="2" s="1"/>
  <c r="AF1530" i="2"/>
  <c r="AB1530" i="2"/>
  <c r="AA1530" i="2"/>
  <c r="X1530" i="2"/>
  <c r="Y1530" i="2" s="1"/>
  <c r="AB1531" i="2"/>
  <c r="AA1531" i="2"/>
  <c r="X1531" i="2"/>
  <c r="Y1531" i="2" s="1"/>
  <c r="AF1532" i="2"/>
  <c r="AB1532" i="2"/>
  <c r="AA1532" i="2"/>
  <c r="X1532" i="2"/>
  <c r="Y1532" i="2" s="1"/>
  <c r="AB1533" i="2"/>
  <c r="AA1533" i="2"/>
  <c r="X1533" i="2"/>
  <c r="Y1533" i="2" s="1"/>
  <c r="AB1534" i="2"/>
  <c r="AA1534" i="2"/>
  <c r="X1534" i="2"/>
  <c r="Y1534" i="2" s="1"/>
  <c r="AB1535" i="2"/>
  <c r="AA1535" i="2"/>
  <c r="X1535" i="2"/>
  <c r="Y1535" i="2" s="1"/>
  <c r="AB1536" i="2"/>
  <c r="AA1536" i="2"/>
  <c r="X1536" i="2"/>
  <c r="Y1536" i="2" s="1"/>
  <c r="AB1537" i="2"/>
  <c r="AA1537" i="2"/>
  <c r="X1537" i="2"/>
  <c r="Y1537" i="2" s="1"/>
  <c r="AB1538" i="2"/>
  <c r="AA1538" i="2"/>
  <c r="X1538" i="2"/>
  <c r="Y1538" i="2" s="1"/>
  <c r="AB1539" i="2"/>
  <c r="AA1539" i="2"/>
  <c r="X1539" i="2"/>
  <c r="Y1539" i="2" s="1"/>
  <c r="AF1540" i="2"/>
  <c r="AB1540" i="2"/>
  <c r="AA1540" i="2"/>
  <c r="X1540" i="2"/>
  <c r="Y1540" i="2" s="1"/>
  <c r="AF1541" i="2"/>
  <c r="AB1541" i="2"/>
  <c r="AA1541" i="2"/>
  <c r="X1541" i="2"/>
  <c r="Y1541" i="2" s="1"/>
  <c r="H280" i="6"/>
  <c r="K116" i="3"/>
  <c r="L116" i="3" s="1"/>
  <c r="AB1542" i="2"/>
  <c r="AA1542" i="2"/>
  <c r="X1542" i="2"/>
  <c r="Y1542" i="2" s="1"/>
  <c r="AF1543" i="2"/>
  <c r="AB1543" i="2"/>
  <c r="AA1543" i="2"/>
  <c r="X1543" i="2"/>
  <c r="Y1543" i="2" s="1"/>
  <c r="AB1544" i="2"/>
  <c r="AA1544" i="2"/>
  <c r="X1544" i="2"/>
  <c r="Y1544" i="2" s="1"/>
  <c r="AB1545" i="2"/>
  <c r="AA1545" i="2"/>
  <c r="X1545" i="2"/>
  <c r="Y1545" i="2" s="1"/>
  <c r="AB1546" i="2"/>
  <c r="AA1546" i="2"/>
  <c r="X1546" i="2"/>
  <c r="Y1546" i="2" s="1"/>
  <c r="H9" i="5"/>
  <c r="AF1547" i="2"/>
  <c r="AB1547" i="2"/>
  <c r="AA1547" i="2"/>
  <c r="X1547" i="2"/>
  <c r="Y1547" i="2" s="1"/>
  <c r="H8" i="5"/>
  <c r="AF1548" i="2"/>
  <c r="AB1548" i="2"/>
  <c r="AA1548" i="2"/>
  <c r="X1548" i="2"/>
  <c r="Y1548" i="2" s="1"/>
  <c r="H13" i="5"/>
  <c r="AB1549" i="2"/>
  <c r="AA1549" i="2"/>
  <c r="X1549" i="2"/>
  <c r="Y1549" i="2" s="1"/>
  <c r="H6" i="5"/>
  <c r="AF1550" i="2"/>
  <c r="AB1550" i="2"/>
  <c r="AA1550" i="2"/>
  <c r="X1550" i="2"/>
  <c r="Y1550" i="2" s="1"/>
  <c r="H18" i="5"/>
  <c r="AF1551" i="2"/>
  <c r="AB1551" i="2"/>
  <c r="AA1551" i="2"/>
  <c r="X1551" i="2"/>
  <c r="Y1551" i="2" s="1"/>
  <c r="AF1552" i="2"/>
  <c r="AB1552" i="2"/>
  <c r="AA1552" i="2"/>
  <c r="X1552" i="2"/>
  <c r="Y1552" i="2" s="1"/>
  <c r="AF1553" i="2"/>
  <c r="AB1553" i="2"/>
  <c r="AA1553" i="2"/>
  <c r="X1553" i="2"/>
  <c r="Y1553" i="2" s="1"/>
  <c r="H7" i="5"/>
  <c r="AB1554" i="2"/>
  <c r="AA1554" i="2"/>
  <c r="X1554" i="2"/>
  <c r="Y1554" i="2" s="1"/>
  <c r="AF1555" i="2"/>
  <c r="AB1555" i="2"/>
  <c r="AA1555" i="2"/>
  <c r="X1555" i="2"/>
  <c r="Y1555" i="2" s="1"/>
  <c r="AB1556" i="2"/>
  <c r="AA1556" i="2"/>
  <c r="X1556" i="2"/>
  <c r="Y1556" i="2" s="1"/>
  <c r="H14" i="5"/>
  <c r="AB1557" i="2"/>
  <c r="AA1557" i="2"/>
  <c r="X1557" i="2"/>
  <c r="Y1557" i="2" s="1"/>
  <c r="AF1558" i="2"/>
  <c r="AB1558" i="2"/>
  <c r="AA1558" i="2"/>
  <c r="X1558" i="2"/>
  <c r="Y1558" i="2" s="1"/>
  <c r="AB1559" i="2"/>
  <c r="AA1559" i="2"/>
  <c r="X1559" i="2"/>
  <c r="Y1559" i="2" s="1"/>
  <c r="AF1560" i="2"/>
  <c r="AB1560" i="2"/>
  <c r="AA1560" i="2"/>
  <c r="X1560" i="2"/>
  <c r="Y1560" i="2" s="1"/>
  <c r="H11" i="5"/>
  <c r="AB1561" i="2"/>
  <c r="AA1561" i="2"/>
  <c r="X1561" i="2"/>
  <c r="Y1561" i="2" s="1"/>
  <c r="H281" i="6"/>
  <c r="AB1562" i="2"/>
  <c r="AA1562" i="2"/>
  <c r="X1562" i="2"/>
  <c r="Y1562" i="2" s="1"/>
  <c r="H282" i="6"/>
  <c r="AB1563" i="2"/>
  <c r="AA1563" i="2"/>
  <c r="X1563" i="2"/>
  <c r="Y1563" i="2" s="1"/>
  <c r="H283" i="6"/>
  <c r="AB1564" i="2"/>
  <c r="AA1564" i="2"/>
  <c r="X1564" i="2"/>
  <c r="Y1564" i="2" s="1"/>
  <c r="H284" i="6"/>
  <c r="AB1565" i="2"/>
  <c r="AA1565" i="2"/>
  <c r="X1565" i="2"/>
  <c r="Y1565" i="2" s="1"/>
  <c r="AB1566" i="2"/>
  <c r="AA1566" i="2"/>
  <c r="X1566" i="2"/>
  <c r="Y1566" i="2" s="1"/>
  <c r="AB1567" i="2"/>
  <c r="AA1567" i="2"/>
  <c r="X1567" i="2"/>
  <c r="Y1567" i="2" s="1"/>
  <c r="AB1568" i="2"/>
  <c r="AA1568" i="2"/>
  <c r="X1568" i="2"/>
  <c r="Y1568" i="2" s="1"/>
  <c r="H10" i="5"/>
  <c r="AF1569" i="2"/>
  <c r="AB1569" i="2"/>
  <c r="AA1569" i="2"/>
  <c r="X1569" i="2"/>
  <c r="Y1569" i="2" s="1"/>
  <c r="AB1570" i="2"/>
  <c r="AA1570" i="2"/>
  <c r="X1570" i="2"/>
  <c r="Y1570" i="2" s="1"/>
  <c r="H285" i="6"/>
  <c r="AB1571" i="2"/>
  <c r="AA1571" i="2"/>
  <c r="X1571" i="2"/>
  <c r="Y1571" i="2" s="1"/>
  <c r="AB1572" i="2"/>
  <c r="AA1572" i="2"/>
  <c r="X1572" i="2"/>
  <c r="Y1572" i="2" s="1"/>
  <c r="AF1573" i="2"/>
  <c r="AB1573" i="2"/>
  <c r="AA1573" i="2"/>
  <c r="X1573" i="2"/>
  <c r="Y1573" i="2" s="1"/>
  <c r="AB1574" i="2"/>
  <c r="AA1574" i="2"/>
  <c r="X1574" i="2"/>
  <c r="Y1574" i="2" s="1"/>
  <c r="AF1575" i="2"/>
  <c r="AB1575" i="2"/>
  <c r="AA1575" i="2"/>
  <c r="X1575" i="2"/>
  <c r="Y1575" i="2" s="1"/>
  <c r="AB1576" i="2"/>
  <c r="AA1576" i="2"/>
  <c r="X1576" i="2"/>
  <c r="Y1576" i="2" s="1"/>
  <c r="AF1577" i="2"/>
  <c r="AB1577" i="2"/>
  <c r="AA1577" i="2"/>
  <c r="X1577" i="2"/>
  <c r="Y1577" i="2" s="1"/>
  <c r="H5" i="5"/>
  <c r="K6" i="3"/>
  <c r="L6" i="3" s="1"/>
  <c r="AB1578" i="2"/>
  <c r="AA1578" i="2"/>
  <c r="X1578" i="2"/>
  <c r="Y1578" i="2" s="1"/>
  <c r="H16" i="5"/>
  <c r="AB1579" i="2"/>
  <c r="AA1579" i="2"/>
  <c r="X1579" i="2"/>
  <c r="Y1579" i="2" s="1"/>
  <c r="AF1580" i="2"/>
  <c r="AB1580" i="2"/>
  <c r="AA1580" i="2"/>
  <c r="X1580" i="2"/>
  <c r="Y1580" i="2" s="1"/>
  <c r="H286" i="6"/>
  <c r="AB1581" i="2"/>
  <c r="AA1581" i="2"/>
  <c r="X1581" i="2"/>
  <c r="Y1581" i="2" s="1"/>
  <c r="AB1582" i="2"/>
  <c r="AA1582" i="2"/>
  <c r="X1582" i="2"/>
  <c r="Y1582" i="2" s="1"/>
  <c r="AF1583" i="2"/>
  <c r="AB1583" i="2"/>
  <c r="AA1583" i="2"/>
  <c r="X1583" i="2"/>
  <c r="Y1583" i="2" s="1"/>
  <c r="AB1584" i="2"/>
  <c r="AA1584" i="2"/>
  <c r="X1584" i="2"/>
  <c r="Y1584" i="2" s="1"/>
  <c r="H287" i="6"/>
  <c r="K75" i="3"/>
  <c r="L75" i="3" s="1"/>
  <c r="AB1585" i="2"/>
  <c r="AA1585" i="2"/>
  <c r="X1585" i="2"/>
  <c r="Y1585" i="2" s="1"/>
  <c r="H288" i="6"/>
  <c r="AB1586" i="2"/>
  <c r="AA1586" i="2"/>
  <c r="X1586" i="2"/>
  <c r="Y1586" i="2" s="1"/>
  <c r="AB1587" i="2"/>
  <c r="AA1587" i="2"/>
  <c r="X1587" i="2"/>
  <c r="Y1587" i="2" s="1"/>
  <c r="AB1588" i="2"/>
  <c r="AA1588" i="2"/>
  <c r="X1588" i="2"/>
  <c r="Y1588" i="2" s="1"/>
  <c r="H19" i="5"/>
  <c r="AF1589" i="2"/>
  <c r="AB1589" i="2"/>
  <c r="AA1589" i="2"/>
  <c r="X1589" i="2"/>
  <c r="Y1589" i="2" s="1"/>
  <c r="AF1590" i="2"/>
  <c r="AB1590" i="2"/>
  <c r="AA1590" i="2"/>
  <c r="X1590" i="2"/>
  <c r="Y1590" i="2" s="1"/>
  <c r="H289" i="6"/>
  <c r="AB1591" i="2"/>
  <c r="AA1591" i="2"/>
  <c r="X1591" i="2"/>
  <c r="Y1591" i="2" s="1"/>
  <c r="AB1592" i="2"/>
  <c r="AA1592" i="2"/>
  <c r="X1592" i="2"/>
  <c r="Y1592" i="2" s="1"/>
  <c r="AF1593" i="2"/>
  <c r="AB1593" i="2"/>
  <c r="AA1593" i="2"/>
  <c r="X1593" i="2"/>
  <c r="Y1593" i="2" s="1"/>
  <c r="H290" i="6"/>
  <c r="AB1594" i="2"/>
  <c r="AA1594" i="2"/>
  <c r="X1594" i="2"/>
  <c r="Y1594" i="2" s="1"/>
  <c r="AB1595" i="2"/>
  <c r="AA1595" i="2"/>
  <c r="X1595" i="2"/>
  <c r="Y1595" i="2" s="1"/>
  <c r="AB1596" i="2"/>
  <c r="AA1596" i="2"/>
  <c r="X1596" i="2"/>
  <c r="Y1596" i="2" s="1"/>
  <c r="K39" i="3"/>
  <c r="L39" i="3" s="1"/>
  <c r="AB1597" i="2"/>
  <c r="AA1597" i="2"/>
  <c r="X1597" i="2"/>
  <c r="Y1597" i="2" s="1"/>
  <c r="AB1598" i="2"/>
  <c r="AA1598" i="2"/>
  <c r="X1598" i="2"/>
  <c r="Y1598" i="2" s="1"/>
  <c r="AB1599" i="2"/>
  <c r="AA1599" i="2"/>
  <c r="X1599" i="2"/>
  <c r="Y1599" i="2" s="1"/>
  <c r="AF1600" i="2"/>
  <c r="AB1600" i="2"/>
  <c r="AA1600" i="2"/>
  <c r="X1600" i="2"/>
  <c r="Y1600" i="2" s="1"/>
  <c r="AF1601" i="2"/>
  <c r="AB1601" i="2"/>
  <c r="AA1601" i="2"/>
  <c r="X1601" i="2"/>
  <c r="Y1601" i="2" s="1"/>
  <c r="AB1602" i="2"/>
  <c r="AA1602" i="2"/>
  <c r="X1602" i="2"/>
  <c r="Y1602" i="2" s="1"/>
  <c r="AB1603" i="2"/>
  <c r="AA1603" i="2"/>
  <c r="X1603" i="2"/>
  <c r="Y1603" i="2" s="1"/>
  <c r="AF1604" i="2"/>
  <c r="AB1604" i="2"/>
  <c r="AA1604" i="2"/>
  <c r="X1604" i="2"/>
  <c r="Y1604" i="2" s="1"/>
  <c r="AF1605" i="2"/>
  <c r="AB1605" i="2"/>
  <c r="AA1605" i="2"/>
  <c r="X1605" i="2"/>
  <c r="Y1605" i="2" s="1"/>
  <c r="H291" i="6"/>
  <c r="AB1606" i="2"/>
  <c r="AA1606" i="2"/>
  <c r="X1606" i="2"/>
  <c r="Y1606" i="2" s="1"/>
  <c r="AF1607" i="2"/>
  <c r="AB1607" i="2"/>
  <c r="AA1607" i="2"/>
  <c r="X1607" i="2"/>
  <c r="Y1607" i="2" s="1"/>
  <c r="AB1608" i="2"/>
  <c r="AA1608" i="2"/>
  <c r="X1608" i="2"/>
  <c r="Y1608" i="2" s="1"/>
  <c r="H292" i="6"/>
  <c r="AF1609" i="2"/>
  <c r="AB1609" i="2"/>
  <c r="AA1609" i="2"/>
  <c r="X1609" i="2"/>
  <c r="Y1609" i="2" s="1"/>
  <c r="AB1610" i="2"/>
  <c r="AA1610" i="2"/>
  <c r="X1610" i="2"/>
  <c r="Y1610" i="2" s="1"/>
  <c r="H293" i="6"/>
  <c r="AB1611" i="2"/>
  <c r="AA1611" i="2"/>
  <c r="X1611" i="2"/>
  <c r="Y1611" i="2" s="1"/>
  <c r="AB1612" i="2"/>
  <c r="AA1612" i="2"/>
  <c r="X1612" i="2"/>
  <c r="Y1612" i="2" s="1"/>
  <c r="AB1613" i="2"/>
  <c r="AA1613" i="2"/>
  <c r="X1613" i="2"/>
  <c r="Y1613" i="2" s="1"/>
  <c r="K46" i="3"/>
  <c r="L46" i="3" s="1"/>
  <c r="AF1614" i="2"/>
  <c r="AB1614" i="2"/>
  <c r="AA1614" i="2"/>
  <c r="X1614" i="2"/>
  <c r="Y1614" i="2" s="1"/>
  <c r="H17" i="5"/>
  <c r="AF1615" i="2"/>
  <c r="AB1615" i="2"/>
  <c r="AA1615" i="2"/>
  <c r="X1615" i="2"/>
  <c r="Y1615" i="2" s="1"/>
  <c r="AB1616" i="2"/>
  <c r="AA1616" i="2"/>
  <c r="X1616" i="2"/>
  <c r="Y1616" i="2" s="1"/>
  <c r="AF1617" i="2"/>
  <c r="AB1617" i="2"/>
  <c r="AA1617" i="2"/>
  <c r="X1617" i="2"/>
  <c r="Y1617" i="2" s="1"/>
  <c r="AF1618" i="2"/>
  <c r="AB1618" i="2"/>
  <c r="AA1618" i="2"/>
  <c r="X1618" i="2"/>
  <c r="Y1618" i="2" s="1"/>
  <c r="AF1619" i="2"/>
  <c r="AB1619" i="2"/>
  <c r="AA1619" i="2"/>
  <c r="X1619" i="2"/>
  <c r="Y1619" i="2" s="1"/>
  <c r="AF1620" i="2"/>
  <c r="AB1620" i="2"/>
  <c r="AA1620" i="2"/>
  <c r="X1620" i="2"/>
  <c r="Y1620" i="2" s="1"/>
  <c r="AB1621" i="2"/>
  <c r="AA1621" i="2"/>
  <c r="X1621" i="2"/>
  <c r="Y1621" i="2" s="1"/>
  <c r="AF1622" i="2"/>
  <c r="AB1622" i="2"/>
  <c r="AA1622" i="2"/>
  <c r="X1622" i="2"/>
  <c r="Y1622" i="2" s="1"/>
  <c r="AB1623" i="2"/>
  <c r="AA1623" i="2"/>
  <c r="X1623" i="2"/>
  <c r="Y1623" i="2" s="1"/>
  <c r="AB1624" i="2"/>
  <c r="AA1624" i="2"/>
  <c r="X1624" i="2"/>
  <c r="Y1624" i="2" s="1"/>
  <c r="H294" i="6"/>
  <c r="AB1625" i="2"/>
  <c r="AA1625" i="2"/>
  <c r="X1625" i="2"/>
  <c r="Y1625" i="2" s="1"/>
  <c r="H295" i="6"/>
  <c r="AB1626" i="2"/>
  <c r="AA1626" i="2"/>
  <c r="X1626" i="2"/>
  <c r="Y1626" i="2" s="1"/>
  <c r="AF1627" i="2"/>
  <c r="AB1627" i="2"/>
  <c r="AA1627" i="2"/>
  <c r="X1627" i="2"/>
  <c r="Y1627" i="2" s="1"/>
  <c r="H296" i="6"/>
  <c r="AF1628" i="2"/>
  <c r="AB1628" i="2"/>
  <c r="AA1628" i="2"/>
  <c r="X1628" i="2"/>
  <c r="Y1628" i="2" s="1"/>
  <c r="AB1629" i="2"/>
  <c r="AA1629" i="2"/>
  <c r="X1629" i="2"/>
  <c r="Y1629" i="2" s="1"/>
  <c r="AF1630" i="2"/>
  <c r="AB1630" i="2"/>
  <c r="AA1630" i="2"/>
  <c r="X1630" i="2"/>
  <c r="Y1630" i="2" s="1"/>
  <c r="AB1631" i="2"/>
  <c r="AA1631" i="2"/>
  <c r="X1631" i="2"/>
  <c r="Y1631" i="2" s="1"/>
  <c r="AF1632" i="2"/>
  <c r="AB1632" i="2"/>
  <c r="AA1632" i="2"/>
  <c r="X1632" i="2"/>
  <c r="Y1632" i="2" s="1"/>
  <c r="AF1633" i="2"/>
  <c r="AB1633" i="2"/>
  <c r="AA1633" i="2"/>
  <c r="X1633" i="2"/>
  <c r="Y1633" i="2" s="1"/>
  <c r="H297" i="6"/>
  <c r="AF1634" i="2"/>
  <c r="AB1634" i="2"/>
  <c r="AA1634" i="2"/>
  <c r="X1634" i="2"/>
  <c r="Y1634" i="2" s="1"/>
  <c r="AF1635" i="2"/>
  <c r="AB1635" i="2"/>
  <c r="AA1635" i="2"/>
  <c r="X1635" i="2"/>
  <c r="Y1635" i="2" s="1"/>
  <c r="AB1636" i="2"/>
  <c r="AA1636" i="2"/>
  <c r="X1636" i="2"/>
  <c r="Y1636" i="2" s="1"/>
  <c r="AB1637" i="2"/>
  <c r="AA1637" i="2"/>
  <c r="X1637" i="2"/>
  <c r="Y1637" i="2" s="1"/>
  <c r="H298" i="6"/>
  <c r="AF1638" i="2"/>
  <c r="AB1638" i="2"/>
  <c r="AA1638" i="2"/>
  <c r="X1638" i="2"/>
  <c r="Y1638" i="2" s="1"/>
  <c r="AF1639" i="2"/>
  <c r="AB1639" i="2"/>
  <c r="AA1639" i="2"/>
  <c r="X1639" i="2"/>
  <c r="Y1639" i="2" s="1"/>
  <c r="AB1640" i="2"/>
  <c r="AA1640" i="2"/>
  <c r="X1640" i="2"/>
  <c r="Y1640" i="2" s="1"/>
  <c r="AB1641" i="2"/>
  <c r="AA1641" i="2"/>
  <c r="X1641" i="2"/>
  <c r="Y1641" i="2" s="1"/>
  <c r="AB1642" i="2"/>
  <c r="AA1642" i="2"/>
  <c r="X1642" i="2"/>
  <c r="Y1642" i="2" s="1"/>
  <c r="AF1643" i="2"/>
  <c r="AB1643" i="2"/>
  <c r="AA1643" i="2"/>
  <c r="X1643" i="2"/>
  <c r="Y1643" i="2" s="1"/>
  <c r="H299" i="6"/>
  <c r="AB1644" i="2"/>
  <c r="AA1644" i="2"/>
  <c r="X1644" i="2"/>
  <c r="Y1644" i="2" s="1"/>
  <c r="AF1645" i="2"/>
  <c r="AB1645" i="2"/>
  <c r="AA1645" i="2"/>
  <c r="X1645" i="2"/>
  <c r="Y1645" i="2" s="1"/>
  <c r="AF1646" i="2"/>
  <c r="AB1646" i="2"/>
  <c r="AA1646" i="2"/>
  <c r="X1646" i="2"/>
  <c r="Y1646" i="2" s="1"/>
  <c r="AF1647" i="2"/>
  <c r="AB1647" i="2"/>
  <c r="AA1647" i="2"/>
  <c r="X1647" i="2"/>
  <c r="Y1647" i="2" s="1"/>
  <c r="AF1648" i="2"/>
  <c r="AB1648" i="2"/>
  <c r="AA1648" i="2"/>
  <c r="X1648" i="2"/>
  <c r="Y1648" i="2" s="1"/>
  <c r="H300" i="6"/>
  <c r="AB1649" i="2"/>
  <c r="AA1649" i="2"/>
  <c r="X1649" i="2"/>
  <c r="Y1649" i="2" s="1"/>
  <c r="AF1650" i="2"/>
  <c r="AB1650" i="2"/>
  <c r="AA1650" i="2"/>
  <c r="X1650" i="2"/>
  <c r="Y1650" i="2" s="1"/>
  <c r="AF1651" i="2"/>
  <c r="AB1651" i="2"/>
  <c r="AA1651" i="2"/>
  <c r="X1651" i="2"/>
  <c r="Y1651" i="2" s="1"/>
  <c r="AB1652" i="2"/>
  <c r="AA1652" i="2"/>
  <c r="X1652" i="2"/>
  <c r="Y1652" i="2" s="1"/>
  <c r="AF1653" i="2"/>
  <c r="AB1653" i="2"/>
  <c r="AA1653" i="2"/>
  <c r="X1653" i="2"/>
  <c r="Y1653" i="2" s="1"/>
  <c r="AB1654" i="2"/>
  <c r="AA1654" i="2"/>
  <c r="X1654" i="2"/>
  <c r="Y1654" i="2" s="1"/>
  <c r="K129" i="3"/>
  <c r="L129" i="3" s="1"/>
  <c r="AF1655" i="2"/>
  <c r="AB1655" i="2"/>
  <c r="AA1655" i="2"/>
  <c r="X1655" i="2"/>
  <c r="Y1655" i="2" s="1"/>
  <c r="H301" i="6"/>
  <c r="AF1656" i="2"/>
  <c r="AB1656" i="2"/>
  <c r="AA1656" i="2"/>
  <c r="X1656" i="2"/>
  <c r="Y1656" i="2" s="1"/>
  <c r="AB1657" i="2"/>
  <c r="AA1657" i="2"/>
  <c r="X1657" i="2"/>
  <c r="Y1657" i="2" s="1"/>
  <c r="AB1658" i="2"/>
  <c r="AA1658" i="2"/>
  <c r="X1658" i="2"/>
  <c r="Y1658" i="2" s="1"/>
  <c r="H302" i="6"/>
  <c r="AF1659" i="2"/>
  <c r="AB1659" i="2"/>
  <c r="AA1659" i="2"/>
  <c r="X1659" i="2"/>
  <c r="Y1659" i="2" s="1"/>
  <c r="AF1660" i="2"/>
  <c r="AB1660" i="2"/>
  <c r="AA1660" i="2"/>
  <c r="X1660" i="2"/>
  <c r="Y1660" i="2" s="1"/>
  <c r="AF1661" i="2"/>
  <c r="AB1661" i="2"/>
  <c r="AA1661" i="2"/>
  <c r="X1661" i="2"/>
  <c r="Y1661" i="2" s="1"/>
  <c r="AB1662" i="2"/>
  <c r="AA1662" i="2"/>
  <c r="X1662" i="2"/>
  <c r="Y1662" i="2" s="1"/>
  <c r="AF1663" i="2"/>
  <c r="AB1663" i="2"/>
  <c r="AA1663" i="2"/>
  <c r="X1663" i="2"/>
  <c r="Y1663" i="2" s="1"/>
  <c r="AB1664" i="2"/>
  <c r="AA1664" i="2"/>
  <c r="X1664" i="2"/>
  <c r="Y1664" i="2" s="1"/>
  <c r="AB1665" i="2"/>
  <c r="AA1665" i="2"/>
  <c r="X1665" i="2"/>
  <c r="Y1665" i="2" s="1"/>
  <c r="H303" i="6"/>
  <c r="K100" i="3"/>
  <c r="L100" i="3" s="1"/>
  <c r="AF1666" i="2"/>
  <c r="AB1666" i="2"/>
  <c r="AA1666" i="2"/>
  <c r="X1666" i="2"/>
  <c r="Y1666" i="2" s="1"/>
  <c r="AB1667" i="2"/>
  <c r="AA1667" i="2"/>
  <c r="X1667" i="2"/>
  <c r="Y1667" i="2" s="1"/>
  <c r="AB1668" i="2"/>
  <c r="AA1668" i="2"/>
  <c r="X1668" i="2"/>
  <c r="Y1668" i="2" s="1"/>
  <c r="AB1669" i="2"/>
  <c r="AA1669" i="2"/>
  <c r="X1669" i="2"/>
  <c r="Y1669" i="2" s="1"/>
  <c r="AB1670" i="2"/>
  <c r="AA1670" i="2"/>
  <c r="X1670" i="2"/>
  <c r="Y1670" i="2" s="1"/>
  <c r="AF1671" i="2"/>
  <c r="AB1671" i="2"/>
  <c r="AA1671" i="2"/>
  <c r="X1671" i="2"/>
  <c r="Y1671" i="2" s="1"/>
  <c r="AB1672" i="2"/>
  <c r="AA1672" i="2"/>
  <c r="X1672" i="2"/>
  <c r="Y1672" i="2" s="1"/>
  <c r="AF1673" i="2"/>
  <c r="AB1673" i="2"/>
  <c r="AA1673" i="2"/>
  <c r="X1673" i="2"/>
  <c r="Y1673" i="2" s="1"/>
  <c r="AB1674" i="2"/>
  <c r="AA1674" i="2"/>
  <c r="X1674" i="2"/>
  <c r="Y1674" i="2" s="1"/>
  <c r="AF1675" i="2"/>
  <c r="AB1675" i="2"/>
  <c r="AA1675" i="2"/>
  <c r="X1675" i="2"/>
  <c r="Y1675" i="2" s="1"/>
  <c r="AB1676" i="2"/>
  <c r="AA1676" i="2"/>
  <c r="X1676" i="2"/>
  <c r="Y1676" i="2" s="1"/>
  <c r="AB1677" i="2"/>
  <c r="AA1677" i="2"/>
  <c r="X1677" i="2"/>
  <c r="Y1677" i="2" s="1"/>
  <c r="AB1678" i="2"/>
  <c r="AA1678" i="2"/>
  <c r="X1678" i="2"/>
  <c r="Y1678" i="2" s="1"/>
  <c r="AB1679" i="2"/>
  <c r="AA1679" i="2"/>
  <c r="X1679" i="2"/>
  <c r="Y1679" i="2" s="1"/>
  <c r="AF1680" i="2"/>
  <c r="AB1680" i="2"/>
  <c r="AA1680" i="2"/>
  <c r="X1680" i="2"/>
  <c r="Y1680" i="2" s="1"/>
  <c r="AF1681" i="2"/>
  <c r="AB1681" i="2"/>
  <c r="AA1681" i="2"/>
  <c r="X1681" i="2"/>
  <c r="Y1681" i="2" s="1"/>
  <c r="K87" i="3"/>
  <c r="L87" i="3" s="1"/>
  <c r="AF1682" i="2"/>
  <c r="AB1682" i="2"/>
  <c r="AA1682" i="2"/>
  <c r="X1682" i="2"/>
  <c r="Y1682" i="2" s="1"/>
  <c r="AB1683" i="2"/>
  <c r="AA1683" i="2"/>
  <c r="X1683" i="2"/>
  <c r="Y1683" i="2" s="1"/>
  <c r="AB1684" i="2"/>
  <c r="AA1684" i="2"/>
  <c r="X1684" i="2"/>
  <c r="Y1684" i="2" s="1"/>
  <c r="AB1685" i="2"/>
  <c r="AA1685" i="2"/>
  <c r="X1685" i="2"/>
  <c r="Y1685" i="2" s="1"/>
  <c r="AB1686" i="2"/>
  <c r="AA1686" i="2"/>
  <c r="X1686" i="2"/>
  <c r="Y1686" i="2" s="1"/>
  <c r="H304" i="6"/>
  <c r="AB1687" i="2"/>
  <c r="AA1687" i="2"/>
  <c r="X1687" i="2"/>
  <c r="Y1687" i="2" s="1"/>
  <c r="AB1688" i="2"/>
  <c r="AA1688" i="2"/>
  <c r="X1688" i="2"/>
  <c r="Y1688" i="2" s="1"/>
  <c r="AF1689" i="2"/>
  <c r="AB1689" i="2"/>
  <c r="AA1689" i="2"/>
  <c r="X1689" i="2"/>
  <c r="Y1689" i="2" s="1"/>
  <c r="AB1690" i="2"/>
  <c r="AA1690" i="2"/>
  <c r="X1690" i="2"/>
  <c r="Y1690" i="2" s="1"/>
  <c r="H305" i="6"/>
  <c r="K117" i="3"/>
  <c r="L117" i="3" s="1"/>
  <c r="AF1691" i="2"/>
  <c r="AB1691" i="2"/>
  <c r="AA1691" i="2"/>
  <c r="X1691" i="2"/>
  <c r="Y1691" i="2" s="1"/>
  <c r="AB1692" i="2"/>
  <c r="AA1692" i="2"/>
  <c r="X1692" i="2"/>
  <c r="Y1692" i="2" s="1"/>
  <c r="AF1693" i="2"/>
  <c r="AB1693" i="2"/>
  <c r="AA1693" i="2"/>
  <c r="X1693" i="2"/>
  <c r="Y1693" i="2" s="1"/>
  <c r="AF1694" i="2"/>
  <c r="AB1694" i="2"/>
  <c r="AA1694" i="2"/>
  <c r="X1694" i="2"/>
  <c r="Y1694" i="2" s="1"/>
  <c r="AF1695" i="2"/>
  <c r="AB1695" i="2"/>
  <c r="AA1695" i="2"/>
  <c r="X1695" i="2"/>
  <c r="Y1695" i="2" s="1"/>
  <c r="AB1696" i="2"/>
  <c r="AA1696" i="2"/>
  <c r="X1696" i="2"/>
  <c r="Y1696" i="2" s="1"/>
  <c r="H306" i="6"/>
  <c r="AF1697" i="2"/>
  <c r="AB1697" i="2"/>
  <c r="AA1697" i="2"/>
  <c r="X1697" i="2"/>
  <c r="Y1697" i="2" s="1"/>
  <c r="AF1698" i="2"/>
  <c r="AB1698" i="2"/>
  <c r="AA1698" i="2"/>
  <c r="X1698" i="2"/>
  <c r="Y1698" i="2" s="1"/>
  <c r="AB1699" i="2"/>
  <c r="AA1699" i="2"/>
  <c r="X1699" i="2"/>
  <c r="Y1699" i="2" s="1"/>
  <c r="AB1700" i="2"/>
  <c r="AA1700" i="2"/>
  <c r="X1700" i="2"/>
  <c r="Y1700" i="2" s="1"/>
  <c r="AB1701" i="2"/>
  <c r="AA1701" i="2"/>
  <c r="X1701" i="2"/>
  <c r="Y1701" i="2" s="1"/>
  <c r="AF1702" i="2"/>
  <c r="AB1702" i="2"/>
  <c r="AA1702" i="2"/>
  <c r="X1702" i="2"/>
  <c r="Y1702" i="2" s="1"/>
  <c r="AB1703" i="2"/>
  <c r="AA1703" i="2"/>
  <c r="X1703" i="2"/>
  <c r="Y1703" i="2" s="1"/>
  <c r="AB1704" i="2"/>
  <c r="AA1704" i="2"/>
  <c r="X1704" i="2"/>
  <c r="Y1704" i="2" s="1"/>
  <c r="AF1705" i="2"/>
  <c r="AB1705" i="2"/>
  <c r="AA1705" i="2"/>
  <c r="X1705" i="2"/>
  <c r="Y1705" i="2" s="1"/>
  <c r="AB1706" i="2"/>
  <c r="AA1706" i="2"/>
  <c r="X1706" i="2"/>
  <c r="Y1706" i="2" s="1"/>
  <c r="AF1707" i="2"/>
  <c r="AB1707" i="2"/>
  <c r="AA1707" i="2"/>
  <c r="X1707" i="2"/>
  <c r="Y1707" i="2" s="1"/>
  <c r="H307" i="6"/>
  <c r="AB1708" i="2"/>
  <c r="AA1708" i="2"/>
  <c r="X1708" i="2"/>
  <c r="Y1708" i="2" s="1"/>
  <c r="AB1709" i="2"/>
  <c r="AA1709" i="2"/>
  <c r="X1709" i="2"/>
  <c r="Y1709" i="2" s="1"/>
  <c r="H308" i="6"/>
  <c r="AB1710" i="2"/>
  <c r="AA1710" i="2"/>
  <c r="X1710" i="2"/>
  <c r="Y1710" i="2" s="1"/>
  <c r="AF1711" i="2"/>
  <c r="AB1711" i="2"/>
  <c r="AA1711" i="2"/>
  <c r="X1711" i="2"/>
  <c r="Y1711" i="2" s="1"/>
  <c r="AF1712" i="2"/>
  <c r="AB1712" i="2"/>
  <c r="AA1712" i="2"/>
  <c r="X1712" i="2"/>
  <c r="Y1712" i="2" s="1"/>
  <c r="AB1713" i="2"/>
  <c r="AA1713" i="2"/>
  <c r="X1713" i="2"/>
  <c r="Y1713" i="2" s="1"/>
  <c r="AF1714" i="2"/>
  <c r="AB1714" i="2"/>
  <c r="AA1714" i="2"/>
  <c r="X1714" i="2"/>
  <c r="Y1714" i="2" s="1"/>
  <c r="AB1715" i="2"/>
  <c r="AA1715" i="2"/>
  <c r="X1715" i="2"/>
  <c r="Y1715" i="2" s="1"/>
  <c r="AF1716" i="2"/>
  <c r="AB1716" i="2"/>
  <c r="AA1716" i="2"/>
  <c r="X1716" i="2"/>
  <c r="Y1716" i="2" s="1"/>
  <c r="AB1717" i="2"/>
  <c r="AA1717" i="2"/>
  <c r="X1717" i="2"/>
  <c r="Y1717" i="2" s="1"/>
  <c r="H309" i="6"/>
  <c r="AF1718" i="2"/>
  <c r="AB1718" i="2"/>
  <c r="AA1718" i="2"/>
  <c r="X1718" i="2"/>
  <c r="Y1718" i="2" s="1"/>
  <c r="H15" i="5"/>
  <c r="AF1719" i="2"/>
  <c r="AB1719" i="2"/>
  <c r="AA1719" i="2"/>
  <c r="X1719" i="2"/>
  <c r="Y1719" i="2" s="1"/>
  <c r="AB1720" i="2"/>
  <c r="AA1720" i="2"/>
  <c r="X1720" i="2"/>
  <c r="Y1720" i="2" s="1"/>
  <c r="AF1721" i="2"/>
  <c r="AB1721" i="2"/>
  <c r="AA1721" i="2"/>
  <c r="X1721" i="2"/>
  <c r="Y1721" i="2" s="1"/>
  <c r="AB1722" i="2"/>
  <c r="AA1722" i="2"/>
  <c r="X1722" i="2"/>
  <c r="Y1722" i="2" s="1"/>
  <c r="AB1723" i="2"/>
  <c r="AA1723" i="2"/>
  <c r="X1723" i="2"/>
  <c r="Y1723" i="2" s="1"/>
  <c r="AF1724" i="2"/>
  <c r="AB1724" i="2"/>
  <c r="AA1724" i="2"/>
  <c r="X1724" i="2"/>
  <c r="Y1724" i="2" s="1"/>
  <c r="H310" i="6"/>
  <c r="AB1725" i="2"/>
  <c r="AA1725" i="2"/>
  <c r="X1725" i="2"/>
  <c r="Y1725" i="2" s="1"/>
  <c r="AF1726" i="2"/>
  <c r="AB1726" i="2"/>
  <c r="AA1726" i="2"/>
  <c r="X1726" i="2"/>
  <c r="Y1726" i="2" s="1"/>
  <c r="H20" i="5"/>
  <c r="AB1727" i="2"/>
  <c r="AA1727" i="2"/>
  <c r="X1727" i="2"/>
  <c r="Y1727" i="2" s="1"/>
  <c r="H311" i="6"/>
  <c r="AB1728" i="2"/>
  <c r="AA1728" i="2"/>
  <c r="X1728" i="2"/>
  <c r="Y1728" i="2" s="1"/>
  <c r="AF1729" i="2"/>
  <c r="AB1729" i="2"/>
  <c r="AA1729" i="2"/>
  <c r="X1729" i="2"/>
  <c r="Y1729" i="2" s="1"/>
  <c r="AB1730" i="2"/>
  <c r="AA1730" i="2"/>
  <c r="X1730" i="2"/>
  <c r="Y1730" i="2" s="1"/>
  <c r="H312" i="6"/>
  <c r="AB1731" i="2"/>
  <c r="AA1731" i="2"/>
  <c r="X1731" i="2"/>
  <c r="Y1731" i="2" s="1"/>
  <c r="AB1732" i="2"/>
  <c r="AA1732" i="2"/>
  <c r="X1732" i="2"/>
  <c r="Y1732" i="2" s="1"/>
  <c r="H313" i="6"/>
  <c r="AB1733" i="2"/>
  <c r="AA1733" i="2"/>
  <c r="X1733" i="2"/>
  <c r="Y1733" i="2" s="1"/>
  <c r="AB1734" i="2"/>
  <c r="AA1734" i="2"/>
  <c r="X1734" i="2"/>
  <c r="Y1734" i="2" s="1"/>
  <c r="H21" i="5"/>
  <c r="AB1735" i="2"/>
  <c r="AA1735" i="2"/>
  <c r="X1735" i="2"/>
  <c r="Y1735" i="2" s="1"/>
  <c r="AF1736" i="2"/>
  <c r="AB1736" i="2"/>
  <c r="AA1736" i="2"/>
  <c r="X1736" i="2"/>
  <c r="Y1736" i="2" s="1"/>
  <c r="AB1737" i="2"/>
  <c r="AA1737" i="2"/>
  <c r="X1737" i="2"/>
  <c r="Y1737" i="2" s="1"/>
  <c r="AB1738" i="2"/>
  <c r="AA1738" i="2"/>
  <c r="X1738" i="2"/>
  <c r="Y1738" i="2" s="1"/>
  <c r="AB1739" i="2"/>
  <c r="AA1739" i="2"/>
  <c r="X1739" i="2"/>
  <c r="Y1739" i="2" s="1"/>
  <c r="AB1740" i="2"/>
  <c r="AA1740" i="2"/>
  <c r="X1740" i="2"/>
  <c r="Y1740" i="2" s="1"/>
  <c r="AB1741" i="2"/>
  <c r="AA1741" i="2"/>
  <c r="X1741" i="2"/>
  <c r="Y1741" i="2" s="1"/>
  <c r="AF1742" i="2"/>
  <c r="AB1742" i="2"/>
  <c r="AA1742" i="2"/>
  <c r="X1742" i="2"/>
  <c r="Y1742" i="2" s="1"/>
  <c r="AF1743" i="2"/>
  <c r="AB1743" i="2"/>
  <c r="AA1743" i="2"/>
  <c r="X1743" i="2"/>
  <c r="Y1743" i="2" s="1"/>
  <c r="AB1744" i="2"/>
  <c r="AA1744" i="2"/>
  <c r="X1744" i="2"/>
  <c r="Y1744" i="2" s="1"/>
  <c r="AB1745" i="2"/>
  <c r="AA1745" i="2"/>
  <c r="X1745" i="2"/>
  <c r="Y1745" i="2" s="1"/>
  <c r="AB1746" i="2"/>
  <c r="AA1746" i="2"/>
  <c r="X1746" i="2"/>
  <c r="Y1746" i="2" s="1"/>
  <c r="H314" i="6"/>
  <c r="AF1747" i="2"/>
  <c r="AB1747" i="2"/>
  <c r="AA1747" i="2"/>
  <c r="X1747" i="2"/>
  <c r="Y1747" i="2" s="1"/>
  <c r="AB1748" i="2"/>
  <c r="AA1748" i="2"/>
  <c r="X1748" i="2"/>
  <c r="Y1748" i="2" s="1"/>
  <c r="AF1749" i="2"/>
  <c r="AB1749" i="2"/>
  <c r="AA1749" i="2"/>
  <c r="X1749" i="2"/>
  <c r="Y1749" i="2" s="1"/>
  <c r="AF1750" i="2"/>
  <c r="AB1750" i="2"/>
  <c r="AA1750" i="2"/>
  <c r="X1750" i="2"/>
  <c r="Y1750" i="2" s="1"/>
  <c r="AF1751" i="2"/>
  <c r="AB1751" i="2"/>
  <c r="AA1751" i="2"/>
  <c r="X1751" i="2"/>
  <c r="Y1751" i="2" s="1"/>
  <c r="AB1752" i="2"/>
  <c r="AA1752" i="2"/>
  <c r="X1752" i="2"/>
  <c r="Y1752" i="2" s="1"/>
  <c r="AB1753" i="2"/>
  <c r="AA1753" i="2"/>
  <c r="X1753" i="2"/>
  <c r="Y1753" i="2" s="1"/>
  <c r="H315" i="6"/>
  <c r="AB1754" i="2"/>
  <c r="AA1754" i="2"/>
  <c r="X1754" i="2"/>
  <c r="Y1754" i="2" s="1"/>
  <c r="AF1755" i="2"/>
  <c r="AB1755" i="2"/>
  <c r="AA1755" i="2"/>
  <c r="X1755" i="2"/>
  <c r="Y1755" i="2" s="1"/>
  <c r="AB1756" i="2"/>
  <c r="AA1756" i="2"/>
  <c r="X1756" i="2"/>
  <c r="Y1756" i="2" s="1"/>
  <c r="H316" i="6"/>
  <c r="AB1757" i="2"/>
  <c r="AA1757" i="2"/>
  <c r="X1757" i="2"/>
  <c r="Y1757" i="2" s="1"/>
  <c r="AB1758" i="2"/>
  <c r="AA1758" i="2"/>
  <c r="X1758" i="2"/>
  <c r="Y1758" i="2" s="1"/>
  <c r="AF1759" i="2"/>
  <c r="AB1759" i="2"/>
  <c r="AA1759" i="2"/>
  <c r="X1759" i="2"/>
  <c r="Y1759" i="2" s="1"/>
  <c r="AB1760" i="2"/>
  <c r="AA1760" i="2"/>
  <c r="X1760" i="2"/>
  <c r="Y1760" i="2" s="1"/>
  <c r="AB1761" i="2"/>
  <c r="AA1761" i="2"/>
  <c r="X1761" i="2"/>
  <c r="Y1761" i="2" s="1"/>
  <c r="AB1762" i="2"/>
  <c r="AA1762" i="2"/>
  <c r="X1762" i="2"/>
  <c r="Y1762" i="2" s="1"/>
  <c r="I11" i="4"/>
  <c r="H11" i="4"/>
  <c r="K33" i="3"/>
  <c r="L33" i="3" s="1"/>
  <c r="AB1763" i="2"/>
  <c r="AA1763" i="2"/>
  <c r="X1763" i="2"/>
  <c r="Y1763" i="2" s="1"/>
  <c r="K11" i="4"/>
  <c r="AB1764" i="2"/>
  <c r="AA1764" i="2"/>
  <c r="X1764" i="2"/>
  <c r="Y1764" i="2" s="1"/>
  <c r="AB1765" i="2"/>
  <c r="AA1765" i="2"/>
  <c r="X1765" i="2"/>
  <c r="Y1765" i="2" s="1"/>
  <c r="H317" i="6"/>
  <c r="AB1766" i="2"/>
  <c r="AA1766" i="2"/>
  <c r="X1766" i="2"/>
  <c r="Y1766" i="2" s="1"/>
  <c r="AF1767" i="2"/>
  <c r="AB1767" i="2"/>
  <c r="AA1767" i="2"/>
  <c r="X1767" i="2"/>
  <c r="Y1767" i="2" s="1"/>
  <c r="AF1768" i="2"/>
  <c r="AB1768" i="2"/>
  <c r="AA1768" i="2"/>
  <c r="X1768" i="2"/>
  <c r="Y1768" i="2" s="1"/>
  <c r="AF1769" i="2"/>
  <c r="AB1769" i="2"/>
  <c r="AA1769" i="2"/>
  <c r="X1769" i="2"/>
  <c r="Y1769" i="2" s="1"/>
  <c r="AB1770" i="2"/>
  <c r="AA1770" i="2"/>
  <c r="X1770" i="2"/>
  <c r="Y1770" i="2" s="1"/>
  <c r="H318" i="6"/>
  <c r="AB1771" i="2"/>
  <c r="AA1771" i="2"/>
  <c r="X1771" i="2"/>
  <c r="Y1771" i="2" s="1"/>
  <c r="AB1772" i="2"/>
  <c r="AA1772" i="2"/>
  <c r="X1772" i="2"/>
  <c r="Y1772" i="2" s="1"/>
  <c r="AB1773" i="2"/>
  <c r="AA1773" i="2"/>
  <c r="X1773" i="2"/>
  <c r="Y1773" i="2" s="1"/>
  <c r="AB1774" i="2"/>
  <c r="AA1774" i="2"/>
  <c r="X1774" i="2"/>
  <c r="Y1774" i="2" s="1"/>
  <c r="AF1775" i="2"/>
  <c r="AB1775" i="2"/>
  <c r="AA1775" i="2"/>
  <c r="X1775" i="2"/>
  <c r="Y1775" i="2" s="1"/>
  <c r="AF1776" i="2"/>
  <c r="AB1776" i="2"/>
  <c r="AA1776" i="2"/>
  <c r="X1776" i="2"/>
  <c r="Y1776" i="2" s="1"/>
  <c r="H319" i="6"/>
  <c r="H12" i="5"/>
  <c r="L11" i="4"/>
  <c r="AF1777" i="2"/>
  <c r="AB1777" i="2"/>
  <c r="AA1777" i="2"/>
  <c r="X1777" i="2"/>
  <c r="Y1777" i="2" s="1"/>
  <c r="J11" i="4"/>
  <c r="AF1778" i="2"/>
  <c r="AB1778" i="2"/>
  <c r="AA1778" i="2"/>
  <c r="X1778" i="2"/>
  <c r="Y1778" i="2" s="1"/>
  <c r="AF1779" i="2"/>
  <c r="AB1779" i="2"/>
  <c r="AA1779" i="2"/>
  <c r="X1779" i="2"/>
  <c r="Y1779" i="2" s="1"/>
  <c r="AF1780" i="2"/>
  <c r="AB1780" i="2"/>
  <c r="AA1780" i="2"/>
  <c r="X1780" i="2"/>
  <c r="Y1780" i="2" s="1"/>
  <c r="AB1781" i="2"/>
  <c r="AA1781" i="2"/>
  <c r="X1781" i="2"/>
  <c r="Y1781" i="2" s="1"/>
  <c r="H320" i="6"/>
  <c r="K108" i="3"/>
  <c r="L108" i="3" s="1"/>
  <c r="AB1782" i="2"/>
  <c r="AA1782" i="2"/>
  <c r="X1782" i="2"/>
  <c r="Y1782" i="2" s="1"/>
  <c r="AB1783" i="2"/>
  <c r="AA1783" i="2"/>
  <c r="X1783" i="2"/>
  <c r="Y1783" i="2" s="1"/>
  <c r="AB1784" i="2"/>
  <c r="AA1784" i="2"/>
  <c r="X1784" i="2"/>
  <c r="Y1784" i="2" s="1"/>
  <c r="H321" i="6"/>
  <c r="AB1785" i="2"/>
  <c r="AA1785" i="2"/>
  <c r="X1785" i="2"/>
  <c r="Y1785" i="2" s="1"/>
  <c r="H322" i="6"/>
  <c r="AB1786" i="2"/>
  <c r="AA1786" i="2"/>
  <c r="X1786" i="2"/>
  <c r="Y1786" i="2" s="1"/>
  <c r="AB1787" i="2"/>
  <c r="AA1787" i="2"/>
  <c r="X1787" i="2"/>
  <c r="Y1787" i="2" s="1"/>
  <c r="AB1788" i="2"/>
  <c r="AA1788" i="2"/>
  <c r="X1788" i="2"/>
  <c r="Y1788" i="2" s="1"/>
  <c r="AB1789" i="2"/>
  <c r="AA1789" i="2"/>
  <c r="X1789" i="2"/>
  <c r="Y1789" i="2" s="1"/>
  <c r="AF1790" i="2"/>
  <c r="AB1790" i="2"/>
  <c r="AA1790" i="2"/>
  <c r="X1790" i="2"/>
  <c r="Y1790" i="2" s="1"/>
  <c r="AB1791" i="2"/>
  <c r="AA1791" i="2"/>
  <c r="X1791" i="2"/>
  <c r="Y1791" i="2" s="1"/>
  <c r="AB1792" i="2"/>
  <c r="AA1792" i="2"/>
  <c r="X1792" i="2"/>
  <c r="Y1792" i="2" s="1"/>
  <c r="AF1793" i="2"/>
  <c r="AB1793" i="2"/>
  <c r="AA1793" i="2"/>
  <c r="X1793" i="2"/>
  <c r="Y1793" i="2" s="1"/>
  <c r="H323" i="6"/>
  <c r="AB1794" i="2"/>
  <c r="AA1794" i="2"/>
  <c r="X1794" i="2"/>
  <c r="Y1794" i="2" s="1"/>
  <c r="AF1795" i="2"/>
  <c r="AB1795" i="2"/>
  <c r="AA1795" i="2"/>
  <c r="X1795" i="2"/>
  <c r="Y1795" i="2" s="1"/>
  <c r="AB1796" i="2"/>
  <c r="AA1796" i="2"/>
  <c r="X1796" i="2"/>
  <c r="Y1796" i="2" s="1"/>
  <c r="AB1797" i="2"/>
  <c r="AA1797" i="2"/>
  <c r="X1797" i="2"/>
  <c r="Y1797" i="2" s="1"/>
  <c r="AB1798" i="2"/>
  <c r="AA1798" i="2"/>
  <c r="X1798" i="2"/>
  <c r="Y1798" i="2" s="1"/>
  <c r="H324" i="6"/>
  <c r="AF1799" i="2"/>
  <c r="AB1799" i="2"/>
  <c r="AA1799" i="2"/>
  <c r="X1799" i="2"/>
  <c r="Y1799" i="2" s="1"/>
  <c r="AB1800" i="2"/>
  <c r="AA1800" i="2"/>
  <c r="X1800" i="2"/>
  <c r="Y1800" i="2" s="1"/>
  <c r="H325" i="6"/>
  <c r="AB1801" i="2"/>
  <c r="AA1801" i="2"/>
  <c r="X1801" i="2"/>
  <c r="Y1801" i="2" s="1"/>
  <c r="AB1802" i="2"/>
  <c r="AA1802" i="2"/>
  <c r="X1802" i="2"/>
  <c r="Y1802" i="2" s="1"/>
  <c r="H326" i="6"/>
  <c r="AF1803" i="2"/>
  <c r="AB1803" i="2"/>
  <c r="AA1803" i="2"/>
  <c r="X1803" i="2"/>
  <c r="Y1803" i="2" s="1"/>
  <c r="AF1804" i="2"/>
  <c r="AB1804" i="2"/>
  <c r="AA1804" i="2"/>
  <c r="X1804" i="2"/>
  <c r="Y1804" i="2" s="1"/>
  <c r="AB1805" i="2"/>
  <c r="AA1805" i="2"/>
  <c r="X1805" i="2"/>
  <c r="Y1805" i="2" s="1"/>
  <c r="AF1806" i="2"/>
  <c r="AB1806" i="2"/>
  <c r="AA1806" i="2"/>
  <c r="X1806" i="2"/>
  <c r="Y1806" i="2" s="1"/>
  <c r="AB1807" i="2"/>
  <c r="AA1807" i="2"/>
  <c r="X1807" i="2"/>
  <c r="Y1807" i="2" s="1"/>
  <c r="AB1808" i="2"/>
  <c r="AA1808" i="2"/>
  <c r="X1808" i="2"/>
  <c r="Y1808" i="2" s="1"/>
  <c r="AB1809" i="2"/>
  <c r="AA1809" i="2"/>
  <c r="X1809" i="2"/>
  <c r="Y1809" i="2" s="1"/>
  <c r="AB1810" i="2"/>
  <c r="AA1810" i="2"/>
  <c r="X1810" i="2"/>
  <c r="Y1810" i="2" s="1"/>
  <c r="AF1811" i="2"/>
  <c r="AB1811" i="2"/>
  <c r="AA1811" i="2"/>
  <c r="X1811" i="2"/>
  <c r="Y1811" i="2" s="1"/>
  <c r="AB1812" i="2"/>
  <c r="AA1812" i="2"/>
  <c r="X1812" i="2"/>
  <c r="Y1812" i="2" s="1"/>
  <c r="AF1813" i="2"/>
  <c r="AB1813" i="2"/>
  <c r="AA1813" i="2"/>
  <c r="X1813" i="2"/>
  <c r="Y1813" i="2" s="1"/>
  <c r="H327" i="6"/>
  <c r="AB1814" i="2"/>
  <c r="AA1814" i="2"/>
  <c r="X1814" i="2"/>
  <c r="Y1814" i="2" s="1"/>
  <c r="AB1815" i="2"/>
  <c r="AA1815" i="2"/>
  <c r="X1815" i="2"/>
  <c r="Y1815" i="2" s="1"/>
  <c r="AB1816" i="2"/>
  <c r="AA1816" i="2"/>
  <c r="X1816" i="2"/>
  <c r="Y1816" i="2" s="1"/>
  <c r="AB1817" i="2"/>
  <c r="AA1817" i="2"/>
  <c r="X1817" i="2"/>
  <c r="Y1817" i="2" s="1"/>
  <c r="AB1818" i="2"/>
  <c r="AA1818" i="2"/>
  <c r="X1818" i="2"/>
  <c r="Y1818" i="2" s="1"/>
  <c r="H328" i="6"/>
  <c r="AB1819" i="2"/>
  <c r="AA1819" i="2"/>
  <c r="X1819" i="2"/>
  <c r="Y1819" i="2" s="1"/>
  <c r="AB1820" i="2"/>
  <c r="AA1820" i="2"/>
  <c r="X1820" i="2"/>
  <c r="Y1820" i="2" s="1"/>
  <c r="AB1821" i="2"/>
  <c r="AA1821" i="2"/>
  <c r="X1821" i="2"/>
  <c r="Y1821" i="2" s="1"/>
  <c r="AB1822" i="2"/>
  <c r="AA1822" i="2"/>
  <c r="X1822" i="2"/>
  <c r="Y1822" i="2" s="1"/>
  <c r="AB1823" i="2"/>
  <c r="AA1823" i="2"/>
  <c r="X1823" i="2"/>
  <c r="Y1823" i="2" s="1"/>
  <c r="AB1824" i="2"/>
  <c r="AA1824" i="2"/>
  <c r="X1824" i="2"/>
  <c r="Y1824" i="2" s="1"/>
  <c r="H329" i="6"/>
  <c r="AB1825" i="2"/>
  <c r="AA1825" i="2"/>
  <c r="X1825" i="2"/>
  <c r="Y1825" i="2" s="1"/>
  <c r="AB1826" i="2"/>
  <c r="AA1826" i="2"/>
  <c r="X1826" i="2"/>
  <c r="Y1826" i="2" s="1"/>
  <c r="H330" i="6"/>
  <c r="AB1827" i="2"/>
  <c r="AA1827" i="2"/>
  <c r="X1827" i="2"/>
  <c r="Y1827" i="2" s="1"/>
  <c r="AB1828" i="2"/>
  <c r="AA1828" i="2"/>
  <c r="X1828" i="2"/>
  <c r="Y1828" i="2" s="1"/>
  <c r="AB1829" i="2"/>
  <c r="AA1829" i="2"/>
  <c r="X1829" i="2"/>
  <c r="Y1829" i="2" s="1"/>
  <c r="AB1830" i="2"/>
  <c r="AA1830" i="2"/>
  <c r="X1830" i="2"/>
  <c r="Y1830" i="2" s="1"/>
  <c r="AB1831" i="2"/>
  <c r="AA1831" i="2"/>
  <c r="X1831" i="2"/>
  <c r="Y1831" i="2" s="1"/>
  <c r="AB1832" i="2"/>
  <c r="AA1832" i="2"/>
  <c r="X1832" i="2"/>
  <c r="Y1832" i="2" s="1"/>
  <c r="AB1833" i="2"/>
  <c r="AA1833" i="2"/>
  <c r="X1833" i="2"/>
  <c r="Y1833" i="2" s="1"/>
  <c r="H331" i="6"/>
  <c r="K41" i="3"/>
  <c r="L41" i="3" s="1"/>
  <c r="AB1834" i="2"/>
  <c r="AA1834" i="2"/>
  <c r="X1834" i="2"/>
  <c r="Y1834" i="2" s="1"/>
  <c r="AF1835" i="2"/>
  <c r="AB1835" i="2"/>
  <c r="AA1835" i="2"/>
  <c r="X1835" i="2"/>
  <c r="Y1835" i="2" s="1"/>
  <c r="H332" i="6"/>
  <c r="AF1836" i="2"/>
  <c r="AB1836" i="2"/>
  <c r="AA1836" i="2"/>
  <c r="X1836" i="2"/>
  <c r="Y1836" i="2" s="1"/>
  <c r="AB1837" i="2"/>
  <c r="AA1837" i="2"/>
  <c r="X1837" i="2"/>
  <c r="Y1837" i="2" s="1"/>
  <c r="AB1838" i="2"/>
  <c r="AA1838" i="2"/>
  <c r="X1838" i="2"/>
  <c r="Y1838" i="2" s="1"/>
  <c r="H333" i="6"/>
  <c r="AF1839" i="2"/>
  <c r="AB1839" i="2"/>
  <c r="AA1839" i="2"/>
  <c r="X1839" i="2"/>
  <c r="Y1839" i="2" s="1"/>
  <c r="AB1840" i="2"/>
  <c r="AA1840" i="2"/>
  <c r="X1840" i="2"/>
  <c r="Y1840" i="2" s="1"/>
  <c r="AB1841" i="2"/>
  <c r="AA1841" i="2"/>
  <c r="X1841" i="2"/>
  <c r="Y1841" i="2" s="1"/>
  <c r="H334" i="6"/>
  <c r="AF1842" i="2"/>
  <c r="AB1842" i="2"/>
  <c r="AA1842" i="2"/>
  <c r="X1842" i="2"/>
  <c r="Y1842" i="2" s="1"/>
  <c r="AB1843" i="2"/>
  <c r="AA1843" i="2"/>
  <c r="X1843" i="2"/>
  <c r="Y1843" i="2" s="1"/>
  <c r="AF1844" i="2"/>
  <c r="AB1844" i="2"/>
  <c r="AA1844" i="2"/>
  <c r="X1844" i="2"/>
  <c r="Y1844" i="2" s="1"/>
  <c r="AB1845" i="2"/>
  <c r="AA1845" i="2"/>
  <c r="X1845" i="2"/>
  <c r="Y1845" i="2" s="1"/>
  <c r="AB1846" i="2"/>
  <c r="AA1846" i="2"/>
  <c r="X1846" i="2"/>
  <c r="Y1846" i="2" s="1"/>
  <c r="AF1847" i="2"/>
  <c r="AB1847" i="2"/>
  <c r="AA1847" i="2"/>
  <c r="X1847" i="2"/>
  <c r="Y1847" i="2" s="1"/>
  <c r="AB1848" i="2"/>
  <c r="AA1848" i="2"/>
  <c r="X1848" i="2"/>
  <c r="Y1848" i="2" s="1"/>
  <c r="AB1849" i="2"/>
  <c r="AA1849" i="2"/>
  <c r="X1849" i="2"/>
  <c r="Y1849" i="2" s="1"/>
  <c r="H335" i="6"/>
  <c r="AB1850" i="2"/>
  <c r="AA1850" i="2"/>
  <c r="X1850" i="2"/>
  <c r="Y1850" i="2" s="1"/>
  <c r="AB1851" i="2"/>
  <c r="AA1851" i="2"/>
  <c r="X1851" i="2"/>
  <c r="Y1851" i="2" s="1"/>
  <c r="AF1852" i="2"/>
  <c r="AB1852" i="2"/>
  <c r="AA1852" i="2"/>
  <c r="X1852" i="2"/>
  <c r="Y1852" i="2" s="1"/>
  <c r="AF1853" i="2"/>
  <c r="AB1853" i="2"/>
  <c r="AA1853" i="2"/>
  <c r="X1853" i="2"/>
  <c r="Y1853" i="2" s="1"/>
  <c r="K48" i="3"/>
  <c r="L48" i="3" s="1"/>
  <c r="AF1854" i="2"/>
  <c r="AB1854" i="2"/>
  <c r="AA1854" i="2"/>
  <c r="X1854" i="2"/>
  <c r="Y1854" i="2" s="1"/>
  <c r="H336" i="6"/>
  <c r="AF1855" i="2"/>
  <c r="AB1855" i="2"/>
  <c r="AA1855" i="2"/>
  <c r="X1855" i="2"/>
  <c r="Y1855" i="2" s="1"/>
  <c r="AB1856" i="2"/>
  <c r="AA1856" i="2"/>
  <c r="X1856" i="2"/>
  <c r="Y1856" i="2" s="1"/>
  <c r="H337" i="6"/>
  <c r="AF1857" i="2"/>
  <c r="AB1857" i="2"/>
  <c r="AA1857" i="2"/>
  <c r="X1857" i="2"/>
  <c r="Y1857" i="2" s="1"/>
  <c r="H338" i="6"/>
  <c r="I5" i="5"/>
  <c r="K16" i="3"/>
  <c r="L16" i="3" s="1"/>
  <c r="AF1858" i="2"/>
  <c r="AB1858" i="2"/>
  <c r="AA1858" i="2"/>
  <c r="X1858" i="2"/>
  <c r="Y1858" i="2" s="1"/>
  <c r="I7" i="5"/>
  <c r="AF1859" i="2"/>
  <c r="AB1859" i="2"/>
  <c r="AA1859" i="2"/>
  <c r="X1859" i="2"/>
  <c r="Y1859" i="2" s="1"/>
  <c r="I9" i="5"/>
  <c r="AB1860" i="2"/>
  <c r="AA1860" i="2"/>
  <c r="X1860" i="2"/>
  <c r="Y1860" i="2" s="1"/>
  <c r="I8" i="5"/>
  <c r="AB1861" i="2"/>
  <c r="AA1861" i="2"/>
  <c r="X1861" i="2"/>
  <c r="Y1861" i="2" s="1"/>
  <c r="I19" i="5"/>
  <c r="AB1862" i="2"/>
  <c r="AA1862" i="2"/>
  <c r="X1862" i="2"/>
  <c r="Y1862" i="2" s="1"/>
  <c r="AF1863" i="2"/>
  <c r="AB1863" i="2"/>
  <c r="AA1863" i="2"/>
  <c r="X1863" i="2"/>
  <c r="Y1863" i="2" s="1"/>
  <c r="I10" i="5"/>
  <c r="AF1864" i="2"/>
  <c r="AB1864" i="2"/>
  <c r="AA1864" i="2"/>
  <c r="X1864" i="2"/>
  <c r="Y1864" i="2" s="1"/>
  <c r="I20" i="5"/>
  <c r="AB1865" i="2"/>
  <c r="AA1865" i="2"/>
  <c r="X1865" i="2"/>
  <c r="Y1865" i="2" s="1"/>
  <c r="I11" i="5"/>
  <c r="AF1866" i="2"/>
  <c r="AB1866" i="2"/>
  <c r="AA1866" i="2"/>
  <c r="X1866" i="2"/>
  <c r="Y1866" i="2" s="1"/>
  <c r="H339" i="6"/>
  <c r="I6" i="5"/>
  <c r="AF1867" i="2"/>
  <c r="AB1867" i="2"/>
  <c r="AA1867" i="2"/>
  <c r="X1867" i="2"/>
  <c r="Y1867" i="2" s="1"/>
  <c r="AB1868" i="2"/>
  <c r="AA1868" i="2"/>
  <c r="X1868" i="2"/>
  <c r="Y1868" i="2" s="1"/>
  <c r="AF1869" i="2"/>
  <c r="AB1869" i="2"/>
  <c r="AA1869" i="2"/>
  <c r="X1869" i="2"/>
  <c r="Y1869" i="2" s="1"/>
  <c r="H340" i="6"/>
  <c r="K12" i="3"/>
  <c r="L12" i="3" s="1"/>
  <c r="AB1870" i="2"/>
  <c r="AA1870" i="2"/>
  <c r="X1870" i="2"/>
  <c r="Y1870" i="2" s="1"/>
  <c r="I16" i="5"/>
  <c r="AF1871" i="2"/>
  <c r="AB1871" i="2"/>
  <c r="AA1871" i="2"/>
  <c r="X1871" i="2"/>
  <c r="Y1871" i="2" s="1"/>
  <c r="AB1872" i="2"/>
  <c r="AA1872" i="2"/>
  <c r="X1872" i="2"/>
  <c r="Y1872" i="2" s="1"/>
  <c r="H341" i="6"/>
  <c r="AF1873" i="2"/>
  <c r="AB1873" i="2"/>
  <c r="AA1873" i="2"/>
  <c r="X1873" i="2"/>
  <c r="Y1873" i="2" s="1"/>
  <c r="AB1874" i="2"/>
  <c r="AA1874" i="2"/>
  <c r="X1874" i="2"/>
  <c r="Y1874" i="2" s="1"/>
  <c r="AF1875" i="2"/>
  <c r="AB1875" i="2"/>
  <c r="AA1875" i="2"/>
  <c r="X1875" i="2"/>
  <c r="Y1875" i="2" s="1"/>
  <c r="AF1876" i="2"/>
  <c r="AB1876" i="2"/>
  <c r="AA1876" i="2"/>
  <c r="X1876" i="2"/>
  <c r="Y1876" i="2" s="1"/>
  <c r="AB1877" i="2"/>
  <c r="AA1877" i="2"/>
  <c r="X1877" i="2"/>
  <c r="Y1877" i="2" s="1"/>
  <c r="AB1878" i="2"/>
  <c r="AA1878" i="2"/>
  <c r="X1878" i="2"/>
  <c r="Y1878" i="2" s="1"/>
  <c r="AB1879" i="2"/>
  <c r="AA1879" i="2"/>
  <c r="X1879" i="2"/>
  <c r="Y1879" i="2" s="1"/>
  <c r="AF1880" i="2"/>
  <c r="AB1880" i="2"/>
  <c r="AA1880" i="2"/>
  <c r="X1880" i="2"/>
  <c r="Y1880" i="2" s="1"/>
  <c r="AB1881" i="2"/>
  <c r="AA1881" i="2"/>
  <c r="X1881" i="2"/>
  <c r="Y1881" i="2" s="1"/>
  <c r="AB1882" i="2"/>
  <c r="AA1882" i="2"/>
  <c r="X1882" i="2"/>
  <c r="Y1882" i="2" s="1"/>
  <c r="I12" i="5"/>
  <c r="AB1883" i="2"/>
  <c r="AA1883" i="2"/>
  <c r="X1883" i="2"/>
  <c r="Y1883" i="2" s="1"/>
  <c r="AB1884" i="2"/>
  <c r="AA1884" i="2"/>
  <c r="X1884" i="2"/>
  <c r="Y1884" i="2" s="1"/>
  <c r="AF1885" i="2"/>
  <c r="AB1885" i="2"/>
  <c r="AA1885" i="2"/>
  <c r="X1885" i="2"/>
  <c r="Y1885" i="2" s="1"/>
  <c r="H342" i="6"/>
  <c r="AB1886" i="2"/>
  <c r="AA1886" i="2"/>
  <c r="X1886" i="2"/>
  <c r="Y1886" i="2" s="1"/>
  <c r="AB1887" i="2"/>
  <c r="AA1887" i="2"/>
  <c r="X1887" i="2"/>
  <c r="Y1887" i="2" s="1"/>
  <c r="H343" i="6"/>
  <c r="AB1888" i="2"/>
  <c r="AA1888" i="2"/>
  <c r="X1888" i="2"/>
  <c r="Y1888" i="2" s="1"/>
  <c r="I22" i="5"/>
  <c r="AB1889" i="2"/>
  <c r="AA1889" i="2"/>
  <c r="X1889" i="2"/>
  <c r="Y1889" i="2" s="1"/>
  <c r="H344" i="6"/>
  <c r="AB1890" i="2"/>
  <c r="AA1890" i="2"/>
  <c r="X1890" i="2"/>
  <c r="Y1890" i="2" s="1"/>
  <c r="H345" i="6"/>
  <c r="AB1891" i="2"/>
  <c r="AA1891" i="2"/>
  <c r="X1891" i="2"/>
  <c r="Y1891" i="2" s="1"/>
  <c r="AB1892" i="2"/>
  <c r="AA1892" i="2"/>
  <c r="X1892" i="2"/>
  <c r="Y1892" i="2" s="1"/>
  <c r="AB1893" i="2"/>
  <c r="AA1893" i="2"/>
  <c r="X1893" i="2"/>
  <c r="Y1893" i="2" s="1"/>
  <c r="H346" i="6"/>
  <c r="AF1894" i="2"/>
  <c r="AB1894" i="2"/>
  <c r="AA1894" i="2"/>
  <c r="X1894" i="2"/>
  <c r="Y1894" i="2" s="1"/>
  <c r="AF1895" i="2"/>
  <c r="AB1895" i="2"/>
  <c r="AA1895" i="2"/>
  <c r="X1895" i="2"/>
  <c r="Y1895" i="2" s="1"/>
  <c r="AB1896" i="2"/>
  <c r="AA1896" i="2"/>
  <c r="X1896" i="2"/>
  <c r="Y1896" i="2" s="1"/>
  <c r="AF1897" i="2"/>
  <c r="AB1897" i="2"/>
  <c r="AA1897" i="2"/>
  <c r="X1897" i="2"/>
  <c r="Y1897" i="2" s="1"/>
  <c r="AB1898" i="2"/>
  <c r="AA1898" i="2"/>
  <c r="X1898" i="2"/>
  <c r="Y1898" i="2" s="1"/>
  <c r="AF1899" i="2"/>
  <c r="AB1899" i="2"/>
  <c r="AA1899" i="2"/>
  <c r="X1899" i="2"/>
  <c r="Y1899" i="2" s="1"/>
  <c r="AB1900" i="2"/>
  <c r="AA1900" i="2"/>
  <c r="X1900" i="2"/>
  <c r="Y1900" i="2" s="1"/>
  <c r="H347" i="6"/>
  <c r="AB1901" i="2"/>
  <c r="AA1901" i="2"/>
  <c r="X1901" i="2"/>
  <c r="Y1901" i="2" s="1"/>
  <c r="H348" i="6"/>
  <c r="AF1902" i="2"/>
  <c r="AB1902" i="2"/>
  <c r="AA1902" i="2"/>
  <c r="X1902" i="2"/>
  <c r="Y1902" i="2" s="1"/>
  <c r="AB1903" i="2"/>
  <c r="AA1903" i="2"/>
  <c r="X1903" i="2"/>
  <c r="Y1903" i="2" s="1"/>
  <c r="AB1904" i="2"/>
  <c r="AA1904" i="2"/>
  <c r="X1904" i="2"/>
  <c r="Y1904" i="2" s="1"/>
  <c r="H349" i="6"/>
  <c r="AF1905" i="2"/>
  <c r="AB1905" i="2"/>
  <c r="AA1905" i="2"/>
  <c r="X1905" i="2"/>
  <c r="Y1905" i="2" s="1"/>
  <c r="AB1906" i="2"/>
  <c r="AA1906" i="2"/>
  <c r="X1906" i="2"/>
  <c r="Y1906" i="2" s="1"/>
  <c r="AF1907" i="2"/>
  <c r="AB1907" i="2"/>
  <c r="AA1907" i="2"/>
  <c r="X1907" i="2"/>
  <c r="Y1907" i="2" s="1"/>
  <c r="AB1908" i="2"/>
  <c r="AA1908" i="2"/>
  <c r="X1908" i="2"/>
  <c r="Y1908" i="2" s="1"/>
  <c r="AB1909" i="2"/>
  <c r="AA1909" i="2"/>
  <c r="X1909" i="2"/>
  <c r="Y1909" i="2" s="1"/>
  <c r="AB1910" i="2"/>
  <c r="AA1910" i="2"/>
  <c r="X1910" i="2"/>
  <c r="Y1910" i="2" s="1"/>
  <c r="AB1911" i="2"/>
  <c r="AA1911" i="2"/>
  <c r="X1911" i="2"/>
  <c r="Y1911" i="2" s="1"/>
  <c r="AB1912" i="2"/>
  <c r="AA1912" i="2"/>
  <c r="X1912" i="2"/>
  <c r="Y1912" i="2" s="1"/>
  <c r="AF1913" i="2"/>
  <c r="AB1913" i="2"/>
  <c r="AA1913" i="2"/>
  <c r="X1913" i="2"/>
  <c r="Y1913" i="2" s="1"/>
  <c r="AF1914" i="2"/>
  <c r="AB1914" i="2"/>
  <c r="AA1914" i="2"/>
  <c r="X1914" i="2"/>
  <c r="Y1914" i="2" s="1"/>
  <c r="AB1915" i="2"/>
  <c r="AA1915" i="2"/>
  <c r="X1915" i="2"/>
  <c r="Y1915" i="2" s="1"/>
  <c r="AB1916" i="2"/>
  <c r="AA1916" i="2"/>
  <c r="X1916" i="2"/>
  <c r="Y1916" i="2" s="1"/>
  <c r="H350" i="6"/>
  <c r="AB1917" i="2"/>
  <c r="AA1917" i="2"/>
  <c r="X1917" i="2"/>
  <c r="Y1917" i="2" s="1"/>
  <c r="AF1918" i="2"/>
  <c r="AB1918" i="2"/>
  <c r="AA1918" i="2"/>
  <c r="X1918" i="2"/>
  <c r="Y1918" i="2" s="1"/>
  <c r="K88" i="3"/>
  <c r="L88" i="3" s="1"/>
  <c r="AF1919" i="2"/>
  <c r="AB1919" i="2"/>
  <c r="AA1919" i="2"/>
  <c r="X1919" i="2"/>
  <c r="Y1919" i="2" s="1"/>
  <c r="AB1920" i="2"/>
  <c r="AA1920" i="2"/>
  <c r="X1920" i="2"/>
  <c r="Y1920" i="2" s="1"/>
  <c r="H351" i="6"/>
  <c r="AF1921" i="2"/>
  <c r="AB1921" i="2"/>
  <c r="AA1921" i="2"/>
  <c r="X1921" i="2"/>
  <c r="Y1921" i="2" s="1"/>
  <c r="H352" i="6"/>
  <c r="AB1922" i="2"/>
  <c r="AA1922" i="2"/>
  <c r="Y1922" i="2"/>
  <c r="X1922" i="2"/>
  <c r="H353" i="6"/>
  <c r="I13" i="5"/>
  <c r="AB1923" i="2"/>
  <c r="AA1923" i="2"/>
  <c r="Y1923" i="2"/>
  <c r="X1923" i="2"/>
  <c r="AB1924" i="2"/>
  <c r="AA1924" i="2"/>
  <c r="X1924" i="2"/>
  <c r="Y1924" i="2" s="1"/>
  <c r="AB1925" i="2"/>
  <c r="AA1925" i="2"/>
  <c r="X1925" i="2"/>
  <c r="Y1925" i="2" s="1"/>
  <c r="AB1926" i="2"/>
  <c r="AA1926" i="2"/>
  <c r="Y1926" i="2"/>
  <c r="X1926" i="2"/>
  <c r="I18" i="5"/>
  <c r="AB1927" i="2"/>
  <c r="AA1927" i="2"/>
  <c r="X1927" i="2"/>
  <c r="Y1927" i="2" s="1"/>
  <c r="AB1928" i="2"/>
  <c r="AA1928" i="2"/>
  <c r="Y1928" i="2"/>
  <c r="X1928" i="2"/>
  <c r="AF1929" i="2"/>
  <c r="AB1929" i="2"/>
  <c r="AA1929" i="2"/>
  <c r="X1929" i="2"/>
  <c r="Y1929" i="2" s="1"/>
  <c r="H354" i="6"/>
  <c r="K97" i="3"/>
  <c r="L97" i="3" s="1"/>
  <c r="AB1930" i="2"/>
  <c r="AA1930" i="2"/>
  <c r="Y1930" i="2"/>
  <c r="X1930" i="2"/>
  <c r="AB1931" i="2"/>
  <c r="AA1931" i="2"/>
  <c r="X1931" i="2"/>
  <c r="Y1931" i="2" s="1"/>
  <c r="AB1932" i="2"/>
  <c r="AA1932" i="2"/>
  <c r="Y1932" i="2"/>
  <c r="X1932" i="2"/>
  <c r="H355" i="6"/>
  <c r="K29" i="3"/>
  <c r="L29" i="3" s="1"/>
  <c r="AB1933" i="2"/>
  <c r="AA1933" i="2"/>
  <c r="Y1933" i="2"/>
  <c r="X1933" i="2"/>
  <c r="I17" i="5"/>
  <c r="AB1934" i="2"/>
  <c r="AA1934" i="2"/>
  <c r="Y1934" i="2"/>
  <c r="X1934" i="2"/>
  <c r="AF1935" i="2"/>
  <c r="AB1935" i="2"/>
  <c r="AA1935" i="2"/>
  <c r="X1935" i="2"/>
  <c r="Y1935" i="2" s="1"/>
  <c r="AB1936" i="2"/>
  <c r="AA1936" i="2"/>
  <c r="Y1936" i="2"/>
  <c r="X1936" i="2"/>
  <c r="AF1937" i="2"/>
  <c r="AB1937" i="2"/>
  <c r="AA1937" i="2"/>
  <c r="X1937" i="2"/>
  <c r="Y1937" i="2" s="1"/>
  <c r="H356" i="6"/>
  <c r="I5" i="4"/>
  <c r="H5" i="4"/>
  <c r="K35" i="3"/>
  <c r="L35" i="3" s="1"/>
  <c r="AF1938" i="2"/>
  <c r="AB1938" i="2"/>
  <c r="AA1938" i="2"/>
  <c r="X1938" i="2"/>
  <c r="Y1938" i="2" s="1"/>
  <c r="AF1939" i="2"/>
  <c r="AB1939" i="2"/>
  <c r="AA1939" i="2"/>
  <c r="Y1939" i="2"/>
  <c r="X1939" i="2"/>
  <c r="H357" i="6"/>
  <c r="K5" i="4"/>
  <c r="AF1940" i="2"/>
  <c r="AB1940" i="2"/>
  <c r="AA1940" i="2"/>
  <c r="X1940" i="2"/>
  <c r="Y1940" i="2" s="1"/>
  <c r="AB1941" i="2"/>
  <c r="AA1941" i="2"/>
  <c r="Y1941" i="2"/>
  <c r="X1941" i="2"/>
  <c r="I14" i="5"/>
  <c r="AF1942" i="2"/>
  <c r="AB1942" i="2"/>
  <c r="AA1942" i="2"/>
  <c r="Y1942" i="2"/>
  <c r="X1942" i="2"/>
  <c r="AB1943" i="2"/>
  <c r="AA1943" i="2"/>
  <c r="Y1943" i="2"/>
  <c r="X1943" i="2"/>
  <c r="AF1944" i="2"/>
  <c r="AB1944" i="2"/>
  <c r="AA1944" i="2"/>
  <c r="Y1944" i="2"/>
  <c r="X1944" i="2"/>
  <c r="AF1945" i="2"/>
  <c r="AB1945" i="2"/>
  <c r="AA1945" i="2"/>
  <c r="X1945" i="2"/>
  <c r="Y1945" i="2" s="1"/>
  <c r="I15" i="5"/>
  <c r="AF1946" i="2"/>
  <c r="AB1946" i="2"/>
  <c r="AA1946" i="2"/>
  <c r="X1946" i="2"/>
  <c r="Y1946" i="2" s="1"/>
  <c r="AF1947" i="2"/>
  <c r="N97" i="3" s="1"/>
  <c r="AB1947" i="2"/>
  <c r="AA1947" i="2"/>
  <c r="Y1947" i="2"/>
  <c r="X1947" i="2"/>
  <c r="AF1948" i="2"/>
  <c r="AB1948" i="2"/>
  <c r="AA1948" i="2"/>
  <c r="X1948" i="2"/>
  <c r="Y1948" i="2" s="1"/>
  <c r="AB1949" i="2"/>
  <c r="AA1949" i="2"/>
  <c r="Y1949" i="2"/>
  <c r="X1949" i="2"/>
  <c r="AF1950" i="2"/>
  <c r="AB1950" i="2"/>
  <c r="AA1950" i="2"/>
  <c r="X1950" i="2"/>
  <c r="Y1950" i="2" s="1"/>
  <c r="AB1951" i="2"/>
  <c r="AA1951" i="2"/>
  <c r="Y1951" i="2"/>
  <c r="X1951" i="2"/>
  <c r="H358" i="6"/>
  <c r="AB1952" i="2"/>
  <c r="AA1952" i="2"/>
  <c r="X1952" i="2"/>
  <c r="Y1952" i="2" s="1"/>
  <c r="H359" i="6"/>
  <c r="AB1953" i="2"/>
  <c r="AA1953" i="2"/>
  <c r="X1953" i="2"/>
  <c r="Y1953" i="2" s="1"/>
  <c r="AB1954" i="2"/>
  <c r="AA1954" i="2"/>
  <c r="X1954" i="2"/>
  <c r="Y1954" i="2" s="1"/>
  <c r="AB1955" i="2"/>
  <c r="AA1955" i="2"/>
  <c r="Y1955" i="2"/>
  <c r="X1955" i="2"/>
  <c r="AF1956" i="2"/>
  <c r="AB1956" i="2"/>
  <c r="AA1956" i="2"/>
  <c r="X1956" i="2"/>
  <c r="Y1956" i="2" s="1"/>
  <c r="AF1957" i="2"/>
  <c r="AB1957" i="2"/>
  <c r="AA1957" i="2"/>
  <c r="X1957" i="2"/>
  <c r="Y1957" i="2" s="1"/>
  <c r="L5" i="4"/>
  <c r="AB1958" i="2"/>
  <c r="AA1958" i="2"/>
  <c r="Y1958" i="2"/>
  <c r="X1958" i="2"/>
  <c r="H360" i="6"/>
  <c r="J5" i="4"/>
  <c r="AB1959" i="2"/>
  <c r="AA1959" i="2"/>
  <c r="Y1959" i="2"/>
  <c r="X1959" i="2"/>
  <c r="AB1960" i="2"/>
  <c r="AA1960" i="2"/>
  <c r="X1960" i="2"/>
  <c r="Y1960" i="2" s="1"/>
  <c r="AF1961" i="2"/>
  <c r="AB1961" i="2"/>
  <c r="AA1961" i="2"/>
  <c r="Y1961" i="2"/>
  <c r="X1961" i="2"/>
  <c r="AF1962" i="2"/>
  <c r="AB1962" i="2"/>
  <c r="AA1962" i="2"/>
  <c r="X1962" i="2"/>
  <c r="Y1962" i="2" s="1"/>
  <c r="H361" i="6"/>
  <c r="AB1963" i="2"/>
  <c r="AA1963" i="2"/>
  <c r="X1963" i="2"/>
  <c r="Y1963" i="2" s="1"/>
  <c r="AF1964" i="2"/>
  <c r="AB1964" i="2"/>
  <c r="AA1964" i="2"/>
  <c r="Y1964" i="2"/>
  <c r="X1964" i="2"/>
  <c r="AB1965" i="2"/>
  <c r="AA1965" i="2"/>
  <c r="X1965" i="2"/>
  <c r="Y1965" i="2" s="1"/>
  <c r="AF1966" i="2"/>
  <c r="AB1966" i="2"/>
  <c r="AA1966" i="2"/>
  <c r="Y1966" i="2"/>
  <c r="X1966" i="2"/>
  <c r="AB1967" i="2"/>
  <c r="AA1967" i="2"/>
  <c r="X1967" i="2"/>
  <c r="Y1967" i="2" s="1"/>
  <c r="AB1968" i="2"/>
  <c r="AA1968" i="2"/>
  <c r="X1968" i="2"/>
  <c r="Y1968" i="2" s="1"/>
  <c r="K66" i="3"/>
  <c r="L66" i="3" s="1"/>
  <c r="AB1969" i="2"/>
  <c r="AA1969" i="2"/>
  <c r="X1969" i="2"/>
  <c r="Y1969" i="2" s="1"/>
  <c r="N66" i="3"/>
  <c r="AF1970" i="2"/>
  <c r="AB1970" i="2"/>
  <c r="AA1970" i="2"/>
  <c r="X1970" i="2"/>
  <c r="Y1970" i="2" s="1"/>
  <c r="AB1971" i="2"/>
  <c r="AA1971" i="2"/>
  <c r="X1971" i="2"/>
  <c r="Y1971" i="2" s="1"/>
  <c r="AB1972" i="2"/>
  <c r="AA1972" i="2"/>
  <c r="Y1972" i="2"/>
  <c r="X1972" i="2"/>
  <c r="H362" i="6"/>
  <c r="AF1973" i="2"/>
  <c r="AB1973" i="2"/>
  <c r="AA1973" i="2"/>
  <c r="Y1973" i="2"/>
  <c r="X1973" i="2"/>
  <c r="H363" i="6"/>
  <c r="AF1974" i="2"/>
  <c r="AB1974" i="2"/>
  <c r="AA1974" i="2"/>
  <c r="Y1974" i="2"/>
  <c r="X1974" i="2"/>
  <c r="AF1975" i="2"/>
  <c r="AB1975" i="2"/>
  <c r="AA1975" i="2"/>
  <c r="X1975" i="2"/>
  <c r="Y1975" i="2" s="1"/>
  <c r="I21" i="5"/>
  <c r="AF1976" i="2"/>
  <c r="AB1976" i="2"/>
  <c r="AA1976" i="2"/>
  <c r="X1976" i="2"/>
  <c r="Y1976" i="2" s="1"/>
  <c r="AF1977" i="2"/>
  <c r="AB1977" i="2"/>
  <c r="AA1977" i="2"/>
  <c r="X1977" i="2"/>
  <c r="Y1977" i="2" s="1"/>
  <c r="AF1978" i="2"/>
  <c r="AB1978" i="2"/>
  <c r="AA1978" i="2"/>
  <c r="Y1978" i="2"/>
  <c r="X1978" i="2"/>
  <c r="AF1979" i="2"/>
  <c r="AB1979" i="2"/>
  <c r="AA1979" i="2"/>
  <c r="X1979" i="2"/>
  <c r="Y1979" i="2" s="1"/>
  <c r="AB1980" i="2"/>
  <c r="AA1980" i="2"/>
  <c r="Y1980" i="2"/>
  <c r="X1980" i="2"/>
  <c r="H364" i="6"/>
  <c r="K58" i="3"/>
  <c r="L58" i="3" s="1"/>
  <c r="AB1981" i="2"/>
  <c r="AA1981" i="2"/>
  <c r="Y1981" i="2"/>
  <c r="X1981" i="2"/>
  <c r="AF1982" i="2"/>
  <c r="AB1982" i="2"/>
  <c r="AA1982" i="2"/>
  <c r="Y1982" i="2"/>
  <c r="X1982" i="2"/>
  <c r="AF1983" i="2"/>
  <c r="AB1983" i="2"/>
  <c r="AA1983" i="2"/>
  <c r="X1983" i="2"/>
  <c r="Y1983" i="2" s="1"/>
  <c r="AB1984" i="2"/>
  <c r="AA1984" i="2"/>
  <c r="Y1984" i="2"/>
  <c r="X1984" i="2"/>
  <c r="H365" i="6"/>
  <c r="AB1985" i="2"/>
  <c r="AA1985" i="2"/>
  <c r="X1985" i="2"/>
  <c r="Y1985" i="2" s="1"/>
  <c r="AF1986" i="2"/>
  <c r="AB1986" i="2"/>
  <c r="AA1986" i="2"/>
  <c r="X1986" i="2"/>
  <c r="Y1986" i="2" s="1"/>
  <c r="AF1987" i="2"/>
  <c r="AB1987" i="2"/>
  <c r="AA1987" i="2"/>
  <c r="Y1987" i="2"/>
  <c r="X1987" i="2"/>
  <c r="AB1988" i="2"/>
  <c r="AA1988" i="2"/>
  <c r="X1988" i="2"/>
  <c r="Y1988" i="2" s="1"/>
  <c r="AB1989" i="2"/>
  <c r="AA1989" i="2"/>
  <c r="X1989" i="2"/>
  <c r="Y1989" i="2" s="1"/>
  <c r="AF1990" i="2"/>
  <c r="AB1990" i="2"/>
  <c r="AA1990" i="2"/>
  <c r="X1990" i="2"/>
  <c r="Y1990" i="2" s="1"/>
  <c r="AB1991" i="2"/>
  <c r="AA1991" i="2"/>
  <c r="X1991" i="2"/>
  <c r="Y1991" i="2" s="1"/>
  <c r="AF1992" i="2"/>
  <c r="AB1992" i="2"/>
  <c r="AA1992" i="2"/>
  <c r="X1992" i="2"/>
  <c r="Y1992" i="2" s="1"/>
  <c r="H366" i="6"/>
  <c r="AF1993" i="2"/>
  <c r="AB1993" i="2"/>
  <c r="AA1993" i="2"/>
  <c r="X1993" i="2"/>
  <c r="Y1993" i="2" s="1"/>
  <c r="AB1994" i="2"/>
  <c r="AA1994" i="2"/>
  <c r="X1994" i="2"/>
  <c r="Y1994" i="2" s="1"/>
  <c r="AB1995" i="2"/>
  <c r="AA1995" i="2"/>
  <c r="Y1995" i="2"/>
  <c r="X1995" i="2"/>
  <c r="AB1996" i="2"/>
  <c r="AA1996" i="2"/>
  <c r="X1996" i="2"/>
  <c r="Y1996" i="2" s="1"/>
  <c r="AF1997" i="2"/>
  <c r="AB1997" i="2"/>
  <c r="AA1997" i="2"/>
  <c r="Y1997" i="2"/>
  <c r="X1997" i="2"/>
  <c r="H367" i="6"/>
  <c r="AB1998" i="2"/>
  <c r="AA1998" i="2"/>
  <c r="X1998" i="2"/>
  <c r="Y1998" i="2" s="1"/>
  <c r="AF1999" i="2"/>
  <c r="AB1999" i="2"/>
  <c r="AA1999" i="2"/>
  <c r="X1999" i="2"/>
  <c r="Y1999" i="2" s="1"/>
  <c r="AF2000" i="2"/>
  <c r="AB2000" i="2"/>
  <c r="AA2000" i="2"/>
  <c r="Y2000" i="2"/>
  <c r="X2000" i="2"/>
  <c r="AB2001" i="2"/>
  <c r="AA2001" i="2"/>
  <c r="X2001" i="2"/>
  <c r="Y2001" i="2" s="1"/>
  <c r="AB2002" i="2"/>
  <c r="AA2002" i="2"/>
  <c r="X2002" i="2"/>
  <c r="Y2002" i="2" s="1"/>
  <c r="AF2003" i="2"/>
  <c r="AB2003" i="2"/>
  <c r="AA2003" i="2"/>
  <c r="X2003" i="2"/>
  <c r="Y2003" i="2" s="1"/>
  <c r="AB2004" i="2"/>
  <c r="AA2004" i="2"/>
  <c r="X2004" i="2"/>
  <c r="Y2004" i="2" s="1"/>
  <c r="AF2005" i="2"/>
  <c r="AB2005" i="2"/>
  <c r="AA2005" i="2"/>
  <c r="X2005" i="2"/>
  <c r="Y2005" i="2" s="1"/>
  <c r="AB2006" i="2"/>
  <c r="AA2006" i="2"/>
  <c r="X2006" i="2"/>
  <c r="Y2006" i="2" s="1"/>
  <c r="AF2007" i="2"/>
  <c r="AB2007" i="2"/>
  <c r="AA2007" i="2"/>
  <c r="X2007" i="2"/>
  <c r="Y2007" i="2" s="1"/>
  <c r="AF2008" i="2"/>
  <c r="AB2008" i="2"/>
  <c r="AA2008" i="2"/>
  <c r="Y2008" i="2"/>
  <c r="X2008" i="2"/>
  <c r="AB2009" i="2"/>
  <c r="AA2009" i="2"/>
  <c r="X2009" i="2"/>
  <c r="Y2009" i="2" s="1"/>
  <c r="H368" i="6"/>
  <c r="AF2010" i="2"/>
  <c r="AB2010" i="2"/>
  <c r="AA2010" i="2"/>
  <c r="X2010" i="2"/>
  <c r="Y2010" i="2" s="1"/>
  <c r="AB2011" i="2"/>
  <c r="AA2011" i="2"/>
  <c r="X2011" i="2"/>
  <c r="Y2011" i="2" s="1"/>
  <c r="AB2012" i="2"/>
  <c r="AA2012" i="2"/>
  <c r="Y2012" i="2"/>
  <c r="X2012" i="2"/>
  <c r="AB2013" i="2"/>
  <c r="AA2013" i="2"/>
  <c r="X2013" i="2"/>
  <c r="Y2013" i="2" s="1"/>
  <c r="H369" i="6"/>
  <c r="K24" i="3"/>
  <c r="L24" i="3" s="1"/>
  <c r="AF2014" i="2"/>
  <c r="AB2014" i="2"/>
  <c r="AA2014" i="2"/>
  <c r="X2014" i="2"/>
  <c r="Y2014" i="2" s="1"/>
  <c r="AB2015" i="2"/>
  <c r="AA2015" i="2"/>
  <c r="Y2015" i="2"/>
  <c r="X2015" i="2"/>
  <c r="AB2016" i="2"/>
  <c r="AA2016" i="2"/>
  <c r="X2016" i="2"/>
  <c r="Y2016" i="2" s="1"/>
  <c r="AB2017" i="2"/>
  <c r="AA2017" i="2"/>
  <c r="X2017" i="2"/>
  <c r="Y2017" i="2" s="1"/>
  <c r="K113" i="3"/>
  <c r="L113" i="3" s="1"/>
  <c r="AF2018" i="2"/>
  <c r="AB2018" i="2"/>
  <c r="AA2018" i="2"/>
  <c r="X2018" i="2"/>
  <c r="Y2018" i="2" s="1"/>
  <c r="H370" i="6"/>
  <c r="AF2019" i="2"/>
  <c r="AB2019" i="2"/>
  <c r="AA2019" i="2"/>
  <c r="X2019" i="2"/>
  <c r="Y2019" i="2" s="1"/>
  <c r="AF2020" i="2"/>
  <c r="AB2020" i="2"/>
  <c r="AA2020" i="2"/>
  <c r="X2020" i="2"/>
  <c r="Y2020" i="2" s="1"/>
  <c r="AB2021" i="2"/>
  <c r="AA2021" i="2"/>
  <c r="X2021" i="2"/>
  <c r="Y2021" i="2" s="1"/>
  <c r="H371" i="6"/>
  <c r="AB2022" i="2"/>
  <c r="AA2022" i="2"/>
  <c r="X2022" i="2"/>
  <c r="Y2022" i="2" s="1"/>
  <c r="AB2023" i="2"/>
  <c r="AA2023" i="2"/>
  <c r="X2023" i="2"/>
  <c r="Y2023" i="2" s="1"/>
  <c r="H372" i="6"/>
  <c r="AB2024" i="2"/>
  <c r="AA2024" i="2"/>
  <c r="X2024" i="2"/>
  <c r="Y2024" i="2" s="1"/>
  <c r="AF2025" i="2"/>
  <c r="AB2025" i="2"/>
  <c r="AA2025" i="2"/>
  <c r="Y2025" i="2"/>
  <c r="X2025" i="2"/>
  <c r="AB2026" i="2"/>
  <c r="AA2026" i="2"/>
  <c r="X2026" i="2"/>
  <c r="Y2026" i="2" s="1"/>
  <c r="AB2027" i="2"/>
  <c r="AA2027" i="2"/>
  <c r="Y2027" i="2"/>
  <c r="X2027" i="2"/>
  <c r="AB2028" i="2"/>
  <c r="AA2028" i="2"/>
  <c r="Y2028" i="2"/>
  <c r="X2028" i="2"/>
  <c r="K78" i="3"/>
  <c r="L78" i="3" s="1"/>
  <c r="AB2029" i="2"/>
  <c r="AA2029" i="2"/>
  <c r="Y2029" i="2"/>
  <c r="X2029" i="2"/>
  <c r="AF2030" i="2"/>
  <c r="AB2030" i="2"/>
  <c r="AA2030" i="2"/>
  <c r="X2030" i="2"/>
  <c r="Y2030" i="2" s="1"/>
  <c r="H373" i="6"/>
  <c r="AB2031" i="2"/>
  <c r="AA2031" i="2"/>
  <c r="X2031" i="2"/>
  <c r="Y2031" i="2" s="1"/>
  <c r="AB2032" i="2"/>
  <c r="AA2032" i="2"/>
  <c r="Y2032" i="2"/>
  <c r="X2032" i="2"/>
  <c r="AF2033" i="2"/>
  <c r="AB2033" i="2"/>
  <c r="AA2033" i="2"/>
  <c r="X2033" i="2"/>
  <c r="Y2033" i="2" s="1"/>
  <c r="AB2034" i="2"/>
  <c r="AA2034" i="2"/>
  <c r="Y2034" i="2"/>
  <c r="X2034" i="2"/>
  <c r="AF2035" i="2"/>
  <c r="AB2035" i="2"/>
  <c r="AA2035" i="2"/>
  <c r="X2035" i="2"/>
  <c r="Y2035" i="2" s="1"/>
  <c r="H374" i="6"/>
  <c r="AF2036" i="2"/>
  <c r="AB2036" i="2"/>
  <c r="AA2036" i="2"/>
  <c r="X2036" i="2"/>
  <c r="Y2036" i="2" s="1"/>
  <c r="H375" i="6"/>
  <c r="AF2037" i="2"/>
  <c r="AB2037" i="2"/>
  <c r="AA2037" i="2"/>
  <c r="X2037" i="2"/>
  <c r="Y2037" i="2" s="1"/>
  <c r="AB2038" i="2"/>
  <c r="AA2038" i="2"/>
  <c r="Y2038" i="2"/>
  <c r="X2038" i="2"/>
  <c r="AF2039" i="2"/>
  <c r="AB2039" i="2"/>
  <c r="AA2039" i="2"/>
  <c r="X2039" i="2"/>
  <c r="Y2039" i="2" s="1"/>
  <c r="AB2040" i="2"/>
  <c r="AA2040" i="2"/>
  <c r="X2040" i="2"/>
  <c r="Y2040" i="2" s="1"/>
  <c r="AB2041" i="2"/>
  <c r="AA2041" i="2"/>
  <c r="Y2041" i="2"/>
  <c r="X2041" i="2"/>
  <c r="AF2042" i="2"/>
  <c r="AB2042" i="2"/>
  <c r="AA2042" i="2"/>
  <c r="X2042" i="2"/>
  <c r="Y2042" i="2" s="1"/>
  <c r="H376" i="6"/>
  <c r="AF2043" i="2"/>
  <c r="AB2043" i="2"/>
  <c r="AA2043" i="2"/>
  <c r="X2043" i="2"/>
  <c r="Y2043" i="2" s="1"/>
  <c r="AF2044" i="2"/>
  <c r="AB2044" i="2"/>
  <c r="AA2044" i="2"/>
  <c r="X2044" i="2"/>
  <c r="Y2044" i="2" s="1"/>
  <c r="AB2045" i="2"/>
  <c r="AA2045" i="2"/>
  <c r="Y2045" i="2"/>
  <c r="X2045" i="2"/>
  <c r="AF2046" i="2"/>
  <c r="AB2046" i="2"/>
  <c r="AA2046" i="2"/>
  <c r="X2046" i="2"/>
  <c r="Y2046" i="2" s="1"/>
  <c r="AB2047" i="2"/>
  <c r="AA2047" i="2"/>
  <c r="Y2047" i="2"/>
  <c r="X2047" i="2"/>
  <c r="AB2048" i="2"/>
  <c r="AA2048" i="2"/>
  <c r="Y2048" i="2"/>
  <c r="X2048" i="2"/>
  <c r="AB2049" i="2"/>
  <c r="AA2049" i="2"/>
  <c r="X2049" i="2"/>
  <c r="Y2049" i="2" s="1"/>
  <c r="AB2050" i="2"/>
  <c r="AA2050" i="2"/>
  <c r="X2050" i="2"/>
  <c r="Y2050" i="2" s="1"/>
  <c r="AF2051" i="2"/>
  <c r="AB2051" i="2"/>
  <c r="AA2051" i="2"/>
  <c r="X2051" i="2"/>
  <c r="Y2051" i="2" s="1"/>
  <c r="AB2052" i="2"/>
  <c r="AA2052" i="2"/>
  <c r="Y2052" i="2"/>
  <c r="X2052" i="2"/>
  <c r="H377" i="6"/>
  <c r="AB2053" i="2"/>
  <c r="AA2053" i="2"/>
  <c r="X2053" i="2"/>
  <c r="Y2053" i="2" s="1"/>
  <c r="AB2054" i="2"/>
  <c r="AA2054" i="2"/>
  <c r="Y2054" i="2"/>
  <c r="X2054" i="2"/>
  <c r="AB2055" i="2"/>
  <c r="AA2055" i="2"/>
  <c r="Y2055" i="2"/>
  <c r="X2055" i="2"/>
  <c r="H378" i="6"/>
  <c r="AB2056" i="2"/>
  <c r="AA2056" i="2"/>
  <c r="Y2056" i="2"/>
  <c r="X2056" i="2"/>
  <c r="AF2057" i="2"/>
  <c r="AB2057" i="2"/>
  <c r="AA2057" i="2"/>
  <c r="X2057" i="2"/>
  <c r="Y2057" i="2" s="1"/>
  <c r="H379" i="6"/>
  <c r="K141" i="3"/>
  <c r="L141" i="3" s="1"/>
  <c r="AF2058" i="2"/>
  <c r="AB2058" i="2"/>
  <c r="AA2058" i="2"/>
  <c r="X2058" i="2"/>
  <c r="Y2058" i="2" s="1"/>
  <c r="AF2059" i="2"/>
  <c r="AB2059" i="2"/>
  <c r="AA2059" i="2"/>
  <c r="X2059" i="2"/>
  <c r="Y2059" i="2" s="1"/>
  <c r="AB2060" i="2"/>
  <c r="AA2060" i="2"/>
  <c r="Y2060" i="2"/>
  <c r="X2060" i="2"/>
  <c r="AB2061" i="2"/>
  <c r="AA2061" i="2"/>
  <c r="Y2061" i="2"/>
  <c r="X2061" i="2"/>
  <c r="AB2062" i="2"/>
  <c r="AA2062" i="2"/>
  <c r="X2062" i="2"/>
  <c r="Y2062" i="2" s="1"/>
  <c r="AB2063" i="2"/>
  <c r="AA2063" i="2"/>
  <c r="Y2063" i="2"/>
  <c r="X2063" i="2"/>
  <c r="AB2064" i="2"/>
  <c r="AA2064" i="2"/>
  <c r="Y2064" i="2"/>
  <c r="X2064" i="2"/>
  <c r="AB2065" i="2"/>
  <c r="AA2065" i="2"/>
  <c r="X2065" i="2"/>
  <c r="Y2065" i="2" s="1"/>
  <c r="AB2066" i="2"/>
  <c r="AA2066" i="2"/>
  <c r="X2066" i="2"/>
  <c r="Y2066" i="2" s="1"/>
  <c r="AF2067" i="2"/>
  <c r="AB2067" i="2"/>
  <c r="AA2067" i="2"/>
  <c r="X2067" i="2"/>
  <c r="Y2067" i="2" s="1"/>
  <c r="AB2068" i="2"/>
  <c r="AA2068" i="2"/>
  <c r="Y2068" i="2"/>
  <c r="X2068" i="2"/>
  <c r="H380" i="6"/>
  <c r="AB2069" i="2"/>
  <c r="AA2069" i="2"/>
  <c r="X2069" i="2"/>
  <c r="Y2069" i="2" s="1"/>
  <c r="AF2070" i="2"/>
  <c r="AB2070" i="2"/>
  <c r="AA2070" i="2"/>
  <c r="Y2070" i="2"/>
  <c r="X2070" i="2"/>
  <c r="AF2071" i="2"/>
  <c r="AB2071" i="2"/>
  <c r="AA2071" i="2"/>
  <c r="Y2071" i="2"/>
  <c r="X2071" i="2"/>
  <c r="AF2072" i="2"/>
  <c r="AB2072" i="2"/>
  <c r="AA2072" i="2"/>
  <c r="X2072" i="2"/>
  <c r="Y2072" i="2" s="1"/>
  <c r="AF2073" i="2"/>
  <c r="AB2073" i="2"/>
  <c r="AA2073" i="2"/>
  <c r="Y2073" i="2"/>
  <c r="X2073" i="2"/>
  <c r="AB2074" i="2"/>
  <c r="AA2074" i="2"/>
  <c r="X2074" i="2"/>
  <c r="Y2074" i="2" s="1"/>
  <c r="AB2075" i="2"/>
  <c r="AA2075" i="2"/>
  <c r="Y2075" i="2"/>
  <c r="X2075" i="2"/>
  <c r="AF2076" i="2"/>
  <c r="AB2076" i="2"/>
  <c r="AA2076" i="2"/>
  <c r="X2076" i="2"/>
  <c r="Y2076" i="2" s="1"/>
  <c r="H381" i="6"/>
  <c r="AF2077" i="2"/>
  <c r="AB2077" i="2"/>
  <c r="AA2077" i="2"/>
  <c r="X2077" i="2"/>
  <c r="Y2077" i="2" s="1"/>
  <c r="AF2078" i="2"/>
  <c r="AB2078" i="2"/>
  <c r="AA2078" i="2"/>
  <c r="Y2078" i="2"/>
  <c r="X2078" i="2"/>
  <c r="J11" i="5"/>
  <c r="AB2079" i="2"/>
  <c r="AA2079" i="2"/>
  <c r="X2079" i="2"/>
  <c r="Y2079" i="2" s="1"/>
  <c r="J7" i="5"/>
  <c r="AB2080" i="2"/>
  <c r="AA2080" i="2"/>
  <c r="X2080" i="2"/>
  <c r="Y2080" i="2" s="1"/>
  <c r="J9" i="5"/>
  <c r="AF2081" i="2"/>
  <c r="AB2081" i="2"/>
  <c r="AA2081" i="2"/>
  <c r="X2081" i="2"/>
  <c r="Y2081" i="2" s="1"/>
  <c r="J8" i="5"/>
  <c r="AB2082" i="2"/>
  <c r="AA2082" i="2"/>
  <c r="Y2082" i="2"/>
  <c r="X2082" i="2"/>
  <c r="J5" i="5"/>
  <c r="K135" i="3"/>
  <c r="L135" i="3" s="1"/>
  <c r="AB2083" i="2"/>
  <c r="AA2083" i="2"/>
  <c r="Y2083" i="2"/>
  <c r="X2083" i="2"/>
  <c r="J16" i="5"/>
  <c r="AB2084" i="2"/>
  <c r="AA2084" i="2"/>
  <c r="Y2084" i="2"/>
  <c r="X2084" i="2"/>
  <c r="AB2085" i="2"/>
  <c r="AA2085" i="2"/>
  <c r="X2085" i="2"/>
  <c r="Y2085" i="2" s="1"/>
  <c r="AB2086" i="2"/>
  <c r="AA2086" i="2"/>
  <c r="X2086" i="2"/>
  <c r="Y2086" i="2" s="1"/>
  <c r="AB2087" i="2"/>
  <c r="AA2087" i="2"/>
  <c r="Y2087" i="2"/>
  <c r="X2087" i="2"/>
  <c r="H382" i="6"/>
  <c r="K96" i="3"/>
  <c r="L96" i="3" s="1"/>
  <c r="AB2088" i="2"/>
  <c r="AA2088" i="2"/>
  <c r="Y2088" i="2"/>
  <c r="X2088" i="2"/>
  <c r="J17" i="5"/>
  <c r="AB2089" i="2"/>
  <c r="AA2089" i="2"/>
  <c r="Y2089" i="2"/>
  <c r="X2089" i="2"/>
  <c r="AF2090" i="2"/>
  <c r="N96" i="3" s="1"/>
  <c r="AB2090" i="2"/>
  <c r="AA2090" i="2"/>
  <c r="X2090" i="2"/>
  <c r="Y2090" i="2" s="1"/>
  <c r="AB2091" i="2"/>
  <c r="AA2091" i="2"/>
  <c r="Y2091" i="2"/>
  <c r="X2091" i="2"/>
  <c r="AF2092" i="2"/>
  <c r="AB2092" i="2"/>
  <c r="AA2092" i="2"/>
  <c r="X2092" i="2"/>
  <c r="Y2092" i="2" s="1"/>
  <c r="H383" i="6"/>
  <c r="J6" i="5"/>
  <c r="AF2093" i="2"/>
  <c r="N135" i="3" s="1"/>
  <c r="AB2093" i="2"/>
  <c r="AA2093" i="2"/>
  <c r="Y2093" i="2"/>
  <c r="X2093" i="2"/>
  <c r="AB2094" i="2"/>
  <c r="AA2094" i="2"/>
  <c r="X2094" i="2"/>
  <c r="Y2094" i="2" s="1"/>
  <c r="AF2095" i="2"/>
  <c r="AB2095" i="2"/>
  <c r="AA2095" i="2"/>
  <c r="Y2095" i="2"/>
  <c r="X2095" i="2"/>
  <c r="K15" i="3"/>
  <c r="L15" i="3" s="1"/>
  <c r="AB2096" i="2"/>
  <c r="AA2096" i="2"/>
  <c r="X2096" i="2"/>
  <c r="Y2096" i="2" s="1"/>
  <c r="L9" i="4"/>
  <c r="AB2097" i="2"/>
  <c r="AA2097" i="2"/>
  <c r="Y2097" i="2"/>
  <c r="X2097" i="2"/>
  <c r="H384" i="6"/>
  <c r="AF2098" i="2"/>
  <c r="AB2098" i="2"/>
  <c r="AA2098" i="2"/>
  <c r="Y2098" i="2"/>
  <c r="X2098" i="2"/>
  <c r="AB2099" i="2"/>
  <c r="AA2099" i="2"/>
  <c r="Y2099" i="2"/>
  <c r="X2099" i="2"/>
  <c r="AB2100" i="2"/>
  <c r="AA2100" i="2"/>
  <c r="X2100" i="2"/>
  <c r="Y2100" i="2" s="1"/>
  <c r="H385" i="6"/>
  <c r="J13" i="5"/>
  <c r="AB2101" i="2"/>
  <c r="AA2101" i="2"/>
  <c r="X2101" i="2"/>
  <c r="Y2101" i="2" s="1"/>
  <c r="H386" i="6"/>
  <c r="J10" i="5"/>
  <c r="AF2102" i="2"/>
  <c r="AB2102" i="2"/>
  <c r="AA2102" i="2"/>
  <c r="X2102" i="2"/>
  <c r="Y2102" i="2" s="1"/>
  <c r="AB2103" i="2"/>
  <c r="AA2103" i="2"/>
  <c r="Y2103" i="2"/>
  <c r="X2103" i="2"/>
  <c r="AF2104" i="2"/>
  <c r="AB2104" i="2"/>
  <c r="AA2104" i="2"/>
  <c r="X2104" i="2"/>
  <c r="Y2104" i="2" s="1"/>
  <c r="AB2105" i="2"/>
  <c r="AA2105" i="2"/>
  <c r="Y2105" i="2"/>
  <c r="X2105" i="2"/>
  <c r="AF2106" i="2"/>
  <c r="AB2106" i="2"/>
  <c r="AA2106" i="2"/>
  <c r="X2106" i="2"/>
  <c r="Y2106" i="2" s="1"/>
  <c r="J22" i="5"/>
  <c r="AB2107" i="2"/>
  <c r="AA2107" i="2"/>
  <c r="X2107" i="2"/>
  <c r="Y2107" i="2" s="1"/>
  <c r="AB2108" i="2"/>
  <c r="AA2108" i="2"/>
  <c r="Y2108" i="2"/>
  <c r="X2108" i="2"/>
  <c r="AB2109" i="2"/>
  <c r="AA2109" i="2"/>
  <c r="Y2109" i="2"/>
  <c r="X2109" i="2"/>
  <c r="AB2110" i="2"/>
  <c r="AA2110" i="2"/>
  <c r="X2110" i="2"/>
  <c r="Y2110" i="2" s="1"/>
  <c r="AB2111" i="2"/>
  <c r="AA2111" i="2"/>
  <c r="X2111" i="2"/>
  <c r="Y2111" i="2" s="1"/>
  <c r="AB2112" i="2"/>
  <c r="AA2112" i="2"/>
  <c r="Y2112" i="2"/>
  <c r="X2112" i="2"/>
  <c r="AB2113" i="2"/>
  <c r="AA2113" i="2"/>
  <c r="X2113" i="2"/>
  <c r="Y2113" i="2" s="1"/>
  <c r="AB2114" i="2"/>
  <c r="AA2114" i="2"/>
  <c r="X2114" i="2"/>
  <c r="Y2114" i="2" s="1"/>
  <c r="J14" i="5"/>
  <c r="AB2115" i="2"/>
  <c r="AA2115" i="2"/>
  <c r="X2115" i="2"/>
  <c r="Y2115" i="2" s="1"/>
  <c r="AB2116" i="2"/>
  <c r="AA2116" i="2"/>
  <c r="Y2116" i="2"/>
  <c r="X2116" i="2"/>
  <c r="AF2117" i="2"/>
  <c r="AB2117" i="2"/>
  <c r="AA2117" i="2"/>
  <c r="X2117" i="2"/>
  <c r="Y2117" i="2" s="1"/>
  <c r="AF2118" i="2"/>
  <c r="AB2118" i="2"/>
  <c r="AA2118" i="2"/>
  <c r="Y2118" i="2"/>
  <c r="X2118" i="2"/>
  <c r="AB2119" i="2"/>
  <c r="AA2119" i="2"/>
  <c r="X2119" i="2"/>
  <c r="Y2119" i="2" s="1"/>
  <c r="H387" i="6"/>
  <c r="AF2120" i="2"/>
  <c r="AB2120" i="2"/>
  <c r="AA2120" i="2"/>
  <c r="X2120" i="2"/>
  <c r="Y2120" i="2" s="1"/>
  <c r="H388" i="6"/>
  <c r="AF2121" i="2"/>
  <c r="AB2121" i="2"/>
  <c r="AA2121" i="2"/>
  <c r="X2121" i="2"/>
  <c r="Y2121" i="2" s="1"/>
  <c r="AF2122" i="2"/>
  <c r="AB2122" i="2"/>
  <c r="AA2122" i="2"/>
  <c r="Y2122" i="2"/>
  <c r="X2122" i="2"/>
  <c r="H389" i="6"/>
  <c r="K86" i="3"/>
  <c r="L86" i="3" s="1"/>
  <c r="AF2123" i="2"/>
  <c r="AB2123" i="2"/>
  <c r="AA2123" i="2"/>
  <c r="Y2123" i="2"/>
  <c r="X2123" i="2"/>
  <c r="H390" i="6"/>
  <c r="AF2124" i="2"/>
  <c r="AB2124" i="2"/>
  <c r="AA2124" i="2"/>
  <c r="Y2124" i="2"/>
  <c r="X2124" i="2"/>
  <c r="H391" i="6"/>
  <c r="AF2125" i="2"/>
  <c r="AB2125" i="2"/>
  <c r="AA2125" i="2"/>
  <c r="Y2125" i="2"/>
  <c r="X2125" i="2"/>
  <c r="AF2126" i="2"/>
  <c r="AB2126" i="2"/>
  <c r="AA2126" i="2"/>
  <c r="Y2126" i="2"/>
  <c r="X2126" i="2"/>
  <c r="AF2127" i="2"/>
  <c r="AB2127" i="2"/>
  <c r="AA2127" i="2"/>
  <c r="X2127" i="2"/>
  <c r="Y2127" i="2" s="1"/>
  <c r="AB2128" i="2"/>
  <c r="AA2128" i="2"/>
  <c r="Y2128" i="2"/>
  <c r="X2128" i="2"/>
  <c r="AB2129" i="2"/>
  <c r="AA2129" i="2"/>
  <c r="Y2129" i="2"/>
  <c r="X2129" i="2"/>
  <c r="AB2130" i="2"/>
  <c r="AA2130" i="2"/>
  <c r="X2130" i="2"/>
  <c r="Y2130" i="2" s="1"/>
  <c r="AB2131" i="2"/>
  <c r="AA2131" i="2"/>
  <c r="Y2131" i="2"/>
  <c r="X2131" i="2"/>
  <c r="AB2132" i="2"/>
  <c r="AA2132" i="2"/>
  <c r="Y2132" i="2"/>
  <c r="X2132" i="2"/>
  <c r="H392" i="6"/>
  <c r="AF2133" i="2"/>
  <c r="AB2133" i="2"/>
  <c r="AA2133" i="2"/>
  <c r="Y2133" i="2"/>
  <c r="X2133" i="2"/>
  <c r="AB2134" i="2"/>
  <c r="AA2134" i="2"/>
  <c r="X2134" i="2"/>
  <c r="Y2134" i="2" s="1"/>
  <c r="J12" i="5"/>
  <c r="AB2135" i="2"/>
  <c r="AA2135" i="2"/>
  <c r="Y2135" i="2"/>
  <c r="X2135" i="2"/>
  <c r="AF2136" i="2"/>
  <c r="AB2136" i="2"/>
  <c r="AA2136" i="2"/>
  <c r="Y2136" i="2"/>
  <c r="X2136" i="2"/>
  <c r="AB2137" i="2"/>
  <c r="AA2137" i="2"/>
  <c r="Y2137" i="2"/>
  <c r="X2137" i="2"/>
  <c r="H393" i="6"/>
  <c r="AB2138" i="2"/>
  <c r="AA2138" i="2"/>
  <c r="Y2138" i="2"/>
  <c r="X2138" i="2"/>
  <c r="AB2139" i="2"/>
  <c r="AA2139" i="2"/>
  <c r="Y2139" i="2"/>
  <c r="X2139" i="2"/>
  <c r="AB2140" i="2"/>
  <c r="AA2140" i="2"/>
  <c r="X2140" i="2"/>
  <c r="Y2140" i="2" s="1"/>
  <c r="AB2141" i="2"/>
  <c r="AA2141" i="2"/>
  <c r="Y2141" i="2"/>
  <c r="X2141" i="2"/>
  <c r="AB2142" i="2"/>
  <c r="AA2142" i="2"/>
  <c r="Y2142" i="2"/>
  <c r="X2142" i="2"/>
  <c r="AB2143" i="2"/>
  <c r="AA2143" i="2"/>
  <c r="X2143" i="2"/>
  <c r="Y2143" i="2" s="1"/>
  <c r="AF2144" i="2"/>
  <c r="AB2144" i="2"/>
  <c r="AA2144" i="2"/>
  <c r="Y2144" i="2"/>
  <c r="X2144" i="2"/>
  <c r="AB2145" i="2"/>
  <c r="AA2145" i="2"/>
  <c r="X2145" i="2"/>
  <c r="Y2145" i="2" s="1"/>
  <c r="AB2146" i="2"/>
  <c r="AA2146" i="2"/>
  <c r="Y2146" i="2"/>
  <c r="X2146" i="2"/>
  <c r="AF2147" i="2"/>
  <c r="AB2147" i="2"/>
  <c r="AA2147" i="2"/>
  <c r="X2147" i="2"/>
  <c r="Y2147" i="2" s="1"/>
  <c r="AF2148" i="2"/>
  <c r="AB2148" i="2"/>
  <c r="AA2148" i="2"/>
  <c r="Y2148" i="2"/>
  <c r="X2148" i="2"/>
  <c r="AB2149" i="2"/>
  <c r="AA2149" i="2"/>
  <c r="X2149" i="2"/>
  <c r="Y2149" i="2" s="1"/>
  <c r="H394" i="6"/>
  <c r="K72" i="3"/>
  <c r="L72" i="3" s="1"/>
  <c r="AB2150" i="2"/>
  <c r="AA2150" i="2"/>
  <c r="X2150" i="2"/>
  <c r="Y2150" i="2" s="1"/>
  <c r="AB2151" i="2"/>
  <c r="AA2151" i="2"/>
  <c r="Y2151" i="2"/>
  <c r="X2151" i="2"/>
  <c r="AF2152" i="2"/>
  <c r="N72" i="3" s="1"/>
  <c r="AB2152" i="2"/>
  <c r="AA2152" i="2"/>
  <c r="Y2152" i="2"/>
  <c r="X2152" i="2"/>
  <c r="AB2153" i="2"/>
  <c r="AA2153" i="2"/>
  <c r="Y2153" i="2"/>
  <c r="X2153" i="2"/>
  <c r="AF2154" i="2"/>
  <c r="AB2154" i="2"/>
  <c r="AA2154" i="2"/>
  <c r="Y2154" i="2"/>
  <c r="X2154" i="2"/>
  <c r="AF2155" i="2"/>
  <c r="AB2155" i="2"/>
  <c r="AA2155" i="2"/>
  <c r="X2155" i="2"/>
  <c r="Y2155" i="2" s="1"/>
  <c r="AB2156" i="2"/>
  <c r="AA2156" i="2"/>
  <c r="Y2156" i="2"/>
  <c r="X2156" i="2"/>
  <c r="AB2157" i="2"/>
  <c r="AA2157" i="2"/>
  <c r="Y2157" i="2"/>
  <c r="X2157" i="2"/>
  <c r="H395" i="6"/>
  <c r="AB2158" i="2"/>
  <c r="AA2158" i="2"/>
  <c r="Y2158" i="2"/>
  <c r="X2158" i="2"/>
  <c r="AF2159" i="2"/>
  <c r="AB2159" i="2"/>
  <c r="AA2159" i="2"/>
  <c r="X2159" i="2"/>
  <c r="Y2159" i="2" s="1"/>
  <c r="AF2160" i="2"/>
  <c r="AB2160" i="2"/>
  <c r="AA2160" i="2"/>
  <c r="Y2160" i="2"/>
  <c r="X2160" i="2"/>
  <c r="H396" i="6"/>
  <c r="AB2161" i="2"/>
  <c r="AA2161" i="2"/>
  <c r="Y2161" i="2"/>
  <c r="X2161" i="2"/>
  <c r="AB2162" i="2"/>
  <c r="AA2162" i="2"/>
  <c r="Y2162" i="2"/>
  <c r="X2162" i="2"/>
  <c r="H397" i="6"/>
  <c r="AF2163" i="2"/>
  <c r="AB2163" i="2"/>
  <c r="AA2163" i="2"/>
  <c r="Y2163" i="2"/>
  <c r="X2163" i="2"/>
  <c r="AF2164" i="2"/>
  <c r="AB2164" i="2"/>
  <c r="AA2164" i="2"/>
  <c r="Y2164" i="2"/>
  <c r="X2164" i="2"/>
  <c r="J18" i="5"/>
  <c r="AB2165" i="2"/>
  <c r="AA2165" i="2"/>
  <c r="X2165" i="2"/>
  <c r="Y2165" i="2" s="1"/>
  <c r="AF2166" i="2"/>
  <c r="AB2166" i="2"/>
  <c r="AA2166" i="2"/>
  <c r="Y2166" i="2"/>
  <c r="X2166" i="2"/>
  <c r="AB2167" i="2"/>
  <c r="AA2167" i="2"/>
  <c r="X2167" i="2"/>
  <c r="Y2167" i="2" s="1"/>
  <c r="AB2168" i="2"/>
  <c r="AA2168" i="2"/>
  <c r="Y2168" i="2"/>
  <c r="X2168" i="2"/>
  <c r="AB2169" i="2"/>
  <c r="AA2169" i="2"/>
  <c r="Y2169" i="2"/>
  <c r="X2169" i="2"/>
  <c r="AB2170" i="2"/>
  <c r="AA2170" i="2"/>
  <c r="X2170" i="2"/>
  <c r="Y2170" i="2" s="1"/>
  <c r="AB2171" i="2"/>
  <c r="AA2171" i="2"/>
  <c r="Y2171" i="2"/>
  <c r="X2171" i="2"/>
  <c r="J15" i="5"/>
  <c r="AB2172" i="2"/>
  <c r="AA2172" i="2"/>
  <c r="X2172" i="2"/>
  <c r="Y2172" i="2" s="1"/>
  <c r="K68" i="3"/>
  <c r="L68" i="3" s="1"/>
  <c r="AF2173" i="2"/>
  <c r="AB2173" i="2"/>
  <c r="AA2173" i="2"/>
  <c r="X2173" i="2"/>
  <c r="Y2173" i="2" s="1"/>
  <c r="H398" i="6"/>
  <c r="AB2174" i="2"/>
  <c r="AA2174" i="2"/>
  <c r="Y2174" i="2"/>
  <c r="X2174" i="2"/>
  <c r="AB2175" i="2"/>
  <c r="AA2175" i="2"/>
  <c r="X2175" i="2"/>
  <c r="Y2175" i="2" s="1"/>
  <c r="AB2176" i="2"/>
  <c r="AA2176" i="2"/>
  <c r="Y2176" i="2"/>
  <c r="X2176" i="2"/>
  <c r="H399" i="6"/>
  <c r="AF2177" i="2"/>
  <c r="AB2177" i="2"/>
  <c r="AA2177" i="2"/>
  <c r="Y2177" i="2"/>
  <c r="X2177" i="2"/>
  <c r="J21" i="5"/>
  <c r="AB2178" i="2"/>
  <c r="AA2178" i="2"/>
  <c r="X2178" i="2"/>
  <c r="Y2178" i="2" s="1"/>
  <c r="AB2179" i="2"/>
  <c r="AA2179" i="2"/>
  <c r="Y2179" i="2"/>
  <c r="X2179" i="2"/>
  <c r="AB2180" i="2"/>
  <c r="AA2180" i="2"/>
  <c r="Y2180" i="2"/>
  <c r="X2180" i="2"/>
  <c r="AF2181" i="2"/>
  <c r="AB2181" i="2"/>
  <c r="AA2181" i="2"/>
  <c r="Y2181" i="2"/>
  <c r="X2181" i="2"/>
  <c r="AF2182" i="2"/>
  <c r="AB2182" i="2"/>
  <c r="AA2182" i="2"/>
  <c r="X2182" i="2"/>
  <c r="Y2182" i="2" s="1"/>
  <c r="AB2183" i="2"/>
  <c r="AA2183" i="2"/>
  <c r="Y2183" i="2"/>
  <c r="X2183" i="2"/>
  <c r="AB2184" i="2"/>
  <c r="AA2184" i="2"/>
  <c r="Y2184" i="2"/>
  <c r="X2184" i="2"/>
  <c r="AB2185" i="2"/>
  <c r="AA2185" i="2"/>
  <c r="X2185" i="2"/>
  <c r="Y2185" i="2" s="1"/>
  <c r="AF2186" i="2"/>
  <c r="AB2186" i="2"/>
  <c r="AA2186" i="2"/>
  <c r="Y2186" i="2"/>
  <c r="X2186" i="2"/>
  <c r="AF2187" i="2"/>
  <c r="AB2187" i="2"/>
  <c r="AA2187" i="2"/>
  <c r="Y2187" i="2"/>
  <c r="X2187" i="2"/>
  <c r="AB2188" i="2"/>
  <c r="AA2188" i="2"/>
  <c r="Y2188" i="2"/>
  <c r="X2188" i="2"/>
  <c r="AF2189" i="2"/>
  <c r="AB2189" i="2"/>
  <c r="AA2189" i="2"/>
  <c r="Y2189" i="2"/>
  <c r="X2189" i="2"/>
  <c r="AF2190" i="2"/>
  <c r="AB2190" i="2"/>
  <c r="AA2190" i="2"/>
  <c r="X2190" i="2"/>
  <c r="Y2190" i="2" s="1"/>
  <c r="AF2191" i="2"/>
  <c r="AB2191" i="2"/>
  <c r="AA2191" i="2"/>
  <c r="Y2191" i="2"/>
  <c r="X2191" i="2"/>
  <c r="AB2192" i="2"/>
  <c r="AA2192" i="2"/>
  <c r="X2192" i="2"/>
  <c r="Y2192" i="2" s="1"/>
  <c r="AB2193" i="2"/>
  <c r="AA2193" i="2"/>
  <c r="Y2193" i="2"/>
  <c r="X2193" i="2"/>
  <c r="AF2194" i="2"/>
  <c r="AB2194" i="2"/>
  <c r="AA2194" i="2"/>
  <c r="X2194" i="2"/>
  <c r="Y2194" i="2" s="1"/>
  <c r="AB2195" i="2"/>
  <c r="AA2195" i="2"/>
  <c r="Y2195" i="2"/>
  <c r="X2195" i="2"/>
  <c r="AF2196" i="2"/>
  <c r="AB2196" i="2"/>
  <c r="AA2196" i="2"/>
  <c r="X2196" i="2"/>
  <c r="Y2196" i="2" s="1"/>
  <c r="AF2197" i="2"/>
  <c r="AB2197" i="2"/>
  <c r="AA2197" i="2"/>
  <c r="Y2197" i="2"/>
  <c r="X2197" i="2"/>
  <c r="AB2198" i="2"/>
  <c r="AA2198" i="2"/>
  <c r="X2198" i="2"/>
  <c r="Y2198" i="2" s="1"/>
  <c r="AF2199" i="2"/>
  <c r="AB2199" i="2"/>
  <c r="AA2199" i="2"/>
  <c r="Y2199" i="2"/>
  <c r="X2199" i="2"/>
  <c r="H400" i="6"/>
  <c r="AB2200" i="2"/>
  <c r="AA2200" i="2"/>
  <c r="Y2200" i="2"/>
  <c r="X2200" i="2"/>
  <c r="H401" i="6"/>
  <c r="AF2201" i="2"/>
  <c r="AB2201" i="2"/>
  <c r="AA2201" i="2"/>
  <c r="Y2201" i="2"/>
  <c r="X2201" i="2"/>
  <c r="AF2202" i="2"/>
  <c r="AB2202" i="2"/>
  <c r="AA2202" i="2"/>
  <c r="X2202" i="2"/>
  <c r="Y2202" i="2" s="1"/>
  <c r="K67" i="3"/>
  <c r="L67" i="3" s="1"/>
  <c r="AB2203" i="2"/>
  <c r="AA2203" i="2"/>
  <c r="Y2203" i="2"/>
  <c r="X2203" i="2"/>
  <c r="AB2204" i="2"/>
  <c r="AA2204" i="2"/>
  <c r="Y2204" i="2"/>
  <c r="X2204" i="2"/>
  <c r="AB2205" i="2"/>
  <c r="AA2205" i="2"/>
  <c r="Y2205" i="2"/>
  <c r="X2205" i="2"/>
  <c r="H402" i="6"/>
  <c r="AF2206" i="2"/>
  <c r="AB2206" i="2"/>
  <c r="AA2206" i="2"/>
  <c r="Y2206" i="2"/>
  <c r="X2206" i="2"/>
  <c r="AF2207" i="2"/>
  <c r="N67" i="3" s="1"/>
  <c r="AB2207" i="2"/>
  <c r="AA2207" i="2"/>
  <c r="Y2207" i="2"/>
  <c r="X2207" i="2"/>
  <c r="AF2208" i="2"/>
  <c r="AB2208" i="2"/>
  <c r="AA2208" i="2"/>
  <c r="X2208" i="2"/>
  <c r="Y2208" i="2" s="1"/>
  <c r="AF2209" i="2"/>
  <c r="AB2209" i="2"/>
  <c r="AA2209" i="2"/>
  <c r="Y2209" i="2"/>
  <c r="X2209" i="2"/>
  <c r="AB2210" i="2"/>
  <c r="AA2210" i="2"/>
  <c r="X2210" i="2"/>
  <c r="Y2210" i="2" s="1"/>
  <c r="AB2211" i="2"/>
  <c r="AA2211" i="2"/>
  <c r="Y2211" i="2"/>
  <c r="X2211" i="2"/>
  <c r="AF2212" i="2"/>
  <c r="AB2212" i="2"/>
  <c r="AA2212" i="2"/>
  <c r="X2212" i="2"/>
  <c r="Y2212" i="2" s="1"/>
  <c r="H403" i="6"/>
  <c r="AB2213" i="2"/>
  <c r="AA2213" i="2"/>
  <c r="Y2213" i="2"/>
  <c r="X2213" i="2"/>
  <c r="J20" i="5"/>
  <c r="AF2214" i="2"/>
  <c r="AB2214" i="2"/>
  <c r="AA2214" i="2"/>
  <c r="Y2214" i="2"/>
  <c r="X2214" i="2"/>
  <c r="AF2215" i="2"/>
  <c r="AB2215" i="2"/>
  <c r="AA2215" i="2"/>
  <c r="Y2215" i="2"/>
  <c r="X2215" i="2"/>
  <c r="AB2216" i="2"/>
  <c r="AA2216" i="2"/>
  <c r="Y2216" i="2"/>
  <c r="X2216" i="2"/>
  <c r="AF2217" i="2"/>
  <c r="AB2217" i="2"/>
  <c r="AA2217" i="2"/>
  <c r="Y2217" i="2"/>
  <c r="X2217" i="2"/>
  <c r="AB2218" i="2"/>
  <c r="AA2218" i="2"/>
  <c r="Y2218" i="2"/>
  <c r="X2218" i="2"/>
  <c r="AB2219" i="2"/>
  <c r="AA2219" i="2"/>
  <c r="X2219" i="2"/>
  <c r="Y2219" i="2" s="1"/>
  <c r="AB2220" i="2"/>
  <c r="AA2220" i="2"/>
  <c r="Y2220" i="2"/>
  <c r="X2220" i="2"/>
  <c r="AB2221" i="2"/>
  <c r="AA2221" i="2"/>
  <c r="Y2221" i="2"/>
  <c r="X2221" i="2"/>
  <c r="AF2222" i="2"/>
  <c r="AB2222" i="2"/>
  <c r="AA2222" i="2"/>
  <c r="Y2222" i="2"/>
  <c r="X2222" i="2"/>
  <c r="H404" i="6"/>
  <c r="K31" i="3"/>
  <c r="L31" i="3" s="1"/>
  <c r="AB2223" i="2"/>
  <c r="AA2223" i="2"/>
  <c r="Y2223" i="2"/>
  <c r="X2223" i="2"/>
  <c r="AB2224" i="2"/>
  <c r="AA2224" i="2"/>
  <c r="X2224" i="2"/>
  <c r="Y2224" i="2" s="1"/>
  <c r="AB2225" i="2"/>
  <c r="AA2225" i="2"/>
  <c r="Y2225" i="2"/>
  <c r="X2225" i="2"/>
  <c r="H405" i="6"/>
  <c r="AB2226" i="2"/>
  <c r="AA2226" i="2"/>
  <c r="X2226" i="2"/>
  <c r="Y2226" i="2" s="1"/>
  <c r="AF2227" i="2"/>
  <c r="AB2227" i="2"/>
  <c r="AA2227" i="2"/>
  <c r="X2227" i="2"/>
  <c r="Y2227" i="2" s="1"/>
  <c r="AF2228" i="2"/>
  <c r="AB2228" i="2"/>
  <c r="AA2228" i="2"/>
  <c r="Y2228" i="2"/>
  <c r="X2228" i="2"/>
  <c r="AF2229" i="2"/>
  <c r="N31" i="3" s="1"/>
  <c r="AB2229" i="2"/>
  <c r="AA2229" i="2"/>
  <c r="X2229" i="2"/>
  <c r="Y2229" i="2" s="1"/>
  <c r="AB2230" i="2"/>
  <c r="AA2230" i="2"/>
  <c r="Y2230" i="2"/>
  <c r="X2230" i="2"/>
  <c r="H406" i="6"/>
  <c r="AB2231" i="2"/>
  <c r="AA2231" i="2"/>
  <c r="X2231" i="2"/>
  <c r="Y2231" i="2" s="1"/>
  <c r="AB2232" i="2"/>
  <c r="AA2232" i="2"/>
  <c r="Y2232" i="2"/>
  <c r="X2232" i="2"/>
  <c r="H407" i="6"/>
  <c r="AF2233" i="2"/>
  <c r="AB2233" i="2"/>
  <c r="AA2233" i="2"/>
  <c r="Y2233" i="2"/>
  <c r="X2233" i="2"/>
  <c r="AF2234" i="2"/>
  <c r="AB2234" i="2"/>
  <c r="AA2234" i="2"/>
  <c r="X2234" i="2"/>
  <c r="Y2234" i="2" s="1"/>
  <c r="H408" i="6"/>
  <c r="AB2235" i="2"/>
  <c r="AA2235" i="2"/>
  <c r="X2235" i="2"/>
  <c r="Y2235" i="2" s="1"/>
  <c r="AF2236" i="2"/>
  <c r="AB2236" i="2"/>
  <c r="AA2236" i="2"/>
  <c r="Y2236" i="2"/>
  <c r="X2236" i="2"/>
  <c r="H409" i="6"/>
  <c r="AB2237" i="2"/>
  <c r="AA2237" i="2"/>
  <c r="X2237" i="2"/>
  <c r="Y2237" i="2" s="1"/>
  <c r="AB2238" i="2"/>
  <c r="AA2238" i="2"/>
  <c r="Y2238" i="2"/>
  <c r="X2238" i="2"/>
  <c r="H410" i="6"/>
  <c r="AB2239" i="2"/>
  <c r="AA2239" i="2"/>
  <c r="X2239" i="2"/>
  <c r="Y2239" i="2" s="1"/>
  <c r="AB2240" i="2"/>
  <c r="AA2240" i="2"/>
  <c r="Y2240" i="2"/>
  <c r="X2240" i="2"/>
  <c r="AF2241" i="2"/>
  <c r="AB2241" i="2"/>
  <c r="AA2241" i="2"/>
  <c r="X2241" i="2"/>
  <c r="Y2241" i="2" s="1"/>
  <c r="AB2242" i="2"/>
  <c r="AA2242" i="2"/>
  <c r="Y2242" i="2"/>
  <c r="X2242" i="2"/>
  <c r="AB2243" i="2"/>
  <c r="AA2243" i="2"/>
  <c r="X2243" i="2"/>
  <c r="Y2243" i="2" s="1"/>
  <c r="AB2244" i="2"/>
  <c r="AA2244" i="2"/>
  <c r="X2244" i="2"/>
  <c r="Y2244" i="2" s="1"/>
  <c r="AB2245" i="2"/>
  <c r="AA2245" i="2"/>
  <c r="Y2245" i="2"/>
  <c r="X2245" i="2"/>
  <c r="H411" i="6"/>
  <c r="AB2246" i="2"/>
  <c r="AA2246" i="2"/>
  <c r="X2246" i="2"/>
  <c r="Y2246" i="2" s="1"/>
  <c r="K10" i="3"/>
  <c r="L10" i="3" s="1"/>
  <c r="AB2247" i="2"/>
  <c r="AA2247" i="2"/>
  <c r="Y2247" i="2"/>
  <c r="X2247" i="2"/>
  <c r="AF2248" i="2"/>
  <c r="AB2248" i="2"/>
  <c r="AA2248" i="2"/>
  <c r="Y2248" i="2"/>
  <c r="X2248" i="2"/>
  <c r="AF2249" i="2"/>
  <c r="N10" i="3" s="1"/>
  <c r="AB2249" i="2"/>
  <c r="AA2249" i="2"/>
  <c r="Y2249" i="2"/>
  <c r="X2249" i="2"/>
  <c r="AB2250" i="2"/>
  <c r="AA2250" i="2"/>
  <c r="Y2250" i="2"/>
  <c r="X2250" i="2"/>
  <c r="AB2251" i="2"/>
  <c r="AA2251" i="2"/>
  <c r="X2251" i="2"/>
  <c r="Y2251" i="2" s="1"/>
  <c r="AF2252" i="2"/>
  <c r="AB2252" i="2"/>
  <c r="AA2252" i="2"/>
  <c r="Y2252" i="2"/>
  <c r="X2252" i="2"/>
  <c r="AB2253" i="2"/>
  <c r="AA2253" i="2"/>
  <c r="X2253" i="2"/>
  <c r="Y2253" i="2" s="1"/>
  <c r="H412" i="6"/>
  <c r="K125" i="3"/>
  <c r="L125" i="3" s="1"/>
  <c r="AB2254" i="2"/>
  <c r="AA2254" i="2"/>
  <c r="X2254" i="2"/>
  <c r="Y2254" i="2" s="1"/>
  <c r="AF2255" i="2"/>
  <c r="AB2255" i="2"/>
  <c r="AA2255" i="2"/>
  <c r="X2255" i="2"/>
  <c r="Y2255" i="2" s="1"/>
  <c r="AF2256" i="2"/>
  <c r="N125" i="3" s="1"/>
  <c r="AB2256" i="2"/>
  <c r="AA2256" i="2"/>
  <c r="Y2256" i="2"/>
  <c r="X2256" i="2"/>
  <c r="AB2257" i="2"/>
  <c r="AA2257" i="2"/>
  <c r="X2257" i="2"/>
  <c r="Y2257" i="2" s="1"/>
  <c r="AB2258" i="2"/>
  <c r="AA2258" i="2"/>
  <c r="Y2258" i="2"/>
  <c r="X2258" i="2"/>
  <c r="AB2259" i="2"/>
  <c r="AA2259" i="2"/>
  <c r="Y2259" i="2"/>
  <c r="X2259" i="2"/>
  <c r="AB2260" i="2"/>
  <c r="AA2260" i="2"/>
  <c r="X2260" i="2"/>
  <c r="Y2260" i="2" s="1"/>
  <c r="AB2261" i="2"/>
  <c r="AA2261" i="2"/>
  <c r="Y2261" i="2"/>
  <c r="X2261" i="2"/>
  <c r="AF2262" i="2"/>
  <c r="AB2262" i="2"/>
  <c r="AA2262" i="2"/>
  <c r="X2262" i="2"/>
  <c r="Y2262" i="2" s="1"/>
  <c r="AB2263" i="2"/>
  <c r="AA2263" i="2"/>
  <c r="Y2263" i="2"/>
  <c r="X2263" i="2"/>
  <c r="AB2264" i="2"/>
  <c r="AA2264" i="2"/>
  <c r="Y2264" i="2"/>
  <c r="X2264" i="2"/>
  <c r="AF2265" i="2"/>
  <c r="AB2265" i="2"/>
  <c r="AA2265" i="2"/>
  <c r="Y2265" i="2"/>
  <c r="X2265" i="2"/>
  <c r="AB2266" i="2"/>
  <c r="AA2266" i="2"/>
  <c r="Y2266" i="2"/>
  <c r="X2266" i="2"/>
  <c r="AF2267" i="2"/>
  <c r="AB2267" i="2"/>
  <c r="AA2267" i="2"/>
  <c r="Y2267" i="2"/>
  <c r="X2267" i="2"/>
  <c r="H413" i="6"/>
  <c r="AF2268" i="2"/>
  <c r="AB2268" i="2"/>
  <c r="AA2268" i="2"/>
  <c r="Y2268" i="2"/>
  <c r="X2268" i="2"/>
  <c r="AF2269" i="2"/>
  <c r="AB2269" i="2"/>
  <c r="AA2269" i="2"/>
  <c r="X2269" i="2"/>
  <c r="Y2269" i="2" s="1"/>
  <c r="AF2270" i="2"/>
  <c r="AB2270" i="2"/>
  <c r="AA2270" i="2"/>
  <c r="Y2270" i="2"/>
  <c r="X2270" i="2"/>
  <c r="H414" i="6"/>
  <c r="AB2271" i="2"/>
  <c r="AA2271" i="2"/>
  <c r="Y2271" i="2"/>
  <c r="X2271" i="2"/>
  <c r="AF2272" i="2"/>
  <c r="AB2272" i="2"/>
  <c r="AA2272" i="2"/>
  <c r="X2272" i="2"/>
  <c r="Y2272" i="2" s="1"/>
  <c r="H415" i="6"/>
  <c r="AF2273" i="2"/>
  <c r="AB2273" i="2"/>
  <c r="AA2273" i="2"/>
  <c r="X2273" i="2"/>
  <c r="Y2273" i="2" s="1"/>
  <c r="AB2274" i="2"/>
  <c r="AA2274" i="2"/>
  <c r="Y2274" i="2"/>
  <c r="X2274" i="2"/>
  <c r="AF2275" i="2"/>
  <c r="AB2275" i="2"/>
  <c r="AA2275" i="2"/>
  <c r="X2275" i="2"/>
  <c r="Y2275" i="2" s="1"/>
  <c r="AF2276" i="2"/>
  <c r="AB2276" i="2"/>
  <c r="AA2276" i="2"/>
  <c r="Y2276" i="2"/>
  <c r="X2276" i="2"/>
  <c r="AB2277" i="2"/>
  <c r="AA2277" i="2"/>
  <c r="X2277" i="2"/>
  <c r="Y2277" i="2" s="1"/>
  <c r="AF2278" i="2"/>
  <c r="AB2278" i="2"/>
  <c r="AA2278" i="2"/>
  <c r="Y2278" i="2"/>
  <c r="X2278" i="2"/>
  <c r="AB2279" i="2"/>
  <c r="AA2279" i="2"/>
  <c r="X2279" i="2"/>
  <c r="Y2279" i="2" s="1"/>
  <c r="AB2280" i="2"/>
  <c r="AA2280" i="2"/>
  <c r="Y2280" i="2"/>
  <c r="X2280" i="2"/>
  <c r="AB2281" i="2"/>
  <c r="AA2281" i="2"/>
  <c r="Y2281" i="2"/>
  <c r="X2281" i="2"/>
  <c r="H416" i="6"/>
  <c r="K5" i="5"/>
  <c r="K50" i="3"/>
  <c r="L50" i="3" s="1"/>
  <c r="AB2282" i="2"/>
  <c r="AA2282" i="2"/>
  <c r="X2282" i="2"/>
  <c r="Y2282" i="2" s="1"/>
  <c r="K16" i="5"/>
  <c r="AB2283" i="2"/>
  <c r="AA2283" i="2"/>
  <c r="Y2283" i="2"/>
  <c r="X2283" i="2"/>
  <c r="K11" i="5"/>
  <c r="AB2284" i="2"/>
  <c r="AA2284" i="2"/>
  <c r="X2284" i="2"/>
  <c r="Y2284" i="2" s="1"/>
  <c r="K7" i="5"/>
  <c r="AB2285" i="2"/>
  <c r="AA2285" i="2"/>
  <c r="X2285" i="2"/>
  <c r="Y2285" i="2" s="1"/>
  <c r="K9" i="5"/>
  <c r="AB2286" i="2"/>
  <c r="AA2286" i="2"/>
  <c r="Y2286" i="2"/>
  <c r="X2286" i="2"/>
  <c r="AF2287" i="2"/>
  <c r="AB2287" i="2"/>
  <c r="AA2287" i="2"/>
  <c r="X2287" i="2"/>
  <c r="Y2287" i="2" s="1"/>
  <c r="K8" i="5"/>
  <c r="AB2288" i="2"/>
  <c r="AA2288" i="2"/>
  <c r="X2288" i="2"/>
  <c r="Y2288" i="2" s="1"/>
  <c r="H417" i="6"/>
  <c r="K13" i="5"/>
  <c r="AB2289" i="2"/>
  <c r="AA2289" i="2"/>
  <c r="X2289" i="2"/>
  <c r="Y2289" i="2" s="1"/>
  <c r="AB2290" i="2"/>
  <c r="AA2290" i="2"/>
  <c r="X2290" i="2"/>
  <c r="Y2290" i="2" s="1"/>
  <c r="K6" i="5"/>
  <c r="AB2291" i="2"/>
  <c r="AA2291" i="2"/>
  <c r="X2291" i="2"/>
  <c r="Y2291" i="2" s="1"/>
  <c r="K18" i="5"/>
  <c r="AB2292" i="2"/>
  <c r="AA2292" i="2"/>
  <c r="Y2292" i="2"/>
  <c r="X2292" i="2"/>
  <c r="AB2293" i="2"/>
  <c r="AA2293" i="2"/>
  <c r="X2293" i="2"/>
  <c r="Y2293" i="2" s="1"/>
  <c r="AB2294" i="2"/>
  <c r="AA2294" i="2"/>
  <c r="X2294" i="2"/>
  <c r="Y2294" i="2" s="1"/>
  <c r="H418" i="6"/>
  <c r="AF2295" i="2"/>
  <c r="AB2295" i="2"/>
  <c r="AA2295" i="2"/>
  <c r="X2295" i="2"/>
  <c r="Y2295" i="2" s="1"/>
  <c r="AF2296" i="2"/>
  <c r="AB2296" i="2"/>
  <c r="AA2296" i="2"/>
  <c r="X2296" i="2"/>
  <c r="Y2296" i="2" s="1"/>
  <c r="H419" i="6"/>
  <c r="AB2297" i="2"/>
  <c r="AA2297" i="2"/>
  <c r="Y2297" i="2"/>
  <c r="X2297" i="2"/>
  <c r="AB2298" i="2"/>
  <c r="AA2298" i="2"/>
  <c r="X2298" i="2"/>
  <c r="Y2298" i="2" s="1"/>
  <c r="AB2299" i="2"/>
  <c r="AA2299" i="2"/>
  <c r="X2299" i="2"/>
  <c r="Y2299" i="2" s="1"/>
  <c r="AB2300" i="2"/>
  <c r="AA2300" i="2"/>
  <c r="Y2300" i="2"/>
  <c r="X2300" i="2"/>
  <c r="K15" i="5"/>
  <c r="AB2301" i="2"/>
  <c r="AA2301" i="2"/>
  <c r="X2301" i="2"/>
  <c r="Y2301" i="2" s="1"/>
  <c r="AB2302" i="2"/>
  <c r="AA2302" i="2"/>
  <c r="Y2302" i="2"/>
  <c r="X2302" i="2"/>
  <c r="AB2303" i="2"/>
  <c r="AA2303" i="2"/>
  <c r="X2303" i="2"/>
  <c r="Y2303" i="2" s="1"/>
  <c r="AB2304" i="2"/>
  <c r="AA2304" i="2"/>
  <c r="X2304" i="2"/>
  <c r="Y2304" i="2" s="1"/>
  <c r="AB2305" i="2"/>
  <c r="AA2305" i="2"/>
  <c r="Y2305" i="2"/>
  <c r="X2305" i="2"/>
  <c r="H420" i="6"/>
  <c r="K71" i="3"/>
  <c r="L71" i="3" s="1"/>
  <c r="AB2306" i="2"/>
  <c r="AA2306" i="2"/>
  <c r="Y2306" i="2"/>
  <c r="X2306" i="2"/>
  <c r="AB2307" i="2"/>
  <c r="AA2307" i="2"/>
  <c r="X2307" i="2"/>
  <c r="Y2307" i="2" s="1"/>
  <c r="AB2308" i="2"/>
  <c r="AA2308" i="2"/>
  <c r="Y2308" i="2"/>
  <c r="X2308" i="2"/>
  <c r="AB2309" i="2"/>
  <c r="AA2309" i="2"/>
  <c r="X2309" i="2"/>
  <c r="Y2309" i="2" s="1"/>
  <c r="AF2310" i="2"/>
  <c r="N71" i="3" s="1"/>
  <c r="AB2310" i="2"/>
  <c r="AA2310" i="2"/>
  <c r="Y2310" i="2"/>
  <c r="X2310" i="2"/>
  <c r="H421" i="6"/>
  <c r="K137" i="3"/>
  <c r="L137" i="3" s="1"/>
  <c r="AF2311" i="2"/>
  <c r="AB2311" i="2"/>
  <c r="AA2311" i="2"/>
  <c r="X2311" i="2"/>
  <c r="Y2311" i="2" s="1"/>
  <c r="K17" i="5"/>
  <c r="AB2312" i="2"/>
  <c r="AA2312" i="2"/>
  <c r="Y2312" i="2"/>
  <c r="X2312" i="2"/>
  <c r="AB2313" i="2"/>
  <c r="AA2313" i="2"/>
  <c r="X2313" i="2"/>
  <c r="Y2313" i="2" s="1"/>
  <c r="AB2314" i="2"/>
  <c r="AA2314" i="2"/>
  <c r="X2314" i="2"/>
  <c r="Y2314" i="2" s="1"/>
  <c r="AB2315" i="2"/>
  <c r="AA2315" i="2"/>
  <c r="Y2315" i="2"/>
  <c r="X2315" i="2"/>
  <c r="H422" i="6"/>
  <c r="AB2316" i="2"/>
  <c r="AA2316" i="2"/>
  <c r="X2316" i="2"/>
  <c r="Y2316" i="2" s="1"/>
  <c r="K10" i="5"/>
  <c r="AB2317" i="2"/>
  <c r="AA2317" i="2"/>
  <c r="X2317" i="2"/>
  <c r="Y2317" i="2" s="1"/>
  <c r="AB2318" i="2"/>
  <c r="AA2318" i="2"/>
  <c r="X2318" i="2"/>
  <c r="Y2318" i="2" s="1"/>
  <c r="AB2319" i="2"/>
  <c r="AA2319" i="2"/>
  <c r="Y2319" i="2"/>
  <c r="X2319" i="2"/>
  <c r="K12" i="5"/>
  <c r="AB2320" i="2"/>
  <c r="AA2320" i="2"/>
  <c r="X2320" i="2"/>
  <c r="Y2320" i="2" s="1"/>
  <c r="AB2321" i="2"/>
  <c r="AA2321" i="2"/>
  <c r="Y2321" i="2"/>
  <c r="X2321" i="2"/>
  <c r="AB2322" i="2"/>
  <c r="AA2322" i="2"/>
  <c r="X2322" i="2"/>
  <c r="Y2322" i="2" s="1"/>
  <c r="AB2323" i="2"/>
  <c r="AA2323" i="2"/>
  <c r="X2323" i="2"/>
  <c r="Y2323" i="2" s="1"/>
  <c r="AB2324" i="2"/>
  <c r="AA2324" i="2"/>
  <c r="Y2324" i="2"/>
  <c r="X2324" i="2"/>
  <c r="K22" i="5"/>
  <c r="AB2325" i="2"/>
  <c r="AA2325" i="2"/>
  <c r="X2325" i="2"/>
  <c r="Y2325" i="2" s="1"/>
  <c r="AF2326" i="2"/>
  <c r="AB2326" i="2"/>
  <c r="AA2326" i="2"/>
  <c r="X2326" i="2"/>
  <c r="Y2326" i="2" s="1"/>
  <c r="AB2327" i="2"/>
  <c r="AA2327" i="2"/>
  <c r="X2327" i="2"/>
  <c r="Y2327" i="2" s="1"/>
  <c r="AB2328" i="2"/>
  <c r="AA2328" i="2"/>
  <c r="Y2328" i="2"/>
  <c r="X2328" i="2"/>
  <c r="AB2329" i="2"/>
  <c r="AA2329" i="2"/>
  <c r="X2329" i="2"/>
  <c r="Y2329" i="2" s="1"/>
  <c r="AB2330" i="2"/>
  <c r="AA2330" i="2"/>
  <c r="X2330" i="2"/>
  <c r="Y2330" i="2" s="1"/>
  <c r="AB2331" i="2"/>
  <c r="AA2331" i="2"/>
  <c r="Y2331" i="2"/>
  <c r="X2331" i="2"/>
  <c r="AB2332" i="2"/>
  <c r="AA2332" i="2"/>
  <c r="X2332" i="2"/>
  <c r="Y2332" i="2" s="1"/>
  <c r="AB2333" i="2"/>
  <c r="AA2333" i="2"/>
  <c r="X2333" i="2"/>
  <c r="Y2333" i="2" s="1"/>
  <c r="AB2334" i="2"/>
  <c r="AA2334" i="2"/>
  <c r="Y2334" i="2"/>
  <c r="X2334" i="2"/>
  <c r="AB2335" i="2"/>
  <c r="AA2335" i="2"/>
  <c r="X2335" i="2"/>
  <c r="Y2335" i="2" s="1"/>
  <c r="H423" i="6"/>
  <c r="AB2336" i="2"/>
  <c r="AA2336" i="2"/>
  <c r="Y2336" i="2"/>
  <c r="X2336" i="2"/>
  <c r="AB2337" i="2"/>
  <c r="AA2337" i="2"/>
  <c r="X2337" i="2"/>
  <c r="Y2337" i="2" s="1"/>
  <c r="AB2338" i="2"/>
  <c r="AA2338" i="2"/>
  <c r="X2338" i="2"/>
  <c r="Y2338" i="2" s="1"/>
  <c r="AB2339" i="2"/>
  <c r="AA2339" i="2"/>
  <c r="Y2339" i="2"/>
  <c r="X2339" i="2"/>
  <c r="H424" i="6"/>
  <c r="K14" i="5"/>
  <c r="AB2340" i="2"/>
  <c r="AA2340" i="2"/>
  <c r="Y2340" i="2"/>
  <c r="X2340" i="2"/>
  <c r="AB2341" i="2"/>
  <c r="AA2341" i="2"/>
  <c r="X2341" i="2"/>
  <c r="Y2341" i="2" s="1"/>
  <c r="AF2342" i="2"/>
  <c r="AB2342" i="2"/>
  <c r="AA2342" i="2"/>
  <c r="Y2342" i="2"/>
  <c r="X2342" i="2"/>
  <c r="AF2343" i="2"/>
  <c r="AB2343" i="2"/>
  <c r="AA2343" i="2"/>
  <c r="X2343" i="2"/>
  <c r="Y2343" i="2" s="1"/>
  <c r="AB2344" i="2"/>
  <c r="AA2344" i="2"/>
  <c r="Y2344" i="2"/>
  <c r="X2344" i="2"/>
  <c r="H425" i="6"/>
  <c r="K21" i="5"/>
  <c r="AB2345" i="2"/>
  <c r="AA2345" i="2"/>
  <c r="Y2345" i="2"/>
  <c r="X2345" i="2"/>
  <c r="AF2346" i="2"/>
  <c r="AB2346" i="2"/>
  <c r="AA2346" i="2"/>
  <c r="X2346" i="2"/>
  <c r="Y2346" i="2" s="1"/>
  <c r="H426" i="6"/>
  <c r="AB2347" i="2"/>
  <c r="AA2347" i="2"/>
  <c r="X2347" i="2"/>
  <c r="Y2347" i="2" s="1"/>
  <c r="AB2348" i="2"/>
  <c r="AA2348" i="2"/>
  <c r="X2348" i="2"/>
  <c r="Y2348" i="2" s="1"/>
  <c r="H427" i="6"/>
  <c r="K118" i="3"/>
  <c r="L118" i="3" s="1"/>
  <c r="AF2349" i="2"/>
  <c r="AB2349" i="2"/>
  <c r="AA2349" i="2"/>
  <c r="Y2349" i="2"/>
  <c r="X2349" i="2"/>
  <c r="H428" i="6"/>
  <c r="AB2350" i="2"/>
  <c r="AA2350" i="2"/>
  <c r="X2350" i="2"/>
  <c r="Y2350" i="2" s="1"/>
  <c r="AB2351" i="2"/>
  <c r="AA2351" i="2"/>
  <c r="Y2351" i="2"/>
  <c r="X2351" i="2"/>
  <c r="H429" i="6"/>
  <c r="AF2352" i="2"/>
  <c r="AB2352" i="2"/>
  <c r="AA2352" i="2"/>
  <c r="Y2352" i="2"/>
  <c r="X2352" i="2"/>
  <c r="AF2353" i="2"/>
  <c r="AB2353" i="2"/>
  <c r="AA2353" i="2"/>
  <c r="X2353" i="2"/>
  <c r="Y2353" i="2" s="1"/>
  <c r="K43" i="3"/>
  <c r="L43" i="3" s="1"/>
  <c r="AB2354" i="2"/>
  <c r="AA2354" i="2"/>
  <c r="X2354" i="2"/>
  <c r="Y2354" i="2" s="1"/>
  <c r="AB2355" i="2"/>
  <c r="AA2355" i="2"/>
  <c r="Y2355" i="2"/>
  <c r="X2355" i="2"/>
  <c r="AF2356" i="2"/>
  <c r="AB2356" i="2"/>
  <c r="AA2356" i="2"/>
  <c r="X2356" i="2"/>
  <c r="Y2356" i="2" s="1"/>
  <c r="AB2357" i="2"/>
  <c r="AA2357" i="2"/>
  <c r="Y2357" i="2"/>
  <c r="X2357" i="2"/>
  <c r="AF2358" i="2"/>
  <c r="AB2358" i="2"/>
  <c r="AA2358" i="2"/>
  <c r="X2358" i="2"/>
  <c r="Y2358" i="2" s="1"/>
  <c r="AF2359" i="2"/>
  <c r="AB2359" i="2"/>
  <c r="AA2359" i="2"/>
  <c r="X2359" i="2"/>
  <c r="Y2359" i="2" s="1"/>
  <c r="AF2360" i="2"/>
  <c r="AB2360" i="2"/>
  <c r="AA2360" i="2"/>
  <c r="Y2360" i="2"/>
  <c r="X2360" i="2"/>
  <c r="AB2361" i="2"/>
  <c r="AA2361" i="2"/>
  <c r="X2361" i="2"/>
  <c r="Y2361" i="2" s="1"/>
  <c r="AB2362" i="2"/>
  <c r="AA2362" i="2"/>
  <c r="X2362" i="2"/>
  <c r="Y2362" i="2" s="1"/>
  <c r="AF2363" i="2"/>
  <c r="AB2363" i="2"/>
  <c r="AA2363" i="2"/>
  <c r="X2363" i="2"/>
  <c r="Y2363" i="2" s="1"/>
  <c r="AB2364" i="2"/>
  <c r="AA2364" i="2"/>
  <c r="X2364" i="2"/>
  <c r="Y2364" i="2" s="1"/>
  <c r="AB2365" i="2"/>
  <c r="AA2365" i="2"/>
  <c r="Y2365" i="2"/>
  <c r="X2365" i="2"/>
  <c r="AB2366" i="2"/>
  <c r="AA2366" i="2"/>
  <c r="X2366" i="2"/>
  <c r="Y2366" i="2" s="1"/>
  <c r="AF2367" i="2"/>
  <c r="AB2367" i="2"/>
  <c r="AA2367" i="2"/>
  <c r="Y2367" i="2"/>
  <c r="X2367" i="2"/>
  <c r="AF2368" i="2"/>
  <c r="AB2368" i="2"/>
  <c r="AA2368" i="2"/>
  <c r="X2368" i="2"/>
  <c r="Y2368" i="2" s="1"/>
  <c r="H430" i="6"/>
  <c r="AF2369" i="2"/>
  <c r="AB2369" i="2"/>
  <c r="AA2369" i="2"/>
  <c r="X2369" i="2"/>
  <c r="Y2369" i="2" s="1"/>
  <c r="H431" i="6"/>
  <c r="AB2370" i="2"/>
  <c r="AA2370" i="2"/>
  <c r="X2370" i="2"/>
  <c r="Y2370" i="2" s="1"/>
  <c r="AF2371" i="2"/>
  <c r="AB2371" i="2"/>
  <c r="AA2371" i="2"/>
  <c r="Y2371" i="2"/>
  <c r="X2371" i="2"/>
  <c r="AF2372" i="2"/>
  <c r="AB2372" i="2"/>
  <c r="AA2372" i="2"/>
  <c r="X2372" i="2"/>
  <c r="Y2372" i="2" s="1"/>
  <c r="AB2373" i="2"/>
  <c r="AA2373" i="2"/>
  <c r="Y2373" i="2"/>
  <c r="X2373" i="2"/>
  <c r="AB2374" i="2"/>
  <c r="AA2374" i="2"/>
  <c r="X2374" i="2"/>
  <c r="Y2374" i="2" s="1"/>
  <c r="AF2375" i="2"/>
  <c r="N43" i="3" s="1"/>
  <c r="AB2375" i="2"/>
  <c r="AA2375" i="2"/>
  <c r="Y2375" i="2"/>
  <c r="X2375" i="2"/>
  <c r="H432" i="6"/>
  <c r="AF2376" i="2"/>
  <c r="AB2376" i="2"/>
  <c r="AA2376" i="2"/>
  <c r="Y2376" i="2"/>
  <c r="X2376" i="2"/>
  <c r="AF2377" i="2"/>
  <c r="AB2377" i="2"/>
  <c r="AA2377" i="2"/>
  <c r="X2377" i="2"/>
  <c r="Y2377" i="2" s="1"/>
  <c r="AF2378" i="2"/>
  <c r="AB2378" i="2"/>
  <c r="AA2378" i="2"/>
  <c r="X2378" i="2"/>
  <c r="Y2378" i="2" s="1"/>
  <c r="AB2379" i="2"/>
  <c r="AA2379" i="2"/>
  <c r="X2379" i="2"/>
  <c r="Y2379" i="2" s="1"/>
  <c r="AB2380" i="2"/>
  <c r="AA2380" i="2"/>
  <c r="Y2380" i="2"/>
  <c r="X2380" i="2"/>
  <c r="AB2381" i="2"/>
  <c r="AA2381" i="2"/>
  <c r="X2381" i="2"/>
  <c r="Y2381" i="2" s="1"/>
  <c r="AB2382" i="2"/>
  <c r="AA2382" i="2"/>
  <c r="X2382" i="2"/>
  <c r="Y2382" i="2" s="1"/>
  <c r="AF2383" i="2"/>
  <c r="AB2383" i="2"/>
  <c r="AA2383" i="2"/>
  <c r="X2383" i="2"/>
  <c r="Y2383" i="2" s="1"/>
  <c r="AB2384" i="2"/>
  <c r="AA2384" i="2"/>
  <c r="X2384" i="2"/>
  <c r="Y2384" i="2" s="1"/>
  <c r="H433" i="6"/>
  <c r="AF2385" i="2"/>
  <c r="AB2385" i="2"/>
  <c r="AA2385" i="2"/>
  <c r="X2385" i="2"/>
  <c r="Y2385" i="2" s="1"/>
  <c r="AB2386" i="2"/>
  <c r="AA2386" i="2"/>
  <c r="Y2386" i="2"/>
  <c r="X2386" i="2"/>
  <c r="AB2387" i="2"/>
  <c r="AA2387" i="2"/>
  <c r="X2387" i="2"/>
  <c r="Y2387" i="2" s="1"/>
  <c r="AB2388" i="2"/>
  <c r="AA2388" i="2"/>
  <c r="X2388" i="2"/>
  <c r="Y2388" i="2" s="1"/>
  <c r="AB2389" i="2"/>
  <c r="AA2389" i="2"/>
  <c r="Y2389" i="2"/>
  <c r="X2389" i="2"/>
  <c r="H434" i="6"/>
  <c r="AF2390" i="2"/>
  <c r="AB2390" i="2"/>
  <c r="AA2390" i="2"/>
  <c r="Y2390" i="2"/>
  <c r="X2390" i="2"/>
  <c r="K60" i="3"/>
  <c r="L60" i="3" s="1"/>
  <c r="AF2391" i="2"/>
  <c r="N60" i="3" s="1"/>
  <c r="AB2391" i="2"/>
  <c r="AA2391" i="2"/>
  <c r="Y2391" i="2"/>
  <c r="X2391" i="2"/>
  <c r="AF2392" i="2"/>
  <c r="AB2392" i="2"/>
  <c r="AA2392" i="2"/>
  <c r="X2392" i="2"/>
  <c r="Y2392" i="2" s="1"/>
  <c r="AB2393" i="2"/>
  <c r="AA2393" i="2"/>
  <c r="Y2393" i="2"/>
  <c r="X2393" i="2"/>
  <c r="AB2394" i="2"/>
  <c r="AA2394" i="2"/>
  <c r="X2394" i="2"/>
  <c r="Y2394" i="2" s="1"/>
  <c r="AB2395" i="2"/>
  <c r="AA2395" i="2"/>
  <c r="X2395" i="2"/>
  <c r="Y2395" i="2" s="1"/>
  <c r="AB2396" i="2"/>
  <c r="AA2396" i="2"/>
  <c r="Y2396" i="2"/>
  <c r="X2396" i="2"/>
  <c r="AF2397" i="2"/>
  <c r="AB2397" i="2"/>
  <c r="AA2397" i="2"/>
  <c r="X2397" i="2"/>
  <c r="Y2397" i="2" s="1"/>
  <c r="AB2398" i="2"/>
  <c r="AA2398" i="2"/>
  <c r="Y2398" i="2"/>
  <c r="X2398" i="2"/>
  <c r="AF2399" i="2"/>
  <c r="AB2399" i="2"/>
  <c r="AA2399" i="2"/>
  <c r="X2399" i="2"/>
  <c r="Y2399" i="2" s="1"/>
  <c r="AB2400" i="2"/>
  <c r="AA2400" i="2"/>
  <c r="Y2400" i="2"/>
  <c r="X2400" i="2"/>
  <c r="AB2401" i="2"/>
  <c r="AA2401" i="2"/>
  <c r="X2401" i="2"/>
  <c r="Y2401" i="2" s="1"/>
  <c r="H435" i="6"/>
  <c r="AF2402" i="2"/>
  <c r="AB2402" i="2"/>
  <c r="AA2402" i="2"/>
  <c r="X2402" i="2"/>
  <c r="Y2402" i="2" s="1"/>
  <c r="H436" i="6"/>
  <c r="AF2403" i="2"/>
  <c r="AB2403" i="2"/>
  <c r="AA2403" i="2"/>
  <c r="X2403" i="2"/>
  <c r="Y2403" i="2" s="1"/>
  <c r="AB2404" i="2"/>
  <c r="AA2404" i="2"/>
  <c r="X2404" i="2"/>
  <c r="Y2404" i="2" s="1"/>
  <c r="AB2405" i="2"/>
  <c r="AA2405" i="2"/>
  <c r="Y2405" i="2"/>
  <c r="X2405" i="2"/>
  <c r="AB2406" i="2"/>
  <c r="AA2406" i="2"/>
  <c r="X2406" i="2"/>
  <c r="Y2406" i="2" s="1"/>
  <c r="H437" i="6"/>
  <c r="AB2407" i="2"/>
  <c r="AA2407" i="2"/>
  <c r="Y2407" i="2"/>
  <c r="X2407" i="2"/>
  <c r="H438" i="6"/>
  <c r="AB2408" i="2"/>
  <c r="AA2408" i="2"/>
  <c r="X2408" i="2"/>
  <c r="Y2408" i="2" s="1"/>
  <c r="AF2409" i="2"/>
  <c r="AB2409" i="2"/>
  <c r="AA2409" i="2"/>
  <c r="X2409" i="2"/>
  <c r="Y2409" i="2" s="1"/>
  <c r="H439" i="6"/>
  <c r="AB2410" i="2"/>
  <c r="AA2410" i="2"/>
  <c r="Y2410" i="2"/>
  <c r="X2410" i="2"/>
  <c r="H440" i="6"/>
  <c r="K17" i="3"/>
  <c r="L17" i="3" s="1"/>
  <c r="AB2411" i="2"/>
  <c r="AA2411" i="2"/>
  <c r="Y2411" i="2"/>
  <c r="X2411" i="2"/>
  <c r="AF2412" i="2"/>
  <c r="AB2412" i="2"/>
  <c r="AA2412" i="2"/>
  <c r="Y2412" i="2"/>
  <c r="X2412" i="2"/>
  <c r="AF2413" i="2"/>
  <c r="AB2413" i="2"/>
  <c r="AA2413" i="2"/>
  <c r="Y2413" i="2"/>
  <c r="X2413" i="2"/>
  <c r="AB2414" i="2"/>
  <c r="AA2414" i="2"/>
  <c r="Y2414" i="2"/>
  <c r="X2414" i="2"/>
  <c r="H441" i="6"/>
  <c r="AB2415" i="2"/>
  <c r="AA2415" i="2"/>
  <c r="Y2415" i="2"/>
  <c r="X2415" i="2"/>
  <c r="AB2416" i="2"/>
  <c r="AA2416" i="2"/>
  <c r="Y2416" i="2"/>
  <c r="X2416" i="2"/>
  <c r="AB2417" i="2"/>
  <c r="AA2417" i="2"/>
  <c r="X2417" i="2"/>
  <c r="Y2417" i="2" s="1"/>
  <c r="AB2418" i="2"/>
  <c r="AA2418" i="2"/>
  <c r="X2418" i="2"/>
  <c r="Y2418" i="2" s="1"/>
  <c r="H442" i="6"/>
  <c r="K104" i="3"/>
  <c r="L104" i="3" s="1"/>
  <c r="AB2419" i="2"/>
  <c r="AA2419" i="2"/>
  <c r="X2419" i="2"/>
  <c r="Y2419" i="2" s="1"/>
  <c r="AB2420" i="2"/>
  <c r="AA2420" i="2"/>
  <c r="Y2420" i="2"/>
  <c r="X2420" i="2"/>
  <c r="AB2421" i="2"/>
  <c r="AA2421" i="2"/>
  <c r="X2421" i="2"/>
  <c r="Y2421" i="2" s="1"/>
  <c r="H443" i="6"/>
  <c r="AF2422" i="2"/>
  <c r="AB2422" i="2"/>
  <c r="AA2422" i="2"/>
  <c r="X2422" i="2"/>
  <c r="Y2422" i="2" s="1"/>
  <c r="AF2423" i="2"/>
  <c r="AB2423" i="2"/>
  <c r="AA2423" i="2"/>
  <c r="Y2423" i="2"/>
  <c r="X2423" i="2"/>
  <c r="AB2424" i="2"/>
  <c r="AA2424" i="2"/>
  <c r="X2424" i="2"/>
  <c r="Y2424" i="2" s="1"/>
  <c r="K37" i="3"/>
  <c r="L37" i="3" s="1"/>
  <c r="AB2425" i="2"/>
  <c r="AA2425" i="2"/>
  <c r="Y2425" i="2"/>
  <c r="X2425" i="2"/>
  <c r="AB2426" i="2"/>
  <c r="AA2426" i="2"/>
  <c r="X2426" i="2"/>
  <c r="Y2426" i="2" s="1"/>
  <c r="AB2427" i="2"/>
  <c r="AA2427" i="2"/>
  <c r="Y2427" i="2"/>
  <c r="X2427" i="2"/>
  <c r="AF2428" i="2"/>
  <c r="N37" i="3" s="1"/>
  <c r="AB2428" i="2"/>
  <c r="AA2428" i="2"/>
  <c r="X2428" i="2"/>
  <c r="Y2428" i="2" s="1"/>
  <c r="AF2429" i="2"/>
  <c r="AB2429" i="2"/>
  <c r="AA2429" i="2"/>
  <c r="X2429" i="2"/>
  <c r="Y2429" i="2" s="1"/>
  <c r="AB2430" i="2"/>
  <c r="AA2430" i="2"/>
  <c r="Y2430" i="2"/>
  <c r="X2430" i="2"/>
  <c r="AF2431" i="2"/>
  <c r="AB2431" i="2"/>
  <c r="AA2431" i="2"/>
  <c r="X2431" i="2"/>
  <c r="Y2431" i="2" s="1"/>
  <c r="AB2432" i="2"/>
  <c r="AA2432" i="2"/>
  <c r="Y2432" i="2"/>
  <c r="X2432" i="2"/>
  <c r="AB2433" i="2"/>
  <c r="AA2433" i="2"/>
  <c r="Y2433" i="2"/>
  <c r="X2433" i="2"/>
  <c r="AB2434" i="2"/>
  <c r="AA2434" i="2"/>
  <c r="X2434" i="2"/>
  <c r="Y2434" i="2" s="1"/>
  <c r="AB2435" i="2"/>
  <c r="AA2435" i="2"/>
  <c r="X2435" i="2"/>
  <c r="Y2435" i="2" s="1"/>
  <c r="H444" i="6"/>
  <c r="AB2436" i="2"/>
  <c r="AA2436" i="2"/>
  <c r="X2436" i="2"/>
  <c r="Y2436" i="2" s="1"/>
  <c r="AB2437" i="2"/>
  <c r="AA2437" i="2"/>
  <c r="Y2437" i="2"/>
  <c r="X2437" i="2"/>
  <c r="H445" i="6"/>
  <c r="AF2438" i="2"/>
  <c r="AB2438" i="2"/>
  <c r="AA2438" i="2"/>
  <c r="Y2438" i="2"/>
  <c r="X2438" i="2"/>
  <c r="AF2439" i="2"/>
  <c r="AB2439" i="2"/>
  <c r="AA2439" i="2"/>
  <c r="X2439" i="2"/>
  <c r="Y2439" i="2" s="1"/>
  <c r="AF2440" i="2"/>
  <c r="AB2440" i="2"/>
  <c r="AA2440" i="2"/>
  <c r="Y2440" i="2"/>
  <c r="X2440" i="2"/>
  <c r="H446" i="6"/>
  <c r="AF2441" i="2"/>
  <c r="AB2441" i="2"/>
  <c r="AA2441" i="2"/>
  <c r="Y2441" i="2"/>
  <c r="X2441" i="2"/>
  <c r="H447" i="6"/>
  <c r="AB2442" i="2"/>
  <c r="AA2442" i="2"/>
  <c r="Y2442" i="2"/>
  <c r="X2442" i="2"/>
  <c r="AB2443" i="2"/>
  <c r="AA2443" i="2"/>
  <c r="Y2443" i="2"/>
  <c r="X2443" i="2"/>
  <c r="AB2444" i="2"/>
  <c r="AA2444" i="2"/>
  <c r="X2444" i="2"/>
  <c r="Y2444" i="2" s="1"/>
  <c r="H448" i="6"/>
  <c r="AB2445" i="2"/>
  <c r="AA2445" i="2"/>
  <c r="Y2445" i="2"/>
  <c r="X2445" i="2"/>
  <c r="AB2446" i="2"/>
  <c r="AA2446" i="2"/>
  <c r="X2446" i="2"/>
  <c r="Y2446" i="2" s="1"/>
  <c r="AB2447" i="2"/>
  <c r="AA2447" i="2"/>
  <c r="Y2447" i="2"/>
  <c r="X2447" i="2"/>
  <c r="K128" i="3"/>
  <c r="L128" i="3" s="1"/>
  <c r="AB2448" i="2"/>
  <c r="AA2448" i="2"/>
  <c r="X2448" i="2"/>
  <c r="Y2448" i="2" s="1"/>
  <c r="AB2449" i="2"/>
  <c r="AA2449" i="2"/>
  <c r="Y2449" i="2"/>
  <c r="X2449" i="2"/>
  <c r="AF2450" i="2"/>
  <c r="N128" i="3" s="1"/>
  <c r="AB2450" i="2"/>
  <c r="AA2450" i="2"/>
  <c r="Y2450" i="2"/>
  <c r="X2450" i="2"/>
  <c r="AF2451" i="2"/>
  <c r="AB2451" i="2"/>
  <c r="AA2451" i="2"/>
  <c r="X2451" i="2"/>
  <c r="Y2451" i="2" s="1"/>
  <c r="AB2452" i="2"/>
  <c r="AA2452" i="2"/>
  <c r="X2452" i="2"/>
  <c r="Y2452" i="2" s="1"/>
  <c r="AB2453" i="2"/>
  <c r="AA2453" i="2"/>
  <c r="Y2453" i="2"/>
  <c r="X2453" i="2"/>
  <c r="AB2454" i="2"/>
  <c r="AA2454" i="2"/>
  <c r="X2454" i="2"/>
  <c r="Y2454" i="2" s="1"/>
  <c r="AF2455" i="2"/>
  <c r="AB2455" i="2"/>
  <c r="AA2455" i="2"/>
  <c r="Y2455" i="2"/>
  <c r="X2455" i="2"/>
  <c r="H449" i="6"/>
  <c r="AB2456" i="2"/>
  <c r="AA2456" i="2"/>
  <c r="Y2456" i="2"/>
  <c r="X2456" i="2"/>
  <c r="AB2457" i="2"/>
  <c r="AA2457" i="2"/>
  <c r="Y2457" i="2"/>
  <c r="X2457" i="2"/>
  <c r="AB2458" i="2"/>
  <c r="AA2458" i="2"/>
  <c r="X2458" i="2"/>
  <c r="Y2458" i="2" s="1"/>
  <c r="AB2459" i="2"/>
  <c r="AA2459" i="2"/>
  <c r="Y2459" i="2"/>
  <c r="X2459" i="2"/>
  <c r="AB2460" i="2"/>
  <c r="AA2460" i="2"/>
  <c r="Y2460" i="2"/>
  <c r="X2460" i="2"/>
  <c r="AF2461" i="2"/>
  <c r="AB2461" i="2"/>
  <c r="AA2461" i="2"/>
  <c r="Y2461" i="2"/>
  <c r="X2461" i="2"/>
  <c r="AB2462" i="2"/>
  <c r="AA2462" i="2"/>
  <c r="Y2462" i="2"/>
  <c r="X2462" i="2"/>
  <c r="AF2463" i="2"/>
  <c r="AB2463" i="2"/>
  <c r="AA2463" i="2"/>
  <c r="Y2463" i="2"/>
  <c r="X2463" i="2"/>
  <c r="AB2464" i="2"/>
  <c r="AA2464" i="2"/>
  <c r="Y2464" i="2"/>
  <c r="X2464" i="2"/>
  <c r="H450" i="6"/>
  <c r="AB2465" i="2"/>
  <c r="AA2465" i="2"/>
  <c r="Y2465" i="2"/>
  <c r="X2465" i="2"/>
  <c r="AF2466" i="2"/>
  <c r="AB2466" i="2"/>
  <c r="AA2466" i="2"/>
  <c r="X2466" i="2"/>
  <c r="Y2466" i="2" s="1"/>
  <c r="AF2467" i="2"/>
  <c r="AB2467" i="2"/>
  <c r="AA2467" i="2"/>
  <c r="Y2467" i="2"/>
  <c r="X2467" i="2"/>
  <c r="AB2468" i="2"/>
  <c r="AA2468" i="2"/>
  <c r="X2468" i="2"/>
  <c r="Y2468" i="2" s="1"/>
  <c r="AF2469" i="2"/>
  <c r="AB2469" i="2"/>
  <c r="AA2469" i="2"/>
  <c r="Y2469" i="2"/>
  <c r="X2469" i="2"/>
  <c r="AB2470" i="2"/>
  <c r="AA2470" i="2"/>
  <c r="X2470" i="2"/>
  <c r="Y2470" i="2" s="1"/>
  <c r="AB2471" i="2"/>
  <c r="AA2471" i="2"/>
  <c r="Y2471" i="2"/>
  <c r="X2471" i="2"/>
  <c r="AF2472" i="2"/>
  <c r="AB2472" i="2"/>
  <c r="AA2472" i="2"/>
  <c r="X2472" i="2"/>
  <c r="Y2472" i="2" s="1"/>
  <c r="AB2473" i="2"/>
  <c r="AA2473" i="2"/>
  <c r="X2473" i="2"/>
  <c r="Y2473" i="2" s="1"/>
  <c r="AF2474" i="2"/>
  <c r="AB2474" i="2"/>
  <c r="AA2474" i="2"/>
  <c r="X2474" i="2"/>
  <c r="Y2474" i="2" s="1"/>
  <c r="H451" i="6"/>
  <c r="K130" i="3"/>
  <c r="L130" i="3" s="1"/>
  <c r="AB2475" i="2"/>
  <c r="AA2475" i="2"/>
  <c r="X2475" i="2"/>
  <c r="Y2475" i="2" s="1"/>
  <c r="AF2476" i="2"/>
  <c r="AB2476" i="2"/>
  <c r="AA2476" i="2"/>
  <c r="X2476" i="2"/>
  <c r="Y2476" i="2" s="1"/>
  <c r="AF2477" i="2"/>
  <c r="N130" i="3" s="1"/>
  <c r="AB2477" i="2"/>
  <c r="AA2477" i="2"/>
  <c r="Y2477" i="2"/>
  <c r="X2477" i="2"/>
  <c r="H452" i="6"/>
  <c r="AF2478" i="2"/>
  <c r="AB2478" i="2"/>
  <c r="AA2478" i="2"/>
  <c r="Y2478" i="2"/>
  <c r="X2478" i="2"/>
  <c r="H453" i="6"/>
  <c r="AF2479" i="2"/>
  <c r="AB2479" i="2"/>
  <c r="AA2479" i="2"/>
  <c r="Y2479" i="2"/>
  <c r="X2479" i="2"/>
  <c r="K19" i="5"/>
  <c r="AB2480" i="2"/>
  <c r="AA2480" i="2"/>
  <c r="X2480" i="2"/>
  <c r="Y2480" i="2" s="1"/>
  <c r="H454" i="6"/>
  <c r="K7" i="3"/>
  <c r="L7" i="3" s="1"/>
  <c r="AF2481" i="2"/>
  <c r="AB2481" i="2"/>
  <c r="AA2481" i="2"/>
  <c r="Y2481" i="2"/>
  <c r="X2481" i="2"/>
  <c r="AB2482" i="2"/>
  <c r="AA2482" i="2"/>
  <c r="X2482" i="2"/>
  <c r="Y2482" i="2" s="1"/>
  <c r="AB2483" i="2"/>
  <c r="AA2483" i="2"/>
  <c r="Y2483" i="2"/>
  <c r="X2483" i="2"/>
  <c r="AB2484" i="2"/>
  <c r="AA2484" i="2"/>
  <c r="Y2484" i="2"/>
  <c r="X2484" i="2"/>
  <c r="AB2485" i="2"/>
  <c r="AA2485" i="2"/>
  <c r="X2485" i="2"/>
  <c r="Y2485" i="2" s="1"/>
  <c r="H455" i="6"/>
  <c r="K32" i="3"/>
  <c r="L32" i="3" s="1"/>
  <c r="AF2486" i="2"/>
  <c r="AB2486" i="2"/>
  <c r="AA2486" i="2"/>
  <c r="Y2486" i="2"/>
  <c r="X2486" i="2"/>
  <c r="H456" i="6"/>
  <c r="AF2487" i="2"/>
  <c r="AB2487" i="2"/>
  <c r="AA2487" i="2"/>
  <c r="Y2487" i="2"/>
  <c r="X2487" i="2"/>
  <c r="AF2488" i="2"/>
  <c r="AB2488" i="2"/>
  <c r="AA2488" i="2"/>
  <c r="X2488" i="2"/>
  <c r="Y2488" i="2" s="1"/>
  <c r="H457" i="6"/>
  <c r="AF2489" i="2"/>
  <c r="AB2489" i="2"/>
  <c r="AA2489" i="2"/>
  <c r="X2489" i="2"/>
  <c r="Y2489" i="2" s="1"/>
  <c r="AF2490" i="2"/>
  <c r="AB2490" i="2"/>
  <c r="AA2490" i="2"/>
  <c r="Y2490" i="2"/>
  <c r="X2490" i="2"/>
  <c r="AB2491" i="2"/>
  <c r="AA2491" i="2"/>
  <c r="X2491" i="2"/>
  <c r="Y2491" i="2" s="1"/>
  <c r="AF2492" i="2"/>
  <c r="AB2492" i="2"/>
  <c r="AA2492" i="2"/>
  <c r="Y2492" i="2"/>
  <c r="X2492" i="2"/>
  <c r="H458" i="6"/>
  <c r="AF2493" i="2"/>
  <c r="AB2493" i="2"/>
  <c r="AA2493" i="2"/>
  <c r="Y2493" i="2"/>
  <c r="X2493" i="2"/>
  <c r="AB2494" i="2"/>
  <c r="AA2494" i="2"/>
  <c r="X2494" i="2"/>
  <c r="Y2494" i="2" s="1"/>
  <c r="AF2495" i="2"/>
  <c r="AB2495" i="2"/>
  <c r="AA2495" i="2"/>
  <c r="Y2495" i="2"/>
  <c r="X2495" i="2"/>
  <c r="AB2496" i="2"/>
  <c r="AA2496" i="2"/>
  <c r="X2496" i="2"/>
  <c r="Y2496" i="2" s="1"/>
  <c r="AF2497" i="2"/>
  <c r="AB2497" i="2"/>
  <c r="AA2497" i="2"/>
  <c r="Y2497" i="2"/>
  <c r="X2497" i="2"/>
  <c r="AF2498" i="2"/>
  <c r="AB2498" i="2"/>
  <c r="AA2498" i="2"/>
  <c r="Y2498" i="2"/>
  <c r="X2498" i="2"/>
  <c r="AB2499" i="2"/>
  <c r="AA2499" i="2"/>
  <c r="Y2499" i="2"/>
  <c r="X2499" i="2"/>
  <c r="AB2500" i="2"/>
  <c r="AA2500" i="2"/>
  <c r="X2500" i="2"/>
  <c r="Y2500" i="2" s="1"/>
  <c r="AB2501" i="2"/>
  <c r="AA2501" i="2"/>
  <c r="Y2501" i="2"/>
  <c r="X2501" i="2"/>
  <c r="AB2502" i="2"/>
  <c r="AA2502" i="2"/>
  <c r="Y2502" i="2"/>
  <c r="X2502" i="2"/>
  <c r="AB2503" i="2"/>
  <c r="AA2503" i="2"/>
  <c r="X2503" i="2"/>
  <c r="Y2503" i="2" s="1"/>
  <c r="AF2504" i="2"/>
  <c r="AB2504" i="2"/>
  <c r="AA2504" i="2"/>
  <c r="Y2504" i="2"/>
  <c r="X2504" i="2"/>
  <c r="AF2505" i="2"/>
  <c r="AB2505" i="2"/>
  <c r="AA2505" i="2"/>
  <c r="X2505" i="2"/>
  <c r="Y2505" i="2" s="1"/>
  <c r="AF2506" i="2"/>
  <c r="AB2506" i="2"/>
  <c r="AA2506" i="2"/>
  <c r="X2506" i="2"/>
  <c r="Y2506" i="2" s="1"/>
  <c r="AF2507" i="2"/>
  <c r="AB2507" i="2"/>
  <c r="AA2507" i="2"/>
  <c r="Y2507" i="2"/>
  <c r="X2507" i="2"/>
  <c r="AB2508" i="2"/>
  <c r="AA2508" i="2"/>
  <c r="X2508" i="2"/>
  <c r="Y2508" i="2" s="1"/>
  <c r="AB2509" i="2"/>
  <c r="AA2509" i="2"/>
  <c r="Y2509" i="2"/>
  <c r="X2509" i="2"/>
  <c r="AF2510" i="2"/>
  <c r="AB2510" i="2"/>
  <c r="AA2510" i="2"/>
  <c r="X2510" i="2"/>
  <c r="Y2510" i="2" s="1"/>
  <c r="H459" i="6"/>
  <c r="AB2511" i="2"/>
  <c r="AA2511" i="2"/>
  <c r="Y2511" i="2"/>
  <c r="X2511" i="2"/>
  <c r="AF2512" i="2"/>
  <c r="AB2512" i="2"/>
  <c r="AA2512" i="2"/>
  <c r="X2512" i="2"/>
  <c r="Y2512" i="2" s="1"/>
  <c r="AB2513" i="2"/>
  <c r="AA2513" i="2"/>
  <c r="Y2513" i="2"/>
  <c r="X2513" i="2"/>
  <c r="AF2514" i="2"/>
  <c r="AB2514" i="2"/>
  <c r="AA2514" i="2"/>
  <c r="X2514" i="2"/>
  <c r="Y2514" i="2" s="1"/>
  <c r="AB2515" i="2"/>
  <c r="AA2515" i="2"/>
  <c r="Y2515" i="2"/>
  <c r="X2515" i="2"/>
  <c r="AB2516" i="2"/>
  <c r="AA2516" i="2"/>
  <c r="X2516" i="2"/>
  <c r="Y2516" i="2" s="1"/>
  <c r="K20" i="5"/>
  <c r="AF2517" i="2"/>
  <c r="AB2517" i="2"/>
  <c r="AA2517" i="2"/>
  <c r="X2517" i="2"/>
  <c r="Y2517" i="2" s="1"/>
  <c r="AF2518" i="2"/>
  <c r="AB2518" i="2"/>
  <c r="AA2518" i="2"/>
  <c r="Y2518" i="2"/>
  <c r="X2518" i="2"/>
  <c r="AF2519" i="2"/>
  <c r="AB2519" i="2"/>
  <c r="AA2519" i="2"/>
  <c r="Y2519" i="2"/>
  <c r="X2519" i="2"/>
  <c r="AB2520" i="2"/>
  <c r="AA2520" i="2"/>
  <c r="Y2520" i="2"/>
  <c r="X2520" i="2"/>
  <c r="AB2521" i="2"/>
  <c r="AA2521" i="2"/>
  <c r="X2521" i="2"/>
  <c r="Y2521" i="2" s="1"/>
  <c r="H460" i="6"/>
  <c r="AB2522" i="2"/>
  <c r="AA2522" i="2"/>
  <c r="Y2522" i="2"/>
  <c r="X2522" i="2"/>
  <c r="AB2523" i="2"/>
  <c r="AA2523" i="2"/>
  <c r="X2523" i="2"/>
  <c r="Y2523" i="2" s="1"/>
  <c r="K52" i="3"/>
  <c r="L52" i="3" s="1"/>
  <c r="AF2524" i="2"/>
  <c r="AB2524" i="2"/>
  <c r="AA2524" i="2"/>
  <c r="X2524" i="2"/>
  <c r="Y2524" i="2" s="1"/>
  <c r="H461" i="6"/>
  <c r="AB2525" i="2"/>
  <c r="AA2525" i="2"/>
  <c r="Y2525" i="2"/>
  <c r="X2525" i="2"/>
  <c r="AF2526" i="2"/>
  <c r="AB2526" i="2"/>
  <c r="AA2526" i="2"/>
  <c r="Y2526" i="2"/>
  <c r="X2526" i="2"/>
  <c r="AF2527" i="2"/>
  <c r="AB2527" i="2"/>
  <c r="AA2527" i="2"/>
  <c r="X2527" i="2"/>
  <c r="Y2527" i="2" s="1"/>
  <c r="AB2528" i="2"/>
  <c r="AA2528" i="2"/>
  <c r="X2528" i="2"/>
  <c r="Y2528" i="2" s="1"/>
  <c r="AB2529" i="2"/>
  <c r="AA2529" i="2"/>
  <c r="Y2529" i="2"/>
  <c r="X2529" i="2"/>
  <c r="AB2530" i="2"/>
  <c r="AA2530" i="2"/>
  <c r="X2530" i="2"/>
  <c r="Y2530" i="2" s="1"/>
  <c r="AF2531" i="2"/>
  <c r="AB2531" i="2"/>
  <c r="AA2531" i="2"/>
  <c r="Y2531" i="2"/>
  <c r="X2531" i="2"/>
  <c r="AB2532" i="2"/>
  <c r="AA2532" i="2"/>
  <c r="X2532" i="2"/>
  <c r="Y2532" i="2" s="1"/>
  <c r="AB2533" i="2"/>
  <c r="AA2533" i="2"/>
  <c r="Y2533" i="2"/>
  <c r="X2533" i="2"/>
  <c r="AF2534" i="2"/>
  <c r="AB2534" i="2"/>
  <c r="AA2534" i="2"/>
  <c r="X2534" i="2"/>
  <c r="Y2534" i="2" s="1"/>
  <c r="AB2535" i="2"/>
  <c r="AA2535" i="2"/>
  <c r="X2535" i="2"/>
  <c r="Y2535" i="2" s="1"/>
  <c r="H462" i="6"/>
  <c r="AF2536" i="2"/>
  <c r="AB2536" i="2"/>
  <c r="AA2536" i="2"/>
  <c r="X2536" i="2"/>
  <c r="Y2536" i="2" s="1"/>
  <c r="AF2537" i="2"/>
  <c r="AB2537" i="2"/>
  <c r="AA2537" i="2"/>
  <c r="X2537" i="2"/>
  <c r="Y2537" i="2" s="1"/>
  <c r="AF2538" i="2"/>
  <c r="AB2538" i="2"/>
  <c r="AA2538" i="2"/>
  <c r="Y2538" i="2"/>
  <c r="X2538" i="2"/>
  <c r="AF2539" i="2"/>
  <c r="AB2539" i="2"/>
  <c r="AA2539" i="2"/>
  <c r="Y2539" i="2"/>
  <c r="X2539" i="2"/>
  <c r="AF2540" i="2"/>
  <c r="AB2540" i="2"/>
  <c r="AA2540" i="2"/>
  <c r="X2540" i="2"/>
  <c r="Y2540" i="2" s="1"/>
  <c r="AB2541" i="2"/>
  <c r="AA2541" i="2"/>
  <c r="Y2541" i="2"/>
  <c r="X2541" i="2"/>
  <c r="AF2542" i="2"/>
  <c r="AB2542" i="2"/>
  <c r="AA2542" i="2"/>
  <c r="X2542" i="2"/>
  <c r="Y2542" i="2" s="1"/>
  <c r="AB2543" i="2"/>
  <c r="AA2543" i="2"/>
  <c r="Y2543" i="2"/>
  <c r="X2543" i="2"/>
  <c r="H463" i="6"/>
  <c r="AB2544" i="2"/>
  <c r="AA2544" i="2"/>
  <c r="X2544" i="2"/>
  <c r="Y2544" i="2" s="1"/>
  <c r="AB2545" i="2"/>
  <c r="AA2545" i="2"/>
  <c r="Y2545" i="2"/>
  <c r="X2545" i="2"/>
  <c r="AF2546" i="2"/>
  <c r="AB2546" i="2"/>
  <c r="AA2546" i="2"/>
  <c r="X2546" i="2"/>
  <c r="Y2546" i="2" s="1"/>
  <c r="AB2547" i="2"/>
  <c r="AA2547" i="2"/>
  <c r="Y2547" i="2"/>
  <c r="X2547" i="2"/>
  <c r="AB2548" i="2"/>
  <c r="AA2548" i="2"/>
  <c r="Y2548" i="2"/>
  <c r="X2548" i="2"/>
  <c r="H464" i="6"/>
  <c r="AB2549" i="2"/>
  <c r="AA2549" i="2"/>
  <c r="Y2549" i="2"/>
  <c r="X2549" i="2"/>
  <c r="AF2550" i="2"/>
  <c r="AB2550" i="2"/>
  <c r="AA2550" i="2"/>
  <c r="X2550" i="2"/>
  <c r="Y2550" i="2" s="1"/>
  <c r="AF2551" i="2"/>
  <c r="AB2551" i="2"/>
  <c r="AA2551" i="2"/>
  <c r="Y2551" i="2"/>
  <c r="X2551" i="2"/>
  <c r="AB2552" i="2"/>
  <c r="AA2552" i="2"/>
  <c r="X2552" i="2"/>
  <c r="Y2552" i="2" s="1"/>
  <c r="AB2553" i="2"/>
  <c r="AA2553" i="2"/>
  <c r="Y2553" i="2"/>
  <c r="X2553" i="2"/>
  <c r="AB2554" i="2"/>
  <c r="AA2554" i="2"/>
  <c r="Y2554" i="2"/>
  <c r="X2554" i="2"/>
  <c r="AB2555" i="2"/>
  <c r="AA2555" i="2"/>
  <c r="X2555" i="2"/>
  <c r="Y2555" i="2" s="1"/>
  <c r="AB2556" i="2"/>
  <c r="AA2556" i="2"/>
  <c r="Y2556" i="2"/>
  <c r="X2556" i="2"/>
  <c r="H465" i="6"/>
  <c r="AB2557" i="2"/>
  <c r="AA2557" i="2"/>
  <c r="X2557" i="2"/>
  <c r="Y2557" i="2" s="1"/>
  <c r="AB2558" i="2"/>
  <c r="AA2558" i="2"/>
  <c r="Y2558" i="2"/>
  <c r="X2558" i="2"/>
  <c r="AB2559" i="2"/>
  <c r="AA2559" i="2"/>
  <c r="Y2559" i="2"/>
  <c r="X2559" i="2"/>
  <c r="AF2560" i="2"/>
  <c r="AB2560" i="2"/>
  <c r="AA2560" i="2"/>
  <c r="Y2560" i="2"/>
  <c r="X2560" i="2"/>
  <c r="H466" i="6"/>
  <c r="AF2561" i="2"/>
  <c r="AB2561" i="2"/>
  <c r="AA2561" i="2"/>
  <c r="Y2561" i="2"/>
  <c r="X2561" i="2"/>
  <c r="AB2562" i="2"/>
  <c r="AA2562" i="2"/>
  <c r="Y2562" i="2"/>
  <c r="X2562" i="2"/>
  <c r="AF2563" i="2"/>
  <c r="AB2563" i="2"/>
  <c r="AA2563" i="2"/>
  <c r="Y2563" i="2"/>
  <c r="X2563" i="2"/>
  <c r="AB2564" i="2"/>
  <c r="AA2564" i="2"/>
  <c r="Y2564" i="2"/>
  <c r="X2564" i="2"/>
  <c r="AB2565" i="2"/>
  <c r="AA2565" i="2"/>
  <c r="X2565" i="2"/>
  <c r="Y2565" i="2" s="1"/>
  <c r="H467" i="6"/>
  <c r="AB2566" i="2"/>
  <c r="AA2566" i="2"/>
  <c r="Y2566" i="2"/>
  <c r="X2566" i="2"/>
  <c r="AF2567" i="2"/>
  <c r="AB2567" i="2"/>
  <c r="AA2567" i="2"/>
  <c r="Y2567" i="2"/>
  <c r="X2567" i="2"/>
  <c r="AF2568" i="2"/>
  <c r="AB2568" i="2"/>
  <c r="AA2568" i="2"/>
  <c r="X2568" i="2"/>
  <c r="Y2568" i="2" s="1"/>
  <c r="H468" i="6"/>
  <c r="K80" i="3"/>
  <c r="L80" i="3" s="1"/>
  <c r="AB2569" i="2"/>
  <c r="AA2569" i="2"/>
  <c r="X2569" i="2"/>
  <c r="Y2569" i="2" s="1"/>
  <c r="AF2570" i="2"/>
  <c r="AB2570" i="2"/>
  <c r="AA2570" i="2"/>
  <c r="X2570" i="2"/>
  <c r="Y2570" i="2" s="1"/>
  <c r="AF2571" i="2"/>
  <c r="N80" i="3" s="1"/>
  <c r="AB2571" i="2"/>
  <c r="AA2571" i="2"/>
  <c r="Y2571" i="2"/>
  <c r="X2571" i="2"/>
  <c r="AB2572" i="2"/>
  <c r="AA2572" i="2"/>
  <c r="X2572" i="2"/>
  <c r="Y2572" i="2" s="1"/>
  <c r="AF2573" i="2"/>
  <c r="AB2573" i="2"/>
  <c r="AA2573" i="2"/>
  <c r="Y2573" i="2"/>
  <c r="X2573" i="2"/>
  <c r="AF2574" i="2"/>
  <c r="AB2574" i="2"/>
  <c r="AA2574" i="2"/>
  <c r="X2574" i="2"/>
  <c r="Y2574" i="2" s="1"/>
  <c r="AB2575" i="2"/>
  <c r="AA2575" i="2"/>
  <c r="Y2575" i="2"/>
  <c r="X2575" i="2"/>
  <c r="H469" i="6"/>
  <c r="AF2576" i="2"/>
  <c r="AB2576" i="2"/>
  <c r="AA2576" i="2"/>
  <c r="Y2576" i="2"/>
  <c r="X2576" i="2"/>
  <c r="AF2577" i="2"/>
  <c r="AB2577" i="2"/>
  <c r="AA2577" i="2"/>
  <c r="X2577" i="2"/>
  <c r="Y2577" i="2" s="1"/>
  <c r="H470" i="6"/>
  <c r="AB2578" i="2"/>
  <c r="AA2578" i="2"/>
  <c r="X2578" i="2"/>
  <c r="Y2578" i="2" s="1"/>
  <c r="K14" i="3"/>
  <c r="L14" i="3" s="1"/>
  <c r="AB2579" i="2"/>
  <c r="AA2579" i="2"/>
  <c r="Y2579" i="2"/>
  <c r="X2579" i="2"/>
  <c r="N14" i="3"/>
  <c r="H471" i="6"/>
  <c r="AB2580" i="2"/>
  <c r="AA2580" i="2"/>
  <c r="Y2580" i="2"/>
  <c r="X2580" i="2"/>
  <c r="H472" i="6"/>
  <c r="AF2581" i="2"/>
  <c r="AB2581" i="2"/>
  <c r="AA2581" i="2"/>
  <c r="Y2581" i="2"/>
  <c r="X2581" i="2"/>
  <c r="H473" i="6"/>
  <c r="AB2582" i="2"/>
  <c r="AA2582" i="2"/>
  <c r="Y2582" i="2"/>
  <c r="X2582" i="2"/>
  <c r="AB2583" i="2"/>
  <c r="AA2583" i="2"/>
  <c r="Y2583" i="2"/>
  <c r="X2583" i="2"/>
  <c r="AF2584" i="2"/>
  <c r="AB2584" i="2"/>
  <c r="AA2584" i="2"/>
  <c r="Y2584" i="2"/>
  <c r="X2584" i="2"/>
  <c r="AF2585" i="2"/>
  <c r="AB2585" i="2"/>
  <c r="AA2585" i="2"/>
  <c r="X2585" i="2"/>
  <c r="Y2585" i="2" s="1"/>
  <c r="AB2586" i="2"/>
  <c r="AA2586" i="2"/>
  <c r="Y2586" i="2"/>
  <c r="X2586" i="2"/>
  <c r="AB2587" i="2"/>
  <c r="AA2587" i="2"/>
  <c r="Y2587" i="2"/>
  <c r="X2587" i="2"/>
  <c r="AF2588" i="2"/>
  <c r="AB2588" i="2"/>
  <c r="AA2588" i="2"/>
  <c r="Y2588" i="2"/>
  <c r="X2588" i="2"/>
  <c r="AB2589" i="2"/>
  <c r="AA2589" i="2"/>
  <c r="Y2589" i="2"/>
  <c r="X2589" i="2"/>
  <c r="AB2590" i="2"/>
  <c r="AA2590" i="2"/>
  <c r="X2590" i="2"/>
  <c r="Y2590" i="2" s="1"/>
  <c r="AB2591" i="2"/>
  <c r="AA2591" i="2"/>
  <c r="Y2591" i="2"/>
  <c r="X2591" i="2"/>
  <c r="AB2592" i="2"/>
  <c r="AA2592" i="2"/>
  <c r="Y2592" i="2"/>
  <c r="X2592" i="2"/>
  <c r="AB2593" i="2"/>
  <c r="AA2593" i="2"/>
  <c r="X2593" i="2"/>
  <c r="Y2593" i="2" s="1"/>
  <c r="AB2594" i="2"/>
  <c r="AA2594" i="2"/>
  <c r="Y2594" i="2"/>
  <c r="X2594" i="2"/>
  <c r="AF2595" i="2"/>
  <c r="AB2595" i="2"/>
  <c r="AA2595" i="2"/>
  <c r="X2595" i="2"/>
  <c r="Y2595" i="2" s="1"/>
  <c r="AF2596" i="2"/>
  <c r="AB2596" i="2"/>
  <c r="AA2596" i="2"/>
  <c r="Y2596" i="2"/>
  <c r="X2596" i="2"/>
  <c r="AB2597" i="2"/>
  <c r="AA2597" i="2"/>
  <c r="X2597" i="2"/>
  <c r="Y2597" i="2" s="1"/>
  <c r="AB2598" i="2"/>
  <c r="AA2598" i="2"/>
  <c r="Y2598" i="2"/>
  <c r="X2598" i="2"/>
  <c r="AF2599" i="2"/>
  <c r="AB2599" i="2"/>
  <c r="AA2599" i="2"/>
  <c r="X2599" i="2"/>
  <c r="Y2599" i="2" s="1"/>
  <c r="AF2600" i="2"/>
  <c r="AB2600" i="2"/>
  <c r="AA2600" i="2"/>
  <c r="Y2600" i="2"/>
  <c r="X2600" i="2"/>
  <c r="AF2601" i="2"/>
  <c r="AB2601" i="2"/>
  <c r="AA2601" i="2"/>
  <c r="Y2601" i="2"/>
  <c r="X2601" i="2"/>
  <c r="H474" i="6"/>
  <c r="K90" i="3"/>
  <c r="L90" i="3" s="1"/>
  <c r="AF2602" i="2"/>
  <c r="AB2602" i="2"/>
  <c r="AA2602" i="2"/>
  <c r="Y2602" i="2"/>
  <c r="X2602" i="2"/>
  <c r="AB2603" i="2"/>
  <c r="AA2603" i="2"/>
  <c r="X2603" i="2"/>
  <c r="Y2603" i="2" s="1"/>
  <c r="AF2604" i="2"/>
  <c r="AB2604" i="2"/>
  <c r="AA2604" i="2"/>
  <c r="Y2604" i="2"/>
  <c r="X2604" i="2"/>
  <c r="H475" i="6"/>
  <c r="AB2605" i="2"/>
  <c r="AA2605" i="2"/>
  <c r="Y2605" i="2"/>
  <c r="X2605" i="2"/>
  <c r="AB2606" i="2"/>
  <c r="AA2606" i="2"/>
  <c r="Y2606" i="2"/>
  <c r="X2606" i="2"/>
  <c r="AF2607" i="2"/>
  <c r="AB2607" i="2"/>
  <c r="AA2607" i="2"/>
  <c r="Y2607" i="2"/>
  <c r="X2607" i="2"/>
  <c r="AF2608" i="2"/>
  <c r="AB2608" i="2"/>
  <c r="AA2608" i="2"/>
  <c r="X2608" i="2"/>
  <c r="Y2608" i="2" s="1"/>
  <c r="H476" i="6"/>
  <c r="AB2609" i="2"/>
  <c r="AA2609" i="2"/>
  <c r="Y2609" i="2"/>
  <c r="X2609" i="2"/>
  <c r="AB2610" i="2"/>
  <c r="AA2610" i="2"/>
  <c r="X2610" i="2"/>
  <c r="Y2610" i="2" s="1"/>
  <c r="AB2611" i="2"/>
  <c r="AA2611" i="2"/>
  <c r="Y2611" i="2"/>
  <c r="X2611" i="2"/>
  <c r="AB2612" i="2"/>
  <c r="AA2612" i="2"/>
  <c r="Y2612" i="2"/>
  <c r="X2612" i="2"/>
  <c r="AB2613" i="2"/>
  <c r="AA2613" i="2"/>
  <c r="X2613" i="2"/>
  <c r="Y2613" i="2" s="1"/>
  <c r="H477" i="6"/>
  <c r="AB2614" i="2"/>
  <c r="AA2614" i="2"/>
  <c r="Y2614" i="2"/>
  <c r="X2614" i="2"/>
  <c r="AB2615" i="2"/>
  <c r="AA2615" i="2"/>
  <c r="X2615" i="2"/>
  <c r="Y2615" i="2" s="1"/>
  <c r="AB2616" i="2"/>
  <c r="AA2616" i="2"/>
  <c r="Y2616" i="2"/>
  <c r="X2616" i="2"/>
  <c r="AB2617" i="2"/>
  <c r="AA2617" i="2"/>
  <c r="Y2617" i="2"/>
  <c r="X2617" i="2"/>
  <c r="AB2618" i="2"/>
  <c r="AA2618" i="2"/>
  <c r="X2618" i="2"/>
  <c r="Y2618" i="2" s="1"/>
  <c r="AB2619" i="2"/>
  <c r="AA2619" i="2"/>
  <c r="Y2619" i="2"/>
  <c r="X2619" i="2"/>
  <c r="AB2620" i="2"/>
  <c r="AA2620" i="2"/>
  <c r="Y2620" i="2"/>
  <c r="X2620" i="2"/>
  <c r="AB2621" i="2"/>
  <c r="AA2621" i="2"/>
  <c r="X2621" i="2"/>
  <c r="Y2621" i="2" s="1"/>
  <c r="AB2622" i="2"/>
  <c r="AA2622" i="2"/>
  <c r="Y2622" i="2"/>
  <c r="X2622" i="2"/>
  <c r="AB2623" i="2"/>
  <c r="AA2623" i="2"/>
  <c r="Y2623" i="2"/>
  <c r="X2623" i="2"/>
  <c r="AF2624" i="2"/>
  <c r="AB2624" i="2"/>
  <c r="AA2624" i="2"/>
  <c r="Y2624" i="2"/>
  <c r="X2624" i="2"/>
  <c r="L7" i="5"/>
  <c r="AB2625" i="2"/>
  <c r="AA2625" i="2"/>
  <c r="X2625" i="2"/>
  <c r="Y2625" i="2" s="1"/>
  <c r="L9" i="5"/>
  <c r="AF2626" i="2"/>
  <c r="AB2626" i="2"/>
  <c r="AA2626" i="2"/>
  <c r="X2626" i="2"/>
  <c r="Y2626" i="2" s="1"/>
  <c r="L8" i="5"/>
  <c r="AB2627" i="2"/>
  <c r="AA2627" i="2"/>
  <c r="Y2627" i="2"/>
  <c r="X2627" i="2"/>
  <c r="AB2628" i="2"/>
  <c r="AA2628" i="2"/>
  <c r="X2628" i="2"/>
  <c r="Y2628" i="2" s="1"/>
  <c r="L11" i="5"/>
  <c r="AF2629" i="2"/>
  <c r="AB2629" i="2"/>
  <c r="AA2629" i="2"/>
  <c r="X2629" i="2"/>
  <c r="Y2629" i="2" s="1"/>
  <c r="AF2630" i="2"/>
  <c r="AB2630" i="2"/>
  <c r="AA2630" i="2"/>
  <c r="Y2630" i="2"/>
  <c r="X2630" i="2"/>
  <c r="AF2631" i="2"/>
  <c r="AB2631" i="2"/>
  <c r="AA2631" i="2"/>
  <c r="X2631" i="2"/>
  <c r="Y2631" i="2" s="1"/>
  <c r="AB2632" i="2"/>
  <c r="AA2632" i="2"/>
  <c r="Y2632" i="2"/>
  <c r="X2632" i="2"/>
  <c r="AF2633" i="2"/>
  <c r="AB2633" i="2"/>
  <c r="AA2633" i="2"/>
  <c r="X2633" i="2"/>
  <c r="Y2633" i="2" s="1"/>
  <c r="AB2634" i="2"/>
  <c r="AA2634" i="2"/>
  <c r="Y2634" i="2"/>
  <c r="X2634" i="2"/>
  <c r="AB2635" i="2"/>
  <c r="AA2635" i="2"/>
  <c r="X2635" i="2"/>
  <c r="Y2635" i="2" s="1"/>
  <c r="L5" i="5"/>
  <c r="K101" i="3"/>
  <c r="L101" i="3" s="1"/>
  <c r="AF2636" i="2"/>
  <c r="AB2636" i="2"/>
  <c r="AA2636" i="2"/>
  <c r="X2636" i="2"/>
  <c r="Y2636" i="2" s="1"/>
  <c r="L17" i="5"/>
  <c r="AF2637" i="2"/>
  <c r="AB2637" i="2"/>
  <c r="AA2637" i="2"/>
  <c r="X2637" i="2"/>
  <c r="Y2637" i="2" s="1"/>
  <c r="AF2638" i="2"/>
  <c r="AB2638" i="2"/>
  <c r="AA2638" i="2"/>
  <c r="X2638" i="2"/>
  <c r="Y2638" i="2" s="1"/>
  <c r="H478" i="6"/>
  <c r="AB2639" i="2"/>
  <c r="AA2639" i="2"/>
  <c r="Y2639" i="2"/>
  <c r="X2639" i="2"/>
  <c r="AF2640" i="2"/>
  <c r="AB2640" i="2"/>
  <c r="AA2640" i="2"/>
  <c r="X2640" i="2"/>
  <c r="Y2640" i="2" s="1"/>
  <c r="AB2641" i="2"/>
  <c r="AA2641" i="2"/>
  <c r="Y2641" i="2"/>
  <c r="X2641" i="2"/>
  <c r="AB2642" i="2"/>
  <c r="AA2642" i="2"/>
  <c r="X2642" i="2"/>
  <c r="Y2642" i="2" s="1"/>
  <c r="AF2643" i="2"/>
  <c r="AB2643" i="2"/>
  <c r="AA2643" i="2"/>
  <c r="Y2643" i="2"/>
  <c r="X2643" i="2"/>
  <c r="AF2644" i="2"/>
  <c r="AB2644" i="2"/>
  <c r="AA2644" i="2"/>
  <c r="X2644" i="2"/>
  <c r="Y2644" i="2" s="1"/>
  <c r="L6" i="5"/>
  <c r="AF2645" i="2"/>
  <c r="AB2645" i="2"/>
  <c r="AA2645" i="2"/>
  <c r="X2645" i="2"/>
  <c r="Y2645" i="2" s="1"/>
  <c r="L18" i="5"/>
  <c r="AB2646" i="2"/>
  <c r="AA2646" i="2"/>
  <c r="X2646" i="2"/>
  <c r="Y2646" i="2" s="1"/>
  <c r="AF2647" i="2"/>
  <c r="AB2647" i="2"/>
  <c r="AA2647" i="2"/>
  <c r="Y2647" i="2"/>
  <c r="X2647" i="2"/>
  <c r="AF2648" i="2"/>
  <c r="AB2648" i="2"/>
  <c r="AA2648" i="2"/>
  <c r="X2648" i="2"/>
  <c r="Y2648" i="2" s="1"/>
  <c r="AB2649" i="2"/>
  <c r="AA2649" i="2"/>
  <c r="Y2649" i="2"/>
  <c r="X2649" i="2"/>
  <c r="AB2650" i="2"/>
  <c r="AA2650" i="2"/>
  <c r="X2650" i="2"/>
  <c r="Y2650" i="2" s="1"/>
  <c r="AB2651" i="2"/>
  <c r="AA2651" i="2"/>
  <c r="X2651" i="2"/>
  <c r="Y2651" i="2" s="1"/>
  <c r="H479" i="6"/>
  <c r="AF2652" i="2"/>
  <c r="AB2652" i="2"/>
  <c r="AA2652" i="2"/>
  <c r="X2652" i="2"/>
  <c r="Y2652" i="2" s="1"/>
  <c r="AF2653" i="2"/>
  <c r="AB2653" i="2"/>
  <c r="AA2653" i="2"/>
  <c r="X2653" i="2"/>
  <c r="Y2653" i="2" s="1"/>
  <c r="AB2654" i="2"/>
  <c r="AA2654" i="2"/>
  <c r="X2654" i="2"/>
  <c r="Y2654" i="2" s="1"/>
  <c r="AB2655" i="2"/>
  <c r="AA2655" i="2"/>
  <c r="Y2655" i="2"/>
  <c r="X2655" i="2"/>
  <c r="AB2656" i="2"/>
  <c r="AA2656" i="2"/>
  <c r="X2656" i="2"/>
  <c r="Y2656" i="2" s="1"/>
  <c r="K45" i="3"/>
  <c r="L45" i="3" s="1"/>
  <c r="AF2657" i="2"/>
  <c r="AB2657" i="2"/>
  <c r="AA2657" i="2"/>
  <c r="X2657" i="2"/>
  <c r="Y2657" i="2" s="1"/>
  <c r="AB2658" i="2"/>
  <c r="AA2658" i="2"/>
  <c r="X2658" i="2"/>
  <c r="Y2658" i="2" s="1"/>
  <c r="AB2659" i="2"/>
  <c r="AA2659" i="2"/>
  <c r="Y2659" i="2"/>
  <c r="X2659" i="2"/>
  <c r="AB2660" i="2"/>
  <c r="AA2660" i="2"/>
  <c r="X2660" i="2"/>
  <c r="Y2660" i="2" s="1"/>
  <c r="AF2661" i="2"/>
  <c r="AB2661" i="2"/>
  <c r="AA2661" i="2"/>
  <c r="Y2661" i="2"/>
  <c r="X2661" i="2"/>
  <c r="AF2662" i="2"/>
  <c r="AB2662" i="2"/>
  <c r="AA2662" i="2"/>
  <c r="X2662" i="2"/>
  <c r="Y2662" i="2" s="1"/>
  <c r="AB2663" i="2"/>
  <c r="AA2663" i="2"/>
  <c r="Y2663" i="2"/>
  <c r="X2663" i="2"/>
  <c r="AB2664" i="2"/>
  <c r="AA2664" i="2"/>
  <c r="X2664" i="2"/>
  <c r="Y2664" i="2" s="1"/>
  <c r="AB2665" i="2"/>
  <c r="AA2665" i="2"/>
  <c r="X2665" i="2"/>
  <c r="Y2665" i="2" s="1"/>
  <c r="AF2666" i="2"/>
  <c r="AB2666" i="2"/>
  <c r="AA2666" i="2"/>
  <c r="X2666" i="2"/>
  <c r="Y2666" i="2" s="1"/>
  <c r="H480" i="6"/>
  <c r="L21" i="5"/>
  <c r="AB2667" i="2"/>
  <c r="AA2667" i="2"/>
  <c r="X2667" i="2"/>
  <c r="Y2667" i="2" s="1"/>
  <c r="AB2668" i="2"/>
  <c r="AA2668" i="2"/>
  <c r="X2668" i="2"/>
  <c r="Y2668" i="2" s="1"/>
  <c r="H481" i="6"/>
  <c r="AB2669" i="2"/>
  <c r="AA2669" i="2"/>
  <c r="X2669" i="2"/>
  <c r="Y2669" i="2" s="1"/>
  <c r="AF2670" i="2"/>
  <c r="AB2670" i="2"/>
  <c r="AA2670" i="2"/>
  <c r="Y2670" i="2"/>
  <c r="X2670" i="2"/>
  <c r="AB2671" i="2"/>
  <c r="AA2671" i="2"/>
  <c r="X2671" i="2"/>
  <c r="Y2671" i="2" s="1"/>
  <c r="H482" i="6"/>
  <c r="AB2672" i="2"/>
  <c r="AA2672" i="2"/>
  <c r="Y2672" i="2"/>
  <c r="X2672" i="2"/>
  <c r="AB2673" i="2"/>
  <c r="AA2673" i="2"/>
  <c r="X2673" i="2"/>
  <c r="Y2673" i="2" s="1"/>
  <c r="AB2674" i="2"/>
  <c r="AA2674" i="2"/>
  <c r="X2674" i="2"/>
  <c r="Y2674" i="2" s="1"/>
  <c r="AB2675" i="2"/>
  <c r="AA2675" i="2"/>
  <c r="Y2675" i="2"/>
  <c r="X2675" i="2"/>
  <c r="AF2676" i="2"/>
  <c r="AB2676" i="2"/>
  <c r="AA2676" i="2"/>
  <c r="X2676" i="2"/>
  <c r="Y2676" i="2" s="1"/>
  <c r="L20" i="5"/>
  <c r="AF2677" i="2"/>
  <c r="AB2677" i="2"/>
  <c r="AA2677" i="2"/>
  <c r="X2677" i="2"/>
  <c r="Y2677" i="2" s="1"/>
  <c r="AF2678" i="2"/>
  <c r="AB2678" i="2"/>
  <c r="AA2678" i="2"/>
  <c r="X2678" i="2"/>
  <c r="Y2678" i="2" s="1"/>
  <c r="AB2679" i="2"/>
  <c r="AA2679" i="2"/>
  <c r="X2679" i="2"/>
  <c r="Y2679" i="2" s="1"/>
  <c r="AB2680" i="2"/>
  <c r="AA2680" i="2"/>
  <c r="Y2680" i="2"/>
  <c r="X2680" i="2"/>
  <c r="K22" i="3"/>
  <c r="L22" i="3" s="1"/>
  <c r="AB2681" i="2"/>
  <c r="AA2681" i="2"/>
  <c r="X2681" i="2"/>
  <c r="Y2681" i="2" s="1"/>
  <c r="H483" i="6"/>
  <c r="AB2682" i="2"/>
  <c r="AA2682" i="2"/>
  <c r="X2682" i="2"/>
  <c r="Y2682" i="2" s="1"/>
  <c r="H484" i="6"/>
  <c r="AB2683" i="2"/>
  <c r="AA2683" i="2"/>
  <c r="X2683" i="2"/>
  <c r="Y2683" i="2" s="1"/>
  <c r="AF2684" i="2"/>
  <c r="AB2684" i="2"/>
  <c r="AA2684" i="2"/>
  <c r="Y2684" i="2"/>
  <c r="X2684" i="2"/>
  <c r="AB2685" i="2"/>
  <c r="AA2685" i="2"/>
  <c r="X2685" i="2"/>
  <c r="Y2685" i="2" s="1"/>
  <c r="AB2686" i="2"/>
  <c r="AA2686" i="2"/>
  <c r="X2686" i="2"/>
  <c r="Y2686" i="2" s="1"/>
  <c r="AB2687" i="2"/>
  <c r="AA2687" i="2"/>
  <c r="Y2687" i="2"/>
  <c r="X2687" i="2"/>
  <c r="AB2688" i="2"/>
  <c r="AA2688" i="2"/>
  <c r="X2688" i="2"/>
  <c r="Y2688" i="2" s="1"/>
  <c r="AF2689" i="2"/>
  <c r="N22" i="3" s="1"/>
  <c r="AB2689" i="2"/>
  <c r="AA2689" i="2"/>
  <c r="Y2689" i="2"/>
  <c r="X2689" i="2"/>
  <c r="AF2690" i="2"/>
  <c r="AB2690" i="2"/>
  <c r="AA2690" i="2"/>
  <c r="X2690" i="2"/>
  <c r="Y2690" i="2" s="1"/>
  <c r="AB2691" i="2"/>
  <c r="AA2691" i="2"/>
  <c r="Y2691" i="2"/>
  <c r="X2691" i="2"/>
  <c r="AF2692" i="2"/>
  <c r="AB2692" i="2"/>
  <c r="AA2692" i="2"/>
  <c r="X2692" i="2"/>
  <c r="Y2692" i="2" s="1"/>
  <c r="L22" i="5"/>
  <c r="AB2693" i="2"/>
  <c r="AA2693" i="2"/>
  <c r="X2693" i="2"/>
  <c r="Y2693" i="2" s="1"/>
  <c r="H485" i="6"/>
  <c r="K73" i="3"/>
  <c r="L73" i="3" s="1"/>
  <c r="AF2694" i="2"/>
  <c r="AB2694" i="2"/>
  <c r="AA2694" i="2"/>
  <c r="X2694" i="2"/>
  <c r="Y2694" i="2" s="1"/>
  <c r="AF2695" i="2"/>
  <c r="AB2695" i="2"/>
  <c r="AA2695" i="2"/>
  <c r="X2695" i="2"/>
  <c r="Y2695" i="2" s="1"/>
  <c r="AF2696" i="2"/>
  <c r="AB2696" i="2"/>
  <c r="AA2696" i="2"/>
  <c r="Y2696" i="2"/>
  <c r="X2696" i="2"/>
  <c r="AB2697" i="2"/>
  <c r="AA2697" i="2"/>
  <c r="X2697" i="2"/>
  <c r="Y2697" i="2" s="1"/>
  <c r="L13" i="5"/>
  <c r="AB2698" i="2"/>
  <c r="AA2698" i="2"/>
  <c r="Y2698" i="2"/>
  <c r="X2698" i="2"/>
  <c r="AF2699" i="2"/>
  <c r="AB2699" i="2"/>
  <c r="AA2699" i="2"/>
  <c r="X2699" i="2"/>
  <c r="Y2699" i="2" s="1"/>
  <c r="AB2700" i="2"/>
  <c r="AA2700" i="2"/>
  <c r="Y2700" i="2"/>
  <c r="X2700" i="2"/>
  <c r="AB2701" i="2"/>
  <c r="AA2701" i="2"/>
  <c r="X2701" i="2"/>
  <c r="Y2701" i="2" s="1"/>
  <c r="AB2702" i="2"/>
  <c r="AA2702" i="2"/>
  <c r="X2702" i="2"/>
  <c r="Y2702" i="2" s="1"/>
  <c r="K47" i="3"/>
  <c r="L47" i="3" s="1"/>
  <c r="AB2703" i="2"/>
  <c r="AA2703" i="2"/>
  <c r="X2703" i="2"/>
  <c r="Y2703" i="2" s="1"/>
  <c r="AF2704" i="2"/>
  <c r="AB2704" i="2"/>
  <c r="AA2704" i="2"/>
  <c r="X2704" i="2"/>
  <c r="Y2704" i="2" s="1"/>
  <c r="AF2705" i="2"/>
  <c r="N47" i="3" s="1"/>
  <c r="AB2705" i="2"/>
  <c r="AA2705" i="2"/>
  <c r="Y2705" i="2"/>
  <c r="X2705" i="2"/>
  <c r="AB2706" i="2"/>
  <c r="AA2706" i="2"/>
  <c r="X2706" i="2"/>
  <c r="Y2706" i="2" s="1"/>
  <c r="H486" i="6"/>
  <c r="K70" i="3"/>
  <c r="L70" i="3" s="1"/>
  <c r="AF2707" i="2"/>
  <c r="AB2707" i="2"/>
  <c r="AA2707" i="2"/>
  <c r="X2707" i="2"/>
  <c r="Y2707" i="2" s="1"/>
  <c r="H487" i="6"/>
  <c r="AB2708" i="2"/>
  <c r="AA2708" i="2"/>
  <c r="X2708" i="2"/>
  <c r="Y2708" i="2" s="1"/>
  <c r="L19" i="5"/>
  <c r="AB2709" i="2"/>
  <c r="AA2709" i="2"/>
  <c r="Y2709" i="2"/>
  <c r="X2709" i="2"/>
  <c r="AB2710" i="2"/>
  <c r="AA2710" i="2"/>
  <c r="X2710" i="2"/>
  <c r="Y2710" i="2" s="1"/>
  <c r="AF2711" i="2"/>
  <c r="AB2711" i="2"/>
  <c r="AA2711" i="2"/>
  <c r="Y2711" i="2"/>
  <c r="X2711" i="2"/>
  <c r="H488" i="6"/>
  <c r="AB2712" i="2"/>
  <c r="AA2712" i="2"/>
  <c r="X2712" i="2"/>
  <c r="Y2712" i="2" s="1"/>
  <c r="H489" i="6"/>
  <c r="AB2713" i="2"/>
  <c r="AA2713" i="2"/>
  <c r="X2713" i="2"/>
  <c r="Y2713" i="2" s="1"/>
  <c r="L15" i="5"/>
  <c r="AF2714" i="2"/>
  <c r="AB2714" i="2"/>
  <c r="AA2714" i="2"/>
  <c r="X2714" i="2"/>
  <c r="Y2714" i="2" s="1"/>
  <c r="AF2715" i="2"/>
  <c r="AB2715" i="2"/>
  <c r="AA2715" i="2"/>
  <c r="Y2715" i="2"/>
  <c r="X2715" i="2"/>
  <c r="H490" i="6"/>
  <c r="AB2716" i="2"/>
  <c r="AA2716" i="2"/>
  <c r="X2716" i="2"/>
  <c r="Y2716" i="2" s="1"/>
  <c r="AF2717" i="2"/>
  <c r="AB2717" i="2"/>
  <c r="AA2717" i="2"/>
  <c r="X2717" i="2"/>
  <c r="Y2717" i="2" s="1"/>
  <c r="AF2718" i="2"/>
  <c r="AB2718" i="2"/>
  <c r="AA2718" i="2"/>
  <c r="Y2718" i="2"/>
  <c r="X2718" i="2"/>
  <c r="AB2719" i="2"/>
  <c r="AA2719" i="2"/>
  <c r="X2719" i="2"/>
  <c r="Y2719" i="2" s="1"/>
  <c r="H491" i="6"/>
  <c r="K63" i="3"/>
  <c r="L63" i="3" s="1"/>
  <c r="AF2720" i="2"/>
  <c r="AB2720" i="2"/>
  <c r="AA2720" i="2"/>
  <c r="X2720" i="2"/>
  <c r="Y2720" i="2" s="1"/>
  <c r="H492" i="6"/>
  <c r="AF2721" i="2"/>
  <c r="AB2721" i="2"/>
  <c r="AA2721" i="2"/>
  <c r="X2721" i="2"/>
  <c r="Y2721" i="2" s="1"/>
  <c r="L16" i="5"/>
  <c r="AF2722" i="2"/>
  <c r="AB2722" i="2"/>
  <c r="AA2722" i="2"/>
  <c r="X2722" i="2"/>
  <c r="Y2722" i="2" s="1"/>
  <c r="AB2723" i="2"/>
  <c r="AA2723" i="2"/>
  <c r="Y2723" i="2"/>
  <c r="X2723" i="2"/>
  <c r="AF2724" i="2"/>
  <c r="AB2724" i="2"/>
  <c r="AA2724" i="2"/>
  <c r="X2724" i="2"/>
  <c r="Y2724" i="2" s="1"/>
  <c r="AB2725" i="2"/>
  <c r="AA2725" i="2"/>
  <c r="Y2725" i="2"/>
  <c r="X2725" i="2"/>
  <c r="AB2726" i="2"/>
  <c r="AA2726" i="2"/>
  <c r="X2726" i="2"/>
  <c r="Y2726" i="2" s="1"/>
  <c r="H493" i="6"/>
  <c r="L12" i="5"/>
  <c r="AB2727" i="2"/>
  <c r="AA2727" i="2"/>
  <c r="X2727" i="2"/>
  <c r="Y2727" i="2" s="1"/>
  <c r="AF2728" i="2"/>
  <c r="AB2728" i="2"/>
  <c r="AA2728" i="2"/>
  <c r="Y2728" i="2"/>
  <c r="X2728" i="2"/>
  <c r="AF2729" i="2"/>
  <c r="AB2729" i="2"/>
  <c r="AA2729" i="2"/>
  <c r="X2729" i="2"/>
  <c r="Y2729" i="2" s="1"/>
  <c r="AF2730" i="2"/>
  <c r="AB2730" i="2"/>
  <c r="AA2730" i="2"/>
  <c r="X2730" i="2"/>
  <c r="Y2730" i="2" s="1"/>
  <c r="AF2731" i="2"/>
  <c r="AB2731" i="2"/>
  <c r="AA2731" i="2"/>
  <c r="Y2731" i="2"/>
  <c r="X2731" i="2"/>
  <c r="AF2732" i="2"/>
  <c r="AB2732" i="2"/>
  <c r="AA2732" i="2"/>
  <c r="X2732" i="2"/>
  <c r="Y2732" i="2" s="1"/>
  <c r="AB2733" i="2"/>
  <c r="AA2733" i="2"/>
  <c r="Y2733" i="2"/>
  <c r="X2733" i="2"/>
  <c r="AB2734" i="2"/>
  <c r="AA2734" i="2"/>
  <c r="X2734" i="2"/>
  <c r="Y2734" i="2" s="1"/>
  <c r="AB2735" i="2"/>
  <c r="AA2735" i="2"/>
  <c r="X2735" i="2"/>
  <c r="Y2735" i="2" s="1"/>
  <c r="AB2736" i="2"/>
  <c r="AA2736" i="2"/>
  <c r="Y2736" i="2"/>
  <c r="X2736" i="2"/>
  <c r="AF2737" i="2"/>
  <c r="AB2737" i="2"/>
  <c r="AA2737" i="2"/>
  <c r="X2737" i="2"/>
  <c r="Y2737" i="2" s="1"/>
  <c r="AB2738" i="2"/>
  <c r="AA2738" i="2"/>
  <c r="Y2738" i="2"/>
  <c r="X2738" i="2"/>
  <c r="AF2739" i="2"/>
  <c r="AB2739" i="2"/>
  <c r="AA2739" i="2"/>
  <c r="X2739" i="2"/>
  <c r="Y2739" i="2" s="1"/>
  <c r="AB2740" i="2"/>
  <c r="AA2740" i="2"/>
  <c r="Y2740" i="2"/>
  <c r="X2740" i="2"/>
  <c r="AF2741" i="2"/>
  <c r="AB2741" i="2"/>
  <c r="AA2741" i="2"/>
  <c r="X2741" i="2"/>
  <c r="Y2741" i="2" s="1"/>
  <c r="AB2742" i="2"/>
  <c r="AA2742" i="2"/>
  <c r="Y2742" i="2"/>
  <c r="X2742" i="2"/>
  <c r="AB2743" i="2"/>
  <c r="AA2743" i="2"/>
  <c r="X2743" i="2"/>
  <c r="Y2743" i="2" s="1"/>
  <c r="L10" i="5"/>
  <c r="AF2744" i="2"/>
  <c r="AB2744" i="2"/>
  <c r="AA2744" i="2"/>
  <c r="X2744" i="2"/>
  <c r="Y2744" i="2" s="1"/>
  <c r="AB2745" i="2"/>
  <c r="AA2745" i="2"/>
  <c r="X2745" i="2"/>
  <c r="Y2745" i="2" s="1"/>
  <c r="AB2746" i="2"/>
  <c r="AA2746" i="2"/>
  <c r="Y2746" i="2"/>
  <c r="X2746" i="2"/>
  <c r="AB2747" i="2"/>
  <c r="AA2747" i="2"/>
  <c r="X2747" i="2"/>
  <c r="Y2747" i="2" s="1"/>
  <c r="AB2748" i="2"/>
  <c r="AA2748" i="2"/>
  <c r="X2748" i="2"/>
  <c r="Y2748" i="2" s="1"/>
  <c r="H494" i="6"/>
  <c r="AF2749" i="2"/>
  <c r="AB2749" i="2"/>
  <c r="AA2749" i="2"/>
  <c r="X2749" i="2"/>
  <c r="Y2749" i="2" s="1"/>
  <c r="AF2750" i="2"/>
  <c r="AB2750" i="2"/>
  <c r="AA2750" i="2"/>
  <c r="X2750" i="2"/>
  <c r="Y2750" i="2" s="1"/>
  <c r="AB2751" i="2"/>
  <c r="AA2751" i="2"/>
  <c r="X2751" i="2"/>
  <c r="Y2751" i="2" s="1"/>
  <c r="AB2752" i="2"/>
  <c r="AA2752" i="2"/>
  <c r="Y2752" i="2"/>
  <c r="X2752" i="2"/>
  <c r="AB2753" i="2"/>
  <c r="AA2753" i="2"/>
  <c r="X2753" i="2"/>
  <c r="Y2753" i="2" s="1"/>
  <c r="AB2754" i="2"/>
  <c r="AA2754" i="2"/>
  <c r="X2754" i="2"/>
  <c r="Y2754" i="2" s="1"/>
  <c r="AF2755" i="2"/>
  <c r="AB2755" i="2"/>
  <c r="AA2755" i="2"/>
  <c r="X2755" i="2"/>
  <c r="Y2755" i="2" s="1"/>
  <c r="H495" i="6"/>
  <c r="AB2756" i="2"/>
  <c r="AA2756" i="2"/>
  <c r="Y2756" i="2"/>
  <c r="X2756" i="2"/>
  <c r="AF2757" i="2"/>
  <c r="AB2757" i="2"/>
  <c r="AA2757" i="2"/>
  <c r="X2757" i="2"/>
  <c r="Y2757" i="2" s="1"/>
  <c r="AB2758" i="2"/>
  <c r="AA2758" i="2"/>
  <c r="Y2758" i="2"/>
  <c r="X2758" i="2"/>
  <c r="AB2759" i="2"/>
  <c r="AA2759" i="2"/>
  <c r="X2759" i="2"/>
  <c r="Y2759" i="2" s="1"/>
  <c r="H496" i="6"/>
  <c r="AB2760" i="2"/>
  <c r="AA2760" i="2"/>
  <c r="Y2760" i="2"/>
  <c r="X2760" i="2"/>
  <c r="AB2761" i="2"/>
  <c r="AA2761" i="2"/>
  <c r="X2761" i="2"/>
  <c r="Y2761" i="2" s="1"/>
  <c r="AF2762" i="2"/>
  <c r="AB2762" i="2"/>
  <c r="AA2762" i="2"/>
  <c r="Y2762" i="2"/>
  <c r="X2762" i="2"/>
  <c r="AB2763" i="2"/>
  <c r="AA2763" i="2"/>
  <c r="X2763" i="2"/>
  <c r="Y2763" i="2" s="1"/>
  <c r="AB2764" i="2"/>
  <c r="AA2764" i="2"/>
  <c r="X2764" i="2"/>
  <c r="Y2764" i="2" s="1"/>
  <c r="AF2765" i="2"/>
  <c r="AB2765" i="2"/>
  <c r="AA2765" i="2"/>
  <c r="X2765" i="2"/>
  <c r="Y2765" i="2" s="1"/>
  <c r="AF2766" i="2"/>
  <c r="AB2766" i="2"/>
  <c r="AA2766" i="2"/>
  <c r="Y2766" i="2"/>
  <c r="X2766" i="2"/>
  <c r="AB2767" i="2"/>
  <c r="AA2767" i="2"/>
  <c r="X2767" i="2"/>
  <c r="Y2767" i="2" s="1"/>
  <c r="H497" i="6"/>
  <c r="K85" i="3"/>
  <c r="L85" i="3" s="1"/>
  <c r="AB2768" i="2"/>
  <c r="AA2768" i="2"/>
  <c r="X2768" i="2"/>
  <c r="Y2768" i="2" s="1"/>
  <c r="AF2769" i="2"/>
  <c r="AB2769" i="2"/>
  <c r="AA2769" i="2"/>
  <c r="X2769" i="2"/>
  <c r="Y2769" i="2" s="1"/>
  <c r="AB2770" i="2"/>
  <c r="AA2770" i="2"/>
  <c r="X2770" i="2"/>
  <c r="Y2770" i="2" s="1"/>
  <c r="AB2771" i="2"/>
  <c r="AA2771" i="2"/>
  <c r="Y2771" i="2"/>
  <c r="X2771" i="2"/>
  <c r="AB2772" i="2"/>
  <c r="AA2772" i="2"/>
  <c r="X2772" i="2"/>
  <c r="Y2772" i="2" s="1"/>
  <c r="AF2773" i="2"/>
  <c r="N85" i="3" s="1"/>
  <c r="AB2773" i="2"/>
  <c r="AA2773" i="2"/>
  <c r="Y2773" i="2"/>
  <c r="X2773" i="2"/>
  <c r="H498" i="6"/>
  <c r="AF2774" i="2"/>
  <c r="AB2774" i="2"/>
  <c r="AA2774" i="2"/>
  <c r="Y2774" i="2"/>
  <c r="X2774" i="2"/>
  <c r="AB2775" i="2"/>
  <c r="AA2775" i="2"/>
  <c r="X2775" i="2"/>
  <c r="Y2775" i="2" s="1"/>
  <c r="AF2776" i="2"/>
  <c r="AB2776" i="2"/>
  <c r="AA2776" i="2"/>
  <c r="Y2776" i="2"/>
  <c r="X2776" i="2"/>
  <c r="AB2777" i="2"/>
  <c r="AA2777" i="2"/>
  <c r="X2777" i="2"/>
  <c r="Y2777" i="2" s="1"/>
  <c r="AB2778" i="2"/>
  <c r="AA2778" i="2"/>
  <c r="X2778" i="2"/>
  <c r="Y2778" i="2" s="1"/>
  <c r="AB2779" i="2"/>
  <c r="AA2779" i="2"/>
  <c r="Y2779" i="2"/>
  <c r="X2779" i="2"/>
  <c r="AB2780" i="2"/>
  <c r="AA2780" i="2"/>
  <c r="X2780" i="2"/>
  <c r="Y2780" i="2" s="1"/>
  <c r="H499" i="6"/>
  <c r="AF2781" i="2"/>
  <c r="AB2781" i="2"/>
  <c r="AA2781" i="2"/>
  <c r="X2781" i="2"/>
  <c r="Y2781" i="2" s="1"/>
  <c r="AF2782" i="2"/>
  <c r="AB2782" i="2"/>
  <c r="AA2782" i="2"/>
  <c r="Y2782" i="2"/>
  <c r="X2782" i="2"/>
  <c r="K82" i="3"/>
  <c r="L82" i="3" s="1"/>
  <c r="AF2783" i="2"/>
  <c r="AB2783" i="2"/>
  <c r="AA2783" i="2"/>
  <c r="Y2783" i="2"/>
  <c r="X2783" i="2"/>
  <c r="AB2784" i="2"/>
  <c r="AA2784" i="2"/>
  <c r="X2784" i="2"/>
  <c r="Y2784" i="2" s="1"/>
  <c r="AF2785" i="2"/>
  <c r="AB2785" i="2"/>
  <c r="AA2785" i="2"/>
  <c r="Y2785" i="2"/>
  <c r="X2785" i="2"/>
  <c r="AF2786" i="2"/>
  <c r="AB2786" i="2"/>
  <c r="AA2786" i="2"/>
  <c r="X2786" i="2"/>
  <c r="Y2786" i="2" s="1"/>
  <c r="AB2787" i="2"/>
  <c r="AA2787" i="2"/>
  <c r="Y2787" i="2"/>
  <c r="X2787" i="2"/>
  <c r="AB2788" i="2"/>
  <c r="AA2788" i="2"/>
  <c r="X2788" i="2"/>
  <c r="Y2788" i="2" s="1"/>
  <c r="AB2789" i="2"/>
  <c r="AA2789" i="2"/>
  <c r="X2789" i="2"/>
  <c r="Y2789" i="2" s="1"/>
  <c r="AB2790" i="2"/>
  <c r="AA2790" i="2"/>
  <c r="Y2790" i="2"/>
  <c r="X2790" i="2"/>
  <c r="AB2791" i="2"/>
  <c r="AA2791" i="2"/>
  <c r="X2791" i="2"/>
  <c r="Y2791" i="2" s="1"/>
  <c r="AF2792" i="2"/>
  <c r="AB2792" i="2"/>
  <c r="AA2792" i="2"/>
  <c r="Y2792" i="2"/>
  <c r="X2792" i="2"/>
  <c r="AB2793" i="2"/>
  <c r="AA2793" i="2"/>
  <c r="X2793" i="2"/>
  <c r="Y2793" i="2" s="1"/>
  <c r="AB2794" i="2"/>
  <c r="AA2794" i="2"/>
  <c r="X2794" i="2"/>
  <c r="Y2794" i="2" s="1"/>
  <c r="K44" i="3"/>
  <c r="L44" i="3" s="1"/>
  <c r="AF2795" i="2"/>
  <c r="AB2795" i="2"/>
  <c r="AA2795" i="2"/>
  <c r="X2795" i="2"/>
  <c r="Y2795" i="2" s="1"/>
  <c r="AB2796" i="2"/>
  <c r="AA2796" i="2"/>
  <c r="Y2796" i="2"/>
  <c r="X2796" i="2"/>
  <c r="AB2797" i="2"/>
  <c r="AA2797" i="2"/>
  <c r="X2797" i="2"/>
  <c r="Y2797" i="2" s="1"/>
  <c r="AB2798" i="2"/>
  <c r="AA2798" i="2"/>
  <c r="X2798" i="2"/>
  <c r="Y2798" i="2" s="1"/>
  <c r="L14" i="5"/>
  <c r="AB2799" i="2"/>
  <c r="AA2799" i="2"/>
  <c r="X2799" i="2"/>
  <c r="Y2799" i="2" s="1"/>
  <c r="AB2800" i="2"/>
  <c r="AA2800" i="2"/>
  <c r="X2800" i="2"/>
  <c r="Y2800" i="2" s="1"/>
  <c r="AB2801" i="2"/>
  <c r="AA2801" i="2"/>
  <c r="Y2801" i="2"/>
  <c r="X2801" i="2"/>
  <c r="AF2802" i="2"/>
  <c r="AB2802" i="2"/>
  <c r="AA2802" i="2"/>
  <c r="X2802" i="2"/>
  <c r="Y2802" i="2" s="1"/>
  <c r="H500" i="6"/>
  <c r="AF2803" i="2"/>
  <c r="AB2803" i="2"/>
  <c r="AA2803" i="2"/>
  <c r="X2803" i="2"/>
  <c r="Y2803" i="2" s="1"/>
  <c r="AB2804" i="2"/>
  <c r="AA2804" i="2"/>
  <c r="Y2804" i="2"/>
  <c r="X2804" i="2"/>
  <c r="AF2805" i="2"/>
  <c r="AB2805" i="2"/>
  <c r="AA2805" i="2"/>
  <c r="X2805" i="2"/>
  <c r="Y2805" i="2" s="1"/>
  <c r="AF2806" i="2"/>
  <c r="AB2806" i="2"/>
  <c r="AA2806" i="2"/>
  <c r="X2806" i="2"/>
  <c r="Y2806" i="2" s="1"/>
  <c r="AF2807" i="2"/>
  <c r="AB2807" i="2"/>
  <c r="AA2807" i="2"/>
  <c r="Y2807" i="2"/>
  <c r="X2807" i="2"/>
  <c r="AB2808" i="2"/>
  <c r="AA2808" i="2"/>
  <c r="X2808" i="2"/>
  <c r="Y2808" i="2" s="1"/>
  <c r="H501" i="6"/>
  <c r="AF2809" i="2"/>
  <c r="AB2809" i="2"/>
  <c r="AA2809" i="2"/>
  <c r="X2809" i="2"/>
  <c r="Y2809" i="2" s="1"/>
  <c r="AB2810" i="2"/>
  <c r="AA2810" i="2"/>
  <c r="X2810" i="2"/>
  <c r="Y2810" i="2" s="1"/>
  <c r="AB2811" i="2"/>
  <c r="AA2811" i="2"/>
  <c r="Y2811" i="2"/>
  <c r="X2811" i="2"/>
  <c r="K103" i="3"/>
  <c r="L103" i="3" s="1"/>
  <c r="AB2812" i="2"/>
  <c r="AA2812" i="2"/>
  <c r="X2812" i="2"/>
  <c r="Y2812" i="2" s="1"/>
  <c r="AB2813" i="2"/>
  <c r="AA2813" i="2"/>
  <c r="X2813" i="2"/>
  <c r="Y2813" i="2" s="1"/>
  <c r="AF2814" i="2"/>
  <c r="N103" i="3" s="1"/>
  <c r="AB2814" i="2"/>
  <c r="AA2814" i="2"/>
  <c r="Y2814" i="2"/>
  <c r="X2814" i="2"/>
  <c r="H502" i="6"/>
  <c r="K77" i="3"/>
  <c r="L77" i="3" s="1"/>
  <c r="AB2815" i="2"/>
  <c r="AA2815" i="2"/>
  <c r="Y2815" i="2"/>
  <c r="X2815" i="2"/>
  <c r="AB2816" i="2"/>
  <c r="AA2816" i="2"/>
  <c r="X2816" i="2"/>
  <c r="Y2816" i="2" s="1"/>
  <c r="AB2817" i="2"/>
  <c r="AA2817" i="2"/>
  <c r="Y2817" i="2"/>
  <c r="X2817" i="2"/>
  <c r="AB2818" i="2"/>
  <c r="AA2818" i="2"/>
  <c r="X2818" i="2"/>
  <c r="Y2818" i="2" s="1"/>
  <c r="H503" i="6"/>
  <c r="AB2819" i="2"/>
  <c r="AA2819" i="2"/>
  <c r="Y2819" i="2"/>
  <c r="X2819" i="2"/>
  <c r="AF2820" i="2"/>
  <c r="AB2820" i="2"/>
  <c r="AA2820" i="2"/>
  <c r="X2820" i="2"/>
  <c r="Y2820" i="2" s="1"/>
  <c r="AB2821" i="2"/>
  <c r="AA2821" i="2"/>
  <c r="Y2821" i="2"/>
  <c r="X2821" i="2"/>
  <c r="AF2822" i="2"/>
  <c r="AB2822" i="2"/>
  <c r="AA2822" i="2"/>
  <c r="X2822" i="2"/>
  <c r="Y2822" i="2" s="1"/>
  <c r="AB2823" i="2"/>
  <c r="AA2823" i="2"/>
  <c r="Y2823" i="2"/>
  <c r="X2823" i="2"/>
  <c r="AF2824" i="2"/>
  <c r="AB2824" i="2"/>
  <c r="AA2824" i="2"/>
  <c r="X2824" i="2"/>
  <c r="Y2824" i="2" s="1"/>
  <c r="AB2825" i="2"/>
  <c r="AA2825" i="2"/>
  <c r="Y2825" i="2"/>
  <c r="X2825" i="2"/>
  <c r="H504" i="6"/>
  <c r="AB2826" i="2"/>
  <c r="AA2826" i="2"/>
  <c r="X2826" i="2"/>
  <c r="Y2826" i="2" s="1"/>
  <c r="AB2827" i="2"/>
  <c r="AA2827" i="2"/>
  <c r="Y2827" i="2"/>
  <c r="X2827" i="2"/>
  <c r="H505" i="6"/>
  <c r="AB2828" i="2"/>
  <c r="AA2828" i="2"/>
  <c r="X2828" i="2"/>
  <c r="Y2828" i="2" s="1"/>
  <c r="AB2829" i="2"/>
  <c r="AA2829" i="2"/>
  <c r="Y2829" i="2"/>
  <c r="X2829" i="2"/>
  <c r="AF2830" i="2"/>
  <c r="AB2830" i="2"/>
  <c r="AA2830" i="2"/>
  <c r="X2830" i="2"/>
  <c r="Y2830" i="2" s="1"/>
  <c r="H506" i="6"/>
  <c r="K54" i="3"/>
  <c r="L54" i="3" s="1"/>
  <c r="AF2831" i="2"/>
  <c r="N54" i="3" s="1"/>
  <c r="AB2831" i="2"/>
  <c r="AA2831" i="2"/>
  <c r="Y2831" i="2"/>
  <c r="X2831" i="2"/>
  <c r="AF2832" i="2"/>
  <c r="AB2832" i="2"/>
  <c r="AA2832" i="2"/>
  <c r="X2832" i="2"/>
  <c r="Y2832" i="2" s="1"/>
  <c r="AF2833" i="2"/>
  <c r="AB2833" i="2"/>
  <c r="AA2833" i="2"/>
  <c r="X2833" i="2"/>
  <c r="Y2833" i="2" s="1"/>
  <c r="AF2834" i="2"/>
  <c r="AB2834" i="2"/>
  <c r="AA2834" i="2"/>
  <c r="Y2834" i="2"/>
  <c r="X2834" i="2"/>
  <c r="AF2835" i="2"/>
  <c r="AB2835" i="2"/>
  <c r="AA2835" i="2"/>
  <c r="X2835" i="2"/>
  <c r="Y2835" i="2" s="1"/>
  <c r="AF2836" i="2"/>
  <c r="AB2836" i="2"/>
  <c r="AA2836" i="2"/>
  <c r="X2836" i="2"/>
  <c r="Y2836" i="2" s="1"/>
  <c r="AF2837" i="2"/>
  <c r="AB2837" i="2"/>
  <c r="AA2837" i="2"/>
  <c r="Y2837" i="2"/>
  <c r="X2837" i="2"/>
  <c r="AB2838" i="2"/>
  <c r="AA2838" i="2"/>
  <c r="X2838" i="2"/>
  <c r="Y2838" i="2" s="1"/>
  <c r="H507" i="6"/>
  <c r="AF2839" i="2"/>
  <c r="AB2839" i="2"/>
  <c r="AA2839" i="2"/>
  <c r="X2839" i="2"/>
  <c r="Y2839" i="2" s="1"/>
  <c r="AF2840" i="2"/>
  <c r="AB2840" i="2"/>
  <c r="AA2840" i="2"/>
  <c r="Y2840" i="2"/>
  <c r="X2840" i="2"/>
  <c r="H508" i="6"/>
  <c r="AB2841" i="2"/>
  <c r="AA2841" i="2"/>
  <c r="X2841" i="2"/>
  <c r="Y2841" i="2" s="1"/>
  <c r="AB2842" i="2"/>
  <c r="AA2842" i="2"/>
  <c r="Y2842" i="2"/>
  <c r="X2842" i="2"/>
  <c r="AB2843" i="2"/>
  <c r="AA2843" i="2"/>
  <c r="X2843" i="2"/>
  <c r="Y2843" i="2" s="1"/>
  <c r="AF2844" i="2"/>
  <c r="AB2844" i="2"/>
  <c r="AA2844" i="2"/>
  <c r="Y2844" i="2"/>
  <c r="X2844" i="2"/>
  <c r="AB2845" i="2"/>
  <c r="AA2845" i="2"/>
  <c r="X2845" i="2"/>
  <c r="Y2845" i="2" s="1"/>
  <c r="AB2846" i="2"/>
  <c r="AA2846" i="2"/>
  <c r="X2846" i="2"/>
  <c r="Y2846" i="2" s="1"/>
  <c r="AF2847" i="2"/>
  <c r="AB2847" i="2"/>
  <c r="AA2847" i="2"/>
  <c r="X2847" i="2"/>
  <c r="Y2847" i="2" s="1"/>
  <c r="AB2848" i="2"/>
  <c r="AA2848" i="2"/>
  <c r="X2848" i="2"/>
  <c r="Y2848" i="2" s="1"/>
  <c r="AB2849" i="2"/>
  <c r="AA2849" i="2"/>
  <c r="Y2849" i="2"/>
  <c r="X2849" i="2"/>
  <c r="AF2850" i="2"/>
  <c r="AB2850" i="2"/>
  <c r="AA2850" i="2"/>
  <c r="X2850" i="2"/>
  <c r="Y2850" i="2" s="1"/>
  <c r="H509" i="6"/>
  <c r="AF2851" i="2"/>
  <c r="AB2851" i="2"/>
  <c r="AA2851" i="2"/>
  <c r="X2851" i="2"/>
  <c r="Y2851" i="2" s="1"/>
  <c r="AB2852" i="2"/>
  <c r="AA2852" i="2"/>
  <c r="Y2852" i="2"/>
  <c r="X2852" i="2"/>
  <c r="AF2853" i="2"/>
  <c r="AB2853" i="2"/>
  <c r="AA2853" i="2"/>
  <c r="X2853" i="2"/>
  <c r="Y2853" i="2" s="1"/>
  <c r="H510" i="6"/>
  <c r="AB2854" i="2"/>
  <c r="AA2854" i="2"/>
  <c r="X2854" i="2"/>
  <c r="Y2854" i="2" s="1"/>
  <c r="AF2855" i="2"/>
  <c r="AB2855" i="2"/>
  <c r="AA2855" i="2"/>
  <c r="Y2855" i="2"/>
  <c r="X2855" i="2"/>
  <c r="H511" i="6"/>
  <c r="AB2856" i="2"/>
  <c r="AA2856" i="2"/>
  <c r="X2856" i="2"/>
  <c r="Y2856" i="2" s="1"/>
  <c r="AB2857" i="2"/>
  <c r="AA2857" i="2"/>
  <c r="Y2857" i="2"/>
  <c r="X2857" i="2"/>
  <c r="H512" i="6"/>
  <c r="AB2858" i="2"/>
  <c r="AA2858" i="2"/>
  <c r="X2858" i="2"/>
  <c r="Y2858" i="2" s="1"/>
  <c r="AB2859" i="2"/>
  <c r="AA2859" i="2"/>
  <c r="Y2859" i="2"/>
  <c r="X2859" i="2"/>
  <c r="AB2860" i="2"/>
  <c r="AA2860" i="2"/>
  <c r="X2860" i="2"/>
  <c r="Y2860" i="2" s="1"/>
  <c r="AB2861" i="2"/>
  <c r="AA2861" i="2"/>
  <c r="X2861" i="2"/>
  <c r="Y2861" i="2" s="1"/>
  <c r="AB2862" i="2"/>
  <c r="AA2862" i="2"/>
  <c r="Y2862" i="2"/>
  <c r="X2862" i="2"/>
  <c r="AF2863" i="2"/>
  <c r="AB2863" i="2"/>
  <c r="AA2863" i="2"/>
  <c r="X2863" i="2"/>
  <c r="Y2863" i="2" s="1"/>
  <c r="AF2864" i="2"/>
  <c r="AB2864" i="2"/>
  <c r="AA2864" i="2"/>
  <c r="X2864" i="2"/>
  <c r="Y2864" i="2" s="1"/>
  <c r="AB2865" i="2"/>
  <c r="AA2865" i="2"/>
  <c r="X2865" i="2"/>
  <c r="Y2865" i="2" s="1"/>
  <c r="AB2866" i="2"/>
  <c r="AA2866" i="2"/>
  <c r="Y2866" i="2"/>
  <c r="X2866" i="2"/>
  <c r="M21" i="5"/>
  <c r="AF2867" i="2"/>
  <c r="AB2867" i="2"/>
  <c r="AA2867" i="2"/>
  <c r="Y2867" i="2"/>
  <c r="X2867" i="2"/>
  <c r="M7" i="5"/>
  <c r="AF2868" i="2"/>
  <c r="AB2868" i="2"/>
  <c r="AA2868" i="2"/>
  <c r="Y2868" i="2"/>
  <c r="X2868" i="2"/>
  <c r="M9" i="5"/>
  <c r="AB2869" i="2"/>
  <c r="AA2869" i="2"/>
  <c r="X2869" i="2"/>
  <c r="Y2869" i="2" s="1"/>
  <c r="M8" i="5"/>
  <c r="AB2870" i="2"/>
  <c r="AA2870" i="2"/>
  <c r="X2870" i="2"/>
  <c r="Y2870" i="2" s="1"/>
  <c r="H513" i="6"/>
  <c r="AB2871" i="2"/>
  <c r="AA2871" i="2"/>
  <c r="Y2871" i="2"/>
  <c r="X2871" i="2"/>
  <c r="AF2872" i="2"/>
  <c r="AB2872" i="2"/>
  <c r="AA2872" i="2"/>
  <c r="X2872" i="2"/>
  <c r="Y2872" i="2" s="1"/>
  <c r="M11" i="5"/>
  <c r="AF2873" i="2"/>
  <c r="AB2873" i="2"/>
  <c r="AA2873" i="2"/>
  <c r="X2873" i="2"/>
  <c r="Y2873" i="2" s="1"/>
  <c r="AF2874" i="2"/>
  <c r="AB2874" i="2"/>
  <c r="AA2874" i="2"/>
  <c r="X2874" i="2"/>
  <c r="Y2874" i="2" s="1"/>
  <c r="AF2875" i="2"/>
  <c r="AB2875" i="2"/>
  <c r="AA2875" i="2"/>
  <c r="Y2875" i="2"/>
  <c r="X2875" i="2"/>
  <c r="AF2876" i="2"/>
  <c r="AB2876" i="2"/>
  <c r="AA2876" i="2"/>
  <c r="X2876" i="2"/>
  <c r="Y2876" i="2" s="1"/>
  <c r="AB2877" i="2"/>
  <c r="AA2877" i="2"/>
  <c r="Y2877" i="2"/>
  <c r="X2877" i="2"/>
  <c r="AB2878" i="2"/>
  <c r="AA2878" i="2"/>
  <c r="X2878" i="2"/>
  <c r="Y2878" i="2" s="1"/>
  <c r="AF2879" i="2"/>
  <c r="AB2879" i="2"/>
  <c r="AA2879" i="2"/>
  <c r="Y2879" i="2"/>
  <c r="X2879" i="2"/>
  <c r="AF2880" i="2"/>
  <c r="AB2880" i="2"/>
  <c r="AA2880" i="2"/>
  <c r="X2880" i="2"/>
  <c r="Y2880" i="2" s="1"/>
  <c r="AB2881" i="2"/>
  <c r="AA2881" i="2"/>
  <c r="Y2881" i="2"/>
  <c r="X2881" i="2"/>
  <c r="H514" i="6"/>
  <c r="AB2882" i="2"/>
  <c r="AA2882" i="2"/>
  <c r="X2882" i="2"/>
  <c r="Y2882" i="2" s="1"/>
  <c r="AB2883" i="2"/>
  <c r="AA2883" i="2"/>
  <c r="Y2883" i="2"/>
  <c r="X2883" i="2"/>
  <c r="AF2884" i="2"/>
  <c r="AB2884" i="2"/>
  <c r="AA2884" i="2"/>
  <c r="X2884" i="2"/>
  <c r="Y2884" i="2" s="1"/>
  <c r="AB2885" i="2"/>
  <c r="AA2885" i="2"/>
  <c r="Y2885" i="2"/>
  <c r="X2885" i="2"/>
  <c r="AF2886" i="2"/>
  <c r="AB2886" i="2"/>
  <c r="AA2886" i="2"/>
  <c r="X2886" i="2"/>
  <c r="Y2886" i="2" s="1"/>
  <c r="AF2887" i="2"/>
  <c r="AB2887" i="2"/>
  <c r="AA2887" i="2"/>
  <c r="X2887" i="2"/>
  <c r="Y2887" i="2" s="1"/>
  <c r="AB2888" i="2"/>
  <c r="AA2888" i="2"/>
  <c r="X2888" i="2"/>
  <c r="Y2888" i="2" s="1"/>
  <c r="AB2889" i="2"/>
  <c r="AA2889" i="2"/>
  <c r="Y2889" i="2"/>
  <c r="X2889" i="2"/>
  <c r="AB2890" i="2"/>
  <c r="AA2890" i="2"/>
  <c r="X2890" i="2"/>
  <c r="Y2890" i="2" s="1"/>
  <c r="AB2891" i="2"/>
  <c r="AA2891" i="2"/>
  <c r="X2891" i="2"/>
  <c r="Y2891" i="2" s="1"/>
  <c r="AF2892" i="2"/>
  <c r="AB2892" i="2"/>
  <c r="AA2892" i="2"/>
  <c r="X2892" i="2"/>
  <c r="Y2892" i="2" s="1"/>
  <c r="H515" i="6"/>
  <c r="AB2893" i="2"/>
  <c r="AA2893" i="2"/>
  <c r="Y2893" i="2"/>
  <c r="X2893" i="2"/>
  <c r="AF2894" i="2"/>
  <c r="AB2894" i="2"/>
  <c r="AA2894" i="2"/>
  <c r="X2894" i="2"/>
  <c r="Y2894" i="2" s="1"/>
  <c r="AB2895" i="2"/>
  <c r="AA2895" i="2"/>
  <c r="Y2895" i="2"/>
  <c r="X2895" i="2"/>
  <c r="H516" i="6"/>
  <c r="AB2896" i="2"/>
  <c r="AA2896" i="2"/>
  <c r="X2896" i="2"/>
  <c r="Y2896" i="2" s="1"/>
  <c r="AF2897" i="2"/>
  <c r="AB2897" i="2"/>
  <c r="AA2897" i="2"/>
  <c r="X2897" i="2"/>
  <c r="Y2897" i="2" s="1"/>
  <c r="AB2898" i="2"/>
  <c r="AA2898" i="2"/>
  <c r="X2898" i="2"/>
  <c r="Y2898" i="2" s="1"/>
  <c r="AB2899" i="2"/>
  <c r="AA2899" i="2"/>
  <c r="Y2899" i="2"/>
  <c r="X2899" i="2"/>
  <c r="AF2900" i="2"/>
  <c r="AB2900" i="2"/>
  <c r="AA2900" i="2"/>
  <c r="X2900" i="2"/>
  <c r="Y2900" i="2" s="1"/>
  <c r="AF2901" i="2"/>
  <c r="AB2901" i="2"/>
  <c r="AA2901" i="2"/>
  <c r="X2901" i="2"/>
  <c r="Y2901" i="2" s="1"/>
  <c r="AB2902" i="2"/>
  <c r="AA2902" i="2"/>
  <c r="X2902" i="2"/>
  <c r="Y2902" i="2" s="1"/>
  <c r="M5" i="5"/>
  <c r="K65" i="3"/>
  <c r="L65" i="3" s="1"/>
  <c r="AB2903" i="2"/>
  <c r="AA2903" i="2"/>
  <c r="X2903" i="2"/>
  <c r="Y2903" i="2" s="1"/>
  <c r="AF2904" i="2"/>
  <c r="AB2904" i="2"/>
  <c r="AA2904" i="2"/>
  <c r="X2904" i="2"/>
  <c r="Y2904" i="2" s="1"/>
  <c r="AF2905" i="2"/>
  <c r="AB2905" i="2"/>
  <c r="AA2905" i="2"/>
  <c r="X2905" i="2"/>
  <c r="Y2905" i="2" s="1"/>
  <c r="AB2906" i="2"/>
  <c r="AA2906" i="2"/>
  <c r="Y2906" i="2"/>
  <c r="X2906" i="2"/>
  <c r="H517" i="6"/>
  <c r="AB2907" i="2"/>
  <c r="AA2907" i="2"/>
  <c r="X2907" i="2"/>
  <c r="Y2907" i="2" s="1"/>
  <c r="AB2908" i="2"/>
  <c r="AA2908" i="2"/>
  <c r="X2908" i="2"/>
  <c r="Y2908" i="2" s="1"/>
  <c r="AF2909" i="2"/>
  <c r="AB2909" i="2"/>
  <c r="AA2909" i="2"/>
  <c r="X2909" i="2"/>
  <c r="Y2909" i="2" s="1"/>
  <c r="M6" i="5"/>
  <c r="AF2910" i="2"/>
  <c r="AB2910" i="2"/>
  <c r="AA2910" i="2"/>
  <c r="X2910" i="2"/>
  <c r="Y2910" i="2" s="1"/>
  <c r="H518" i="6"/>
  <c r="AB2911" i="2"/>
  <c r="AA2911" i="2"/>
  <c r="Y2911" i="2"/>
  <c r="X2911" i="2"/>
  <c r="AB2912" i="2"/>
  <c r="AA2912" i="2"/>
  <c r="X2912" i="2"/>
  <c r="Y2912" i="2" s="1"/>
  <c r="M22" i="5"/>
  <c r="AB2913" i="2"/>
  <c r="AA2913" i="2"/>
  <c r="Y2913" i="2"/>
  <c r="X2913" i="2"/>
  <c r="AF2914" i="2"/>
  <c r="AB2914" i="2"/>
  <c r="AA2914" i="2"/>
  <c r="X2914" i="2"/>
  <c r="Y2914" i="2" s="1"/>
  <c r="AF2915" i="2"/>
  <c r="AB2915" i="2"/>
  <c r="AA2915" i="2"/>
  <c r="X2915" i="2"/>
  <c r="Y2915" i="2" s="1"/>
  <c r="AB2916" i="2"/>
  <c r="AA2916" i="2"/>
  <c r="X2916" i="2"/>
  <c r="Y2916" i="2" s="1"/>
  <c r="AB2917" i="2"/>
  <c r="AA2917" i="2"/>
  <c r="Y2917" i="2"/>
  <c r="X2917" i="2"/>
  <c r="H519" i="6"/>
  <c r="K62" i="3"/>
  <c r="L62" i="3" s="1"/>
  <c r="AB2918" i="2"/>
  <c r="AA2918" i="2"/>
  <c r="Y2918" i="2"/>
  <c r="X2918" i="2"/>
  <c r="AB2919" i="2"/>
  <c r="AA2919" i="2"/>
  <c r="X2919" i="2"/>
  <c r="Y2919" i="2" s="1"/>
  <c r="AB2920" i="2"/>
  <c r="AA2920" i="2"/>
  <c r="Y2920" i="2"/>
  <c r="X2920" i="2"/>
  <c r="AB2921" i="2"/>
  <c r="AA2921" i="2"/>
  <c r="X2921" i="2"/>
  <c r="Y2921" i="2" s="1"/>
  <c r="M13" i="5"/>
  <c r="AB2922" i="2"/>
  <c r="AA2922" i="2"/>
  <c r="Y2922" i="2"/>
  <c r="X2922" i="2"/>
  <c r="M12" i="5"/>
  <c r="AB2923" i="2"/>
  <c r="AA2923" i="2"/>
  <c r="Y2923" i="2"/>
  <c r="X2923" i="2"/>
  <c r="AF2924" i="2"/>
  <c r="AB2924" i="2"/>
  <c r="AA2924" i="2"/>
  <c r="X2924" i="2"/>
  <c r="Y2924" i="2" s="1"/>
  <c r="AB2925" i="2"/>
  <c r="AA2925" i="2"/>
  <c r="X2925" i="2"/>
  <c r="Y2925" i="2" s="1"/>
  <c r="AF2926" i="2"/>
  <c r="AB2926" i="2"/>
  <c r="AA2926" i="2"/>
  <c r="X2926" i="2"/>
  <c r="Y2926" i="2" s="1"/>
  <c r="AB2927" i="2"/>
  <c r="AA2927" i="2"/>
  <c r="X2927" i="2"/>
  <c r="Y2927" i="2" s="1"/>
  <c r="AB2928" i="2"/>
  <c r="AA2928" i="2"/>
  <c r="Y2928" i="2"/>
  <c r="X2928" i="2"/>
  <c r="K11" i="3"/>
  <c r="L11" i="3" s="1"/>
  <c r="AB2929" i="2"/>
  <c r="AA2929" i="2"/>
  <c r="Y2929" i="2"/>
  <c r="X2929" i="2"/>
  <c r="AF2930" i="2"/>
  <c r="AB2930" i="2"/>
  <c r="AA2930" i="2"/>
  <c r="Y2930" i="2"/>
  <c r="X2930" i="2"/>
  <c r="AB2931" i="2"/>
  <c r="AA2931" i="2"/>
  <c r="Y2931" i="2"/>
  <c r="X2931" i="2"/>
  <c r="AB2932" i="2"/>
  <c r="AA2932" i="2"/>
  <c r="X2932" i="2"/>
  <c r="Y2932" i="2" s="1"/>
  <c r="AF2933" i="2"/>
  <c r="AB2933" i="2"/>
  <c r="AA2933" i="2"/>
  <c r="Y2933" i="2"/>
  <c r="X2933" i="2"/>
  <c r="H520" i="6"/>
  <c r="M14" i="5"/>
  <c r="AF2934" i="2"/>
  <c r="AB2934" i="2"/>
  <c r="AA2934" i="2"/>
  <c r="X2934" i="2"/>
  <c r="Y2934" i="2" s="1"/>
  <c r="AB2935" i="2"/>
  <c r="AA2935" i="2"/>
  <c r="Y2935" i="2"/>
  <c r="X2935" i="2"/>
  <c r="AB2936" i="2"/>
  <c r="AA2936" i="2"/>
  <c r="Y2936" i="2"/>
  <c r="X2936" i="2"/>
  <c r="M15" i="5"/>
  <c r="AB2937" i="2"/>
  <c r="AA2937" i="2"/>
  <c r="Y2937" i="2"/>
  <c r="X2937" i="2"/>
  <c r="M20" i="5"/>
  <c r="AF2938" i="2"/>
  <c r="AB2938" i="2"/>
  <c r="AA2938" i="2"/>
  <c r="Y2938" i="2"/>
  <c r="X2938" i="2"/>
  <c r="AF2939" i="2"/>
  <c r="AB2939" i="2"/>
  <c r="AA2939" i="2"/>
  <c r="X2939" i="2"/>
  <c r="Y2939" i="2" s="1"/>
  <c r="AF2940" i="2"/>
  <c r="AB2940" i="2"/>
  <c r="AA2940" i="2"/>
  <c r="Y2940" i="2"/>
  <c r="X2940" i="2"/>
  <c r="AF2941" i="2"/>
  <c r="AB2941" i="2"/>
  <c r="AA2941" i="2"/>
  <c r="X2941" i="2"/>
  <c r="Y2941" i="2" s="1"/>
  <c r="AB2942" i="2"/>
  <c r="AA2942" i="2"/>
  <c r="Y2942" i="2"/>
  <c r="X2942" i="2"/>
  <c r="AF2943" i="2"/>
  <c r="N62" i="3" s="1"/>
  <c r="AB2943" i="2"/>
  <c r="AA2943" i="2"/>
  <c r="X2943" i="2"/>
  <c r="Y2943" i="2" s="1"/>
  <c r="H521" i="6"/>
  <c r="AB2944" i="2"/>
  <c r="AA2944" i="2"/>
  <c r="X2944" i="2"/>
  <c r="Y2944" i="2" s="1"/>
  <c r="AB2945" i="2"/>
  <c r="AA2945" i="2"/>
  <c r="X2945" i="2"/>
  <c r="Y2945" i="2" s="1"/>
  <c r="AF2946" i="2"/>
  <c r="AB2946" i="2"/>
  <c r="AA2946" i="2"/>
  <c r="X2946" i="2"/>
  <c r="Y2946" i="2" s="1"/>
  <c r="H522" i="6"/>
  <c r="AB2947" i="2"/>
  <c r="AA2947" i="2"/>
  <c r="Y2947" i="2"/>
  <c r="X2947" i="2"/>
  <c r="AB2948" i="2"/>
  <c r="AA2948" i="2"/>
  <c r="X2948" i="2"/>
  <c r="Y2948" i="2" s="1"/>
  <c r="M10" i="5"/>
  <c r="AB2949" i="2"/>
  <c r="AA2949" i="2"/>
  <c r="Y2949" i="2"/>
  <c r="X2949" i="2"/>
  <c r="AF2950" i="2"/>
  <c r="AB2950" i="2"/>
  <c r="AA2950" i="2"/>
  <c r="X2950" i="2"/>
  <c r="Y2950" i="2" s="1"/>
  <c r="AB2951" i="2"/>
  <c r="AA2951" i="2"/>
  <c r="Y2951" i="2"/>
  <c r="X2951" i="2"/>
  <c r="H523" i="6"/>
  <c r="AF2952" i="2"/>
  <c r="AB2952" i="2"/>
  <c r="AA2952" i="2"/>
  <c r="Y2952" i="2"/>
  <c r="X2952" i="2"/>
  <c r="AB2953" i="2"/>
  <c r="AA2953" i="2"/>
  <c r="X2953" i="2"/>
  <c r="Y2953" i="2" s="1"/>
  <c r="AF2954" i="2"/>
  <c r="AB2954" i="2"/>
  <c r="AA2954" i="2"/>
  <c r="Y2954" i="2"/>
  <c r="X2954" i="2"/>
  <c r="AB2955" i="2"/>
  <c r="AA2955" i="2"/>
  <c r="X2955" i="2"/>
  <c r="Y2955" i="2" s="1"/>
  <c r="N11" i="3" l="1"/>
  <c r="K515" i="6"/>
  <c r="J515" i="6"/>
  <c r="K503" i="6"/>
  <c r="J503" i="6"/>
  <c r="K523" i="6"/>
  <c r="J523" i="6"/>
  <c r="K522" i="6"/>
  <c r="J522" i="6"/>
  <c r="K520" i="6"/>
  <c r="J520" i="6"/>
  <c r="K513" i="6"/>
  <c r="J513" i="6"/>
  <c r="N77" i="3"/>
  <c r="K501" i="6"/>
  <c r="J501" i="6"/>
  <c r="K499" i="6"/>
  <c r="J499" i="6"/>
  <c r="M62" i="3"/>
  <c r="K519" i="6"/>
  <c r="J519" i="6"/>
  <c r="K518" i="6"/>
  <c r="J518" i="6"/>
  <c r="N65" i="3"/>
  <c r="K507" i="6"/>
  <c r="J507" i="6"/>
  <c r="N82" i="3"/>
  <c r="M85" i="3"/>
  <c r="K497" i="6"/>
  <c r="J497" i="6"/>
  <c r="K496" i="6"/>
  <c r="J496" i="6"/>
  <c r="K495" i="6"/>
  <c r="J495" i="6"/>
  <c r="K493" i="6"/>
  <c r="J493" i="6"/>
  <c r="K491" i="6"/>
  <c r="J491" i="6"/>
  <c r="K486" i="6"/>
  <c r="J486" i="6"/>
  <c r="M47" i="3"/>
  <c r="K485" i="6"/>
  <c r="J485" i="6"/>
  <c r="K482" i="6"/>
  <c r="J482" i="6"/>
  <c r="K480" i="6"/>
  <c r="J480" i="6"/>
  <c r="M45" i="3"/>
  <c r="K478" i="6"/>
  <c r="J478" i="6"/>
  <c r="L23" i="5"/>
  <c r="K477" i="6"/>
  <c r="J477" i="6"/>
  <c r="K476" i="6"/>
  <c r="J476" i="6"/>
  <c r="N90" i="3"/>
  <c r="K471" i="6"/>
  <c r="J471" i="6"/>
  <c r="M80" i="3"/>
  <c r="K468" i="6"/>
  <c r="J468" i="6"/>
  <c r="K467" i="6"/>
  <c r="J467" i="6"/>
  <c r="K461" i="6"/>
  <c r="J461" i="6"/>
  <c r="K455" i="6"/>
  <c r="J455" i="6"/>
  <c r="K449" i="6"/>
  <c r="J449" i="6"/>
  <c r="N17" i="3"/>
  <c r="K437" i="6"/>
  <c r="J437" i="6"/>
  <c r="K436" i="6"/>
  <c r="J436" i="6"/>
  <c r="K516" i="6"/>
  <c r="J516" i="6"/>
  <c r="K514" i="6"/>
  <c r="J514" i="6"/>
  <c r="M54" i="3"/>
  <c r="M77" i="3"/>
  <c r="K502" i="6"/>
  <c r="J502" i="6"/>
  <c r="N44" i="3"/>
  <c r="M82" i="3"/>
  <c r="K498" i="6"/>
  <c r="J498" i="6"/>
  <c r="N63" i="3"/>
  <c r="K490" i="6"/>
  <c r="J490" i="6"/>
  <c r="K488" i="6"/>
  <c r="J488" i="6"/>
  <c r="N70" i="3"/>
  <c r="N73" i="3"/>
  <c r="K483" i="6"/>
  <c r="J483" i="6"/>
  <c r="N101" i="3"/>
  <c r="K475" i="6"/>
  <c r="J475" i="6"/>
  <c r="M90" i="3"/>
  <c r="K473" i="6"/>
  <c r="J473" i="6"/>
  <c r="K472" i="6"/>
  <c r="J472" i="6"/>
  <c r="M14" i="3"/>
  <c r="K469" i="6"/>
  <c r="J469" i="6"/>
  <c r="K464" i="6"/>
  <c r="J464" i="6"/>
  <c r="K460" i="6"/>
  <c r="J460" i="6"/>
  <c r="K459" i="6"/>
  <c r="J459" i="6"/>
  <c r="K458" i="6"/>
  <c r="J458" i="6"/>
  <c r="K457" i="6"/>
  <c r="J457" i="6"/>
  <c r="N32" i="3"/>
  <c r="N7" i="3"/>
  <c r="K450" i="6"/>
  <c r="J450" i="6"/>
  <c r="K448" i="6"/>
  <c r="J448" i="6"/>
  <c r="K447" i="6"/>
  <c r="J447" i="6"/>
  <c r="K446" i="6"/>
  <c r="J446" i="6"/>
  <c r="K441" i="6"/>
  <c r="J441" i="6"/>
  <c r="K512" i="6"/>
  <c r="J512" i="6"/>
  <c r="K511" i="6"/>
  <c r="J511" i="6"/>
  <c r="K508" i="6"/>
  <c r="J508" i="6"/>
  <c r="K505" i="6"/>
  <c r="J505" i="6"/>
  <c r="K504" i="6"/>
  <c r="J504" i="6"/>
  <c r="K521" i="6"/>
  <c r="J521" i="6"/>
  <c r="M11" i="3"/>
  <c r="K517" i="6"/>
  <c r="J517" i="6"/>
  <c r="M65" i="3"/>
  <c r="M23" i="5"/>
  <c r="K510" i="6"/>
  <c r="J510" i="6"/>
  <c r="K509" i="6"/>
  <c r="J509" i="6"/>
  <c r="K506" i="6"/>
  <c r="J506" i="6"/>
  <c r="M103" i="3"/>
  <c r="K500" i="6"/>
  <c r="J500" i="6"/>
  <c r="M44" i="3"/>
  <c r="K494" i="6"/>
  <c r="J494" i="6"/>
  <c r="K492" i="6"/>
  <c r="J492" i="6"/>
  <c r="M63" i="3"/>
  <c r="K489" i="6"/>
  <c r="J489" i="6"/>
  <c r="K487" i="6"/>
  <c r="J487" i="6"/>
  <c r="M70" i="3"/>
  <c r="M73" i="3"/>
  <c r="K484" i="6"/>
  <c r="J484" i="6"/>
  <c r="M22" i="3"/>
  <c r="K481" i="6"/>
  <c r="J481" i="6"/>
  <c r="N45" i="3"/>
  <c r="K479" i="6"/>
  <c r="J479" i="6"/>
  <c r="M101" i="3"/>
  <c r="K474" i="6"/>
  <c r="J474" i="6"/>
  <c r="K470" i="6"/>
  <c r="J470" i="6"/>
  <c r="K466" i="6"/>
  <c r="J466" i="6"/>
  <c r="K465" i="6"/>
  <c r="J465" i="6"/>
  <c r="K463" i="6"/>
  <c r="J463" i="6"/>
  <c r="M52" i="3"/>
  <c r="M7" i="3"/>
  <c r="K453" i="6"/>
  <c r="J453" i="6"/>
  <c r="K452" i="6"/>
  <c r="J452" i="6"/>
  <c r="M130" i="3"/>
  <c r="K451" i="6"/>
  <c r="J451" i="6"/>
  <c r="M128" i="3"/>
  <c r="M37" i="3"/>
  <c r="K443" i="6"/>
  <c r="J443" i="6"/>
  <c r="K439" i="6"/>
  <c r="J439" i="6"/>
  <c r="K435" i="6"/>
  <c r="J435" i="6"/>
  <c r="M43" i="3"/>
  <c r="N118" i="3"/>
  <c r="K423" i="6"/>
  <c r="J423" i="6"/>
  <c r="M137" i="3"/>
  <c r="K419" i="6"/>
  <c r="J419" i="6"/>
  <c r="K417" i="6"/>
  <c r="J417" i="6"/>
  <c r="M50" i="3"/>
  <c r="K23" i="5"/>
  <c r="K415" i="6"/>
  <c r="J415" i="6"/>
  <c r="M125" i="3"/>
  <c r="K412" i="6"/>
  <c r="J412" i="6"/>
  <c r="K408" i="6"/>
  <c r="J408" i="6"/>
  <c r="K403" i="6"/>
  <c r="J403" i="6"/>
  <c r="K398" i="6"/>
  <c r="J398" i="6"/>
  <c r="M68" i="3"/>
  <c r="M72" i="3"/>
  <c r="K394" i="6"/>
  <c r="J394" i="6"/>
  <c r="N86" i="3"/>
  <c r="K381" i="6"/>
  <c r="J381" i="6"/>
  <c r="M66" i="3"/>
  <c r="M17" i="3"/>
  <c r="K440" i="6"/>
  <c r="J440" i="6"/>
  <c r="K438" i="6"/>
  <c r="J438" i="6"/>
  <c r="M60" i="3"/>
  <c r="K434" i="6"/>
  <c r="J434" i="6"/>
  <c r="K432" i="6"/>
  <c r="J432" i="6"/>
  <c r="K429" i="6"/>
  <c r="J429" i="6"/>
  <c r="K428" i="6"/>
  <c r="J428" i="6"/>
  <c r="M118" i="3"/>
  <c r="K425" i="6"/>
  <c r="J425" i="6"/>
  <c r="K424" i="6"/>
  <c r="J424" i="6"/>
  <c r="K422" i="6"/>
  <c r="J422" i="6"/>
  <c r="K421" i="6"/>
  <c r="J421" i="6"/>
  <c r="M71" i="3"/>
  <c r="K420" i="6"/>
  <c r="J420" i="6"/>
  <c r="K416" i="6"/>
  <c r="J416" i="6"/>
  <c r="K414" i="6"/>
  <c r="J414" i="6"/>
  <c r="M10" i="3"/>
  <c r="K402" i="6"/>
  <c r="J402" i="6"/>
  <c r="M67" i="3"/>
  <c r="K400" i="6"/>
  <c r="J400" i="6"/>
  <c r="K397" i="6"/>
  <c r="J397" i="6"/>
  <c r="K396" i="6"/>
  <c r="J396" i="6"/>
  <c r="K395" i="6"/>
  <c r="J395" i="6"/>
  <c r="K393" i="6"/>
  <c r="J393" i="6"/>
  <c r="K392" i="6"/>
  <c r="J392" i="6"/>
  <c r="K391" i="6"/>
  <c r="J391" i="6"/>
  <c r="K390" i="6"/>
  <c r="J390" i="6"/>
  <c r="M86" i="3"/>
  <c r="K388" i="6"/>
  <c r="J388" i="6"/>
  <c r="K387" i="6"/>
  <c r="J387" i="6"/>
  <c r="K385" i="6"/>
  <c r="J385" i="6"/>
  <c r="N15" i="3"/>
  <c r="M135" i="3"/>
  <c r="J23" i="5"/>
  <c r="K379" i="6"/>
  <c r="J379" i="6"/>
  <c r="K378" i="6"/>
  <c r="J378" i="6"/>
  <c r="K374" i="6"/>
  <c r="J374" i="6"/>
  <c r="K366" i="6"/>
  <c r="J366" i="6"/>
  <c r="N29" i="3"/>
  <c r="K462" i="6"/>
  <c r="J462" i="6"/>
  <c r="N52" i="3"/>
  <c r="K456" i="6"/>
  <c r="J456" i="6"/>
  <c r="M32" i="3"/>
  <c r="K454" i="6"/>
  <c r="J454" i="6"/>
  <c r="K445" i="6"/>
  <c r="J445" i="6"/>
  <c r="K444" i="6"/>
  <c r="J444" i="6"/>
  <c r="M104" i="3"/>
  <c r="K442" i="6"/>
  <c r="J442" i="6"/>
  <c r="K433" i="6"/>
  <c r="J433" i="6"/>
  <c r="K431" i="6"/>
  <c r="J431" i="6"/>
  <c r="K430" i="6"/>
  <c r="J430" i="6"/>
  <c r="K427" i="6"/>
  <c r="J427" i="6"/>
  <c r="K426" i="6"/>
  <c r="J426" i="6"/>
  <c r="N137" i="3"/>
  <c r="K418" i="6"/>
  <c r="J418" i="6"/>
  <c r="K413" i="6"/>
  <c r="J413" i="6"/>
  <c r="K411" i="6"/>
  <c r="J411" i="6"/>
  <c r="K410" i="6"/>
  <c r="J410" i="6"/>
  <c r="K409" i="6"/>
  <c r="J409" i="6"/>
  <c r="K407" i="6"/>
  <c r="J407" i="6"/>
  <c r="K406" i="6"/>
  <c r="J406" i="6"/>
  <c r="K405" i="6"/>
  <c r="J405" i="6"/>
  <c r="M31" i="3"/>
  <c r="K404" i="6"/>
  <c r="J404" i="6"/>
  <c r="K401" i="6"/>
  <c r="J401" i="6"/>
  <c r="K399" i="6"/>
  <c r="J399" i="6"/>
  <c r="N68" i="3"/>
  <c r="K389" i="6"/>
  <c r="J389" i="6"/>
  <c r="K386" i="6"/>
  <c r="J386" i="6"/>
  <c r="M96" i="3"/>
  <c r="K382" i="6"/>
  <c r="J382" i="6"/>
  <c r="N141" i="3"/>
  <c r="K375" i="6"/>
  <c r="J375" i="6"/>
  <c r="N78" i="3"/>
  <c r="K369" i="6"/>
  <c r="J369" i="6"/>
  <c r="K368" i="6"/>
  <c r="J368" i="6"/>
  <c r="N58" i="3"/>
  <c r="N5" i="4"/>
  <c r="M35" i="3"/>
  <c r="K356" i="6"/>
  <c r="J356" i="6"/>
  <c r="K352" i="6"/>
  <c r="J352" i="6"/>
  <c r="N113" i="3"/>
  <c r="N24" i="3"/>
  <c r="K367" i="6"/>
  <c r="J367" i="6"/>
  <c r="K365" i="6"/>
  <c r="J365" i="6"/>
  <c r="M58" i="3"/>
  <c r="K364" i="6"/>
  <c r="J364" i="6"/>
  <c r="K363" i="6"/>
  <c r="J363" i="6"/>
  <c r="K362" i="6"/>
  <c r="J362" i="6"/>
  <c r="K360" i="6"/>
  <c r="J360" i="6"/>
  <c r="K358" i="6"/>
  <c r="J358" i="6"/>
  <c r="K357" i="6"/>
  <c r="J357" i="6"/>
  <c r="Q5" i="4"/>
  <c r="M5" i="4"/>
  <c r="K353" i="6"/>
  <c r="J353" i="6"/>
  <c r="K384" i="6"/>
  <c r="J384" i="6"/>
  <c r="M15" i="3"/>
  <c r="K383" i="6"/>
  <c r="J383" i="6"/>
  <c r="K380" i="6"/>
  <c r="J380" i="6"/>
  <c r="M141" i="3"/>
  <c r="K377" i="6"/>
  <c r="J377" i="6"/>
  <c r="K376" i="6"/>
  <c r="J376" i="6"/>
  <c r="K373" i="6"/>
  <c r="J373" i="6"/>
  <c r="M78" i="3"/>
  <c r="K372" i="6"/>
  <c r="J372" i="6"/>
  <c r="K371" i="6"/>
  <c r="J371" i="6"/>
  <c r="K370" i="6"/>
  <c r="J370" i="6"/>
  <c r="M113" i="3"/>
  <c r="M24" i="3"/>
  <c r="K361" i="6"/>
  <c r="J361" i="6"/>
  <c r="K359" i="6"/>
  <c r="J359" i="6"/>
  <c r="P5" i="4"/>
  <c r="N35" i="3"/>
  <c r="M29" i="3"/>
  <c r="K355" i="6"/>
  <c r="J355" i="6"/>
  <c r="M97" i="3"/>
  <c r="K354" i="6"/>
  <c r="J354" i="6"/>
  <c r="K351" i="6"/>
  <c r="J351" i="6"/>
  <c r="M88" i="3"/>
  <c r="N88" i="3"/>
  <c r="K350" i="6"/>
  <c r="J350" i="6"/>
  <c r="K349" i="6"/>
  <c r="J349" i="6"/>
  <c r="K348" i="6"/>
  <c r="J348" i="6"/>
  <c r="K347" i="6"/>
  <c r="J347" i="6"/>
  <c r="K346" i="6"/>
  <c r="J346" i="6"/>
  <c r="K345" i="6"/>
  <c r="J345" i="6"/>
  <c r="K344" i="6"/>
  <c r="J344" i="6"/>
  <c r="K343" i="6"/>
  <c r="J343" i="6"/>
  <c r="K342" i="6"/>
  <c r="J342" i="6"/>
  <c r="K341" i="6"/>
  <c r="J341" i="6"/>
  <c r="N12" i="3"/>
  <c r="M12" i="3"/>
  <c r="K340" i="6"/>
  <c r="J340" i="6"/>
  <c r="K339" i="6"/>
  <c r="J339" i="6"/>
  <c r="M16" i="3"/>
  <c r="N16" i="3"/>
  <c r="I23" i="5"/>
  <c r="K338" i="6"/>
  <c r="J338" i="6"/>
  <c r="K337" i="6"/>
  <c r="J337" i="6"/>
  <c r="K336" i="6"/>
  <c r="J336" i="6"/>
  <c r="M48" i="3"/>
  <c r="N48" i="3"/>
  <c r="K335" i="6"/>
  <c r="J335" i="6"/>
  <c r="K334" i="6"/>
  <c r="J334" i="6"/>
  <c r="K333" i="6"/>
  <c r="J333" i="6"/>
  <c r="K332" i="6"/>
  <c r="J332" i="6"/>
  <c r="N41" i="3"/>
  <c r="M41" i="3"/>
  <c r="K331" i="6"/>
  <c r="J331" i="6"/>
  <c r="K330" i="6"/>
  <c r="J330" i="6"/>
  <c r="K329" i="6"/>
  <c r="J329" i="6"/>
  <c r="K328" i="6"/>
  <c r="J328" i="6"/>
  <c r="K327" i="6"/>
  <c r="J327" i="6"/>
  <c r="K326" i="6"/>
  <c r="J326" i="6"/>
  <c r="K325" i="6"/>
  <c r="J325" i="6"/>
  <c r="K324" i="6"/>
  <c r="J324" i="6"/>
  <c r="K323" i="6"/>
  <c r="J323" i="6"/>
  <c r="K322" i="6"/>
  <c r="J322" i="6"/>
  <c r="K321" i="6"/>
  <c r="J321" i="6"/>
  <c r="M108" i="3"/>
  <c r="K320" i="6"/>
  <c r="J320" i="6"/>
  <c r="P11" i="4"/>
  <c r="N33" i="3"/>
  <c r="K319" i="6"/>
  <c r="J319" i="6"/>
  <c r="K318" i="6"/>
  <c r="J318" i="6"/>
  <c r="K317" i="6"/>
  <c r="J317" i="6"/>
  <c r="N11" i="4"/>
  <c r="M33" i="3"/>
  <c r="Q11" i="4"/>
  <c r="M11" i="4"/>
  <c r="K316" i="6"/>
  <c r="J316" i="6"/>
  <c r="K315" i="6"/>
  <c r="J315" i="6"/>
  <c r="K314" i="6"/>
  <c r="J314" i="6"/>
  <c r="K313" i="6"/>
  <c r="J313" i="6"/>
  <c r="K312" i="6"/>
  <c r="J312" i="6"/>
  <c r="K311" i="6"/>
  <c r="J311" i="6"/>
  <c r="K310" i="6"/>
  <c r="J310" i="6"/>
  <c r="K309" i="6"/>
  <c r="J309" i="6"/>
  <c r="K308" i="6"/>
  <c r="J308" i="6"/>
  <c r="K307" i="6"/>
  <c r="J307" i="6"/>
  <c r="K306" i="6"/>
  <c r="J306" i="6"/>
  <c r="M117" i="3"/>
  <c r="N117" i="3"/>
  <c r="K305" i="6"/>
  <c r="J305" i="6"/>
  <c r="K304" i="6"/>
  <c r="J304" i="6"/>
  <c r="M87" i="3"/>
  <c r="N87" i="3"/>
  <c r="M100" i="3"/>
  <c r="N100" i="3"/>
  <c r="K303" i="6"/>
  <c r="J303" i="6"/>
  <c r="K302" i="6"/>
  <c r="J302" i="6"/>
  <c r="K301" i="6"/>
  <c r="J301" i="6"/>
  <c r="M129" i="3"/>
  <c r="N129" i="3"/>
  <c r="K300" i="6"/>
  <c r="J300" i="6"/>
  <c r="K299" i="6"/>
  <c r="J299" i="6"/>
  <c r="K298" i="6"/>
  <c r="J298" i="6"/>
  <c r="K297" i="6"/>
  <c r="J297" i="6"/>
  <c r="K296" i="6"/>
  <c r="J296" i="6"/>
  <c r="K295" i="6"/>
  <c r="J295" i="6"/>
  <c r="K294" i="6"/>
  <c r="J294" i="6"/>
  <c r="M46" i="3"/>
  <c r="N46" i="3"/>
  <c r="K293" i="6"/>
  <c r="J293" i="6"/>
  <c r="K292" i="6"/>
  <c r="J292" i="6"/>
  <c r="K291" i="6"/>
  <c r="J291" i="6"/>
  <c r="N39" i="3"/>
  <c r="M39" i="3"/>
  <c r="K290" i="6"/>
  <c r="J290" i="6"/>
  <c r="K289" i="6"/>
  <c r="J289" i="6"/>
  <c r="N75" i="3"/>
  <c r="K288" i="6"/>
  <c r="J288" i="6"/>
  <c r="M75" i="3"/>
  <c r="K287" i="6"/>
  <c r="J287" i="6"/>
  <c r="K286" i="6"/>
  <c r="J286" i="6"/>
  <c r="N6" i="3"/>
  <c r="M6" i="3"/>
  <c r="H23" i="5"/>
  <c r="K285" i="6"/>
  <c r="J285" i="6"/>
  <c r="K284" i="6"/>
  <c r="J284" i="6"/>
  <c r="K283" i="6"/>
  <c r="J283" i="6"/>
  <c r="K282" i="6"/>
  <c r="J282" i="6"/>
  <c r="K281" i="6"/>
  <c r="J281" i="6"/>
  <c r="N116" i="3"/>
  <c r="M116" i="3"/>
  <c r="K280" i="6"/>
  <c r="J280" i="6"/>
  <c r="N36" i="3"/>
  <c r="M36" i="3"/>
  <c r="K279" i="6"/>
  <c r="J279" i="6"/>
  <c r="K278" i="6"/>
  <c r="J278" i="6"/>
  <c r="K277" i="6"/>
  <c r="J277" i="6"/>
  <c r="K276" i="6"/>
  <c r="J276" i="6"/>
  <c r="K275" i="6"/>
  <c r="J275" i="6"/>
  <c r="K274" i="6"/>
  <c r="J274" i="6"/>
  <c r="K273" i="6"/>
  <c r="J273" i="6"/>
  <c r="K272" i="6"/>
  <c r="J272" i="6"/>
  <c r="K271" i="6"/>
  <c r="J271" i="6"/>
  <c r="K270" i="6"/>
  <c r="J270" i="6"/>
  <c r="N132" i="3"/>
  <c r="M132" i="3"/>
  <c r="K269" i="6"/>
  <c r="J269" i="6"/>
  <c r="K268" i="6"/>
  <c r="J268" i="6"/>
  <c r="K267" i="6"/>
  <c r="J267" i="6"/>
  <c r="K266" i="6"/>
  <c r="J266" i="6"/>
  <c r="N110" i="3"/>
  <c r="M110" i="3"/>
  <c r="K265" i="6"/>
  <c r="J265" i="6"/>
  <c r="N93" i="3"/>
  <c r="M93" i="3"/>
  <c r="K264" i="6"/>
  <c r="J264" i="6"/>
  <c r="K263" i="6"/>
  <c r="J263" i="6"/>
  <c r="K262" i="6"/>
  <c r="J262" i="6"/>
  <c r="K261" i="6"/>
  <c r="J261" i="6"/>
  <c r="K260" i="6"/>
  <c r="J260" i="6"/>
  <c r="K259" i="6"/>
  <c r="J259" i="6"/>
  <c r="M13" i="3"/>
  <c r="N13" i="3"/>
  <c r="K258" i="6"/>
  <c r="J258" i="6"/>
  <c r="K257" i="6"/>
  <c r="J257" i="6"/>
  <c r="M106" i="3"/>
  <c r="N106" i="3"/>
  <c r="K256" i="6"/>
  <c r="J256" i="6"/>
  <c r="K255" i="6"/>
  <c r="J255" i="6"/>
  <c r="K254" i="6"/>
  <c r="J254" i="6"/>
  <c r="K253" i="6"/>
  <c r="J253" i="6"/>
  <c r="K252" i="6"/>
  <c r="J252" i="6"/>
  <c r="N27" i="3"/>
  <c r="M27" i="3"/>
  <c r="G23" i="5"/>
  <c r="K251" i="6"/>
  <c r="J251" i="6"/>
  <c r="K250" i="6"/>
  <c r="J250" i="6"/>
  <c r="K249" i="6"/>
  <c r="J249" i="6"/>
  <c r="K248" i="6"/>
  <c r="J248" i="6"/>
  <c r="K247" i="6"/>
  <c r="J247" i="6"/>
  <c r="K246" i="6"/>
  <c r="J246" i="6"/>
  <c r="K245" i="6"/>
  <c r="J245" i="6"/>
  <c r="P7" i="4"/>
  <c r="N91" i="3"/>
  <c r="K244" i="6"/>
  <c r="J244" i="6"/>
  <c r="N7" i="4"/>
  <c r="M91" i="3"/>
  <c r="Q7" i="4"/>
  <c r="M7" i="4"/>
  <c r="K243" i="6"/>
  <c r="J243" i="6"/>
  <c r="M55" i="3"/>
  <c r="K242" i="6"/>
  <c r="J242" i="6"/>
  <c r="K241" i="6"/>
  <c r="J241" i="6"/>
  <c r="M102" i="3"/>
  <c r="N102" i="3"/>
  <c r="K240" i="6"/>
  <c r="J240" i="6"/>
  <c r="K239" i="6"/>
  <c r="J239" i="6"/>
  <c r="K238" i="6"/>
  <c r="J238" i="6"/>
  <c r="K237" i="6"/>
  <c r="J237" i="6"/>
  <c r="K236" i="6"/>
  <c r="J236" i="6"/>
  <c r="K235" i="6"/>
  <c r="J235" i="6"/>
  <c r="M9" i="3"/>
  <c r="N9" i="3"/>
  <c r="K234" i="6"/>
  <c r="J234" i="6"/>
  <c r="K233" i="6"/>
  <c r="J233" i="6"/>
  <c r="M133" i="3"/>
  <c r="N133" i="3"/>
  <c r="K232" i="6"/>
  <c r="J232" i="6"/>
  <c r="K231" i="6"/>
  <c r="J231" i="6"/>
  <c r="M139" i="3"/>
  <c r="N139" i="3"/>
  <c r="K230" i="6"/>
  <c r="J230" i="6"/>
  <c r="K229" i="6"/>
  <c r="J229" i="6"/>
  <c r="K228" i="6"/>
  <c r="J228" i="6"/>
  <c r="M89" i="3"/>
  <c r="N89" i="3"/>
  <c r="K227" i="6"/>
  <c r="J227" i="6"/>
  <c r="N69" i="3"/>
  <c r="M69" i="3"/>
  <c r="K226" i="6"/>
  <c r="J226" i="6"/>
  <c r="K225" i="6"/>
  <c r="J225" i="6"/>
  <c r="K224" i="6"/>
  <c r="J224" i="6"/>
  <c r="K223" i="6"/>
  <c r="J223" i="6"/>
  <c r="K222" i="6"/>
  <c r="J222" i="6"/>
  <c r="K221" i="6"/>
  <c r="J221" i="6"/>
  <c r="M98" i="3"/>
  <c r="N98" i="3"/>
  <c r="K220" i="6"/>
  <c r="J220" i="6"/>
  <c r="N49" i="3"/>
  <c r="M49" i="3"/>
  <c r="F23" i="5"/>
  <c r="K219" i="6"/>
  <c r="J219" i="6"/>
  <c r="K218" i="6"/>
  <c r="J218" i="6"/>
  <c r="K217" i="6"/>
  <c r="J217" i="6"/>
  <c r="K216" i="6"/>
  <c r="J216" i="6"/>
  <c r="K215" i="6"/>
  <c r="J215" i="6"/>
  <c r="K214" i="6"/>
  <c r="J214" i="6"/>
  <c r="K213" i="6"/>
  <c r="J213" i="6"/>
  <c r="K212" i="6"/>
  <c r="J212" i="6"/>
  <c r="K211" i="6"/>
  <c r="J211" i="6"/>
  <c r="K210" i="6"/>
  <c r="J210" i="6"/>
  <c r="K209" i="6"/>
  <c r="J209" i="6"/>
  <c r="M4" i="3"/>
  <c r="N4" i="3"/>
  <c r="K142" i="3"/>
  <c r="L4" i="3"/>
  <c r="K208" i="6"/>
  <c r="J208" i="6"/>
  <c r="K207" i="6"/>
  <c r="J207" i="6"/>
  <c r="K206" i="6"/>
  <c r="J206" i="6"/>
  <c r="N107" i="3"/>
  <c r="M107" i="3"/>
  <c r="K205" i="6"/>
  <c r="J205" i="6"/>
  <c r="K204" i="6"/>
  <c r="J204" i="6"/>
  <c r="K203" i="6"/>
  <c r="J203" i="6"/>
  <c r="K202" i="6"/>
  <c r="J202" i="6"/>
  <c r="K201" i="6"/>
  <c r="J201" i="6"/>
  <c r="K200" i="6"/>
  <c r="J200" i="6"/>
  <c r="K199" i="6"/>
  <c r="J199" i="6"/>
  <c r="K198" i="6"/>
  <c r="J198" i="6"/>
  <c r="K197" i="6"/>
  <c r="J197" i="6"/>
  <c r="M18" i="3"/>
  <c r="N61" i="3"/>
  <c r="M61" i="3"/>
  <c r="K196" i="6"/>
  <c r="J196" i="6"/>
  <c r="K195" i="6"/>
  <c r="J195" i="6"/>
  <c r="K194" i="6"/>
  <c r="J194" i="6"/>
  <c r="K193" i="6"/>
  <c r="J193" i="6"/>
  <c r="M53" i="3"/>
  <c r="N53" i="3"/>
  <c r="K192" i="6"/>
  <c r="J192" i="6"/>
  <c r="K191" i="6"/>
  <c r="J191" i="6"/>
  <c r="K190" i="6"/>
  <c r="J190" i="6"/>
  <c r="K189" i="6"/>
  <c r="J189" i="6"/>
  <c r="K188" i="6"/>
  <c r="J188" i="6"/>
  <c r="K187" i="6"/>
  <c r="J187" i="6"/>
  <c r="N34" i="3"/>
  <c r="K186" i="6"/>
  <c r="J186" i="6"/>
  <c r="K185" i="6"/>
  <c r="J185" i="6"/>
  <c r="K184" i="6"/>
  <c r="J184" i="6"/>
  <c r="M34" i="3"/>
  <c r="K183" i="6"/>
  <c r="J183" i="6"/>
  <c r="K182" i="6"/>
  <c r="J182" i="6"/>
  <c r="K181" i="6"/>
  <c r="J181" i="6"/>
  <c r="K180" i="6"/>
  <c r="J180" i="6"/>
  <c r="N138" i="3"/>
  <c r="K179" i="6"/>
  <c r="J179" i="6"/>
  <c r="M138" i="3"/>
  <c r="K178" i="6"/>
  <c r="J178" i="6"/>
  <c r="N51" i="3"/>
  <c r="M51" i="3"/>
  <c r="K177" i="6"/>
  <c r="J177" i="6"/>
  <c r="K176" i="6"/>
  <c r="J176" i="6"/>
  <c r="K175" i="6"/>
  <c r="J175" i="6"/>
  <c r="K174" i="6"/>
  <c r="J174" i="6"/>
  <c r="K173" i="6"/>
  <c r="J173" i="6"/>
  <c r="K172" i="6"/>
  <c r="J172" i="6"/>
  <c r="N114" i="3"/>
  <c r="M114" i="3"/>
  <c r="E23" i="5"/>
  <c r="K171" i="6"/>
  <c r="J171" i="6"/>
  <c r="K170" i="6"/>
  <c r="J170" i="6"/>
  <c r="K169" i="6"/>
  <c r="J169" i="6"/>
  <c r="M38" i="3"/>
  <c r="N38" i="3"/>
  <c r="M122" i="3"/>
  <c r="N122" i="3"/>
  <c r="K168" i="6"/>
  <c r="J168" i="6"/>
  <c r="K167" i="6"/>
  <c r="J167" i="6"/>
  <c r="K166" i="6"/>
  <c r="J166" i="6"/>
  <c r="K165" i="6"/>
  <c r="J165" i="6"/>
  <c r="K164" i="6"/>
  <c r="J164" i="6"/>
  <c r="K163" i="6"/>
  <c r="J163" i="6"/>
  <c r="K162" i="6"/>
  <c r="J162" i="6"/>
  <c r="K161" i="6"/>
  <c r="J161" i="6"/>
  <c r="K160" i="6"/>
  <c r="J160" i="6"/>
  <c r="K159" i="6"/>
  <c r="J159" i="6"/>
  <c r="K158" i="6"/>
  <c r="J158" i="6"/>
  <c r="K157" i="6"/>
  <c r="J157" i="6"/>
  <c r="K156" i="6"/>
  <c r="J156" i="6"/>
  <c r="M25" i="3"/>
  <c r="N25" i="3"/>
  <c r="K155" i="6"/>
  <c r="J155" i="6"/>
  <c r="N74" i="3"/>
  <c r="M74" i="3"/>
  <c r="K154" i="6"/>
  <c r="J154" i="6"/>
  <c r="K153" i="6"/>
  <c r="J153" i="6"/>
  <c r="K152" i="6"/>
  <c r="J152" i="6"/>
  <c r="P8" i="4"/>
  <c r="N57" i="3"/>
  <c r="K151" i="6"/>
  <c r="J151" i="6"/>
  <c r="N8" i="4"/>
  <c r="M57" i="3"/>
  <c r="Q8" i="4"/>
  <c r="M8" i="4"/>
  <c r="K150" i="6"/>
  <c r="J150" i="6"/>
  <c r="K149" i="6"/>
  <c r="J149" i="6"/>
  <c r="K148" i="6"/>
  <c r="J148" i="6"/>
  <c r="K147" i="6"/>
  <c r="J147" i="6"/>
  <c r="K146" i="6"/>
  <c r="J146" i="6"/>
  <c r="K145" i="6"/>
  <c r="J145" i="6"/>
  <c r="N30" i="3"/>
  <c r="K144" i="6"/>
  <c r="J144" i="6"/>
  <c r="K143" i="6"/>
  <c r="J143" i="6"/>
  <c r="K142" i="6"/>
  <c r="J142" i="6"/>
  <c r="M30" i="3"/>
  <c r="K141" i="6"/>
  <c r="J141" i="6"/>
  <c r="K140" i="6"/>
  <c r="J140" i="6"/>
  <c r="K139" i="6"/>
  <c r="J139" i="6"/>
  <c r="K138" i="6"/>
  <c r="J138" i="6"/>
  <c r="M92" i="3"/>
  <c r="N92" i="3"/>
  <c r="P10" i="4"/>
  <c r="N56" i="3"/>
  <c r="N10" i="4"/>
  <c r="M56" i="3"/>
  <c r="R10" i="4"/>
  <c r="Q10" i="4"/>
  <c r="M10" i="4"/>
  <c r="K137" i="6"/>
  <c r="J137" i="6"/>
  <c r="K136" i="6"/>
  <c r="J136" i="6"/>
  <c r="K135" i="6"/>
  <c r="J135" i="6"/>
  <c r="K134" i="6"/>
  <c r="J134" i="6"/>
  <c r="K133" i="6"/>
  <c r="J133" i="6"/>
  <c r="K132" i="6"/>
  <c r="J132" i="6"/>
  <c r="K131" i="6"/>
  <c r="J131" i="6"/>
  <c r="K130" i="6"/>
  <c r="J130" i="6"/>
  <c r="K129" i="6"/>
  <c r="J129" i="6"/>
  <c r="K128" i="6"/>
  <c r="J128" i="6"/>
  <c r="K127" i="6"/>
  <c r="J127" i="6"/>
  <c r="N123" i="3"/>
  <c r="K126" i="6"/>
  <c r="J126" i="6"/>
  <c r="K125" i="6"/>
  <c r="J125" i="6"/>
  <c r="M123" i="3"/>
  <c r="K124" i="6"/>
  <c r="J124" i="6"/>
  <c r="K123" i="6"/>
  <c r="J123" i="6"/>
  <c r="K122" i="6"/>
  <c r="J122" i="6"/>
  <c r="M111" i="3"/>
  <c r="N111" i="3"/>
  <c r="D23" i="5"/>
  <c r="K121" i="6"/>
  <c r="J121" i="6"/>
  <c r="K120" i="6"/>
  <c r="J120" i="6"/>
  <c r="N19" i="3"/>
  <c r="M19" i="3"/>
  <c r="K119" i="6"/>
  <c r="J119" i="6"/>
  <c r="K118" i="6"/>
  <c r="J118" i="6"/>
  <c r="M131" i="3"/>
  <c r="N131" i="3"/>
  <c r="K117" i="6"/>
  <c r="J117" i="6"/>
  <c r="K116" i="6"/>
  <c r="J116" i="6"/>
  <c r="K115" i="6"/>
  <c r="J115" i="6"/>
  <c r="N20" i="3"/>
  <c r="M20" i="3"/>
  <c r="K114" i="6"/>
  <c r="J114" i="6"/>
  <c r="N5" i="3"/>
  <c r="K113" i="6"/>
  <c r="J113" i="6"/>
  <c r="K112" i="6"/>
  <c r="J112" i="6"/>
  <c r="M5" i="3"/>
  <c r="K111" i="6"/>
  <c r="J111" i="6"/>
  <c r="M26" i="3"/>
  <c r="N26" i="3"/>
  <c r="K110" i="6"/>
  <c r="J110" i="6"/>
  <c r="K109" i="6"/>
  <c r="J109" i="6"/>
  <c r="N21" i="3"/>
  <c r="K108" i="6"/>
  <c r="J108" i="6"/>
  <c r="M21" i="3"/>
  <c r="K107" i="6"/>
  <c r="J107" i="6"/>
  <c r="K106" i="6"/>
  <c r="J106" i="6"/>
  <c r="K105" i="6"/>
  <c r="J105" i="6"/>
  <c r="K104" i="6"/>
  <c r="J104" i="6"/>
  <c r="K103" i="6"/>
  <c r="J103" i="6"/>
  <c r="M115" i="3"/>
  <c r="N115" i="3"/>
  <c r="K102" i="6"/>
  <c r="J102" i="6"/>
  <c r="K101" i="6"/>
  <c r="J101" i="6"/>
  <c r="K100" i="6"/>
  <c r="J100" i="6"/>
  <c r="K99" i="6"/>
  <c r="J99" i="6"/>
  <c r="K98" i="6"/>
  <c r="J98" i="6"/>
  <c r="K97" i="6"/>
  <c r="J97" i="6"/>
  <c r="K96" i="6"/>
  <c r="J96" i="6"/>
  <c r="N27" i="4"/>
  <c r="M95" i="3"/>
  <c r="P27" i="4"/>
  <c r="N95" i="3"/>
  <c r="Q27" i="4"/>
  <c r="M27" i="4"/>
  <c r="P18" i="4"/>
  <c r="N109" i="3"/>
  <c r="N18" i="4"/>
  <c r="M109" i="3"/>
  <c r="R18" i="4"/>
  <c r="Q18" i="4"/>
  <c r="M18" i="4"/>
  <c r="K95" i="6"/>
  <c r="J95" i="6"/>
  <c r="M105" i="3"/>
  <c r="N105" i="3"/>
  <c r="K94" i="6"/>
  <c r="J94" i="6"/>
  <c r="K93" i="6"/>
  <c r="J93" i="6"/>
  <c r="N59" i="3"/>
  <c r="M59" i="3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M83" i="3"/>
  <c r="K84" i="6"/>
  <c r="J84" i="6"/>
  <c r="K83" i="6"/>
  <c r="J83" i="6"/>
  <c r="K82" i="6"/>
  <c r="J82" i="6"/>
  <c r="M23" i="3"/>
  <c r="N23" i="3"/>
  <c r="N19" i="4"/>
  <c r="M124" i="3"/>
  <c r="P19" i="4"/>
  <c r="N124" i="3"/>
  <c r="R19" i="4"/>
  <c r="Q19" i="4"/>
  <c r="M19" i="4"/>
  <c r="K81" i="6"/>
  <c r="J81" i="6"/>
  <c r="K80" i="6"/>
  <c r="J80" i="6"/>
  <c r="K79" i="6"/>
  <c r="J79" i="6"/>
  <c r="K78" i="6"/>
  <c r="J78" i="6"/>
  <c r="N9" i="4"/>
  <c r="M121" i="3"/>
  <c r="P9" i="4"/>
  <c r="N121" i="3"/>
  <c r="R9" i="4"/>
  <c r="Q9" i="4"/>
  <c r="M9" i="4"/>
  <c r="C23" i="5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K68" i="6"/>
  <c r="J68" i="6"/>
  <c r="M81" i="3"/>
  <c r="N81" i="3"/>
  <c r="K67" i="6"/>
  <c r="J67" i="6"/>
  <c r="P26" i="4"/>
  <c r="N79" i="3"/>
  <c r="N26" i="4"/>
  <c r="M79" i="3"/>
  <c r="Q26" i="4"/>
  <c r="M26" i="4"/>
  <c r="K66" i="6"/>
  <c r="J66" i="6"/>
  <c r="K65" i="6"/>
  <c r="J65" i="6"/>
  <c r="K64" i="6"/>
  <c r="J64" i="6"/>
  <c r="K63" i="6"/>
  <c r="J63" i="6"/>
  <c r="K62" i="6"/>
  <c r="J62" i="6"/>
  <c r="K61" i="6"/>
  <c r="J61" i="6"/>
  <c r="N25" i="4"/>
  <c r="M84" i="3"/>
  <c r="P25" i="4"/>
  <c r="N84" i="3"/>
  <c r="R25" i="4"/>
  <c r="Q25" i="4"/>
  <c r="M25" i="4"/>
  <c r="K60" i="6"/>
  <c r="J60" i="6"/>
  <c r="N12" i="4"/>
  <c r="M8" i="3"/>
  <c r="P12" i="4"/>
  <c r="N8" i="3"/>
  <c r="R12" i="4"/>
  <c r="Q12" i="4"/>
  <c r="M12" i="4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M40" i="3"/>
  <c r="N40" i="3"/>
  <c r="K50" i="6"/>
  <c r="J50" i="6"/>
  <c r="K49" i="6"/>
  <c r="J49" i="6"/>
  <c r="K48" i="6"/>
  <c r="J48" i="6"/>
  <c r="N14" i="4"/>
  <c r="M94" i="3"/>
  <c r="P14" i="4"/>
  <c r="N94" i="3"/>
  <c r="R14" i="4"/>
  <c r="Q14" i="4"/>
  <c r="M14" i="4"/>
  <c r="K47" i="6"/>
  <c r="J47" i="6"/>
  <c r="K46" i="6"/>
  <c r="J46" i="6"/>
  <c r="N15" i="5"/>
  <c r="K45" i="6"/>
  <c r="J45" i="6"/>
  <c r="N14" i="5"/>
  <c r="K44" i="6"/>
  <c r="J44" i="6"/>
  <c r="N20" i="4"/>
  <c r="M76" i="3"/>
  <c r="P20" i="4"/>
  <c r="N76" i="3"/>
  <c r="Q20" i="4"/>
  <c r="M20" i="4"/>
  <c r="K43" i="6"/>
  <c r="J43" i="6"/>
  <c r="N13" i="5"/>
  <c r="K42" i="6"/>
  <c r="J42" i="6"/>
  <c r="K41" i="6"/>
  <c r="J41" i="6"/>
  <c r="N19" i="5"/>
  <c r="K40" i="6"/>
  <c r="J40" i="6"/>
  <c r="N42" i="3"/>
  <c r="M42" i="3"/>
  <c r="K39" i="6"/>
  <c r="J39" i="6"/>
  <c r="K38" i="6"/>
  <c r="J38" i="6"/>
  <c r="J28" i="4"/>
  <c r="K37" i="6"/>
  <c r="J37" i="6"/>
  <c r="K36" i="6"/>
  <c r="J36" i="6"/>
  <c r="K35" i="6"/>
  <c r="J35" i="6"/>
  <c r="K34" i="6"/>
  <c r="J34" i="6"/>
  <c r="K33" i="6"/>
  <c r="J33" i="6"/>
  <c r="K28" i="4"/>
  <c r="P4" i="4"/>
  <c r="N136" i="3"/>
  <c r="L28" i="4"/>
  <c r="N4" i="4"/>
  <c r="N28" i="4" s="1"/>
  <c r="M136" i="3"/>
  <c r="H28" i="4"/>
  <c r="Q28" i="4" s="1"/>
  <c r="R4" i="4"/>
  <c r="Q4" i="4"/>
  <c r="M4" i="4"/>
  <c r="I28" i="4"/>
  <c r="M127" i="3"/>
  <c r="N127" i="3"/>
  <c r="K32" i="6"/>
  <c r="J32" i="6"/>
  <c r="K31" i="6"/>
  <c r="J31" i="6"/>
  <c r="P13" i="4"/>
  <c r="N99" i="3"/>
  <c r="K30" i="6"/>
  <c r="J30" i="6"/>
  <c r="N13" i="4"/>
  <c r="M99" i="3"/>
  <c r="R13" i="4"/>
  <c r="Q13" i="4"/>
  <c r="M13" i="4"/>
  <c r="K29" i="6"/>
  <c r="J29" i="6"/>
  <c r="N22" i="5"/>
  <c r="N20" i="5"/>
  <c r="N10" i="5"/>
  <c r="K28" i="6"/>
  <c r="J28" i="6"/>
  <c r="K27" i="6"/>
  <c r="J27" i="6"/>
  <c r="P6" i="4"/>
  <c r="N140" i="3"/>
  <c r="K26" i="6"/>
  <c r="J26" i="6"/>
  <c r="N6" i="4"/>
  <c r="M140" i="3"/>
  <c r="R6" i="4"/>
  <c r="Q6" i="4"/>
  <c r="M6" i="4"/>
  <c r="K25" i="6"/>
  <c r="J25" i="6"/>
  <c r="K24" i="6"/>
  <c r="J24" i="6"/>
  <c r="N15" i="4"/>
  <c r="M28" i="3"/>
  <c r="P15" i="4"/>
  <c r="N28" i="3"/>
  <c r="R15" i="4"/>
  <c r="Q15" i="4"/>
  <c r="M15" i="4"/>
  <c r="K23" i="6"/>
  <c r="J23" i="6"/>
  <c r="K22" i="6"/>
  <c r="J22" i="6"/>
  <c r="K21" i="6"/>
  <c r="J21" i="6"/>
  <c r="P17" i="4"/>
  <c r="N134" i="3"/>
  <c r="N17" i="4"/>
  <c r="M134" i="3"/>
  <c r="R17" i="4"/>
  <c r="Q17" i="4"/>
  <c r="M17" i="4"/>
  <c r="K20" i="6"/>
  <c r="J20" i="6"/>
  <c r="K19" i="6"/>
  <c r="J19" i="6"/>
  <c r="N12" i="5"/>
  <c r="P22" i="4"/>
  <c r="N126" i="3"/>
  <c r="N22" i="4"/>
  <c r="M126" i="3"/>
  <c r="R22" i="4"/>
  <c r="Q22" i="4"/>
  <c r="M22" i="4"/>
  <c r="K18" i="6"/>
  <c r="J18" i="6"/>
  <c r="N21" i="5"/>
  <c r="K17" i="6"/>
  <c r="J17" i="6"/>
  <c r="K16" i="6"/>
  <c r="J16" i="6"/>
  <c r="K15" i="6"/>
  <c r="J15" i="6"/>
  <c r="N16" i="4"/>
  <c r="M120" i="3"/>
  <c r="P16" i="4"/>
  <c r="N120" i="3"/>
  <c r="R16" i="4"/>
  <c r="Q16" i="4"/>
  <c r="M16" i="4"/>
  <c r="K14" i="6"/>
  <c r="J14" i="6"/>
  <c r="K13" i="6"/>
  <c r="J13" i="6"/>
  <c r="P21" i="4"/>
  <c r="N112" i="3"/>
  <c r="K12" i="6"/>
  <c r="J12" i="6"/>
  <c r="N18" i="5"/>
  <c r="K11" i="6"/>
  <c r="J11" i="6"/>
  <c r="N16" i="5"/>
  <c r="N21" i="4"/>
  <c r="M112" i="3"/>
  <c r="R21" i="4"/>
  <c r="Q21" i="4"/>
  <c r="M21" i="4"/>
  <c r="K10" i="6"/>
  <c r="J10" i="6"/>
  <c r="P24" i="4"/>
  <c r="N119" i="3"/>
  <c r="N24" i="4"/>
  <c r="M119" i="3"/>
  <c r="R24" i="4"/>
  <c r="Q24" i="4"/>
  <c r="M24" i="4"/>
  <c r="K9" i="6"/>
  <c r="J9" i="6"/>
  <c r="K8" i="6"/>
  <c r="J8" i="6"/>
  <c r="K7" i="6"/>
  <c r="J7" i="6"/>
  <c r="N8" i="5"/>
  <c r="N9" i="5"/>
  <c r="N6" i="5"/>
  <c r="N11" i="5"/>
  <c r="N7" i="5"/>
  <c r="K6" i="6"/>
  <c r="J6" i="6"/>
  <c r="P23" i="4"/>
  <c r="N64" i="3"/>
  <c r="N17" i="5"/>
  <c r="N23" i="4"/>
  <c r="M64" i="3"/>
  <c r="R23" i="4"/>
  <c r="Q23" i="4"/>
  <c r="M23" i="4"/>
  <c r="B23" i="5"/>
  <c r="N5" i="5"/>
  <c r="H524" i="6"/>
  <c r="K5" i="6"/>
  <c r="J5" i="6"/>
  <c r="O19" i="5" l="1"/>
  <c r="J524" i="6"/>
  <c r="N23" i="5"/>
  <c r="O21" i="5" s="1"/>
  <c r="O5" i="5"/>
  <c r="O7" i="5"/>
  <c r="O9" i="5"/>
  <c r="O12" i="5"/>
  <c r="O10" i="5"/>
  <c r="M28" i="4"/>
  <c r="R20" i="4"/>
  <c r="R26" i="4"/>
  <c r="R27" i="4"/>
  <c r="R8" i="4"/>
  <c r="N142" i="3"/>
  <c r="R11" i="4"/>
  <c r="R5" i="4"/>
  <c r="O6" i="5"/>
  <c r="P28" i="4"/>
  <c r="O17" i="5"/>
  <c r="O11" i="5"/>
  <c r="O8" i="5"/>
  <c r="O16" i="5"/>
  <c r="O18" i="5"/>
  <c r="O20" i="5"/>
  <c r="O13" i="5"/>
  <c r="O14" i="5"/>
  <c r="O15" i="5"/>
  <c r="M142" i="3"/>
  <c r="R7" i="4"/>
  <c r="O22" i="5" l="1"/>
</calcChain>
</file>

<file path=xl/sharedStrings.xml><?xml version="1.0" encoding="utf-8"?>
<sst xmlns="http://schemas.openxmlformats.org/spreadsheetml/2006/main" count="61178" uniqueCount="3506">
  <si>
    <t>Helios Instruments Pvt. Ltd. — Business Travel Expense Register, 2025</t>
  </si>
  <si>
    <t>PURPOSE</t>
  </si>
  <si>
    <t>Fictional but internally consistent travel &amp; expense dataset for demos, audit-workflow testing, dashboards and pivot-table practice.</t>
  </si>
  <si>
    <t>Coverage</t>
  </si>
  <si>
    <t>1 January 2025 to 31 December 2025 — 138 business trips, 2,954 individual expense line items.</t>
  </si>
  <si>
    <t>Grain</t>
  </si>
  <si>
    <t>One row per individual expense claim (a single receipt).</t>
  </si>
  <si>
    <t>Employees</t>
  </si>
  <si>
    <t>24 travellers across Sales, Field Engineering, Product, Marketing, Customer Success, Finance, Operations and Executive.</t>
  </si>
  <si>
    <t>Currency</t>
  </si>
  <si>
    <t>Claims are recorded in the local currency of the destination and converted to US dollars at a fixed period-average FX rate.</t>
  </si>
  <si>
    <t>TABS</t>
  </si>
  <si>
    <t>Expense Details</t>
  </si>
  <si>
    <t>The full register — 37 columns covering who, where, when, what, how much, tax, policy check and the approval trail.</t>
  </si>
  <si>
    <t>Trip Summary</t>
  </si>
  <si>
    <t>One row per trip: duration, line-item count, total spend, cost per day, policy breaches and billability.</t>
  </si>
  <si>
    <t>Employee Summary</t>
  </si>
  <si>
    <t>Spend per traveller, split by airfare / lodging / meals / ground transport, with policy breaches and missing receipts.</t>
  </si>
  <si>
    <t>Category by Month</t>
  </si>
  <si>
    <t>Category x month matrix with share of spend and the policy limit for each category.</t>
  </si>
  <si>
    <t>Policy Exceptions</t>
  </si>
  <si>
    <t>Audit view — every claim over its limit or missing a receipt.</t>
  </si>
  <si>
    <t>COLOUR LEGEND</t>
  </si>
  <si>
    <t>Blue text</t>
  </si>
  <si>
    <t>Hardcoded input value — amounts, FX rates, dates, statuses.</t>
  </si>
  <si>
    <t>Black text</t>
  </si>
  <si>
    <t>Calculated by formula — do not overwrite.</t>
  </si>
  <si>
    <t>Green text</t>
  </si>
  <si>
    <t>Live link to a cell on another tab.</t>
  </si>
  <si>
    <t>Yellow fill</t>
  </si>
  <si>
    <t>Key assumption you may want to change.</t>
  </si>
  <si>
    <t>Red fill</t>
  </si>
  <si>
    <t>Flagged for review on the Policy Exceptions tab.</t>
  </si>
  <si>
    <t>HOW FIGURES ARE DERIVED</t>
  </si>
  <si>
    <t>Amount (USD)</t>
  </si>
  <si>
    <t>Amount (Local) x FX Rate to USD</t>
  </si>
  <si>
    <t>VAT / Tax (USD)</t>
  </si>
  <si>
    <t>Amount (USD) - (Amount (USD) / (1 + VAT Rate)) — tax is inclusive</t>
  </si>
  <si>
    <t>Net of Tax (USD)</t>
  </si>
  <si>
    <t>Amount (USD) - VAT / Tax (USD)</t>
  </si>
  <si>
    <t>Over Policy?</t>
  </si>
  <si>
    <t>Yes when Amount (USD) exceeds the category Policy Limit</t>
  </si>
  <si>
    <t>Variance vs Limit</t>
  </si>
  <si>
    <t>Amount (USD) - Policy Limit (USD); negative means under budget</t>
  </si>
  <si>
    <t>Reimbursable (USD)</t>
  </si>
  <si>
    <t>Zero for corporate-card and rejected claims; otherwise the full amount, since only out-of-pocket spend is paid back</t>
  </si>
  <si>
    <t>Days to Reimburse</t>
  </si>
  <si>
    <t>Date Reimbursed - Date Submitted</t>
  </si>
  <si>
    <t>EXPENSE POLICY LIMITS APPLIED</t>
  </si>
  <si>
    <t>Per-claim caps. Lodging and car rental limits are multiplied by the number of nights or days on the trip.</t>
  </si>
  <si>
    <t>Category</t>
  </si>
  <si>
    <t>Policy Limit (USD)</t>
  </si>
  <si>
    <t>Airfare</t>
  </si>
  <si>
    <t>Hotel / Lodging</t>
  </si>
  <si>
    <t>Meals - Breakfast</t>
  </si>
  <si>
    <t>Meals - Lunch</t>
  </si>
  <si>
    <t>Meals - Dinner</t>
  </si>
  <si>
    <t>Client Entertainment</t>
  </si>
  <si>
    <t>Ground Transport - Taxi</t>
  </si>
  <si>
    <t>Ground Transport - Rail</t>
  </si>
  <si>
    <t>Car Rental</t>
  </si>
  <si>
    <t>Fuel / Mileage</t>
  </si>
  <si>
    <t>Parking &amp; Tolls</t>
  </si>
  <si>
    <t>Conference / Event Fee</t>
  </si>
  <si>
    <t>Baggage &amp; Excess Fees</t>
  </si>
  <si>
    <t>Internet / Roaming</t>
  </si>
  <si>
    <t>Visa &amp; Travel Docs</t>
  </si>
  <si>
    <t>Client Gifts</t>
  </si>
  <si>
    <t>Laundry</t>
  </si>
  <si>
    <t>Office Supplies</t>
  </si>
  <si>
    <t>Assumption</t>
  </si>
  <si>
    <t>Value / Note</t>
  </si>
  <si>
    <t>Approval mix</t>
  </si>
  <si>
    <t>About 87% approved, 8% pending, 5% rejected</t>
  </si>
  <si>
    <t>Receipt compliance</t>
  </si>
  <si>
    <t>About 93% of claims have a receipt attached</t>
  </si>
  <si>
    <t>Over-limit rate</t>
  </si>
  <si>
    <t>About 9% of claims were generated above their category cap</t>
  </si>
  <si>
    <t>Payment mix</t>
  </si>
  <si>
    <t>60% corporate card, 40% out-of-pocket (personal card or cash)</t>
  </si>
  <si>
    <t>FX rates</t>
  </si>
  <si>
    <t>Fixed period-average rates, e.g. EUR 1.0850, GBP 1.2720, INR 0.01178, JPY 0.00655, AED 0.2723</t>
  </si>
  <si>
    <t>Random seed</t>
  </si>
  <si>
    <t>451213</t>
  </si>
  <si>
    <t>Data source</t>
  </si>
  <si>
    <t>SYNTHETIC. Generated by script on 2026-09-09 at the user's request. Employee names, vendors, client codes and amounts are invented; they do not refer to any real person, company or transaction.</t>
  </si>
  <si>
    <t>Expense ID</t>
  </si>
  <si>
    <t>Employee ID</t>
  </si>
  <si>
    <t>Employee Name</t>
  </si>
  <si>
    <t>Department</t>
  </si>
  <si>
    <t>Job Title</t>
  </si>
  <si>
    <t>Manager / Approver</t>
  </si>
  <si>
    <t>Trip ID</t>
  </si>
  <si>
    <t>Trip Purpose</t>
  </si>
  <si>
    <t>Destination City</t>
  </si>
  <si>
    <t>Destination Country</t>
  </si>
  <si>
    <t>Trip Start</t>
  </si>
  <si>
    <t>Trip End</t>
  </si>
  <si>
    <t>Expense Date</t>
  </si>
  <si>
    <t>Month</t>
  </si>
  <si>
    <t>Expense Category</t>
  </si>
  <si>
    <t>Description</t>
  </si>
  <si>
    <t>Merchant / Vendor</t>
  </si>
  <si>
    <t>Payment Method</t>
  </si>
  <si>
    <t>Amount (Local)</t>
  </si>
  <si>
    <t>FX Rate to USD</t>
  </si>
  <si>
    <t>VAT / Tax Rate</t>
  </si>
  <si>
    <t>Variance vs Limit (USD)</t>
  </si>
  <si>
    <t>Receipt Attached</t>
  </si>
  <si>
    <t>Billable to Client</t>
  </si>
  <si>
    <t>Client / Project Code</t>
  </si>
  <si>
    <t>Approval Status</t>
  </si>
  <si>
    <t>Date Submitted</t>
  </si>
  <si>
    <t>Date Approved</t>
  </si>
  <si>
    <t>Date Reimbursed</t>
  </si>
  <si>
    <t>EXP-00001</t>
  </si>
  <si>
    <t>EMP-1103</t>
  </si>
  <si>
    <t>Rohit Malhotra</t>
  </si>
  <si>
    <t>Sales</t>
  </si>
  <si>
    <t>Account Executive</t>
  </si>
  <si>
    <t>Ananya Sengupta</t>
  </si>
  <si>
    <t>TRP-2025-061</t>
  </si>
  <si>
    <t>Client Meeting</t>
  </si>
  <si>
    <t>London</t>
  </si>
  <si>
    <t>United Kingdom</t>
  </si>
  <si>
    <t>2025-01</t>
  </si>
  <si>
    <t>Round trip HQ - London, economy</t>
  </si>
  <si>
    <t>Lufthansa</t>
  </si>
  <si>
    <t>Corporate Card</t>
  </si>
  <si>
    <t>GBP</t>
  </si>
  <si>
    <t>Yes</t>
  </si>
  <si>
    <t>No</t>
  </si>
  <si>
    <t>INTERNAL-0000</t>
  </si>
  <si>
    <t>Approved</t>
  </si>
  <si>
    <t>EXP-00002</t>
  </si>
  <si>
    <t>Checked demo equipment</t>
  </si>
  <si>
    <t>Emirates</t>
  </si>
  <si>
    <t>Personal Card (Reimbursable)</t>
  </si>
  <si>
    <t>EXP-00003</t>
  </si>
  <si>
    <t>Individual meal</t>
  </si>
  <si>
    <t>Cafe Nero</t>
  </si>
  <si>
    <t>EXP-00004</t>
  </si>
  <si>
    <t>Airport / client site transfer</t>
  </si>
  <si>
    <t>Local Taxi</t>
  </si>
  <si>
    <t>EXP-00005</t>
  </si>
  <si>
    <t>3 night(s) @ standard rate</t>
  </si>
  <si>
    <t>Marriott</t>
  </si>
  <si>
    <t>EXP-00006</t>
  </si>
  <si>
    <t>Hotel Restaurant</t>
  </si>
  <si>
    <t>Cash (Reimbursable)</t>
  </si>
  <si>
    <t>EXP-00007</t>
  </si>
  <si>
    <t>Party of 4</t>
  </si>
  <si>
    <t>Brasserie Lyon</t>
  </si>
  <si>
    <t>EXP-00008</t>
  </si>
  <si>
    <t>Local Bistro</t>
  </si>
  <si>
    <t>EXP-00009</t>
  </si>
  <si>
    <t>Grab</t>
  </si>
  <si>
    <t>EXP-00010</t>
  </si>
  <si>
    <t>EXP-00011</t>
  </si>
  <si>
    <t>The Grill House</t>
  </si>
  <si>
    <t>EXP-00012</t>
  </si>
  <si>
    <t>Sweetgreen</t>
  </si>
  <si>
    <t>EXP-00013</t>
  </si>
  <si>
    <t>Starbucks</t>
  </si>
  <si>
    <t>EXP-00014</t>
  </si>
  <si>
    <t>Party of 2</t>
  </si>
  <si>
    <t>Spice Route</t>
  </si>
  <si>
    <t>EXP-00015</t>
  </si>
  <si>
    <t>EXP-00016</t>
  </si>
  <si>
    <t>EMP-1229</t>
  </si>
  <si>
    <t>Samuel Adeyemi</t>
  </si>
  <si>
    <t>Field Engineering</t>
  </si>
  <si>
    <t>Field Engineer</t>
  </si>
  <si>
    <t>Tomas Kovac</t>
  </si>
  <si>
    <t>TRP-2025-116</t>
  </si>
  <si>
    <t>Sao Paulo</t>
  </si>
  <si>
    <t>Brazil</t>
  </si>
  <si>
    <t>Round trip HQ - Sao Paulo, economy</t>
  </si>
  <si>
    <t>Delta Air Lines</t>
  </si>
  <si>
    <t>BRL</t>
  </si>
  <si>
    <t>BLUEPEAK-7702</t>
  </si>
  <si>
    <t>Pending Approval</t>
  </si>
  <si>
    <t>EXP-00017</t>
  </si>
  <si>
    <t>EXP-00018</t>
  </si>
  <si>
    <t>EXP-00019</t>
  </si>
  <si>
    <t>Osteria Vela</t>
  </si>
  <si>
    <t>EXP-00020</t>
  </si>
  <si>
    <t>Pret A Manger</t>
  </si>
  <si>
    <t>EXP-00021</t>
  </si>
  <si>
    <t>EMP-1204</t>
  </si>
  <si>
    <t>Priya Nair</t>
  </si>
  <si>
    <t>Senior Field Engineer</t>
  </si>
  <si>
    <t>TRP-2025-109</t>
  </si>
  <si>
    <t>Product Launch Event</t>
  </si>
  <si>
    <t>Paris</t>
  </si>
  <si>
    <t>France</t>
  </si>
  <si>
    <t>Round trip HQ - Paris, economy</t>
  </si>
  <si>
    <t>Singapore Airlines</t>
  </si>
  <si>
    <t>EUR</t>
  </si>
  <si>
    <t>EXP-00022</t>
  </si>
  <si>
    <t>Delegate registration</t>
  </si>
  <si>
    <t>SensorTech Summit</t>
  </si>
  <si>
    <t>EXP-00023</t>
  </si>
  <si>
    <t>Ola Cabs</t>
  </si>
  <si>
    <t>EXP-00024</t>
  </si>
  <si>
    <t>EXP-00025</t>
  </si>
  <si>
    <t>EXP-00026</t>
  </si>
  <si>
    <t>EXP-00027</t>
  </si>
  <si>
    <t>7 night(s) @ standard rate</t>
  </si>
  <si>
    <t>Premier Inn</t>
  </si>
  <si>
    <t>EXP-00028</t>
  </si>
  <si>
    <t>International data pack</t>
  </si>
  <si>
    <t>Vodafone Roaming</t>
  </si>
  <si>
    <t>EXP-00029</t>
  </si>
  <si>
    <t>Local Bakery</t>
  </si>
  <si>
    <t>EXP-00030</t>
  </si>
  <si>
    <t>EXP-00031</t>
  </si>
  <si>
    <t>Food Court</t>
  </si>
  <si>
    <t>EXP-00032</t>
  </si>
  <si>
    <t>EXP-00033</t>
  </si>
  <si>
    <t>Hilton Garden Inn</t>
  </si>
  <si>
    <t>EXP-00034</t>
  </si>
  <si>
    <t>EXP-00035</t>
  </si>
  <si>
    <t>EXP-00036</t>
  </si>
  <si>
    <t>Lyft</t>
  </si>
  <si>
    <t>EXP-00037</t>
  </si>
  <si>
    <t>EXP-00038</t>
  </si>
  <si>
    <t>Sakura Izakaya</t>
  </si>
  <si>
    <t>EXP-00039</t>
  </si>
  <si>
    <t>EXP-00040</t>
  </si>
  <si>
    <t>EXP-00041</t>
  </si>
  <si>
    <t>Party of 1</t>
  </si>
  <si>
    <t>EXP-00042</t>
  </si>
  <si>
    <t>EXP-00043</t>
  </si>
  <si>
    <t>EXP-00044</t>
  </si>
  <si>
    <t>EXP-00045</t>
  </si>
  <si>
    <t>EXP-00046</t>
  </si>
  <si>
    <t>EXP-00047</t>
  </si>
  <si>
    <t>EXP-00048</t>
  </si>
  <si>
    <t>EXP-00049</t>
  </si>
  <si>
    <t>EXP-00050</t>
  </si>
  <si>
    <t>EXP-00051</t>
  </si>
  <si>
    <t>EXP-00052</t>
  </si>
  <si>
    <t>EXP-00053</t>
  </si>
  <si>
    <t>EXP-00054</t>
  </si>
  <si>
    <t>Party of 3</t>
  </si>
  <si>
    <t>EXP-00055</t>
  </si>
  <si>
    <t>EXP-00056</t>
  </si>
  <si>
    <t>EMP-1523</t>
  </si>
  <si>
    <t>Laura Bianchi</t>
  </si>
  <si>
    <t>Customer Success</t>
  </si>
  <si>
    <t>CS Specialist</t>
  </si>
  <si>
    <t>Sneha Iyer</t>
  </si>
  <si>
    <t>TRP-2025-117</t>
  </si>
  <si>
    <t>Trade Show / Conference</t>
  </si>
  <si>
    <t>Tokyo</t>
  </si>
  <si>
    <t>Japan</t>
  </si>
  <si>
    <t>Round trip HQ - Tokyo, economy</t>
  </si>
  <si>
    <t>British Airways</t>
  </si>
  <si>
    <t>JPY</t>
  </si>
  <si>
    <t>ORBITAL-8834</t>
  </si>
  <si>
    <t>EXP-00057</t>
  </si>
  <si>
    <t>EXP-00058</t>
  </si>
  <si>
    <t>EXP-00059</t>
  </si>
  <si>
    <t>EXP-00060</t>
  </si>
  <si>
    <t>EXP-00061</t>
  </si>
  <si>
    <t>EXP-00062</t>
  </si>
  <si>
    <t>EXP-00063</t>
  </si>
  <si>
    <t>EXP-00064</t>
  </si>
  <si>
    <t>EXP-00065</t>
  </si>
  <si>
    <t>EXP-00066</t>
  </si>
  <si>
    <t>5 night(s) @ standard rate</t>
  </si>
  <si>
    <t>Novotel</t>
  </si>
  <si>
    <t>EXP-00067</t>
  </si>
  <si>
    <t>EXP-00068</t>
  </si>
  <si>
    <t>EXP-00069</t>
  </si>
  <si>
    <t>EXP-00070</t>
  </si>
  <si>
    <t>EXP-00071</t>
  </si>
  <si>
    <t>EXP-00072</t>
  </si>
  <si>
    <t>EXP-00073</t>
  </si>
  <si>
    <t>EXP-00074</t>
  </si>
  <si>
    <t>EXP-00075</t>
  </si>
  <si>
    <t>Hotel laundry</t>
  </si>
  <si>
    <t>Hotel Laundry Service</t>
  </si>
  <si>
    <t>EXP-00076</t>
  </si>
  <si>
    <t>EXP-00077</t>
  </si>
  <si>
    <t>EXP-00078</t>
  </si>
  <si>
    <t>EMP-1804</t>
  </si>
  <si>
    <t>Ravi Chandra</t>
  </si>
  <si>
    <t>Installation Lead</t>
  </si>
  <si>
    <t>TRP-2025-123</t>
  </si>
  <si>
    <t>Quarterly Business Review</t>
  </si>
  <si>
    <t>EXP-00079</t>
  </si>
  <si>
    <t>EXP-00080</t>
  </si>
  <si>
    <t>EXP-00081</t>
  </si>
  <si>
    <t>EXP-00082</t>
  </si>
  <si>
    <t>Uber</t>
  </si>
  <si>
    <t>EXP-00083</t>
  </si>
  <si>
    <t>EXP-00084</t>
  </si>
  <si>
    <t>EXP-00085</t>
  </si>
  <si>
    <t>EXP-00086</t>
  </si>
  <si>
    <t>Intercity transfer</t>
  </si>
  <si>
    <t>Eurostar</t>
  </si>
  <si>
    <t>EXP-00087</t>
  </si>
  <si>
    <t>EXP-00088</t>
  </si>
  <si>
    <t>Radisson Blu</t>
  </si>
  <si>
    <t>EXP-00089</t>
  </si>
  <si>
    <t>EXP-00090</t>
  </si>
  <si>
    <t>EXP-00091</t>
  </si>
  <si>
    <t>EXP-00092</t>
  </si>
  <si>
    <t>EMP-1077</t>
  </si>
  <si>
    <t>Marcus Bell</t>
  </si>
  <si>
    <t>VP Sales</t>
  </si>
  <si>
    <t>Diane Okafor</t>
  </si>
  <si>
    <t>TRP-2025-131</t>
  </si>
  <si>
    <t>Dubai</t>
  </si>
  <si>
    <t>UAE</t>
  </si>
  <si>
    <t>Round trip HQ - Dubai, economy</t>
  </si>
  <si>
    <t>AED</t>
  </si>
  <si>
    <t>EXP-00093</t>
  </si>
  <si>
    <t>EXP-00094</t>
  </si>
  <si>
    <t>EXP-00095</t>
  </si>
  <si>
    <t>EXP-00096</t>
  </si>
  <si>
    <t>EXP-00097</t>
  </si>
  <si>
    <t>EXP-00098</t>
  </si>
  <si>
    <t>EXP-00099</t>
  </si>
  <si>
    <t>EXP-00100</t>
  </si>
  <si>
    <t>EXP-00101</t>
  </si>
  <si>
    <t>EXP-00102</t>
  </si>
  <si>
    <t>EXP-00103</t>
  </si>
  <si>
    <t>EXP-00104</t>
  </si>
  <si>
    <t>EXP-00105</t>
  </si>
  <si>
    <t>EXP-00106</t>
  </si>
  <si>
    <t>EXP-00107</t>
  </si>
  <si>
    <t>EXP-00108</t>
  </si>
  <si>
    <t>EXP-00109</t>
  </si>
  <si>
    <t>EXP-00110</t>
  </si>
  <si>
    <t>EXP-00111</t>
  </si>
  <si>
    <t>EXP-00112</t>
  </si>
  <si>
    <t>EXP-00113</t>
  </si>
  <si>
    <t>EXP-00114</t>
  </si>
  <si>
    <t>EXP-00115</t>
  </si>
  <si>
    <t>EMP-1302</t>
  </si>
  <si>
    <t>Kenji Watanabe</t>
  </si>
  <si>
    <t>Product</t>
  </si>
  <si>
    <t>Product Manager</t>
  </si>
  <si>
    <t>Elena Duarte</t>
  </si>
  <si>
    <t>TRP-2025-025</t>
  </si>
  <si>
    <t>Sales Pitch / RFP Presentation</t>
  </si>
  <si>
    <t>ANA</t>
  </si>
  <si>
    <t>TATRA-3390</t>
  </si>
  <si>
    <t>EXP-00116</t>
  </si>
  <si>
    <t>EXP-00117</t>
  </si>
  <si>
    <t>EXP-00118</t>
  </si>
  <si>
    <t>EXP-00119</t>
  </si>
  <si>
    <t>EXP-00120</t>
  </si>
  <si>
    <t>EXP-00121</t>
  </si>
  <si>
    <t>EXP-00122</t>
  </si>
  <si>
    <t>EXP-00123</t>
  </si>
  <si>
    <t>EXP-00124</t>
  </si>
  <si>
    <t>EXP-00125</t>
  </si>
  <si>
    <t>EXP-00126</t>
  </si>
  <si>
    <t>2 night(s) @ standard rate</t>
  </si>
  <si>
    <t>EXP-00127</t>
  </si>
  <si>
    <t>AT&amp;T International</t>
  </si>
  <si>
    <t>EXP-00128</t>
  </si>
  <si>
    <t>EXP-00129</t>
  </si>
  <si>
    <t>EXP-00130</t>
  </si>
  <si>
    <t>EXP-00131</t>
  </si>
  <si>
    <t>EXP-00132</t>
  </si>
  <si>
    <t>EXP-00133</t>
  </si>
  <si>
    <t>EXP-00134</t>
  </si>
  <si>
    <t>EXP-00135</t>
  </si>
  <si>
    <t>EXP-00136</t>
  </si>
  <si>
    <t>EXP-00137</t>
  </si>
  <si>
    <t>EMP-1328</t>
  </si>
  <si>
    <t>Arjun Deshpande</t>
  </si>
  <si>
    <t>Product Analyst</t>
  </si>
  <si>
    <t>TRP-2025-137</t>
  </si>
  <si>
    <t>Internal Training</t>
  </si>
  <si>
    <t>Chicago</t>
  </si>
  <si>
    <t>United States</t>
  </si>
  <si>
    <t>Round trip HQ - Chicago, economy</t>
  </si>
  <si>
    <t>USD</t>
  </si>
  <si>
    <t>EXP-00138</t>
  </si>
  <si>
    <t>EXP-00139</t>
  </si>
  <si>
    <t>EXP-00140</t>
  </si>
  <si>
    <t>EXP-00141</t>
  </si>
  <si>
    <t>EXP-00142</t>
  </si>
  <si>
    <t>EXP-00143</t>
  </si>
  <si>
    <t>EXP-00144</t>
  </si>
  <si>
    <t>EXP-00145</t>
  </si>
  <si>
    <t>EXP-00146</t>
  </si>
  <si>
    <t>EXP-00147</t>
  </si>
  <si>
    <t>EXP-00148</t>
  </si>
  <si>
    <t>EXP-00149</t>
  </si>
  <si>
    <t>EXP-00150</t>
  </si>
  <si>
    <t>EXP-00151</t>
  </si>
  <si>
    <t>Client dinner, 3-5 guests</t>
  </si>
  <si>
    <t>Harbour Club</t>
  </si>
  <si>
    <t>EXP-00152</t>
  </si>
  <si>
    <t>Branded gift set</t>
  </si>
  <si>
    <t>Duty Free</t>
  </si>
  <si>
    <t>EXP-00153</t>
  </si>
  <si>
    <t>EXP-00154</t>
  </si>
  <si>
    <t>1 night(s) @ standard rate</t>
  </si>
  <si>
    <t>EXP-00155</t>
  </si>
  <si>
    <t>EXP-00156</t>
  </si>
  <si>
    <t>EXP-00157</t>
  </si>
  <si>
    <t>Printing / presentation materials</t>
  </si>
  <si>
    <t>Local Stationers</t>
  </si>
  <si>
    <t>EXP-00158</t>
  </si>
  <si>
    <t>EMP-1409</t>
  </si>
  <si>
    <t>Grace Lin</t>
  </si>
  <si>
    <t>Marketing</t>
  </si>
  <si>
    <t>Head of Marketing</t>
  </si>
  <si>
    <t>TRP-2025-096</t>
  </si>
  <si>
    <t>Supplier Audit</t>
  </si>
  <si>
    <t>Austin</t>
  </si>
  <si>
    <t>Round trip HQ - Austin, economy</t>
  </si>
  <si>
    <t>Air India</t>
  </si>
  <si>
    <t>MERIDIAN-4415</t>
  </si>
  <si>
    <t>EXP-00159</t>
  </si>
  <si>
    <t>EXP-00160</t>
  </si>
  <si>
    <t>EXP-00161</t>
  </si>
  <si>
    <t>EXP-00162</t>
  </si>
  <si>
    <t>EXP-00163</t>
  </si>
  <si>
    <t>EXP-00164</t>
  </si>
  <si>
    <t>EXP-00165</t>
  </si>
  <si>
    <t>EXP-00166</t>
  </si>
  <si>
    <t>EXP-00167</t>
  </si>
  <si>
    <t>EXP-00168</t>
  </si>
  <si>
    <t>TRP-2025-124</t>
  </si>
  <si>
    <t>Mumbai</t>
  </si>
  <si>
    <t>India</t>
  </si>
  <si>
    <t>Round trip HQ - Mumbai, economy</t>
  </si>
  <si>
    <t>INR</t>
  </si>
  <si>
    <t>NORDIC-1180</t>
  </si>
  <si>
    <t>EXP-00169</t>
  </si>
  <si>
    <t>EXP-00170</t>
  </si>
  <si>
    <t>EXP-00171</t>
  </si>
  <si>
    <t>EXP-00172</t>
  </si>
  <si>
    <t>EMP-1712</t>
  </si>
  <si>
    <t>Aisha Bello</t>
  </si>
  <si>
    <t>Operations</t>
  </si>
  <si>
    <t>Logistics Analyst</t>
  </si>
  <si>
    <t>Viktor Petrov</t>
  </si>
  <si>
    <t>TRP-2025-133</t>
  </si>
  <si>
    <t>Regional Team Offsite</t>
  </si>
  <si>
    <t>EXP-00173</t>
  </si>
  <si>
    <t>EXP-00174</t>
  </si>
  <si>
    <t>EXP-00175</t>
  </si>
  <si>
    <t>SNCF</t>
  </si>
  <si>
    <t>EXP-00176</t>
  </si>
  <si>
    <t>EXP-00177</t>
  </si>
  <si>
    <t>EXP-00178</t>
  </si>
  <si>
    <t>EXP-00179</t>
  </si>
  <si>
    <t>4 night(s) @ standard rate</t>
  </si>
  <si>
    <t>Hyatt Place</t>
  </si>
  <si>
    <t>EXP-00180</t>
  </si>
  <si>
    <t>Airport WiFi</t>
  </si>
  <si>
    <t>EXP-00181</t>
  </si>
  <si>
    <t>EXP-00182</t>
  </si>
  <si>
    <t>EXP-00183</t>
  </si>
  <si>
    <t>Amtrak</t>
  </si>
  <si>
    <t>EXP-00184</t>
  </si>
  <si>
    <t>EXP-00185</t>
  </si>
  <si>
    <t>6 night(s) @ standard rate</t>
  </si>
  <si>
    <t>Taj Hotels</t>
  </si>
  <si>
    <t>EXP-00186</t>
  </si>
  <si>
    <t>EXP-00187</t>
  </si>
  <si>
    <t>EXP-00188</t>
  </si>
  <si>
    <t>EXP-00189</t>
  </si>
  <si>
    <t>EXP-00190</t>
  </si>
  <si>
    <t>EXP-00191</t>
  </si>
  <si>
    <t>EXP-00192</t>
  </si>
  <si>
    <t>EXP-00193</t>
  </si>
  <si>
    <t>EXP-00194</t>
  </si>
  <si>
    <t>EXP-00195</t>
  </si>
  <si>
    <t>EXP-00196</t>
  </si>
  <si>
    <t>EXP-00197</t>
  </si>
  <si>
    <t>EXP-00198</t>
  </si>
  <si>
    <t>TRP-2025-039</t>
  </si>
  <si>
    <t>EXP-00199</t>
  </si>
  <si>
    <t>InstrumentEXPO</t>
  </si>
  <si>
    <t>EXP-00200</t>
  </si>
  <si>
    <t>EXP-00201</t>
  </si>
  <si>
    <t>EXP-00202</t>
  </si>
  <si>
    <t>EXP-00203</t>
  </si>
  <si>
    <t>Business visa processing</t>
  </si>
  <si>
    <t>VFS Global</t>
  </si>
  <si>
    <t>EXP-00204</t>
  </si>
  <si>
    <t>EXP-00205</t>
  </si>
  <si>
    <t>EXP-00206</t>
  </si>
  <si>
    <t>EXP-00207</t>
  </si>
  <si>
    <t>Rooftop Lounge</t>
  </si>
  <si>
    <t>EXP-00208</t>
  </si>
  <si>
    <t>EXP-00209</t>
  </si>
  <si>
    <t>EXP-00210</t>
  </si>
  <si>
    <t>EXP-00211</t>
  </si>
  <si>
    <t>EXP-00212</t>
  </si>
  <si>
    <t>EXP-00213</t>
  </si>
  <si>
    <t>4 day(s), compact</t>
  </si>
  <si>
    <t>Sixt</t>
  </si>
  <si>
    <t>EXP-00214</t>
  </si>
  <si>
    <t>EXP-00215</t>
  </si>
  <si>
    <t>EXP-00216</t>
  </si>
  <si>
    <t>EXP-00217</t>
  </si>
  <si>
    <t>EXP-00218</t>
  </si>
  <si>
    <t>EMP-1510</t>
  </si>
  <si>
    <t>Paul Nkemelu</t>
  </si>
  <si>
    <t>Director of CS</t>
  </si>
  <si>
    <t>TRP-2025-073</t>
  </si>
  <si>
    <t>United Airlines</t>
  </si>
  <si>
    <t>ACME-2201</t>
  </si>
  <si>
    <t>EXP-00219</t>
  </si>
  <si>
    <t>EXP-00220</t>
  </si>
  <si>
    <t>EXP-00221</t>
  </si>
  <si>
    <t>EXP-00222</t>
  </si>
  <si>
    <t>EXP-00223</t>
  </si>
  <si>
    <t>EXP-00224</t>
  </si>
  <si>
    <t>EXP-00225</t>
  </si>
  <si>
    <t>EXP-00226</t>
  </si>
  <si>
    <t>EXP-00227</t>
  </si>
  <si>
    <t>EXP-00228</t>
  </si>
  <si>
    <t>EXP-00229</t>
  </si>
  <si>
    <t>EXP-00230</t>
  </si>
  <si>
    <t>EXP-00231</t>
  </si>
  <si>
    <t>Refuel, rental vehicle</t>
  </si>
  <si>
    <t>Personal Vehicle Mileage</t>
  </si>
  <si>
    <t>EXP-00232</t>
  </si>
  <si>
    <t>EXP-00233</t>
  </si>
  <si>
    <t>EXP-00234</t>
  </si>
  <si>
    <t>Client site parking</t>
  </si>
  <si>
    <t>Airport Parking</t>
  </si>
  <si>
    <t>EXP-00235</t>
  </si>
  <si>
    <t>1 day(s), compact</t>
  </si>
  <si>
    <t>Hertz</t>
  </si>
  <si>
    <t>EXP-00236</t>
  </si>
  <si>
    <t>EXP-00237</t>
  </si>
  <si>
    <t>BP</t>
  </si>
  <si>
    <t>EXP-00238</t>
  </si>
  <si>
    <t>EXP-00239</t>
  </si>
  <si>
    <t>EXP-00240</t>
  </si>
  <si>
    <t>EXP-00241</t>
  </si>
  <si>
    <t>EXP-00242</t>
  </si>
  <si>
    <t>EXP-00243</t>
  </si>
  <si>
    <t>EXP-00244</t>
  </si>
  <si>
    <t>Toll Authority</t>
  </si>
  <si>
    <t>EXP-00245</t>
  </si>
  <si>
    <t>EMP-1236</t>
  </si>
  <si>
    <t>Hannah Weiss</t>
  </si>
  <si>
    <t>TRP-2025-091</t>
  </si>
  <si>
    <t>Singapore</t>
  </si>
  <si>
    <t>Round trip HQ - Singapore, economy</t>
  </si>
  <si>
    <t>SGD</t>
  </si>
  <si>
    <t>EXP-00246</t>
  </si>
  <si>
    <t>IEEE Conference</t>
  </si>
  <si>
    <t>EXP-00247</t>
  </si>
  <si>
    <t>EXP-00248</t>
  </si>
  <si>
    <t>EXP-00249</t>
  </si>
  <si>
    <t>EXP-00250</t>
  </si>
  <si>
    <t>EXP-00251</t>
  </si>
  <si>
    <t>EXP-00252</t>
  </si>
  <si>
    <t>EXP-00253</t>
  </si>
  <si>
    <t>EXP-00254</t>
  </si>
  <si>
    <t>TRP-2025-037</t>
  </si>
  <si>
    <t>Bengaluru</t>
  </si>
  <si>
    <t>Round trip HQ - Bengaluru, economy</t>
  </si>
  <si>
    <t>EXP-00255</t>
  </si>
  <si>
    <t>EXP-00256</t>
  </si>
  <si>
    <t>EXP-00257</t>
  </si>
  <si>
    <t>EXP-00258</t>
  </si>
  <si>
    <t>EXP-00259</t>
  </si>
  <si>
    <t>Corporate Gifting Co.</t>
  </si>
  <si>
    <t>EXP-00260</t>
  </si>
  <si>
    <t>EXP-00261</t>
  </si>
  <si>
    <t>EXP-00262</t>
  </si>
  <si>
    <t>EXP-00263</t>
  </si>
  <si>
    <t>EXP-00264</t>
  </si>
  <si>
    <t>EXP-00265</t>
  </si>
  <si>
    <t>JR East</t>
  </si>
  <si>
    <t>EXP-00266</t>
  </si>
  <si>
    <t>EXP-00267</t>
  </si>
  <si>
    <t>EXP-00268</t>
  </si>
  <si>
    <t>EXP-00269</t>
  </si>
  <si>
    <t>EXP-00270</t>
  </si>
  <si>
    <t>EXP-00271</t>
  </si>
  <si>
    <t>EXP-00272</t>
  </si>
  <si>
    <t>EXP-00273</t>
  </si>
  <si>
    <t>EXP-00274</t>
  </si>
  <si>
    <t>EXP-00275</t>
  </si>
  <si>
    <t>EXP-00276</t>
  </si>
  <si>
    <t>EXP-00277</t>
  </si>
  <si>
    <t>EXP-00278</t>
  </si>
  <si>
    <t>EXP-00279</t>
  </si>
  <si>
    <t>EXP-00280</t>
  </si>
  <si>
    <t>EMP-1401</t>
  </si>
  <si>
    <t>Fatima Al-Rashid</t>
  </si>
  <si>
    <t>Marketing Manager</t>
  </si>
  <si>
    <t>TRP-2025-005</t>
  </si>
  <si>
    <t>Atlanta</t>
  </si>
  <si>
    <t>Round trip HQ - Atlanta, economy</t>
  </si>
  <si>
    <t>EXP-00281</t>
  </si>
  <si>
    <t>EXP-00282</t>
  </si>
  <si>
    <t>EXP-00283</t>
  </si>
  <si>
    <t>EXP-00284</t>
  </si>
  <si>
    <t>EXP-00285</t>
  </si>
  <si>
    <t>EXP-00286</t>
  </si>
  <si>
    <t>EXP-00287</t>
  </si>
  <si>
    <t>EXP-00288</t>
  </si>
  <si>
    <t>EXP-00289</t>
  </si>
  <si>
    <t>EXP-00290</t>
  </si>
  <si>
    <t>EXP-00291</t>
  </si>
  <si>
    <t>EXP-00292</t>
  </si>
  <si>
    <t>EXP-00293</t>
  </si>
  <si>
    <t>EMP-1502</t>
  </si>
  <si>
    <t>CS Manager</t>
  </si>
  <si>
    <t>TRP-2025-081</t>
  </si>
  <si>
    <t>San Jose</t>
  </si>
  <si>
    <t>Round trip HQ - San Jose, economy</t>
  </si>
  <si>
    <t>EXP-00294</t>
  </si>
  <si>
    <t>EXP-00295</t>
  </si>
  <si>
    <t>EXP-00296</t>
  </si>
  <si>
    <t>EXP-00297</t>
  </si>
  <si>
    <t>EXP-00298</t>
  </si>
  <si>
    <t>EXP-00299</t>
  </si>
  <si>
    <t>EXP-00300</t>
  </si>
  <si>
    <t>EXP-00301</t>
  </si>
  <si>
    <t>EXP-00302</t>
  </si>
  <si>
    <t>EXP-00303</t>
  </si>
  <si>
    <t>EXP-00304</t>
  </si>
  <si>
    <t>EXP-00305</t>
  </si>
  <si>
    <t>EXP-00306</t>
  </si>
  <si>
    <t>EXP-00307</t>
  </si>
  <si>
    <t>EXP-00308</t>
  </si>
  <si>
    <t>EXP-00309</t>
  </si>
  <si>
    <t>EXP-00310</t>
  </si>
  <si>
    <t>EXP-00311</t>
  </si>
  <si>
    <t>EXP-00312</t>
  </si>
  <si>
    <t>EXP-00313</t>
  </si>
  <si>
    <t>EXP-00314</t>
  </si>
  <si>
    <t>EXP-00315</t>
  </si>
  <si>
    <t>EXP-00316</t>
  </si>
  <si>
    <t>EXP-00317</t>
  </si>
  <si>
    <t>EXP-00318</t>
  </si>
  <si>
    <t>EXP-00319</t>
  </si>
  <si>
    <t>EXP-00320</t>
  </si>
  <si>
    <t>EMP-1211</t>
  </si>
  <si>
    <t>Engineering Manager</t>
  </si>
  <si>
    <t>TRP-2025-076</t>
  </si>
  <si>
    <t>Toronto</t>
  </si>
  <si>
    <t>Canada</t>
  </si>
  <si>
    <t>Round trip HQ - Toronto, economy</t>
  </si>
  <si>
    <t>CAD</t>
  </si>
  <si>
    <t>EXP-00321</t>
  </si>
  <si>
    <t>EXP-00322</t>
  </si>
  <si>
    <t>EXP-00323</t>
  </si>
  <si>
    <t>EXP-00324</t>
  </si>
  <si>
    <t>EXP-00325</t>
  </si>
  <si>
    <t>EXP-00326</t>
  </si>
  <si>
    <t>EXP-00327</t>
  </si>
  <si>
    <t>EXP-00328</t>
  </si>
  <si>
    <t>EXP-00329</t>
  </si>
  <si>
    <t>EXP-00330</t>
  </si>
  <si>
    <t>EXP-00331</t>
  </si>
  <si>
    <t>EXP-00332</t>
  </si>
  <si>
    <t>EXP-00333</t>
  </si>
  <si>
    <t>EXP-00334</t>
  </si>
  <si>
    <t>8 night(s) @ standard rate</t>
  </si>
  <si>
    <t>EXP-00335</t>
  </si>
  <si>
    <t>EXP-00336</t>
  </si>
  <si>
    <t>EXP-00337</t>
  </si>
  <si>
    <t>EXP-00338</t>
  </si>
  <si>
    <t>EXP-00339</t>
  </si>
  <si>
    <t>EXP-00340</t>
  </si>
  <si>
    <t>EXP-00341</t>
  </si>
  <si>
    <t>EXP-00342</t>
  </si>
  <si>
    <t>EXP-00343</t>
  </si>
  <si>
    <t>EXP-00344</t>
  </si>
  <si>
    <t>EXP-00345</t>
  </si>
  <si>
    <t>EXP-00346</t>
  </si>
  <si>
    <t>EXP-00347</t>
  </si>
  <si>
    <t>EXP-00348</t>
  </si>
  <si>
    <t>EXP-00349</t>
  </si>
  <si>
    <t>EXP-00350</t>
  </si>
  <si>
    <t>EXP-00351</t>
  </si>
  <si>
    <t>EXP-00352</t>
  </si>
  <si>
    <t>TRP-2025-078</t>
  </si>
  <si>
    <t>EXP-00353</t>
  </si>
  <si>
    <t>EXP-00354</t>
  </si>
  <si>
    <t>EXP-00355</t>
  </si>
  <si>
    <t>EXP-00356</t>
  </si>
  <si>
    <t>EXP-00357</t>
  </si>
  <si>
    <t>EXP-00358</t>
  </si>
  <si>
    <t>EXP-00359</t>
  </si>
  <si>
    <t>2025-02</t>
  </si>
  <si>
    <t>EXP-00360</t>
  </si>
  <si>
    <t>EXP-00361</t>
  </si>
  <si>
    <t>EXP-00362</t>
  </si>
  <si>
    <t>EXP-00363</t>
  </si>
  <si>
    <t>7 day(s), compact</t>
  </si>
  <si>
    <t>Avis</t>
  </si>
  <si>
    <t>EXP-00364</t>
  </si>
  <si>
    <t>EXP-00365</t>
  </si>
  <si>
    <t>EXP-00366</t>
  </si>
  <si>
    <t>EXP-00367</t>
  </si>
  <si>
    <t>EXP-00368</t>
  </si>
  <si>
    <t>EXP-00369</t>
  </si>
  <si>
    <t>EXP-00370</t>
  </si>
  <si>
    <t>EXP-00371</t>
  </si>
  <si>
    <t>EXP-00372</t>
  </si>
  <si>
    <t>EXP-00373</t>
  </si>
  <si>
    <t>EXP-00374</t>
  </si>
  <si>
    <t>EXP-00375</t>
  </si>
  <si>
    <t>EXP-00376</t>
  </si>
  <si>
    <t>EXP-00377</t>
  </si>
  <si>
    <t>EXP-00378</t>
  </si>
  <si>
    <t>EXP-00379</t>
  </si>
  <si>
    <t>EXP-00380</t>
  </si>
  <si>
    <t>EXP-00381</t>
  </si>
  <si>
    <t>EXP-00382</t>
  </si>
  <si>
    <t>EXP-00383</t>
  </si>
  <si>
    <t>EXP-00384</t>
  </si>
  <si>
    <t>EXP-00385</t>
  </si>
  <si>
    <t>EXP-00386</t>
  </si>
  <si>
    <t>EXP-00387</t>
  </si>
  <si>
    <t>EXP-00388</t>
  </si>
  <si>
    <t>EXP-00389</t>
  </si>
  <si>
    <t>EXP-00390</t>
  </si>
  <si>
    <t>EXP-00391</t>
  </si>
  <si>
    <t>EXP-00392</t>
  </si>
  <si>
    <t>EXP-00393</t>
  </si>
  <si>
    <t>EXP-00394</t>
  </si>
  <si>
    <t>EXP-00395</t>
  </si>
  <si>
    <t>EXP-00396</t>
  </si>
  <si>
    <t>EXP-00397</t>
  </si>
  <si>
    <t>EXP-00398</t>
  </si>
  <si>
    <t>EXP-00399</t>
  </si>
  <si>
    <t>EXP-00400</t>
  </si>
  <si>
    <t>EXP-00401</t>
  </si>
  <si>
    <t>EXP-00402</t>
  </si>
  <si>
    <t>EXP-00403</t>
  </si>
  <si>
    <t>EMP-1701</t>
  </si>
  <si>
    <t>Executive</t>
  </si>
  <si>
    <t>Chief Operating Officer</t>
  </si>
  <si>
    <t>Board</t>
  </si>
  <si>
    <t>TRP-2025-118</t>
  </si>
  <si>
    <t>Contract Negotiation</t>
  </si>
  <si>
    <t>Berlin</t>
  </si>
  <si>
    <t>Germany</t>
  </si>
  <si>
    <t>Round trip HQ - Berlin, economy</t>
  </si>
  <si>
    <t>EXP-00404</t>
  </si>
  <si>
    <t>EXP-00405</t>
  </si>
  <si>
    <t>EXP-00406</t>
  </si>
  <si>
    <t>EXP-00407</t>
  </si>
  <si>
    <t>EXP-00408</t>
  </si>
  <si>
    <t>EXP-00409</t>
  </si>
  <si>
    <t>EXP-00410</t>
  </si>
  <si>
    <t>EXP-00411</t>
  </si>
  <si>
    <t>EXP-00412</t>
  </si>
  <si>
    <t>EXP-00413</t>
  </si>
  <si>
    <t>EXP-00414</t>
  </si>
  <si>
    <t>EXP-00415</t>
  </si>
  <si>
    <t>EXP-00416</t>
  </si>
  <si>
    <t>EXP-00417</t>
  </si>
  <si>
    <t>EXP-00418</t>
  </si>
  <si>
    <t>EXP-00419</t>
  </si>
  <si>
    <t>EXP-00420</t>
  </si>
  <si>
    <t>EXP-00421</t>
  </si>
  <si>
    <t>EMP-1417</t>
  </si>
  <si>
    <t>Oliver Brandt</t>
  </si>
  <si>
    <t>Events Coordinator</t>
  </si>
  <si>
    <t>TRP-2025-121</t>
  </si>
  <si>
    <t>EXP-00422</t>
  </si>
  <si>
    <t>EXP-00423</t>
  </si>
  <si>
    <t>EXP-00424</t>
  </si>
  <si>
    <t>EXP-00425</t>
  </si>
  <si>
    <t>TRP-2025-020</t>
  </si>
  <si>
    <t>EXP-00426</t>
  </si>
  <si>
    <t>EXP-00427</t>
  </si>
  <si>
    <t>EXP-00428</t>
  </si>
  <si>
    <t>EXP-00429</t>
  </si>
  <si>
    <t>TLScontact</t>
  </si>
  <si>
    <t>EXP-00430</t>
  </si>
  <si>
    <t>EXP-00431</t>
  </si>
  <si>
    <t>EXP-00432</t>
  </si>
  <si>
    <t>EXP-00433</t>
  </si>
  <si>
    <t>EXP-00434</t>
  </si>
  <si>
    <t>EXP-00435</t>
  </si>
  <si>
    <t>EXP-00436</t>
  </si>
  <si>
    <t>EXP-00437</t>
  </si>
  <si>
    <t>EXP-00438</t>
  </si>
  <si>
    <t>EXP-00439</t>
  </si>
  <si>
    <t>EXP-00440</t>
  </si>
  <si>
    <t>EXP-00441</t>
  </si>
  <si>
    <t>EXP-00442</t>
  </si>
  <si>
    <t>EXP-00443</t>
  </si>
  <si>
    <t>EXP-00444</t>
  </si>
  <si>
    <t>EXP-00445</t>
  </si>
  <si>
    <t>EXP-00446</t>
  </si>
  <si>
    <t>EXP-00447</t>
  </si>
  <si>
    <t>TRP-2025-080</t>
  </si>
  <si>
    <t>Customer Site Installation</t>
  </si>
  <si>
    <t>Rejected</t>
  </si>
  <si>
    <t>EXP-00448</t>
  </si>
  <si>
    <t>EXP-00449</t>
  </si>
  <si>
    <t>EXP-00450</t>
  </si>
  <si>
    <t>EXP-00451</t>
  </si>
  <si>
    <t>EXP-00452</t>
  </si>
  <si>
    <t>EXP-00453</t>
  </si>
  <si>
    <t>EXP-00454</t>
  </si>
  <si>
    <t>EXP-00455</t>
  </si>
  <si>
    <t>EXP-00456</t>
  </si>
  <si>
    <t>EXP-00457</t>
  </si>
  <si>
    <t>EXP-00458</t>
  </si>
  <si>
    <t>EXP-00459</t>
  </si>
  <si>
    <t>EXP-00460</t>
  </si>
  <si>
    <t>EXP-00461</t>
  </si>
  <si>
    <t>EXP-00462</t>
  </si>
  <si>
    <t>EXP-00463</t>
  </si>
  <si>
    <t>EXP-00464</t>
  </si>
  <si>
    <t>EXP-00465</t>
  </si>
  <si>
    <t>EXP-00466</t>
  </si>
  <si>
    <t>EXP-00467</t>
  </si>
  <si>
    <t>EXP-00468</t>
  </si>
  <si>
    <t>EXP-00469</t>
  </si>
  <si>
    <t>EXP-00470</t>
  </si>
  <si>
    <t>EXP-00471</t>
  </si>
  <si>
    <t>EXP-00472</t>
  </si>
  <si>
    <t>TRP-2025-056</t>
  </si>
  <si>
    <t>EXP-00473</t>
  </si>
  <si>
    <t>EXP-00474</t>
  </si>
  <si>
    <t>EXP-00475</t>
  </si>
  <si>
    <t>EXP-00476</t>
  </si>
  <si>
    <t>EXP-00477</t>
  </si>
  <si>
    <t>EXP-00478</t>
  </si>
  <si>
    <t>EXP-00479</t>
  </si>
  <si>
    <t>EXP-00480</t>
  </si>
  <si>
    <t>EXP-00481</t>
  </si>
  <si>
    <t>EXP-00482</t>
  </si>
  <si>
    <t>EXP-00483</t>
  </si>
  <si>
    <t>EXP-00484</t>
  </si>
  <si>
    <t>EXP-00485</t>
  </si>
  <si>
    <t>EXP-00486</t>
  </si>
  <si>
    <t>EXP-00487</t>
  </si>
  <si>
    <t>EXP-00488</t>
  </si>
  <si>
    <t>EXP-00489</t>
  </si>
  <si>
    <t>EXP-00490</t>
  </si>
  <si>
    <t>EXP-00491</t>
  </si>
  <si>
    <t>EXP-00492</t>
  </si>
  <si>
    <t>EXP-00493</t>
  </si>
  <si>
    <t>EXP-00494</t>
  </si>
  <si>
    <t>EXP-00495</t>
  </si>
  <si>
    <t>EXP-00496</t>
  </si>
  <si>
    <t>EXP-00497</t>
  </si>
  <si>
    <t>EXP-00498</t>
  </si>
  <si>
    <t>TRP-2025-102</t>
  </si>
  <si>
    <t>KAIZEN-6620</t>
  </si>
  <si>
    <t>EXP-00499</t>
  </si>
  <si>
    <t>EXP-00500</t>
  </si>
  <si>
    <t>EXP-00501</t>
  </si>
  <si>
    <t>EXP-00502</t>
  </si>
  <si>
    <t>EMP-1609</t>
  </si>
  <si>
    <t>Meera Krishnan</t>
  </si>
  <si>
    <t>Finance</t>
  </si>
  <si>
    <t>Internal Auditor</t>
  </si>
  <si>
    <t>David Chen</t>
  </si>
  <si>
    <t>TRP-2025-106</t>
  </si>
  <si>
    <t>EXP-00503</t>
  </si>
  <si>
    <t>EXP-00504</t>
  </si>
  <si>
    <t>EXP-00505</t>
  </si>
  <si>
    <t>EXP-00506</t>
  </si>
  <si>
    <t>EXP-00507</t>
  </si>
  <si>
    <t>EXP-00508</t>
  </si>
  <si>
    <t>EXP-00509</t>
  </si>
  <si>
    <t>EXP-00510</t>
  </si>
  <si>
    <t>EXP-00511</t>
  </si>
  <si>
    <t>EXP-00512</t>
  </si>
  <si>
    <t>EXP-00513</t>
  </si>
  <si>
    <t>EXP-00514</t>
  </si>
  <si>
    <t>EXP-00515</t>
  </si>
  <si>
    <t>EMP-1705</t>
  </si>
  <si>
    <t>Supply Chain Manager</t>
  </si>
  <si>
    <t>TRP-2025-092</t>
  </si>
  <si>
    <t>EXP-00516</t>
  </si>
  <si>
    <t>EXP-00517</t>
  </si>
  <si>
    <t>EXP-00518</t>
  </si>
  <si>
    <t>EXP-00519</t>
  </si>
  <si>
    <t>EXP-00520</t>
  </si>
  <si>
    <t>EXP-00521</t>
  </si>
  <si>
    <t>EXP-00522</t>
  </si>
  <si>
    <t>EXP-00523</t>
  </si>
  <si>
    <t>EXP-00524</t>
  </si>
  <si>
    <t>EXP-00525</t>
  </si>
  <si>
    <t>EXP-00526</t>
  </si>
  <si>
    <t>EXP-00527</t>
  </si>
  <si>
    <t>EXP-00528</t>
  </si>
  <si>
    <t>EXP-00529</t>
  </si>
  <si>
    <t>EXP-00530</t>
  </si>
  <si>
    <t>EXP-00531</t>
  </si>
  <si>
    <t>EXP-00532</t>
  </si>
  <si>
    <t>EXP-00533</t>
  </si>
  <si>
    <t>EXP-00534</t>
  </si>
  <si>
    <t>EXP-00535</t>
  </si>
  <si>
    <t>EXP-00536</t>
  </si>
  <si>
    <t>EXP-00537</t>
  </si>
  <si>
    <t>EXP-00538</t>
  </si>
  <si>
    <t>EXP-00539</t>
  </si>
  <si>
    <t>EXP-00540</t>
  </si>
  <si>
    <t>EXP-00541</t>
  </si>
  <si>
    <t>EXP-00542</t>
  </si>
  <si>
    <t>EXP-00543</t>
  </si>
  <si>
    <t>EXP-00544</t>
  </si>
  <si>
    <t>EXP-00545</t>
  </si>
  <si>
    <t>EXP-00546</t>
  </si>
  <si>
    <t>EXP-00547</t>
  </si>
  <si>
    <t>EXP-00548</t>
  </si>
  <si>
    <t>EXP-00549</t>
  </si>
  <si>
    <t>EXP-00550</t>
  </si>
  <si>
    <t>EXP-00551</t>
  </si>
  <si>
    <t>EXP-00552</t>
  </si>
  <si>
    <t>EXP-00553</t>
  </si>
  <si>
    <t>EXP-00554</t>
  </si>
  <si>
    <t>EXP-00555</t>
  </si>
  <si>
    <t>EXP-00556</t>
  </si>
  <si>
    <t>EXP-00557</t>
  </si>
  <si>
    <t>EXP-00558</t>
  </si>
  <si>
    <t>EXP-00559</t>
  </si>
  <si>
    <t>EXP-00560</t>
  </si>
  <si>
    <t>EXP-00561</t>
  </si>
  <si>
    <t>EXP-00562</t>
  </si>
  <si>
    <t>EXP-00563</t>
  </si>
  <si>
    <t>EXP-00564</t>
  </si>
  <si>
    <t>EXP-00565</t>
  </si>
  <si>
    <t>EXP-00566</t>
  </si>
  <si>
    <t>EXP-00567</t>
  </si>
  <si>
    <t>EXP-00568</t>
  </si>
  <si>
    <t>EXP-00569</t>
  </si>
  <si>
    <t>EXP-00570</t>
  </si>
  <si>
    <t>EXP-00571</t>
  </si>
  <si>
    <t>TRP-2025-112</t>
  </si>
  <si>
    <t>EXP-00572</t>
  </si>
  <si>
    <t>EXP-00573</t>
  </si>
  <si>
    <t>EXP-00574</t>
  </si>
  <si>
    <t>EXP-00575</t>
  </si>
  <si>
    <t>EXP-00576</t>
  </si>
  <si>
    <t>Embassy Fee</t>
  </si>
  <si>
    <t>EXP-00577</t>
  </si>
  <si>
    <t>EXP-00578</t>
  </si>
  <si>
    <t>EXP-00579</t>
  </si>
  <si>
    <t>EXP-00580</t>
  </si>
  <si>
    <t>EXP-00581</t>
  </si>
  <si>
    <t>EXP-00582</t>
  </si>
  <si>
    <t>EXP-00583</t>
  </si>
  <si>
    <t>Enterprise</t>
  </si>
  <si>
    <t>EXP-00584</t>
  </si>
  <si>
    <t>EXP-00585</t>
  </si>
  <si>
    <t>EXP-00586</t>
  </si>
  <si>
    <t>EXP-00587</t>
  </si>
  <si>
    <t>EXP-00588</t>
  </si>
  <si>
    <t>EXP-00589</t>
  </si>
  <si>
    <t>EXP-00590</t>
  </si>
  <si>
    <t>EXP-00591</t>
  </si>
  <si>
    <t>EXP-00592</t>
  </si>
  <si>
    <t>EXP-00593</t>
  </si>
  <si>
    <t>EXP-00594</t>
  </si>
  <si>
    <t>EXP-00595</t>
  </si>
  <si>
    <t>EXP-00596</t>
  </si>
  <si>
    <t>EXP-00597</t>
  </si>
  <si>
    <t>EXP-00598</t>
  </si>
  <si>
    <t>EXP-00599</t>
  </si>
  <si>
    <t>EXP-00600</t>
  </si>
  <si>
    <t>TRP-2025-018</t>
  </si>
  <si>
    <t>EXP-00601</t>
  </si>
  <si>
    <t>EXP-00602</t>
  </si>
  <si>
    <t>EXP-00603</t>
  </si>
  <si>
    <t>EXP-00604</t>
  </si>
  <si>
    <t>EXP-00605</t>
  </si>
  <si>
    <t>EXP-00606</t>
  </si>
  <si>
    <t>EXP-00607</t>
  </si>
  <si>
    <t>EXP-00608</t>
  </si>
  <si>
    <t>EXP-00609</t>
  </si>
  <si>
    <t>EXP-00610</t>
  </si>
  <si>
    <t>TRP-2025-023</t>
  </si>
  <si>
    <t>EXP-00611</t>
  </si>
  <si>
    <t>EXP-00612</t>
  </si>
  <si>
    <t>EXP-00613</t>
  </si>
  <si>
    <t>EXP-00614</t>
  </si>
  <si>
    <t>TRP-2025-002</t>
  </si>
  <si>
    <t>EXP-00615</t>
  </si>
  <si>
    <t>EXP-00616</t>
  </si>
  <si>
    <t>EXP-00617</t>
  </si>
  <si>
    <t>EXP-00618</t>
  </si>
  <si>
    <t>TRP-2025-017</t>
  </si>
  <si>
    <t>EXP-00619</t>
  </si>
  <si>
    <t>EXP-00620</t>
  </si>
  <si>
    <t>EXP-00621</t>
  </si>
  <si>
    <t>EXP-00622</t>
  </si>
  <si>
    <t>EXP-00623</t>
  </si>
  <si>
    <t>Deutsche Bahn</t>
  </si>
  <si>
    <t>EXP-00624</t>
  </si>
  <si>
    <t>EXP-00625</t>
  </si>
  <si>
    <t>EXP-00626</t>
  </si>
  <si>
    <t>EXP-00627</t>
  </si>
  <si>
    <t>EXP-00628</t>
  </si>
  <si>
    <t>EXP-00629</t>
  </si>
  <si>
    <t>EXP-00630</t>
  </si>
  <si>
    <t>EXP-00631</t>
  </si>
  <si>
    <t>EXP-00632</t>
  </si>
  <si>
    <t>EXP-00633</t>
  </si>
  <si>
    <t>EXP-00634</t>
  </si>
  <si>
    <t>EXP-00635</t>
  </si>
  <si>
    <t>EXP-00636</t>
  </si>
  <si>
    <t>EXP-00637</t>
  </si>
  <si>
    <t>EXP-00638</t>
  </si>
  <si>
    <t>EXP-00639</t>
  </si>
  <si>
    <t>EXP-00640</t>
  </si>
  <si>
    <t>EXP-00641</t>
  </si>
  <si>
    <t>EXP-00642</t>
  </si>
  <si>
    <t>TRP-2025-128</t>
  </si>
  <si>
    <t>EXP-00643</t>
  </si>
  <si>
    <t>EXP-00644</t>
  </si>
  <si>
    <t>EXP-00645</t>
  </si>
  <si>
    <t>EXP-00646</t>
  </si>
  <si>
    <t>EXP-00647</t>
  </si>
  <si>
    <t>EXP-00648</t>
  </si>
  <si>
    <t>EXP-00649</t>
  </si>
  <si>
    <t>EXP-00650</t>
  </si>
  <si>
    <t>EXP-00651</t>
  </si>
  <si>
    <t>EXP-00652</t>
  </si>
  <si>
    <t>EXP-00653</t>
  </si>
  <si>
    <t>EXP-00654</t>
  </si>
  <si>
    <t>EXP-00655</t>
  </si>
  <si>
    <t>EXP-00656</t>
  </si>
  <si>
    <t>EXP-00657</t>
  </si>
  <si>
    <t>EXP-00658</t>
  </si>
  <si>
    <t>TRP-2025-016</t>
  </si>
  <si>
    <t>Boston</t>
  </si>
  <si>
    <t>Round trip HQ - Boston, economy</t>
  </si>
  <si>
    <t>EXP-00659</t>
  </si>
  <si>
    <t>EXP-00660</t>
  </si>
  <si>
    <t>EXP-00661</t>
  </si>
  <si>
    <t>EXP-00662</t>
  </si>
  <si>
    <t>EXP-00663</t>
  </si>
  <si>
    <t>EXP-00664</t>
  </si>
  <si>
    <t>EXP-00665</t>
  </si>
  <si>
    <t>EXP-00666</t>
  </si>
  <si>
    <t>EXP-00667</t>
  </si>
  <si>
    <t>EXP-00668</t>
  </si>
  <si>
    <t>EXP-00669</t>
  </si>
  <si>
    <t>EXP-00670</t>
  </si>
  <si>
    <t>EXP-00671</t>
  </si>
  <si>
    <t>EXP-00672</t>
  </si>
  <si>
    <t>2025-03</t>
  </si>
  <si>
    <t>8 day(s), compact</t>
  </si>
  <si>
    <t>EXP-00673</t>
  </si>
  <si>
    <t>EXP-00674</t>
  </si>
  <si>
    <t>EXP-00675</t>
  </si>
  <si>
    <t>EXP-00676</t>
  </si>
  <si>
    <t>EXP-00677</t>
  </si>
  <si>
    <t>EXP-00678</t>
  </si>
  <si>
    <t>EXP-00679</t>
  </si>
  <si>
    <t>EXP-00680</t>
  </si>
  <si>
    <t>EXP-00681</t>
  </si>
  <si>
    <t>EXP-00682</t>
  </si>
  <si>
    <t>EXP-00683</t>
  </si>
  <si>
    <t>EXP-00684</t>
  </si>
  <si>
    <t>EXP-00685</t>
  </si>
  <si>
    <t>EXP-00686</t>
  </si>
  <si>
    <t>EXP-00687</t>
  </si>
  <si>
    <t>EXP-00688</t>
  </si>
  <si>
    <t>EXP-00689</t>
  </si>
  <si>
    <t>EXP-00690</t>
  </si>
  <si>
    <t>EXP-00691</t>
  </si>
  <si>
    <t>EXP-00692</t>
  </si>
  <si>
    <t>EXP-00693</t>
  </si>
  <si>
    <t>EXP-00694</t>
  </si>
  <si>
    <t>EXP-00695</t>
  </si>
  <si>
    <t>EXP-00696</t>
  </si>
  <si>
    <t>EXP-00697</t>
  </si>
  <si>
    <t>EXP-00698</t>
  </si>
  <si>
    <t>EXP-00699</t>
  </si>
  <si>
    <t>EXP-00700</t>
  </si>
  <si>
    <t>EXP-00701</t>
  </si>
  <si>
    <t>EXP-00702</t>
  </si>
  <si>
    <t>TRP-2025-108</t>
  </si>
  <si>
    <t>EXP-00703</t>
  </si>
  <si>
    <t>EXP-00704</t>
  </si>
  <si>
    <t>EXP-00705</t>
  </si>
  <si>
    <t>EXP-00706</t>
  </si>
  <si>
    <t>EXP-00707</t>
  </si>
  <si>
    <t>EXP-00708</t>
  </si>
  <si>
    <t>EXP-00709</t>
  </si>
  <si>
    <t>EXP-00710</t>
  </si>
  <si>
    <t>EXP-00711</t>
  </si>
  <si>
    <t>EXP-00712</t>
  </si>
  <si>
    <t>EXP-00713</t>
  </si>
  <si>
    <t>EXP-00714</t>
  </si>
  <si>
    <t>EXP-00715</t>
  </si>
  <si>
    <t>EXP-00716</t>
  </si>
  <si>
    <t>EXP-00717</t>
  </si>
  <si>
    <t>EXP-00718</t>
  </si>
  <si>
    <t>TRP-2025-120</t>
  </si>
  <si>
    <t>EXP-00719</t>
  </si>
  <si>
    <t>EXP-00720</t>
  </si>
  <si>
    <t>EXP-00721</t>
  </si>
  <si>
    <t>EXP-00722</t>
  </si>
  <si>
    <t>EXP-00723</t>
  </si>
  <si>
    <t>EXP-00724</t>
  </si>
  <si>
    <t>EXP-00725</t>
  </si>
  <si>
    <t>EXP-00726</t>
  </si>
  <si>
    <t>EXP-00727</t>
  </si>
  <si>
    <t>EXP-00728</t>
  </si>
  <si>
    <t>EXP-00729</t>
  </si>
  <si>
    <t>EXP-00730</t>
  </si>
  <si>
    <t>EXP-00731</t>
  </si>
  <si>
    <t>EXP-00732</t>
  </si>
  <si>
    <t>EXP-00733</t>
  </si>
  <si>
    <t>EXP-00734</t>
  </si>
  <si>
    <t>EXP-00735</t>
  </si>
  <si>
    <t>EXP-00736</t>
  </si>
  <si>
    <t>EXP-00737</t>
  </si>
  <si>
    <t>EXP-00738</t>
  </si>
  <si>
    <t>EXP-00739</t>
  </si>
  <si>
    <t>EXP-00740</t>
  </si>
  <si>
    <t>EXP-00741</t>
  </si>
  <si>
    <t>EXP-00742</t>
  </si>
  <si>
    <t>Shell</t>
  </si>
  <si>
    <t>EXP-00743</t>
  </si>
  <si>
    <t>EXP-00744</t>
  </si>
  <si>
    <t>EXP-00745</t>
  </si>
  <si>
    <t>EXP-00746</t>
  </si>
  <si>
    <t>City Garage</t>
  </si>
  <si>
    <t>EXP-00747</t>
  </si>
  <si>
    <t>EXP-00748</t>
  </si>
  <si>
    <t>EXP-00749</t>
  </si>
  <si>
    <t>EXP-00750</t>
  </si>
  <si>
    <t>EXP-00751</t>
  </si>
  <si>
    <t>EXP-00752</t>
  </si>
  <si>
    <t>EXP-00753</t>
  </si>
  <si>
    <t>EXP-00754</t>
  </si>
  <si>
    <t>EXP-00755</t>
  </si>
  <si>
    <t>EXP-00756</t>
  </si>
  <si>
    <t>EXP-00757</t>
  </si>
  <si>
    <t>EXP-00758</t>
  </si>
  <si>
    <t>EXP-00759</t>
  </si>
  <si>
    <t>EXP-00760</t>
  </si>
  <si>
    <t>EXP-00761</t>
  </si>
  <si>
    <t>EXP-00762</t>
  </si>
  <si>
    <t>EXP-00763</t>
  </si>
  <si>
    <t>EXP-00764</t>
  </si>
  <si>
    <t>EXP-00765</t>
  </si>
  <si>
    <t>EXP-00766</t>
  </si>
  <si>
    <t>EXP-00767</t>
  </si>
  <si>
    <t>EMP-1125</t>
  </si>
  <si>
    <t>Diego Ramirez</t>
  </si>
  <si>
    <t>TRP-2025-053</t>
  </si>
  <si>
    <t>EXP-00768</t>
  </si>
  <si>
    <t>EXP-00769</t>
  </si>
  <si>
    <t>EXP-00770</t>
  </si>
  <si>
    <t>EXP-00771</t>
  </si>
  <si>
    <t>EXP-00772</t>
  </si>
  <si>
    <t>TRP-2025-089</t>
  </si>
  <si>
    <t>EXP-00773</t>
  </si>
  <si>
    <t>EXP-00774</t>
  </si>
  <si>
    <t>EXP-00775</t>
  </si>
  <si>
    <t>EXP-00776</t>
  </si>
  <si>
    <t>EXP-00777</t>
  </si>
  <si>
    <t>EXP-00778</t>
  </si>
  <si>
    <t>EXP-00779</t>
  </si>
  <si>
    <t>EXP-00780</t>
  </si>
  <si>
    <t>EXP-00781</t>
  </si>
  <si>
    <t>EXP-00782</t>
  </si>
  <si>
    <t>EXP-00783</t>
  </si>
  <si>
    <t>EXP-00784</t>
  </si>
  <si>
    <t>TRP-2025-027</t>
  </si>
  <si>
    <t>EXP-00785</t>
  </si>
  <si>
    <t>EXP-00786</t>
  </si>
  <si>
    <t>EXP-00787</t>
  </si>
  <si>
    <t>EXP-00788</t>
  </si>
  <si>
    <t>EXP-00789</t>
  </si>
  <si>
    <t>EXP-00790</t>
  </si>
  <si>
    <t>EXP-00791</t>
  </si>
  <si>
    <t>EXP-00792</t>
  </si>
  <si>
    <t>EXP-00793</t>
  </si>
  <si>
    <t>EXP-00794</t>
  </si>
  <si>
    <t>EXP-00795</t>
  </si>
  <si>
    <t>EXP-00796</t>
  </si>
  <si>
    <t>EXP-00797</t>
  </si>
  <si>
    <t>EXP-00798</t>
  </si>
  <si>
    <t>Staples</t>
  </si>
  <si>
    <t>EXP-00799</t>
  </si>
  <si>
    <t>EXP-00800</t>
  </si>
  <si>
    <t>EXP-00801</t>
  </si>
  <si>
    <t>EXP-00802</t>
  </si>
  <si>
    <t>EXP-00803</t>
  </si>
  <si>
    <t>EXP-00804</t>
  </si>
  <si>
    <t>EXP-00805</t>
  </si>
  <si>
    <t>EXP-00806</t>
  </si>
  <si>
    <t>EXP-00807</t>
  </si>
  <si>
    <t>EXP-00808</t>
  </si>
  <si>
    <t>EXP-00809</t>
  </si>
  <si>
    <t>EXP-00810</t>
  </si>
  <si>
    <t>The Chophouse</t>
  </si>
  <si>
    <t>EXP-00811</t>
  </si>
  <si>
    <t>EXP-00812</t>
  </si>
  <si>
    <t>EXP-00813</t>
  </si>
  <si>
    <t>EXP-00814</t>
  </si>
  <si>
    <t>EXP-00815</t>
  </si>
  <si>
    <t>EXP-00816</t>
  </si>
  <si>
    <t>EXP-00817</t>
  </si>
  <si>
    <t>EXP-00818</t>
  </si>
  <si>
    <t>EXP-00819</t>
  </si>
  <si>
    <t>EXP-00820</t>
  </si>
  <si>
    <t>EXP-00821</t>
  </si>
  <si>
    <t>EXP-00822</t>
  </si>
  <si>
    <t>EXP-00823</t>
  </si>
  <si>
    <t>EXP-00824</t>
  </si>
  <si>
    <t>EXP-00825</t>
  </si>
  <si>
    <t>EXP-00826</t>
  </si>
  <si>
    <t>EXP-00827</t>
  </si>
  <si>
    <t>EXP-00828</t>
  </si>
  <si>
    <t>EXP-00829</t>
  </si>
  <si>
    <t>EXP-00830</t>
  </si>
  <si>
    <t>EXP-00831</t>
  </si>
  <si>
    <t>EXP-00832</t>
  </si>
  <si>
    <t>EXP-00833</t>
  </si>
  <si>
    <t>EXP-00834</t>
  </si>
  <si>
    <t>EXP-00835</t>
  </si>
  <si>
    <t>EXP-00836</t>
  </si>
  <si>
    <t>EXP-00837</t>
  </si>
  <si>
    <t>EXP-00838</t>
  </si>
  <si>
    <t>EXP-00839</t>
  </si>
  <si>
    <t>EXP-00840</t>
  </si>
  <si>
    <t>EMP-1601</t>
  </si>
  <si>
    <t>Financial Controller</t>
  </si>
  <si>
    <t>TRP-2025-054</t>
  </si>
  <si>
    <t>EXP-00841</t>
  </si>
  <si>
    <t>EXP-00842</t>
  </si>
  <si>
    <t>EXP-00843</t>
  </si>
  <si>
    <t>EXP-00844</t>
  </si>
  <si>
    <t>EXP-00845</t>
  </si>
  <si>
    <t>EXP-00846</t>
  </si>
  <si>
    <t>EXP-00847</t>
  </si>
  <si>
    <t>EXP-00848</t>
  </si>
  <si>
    <t>EXP-00849</t>
  </si>
  <si>
    <t>EXP-00850</t>
  </si>
  <si>
    <t>EXP-00851</t>
  </si>
  <si>
    <t>EXP-00852</t>
  </si>
  <si>
    <t>TRP-2025-071</t>
  </si>
  <si>
    <t>Munich</t>
  </si>
  <si>
    <t>Round trip HQ - Munich, economy</t>
  </si>
  <si>
    <t>EXP-00853</t>
  </si>
  <si>
    <t>EXP-00854</t>
  </si>
  <si>
    <t>EXP-00855</t>
  </si>
  <si>
    <t>EXP-00856</t>
  </si>
  <si>
    <t>EXP-00857</t>
  </si>
  <si>
    <t>EXP-00858</t>
  </si>
  <si>
    <t>EXP-00859</t>
  </si>
  <si>
    <t>EXP-00860</t>
  </si>
  <si>
    <t>EXP-00861</t>
  </si>
  <si>
    <t>EXP-00862</t>
  </si>
  <si>
    <t>EXP-00863</t>
  </si>
  <si>
    <t>TRP-2025-022</t>
  </si>
  <si>
    <t>EXP-00864</t>
  </si>
  <si>
    <t>EXP-00865</t>
  </si>
  <si>
    <t>EXP-00866</t>
  </si>
  <si>
    <t>EXP-00867</t>
  </si>
  <si>
    <t>EXP-00868</t>
  </si>
  <si>
    <t>EXP-00869</t>
  </si>
  <si>
    <t>EXP-00870</t>
  </si>
  <si>
    <t>EXP-00871</t>
  </si>
  <si>
    <t>EXP-00872</t>
  </si>
  <si>
    <t>EXP-00873</t>
  </si>
  <si>
    <t>EXP-00874</t>
  </si>
  <si>
    <t>EXP-00875</t>
  </si>
  <si>
    <t>EXP-00876</t>
  </si>
  <si>
    <t>EXP-00877</t>
  </si>
  <si>
    <t>EXP-00878</t>
  </si>
  <si>
    <t>EXP-00879</t>
  </si>
  <si>
    <t>EXP-00880</t>
  </si>
  <si>
    <t>EXP-00881</t>
  </si>
  <si>
    <t>EXP-00882</t>
  </si>
  <si>
    <t>EXP-00883</t>
  </si>
  <si>
    <t>EXP-00884</t>
  </si>
  <si>
    <t>EXP-00885</t>
  </si>
  <si>
    <t>EXP-00886</t>
  </si>
  <si>
    <t>EXP-00887</t>
  </si>
  <si>
    <t>EXP-00888</t>
  </si>
  <si>
    <t>EXP-00889</t>
  </si>
  <si>
    <t>EXP-00890</t>
  </si>
  <si>
    <t>EXP-00891</t>
  </si>
  <si>
    <t>EXP-00892</t>
  </si>
  <si>
    <t>EXP-00893</t>
  </si>
  <si>
    <t>EXP-00894</t>
  </si>
  <si>
    <t>EXP-00895</t>
  </si>
  <si>
    <t>EXP-00896</t>
  </si>
  <si>
    <t>EXP-00897</t>
  </si>
  <si>
    <t>EXP-00898</t>
  </si>
  <si>
    <t>EXP-00899</t>
  </si>
  <si>
    <t>EXP-00900</t>
  </si>
  <si>
    <t>EXP-00901</t>
  </si>
  <si>
    <t>EXP-00902</t>
  </si>
  <si>
    <t>EXP-00903</t>
  </si>
  <si>
    <t>EXP-00904</t>
  </si>
  <si>
    <t>EXP-00905</t>
  </si>
  <si>
    <t>EXP-00906</t>
  </si>
  <si>
    <t>EXP-00907</t>
  </si>
  <si>
    <t>EXP-00908</t>
  </si>
  <si>
    <t>EXP-00909</t>
  </si>
  <si>
    <t>EXP-00910</t>
  </si>
  <si>
    <t>EXP-00911</t>
  </si>
  <si>
    <t>EXP-00912</t>
  </si>
  <si>
    <t>TRP-2025-119</t>
  </si>
  <si>
    <t>EXP-00913</t>
  </si>
  <si>
    <t>EXP-00914</t>
  </si>
  <si>
    <t>EXP-00915</t>
  </si>
  <si>
    <t>EXP-00916</t>
  </si>
  <si>
    <t>EXP-00917</t>
  </si>
  <si>
    <t>EXP-00918</t>
  </si>
  <si>
    <t>EXP-00919</t>
  </si>
  <si>
    <t>TRP-2025-035</t>
  </si>
  <si>
    <t>EXP-00920</t>
  </si>
  <si>
    <t>EXP-00921</t>
  </si>
  <si>
    <t>EXP-00922</t>
  </si>
  <si>
    <t>EXP-00923</t>
  </si>
  <si>
    <t>EXP-00924</t>
  </si>
  <si>
    <t>EXP-00925</t>
  </si>
  <si>
    <t>EXP-00926</t>
  </si>
  <si>
    <t>EXP-00927</t>
  </si>
  <si>
    <t>EXP-00928</t>
  </si>
  <si>
    <t>EXP-00929</t>
  </si>
  <si>
    <t>2025-04</t>
  </si>
  <si>
    <t>EXP-00930</t>
  </si>
  <si>
    <t>EXP-00931</t>
  </si>
  <si>
    <t>EXP-00932</t>
  </si>
  <si>
    <t>EXP-00933</t>
  </si>
  <si>
    <t>EXP-00934</t>
  </si>
  <si>
    <t>EXP-00935</t>
  </si>
  <si>
    <t>EXP-00936</t>
  </si>
  <si>
    <t>EXP-00937</t>
  </si>
  <si>
    <t>EXP-00938</t>
  </si>
  <si>
    <t>EXP-00939</t>
  </si>
  <si>
    <t>EXP-00940</t>
  </si>
  <si>
    <t>TRP-2025-111</t>
  </si>
  <si>
    <t>EXP-00941</t>
  </si>
  <si>
    <t>AutomationWorld</t>
  </si>
  <si>
    <t>EXP-00942</t>
  </si>
  <si>
    <t>EXP-00943</t>
  </si>
  <si>
    <t>EXP-00944</t>
  </si>
  <si>
    <t>EXP-00945</t>
  </si>
  <si>
    <t>EXP-00946</t>
  </si>
  <si>
    <t>EXP-00947</t>
  </si>
  <si>
    <t>EXP-00948</t>
  </si>
  <si>
    <t>EXP-00949</t>
  </si>
  <si>
    <t>EXP-00950</t>
  </si>
  <si>
    <t>EXP-00951</t>
  </si>
  <si>
    <t>EXP-00952</t>
  </si>
  <si>
    <t>EXP-00953</t>
  </si>
  <si>
    <t>EXP-00954</t>
  </si>
  <si>
    <t>EXP-00955</t>
  </si>
  <si>
    <t>EXP-00956</t>
  </si>
  <si>
    <t>EXP-00957</t>
  </si>
  <si>
    <t>EXP-00958</t>
  </si>
  <si>
    <t>EXP-00959</t>
  </si>
  <si>
    <t>EXP-00960</t>
  </si>
  <si>
    <t>EXP-00961</t>
  </si>
  <si>
    <t>EXP-00962</t>
  </si>
  <si>
    <t>EXP-00963</t>
  </si>
  <si>
    <t>EXP-00964</t>
  </si>
  <si>
    <t>EXP-00965</t>
  </si>
  <si>
    <t>EXP-00966</t>
  </si>
  <si>
    <t>EXP-00967</t>
  </si>
  <si>
    <t>EXP-00968</t>
  </si>
  <si>
    <t>EXP-00969</t>
  </si>
  <si>
    <t>EXP-00970</t>
  </si>
  <si>
    <t>EXP-00971</t>
  </si>
  <si>
    <t>EXP-00972</t>
  </si>
  <si>
    <t>EXP-00973</t>
  </si>
  <si>
    <t>EXP-00974</t>
  </si>
  <si>
    <t>EXP-00975</t>
  </si>
  <si>
    <t>EXP-00976</t>
  </si>
  <si>
    <t>EXP-00977</t>
  </si>
  <si>
    <t>TRP-2025-048</t>
  </si>
  <si>
    <t>EXP-00978</t>
  </si>
  <si>
    <t>EXP-00979</t>
  </si>
  <si>
    <t>EXP-00980</t>
  </si>
  <si>
    <t>EXP-00981</t>
  </si>
  <si>
    <t>EXP-00982</t>
  </si>
  <si>
    <t>TRP-2025-135</t>
  </si>
  <si>
    <t>EXP-00983</t>
  </si>
  <si>
    <t>EXP-00984</t>
  </si>
  <si>
    <t>EXP-00985</t>
  </si>
  <si>
    <t>EXP-00986</t>
  </si>
  <si>
    <t>EXP-00987</t>
  </si>
  <si>
    <t>EXP-00988</t>
  </si>
  <si>
    <t>EXP-00989</t>
  </si>
  <si>
    <t>EXP-00990</t>
  </si>
  <si>
    <t>EXP-00991</t>
  </si>
  <si>
    <t>EXP-00992</t>
  </si>
  <si>
    <t>EXP-00993</t>
  </si>
  <si>
    <t>EXP-00994</t>
  </si>
  <si>
    <t>EXP-00995</t>
  </si>
  <si>
    <t>EXP-00996</t>
  </si>
  <si>
    <t>EXP-00997</t>
  </si>
  <si>
    <t>EXP-00998</t>
  </si>
  <si>
    <t>EXP-00999</t>
  </si>
  <si>
    <t>EXP-01000</t>
  </si>
  <si>
    <t>EXP-01001</t>
  </si>
  <si>
    <t>EXP-01002</t>
  </si>
  <si>
    <t>EXP-01003</t>
  </si>
  <si>
    <t>EXP-01004</t>
  </si>
  <si>
    <t>EXP-01005</t>
  </si>
  <si>
    <t>EXP-01006</t>
  </si>
  <si>
    <t>EXP-01007</t>
  </si>
  <si>
    <t>EXP-01008</t>
  </si>
  <si>
    <t>EXP-01009</t>
  </si>
  <si>
    <t>EXP-01010</t>
  </si>
  <si>
    <t>TRP-2025-031</t>
  </si>
  <si>
    <t>EXP-01011</t>
  </si>
  <si>
    <t>EXP-01012</t>
  </si>
  <si>
    <t>EXP-01013</t>
  </si>
  <si>
    <t>EXP-01014</t>
  </si>
  <si>
    <t>EXP-01015</t>
  </si>
  <si>
    <t>EXP-01016</t>
  </si>
  <si>
    <t>EXP-01017</t>
  </si>
  <si>
    <t>EXP-01018</t>
  </si>
  <si>
    <t>EXP-01019</t>
  </si>
  <si>
    <t>EXP-01020</t>
  </si>
  <si>
    <t>EXP-01021</t>
  </si>
  <si>
    <t>EXP-01022</t>
  </si>
  <si>
    <t>EXP-01023</t>
  </si>
  <si>
    <t>EXP-01024</t>
  </si>
  <si>
    <t>EXP-01025</t>
  </si>
  <si>
    <t>EXP-01026</t>
  </si>
  <si>
    <t>EXP-01027</t>
  </si>
  <si>
    <t>EXP-01028</t>
  </si>
  <si>
    <t>EXP-01029</t>
  </si>
  <si>
    <t>EXP-01030</t>
  </si>
  <si>
    <t>EXP-01031</t>
  </si>
  <si>
    <t>EXP-01032</t>
  </si>
  <si>
    <t>EXP-01033</t>
  </si>
  <si>
    <t>EXP-01034</t>
  </si>
  <si>
    <t>EXP-01035</t>
  </si>
  <si>
    <t>EXP-01036</t>
  </si>
  <si>
    <t>EXP-01037</t>
  </si>
  <si>
    <t>EXP-01038</t>
  </si>
  <si>
    <t>EXP-01039</t>
  </si>
  <si>
    <t>EXP-01040</t>
  </si>
  <si>
    <t>EXP-01041</t>
  </si>
  <si>
    <t>EXP-01042</t>
  </si>
  <si>
    <t>EXP-01043</t>
  </si>
  <si>
    <t>EXP-01044</t>
  </si>
  <si>
    <t>TRP-2025-050</t>
  </si>
  <si>
    <t>EXP-01045</t>
  </si>
  <si>
    <t>EXP-01046</t>
  </si>
  <si>
    <t>EXP-01047</t>
  </si>
  <si>
    <t>EXP-01048</t>
  </si>
  <si>
    <t>EXP-01049</t>
  </si>
  <si>
    <t>EXP-01050</t>
  </si>
  <si>
    <t>EXP-01051</t>
  </si>
  <si>
    <t>EXP-01052</t>
  </si>
  <si>
    <t>EXP-01053</t>
  </si>
  <si>
    <t>EXP-01054</t>
  </si>
  <si>
    <t>EXP-01055</t>
  </si>
  <si>
    <t>EXP-01056</t>
  </si>
  <si>
    <t>EXP-01057</t>
  </si>
  <si>
    <t>EXP-01058</t>
  </si>
  <si>
    <t>EXP-01059</t>
  </si>
  <si>
    <t>EXP-01060</t>
  </si>
  <si>
    <t>EXP-01061</t>
  </si>
  <si>
    <t>EXP-01062</t>
  </si>
  <si>
    <t>EXP-01063</t>
  </si>
  <si>
    <t>EXP-01064</t>
  </si>
  <si>
    <t>EXP-01065</t>
  </si>
  <si>
    <t>EXP-01066</t>
  </si>
  <si>
    <t>EXP-01067</t>
  </si>
  <si>
    <t>EXP-01068</t>
  </si>
  <si>
    <t>EXP-01069</t>
  </si>
  <si>
    <t>EXP-01070</t>
  </si>
  <si>
    <t>EXP-01071</t>
  </si>
  <si>
    <t>EXP-01072</t>
  </si>
  <si>
    <t>EXP-01073</t>
  </si>
  <si>
    <t>TRP-2025-058</t>
  </si>
  <si>
    <t>EXP-01074</t>
  </si>
  <si>
    <t>EXP-01075</t>
  </si>
  <si>
    <t>EXP-01076</t>
  </si>
  <si>
    <t>EXP-01077</t>
  </si>
  <si>
    <t>EXP-01078</t>
  </si>
  <si>
    <t>TRP-2025-015</t>
  </si>
  <si>
    <t>EXP-01079</t>
  </si>
  <si>
    <t>EXP-01080</t>
  </si>
  <si>
    <t>EXP-01081</t>
  </si>
  <si>
    <t>EXP-01082</t>
  </si>
  <si>
    <t>EXP-01083</t>
  </si>
  <si>
    <t>EXP-01084</t>
  </si>
  <si>
    <t>EXP-01085</t>
  </si>
  <si>
    <t>EXP-01086</t>
  </si>
  <si>
    <t>EXP-01087</t>
  </si>
  <si>
    <t>EXP-01088</t>
  </si>
  <si>
    <t>EXP-01089</t>
  </si>
  <si>
    <t>EXP-01090</t>
  </si>
  <si>
    <t>EXP-01091</t>
  </si>
  <si>
    <t>EXP-01092</t>
  </si>
  <si>
    <t>EXP-01093</t>
  </si>
  <si>
    <t>EXP-01094</t>
  </si>
  <si>
    <t>EXP-01095</t>
  </si>
  <si>
    <t>EXP-01096</t>
  </si>
  <si>
    <t>EXP-01097</t>
  </si>
  <si>
    <t>EXP-01098</t>
  </si>
  <si>
    <t>EXP-01099</t>
  </si>
  <si>
    <t>EXP-01100</t>
  </si>
  <si>
    <t>EXP-01101</t>
  </si>
  <si>
    <t>EXP-01102</t>
  </si>
  <si>
    <t>EXP-01103</t>
  </si>
  <si>
    <t>EXP-01104</t>
  </si>
  <si>
    <t>EXP-01105</t>
  </si>
  <si>
    <t>EXP-01106</t>
  </si>
  <si>
    <t>EXP-01107</t>
  </si>
  <si>
    <t>EXP-01108</t>
  </si>
  <si>
    <t>EXP-01109</t>
  </si>
  <si>
    <t>EXP-01110</t>
  </si>
  <si>
    <t>EXP-01111</t>
  </si>
  <si>
    <t>EXP-01112</t>
  </si>
  <si>
    <t>EXP-01113</t>
  </si>
  <si>
    <t>EXP-01114</t>
  </si>
  <si>
    <t>EXP-01115</t>
  </si>
  <si>
    <t>EXP-01116</t>
  </si>
  <si>
    <t>EXP-01117</t>
  </si>
  <si>
    <t>EXP-01118</t>
  </si>
  <si>
    <t>EXP-01119</t>
  </si>
  <si>
    <t>EXP-01120</t>
  </si>
  <si>
    <t>EXP-01121</t>
  </si>
  <si>
    <t>EXP-01122</t>
  </si>
  <si>
    <t>EXP-01123</t>
  </si>
  <si>
    <t>EXP-01124</t>
  </si>
  <si>
    <t>EXP-01125</t>
  </si>
  <si>
    <t>EXP-01126</t>
  </si>
  <si>
    <t>EXP-01127</t>
  </si>
  <si>
    <t>EXP-01128</t>
  </si>
  <si>
    <t>EXP-01129</t>
  </si>
  <si>
    <t>EXP-01130</t>
  </si>
  <si>
    <t>EXP-01131</t>
  </si>
  <si>
    <t>TRP-2025-104</t>
  </si>
  <si>
    <t>EXP-01132</t>
  </si>
  <si>
    <t>EXP-01133</t>
  </si>
  <si>
    <t>EXP-01134</t>
  </si>
  <si>
    <t>EXP-01135</t>
  </si>
  <si>
    <t>EXP-01136</t>
  </si>
  <si>
    <t>EXP-01137</t>
  </si>
  <si>
    <t>EXP-01138</t>
  </si>
  <si>
    <t>EXP-01139</t>
  </si>
  <si>
    <t>EXP-01140</t>
  </si>
  <si>
    <t>EXP-01141</t>
  </si>
  <si>
    <t>EXP-01142</t>
  </si>
  <si>
    <t>EXP-01143</t>
  </si>
  <si>
    <t>EXP-01144</t>
  </si>
  <si>
    <t>TRP-2025-001</t>
  </si>
  <si>
    <t>EXP-01145</t>
  </si>
  <si>
    <t>EXP-01146</t>
  </si>
  <si>
    <t>EXP-01147</t>
  </si>
  <si>
    <t>EXP-01148</t>
  </si>
  <si>
    <t>EXP-01149</t>
  </si>
  <si>
    <t>EXP-01150</t>
  </si>
  <si>
    <t>EXP-01151</t>
  </si>
  <si>
    <t>EXP-01152</t>
  </si>
  <si>
    <t>3 day(s), compact</t>
  </si>
  <si>
    <t>EXP-01153</t>
  </si>
  <si>
    <t>EXP-01154</t>
  </si>
  <si>
    <t>EXP-01155</t>
  </si>
  <si>
    <t>EXP-01156</t>
  </si>
  <si>
    <t>EXP-01157</t>
  </si>
  <si>
    <t>EXP-01158</t>
  </si>
  <si>
    <t>EXP-01159</t>
  </si>
  <si>
    <t>EXP-01160</t>
  </si>
  <si>
    <t>EXP-01161</t>
  </si>
  <si>
    <t>EXP-01162</t>
  </si>
  <si>
    <t>EXP-01163</t>
  </si>
  <si>
    <t>EXP-01164</t>
  </si>
  <si>
    <t>EXP-01165</t>
  </si>
  <si>
    <t>EXP-01166</t>
  </si>
  <si>
    <t>EXP-01167</t>
  </si>
  <si>
    <t>EXP-01168</t>
  </si>
  <si>
    <t>EXP-01169</t>
  </si>
  <si>
    <t>EXP-01170</t>
  </si>
  <si>
    <t>EXP-01171</t>
  </si>
  <si>
    <t>EXP-01172</t>
  </si>
  <si>
    <t>EXP-01173</t>
  </si>
  <si>
    <t>EXP-01174</t>
  </si>
  <si>
    <t>EXP-01175</t>
  </si>
  <si>
    <t>EXP-01176</t>
  </si>
  <si>
    <t>EXP-01177</t>
  </si>
  <si>
    <t>EXP-01178</t>
  </si>
  <si>
    <t>TRP-2025-046</t>
  </si>
  <si>
    <t>2025-05</t>
  </si>
  <si>
    <t>EXP-01179</t>
  </si>
  <si>
    <t>EXP-01180</t>
  </si>
  <si>
    <t>EXP-01181</t>
  </si>
  <si>
    <t>TRP-2025-095</t>
  </si>
  <si>
    <t>EXP-01182</t>
  </si>
  <si>
    <t>EXP-01183</t>
  </si>
  <si>
    <t>EXP-01184</t>
  </si>
  <si>
    <t>EXP-01185</t>
  </si>
  <si>
    <t>EXP-01186</t>
  </si>
  <si>
    <t>EXP-01187</t>
  </si>
  <si>
    <t>EXP-01188</t>
  </si>
  <si>
    <t>EXP-01189</t>
  </si>
  <si>
    <t>EXP-01190</t>
  </si>
  <si>
    <t>EXP-01191</t>
  </si>
  <si>
    <t>EXP-01192</t>
  </si>
  <si>
    <t>EXP-01193</t>
  </si>
  <si>
    <t>EXP-01194</t>
  </si>
  <si>
    <t>EXP-01195</t>
  </si>
  <si>
    <t>EXP-01196</t>
  </si>
  <si>
    <t>EXP-01197</t>
  </si>
  <si>
    <t>EXP-01198</t>
  </si>
  <si>
    <t>EXP-01199</t>
  </si>
  <si>
    <t>EXP-01200</t>
  </si>
  <si>
    <t>EXP-01201</t>
  </si>
  <si>
    <t>EXP-01202</t>
  </si>
  <si>
    <t>EXP-01203</t>
  </si>
  <si>
    <t>EXP-01204</t>
  </si>
  <si>
    <t>EXP-01205</t>
  </si>
  <si>
    <t>EXP-01206</t>
  </si>
  <si>
    <t>EXP-01207</t>
  </si>
  <si>
    <t>EXP-01208</t>
  </si>
  <si>
    <t>EXP-01209</t>
  </si>
  <si>
    <t>EXP-01210</t>
  </si>
  <si>
    <t>EXP-01211</t>
  </si>
  <si>
    <t>EXP-01212</t>
  </si>
  <si>
    <t>EXP-01213</t>
  </si>
  <si>
    <t>TRP-2025-066</t>
  </si>
  <si>
    <t>EXP-01214</t>
  </si>
  <si>
    <t>EXP-01215</t>
  </si>
  <si>
    <t>EXP-01216</t>
  </si>
  <si>
    <t>EXP-01217</t>
  </si>
  <si>
    <t>EXP-01218</t>
  </si>
  <si>
    <t>EXP-01219</t>
  </si>
  <si>
    <t>EXP-01220</t>
  </si>
  <si>
    <t>EXP-01221</t>
  </si>
  <si>
    <t>EXP-01222</t>
  </si>
  <si>
    <t>EXP-01223</t>
  </si>
  <si>
    <t>2 day(s), compact</t>
  </si>
  <si>
    <t>EXP-01224</t>
  </si>
  <si>
    <t>EXP-01225</t>
  </si>
  <si>
    <t>EXP-01226</t>
  </si>
  <si>
    <t>EXP-01227</t>
  </si>
  <si>
    <t>EXP-01228</t>
  </si>
  <si>
    <t>EXP-01229</t>
  </si>
  <si>
    <t>EXP-01230</t>
  </si>
  <si>
    <t>EXP-01231</t>
  </si>
  <si>
    <t>EXP-01232</t>
  </si>
  <si>
    <t>EXP-01233</t>
  </si>
  <si>
    <t>EXP-01234</t>
  </si>
  <si>
    <t>EXP-01235</t>
  </si>
  <si>
    <t>EXP-01236</t>
  </si>
  <si>
    <t>EXP-01237</t>
  </si>
  <si>
    <t>TRP-2025-086</t>
  </si>
  <si>
    <t>EXP-01238</t>
  </si>
  <si>
    <t>EXP-01239</t>
  </si>
  <si>
    <t>EXP-01240</t>
  </si>
  <si>
    <t>EXP-01241</t>
  </si>
  <si>
    <t>EXP-01242</t>
  </si>
  <si>
    <t>EXP-01243</t>
  </si>
  <si>
    <t>EXP-01244</t>
  </si>
  <si>
    <t>EXP-01245</t>
  </si>
  <si>
    <t>EXP-01246</t>
  </si>
  <si>
    <t>EXP-01247</t>
  </si>
  <si>
    <t>EXP-01248</t>
  </si>
  <si>
    <t>EXP-01249</t>
  </si>
  <si>
    <t>TRP-2025-136</t>
  </si>
  <si>
    <t>EXP-01250</t>
  </si>
  <si>
    <t>EXP-01251</t>
  </si>
  <si>
    <t>EXP-01252</t>
  </si>
  <si>
    <t>EXP-01253</t>
  </si>
  <si>
    <t>EXP-01254</t>
  </si>
  <si>
    <t>5 day(s), compact</t>
  </si>
  <si>
    <t>EXP-01255</t>
  </si>
  <si>
    <t>EXP-01256</t>
  </si>
  <si>
    <t>EXP-01257</t>
  </si>
  <si>
    <t>EXP-01258</t>
  </si>
  <si>
    <t>EXP-01259</t>
  </si>
  <si>
    <t>EXP-01260</t>
  </si>
  <si>
    <t>EXP-01261</t>
  </si>
  <si>
    <t>TRP-2025-130</t>
  </si>
  <si>
    <t>EXP-01262</t>
  </si>
  <si>
    <t>EXP-01263</t>
  </si>
  <si>
    <t>EXP-01264</t>
  </si>
  <si>
    <t>EXP-01265</t>
  </si>
  <si>
    <t>EXP-01266</t>
  </si>
  <si>
    <t>EXP-01267</t>
  </si>
  <si>
    <t>EXP-01268</t>
  </si>
  <si>
    <t>EXP-01269</t>
  </si>
  <si>
    <t>TRP-2025-006</t>
  </si>
  <si>
    <t>EXP-01270</t>
  </si>
  <si>
    <t>EXP-01271</t>
  </si>
  <si>
    <t>EXP-01272</t>
  </si>
  <si>
    <t>EXP-01273</t>
  </si>
  <si>
    <t>EXP-01274</t>
  </si>
  <si>
    <t>EXP-01275</t>
  </si>
  <si>
    <t>EXP-01276</t>
  </si>
  <si>
    <t>EXP-01277</t>
  </si>
  <si>
    <t>EXP-01278</t>
  </si>
  <si>
    <t>EXP-01279</t>
  </si>
  <si>
    <t>EXP-01280</t>
  </si>
  <si>
    <t>EXP-01281</t>
  </si>
  <si>
    <t>EXP-01282</t>
  </si>
  <si>
    <t>EXP-01283</t>
  </si>
  <si>
    <t>EXP-01284</t>
  </si>
  <si>
    <t>EXP-01285</t>
  </si>
  <si>
    <t>EXP-01286</t>
  </si>
  <si>
    <t>EXP-01287</t>
  </si>
  <si>
    <t>EXP-01288</t>
  </si>
  <si>
    <t>EXP-01289</t>
  </si>
  <si>
    <t>EXP-01290</t>
  </si>
  <si>
    <t>EXP-01291</t>
  </si>
  <si>
    <t>EXP-01292</t>
  </si>
  <si>
    <t>EXP-01293</t>
  </si>
  <si>
    <t>EXP-01294</t>
  </si>
  <si>
    <t>EXP-01295</t>
  </si>
  <si>
    <t>EXP-01296</t>
  </si>
  <si>
    <t>EXP-01297</t>
  </si>
  <si>
    <t>EXP-01298</t>
  </si>
  <si>
    <t>EXP-01299</t>
  </si>
  <si>
    <t>EXP-01300</t>
  </si>
  <si>
    <t>EXP-01301</t>
  </si>
  <si>
    <t>EXP-01302</t>
  </si>
  <si>
    <t>EXP-01303</t>
  </si>
  <si>
    <t>EXP-01304</t>
  </si>
  <si>
    <t>EXP-01305</t>
  </si>
  <si>
    <t>EXP-01306</t>
  </si>
  <si>
    <t>EXP-01307</t>
  </si>
  <si>
    <t>EXP-01308</t>
  </si>
  <si>
    <t>EXP-01309</t>
  </si>
  <si>
    <t>EXP-01310</t>
  </si>
  <si>
    <t>EXP-01311</t>
  </si>
  <si>
    <t>EXP-01312</t>
  </si>
  <si>
    <t>EXP-01313</t>
  </si>
  <si>
    <t>TRP-2025-099</t>
  </si>
  <si>
    <t>EXP-01314</t>
  </si>
  <si>
    <t>EXP-01315</t>
  </si>
  <si>
    <t>EXP-01316</t>
  </si>
  <si>
    <t>EXP-01317</t>
  </si>
  <si>
    <t>EXP-01318</t>
  </si>
  <si>
    <t>TRP-2025-052</t>
  </si>
  <si>
    <t>EXP-01319</t>
  </si>
  <si>
    <t>EXP-01320</t>
  </si>
  <si>
    <t>EXP-01321</t>
  </si>
  <si>
    <t>EMP-1118</t>
  </si>
  <si>
    <t>Clara Jensen</t>
  </si>
  <si>
    <t>TRP-2025-088</t>
  </si>
  <si>
    <t>EXP-01322</t>
  </si>
  <si>
    <t>EXP-01323</t>
  </si>
  <si>
    <t>EXP-01324</t>
  </si>
  <si>
    <t>EXP-01325</t>
  </si>
  <si>
    <t>EXP-01326</t>
  </si>
  <si>
    <t>EXP-01327</t>
  </si>
  <si>
    <t>EXP-01328</t>
  </si>
  <si>
    <t>EXP-01329</t>
  </si>
  <si>
    <t>EXP-01330</t>
  </si>
  <si>
    <t>EXP-01331</t>
  </si>
  <si>
    <t>EXP-01332</t>
  </si>
  <si>
    <t>EXP-01333</t>
  </si>
  <si>
    <t>EXP-01334</t>
  </si>
  <si>
    <t>EXP-01335</t>
  </si>
  <si>
    <t>EXP-01336</t>
  </si>
  <si>
    <t>EXP-01337</t>
  </si>
  <si>
    <t>EXP-01338</t>
  </si>
  <si>
    <t>EXP-01339</t>
  </si>
  <si>
    <t>EXP-01340</t>
  </si>
  <si>
    <t>EXP-01341</t>
  </si>
  <si>
    <t>EXP-01342</t>
  </si>
  <si>
    <t>EXP-01343</t>
  </si>
  <si>
    <t>EXP-01344</t>
  </si>
  <si>
    <t>EXP-01345</t>
  </si>
  <si>
    <t>EXP-01346</t>
  </si>
  <si>
    <t>EXP-01347</t>
  </si>
  <si>
    <t>EXP-01348</t>
  </si>
  <si>
    <t>EXP-01349</t>
  </si>
  <si>
    <t>EXP-01350</t>
  </si>
  <si>
    <t>EXP-01351</t>
  </si>
  <si>
    <t>EXP-01352</t>
  </si>
  <si>
    <t>EXP-01353</t>
  </si>
  <si>
    <t>EXP-01354</t>
  </si>
  <si>
    <t>EXP-01355</t>
  </si>
  <si>
    <t>EXP-01356</t>
  </si>
  <si>
    <t>EXP-01357</t>
  </si>
  <si>
    <t>EXP-01358</t>
  </si>
  <si>
    <t>EXP-01359</t>
  </si>
  <si>
    <t>2025-06</t>
  </si>
  <si>
    <t>EXP-01360</t>
  </si>
  <si>
    <t>EXP-01361</t>
  </si>
  <si>
    <t>EXP-01362</t>
  </si>
  <si>
    <t>EXP-01363</t>
  </si>
  <si>
    <t>EXP-01364</t>
  </si>
  <si>
    <t>EXP-01365</t>
  </si>
  <si>
    <t>EXP-01366</t>
  </si>
  <si>
    <t>EXP-01367</t>
  </si>
  <si>
    <t>EXP-01368</t>
  </si>
  <si>
    <t>EXP-01369</t>
  </si>
  <si>
    <t>EXP-01370</t>
  </si>
  <si>
    <t>EXP-01371</t>
  </si>
  <si>
    <t>EXP-01372</t>
  </si>
  <si>
    <t>EXP-01373</t>
  </si>
  <si>
    <t>EXP-01374</t>
  </si>
  <si>
    <t>EXP-01375</t>
  </si>
  <si>
    <t>EXP-01376</t>
  </si>
  <si>
    <t>EXP-01377</t>
  </si>
  <si>
    <t>EXP-01378</t>
  </si>
  <si>
    <t>TRP-2025-024</t>
  </si>
  <si>
    <t>EXP-01379</t>
  </si>
  <si>
    <t>EXP-01380</t>
  </si>
  <si>
    <t>EXP-01381</t>
  </si>
  <si>
    <t>EXP-01382</t>
  </si>
  <si>
    <t>EXP-01383</t>
  </si>
  <si>
    <t>EXP-01384</t>
  </si>
  <si>
    <t>EXP-01385</t>
  </si>
  <si>
    <t>EXP-01386</t>
  </si>
  <si>
    <t>EXP-01387</t>
  </si>
  <si>
    <t>EXP-01388</t>
  </si>
  <si>
    <t>EXP-01389</t>
  </si>
  <si>
    <t>EXP-01390</t>
  </si>
  <si>
    <t>EXP-01391</t>
  </si>
  <si>
    <t>EXP-01392</t>
  </si>
  <si>
    <t>EXP-01393</t>
  </si>
  <si>
    <t>EXP-01394</t>
  </si>
  <si>
    <t>EXP-01395</t>
  </si>
  <si>
    <t>EXP-01396</t>
  </si>
  <si>
    <t>TRP-2025-103</t>
  </si>
  <si>
    <t>EXP-01397</t>
  </si>
  <si>
    <t>EXP-01398</t>
  </si>
  <si>
    <t>EXP-01399</t>
  </si>
  <si>
    <t>EXP-01400</t>
  </si>
  <si>
    <t>TRP-2025-010</t>
  </si>
  <si>
    <t>EXP-01401</t>
  </si>
  <si>
    <t>EXP-01402</t>
  </si>
  <si>
    <t>EXP-01403</t>
  </si>
  <si>
    <t>EXP-01404</t>
  </si>
  <si>
    <t>EXP-01405</t>
  </si>
  <si>
    <t>EXP-01406</t>
  </si>
  <si>
    <t>EXP-01407</t>
  </si>
  <si>
    <t>EXP-01408</t>
  </si>
  <si>
    <t>EXP-01409</t>
  </si>
  <si>
    <t>EXP-01410</t>
  </si>
  <si>
    <t>EXP-01411</t>
  </si>
  <si>
    <t>EXP-01412</t>
  </si>
  <si>
    <t>EXP-01413</t>
  </si>
  <si>
    <t>EXP-01414</t>
  </si>
  <si>
    <t>EXP-01415</t>
  </si>
  <si>
    <t>EXP-01416</t>
  </si>
  <si>
    <t>EXP-01417</t>
  </si>
  <si>
    <t>EXP-01418</t>
  </si>
  <si>
    <t>EXP-01419</t>
  </si>
  <si>
    <t>EXP-01420</t>
  </si>
  <si>
    <t>EXP-01421</t>
  </si>
  <si>
    <t>EXP-01422</t>
  </si>
  <si>
    <t>EXP-01423</t>
  </si>
  <si>
    <t>EXP-01424</t>
  </si>
  <si>
    <t>EXP-01425</t>
  </si>
  <si>
    <t>EXP-01426</t>
  </si>
  <si>
    <t>EXP-01427</t>
  </si>
  <si>
    <t>EXP-01428</t>
  </si>
  <si>
    <t>EXP-01429</t>
  </si>
  <si>
    <t>EXP-01430</t>
  </si>
  <si>
    <t>EXP-01431</t>
  </si>
  <si>
    <t>EXP-01432</t>
  </si>
  <si>
    <t>EXP-01433</t>
  </si>
  <si>
    <t>EXP-01434</t>
  </si>
  <si>
    <t>EXP-01435</t>
  </si>
  <si>
    <t>EXP-01436</t>
  </si>
  <si>
    <t>EXP-01437</t>
  </si>
  <si>
    <t>TRP-2025-090</t>
  </si>
  <si>
    <t>EXP-01438</t>
  </si>
  <si>
    <t>EXP-01439</t>
  </si>
  <si>
    <t>EXP-01440</t>
  </si>
  <si>
    <t>EXP-01441</t>
  </si>
  <si>
    <t>EXP-01442</t>
  </si>
  <si>
    <t>EXP-01443</t>
  </si>
  <si>
    <t>EXP-01444</t>
  </si>
  <si>
    <t>EXP-01445</t>
  </si>
  <si>
    <t>EXP-01446</t>
  </si>
  <si>
    <t>EXP-01447</t>
  </si>
  <si>
    <t>EXP-01448</t>
  </si>
  <si>
    <t>EXP-01449</t>
  </si>
  <si>
    <t>EXP-01450</t>
  </si>
  <si>
    <t>EXP-01451</t>
  </si>
  <si>
    <t>EXP-01452</t>
  </si>
  <si>
    <t>EXP-01453</t>
  </si>
  <si>
    <t>TRP-2025-107</t>
  </si>
  <si>
    <t>EXP-01454</t>
  </si>
  <si>
    <t>EXP-01455</t>
  </si>
  <si>
    <t>EXP-01456</t>
  </si>
  <si>
    <t>EXP-01457</t>
  </si>
  <si>
    <t>EXP-01458</t>
  </si>
  <si>
    <t>EXP-01459</t>
  </si>
  <si>
    <t>EXP-01460</t>
  </si>
  <si>
    <t>EXP-01461</t>
  </si>
  <si>
    <t>EXP-01462</t>
  </si>
  <si>
    <t>EXP-01463</t>
  </si>
  <si>
    <t>EXP-01464</t>
  </si>
  <si>
    <t>EXP-01465</t>
  </si>
  <si>
    <t>EXP-01466</t>
  </si>
  <si>
    <t>EXP-01467</t>
  </si>
  <si>
    <t>EXP-01468</t>
  </si>
  <si>
    <t>EXP-01469</t>
  </si>
  <si>
    <t>EXP-01470</t>
  </si>
  <si>
    <t>EXP-01471</t>
  </si>
  <si>
    <t>EXP-01472</t>
  </si>
  <si>
    <t>EXP-01473</t>
  </si>
  <si>
    <t>EXP-01474</t>
  </si>
  <si>
    <t>EXP-01475</t>
  </si>
  <si>
    <t>EXP-01476</t>
  </si>
  <si>
    <t>EXP-01477</t>
  </si>
  <si>
    <t>EXP-01478</t>
  </si>
  <si>
    <t>EXP-01479</t>
  </si>
  <si>
    <t>EXP-01480</t>
  </si>
  <si>
    <t>EXP-01481</t>
  </si>
  <si>
    <t>EXP-01482</t>
  </si>
  <si>
    <t>EXP-01483</t>
  </si>
  <si>
    <t>EXP-01484</t>
  </si>
  <si>
    <t>EXP-01485</t>
  </si>
  <si>
    <t>EXP-01486</t>
  </si>
  <si>
    <t>EXP-01487</t>
  </si>
  <si>
    <t>EXP-01488</t>
  </si>
  <si>
    <t>EXP-01489</t>
  </si>
  <si>
    <t>EXP-01490</t>
  </si>
  <si>
    <t>TRP-2025-129</t>
  </si>
  <si>
    <t>EXP-01491</t>
  </si>
  <si>
    <t>EXP-01492</t>
  </si>
  <si>
    <t>EXP-01493</t>
  </si>
  <si>
    <t>EXP-01494</t>
  </si>
  <si>
    <t>EXP-01495</t>
  </si>
  <si>
    <t>EXP-01496</t>
  </si>
  <si>
    <t>EXP-01497</t>
  </si>
  <si>
    <t>EXP-01498</t>
  </si>
  <si>
    <t>EXP-01499</t>
  </si>
  <si>
    <t>EXP-01500</t>
  </si>
  <si>
    <t>EXP-01501</t>
  </si>
  <si>
    <t>EXP-01502</t>
  </si>
  <si>
    <t>EXP-01503</t>
  </si>
  <si>
    <t>EXP-01504</t>
  </si>
  <si>
    <t>EXP-01505</t>
  </si>
  <si>
    <t>EXP-01506</t>
  </si>
  <si>
    <t>EXP-01507</t>
  </si>
  <si>
    <t>EXP-01508</t>
  </si>
  <si>
    <t>EXP-01509</t>
  </si>
  <si>
    <t>EXP-01510</t>
  </si>
  <si>
    <t>EXP-01511</t>
  </si>
  <si>
    <t>EXP-01512</t>
  </si>
  <si>
    <t>EXP-01513</t>
  </si>
  <si>
    <t>EXP-01514</t>
  </si>
  <si>
    <t>EXP-01515</t>
  </si>
  <si>
    <t>EXP-01516</t>
  </si>
  <si>
    <t>EXP-01517</t>
  </si>
  <si>
    <t>EXP-01518</t>
  </si>
  <si>
    <t>EXP-01519</t>
  </si>
  <si>
    <t>EXP-01520</t>
  </si>
  <si>
    <t>EXP-01521</t>
  </si>
  <si>
    <t>EXP-01522</t>
  </si>
  <si>
    <t>EXP-01523</t>
  </si>
  <si>
    <t>EXP-01524</t>
  </si>
  <si>
    <t>EXP-01525</t>
  </si>
  <si>
    <t>EXP-01526</t>
  </si>
  <si>
    <t>EXP-01527</t>
  </si>
  <si>
    <t>TRP-2025-033</t>
  </si>
  <si>
    <t>EXP-01528</t>
  </si>
  <si>
    <t>EXP-01529</t>
  </si>
  <si>
    <t>EXP-01530</t>
  </si>
  <si>
    <t>EXP-01531</t>
  </si>
  <si>
    <t>EXP-01532</t>
  </si>
  <si>
    <t>EXP-01533</t>
  </si>
  <si>
    <t>EXP-01534</t>
  </si>
  <si>
    <t>EXP-01535</t>
  </si>
  <si>
    <t>EXP-01536</t>
  </si>
  <si>
    <t>EXP-01537</t>
  </si>
  <si>
    <t>EXP-01538</t>
  </si>
  <si>
    <t>EXP-01539</t>
  </si>
  <si>
    <t>EXP-01540</t>
  </si>
  <si>
    <t>EXP-01541</t>
  </si>
  <si>
    <t>TRP-2025-113</t>
  </si>
  <si>
    <t>EXP-01542</t>
  </si>
  <si>
    <t>EXP-01543</t>
  </si>
  <si>
    <t>EXP-01544</t>
  </si>
  <si>
    <t>EXP-01545</t>
  </si>
  <si>
    <t>EXP-01546</t>
  </si>
  <si>
    <t>2025-07</t>
  </si>
  <si>
    <t>EXP-01547</t>
  </si>
  <si>
    <t>EXP-01548</t>
  </si>
  <si>
    <t>EXP-01549</t>
  </si>
  <si>
    <t>EXP-01550</t>
  </si>
  <si>
    <t>EXP-01551</t>
  </si>
  <si>
    <t>EXP-01552</t>
  </si>
  <si>
    <t>EXP-01553</t>
  </si>
  <si>
    <t>EXP-01554</t>
  </si>
  <si>
    <t>EXP-01555</t>
  </si>
  <si>
    <t>EXP-01556</t>
  </si>
  <si>
    <t>EXP-01557</t>
  </si>
  <si>
    <t>EXP-01558</t>
  </si>
  <si>
    <t>EXP-01559</t>
  </si>
  <si>
    <t>EXP-01560</t>
  </si>
  <si>
    <t>EXP-01561</t>
  </si>
  <si>
    <t>EXP-01562</t>
  </si>
  <si>
    <t>EXP-01563</t>
  </si>
  <si>
    <t>EXP-01564</t>
  </si>
  <si>
    <t>EXP-01565</t>
  </si>
  <si>
    <t>EXP-01566</t>
  </si>
  <si>
    <t>EXP-01567</t>
  </si>
  <si>
    <t>EXP-01568</t>
  </si>
  <si>
    <t>EXP-01569</t>
  </si>
  <si>
    <t>EXP-01570</t>
  </si>
  <si>
    <t>EXP-01571</t>
  </si>
  <si>
    <t>EXP-01572</t>
  </si>
  <si>
    <t>EXP-01573</t>
  </si>
  <si>
    <t>EXP-01574</t>
  </si>
  <si>
    <t>EXP-01575</t>
  </si>
  <si>
    <t>EXP-01576</t>
  </si>
  <si>
    <t>EXP-01577</t>
  </si>
  <si>
    <t>TRP-2025-003</t>
  </si>
  <si>
    <t>EXP-01578</t>
  </si>
  <si>
    <t>EXP-01579</t>
  </si>
  <si>
    <t>EXP-01580</t>
  </si>
  <si>
    <t>EXP-01581</t>
  </si>
  <si>
    <t>EXP-01582</t>
  </si>
  <si>
    <t>EXP-01583</t>
  </si>
  <si>
    <t>EXP-01584</t>
  </si>
  <si>
    <t>TRP-2025-072</t>
  </si>
  <si>
    <t>EXP-01585</t>
  </si>
  <si>
    <t>EXP-01586</t>
  </si>
  <si>
    <t>EXP-01587</t>
  </si>
  <si>
    <t>EXP-01588</t>
  </si>
  <si>
    <t>EXP-01589</t>
  </si>
  <si>
    <t>EXP-01590</t>
  </si>
  <si>
    <t>EXP-01591</t>
  </si>
  <si>
    <t>EXP-01592</t>
  </si>
  <si>
    <t>EXP-01593</t>
  </si>
  <si>
    <t>EXP-01594</t>
  </si>
  <si>
    <t>EXP-01595</t>
  </si>
  <si>
    <t>EXP-01596</t>
  </si>
  <si>
    <t>TRP-2025-036</t>
  </si>
  <si>
    <t>EXP-01597</t>
  </si>
  <si>
    <t>EXP-01598</t>
  </si>
  <si>
    <t>EXP-01599</t>
  </si>
  <si>
    <t>EXP-01600</t>
  </si>
  <si>
    <t>EXP-01601</t>
  </si>
  <si>
    <t>EXP-01602</t>
  </si>
  <si>
    <t>EXP-01603</t>
  </si>
  <si>
    <t>EXP-01604</t>
  </si>
  <si>
    <t>EXP-01605</t>
  </si>
  <si>
    <t>EXP-01606</t>
  </si>
  <si>
    <t>EXP-01607</t>
  </si>
  <si>
    <t>EXP-01608</t>
  </si>
  <si>
    <t>EXP-01609</t>
  </si>
  <si>
    <t>EXP-01610</t>
  </si>
  <si>
    <t>EXP-01611</t>
  </si>
  <si>
    <t>EXP-01612</t>
  </si>
  <si>
    <t>EXP-01613</t>
  </si>
  <si>
    <t>TRP-2025-043</t>
  </si>
  <si>
    <t>EXP-01614</t>
  </si>
  <si>
    <t>EXP-01615</t>
  </si>
  <si>
    <t>EXP-01616</t>
  </si>
  <si>
    <t>EXP-01617</t>
  </si>
  <si>
    <t>EXP-01618</t>
  </si>
  <si>
    <t>EXP-01619</t>
  </si>
  <si>
    <t>EXP-01620</t>
  </si>
  <si>
    <t>EXP-01621</t>
  </si>
  <si>
    <t>EXP-01622</t>
  </si>
  <si>
    <t>EXP-01623</t>
  </si>
  <si>
    <t>EXP-01624</t>
  </si>
  <si>
    <t>EXP-01625</t>
  </si>
  <si>
    <t>EXP-01626</t>
  </si>
  <si>
    <t>EXP-01627</t>
  </si>
  <si>
    <t>EXP-01628</t>
  </si>
  <si>
    <t>EXP-01629</t>
  </si>
  <si>
    <t>EXP-01630</t>
  </si>
  <si>
    <t>EXP-01631</t>
  </si>
  <si>
    <t>EXP-01632</t>
  </si>
  <si>
    <t>EXP-01633</t>
  </si>
  <si>
    <t>EXP-01634</t>
  </si>
  <si>
    <t>EXP-01635</t>
  </si>
  <si>
    <t>EXP-01636</t>
  </si>
  <si>
    <t>EXP-01637</t>
  </si>
  <si>
    <t>EXP-01638</t>
  </si>
  <si>
    <t>EXP-01639</t>
  </si>
  <si>
    <t>EXP-01640</t>
  </si>
  <si>
    <t>EXP-01641</t>
  </si>
  <si>
    <t>EXP-01642</t>
  </si>
  <si>
    <t>EXP-01643</t>
  </si>
  <si>
    <t>EXP-01644</t>
  </si>
  <si>
    <t>EXP-01645</t>
  </si>
  <si>
    <t>EXP-01646</t>
  </si>
  <si>
    <t>EXP-01647</t>
  </si>
  <si>
    <t>EXP-01648</t>
  </si>
  <si>
    <t>EXP-01649</t>
  </si>
  <si>
    <t>EXP-01650</t>
  </si>
  <si>
    <t>EXP-01651</t>
  </si>
  <si>
    <t>EXP-01652</t>
  </si>
  <si>
    <t>EXP-01653</t>
  </si>
  <si>
    <t>EXP-01654</t>
  </si>
  <si>
    <t>TRP-2025-126</t>
  </si>
  <si>
    <t>EXP-01655</t>
  </si>
  <si>
    <t>EXP-01656</t>
  </si>
  <si>
    <t>EXP-01657</t>
  </si>
  <si>
    <t>EXP-01658</t>
  </si>
  <si>
    <t>EXP-01659</t>
  </si>
  <si>
    <t>EXP-01660</t>
  </si>
  <si>
    <t>EXP-01661</t>
  </si>
  <si>
    <t>EXP-01662</t>
  </si>
  <si>
    <t>EXP-01663</t>
  </si>
  <si>
    <t>EXP-01664</t>
  </si>
  <si>
    <t>EXP-01665</t>
  </si>
  <si>
    <t>TRP-2025-097</t>
  </si>
  <si>
    <t>EXP-01666</t>
  </si>
  <si>
    <t>EXP-01667</t>
  </si>
  <si>
    <t>EXP-01668</t>
  </si>
  <si>
    <t>EXP-01669</t>
  </si>
  <si>
    <t>EXP-01670</t>
  </si>
  <si>
    <t>EXP-01671</t>
  </si>
  <si>
    <t>EXP-01672</t>
  </si>
  <si>
    <t>EXP-01673</t>
  </si>
  <si>
    <t>EXP-01674</t>
  </si>
  <si>
    <t>EXP-01675</t>
  </si>
  <si>
    <t>EXP-01676</t>
  </si>
  <si>
    <t>EXP-01677</t>
  </si>
  <si>
    <t>EXP-01678</t>
  </si>
  <si>
    <t>EXP-01679</t>
  </si>
  <si>
    <t>EXP-01680</t>
  </si>
  <si>
    <t>EXP-01681</t>
  </si>
  <si>
    <t>TRP-2025-084</t>
  </si>
  <si>
    <t>EXP-01682</t>
  </si>
  <si>
    <t>EXP-01683</t>
  </si>
  <si>
    <t>EXP-01684</t>
  </si>
  <si>
    <t>EXP-01685</t>
  </si>
  <si>
    <t>EXP-01686</t>
  </si>
  <si>
    <t>6 day(s), compact</t>
  </si>
  <si>
    <t>EXP-01687</t>
  </si>
  <si>
    <t>EXP-01688</t>
  </si>
  <si>
    <t>EXP-01689</t>
  </si>
  <si>
    <t>EXP-01690</t>
  </si>
  <si>
    <t>TRP-2025-114</t>
  </si>
  <si>
    <t>EXP-01691</t>
  </si>
  <si>
    <t>EXP-01692</t>
  </si>
  <si>
    <t>EXP-01693</t>
  </si>
  <si>
    <t>EXP-01694</t>
  </si>
  <si>
    <t>EXP-01695</t>
  </si>
  <si>
    <t>EXP-01696</t>
  </si>
  <si>
    <t>EXP-01697</t>
  </si>
  <si>
    <t>EXP-01698</t>
  </si>
  <si>
    <t>EXP-01699</t>
  </si>
  <si>
    <t>EXP-01700</t>
  </si>
  <si>
    <t>EXP-01701</t>
  </si>
  <si>
    <t>EXP-01702</t>
  </si>
  <si>
    <t>EXP-01703</t>
  </si>
  <si>
    <t>EXP-01704</t>
  </si>
  <si>
    <t>EXP-01705</t>
  </si>
  <si>
    <t>EXP-01706</t>
  </si>
  <si>
    <t>EXP-01707</t>
  </si>
  <si>
    <t>EXP-01708</t>
  </si>
  <si>
    <t>EXP-01709</t>
  </si>
  <si>
    <t>EXP-01710</t>
  </si>
  <si>
    <t>EXP-01711</t>
  </si>
  <si>
    <t>EXP-01712</t>
  </si>
  <si>
    <t>EXP-01713</t>
  </si>
  <si>
    <t>EXP-01714</t>
  </si>
  <si>
    <t>EXP-01715</t>
  </si>
  <si>
    <t>EXP-01716</t>
  </si>
  <si>
    <t>EXP-01717</t>
  </si>
  <si>
    <t>EXP-01718</t>
  </si>
  <si>
    <t>EXP-01719</t>
  </si>
  <si>
    <t>EXP-01720</t>
  </si>
  <si>
    <t>EXP-01721</t>
  </si>
  <si>
    <t>EXP-01722</t>
  </si>
  <si>
    <t>EXP-01723</t>
  </si>
  <si>
    <t>EXP-01724</t>
  </si>
  <si>
    <t>EXP-01725</t>
  </si>
  <si>
    <t>EXP-01726</t>
  </si>
  <si>
    <t>EXP-01727</t>
  </si>
  <si>
    <t>EXP-01728</t>
  </si>
  <si>
    <t>EXP-01729</t>
  </si>
  <si>
    <t>EXP-01730</t>
  </si>
  <si>
    <t>EXP-01731</t>
  </si>
  <si>
    <t>EXP-01732</t>
  </si>
  <si>
    <t>EXP-01733</t>
  </si>
  <si>
    <t>EXP-01734</t>
  </si>
  <si>
    <t>EXP-01735</t>
  </si>
  <si>
    <t>EXP-01736</t>
  </si>
  <si>
    <t>EXP-01737</t>
  </si>
  <si>
    <t>EXP-01738</t>
  </si>
  <si>
    <t>EXP-01739</t>
  </si>
  <si>
    <t>EXP-01740</t>
  </si>
  <si>
    <t>EXP-01741</t>
  </si>
  <si>
    <t>EXP-01742</t>
  </si>
  <si>
    <t>EXP-01743</t>
  </si>
  <si>
    <t>EXP-01744</t>
  </si>
  <si>
    <t>EXP-01745</t>
  </si>
  <si>
    <t>EXP-01746</t>
  </si>
  <si>
    <t>EXP-01747</t>
  </si>
  <si>
    <t>EXP-01748</t>
  </si>
  <si>
    <t>EXP-01749</t>
  </si>
  <si>
    <t>EXP-01750</t>
  </si>
  <si>
    <t>EXP-01751</t>
  </si>
  <si>
    <t>EXP-01752</t>
  </si>
  <si>
    <t>EXP-01753</t>
  </si>
  <si>
    <t>EXP-01754</t>
  </si>
  <si>
    <t>EXP-01755</t>
  </si>
  <si>
    <t>EXP-01756</t>
  </si>
  <si>
    <t>EXP-01757</t>
  </si>
  <si>
    <t>EXP-01758</t>
  </si>
  <si>
    <t>EXP-01759</t>
  </si>
  <si>
    <t>EXP-01760</t>
  </si>
  <si>
    <t>EXP-01761</t>
  </si>
  <si>
    <t>EXP-01762</t>
  </si>
  <si>
    <t>EMP-1315</t>
  </si>
  <si>
    <t>Director of Product</t>
  </si>
  <si>
    <t>TRP-2025-030</t>
  </si>
  <si>
    <t>EXP-01763</t>
  </si>
  <si>
    <t>EXP-01764</t>
  </si>
  <si>
    <t>EXP-01765</t>
  </si>
  <si>
    <t>EXP-01766</t>
  </si>
  <si>
    <t>EXP-01767</t>
  </si>
  <si>
    <t>EXP-01768</t>
  </si>
  <si>
    <t>EXP-01769</t>
  </si>
  <si>
    <t>EXP-01770</t>
  </si>
  <si>
    <t>EXP-01771</t>
  </si>
  <si>
    <t>EXP-01772</t>
  </si>
  <si>
    <t>EXP-01773</t>
  </si>
  <si>
    <t>EXP-01774</t>
  </si>
  <si>
    <t>EXP-01775</t>
  </si>
  <si>
    <t>EXP-01776</t>
  </si>
  <si>
    <t>EXP-01777</t>
  </si>
  <si>
    <t>EXP-01778</t>
  </si>
  <si>
    <t>EXP-01779</t>
  </si>
  <si>
    <t>EXP-01780</t>
  </si>
  <si>
    <t>EXP-01781</t>
  </si>
  <si>
    <t>TRP-2025-105</t>
  </si>
  <si>
    <t>EXP-01782</t>
  </si>
  <si>
    <t>EXP-01783</t>
  </si>
  <si>
    <t>EXP-01784</t>
  </si>
  <si>
    <t>EXP-01785</t>
  </si>
  <si>
    <t>EXP-01786</t>
  </si>
  <si>
    <t>EXP-01787</t>
  </si>
  <si>
    <t>EXP-01788</t>
  </si>
  <si>
    <t>EXP-01789</t>
  </si>
  <si>
    <t>EXP-01790</t>
  </si>
  <si>
    <t>EXP-01791</t>
  </si>
  <si>
    <t>EXP-01792</t>
  </si>
  <si>
    <t>EXP-01793</t>
  </si>
  <si>
    <t>EXP-01794</t>
  </si>
  <si>
    <t>EXP-01795</t>
  </si>
  <si>
    <t>EXP-01796</t>
  </si>
  <si>
    <t>EXP-01797</t>
  </si>
  <si>
    <t>EXP-01798</t>
  </si>
  <si>
    <t>EXP-01799</t>
  </si>
  <si>
    <t>EXP-01800</t>
  </si>
  <si>
    <t>EXP-01801</t>
  </si>
  <si>
    <t>EXP-01802</t>
  </si>
  <si>
    <t>EXP-01803</t>
  </si>
  <si>
    <t>EXP-01804</t>
  </si>
  <si>
    <t>EXP-01805</t>
  </si>
  <si>
    <t>EXP-01806</t>
  </si>
  <si>
    <t>EXP-01807</t>
  </si>
  <si>
    <t>EXP-01808</t>
  </si>
  <si>
    <t>EXP-01809</t>
  </si>
  <si>
    <t>EXP-01810</t>
  </si>
  <si>
    <t>EXP-01811</t>
  </si>
  <si>
    <t>EXP-01812</t>
  </si>
  <si>
    <t>EXP-01813</t>
  </si>
  <si>
    <t>EXP-01814</t>
  </si>
  <si>
    <t>EXP-01815</t>
  </si>
  <si>
    <t>EXP-01816</t>
  </si>
  <si>
    <t>EXP-01817</t>
  </si>
  <si>
    <t>EXP-01818</t>
  </si>
  <si>
    <t>EXP-01819</t>
  </si>
  <si>
    <t>EXP-01820</t>
  </si>
  <si>
    <t>EXP-01821</t>
  </si>
  <si>
    <t>EXP-01822</t>
  </si>
  <si>
    <t>EXP-01823</t>
  </si>
  <si>
    <t>EXP-01824</t>
  </si>
  <si>
    <t>EXP-01825</t>
  </si>
  <si>
    <t>EXP-01826</t>
  </si>
  <si>
    <t>EXP-01827</t>
  </si>
  <si>
    <t>EXP-01828</t>
  </si>
  <si>
    <t>EXP-01829</t>
  </si>
  <si>
    <t>EXP-01830</t>
  </si>
  <si>
    <t>EXP-01831</t>
  </si>
  <si>
    <t>EXP-01832</t>
  </si>
  <si>
    <t>EXP-01833</t>
  </si>
  <si>
    <t>TRP-2025-038</t>
  </si>
  <si>
    <t>EXP-01834</t>
  </si>
  <si>
    <t>EXP-01835</t>
  </si>
  <si>
    <t>EXP-01836</t>
  </si>
  <si>
    <t>EXP-01837</t>
  </si>
  <si>
    <t>EXP-01838</t>
  </si>
  <si>
    <t>EXP-01839</t>
  </si>
  <si>
    <t>EXP-01840</t>
  </si>
  <si>
    <t>EXP-01841</t>
  </si>
  <si>
    <t>EXP-01842</t>
  </si>
  <si>
    <t>EXP-01843</t>
  </si>
  <si>
    <t>EXP-01844</t>
  </si>
  <si>
    <t>EXP-01845</t>
  </si>
  <si>
    <t>EXP-01846</t>
  </si>
  <si>
    <t>EXP-01847</t>
  </si>
  <si>
    <t>EXP-01848</t>
  </si>
  <si>
    <t>EXP-01849</t>
  </si>
  <si>
    <t>EXP-01850</t>
  </si>
  <si>
    <t>EXP-01851</t>
  </si>
  <si>
    <t>EXP-01852</t>
  </si>
  <si>
    <t>EXP-01853</t>
  </si>
  <si>
    <t>TRP-2025-045</t>
  </si>
  <si>
    <t>EXP-01854</t>
  </si>
  <si>
    <t>EXP-01855</t>
  </si>
  <si>
    <t>EXP-01856</t>
  </si>
  <si>
    <t>EXP-01857</t>
  </si>
  <si>
    <t>TRP-2025-013</t>
  </si>
  <si>
    <t>2025-08</t>
  </si>
  <si>
    <t>EXP-01858</t>
  </si>
  <si>
    <t>EXP-01859</t>
  </si>
  <si>
    <t>EXP-01860</t>
  </si>
  <si>
    <t>EXP-01861</t>
  </si>
  <si>
    <t>EXP-01862</t>
  </si>
  <si>
    <t>EXP-01863</t>
  </si>
  <si>
    <t>EXP-01864</t>
  </si>
  <si>
    <t>EXP-01865</t>
  </si>
  <si>
    <t>EXP-01866</t>
  </si>
  <si>
    <t>EXP-01867</t>
  </si>
  <si>
    <t>EXP-01868</t>
  </si>
  <si>
    <t>EXP-01869</t>
  </si>
  <si>
    <t>TRP-2025-009</t>
  </si>
  <si>
    <t>EXP-01870</t>
  </si>
  <si>
    <t>EXP-01871</t>
  </si>
  <si>
    <t>EXP-01872</t>
  </si>
  <si>
    <t>EXP-01873</t>
  </si>
  <si>
    <t>EXP-01874</t>
  </si>
  <si>
    <t>EXP-01875</t>
  </si>
  <si>
    <t>EXP-01876</t>
  </si>
  <si>
    <t>EXP-01877</t>
  </si>
  <si>
    <t>EXP-01878</t>
  </si>
  <si>
    <t>EXP-01879</t>
  </si>
  <si>
    <t>EXP-01880</t>
  </si>
  <si>
    <t>EXP-01881</t>
  </si>
  <si>
    <t>EXP-01882</t>
  </si>
  <si>
    <t>EXP-01883</t>
  </si>
  <si>
    <t>EXP-01884</t>
  </si>
  <si>
    <t>EXP-01885</t>
  </si>
  <si>
    <t>EXP-01886</t>
  </si>
  <si>
    <t>EXP-01887</t>
  </si>
  <si>
    <t>EXP-01888</t>
  </si>
  <si>
    <t>EXP-01889</t>
  </si>
  <si>
    <t>EXP-01890</t>
  </si>
  <si>
    <t>EXP-01891</t>
  </si>
  <si>
    <t>EXP-01892</t>
  </si>
  <si>
    <t>EXP-01893</t>
  </si>
  <si>
    <t>EXP-01894</t>
  </si>
  <si>
    <t>EXP-01895</t>
  </si>
  <si>
    <t>EXP-01896</t>
  </si>
  <si>
    <t>EXP-01897</t>
  </si>
  <si>
    <t>EXP-01898</t>
  </si>
  <si>
    <t>EXP-01899</t>
  </si>
  <si>
    <t>EXP-01900</t>
  </si>
  <si>
    <t>EXP-01901</t>
  </si>
  <si>
    <t>EXP-01902</t>
  </si>
  <si>
    <t>EXP-01903</t>
  </si>
  <si>
    <t>EXP-01904</t>
  </si>
  <si>
    <t>EXP-01905</t>
  </si>
  <si>
    <t>EXP-01906</t>
  </si>
  <si>
    <t>EXP-01907</t>
  </si>
  <si>
    <t>EXP-01908</t>
  </si>
  <si>
    <t>EXP-01909</t>
  </si>
  <si>
    <t>EXP-01910</t>
  </si>
  <si>
    <t>EXP-01911</t>
  </si>
  <si>
    <t>EXP-01912</t>
  </si>
  <si>
    <t>EXP-01913</t>
  </si>
  <si>
    <t>EXP-01914</t>
  </si>
  <si>
    <t>EXP-01915</t>
  </si>
  <si>
    <t>EXP-01916</t>
  </si>
  <si>
    <t>EXP-01917</t>
  </si>
  <si>
    <t>EXP-01918</t>
  </si>
  <si>
    <t>TRP-2025-085</t>
  </si>
  <si>
    <t>EXP-01919</t>
  </si>
  <si>
    <t>EXP-01920</t>
  </si>
  <si>
    <t>EXP-01921</t>
  </si>
  <si>
    <t>EXP-01922</t>
  </si>
  <si>
    <t>EXP-01923</t>
  </si>
  <si>
    <t>EXP-01924</t>
  </si>
  <si>
    <t>EXP-01925</t>
  </si>
  <si>
    <t>EXP-01926</t>
  </si>
  <si>
    <t>EXP-01927</t>
  </si>
  <si>
    <t>EXP-01928</t>
  </si>
  <si>
    <t>EXP-01929</t>
  </si>
  <si>
    <t>TRP-2025-094</t>
  </si>
  <si>
    <t>EXP-01930</t>
  </si>
  <si>
    <t>EXP-01931</t>
  </si>
  <si>
    <t>EXP-01932</t>
  </si>
  <si>
    <t>TRP-2025-026</t>
  </si>
  <si>
    <t>EXP-01933</t>
  </si>
  <si>
    <t>EXP-01934</t>
  </si>
  <si>
    <t>EXP-01935</t>
  </si>
  <si>
    <t>EXP-01936</t>
  </si>
  <si>
    <t>EXP-01937</t>
  </si>
  <si>
    <t>EMP-1042</t>
  </si>
  <si>
    <t>Regional Sales Director</t>
  </si>
  <si>
    <t>TRP-2025-032</t>
  </si>
  <si>
    <t>EXP-01938</t>
  </si>
  <si>
    <t>EXP-01939</t>
  </si>
  <si>
    <t>EXP-01940</t>
  </si>
  <si>
    <t>EXP-01941</t>
  </si>
  <si>
    <t>EXP-01942</t>
  </si>
  <si>
    <t>EXP-01943</t>
  </si>
  <si>
    <t>EXP-01944</t>
  </si>
  <si>
    <t>EXP-01945</t>
  </si>
  <si>
    <t>EXP-01946</t>
  </si>
  <si>
    <t>EXP-01947</t>
  </si>
  <si>
    <t>EXP-01948</t>
  </si>
  <si>
    <t>EXP-01949</t>
  </si>
  <si>
    <t>EXP-01950</t>
  </si>
  <si>
    <t>EXP-01951</t>
  </si>
  <si>
    <t>EXP-01952</t>
  </si>
  <si>
    <t>EXP-01953</t>
  </si>
  <si>
    <t>EXP-01954</t>
  </si>
  <si>
    <t>EXP-01955</t>
  </si>
  <si>
    <t>EXP-01956</t>
  </si>
  <si>
    <t>EXP-01957</t>
  </si>
  <si>
    <t>EXP-01958</t>
  </si>
  <si>
    <t>EXP-01959</t>
  </si>
  <si>
    <t>EXP-01960</t>
  </si>
  <si>
    <t>EXP-01961</t>
  </si>
  <si>
    <t>EXP-01962</t>
  </si>
  <si>
    <t>EXP-01963</t>
  </si>
  <si>
    <t>EXP-01964</t>
  </si>
  <si>
    <t>EXP-01965</t>
  </si>
  <si>
    <t>EXP-01966</t>
  </si>
  <si>
    <t>EXP-01967</t>
  </si>
  <si>
    <t>EXP-01968</t>
  </si>
  <si>
    <t>TRP-2025-063</t>
  </si>
  <si>
    <t>EXP-01969</t>
  </si>
  <si>
    <t>EXP-01970</t>
  </si>
  <si>
    <t>EXP-01971</t>
  </si>
  <si>
    <t>EXP-01972</t>
  </si>
  <si>
    <t>EXP-01973</t>
  </si>
  <si>
    <t>EXP-01974</t>
  </si>
  <si>
    <t>EXP-01975</t>
  </si>
  <si>
    <t>EXP-01976</t>
  </si>
  <si>
    <t>EXP-01977</t>
  </si>
  <si>
    <t>EXP-01978</t>
  </si>
  <si>
    <t>EXP-01979</t>
  </si>
  <si>
    <t>EXP-01980</t>
  </si>
  <si>
    <t>TRP-2025-055</t>
  </si>
  <si>
    <t>EXP-01981</t>
  </si>
  <si>
    <t>EXP-01982</t>
  </si>
  <si>
    <t>EXP-01983</t>
  </si>
  <si>
    <t>EXP-01984</t>
  </si>
  <si>
    <t>EXP-01985</t>
  </si>
  <si>
    <t>EXP-01986</t>
  </si>
  <si>
    <t>EXP-01987</t>
  </si>
  <si>
    <t>EXP-01988</t>
  </si>
  <si>
    <t>EXP-01989</t>
  </si>
  <si>
    <t>EXP-01990</t>
  </si>
  <si>
    <t>EXP-01991</t>
  </si>
  <si>
    <t>EXP-01992</t>
  </si>
  <si>
    <t>EXP-01993</t>
  </si>
  <si>
    <t>EXP-01994</t>
  </si>
  <si>
    <t>EXP-01995</t>
  </si>
  <si>
    <t>EXP-01996</t>
  </si>
  <si>
    <t>EXP-01997</t>
  </si>
  <si>
    <t>EXP-01998</t>
  </si>
  <si>
    <t>EXP-01999</t>
  </si>
  <si>
    <t>EXP-02000</t>
  </si>
  <si>
    <t>EXP-02001</t>
  </si>
  <si>
    <t>EXP-02002</t>
  </si>
  <si>
    <t>EXP-02003</t>
  </si>
  <si>
    <t>EXP-02004</t>
  </si>
  <si>
    <t>EXP-02005</t>
  </si>
  <si>
    <t>EXP-02006</t>
  </si>
  <si>
    <t>EXP-02007</t>
  </si>
  <si>
    <t>EXP-02008</t>
  </si>
  <si>
    <t>EXP-02009</t>
  </si>
  <si>
    <t>EXP-02010</t>
  </si>
  <si>
    <t>EXP-02011</t>
  </si>
  <si>
    <t>EXP-02012</t>
  </si>
  <si>
    <t>EXP-02013</t>
  </si>
  <si>
    <t>TRP-2025-021</t>
  </si>
  <si>
    <t>EXP-02014</t>
  </si>
  <si>
    <t>EXP-02015</t>
  </si>
  <si>
    <t>EXP-02016</t>
  </si>
  <si>
    <t>EXP-02017</t>
  </si>
  <si>
    <t>TRP-2025-110</t>
  </si>
  <si>
    <t>EXP-02018</t>
  </si>
  <si>
    <t>EXP-02019</t>
  </si>
  <si>
    <t>EXP-02020</t>
  </si>
  <si>
    <t>EXP-02021</t>
  </si>
  <si>
    <t>EXP-02022</t>
  </si>
  <si>
    <t>EXP-02023</t>
  </si>
  <si>
    <t>EXP-02024</t>
  </si>
  <si>
    <t>EXP-02025</t>
  </si>
  <si>
    <t>EXP-02026</t>
  </si>
  <si>
    <t>EXP-02027</t>
  </si>
  <si>
    <t>EXP-02028</t>
  </si>
  <si>
    <t>TRP-2025-075</t>
  </si>
  <si>
    <t>EXP-02029</t>
  </si>
  <si>
    <t>EXP-02030</t>
  </si>
  <si>
    <t>EXP-02031</t>
  </si>
  <si>
    <t>EXP-02032</t>
  </si>
  <si>
    <t>EXP-02033</t>
  </si>
  <si>
    <t>EXP-02034</t>
  </si>
  <si>
    <t>EXP-02035</t>
  </si>
  <si>
    <t>EXP-02036</t>
  </si>
  <si>
    <t>EXP-02037</t>
  </si>
  <si>
    <t>EXP-02038</t>
  </si>
  <si>
    <t>EXP-02039</t>
  </si>
  <si>
    <t>EXP-02040</t>
  </si>
  <si>
    <t>EXP-02041</t>
  </si>
  <si>
    <t>EXP-02042</t>
  </si>
  <si>
    <t>EXP-02043</t>
  </si>
  <si>
    <t>EXP-02044</t>
  </si>
  <si>
    <t>EXP-02045</t>
  </si>
  <si>
    <t>EXP-02046</t>
  </si>
  <si>
    <t>EXP-02047</t>
  </si>
  <si>
    <t>EXP-02048</t>
  </si>
  <si>
    <t>EXP-02049</t>
  </si>
  <si>
    <t>EXP-02050</t>
  </si>
  <si>
    <t>EXP-02051</t>
  </si>
  <si>
    <t>EXP-02052</t>
  </si>
  <si>
    <t>EXP-02053</t>
  </si>
  <si>
    <t>EXP-02054</t>
  </si>
  <si>
    <t>EXP-02055</t>
  </si>
  <si>
    <t>EXP-02056</t>
  </si>
  <si>
    <t>EXP-02057</t>
  </si>
  <si>
    <t>TRP-2025-138</t>
  </si>
  <si>
    <t>EXP-02058</t>
  </si>
  <si>
    <t>EXP-02059</t>
  </si>
  <si>
    <t>EXP-02060</t>
  </si>
  <si>
    <t>EXP-02061</t>
  </si>
  <si>
    <t>EXP-02062</t>
  </si>
  <si>
    <t>EXP-02063</t>
  </si>
  <si>
    <t>EXP-02064</t>
  </si>
  <si>
    <t>EXP-02065</t>
  </si>
  <si>
    <t>EXP-02066</t>
  </si>
  <si>
    <t>EXP-02067</t>
  </si>
  <si>
    <t>EXP-02068</t>
  </si>
  <si>
    <t>EXP-02069</t>
  </si>
  <si>
    <t>EXP-02070</t>
  </si>
  <si>
    <t>EXP-02071</t>
  </si>
  <si>
    <t>EXP-02072</t>
  </si>
  <si>
    <t>EXP-02073</t>
  </si>
  <si>
    <t>EXP-02074</t>
  </si>
  <si>
    <t>EXP-02075</t>
  </si>
  <si>
    <t>EXP-02076</t>
  </si>
  <si>
    <t>EXP-02077</t>
  </si>
  <si>
    <t>EXP-02078</t>
  </si>
  <si>
    <t>2025-09</t>
  </si>
  <si>
    <t>EXP-02079</t>
  </si>
  <si>
    <t>EXP-02080</t>
  </si>
  <si>
    <t>EXP-02081</t>
  </si>
  <si>
    <t>EXP-02082</t>
  </si>
  <si>
    <t>TRP-2025-132</t>
  </si>
  <si>
    <t>EXP-02083</t>
  </si>
  <si>
    <t>EXP-02084</t>
  </si>
  <si>
    <t>EXP-02085</t>
  </si>
  <si>
    <t>EXP-02086</t>
  </si>
  <si>
    <t>EXP-02087</t>
  </si>
  <si>
    <t>TRP-2025-093</t>
  </si>
  <si>
    <t>EXP-02088</t>
  </si>
  <si>
    <t>EXP-02089</t>
  </si>
  <si>
    <t>EXP-02090</t>
  </si>
  <si>
    <t>EXP-02091</t>
  </si>
  <si>
    <t>EXP-02092</t>
  </si>
  <si>
    <t>EXP-02093</t>
  </si>
  <si>
    <t>EXP-02094</t>
  </si>
  <si>
    <t>EXP-02095</t>
  </si>
  <si>
    <t>TRP-2025-012</t>
  </si>
  <si>
    <t>EXP-02096</t>
  </si>
  <si>
    <t>EXP-02097</t>
  </si>
  <si>
    <t>EXP-02098</t>
  </si>
  <si>
    <t>EXP-02099</t>
  </si>
  <si>
    <t>EXP-02100</t>
  </si>
  <si>
    <t>EXP-02101</t>
  </si>
  <si>
    <t>EXP-02102</t>
  </si>
  <si>
    <t>EXP-02103</t>
  </si>
  <si>
    <t>EXP-02104</t>
  </si>
  <si>
    <t>EXP-02105</t>
  </si>
  <si>
    <t>EXP-02106</t>
  </si>
  <si>
    <t>EXP-02107</t>
  </si>
  <si>
    <t>EXP-02108</t>
  </si>
  <si>
    <t>EXP-02109</t>
  </si>
  <si>
    <t>EXP-02110</t>
  </si>
  <si>
    <t>EXP-02111</t>
  </si>
  <si>
    <t>EXP-02112</t>
  </si>
  <si>
    <t>EXP-02113</t>
  </si>
  <si>
    <t>EXP-02114</t>
  </si>
  <si>
    <t>EXP-02115</t>
  </si>
  <si>
    <t>EXP-02116</t>
  </si>
  <si>
    <t>EXP-02117</t>
  </si>
  <si>
    <t>EXP-02118</t>
  </si>
  <si>
    <t>EXP-02119</t>
  </si>
  <si>
    <t>EXP-02120</t>
  </si>
  <si>
    <t>EXP-02121</t>
  </si>
  <si>
    <t>EXP-02122</t>
  </si>
  <si>
    <t>TRP-2025-083</t>
  </si>
  <si>
    <t>EXP-02123</t>
  </si>
  <si>
    <t>EXP-02124</t>
  </si>
  <si>
    <t>EXP-02125</t>
  </si>
  <si>
    <t>EXP-02126</t>
  </si>
  <si>
    <t>EXP-02127</t>
  </si>
  <si>
    <t>EXP-02128</t>
  </si>
  <si>
    <t>EXP-02129</t>
  </si>
  <si>
    <t>EXP-02130</t>
  </si>
  <si>
    <t>EXP-02131</t>
  </si>
  <si>
    <t>EXP-02132</t>
  </si>
  <si>
    <t>EXP-02133</t>
  </si>
  <si>
    <t>EXP-02134</t>
  </si>
  <si>
    <t>EXP-02135</t>
  </si>
  <si>
    <t>EXP-02136</t>
  </si>
  <si>
    <t>EXP-02137</t>
  </si>
  <si>
    <t>EXP-02138</t>
  </si>
  <si>
    <t>EXP-02139</t>
  </si>
  <si>
    <t>EXP-02140</t>
  </si>
  <si>
    <t>EXP-02141</t>
  </si>
  <si>
    <t>EXP-02142</t>
  </si>
  <si>
    <t>EXP-02143</t>
  </si>
  <si>
    <t>EXP-02144</t>
  </si>
  <si>
    <t>EXP-02145</t>
  </si>
  <si>
    <t>EXP-02146</t>
  </si>
  <si>
    <t>EXP-02147</t>
  </si>
  <si>
    <t>EXP-02148</t>
  </si>
  <si>
    <t>EXP-02149</t>
  </si>
  <si>
    <t>TRP-2025-069</t>
  </si>
  <si>
    <t>EXP-02150</t>
  </si>
  <si>
    <t>EXP-02151</t>
  </si>
  <si>
    <t>EXP-02152</t>
  </si>
  <si>
    <t>EXP-02153</t>
  </si>
  <si>
    <t>EXP-02154</t>
  </si>
  <si>
    <t>EXP-02155</t>
  </si>
  <si>
    <t>EXP-02156</t>
  </si>
  <si>
    <t>EXP-02157</t>
  </si>
  <si>
    <t>EXP-02158</t>
  </si>
  <si>
    <t>EXP-02159</t>
  </si>
  <si>
    <t>EXP-02160</t>
  </si>
  <si>
    <t>EXP-02161</t>
  </si>
  <si>
    <t>EXP-02162</t>
  </si>
  <si>
    <t>EXP-02163</t>
  </si>
  <si>
    <t>EXP-02164</t>
  </si>
  <si>
    <t>EXP-02165</t>
  </si>
  <si>
    <t>EXP-02166</t>
  </si>
  <si>
    <t>EXP-02167</t>
  </si>
  <si>
    <t>EXP-02168</t>
  </si>
  <si>
    <t>EXP-02169</t>
  </si>
  <si>
    <t>EXP-02170</t>
  </si>
  <si>
    <t>EXP-02171</t>
  </si>
  <si>
    <t>EXP-02172</t>
  </si>
  <si>
    <t>TRP-2025-065</t>
  </si>
  <si>
    <t>EXP-02173</t>
  </si>
  <si>
    <t>EXP-02174</t>
  </si>
  <si>
    <t>EXP-02175</t>
  </si>
  <si>
    <t>EXP-02176</t>
  </si>
  <si>
    <t>EXP-02177</t>
  </si>
  <si>
    <t>EXP-02178</t>
  </si>
  <si>
    <t>EXP-02179</t>
  </si>
  <si>
    <t>EXP-02180</t>
  </si>
  <si>
    <t>EXP-02181</t>
  </si>
  <si>
    <t>EXP-02182</t>
  </si>
  <si>
    <t>EXP-02183</t>
  </si>
  <si>
    <t>EXP-02184</t>
  </si>
  <si>
    <t>EXP-02185</t>
  </si>
  <si>
    <t>EXP-02186</t>
  </si>
  <si>
    <t>EXP-02187</t>
  </si>
  <si>
    <t>EXP-02188</t>
  </si>
  <si>
    <t>EXP-02189</t>
  </si>
  <si>
    <t>EXP-02190</t>
  </si>
  <si>
    <t>EXP-02191</t>
  </si>
  <si>
    <t>EXP-02192</t>
  </si>
  <si>
    <t>EXP-02193</t>
  </si>
  <si>
    <t>EXP-02194</t>
  </si>
  <si>
    <t>EXP-02195</t>
  </si>
  <si>
    <t>EXP-02196</t>
  </si>
  <si>
    <t>EXP-02197</t>
  </si>
  <si>
    <t>EXP-02198</t>
  </si>
  <si>
    <t>EXP-02199</t>
  </si>
  <si>
    <t>EXP-02200</t>
  </si>
  <si>
    <t>EXP-02201</t>
  </si>
  <si>
    <t>EXP-02202</t>
  </si>
  <si>
    <t>TRP-2025-064</t>
  </si>
  <si>
    <t>EXP-02203</t>
  </si>
  <si>
    <t>EXP-02204</t>
  </si>
  <si>
    <t>EXP-02205</t>
  </si>
  <si>
    <t>EXP-02206</t>
  </si>
  <si>
    <t>EXP-02207</t>
  </si>
  <si>
    <t>EXP-02208</t>
  </si>
  <si>
    <t>EXP-02209</t>
  </si>
  <si>
    <t>EXP-02210</t>
  </si>
  <si>
    <t>EXP-02211</t>
  </si>
  <si>
    <t>EXP-02212</t>
  </si>
  <si>
    <t>EXP-02213</t>
  </si>
  <si>
    <t>EXP-02214</t>
  </si>
  <si>
    <t>EXP-02215</t>
  </si>
  <si>
    <t>EXP-02216</t>
  </si>
  <si>
    <t>EXP-02217</t>
  </si>
  <si>
    <t>EXP-02218</t>
  </si>
  <si>
    <t>EXP-02219</t>
  </si>
  <si>
    <t>EXP-02220</t>
  </si>
  <si>
    <t>EXP-02221</t>
  </si>
  <si>
    <t>EXP-02222</t>
  </si>
  <si>
    <t>TRP-2025-028</t>
  </si>
  <si>
    <t>EXP-02223</t>
  </si>
  <si>
    <t>EXP-02224</t>
  </si>
  <si>
    <t>EXP-02225</t>
  </si>
  <si>
    <t>EXP-02226</t>
  </si>
  <si>
    <t>EXP-02227</t>
  </si>
  <si>
    <t>EXP-02228</t>
  </si>
  <si>
    <t>EXP-02229</t>
  </si>
  <si>
    <t>EXP-02230</t>
  </si>
  <si>
    <t>EXP-02231</t>
  </si>
  <si>
    <t>EXP-02232</t>
  </si>
  <si>
    <t>EXP-02233</t>
  </si>
  <si>
    <t>EXP-02234</t>
  </si>
  <si>
    <t>EXP-02235</t>
  </si>
  <si>
    <t>EXP-02236</t>
  </si>
  <si>
    <t>EXP-02237</t>
  </si>
  <si>
    <t>EXP-02238</t>
  </si>
  <si>
    <t>EXP-02239</t>
  </si>
  <si>
    <t>EXP-02240</t>
  </si>
  <si>
    <t>EXP-02241</t>
  </si>
  <si>
    <t>EXP-02242</t>
  </si>
  <si>
    <t>EXP-02243</t>
  </si>
  <si>
    <t>EXP-02244</t>
  </si>
  <si>
    <t>EXP-02245</t>
  </si>
  <si>
    <t>EXP-02246</t>
  </si>
  <si>
    <t>TRP-2025-007</t>
  </si>
  <si>
    <t>EXP-02247</t>
  </si>
  <si>
    <t>EXP-02248</t>
  </si>
  <si>
    <t>EXP-02249</t>
  </si>
  <si>
    <t>EXP-02250</t>
  </si>
  <si>
    <t>EXP-02251</t>
  </si>
  <si>
    <t>EXP-02252</t>
  </si>
  <si>
    <t>EXP-02253</t>
  </si>
  <si>
    <t>TRP-2025-122</t>
  </si>
  <si>
    <t>EXP-02254</t>
  </si>
  <si>
    <t>EXP-02255</t>
  </si>
  <si>
    <t>EXP-02256</t>
  </si>
  <si>
    <t>EXP-02257</t>
  </si>
  <si>
    <t>EXP-02258</t>
  </si>
  <si>
    <t>EXP-02259</t>
  </si>
  <si>
    <t>EXP-02260</t>
  </si>
  <si>
    <t>EXP-02261</t>
  </si>
  <si>
    <t>EXP-02262</t>
  </si>
  <si>
    <t>EXP-02263</t>
  </si>
  <si>
    <t>EXP-02264</t>
  </si>
  <si>
    <t>EXP-02265</t>
  </si>
  <si>
    <t>EXP-02266</t>
  </si>
  <si>
    <t>EXP-02267</t>
  </si>
  <si>
    <t>EXP-02268</t>
  </si>
  <si>
    <t>EXP-02269</t>
  </si>
  <si>
    <t>EXP-02270</t>
  </si>
  <si>
    <t>EXP-02271</t>
  </si>
  <si>
    <t>EXP-02272</t>
  </si>
  <si>
    <t>EXP-02273</t>
  </si>
  <si>
    <t>EXP-02274</t>
  </si>
  <si>
    <t>EXP-02275</t>
  </si>
  <si>
    <t>EXP-02276</t>
  </si>
  <si>
    <t>EXP-02277</t>
  </si>
  <si>
    <t>EXP-02278</t>
  </si>
  <si>
    <t>EXP-02279</t>
  </si>
  <si>
    <t>EXP-02280</t>
  </si>
  <si>
    <t>EXP-02281</t>
  </si>
  <si>
    <t>TRP-2025-047</t>
  </si>
  <si>
    <t>2025-10</t>
  </si>
  <si>
    <t>EXP-02282</t>
  </si>
  <si>
    <t>EXP-02283</t>
  </si>
  <si>
    <t>EXP-02284</t>
  </si>
  <si>
    <t>EXP-02285</t>
  </si>
  <si>
    <t>EXP-02286</t>
  </si>
  <si>
    <t>EXP-02287</t>
  </si>
  <si>
    <t>EXP-02288</t>
  </si>
  <si>
    <t>EXP-02289</t>
  </si>
  <si>
    <t>EXP-02290</t>
  </si>
  <si>
    <t>EXP-02291</t>
  </si>
  <si>
    <t>EXP-02292</t>
  </si>
  <si>
    <t>EXP-02293</t>
  </si>
  <si>
    <t>EXP-02294</t>
  </si>
  <si>
    <t>EXP-02295</t>
  </si>
  <si>
    <t>EXP-02296</t>
  </si>
  <si>
    <t>EXP-02297</t>
  </si>
  <si>
    <t>EXP-02298</t>
  </si>
  <si>
    <t>EXP-02299</t>
  </si>
  <si>
    <t>EXP-02300</t>
  </si>
  <si>
    <t>EXP-02301</t>
  </si>
  <si>
    <t>EXP-02302</t>
  </si>
  <si>
    <t>EXP-02303</t>
  </si>
  <si>
    <t>EXP-02304</t>
  </si>
  <si>
    <t>EXP-02305</t>
  </si>
  <si>
    <t>TRP-2025-068</t>
  </si>
  <si>
    <t>EXP-02306</t>
  </si>
  <si>
    <t>EXP-02307</t>
  </si>
  <si>
    <t>EXP-02308</t>
  </si>
  <si>
    <t>EXP-02309</t>
  </si>
  <si>
    <t>EXP-02310</t>
  </si>
  <si>
    <t>TRP-2025-134</t>
  </si>
  <si>
    <t>EXP-02311</t>
  </si>
  <si>
    <t>EXP-02312</t>
  </si>
  <si>
    <t>EXP-02313</t>
  </si>
  <si>
    <t>EXP-02314</t>
  </si>
  <si>
    <t>EXP-02315</t>
  </si>
  <si>
    <t>EXP-02316</t>
  </si>
  <si>
    <t>EXP-02317</t>
  </si>
  <si>
    <t>EXP-02318</t>
  </si>
  <si>
    <t>EXP-02319</t>
  </si>
  <si>
    <t>EXP-02320</t>
  </si>
  <si>
    <t>EXP-02321</t>
  </si>
  <si>
    <t>EXP-02322</t>
  </si>
  <si>
    <t>EXP-02323</t>
  </si>
  <si>
    <t>EXP-02324</t>
  </si>
  <si>
    <t>EXP-02325</t>
  </si>
  <si>
    <t>EXP-02326</t>
  </si>
  <si>
    <t>EXP-02327</t>
  </si>
  <si>
    <t>EXP-02328</t>
  </si>
  <si>
    <t>EXP-02329</t>
  </si>
  <si>
    <t>EXP-02330</t>
  </si>
  <si>
    <t>EXP-02331</t>
  </si>
  <si>
    <t>EXP-02332</t>
  </si>
  <si>
    <t>EXP-02333</t>
  </si>
  <si>
    <t>EXP-02334</t>
  </si>
  <si>
    <t>EXP-02335</t>
  </si>
  <si>
    <t>EXP-02336</t>
  </si>
  <si>
    <t>EXP-02337</t>
  </si>
  <si>
    <t>EXP-02338</t>
  </si>
  <si>
    <t>EXP-02339</t>
  </si>
  <si>
    <t>EXP-02340</t>
  </si>
  <si>
    <t>EXP-02341</t>
  </si>
  <si>
    <t>EXP-02342</t>
  </si>
  <si>
    <t>EXP-02343</t>
  </si>
  <si>
    <t>EXP-02344</t>
  </si>
  <si>
    <t>EXP-02345</t>
  </si>
  <si>
    <t>EXP-02346</t>
  </si>
  <si>
    <t>EXP-02347</t>
  </si>
  <si>
    <t>EXP-02348</t>
  </si>
  <si>
    <t>TRP-2025-115</t>
  </si>
  <si>
    <t>EXP-02349</t>
  </si>
  <si>
    <t>EXP-02350</t>
  </si>
  <si>
    <t>EXP-02351</t>
  </si>
  <si>
    <t>EXP-02352</t>
  </si>
  <si>
    <t>EXP-02353</t>
  </si>
  <si>
    <t>TRP-2025-040</t>
  </si>
  <si>
    <t>EXP-02354</t>
  </si>
  <si>
    <t>EXP-02355</t>
  </si>
  <si>
    <t>EXP-02356</t>
  </si>
  <si>
    <t>EXP-02357</t>
  </si>
  <si>
    <t>EXP-02358</t>
  </si>
  <si>
    <t>EXP-02359</t>
  </si>
  <si>
    <t>EXP-02360</t>
  </si>
  <si>
    <t>EXP-02361</t>
  </si>
  <si>
    <t>EXP-02362</t>
  </si>
  <si>
    <t>EXP-02363</t>
  </si>
  <si>
    <t>EXP-02364</t>
  </si>
  <si>
    <t>EXP-02365</t>
  </si>
  <si>
    <t>EXP-02366</t>
  </si>
  <si>
    <t>EXP-02367</t>
  </si>
  <si>
    <t>EXP-02368</t>
  </si>
  <si>
    <t>EXP-02369</t>
  </si>
  <si>
    <t>EXP-02370</t>
  </si>
  <si>
    <t>EXP-02371</t>
  </si>
  <si>
    <t>EXP-02372</t>
  </si>
  <si>
    <t>EXP-02373</t>
  </si>
  <si>
    <t>EXP-02374</t>
  </si>
  <si>
    <t>EXP-02375</t>
  </si>
  <si>
    <t>EXP-02376</t>
  </si>
  <si>
    <t>EXP-02377</t>
  </si>
  <si>
    <t>EXP-02378</t>
  </si>
  <si>
    <t>EXP-02379</t>
  </si>
  <si>
    <t>EXP-02380</t>
  </si>
  <si>
    <t>EXP-02381</t>
  </si>
  <si>
    <t>EXP-02382</t>
  </si>
  <si>
    <t>EXP-02383</t>
  </si>
  <si>
    <t>EXP-02384</t>
  </si>
  <si>
    <t>EXP-02385</t>
  </si>
  <si>
    <t>EXP-02386</t>
  </si>
  <si>
    <t>EXP-02387</t>
  </si>
  <si>
    <t>EXP-02388</t>
  </si>
  <si>
    <t>EXP-02389</t>
  </si>
  <si>
    <t>EXP-02390</t>
  </si>
  <si>
    <t>TRP-2025-057</t>
  </si>
  <si>
    <t>EXP-02391</t>
  </si>
  <si>
    <t>EXP-02392</t>
  </si>
  <si>
    <t>EXP-02393</t>
  </si>
  <si>
    <t>EXP-02394</t>
  </si>
  <si>
    <t>EXP-02395</t>
  </si>
  <si>
    <t>EXP-02396</t>
  </si>
  <si>
    <t>EXP-02397</t>
  </si>
  <si>
    <t>EXP-02398</t>
  </si>
  <si>
    <t>EXP-02399</t>
  </si>
  <si>
    <t>EXP-02400</t>
  </si>
  <si>
    <t>EXP-02401</t>
  </si>
  <si>
    <t>EXP-02402</t>
  </si>
  <si>
    <t>EXP-02403</t>
  </si>
  <si>
    <t>EXP-02404</t>
  </si>
  <si>
    <t>EXP-02405</t>
  </si>
  <si>
    <t>EXP-02406</t>
  </si>
  <si>
    <t>EXP-02407</t>
  </si>
  <si>
    <t>EXP-02408</t>
  </si>
  <si>
    <t>EXP-02409</t>
  </si>
  <si>
    <t>EXP-02410</t>
  </si>
  <si>
    <t>TRP-2025-014</t>
  </si>
  <si>
    <t>EXP-02411</t>
  </si>
  <si>
    <t>EXP-02412</t>
  </si>
  <si>
    <t>EXP-02413</t>
  </si>
  <si>
    <t>EXP-02414</t>
  </si>
  <si>
    <t>EXP-02415</t>
  </si>
  <si>
    <t>EXP-02416</t>
  </si>
  <si>
    <t>EXP-02417</t>
  </si>
  <si>
    <t>EXP-02418</t>
  </si>
  <si>
    <t>TRP-2025-101</t>
  </si>
  <si>
    <t>EXP-02419</t>
  </si>
  <si>
    <t>EXP-02420</t>
  </si>
  <si>
    <t>EXP-02421</t>
  </si>
  <si>
    <t>EXP-02422</t>
  </si>
  <si>
    <t>EXP-02423</t>
  </si>
  <si>
    <t>EXP-02424</t>
  </si>
  <si>
    <t>TRP-2025-034</t>
  </si>
  <si>
    <t>EXP-02425</t>
  </si>
  <si>
    <t>EXP-02426</t>
  </si>
  <si>
    <t>EXP-02427</t>
  </si>
  <si>
    <t>EXP-02428</t>
  </si>
  <si>
    <t>EXP-02429</t>
  </si>
  <si>
    <t>EXP-02430</t>
  </si>
  <si>
    <t>EXP-02431</t>
  </si>
  <si>
    <t>EXP-02432</t>
  </si>
  <si>
    <t>EXP-02433</t>
  </si>
  <si>
    <t>EXP-02434</t>
  </si>
  <si>
    <t>EXP-02435</t>
  </si>
  <si>
    <t>EXP-02436</t>
  </si>
  <si>
    <t>EXP-02437</t>
  </si>
  <si>
    <t>EXP-02438</t>
  </si>
  <si>
    <t>EXP-02439</t>
  </si>
  <si>
    <t>EXP-02440</t>
  </si>
  <si>
    <t>EXP-02441</t>
  </si>
  <si>
    <t>EXP-02442</t>
  </si>
  <si>
    <t>EXP-02443</t>
  </si>
  <si>
    <t>EXP-02444</t>
  </si>
  <si>
    <t>EXP-02445</t>
  </si>
  <si>
    <t>EXP-02446</t>
  </si>
  <si>
    <t>EXP-02447</t>
  </si>
  <si>
    <t>TRP-2025-125</t>
  </si>
  <si>
    <t>EXP-02448</t>
  </si>
  <si>
    <t>EXP-02449</t>
  </si>
  <si>
    <t>EXP-02450</t>
  </si>
  <si>
    <t>EXP-02451</t>
  </si>
  <si>
    <t>EXP-02452</t>
  </si>
  <si>
    <t>EXP-02453</t>
  </si>
  <si>
    <t>EXP-02454</t>
  </si>
  <si>
    <t>EXP-02455</t>
  </si>
  <si>
    <t>EXP-02456</t>
  </si>
  <si>
    <t>EXP-02457</t>
  </si>
  <si>
    <t>EXP-02458</t>
  </si>
  <si>
    <t>EXP-02459</t>
  </si>
  <si>
    <t>EXP-02460</t>
  </si>
  <si>
    <t>EXP-02461</t>
  </si>
  <si>
    <t>EXP-02462</t>
  </si>
  <si>
    <t>EXP-02463</t>
  </si>
  <si>
    <t>EXP-02464</t>
  </si>
  <si>
    <t>EXP-02465</t>
  </si>
  <si>
    <t>EXP-02466</t>
  </si>
  <si>
    <t>EXP-02467</t>
  </si>
  <si>
    <t>EXP-02468</t>
  </si>
  <si>
    <t>EXP-02469</t>
  </si>
  <si>
    <t>EXP-02470</t>
  </si>
  <si>
    <t>EXP-02471</t>
  </si>
  <si>
    <t>EXP-02472</t>
  </si>
  <si>
    <t>EXP-02473</t>
  </si>
  <si>
    <t>EXP-02474</t>
  </si>
  <si>
    <t>TRP-2025-127</t>
  </si>
  <si>
    <t>EXP-02475</t>
  </si>
  <si>
    <t>EXP-02476</t>
  </si>
  <si>
    <t>EXP-02477</t>
  </si>
  <si>
    <t>EXP-02478</t>
  </si>
  <si>
    <t>EXP-02479</t>
  </si>
  <si>
    <t>EXP-02480</t>
  </si>
  <si>
    <t>TRP-2025-004</t>
  </si>
  <si>
    <t>EXP-02481</t>
  </si>
  <si>
    <t>EXP-02482</t>
  </si>
  <si>
    <t>EXP-02483</t>
  </si>
  <si>
    <t>EXP-02484</t>
  </si>
  <si>
    <t>EXP-02485</t>
  </si>
  <si>
    <t>TRP-2025-029</t>
  </si>
  <si>
    <t>EXP-02486</t>
  </si>
  <si>
    <t>EXP-02487</t>
  </si>
  <si>
    <t>EXP-02488</t>
  </si>
  <si>
    <t>EXP-02489</t>
  </si>
  <si>
    <t>EXP-02490</t>
  </si>
  <si>
    <t>EXP-02491</t>
  </si>
  <si>
    <t>EXP-02492</t>
  </si>
  <si>
    <t>EXP-02493</t>
  </si>
  <si>
    <t>EXP-02494</t>
  </si>
  <si>
    <t>EXP-02495</t>
  </si>
  <si>
    <t>EXP-02496</t>
  </si>
  <si>
    <t>EXP-02497</t>
  </si>
  <si>
    <t>EXP-02498</t>
  </si>
  <si>
    <t>EXP-02499</t>
  </si>
  <si>
    <t>EXP-02500</t>
  </si>
  <si>
    <t>EXP-02501</t>
  </si>
  <si>
    <t>EXP-02502</t>
  </si>
  <si>
    <t>EXP-02503</t>
  </si>
  <si>
    <t>EXP-02504</t>
  </si>
  <si>
    <t>EXP-02505</t>
  </si>
  <si>
    <t>EXP-02506</t>
  </si>
  <si>
    <t>EXP-02507</t>
  </si>
  <si>
    <t>EXP-02508</t>
  </si>
  <si>
    <t>EXP-02509</t>
  </si>
  <si>
    <t>EXP-02510</t>
  </si>
  <si>
    <t>EXP-02511</t>
  </si>
  <si>
    <t>EXP-02512</t>
  </si>
  <si>
    <t>EXP-02513</t>
  </si>
  <si>
    <t>EXP-02514</t>
  </si>
  <si>
    <t>EXP-02515</t>
  </si>
  <si>
    <t>EXP-02516</t>
  </si>
  <si>
    <t>EXP-02517</t>
  </si>
  <si>
    <t>EXP-02518</t>
  </si>
  <si>
    <t>EXP-02519</t>
  </si>
  <si>
    <t>EXP-02520</t>
  </si>
  <si>
    <t>EXP-02521</t>
  </si>
  <si>
    <t>EXP-02522</t>
  </si>
  <si>
    <t>EXP-02523</t>
  </si>
  <si>
    <t>TRP-2025-049</t>
  </si>
  <si>
    <t>EXP-02524</t>
  </si>
  <si>
    <t>EXP-02525</t>
  </si>
  <si>
    <t>EXP-02526</t>
  </si>
  <si>
    <t>EXP-02527</t>
  </si>
  <si>
    <t>EXP-02528</t>
  </si>
  <si>
    <t>EXP-02529</t>
  </si>
  <si>
    <t>EXP-02530</t>
  </si>
  <si>
    <t>EXP-02531</t>
  </si>
  <si>
    <t>EXP-02532</t>
  </si>
  <si>
    <t>EXP-02533</t>
  </si>
  <si>
    <t>EXP-02534</t>
  </si>
  <si>
    <t>EXP-02535</t>
  </si>
  <si>
    <t>EXP-02536</t>
  </si>
  <si>
    <t>EXP-02537</t>
  </si>
  <si>
    <t>EXP-02538</t>
  </si>
  <si>
    <t>EXP-02539</t>
  </si>
  <si>
    <t>EXP-02540</t>
  </si>
  <si>
    <t>EXP-02541</t>
  </si>
  <si>
    <t>EXP-02542</t>
  </si>
  <si>
    <t>EXP-02543</t>
  </si>
  <si>
    <t>EXP-02544</t>
  </si>
  <si>
    <t>EXP-02545</t>
  </si>
  <si>
    <t>EXP-02546</t>
  </si>
  <si>
    <t>EXP-02547</t>
  </si>
  <si>
    <t>EXP-02548</t>
  </si>
  <si>
    <t>EXP-02549</t>
  </si>
  <si>
    <t>EXP-02550</t>
  </si>
  <si>
    <t>EXP-02551</t>
  </si>
  <si>
    <t>EXP-02552</t>
  </si>
  <si>
    <t>EXP-02553</t>
  </si>
  <si>
    <t>EXP-02554</t>
  </si>
  <si>
    <t>EXP-02555</t>
  </si>
  <si>
    <t>EXP-02556</t>
  </si>
  <si>
    <t>EXP-02557</t>
  </si>
  <si>
    <t>EXP-02558</t>
  </si>
  <si>
    <t>EXP-02559</t>
  </si>
  <si>
    <t>EXP-02560</t>
  </si>
  <si>
    <t>EXP-02561</t>
  </si>
  <si>
    <t>EXP-02562</t>
  </si>
  <si>
    <t>EXP-02563</t>
  </si>
  <si>
    <t>EXP-02564</t>
  </si>
  <si>
    <t>EXP-02565</t>
  </si>
  <si>
    <t>EXP-02566</t>
  </si>
  <si>
    <t>EXP-02567</t>
  </si>
  <si>
    <t>EXP-02568</t>
  </si>
  <si>
    <t>TRP-2025-077</t>
  </si>
  <si>
    <t>EXP-02569</t>
  </si>
  <si>
    <t>EXP-02570</t>
  </si>
  <si>
    <t>EXP-02571</t>
  </si>
  <si>
    <t>EXP-02572</t>
  </si>
  <si>
    <t>EXP-02573</t>
  </si>
  <si>
    <t>EXP-02574</t>
  </si>
  <si>
    <t>EXP-02575</t>
  </si>
  <si>
    <t>EXP-02576</t>
  </si>
  <si>
    <t>EXP-02577</t>
  </si>
  <si>
    <t>EXP-02578</t>
  </si>
  <si>
    <t>TRP-2025-011</t>
  </si>
  <si>
    <t>EXP-02579</t>
  </si>
  <si>
    <t>EXP-02580</t>
  </si>
  <si>
    <t>EXP-02581</t>
  </si>
  <si>
    <t>EXP-02582</t>
  </si>
  <si>
    <t>EXP-02583</t>
  </si>
  <si>
    <t>EXP-02584</t>
  </si>
  <si>
    <t>EXP-02585</t>
  </si>
  <si>
    <t>EXP-02586</t>
  </si>
  <si>
    <t>EXP-02587</t>
  </si>
  <si>
    <t>EXP-02588</t>
  </si>
  <si>
    <t>EXP-02589</t>
  </si>
  <si>
    <t>EXP-02590</t>
  </si>
  <si>
    <t>EXP-02591</t>
  </si>
  <si>
    <t>EXP-02592</t>
  </si>
  <si>
    <t>EXP-02593</t>
  </si>
  <si>
    <t>EXP-02594</t>
  </si>
  <si>
    <t>EXP-02595</t>
  </si>
  <si>
    <t>EXP-02596</t>
  </si>
  <si>
    <t>EXP-02597</t>
  </si>
  <si>
    <t>EXP-02598</t>
  </si>
  <si>
    <t>EXP-02599</t>
  </si>
  <si>
    <t>EXP-02600</t>
  </si>
  <si>
    <t>EXP-02601</t>
  </si>
  <si>
    <t>TRP-2025-087</t>
  </si>
  <si>
    <t>EXP-02602</t>
  </si>
  <si>
    <t>EXP-02603</t>
  </si>
  <si>
    <t>EXP-02604</t>
  </si>
  <si>
    <t>EXP-02605</t>
  </si>
  <si>
    <t>EXP-02606</t>
  </si>
  <si>
    <t>EXP-02607</t>
  </si>
  <si>
    <t>EXP-02608</t>
  </si>
  <si>
    <t>EXP-02609</t>
  </si>
  <si>
    <t>EXP-02610</t>
  </si>
  <si>
    <t>EXP-02611</t>
  </si>
  <si>
    <t>EXP-02612</t>
  </si>
  <si>
    <t>EXP-02613</t>
  </si>
  <si>
    <t>EXP-02614</t>
  </si>
  <si>
    <t>EXP-02615</t>
  </si>
  <si>
    <t>EXP-02616</t>
  </si>
  <si>
    <t>EXP-02617</t>
  </si>
  <si>
    <t>EXP-02618</t>
  </si>
  <si>
    <t>EXP-02619</t>
  </si>
  <si>
    <t>EXP-02620</t>
  </si>
  <si>
    <t>EXP-02621</t>
  </si>
  <si>
    <t>EXP-02622</t>
  </si>
  <si>
    <t>EXP-02623</t>
  </si>
  <si>
    <t>EXP-02624</t>
  </si>
  <si>
    <t>2025-11</t>
  </si>
  <si>
    <t>EXP-02625</t>
  </si>
  <si>
    <t>EXP-02626</t>
  </si>
  <si>
    <t>EXP-02627</t>
  </si>
  <si>
    <t>EXP-02628</t>
  </si>
  <si>
    <t>EXP-02629</t>
  </si>
  <si>
    <t>EXP-02630</t>
  </si>
  <si>
    <t>EXP-02631</t>
  </si>
  <si>
    <t>EXP-02632</t>
  </si>
  <si>
    <t>EXP-02633</t>
  </si>
  <si>
    <t>EXP-02634</t>
  </si>
  <si>
    <t>EXP-02635</t>
  </si>
  <si>
    <t>TRP-2025-098</t>
  </si>
  <si>
    <t>EXP-02636</t>
  </si>
  <si>
    <t>EXP-02637</t>
  </si>
  <si>
    <t>EXP-02638</t>
  </si>
  <si>
    <t>EXP-02639</t>
  </si>
  <si>
    <t>EXP-02640</t>
  </si>
  <si>
    <t>EXP-02641</t>
  </si>
  <si>
    <t>EXP-02642</t>
  </si>
  <si>
    <t>EXP-02643</t>
  </si>
  <si>
    <t>EXP-02644</t>
  </si>
  <si>
    <t>EXP-02645</t>
  </si>
  <si>
    <t>EXP-02646</t>
  </si>
  <si>
    <t>EXP-02647</t>
  </si>
  <si>
    <t>EXP-02648</t>
  </si>
  <si>
    <t>EXP-02649</t>
  </si>
  <si>
    <t>EXP-02650</t>
  </si>
  <si>
    <t>EXP-02651</t>
  </si>
  <si>
    <t>EXP-02652</t>
  </si>
  <si>
    <t>EXP-02653</t>
  </si>
  <si>
    <t>EXP-02654</t>
  </si>
  <si>
    <t>EXP-02655</t>
  </si>
  <si>
    <t>EXP-02656</t>
  </si>
  <si>
    <t>TRP-2025-042</t>
  </si>
  <si>
    <t>EXP-02657</t>
  </si>
  <si>
    <t>EXP-02658</t>
  </si>
  <si>
    <t>EXP-02659</t>
  </si>
  <si>
    <t>EXP-02660</t>
  </si>
  <si>
    <t>EXP-02661</t>
  </si>
  <si>
    <t>EXP-02662</t>
  </si>
  <si>
    <t>EXP-02663</t>
  </si>
  <si>
    <t>EXP-02664</t>
  </si>
  <si>
    <t>EXP-02665</t>
  </si>
  <si>
    <t>EXP-02666</t>
  </si>
  <si>
    <t>EXP-02667</t>
  </si>
  <si>
    <t>EXP-02668</t>
  </si>
  <si>
    <t>EXP-02669</t>
  </si>
  <si>
    <t>EXP-02670</t>
  </si>
  <si>
    <t>EXP-02671</t>
  </si>
  <si>
    <t>EXP-02672</t>
  </si>
  <si>
    <t>EXP-02673</t>
  </si>
  <si>
    <t>EXP-02674</t>
  </si>
  <si>
    <t>EXP-02675</t>
  </si>
  <si>
    <t>EXP-02676</t>
  </si>
  <si>
    <t>EXP-02677</t>
  </si>
  <si>
    <t>EXP-02678</t>
  </si>
  <si>
    <t>EXP-02679</t>
  </si>
  <si>
    <t>EXP-02680</t>
  </si>
  <si>
    <t>TRP-2025-019</t>
  </si>
  <si>
    <t>EXP-02681</t>
  </si>
  <si>
    <t>EXP-02682</t>
  </si>
  <si>
    <t>EXP-02683</t>
  </si>
  <si>
    <t>EXP-02684</t>
  </si>
  <si>
    <t>EXP-02685</t>
  </si>
  <si>
    <t>EXP-02686</t>
  </si>
  <si>
    <t>EXP-02687</t>
  </si>
  <si>
    <t>EXP-02688</t>
  </si>
  <si>
    <t>EXP-02689</t>
  </si>
  <si>
    <t>EXP-02690</t>
  </si>
  <si>
    <t>EXP-02691</t>
  </si>
  <si>
    <t>EXP-02692</t>
  </si>
  <si>
    <t>EXP-02693</t>
  </si>
  <si>
    <t>TRP-2025-070</t>
  </si>
  <si>
    <t>EXP-02694</t>
  </si>
  <si>
    <t>EXP-02695</t>
  </si>
  <si>
    <t>EXP-02696</t>
  </si>
  <si>
    <t>EXP-02697</t>
  </si>
  <si>
    <t>EXP-02698</t>
  </si>
  <si>
    <t>EXP-02699</t>
  </si>
  <si>
    <t>EXP-02700</t>
  </si>
  <si>
    <t>EXP-02701</t>
  </si>
  <si>
    <t>EXP-02702</t>
  </si>
  <si>
    <t>TRP-2025-044</t>
  </si>
  <si>
    <t>EXP-02703</t>
  </si>
  <si>
    <t>EXP-02704</t>
  </si>
  <si>
    <t>EXP-02705</t>
  </si>
  <si>
    <t>EXP-02706</t>
  </si>
  <si>
    <t>TRP-2025-067</t>
  </si>
  <si>
    <t>EXP-02707</t>
  </si>
  <si>
    <t>EXP-02708</t>
  </si>
  <si>
    <t>EXP-02709</t>
  </si>
  <si>
    <t>EXP-02710</t>
  </si>
  <si>
    <t>EXP-02711</t>
  </si>
  <si>
    <t>EXP-02712</t>
  </si>
  <si>
    <t>EXP-02713</t>
  </si>
  <si>
    <t>EXP-02714</t>
  </si>
  <si>
    <t>EXP-02715</t>
  </si>
  <si>
    <t>EXP-02716</t>
  </si>
  <si>
    <t>EXP-02717</t>
  </si>
  <si>
    <t>EXP-02718</t>
  </si>
  <si>
    <t>EXP-02719</t>
  </si>
  <si>
    <t>TRP-2025-060</t>
  </si>
  <si>
    <t>EXP-02720</t>
  </si>
  <si>
    <t>EXP-02721</t>
  </si>
  <si>
    <t>EXP-02722</t>
  </si>
  <si>
    <t>EXP-02723</t>
  </si>
  <si>
    <t>EXP-02724</t>
  </si>
  <si>
    <t>EXP-02725</t>
  </si>
  <si>
    <t>EXP-02726</t>
  </si>
  <si>
    <t>EXP-02727</t>
  </si>
  <si>
    <t>EXP-02728</t>
  </si>
  <si>
    <t>EXP-02729</t>
  </si>
  <si>
    <t>EXP-02730</t>
  </si>
  <si>
    <t>EXP-02731</t>
  </si>
  <si>
    <t>EXP-02732</t>
  </si>
  <si>
    <t>EXP-02733</t>
  </si>
  <si>
    <t>EXP-02734</t>
  </si>
  <si>
    <t>EXP-02735</t>
  </si>
  <si>
    <t>EXP-02736</t>
  </si>
  <si>
    <t>EXP-02737</t>
  </si>
  <si>
    <t>EXP-02738</t>
  </si>
  <si>
    <t>EXP-02739</t>
  </si>
  <si>
    <t>EXP-02740</t>
  </si>
  <si>
    <t>EXP-02741</t>
  </si>
  <si>
    <t>EXP-02742</t>
  </si>
  <si>
    <t>EXP-02743</t>
  </si>
  <si>
    <t>EXP-02744</t>
  </si>
  <si>
    <t>EXP-02745</t>
  </si>
  <si>
    <t>EXP-02746</t>
  </si>
  <si>
    <t>EXP-02747</t>
  </si>
  <si>
    <t>EXP-02748</t>
  </si>
  <si>
    <t>EXP-02749</t>
  </si>
  <si>
    <t>EXP-02750</t>
  </si>
  <si>
    <t>EXP-02751</t>
  </si>
  <si>
    <t>EXP-02752</t>
  </si>
  <si>
    <t>EXP-02753</t>
  </si>
  <si>
    <t>EXP-02754</t>
  </si>
  <si>
    <t>EXP-02755</t>
  </si>
  <si>
    <t>EXP-02756</t>
  </si>
  <si>
    <t>EXP-02757</t>
  </si>
  <si>
    <t>EXP-02758</t>
  </si>
  <si>
    <t>EXP-02759</t>
  </si>
  <si>
    <t>EXP-02760</t>
  </si>
  <si>
    <t>EXP-02761</t>
  </si>
  <si>
    <t>EXP-02762</t>
  </si>
  <si>
    <t>EXP-02763</t>
  </si>
  <si>
    <t>EXP-02764</t>
  </si>
  <si>
    <t>EXP-02765</t>
  </si>
  <si>
    <t>EXP-02766</t>
  </si>
  <si>
    <t>EXP-02767</t>
  </si>
  <si>
    <t>TRP-2025-082</t>
  </si>
  <si>
    <t>EXP-02768</t>
  </si>
  <si>
    <t>EXP-02769</t>
  </si>
  <si>
    <t>EXP-02770</t>
  </si>
  <si>
    <t>EXP-02771</t>
  </si>
  <si>
    <t>EXP-02772</t>
  </si>
  <si>
    <t>EXP-02773</t>
  </si>
  <si>
    <t>EXP-02774</t>
  </si>
  <si>
    <t>EXP-02775</t>
  </si>
  <si>
    <t>EXP-02776</t>
  </si>
  <si>
    <t>EXP-02777</t>
  </si>
  <si>
    <t>EXP-02778</t>
  </si>
  <si>
    <t>EXP-02779</t>
  </si>
  <si>
    <t>EXP-02780</t>
  </si>
  <si>
    <t>EXP-02781</t>
  </si>
  <si>
    <t>EXP-02782</t>
  </si>
  <si>
    <t>TRP-2025-079</t>
  </si>
  <si>
    <t>EXP-02783</t>
  </si>
  <si>
    <t>EXP-02784</t>
  </si>
  <si>
    <t>EXP-02785</t>
  </si>
  <si>
    <t>EXP-02786</t>
  </si>
  <si>
    <t>EXP-02787</t>
  </si>
  <si>
    <t>EXP-02788</t>
  </si>
  <si>
    <t>EXP-02789</t>
  </si>
  <si>
    <t>EXP-02790</t>
  </si>
  <si>
    <t>EXP-02791</t>
  </si>
  <si>
    <t>EXP-02792</t>
  </si>
  <si>
    <t>EXP-02793</t>
  </si>
  <si>
    <t>EXP-02794</t>
  </si>
  <si>
    <t>TRP-2025-041</t>
  </si>
  <si>
    <t>EXP-02795</t>
  </si>
  <si>
    <t>EXP-02796</t>
  </si>
  <si>
    <t>EXP-02797</t>
  </si>
  <si>
    <t>EXP-02798</t>
  </si>
  <si>
    <t>EXP-02799</t>
  </si>
  <si>
    <t>EXP-02800</t>
  </si>
  <si>
    <t>EXP-02801</t>
  </si>
  <si>
    <t>EXP-02802</t>
  </si>
  <si>
    <t>EXP-02803</t>
  </si>
  <si>
    <t>EXP-02804</t>
  </si>
  <si>
    <t>EXP-02805</t>
  </si>
  <si>
    <t>EXP-02806</t>
  </si>
  <si>
    <t>EXP-02807</t>
  </si>
  <si>
    <t>EXP-02808</t>
  </si>
  <si>
    <t>EXP-02809</t>
  </si>
  <si>
    <t>EXP-02810</t>
  </si>
  <si>
    <t>EXP-02811</t>
  </si>
  <si>
    <t>TRP-2025-100</t>
  </si>
  <si>
    <t>EXP-02812</t>
  </si>
  <si>
    <t>EXP-02813</t>
  </si>
  <si>
    <t>EXP-02814</t>
  </si>
  <si>
    <t>TRP-2025-074</t>
  </si>
  <si>
    <t>EXP-02815</t>
  </si>
  <si>
    <t>EXP-02816</t>
  </si>
  <si>
    <t>EXP-02817</t>
  </si>
  <si>
    <t>EXP-02818</t>
  </si>
  <si>
    <t>EXP-02819</t>
  </si>
  <si>
    <t>EXP-02820</t>
  </si>
  <si>
    <t>EXP-02821</t>
  </si>
  <si>
    <t>EXP-02822</t>
  </si>
  <si>
    <t>EXP-02823</t>
  </si>
  <si>
    <t>EXP-02824</t>
  </si>
  <si>
    <t>EXP-02825</t>
  </si>
  <si>
    <t>EXP-02826</t>
  </si>
  <si>
    <t>EXP-02827</t>
  </si>
  <si>
    <t>EXP-02828</t>
  </si>
  <si>
    <t>EXP-02829</t>
  </si>
  <si>
    <t>EXP-02830</t>
  </si>
  <si>
    <t>TRP-2025-051</t>
  </si>
  <si>
    <t>EXP-02831</t>
  </si>
  <si>
    <t>EXP-02832</t>
  </si>
  <si>
    <t>EXP-02833</t>
  </si>
  <si>
    <t>EXP-02834</t>
  </si>
  <si>
    <t>EXP-02835</t>
  </si>
  <si>
    <t>EXP-02836</t>
  </si>
  <si>
    <t>EXP-02837</t>
  </si>
  <si>
    <t>EXP-02838</t>
  </si>
  <si>
    <t>EXP-02839</t>
  </si>
  <si>
    <t>EXP-02840</t>
  </si>
  <si>
    <t>EXP-02841</t>
  </si>
  <si>
    <t>EXP-02842</t>
  </si>
  <si>
    <t>EXP-02843</t>
  </si>
  <si>
    <t>EXP-02844</t>
  </si>
  <si>
    <t>EXP-02845</t>
  </si>
  <si>
    <t>EXP-02846</t>
  </si>
  <si>
    <t>EXP-02847</t>
  </si>
  <si>
    <t>EXP-02848</t>
  </si>
  <si>
    <t>EXP-02849</t>
  </si>
  <si>
    <t>EXP-02850</t>
  </si>
  <si>
    <t>EXP-02851</t>
  </si>
  <si>
    <t>EXP-02852</t>
  </si>
  <si>
    <t>EXP-02853</t>
  </si>
  <si>
    <t>EXP-02854</t>
  </si>
  <si>
    <t>EXP-02855</t>
  </si>
  <si>
    <t>EXP-02856</t>
  </si>
  <si>
    <t>EXP-02857</t>
  </si>
  <si>
    <t>EXP-02858</t>
  </si>
  <si>
    <t>EXP-02859</t>
  </si>
  <si>
    <t>EXP-02860</t>
  </si>
  <si>
    <t>EXP-02861</t>
  </si>
  <si>
    <t>EXP-02862</t>
  </si>
  <si>
    <t>EXP-02863</t>
  </si>
  <si>
    <t>EXP-02864</t>
  </si>
  <si>
    <t>EXP-02865</t>
  </si>
  <si>
    <t>EXP-02866</t>
  </si>
  <si>
    <t>2025-12</t>
  </si>
  <si>
    <t>EXP-02867</t>
  </si>
  <si>
    <t>EXP-02868</t>
  </si>
  <si>
    <t>EXP-02869</t>
  </si>
  <si>
    <t>EXP-02870</t>
  </si>
  <si>
    <t>EXP-02871</t>
  </si>
  <si>
    <t>EXP-02872</t>
  </si>
  <si>
    <t>EXP-02873</t>
  </si>
  <si>
    <t>EXP-02874</t>
  </si>
  <si>
    <t>EXP-02875</t>
  </si>
  <si>
    <t>EXP-02876</t>
  </si>
  <si>
    <t>EXP-02877</t>
  </si>
  <si>
    <t>EXP-02878</t>
  </si>
  <si>
    <t>EXP-02879</t>
  </si>
  <si>
    <t>EXP-02880</t>
  </si>
  <si>
    <t>EXP-02881</t>
  </si>
  <si>
    <t>EXP-02882</t>
  </si>
  <si>
    <t>EXP-02883</t>
  </si>
  <si>
    <t>EXP-02884</t>
  </si>
  <si>
    <t>EXP-02885</t>
  </si>
  <si>
    <t>EXP-02886</t>
  </si>
  <si>
    <t>EXP-02887</t>
  </si>
  <si>
    <t>EXP-02888</t>
  </si>
  <si>
    <t>EXP-02889</t>
  </si>
  <si>
    <t>EXP-02890</t>
  </si>
  <si>
    <t>EXP-02891</t>
  </si>
  <si>
    <t>EXP-02892</t>
  </si>
  <si>
    <t>EXP-02893</t>
  </si>
  <si>
    <t>EXP-02894</t>
  </si>
  <si>
    <t>EXP-02895</t>
  </si>
  <si>
    <t>EXP-02896</t>
  </si>
  <si>
    <t>EXP-02897</t>
  </si>
  <si>
    <t>EXP-02898</t>
  </si>
  <si>
    <t>EXP-02899</t>
  </si>
  <si>
    <t>EXP-02900</t>
  </si>
  <si>
    <t>EXP-02901</t>
  </si>
  <si>
    <t>EXP-02902</t>
  </si>
  <si>
    <t>TRP-2025-062</t>
  </si>
  <si>
    <t>EXP-02903</t>
  </si>
  <si>
    <t>EXP-02904</t>
  </si>
  <si>
    <t>EXP-02905</t>
  </si>
  <si>
    <t>EXP-02906</t>
  </si>
  <si>
    <t>EXP-02907</t>
  </si>
  <si>
    <t>EXP-02908</t>
  </si>
  <si>
    <t>EXP-02909</t>
  </si>
  <si>
    <t>EXP-02910</t>
  </si>
  <si>
    <t>EXP-02911</t>
  </si>
  <si>
    <t>EXP-02912</t>
  </si>
  <si>
    <t>EXP-02913</t>
  </si>
  <si>
    <t>EXP-02914</t>
  </si>
  <si>
    <t>EXP-02915</t>
  </si>
  <si>
    <t>EXP-02916</t>
  </si>
  <si>
    <t>EXP-02917</t>
  </si>
  <si>
    <t>TRP-2025-059</t>
  </si>
  <si>
    <t>EXP-02918</t>
  </si>
  <si>
    <t>EXP-02919</t>
  </si>
  <si>
    <t>EXP-02920</t>
  </si>
  <si>
    <t>EXP-02921</t>
  </si>
  <si>
    <t>EXP-02922</t>
  </si>
  <si>
    <t>EXP-02923</t>
  </si>
  <si>
    <t>EXP-02924</t>
  </si>
  <si>
    <t>EXP-02925</t>
  </si>
  <si>
    <t>EXP-02926</t>
  </si>
  <si>
    <t>EXP-02927</t>
  </si>
  <si>
    <t>EXP-02928</t>
  </si>
  <si>
    <t>TRP-2025-008</t>
  </si>
  <si>
    <t>EXP-02929</t>
  </si>
  <si>
    <t>EXP-02930</t>
  </si>
  <si>
    <t>EXP-02931</t>
  </si>
  <si>
    <t>EXP-02932</t>
  </si>
  <si>
    <t>EXP-02933</t>
  </si>
  <si>
    <t>EXP-02934</t>
  </si>
  <si>
    <t>EXP-02935</t>
  </si>
  <si>
    <t>EXP-02936</t>
  </si>
  <si>
    <t>EXP-02937</t>
  </si>
  <si>
    <t>EXP-02938</t>
  </si>
  <si>
    <t>EXP-02939</t>
  </si>
  <si>
    <t>EXP-02940</t>
  </si>
  <si>
    <t>EXP-02941</t>
  </si>
  <si>
    <t>EXP-02942</t>
  </si>
  <si>
    <t>EXP-02943</t>
  </si>
  <si>
    <t>EXP-02944</t>
  </si>
  <si>
    <t>EXP-02945</t>
  </si>
  <si>
    <t>EXP-02946</t>
  </si>
  <si>
    <t>EXP-02947</t>
  </si>
  <si>
    <t>EXP-02948</t>
  </si>
  <si>
    <t>EXP-02949</t>
  </si>
  <si>
    <t>EXP-02950</t>
  </si>
  <si>
    <t>EXP-02951</t>
  </si>
  <si>
    <t>EXP-02952</t>
  </si>
  <si>
    <t>EXP-02953</t>
  </si>
  <si>
    <t>EXP-02954</t>
  </si>
  <si>
    <t>Helios Instruments Pvt. Ltd. — Business Travel: Trip Summary, 2025</t>
  </si>
  <si>
    <t>Country</t>
  </si>
  <si>
    <t>Duration (days)</t>
  </si>
  <si>
    <t>Line Items</t>
  </si>
  <si>
    <t>Total Spend (USD)</t>
  </si>
  <si>
    <t>Cost per Day (USD)</t>
  </si>
  <si>
    <t>Items Over Policy</t>
  </si>
  <si>
    <t>Client / Project</t>
  </si>
  <si>
    <t>Billable</t>
  </si>
  <si>
    <t>TOTAL</t>
  </si>
  <si>
    <t>Helios Instruments Pvt. Ltd. — Travel Spend by Employee, 2025</t>
  </si>
  <si>
    <t>Trips Taken</t>
  </si>
  <si>
    <t>Expense Line Items</t>
  </si>
  <si>
    <t>Airfare (USD)</t>
  </si>
  <si>
    <t>Lodging (USD)</t>
  </si>
  <si>
    <t>Meals (USD)</t>
  </si>
  <si>
    <t>Ground Transport (USD)</t>
  </si>
  <si>
    <t>Other (USD)</t>
  </si>
  <si>
    <t>Missing Receipts</t>
  </si>
  <si>
    <t>Avg Spend per Trip (USD)</t>
  </si>
  <si>
    <t>% of Company Travel Spend</t>
  </si>
  <si>
    <t>Helios Instruments Pvt. Ltd. — Travel Spend by Category and Month, 2025</t>
  </si>
  <si>
    <t>All amounts in USD. Live SUMIFS over the 'Expense Details' tab.</t>
  </si>
  <si>
    <t>Total</t>
  </si>
  <si>
    <t>% of Spend</t>
  </si>
  <si>
    <t>Helios Instruments Pvt. Ltd. — Policy Exceptions &amp; Audit Flags, 2025</t>
  </si>
  <si>
    <t>Rows flagged where the claim exceeds its category limit, or where no receipt was attached. Every cell links live to 'Expense Details'.</t>
  </si>
  <si>
    <t>Variance (USD)</t>
  </si>
  <si>
    <t>% Over Limit</t>
  </si>
  <si>
    <t>Flag Reason</t>
  </si>
  <si>
    <t>Exceeds category policy limit</t>
  </si>
  <si>
    <t>No receipt attached</t>
  </si>
  <si>
    <t>Exceeds category policy limit + No receipt attached</t>
  </si>
  <si>
    <t>TOTAL — 519 flagged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</si>
</sst>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&quot;($&quot;#,##0\);\-"/>
    <numFmt numFmtId="165" formatCode="yyyy\-mm\-dd"/>
    <numFmt numFmtId="166" formatCode="0.00000"/>
    <numFmt numFmtId="167" formatCode="\$#,##0.00;&quot;($&quot;#,##0.00\);\-"/>
    <numFmt numFmtId="168" formatCode="#,##0;\(#,##0\);\-"/>
    <numFmt numFmtId="169" formatCode="0.0%;\(0.0%\);\-"/>
  </numFmts>
  <fonts count="10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10"/>
      <color rgb="FFC00000"/>
      <name val="Arial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sz val="10"/>
      <color rgb="FF008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D9D9"/>
      </patternFill>
    </fill>
    <fill>
      <patternFill patternType="solid">
        <fgColor rgb="FFFCE4E4"/>
        <b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5" fillId="3" borderId="0" xfId="0" applyNumberFormat="1" applyFont="1" applyFill="1"/>
    <xf numFmtId="0" fontId="5" fillId="3" borderId="0" xfId="0" applyFont="1" applyFill="1" applyAlignment="1">
      <alignment vertical="top" wrapText="1"/>
    </xf>
    <xf numFmtId="0" fontId="6" fillId="0" borderId="0" xfId="0" applyFont="1"/>
    <xf numFmtId="165" fontId="2" fillId="0" borderId="0" xfId="0" applyNumberFormat="1" applyFont="1"/>
    <xf numFmtId="4" fontId="5" fillId="0" borderId="0" xfId="0" applyNumberFormat="1" applyFont="1"/>
    <xf numFmtId="166" fontId="5" fillId="0" borderId="0" xfId="0" applyNumberFormat="1" applyFont="1"/>
    <xf numFmtId="167" fontId="2" fillId="0" borderId="0" xfId="0" applyNumberFormat="1" applyFont="1"/>
    <xf numFmtId="9" fontId="5" fillId="0" borderId="0" xfId="0" applyNumberFormat="1" applyFont="1"/>
    <xf numFmtId="167" fontId="5" fillId="0" borderId="0" xfId="0" applyNumberFormat="1" applyFont="1"/>
    <xf numFmtId="0" fontId="5" fillId="0" borderId="0" xfId="0" applyFont="1"/>
    <xf numFmtId="165" fontId="5" fillId="0" borderId="0" xfId="0" applyNumberFormat="1" applyFont="1"/>
    <xf numFmtId="168" fontId="2" fillId="0" borderId="0" xfId="0" applyNumberFormat="1" applyFont="1"/>
    <xf numFmtId="0" fontId="7" fillId="0" borderId="0" xfId="0" applyFont="1"/>
    <xf numFmtId="0" fontId="3" fillId="4" borderId="1" xfId="0" applyFont="1" applyFill="1" applyBorder="1"/>
    <xf numFmtId="0" fontId="0" fillId="4" borderId="1" xfId="0" applyFill="1" applyBorder="1"/>
    <xf numFmtId="168" fontId="3" fillId="4" borderId="1" xfId="0" applyNumberFormat="1" applyFont="1" applyFill="1" applyBorder="1"/>
    <xf numFmtId="167" fontId="3" fillId="4" borderId="1" xfId="0" applyNumberFormat="1" applyFont="1" applyFill="1" applyBorder="1"/>
    <xf numFmtId="168" fontId="5" fillId="0" borderId="0" xfId="0" applyNumberFormat="1" applyFont="1"/>
    <xf numFmtId="169" fontId="2" fillId="0" borderId="0" xfId="0" applyNumberFormat="1" applyFont="1"/>
    <xf numFmtId="169" fontId="3" fillId="4" borderId="1" xfId="0" applyNumberFormat="1" applyFont="1" applyFill="1" applyBorder="1"/>
    <xf numFmtId="0" fontId="8" fillId="0" borderId="0" xfId="0" applyFont="1"/>
    <xf numFmtId="164" fontId="2" fillId="0" borderId="0" xfId="0" applyNumberFormat="1" applyFont="1"/>
    <xf numFmtId="167" fontId="3" fillId="0" borderId="0" xfId="0" applyNumberFormat="1" applyFont="1"/>
    <xf numFmtId="164" fontId="5" fillId="0" borderId="0" xfId="0" applyNumberFormat="1" applyFont="1"/>
    <xf numFmtId="164" fontId="3" fillId="4" borderId="1" xfId="0" applyNumberFormat="1" applyFont="1" applyFill="1" applyBorder="1"/>
    <xf numFmtId="0" fontId="9" fillId="5" borderId="0" xfId="0" applyFont="1" applyFill="1"/>
    <xf numFmtId="165" fontId="9" fillId="5" borderId="0" xfId="0" applyNumberFormat="1" applyFont="1" applyFill="1"/>
    <xf numFmtId="167" fontId="9" fillId="5" borderId="0" xfId="0" applyNumberFormat="1" applyFont="1" applyFill="1"/>
    <xf numFmtId="169" fontId="9" fillId="5" borderId="0" xfId="0" applyNumberFormat="1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AABAD7"/>
      <rgbColor rgb="FF9F423F"/>
      <rgbColor rgb="FFFCE4E4"/>
      <rgbColor rgb="FFD9E2F3"/>
      <rgbColor rgb="FF660066"/>
      <rgbColor rgb="FFCC7C3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D6AC"/>
      <rgbColor rgb="FFFFFF99"/>
      <rgbColor rgb="FFA9CEDC"/>
      <rgbColor rgb="FFD8AAA9"/>
      <rgbColor rgb="FFB9AFC9"/>
      <rgbColor rgb="FFF9C3A8"/>
      <rgbColor rgb="FF416A9C"/>
      <rgbColor rgb="FF4BACC6"/>
      <rgbColor rgb="FF9BBB59"/>
      <rgbColor rgb="FFFFCC00"/>
      <rgbColor rgb="FFF79646"/>
      <rgbColor rgb="FFFF6600"/>
      <rgbColor rgb="FF8064A2"/>
      <rgbColor rgb="FF809B49"/>
      <rgbColor rgb="FF1F3864"/>
      <rgbColor rgb="FF3E8EA4"/>
      <rgbColor rgb="FF003300"/>
      <rgbColor rgb="FF333300"/>
      <rgbColor rgb="FF993300"/>
      <rgbColor rgb="FFC0504D"/>
      <rgbColor rgb="FF6A5286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Travel Spend by Employee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'Employee Summary'!H3</c:f>
              <c:strCache>
                <c:ptCount val="1"/>
                <c:pt idx="0">
                  <c:v>Total Spend (USD)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'Employee Summary'!$B$4:$B$27</c:f>
              <c:strCache>
                <c:ptCount val="24"/>
                <c:pt idx="0">
                  <c:v>Aisha Bello</c:v>
                </c:pt>
                <c:pt idx="1">
                  <c:v>Ananya Sengupta</c:v>
                </c:pt>
                <c:pt idx="2">
                  <c:v>Arjun Deshpande</c:v>
                </c:pt>
                <c:pt idx="3">
                  <c:v>Clara Jensen</c:v>
                </c:pt>
                <c:pt idx="4">
                  <c:v>David Chen</c:v>
                </c:pt>
                <c:pt idx="5">
                  <c:v>Diane Okafor</c:v>
                </c:pt>
                <c:pt idx="6">
                  <c:v>Diego Ramirez</c:v>
                </c:pt>
                <c:pt idx="7">
                  <c:v>Elena Duarte</c:v>
                </c:pt>
                <c:pt idx="8">
                  <c:v>Fatima Al-Rashid</c:v>
                </c:pt>
                <c:pt idx="9">
                  <c:v>Grace Lin</c:v>
                </c:pt>
                <c:pt idx="10">
                  <c:v>Hannah Weiss</c:v>
                </c:pt>
                <c:pt idx="11">
                  <c:v>Kenji Watanabe</c:v>
                </c:pt>
                <c:pt idx="12">
                  <c:v>Laura Bianchi</c:v>
                </c:pt>
                <c:pt idx="13">
                  <c:v>Marcus Bell</c:v>
                </c:pt>
                <c:pt idx="14">
                  <c:v>Meera Krishnan</c:v>
                </c:pt>
                <c:pt idx="15">
                  <c:v>Oliver Brandt</c:v>
                </c:pt>
                <c:pt idx="16">
                  <c:v>Paul Nkemelu</c:v>
                </c:pt>
                <c:pt idx="17">
                  <c:v>Priya Nair</c:v>
                </c:pt>
                <c:pt idx="18">
                  <c:v>Ravi Chandra</c:v>
                </c:pt>
                <c:pt idx="19">
                  <c:v>Rohit Malhotra</c:v>
                </c:pt>
                <c:pt idx="20">
                  <c:v>Samuel Adeyemi</c:v>
                </c:pt>
                <c:pt idx="21">
                  <c:v>Sneha Iyer</c:v>
                </c:pt>
                <c:pt idx="22">
                  <c:v>Tomas Kovac</c:v>
                </c:pt>
                <c:pt idx="23">
                  <c:v>Viktor Petrov</c:v>
                </c:pt>
              </c:strCache>
            </c:strRef>
          </c:cat>
          <c:val>
            <c:numRef>
              <c:f>'Employee Summary'!$H$4:$H$27</c:f>
              <c:numCache>
                <c:formatCode>\$#,##0.00;"($"#,##0.00\);\-</c:formatCode>
                <c:ptCount val="24"/>
                <c:pt idx="0">
                  <c:v>28793.899290000001</c:v>
                </c:pt>
                <c:pt idx="1">
                  <c:v>9779.0616000000027</c:v>
                </c:pt>
                <c:pt idx="2">
                  <c:v>26987.579609999997</c:v>
                </c:pt>
                <c:pt idx="3">
                  <c:v>10124.950630000003</c:v>
                </c:pt>
                <c:pt idx="4">
                  <c:v>27893.451069999988</c:v>
                </c:pt>
                <c:pt idx="5">
                  <c:v>7241.4837999999991</c:v>
                </c:pt>
                <c:pt idx="6">
                  <c:v>3379.1105559999992</c:v>
                </c:pt>
                <c:pt idx="7">
                  <c:v>20673.856039999999</c:v>
                </c:pt>
                <c:pt idx="8">
                  <c:v>8421.8617399999985</c:v>
                </c:pt>
                <c:pt idx="9">
                  <c:v>16402.287819999998</c:v>
                </c:pt>
                <c:pt idx="10">
                  <c:v>31010.728109999989</c:v>
                </c:pt>
                <c:pt idx="11">
                  <c:v>18037.076567999993</c:v>
                </c:pt>
                <c:pt idx="12">
                  <c:v>17231.095080000003</c:v>
                </c:pt>
                <c:pt idx="13">
                  <c:v>21162.177832999994</c:v>
                </c:pt>
                <c:pt idx="14">
                  <c:v>30329.809190000004</c:v>
                </c:pt>
                <c:pt idx="15">
                  <c:v>15665.754530000009</c:v>
                </c:pt>
                <c:pt idx="16">
                  <c:v>15418.540580000003</c:v>
                </c:pt>
                <c:pt idx="17">
                  <c:v>24554.799450000017</c:v>
                </c:pt>
                <c:pt idx="18">
                  <c:v>34337.861675000015</c:v>
                </c:pt>
                <c:pt idx="19">
                  <c:v>21654.10345000001</c:v>
                </c:pt>
                <c:pt idx="20">
                  <c:v>27575.210499999997</c:v>
                </c:pt>
                <c:pt idx="21">
                  <c:v>28158.663342999993</c:v>
                </c:pt>
                <c:pt idx="22">
                  <c:v>12169.942369999993</c:v>
                </c:pt>
                <c:pt idx="23">
                  <c:v>19907.485980000001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9-4EC8-8806-564A7EB4E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37483"/>
        <c:axId val="64468315"/>
      </c:barChart>
      <c:catAx>
        <c:axId val="526374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468315"/>
        <c:crosses val="autoZero"/>
        <c:auto val="1"/>
        <c:lblAlgn val="ctr"/>
        <c:lblOffset val="100"/>
        <c:noMultiLvlLbl val="0"/>
      </c:catAx>
      <c:valAx>
        <c:axId val="644683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6374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Share of Travel 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'Category by Month'!N4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16A9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3FF-4F02-B450-B59E394F2E67}"/>
              </c:ext>
            </c:extLst>
          </c:dPt>
          <c:dPt>
            <c:idx val="1"/>
            <c:bubble3D val="0"/>
            <c:spPr>
              <a:solidFill>
                <a:srgbClr val="9F42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3FF-4F02-B450-B59E394F2E67}"/>
              </c:ext>
            </c:extLst>
          </c:dPt>
          <c:dPt>
            <c:idx val="2"/>
            <c:bubble3D val="0"/>
            <c:spPr>
              <a:solidFill>
                <a:srgbClr val="809B4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3FF-4F02-B450-B59E394F2E67}"/>
              </c:ext>
            </c:extLst>
          </c:dPt>
          <c:dPt>
            <c:idx val="3"/>
            <c:bubble3D val="0"/>
            <c:spPr>
              <a:solidFill>
                <a:srgbClr val="6A52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3FF-4F02-B450-B59E394F2E67}"/>
              </c:ext>
            </c:extLst>
          </c:dPt>
          <c:dPt>
            <c:idx val="4"/>
            <c:bubble3D val="0"/>
            <c:spPr>
              <a:solidFill>
                <a:srgbClr val="3E8E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3FF-4F02-B450-B59E394F2E67}"/>
              </c:ext>
            </c:extLst>
          </c:dPt>
          <c:dPt>
            <c:idx val="5"/>
            <c:bubble3D val="0"/>
            <c:spPr>
              <a:solidFill>
                <a:srgbClr val="CC7C3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F3FF-4F02-B450-B59E394F2E67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F3FF-4F02-B450-B59E394F2E67}"/>
              </c:ext>
            </c:extLst>
          </c:dPt>
          <c:dPt>
            <c:idx val="7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F3FF-4F02-B450-B59E394F2E67}"/>
              </c:ext>
            </c:extLst>
          </c:dPt>
          <c:dPt>
            <c:idx val="8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F3FF-4F02-B450-B59E394F2E67}"/>
              </c:ext>
            </c:extLst>
          </c:dPt>
          <c:dPt>
            <c:idx val="9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F3FF-4F02-B450-B59E394F2E67}"/>
              </c:ext>
            </c:extLst>
          </c:dPt>
          <c:dPt>
            <c:idx val="10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F3FF-4F02-B450-B59E394F2E67}"/>
              </c:ext>
            </c:extLst>
          </c:dPt>
          <c:dPt>
            <c:idx val="11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F3FF-4F02-B450-B59E394F2E67}"/>
              </c:ext>
            </c:extLst>
          </c:dPt>
          <c:dPt>
            <c:idx val="12"/>
            <c:bubble3D val="0"/>
            <c:spPr>
              <a:solidFill>
                <a:srgbClr val="AABAD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F3FF-4F02-B450-B59E394F2E67}"/>
              </c:ext>
            </c:extLst>
          </c:dPt>
          <c:dPt>
            <c:idx val="13"/>
            <c:bubble3D val="0"/>
            <c:spPr>
              <a:solidFill>
                <a:srgbClr val="D8AAA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F3FF-4F02-B450-B59E394F2E67}"/>
              </c:ext>
            </c:extLst>
          </c:dPt>
          <c:dPt>
            <c:idx val="14"/>
            <c:bubble3D val="0"/>
            <c:spPr>
              <a:solidFill>
                <a:srgbClr val="C5D6A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F3FF-4F02-B450-B59E394F2E67}"/>
              </c:ext>
            </c:extLst>
          </c:dPt>
          <c:dPt>
            <c:idx val="15"/>
            <c:bubble3D val="0"/>
            <c:spPr>
              <a:solidFill>
                <a:srgbClr val="B9AFC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F3FF-4F02-B450-B59E394F2E67}"/>
              </c:ext>
            </c:extLst>
          </c:dPt>
          <c:dPt>
            <c:idx val="16"/>
            <c:bubble3D val="0"/>
            <c:spPr>
              <a:solidFill>
                <a:srgbClr val="A9CED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F3FF-4F02-B450-B59E394F2E67}"/>
              </c:ext>
            </c:extLst>
          </c:dPt>
          <c:dPt>
            <c:idx val="17"/>
            <c:bubble3D val="0"/>
            <c:spPr>
              <a:solidFill>
                <a:srgbClr val="F9C3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F3FF-4F02-B450-B59E394F2E6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3FF-4F02-B450-B59E394F2E6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3FF-4F02-B450-B59E394F2E6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3FF-4F02-B450-B59E394F2E6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3FF-4F02-B450-B59E394F2E67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F3FF-4F02-B450-B59E394F2E67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F3FF-4F02-B450-B59E394F2E67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F3FF-4F02-B450-B59E394F2E67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F3FF-4F02-B450-B59E394F2E67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F3FF-4F02-B450-B59E394F2E67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F3FF-4F02-B450-B59E394F2E67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F3FF-4F02-B450-B59E394F2E67}"/>
                </c:ext>
              </c:extLst>
            </c:dLbl>
            <c:dLbl>
              <c:idx val="1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F3FF-4F02-B450-B59E394F2E67}"/>
                </c:ext>
              </c:extLst>
            </c:dLbl>
            <c:dLbl>
              <c:idx val="1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F3FF-4F02-B450-B59E394F2E67}"/>
                </c:ext>
              </c:extLst>
            </c:dLbl>
            <c:dLbl>
              <c:idx val="1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F3FF-4F02-B450-B59E394F2E67}"/>
                </c:ext>
              </c:extLst>
            </c:dLbl>
            <c:dLbl>
              <c:idx val="1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F3FF-4F02-B450-B59E394F2E67}"/>
                </c:ext>
              </c:extLst>
            </c:dLbl>
            <c:dLbl>
              <c:idx val="1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F3FF-4F02-B450-B59E394F2E67}"/>
                </c:ext>
              </c:extLst>
            </c:dLbl>
            <c:dLbl>
              <c:idx val="1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F3FF-4F02-B450-B59E394F2E67}"/>
                </c:ext>
              </c:extLst>
            </c:dLbl>
            <c:dLbl>
              <c:idx val="1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3-F3FF-4F02-B450-B59E394F2E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'Category by Month'!$A$5:$A$22</c:f>
              <c:strCache>
                <c:ptCount val="18"/>
                <c:pt idx="0">
                  <c:v>Airfare</c:v>
                </c:pt>
                <c:pt idx="1">
                  <c:v>Hotel / Lodging</c:v>
                </c:pt>
                <c:pt idx="2">
                  <c:v>Meals - Breakfast</c:v>
                </c:pt>
                <c:pt idx="3">
                  <c:v>Meals - Lunch</c:v>
                </c:pt>
                <c:pt idx="4">
                  <c:v>Meals - Dinner</c:v>
                </c:pt>
                <c:pt idx="5">
                  <c:v>Client Entertainment</c:v>
                </c:pt>
                <c:pt idx="6">
                  <c:v>Ground Transport - Taxi</c:v>
                </c:pt>
                <c:pt idx="7">
                  <c:v>Ground Transport - Rail</c:v>
                </c:pt>
                <c:pt idx="8">
                  <c:v>Car Rental</c:v>
                </c:pt>
                <c:pt idx="9">
                  <c:v>Fuel / Mileage</c:v>
                </c:pt>
                <c:pt idx="10">
                  <c:v>Parking &amp; Tolls</c:v>
                </c:pt>
                <c:pt idx="11">
                  <c:v>Conference / Event Fee</c:v>
                </c:pt>
                <c:pt idx="12">
                  <c:v>Baggage &amp; Excess Fees</c:v>
                </c:pt>
                <c:pt idx="13">
                  <c:v>Internet / Roaming</c:v>
                </c:pt>
                <c:pt idx="14">
                  <c:v>Visa &amp; Travel Docs</c:v>
                </c:pt>
                <c:pt idx="15">
                  <c:v>Client Gifts</c:v>
                </c:pt>
                <c:pt idx="16">
                  <c:v>Laundry</c:v>
                </c:pt>
                <c:pt idx="17">
                  <c:v>Office Supplies</c:v>
                </c:pt>
              </c:strCache>
            </c:strRef>
          </c:cat>
          <c:val>
            <c:numRef>
              <c:f>'Category by Month'!$N$5:$N$22</c:f>
              <c:numCache>
                <c:formatCode>\$#,##0.00;"($"#,##0.00\);\-</c:formatCode>
                <c:ptCount val="18"/>
                <c:pt idx="0">
                  <c:v>214763.67584099999</c:v>
                </c:pt>
                <c:pt idx="1">
                  <c:v>118139.43544500001</c:v>
                </c:pt>
                <c:pt idx="2">
                  <c:v>10689.937999000002</c:v>
                </c:pt>
                <c:pt idx="3">
                  <c:v>16392.903476</c:v>
                </c:pt>
                <c:pt idx="4">
                  <c:v>32976.107513000003</c:v>
                </c:pt>
                <c:pt idx="5">
                  <c:v>5549.6710620000003</c:v>
                </c:pt>
                <c:pt idx="6">
                  <c:v>18273.934392999996</c:v>
                </c:pt>
                <c:pt idx="7">
                  <c:v>4176.0195780000004</c:v>
                </c:pt>
                <c:pt idx="8">
                  <c:v>16283.85707</c:v>
                </c:pt>
                <c:pt idx="9">
                  <c:v>1926.7332699999999</c:v>
                </c:pt>
                <c:pt idx="10">
                  <c:v>650.42794000000004</c:v>
                </c:pt>
                <c:pt idx="11">
                  <c:v>25304.574246</c:v>
                </c:pt>
                <c:pt idx="12">
                  <c:v>3822.67265</c:v>
                </c:pt>
                <c:pt idx="13">
                  <c:v>1619.0886950000004</c:v>
                </c:pt>
                <c:pt idx="14">
                  <c:v>2963.0721799999997</c:v>
                </c:pt>
                <c:pt idx="15">
                  <c:v>1760.6022400000002</c:v>
                </c:pt>
                <c:pt idx="16">
                  <c:v>924.42711700000007</c:v>
                </c:pt>
                <c:pt idx="17">
                  <c:v>693.65009999999995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F3FF-4F02-B450-B59E394F2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Travel Spend by Month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by Month'!$B$4:$M$4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'Category by Month'!$B$23:$M$23</c:f>
              <c:numCache>
                <c:formatCode>\$#,##0;"($"#,##0\);\-</c:formatCode>
                <c:ptCount val="12"/>
                <c:pt idx="0">
                  <c:v>64685.831022999999</c:v>
                </c:pt>
                <c:pt idx="1">
                  <c:v>47972.753829999994</c:v>
                </c:pt>
                <c:pt idx="2">
                  <c:v>39565.043833000018</c:v>
                </c:pt>
                <c:pt idx="3">
                  <c:v>32604.018986000003</c:v>
                </c:pt>
                <c:pt idx="4">
                  <c:v>34536.363949999992</c:v>
                </c:pt>
                <c:pt idx="5">
                  <c:v>26272.705340000008</c:v>
                </c:pt>
                <c:pt idx="6">
                  <c:v>44977.532653000017</c:v>
                </c:pt>
                <c:pt idx="7">
                  <c:v>45959.109059999988</c:v>
                </c:pt>
                <c:pt idx="8">
                  <c:v>33491.944439999999</c:v>
                </c:pt>
                <c:pt idx="9">
                  <c:v>56623.213350000013</c:v>
                </c:pt>
                <c:pt idx="10">
                  <c:v>40940.307220000002</c:v>
                </c:pt>
                <c:pt idx="11">
                  <c:v>9281.9671299999991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2-458F-ABAD-ABE218169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667707"/>
        <c:axId val="92229974"/>
      </c:barChart>
      <c:catAx>
        <c:axId val="966677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229974"/>
        <c:crosses val="autoZero"/>
        <c:auto val="1"/>
        <c:lblAlgn val="ctr"/>
        <c:lblOffset val="100"/>
        <c:noMultiLvlLbl val="0"/>
      </c:catAx>
      <c:valAx>
        <c:axId val="922299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6677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160560</xdr:rowOff>
    </xdr:from>
    <xdr:to>
      <xdr:col>7</xdr:col>
      <xdr:colOff>815760</xdr:colOff>
      <xdr:row>56</xdr:row>
      <xdr:rowOff>56520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160920</xdr:rowOff>
    </xdr:from>
    <xdr:to>
      <xdr:col>7</xdr:col>
      <xdr:colOff>291960</xdr:colOff>
      <xdr:row>47</xdr:row>
      <xdr:rowOff>99000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49</xdr:row>
      <xdr:rowOff>160920</xdr:rowOff>
    </xdr:from>
    <xdr:to>
      <xdr:col>9</xdr:col>
      <xdr:colOff>40320</xdr:colOff>
      <xdr:row>68</xdr:row>
      <xdr:rowOff>140760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Normal="100" workbookViewId="0"/>
  </sheetViews>
  <sheetFormatPr defaultColWidth="8.7109375" defaultRowHeight="15"/>
  <cols>
    <col min="1" max="1" width="30" customWidth="1"/>
    <col min="2" max="2" width="96" customWidth="1"/>
  </cols>
  <sheetData>
    <row r="1" spans="1:2" ht="19.7">
      <c r="A1" s="1" t="s">
        <v>0</v>
      </c>
    </row>
    <row r="2" spans="1:2">
      <c r="A2" s="2"/>
      <c r="B2" s="3"/>
    </row>
    <row r="3" spans="1:2" ht="23.85">
      <c r="A3" s="4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23.85">
      <c r="A6" s="2" t="s">
        <v>7</v>
      </c>
      <c r="B6" s="3" t="s">
        <v>8</v>
      </c>
    </row>
    <row r="7" spans="1:2" ht="23.85">
      <c r="A7" s="2" t="s">
        <v>9</v>
      </c>
      <c r="B7" s="3" t="s">
        <v>10</v>
      </c>
    </row>
    <row r="8" spans="1:2">
      <c r="A8" s="2"/>
      <c r="B8" s="3"/>
    </row>
    <row r="9" spans="1:2">
      <c r="A9" s="4" t="s">
        <v>11</v>
      </c>
      <c r="B9" s="3"/>
    </row>
    <row r="10" spans="1:2">
      <c r="A10" s="2" t="s">
        <v>12</v>
      </c>
      <c r="B10" s="3" t="s">
        <v>13</v>
      </c>
    </row>
    <row r="11" spans="1:2">
      <c r="A11" s="2" t="s">
        <v>14</v>
      </c>
      <c r="B11" s="3" t="s">
        <v>15</v>
      </c>
    </row>
    <row r="12" spans="1:2">
      <c r="A12" s="2" t="s">
        <v>16</v>
      </c>
      <c r="B12" s="3" t="s">
        <v>17</v>
      </c>
    </row>
    <row r="13" spans="1:2">
      <c r="A13" s="2" t="s">
        <v>18</v>
      </c>
      <c r="B13" s="3" t="s">
        <v>19</v>
      </c>
    </row>
    <row r="14" spans="1:2">
      <c r="A14" s="2" t="s">
        <v>20</v>
      </c>
      <c r="B14" s="3" t="s">
        <v>21</v>
      </c>
    </row>
    <row r="15" spans="1:2">
      <c r="A15" s="2"/>
      <c r="B15" s="3"/>
    </row>
    <row r="16" spans="1:2">
      <c r="A16" s="4" t="s">
        <v>22</v>
      </c>
      <c r="B16" s="3"/>
    </row>
    <row r="17" spans="1:2">
      <c r="A17" s="2" t="s">
        <v>23</v>
      </c>
      <c r="B17" s="3" t="s">
        <v>24</v>
      </c>
    </row>
    <row r="18" spans="1:2">
      <c r="A18" s="2" t="s">
        <v>25</v>
      </c>
      <c r="B18" s="3" t="s">
        <v>26</v>
      </c>
    </row>
    <row r="19" spans="1:2">
      <c r="A19" s="2" t="s">
        <v>27</v>
      </c>
      <c r="B19" s="3" t="s">
        <v>28</v>
      </c>
    </row>
    <row r="20" spans="1:2">
      <c r="A20" s="2" t="s">
        <v>29</v>
      </c>
      <c r="B20" s="3" t="s">
        <v>30</v>
      </c>
    </row>
    <row r="21" spans="1:2">
      <c r="A21" s="2" t="s">
        <v>31</v>
      </c>
      <c r="B21" s="3" t="s">
        <v>32</v>
      </c>
    </row>
    <row r="22" spans="1:2">
      <c r="A22" s="2"/>
      <c r="B22" s="3"/>
    </row>
    <row r="23" spans="1:2">
      <c r="A23" s="4" t="s">
        <v>33</v>
      </c>
      <c r="B23" s="3"/>
    </row>
    <row r="24" spans="1:2">
      <c r="A24" s="2" t="s">
        <v>34</v>
      </c>
      <c r="B24" s="3" t="s">
        <v>35</v>
      </c>
    </row>
    <row r="25" spans="1:2">
      <c r="A25" s="2" t="s">
        <v>36</v>
      </c>
      <c r="B25" s="3" t="s">
        <v>37</v>
      </c>
    </row>
    <row r="26" spans="1:2">
      <c r="A26" s="2" t="s">
        <v>38</v>
      </c>
      <c r="B26" s="3" t="s">
        <v>39</v>
      </c>
    </row>
    <row r="27" spans="1:2">
      <c r="A27" s="2" t="s">
        <v>40</v>
      </c>
      <c r="B27" s="3" t="s">
        <v>41</v>
      </c>
    </row>
    <row r="28" spans="1:2">
      <c r="A28" s="2" t="s">
        <v>42</v>
      </c>
      <c r="B28" s="3" t="s">
        <v>43</v>
      </c>
    </row>
    <row r="29" spans="1:2">
      <c r="A29" s="2" t="s">
        <v>44</v>
      </c>
      <c r="B29" s="3" t="s">
        <v>45</v>
      </c>
    </row>
    <row r="30" spans="1:2">
      <c r="A30" s="2" t="s">
        <v>46</v>
      </c>
      <c r="B30" s="3" t="s">
        <v>47</v>
      </c>
    </row>
    <row r="31" spans="1:2">
      <c r="A31" s="2"/>
      <c r="B31" s="3"/>
    </row>
    <row r="32" spans="1:2">
      <c r="A32" s="4" t="s">
        <v>48</v>
      </c>
      <c r="B32" s="3"/>
    </row>
    <row r="33" spans="1:2">
      <c r="A33" s="2"/>
      <c r="B33" s="3" t="s">
        <v>49</v>
      </c>
    </row>
    <row r="35" spans="1:2">
      <c r="A35" s="5" t="s">
        <v>50</v>
      </c>
      <c r="B35" s="5" t="s">
        <v>51</v>
      </c>
    </row>
    <row r="36" spans="1:2">
      <c r="A36" s="2" t="s">
        <v>52</v>
      </c>
      <c r="B36" s="6">
        <v>1400</v>
      </c>
    </row>
    <row r="37" spans="1:2">
      <c r="A37" s="2" t="s">
        <v>53</v>
      </c>
      <c r="B37" s="6">
        <v>280</v>
      </c>
    </row>
    <row r="38" spans="1:2">
      <c r="A38" s="2" t="s">
        <v>54</v>
      </c>
      <c r="B38" s="6">
        <v>25</v>
      </c>
    </row>
    <row r="39" spans="1:2">
      <c r="A39" s="2" t="s">
        <v>55</v>
      </c>
      <c r="B39" s="6">
        <v>35</v>
      </c>
    </row>
    <row r="40" spans="1:2">
      <c r="A40" s="2" t="s">
        <v>56</v>
      </c>
      <c r="B40" s="6">
        <v>75</v>
      </c>
    </row>
    <row r="41" spans="1:2">
      <c r="A41" s="2" t="s">
        <v>57</v>
      </c>
      <c r="B41" s="6">
        <v>200</v>
      </c>
    </row>
    <row r="42" spans="1:2">
      <c r="A42" s="2" t="s">
        <v>58</v>
      </c>
      <c r="B42" s="6">
        <v>60</v>
      </c>
    </row>
    <row r="43" spans="1:2">
      <c r="A43" s="2" t="s">
        <v>59</v>
      </c>
      <c r="B43" s="6">
        <v>150</v>
      </c>
    </row>
    <row r="44" spans="1:2">
      <c r="A44" s="2" t="s">
        <v>60</v>
      </c>
      <c r="B44" s="6">
        <v>120</v>
      </c>
    </row>
    <row r="45" spans="1:2">
      <c r="A45" s="2" t="s">
        <v>61</v>
      </c>
      <c r="B45" s="6">
        <v>90</v>
      </c>
    </row>
    <row r="46" spans="1:2">
      <c r="A46" s="2" t="s">
        <v>62</v>
      </c>
      <c r="B46" s="6">
        <v>45</v>
      </c>
    </row>
    <row r="47" spans="1:2">
      <c r="A47" s="2" t="s">
        <v>63</v>
      </c>
      <c r="B47" s="6">
        <v>1200</v>
      </c>
    </row>
    <row r="48" spans="1:2">
      <c r="A48" s="2" t="s">
        <v>64</v>
      </c>
      <c r="B48" s="6">
        <v>120</v>
      </c>
    </row>
    <row r="49" spans="1:2">
      <c r="A49" s="2" t="s">
        <v>65</v>
      </c>
      <c r="B49" s="6">
        <v>55</v>
      </c>
    </row>
    <row r="50" spans="1:2">
      <c r="A50" s="2" t="s">
        <v>66</v>
      </c>
      <c r="B50" s="6">
        <v>250</v>
      </c>
    </row>
    <row r="51" spans="1:2">
      <c r="A51" s="2" t="s">
        <v>67</v>
      </c>
      <c r="B51" s="6">
        <v>100</v>
      </c>
    </row>
    <row r="52" spans="1:2">
      <c r="A52" s="2" t="s">
        <v>68</v>
      </c>
      <c r="B52" s="6">
        <v>30</v>
      </c>
    </row>
    <row r="53" spans="1:2">
      <c r="A53" s="2" t="s">
        <v>69</v>
      </c>
      <c r="B53" s="6">
        <v>60</v>
      </c>
    </row>
    <row r="55" spans="1:2">
      <c r="A55" s="5" t="s">
        <v>70</v>
      </c>
      <c r="B55" s="5" t="s">
        <v>71</v>
      </c>
    </row>
    <row r="56" spans="1:2">
      <c r="A56" s="2" t="s">
        <v>72</v>
      </c>
      <c r="B56" s="7" t="s">
        <v>73</v>
      </c>
    </row>
    <row r="57" spans="1:2">
      <c r="A57" s="2" t="s">
        <v>74</v>
      </c>
      <c r="B57" s="7" t="s">
        <v>75</v>
      </c>
    </row>
    <row r="58" spans="1:2">
      <c r="A58" s="2" t="s">
        <v>76</v>
      </c>
      <c r="B58" s="7" t="s">
        <v>77</v>
      </c>
    </row>
    <row r="59" spans="1:2">
      <c r="A59" s="2" t="s">
        <v>78</v>
      </c>
      <c r="B59" s="7" t="s">
        <v>79</v>
      </c>
    </row>
    <row r="60" spans="1:2">
      <c r="A60" s="2" t="s">
        <v>80</v>
      </c>
      <c r="B60" s="7" t="s">
        <v>81</v>
      </c>
    </row>
    <row r="61" spans="1:2">
      <c r="A61" s="2" t="s">
        <v>82</v>
      </c>
      <c r="B61" s="7" t="s">
        <v>83</v>
      </c>
    </row>
    <row r="63" spans="1:2">
      <c r="A63" s="4" t="s">
        <v>84</v>
      </c>
      <c r="B63" s="8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955"/>
  <sheetViews>
    <sheetView zoomScaleNormal="100" workbookViewId="0">
      <pane xSplit="3" ySplit="1" topLeftCell="D2" activePane="bottomRight" state="frozen"/>
      <selection pane="bottomRight"/>
      <selection pane="bottomLeft" activeCell="A2" sqref="A2"/>
      <selection pane="topRight" activeCell="D1" sqref="D1"/>
    </sheetView>
  </sheetViews>
  <sheetFormatPr defaultColWidth="8.7109375" defaultRowHeight="15"/>
  <cols>
    <col min="1" max="2" width="12" customWidth="1"/>
    <col min="3" max="3" width="20" customWidth="1"/>
    <col min="4" max="4" width="18" customWidth="1"/>
    <col min="5" max="5" width="22" customWidth="1"/>
    <col min="6" max="6" width="18" customWidth="1"/>
    <col min="7" max="7" width="14" customWidth="1"/>
    <col min="8" max="8" width="26" customWidth="1"/>
    <col min="9" max="9" width="15" customWidth="1"/>
    <col min="10" max="10" width="16" customWidth="1"/>
    <col min="11" max="12" width="12" customWidth="1"/>
    <col min="13" max="13" width="13" customWidth="1"/>
    <col min="14" max="14" width="10" customWidth="1"/>
    <col min="15" max="15" width="24" customWidth="1"/>
    <col min="16" max="16" width="32" customWidth="1"/>
    <col min="17" max="17" width="20" customWidth="1"/>
    <col min="18" max="18" width="22" customWidth="1"/>
    <col min="19" max="19" width="9" customWidth="1"/>
    <col min="20" max="20" width="14" customWidth="1"/>
    <col min="21" max="21" width="12" customWidth="1"/>
    <col min="22" max="22" width="13" customWidth="1"/>
    <col min="23" max="23" width="11" customWidth="1"/>
    <col min="24" max="26" width="13" customWidth="1"/>
    <col min="27" max="27" width="11" customWidth="1"/>
    <col min="28" max="28" width="14" customWidth="1"/>
    <col min="29" max="30" width="12" customWidth="1"/>
    <col min="31" max="31" width="16" customWidth="1"/>
    <col min="32" max="32" width="14" customWidth="1"/>
    <col min="33" max="33" width="16" customWidth="1"/>
    <col min="34" max="36" width="13" customWidth="1"/>
    <col min="37" max="37" width="12" customWidth="1"/>
  </cols>
  <sheetData>
    <row r="1" spans="1:37" ht="33.75" customHeight="1">
      <c r="A1" s="5" t="s">
        <v>86</v>
      </c>
      <c r="B1" s="5" t="s">
        <v>87</v>
      </c>
      <c r="C1" s="5" t="s">
        <v>88</v>
      </c>
      <c r="D1" s="5" t="s">
        <v>89</v>
      </c>
      <c r="E1" s="5" t="s">
        <v>90</v>
      </c>
      <c r="F1" s="5" t="s">
        <v>91</v>
      </c>
      <c r="G1" s="5" t="s">
        <v>92</v>
      </c>
      <c r="H1" s="5" t="s">
        <v>93</v>
      </c>
      <c r="I1" s="5" t="s">
        <v>94</v>
      </c>
      <c r="J1" s="5" t="s">
        <v>95</v>
      </c>
      <c r="K1" s="5" t="s">
        <v>96</v>
      </c>
      <c r="L1" s="5" t="s">
        <v>97</v>
      </c>
      <c r="M1" s="5" t="s">
        <v>98</v>
      </c>
      <c r="N1" s="5" t="s">
        <v>99</v>
      </c>
      <c r="O1" s="5" t="s">
        <v>100</v>
      </c>
      <c r="P1" s="5" t="s">
        <v>101</v>
      </c>
      <c r="Q1" s="5" t="s">
        <v>102</v>
      </c>
      <c r="R1" s="5" t="s">
        <v>103</v>
      </c>
      <c r="S1" s="5" t="s">
        <v>9</v>
      </c>
      <c r="T1" s="5" t="s">
        <v>104</v>
      </c>
      <c r="U1" s="5" t="s">
        <v>105</v>
      </c>
      <c r="V1" s="5" t="s">
        <v>34</v>
      </c>
      <c r="W1" s="5" t="s">
        <v>106</v>
      </c>
      <c r="X1" s="5" t="s">
        <v>36</v>
      </c>
      <c r="Y1" s="5" t="s">
        <v>38</v>
      </c>
      <c r="Z1" s="5" t="s">
        <v>51</v>
      </c>
      <c r="AA1" s="5" t="s">
        <v>40</v>
      </c>
      <c r="AB1" s="5" t="s">
        <v>107</v>
      </c>
      <c r="AC1" s="5" t="s">
        <v>108</v>
      </c>
      <c r="AD1" s="5" t="s">
        <v>109</v>
      </c>
      <c r="AE1" s="5" t="s">
        <v>110</v>
      </c>
      <c r="AF1" s="5" t="s">
        <v>44</v>
      </c>
      <c r="AG1" s="5" t="s">
        <v>111</v>
      </c>
      <c r="AH1" s="5" t="s">
        <v>112</v>
      </c>
      <c r="AI1" s="5" t="s">
        <v>113</v>
      </c>
      <c r="AJ1" s="5" t="s">
        <v>114</v>
      </c>
      <c r="AK1" s="5" t="s">
        <v>46</v>
      </c>
    </row>
    <row r="2" spans="1:37">
      <c r="A2" s="2" t="s">
        <v>115</v>
      </c>
      <c r="B2" s="2" t="s">
        <v>116</v>
      </c>
      <c r="C2" s="2" t="s">
        <v>117</v>
      </c>
      <c r="D2" s="2" t="s">
        <v>118</v>
      </c>
      <c r="E2" s="2" t="s">
        <v>119</v>
      </c>
      <c r="F2" s="2" t="s">
        <v>120</v>
      </c>
      <c r="G2" s="2" t="s">
        <v>121</v>
      </c>
      <c r="H2" s="2" t="s">
        <v>122</v>
      </c>
      <c r="I2" s="2" t="s">
        <v>123</v>
      </c>
      <c r="J2" s="2" t="s">
        <v>124</v>
      </c>
      <c r="K2" s="9">
        <v>45658</v>
      </c>
      <c r="L2" s="9">
        <v>45661</v>
      </c>
      <c r="M2" s="9">
        <v>45658</v>
      </c>
      <c r="N2" s="2" t="s">
        <v>125</v>
      </c>
      <c r="O2" s="2" t="s">
        <v>52</v>
      </c>
      <c r="P2" s="2" t="s">
        <v>126</v>
      </c>
      <c r="Q2" s="2" t="s">
        <v>127</v>
      </c>
      <c r="R2" s="2" t="s">
        <v>128</v>
      </c>
      <c r="S2" s="2" t="s">
        <v>129</v>
      </c>
      <c r="T2" s="10">
        <v>1219.76</v>
      </c>
      <c r="U2" s="11">
        <v>1.272</v>
      </c>
      <c r="V2" s="12">
        <f>T2*U2</f>
        <v>1551.5347200000001</v>
      </c>
      <c r="W2" s="13">
        <v>0</v>
      </c>
      <c r="X2" s="12">
        <f>V2-(V2/(1+W2))</f>
        <v>0</v>
      </c>
      <c r="Y2" s="12">
        <f>V2-X2</f>
        <v>1551.5347200000001</v>
      </c>
      <c r="Z2" s="14">
        <v>1400</v>
      </c>
      <c r="AA2" s="2" t="str">
        <f>IF(V2&gt;Z2,"Yes","No")</f>
        <v>Yes</v>
      </c>
      <c r="AB2" s="12">
        <f>V2-Z2</f>
        <v>151.53472000000011</v>
      </c>
      <c r="AC2" s="15" t="s">
        <v>130</v>
      </c>
      <c r="AD2" s="15" t="s">
        <v>131</v>
      </c>
      <c r="AE2" s="15" t="s">
        <v>132</v>
      </c>
      <c r="AF2" s="12">
        <f>IF(AG2="Rejected",0,IF(R2="Corporate Card",0,V2))</f>
        <v>0</v>
      </c>
      <c r="AG2" s="15" t="s">
        <v>133</v>
      </c>
      <c r="AH2" s="16">
        <v>45667</v>
      </c>
      <c r="AI2" s="16">
        <v>45672</v>
      </c>
      <c r="AJ2" s="16">
        <v>45686</v>
      </c>
      <c r="AK2" s="17">
        <f>IF(AJ2="","",AJ2-AH2)</f>
        <v>19</v>
      </c>
    </row>
    <row r="3" spans="1:37">
      <c r="A3" s="2" t="s">
        <v>134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9">
        <v>45658</v>
      </c>
      <c r="L3" s="9">
        <v>45661</v>
      </c>
      <c r="M3" s="9">
        <v>45658</v>
      </c>
      <c r="N3" s="2" t="s">
        <v>125</v>
      </c>
      <c r="O3" s="2" t="s">
        <v>64</v>
      </c>
      <c r="P3" s="2" t="s">
        <v>135</v>
      </c>
      <c r="Q3" s="2" t="s">
        <v>136</v>
      </c>
      <c r="R3" s="2" t="s">
        <v>137</v>
      </c>
      <c r="S3" s="2" t="s">
        <v>129</v>
      </c>
      <c r="T3" s="10">
        <v>64.39</v>
      </c>
      <c r="U3" s="11">
        <v>1.272</v>
      </c>
      <c r="V3" s="12">
        <f>T3*U3</f>
        <v>81.904080000000008</v>
      </c>
      <c r="W3" s="13">
        <v>0</v>
      </c>
      <c r="X3" s="12">
        <f>V3-(V3/(1+W3))</f>
        <v>0</v>
      </c>
      <c r="Y3" s="12">
        <f>V3-X3</f>
        <v>81.904080000000008</v>
      </c>
      <c r="Z3" s="14">
        <v>120</v>
      </c>
      <c r="AA3" s="2" t="str">
        <f>IF(V3&gt;Z3,"Yes","No")</f>
        <v>No</v>
      </c>
      <c r="AB3" s="12">
        <f>V3-Z3</f>
        <v>-38.095919999999992</v>
      </c>
      <c r="AC3" s="15" t="s">
        <v>130</v>
      </c>
      <c r="AD3" s="15" t="s">
        <v>131</v>
      </c>
      <c r="AE3" s="15" t="s">
        <v>132</v>
      </c>
      <c r="AF3" s="12">
        <f>IF(AG3="Rejected",0,IF(R3="Corporate Card",0,V3))</f>
        <v>81.904080000000008</v>
      </c>
      <c r="AG3" s="15" t="s">
        <v>133</v>
      </c>
      <c r="AH3" s="16">
        <v>45667</v>
      </c>
      <c r="AI3" s="16">
        <v>45672</v>
      </c>
      <c r="AJ3" s="16">
        <v>45686</v>
      </c>
      <c r="AK3" s="17">
        <f>IF(AJ3="","",AJ3-AH3)</f>
        <v>19</v>
      </c>
    </row>
    <row r="4" spans="1:37">
      <c r="A4" s="2" t="s">
        <v>138</v>
      </c>
      <c r="B4" s="2" t="s">
        <v>116</v>
      </c>
      <c r="C4" s="2" t="s">
        <v>117</v>
      </c>
      <c r="D4" s="2" t="s">
        <v>118</v>
      </c>
      <c r="E4" s="2" t="s">
        <v>119</v>
      </c>
      <c r="F4" s="2" t="s">
        <v>120</v>
      </c>
      <c r="G4" s="2" t="s">
        <v>121</v>
      </c>
      <c r="H4" s="2" t="s">
        <v>122</v>
      </c>
      <c r="I4" s="2" t="s">
        <v>123</v>
      </c>
      <c r="J4" s="2" t="s">
        <v>124</v>
      </c>
      <c r="K4" s="9">
        <v>45658</v>
      </c>
      <c r="L4" s="9">
        <v>45661</v>
      </c>
      <c r="M4" s="9">
        <v>45658</v>
      </c>
      <c r="N4" s="2" t="s">
        <v>125</v>
      </c>
      <c r="O4" s="2" t="s">
        <v>54</v>
      </c>
      <c r="P4" s="2" t="s">
        <v>139</v>
      </c>
      <c r="Q4" s="2" t="s">
        <v>140</v>
      </c>
      <c r="R4" s="2" t="s">
        <v>128</v>
      </c>
      <c r="S4" s="2" t="s">
        <v>129</v>
      </c>
      <c r="T4" s="10">
        <v>24.22</v>
      </c>
      <c r="U4" s="11">
        <v>1.272</v>
      </c>
      <c r="V4" s="12">
        <f>T4*U4</f>
        <v>30.807839999999999</v>
      </c>
      <c r="W4" s="13">
        <v>0.2</v>
      </c>
      <c r="X4" s="12">
        <f>V4-(V4/(1+W4))</f>
        <v>5.1346399999999974</v>
      </c>
      <c r="Y4" s="12">
        <f>V4-X4</f>
        <v>25.673200000000001</v>
      </c>
      <c r="Z4" s="14">
        <v>25</v>
      </c>
      <c r="AA4" s="2" t="str">
        <f>IF(V4&gt;Z4,"Yes","No")</f>
        <v>Yes</v>
      </c>
      <c r="AB4" s="12">
        <f>V4-Z4</f>
        <v>5.8078399999999988</v>
      </c>
      <c r="AC4" s="15" t="s">
        <v>130</v>
      </c>
      <c r="AD4" s="15" t="s">
        <v>131</v>
      </c>
      <c r="AE4" s="15" t="s">
        <v>132</v>
      </c>
      <c r="AF4" s="12">
        <f>IF(AG4="Rejected",0,IF(R4="Corporate Card",0,V4))</f>
        <v>0</v>
      </c>
      <c r="AG4" s="15" t="s">
        <v>133</v>
      </c>
      <c r="AH4" s="16">
        <v>45667</v>
      </c>
      <c r="AI4" s="16">
        <v>45672</v>
      </c>
      <c r="AJ4" s="16">
        <v>45686</v>
      </c>
      <c r="AK4" s="17">
        <f>IF(AJ4="","",AJ4-AH4)</f>
        <v>19</v>
      </c>
    </row>
    <row r="5" spans="1:37">
      <c r="A5" s="2" t="s">
        <v>141</v>
      </c>
      <c r="B5" s="2" t="s">
        <v>116</v>
      </c>
      <c r="C5" s="2" t="s">
        <v>117</v>
      </c>
      <c r="D5" s="2" t="s">
        <v>118</v>
      </c>
      <c r="E5" s="2" t="s">
        <v>119</v>
      </c>
      <c r="F5" s="2" t="s">
        <v>120</v>
      </c>
      <c r="G5" s="2" t="s">
        <v>121</v>
      </c>
      <c r="H5" s="2" t="s">
        <v>122</v>
      </c>
      <c r="I5" s="2" t="s">
        <v>123</v>
      </c>
      <c r="J5" s="2" t="s">
        <v>124</v>
      </c>
      <c r="K5" s="9">
        <v>45658</v>
      </c>
      <c r="L5" s="9">
        <v>45661</v>
      </c>
      <c r="M5" s="9">
        <v>45659</v>
      </c>
      <c r="N5" s="2" t="s">
        <v>125</v>
      </c>
      <c r="O5" s="2" t="s">
        <v>58</v>
      </c>
      <c r="P5" s="2" t="s">
        <v>142</v>
      </c>
      <c r="Q5" s="2" t="s">
        <v>143</v>
      </c>
      <c r="R5" s="2" t="s">
        <v>137</v>
      </c>
      <c r="S5" s="2" t="s">
        <v>129</v>
      </c>
      <c r="T5" s="10">
        <v>28</v>
      </c>
      <c r="U5" s="11">
        <v>1.272</v>
      </c>
      <c r="V5" s="12">
        <f>T5*U5</f>
        <v>35.616</v>
      </c>
      <c r="W5" s="13">
        <v>0.2</v>
      </c>
      <c r="X5" s="12">
        <f>V5-(V5/(1+W5))</f>
        <v>5.9359999999999999</v>
      </c>
      <c r="Y5" s="12">
        <f>V5-X5</f>
        <v>29.68</v>
      </c>
      <c r="Z5" s="14">
        <v>60</v>
      </c>
      <c r="AA5" s="2" t="str">
        <f>IF(V5&gt;Z5,"Yes","No")</f>
        <v>No</v>
      </c>
      <c r="AB5" s="12">
        <f>V5-Z5</f>
        <v>-24.384</v>
      </c>
      <c r="AC5" s="15" t="s">
        <v>130</v>
      </c>
      <c r="AD5" s="15" t="s">
        <v>131</v>
      </c>
      <c r="AE5" s="15" t="s">
        <v>132</v>
      </c>
      <c r="AF5" s="12">
        <f>IF(AG5="Rejected",0,IF(R5="Corporate Card",0,V5))</f>
        <v>35.616</v>
      </c>
      <c r="AG5" s="15" t="s">
        <v>133</v>
      </c>
      <c r="AH5" s="16">
        <v>45667</v>
      </c>
      <c r="AI5" s="16">
        <v>45672</v>
      </c>
      <c r="AJ5" s="16">
        <v>45686</v>
      </c>
      <c r="AK5" s="17">
        <f>IF(AJ5="","",AJ5-AH5)</f>
        <v>19</v>
      </c>
    </row>
    <row r="6" spans="1:37">
      <c r="A6" s="2" t="s">
        <v>144</v>
      </c>
      <c r="B6" s="2" t="s">
        <v>116</v>
      </c>
      <c r="C6" s="2" t="s">
        <v>117</v>
      </c>
      <c r="D6" s="2" t="s">
        <v>118</v>
      </c>
      <c r="E6" s="2" t="s">
        <v>119</v>
      </c>
      <c r="F6" s="2" t="s">
        <v>120</v>
      </c>
      <c r="G6" s="2" t="s">
        <v>121</v>
      </c>
      <c r="H6" s="2" t="s">
        <v>122</v>
      </c>
      <c r="I6" s="2" t="s">
        <v>123</v>
      </c>
      <c r="J6" s="2" t="s">
        <v>124</v>
      </c>
      <c r="K6" s="9">
        <v>45658</v>
      </c>
      <c r="L6" s="9">
        <v>45661</v>
      </c>
      <c r="M6" s="9">
        <v>45659</v>
      </c>
      <c r="N6" s="2" t="s">
        <v>125</v>
      </c>
      <c r="O6" s="2" t="s">
        <v>53</v>
      </c>
      <c r="P6" s="2" t="s">
        <v>145</v>
      </c>
      <c r="Q6" s="2" t="s">
        <v>146</v>
      </c>
      <c r="R6" s="2" t="s">
        <v>128</v>
      </c>
      <c r="S6" s="2" t="s">
        <v>129</v>
      </c>
      <c r="T6" s="10">
        <v>574.25</v>
      </c>
      <c r="U6" s="11">
        <v>1.272</v>
      </c>
      <c r="V6" s="12">
        <f>T6*U6</f>
        <v>730.44600000000003</v>
      </c>
      <c r="W6" s="13">
        <v>0.2</v>
      </c>
      <c r="X6" s="12">
        <f>V6-(V6/(1+W6))</f>
        <v>121.74099999999999</v>
      </c>
      <c r="Y6" s="12">
        <f>V6-X6</f>
        <v>608.70500000000004</v>
      </c>
      <c r="Z6" s="14">
        <v>840</v>
      </c>
      <c r="AA6" s="2" t="str">
        <f>IF(V6&gt;Z6,"Yes","No")</f>
        <v>No</v>
      </c>
      <c r="AB6" s="12">
        <f>V6-Z6</f>
        <v>-109.55399999999997</v>
      </c>
      <c r="AC6" s="15" t="s">
        <v>130</v>
      </c>
      <c r="AD6" s="15" t="s">
        <v>131</v>
      </c>
      <c r="AE6" s="15" t="s">
        <v>132</v>
      </c>
      <c r="AF6" s="12">
        <f>IF(AG6="Rejected",0,IF(R6="Corporate Card",0,V6))</f>
        <v>0</v>
      </c>
      <c r="AG6" s="15" t="s">
        <v>133</v>
      </c>
      <c r="AH6" s="16">
        <v>45667</v>
      </c>
      <c r="AI6" s="16">
        <v>45672</v>
      </c>
      <c r="AJ6" s="16">
        <v>45686</v>
      </c>
      <c r="AK6" s="17">
        <f>IF(AJ6="","",AJ6-AH6)</f>
        <v>19</v>
      </c>
    </row>
    <row r="7" spans="1:37">
      <c r="A7" s="2" t="s">
        <v>147</v>
      </c>
      <c r="B7" s="2" t="s">
        <v>116</v>
      </c>
      <c r="C7" s="2" t="s">
        <v>117</v>
      </c>
      <c r="D7" s="2" t="s">
        <v>118</v>
      </c>
      <c r="E7" s="2" t="s">
        <v>119</v>
      </c>
      <c r="F7" s="2" t="s">
        <v>120</v>
      </c>
      <c r="G7" s="2" t="s">
        <v>121</v>
      </c>
      <c r="H7" s="2" t="s">
        <v>122</v>
      </c>
      <c r="I7" s="2" t="s">
        <v>123</v>
      </c>
      <c r="J7" s="2" t="s">
        <v>124</v>
      </c>
      <c r="K7" s="9">
        <v>45658</v>
      </c>
      <c r="L7" s="9">
        <v>45661</v>
      </c>
      <c r="M7" s="9">
        <v>45659</v>
      </c>
      <c r="N7" s="2" t="s">
        <v>125</v>
      </c>
      <c r="O7" s="2" t="s">
        <v>54</v>
      </c>
      <c r="P7" s="2" t="s">
        <v>139</v>
      </c>
      <c r="Q7" s="2" t="s">
        <v>148</v>
      </c>
      <c r="R7" s="2" t="s">
        <v>149</v>
      </c>
      <c r="S7" s="2" t="s">
        <v>129</v>
      </c>
      <c r="T7" s="10">
        <v>11.21</v>
      </c>
      <c r="U7" s="11">
        <v>1.272</v>
      </c>
      <c r="V7" s="12">
        <f>T7*U7</f>
        <v>14.259120000000001</v>
      </c>
      <c r="W7" s="13">
        <v>0.2</v>
      </c>
      <c r="X7" s="12">
        <f>V7-(V7/(1+W7))</f>
        <v>2.3765199999999993</v>
      </c>
      <c r="Y7" s="12">
        <f>V7-X7</f>
        <v>11.882600000000002</v>
      </c>
      <c r="Z7" s="14">
        <v>25</v>
      </c>
      <c r="AA7" s="2" t="str">
        <f>IF(V7&gt;Z7,"Yes","No")</f>
        <v>No</v>
      </c>
      <c r="AB7" s="12">
        <f>V7-Z7</f>
        <v>-10.740879999999999</v>
      </c>
      <c r="AC7" s="15" t="s">
        <v>130</v>
      </c>
      <c r="AD7" s="15" t="s">
        <v>131</v>
      </c>
      <c r="AE7" s="15" t="s">
        <v>132</v>
      </c>
      <c r="AF7" s="12">
        <f>IF(AG7="Rejected",0,IF(R7="Corporate Card",0,V7))</f>
        <v>14.259120000000001</v>
      </c>
      <c r="AG7" s="15" t="s">
        <v>133</v>
      </c>
      <c r="AH7" s="16">
        <v>45667</v>
      </c>
      <c r="AI7" s="16">
        <v>45672</v>
      </c>
      <c r="AJ7" s="16">
        <v>45686</v>
      </c>
      <c r="AK7" s="17">
        <f>IF(AJ7="","",AJ7-AH7)</f>
        <v>19</v>
      </c>
    </row>
    <row r="8" spans="1:37">
      <c r="A8" s="2" t="s">
        <v>150</v>
      </c>
      <c r="B8" s="2" t="s">
        <v>116</v>
      </c>
      <c r="C8" s="2" t="s">
        <v>117</v>
      </c>
      <c r="D8" s="2" t="s">
        <v>118</v>
      </c>
      <c r="E8" s="2" t="s">
        <v>119</v>
      </c>
      <c r="F8" s="2" t="s">
        <v>120</v>
      </c>
      <c r="G8" s="2" t="s">
        <v>121</v>
      </c>
      <c r="H8" s="2" t="s">
        <v>122</v>
      </c>
      <c r="I8" s="2" t="s">
        <v>123</v>
      </c>
      <c r="J8" s="2" t="s">
        <v>124</v>
      </c>
      <c r="K8" s="9">
        <v>45658</v>
      </c>
      <c r="L8" s="9">
        <v>45661</v>
      </c>
      <c r="M8" s="9">
        <v>45659</v>
      </c>
      <c r="N8" s="2" t="s">
        <v>125</v>
      </c>
      <c r="O8" s="2" t="s">
        <v>56</v>
      </c>
      <c r="P8" s="2" t="s">
        <v>151</v>
      </c>
      <c r="Q8" s="2" t="s">
        <v>152</v>
      </c>
      <c r="R8" s="2" t="s">
        <v>128</v>
      </c>
      <c r="S8" s="2" t="s">
        <v>129</v>
      </c>
      <c r="T8" s="10">
        <v>41.88</v>
      </c>
      <c r="U8" s="11">
        <v>1.272</v>
      </c>
      <c r="V8" s="12">
        <f>T8*U8</f>
        <v>53.271360000000001</v>
      </c>
      <c r="W8" s="13">
        <v>0.2</v>
      </c>
      <c r="X8" s="12">
        <f>V8-(V8/(1+W8))</f>
        <v>8.8785600000000002</v>
      </c>
      <c r="Y8" s="12">
        <f>V8-X8</f>
        <v>44.392800000000001</v>
      </c>
      <c r="Z8" s="14">
        <v>75</v>
      </c>
      <c r="AA8" s="2" t="str">
        <f>IF(V8&gt;Z8,"Yes","No")</f>
        <v>No</v>
      </c>
      <c r="AB8" s="12">
        <f>V8-Z8</f>
        <v>-21.728639999999999</v>
      </c>
      <c r="AC8" s="15" t="s">
        <v>130</v>
      </c>
      <c r="AD8" s="15" t="s">
        <v>131</v>
      </c>
      <c r="AE8" s="15" t="s">
        <v>132</v>
      </c>
      <c r="AF8" s="12">
        <f>IF(AG8="Rejected",0,IF(R8="Corporate Card",0,V8))</f>
        <v>0</v>
      </c>
      <c r="AG8" s="15" t="s">
        <v>133</v>
      </c>
      <c r="AH8" s="16">
        <v>45667</v>
      </c>
      <c r="AI8" s="16">
        <v>45672</v>
      </c>
      <c r="AJ8" s="16">
        <v>45686</v>
      </c>
      <c r="AK8" s="17">
        <f>IF(AJ8="","",AJ8-AH8)</f>
        <v>19</v>
      </c>
    </row>
    <row r="9" spans="1:37">
      <c r="A9" s="2" t="s">
        <v>153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120</v>
      </c>
      <c r="G9" s="2" t="s">
        <v>121</v>
      </c>
      <c r="H9" s="2" t="s">
        <v>122</v>
      </c>
      <c r="I9" s="2" t="s">
        <v>123</v>
      </c>
      <c r="J9" s="2" t="s">
        <v>124</v>
      </c>
      <c r="K9" s="9">
        <v>45658</v>
      </c>
      <c r="L9" s="9">
        <v>45661</v>
      </c>
      <c r="M9" s="9">
        <v>45659</v>
      </c>
      <c r="N9" s="2" t="s">
        <v>125</v>
      </c>
      <c r="O9" s="2" t="s">
        <v>55</v>
      </c>
      <c r="P9" s="2" t="s">
        <v>139</v>
      </c>
      <c r="Q9" s="2" t="s">
        <v>154</v>
      </c>
      <c r="R9" s="2" t="s">
        <v>137</v>
      </c>
      <c r="S9" s="2" t="s">
        <v>129</v>
      </c>
      <c r="T9" s="10">
        <v>10.06</v>
      </c>
      <c r="U9" s="11">
        <v>1.272</v>
      </c>
      <c r="V9" s="12">
        <f>T9*U9</f>
        <v>12.796320000000001</v>
      </c>
      <c r="W9" s="13">
        <v>0.2</v>
      </c>
      <c r="X9" s="12">
        <f>V9-(V9/(1+W9))</f>
        <v>2.1327199999999991</v>
      </c>
      <c r="Y9" s="12">
        <f>V9-X9</f>
        <v>10.663600000000002</v>
      </c>
      <c r="Z9" s="14">
        <v>35</v>
      </c>
      <c r="AA9" s="2" t="str">
        <f>IF(V9&gt;Z9,"Yes","No")</f>
        <v>No</v>
      </c>
      <c r="AB9" s="12">
        <f>V9-Z9</f>
        <v>-22.203679999999999</v>
      </c>
      <c r="AC9" s="15" t="s">
        <v>130</v>
      </c>
      <c r="AD9" s="15" t="s">
        <v>131</v>
      </c>
      <c r="AE9" s="15" t="s">
        <v>132</v>
      </c>
      <c r="AF9" s="12">
        <f>IF(AG9="Rejected",0,IF(R9="Corporate Card",0,V9))</f>
        <v>12.796320000000001</v>
      </c>
      <c r="AG9" s="15" t="s">
        <v>133</v>
      </c>
      <c r="AH9" s="16">
        <v>45667</v>
      </c>
      <c r="AI9" s="16">
        <v>45672</v>
      </c>
      <c r="AJ9" s="16">
        <v>45686</v>
      </c>
      <c r="AK9" s="17">
        <f>IF(AJ9="","",AJ9-AH9)</f>
        <v>19</v>
      </c>
    </row>
    <row r="10" spans="1:37">
      <c r="A10" s="2" t="s">
        <v>155</v>
      </c>
      <c r="B10" s="2" t="s">
        <v>116</v>
      </c>
      <c r="C10" s="2" t="s">
        <v>117</v>
      </c>
      <c r="D10" s="2" t="s">
        <v>118</v>
      </c>
      <c r="E10" s="2" t="s">
        <v>119</v>
      </c>
      <c r="F10" s="2" t="s">
        <v>120</v>
      </c>
      <c r="G10" s="2" t="s">
        <v>121</v>
      </c>
      <c r="H10" s="2" t="s">
        <v>122</v>
      </c>
      <c r="I10" s="2" t="s">
        <v>123</v>
      </c>
      <c r="J10" s="2" t="s">
        <v>124</v>
      </c>
      <c r="K10" s="9">
        <v>45658</v>
      </c>
      <c r="L10" s="9">
        <v>45661</v>
      </c>
      <c r="M10" s="9">
        <v>45660</v>
      </c>
      <c r="N10" s="2" t="s">
        <v>125</v>
      </c>
      <c r="O10" s="2" t="s">
        <v>58</v>
      </c>
      <c r="P10" s="2" t="s">
        <v>142</v>
      </c>
      <c r="Q10" s="2" t="s">
        <v>156</v>
      </c>
      <c r="R10" s="2" t="s">
        <v>128</v>
      </c>
      <c r="S10" s="2" t="s">
        <v>129</v>
      </c>
      <c r="T10" s="10">
        <v>40.46</v>
      </c>
      <c r="U10" s="11">
        <v>1.272</v>
      </c>
      <c r="V10" s="12">
        <f>T10*U10</f>
        <v>51.465119999999999</v>
      </c>
      <c r="W10" s="13">
        <v>0.2</v>
      </c>
      <c r="X10" s="12">
        <f>V10-(V10/(1+W10))</f>
        <v>8.5775199999999998</v>
      </c>
      <c r="Y10" s="12">
        <f>V10-X10</f>
        <v>42.887599999999999</v>
      </c>
      <c r="Z10" s="14">
        <v>60</v>
      </c>
      <c r="AA10" s="2" t="str">
        <f>IF(V10&gt;Z10,"Yes","No")</f>
        <v>No</v>
      </c>
      <c r="AB10" s="12">
        <f>V10-Z10</f>
        <v>-8.5348800000000011</v>
      </c>
      <c r="AC10" s="15" t="s">
        <v>130</v>
      </c>
      <c r="AD10" s="15" t="s">
        <v>131</v>
      </c>
      <c r="AE10" s="15" t="s">
        <v>132</v>
      </c>
      <c r="AF10" s="12">
        <f>IF(AG10="Rejected",0,IF(R10="Corporate Card",0,V10))</f>
        <v>0</v>
      </c>
      <c r="AG10" s="15" t="s">
        <v>133</v>
      </c>
      <c r="AH10" s="16">
        <v>45667</v>
      </c>
      <c r="AI10" s="16">
        <v>45672</v>
      </c>
      <c r="AJ10" s="16">
        <v>45686</v>
      </c>
      <c r="AK10" s="17">
        <f>IF(AJ10="","",AJ10-AH10)</f>
        <v>19</v>
      </c>
    </row>
    <row r="11" spans="1:37">
      <c r="A11" s="2" t="s">
        <v>157</v>
      </c>
      <c r="B11" s="2" t="s">
        <v>116</v>
      </c>
      <c r="C11" s="2" t="s">
        <v>117</v>
      </c>
      <c r="D11" s="2" t="s">
        <v>118</v>
      </c>
      <c r="E11" s="2" t="s">
        <v>119</v>
      </c>
      <c r="F11" s="2" t="s">
        <v>120</v>
      </c>
      <c r="G11" s="2" t="s">
        <v>121</v>
      </c>
      <c r="H11" s="2" t="s">
        <v>122</v>
      </c>
      <c r="I11" s="2" t="s">
        <v>123</v>
      </c>
      <c r="J11" s="2" t="s">
        <v>124</v>
      </c>
      <c r="K11" s="9">
        <v>45658</v>
      </c>
      <c r="L11" s="9">
        <v>45661</v>
      </c>
      <c r="M11" s="9">
        <v>45660</v>
      </c>
      <c r="N11" s="2" t="s">
        <v>125</v>
      </c>
      <c r="O11" s="2" t="s">
        <v>54</v>
      </c>
      <c r="P11" s="2" t="s">
        <v>139</v>
      </c>
      <c r="Q11" s="2" t="s">
        <v>148</v>
      </c>
      <c r="R11" s="2" t="s">
        <v>128</v>
      </c>
      <c r="S11" s="2" t="s">
        <v>129</v>
      </c>
      <c r="T11" s="10">
        <v>18.829999999999998</v>
      </c>
      <c r="U11" s="11">
        <v>1.272</v>
      </c>
      <c r="V11" s="12">
        <f>T11*U11</f>
        <v>23.951759999999997</v>
      </c>
      <c r="W11" s="13">
        <v>0.2</v>
      </c>
      <c r="X11" s="12">
        <f>V11-(V11/(1+W11))</f>
        <v>3.9919599999999988</v>
      </c>
      <c r="Y11" s="12">
        <f>V11-X11</f>
        <v>19.959799999999998</v>
      </c>
      <c r="Z11" s="14">
        <v>25</v>
      </c>
      <c r="AA11" s="2" t="str">
        <f>IF(V11&gt;Z11,"Yes","No")</f>
        <v>No</v>
      </c>
      <c r="AB11" s="12">
        <f>V11-Z11</f>
        <v>-1.0482400000000034</v>
      </c>
      <c r="AC11" s="15" t="s">
        <v>130</v>
      </c>
      <c r="AD11" s="15" t="s">
        <v>131</v>
      </c>
      <c r="AE11" s="15" t="s">
        <v>132</v>
      </c>
      <c r="AF11" s="12">
        <f>IF(AG11="Rejected",0,IF(R11="Corporate Card",0,V11))</f>
        <v>0</v>
      </c>
      <c r="AG11" s="15" t="s">
        <v>133</v>
      </c>
      <c r="AH11" s="16">
        <v>45667</v>
      </c>
      <c r="AI11" s="16">
        <v>45672</v>
      </c>
      <c r="AJ11" s="16">
        <v>45686</v>
      </c>
      <c r="AK11" s="17">
        <f>IF(AJ11="","",AJ11-AH11)</f>
        <v>19</v>
      </c>
    </row>
    <row r="12" spans="1:37">
      <c r="A12" s="2" t="s">
        <v>158</v>
      </c>
      <c r="B12" s="2" t="s">
        <v>116</v>
      </c>
      <c r="C12" s="2" t="s">
        <v>117</v>
      </c>
      <c r="D12" s="2" t="s">
        <v>118</v>
      </c>
      <c r="E12" s="2" t="s">
        <v>119</v>
      </c>
      <c r="F12" s="2" t="s">
        <v>120</v>
      </c>
      <c r="G12" s="2" t="s">
        <v>121</v>
      </c>
      <c r="H12" s="2" t="s">
        <v>122</v>
      </c>
      <c r="I12" s="2" t="s">
        <v>123</v>
      </c>
      <c r="J12" s="2" t="s">
        <v>124</v>
      </c>
      <c r="K12" s="9">
        <v>45658</v>
      </c>
      <c r="L12" s="9">
        <v>45661</v>
      </c>
      <c r="M12" s="9">
        <v>45660</v>
      </c>
      <c r="N12" s="2" t="s">
        <v>125</v>
      </c>
      <c r="O12" s="2" t="s">
        <v>56</v>
      </c>
      <c r="P12" s="2" t="s">
        <v>151</v>
      </c>
      <c r="Q12" s="2" t="s">
        <v>159</v>
      </c>
      <c r="R12" s="2" t="s">
        <v>137</v>
      </c>
      <c r="S12" s="2" t="s">
        <v>129</v>
      </c>
      <c r="T12" s="10">
        <v>38.94</v>
      </c>
      <c r="U12" s="11">
        <v>1.272</v>
      </c>
      <c r="V12" s="12">
        <f>T12*U12</f>
        <v>49.531679999999994</v>
      </c>
      <c r="W12" s="13">
        <v>0.2</v>
      </c>
      <c r="X12" s="12">
        <f>V12-(V12/(1+W12))</f>
        <v>8.2552799999999991</v>
      </c>
      <c r="Y12" s="12">
        <f>V12-X12</f>
        <v>41.276399999999995</v>
      </c>
      <c r="Z12" s="14">
        <v>75</v>
      </c>
      <c r="AA12" s="2" t="str">
        <f>IF(V12&gt;Z12,"Yes","No")</f>
        <v>No</v>
      </c>
      <c r="AB12" s="12">
        <f>V12-Z12</f>
        <v>-25.468320000000006</v>
      </c>
      <c r="AC12" s="15" t="s">
        <v>130</v>
      </c>
      <c r="AD12" s="15" t="s">
        <v>131</v>
      </c>
      <c r="AE12" s="15" t="s">
        <v>132</v>
      </c>
      <c r="AF12" s="12">
        <f>IF(AG12="Rejected",0,IF(R12="Corporate Card",0,V12))</f>
        <v>49.531679999999994</v>
      </c>
      <c r="AG12" s="15" t="s">
        <v>133</v>
      </c>
      <c r="AH12" s="16">
        <v>45667</v>
      </c>
      <c r="AI12" s="16">
        <v>45672</v>
      </c>
      <c r="AJ12" s="16">
        <v>45686</v>
      </c>
      <c r="AK12" s="17">
        <f>IF(AJ12="","",AJ12-AH12)</f>
        <v>19</v>
      </c>
    </row>
    <row r="13" spans="1:37">
      <c r="A13" s="2" t="s">
        <v>160</v>
      </c>
      <c r="B13" s="2" t="s">
        <v>116</v>
      </c>
      <c r="C13" s="2" t="s">
        <v>117</v>
      </c>
      <c r="D13" s="2" t="s">
        <v>118</v>
      </c>
      <c r="E13" s="2" t="s">
        <v>119</v>
      </c>
      <c r="F13" s="2" t="s">
        <v>120</v>
      </c>
      <c r="G13" s="2" t="s">
        <v>121</v>
      </c>
      <c r="H13" s="2" t="s">
        <v>122</v>
      </c>
      <c r="I13" s="2" t="s">
        <v>123</v>
      </c>
      <c r="J13" s="2" t="s">
        <v>124</v>
      </c>
      <c r="K13" s="9">
        <v>45658</v>
      </c>
      <c r="L13" s="9">
        <v>45661</v>
      </c>
      <c r="M13" s="9">
        <v>45660</v>
      </c>
      <c r="N13" s="2" t="s">
        <v>125</v>
      </c>
      <c r="O13" s="2" t="s">
        <v>55</v>
      </c>
      <c r="P13" s="2" t="s">
        <v>139</v>
      </c>
      <c r="Q13" s="2" t="s">
        <v>161</v>
      </c>
      <c r="R13" s="2" t="s">
        <v>128</v>
      </c>
      <c r="S13" s="2" t="s">
        <v>129</v>
      </c>
      <c r="T13" s="10">
        <v>35.53</v>
      </c>
      <c r="U13" s="11">
        <v>1.272</v>
      </c>
      <c r="V13" s="12">
        <f>T13*U13</f>
        <v>45.194160000000004</v>
      </c>
      <c r="W13" s="13">
        <v>0.2</v>
      </c>
      <c r="X13" s="12">
        <f>V13-(V13/(1+W13))</f>
        <v>7.5323599999999971</v>
      </c>
      <c r="Y13" s="12">
        <f>V13-X13</f>
        <v>37.661800000000007</v>
      </c>
      <c r="Z13" s="14">
        <v>35</v>
      </c>
      <c r="AA13" s="2" t="str">
        <f>IF(V13&gt;Z13,"Yes","No")</f>
        <v>Yes</v>
      </c>
      <c r="AB13" s="12">
        <f>V13-Z13</f>
        <v>10.194160000000004</v>
      </c>
      <c r="AC13" s="15" t="s">
        <v>130</v>
      </c>
      <c r="AD13" s="15" t="s">
        <v>131</v>
      </c>
      <c r="AE13" s="15" t="s">
        <v>132</v>
      </c>
      <c r="AF13" s="12">
        <f>IF(AG13="Rejected",0,IF(R13="Corporate Card",0,V13))</f>
        <v>0</v>
      </c>
      <c r="AG13" s="15" t="s">
        <v>133</v>
      </c>
      <c r="AH13" s="16">
        <v>45667</v>
      </c>
      <c r="AI13" s="16">
        <v>45672</v>
      </c>
      <c r="AJ13" s="16">
        <v>45686</v>
      </c>
      <c r="AK13" s="17">
        <f>IF(AJ13="","",AJ13-AH13)</f>
        <v>19</v>
      </c>
    </row>
    <row r="14" spans="1:37">
      <c r="A14" s="2" t="s">
        <v>162</v>
      </c>
      <c r="B14" s="2" t="s">
        <v>116</v>
      </c>
      <c r="C14" s="2" t="s">
        <v>117</v>
      </c>
      <c r="D14" s="2" t="s">
        <v>118</v>
      </c>
      <c r="E14" s="2" t="s">
        <v>119</v>
      </c>
      <c r="F14" s="2" t="s">
        <v>120</v>
      </c>
      <c r="G14" s="2" t="s">
        <v>121</v>
      </c>
      <c r="H14" s="2" t="s">
        <v>122</v>
      </c>
      <c r="I14" s="2" t="s">
        <v>123</v>
      </c>
      <c r="J14" s="2" t="s">
        <v>124</v>
      </c>
      <c r="K14" s="9">
        <v>45658</v>
      </c>
      <c r="L14" s="9">
        <v>45661</v>
      </c>
      <c r="M14" s="9">
        <v>45661</v>
      </c>
      <c r="N14" s="2" t="s">
        <v>125</v>
      </c>
      <c r="O14" s="2" t="s">
        <v>54</v>
      </c>
      <c r="P14" s="2" t="s">
        <v>139</v>
      </c>
      <c r="Q14" s="2" t="s">
        <v>163</v>
      </c>
      <c r="R14" s="2" t="s">
        <v>128</v>
      </c>
      <c r="S14" s="2" t="s">
        <v>129</v>
      </c>
      <c r="T14" s="10">
        <v>7.7</v>
      </c>
      <c r="U14" s="11">
        <v>1.272</v>
      </c>
      <c r="V14" s="12">
        <f>T14*U14</f>
        <v>9.7943999999999996</v>
      </c>
      <c r="W14" s="13">
        <v>0.2</v>
      </c>
      <c r="X14" s="12">
        <f>V14-(V14/(1+W14))</f>
        <v>1.6323999999999987</v>
      </c>
      <c r="Y14" s="12">
        <f>V14-X14</f>
        <v>8.1620000000000008</v>
      </c>
      <c r="Z14" s="14">
        <v>25</v>
      </c>
      <c r="AA14" s="2" t="str">
        <f>IF(V14&gt;Z14,"Yes","No")</f>
        <v>No</v>
      </c>
      <c r="AB14" s="12">
        <f>V14-Z14</f>
        <v>-15.2056</v>
      </c>
      <c r="AC14" s="15" t="s">
        <v>131</v>
      </c>
      <c r="AD14" s="15" t="s">
        <v>131</v>
      </c>
      <c r="AE14" s="15" t="s">
        <v>132</v>
      </c>
      <c r="AF14" s="12">
        <f>IF(AG14="Rejected",0,IF(R14="Corporate Card",0,V14))</f>
        <v>0</v>
      </c>
      <c r="AG14" s="15" t="s">
        <v>133</v>
      </c>
      <c r="AH14" s="16">
        <v>45667</v>
      </c>
      <c r="AI14" s="16">
        <v>45672</v>
      </c>
      <c r="AJ14" s="16">
        <v>45686</v>
      </c>
      <c r="AK14" s="17">
        <f>IF(AJ14="","",AJ14-AH14)</f>
        <v>19</v>
      </c>
    </row>
    <row r="15" spans="1:37">
      <c r="A15" s="2" t="s">
        <v>164</v>
      </c>
      <c r="B15" s="2" t="s">
        <v>116</v>
      </c>
      <c r="C15" s="2" t="s">
        <v>117</v>
      </c>
      <c r="D15" s="2" t="s">
        <v>118</v>
      </c>
      <c r="E15" s="2" t="s">
        <v>119</v>
      </c>
      <c r="F15" s="2" t="s">
        <v>120</v>
      </c>
      <c r="G15" s="2" t="s">
        <v>121</v>
      </c>
      <c r="H15" s="2" t="s">
        <v>122</v>
      </c>
      <c r="I15" s="2" t="s">
        <v>123</v>
      </c>
      <c r="J15" s="2" t="s">
        <v>124</v>
      </c>
      <c r="K15" s="9">
        <v>45658</v>
      </c>
      <c r="L15" s="9">
        <v>45661</v>
      </c>
      <c r="M15" s="9">
        <v>45661</v>
      </c>
      <c r="N15" s="2" t="s">
        <v>125</v>
      </c>
      <c r="O15" s="2" t="s">
        <v>56</v>
      </c>
      <c r="P15" s="2" t="s">
        <v>165</v>
      </c>
      <c r="Q15" s="2" t="s">
        <v>166</v>
      </c>
      <c r="R15" s="2" t="s">
        <v>128</v>
      </c>
      <c r="S15" s="2" t="s">
        <v>129</v>
      </c>
      <c r="T15" s="10">
        <v>50.95</v>
      </c>
      <c r="U15" s="11">
        <v>1.272</v>
      </c>
      <c r="V15" s="12">
        <f>T15*U15</f>
        <v>64.808400000000006</v>
      </c>
      <c r="W15" s="13">
        <v>0.2</v>
      </c>
      <c r="X15" s="12">
        <f>V15-(V15/(1+W15))</f>
        <v>10.801400000000001</v>
      </c>
      <c r="Y15" s="12">
        <f>V15-X15</f>
        <v>54.007000000000005</v>
      </c>
      <c r="Z15" s="14">
        <v>75</v>
      </c>
      <c r="AA15" s="2" t="str">
        <f>IF(V15&gt;Z15,"Yes","No")</f>
        <v>No</v>
      </c>
      <c r="AB15" s="12">
        <f>V15-Z15</f>
        <v>-10.191599999999994</v>
      </c>
      <c r="AC15" s="15" t="s">
        <v>130</v>
      </c>
      <c r="AD15" s="15" t="s">
        <v>131</v>
      </c>
      <c r="AE15" s="15" t="s">
        <v>132</v>
      </c>
      <c r="AF15" s="12">
        <f>IF(AG15="Rejected",0,IF(R15="Corporate Card",0,V15))</f>
        <v>0</v>
      </c>
      <c r="AG15" s="15" t="s">
        <v>133</v>
      </c>
      <c r="AH15" s="16">
        <v>45667</v>
      </c>
      <c r="AI15" s="16">
        <v>45672</v>
      </c>
      <c r="AJ15" s="16">
        <v>45686</v>
      </c>
      <c r="AK15" s="17">
        <f>IF(AJ15="","",AJ15-AH15)</f>
        <v>19</v>
      </c>
    </row>
    <row r="16" spans="1:37">
      <c r="A16" s="2" t="s">
        <v>167</v>
      </c>
      <c r="B16" s="2" t="s">
        <v>116</v>
      </c>
      <c r="C16" s="2" t="s">
        <v>117</v>
      </c>
      <c r="D16" s="2" t="s">
        <v>118</v>
      </c>
      <c r="E16" s="2" t="s">
        <v>119</v>
      </c>
      <c r="F16" s="2" t="s">
        <v>120</v>
      </c>
      <c r="G16" s="2" t="s">
        <v>121</v>
      </c>
      <c r="H16" s="2" t="s">
        <v>122</v>
      </c>
      <c r="I16" s="2" t="s">
        <v>123</v>
      </c>
      <c r="J16" s="2" t="s">
        <v>124</v>
      </c>
      <c r="K16" s="9">
        <v>45658</v>
      </c>
      <c r="L16" s="9">
        <v>45661</v>
      </c>
      <c r="M16" s="9">
        <v>45661</v>
      </c>
      <c r="N16" s="2" t="s">
        <v>125</v>
      </c>
      <c r="O16" s="2" t="s">
        <v>55</v>
      </c>
      <c r="P16" s="2" t="s">
        <v>139</v>
      </c>
      <c r="Q16" s="2" t="s">
        <v>154</v>
      </c>
      <c r="R16" s="2" t="s">
        <v>137</v>
      </c>
      <c r="S16" s="2" t="s">
        <v>129</v>
      </c>
      <c r="T16" s="10">
        <v>24.13</v>
      </c>
      <c r="U16" s="11">
        <v>1.272</v>
      </c>
      <c r="V16" s="12">
        <f>T16*U16</f>
        <v>30.693359999999998</v>
      </c>
      <c r="W16" s="13">
        <v>0.2</v>
      </c>
      <c r="X16" s="12">
        <f>V16-(V16/(1+W16))</f>
        <v>5.1155599999999986</v>
      </c>
      <c r="Y16" s="12">
        <f>V16-X16</f>
        <v>25.5778</v>
      </c>
      <c r="Z16" s="14">
        <v>35</v>
      </c>
      <c r="AA16" s="2" t="str">
        <f>IF(V16&gt;Z16,"Yes","No")</f>
        <v>No</v>
      </c>
      <c r="AB16" s="12">
        <f>V16-Z16</f>
        <v>-4.3066400000000016</v>
      </c>
      <c r="AC16" s="15" t="s">
        <v>131</v>
      </c>
      <c r="AD16" s="15" t="s">
        <v>131</v>
      </c>
      <c r="AE16" s="15" t="s">
        <v>132</v>
      </c>
      <c r="AF16" s="12">
        <f>IF(AG16="Rejected",0,IF(R16="Corporate Card",0,V16))</f>
        <v>30.693359999999998</v>
      </c>
      <c r="AG16" s="15" t="s">
        <v>133</v>
      </c>
      <c r="AH16" s="16">
        <v>45667</v>
      </c>
      <c r="AI16" s="16">
        <v>45672</v>
      </c>
      <c r="AJ16" s="16">
        <v>45686</v>
      </c>
      <c r="AK16" s="17">
        <f>IF(AJ16="","",AJ16-AH16)</f>
        <v>19</v>
      </c>
    </row>
    <row r="17" spans="1:37">
      <c r="A17" s="2" t="s">
        <v>168</v>
      </c>
      <c r="B17" s="2" t="s">
        <v>169</v>
      </c>
      <c r="C17" s="2" t="s">
        <v>170</v>
      </c>
      <c r="D17" s="2" t="s">
        <v>171</v>
      </c>
      <c r="E17" s="2" t="s">
        <v>172</v>
      </c>
      <c r="F17" s="2" t="s">
        <v>173</v>
      </c>
      <c r="G17" s="2" t="s">
        <v>174</v>
      </c>
      <c r="H17" s="2" t="s">
        <v>122</v>
      </c>
      <c r="I17" s="2" t="s">
        <v>175</v>
      </c>
      <c r="J17" s="2" t="s">
        <v>176</v>
      </c>
      <c r="K17" s="9">
        <v>45661</v>
      </c>
      <c r="L17" s="9">
        <v>45668</v>
      </c>
      <c r="M17" s="9">
        <v>45661</v>
      </c>
      <c r="N17" s="2" t="s">
        <v>125</v>
      </c>
      <c r="O17" s="2" t="s">
        <v>52</v>
      </c>
      <c r="P17" s="2" t="s">
        <v>177</v>
      </c>
      <c r="Q17" s="2" t="s">
        <v>178</v>
      </c>
      <c r="R17" s="2" t="s">
        <v>128</v>
      </c>
      <c r="S17" s="2" t="s">
        <v>179</v>
      </c>
      <c r="T17" s="10">
        <v>6071.89</v>
      </c>
      <c r="U17" s="11">
        <v>0.18099999999999999</v>
      </c>
      <c r="V17" s="12">
        <f>T17*U17</f>
        <v>1099.0120899999999</v>
      </c>
      <c r="W17" s="13">
        <v>0</v>
      </c>
      <c r="X17" s="12">
        <f>V17-(V17/(1+W17))</f>
        <v>0</v>
      </c>
      <c r="Y17" s="12">
        <f>V17-X17</f>
        <v>1099.0120899999999</v>
      </c>
      <c r="Z17" s="14">
        <v>1400</v>
      </c>
      <c r="AA17" s="2" t="str">
        <f>IF(V17&gt;Z17,"Yes","No")</f>
        <v>No</v>
      </c>
      <c r="AB17" s="12">
        <f>V17-Z17</f>
        <v>-300.98791000000006</v>
      </c>
      <c r="AC17" s="15" t="s">
        <v>130</v>
      </c>
      <c r="AD17" s="15" t="s">
        <v>130</v>
      </c>
      <c r="AE17" s="15" t="s">
        <v>180</v>
      </c>
      <c r="AF17" s="12">
        <f>IF(AG17="Rejected",0,IF(R17="Corporate Card",0,V17))</f>
        <v>0</v>
      </c>
      <c r="AG17" s="15" t="s">
        <v>181</v>
      </c>
      <c r="AH17" s="16">
        <v>45677</v>
      </c>
      <c r="AI17" s="16"/>
      <c r="AJ17" s="16"/>
      <c r="AK17" s="17" t="str">
        <f>IF(AJ17="","",AJ17-AH17)</f>
        <v/>
      </c>
    </row>
    <row r="18" spans="1:37">
      <c r="A18" s="2" t="s">
        <v>182</v>
      </c>
      <c r="B18" s="2" t="s">
        <v>169</v>
      </c>
      <c r="C18" s="2" t="s">
        <v>170</v>
      </c>
      <c r="D18" s="2" t="s">
        <v>171</v>
      </c>
      <c r="E18" s="2" t="s">
        <v>172</v>
      </c>
      <c r="F18" s="2" t="s">
        <v>173</v>
      </c>
      <c r="G18" s="2" t="s">
        <v>174</v>
      </c>
      <c r="H18" s="2" t="s">
        <v>122</v>
      </c>
      <c r="I18" s="2" t="s">
        <v>175</v>
      </c>
      <c r="J18" s="2" t="s">
        <v>176</v>
      </c>
      <c r="K18" s="9">
        <v>45661</v>
      </c>
      <c r="L18" s="9">
        <v>45668</v>
      </c>
      <c r="M18" s="9">
        <v>45661</v>
      </c>
      <c r="N18" s="2" t="s">
        <v>125</v>
      </c>
      <c r="O18" s="2" t="s">
        <v>64</v>
      </c>
      <c r="P18" s="2" t="s">
        <v>135</v>
      </c>
      <c r="Q18" s="2" t="s">
        <v>136</v>
      </c>
      <c r="R18" s="2" t="s">
        <v>137</v>
      </c>
      <c r="S18" s="2" t="s">
        <v>179</v>
      </c>
      <c r="T18" s="10">
        <v>341.6</v>
      </c>
      <c r="U18" s="11">
        <v>0.18099999999999999</v>
      </c>
      <c r="V18" s="12">
        <f>T18*U18</f>
        <v>61.829599999999999</v>
      </c>
      <c r="W18" s="13">
        <v>0</v>
      </c>
      <c r="X18" s="12">
        <f>V18-(V18/(1+W18))</f>
        <v>0</v>
      </c>
      <c r="Y18" s="12">
        <f>V18-X18</f>
        <v>61.829599999999999</v>
      </c>
      <c r="Z18" s="14">
        <v>120</v>
      </c>
      <c r="AA18" s="2" t="str">
        <f>IF(V18&gt;Z18,"Yes","No")</f>
        <v>No</v>
      </c>
      <c r="AB18" s="12">
        <f>V18-Z18</f>
        <v>-58.170400000000001</v>
      </c>
      <c r="AC18" s="15" t="s">
        <v>130</v>
      </c>
      <c r="AD18" s="15" t="s">
        <v>130</v>
      </c>
      <c r="AE18" s="15" t="s">
        <v>180</v>
      </c>
      <c r="AF18" s="12">
        <f>IF(AG18="Rejected",0,IF(R18="Corporate Card",0,V18))</f>
        <v>61.829599999999999</v>
      </c>
      <c r="AG18" s="15" t="s">
        <v>181</v>
      </c>
      <c r="AH18" s="16">
        <v>45677</v>
      </c>
      <c r="AI18" s="16"/>
      <c r="AJ18" s="16"/>
      <c r="AK18" s="17" t="str">
        <f>IF(AJ18="","",AJ18-AH18)</f>
        <v/>
      </c>
    </row>
    <row r="19" spans="1:37">
      <c r="A19" s="2" t="s">
        <v>183</v>
      </c>
      <c r="B19" s="2" t="s">
        <v>169</v>
      </c>
      <c r="C19" s="2" t="s">
        <v>170</v>
      </c>
      <c r="D19" s="2" t="s">
        <v>171</v>
      </c>
      <c r="E19" s="2" t="s">
        <v>172</v>
      </c>
      <c r="F19" s="2" t="s">
        <v>173</v>
      </c>
      <c r="G19" s="2" t="s">
        <v>174</v>
      </c>
      <c r="H19" s="2" t="s">
        <v>122</v>
      </c>
      <c r="I19" s="2" t="s">
        <v>175</v>
      </c>
      <c r="J19" s="2" t="s">
        <v>176</v>
      </c>
      <c r="K19" s="9">
        <v>45661</v>
      </c>
      <c r="L19" s="9">
        <v>45668</v>
      </c>
      <c r="M19" s="9">
        <v>45661</v>
      </c>
      <c r="N19" s="2" t="s">
        <v>125</v>
      </c>
      <c r="O19" s="2" t="s">
        <v>58</v>
      </c>
      <c r="P19" s="2" t="s">
        <v>142</v>
      </c>
      <c r="Q19" s="2" t="s">
        <v>156</v>
      </c>
      <c r="R19" s="2" t="s">
        <v>128</v>
      </c>
      <c r="S19" s="2" t="s">
        <v>179</v>
      </c>
      <c r="T19" s="10">
        <v>254.57</v>
      </c>
      <c r="U19" s="11">
        <v>0.18099999999999999</v>
      </c>
      <c r="V19" s="12">
        <f>T19*U19</f>
        <v>46.077169999999995</v>
      </c>
      <c r="W19" s="13">
        <v>0.17</v>
      </c>
      <c r="X19" s="12">
        <f>V19-(V19/(1+W19))</f>
        <v>6.6949734188034142</v>
      </c>
      <c r="Y19" s="12">
        <f>V19-X19</f>
        <v>39.382196581196581</v>
      </c>
      <c r="Z19" s="14">
        <v>60</v>
      </c>
      <c r="AA19" s="2" t="str">
        <f>IF(V19&gt;Z19,"Yes","No")</f>
        <v>No</v>
      </c>
      <c r="AB19" s="12">
        <f>V19-Z19</f>
        <v>-13.922830000000005</v>
      </c>
      <c r="AC19" s="15" t="s">
        <v>130</v>
      </c>
      <c r="AD19" s="15" t="s">
        <v>130</v>
      </c>
      <c r="AE19" s="15" t="s">
        <v>180</v>
      </c>
      <c r="AF19" s="12">
        <f>IF(AG19="Rejected",0,IF(R19="Corporate Card",0,V19))</f>
        <v>0</v>
      </c>
      <c r="AG19" s="15" t="s">
        <v>181</v>
      </c>
      <c r="AH19" s="16">
        <v>45677</v>
      </c>
      <c r="AI19" s="16"/>
      <c r="AJ19" s="16"/>
      <c r="AK19" s="17" t="str">
        <f>IF(AJ19="","",AJ19-AH19)</f>
        <v/>
      </c>
    </row>
    <row r="20" spans="1:37">
      <c r="A20" s="2" t="s">
        <v>184</v>
      </c>
      <c r="B20" s="2" t="s">
        <v>169</v>
      </c>
      <c r="C20" s="2" t="s">
        <v>170</v>
      </c>
      <c r="D20" s="2" t="s">
        <v>171</v>
      </c>
      <c r="E20" s="2" t="s">
        <v>172</v>
      </c>
      <c r="F20" s="2" t="s">
        <v>173</v>
      </c>
      <c r="G20" s="2" t="s">
        <v>174</v>
      </c>
      <c r="H20" s="2" t="s">
        <v>122</v>
      </c>
      <c r="I20" s="2" t="s">
        <v>175</v>
      </c>
      <c r="J20" s="2" t="s">
        <v>176</v>
      </c>
      <c r="K20" s="9">
        <v>45661</v>
      </c>
      <c r="L20" s="9">
        <v>45668</v>
      </c>
      <c r="M20" s="9">
        <v>45661</v>
      </c>
      <c r="N20" s="2" t="s">
        <v>125</v>
      </c>
      <c r="O20" s="2" t="s">
        <v>56</v>
      </c>
      <c r="P20" s="2" t="s">
        <v>165</v>
      </c>
      <c r="Q20" s="2" t="s">
        <v>185</v>
      </c>
      <c r="R20" s="2" t="s">
        <v>128</v>
      </c>
      <c r="S20" s="2" t="s">
        <v>179</v>
      </c>
      <c r="T20" s="10">
        <v>324.01</v>
      </c>
      <c r="U20" s="11">
        <v>0.18099999999999999</v>
      </c>
      <c r="V20" s="12">
        <f>T20*U20</f>
        <v>58.645809999999997</v>
      </c>
      <c r="W20" s="13">
        <v>0.17</v>
      </c>
      <c r="X20" s="12">
        <f>V20-(V20/(1+W20))</f>
        <v>8.5211860683760676</v>
      </c>
      <c r="Y20" s="12">
        <f>V20-X20</f>
        <v>50.12462393162393</v>
      </c>
      <c r="Z20" s="14">
        <v>75</v>
      </c>
      <c r="AA20" s="2" t="str">
        <f>IF(V20&gt;Z20,"Yes","No")</f>
        <v>No</v>
      </c>
      <c r="AB20" s="12">
        <f>V20-Z20</f>
        <v>-16.354190000000003</v>
      </c>
      <c r="AC20" s="15" t="s">
        <v>131</v>
      </c>
      <c r="AD20" s="15" t="s">
        <v>130</v>
      </c>
      <c r="AE20" s="15" t="s">
        <v>180</v>
      </c>
      <c r="AF20" s="12">
        <f>IF(AG20="Rejected",0,IF(R20="Corporate Card",0,V20))</f>
        <v>0</v>
      </c>
      <c r="AG20" s="15" t="s">
        <v>181</v>
      </c>
      <c r="AH20" s="16">
        <v>45677</v>
      </c>
      <c r="AI20" s="16"/>
      <c r="AJ20" s="16"/>
      <c r="AK20" s="17" t="str">
        <f>IF(AJ20="","",AJ20-AH20)</f>
        <v/>
      </c>
    </row>
    <row r="21" spans="1:37">
      <c r="A21" s="2" t="s">
        <v>186</v>
      </c>
      <c r="B21" s="2" t="s">
        <v>169</v>
      </c>
      <c r="C21" s="2" t="s">
        <v>170</v>
      </c>
      <c r="D21" s="2" t="s">
        <v>171</v>
      </c>
      <c r="E21" s="2" t="s">
        <v>172</v>
      </c>
      <c r="F21" s="2" t="s">
        <v>173</v>
      </c>
      <c r="G21" s="2" t="s">
        <v>174</v>
      </c>
      <c r="H21" s="2" t="s">
        <v>122</v>
      </c>
      <c r="I21" s="2" t="s">
        <v>175</v>
      </c>
      <c r="J21" s="2" t="s">
        <v>176</v>
      </c>
      <c r="K21" s="9">
        <v>45661</v>
      </c>
      <c r="L21" s="9">
        <v>45668</v>
      </c>
      <c r="M21" s="9">
        <v>45661</v>
      </c>
      <c r="N21" s="2" t="s">
        <v>125</v>
      </c>
      <c r="O21" s="2" t="s">
        <v>55</v>
      </c>
      <c r="P21" s="2" t="s">
        <v>139</v>
      </c>
      <c r="Q21" s="2" t="s">
        <v>187</v>
      </c>
      <c r="R21" s="2" t="s">
        <v>137</v>
      </c>
      <c r="S21" s="2" t="s">
        <v>179</v>
      </c>
      <c r="T21" s="10">
        <v>88.32</v>
      </c>
      <c r="U21" s="11">
        <v>0.18099999999999999</v>
      </c>
      <c r="V21" s="12">
        <f>T21*U21</f>
        <v>15.985919999999998</v>
      </c>
      <c r="W21" s="13">
        <v>0.17</v>
      </c>
      <c r="X21" s="12">
        <f>V21-(V21/(1+W21))</f>
        <v>2.322740512820511</v>
      </c>
      <c r="Y21" s="12">
        <f>V21-X21</f>
        <v>13.663179487179487</v>
      </c>
      <c r="Z21" s="14">
        <v>35</v>
      </c>
      <c r="AA21" s="2" t="str">
        <f>IF(V21&gt;Z21,"Yes","No")</f>
        <v>No</v>
      </c>
      <c r="AB21" s="12">
        <f>V21-Z21</f>
        <v>-19.01408</v>
      </c>
      <c r="AC21" s="15" t="s">
        <v>130</v>
      </c>
      <c r="AD21" s="15" t="s">
        <v>130</v>
      </c>
      <c r="AE21" s="15" t="s">
        <v>180</v>
      </c>
      <c r="AF21" s="12">
        <f>IF(AG21="Rejected",0,IF(R21="Corporate Card",0,V21))</f>
        <v>15.985919999999998</v>
      </c>
      <c r="AG21" s="15" t="s">
        <v>181</v>
      </c>
      <c r="AH21" s="16">
        <v>45677</v>
      </c>
      <c r="AI21" s="16"/>
      <c r="AJ21" s="16"/>
      <c r="AK21" s="17" t="str">
        <f>IF(AJ21="","",AJ21-AH21)</f>
        <v/>
      </c>
    </row>
    <row r="22" spans="1:37">
      <c r="A22" s="2" t="s">
        <v>188</v>
      </c>
      <c r="B22" s="2" t="s">
        <v>189</v>
      </c>
      <c r="C22" s="2" t="s">
        <v>190</v>
      </c>
      <c r="D22" s="2" t="s">
        <v>171</v>
      </c>
      <c r="E22" s="2" t="s">
        <v>191</v>
      </c>
      <c r="F22" s="2" t="s">
        <v>173</v>
      </c>
      <c r="G22" s="2" t="s">
        <v>192</v>
      </c>
      <c r="H22" s="2" t="s">
        <v>193</v>
      </c>
      <c r="I22" s="2" t="s">
        <v>194</v>
      </c>
      <c r="J22" s="2" t="s">
        <v>195</v>
      </c>
      <c r="K22" s="9">
        <v>45662</v>
      </c>
      <c r="L22" s="9">
        <v>45665</v>
      </c>
      <c r="M22" s="9">
        <v>45662</v>
      </c>
      <c r="N22" s="2" t="s">
        <v>125</v>
      </c>
      <c r="O22" s="2" t="s">
        <v>52</v>
      </c>
      <c r="P22" s="2" t="s">
        <v>196</v>
      </c>
      <c r="Q22" s="2" t="s">
        <v>197</v>
      </c>
      <c r="R22" s="2" t="s">
        <v>128</v>
      </c>
      <c r="S22" s="2" t="s">
        <v>198</v>
      </c>
      <c r="T22" s="10">
        <v>1221.22</v>
      </c>
      <c r="U22" s="11">
        <v>1.085</v>
      </c>
      <c r="V22" s="12">
        <f>T22*U22</f>
        <v>1325.0237</v>
      </c>
      <c r="W22" s="13">
        <v>0</v>
      </c>
      <c r="X22" s="12">
        <f>V22-(V22/(1+W22))</f>
        <v>0</v>
      </c>
      <c r="Y22" s="12">
        <f>V22-X22</f>
        <v>1325.0237</v>
      </c>
      <c r="Z22" s="14">
        <v>1400</v>
      </c>
      <c r="AA22" s="2" t="str">
        <f>IF(V22&gt;Z22,"Yes","No")</f>
        <v>No</v>
      </c>
      <c r="AB22" s="12">
        <f>V22-Z22</f>
        <v>-74.976300000000037</v>
      </c>
      <c r="AC22" s="15" t="s">
        <v>130</v>
      </c>
      <c r="AD22" s="15" t="s">
        <v>131</v>
      </c>
      <c r="AE22" s="15" t="s">
        <v>132</v>
      </c>
      <c r="AF22" s="12">
        <f>IF(AG22="Rejected",0,IF(R22="Corporate Card",0,V22))</f>
        <v>0</v>
      </c>
      <c r="AG22" s="15" t="s">
        <v>133</v>
      </c>
      <c r="AH22" s="16">
        <v>45670</v>
      </c>
      <c r="AI22" s="16">
        <v>45678</v>
      </c>
      <c r="AJ22" s="16">
        <v>45685</v>
      </c>
      <c r="AK22" s="17">
        <f>IF(AJ22="","",AJ22-AH22)</f>
        <v>15</v>
      </c>
    </row>
    <row r="23" spans="1:37">
      <c r="A23" s="2" t="s">
        <v>199</v>
      </c>
      <c r="B23" s="2" t="s">
        <v>189</v>
      </c>
      <c r="C23" s="2" t="s">
        <v>190</v>
      </c>
      <c r="D23" s="2" t="s">
        <v>171</v>
      </c>
      <c r="E23" s="2" t="s">
        <v>191</v>
      </c>
      <c r="F23" s="2" t="s">
        <v>173</v>
      </c>
      <c r="G23" s="2" t="s">
        <v>192</v>
      </c>
      <c r="H23" s="2" t="s">
        <v>193</v>
      </c>
      <c r="I23" s="2" t="s">
        <v>194</v>
      </c>
      <c r="J23" s="2" t="s">
        <v>195</v>
      </c>
      <c r="K23" s="9">
        <v>45662</v>
      </c>
      <c r="L23" s="9">
        <v>45665</v>
      </c>
      <c r="M23" s="9">
        <v>45662</v>
      </c>
      <c r="N23" s="2" t="s">
        <v>125</v>
      </c>
      <c r="O23" s="2" t="s">
        <v>63</v>
      </c>
      <c r="P23" s="2" t="s">
        <v>200</v>
      </c>
      <c r="Q23" s="2" t="s">
        <v>201</v>
      </c>
      <c r="R23" s="2" t="s">
        <v>128</v>
      </c>
      <c r="S23" s="2" t="s">
        <v>198</v>
      </c>
      <c r="T23" s="10">
        <v>1058.3800000000001</v>
      </c>
      <c r="U23" s="11">
        <v>1.085</v>
      </c>
      <c r="V23" s="12">
        <f>T23*U23</f>
        <v>1148.3423</v>
      </c>
      <c r="W23" s="13">
        <v>0</v>
      </c>
      <c r="X23" s="12">
        <f>V23-(V23/(1+W23))</f>
        <v>0</v>
      </c>
      <c r="Y23" s="12">
        <f>V23-X23</f>
        <v>1148.3423</v>
      </c>
      <c r="Z23" s="14">
        <v>1200</v>
      </c>
      <c r="AA23" s="2" t="str">
        <f>IF(V23&gt;Z23,"Yes","No")</f>
        <v>No</v>
      </c>
      <c r="AB23" s="12">
        <f>V23-Z23</f>
        <v>-51.657699999999977</v>
      </c>
      <c r="AC23" s="15" t="s">
        <v>130</v>
      </c>
      <c r="AD23" s="15" t="s">
        <v>131</v>
      </c>
      <c r="AE23" s="15" t="s">
        <v>132</v>
      </c>
      <c r="AF23" s="12">
        <f>IF(AG23="Rejected",0,IF(R23="Corporate Card",0,V23))</f>
        <v>0</v>
      </c>
      <c r="AG23" s="15" t="s">
        <v>133</v>
      </c>
      <c r="AH23" s="16">
        <v>45670</v>
      </c>
      <c r="AI23" s="16">
        <v>45678</v>
      </c>
      <c r="AJ23" s="16">
        <v>45685</v>
      </c>
      <c r="AK23" s="17">
        <f>IF(AJ23="","",AJ23-AH23)</f>
        <v>15</v>
      </c>
    </row>
    <row r="24" spans="1:37">
      <c r="A24" s="2" t="s">
        <v>202</v>
      </c>
      <c r="B24" s="2" t="s">
        <v>189</v>
      </c>
      <c r="C24" s="2" t="s">
        <v>190</v>
      </c>
      <c r="D24" s="2" t="s">
        <v>171</v>
      </c>
      <c r="E24" s="2" t="s">
        <v>191</v>
      </c>
      <c r="F24" s="2" t="s">
        <v>173</v>
      </c>
      <c r="G24" s="2" t="s">
        <v>192</v>
      </c>
      <c r="H24" s="2" t="s">
        <v>193</v>
      </c>
      <c r="I24" s="2" t="s">
        <v>194</v>
      </c>
      <c r="J24" s="2" t="s">
        <v>195</v>
      </c>
      <c r="K24" s="9">
        <v>45662</v>
      </c>
      <c r="L24" s="9">
        <v>45665</v>
      </c>
      <c r="M24" s="9">
        <v>45662</v>
      </c>
      <c r="N24" s="2" t="s">
        <v>125</v>
      </c>
      <c r="O24" s="2" t="s">
        <v>58</v>
      </c>
      <c r="P24" s="2" t="s">
        <v>142</v>
      </c>
      <c r="Q24" s="2" t="s">
        <v>203</v>
      </c>
      <c r="R24" s="2" t="s">
        <v>128</v>
      </c>
      <c r="S24" s="2" t="s">
        <v>198</v>
      </c>
      <c r="T24" s="10">
        <v>33.06</v>
      </c>
      <c r="U24" s="11">
        <v>1.085</v>
      </c>
      <c r="V24" s="12">
        <f>T24*U24</f>
        <v>35.870100000000001</v>
      </c>
      <c r="W24" s="13">
        <v>0.19</v>
      </c>
      <c r="X24" s="12">
        <f>V24-(V24/(1+W24))</f>
        <v>5.7271588235294111</v>
      </c>
      <c r="Y24" s="12">
        <f>V24-X24</f>
        <v>30.14294117647059</v>
      </c>
      <c r="Z24" s="14">
        <v>60</v>
      </c>
      <c r="AA24" s="2" t="str">
        <f>IF(V24&gt;Z24,"Yes","No")</f>
        <v>No</v>
      </c>
      <c r="AB24" s="12">
        <f>V24-Z24</f>
        <v>-24.129899999999999</v>
      </c>
      <c r="AC24" s="15" t="s">
        <v>130</v>
      </c>
      <c r="AD24" s="15" t="s">
        <v>131</v>
      </c>
      <c r="AE24" s="15" t="s">
        <v>132</v>
      </c>
      <c r="AF24" s="12">
        <f>IF(AG24="Rejected",0,IF(R24="Corporate Card",0,V24))</f>
        <v>0</v>
      </c>
      <c r="AG24" s="15" t="s">
        <v>133</v>
      </c>
      <c r="AH24" s="16">
        <v>45670</v>
      </c>
      <c r="AI24" s="16">
        <v>45678</v>
      </c>
      <c r="AJ24" s="16">
        <v>45685</v>
      </c>
      <c r="AK24" s="17">
        <f>IF(AJ24="","",AJ24-AH24)</f>
        <v>15</v>
      </c>
    </row>
    <row r="25" spans="1:37">
      <c r="A25" s="2" t="s">
        <v>204</v>
      </c>
      <c r="B25" s="2" t="s">
        <v>189</v>
      </c>
      <c r="C25" s="2" t="s">
        <v>190</v>
      </c>
      <c r="D25" s="2" t="s">
        <v>171</v>
      </c>
      <c r="E25" s="2" t="s">
        <v>191</v>
      </c>
      <c r="F25" s="2" t="s">
        <v>173</v>
      </c>
      <c r="G25" s="2" t="s">
        <v>192</v>
      </c>
      <c r="H25" s="2" t="s">
        <v>193</v>
      </c>
      <c r="I25" s="2" t="s">
        <v>194</v>
      </c>
      <c r="J25" s="2" t="s">
        <v>195</v>
      </c>
      <c r="K25" s="9">
        <v>45662</v>
      </c>
      <c r="L25" s="9">
        <v>45665</v>
      </c>
      <c r="M25" s="9">
        <v>45662</v>
      </c>
      <c r="N25" s="2" t="s">
        <v>125</v>
      </c>
      <c r="O25" s="2" t="s">
        <v>54</v>
      </c>
      <c r="P25" s="2" t="s">
        <v>139</v>
      </c>
      <c r="Q25" s="2" t="s">
        <v>163</v>
      </c>
      <c r="R25" s="2" t="s">
        <v>128</v>
      </c>
      <c r="S25" s="2" t="s">
        <v>198</v>
      </c>
      <c r="T25" s="10">
        <v>21.52</v>
      </c>
      <c r="U25" s="11">
        <v>1.085</v>
      </c>
      <c r="V25" s="12">
        <f>T25*U25</f>
        <v>23.3492</v>
      </c>
      <c r="W25" s="13">
        <v>0.19</v>
      </c>
      <c r="X25" s="12">
        <f>V25-(V25/(1+W25))</f>
        <v>3.7280235294117645</v>
      </c>
      <c r="Y25" s="12">
        <f>V25-X25</f>
        <v>19.621176470588235</v>
      </c>
      <c r="Z25" s="14">
        <v>25</v>
      </c>
      <c r="AA25" s="2" t="str">
        <f>IF(V25&gt;Z25,"Yes","No")</f>
        <v>No</v>
      </c>
      <c r="AB25" s="12">
        <f>V25-Z25</f>
        <v>-1.6508000000000003</v>
      </c>
      <c r="AC25" s="15" t="s">
        <v>130</v>
      </c>
      <c r="AD25" s="15" t="s">
        <v>131</v>
      </c>
      <c r="AE25" s="15" t="s">
        <v>132</v>
      </c>
      <c r="AF25" s="12">
        <f>IF(AG25="Rejected",0,IF(R25="Corporate Card",0,V25))</f>
        <v>0</v>
      </c>
      <c r="AG25" s="15" t="s">
        <v>133</v>
      </c>
      <c r="AH25" s="16">
        <v>45670</v>
      </c>
      <c r="AI25" s="16">
        <v>45678</v>
      </c>
      <c r="AJ25" s="16">
        <v>45685</v>
      </c>
      <c r="AK25" s="17">
        <f>IF(AJ25="","",AJ25-AH25)</f>
        <v>15</v>
      </c>
    </row>
    <row r="26" spans="1:37">
      <c r="A26" s="2" t="s">
        <v>205</v>
      </c>
      <c r="B26" s="2" t="s">
        <v>189</v>
      </c>
      <c r="C26" s="2" t="s">
        <v>190</v>
      </c>
      <c r="D26" s="2" t="s">
        <v>171</v>
      </c>
      <c r="E26" s="2" t="s">
        <v>191</v>
      </c>
      <c r="F26" s="2" t="s">
        <v>173</v>
      </c>
      <c r="G26" s="2" t="s">
        <v>192</v>
      </c>
      <c r="H26" s="2" t="s">
        <v>193</v>
      </c>
      <c r="I26" s="2" t="s">
        <v>194</v>
      </c>
      <c r="J26" s="2" t="s">
        <v>195</v>
      </c>
      <c r="K26" s="9">
        <v>45662</v>
      </c>
      <c r="L26" s="9">
        <v>45665</v>
      </c>
      <c r="M26" s="9">
        <v>45662</v>
      </c>
      <c r="N26" s="2" t="s">
        <v>125</v>
      </c>
      <c r="O26" s="2" t="s">
        <v>56</v>
      </c>
      <c r="P26" s="2" t="s">
        <v>151</v>
      </c>
      <c r="Q26" s="2" t="s">
        <v>185</v>
      </c>
      <c r="R26" s="2" t="s">
        <v>128</v>
      </c>
      <c r="S26" s="2" t="s">
        <v>198</v>
      </c>
      <c r="T26" s="10">
        <v>33.22</v>
      </c>
      <c r="U26" s="11">
        <v>1.085</v>
      </c>
      <c r="V26" s="12">
        <f>T26*U26</f>
        <v>36.043699999999994</v>
      </c>
      <c r="W26" s="13">
        <v>0.19</v>
      </c>
      <c r="X26" s="12">
        <f>V26-(V26/(1+W26))</f>
        <v>5.7548764705882327</v>
      </c>
      <c r="Y26" s="12">
        <f>V26-X26</f>
        <v>30.288823529411761</v>
      </c>
      <c r="Z26" s="14">
        <v>75</v>
      </c>
      <c r="AA26" s="2" t="str">
        <f>IF(V26&gt;Z26,"Yes","No")</f>
        <v>No</v>
      </c>
      <c r="AB26" s="12">
        <f>V26-Z26</f>
        <v>-38.956300000000006</v>
      </c>
      <c r="AC26" s="15" t="s">
        <v>130</v>
      </c>
      <c r="AD26" s="15" t="s">
        <v>131</v>
      </c>
      <c r="AE26" s="15" t="s">
        <v>132</v>
      </c>
      <c r="AF26" s="12">
        <f>IF(AG26="Rejected",0,IF(R26="Corporate Card",0,V26))</f>
        <v>0</v>
      </c>
      <c r="AG26" s="15" t="s">
        <v>133</v>
      </c>
      <c r="AH26" s="16">
        <v>45670</v>
      </c>
      <c r="AI26" s="16">
        <v>45678</v>
      </c>
      <c r="AJ26" s="16">
        <v>45685</v>
      </c>
      <c r="AK26" s="17">
        <f>IF(AJ26="","",AJ26-AH26)</f>
        <v>15</v>
      </c>
    </row>
    <row r="27" spans="1:37">
      <c r="A27" s="2" t="s">
        <v>206</v>
      </c>
      <c r="B27" s="2" t="s">
        <v>189</v>
      </c>
      <c r="C27" s="2" t="s">
        <v>190</v>
      </c>
      <c r="D27" s="2" t="s">
        <v>171</v>
      </c>
      <c r="E27" s="2" t="s">
        <v>191</v>
      </c>
      <c r="F27" s="2" t="s">
        <v>173</v>
      </c>
      <c r="G27" s="2" t="s">
        <v>192</v>
      </c>
      <c r="H27" s="2" t="s">
        <v>193</v>
      </c>
      <c r="I27" s="2" t="s">
        <v>194</v>
      </c>
      <c r="J27" s="2" t="s">
        <v>195</v>
      </c>
      <c r="K27" s="9">
        <v>45662</v>
      </c>
      <c r="L27" s="9">
        <v>45665</v>
      </c>
      <c r="M27" s="9">
        <v>45662</v>
      </c>
      <c r="N27" s="2" t="s">
        <v>125</v>
      </c>
      <c r="O27" s="2" t="s">
        <v>55</v>
      </c>
      <c r="P27" s="2" t="s">
        <v>139</v>
      </c>
      <c r="Q27" s="2" t="s">
        <v>154</v>
      </c>
      <c r="R27" s="2" t="s">
        <v>128</v>
      </c>
      <c r="S27" s="2" t="s">
        <v>198</v>
      </c>
      <c r="T27" s="10">
        <v>40.700000000000003</v>
      </c>
      <c r="U27" s="11">
        <v>1.085</v>
      </c>
      <c r="V27" s="12">
        <f>T27*U27</f>
        <v>44.159500000000001</v>
      </c>
      <c r="W27" s="13">
        <v>0.19</v>
      </c>
      <c r="X27" s="12">
        <f>V27-(V27/(1+W27))</f>
        <v>7.0506764705882361</v>
      </c>
      <c r="Y27" s="12">
        <f>V27-X27</f>
        <v>37.108823529411765</v>
      </c>
      <c r="Z27" s="14">
        <v>35</v>
      </c>
      <c r="AA27" s="2" t="str">
        <f>IF(V27&gt;Z27,"Yes","No")</f>
        <v>Yes</v>
      </c>
      <c r="AB27" s="12">
        <f>V27-Z27</f>
        <v>9.1595000000000013</v>
      </c>
      <c r="AC27" s="15" t="s">
        <v>130</v>
      </c>
      <c r="AD27" s="15" t="s">
        <v>131</v>
      </c>
      <c r="AE27" s="15" t="s">
        <v>132</v>
      </c>
      <c r="AF27" s="12">
        <f>IF(AG27="Rejected",0,IF(R27="Corporate Card",0,V27))</f>
        <v>0</v>
      </c>
      <c r="AG27" s="15" t="s">
        <v>133</v>
      </c>
      <c r="AH27" s="16">
        <v>45670</v>
      </c>
      <c r="AI27" s="16">
        <v>45678</v>
      </c>
      <c r="AJ27" s="16">
        <v>45685</v>
      </c>
      <c r="AK27" s="17">
        <f>IF(AJ27="","",AJ27-AH27)</f>
        <v>15</v>
      </c>
    </row>
    <row r="28" spans="1:37">
      <c r="A28" s="2" t="s">
        <v>207</v>
      </c>
      <c r="B28" s="2" t="s">
        <v>169</v>
      </c>
      <c r="C28" s="2" t="s">
        <v>170</v>
      </c>
      <c r="D28" s="2" t="s">
        <v>171</v>
      </c>
      <c r="E28" s="2" t="s">
        <v>172</v>
      </c>
      <c r="F28" s="2" t="s">
        <v>173</v>
      </c>
      <c r="G28" s="2" t="s">
        <v>174</v>
      </c>
      <c r="H28" s="2" t="s">
        <v>122</v>
      </c>
      <c r="I28" s="2" t="s">
        <v>175</v>
      </c>
      <c r="J28" s="2" t="s">
        <v>176</v>
      </c>
      <c r="K28" s="9">
        <v>45661</v>
      </c>
      <c r="L28" s="9">
        <v>45668</v>
      </c>
      <c r="M28" s="9">
        <v>45662</v>
      </c>
      <c r="N28" s="2" t="s">
        <v>125</v>
      </c>
      <c r="O28" s="2" t="s">
        <v>53</v>
      </c>
      <c r="P28" s="2" t="s">
        <v>208</v>
      </c>
      <c r="Q28" s="2" t="s">
        <v>209</v>
      </c>
      <c r="R28" s="2" t="s">
        <v>128</v>
      </c>
      <c r="S28" s="2" t="s">
        <v>179</v>
      </c>
      <c r="T28" s="10">
        <v>9806.1200000000008</v>
      </c>
      <c r="U28" s="11">
        <v>0.18099999999999999</v>
      </c>
      <c r="V28" s="12">
        <f>T28*U28</f>
        <v>1774.9077200000002</v>
      </c>
      <c r="W28" s="13">
        <v>0.17</v>
      </c>
      <c r="X28" s="12">
        <f>V28-(V28/(1+W28))</f>
        <v>257.89257470085454</v>
      </c>
      <c r="Y28" s="12">
        <f>V28-X28</f>
        <v>1517.0151452991456</v>
      </c>
      <c r="Z28" s="14">
        <v>1960</v>
      </c>
      <c r="AA28" s="2" t="str">
        <f>IF(V28&gt;Z28,"Yes","No")</f>
        <v>No</v>
      </c>
      <c r="AB28" s="12">
        <f>V28-Z28</f>
        <v>-185.09227999999985</v>
      </c>
      <c r="AC28" s="15" t="s">
        <v>130</v>
      </c>
      <c r="AD28" s="15" t="s">
        <v>130</v>
      </c>
      <c r="AE28" s="15" t="s">
        <v>180</v>
      </c>
      <c r="AF28" s="12">
        <f>IF(AG28="Rejected",0,IF(R28="Corporate Card",0,V28))</f>
        <v>0</v>
      </c>
      <c r="AG28" s="15" t="s">
        <v>181</v>
      </c>
      <c r="AH28" s="16">
        <v>45677</v>
      </c>
      <c r="AI28" s="16"/>
      <c r="AJ28" s="16"/>
      <c r="AK28" s="17" t="str">
        <f>IF(AJ28="","",AJ28-AH28)</f>
        <v/>
      </c>
    </row>
    <row r="29" spans="1:37">
      <c r="A29" s="2" t="s">
        <v>210</v>
      </c>
      <c r="B29" s="2" t="s">
        <v>169</v>
      </c>
      <c r="C29" s="2" t="s">
        <v>170</v>
      </c>
      <c r="D29" s="2" t="s">
        <v>171</v>
      </c>
      <c r="E29" s="2" t="s">
        <v>172</v>
      </c>
      <c r="F29" s="2" t="s">
        <v>173</v>
      </c>
      <c r="G29" s="2" t="s">
        <v>174</v>
      </c>
      <c r="H29" s="2" t="s">
        <v>122</v>
      </c>
      <c r="I29" s="2" t="s">
        <v>175</v>
      </c>
      <c r="J29" s="2" t="s">
        <v>176</v>
      </c>
      <c r="K29" s="9">
        <v>45661</v>
      </c>
      <c r="L29" s="9">
        <v>45668</v>
      </c>
      <c r="M29" s="9">
        <v>45662</v>
      </c>
      <c r="N29" s="2" t="s">
        <v>125</v>
      </c>
      <c r="O29" s="2" t="s">
        <v>65</v>
      </c>
      <c r="P29" s="2" t="s">
        <v>211</v>
      </c>
      <c r="Q29" s="2" t="s">
        <v>212</v>
      </c>
      <c r="R29" s="2" t="s">
        <v>128</v>
      </c>
      <c r="S29" s="2" t="s">
        <v>179</v>
      </c>
      <c r="T29" s="10">
        <v>303.2</v>
      </c>
      <c r="U29" s="11">
        <v>0.18099999999999999</v>
      </c>
      <c r="V29" s="12">
        <f>T29*U29</f>
        <v>54.879199999999997</v>
      </c>
      <c r="W29" s="13">
        <v>0.17</v>
      </c>
      <c r="X29" s="12">
        <f>V29-(V29/(1+W29))</f>
        <v>7.973900854700851</v>
      </c>
      <c r="Y29" s="12">
        <f>V29-X29</f>
        <v>46.905299145299146</v>
      </c>
      <c r="Z29" s="14">
        <v>55</v>
      </c>
      <c r="AA29" s="2" t="str">
        <f>IF(V29&gt;Z29,"Yes","No")</f>
        <v>No</v>
      </c>
      <c r="AB29" s="12">
        <f>V29-Z29</f>
        <v>-0.12080000000000268</v>
      </c>
      <c r="AC29" s="15" t="s">
        <v>130</v>
      </c>
      <c r="AD29" s="15" t="s">
        <v>130</v>
      </c>
      <c r="AE29" s="15" t="s">
        <v>180</v>
      </c>
      <c r="AF29" s="12">
        <f>IF(AG29="Rejected",0,IF(R29="Corporate Card",0,V29))</f>
        <v>0</v>
      </c>
      <c r="AG29" s="15" t="s">
        <v>181</v>
      </c>
      <c r="AH29" s="16">
        <v>45677</v>
      </c>
      <c r="AI29" s="16"/>
      <c r="AJ29" s="16"/>
      <c r="AK29" s="17" t="str">
        <f>IF(AJ29="","",AJ29-AH29)</f>
        <v/>
      </c>
    </row>
    <row r="30" spans="1:37">
      <c r="A30" s="2" t="s">
        <v>213</v>
      </c>
      <c r="B30" s="2" t="s">
        <v>169</v>
      </c>
      <c r="C30" s="2" t="s">
        <v>170</v>
      </c>
      <c r="D30" s="2" t="s">
        <v>171</v>
      </c>
      <c r="E30" s="2" t="s">
        <v>172</v>
      </c>
      <c r="F30" s="2" t="s">
        <v>173</v>
      </c>
      <c r="G30" s="2" t="s">
        <v>174</v>
      </c>
      <c r="H30" s="2" t="s">
        <v>122</v>
      </c>
      <c r="I30" s="2" t="s">
        <v>175</v>
      </c>
      <c r="J30" s="2" t="s">
        <v>176</v>
      </c>
      <c r="K30" s="9">
        <v>45661</v>
      </c>
      <c r="L30" s="9">
        <v>45668</v>
      </c>
      <c r="M30" s="9">
        <v>45662</v>
      </c>
      <c r="N30" s="2" t="s">
        <v>125</v>
      </c>
      <c r="O30" s="2" t="s">
        <v>54</v>
      </c>
      <c r="P30" s="2" t="s">
        <v>139</v>
      </c>
      <c r="Q30" s="2" t="s">
        <v>214</v>
      </c>
      <c r="R30" s="2" t="s">
        <v>128</v>
      </c>
      <c r="S30" s="2" t="s">
        <v>179</v>
      </c>
      <c r="T30" s="10">
        <v>55.76</v>
      </c>
      <c r="U30" s="11">
        <v>0.18099999999999999</v>
      </c>
      <c r="V30" s="12">
        <f>T30*U30</f>
        <v>10.092559999999999</v>
      </c>
      <c r="W30" s="13">
        <v>0.17</v>
      </c>
      <c r="X30" s="12">
        <f>V30-(V30/(1+W30))</f>
        <v>1.4664403418803413</v>
      </c>
      <c r="Y30" s="12">
        <f>V30-X30</f>
        <v>8.6261196581196575</v>
      </c>
      <c r="Z30" s="14">
        <v>25</v>
      </c>
      <c r="AA30" s="2" t="str">
        <f>IF(V30&gt;Z30,"Yes","No")</f>
        <v>No</v>
      </c>
      <c r="AB30" s="12">
        <f>V30-Z30</f>
        <v>-14.907440000000001</v>
      </c>
      <c r="AC30" s="15" t="s">
        <v>130</v>
      </c>
      <c r="AD30" s="15" t="s">
        <v>130</v>
      </c>
      <c r="AE30" s="15" t="s">
        <v>180</v>
      </c>
      <c r="AF30" s="12">
        <f>IF(AG30="Rejected",0,IF(R30="Corporate Card",0,V30))</f>
        <v>0</v>
      </c>
      <c r="AG30" s="15" t="s">
        <v>181</v>
      </c>
      <c r="AH30" s="16">
        <v>45677</v>
      </c>
      <c r="AI30" s="16"/>
      <c r="AJ30" s="16"/>
      <c r="AK30" s="17" t="str">
        <f>IF(AJ30="","",AJ30-AH30)</f>
        <v/>
      </c>
    </row>
    <row r="31" spans="1:37">
      <c r="A31" s="2" t="s">
        <v>215</v>
      </c>
      <c r="B31" s="2" t="s">
        <v>169</v>
      </c>
      <c r="C31" s="2" t="s">
        <v>170</v>
      </c>
      <c r="D31" s="2" t="s">
        <v>171</v>
      </c>
      <c r="E31" s="2" t="s">
        <v>172</v>
      </c>
      <c r="F31" s="2" t="s">
        <v>173</v>
      </c>
      <c r="G31" s="2" t="s">
        <v>174</v>
      </c>
      <c r="H31" s="2" t="s">
        <v>122</v>
      </c>
      <c r="I31" s="2" t="s">
        <v>175</v>
      </c>
      <c r="J31" s="2" t="s">
        <v>176</v>
      </c>
      <c r="K31" s="9">
        <v>45661</v>
      </c>
      <c r="L31" s="9">
        <v>45668</v>
      </c>
      <c r="M31" s="9">
        <v>45662</v>
      </c>
      <c r="N31" s="2" t="s">
        <v>125</v>
      </c>
      <c r="O31" s="2" t="s">
        <v>56</v>
      </c>
      <c r="P31" s="2" t="s">
        <v>151</v>
      </c>
      <c r="Q31" s="2" t="s">
        <v>159</v>
      </c>
      <c r="R31" s="2" t="s">
        <v>149</v>
      </c>
      <c r="S31" s="2" t="s">
        <v>179</v>
      </c>
      <c r="T31" s="10">
        <v>206.42</v>
      </c>
      <c r="U31" s="11">
        <v>0.18099999999999999</v>
      </c>
      <c r="V31" s="12">
        <f>T31*U31</f>
        <v>37.362019999999994</v>
      </c>
      <c r="W31" s="13">
        <v>0.17</v>
      </c>
      <c r="X31" s="12">
        <f>V31-(V31/(1+W31))</f>
        <v>5.4286695726495715</v>
      </c>
      <c r="Y31" s="12">
        <f>V31-X31</f>
        <v>31.933350427350423</v>
      </c>
      <c r="Z31" s="14">
        <v>75</v>
      </c>
      <c r="AA31" s="2" t="str">
        <f>IF(V31&gt;Z31,"Yes","No")</f>
        <v>No</v>
      </c>
      <c r="AB31" s="12">
        <f>V31-Z31</f>
        <v>-37.637980000000006</v>
      </c>
      <c r="AC31" s="15" t="s">
        <v>131</v>
      </c>
      <c r="AD31" s="15" t="s">
        <v>130</v>
      </c>
      <c r="AE31" s="15" t="s">
        <v>180</v>
      </c>
      <c r="AF31" s="12">
        <f>IF(AG31="Rejected",0,IF(R31="Corporate Card",0,V31))</f>
        <v>37.362019999999994</v>
      </c>
      <c r="AG31" s="15" t="s">
        <v>181</v>
      </c>
      <c r="AH31" s="16">
        <v>45677</v>
      </c>
      <c r="AI31" s="16"/>
      <c r="AJ31" s="16"/>
      <c r="AK31" s="17" t="str">
        <f>IF(AJ31="","",AJ31-AH31)</f>
        <v/>
      </c>
    </row>
    <row r="32" spans="1:37">
      <c r="A32" s="2" t="s">
        <v>216</v>
      </c>
      <c r="B32" s="2" t="s">
        <v>169</v>
      </c>
      <c r="C32" s="2" t="s">
        <v>170</v>
      </c>
      <c r="D32" s="2" t="s">
        <v>171</v>
      </c>
      <c r="E32" s="2" t="s">
        <v>172</v>
      </c>
      <c r="F32" s="2" t="s">
        <v>173</v>
      </c>
      <c r="G32" s="2" t="s">
        <v>174</v>
      </c>
      <c r="H32" s="2" t="s">
        <v>122</v>
      </c>
      <c r="I32" s="2" t="s">
        <v>175</v>
      </c>
      <c r="J32" s="2" t="s">
        <v>176</v>
      </c>
      <c r="K32" s="9">
        <v>45661</v>
      </c>
      <c r="L32" s="9">
        <v>45668</v>
      </c>
      <c r="M32" s="9">
        <v>45662</v>
      </c>
      <c r="N32" s="2" t="s">
        <v>125</v>
      </c>
      <c r="O32" s="2" t="s">
        <v>55</v>
      </c>
      <c r="P32" s="2" t="s">
        <v>139</v>
      </c>
      <c r="Q32" s="2" t="s">
        <v>217</v>
      </c>
      <c r="R32" s="2" t="s">
        <v>128</v>
      </c>
      <c r="S32" s="2" t="s">
        <v>179</v>
      </c>
      <c r="T32" s="10">
        <v>87.67</v>
      </c>
      <c r="U32" s="11">
        <v>0.18099999999999999</v>
      </c>
      <c r="V32" s="12">
        <f>T32*U32</f>
        <v>15.868269999999999</v>
      </c>
      <c r="W32" s="13">
        <v>0.17</v>
      </c>
      <c r="X32" s="12">
        <f>V32-(V32/(1+W32))</f>
        <v>2.3056460683760669</v>
      </c>
      <c r="Y32" s="12">
        <f>V32-X32</f>
        <v>13.562623931623932</v>
      </c>
      <c r="Z32" s="14">
        <v>35</v>
      </c>
      <c r="AA32" s="2" t="str">
        <f>IF(V32&gt;Z32,"Yes","No")</f>
        <v>No</v>
      </c>
      <c r="AB32" s="12">
        <f>V32-Z32</f>
        <v>-19.131730000000001</v>
      </c>
      <c r="AC32" s="15" t="s">
        <v>130</v>
      </c>
      <c r="AD32" s="15" t="s">
        <v>130</v>
      </c>
      <c r="AE32" s="15" t="s">
        <v>180</v>
      </c>
      <c r="AF32" s="12">
        <f>IF(AG32="Rejected",0,IF(R32="Corporate Card",0,V32))</f>
        <v>0</v>
      </c>
      <c r="AG32" s="15" t="s">
        <v>181</v>
      </c>
      <c r="AH32" s="16">
        <v>45677</v>
      </c>
      <c r="AI32" s="16"/>
      <c r="AJ32" s="16"/>
      <c r="AK32" s="17" t="str">
        <f>IF(AJ32="","",AJ32-AH32)</f>
        <v/>
      </c>
    </row>
    <row r="33" spans="1:37">
      <c r="A33" s="2" t="s">
        <v>218</v>
      </c>
      <c r="B33" s="2" t="s">
        <v>189</v>
      </c>
      <c r="C33" s="2" t="s">
        <v>190</v>
      </c>
      <c r="D33" s="2" t="s">
        <v>171</v>
      </c>
      <c r="E33" s="2" t="s">
        <v>191</v>
      </c>
      <c r="F33" s="2" t="s">
        <v>173</v>
      </c>
      <c r="G33" s="2" t="s">
        <v>192</v>
      </c>
      <c r="H33" s="2" t="s">
        <v>193</v>
      </c>
      <c r="I33" s="2" t="s">
        <v>194</v>
      </c>
      <c r="J33" s="2" t="s">
        <v>195</v>
      </c>
      <c r="K33" s="9">
        <v>45662</v>
      </c>
      <c r="L33" s="9">
        <v>45665</v>
      </c>
      <c r="M33" s="9">
        <v>45663</v>
      </c>
      <c r="N33" s="2" t="s">
        <v>125</v>
      </c>
      <c r="O33" s="2" t="s">
        <v>58</v>
      </c>
      <c r="P33" s="2" t="s">
        <v>142</v>
      </c>
      <c r="Q33" s="2" t="s">
        <v>156</v>
      </c>
      <c r="R33" s="2" t="s">
        <v>128</v>
      </c>
      <c r="S33" s="2" t="s">
        <v>198</v>
      </c>
      <c r="T33" s="10">
        <v>26.45</v>
      </c>
      <c r="U33" s="11">
        <v>1.085</v>
      </c>
      <c r="V33" s="12">
        <f>T33*U33</f>
        <v>28.698249999999998</v>
      </c>
      <c r="W33" s="13">
        <v>0.19</v>
      </c>
      <c r="X33" s="12">
        <f>V33-(V33/(1+W33))</f>
        <v>4.5820735294117618</v>
      </c>
      <c r="Y33" s="12">
        <f>V33-X33</f>
        <v>24.116176470588236</v>
      </c>
      <c r="Z33" s="14">
        <v>60</v>
      </c>
      <c r="AA33" s="2" t="str">
        <f>IF(V33&gt;Z33,"Yes","No")</f>
        <v>No</v>
      </c>
      <c r="AB33" s="12">
        <f>V33-Z33</f>
        <v>-31.301750000000002</v>
      </c>
      <c r="AC33" s="15" t="s">
        <v>130</v>
      </c>
      <c r="AD33" s="15" t="s">
        <v>131</v>
      </c>
      <c r="AE33" s="15" t="s">
        <v>132</v>
      </c>
      <c r="AF33" s="12">
        <f>IF(AG33="Rejected",0,IF(R33="Corporate Card",0,V33))</f>
        <v>0</v>
      </c>
      <c r="AG33" s="15" t="s">
        <v>133</v>
      </c>
      <c r="AH33" s="16">
        <v>45670</v>
      </c>
      <c r="AI33" s="16">
        <v>45678</v>
      </c>
      <c r="AJ33" s="16">
        <v>45685</v>
      </c>
      <c r="AK33" s="17">
        <f>IF(AJ33="","",AJ33-AH33)</f>
        <v>15</v>
      </c>
    </row>
    <row r="34" spans="1:37">
      <c r="A34" s="2" t="s">
        <v>219</v>
      </c>
      <c r="B34" s="2" t="s">
        <v>189</v>
      </c>
      <c r="C34" s="2" t="s">
        <v>190</v>
      </c>
      <c r="D34" s="2" t="s">
        <v>171</v>
      </c>
      <c r="E34" s="2" t="s">
        <v>191</v>
      </c>
      <c r="F34" s="2" t="s">
        <v>173</v>
      </c>
      <c r="G34" s="2" t="s">
        <v>192</v>
      </c>
      <c r="H34" s="2" t="s">
        <v>193</v>
      </c>
      <c r="I34" s="2" t="s">
        <v>194</v>
      </c>
      <c r="J34" s="2" t="s">
        <v>195</v>
      </c>
      <c r="K34" s="9">
        <v>45662</v>
      </c>
      <c r="L34" s="9">
        <v>45665</v>
      </c>
      <c r="M34" s="9">
        <v>45663</v>
      </c>
      <c r="N34" s="2" t="s">
        <v>125</v>
      </c>
      <c r="O34" s="2" t="s">
        <v>53</v>
      </c>
      <c r="P34" s="2" t="s">
        <v>145</v>
      </c>
      <c r="Q34" s="2" t="s">
        <v>220</v>
      </c>
      <c r="R34" s="2" t="s">
        <v>149</v>
      </c>
      <c r="S34" s="2" t="s">
        <v>198</v>
      </c>
      <c r="T34" s="10">
        <v>489.02</v>
      </c>
      <c r="U34" s="11">
        <v>1.085</v>
      </c>
      <c r="V34" s="12">
        <f>T34*U34</f>
        <v>530.58669999999995</v>
      </c>
      <c r="W34" s="13">
        <v>0.19</v>
      </c>
      <c r="X34" s="12">
        <f>V34-(V34/(1+W34))</f>
        <v>84.715523529411712</v>
      </c>
      <c r="Y34" s="12">
        <f>V34-X34</f>
        <v>445.87117647058824</v>
      </c>
      <c r="Z34" s="14">
        <v>840</v>
      </c>
      <c r="AA34" s="2" t="str">
        <f>IF(V34&gt;Z34,"Yes","No")</f>
        <v>No</v>
      </c>
      <c r="AB34" s="12">
        <f>V34-Z34</f>
        <v>-309.41330000000005</v>
      </c>
      <c r="AC34" s="15" t="s">
        <v>130</v>
      </c>
      <c r="AD34" s="15" t="s">
        <v>131</v>
      </c>
      <c r="AE34" s="15" t="s">
        <v>132</v>
      </c>
      <c r="AF34" s="12">
        <f>IF(AG34="Rejected",0,IF(R34="Corporate Card",0,V34))</f>
        <v>530.58669999999995</v>
      </c>
      <c r="AG34" s="15" t="s">
        <v>133</v>
      </c>
      <c r="AH34" s="16">
        <v>45670</v>
      </c>
      <c r="AI34" s="16">
        <v>45678</v>
      </c>
      <c r="AJ34" s="16">
        <v>45685</v>
      </c>
      <c r="AK34" s="17">
        <f>IF(AJ34="","",AJ34-AH34)</f>
        <v>15</v>
      </c>
    </row>
    <row r="35" spans="1:37">
      <c r="A35" s="2" t="s">
        <v>221</v>
      </c>
      <c r="B35" s="2" t="s">
        <v>189</v>
      </c>
      <c r="C35" s="2" t="s">
        <v>190</v>
      </c>
      <c r="D35" s="2" t="s">
        <v>171</v>
      </c>
      <c r="E35" s="2" t="s">
        <v>191</v>
      </c>
      <c r="F35" s="2" t="s">
        <v>173</v>
      </c>
      <c r="G35" s="2" t="s">
        <v>192</v>
      </c>
      <c r="H35" s="2" t="s">
        <v>193</v>
      </c>
      <c r="I35" s="2" t="s">
        <v>194</v>
      </c>
      <c r="J35" s="2" t="s">
        <v>195</v>
      </c>
      <c r="K35" s="9">
        <v>45662</v>
      </c>
      <c r="L35" s="9">
        <v>45665</v>
      </c>
      <c r="M35" s="9">
        <v>45663</v>
      </c>
      <c r="N35" s="2" t="s">
        <v>125</v>
      </c>
      <c r="O35" s="2" t="s">
        <v>56</v>
      </c>
      <c r="P35" s="2" t="s">
        <v>165</v>
      </c>
      <c r="Q35" s="2" t="s">
        <v>159</v>
      </c>
      <c r="R35" s="2" t="s">
        <v>137</v>
      </c>
      <c r="S35" s="2" t="s">
        <v>198</v>
      </c>
      <c r="T35" s="10">
        <v>48.81</v>
      </c>
      <c r="U35" s="11">
        <v>1.085</v>
      </c>
      <c r="V35" s="12">
        <f>T35*U35</f>
        <v>52.958849999999998</v>
      </c>
      <c r="W35" s="13">
        <v>0.19</v>
      </c>
      <c r="X35" s="12">
        <f>V35-(V35/(1+W35))</f>
        <v>8.4556147058823541</v>
      </c>
      <c r="Y35" s="12">
        <f>V35-X35</f>
        <v>44.503235294117644</v>
      </c>
      <c r="Z35" s="14">
        <v>75</v>
      </c>
      <c r="AA35" s="2" t="str">
        <f>IF(V35&gt;Z35,"Yes","No")</f>
        <v>No</v>
      </c>
      <c r="AB35" s="12">
        <f>V35-Z35</f>
        <v>-22.041150000000002</v>
      </c>
      <c r="AC35" s="15" t="s">
        <v>131</v>
      </c>
      <c r="AD35" s="15" t="s">
        <v>131</v>
      </c>
      <c r="AE35" s="15" t="s">
        <v>132</v>
      </c>
      <c r="AF35" s="12">
        <f>IF(AG35="Rejected",0,IF(R35="Corporate Card",0,V35))</f>
        <v>52.958849999999998</v>
      </c>
      <c r="AG35" s="15" t="s">
        <v>133</v>
      </c>
      <c r="AH35" s="16">
        <v>45670</v>
      </c>
      <c r="AI35" s="16">
        <v>45678</v>
      </c>
      <c r="AJ35" s="16">
        <v>45685</v>
      </c>
      <c r="AK35" s="17">
        <f>IF(AJ35="","",AJ35-AH35)</f>
        <v>15</v>
      </c>
    </row>
    <row r="36" spans="1:37">
      <c r="A36" s="2" t="s">
        <v>222</v>
      </c>
      <c r="B36" s="2" t="s">
        <v>189</v>
      </c>
      <c r="C36" s="2" t="s">
        <v>190</v>
      </c>
      <c r="D36" s="2" t="s">
        <v>171</v>
      </c>
      <c r="E36" s="2" t="s">
        <v>191</v>
      </c>
      <c r="F36" s="2" t="s">
        <v>173</v>
      </c>
      <c r="G36" s="2" t="s">
        <v>192</v>
      </c>
      <c r="H36" s="2" t="s">
        <v>193</v>
      </c>
      <c r="I36" s="2" t="s">
        <v>194</v>
      </c>
      <c r="J36" s="2" t="s">
        <v>195</v>
      </c>
      <c r="K36" s="9">
        <v>45662</v>
      </c>
      <c r="L36" s="9">
        <v>45665</v>
      </c>
      <c r="M36" s="9">
        <v>45663</v>
      </c>
      <c r="N36" s="2" t="s">
        <v>125</v>
      </c>
      <c r="O36" s="2" t="s">
        <v>55</v>
      </c>
      <c r="P36" s="2" t="s">
        <v>139</v>
      </c>
      <c r="Q36" s="2" t="s">
        <v>217</v>
      </c>
      <c r="R36" s="2" t="s">
        <v>128</v>
      </c>
      <c r="S36" s="2" t="s">
        <v>198</v>
      </c>
      <c r="T36" s="10">
        <v>29.38</v>
      </c>
      <c r="U36" s="11">
        <v>1.085</v>
      </c>
      <c r="V36" s="12">
        <f>T36*U36</f>
        <v>31.877299999999998</v>
      </c>
      <c r="W36" s="13">
        <v>0.19</v>
      </c>
      <c r="X36" s="12">
        <f>V36-(V36/(1+W36))</f>
        <v>5.0896529411764675</v>
      </c>
      <c r="Y36" s="12">
        <f>V36-X36</f>
        <v>26.787647058823531</v>
      </c>
      <c r="Z36" s="14">
        <v>35</v>
      </c>
      <c r="AA36" s="2" t="str">
        <f>IF(V36&gt;Z36,"Yes","No")</f>
        <v>No</v>
      </c>
      <c r="AB36" s="12">
        <f>V36-Z36</f>
        <v>-3.1227000000000018</v>
      </c>
      <c r="AC36" s="15" t="s">
        <v>130</v>
      </c>
      <c r="AD36" s="15" t="s">
        <v>131</v>
      </c>
      <c r="AE36" s="15" t="s">
        <v>132</v>
      </c>
      <c r="AF36" s="12">
        <f>IF(AG36="Rejected",0,IF(R36="Corporate Card",0,V36))</f>
        <v>0</v>
      </c>
      <c r="AG36" s="15" t="s">
        <v>133</v>
      </c>
      <c r="AH36" s="16">
        <v>45670</v>
      </c>
      <c r="AI36" s="16">
        <v>45678</v>
      </c>
      <c r="AJ36" s="16">
        <v>45685</v>
      </c>
      <c r="AK36" s="17">
        <f>IF(AJ36="","",AJ36-AH36)</f>
        <v>15</v>
      </c>
    </row>
    <row r="37" spans="1:37">
      <c r="A37" s="2" t="s">
        <v>223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s">
        <v>173</v>
      </c>
      <c r="G37" s="2" t="s">
        <v>174</v>
      </c>
      <c r="H37" s="2" t="s">
        <v>122</v>
      </c>
      <c r="I37" s="2" t="s">
        <v>175</v>
      </c>
      <c r="J37" s="2" t="s">
        <v>176</v>
      </c>
      <c r="K37" s="9">
        <v>45661</v>
      </c>
      <c r="L37" s="9">
        <v>45668</v>
      </c>
      <c r="M37" s="9">
        <v>45663</v>
      </c>
      <c r="N37" s="2" t="s">
        <v>125</v>
      </c>
      <c r="O37" s="2" t="s">
        <v>58</v>
      </c>
      <c r="P37" s="2" t="s">
        <v>142</v>
      </c>
      <c r="Q37" s="2" t="s">
        <v>224</v>
      </c>
      <c r="R37" s="2" t="s">
        <v>128</v>
      </c>
      <c r="S37" s="2" t="s">
        <v>179</v>
      </c>
      <c r="T37" s="10">
        <v>237.13</v>
      </c>
      <c r="U37" s="11">
        <v>0.18099999999999999</v>
      </c>
      <c r="V37" s="12">
        <f>T37*U37</f>
        <v>42.920529999999999</v>
      </c>
      <c r="W37" s="13">
        <v>0.17</v>
      </c>
      <c r="X37" s="12">
        <f>V37-(V37/(1+W37))</f>
        <v>6.2363163247863227</v>
      </c>
      <c r="Y37" s="12">
        <f>V37-X37</f>
        <v>36.684213675213677</v>
      </c>
      <c r="Z37" s="14">
        <v>60</v>
      </c>
      <c r="AA37" s="2" t="str">
        <f>IF(V37&gt;Z37,"Yes","No")</f>
        <v>No</v>
      </c>
      <c r="AB37" s="12">
        <f>V37-Z37</f>
        <v>-17.079470000000001</v>
      </c>
      <c r="AC37" s="15" t="s">
        <v>130</v>
      </c>
      <c r="AD37" s="15" t="s">
        <v>130</v>
      </c>
      <c r="AE37" s="15" t="s">
        <v>180</v>
      </c>
      <c r="AF37" s="12">
        <f>IF(AG37="Rejected",0,IF(R37="Corporate Card",0,V37))</f>
        <v>0</v>
      </c>
      <c r="AG37" s="15" t="s">
        <v>181</v>
      </c>
      <c r="AH37" s="16">
        <v>45677</v>
      </c>
      <c r="AI37" s="16"/>
      <c r="AJ37" s="16"/>
      <c r="AK37" s="17" t="str">
        <f>IF(AJ37="","",AJ37-AH37)</f>
        <v/>
      </c>
    </row>
    <row r="38" spans="1:37">
      <c r="A38" s="2" t="s">
        <v>225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s">
        <v>173</v>
      </c>
      <c r="G38" s="2" t="s">
        <v>174</v>
      </c>
      <c r="H38" s="2" t="s">
        <v>122</v>
      </c>
      <c r="I38" s="2" t="s">
        <v>175</v>
      </c>
      <c r="J38" s="2" t="s">
        <v>176</v>
      </c>
      <c r="K38" s="9">
        <v>45661</v>
      </c>
      <c r="L38" s="9">
        <v>45668</v>
      </c>
      <c r="M38" s="9">
        <v>45663</v>
      </c>
      <c r="N38" s="2" t="s">
        <v>125</v>
      </c>
      <c r="O38" s="2" t="s">
        <v>54</v>
      </c>
      <c r="P38" s="2" t="s">
        <v>139</v>
      </c>
      <c r="Q38" s="2" t="s">
        <v>140</v>
      </c>
      <c r="R38" s="2" t="s">
        <v>128</v>
      </c>
      <c r="S38" s="2" t="s">
        <v>179</v>
      </c>
      <c r="T38" s="10">
        <v>91.17</v>
      </c>
      <c r="U38" s="11">
        <v>0.18099999999999999</v>
      </c>
      <c r="V38" s="12">
        <f>T38*U38</f>
        <v>16.50177</v>
      </c>
      <c r="W38" s="13">
        <v>0.17</v>
      </c>
      <c r="X38" s="12">
        <f>V38-(V38/(1+W38))</f>
        <v>2.3976930769230762</v>
      </c>
      <c r="Y38" s="12">
        <f>V38-X38</f>
        <v>14.104076923076924</v>
      </c>
      <c r="Z38" s="14">
        <v>25</v>
      </c>
      <c r="AA38" s="2" t="str">
        <f>IF(V38&gt;Z38,"Yes","No")</f>
        <v>No</v>
      </c>
      <c r="AB38" s="12">
        <f>V38-Z38</f>
        <v>-8.4982299999999995</v>
      </c>
      <c r="AC38" s="15" t="s">
        <v>130</v>
      </c>
      <c r="AD38" s="15" t="s">
        <v>130</v>
      </c>
      <c r="AE38" s="15" t="s">
        <v>180</v>
      </c>
      <c r="AF38" s="12">
        <f>IF(AG38="Rejected",0,IF(R38="Corporate Card",0,V38))</f>
        <v>0</v>
      </c>
      <c r="AG38" s="15" t="s">
        <v>181</v>
      </c>
      <c r="AH38" s="16">
        <v>45677</v>
      </c>
      <c r="AI38" s="16"/>
      <c r="AJ38" s="16"/>
      <c r="AK38" s="17" t="str">
        <f>IF(AJ38="","",AJ38-AH38)</f>
        <v/>
      </c>
    </row>
    <row r="39" spans="1:37">
      <c r="A39" s="2" t="s">
        <v>226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s">
        <v>173</v>
      </c>
      <c r="G39" s="2" t="s">
        <v>174</v>
      </c>
      <c r="H39" s="2" t="s">
        <v>122</v>
      </c>
      <c r="I39" s="2" t="s">
        <v>175</v>
      </c>
      <c r="J39" s="2" t="s">
        <v>176</v>
      </c>
      <c r="K39" s="9">
        <v>45661</v>
      </c>
      <c r="L39" s="9">
        <v>45668</v>
      </c>
      <c r="M39" s="9">
        <v>45663</v>
      </c>
      <c r="N39" s="2" t="s">
        <v>125</v>
      </c>
      <c r="O39" s="2" t="s">
        <v>56</v>
      </c>
      <c r="P39" s="2" t="s">
        <v>165</v>
      </c>
      <c r="Q39" s="2" t="s">
        <v>227</v>
      </c>
      <c r="R39" s="2" t="s">
        <v>149</v>
      </c>
      <c r="S39" s="2" t="s">
        <v>179</v>
      </c>
      <c r="T39" s="10">
        <v>297.49</v>
      </c>
      <c r="U39" s="11">
        <v>0.18099999999999999</v>
      </c>
      <c r="V39" s="12">
        <f>T39*U39</f>
        <v>53.845689999999998</v>
      </c>
      <c r="W39" s="13">
        <v>0.17</v>
      </c>
      <c r="X39" s="12">
        <f>V39-(V39/(1+W39))</f>
        <v>7.8237327350427321</v>
      </c>
      <c r="Y39" s="12">
        <f>V39-X39</f>
        <v>46.021957264957265</v>
      </c>
      <c r="Z39" s="14">
        <v>75</v>
      </c>
      <c r="AA39" s="2" t="str">
        <f>IF(V39&gt;Z39,"Yes","No")</f>
        <v>No</v>
      </c>
      <c r="AB39" s="12">
        <f>V39-Z39</f>
        <v>-21.154310000000002</v>
      </c>
      <c r="AC39" s="15" t="s">
        <v>130</v>
      </c>
      <c r="AD39" s="15" t="s">
        <v>130</v>
      </c>
      <c r="AE39" s="15" t="s">
        <v>180</v>
      </c>
      <c r="AF39" s="12">
        <f>IF(AG39="Rejected",0,IF(R39="Corporate Card",0,V39))</f>
        <v>53.845689999999998</v>
      </c>
      <c r="AG39" s="15" t="s">
        <v>181</v>
      </c>
      <c r="AH39" s="16">
        <v>45677</v>
      </c>
      <c r="AI39" s="16"/>
      <c r="AJ39" s="16"/>
      <c r="AK39" s="17" t="str">
        <f>IF(AJ39="","",AJ39-AH39)</f>
        <v/>
      </c>
    </row>
    <row r="40" spans="1:37">
      <c r="A40" s="2" t="s">
        <v>228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s">
        <v>173</v>
      </c>
      <c r="G40" s="2" t="s">
        <v>174</v>
      </c>
      <c r="H40" s="2" t="s">
        <v>122</v>
      </c>
      <c r="I40" s="2" t="s">
        <v>175</v>
      </c>
      <c r="J40" s="2" t="s">
        <v>176</v>
      </c>
      <c r="K40" s="9">
        <v>45661</v>
      </c>
      <c r="L40" s="9">
        <v>45668</v>
      </c>
      <c r="M40" s="9">
        <v>45663</v>
      </c>
      <c r="N40" s="2" t="s">
        <v>125</v>
      </c>
      <c r="O40" s="2" t="s">
        <v>55</v>
      </c>
      <c r="P40" s="2" t="s">
        <v>139</v>
      </c>
      <c r="Q40" s="2" t="s">
        <v>217</v>
      </c>
      <c r="R40" s="2" t="s">
        <v>137</v>
      </c>
      <c r="S40" s="2" t="s">
        <v>179</v>
      </c>
      <c r="T40" s="10">
        <v>88.32</v>
      </c>
      <c r="U40" s="11">
        <v>0.18099999999999999</v>
      </c>
      <c r="V40" s="12">
        <f>T40*U40</f>
        <v>15.985919999999998</v>
      </c>
      <c r="W40" s="13">
        <v>0.17</v>
      </c>
      <c r="X40" s="12">
        <f>V40-(V40/(1+W40))</f>
        <v>2.322740512820511</v>
      </c>
      <c r="Y40" s="12">
        <f>V40-X40</f>
        <v>13.663179487179487</v>
      </c>
      <c r="Z40" s="14">
        <v>35</v>
      </c>
      <c r="AA40" s="2" t="str">
        <f>IF(V40&gt;Z40,"Yes","No")</f>
        <v>No</v>
      </c>
      <c r="AB40" s="12">
        <f>V40-Z40</f>
        <v>-19.01408</v>
      </c>
      <c r="AC40" s="15" t="s">
        <v>130</v>
      </c>
      <c r="AD40" s="15" t="s">
        <v>130</v>
      </c>
      <c r="AE40" s="15" t="s">
        <v>180</v>
      </c>
      <c r="AF40" s="12">
        <f>IF(AG40="Rejected",0,IF(R40="Corporate Card",0,V40))</f>
        <v>15.985919999999998</v>
      </c>
      <c r="AG40" s="15" t="s">
        <v>181</v>
      </c>
      <c r="AH40" s="16">
        <v>45677</v>
      </c>
      <c r="AI40" s="16"/>
      <c r="AJ40" s="16"/>
      <c r="AK40" s="17" t="str">
        <f>IF(AJ40="","",AJ40-AH40)</f>
        <v/>
      </c>
    </row>
    <row r="41" spans="1:37">
      <c r="A41" s="2" t="s">
        <v>229</v>
      </c>
      <c r="B41" s="2" t="s">
        <v>189</v>
      </c>
      <c r="C41" s="2" t="s">
        <v>190</v>
      </c>
      <c r="D41" s="2" t="s">
        <v>171</v>
      </c>
      <c r="E41" s="2" t="s">
        <v>191</v>
      </c>
      <c r="F41" s="2" t="s">
        <v>173</v>
      </c>
      <c r="G41" s="2" t="s">
        <v>192</v>
      </c>
      <c r="H41" s="2" t="s">
        <v>193</v>
      </c>
      <c r="I41" s="2" t="s">
        <v>194</v>
      </c>
      <c r="J41" s="2" t="s">
        <v>195</v>
      </c>
      <c r="K41" s="9">
        <v>45662</v>
      </c>
      <c r="L41" s="9">
        <v>45665</v>
      </c>
      <c r="M41" s="9">
        <v>45664</v>
      </c>
      <c r="N41" s="2" t="s">
        <v>125</v>
      </c>
      <c r="O41" s="2" t="s">
        <v>54</v>
      </c>
      <c r="P41" s="2" t="s">
        <v>139</v>
      </c>
      <c r="Q41" s="2" t="s">
        <v>214</v>
      </c>
      <c r="R41" s="2" t="s">
        <v>137</v>
      </c>
      <c r="S41" s="2" t="s">
        <v>198</v>
      </c>
      <c r="T41" s="10">
        <v>16.25</v>
      </c>
      <c r="U41" s="11">
        <v>1.085</v>
      </c>
      <c r="V41" s="12">
        <f>T41*U41</f>
        <v>17.631249999999998</v>
      </c>
      <c r="W41" s="13">
        <v>0.19</v>
      </c>
      <c r="X41" s="12">
        <f>V41-(V41/(1+W41))</f>
        <v>2.8150735294117641</v>
      </c>
      <c r="Y41" s="12">
        <f>V41-X41</f>
        <v>14.816176470588234</v>
      </c>
      <c r="Z41" s="14">
        <v>25</v>
      </c>
      <c r="AA41" s="2" t="str">
        <f>IF(V41&gt;Z41,"Yes","No")</f>
        <v>No</v>
      </c>
      <c r="AB41" s="12">
        <f>V41-Z41</f>
        <v>-7.3687500000000021</v>
      </c>
      <c r="AC41" s="15" t="s">
        <v>130</v>
      </c>
      <c r="AD41" s="15" t="s">
        <v>131</v>
      </c>
      <c r="AE41" s="15" t="s">
        <v>132</v>
      </c>
      <c r="AF41" s="12">
        <f>IF(AG41="Rejected",0,IF(R41="Corporate Card",0,V41))</f>
        <v>17.631249999999998</v>
      </c>
      <c r="AG41" s="15" t="s">
        <v>133</v>
      </c>
      <c r="AH41" s="16">
        <v>45670</v>
      </c>
      <c r="AI41" s="16">
        <v>45678</v>
      </c>
      <c r="AJ41" s="16">
        <v>45685</v>
      </c>
      <c r="AK41" s="17">
        <f>IF(AJ41="","",AJ41-AH41)</f>
        <v>15</v>
      </c>
    </row>
    <row r="42" spans="1:37">
      <c r="A42" s="2" t="s">
        <v>230</v>
      </c>
      <c r="B42" s="2" t="s">
        <v>189</v>
      </c>
      <c r="C42" s="2" t="s">
        <v>190</v>
      </c>
      <c r="D42" s="2" t="s">
        <v>171</v>
      </c>
      <c r="E42" s="2" t="s">
        <v>191</v>
      </c>
      <c r="F42" s="2" t="s">
        <v>173</v>
      </c>
      <c r="G42" s="2" t="s">
        <v>192</v>
      </c>
      <c r="H42" s="2" t="s">
        <v>193</v>
      </c>
      <c r="I42" s="2" t="s">
        <v>194</v>
      </c>
      <c r="J42" s="2" t="s">
        <v>195</v>
      </c>
      <c r="K42" s="9">
        <v>45662</v>
      </c>
      <c r="L42" s="9">
        <v>45665</v>
      </c>
      <c r="M42" s="9">
        <v>45664</v>
      </c>
      <c r="N42" s="2" t="s">
        <v>125</v>
      </c>
      <c r="O42" s="2" t="s">
        <v>56</v>
      </c>
      <c r="P42" s="2" t="s">
        <v>231</v>
      </c>
      <c r="Q42" s="2" t="s">
        <v>227</v>
      </c>
      <c r="R42" s="2" t="s">
        <v>128</v>
      </c>
      <c r="S42" s="2" t="s">
        <v>198</v>
      </c>
      <c r="T42" s="10">
        <v>63.82</v>
      </c>
      <c r="U42" s="11">
        <v>1.085</v>
      </c>
      <c r="V42" s="12">
        <f>T42*U42</f>
        <v>69.244699999999995</v>
      </c>
      <c r="W42" s="13">
        <v>0.19</v>
      </c>
      <c r="X42" s="12">
        <f>V42-(V42/(1+W42))</f>
        <v>11.055876470588231</v>
      </c>
      <c r="Y42" s="12">
        <f>V42-X42</f>
        <v>58.188823529411764</v>
      </c>
      <c r="Z42" s="14">
        <v>75</v>
      </c>
      <c r="AA42" s="2" t="str">
        <f>IF(V42&gt;Z42,"Yes","No")</f>
        <v>No</v>
      </c>
      <c r="AB42" s="12">
        <f>V42-Z42</f>
        <v>-5.7553000000000054</v>
      </c>
      <c r="AC42" s="15" t="s">
        <v>130</v>
      </c>
      <c r="AD42" s="15" t="s">
        <v>131</v>
      </c>
      <c r="AE42" s="15" t="s">
        <v>132</v>
      </c>
      <c r="AF42" s="12">
        <f>IF(AG42="Rejected",0,IF(R42="Corporate Card",0,V42))</f>
        <v>0</v>
      </c>
      <c r="AG42" s="15" t="s">
        <v>133</v>
      </c>
      <c r="AH42" s="16">
        <v>45670</v>
      </c>
      <c r="AI42" s="16">
        <v>45678</v>
      </c>
      <c r="AJ42" s="16">
        <v>45685</v>
      </c>
      <c r="AK42" s="17">
        <f>IF(AJ42="","",AJ42-AH42)</f>
        <v>15</v>
      </c>
    </row>
    <row r="43" spans="1:37">
      <c r="A43" s="2" t="s">
        <v>232</v>
      </c>
      <c r="B43" s="2" t="s">
        <v>189</v>
      </c>
      <c r="C43" s="2" t="s">
        <v>190</v>
      </c>
      <c r="D43" s="2" t="s">
        <v>171</v>
      </c>
      <c r="E43" s="2" t="s">
        <v>191</v>
      </c>
      <c r="F43" s="2" t="s">
        <v>173</v>
      </c>
      <c r="G43" s="2" t="s">
        <v>192</v>
      </c>
      <c r="H43" s="2" t="s">
        <v>193</v>
      </c>
      <c r="I43" s="2" t="s">
        <v>194</v>
      </c>
      <c r="J43" s="2" t="s">
        <v>195</v>
      </c>
      <c r="K43" s="9">
        <v>45662</v>
      </c>
      <c r="L43" s="9">
        <v>45665</v>
      </c>
      <c r="M43" s="9">
        <v>45664</v>
      </c>
      <c r="N43" s="2" t="s">
        <v>125</v>
      </c>
      <c r="O43" s="2" t="s">
        <v>55</v>
      </c>
      <c r="P43" s="2" t="s">
        <v>139</v>
      </c>
      <c r="Q43" s="2" t="s">
        <v>161</v>
      </c>
      <c r="R43" s="2" t="s">
        <v>128</v>
      </c>
      <c r="S43" s="2" t="s">
        <v>198</v>
      </c>
      <c r="T43" s="10">
        <v>21.24</v>
      </c>
      <c r="U43" s="11">
        <v>1.085</v>
      </c>
      <c r="V43" s="12">
        <f>T43*U43</f>
        <v>23.045399999999997</v>
      </c>
      <c r="W43" s="13">
        <v>0.19</v>
      </c>
      <c r="X43" s="12">
        <f>V43-(V43/(1+W43))</f>
        <v>3.6795176470588231</v>
      </c>
      <c r="Y43" s="12">
        <f>V43-X43</f>
        <v>19.365882352941174</v>
      </c>
      <c r="Z43" s="14">
        <v>35</v>
      </c>
      <c r="AA43" s="2" t="str">
        <f>IF(V43&gt;Z43,"Yes","No")</f>
        <v>No</v>
      </c>
      <c r="AB43" s="12">
        <f>V43-Z43</f>
        <v>-11.954600000000003</v>
      </c>
      <c r="AC43" s="15" t="s">
        <v>130</v>
      </c>
      <c r="AD43" s="15" t="s">
        <v>131</v>
      </c>
      <c r="AE43" s="15" t="s">
        <v>132</v>
      </c>
      <c r="AF43" s="12">
        <f>IF(AG43="Rejected",0,IF(R43="Corporate Card",0,V43))</f>
        <v>0</v>
      </c>
      <c r="AG43" s="15" t="s">
        <v>133</v>
      </c>
      <c r="AH43" s="16">
        <v>45670</v>
      </c>
      <c r="AI43" s="16">
        <v>45678</v>
      </c>
      <c r="AJ43" s="16">
        <v>45685</v>
      </c>
      <c r="AK43" s="17">
        <f>IF(AJ43="","",AJ43-AH43)</f>
        <v>15</v>
      </c>
    </row>
    <row r="44" spans="1:37">
      <c r="A44" s="2" t="s">
        <v>233</v>
      </c>
      <c r="B44" s="2" t="s">
        <v>169</v>
      </c>
      <c r="C44" s="2" t="s">
        <v>170</v>
      </c>
      <c r="D44" s="2" t="s">
        <v>171</v>
      </c>
      <c r="E44" s="2" t="s">
        <v>172</v>
      </c>
      <c r="F44" s="2" t="s">
        <v>173</v>
      </c>
      <c r="G44" s="2" t="s">
        <v>174</v>
      </c>
      <c r="H44" s="2" t="s">
        <v>122</v>
      </c>
      <c r="I44" s="2" t="s">
        <v>175</v>
      </c>
      <c r="J44" s="2" t="s">
        <v>176</v>
      </c>
      <c r="K44" s="9">
        <v>45661</v>
      </c>
      <c r="L44" s="9">
        <v>45668</v>
      </c>
      <c r="M44" s="9">
        <v>45664</v>
      </c>
      <c r="N44" s="2" t="s">
        <v>125</v>
      </c>
      <c r="O44" s="2" t="s">
        <v>58</v>
      </c>
      <c r="P44" s="2" t="s">
        <v>142</v>
      </c>
      <c r="Q44" s="2" t="s">
        <v>156</v>
      </c>
      <c r="R44" s="2" t="s">
        <v>128</v>
      </c>
      <c r="S44" s="2" t="s">
        <v>179</v>
      </c>
      <c r="T44" s="10">
        <v>276.83999999999997</v>
      </c>
      <c r="U44" s="11">
        <v>0.18099999999999999</v>
      </c>
      <c r="V44" s="12">
        <f>T44*U44</f>
        <v>50.108039999999995</v>
      </c>
      <c r="W44" s="13">
        <v>0.17</v>
      </c>
      <c r="X44" s="12">
        <f>V44-(V44/(1+W44))</f>
        <v>7.280655384615379</v>
      </c>
      <c r="Y44" s="12">
        <f>V44-X44</f>
        <v>42.827384615384616</v>
      </c>
      <c r="Z44" s="14">
        <v>60</v>
      </c>
      <c r="AA44" s="2" t="str">
        <f>IF(V44&gt;Z44,"Yes","No")</f>
        <v>No</v>
      </c>
      <c r="AB44" s="12">
        <f>V44-Z44</f>
        <v>-9.8919600000000045</v>
      </c>
      <c r="AC44" s="15" t="s">
        <v>130</v>
      </c>
      <c r="AD44" s="15" t="s">
        <v>130</v>
      </c>
      <c r="AE44" s="15" t="s">
        <v>180</v>
      </c>
      <c r="AF44" s="12">
        <f>IF(AG44="Rejected",0,IF(R44="Corporate Card",0,V44))</f>
        <v>0</v>
      </c>
      <c r="AG44" s="15" t="s">
        <v>181</v>
      </c>
      <c r="AH44" s="16">
        <v>45677</v>
      </c>
      <c r="AI44" s="16"/>
      <c r="AJ44" s="16"/>
      <c r="AK44" s="17" t="str">
        <f>IF(AJ44="","",AJ44-AH44)</f>
        <v/>
      </c>
    </row>
    <row r="45" spans="1:37">
      <c r="A45" s="2" t="s">
        <v>234</v>
      </c>
      <c r="B45" s="2" t="s">
        <v>169</v>
      </c>
      <c r="C45" s="2" t="s">
        <v>170</v>
      </c>
      <c r="D45" s="2" t="s">
        <v>171</v>
      </c>
      <c r="E45" s="2" t="s">
        <v>172</v>
      </c>
      <c r="F45" s="2" t="s">
        <v>173</v>
      </c>
      <c r="G45" s="2" t="s">
        <v>174</v>
      </c>
      <c r="H45" s="2" t="s">
        <v>122</v>
      </c>
      <c r="I45" s="2" t="s">
        <v>175</v>
      </c>
      <c r="J45" s="2" t="s">
        <v>176</v>
      </c>
      <c r="K45" s="9">
        <v>45661</v>
      </c>
      <c r="L45" s="9">
        <v>45668</v>
      </c>
      <c r="M45" s="9">
        <v>45664</v>
      </c>
      <c r="N45" s="2" t="s">
        <v>125</v>
      </c>
      <c r="O45" s="2" t="s">
        <v>54</v>
      </c>
      <c r="P45" s="2" t="s">
        <v>139</v>
      </c>
      <c r="Q45" s="2" t="s">
        <v>140</v>
      </c>
      <c r="R45" s="2" t="s">
        <v>137</v>
      </c>
      <c r="S45" s="2" t="s">
        <v>179</v>
      </c>
      <c r="T45" s="10">
        <v>113.07</v>
      </c>
      <c r="U45" s="11">
        <v>0.18099999999999999</v>
      </c>
      <c r="V45" s="12">
        <f>T45*U45</f>
        <v>20.465669999999999</v>
      </c>
      <c r="W45" s="13">
        <v>0.17</v>
      </c>
      <c r="X45" s="12">
        <f>V45-(V45/(1+W45))</f>
        <v>2.973644358974358</v>
      </c>
      <c r="Y45" s="12">
        <f>V45-X45</f>
        <v>17.492025641025641</v>
      </c>
      <c r="Z45" s="14">
        <v>25</v>
      </c>
      <c r="AA45" s="2" t="str">
        <f>IF(V45&gt;Z45,"Yes","No")</f>
        <v>No</v>
      </c>
      <c r="AB45" s="12">
        <f>V45-Z45</f>
        <v>-4.5343300000000006</v>
      </c>
      <c r="AC45" s="15" t="s">
        <v>130</v>
      </c>
      <c r="AD45" s="15" t="s">
        <v>130</v>
      </c>
      <c r="AE45" s="15" t="s">
        <v>180</v>
      </c>
      <c r="AF45" s="12">
        <f>IF(AG45="Rejected",0,IF(R45="Corporate Card",0,V45))</f>
        <v>20.465669999999999</v>
      </c>
      <c r="AG45" s="15" t="s">
        <v>181</v>
      </c>
      <c r="AH45" s="16">
        <v>45677</v>
      </c>
      <c r="AI45" s="16"/>
      <c r="AJ45" s="16"/>
      <c r="AK45" s="17" t="str">
        <f>IF(AJ45="","",AJ45-AH45)</f>
        <v/>
      </c>
    </row>
    <row r="46" spans="1:37">
      <c r="A46" s="2" t="s">
        <v>235</v>
      </c>
      <c r="B46" s="2" t="s">
        <v>169</v>
      </c>
      <c r="C46" s="2" t="s">
        <v>170</v>
      </c>
      <c r="D46" s="2" t="s">
        <v>171</v>
      </c>
      <c r="E46" s="2" t="s">
        <v>172</v>
      </c>
      <c r="F46" s="2" t="s">
        <v>173</v>
      </c>
      <c r="G46" s="2" t="s">
        <v>174</v>
      </c>
      <c r="H46" s="2" t="s">
        <v>122</v>
      </c>
      <c r="I46" s="2" t="s">
        <v>175</v>
      </c>
      <c r="J46" s="2" t="s">
        <v>176</v>
      </c>
      <c r="K46" s="9">
        <v>45661</v>
      </c>
      <c r="L46" s="9">
        <v>45668</v>
      </c>
      <c r="M46" s="9">
        <v>45664</v>
      </c>
      <c r="N46" s="2" t="s">
        <v>125</v>
      </c>
      <c r="O46" s="2" t="s">
        <v>55</v>
      </c>
      <c r="P46" s="2" t="s">
        <v>139</v>
      </c>
      <c r="Q46" s="2" t="s">
        <v>217</v>
      </c>
      <c r="R46" s="2" t="s">
        <v>149</v>
      </c>
      <c r="S46" s="2" t="s">
        <v>179</v>
      </c>
      <c r="T46" s="10">
        <v>116.51</v>
      </c>
      <c r="U46" s="11">
        <v>0.18099999999999999</v>
      </c>
      <c r="V46" s="12">
        <f>T46*U46</f>
        <v>21.08831</v>
      </c>
      <c r="W46" s="13">
        <v>0.17</v>
      </c>
      <c r="X46" s="12">
        <f>V46-(V46/(1+W46))</f>
        <v>3.0641134188034194</v>
      </c>
      <c r="Y46" s="12">
        <f>V46-X46</f>
        <v>18.024196581196581</v>
      </c>
      <c r="Z46" s="14">
        <v>35</v>
      </c>
      <c r="AA46" s="2" t="str">
        <f>IF(V46&gt;Z46,"Yes","No")</f>
        <v>No</v>
      </c>
      <c r="AB46" s="12">
        <f>V46-Z46</f>
        <v>-13.91169</v>
      </c>
      <c r="AC46" s="15" t="s">
        <v>130</v>
      </c>
      <c r="AD46" s="15" t="s">
        <v>130</v>
      </c>
      <c r="AE46" s="15" t="s">
        <v>180</v>
      </c>
      <c r="AF46" s="12">
        <f>IF(AG46="Rejected",0,IF(R46="Corporate Card",0,V46))</f>
        <v>21.08831</v>
      </c>
      <c r="AG46" s="15" t="s">
        <v>181</v>
      </c>
      <c r="AH46" s="16">
        <v>45677</v>
      </c>
      <c r="AI46" s="16"/>
      <c r="AJ46" s="16"/>
      <c r="AK46" s="17" t="str">
        <f>IF(AJ46="","",AJ46-AH46)</f>
        <v/>
      </c>
    </row>
    <row r="47" spans="1:37">
      <c r="A47" s="2" t="s">
        <v>236</v>
      </c>
      <c r="B47" s="2" t="s">
        <v>189</v>
      </c>
      <c r="C47" s="2" t="s">
        <v>190</v>
      </c>
      <c r="D47" s="2" t="s">
        <v>171</v>
      </c>
      <c r="E47" s="2" t="s">
        <v>191</v>
      </c>
      <c r="F47" s="2" t="s">
        <v>173</v>
      </c>
      <c r="G47" s="2" t="s">
        <v>192</v>
      </c>
      <c r="H47" s="2" t="s">
        <v>193</v>
      </c>
      <c r="I47" s="2" t="s">
        <v>194</v>
      </c>
      <c r="J47" s="2" t="s">
        <v>195</v>
      </c>
      <c r="K47" s="9">
        <v>45662</v>
      </c>
      <c r="L47" s="9">
        <v>45665</v>
      </c>
      <c r="M47" s="9">
        <v>45665</v>
      </c>
      <c r="N47" s="2" t="s">
        <v>125</v>
      </c>
      <c r="O47" s="2" t="s">
        <v>54</v>
      </c>
      <c r="P47" s="2" t="s">
        <v>139</v>
      </c>
      <c r="Q47" s="2" t="s">
        <v>214</v>
      </c>
      <c r="R47" s="2" t="s">
        <v>137</v>
      </c>
      <c r="S47" s="2" t="s">
        <v>198</v>
      </c>
      <c r="T47" s="10">
        <v>16.989999999999998</v>
      </c>
      <c r="U47" s="11">
        <v>1.085</v>
      </c>
      <c r="V47" s="12">
        <f>T47*U47</f>
        <v>18.434149999999999</v>
      </c>
      <c r="W47" s="13">
        <v>0.19</v>
      </c>
      <c r="X47" s="12">
        <f>V47-(V47/(1+W47))</f>
        <v>2.943267647058823</v>
      </c>
      <c r="Y47" s="12">
        <f>V47-X47</f>
        <v>15.490882352941176</v>
      </c>
      <c r="Z47" s="14">
        <v>25</v>
      </c>
      <c r="AA47" s="2" t="str">
        <f>IF(V47&gt;Z47,"Yes","No")</f>
        <v>No</v>
      </c>
      <c r="AB47" s="12">
        <f>V47-Z47</f>
        <v>-6.5658500000000011</v>
      </c>
      <c r="AC47" s="15" t="s">
        <v>130</v>
      </c>
      <c r="AD47" s="15" t="s">
        <v>131</v>
      </c>
      <c r="AE47" s="15" t="s">
        <v>132</v>
      </c>
      <c r="AF47" s="12">
        <f>IF(AG47="Rejected",0,IF(R47="Corporate Card",0,V47))</f>
        <v>18.434149999999999</v>
      </c>
      <c r="AG47" s="15" t="s">
        <v>133</v>
      </c>
      <c r="AH47" s="16">
        <v>45670</v>
      </c>
      <c r="AI47" s="16">
        <v>45678</v>
      </c>
      <c r="AJ47" s="16">
        <v>45685</v>
      </c>
      <c r="AK47" s="17">
        <f>IF(AJ47="","",AJ47-AH47)</f>
        <v>15</v>
      </c>
    </row>
    <row r="48" spans="1:37">
      <c r="A48" s="2" t="s">
        <v>237</v>
      </c>
      <c r="B48" s="2" t="s">
        <v>189</v>
      </c>
      <c r="C48" s="2" t="s">
        <v>190</v>
      </c>
      <c r="D48" s="2" t="s">
        <v>171</v>
      </c>
      <c r="E48" s="2" t="s">
        <v>191</v>
      </c>
      <c r="F48" s="2" t="s">
        <v>173</v>
      </c>
      <c r="G48" s="2" t="s">
        <v>192</v>
      </c>
      <c r="H48" s="2" t="s">
        <v>193</v>
      </c>
      <c r="I48" s="2" t="s">
        <v>194</v>
      </c>
      <c r="J48" s="2" t="s">
        <v>195</v>
      </c>
      <c r="K48" s="9">
        <v>45662</v>
      </c>
      <c r="L48" s="9">
        <v>45665</v>
      </c>
      <c r="M48" s="9">
        <v>45665</v>
      </c>
      <c r="N48" s="2" t="s">
        <v>125</v>
      </c>
      <c r="O48" s="2" t="s">
        <v>56</v>
      </c>
      <c r="P48" s="2" t="s">
        <v>231</v>
      </c>
      <c r="Q48" s="2" t="s">
        <v>227</v>
      </c>
      <c r="R48" s="2" t="s">
        <v>128</v>
      </c>
      <c r="S48" s="2" t="s">
        <v>198</v>
      </c>
      <c r="T48" s="10">
        <v>27.22</v>
      </c>
      <c r="U48" s="11">
        <v>1.085</v>
      </c>
      <c r="V48" s="12">
        <f>T48*U48</f>
        <v>29.533699999999996</v>
      </c>
      <c r="W48" s="13">
        <v>0.19</v>
      </c>
      <c r="X48" s="12">
        <f>V48-(V48/(1+W48))</f>
        <v>4.7154647058823507</v>
      </c>
      <c r="Y48" s="12">
        <f>V48-X48</f>
        <v>24.818235294117645</v>
      </c>
      <c r="Z48" s="14">
        <v>75</v>
      </c>
      <c r="AA48" s="2" t="str">
        <f>IF(V48&gt;Z48,"Yes","No")</f>
        <v>No</v>
      </c>
      <c r="AB48" s="12">
        <f>V48-Z48</f>
        <v>-45.466300000000004</v>
      </c>
      <c r="AC48" s="15" t="s">
        <v>130</v>
      </c>
      <c r="AD48" s="15" t="s">
        <v>131</v>
      </c>
      <c r="AE48" s="15" t="s">
        <v>132</v>
      </c>
      <c r="AF48" s="12">
        <f>IF(AG48="Rejected",0,IF(R48="Corporate Card",0,V48))</f>
        <v>0</v>
      </c>
      <c r="AG48" s="15" t="s">
        <v>133</v>
      </c>
      <c r="AH48" s="16">
        <v>45670</v>
      </c>
      <c r="AI48" s="16">
        <v>45678</v>
      </c>
      <c r="AJ48" s="16">
        <v>45685</v>
      </c>
      <c r="AK48" s="17">
        <f>IF(AJ48="","",AJ48-AH48)</f>
        <v>15</v>
      </c>
    </row>
    <row r="49" spans="1:37">
      <c r="A49" s="2" t="s">
        <v>238</v>
      </c>
      <c r="B49" s="2" t="s">
        <v>189</v>
      </c>
      <c r="C49" s="2" t="s">
        <v>190</v>
      </c>
      <c r="D49" s="2" t="s">
        <v>171</v>
      </c>
      <c r="E49" s="2" t="s">
        <v>191</v>
      </c>
      <c r="F49" s="2" t="s">
        <v>173</v>
      </c>
      <c r="G49" s="2" t="s">
        <v>192</v>
      </c>
      <c r="H49" s="2" t="s">
        <v>193</v>
      </c>
      <c r="I49" s="2" t="s">
        <v>194</v>
      </c>
      <c r="J49" s="2" t="s">
        <v>195</v>
      </c>
      <c r="K49" s="9">
        <v>45662</v>
      </c>
      <c r="L49" s="9">
        <v>45665</v>
      </c>
      <c r="M49" s="9">
        <v>45665</v>
      </c>
      <c r="N49" s="2" t="s">
        <v>125</v>
      </c>
      <c r="O49" s="2" t="s">
        <v>55</v>
      </c>
      <c r="P49" s="2" t="s">
        <v>139</v>
      </c>
      <c r="Q49" s="2" t="s">
        <v>217</v>
      </c>
      <c r="R49" s="2" t="s">
        <v>149</v>
      </c>
      <c r="S49" s="2" t="s">
        <v>198</v>
      </c>
      <c r="T49" s="10">
        <v>13.84</v>
      </c>
      <c r="U49" s="11">
        <v>1.085</v>
      </c>
      <c r="V49" s="12">
        <f>T49*U49</f>
        <v>15.016399999999999</v>
      </c>
      <c r="W49" s="13">
        <v>0.19</v>
      </c>
      <c r="X49" s="12">
        <f>V49-(V49/(1+W49))</f>
        <v>2.3975764705882341</v>
      </c>
      <c r="Y49" s="12">
        <f>V49-X49</f>
        <v>12.618823529411765</v>
      </c>
      <c r="Z49" s="14">
        <v>35</v>
      </c>
      <c r="AA49" s="2" t="str">
        <f>IF(V49&gt;Z49,"Yes","No")</f>
        <v>No</v>
      </c>
      <c r="AB49" s="12">
        <f>V49-Z49</f>
        <v>-19.983600000000003</v>
      </c>
      <c r="AC49" s="15" t="s">
        <v>130</v>
      </c>
      <c r="AD49" s="15" t="s">
        <v>131</v>
      </c>
      <c r="AE49" s="15" t="s">
        <v>132</v>
      </c>
      <c r="AF49" s="12">
        <f>IF(AG49="Rejected",0,IF(R49="Corporate Card",0,V49))</f>
        <v>15.016399999999999</v>
      </c>
      <c r="AG49" s="15" t="s">
        <v>133</v>
      </c>
      <c r="AH49" s="16">
        <v>45670</v>
      </c>
      <c r="AI49" s="16">
        <v>45678</v>
      </c>
      <c r="AJ49" s="16">
        <v>45685</v>
      </c>
      <c r="AK49" s="17">
        <f>IF(AJ49="","",AJ49-AH49)</f>
        <v>15</v>
      </c>
    </row>
    <row r="50" spans="1:37">
      <c r="A50" s="2" t="s">
        <v>239</v>
      </c>
      <c r="B50" s="2" t="s">
        <v>169</v>
      </c>
      <c r="C50" s="2" t="s">
        <v>170</v>
      </c>
      <c r="D50" s="2" t="s">
        <v>171</v>
      </c>
      <c r="E50" s="2" t="s">
        <v>172</v>
      </c>
      <c r="F50" s="2" t="s">
        <v>173</v>
      </c>
      <c r="G50" s="2" t="s">
        <v>174</v>
      </c>
      <c r="H50" s="2" t="s">
        <v>122</v>
      </c>
      <c r="I50" s="2" t="s">
        <v>175</v>
      </c>
      <c r="J50" s="2" t="s">
        <v>176</v>
      </c>
      <c r="K50" s="9">
        <v>45661</v>
      </c>
      <c r="L50" s="9">
        <v>45668</v>
      </c>
      <c r="M50" s="9">
        <v>45665</v>
      </c>
      <c r="N50" s="2" t="s">
        <v>125</v>
      </c>
      <c r="O50" s="2" t="s">
        <v>58</v>
      </c>
      <c r="P50" s="2" t="s">
        <v>142</v>
      </c>
      <c r="Q50" s="2" t="s">
        <v>224</v>
      </c>
      <c r="R50" s="2" t="s">
        <v>128</v>
      </c>
      <c r="S50" s="2" t="s">
        <v>179</v>
      </c>
      <c r="T50" s="10">
        <v>414.42</v>
      </c>
      <c r="U50" s="11">
        <v>0.18099999999999999</v>
      </c>
      <c r="V50" s="12">
        <f>T50*U50</f>
        <v>75.010019999999997</v>
      </c>
      <c r="W50" s="13">
        <v>0.17</v>
      </c>
      <c r="X50" s="12">
        <f>V50-(V50/(1+W50))</f>
        <v>10.898891794871787</v>
      </c>
      <c r="Y50" s="12">
        <f>V50-X50</f>
        <v>64.11112820512821</v>
      </c>
      <c r="Z50" s="14">
        <v>60</v>
      </c>
      <c r="AA50" s="2" t="str">
        <f>IF(V50&gt;Z50,"Yes","No")</f>
        <v>Yes</v>
      </c>
      <c r="AB50" s="12">
        <f>V50-Z50</f>
        <v>15.010019999999997</v>
      </c>
      <c r="AC50" s="15" t="s">
        <v>130</v>
      </c>
      <c r="AD50" s="15" t="s">
        <v>130</v>
      </c>
      <c r="AE50" s="15" t="s">
        <v>180</v>
      </c>
      <c r="AF50" s="12">
        <f>IF(AG50="Rejected",0,IF(R50="Corporate Card",0,V50))</f>
        <v>0</v>
      </c>
      <c r="AG50" s="15" t="s">
        <v>181</v>
      </c>
      <c r="AH50" s="16">
        <v>45677</v>
      </c>
      <c r="AI50" s="16"/>
      <c r="AJ50" s="16"/>
      <c r="AK50" s="17" t="str">
        <f>IF(AJ50="","",AJ50-AH50)</f>
        <v/>
      </c>
    </row>
    <row r="51" spans="1:37">
      <c r="A51" s="2" t="s">
        <v>240</v>
      </c>
      <c r="B51" s="2" t="s">
        <v>169</v>
      </c>
      <c r="C51" s="2" t="s">
        <v>170</v>
      </c>
      <c r="D51" s="2" t="s">
        <v>171</v>
      </c>
      <c r="E51" s="2" t="s">
        <v>172</v>
      </c>
      <c r="F51" s="2" t="s">
        <v>173</v>
      </c>
      <c r="G51" s="2" t="s">
        <v>174</v>
      </c>
      <c r="H51" s="2" t="s">
        <v>122</v>
      </c>
      <c r="I51" s="2" t="s">
        <v>175</v>
      </c>
      <c r="J51" s="2" t="s">
        <v>176</v>
      </c>
      <c r="K51" s="9">
        <v>45661</v>
      </c>
      <c r="L51" s="9">
        <v>45668</v>
      </c>
      <c r="M51" s="9">
        <v>45665</v>
      </c>
      <c r="N51" s="2" t="s">
        <v>125</v>
      </c>
      <c r="O51" s="2" t="s">
        <v>56</v>
      </c>
      <c r="P51" s="2" t="s">
        <v>165</v>
      </c>
      <c r="Q51" s="2" t="s">
        <v>166</v>
      </c>
      <c r="R51" s="2" t="s">
        <v>128</v>
      </c>
      <c r="S51" s="2" t="s">
        <v>179</v>
      </c>
      <c r="T51" s="10">
        <v>171.11</v>
      </c>
      <c r="U51" s="11">
        <v>0.18099999999999999</v>
      </c>
      <c r="V51" s="12">
        <f>T51*U51</f>
        <v>30.97091</v>
      </c>
      <c r="W51" s="13">
        <v>0.17</v>
      </c>
      <c r="X51" s="12">
        <f>V51-(V51/(1+W51))</f>
        <v>4.5000467521367504</v>
      </c>
      <c r="Y51" s="12">
        <f>V51-X51</f>
        <v>26.47086324786325</v>
      </c>
      <c r="Z51" s="14">
        <v>75</v>
      </c>
      <c r="AA51" s="2" t="str">
        <f>IF(V51&gt;Z51,"Yes","No")</f>
        <v>No</v>
      </c>
      <c r="AB51" s="12">
        <f>V51-Z51</f>
        <v>-44.029089999999997</v>
      </c>
      <c r="AC51" s="15" t="s">
        <v>130</v>
      </c>
      <c r="AD51" s="15" t="s">
        <v>130</v>
      </c>
      <c r="AE51" s="15" t="s">
        <v>180</v>
      </c>
      <c r="AF51" s="12">
        <f>IF(AG51="Rejected",0,IF(R51="Corporate Card",0,V51))</f>
        <v>0</v>
      </c>
      <c r="AG51" s="15" t="s">
        <v>181</v>
      </c>
      <c r="AH51" s="16">
        <v>45677</v>
      </c>
      <c r="AI51" s="16"/>
      <c r="AJ51" s="16"/>
      <c r="AK51" s="17" t="str">
        <f>IF(AJ51="","",AJ51-AH51)</f>
        <v/>
      </c>
    </row>
    <row r="52" spans="1:37">
      <c r="A52" s="2" t="s">
        <v>241</v>
      </c>
      <c r="B52" s="2" t="s">
        <v>169</v>
      </c>
      <c r="C52" s="2" t="s">
        <v>170</v>
      </c>
      <c r="D52" s="2" t="s">
        <v>171</v>
      </c>
      <c r="E52" s="2" t="s">
        <v>172</v>
      </c>
      <c r="F52" s="2" t="s">
        <v>173</v>
      </c>
      <c r="G52" s="2" t="s">
        <v>174</v>
      </c>
      <c r="H52" s="2" t="s">
        <v>122</v>
      </c>
      <c r="I52" s="2" t="s">
        <v>175</v>
      </c>
      <c r="J52" s="2" t="s">
        <v>176</v>
      </c>
      <c r="K52" s="9">
        <v>45661</v>
      </c>
      <c r="L52" s="9">
        <v>45668</v>
      </c>
      <c r="M52" s="9">
        <v>45666</v>
      </c>
      <c r="N52" s="2" t="s">
        <v>125</v>
      </c>
      <c r="O52" s="2" t="s">
        <v>54</v>
      </c>
      <c r="P52" s="2" t="s">
        <v>139</v>
      </c>
      <c r="Q52" s="2" t="s">
        <v>163</v>
      </c>
      <c r="R52" s="2" t="s">
        <v>128</v>
      </c>
      <c r="S52" s="2" t="s">
        <v>179</v>
      </c>
      <c r="T52" s="10">
        <v>73.86</v>
      </c>
      <c r="U52" s="11">
        <v>0.18099999999999999</v>
      </c>
      <c r="V52" s="12">
        <f>T52*U52</f>
        <v>13.36866</v>
      </c>
      <c r="W52" s="13">
        <v>0.17</v>
      </c>
      <c r="X52" s="12">
        <f>V52-(V52/(1+W52))</f>
        <v>1.9424548717948706</v>
      </c>
      <c r="Y52" s="12">
        <f>V52-X52</f>
        <v>11.42620512820513</v>
      </c>
      <c r="Z52" s="14">
        <v>25</v>
      </c>
      <c r="AA52" s="2" t="str">
        <f>IF(V52&gt;Z52,"Yes","No")</f>
        <v>No</v>
      </c>
      <c r="AB52" s="12">
        <f>V52-Z52</f>
        <v>-11.63134</v>
      </c>
      <c r="AC52" s="15" t="s">
        <v>130</v>
      </c>
      <c r="AD52" s="15" t="s">
        <v>130</v>
      </c>
      <c r="AE52" s="15" t="s">
        <v>180</v>
      </c>
      <c r="AF52" s="12">
        <f>IF(AG52="Rejected",0,IF(R52="Corporate Card",0,V52))</f>
        <v>0</v>
      </c>
      <c r="AG52" s="15" t="s">
        <v>181</v>
      </c>
      <c r="AH52" s="16">
        <v>45677</v>
      </c>
      <c r="AI52" s="16"/>
      <c r="AJ52" s="16"/>
      <c r="AK52" s="17" t="str">
        <f>IF(AJ52="","",AJ52-AH52)</f>
        <v/>
      </c>
    </row>
    <row r="53" spans="1:37">
      <c r="A53" s="2" t="s">
        <v>242</v>
      </c>
      <c r="B53" s="2" t="s">
        <v>169</v>
      </c>
      <c r="C53" s="2" t="s">
        <v>170</v>
      </c>
      <c r="D53" s="2" t="s">
        <v>171</v>
      </c>
      <c r="E53" s="2" t="s">
        <v>172</v>
      </c>
      <c r="F53" s="2" t="s">
        <v>173</v>
      </c>
      <c r="G53" s="2" t="s">
        <v>174</v>
      </c>
      <c r="H53" s="2" t="s">
        <v>122</v>
      </c>
      <c r="I53" s="2" t="s">
        <v>175</v>
      </c>
      <c r="J53" s="2" t="s">
        <v>176</v>
      </c>
      <c r="K53" s="9">
        <v>45661</v>
      </c>
      <c r="L53" s="9">
        <v>45668</v>
      </c>
      <c r="M53" s="9">
        <v>45666</v>
      </c>
      <c r="N53" s="2" t="s">
        <v>125</v>
      </c>
      <c r="O53" s="2" t="s">
        <v>56</v>
      </c>
      <c r="P53" s="2" t="s">
        <v>231</v>
      </c>
      <c r="Q53" s="2" t="s">
        <v>159</v>
      </c>
      <c r="R53" s="2" t="s">
        <v>149</v>
      </c>
      <c r="S53" s="2" t="s">
        <v>179</v>
      </c>
      <c r="T53" s="10">
        <v>403.1</v>
      </c>
      <c r="U53" s="11">
        <v>0.18099999999999999</v>
      </c>
      <c r="V53" s="12">
        <f>T53*U53</f>
        <v>72.961100000000002</v>
      </c>
      <c r="W53" s="13">
        <v>0.17</v>
      </c>
      <c r="X53" s="12">
        <f>V53-(V53/(1+W53))</f>
        <v>10.601185470085468</v>
      </c>
      <c r="Y53" s="12">
        <f>V53-X53</f>
        <v>62.359914529914533</v>
      </c>
      <c r="Z53" s="14">
        <v>75</v>
      </c>
      <c r="AA53" s="2" t="str">
        <f>IF(V53&gt;Z53,"Yes","No")</f>
        <v>No</v>
      </c>
      <c r="AB53" s="12">
        <f>V53-Z53</f>
        <v>-2.0388999999999982</v>
      </c>
      <c r="AC53" s="15" t="s">
        <v>130</v>
      </c>
      <c r="AD53" s="15" t="s">
        <v>130</v>
      </c>
      <c r="AE53" s="15" t="s">
        <v>180</v>
      </c>
      <c r="AF53" s="12">
        <f>IF(AG53="Rejected",0,IF(R53="Corporate Card",0,V53))</f>
        <v>72.961100000000002</v>
      </c>
      <c r="AG53" s="15" t="s">
        <v>181</v>
      </c>
      <c r="AH53" s="16">
        <v>45677</v>
      </c>
      <c r="AI53" s="16"/>
      <c r="AJ53" s="16"/>
      <c r="AK53" s="17" t="str">
        <f>IF(AJ53="","",AJ53-AH53)</f>
        <v/>
      </c>
    </row>
    <row r="54" spans="1:37">
      <c r="A54" s="2" t="s">
        <v>243</v>
      </c>
      <c r="B54" s="2" t="s">
        <v>169</v>
      </c>
      <c r="C54" s="2" t="s">
        <v>170</v>
      </c>
      <c r="D54" s="2" t="s">
        <v>171</v>
      </c>
      <c r="E54" s="2" t="s">
        <v>172</v>
      </c>
      <c r="F54" s="2" t="s">
        <v>173</v>
      </c>
      <c r="G54" s="2" t="s">
        <v>174</v>
      </c>
      <c r="H54" s="2" t="s">
        <v>122</v>
      </c>
      <c r="I54" s="2" t="s">
        <v>175</v>
      </c>
      <c r="J54" s="2" t="s">
        <v>176</v>
      </c>
      <c r="K54" s="9">
        <v>45661</v>
      </c>
      <c r="L54" s="9">
        <v>45668</v>
      </c>
      <c r="M54" s="9">
        <v>45667</v>
      </c>
      <c r="N54" s="2" t="s">
        <v>125</v>
      </c>
      <c r="O54" s="2" t="s">
        <v>54</v>
      </c>
      <c r="P54" s="2" t="s">
        <v>139</v>
      </c>
      <c r="Q54" s="2" t="s">
        <v>163</v>
      </c>
      <c r="R54" s="2" t="s">
        <v>128</v>
      </c>
      <c r="S54" s="2" t="s">
        <v>179</v>
      </c>
      <c r="T54" s="10">
        <v>84.1</v>
      </c>
      <c r="U54" s="11">
        <v>0.18099999999999999</v>
      </c>
      <c r="V54" s="12">
        <f>T54*U54</f>
        <v>15.222099999999999</v>
      </c>
      <c r="W54" s="13">
        <v>0.17</v>
      </c>
      <c r="X54" s="12">
        <f>V54-(V54/(1+W54))</f>
        <v>2.2117581196581195</v>
      </c>
      <c r="Y54" s="12">
        <f>V54-X54</f>
        <v>13.01034188034188</v>
      </c>
      <c r="Z54" s="14">
        <v>25</v>
      </c>
      <c r="AA54" s="2" t="str">
        <f>IF(V54&gt;Z54,"Yes","No")</f>
        <v>No</v>
      </c>
      <c r="AB54" s="12">
        <f>V54-Z54</f>
        <v>-9.7779000000000007</v>
      </c>
      <c r="AC54" s="15" t="s">
        <v>130</v>
      </c>
      <c r="AD54" s="15" t="s">
        <v>130</v>
      </c>
      <c r="AE54" s="15" t="s">
        <v>180</v>
      </c>
      <c r="AF54" s="12">
        <f>IF(AG54="Rejected",0,IF(R54="Corporate Card",0,V54))</f>
        <v>0</v>
      </c>
      <c r="AG54" s="15" t="s">
        <v>181</v>
      </c>
      <c r="AH54" s="16">
        <v>45677</v>
      </c>
      <c r="AI54" s="16"/>
      <c r="AJ54" s="16"/>
      <c r="AK54" s="17" t="str">
        <f>IF(AJ54="","",AJ54-AH54)</f>
        <v/>
      </c>
    </row>
    <row r="55" spans="1:37">
      <c r="A55" s="2" t="s">
        <v>244</v>
      </c>
      <c r="B55" s="2" t="s">
        <v>169</v>
      </c>
      <c r="C55" s="2" t="s">
        <v>170</v>
      </c>
      <c r="D55" s="2" t="s">
        <v>171</v>
      </c>
      <c r="E55" s="2" t="s">
        <v>172</v>
      </c>
      <c r="F55" s="2" t="s">
        <v>173</v>
      </c>
      <c r="G55" s="2" t="s">
        <v>174</v>
      </c>
      <c r="H55" s="2" t="s">
        <v>122</v>
      </c>
      <c r="I55" s="2" t="s">
        <v>175</v>
      </c>
      <c r="J55" s="2" t="s">
        <v>176</v>
      </c>
      <c r="K55" s="9">
        <v>45661</v>
      </c>
      <c r="L55" s="9">
        <v>45668</v>
      </c>
      <c r="M55" s="9">
        <v>45667</v>
      </c>
      <c r="N55" s="2" t="s">
        <v>125</v>
      </c>
      <c r="O55" s="2" t="s">
        <v>56</v>
      </c>
      <c r="P55" s="2" t="s">
        <v>245</v>
      </c>
      <c r="Q55" s="2" t="s">
        <v>152</v>
      </c>
      <c r="R55" s="2" t="s">
        <v>128</v>
      </c>
      <c r="S55" s="2" t="s">
        <v>179</v>
      </c>
      <c r="T55" s="10">
        <v>217.22</v>
      </c>
      <c r="U55" s="11">
        <v>0.18099999999999999</v>
      </c>
      <c r="V55" s="12">
        <f>T55*U55</f>
        <v>39.31682</v>
      </c>
      <c r="W55" s="13">
        <v>0.17</v>
      </c>
      <c r="X55" s="12">
        <f>V55-(V55/(1+W55))</f>
        <v>5.7127003418803426</v>
      </c>
      <c r="Y55" s="12">
        <f>V55-X55</f>
        <v>33.604119658119657</v>
      </c>
      <c r="Z55" s="14">
        <v>75</v>
      </c>
      <c r="AA55" s="2" t="str">
        <f>IF(V55&gt;Z55,"Yes","No")</f>
        <v>No</v>
      </c>
      <c r="AB55" s="12">
        <f>V55-Z55</f>
        <v>-35.68318</v>
      </c>
      <c r="AC55" s="15" t="s">
        <v>130</v>
      </c>
      <c r="AD55" s="15" t="s">
        <v>130</v>
      </c>
      <c r="AE55" s="15" t="s">
        <v>180</v>
      </c>
      <c r="AF55" s="12">
        <f>IF(AG55="Rejected",0,IF(R55="Corporate Card",0,V55))</f>
        <v>0</v>
      </c>
      <c r="AG55" s="15" t="s">
        <v>181</v>
      </c>
      <c r="AH55" s="16">
        <v>45677</v>
      </c>
      <c r="AI55" s="16"/>
      <c r="AJ55" s="16"/>
      <c r="AK55" s="17" t="str">
        <f>IF(AJ55="","",AJ55-AH55)</f>
        <v/>
      </c>
    </row>
    <row r="56" spans="1:37">
      <c r="A56" s="2" t="s">
        <v>246</v>
      </c>
      <c r="B56" s="2" t="s">
        <v>169</v>
      </c>
      <c r="C56" s="2" t="s">
        <v>170</v>
      </c>
      <c r="D56" s="2" t="s">
        <v>171</v>
      </c>
      <c r="E56" s="2" t="s">
        <v>172</v>
      </c>
      <c r="F56" s="2" t="s">
        <v>173</v>
      </c>
      <c r="G56" s="2" t="s">
        <v>174</v>
      </c>
      <c r="H56" s="2" t="s">
        <v>122</v>
      </c>
      <c r="I56" s="2" t="s">
        <v>175</v>
      </c>
      <c r="J56" s="2" t="s">
        <v>176</v>
      </c>
      <c r="K56" s="9">
        <v>45661</v>
      </c>
      <c r="L56" s="9">
        <v>45668</v>
      </c>
      <c r="M56" s="9">
        <v>45667</v>
      </c>
      <c r="N56" s="2" t="s">
        <v>125</v>
      </c>
      <c r="O56" s="2" t="s">
        <v>55</v>
      </c>
      <c r="P56" s="2" t="s">
        <v>139</v>
      </c>
      <c r="Q56" s="2" t="s">
        <v>161</v>
      </c>
      <c r="R56" s="2" t="s">
        <v>149</v>
      </c>
      <c r="S56" s="2" t="s">
        <v>179</v>
      </c>
      <c r="T56" s="10">
        <v>96.72</v>
      </c>
      <c r="U56" s="11">
        <v>0.18099999999999999</v>
      </c>
      <c r="V56" s="12">
        <f>T56*U56</f>
        <v>17.506319999999999</v>
      </c>
      <c r="W56" s="13">
        <v>0.17</v>
      </c>
      <c r="X56" s="12">
        <f>V56-(V56/(1+W56))</f>
        <v>2.5436533333333315</v>
      </c>
      <c r="Y56" s="12">
        <f>V56-X56</f>
        <v>14.962666666666667</v>
      </c>
      <c r="Z56" s="14">
        <v>35</v>
      </c>
      <c r="AA56" s="2" t="str">
        <f>IF(V56&gt;Z56,"Yes","No")</f>
        <v>No</v>
      </c>
      <c r="AB56" s="12">
        <f>V56-Z56</f>
        <v>-17.493680000000001</v>
      </c>
      <c r="AC56" s="15" t="s">
        <v>130</v>
      </c>
      <c r="AD56" s="15" t="s">
        <v>130</v>
      </c>
      <c r="AE56" s="15" t="s">
        <v>180</v>
      </c>
      <c r="AF56" s="12">
        <f>IF(AG56="Rejected",0,IF(R56="Corporate Card",0,V56))</f>
        <v>17.506319999999999</v>
      </c>
      <c r="AG56" s="15" t="s">
        <v>181</v>
      </c>
      <c r="AH56" s="16">
        <v>45677</v>
      </c>
      <c r="AI56" s="16"/>
      <c r="AJ56" s="16"/>
      <c r="AK56" s="17" t="str">
        <f>IF(AJ56="","",AJ56-AH56)</f>
        <v/>
      </c>
    </row>
    <row r="57" spans="1:37">
      <c r="A57" s="2" t="s">
        <v>247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s">
        <v>252</v>
      </c>
      <c r="G57" s="2" t="s">
        <v>253</v>
      </c>
      <c r="H57" s="2" t="s">
        <v>254</v>
      </c>
      <c r="I57" s="2" t="s">
        <v>255</v>
      </c>
      <c r="J57" s="2" t="s">
        <v>256</v>
      </c>
      <c r="K57" s="9">
        <v>45667</v>
      </c>
      <c r="L57" s="9">
        <v>45672</v>
      </c>
      <c r="M57" s="9">
        <v>45667</v>
      </c>
      <c r="N57" s="2" t="s">
        <v>125</v>
      </c>
      <c r="O57" s="2" t="s">
        <v>52</v>
      </c>
      <c r="P57" s="2" t="s">
        <v>257</v>
      </c>
      <c r="Q57" s="2" t="s">
        <v>258</v>
      </c>
      <c r="R57" s="2" t="s">
        <v>137</v>
      </c>
      <c r="S57" s="2" t="s">
        <v>259</v>
      </c>
      <c r="T57" s="10">
        <v>182829</v>
      </c>
      <c r="U57" s="11">
        <v>6.5500000000000003E-3</v>
      </c>
      <c r="V57" s="12">
        <f>T57*U57</f>
        <v>1197.5299500000001</v>
      </c>
      <c r="W57" s="13">
        <v>0</v>
      </c>
      <c r="X57" s="12">
        <f>V57-(V57/(1+W57))</f>
        <v>0</v>
      </c>
      <c r="Y57" s="12">
        <f>V57-X57</f>
        <v>1197.5299500000001</v>
      </c>
      <c r="Z57" s="14">
        <v>1400</v>
      </c>
      <c r="AA57" s="2" t="str">
        <f>IF(V57&gt;Z57,"Yes","No")</f>
        <v>No</v>
      </c>
      <c r="AB57" s="12">
        <f>V57-Z57</f>
        <v>-202.4700499999999</v>
      </c>
      <c r="AC57" s="15" t="s">
        <v>130</v>
      </c>
      <c r="AD57" s="15" t="s">
        <v>130</v>
      </c>
      <c r="AE57" s="15" t="s">
        <v>260</v>
      </c>
      <c r="AF57" s="12">
        <f>IF(AG57="Rejected",0,IF(R57="Corporate Card",0,V57))</f>
        <v>1197.5299500000001</v>
      </c>
      <c r="AG57" s="15" t="s">
        <v>133</v>
      </c>
      <c r="AH57" s="16">
        <v>45680</v>
      </c>
      <c r="AI57" s="16">
        <v>45687</v>
      </c>
      <c r="AJ57" s="16">
        <v>45691</v>
      </c>
      <c r="AK57" s="17">
        <f>IF(AJ57="","",AJ57-AH57)</f>
        <v>11</v>
      </c>
    </row>
    <row r="58" spans="1:37">
      <c r="A58" s="2" t="s">
        <v>261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s">
        <v>252</v>
      </c>
      <c r="G58" s="2" t="s">
        <v>253</v>
      </c>
      <c r="H58" s="2" t="s">
        <v>254</v>
      </c>
      <c r="I58" s="2" t="s">
        <v>255</v>
      </c>
      <c r="J58" s="2" t="s">
        <v>256</v>
      </c>
      <c r="K58" s="9">
        <v>45667</v>
      </c>
      <c r="L58" s="9">
        <v>45672</v>
      </c>
      <c r="M58" s="9">
        <v>45667</v>
      </c>
      <c r="N58" s="2" t="s">
        <v>125</v>
      </c>
      <c r="O58" s="2" t="s">
        <v>63</v>
      </c>
      <c r="P58" s="2" t="s">
        <v>200</v>
      </c>
      <c r="Q58" s="2" t="s">
        <v>201</v>
      </c>
      <c r="R58" s="2" t="s">
        <v>128</v>
      </c>
      <c r="S58" s="2" t="s">
        <v>259</v>
      </c>
      <c r="T58" s="10">
        <v>182172</v>
      </c>
      <c r="U58" s="11">
        <v>6.5500000000000003E-3</v>
      </c>
      <c r="V58" s="12">
        <f>T58*U58</f>
        <v>1193.2266</v>
      </c>
      <c r="W58" s="13">
        <v>0</v>
      </c>
      <c r="X58" s="12">
        <f>V58-(V58/(1+W58))</f>
        <v>0</v>
      </c>
      <c r="Y58" s="12">
        <f>V58-X58</f>
        <v>1193.2266</v>
      </c>
      <c r="Z58" s="14">
        <v>1200</v>
      </c>
      <c r="AA58" s="2" t="str">
        <f>IF(V58&gt;Z58,"Yes","No")</f>
        <v>No</v>
      </c>
      <c r="AB58" s="12">
        <f>V58-Z58</f>
        <v>-6.7734000000000378</v>
      </c>
      <c r="AC58" s="15" t="s">
        <v>130</v>
      </c>
      <c r="AD58" s="15" t="s">
        <v>130</v>
      </c>
      <c r="AE58" s="15" t="s">
        <v>260</v>
      </c>
      <c r="AF58" s="12">
        <f>IF(AG58="Rejected",0,IF(R58="Corporate Card",0,V58))</f>
        <v>0</v>
      </c>
      <c r="AG58" s="15" t="s">
        <v>133</v>
      </c>
      <c r="AH58" s="16">
        <v>45680</v>
      </c>
      <c r="AI58" s="16">
        <v>45687</v>
      </c>
      <c r="AJ58" s="16">
        <v>45691</v>
      </c>
      <c r="AK58" s="17">
        <f>IF(AJ58="","",AJ58-AH58)</f>
        <v>11</v>
      </c>
    </row>
    <row r="59" spans="1:37">
      <c r="A59" s="2" t="s">
        <v>262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s">
        <v>252</v>
      </c>
      <c r="G59" s="2" t="s">
        <v>253</v>
      </c>
      <c r="H59" s="2" t="s">
        <v>254</v>
      </c>
      <c r="I59" s="2" t="s">
        <v>255</v>
      </c>
      <c r="J59" s="2" t="s">
        <v>256</v>
      </c>
      <c r="K59" s="9">
        <v>45667</v>
      </c>
      <c r="L59" s="9">
        <v>45672</v>
      </c>
      <c r="M59" s="9">
        <v>45667</v>
      </c>
      <c r="N59" s="2" t="s">
        <v>125</v>
      </c>
      <c r="O59" s="2" t="s">
        <v>58</v>
      </c>
      <c r="P59" s="2" t="s">
        <v>142</v>
      </c>
      <c r="Q59" s="2" t="s">
        <v>203</v>
      </c>
      <c r="R59" s="2" t="s">
        <v>128</v>
      </c>
      <c r="S59" s="2" t="s">
        <v>259</v>
      </c>
      <c r="T59" s="10">
        <v>4118</v>
      </c>
      <c r="U59" s="11">
        <v>6.5500000000000003E-3</v>
      </c>
      <c r="V59" s="12">
        <f>T59*U59</f>
        <v>26.972900000000003</v>
      </c>
      <c r="W59" s="13">
        <v>0.1</v>
      </c>
      <c r="X59" s="12">
        <f>V59-(V59/(1+W59))</f>
        <v>2.4520818181818207</v>
      </c>
      <c r="Y59" s="12">
        <f>V59-X59</f>
        <v>24.520818181818182</v>
      </c>
      <c r="Z59" s="14">
        <v>60</v>
      </c>
      <c r="AA59" s="2" t="str">
        <f>IF(V59&gt;Z59,"Yes","No")</f>
        <v>No</v>
      </c>
      <c r="AB59" s="12">
        <f>V59-Z59</f>
        <v>-33.027099999999997</v>
      </c>
      <c r="AC59" s="15" t="s">
        <v>130</v>
      </c>
      <c r="AD59" s="15" t="s">
        <v>130</v>
      </c>
      <c r="AE59" s="15" t="s">
        <v>260</v>
      </c>
      <c r="AF59" s="12">
        <f>IF(AG59="Rejected",0,IF(R59="Corporate Card",0,V59))</f>
        <v>0</v>
      </c>
      <c r="AG59" s="15" t="s">
        <v>133</v>
      </c>
      <c r="AH59" s="16">
        <v>45680</v>
      </c>
      <c r="AI59" s="16">
        <v>45687</v>
      </c>
      <c r="AJ59" s="16">
        <v>45691</v>
      </c>
      <c r="AK59" s="17">
        <f>IF(AJ59="","",AJ59-AH59)</f>
        <v>11</v>
      </c>
    </row>
    <row r="60" spans="1:37">
      <c r="A60" s="2" t="s">
        <v>263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s">
        <v>252</v>
      </c>
      <c r="G60" s="2" t="s">
        <v>253</v>
      </c>
      <c r="H60" s="2" t="s">
        <v>254</v>
      </c>
      <c r="I60" s="2" t="s">
        <v>255</v>
      </c>
      <c r="J60" s="2" t="s">
        <v>256</v>
      </c>
      <c r="K60" s="9">
        <v>45667</v>
      </c>
      <c r="L60" s="9">
        <v>45672</v>
      </c>
      <c r="M60" s="9">
        <v>45667</v>
      </c>
      <c r="N60" s="2" t="s">
        <v>125</v>
      </c>
      <c r="O60" s="2" t="s">
        <v>54</v>
      </c>
      <c r="P60" s="2" t="s">
        <v>139</v>
      </c>
      <c r="Q60" s="2" t="s">
        <v>163</v>
      </c>
      <c r="R60" s="2" t="s">
        <v>149</v>
      </c>
      <c r="S60" s="2" t="s">
        <v>259</v>
      </c>
      <c r="T60" s="10">
        <v>1501</v>
      </c>
      <c r="U60" s="11">
        <v>6.5500000000000003E-3</v>
      </c>
      <c r="V60" s="12">
        <f>T60*U60</f>
        <v>9.83155</v>
      </c>
      <c r="W60" s="13">
        <v>0.1</v>
      </c>
      <c r="X60" s="12">
        <f>V60-(V60/(1+W60))</f>
        <v>0.8937772727272737</v>
      </c>
      <c r="Y60" s="12">
        <f>V60-X60</f>
        <v>8.9377727272727263</v>
      </c>
      <c r="Z60" s="14">
        <v>25</v>
      </c>
      <c r="AA60" s="2" t="str">
        <f>IF(V60&gt;Z60,"Yes","No")</f>
        <v>No</v>
      </c>
      <c r="AB60" s="12">
        <f>V60-Z60</f>
        <v>-15.16845</v>
      </c>
      <c r="AC60" s="15" t="s">
        <v>130</v>
      </c>
      <c r="AD60" s="15" t="s">
        <v>130</v>
      </c>
      <c r="AE60" s="15" t="s">
        <v>260</v>
      </c>
      <c r="AF60" s="12">
        <f>IF(AG60="Rejected",0,IF(R60="Corporate Card",0,V60))</f>
        <v>9.83155</v>
      </c>
      <c r="AG60" s="15" t="s">
        <v>133</v>
      </c>
      <c r="AH60" s="16">
        <v>45680</v>
      </c>
      <c r="AI60" s="16">
        <v>45687</v>
      </c>
      <c r="AJ60" s="16">
        <v>45691</v>
      </c>
      <c r="AK60" s="17">
        <f>IF(AJ60="","",AJ60-AH60)</f>
        <v>11</v>
      </c>
    </row>
    <row r="61" spans="1:37">
      <c r="A61" s="2" t="s">
        <v>264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s">
        <v>252</v>
      </c>
      <c r="G61" s="2" t="s">
        <v>253</v>
      </c>
      <c r="H61" s="2" t="s">
        <v>254</v>
      </c>
      <c r="I61" s="2" t="s">
        <v>255</v>
      </c>
      <c r="J61" s="2" t="s">
        <v>256</v>
      </c>
      <c r="K61" s="9">
        <v>45667</v>
      </c>
      <c r="L61" s="9">
        <v>45672</v>
      </c>
      <c r="M61" s="9">
        <v>45667</v>
      </c>
      <c r="N61" s="2" t="s">
        <v>125</v>
      </c>
      <c r="O61" s="2" t="s">
        <v>56</v>
      </c>
      <c r="P61" s="2" t="s">
        <v>151</v>
      </c>
      <c r="Q61" s="2" t="s">
        <v>185</v>
      </c>
      <c r="R61" s="2" t="s">
        <v>149</v>
      </c>
      <c r="S61" s="2" t="s">
        <v>259</v>
      </c>
      <c r="T61" s="10">
        <v>6614</v>
      </c>
      <c r="U61" s="11">
        <v>6.5500000000000003E-3</v>
      </c>
      <c r="V61" s="12">
        <f>T61*U61</f>
        <v>43.3217</v>
      </c>
      <c r="W61" s="13">
        <v>0.1</v>
      </c>
      <c r="X61" s="12">
        <f>V61-(V61/(1+W61))</f>
        <v>3.9383363636363669</v>
      </c>
      <c r="Y61" s="12">
        <f>V61-X61</f>
        <v>39.383363636363633</v>
      </c>
      <c r="Z61" s="14">
        <v>75</v>
      </c>
      <c r="AA61" s="2" t="str">
        <f>IF(V61&gt;Z61,"Yes","No")</f>
        <v>No</v>
      </c>
      <c r="AB61" s="12">
        <f>V61-Z61</f>
        <v>-31.6783</v>
      </c>
      <c r="AC61" s="15" t="s">
        <v>131</v>
      </c>
      <c r="AD61" s="15" t="s">
        <v>130</v>
      </c>
      <c r="AE61" s="15" t="s">
        <v>260</v>
      </c>
      <c r="AF61" s="12">
        <f>IF(AG61="Rejected",0,IF(R61="Corporate Card",0,V61))</f>
        <v>43.3217</v>
      </c>
      <c r="AG61" s="15" t="s">
        <v>133</v>
      </c>
      <c r="AH61" s="16">
        <v>45680</v>
      </c>
      <c r="AI61" s="16">
        <v>45687</v>
      </c>
      <c r="AJ61" s="16">
        <v>45691</v>
      </c>
      <c r="AK61" s="17">
        <f>IF(AJ61="","",AJ61-AH61)</f>
        <v>11</v>
      </c>
    </row>
    <row r="62" spans="1:37">
      <c r="A62" s="2" t="s">
        <v>265</v>
      </c>
      <c r="B62" s="2" t="s">
        <v>248</v>
      </c>
      <c r="C62" s="2" t="s">
        <v>249</v>
      </c>
      <c r="D62" s="2" t="s">
        <v>250</v>
      </c>
      <c r="E62" s="2" t="s">
        <v>251</v>
      </c>
      <c r="F62" s="2" t="s">
        <v>252</v>
      </c>
      <c r="G62" s="2" t="s">
        <v>253</v>
      </c>
      <c r="H62" s="2" t="s">
        <v>254</v>
      </c>
      <c r="I62" s="2" t="s">
        <v>255</v>
      </c>
      <c r="J62" s="2" t="s">
        <v>256</v>
      </c>
      <c r="K62" s="9">
        <v>45667</v>
      </c>
      <c r="L62" s="9">
        <v>45672</v>
      </c>
      <c r="M62" s="9">
        <v>45667</v>
      </c>
      <c r="N62" s="2" t="s">
        <v>125</v>
      </c>
      <c r="O62" s="2" t="s">
        <v>55</v>
      </c>
      <c r="P62" s="2" t="s">
        <v>139</v>
      </c>
      <c r="Q62" s="2" t="s">
        <v>187</v>
      </c>
      <c r="R62" s="2" t="s">
        <v>128</v>
      </c>
      <c r="S62" s="2" t="s">
        <v>259</v>
      </c>
      <c r="T62" s="10">
        <v>3218</v>
      </c>
      <c r="U62" s="11">
        <v>6.5500000000000003E-3</v>
      </c>
      <c r="V62" s="12">
        <f>T62*U62</f>
        <v>21.0779</v>
      </c>
      <c r="W62" s="13">
        <v>0.1</v>
      </c>
      <c r="X62" s="12">
        <f>V62-(V62/(1+W62))</f>
        <v>1.9161727272727305</v>
      </c>
      <c r="Y62" s="12">
        <f>V62-X62</f>
        <v>19.161727272727269</v>
      </c>
      <c r="Z62" s="14">
        <v>35</v>
      </c>
      <c r="AA62" s="2" t="str">
        <f>IF(V62&gt;Z62,"Yes","No")</f>
        <v>No</v>
      </c>
      <c r="AB62" s="12">
        <f>V62-Z62</f>
        <v>-13.9221</v>
      </c>
      <c r="AC62" s="15" t="s">
        <v>130</v>
      </c>
      <c r="AD62" s="15" t="s">
        <v>130</v>
      </c>
      <c r="AE62" s="15" t="s">
        <v>260</v>
      </c>
      <c r="AF62" s="12">
        <f>IF(AG62="Rejected",0,IF(R62="Corporate Card",0,V62))</f>
        <v>0</v>
      </c>
      <c r="AG62" s="15" t="s">
        <v>133</v>
      </c>
      <c r="AH62" s="16">
        <v>45680</v>
      </c>
      <c r="AI62" s="16">
        <v>45687</v>
      </c>
      <c r="AJ62" s="16">
        <v>45691</v>
      </c>
      <c r="AK62" s="17">
        <f>IF(AJ62="","",AJ62-AH62)</f>
        <v>11</v>
      </c>
    </row>
    <row r="63" spans="1:37">
      <c r="A63" s="2" t="s">
        <v>266</v>
      </c>
      <c r="B63" s="2" t="s">
        <v>169</v>
      </c>
      <c r="C63" s="2" t="s">
        <v>170</v>
      </c>
      <c r="D63" s="2" t="s">
        <v>171</v>
      </c>
      <c r="E63" s="2" t="s">
        <v>172</v>
      </c>
      <c r="F63" s="2" t="s">
        <v>173</v>
      </c>
      <c r="G63" s="2" t="s">
        <v>174</v>
      </c>
      <c r="H63" s="2" t="s">
        <v>122</v>
      </c>
      <c r="I63" s="2" t="s">
        <v>175</v>
      </c>
      <c r="J63" s="2" t="s">
        <v>176</v>
      </c>
      <c r="K63" s="9">
        <v>45661</v>
      </c>
      <c r="L63" s="9">
        <v>45668</v>
      </c>
      <c r="M63" s="9">
        <v>45668</v>
      </c>
      <c r="N63" s="2" t="s">
        <v>125</v>
      </c>
      <c r="O63" s="2" t="s">
        <v>58</v>
      </c>
      <c r="P63" s="2" t="s">
        <v>142</v>
      </c>
      <c r="Q63" s="2" t="s">
        <v>224</v>
      </c>
      <c r="R63" s="2" t="s">
        <v>128</v>
      </c>
      <c r="S63" s="2" t="s">
        <v>179</v>
      </c>
      <c r="T63" s="10">
        <v>267.27</v>
      </c>
      <c r="U63" s="11">
        <v>0.18099999999999999</v>
      </c>
      <c r="V63" s="12">
        <f>T63*U63</f>
        <v>48.375869999999992</v>
      </c>
      <c r="W63" s="13">
        <v>0.17</v>
      </c>
      <c r="X63" s="12">
        <f>V63-(V63/(1+W63))</f>
        <v>7.0289725641025598</v>
      </c>
      <c r="Y63" s="12">
        <f>V63-X63</f>
        <v>41.346897435897432</v>
      </c>
      <c r="Z63" s="14">
        <v>60</v>
      </c>
      <c r="AA63" s="2" t="str">
        <f>IF(V63&gt;Z63,"Yes","No")</f>
        <v>No</v>
      </c>
      <c r="AB63" s="12">
        <f>V63-Z63</f>
        <v>-11.624130000000008</v>
      </c>
      <c r="AC63" s="15" t="s">
        <v>130</v>
      </c>
      <c r="AD63" s="15" t="s">
        <v>130</v>
      </c>
      <c r="AE63" s="15" t="s">
        <v>180</v>
      </c>
      <c r="AF63" s="12">
        <f>IF(AG63="Rejected",0,IF(R63="Corporate Card",0,V63))</f>
        <v>0</v>
      </c>
      <c r="AG63" s="15" t="s">
        <v>181</v>
      </c>
      <c r="AH63" s="16">
        <v>45677</v>
      </c>
      <c r="AI63" s="16"/>
      <c r="AJ63" s="16"/>
      <c r="AK63" s="17" t="str">
        <f>IF(AJ63="","",AJ63-AH63)</f>
        <v/>
      </c>
    </row>
    <row r="64" spans="1:37">
      <c r="A64" s="2" t="s">
        <v>267</v>
      </c>
      <c r="B64" s="2" t="s">
        <v>169</v>
      </c>
      <c r="C64" s="2" t="s">
        <v>170</v>
      </c>
      <c r="D64" s="2" t="s">
        <v>171</v>
      </c>
      <c r="E64" s="2" t="s">
        <v>172</v>
      </c>
      <c r="F64" s="2" t="s">
        <v>173</v>
      </c>
      <c r="G64" s="2" t="s">
        <v>174</v>
      </c>
      <c r="H64" s="2" t="s">
        <v>122</v>
      </c>
      <c r="I64" s="2" t="s">
        <v>175</v>
      </c>
      <c r="J64" s="2" t="s">
        <v>176</v>
      </c>
      <c r="K64" s="9">
        <v>45661</v>
      </c>
      <c r="L64" s="9">
        <v>45668</v>
      </c>
      <c r="M64" s="9">
        <v>45668</v>
      </c>
      <c r="N64" s="2" t="s">
        <v>125</v>
      </c>
      <c r="O64" s="2" t="s">
        <v>56</v>
      </c>
      <c r="P64" s="2" t="s">
        <v>151</v>
      </c>
      <c r="Q64" s="2" t="s">
        <v>159</v>
      </c>
      <c r="R64" s="2" t="s">
        <v>137</v>
      </c>
      <c r="S64" s="2" t="s">
        <v>179</v>
      </c>
      <c r="T64" s="10">
        <v>256.42</v>
      </c>
      <c r="U64" s="11">
        <v>0.18099999999999999</v>
      </c>
      <c r="V64" s="12">
        <f>T64*U64</f>
        <v>46.412019999999998</v>
      </c>
      <c r="W64" s="13">
        <v>0.17</v>
      </c>
      <c r="X64" s="12">
        <f>V64-(V64/(1+W64))</f>
        <v>6.7436268376068327</v>
      </c>
      <c r="Y64" s="12">
        <f>V64-X64</f>
        <v>39.668393162393166</v>
      </c>
      <c r="Z64" s="14">
        <v>75</v>
      </c>
      <c r="AA64" s="2" t="str">
        <f>IF(V64&gt;Z64,"Yes","No")</f>
        <v>No</v>
      </c>
      <c r="AB64" s="12">
        <f>V64-Z64</f>
        <v>-28.587980000000002</v>
      </c>
      <c r="AC64" s="15" t="s">
        <v>130</v>
      </c>
      <c r="AD64" s="15" t="s">
        <v>130</v>
      </c>
      <c r="AE64" s="15" t="s">
        <v>180</v>
      </c>
      <c r="AF64" s="12">
        <f>IF(AG64="Rejected",0,IF(R64="Corporate Card",0,V64))</f>
        <v>46.412019999999998</v>
      </c>
      <c r="AG64" s="15" t="s">
        <v>181</v>
      </c>
      <c r="AH64" s="16">
        <v>45677</v>
      </c>
      <c r="AI64" s="16"/>
      <c r="AJ64" s="16"/>
      <c r="AK64" s="17" t="str">
        <f>IF(AJ64="","",AJ64-AH64)</f>
        <v/>
      </c>
    </row>
    <row r="65" spans="1:37">
      <c r="A65" s="2" t="s">
        <v>268</v>
      </c>
      <c r="B65" s="2" t="s">
        <v>169</v>
      </c>
      <c r="C65" s="2" t="s">
        <v>170</v>
      </c>
      <c r="D65" s="2" t="s">
        <v>171</v>
      </c>
      <c r="E65" s="2" t="s">
        <v>172</v>
      </c>
      <c r="F65" s="2" t="s">
        <v>173</v>
      </c>
      <c r="G65" s="2" t="s">
        <v>174</v>
      </c>
      <c r="H65" s="2" t="s">
        <v>122</v>
      </c>
      <c r="I65" s="2" t="s">
        <v>175</v>
      </c>
      <c r="J65" s="2" t="s">
        <v>176</v>
      </c>
      <c r="K65" s="9">
        <v>45661</v>
      </c>
      <c r="L65" s="9">
        <v>45668</v>
      </c>
      <c r="M65" s="9">
        <v>45668</v>
      </c>
      <c r="N65" s="2" t="s">
        <v>125</v>
      </c>
      <c r="O65" s="2" t="s">
        <v>55</v>
      </c>
      <c r="P65" s="2" t="s">
        <v>139</v>
      </c>
      <c r="Q65" s="2" t="s">
        <v>154</v>
      </c>
      <c r="R65" s="2" t="s">
        <v>128</v>
      </c>
      <c r="S65" s="2" t="s">
        <v>179</v>
      </c>
      <c r="T65" s="10">
        <v>179.15</v>
      </c>
      <c r="U65" s="11">
        <v>0.18099999999999999</v>
      </c>
      <c r="V65" s="12">
        <f>T65*U65</f>
        <v>32.42615</v>
      </c>
      <c r="W65" s="13">
        <v>0.17</v>
      </c>
      <c r="X65" s="12">
        <f>V65-(V65/(1+W65))</f>
        <v>4.7114918803418782</v>
      </c>
      <c r="Y65" s="12">
        <f>V65-X65</f>
        <v>27.714658119658122</v>
      </c>
      <c r="Z65" s="14">
        <v>35</v>
      </c>
      <c r="AA65" s="2" t="str">
        <f>IF(V65&gt;Z65,"Yes","No")</f>
        <v>No</v>
      </c>
      <c r="AB65" s="12">
        <f>V65-Z65</f>
        <v>-2.5738500000000002</v>
      </c>
      <c r="AC65" s="15" t="s">
        <v>130</v>
      </c>
      <c r="AD65" s="15" t="s">
        <v>130</v>
      </c>
      <c r="AE65" s="15" t="s">
        <v>180</v>
      </c>
      <c r="AF65" s="12">
        <f>IF(AG65="Rejected",0,IF(R65="Corporate Card",0,V65))</f>
        <v>0</v>
      </c>
      <c r="AG65" s="15" t="s">
        <v>181</v>
      </c>
      <c r="AH65" s="16">
        <v>45677</v>
      </c>
      <c r="AI65" s="16"/>
      <c r="AJ65" s="16"/>
      <c r="AK65" s="17" t="str">
        <f>IF(AJ65="","",AJ65-AH65)</f>
        <v/>
      </c>
    </row>
    <row r="66" spans="1:37">
      <c r="A66" s="2" t="s">
        <v>269</v>
      </c>
      <c r="B66" s="2" t="s">
        <v>248</v>
      </c>
      <c r="C66" s="2" t="s">
        <v>249</v>
      </c>
      <c r="D66" s="2" t="s">
        <v>250</v>
      </c>
      <c r="E66" s="2" t="s">
        <v>251</v>
      </c>
      <c r="F66" s="2" t="s">
        <v>252</v>
      </c>
      <c r="G66" s="2" t="s">
        <v>253</v>
      </c>
      <c r="H66" s="2" t="s">
        <v>254</v>
      </c>
      <c r="I66" s="2" t="s">
        <v>255</v>
      </c>
      <c r="J66" s="2" t="s">
        <v>256</v>
      </c>
      <c r="K66" s="9">
        <v>45667</v>
      </c>
      <c r="L66" s="9">
        <v>45672</v>
      </c>
      <c r="M66" s="9">
        <v>45668</v>
      </c>
      <c r="N66" s="2" t="s">
        <v>125</v>
      </c>
      <c r="O66" s="2" t="s">
        <v>58</v>
      </c>
      <c r="P66" s="2" t="s">
        <v>142</v>
      </c>
      <c r="Q66" s="2" t="s">
        <v>203</v>
      </c>
      <c r="R66" s="2" t="s">
        <v>128</v>
      </c>
      <c r="S66" s="2" t="s">
        <v>259</v>
      </c>
      <c r="T66" s="10">
        <v>5910</v>
      </c>
      <c r="U66" s="11">
        <v>6.5500000000000003E-3</v>
      </c>
      <c r="V66" s="12">
        <f>T66*U66</f>
        <v>38.710500000000003</v>
      </c>
      <c r="W66" s="13">
        <v>0.1</v>
      </c>
      <c r="X66" s="12">
        <f>V66-(V66/(1+W66))</f>
        <v>3.5191363636363633</v>
      </c>
      <c r="Y66" s="12">
        <f>V66-X66</f>
        <v>35.19136363636364</v>
      </c>
      <c r="Z66" s="14">
        <v>60</v>
      </c>
      <c r="AA66" s="2" t="str">
        <f>IF(V66&gt;Z66,"Yes","No")</f>
        <v>No</v>
      </c>
      <c r="AB66" s="12">
        <f>V66-Z66</f>
        <v>-21.289499999999997</v>
      </c>
      <c r="AC66" s="15" t="s">
        <v>130</v>
      </c>
      <c r="AD66" s="15" t="s">
        <v>130</v>
      </c>
      <c r="AE66" s="15" t="s">
        <v>260</v>
      </c>
      <c r="AF66" s="12">
        <f>IF(AG66="Rejected",0,IF(R66="Corporate Card",0,V66))</f>
        <v>0</v>
      </c>
      <c r="AG66" s="15" t="s">
        <v>133</v>
      </c>
      <c r="AH66" s="16">
        <v>45680</v>
      </c>
      <c r="AI66" s="16">
        <v>45687</v>
      </c>
      <c r="AJ66" s="16">
        <v>45691</v>
      </c>
      <c r="AK66" s="17">
        <f>IF(AJ66="","",AJ66-AH66)</f>
        <v>11</v>
      </c>
    </row>
    <row r="67" spans="1:37">
      <c r="A67" s="2" t="s">
        <v>270</v>
      </c>
      <c r="B67" s="2" t="s">
        <v>248</v>
      </c>
      <c r="C67" s="2" t="s">
        <v>249</v>
      </c>
      <c r="D67" s="2" t="s">
        <v>250</v>
      </c>
      <c r="E67" s="2" t="s">
        <v>251</v>
      </c>
      <c r="F67" s="2" t="s">
        <v>252</v>
      </c>
      <c r="G67" s="2" t="s">
        <v>253</v>
      </c>
      <c r="H67" s="2" t="s">
        <v>254</v>
      </c>
      <c r="I67" s="2" t="s">
        <v>255</v>
      </c>
      <c r="J67" s="2" t="s">
        <v>256</v>
      </c>
      <c r="K67" s="9">
        <v>45667</v>
      </c>
      <c r="L67" s="9">
        <v>45672</v>
      </c>
      <c r="M67" s="9">
        <v>45668</v>
      </c>
      <c r="N67" s="2" t="s">
        <v>125</v>
      </c>
      <c r="O67" s="2" t="s">
        <v>53</v>
      </c>
      <c r="P67" s="2" t="s">
        <v>271</v>
      </c>
      <c r="Q67" s="2" t="s">
        <v>272</v>
      </c>
      <c r="R67" s="2" t="s">
        <v>128</v>
      </c>
      <c r="S67" s="2" t="s">
        <v>259</v>
      </c>
      <c r="T67" s="10">
        <v>149348</v>
      </c>
      <c r="U67" s="11">
        <v>6.5500000000000003E-3</v>
      </c>
      <c r="V67" s="12">
        <f>T67*U67</f>
        <v>978.22940000000006</v>
      </c>
      <c r="W67" s="13">
        <v>0.1</v>
      </c>
      <c r="X67" s="12">
        <f>V67-(V67/(1+W67))</f>
        <v>88.929945454545532</v>
      </c>
      <c r="Y67" s="12">
        <f>V67-X67</f>
        <v>889.29945454545452</v>
      </c>
      <c r="Z67" s="14">
        <v>1400</v>
      </c>
      <c r="AA67" s="2" t="str">
        <f>IF(V67&gt;Z67,"Yes","No")</f>
        <v>No</v>
      </c>
      <c r="AB67" s="12">
        <f>V67-Z67</f>
        <v>-421.77059999999994</v>
      </c>
      <c r="AC67" s="15" t="s">
        <v>130</v>
      </c>
      <c r="AD67" s="15" t="s">
        <v>130</v>
      </c>
      <c r="AE67" s="15" t="s">
        <v>260</v>
      </c>
      <c r="AF67" s="12">
        <f>IF(AG67="Rejected",0,IF(R67="Corporate Card",0,V67))</f>
        <v>0</v>
      </c>
      <c r="AG67" s="15" t="s">
        <v>133</v>
      </c>
      <c r="AH67" s="16">
        <v>45680</v>
      </c>
      <c r="AI67" s="16">
        <v>45687</v>
      </c>
      <c r="AJ67" s="16">
        <v>45691</v>
      </c>
      <c r="AK67" s="17">
        <f>IF(AJ67="","",AJ67-AH67)</f>
        <v>11</v>
      </c>
    </row>
    <row r="68" spans="1:37">
      <c r="A68" s="2" t="s">
        <v>273</v>
      </c>
      <c r="B68" s="2" t="s">
        <v>248</v>
      </c>
      <c r="C68" s="2" t="s">
        <v>249</v>
      </c>
      <c r="D68" s="2" t="s">
        <v>250</v>
      </c>
      <c r="E68" s="2" t="s">
        <v>251</v>
      </c>
      <c r="F68" s="2" t="s">
        <v>252</v>
      </c>
      <c r="G68" s="2" t="s">
        <v>253</v>
      </c>
      <c r="H68" s="2" t="s">
        <v>254</v>
      </c>
      <c r="I68" s="2" t="s">
        <v>255</v>
      </c>
      <c r="J68" s="2" t="s">
        <v>256</v>
      </c>
      <c r="K68" s="9">
        <v>45667</v>
      </c>
      <c r="L68" s="9">
        <v>45672</v>
      </c>
      <c r="M68" s="9">
        <v>45668</v>
      </c>
      <c r="N68" s="2" t="s">
        <v>125</v>
      </c>
      <c r="O68" s="2" t="s">
        <v>54</v>
      </c>
      <c r="P68" s="2" t="s">
        <v>139</v>
      </c>
      <c r="Q68" s="2" t="s">
        <v>140</v>
      </c>
      <c r="R68" s="2" t="s">
        <v>149</v>
      </c>
      <c r="S68" s="2" t="s">
        <v>259</v>
      </c>
      <c r="T68" s="10">
        <v>4616</v>
      </c>
      <c r="U68" s="11">
        <v>6.5500000000000003E-3</v>
      </c>
      <c r="V68" s="12">
        <f>T68*U68</f>
        <v>30.2348</v>
      </c>
      <c r="W68" s="13">
        <v>0.1</v>
      </c>
      <c r="X68" s="12">
        <f>V68-(V68/(1+W68))</f>
        <v>2.7486181818181841</v>
      </c>
      <c r="Y68" s="12">
        <f>V68-X68</f>
        <v>27.486181818181816</v>
      </c>
      <c r="Z68" s="14">
        <v>25</v>
      </c>
      <c r="AA68" s="2" t="str">
        <f>IF(V68&gt;Z68,"Yes","No")</f>
        <v>Yes</v>
      </c>
      <c r="AB68" s="12">
        <f>V68-Z68</f>
        <v>5.2347999999999999</v>
      </c>
      <c r="AC68" s="15" t="s">
        <v>130</v>
      </c>
      <c r="AD68" s="15" t="s">
        <v>130</v>
      </c>
      <c r="AE68" s="15" t="s">
        <v>260</v>
      </c>
      <c r="AF68" s="12">
        <f>IF(AG68="Rejected",0,IF(R68="Corporate Card",0,V68))</f>
        <v>30.2348</v>
      </c>
      <c r="AG68" s="15" t="s">
        <v>133</v>
      </c>
      <c r="AH68" s="16">
        <v>45680</v>
      </c>
      <c r="AI68" s="16">
        <v>45687</v>
      </c>
      <c r="AJ68" s="16">
        <v>45691</v>
      </c>
      <c r="AK68" s="17">
        <f>IF(AJ68="","",AJ68-AH68)</f>
        <v>11</v>
      </c>
    </row>
    <row r="69" spans="1:37">
      <c r="A69" s="2" t="s">
        <v>274</v>
      </c>
      <c r="B69" s="2" t="s">
        <v>248</v>
      </c>
      <c r="C69" s="2" t="s">
        <v>249</v>
      </c>
      <c r="D69" s="2" t="s">
        <v>250</v>
      </c>
      <c r="E69" s="2" t="s">
        <v>251</v>
      </c>
      <c r="F69" s="2" t="s">
        <v>252</v>
      </c>
      <c r="G69" s="2" t="s">
        <v>253</v>
      </c>
      <c r="H69" s="2" t="s">
        <v>254</v>
      </c>
      <c r="I69" s="2" t="s">
        <v>255</v>
      </c>
      <c r="J69" s="2" t="s">
        <v>256</v>
      </c>
      <c r="K69" s="9">
        <v>45667</v>
      </c>
      <c r="L69" s="9">
        <v>45672</v>
      </c>
      <c r="M69" s="9">
        <v>45668</v>
      </c>
      <c r="N69" s="2" t="s">
        <v>125</v>
      </c>
      <c r="O69" s="2" t="s">
        <v>56</v>
      </c>
      <c r="P69" s="2" t="s">
        <v>231</v>
      </c>
      <c r="Q69" s="2" t="s">
        <v>227</v>
      </c>
      <c r="R69" s="2" t="s">
        <v>128</v>
      </c>
      <c r="S69" s="2" t="s">
        <v>259</v>
      </c>
      <c r="T69" s="10">
        <v>6703</v>
      </c>
      <c r="U69" s="11">
        <v>6.5500000000000003E-3</v>
      </c>
      <c r="V69" s="12">
        <f>T69*U69</f>
        <v>43.904650000000004</v>
      </c>
      <c r="W69" s="13">
        <v>0.1</v>
      </c>
      <c r="X69" s="12">
        <f>V69-(V69/(1+W69))</f>
        <v>3.9913318181818198</v>
      </c>
      <c r="Y69" s="12">
        <f>V69-X69</f>
        <v>39.913318181818184</v>
      </c>
      <c r="Z69" s="14">
        <v>75</v>
      </c>
      <c r="AA69" s="2" t="str">
        <f>IF(V69&gt;Z69,"Yes","No")</f>
        <v>No</v>
      </c>
      <c r="AB69" s="12">
        <f>V69-Z69</f>
        <v>-31.095349999999996</v>
      </c>
      <c r="AC69" s="15" t="s">
        <v>130</v>
      </c>
      <c r="AD69" s="15" t="s">
        <v>130</v>
      </c>
      <c r="AE69" s="15" t="s">
        <v>260</v>
      </c>
      <c r="AF69" s="12">
        <f>IF(AG69="Rejected",0,IF(R69="Corporate Card",0,V69))</f>
        <v>0</v>
      </c>
      <c r="AG69" s="15" t="s">
        <v>133</v>
      </c>
      <c r="AH69" s="16">
        <v>45680</v>
      </c>
      <c r="AI69" s="16">
        <v>45687</v>
      </c>
      <c r="AJ69" s="16">
        <v>45691</v>
      </c>
      <c r="AK69" s="17">
        <f>IF(AJ69="","",AJ69-AH69)</f>
        <v>11</v>
      </c>
    </row>
    <row r="70" spans="1:37">
      <c r="A70" s="2" t="s">
        <v>275</v>
      </c>
      <c r="B70" s="2" t="s">
        <v>248</v>
      </c>
      <c r="C70" s="2" t="s">
        <v>249</v>
      </c>
      <c r="D70" s="2" t="s">
        <v>250</v>
      </c>
      <c r="E70" s="2" t="s">
        <v>251</v>
      </c>
      <c r="F70" s="2" t="s">
        <v>252</v>
      </c>
      <c r="G70" s="2" t="s">
        <v>253</v>
      </c>
      <c r="H70" s="2" t="s">
        <v>254</v>
      </c>
      <c r="I70" s="2" t="s">
        <v>255</v>
      </c>
      <c r="J70" s="2" t="s">
        <v>256</v>
      </c>
      <c r="K70" s="9">
        <v>45667</v>
      </c>
      <c r="L70" s="9">
        <v>45672</v>
      </c>
      <c r="M70" s="9">
        <v>45668</v>
      </c>
      <c r="N70" s="2" t="s">
        <v>125</v>
      </c>
      <c r="O70" s="2" t="s">
        <v>55</v>
      </c>
      <c r="P70" s="2" t="s">
        <v>139</v>
      </c>
      <c r="Q70" s="2" t="s">
        <v>154</v>
      </c>
      <c r="R70" s="2" t="s">
        <v>137</v>
      </c>
      <c r="S70" s="2" t="s">
        <v>259</v>
      </c>
      <c r="T70" s="10">
        <v>4059</v>
      </c>
      <c r="U70" s="11">
        <v>6.5500000000000003E-3</v>
      </c>
      <c r="V70" s="12">
        <f>T70*U70</f>
        <v>26.586450000000003</v>
      </c>
      <c r="W70" s="13">
        <v>0.1</v>
      </c>
      <c r="X70" s="12">
        <f>V70-(V70/(1+W70))</f>
        <v>2.4169500000000035</v>
      </c>
      <c r="Y70" s="12">
        <f>V70-X70</f>
        <v>24.169499999999999</v>
      </c>
      <c r="Z70" s="14">
        <v>35</v>
      </c>
      <c r="AA70" s="2" t="str">
        <f>IF(V70&gt;Z70,"Yes","No")</f>
        <v>No</v>
      </c>
      <c r="AB70" s="12">
        <f>V70-Z70</f>
        <v>-8.4135499999999972</v>
      </c>
      <c r="AC70" s="15" t="s">
        <v>130</v>
      </c>
      <c r="AD70" s="15" t="s">
        <v>130</v>
      </c>
      <c r="AE70" s="15" t="s">
        <v>260</v>
      </c>
      <c r="AF70" s="12">
        <f>IF(AG70="Rejected",0,IF(R70="Corporate Card",0,V70))</f>
        <v>26.586450000000003</v>
      </c>
      <c r="AG70" s="15" t="s">
        <v>133</v>
      </c>
      <c r="AH70" s="16">
        <v>45680</v>
      </c>
      <c r="AI70" s="16">
        <v>45687</v>
      </c>
      <c r="AJ70" s="16">
        <v>45691</v>
      </c>
      <c r="AK70" s="17">
        <f>IF(AJ70="","",AJ70-AH70)</f>
        <v>11</v>
      </c>
    </row>
    <row r="71" spans="1:37">
      <c r="A71" s="2" t="s">
        <v>276</v>
      </c>
      <c r="B71" s="2" t="s">
        <v>248</v>
      </c>
      <c r="C71" s="2" t="s">
        <v>249</v>
      </c>
      <c r="D71" s="2" t="s">
        <v>250</v>
      </c>
      <c r="E71" s="2" t="s">
        <v>251</v>
      </c>
      <c r="F71" s="2" t="s">
        <v>252</v>
      </c>
      <c r="G71" s="2" t="s">
        <v>253</v>
      </c>
      <c r="H71" s="2" t="s">
        <v>254</v>
      </c>
      <c r="I71" s="2" t="s">
        <v>255</v>
      </c>
      <c r="J71" s="2" t="s">
        <v>256</v>
      </c>
      <c r="K71" s="9">
        <v>45667</v>
      </c>
      <c r="L71" s="9">
        <v>45672</v>
      </c>
      <c r="M71" s="9">
        <v>45669</v>
      </c>
      <c r="N71" s="2" t="s">
        <v>125</v>
      </c>
      <c r="O71" s="2" t="s">
        <v>58</v>
      </c>
      <c r="P71" s="2" t="s">
        <v>142</v>
      </c>
      <c r="Q71" s="2" t="s">
        <v>224</v>
      </c>
      <c r="R71" s="2" t="s">
        <v>128</v>
      </c>
      <c r="S71" s="2" t="s">
        <v>259</v>
      </c>
      <c r="T71" s="10">
        <v>4054</v>
      </c>
      <c r="U71" s="11">
        <v>6.5500000000000003E-3</v>
      </c>
      <c r="V71" s="12">
        <f>T71*U71</f>
        <v>26.553700000000003</v>
      </c>
      <c r="W71" s="13">
        <v>0.1</v>
      </c>
      <c r="X71" s="12">
        <f>V71-(V71/(1+W71))</f>
        <v>2.4139727272727285</v>
      </c>
      <c r="Y71" s="12">
        <f>V71-X71</f>
        <v>24.139727272727274</v>
      </c>
      <c r="Z71" s="14">
        <v>60</v>
      </c>
      <c r="AA71" s="2" t="str">
        <f>IF(V71&gt;Z71,"Yes","No")</f>
        <v>No</v>
      </c>
      <c r="AB71" s="12">
        <f>V71-Z71</f>
        <v>-33.446299999999994</v>
      </c>
      <c r="AC71" s="15" t="s">
        <v>130</v>
      </c>
      <c r="AD71" s="15" t="s">
        <v>130</v>
      </c>
      <c r="AE71" s="15" t="s">
        <v>260</v>
      </c>
      <c r="AF71" s="12">
        <f>IF(AG71="Rejected",0,IF(R71="Corporate Card",0,V71))</f>
        <v>0</v>
      </c>
      <c r="AG71" s="15" t="s">
        <v>133</v>
      </c>
      <c r="AH71" s="16">
        <v>45680</v>
      </c>
      <c r="AI71" s="16">
        <v>45687</v>
      </c>
      <c r="AJ71" s="16">
        <v>45691</v>
      </c>
      <c r="AK71" s="17">
        <f>IF(AJ71="","",AJ71-AH71)</f>
        <v>11</v>
      </c>
    </row>
    <row r="72" spans="1:37">
      <c r="A72" s="2" t="s">
        <v>277</v>
      </c>
      <c r="B72" s="2" t="s">
        <v>248</v>
      </c>
      <c r="C72" s="2" t="s">
        <v>249</v>
      </c>
      <c r="D72" s="2" t="s">
        <v>250</v>
      </c>
      <c r="E72" s="2" t="s">
        <v>251</v>
      </c>
      <c r="F72" s="2" t="s">
        <v>252</v>
      </c>
      <c r="G72" s="2" t="s">
        <v>253</v>
      </c>
      <c r="H72" s="2" t="s">
        <v>254</v>
      </c>
      <c r="I72" s="2" t="s">
        <v>255</v>
      </c>
      <c r="J72" s="2" t="s">
        <v>256</v>
      </c>
      <c r="K72" s="9">
        <v>45667</v>
      </c>
      <c r="L72" s="9">
        <v>45672</v>
      </c>
      <c r="M72" s="9">
        <v>45669</v>
      </c>
      <c r="N72" s="2" t="s">
        <v>125</v>
      </c>
      <c r="O72" s="2" t="s">
        <v>54</v>
      </c>
      <c r="P72" s="2" t="s">
        <v>139</v>
      </c>
      <c r="Q72" s="2" t="s">
        <v>148</v>
      </c>
      <c r="R72" s="2" t="s">
        <v>128</v>
      </c>
      <c r="S72" s="2" t="s">
        <v>259</v>
      </c>
      <c r="T72" s="10">
        <v>4333</v>
      </c>
      <c r="U72" s="11">
        <v>6.5500000000000003E-3</v>
      </c>
      <c r="V72" s="12">
        <f>T72*U72</f>
        <v>28.381150000000002</v>
      </c>
      <c r="W72" s="13">
        <v>0.1</v>
      </c>
      <c r="X72" s="12">
        <f>V72-(V72/(1+W72))</f>
        <v>2.5801045454545459</v>
      </c>
      <c r="Y72" s="12">
        <f>V72-X72</f>
        <v>25.801045454545456</v>
      </c>
      <c r="Z72" s="14">
        <v>25</v>
      </c>
      <c r="AA72" s="2" t="str">
        <f>IF(V72&gt;Z72,"Yes","No")</f>
        <v>Yes</v>
      </c>
      <c r="AB72" s="12">
        <f>V72-Z72</f>
        <v>3.3811500000000017</v>
      </c>
      <c r="AC72" s="15" t="s">
        <v>130</v>
      </c>
      <c r="AD72" s="15" t="s">
        <v>130</v>
      </c>
      <c r="AE72" s="15" t="s">
        <v>260</v>
      </c>
      <c r="AF72" s="12">
        <f>IF(AG72="Rejected",0,IF(R72="Corporate Card",0,V72))</f>
        <v>0</v>
      </c>
      <c r="AG72" s="15" t="s">
        <v>133</v>
      </c>
      <c r="AH72" s="16">
        <v>45680</v>
      </c>
      <c r="AI72" s="16">
        <v>45687</v>
      </c>
      <c r="AJ72" s="16">
        <v>45691</v>
      </c>
      <c r="AK72" s="17">
        <f>IF(AJ72="","",AJ72-AH72)</f>
        <v>11</v>
      </c>
    </row>
    <row r="73" spans="1:37">
      <c r="A73" s="2" t="s">
        <v>278</v>
      </c>
      <c r="B73" s="2" t="s">
        <v>248</v>
      </c>
      <c r="C73" s="2" t="s">
        <v>249</v>
      </c>
      <c r="D73" s="2" t="s">
        <v>250</v>
      </c>
      <c r="E73" s="2" t="s">
        <v>251</v>
      </c>
      <c r="F73" s="2" t="s">
        <v>252</v>
      </c>
      <c r="G73" s="2" t="s">
        <v>253</v>
      </c>
      <c r="H73" s="2" t="s">
        <v>254</v>
      </c>
      <c r="I73" s="2" t="s">
        <v>255</v>
      </c>
      <c r="J73" s="2" t="s">
        <v>256</v>
      </c>
      <c r="K73" s="9">
        <v>45667</v>
      </c>
      <c r="L73" s="9">
        <v>45672</v>
      </c>
      <c r="M73" s="9">
        <v>45669</v>
      </c>
      <c r="N73" s="2" t="s">
        <v>125</v>
      </c>
      <c r="O73" s="2" t="s">
        <v>56</v>
      </c>
      <c r="P73" s="2" t="s">
        <v>165</v>
      </c>
      <c r="Q73" s="2" t="s">
        <v>227</v>
      </c>
      <c r="R73" s="2" t="s">
        <v>128</v>
      </c>
      <c r="S73" s="2" t="s">
        <v>259</v>
      </c>
      <c r="T73" s="10">
        <v>10357</v>
      </c>
      <c r="U73" s="11">
        <v>6.5500000000000003E-3</v>
      </c>
      <c r="V73" s="12">
        <f>T73*U73</f>
        <v>67.838350000000005</v>
      </c>
      <c r="W73" s="13">
        <v>0.1</v>
      </c>
      <c r="X73" s="12">
        <f>V73-(V73/(1+W73))</f>
        <v>6.1671227272727336</v>
      </c>
      <c r="Y73" s="12">
        <f>V73-X73</f>
        <v>61.671227272727272</v>
      </c>
      <c r="Z73" s="14">
        <v>75</v>
      </c>
      <c r="AA73" s="2" t="str">
        <f>IF(V73&gt;Z73,"Yes","No")</f>
        <v>No</v>
      </c>
      <c r="AB73" s="12">
        <f>V73-Z73</f>
        <v>-7.1616499999999945</v>
      </c>
      <c r="AC73" s="15" t="s">
        <v>130</v>
      </c>
      <c r="AD73" s="15" t="s">
        <v>130</v>
      </c>
      <c r="AE73" s="15" t="s">
        <v>260</v>
      </c>
      <c r="AF73" s="12">
        <f>IF(AG73="Rejected",0,IF(R73="Corporate Card",0,V73))</f>
        <v>0</v>
      </c>
      <c r="AG73" s="15" t="s">
        <v>133</v>
      </c>
      <c r="AH73" s="16">
        <v>45680</v>
      </c>
      <c r="AI73" s="16">
        <v>45687</v>
      </c>
      <c r="AJ73" s="16">
        <v>45691</v>
      </c>
      <c r="AK73" s="17">
        <f>IF(AJ73="","",AJ73-AH73)</f>
        <v>11</v>
      </c>
    </row>
    <row r="74" spans="1:37">
      <c r="A74" s="2" t="s">
        <v>279</v>
      </c>
      <c r="B74" s="2" t="s">
        <v>248</v>
      </c>
      <c r="C74" s="2" t="s">
        <v>249</v>
      </c>
      <c r="D74" s="2" t="s">
        <v>250</v>
      </c>
      <c r="E74" s="2" t="s">
        <v>251</v>
      </c>
      <c r="F74" s="2" t="s">
        <v>252</v>
      </c>
      <c r="G74" s="2" t="s">
        <v>253</v>
      </c>
      <c r="H74" s="2" t="s">
        <v>254</v>
      </c>
      <c r="I74" s="2" t="s">
        <v>255</v>
      </c>
      <c r="J74" s="2" t="s">
        <v>256</v>
      </c>
      <c r="K74" s="9">
        <v>45667</v>
      </c>
      <c r="L74" s="9">
        <v>45672</v>
      </c>
      <c r="M74" s="9">
        <v>45669</v>
      </c>
      <c r="N74" s="2" t="s">
        <v>125</v>
      </c>
      <c r="O74" s="2" t="s">
        <v>55</v>
      </c>
      <c r="P74" s="2" t="s">
        <v>139</v>
      </c>
      <c r="Q74" s="2" t="s">
        <v>187</v>
      </c>
      <c r="R74" s="2" t="s">
        <v>128</v>
      </c>
      <c r="S74" s="2" t="s">
        <v>259</v>
      </c>
      <c r="T74" s="10">
        <v>2146</v>
      </c>
      <c r="U74" s="11">
        <v>6.5500000000000003E-3</v>
      </c>
      <c r="V74" s="12">
        <f>T74*U74</f>
        <v>14.0563</v>
      </c>
      <c r="W74" s="13">
        <v>0.1</v>
      </c>
      <c r="X74" s="12">
        <f>V74-(V74/(1+W74))</f>
        <v>1.2778454545454547</v>
      </c>
      <c r="Y74" s="12">
        <f>V74-X74</f>
        <v>12.778454545454546</v>
      </c>
      <c r="Z74" s="14">
        <v>35</v>
      </c>
      <c r="AA74" s="2" t="str">
        <f>IF(V74&gt;Z74,"Yes","No")</f>
        <v>No</v>
      </c>
      <c r="AB74" s="12">
        <f>V74-Z74</f>
        <v>-20.9437</v>
      </c>
      <c r="AC74" s="15" t="s">
        <v>130</v>
      </c>
      <c r="AD74" s="15" t="s">
        <v>130</v>
      </c>
      <c r="AE74" s="15" t="s">
        <v>260</v>
      </c>
      <c r="AF74" s="12">
        <f>IF(AG74="Rejected",0,IF(R74="Corporate Card",0,V74))</f>
        <v>0</v>
      </c>
      <c r="AG74" s="15" t="s">
        <v>133</v>
      </c>
      <c r="AH74" s="16">
        <v>45680</v>
      </c>
      <c r="AI74" s="16">
        <v>45687</v>
      </c>
      <c r="AJ74" s="16">
        <v>45691</v>
      </c>
      <c r="AK74" s="17">
        <f>IF(AJ74="","",AJ74-AH74)</f>
        <v>11</v>
      </c>
    </row>
    <row r="75" spans="1:37">
      <c r="A75" s="2" t="s">
        <v>280</v>
      </c>
      <c r="B75" s="2" t="s">
        <v>248</v>
      </c>
      <c r="C75" s="2" t="s">
        <v>249</v>
      </c>
      <c r="D75" s="2" t="s">
        <v>250</v>
      </c>
      <c r="E75" s="2" t="s">
        <v>251</v>
      </c>
      <c r="F75" s="2" t="s">
        <v>252</v>
      </c>
      <c r="G75" s="2" t="s">
        <v>253</v>
      </c>
      <c r="H75" s="2" t="s">
        <v>254</v>
      </c>
      <c r="I75" s="2" t="s">
        <v>255</v>
      </c>
      <c r="J75" s="2" t="s">
        <v>256</v>
      </c>
      <c r="K75" s="9">
        <v>45667</v>
      </c>
      <c r="L75" s="9">
        <v>45672</v>
      </c>
      <c r="M75" s="9">
        <v>45670</v>
      </c>
      <c r="N75" s="2" t="s">
        <v>125</v>
      </c>
      <c r="O75" s="2" t="s">
        <v>58</v>
      </c>
      <c r="P75" s="2" t="s">
        <v>142</v>
      </c>
      <c r="Q75" s="2" t="s">
        <v>203</v>
      </c>
      <c r="R75" s="2" t="s">
        <v>149</v>
      </c>
      <c r="S75" s="2" t="s">
        <v>259</v>
      </c>
      <c r="T75" s="10">
        <v>4164</v>
      </c>
      <c r="U75" s="11">
        <v>6.5500000000000003E-3</v>
      </c>
      <c r="V75" s="12">
        <f>T75*U75</f>
        <v>27.2742</v>
      </c>
      <c r="W75" s="13">
        <v>0.1</v>
      </c>
      <c r="X75" s="12">
        <f>V75-(V75/(1+W75))</f>
        <v>2.4794727272727286</v>
      </c>
      <c r="Y75" s="12">
        <f>V75-X75</f>
        <v>24.794727272727272</v>
      </c>
      <c r="Z75" s="14">
        <v>60</v>
      </c>
      <c r="AA75" s="2" t="str">
        <f>IF(V75&gt;Z75,"Yes","No")</f>
        <v>No</v>
      </c>
      <c r="AB75" s="12">
        <f>V75-Z75</f>
        <v>-32.7258</v>
      </c>
      <c r="AC75" s="15" t="s">
        <v>130</v>
      </c>
      <c r="AD75" s="15" t="s">
        <v>130</v>
      </c>
      <c r="AE75" s="15" t="s">
        <v>260</v>
      </c>
      <c r="AF75" s="12">
        <f>IF(AG75="Rejected",0,IF(R75="Corporate Card",0,V75))</f>
        <v>27.2742</v>
      </c>
      <c r="AG75" s="15" t="s">
        <v>133</v>
      </c>
      <c r="AH75" s="16">
        <v>45680</v>
      </c>
      <c r="AI75" s="16">
        <v>45687</v>
      </c>
      <c r="AJ75" s="16">
        <v>45691</v>
      </c>
      <c r="AK75" s="17">
        <f>IF(AJ75="","",AJ75-AH75)</f>
        <v>11</v>
      </c>
    </row>
    <row r="76" spans="1:37">
      <c r="A76" s="2" t="s">
        <v>281</v>
      </c>
      <c r="B76" s="2" t="s">
        <v>248</v>
      </c>
      <c r="C76" s="2" t="s">
        <v>249</v>
      </c>
      <c r="D76" s="2" t="s">
        <v>250</v>
      </c>
      <c r="E76" s="2" t="s">
        <v>251</v>
      </c>
      <c r="F76" s="2" t="s">
        <v>252</v>
      </c>
      <c r="G76" s="2" t="s">
        <v>253</v>
      </c>
      <c r="H76" s="2" t="s">
        <v>254</v>
      </c>
      <c r="I76" s="2" t="s">
        <v>255</v>
      </c>
      <c r="J76" s="2" t="s">
        <v>256</v>
      </c>
      <c r="K76" s="9">
        <v>45667</v>
      </c>
      <c r="L76" s="9">
        <v>45672</v>
      </c>
      <c r="M76" s="9">
        <v>45670</v>
      </c>
      <c r="N76" s="2" t="s">
        <v>125</v>
      </c>
      <c r="O76" s="2" t="s">
        <v>68</v>
      </c>
      <c r="P76" s="2" t="s">
        <v>282</v>
      </c>
      <c r="Q76" s="2" t="s">
        <v>283</v>
      </c>
      <c r="R76" s="2" t="s">
        <v>128</v>
      </c>
      <c r="S76" s="2" t="s">
        <v>259</v>
      </c>
      <c r="T76" s="10">
        <v>3299</v>
      </c>
      <c r="U76" s="11">
        <v>6.5500000000000003E-3</v>
      </c>
      <c r="V76" s="12">
        <f>T76*U76</f>
        <v>21.608450000000001</v>
      </c>
      <c r="W76" s="13">
        <v>0.1</v>
      </c>
      <c r="X76" s="12">
        <f>V76-(V76/(1+W76))</f>
        <v>1.9644045454545456</v>
      </c>
      <c r="Y76" s="12">
        <f>V76-X76</f>
        <v>19.644045454545456</v>
      </c>
      <c r="Z76" s="14">
        <v>30</v>
      </c>
      <c r="AA76" s="2" t="str">
        <f>IF(V76&gt;Z76,"Yes","No")</f>
        <v>No</v>
      </c>
      <c r="AB76" s="12">
        <f>V76-Z76</f>
        <v>-8.3915499999999987</v>
      </c>
      <c r="AC76" s="15" t="s">
        <v>130</v>
      </c>
      <c r="AD76" s="15" t="s">
        <v>130</v>
      </c>
      <c r="AE76" s="15" t="s">
        <v>260</v>
      </c>
      <c r="AF76" s="12">
        <f>IF(AG76="Rejected",0,IF(R76="Corporate Card",0,V76))</f>
        <v>0</v>
      </c>
      <c r="AG76" s="15" t="s">
        <v>133</v>
      </c>
      <c r="AH76" s="16">
        <v>45680</v>
      </c>
      <c r="AI76" s="16">
        <v>45687</v>
      </c>
      <c r="AJ76" s="16">
        <v>45691</v>
      </c>
      <c r="AK76" s="17">
        <f>IF(AJ76="","",AJ76-AH76)</f>
        <v>11</v>
      </c>
    </row>
    <row r="77" spans="1:37">
      <c r="A77" s="2" t="s">
        <v>284</v>
      </c>
      <c r="B77" s="2" t="s">
        <v>248</v>
      </c>
      <c r="C77" s="2" t="s">
        <v>249</v>
      </c>
      <c r="D77" s="2" t="s">
        <v>250</v>
      </c>
      <c r="E77" s="2" t="s">
        <v>251</v>
      </c>
      <c r="F77" s="2" t="s">
        <v>252</v>
      </c>
      <c r="G77" s="2" t="s">
        <v>253</v>
      </c>
      <c r="H77" s="2" t="s">
        <v>254</v>
      </c>
      <c r="I77" s="2" t="s">
        <v>255</v>
      </c>
      <c r="J77" s="2" t="s">
        <v>256</v>
      </c>
      <c r="K77" s="9">
        <v>45667</v>
      </c>
      <c r="L77" s="9">
        <v>45672</v>
      </c>
      <c r="M77" s="9">
        <v>45670</v>
      </c>
      <c r="N77" s="2" t="s">
        <v>125</v>
      </c>
      <c r="O77" s="2" t="s">
        <v>56</v>
      </c>
      <c r="P77" s="2" t="s">
        <v>151</v>
      </c>
      <c r="Q77" s="2" t="s">
        <v>166</v>
      </c>
      <c r="R77" s="2" t="s">
        <v>149</v>
      </c>
      <c r="S77" s="2" t="s">
        <v>259</v>
      </c>
      <c r="T77" s="10">
        <v>6924</v>
      </c>
      <c r="U77" s="11">
        <v>6.5500000000000003E-3</v>
      </c>
      <c r="V77" s="12">
        <f>T77*U77</f>
        <v>45.352200000000003</v>
      </c>
      <c r="W77" s="13">
        <v>0.1</v>
      </c>
      <c r="X77" s="12">
        <f>V77-(V77/(1+W77))</f>
        <v>4.1229272727272743</v>
      </c>
      <c r="Y77" s="12">
        <f>V77-X77</f>
        <v>41.229272727272729</v>
      </c>
      <c r="Z77" s="14">
        <v>75</v>
      </c>
      <c r="AA77" s="2" t="str">
        <f>IF(V77&gt;Z77,"Yes","No")</f>
        <v>No</v>
      </c>
      <c r="AB77" s="12">
        <f>V77-Z77</f>
        <v>-29.647799999999997</v>
      </c>
      <c r="AC77" s="15" t="s">
        <v>130</v>
      </c>
      <c r="AD77" s="15" t="s">
        <v>130</v>
      </c>
      <c r="AE77" s="15" t="s">
        <v>260</v>
      </c>
      <c r="AF77" s="12">
        <f>IF(AG77="Rejected",0,IF(R77="Corporate Card",0,V77))</f>
        <v>45.352200000000003</v>
      </c>
      <c r="AG77" s="15" t="s">
        <v>133</v>
      </c>
      <c r="AH77" s="16">
        <v>45680</v>
      </c>
      <c r="AI77" s="16">
        <v>45687</v>
      </c>
      <c r="AJ77" s="16">
        <v>45691</v>
      </c>
      <c r="AK77" s="17">
        <f>IF(AJ77="","",AJ77-AH77)</f>
        <v>11</v>
      </c>
    </row>
    <row r="78" spans="1:37">
      <c r="A78" s="2" t="s">
        <v>285</v>
      </c>
      <c r="B78" s="2" t="s">
        <v>248</v>
      </c>
      <c r="C78" s="2" t="s">
        <v>249</v>
      </c>
      <c r="D78" s="2" t="s">
        <v>250</v>
      </c>
      <c r="E78" s="2" t="s">
        <v>251</v>
      </c>
      <c r="F78" s="2" t="s">
        <v>252</v>
      </c>
      <c r="G78" s="2" t="s">
        <v>253</v>
      </c>
      <c r="H78" s="2" t="s">
        <v>254</v>
      </c>
      <c r="I78" s="2" t="s">
        <v>255</v>
      </c>
      <c r="J78" s="2" t="s">
        <v>256</v>
      </c>
      <c r="K78" s="9">
        <v>45667</v>
      </c>
      <c r="L78" s="9">
        <v>45672</v>
      </c>
      <c r="M78" s="9">
        <v>45670</v>
      </c>
      <c r="N78" s="2" t="s">
        <v>125</v>
      </c>
      <c r="O78" s="2" t="s">
        <v>55</v>
      </c>
      <c r="P78" s="2" t="s">
        <v>139</v>
      </c>
      <c r="Q78" s="2" t="s">
        <v>161</v>
      </c>
      <c r="R78" s="2" t="s">
        <v>137</v>
      </c>
      <c r="S78" s="2" t="s">
        <v>259</v>
      </c>
      <c r="T78" s="10">
        <v>4228</v>
      </c>
      <c r="U78" s="11">
        <v>6.5500000000000003E-3</v>
      </c>
      <c r="V78" s="12">
        <f>T78*U78</f>
        <v>27.6934</v>
      </c>
      <c r="W78" s="13">
        <v>0.1</v>
      </c>
      <c r="X78" s="12">
        <f>V78-(V78/(1+W78))</f>
        <v>2.5175818181818208</v>
      </c>
      <c r="Y78" s="12">
        <f>V78-X78</f>
        <v>25.17581818181818</v>
      </c>
      <c r="Z78" s="14">
        <v>35</v>
      </c>
      <c r="AA78" s="2" t="str">
        <f>IF(V78&gt;Z78,"Yes","No")</f>
        <v>No</v>
      </c>
      <c r="AB78" s="12">
        <f>V78-Z78</f>
        <v>-7.3065999999999995</v>
      </c>
      <c r="AC78" s="15" t="s">
        <v>130</v>
      </c>
      <c r="AD78" s="15" t="s">
        <v>130</v>
      </c>
      <c r="AE78" s="15" t="s">
        <v>260</v>
      </c>
      <c r="AF78" s="12">
        <f>IF(AG78="Rejected",0,IF(R78="Corporate Card",0,V78))</f>
        <v>27.6934</v>
      </c>
      <c r="AG78" s="15" t="s">
        <v>133</v>
      </c>
      <c r="AH78" s="16">
        <v>45680</v>
      </c>
      <c r="AI78" s="16">
        <v>45687</v>
      </c>
      <c r="AJ78" s="16">
        <v>45691</v>
      </c>
      <c r="AK78" s="17">
        <f>IF(AJ78="","",AJ78-AH78)</f>
        <v>11</v>
      </c>
    </row>
    <row r="79" spans="1:37">
      <c r="A79" s="2" t="s">
        <v>286</v>
      </c>
      <c r="B79" s="2" t="s">
        <v>287</v>
      </c>
      <c r="C79" s="2" t="s">
        <v>288</v>
      </c>
      <c r="D79" s="2" t="s">
        <v>171</v>
      </c>
      <c r="E79" s="2" t="s">
        <v>289</v>
      </c>
      <c r="F79" s="2" t="s">
        <v>173</v>
      </c>
      <c r="G79" s="2" t="s">
        <v>290</v>
      </c>
      <c r="H79" s="2" t="s">
        <v>291</v>
      </c>
      <c r="I79" s="2" t="s">
        <v>255</v>
      </c>
      <c r="J79" s="2" t="s">
        <v>256</v>
      </c>
      <c r="K79" s="9">
        <v>45670</v>
      </c>
      <c r="L79" s="9">
        <v>45677</v>
      </c>
      <c r="M79" s="9">
        <v>45670</v>
      </c>
      <c r="N79" s="2" t="s">
        <v>125</v>
      </c>
      <c r="O79" s="2" t="s">
        <v>52</v>
      </c>
      <c r="P79" s="2" t="s">
        <v>257</v>
      </c>
      <c r="Q79" s="2" t="s">
        <v>258</v>
      </c>
      <c r="R79" s="2" t="s">
        <v>128</v>
      </c>
      <c r="S79" s="2" t="s">
        <v>259</v>
      </c>
      <c r="T79" s="10">
        <v>482464</v>
      </c>
      <c r="U79" s="11">
        <v>6.5500000000000003E-3</v>
      </c>
      <c r="V79" s="12">
        <f>T79*U79</f>
        <v>3160.1392000000001</v>
      </c>
      <c r="W79" s="13">
        <v>0</v>
      </c>
      <c r="X79" s="12">
        <f>V79-(V79/(1+W79))</f>
        <v>0</v>
      </c>
      <c r="Y79" s="12">
        <f>V79-X79</f>
        <v>3160.1392000000001</v>
      </c>
      <c r="Z79" s="14">
        <v>1400</v>
      </c>
      <c r="AA79" s="2" t="str">
        <f>IF(V79&gt;Z79,"Yes","No")</f>
        <v>Yes</v>
      </c>
      <c r="AB79" s="12">
        <f>V79-Z79</f>
        <v>1760.1392000000001</v>
      </c>
      <c r="AC79" s="15" t="s">
        <v>130</v>
      </c>
      <c r="AD79" s="15" t="s">
        <v>131</v>
      </c>
      <c r="AE79" s="15" t="s">
        <v>132</v>
      </c>
      <c r="AF79" s="12">
        <f>IF(AG79="Rejected",0,IF(R79="Corporate Card",0,V79))</f>
        <v>0</v>
      </c>
      <c r="AG79" s="15" t="s">
        <v>133</v>
      </c>
      <c r="AH79" s="16">
        <v>45688</v>
      </c>
      <c r="AI79" s="16">
        <v>45692</v>
      </c>
      <c r="AJ79" s="16">
        <v>45701</v>
      </c>
      <c r="AK79" s="17">
        <f>IF(AJ79="","",AJ79-AH79)</f>
        <v>13</v>
      </c>
    </row>
    <row r="80" spans="1:37">
      <c r="A80" s="2" t="s">
        <v>292</v>
      </c>
      <c r="B80" s="2" t="s">
        <v>287</v>
      </c>
      <c r="C80" s="2" t="s">
        <v>288</v>
      </c>
      <c r="D80" s="2" t="s">
        <v>171</v>
      </c>
      <c r="E80" s="2" t="s">
        <v>289</v>
      </c>
      <c r="F80" s="2" t="s">
        <v>173</v>
      </c>
      <c r="G80" s="2" t="s">
        <v>290</v>
      </c>
      <c r="H80" s="2" t="s">
        <v>291</v>
      </c>
      <c r="I80" s="2" t="s">
        <v>255</v>
      </c>
      <c r="J80" s="2" t="s">
        <v>256</v>
      </c>
      <c r="K80" s="9">
        <v>45670</v>
      </c>
      <c r="L80" s="9">
        <v>45677</v>
      </c>
      <c r="M80" s="9">
        <v>45670</v>
      </c>
      <c r="N80" s="2" t="s">
        <v>125</v>
      </c>
      <c r="O80" s="2" t="s">
        <v>54</v>
      </c>
      <c r="P80" s="2" t="s">
        <v>139</v>
      </c>
      <c r="Q80" s="2" t="s">
        <v>214</v>
      </c>
      <c r="R80" s="2" t="s">
        <v>137</v>
      </c>
      <c r="S80" s="2" t="s">
        <v>259</v>
      </c>
      <c r="T80" s="10">
        <v>2212</v>
      </c>
      <c r="U80" s="11">
        <v>6.5500000000000003E-3</v>
      </c>
      <c r="V80" s="12">
        <f>T80*U80</f>
        <v>14.4886</v>
      </c>
      <c r="W80" s="13">
        <v>0.1</v>
      </c>
      <c r="X80" s="12">
        <f>V80-(V80/(1+W80))</f>
        <v>1.3171454545454555</v>
      </c>
      <c r="Y80" s="12">
        <f>V80-X80</f>
        <v>13.171454545454544</v>
      </c>
      <c r="Z80" s="14">
        <v>25</v>
      </c>
      <c r="AA80" s="2" t="str">
        <f>IF(V80&gt;Z80,"Yes","No")</f>
        <v>No</v>
      </c>
      <c r="AB80" s="12">
        <f>V80-Z80</f>
        <v>-10.5114</v>
      </c>
      <c r="AC80" s="15" t="s">
        <v>130</v>
      </c>
      <c r="AD80" s="15" t="s">
        <v>131</v>
      </c>
      <c r="AE80" s="15" t="s">
        <v>132</v>
      </c>
      <c r="AF80" s="12">
        <f>IF(AG80="Rejected",0,IF(R80="Corporate Card",0,V80))</f>
        <v>14.4886</v>
      </c>
      <c r="AG80" s="15" t="s">
        <v>133</v>
      </c>
      <c r="AH80" s="16">
        <v>45688</v>
      </c>
      <c r="AI80" s="16">
        <v>45692</v>
      </c>
      <c r="AJ80" s="16">
        <v>45701</v>
      </c>
      <c r="AK80" s="17">
        <f>IF(AJ80="","",AJ80-AH80)</f>
        <v>13</v>
      </c>
    </row>
    <row r="81" spans="1:37">
      <c r="A81" s="2" t="s">
        <v>293</v>
      </c>
      <c r="B81" s="2" t="s">
        <v>287</v>
      </c>
      <c r="C81" s="2" t="s">
        <v>288</v>
      </c>
      <c r="D81" s="2" t="s">
        <v>171</v>
      </c>
      <c r="E81" s="2" t="s">
        <v>289</v>
      </c>
      <c r="F81" s="2" t="s">
        <v>173</v>
      </c>
      <c r="G81" s="2" t="s">
        <v>290</v>
      </c>
      <c r="H81" s="2" t="s">
        <v>291</v>
      </c>
      <c r="I81" s="2" t="s">
        <v>255</v>
      </c>
      <c r="J81" s="2" t="s">
        <v>256</v>
      </c>
      <c r="K81" s="9">
        <v>45670</v>
      </c>
      <c r="L81" s="9">
        <v>45677</v>
      </c>
      <c r="M81" s="9">
        <v>45670</v>
      </c>
      <c r="N81" s="2" t="s">
        <v>125</v>
      </c>
      <c r="O81" s="2" t="s">
        <v>56</v>
      </c>
      <c r="P81" s="2" t="s">
        <v>245</v>
      </c>
      <c r="Q81" s="2" t="s">
        <v>152</v>
      </c>
      <c r="R81" s="2" t="s">
        <v>149</v>
      </c>
      <c r="S81" s="2" t="s">
        <v>259</v>
      </c>
      <c r="T81" s="10">
        <v>6820</v>
      </c>
      <c r="U81" s="11">
        <v>6.5500000000000003E-3</v>
      </c>
      <c r="V81" s="12">
        <f>T81*U81</f>
        <v>44.670999999999999</v>
      </c>
      <c r="W81" s="13">
        <v>0.1</v>
      </c>
      <c r="X81" s="12">
        <f>V81-(V81/(1+W81))</f>
        <v>4.0609999999999999</v>
      </c>
      <c r="Y81" s="12">
        <f>V81-X81</f>
        <v>40.61</v>
      </c>
      <c r="Z81" s="14">
        <v>75</v>
      </c>
      <c r="AA81" s="2" t="str">
        <f>IF(V81&gt;Z81,"Yes","No")</f>
        <v>No</v>
      </c>
      <c r="AB81" s="12">
        <f>V81-Z81</f>
        <v>-30.329000000000001</v>
      </c>
      <c r="AC81" s="15" t="s">
        <v>130</v>
      </c>
      <c r="AD81" s="15" t="s">
        <v>131</v>
      </c>
      <c r="AE81" s="15" t="s">
        <v>132</v>
      </c>
      <c r="AF81" s="12">
        <f>IF(AG81="Rejected",0,IF(R81="Corporate Card",0,V81))</f>
        <v>44.670999999999999</v>
      </c>
      <c r="AG81" s="15" t="s">
        <v>133</v>
      </c>
      <c r="AH81" s="16">
        <v>45688</v>
      </c>
      <c r="AI81" s="16">
        <v>45692</v>
      </c>
      <c r="AJ81" s="16">
        <v>45701</v>
      </c>
      <c r="AK81" s="17">
        <f>IF(AJ81="","",AJ81-AH81)</f>
        <v>13</v>
      </c>
    </row>
    <row r="82" spans="1:37">
      <c r="A82" s="2" t="s">
        <v>294</v>
      </c>
      <c r="B82" s="2" t="s">
        <v>287</v>
      </c>
      <c r="C82" s="2" t="s">
        <v>288</v>
      </c>
      <c r="D82" s="2" t="s">
        <v>171</v>
      </c>
      <c r="E82" s="2" t="s">
        <v>289</v>
      </c>
      <c r="F82" s="2" t="s">
        <v>173</v>
      </c>
      <c r="G82" s="2" t="s">
        <v>290</v>
      </c>
      <c r="H82" s="2" t="s">
        <v>291</v>
      </c>
      <c r="I82" s="2" t="s">
        <v>255</v>
      </c>
      <c r="J82" s="2" t="s">
        <v>256</v>
      </c>
      <c r="K82" s="9">
        <v>45670</v>
      </c>
      <c r="L82" s="9">
        <v>45677</v>
      </c>
      <c r="M82" s="9">
        <v>45670</v>
      </c>
      <c r="N82" s="2" t="s">
        <v>125</v>
      </c>
      <c r="O82" s="2" t="s">
        <v>55</v>
      </c>
      <c r="P82" s="2" t="s">
        <v>139</v>
      </c>
      <c r="Q82" s="2" t="s">
        <v>161</v>
      </c>
      <c r="R82" s="2" t="s">
        <v>128</v>
      </c>
      <c r="S82" s="2" t="s">
        <v>259</v>
      </c>
      <c r="T82" s="10">
        <v>4630</v>
      </c>
      <c r="U82" s="11">
        <v>6.5500000000000003E-3</v>
      </c>
      <c r="V82" s="12">
        <f>T82*U82</f>
        <v>30.326500000000003</v>
      </c>
      <c r="W82" s="13">
        <v>0.1</v>
      </c>
      <c r="X82" s="12">
        <f>V82-(V82/(1+W82))</f>
        <v>2.7569545454545477</v>
      </c>
      <c r="Y82" s="12">
        <f>V82-X82</f>
        <v>27.569545454545455</v>
      </c>
      <c r="Z82" s="14">
        <v>35</v>
      </c>
      <c r="AA82" s="2" t="str">
        <f>IF(V82&gt;Z82,"Yes","No")</f>
        <v>No</v>
      </c>
      <c r="AB82" s="12">
        <f>V82-Z82</f>
        <v>-4.6734999999999971</v>
      </c>
      <c r="AC82" s="15" t="s">
        <v>130</v>
      </c>
      <c r="AD82" s="15" t="s">
        <v>131</v>
      </c>
      <c r="AE82" s="15" t="s">
        <v>132</v>
      </c>
      <c r="AF82" s="12">
        <f>IF(AG82="Rejected",0,IF(R82="Corporate Card",0,V82))</f>
        <v>0</v>
      </c>
      <c r="AG82" s="15" t="s">
        <v>133</v>
      </c>
      <c r="AH82" s="16">
        <v>45688</v>
      </c>
      <c r="AI82" s="16">
        <v>45692</v>
      </c>
      <c r="AJ82" s="16">
        <v>45701</v>
      </c>
      <c r="AK82" s="17">
        <f>IF(AJ82="","",AJ82-AH82)</f>
        <v>13</v>
      </c>
    </row>
    <row r="83" spans="1:37">
      <c r="A83" s="2" t="s">
        <v>295</v>
      </c>
      <c r="B83" s="2" t="s">
        <v>248</v>
      </c>
      <c r="C83" s="2" t="s">
        <v>249</v>
      </c>
      <c r="D83" s="2" t="s">
        <v>250</v>
      </c>
      <c r="E83" s="2" t="s">
        <v>251</v>
      </c>
      <c r="F83" s="2" t="s">
        <v>252</v>
      </c>
      <c r="G83" s="2" t="s">
        <v>253</v>
      </c>
      <c r="H83" s="2" t="s">
        <v>254</v>
      </c>
      <c r="I83" s="2" t="s">
        <v>255</v>
      </c>
      <c r="J83" s="2" t="s">
        <v>256</v>
      </c>
      <c r="K83" s="9">
        <v>45667</v>
      </c>
      <c r="L83" s="9">
        <v>45672</v>
      </c>
      <c r="M83" s="9">
        <v>45671</v>
      </c>
      <c r="N83" s="2" t="s">
        <v>125</v>
      </c>
      <c r="O83" s="2" t="s">
        <v>58</v>
      </c>
      <c r="P83" s="2" t="s">
        <v>142</v>
      </c>
      <c r="Q83" s="2" t="s">
        <v>296</v>
      </c>
      <c r="R83" s="2" t="s">
        <v>128</v>
      </c>
      <c r="S83" s="2" t="s">
        <v>259</v>
      </c>
      <c r="T83" s="10">
        <v>8477</v>
      </c>
      <c r="U83" s="11">
        <v>6.5500000000000003E-3</v>
      </c>
      <c r="V83" s="12">
        <f>T83*U83</f>
        <v>55.524350000000005</v>
      </c>
      <c r="W83" s="13">
        <v>0.1</v>
      </c>
      <c r="X83" s="12">
        <f>V83-(V83/(1+W83))</f>
        <v>5.0476681818181888</v>
      </c>
      <c r="Y83" s="12">
        <f>V83-X83</f>
        <v>50.476681818181817</v>
      </c>
      <c r="Z83" s="14">
        <v>60</v>
      </c>
      <c r="AA83" s="2" t="str">
        <f>IF(V83&gt;Z83,"Yes","No")</f>
        <v>No</v>
      </c>
      <c r="AB83" s="12">
        <f>V83-Z83</f>
        <v>-4.4756499999999946</v>
      </c>
      <c r="AC83" s="15" t="s">
        <v>130</v>
      </c>
      <c r="AD83" s="15" t="s">
        <v>130</v>
      </c>
      <c r="AE83" s="15" t="s">
        <v>260</v>
      </c>
      <c r="AF83" s="12">
        <f>IF(AG83="Rejected",0,IF(R83="Corporate Card",0,V83))</f>
        <v>0</v>
      </c>
      <c r="AG83" s="15" t="s">
        <v>133</v>
      </c>
      <c r="AH83" s="16">
        <v>45680</v>
      </c>
      <c r="AI83" s="16">
        <v>45687</v>
      </c>
      <c r="AJ83" s="16">
        <v>45691</v>
      </c>
      <c r="AK83" s="17">
        <f>IF(AJ83="","",AJ83-AH83)</f>
        <v>11</v>
      </c>
    </row>
    <row r="84" spans="1:37">
      <c r="A84" s="2" t="s">
        <v>297</v>
      </c>
      <c r="B84" s="2" t="s">
        <v>248</v>
      </c>
      <c r="C84" s="2" t="s">
        <v>249</v>
      </c>
      <c r="D84" s="2" t="s">
        <v>250</v>
      </c>
      <c r="E84" s="2" t="s">
        <v>251</v>
      </c>
      <c r="F84" s="2" t="s">
        <v>252</v>
      </c>
      <c r="G84" s="2" t="s">
        <v>253</v>
      </c>
      <c r="H84" s="2" t="s">
        <v>254</v>
      </c>
      <c r="I84" s="2" t="s">
        <v>255</v>
      </c>
      <c r="J84" s="2" t="s">
        <v>256</v>
      </c>
      <c r="K84" s="9">
        <v>45667</v>
      </c>
      <c r="L84" s="9">
        <v>45672</v>
      </c>
      <c r="M84" s="9">
        <v>45671</v>
      </c>
      <c r="N84" s="2" t="s">
        <v>125</v>
      </c>
      <c r="O84" s="2" t="s">
        <v>54</v>
      </c>
      <c r="P84" s="2" t="s">
        <v>139</v>
      </c>
      <c r="Q84" s="2" t="s">
        <v>140</v>
      </c>
      <c r="R84" s="2" t="s">
        <v>137</v>
      </c>
      <c r="S84" s="2" t="s">
        <v>259</v>
      </c>
      <c r="T84" s="10">
        <v>2171</v>
      </c>
      <c r="U84" s="11">
        <v>6.5500000000000003E-3</v>
      </c>
      <c r="V84" s="12">
        <f>T84*U84</f>
        <v>14.220050000000001</v>
      </c>
      <c r="W84" s="13">
        <v>0.1</v>
      </c>
      <c r="X84" s="12">
        <f>V84-(V84/(1+W84))</f>
        <v>1.292731818181819</v>
      </c>
      <c r="Y84" s="12">
        <f>V84-X84</f>
        <v>12.927318181818181</v>
      </c>
      <c r="Z84" s="14">
        <v>25</v>
      </c>
      <c r="AA84" s="2" t="str">
        <f>IF(V84&gt;Z84,"Yes","No")</f>
        <v>No</v>
      </c>
      <c r="AB84" s="12">
        <f>V84-Z84</f>
        <v>-10.779949999999999</v>
      </c>
      <c r="AC84" s="15" t="s">
        <v>130</v>
      </c>
      <c r="AD84" s="15" t="s">
        <v>130</v>
      </c>
      <c r="AE84" s="15" t="s">
        <v>260</v>
      </c>
      <c r="AF84" s="12">
        <f>IF(AG84="Rejected",0,IF(R84="Corporate Card",0,V84))</f>
        <v>14.220050000000001</v>
      </c>
      <c r="AG84" s="15" t="s">
        <v>133</v>
      </c>
      <c r="AH84" s="16">
        <v>45680</v>
      </c>
      <c r="AI84" s="16">
        <v>45687</v>
      </c>
      <c r="AJ84" s="16">
        <v>45691</v>
      </c>
      <c r="AK84" s="17">
        <f>IF(AJ84="","",AJ84-AH84)</f>
        <v>11</v>
      </c>
    </row>
    <row r="85" spans="1:37">
      <c r="A85" s="2" t="s">
        <v>298</v>
      </c>
      <c r="B85" s="2" t="s">
        <v>248</v>
      </c>
      <c r="C85" s="2" t="s">
        <v>249</v>
      </c>
      <c r="D85" s="2" t="s">
        <v>250</v>
      </c>
      <c r="E85" s="2" t="s">
        <v>251</v>
      </c>
      <c r="F85" s="2" t="s">
        <v>252</v>
      </c>
      <c r="G85" s="2" t="s">
        <v>253</v>
      </c>
      <c r="H85" s="2" t="s">
        <v>254</v>
      </c>
      <c r="I85" s="2" t="s">
        <v>255</v>
      </c>
      <c r="J85" s="2" t="s">
        <v>256</v>
      </c>
      <c r="K85" s="9">
        <v>45667</v>
      </c>
      <c r="L85" s="9">
        <v>45672</v>
      </c>
      <c r="M85" s="9">
        <v>45671</v>
      </c>
      <c r="N85" s="2" t="s">
        <v>125</v>
      </c>
      <c r="O85" s="2" t="s">
        <v>56</v>
      </c>
      <c r="P85" s="2" t="s">
        <v>151</v>
      </c>
      <c r="Q85" s="2" t="s">
        <v>152</v>
      </c>
      <c r="R85" s="2" t="s">
        <v>137</v>
      </c>
      <c r="S85" s="2" t="s">
        <v>259</v>
      </c>
      <c r="T85" s="10">
        <v>6401</v>
      </c>
      <c r="U85" s="11">
        <v>6.5500000000000003E-3</v>
      </c>
      <c r="V85" s="12">
        <f>T85*U85</f>
        <v>41.926549999999999</v>
      </c>
      <c r="W85" s="13">
        <v>0.1</v>
      </c>
      <c r="X85" s="12">
        <f>V85-(V85/(1+W85))</f>
        <v>3.8115045454545466</v>
      </c>
      <c r="Y85" s="12">
        <f>V85-X85</f>
        <v>38.115045454545452</v>
      </c>
      <c r="Z85" s="14">
        <v>75</v>
      </c>
      <c r="AA85" s="2" t="str">
        <f>IF(V85&gt;Z85,"Yes","No")</f>
        <v>No</v>
      </c>
      <c r="AB85" s="12">
        <f>V85-Z85</f>
        <v>-33.073450000000001</v>
      </c>
      <c r="AC85" s="15" t="s">
        <v>130</v>
      </c>
      <c r="AD85" s="15" t="s">
        <v>130</v>
      </c>
      <c r="AE85" s="15" t="s">
        <v>260</v>
      </c>
      <c r="AF85" s="12">
        <f>IF(AG85="Rejected",0,IF(R85="Corporate Card",0,V85))</f>
        <v>41.926549999999999</v>
      </c>
      <c r="AG85" s="15" t="s">
        <v>133</v>
      </c>
      <c r="AH85" s="16">
        <v>45680</v>
      </c>
      <c r="AI85" s="16">
        <v>45687</v>
      </c>
      <c r="AJ85" s="16">
        <v>45691</v>
      </c>
      <c r="AK85" s="17">
        <f>IF(AJ85="","",AJ85-AH85)</f>
        <v>11</v>
      </c>
    </row>
    <row r="86" spans="1:37">
      <c r="A86" s="2" t="s">
        <v>299</v>
      </c>
      <c r="B86" s="2" t="s">
        <v>248</v>
      </c>
      <c r="C86" s="2" t="s">
        <v>249</v>
      </c>
      <c r="D86" s="2" t="s">
        <v>250</v>
      </c>
      <c r="E86" s="2" t="s">
        <v>251</v>
      </c>
      <c r="F86" s="2" t="s">
        <v>252</v>
      </c>
      <c r="G86" s="2" t="s">
        <v>253</v>
      </c>
      <c r="H86" s="2" t="s">
        <v>254</v>
      </c>
      <c r="I86" s="2" t="s">
        <v>255</v>
      </c>
      <c r="J86" s="2" t="s">
        <v>256</v>
      </c>
      <c r="K86" s="9">
        <v>45667</v>
      </c>
      <c r="L86" s="9">
        <v>45672</v>
      </c>
      <c r="M86" s="9">
        <v>45671</v>
      </c>
      <c r="N86" s="2" t="s">
        <v>125</v>
      </c>
      <c r="O86" s="2" t="s">
        <v>55</v>
      </c>
      <c r="P86" s="2" t="s">
        <v>139</v>
      </c>
      <c r="Q86" s="2" t="s">
        <v>217</v>
      </c>
      <c r="R86" s="2" t="s">
        <v>128</v>
      </c>
      <c r="S86" s="2" t="s">
        <v>259</v>
      </c>
      <c r="T86" s="10">
        <v>2022</v>
      </c>
      <c r="U86" s="11">
        <v>6.5500000000000003E-3</v>
      </c>
      <c r="V86" s="12">
        <f>T86*U86</f>
        <v>13.244100000000001</v>
      </c>
      <c r="W86" s="13">
        <v>0.1</v>
      </c>
      <c r="X86" s="12">
        <f>V86-(V86/(1+W86))</f>
        <v>1.2040090909090928</v>
      </c>
      <c r="Y86" s="12">
        <f>V86-X86</f>
        <v>12.040090909090909</v>
      </c>
      <c r="Z86" s="14">
        <v>35</v>
      </c>
      <c r="AA86" s="2" t="str">
        <f>IF(V86&gt;Z86,"Yes","No")</f>
        <v>No</v>
      </c>
      <c r="AB86" s="12">
        <f>V86-Z86</f>
        <v>-21.755899999999997</v>
      </c>
      <c r="AC86" s="15" t="s">
        <v>130</v>
      </c>
      <c r="AD86" s="15" t="s">
        <v>130</v>
      </c>
      <c r="AE86" s="15" t="s">
        <v>260</v>
      </c>
      <c r="AF86" s="12">
        <f>IF(AG86="Rejected",0,IF(R86="Corporate Card",0,V86))</f>
        <v>0</v>
      </c>
      <c r="AG86" s="15" t="s">
        <v>133</v>
      </c>
      <c r="AH86" s="16">
        <v>45680</v>
      </c>
      <c r="AI86" s="16">
        <v>45687</v>
      </c>
      <c r="AJ86" s="16">
        <v>45691</v>
      </c>
      <c r="AK86" s="17">
        <f>IF(AJ86="","",AJ86-AH86)</f>
        <v>11</v>
      </c>
    </row>
    <row r="87" spans="1:37">
      <c r="A87" s="2" t="s">
        <v>300</v>
      </c>
      <c r="B87" s="2" t="s">
        <v>287</v>
      </c>
      <c r="C87" s="2" t="s">
        <v>288</v>
      </c>
      <c r="D87" s="2" t="s">
        <v>171</v>
      </c>
      <c r="E87" s="2" t="s">
        <v>289</v>
      </c>
      <c r="F87" s="2" t="s">
        <v>173</v>
      </c>
      <c r="G87" s="2" t="s">
        <v>290</v>
      </c>
      <c r="H87" s="2" t="s">
        <v>291</v>
      </c>
      <c r="I87" s="2" t="s">
        <v>255</v>
      </c>
      <c r="J87" s="2" t="s">
        <v>256</v>
      </c>
      <c r="K87" s="9">
        <v>45670</v>
      </c>
      <c r="L87" s="9">
        <v>45677</v>
      </c>
      <c r="M87" s="9">
        <v>45671</v>
      </c>
      <c r="N87" s="2" t="s">
        <v>125</v>
      </c>
      <c r="O87" s="2" t="s">
        <v>59</v>
      </c>
      <c r="P87" s="2" t="s">
        <v>301</v>
      </c>
      <c r="Q87" s="2" t="s">
        <v>302</v>
      </c>
      <c r="R87" s="2" t="s">
        <v>137</v>
      </c>
      <c r="S87" s="2" t="s">
        <v>259</v>
      </c>
      <c r="T87" s="10">
        <v>20929</v>
      </c>
      <c r="U87" s="11">
        <v>6.5500000000000003E-3</v>
      </c>
      <c r="V87" s="12">
        <f>T87*U87</f>
        <v>137.08494999999999</v>
      </c>
      <c r="W87" s="13">
        <v>0.1</v>
      </c>
      <c r="X87" s="12">
        <f>V87-(V87/(1+W87))</f>
        <v>12.462268181818189</v>
      </c>
      <c r="Y87" s="12">
        <f>V87-X87</f>
        <v>124.6226818181818</v>
      </c>
      <c r="Z87" s="14">
        <v>150</v>
      </c>
      <c r="AA87" s="2" t="str">
        <f>IF(V87&gt;Z87,"Yes","No")</f>
        <v>No</v>
      </c>
      <c r="AB87" s="12">
        <f>V87-Z87</f>
        <v>-12.915050000000008</v>
      </c>
      <c r="AC87" s="15" t="s">
        <v>130</v>
      </c>
      <c r="AD87" s="15" t="s">
        <v>131</v>
      </c>
      <c r="AE87" s="15" t="s">
        <v>132</v>
      </c>
      <c r="AF87" s="12">
        <f>IF(AG87="Rejected",0,IF(R87="Corporate Card",0,V87))</f>
        <v>137.08494999999999</v>
      </c>
      <c r="AG87" s="15" t="s">
        <v>133</v>
      </c>
      <c r="AH87" s="16">
        <v>45688</v>
      </c>
      <c r="AI87" s="16">
        <v>45692</v>
      </c>
      <c r="AJ87" s="16">
        <v>45701</v>
      </c>
      <c r="AK87" s="17">
        <f>IF(AJ87="","",AJ87-AH87)</f>
        <v>13</v>
      </c>
    </row>
    <row r="88" spans="1:37">
      <c r="A88" s="2" t="s">
        <v>303</v>
      </c>
      <c r="B88" s="2" t="s">
        <v>287</v>
      </c>
      <c r="C88" s="2" t="s">
        <v>288</v>
      </c>
      <c r="D88" s="2" t="s">
        <v>171</v>
      </c>
      <c r="E88" s="2" t="s">
        <v>289</v>
      </c>
      <c r="F88" s="2" t="s">
        <v>173</v>
      </c>
      <c r="G88" s="2" t="s">
        <v>290</v>
      </c>
      <c r="H88" s="2" t="s">
        <v>291</v>
      </c>
      <c r="I88" s="2" t="s">
        <v>255</v>
      </c>
      <c r="J88" s="2" t="s">
        <v>256</v>
      </c>
      <c r="K88" s="9">
        <v>45670</v>
      </c>
      <c r="L88" s="9">
        <v>45677</v>
      </c>
      <c r="M88" s="9">
        <v>45671</v>
      </c>
      <c r="N88" s="2" t="s">
        <v>125</v>
      </c>
      <c r="O88" s="2" t="s">
        <v>58</v>
      </c>
      <c r="P88" s="2" t="s">
        <v>142</v>
      </c>
      <c r="Q88" s="2" t="s">
        <v>203</v>
      </c>
      <c r="R88" s="2" t="s">
        <v>128</v>
      </c>
      <c r="S88" s="2" t="s">
        <v>259</v>
      </c>
      <c r="T88" s="10">
        <v>3750</v>
      </c>
      <c r="U88" s="11">
        <v>6.5500000000000003E-3</v>
      </c>
      <c r="V88" s="12">
        <f>T88*U88</f>
        <v>24.5625</v>
      </c>
      <c r="W88" s="13">
        <v>0.1</v>
      </c>
      <c r="X88" s="12">
        <f>V88-(V88/(1+W88))</f>
        <v>2.2329545454545467</v>
      </c>
      <c r="Y88" s="12">
        <f>V88-X88</f>
        <v>22.329545454545453</v>
      </c>
      <c r="Z88" s="14">
        <v>60</v>
      </c>
      <c r="AA88" s="2" t="str">
        <f>IF(V88&gt;Z88,"Yes","No")</f>
        <v>No</v>
      </c>
      <c r="AB88" s="12">
        <f>V88-Z88</f>
        <v>-35.4375</v>
      </c>
      <c r="AC88" s="15" t="s">
        <v>130</v>
      </c>
      <c r="AD88" s="15" t="s">
        <v>131</v>
      </c>
      <c r="AE88" s="15" t="s">
        <v>132</v>
      </c>
      <c r="AF88" s="12">
        <f>IF(AG88="Rejected",0,IF(R88="Corporate Card",0,V88))</f>
        <v>0</v>
      </c>
      <c r="AG88" s="15" t="s">
        <v>133</v>
      </c>
      <c r="AH88" s="16">
        <v>45688</v>
      </c>
      <c r="AI88" s="16">
        <v>45692</v>
      </c>
      <c r="AJ88" s="16">
        <v>45701</v>
      </c>
      <c r="AK88" s="17">
        <f>IF(AJ88="","",AJ88-AH88)</f>
        <v>13</v>
      </c>
    </row>
    <row r="89" spans="1:37">
      <c r="A89" s="2" t="s">
        <v>304</v>
      </c>
      <c r="B89" s="2" t="s">
        <v>287</v>
      </c>
      <c r="C89" s="2" t="s">
        <v>288</v>
      </c>
      <c r="D89" s="2" t="s">
        <v>171</v>
      </c>
      <c r="E89" s="2" t="s">
        <v>289</v>
      </c>
      <c r="F89" s="2" t="s">
        <v>173</v>
      </c>
      <c r="G89" s="2" t="s">
        <v>290</v>
      </c>
      <c r="H89" s="2" t="s">
        <v>291</v>
      </c>
      <c r="I89" s="2" t="s">
        <v>255</v>
      </c>
      <c r="J89" s="2" t="s">
        <v>256</v>
      </c>
      <c r="K89" s="9">
        <v>45670</v>
      </c>
      <c r="L89" s="9">
        <v>45677</v>
      </c>
      <c r="M89" s="9">
        <v>45671</v>
      </c>
      <c r="N89" s="2" t="s">
        <v>125</v>
      </c>
      <c r="O89" s="2" t="s">
        <v>53</v>
      </c>
      <c r="P89" s="2" t="s">
        <v>208</v>
      </c>
      <c r="Q89" s="2" t="s">
        <v>305</v>
      </c>
      <c r="R89" s="2" t="s">
        <v>128</v>
      </c>
      <c r="S89" s="2" t="s">
        <v>259</v>
      </c>
      <c r="T89" s="10">
        <v>211709</v>
      </c>
      <c r="U89" s="11">
        <v>6.5500000000000003E-3</v>
      </c>
      <c r="V89" s="12">
        <f>T89*U89</f>
        <v>1386.6939500000001</v>
      </c>
      <c r="W89" s="13">
        <v>0.1</v>
      </c>
      <c r="X89" s="12">
        <f>V89-(V89/(1+W89))</f>
        <v>126.06308636363656</v>
      </c>
      <c r="Y89" s="12">
        <f>V89-X89</f>
        <v>1260.6308636363635</v>
      </c>
      <c r="Z89" s="14">
        <v>1960</v>
      </c>
      <c r="AA89" s="2" t="str">
        <f>IF(V89&gt;Z89,"Yes","No")</f>
        <v>No</v>
      </c>
      <c r="AB89" s="12">
        <f>V89-Z89</f>
        <v>-573.30604999999991</v>
      </c>
      <c r="AC89" s="15" t="s">
        <v>130</v>
      </c>
      <c r="AD89" s="15" t="s">
        <v>131</v>
      </c>
      <c r="AE89" s="15" t="s">
        <v>132</v>
      </c>
      <c r="AF89" s="12">
        <f>IF(AG89="Rejected",0,IF(R89="Corporate Card",0,V89))</f>
        <v>0</v>
      </c>
      <c r="AG89" s="15" t="s">
        <v>133</v>
      </c>
      <c r="AH89" s="16">
        <v>45688</v>
      </c>
      <c r="AI89" s="16">
        <v>45692</v>
      </c>
      <c r="AJ89" s="16">
        <v>45701</v>
      </c>
      <c r="AK89" s="17">
        <f>IF(AJ89="","",AJ89-AH89)</f>
        <v>13</v>
      </c>
    </row>
    <row r="90" spans="1:37">
      <c r="A90" s="2" t="s">
        <v>306</v>
      </c>
      <c r="B90" s="2" t="s">
        <v>287</v>
      </c>
      <c r="C90" s="2" t="s">
        <v>288</v>
      </c>
      <c r="D90" s="2" t="s">
        <v>171</v>
      </c>
      <c r="E90" s="2" t="s">
        <v>289</v>
      </c>
      <c r="F90" s="2" t="s">
        <v>173</v>
      </c>
      <c r="G90" s="2" t="s">
        <v>290</v>
      </c>
      <c r="H90" s="2" t="s">
        <v>291</v>
      </c>
      <c r="I90" s="2" t="s">
        <v>255</v>
      </c>
      <c r="J90" s="2" t="s">
        <v>256</v>
      </c>
      <c r="K90" s="9">
        <v>45670</v>
      </c>
      <c r="L90" s="9">
        <v>45677</v>
      </c>
      <c r="M90" s="9">
        <v>45671</v>
      </c>
      <c r="N90" s="2" t="s">
        <v>125</v>
      </c>
      <c r="O90" s="2" t="s">
        <v>65</v>
      </c>
      <c r="P90" s="2" t="s">
        <v>211</v>
      </c>
      <c r="Q90" s="2" t="s">
        <v>212</v>
      </c>
      <c r="R90" s="2" t="s">
        <v>149</v>
      </c>
      <c r="S90" s="2" t="s">
        <v>259</v>
      </c>
      <c r="T90" s="10">
        <v>4419</v>
      </c>
      <c r="U90" s="11">
        <v>6.5500000000000003E-3</v>
      </c>
      <c r="V90" s="12">
        <f>T90*U90</f>
        <v>28.94445</v>
      </c>
      <c r="W90" s="13">
        <v>0.1</v>
      </c>
      <c r="X90" s="12">
        <f>V90-(V90/(1+W90))</f>
        <v>2.6313136363636396</v>
      </c>
      <c r="Y90" s="12">
        <f>V90-X90</f>
        <v>26.31313636363636</v>
      </c>
      <c r="Z90" s="14">
        <v>55</v>
      </c>
      <c r="AA90" s="2" t="str">
        <f>IF(V90&gt;Z90,"Yes","No")</f>
        <v>No</v>
      </c>
      <c r="AB90" s="12">
        <f>V90-Z90</f>
        <v>-26.05555</v>
      </c>
      <c r="AC90" s="15" t="s">
        <v>131</v>
      </c>
      <c r="AD90" s="15" t="s">
        <v>131</v>
      </c>
      <c r="AE90" s="15" t="s">
        <v>132</v>
      </c>
      <c r="AF90" s="12">
        <f>IF(AG90="Rejected",0,IF(R90="Corporate Card",0,V90))</f>
        <v>28.94445</v>
      </c>
      <c r="AG90" s="15" t="s">
        <v>133</v>
      </c>
      <c r="AH90" s="16">
        <v>45688</v>
      </c>
      <c r="AI90" s="16">
        <v>45692</v>
      </c>
      <c r="AJ90" s="16">
        <v>45701</v>
      </c>
      <c r="AK90" s="17">
        <f>IF(AJ90="","",AJ90-AH90)</f>
        <v>13</v>
      </c>
    </row>
    <row r="91" spans="1:37">
      <c r="A91" s="2" t="s">
        <v>307</v>
      </c>
      <c r="B91" s="2" t="s">
        <v>287</v>
      </c>
      <c r="C91" s="2" t="s">
        <v>288</v>
      </c>
      <c r="D91" s="2" t="s">
        <v>171</v>
      </c>
      <c r="E91" s="2" t="s">
        <v>289</v>
      </c>
      <c r="F91" s="2" t="s">
        <v>173</v>
      </c>
      <c r="G91" s="2" t="s">
        <v>290</v>
      </c>
      <c r="H91" s="2" t="s">
        <v>291</v>
      </c>
      <c r="I91" s="2" t="s">
        <v>255</v>
      </c>
      <c r="J91" s="2" t="s">
        <v>256</v>
      </c>
      <c r="K91" s="9">
        <v>45670</v>
      </c>
      <c r="L91" s="9">
        <v>45677</v>
      </c>
      <c r="M91" s="9">
        <v>45671</v>
      </c>
      <c r="N91" s="2" t="s">
        <v>125</v>
      </c>
      <c r="O91" s="2" t="s">
        <v>54</v>
      </c>
      <c r="P91" s="2" t="s">
        <v>139</v>
      </c>
      <c r="Q91" s="2" t="s">
        <v>148</v>
      </c>
      <c r="R91" s="2" t="s">
        <v>128</v>
      </c>
      <c r="S91" s="2" t="s">
        <v>259</v>
      </c>
      <c r="T91" s="10">
        <v>3739</v>
      </c>
      <c r="U91" s="11">
        <v>6.5500000000000003E-3</v>
      </c>
      <c r="V91" s="12">
        <f>T91*U91</f>
        <v>24.490450000000003</v>
      </c>
      <c r="W91" s="13">
        <v>0.1</v>
      </c>
      <c r="X91" s="12">
        <f>V91-(V91/(1+W91))</f>
        <v>2.226404545454546</v>
      </c>
      <c r="Y91" s="12">
        <f>V91-X91</f>
        <v>22.264045454545457</v>
      </c>
      <c r="Z91" s="14">
        <v>25</v>
      </c>
      <c r="AA91" s="2" t="str">
        <f>IF(V91&gt;Z91,"Yes","No")</f>
        <v>No</v>
      </c>
      <c r="AB91" s="12">
        <f>V91-Z91</f>
        <v>-0.50954999999999728</v>
      </c>
      <c r="AC91" s="15" t="s">
        <v>130</v>
      </c>
      <c r="AD91" s="15" t="s">
        <v>131</v>
      </c>
      <c r="AE91" s="15" t="s">
        <v>132</v>
      </c>
      <c r="AF91" s="12">
        <f>IF(AG91="Rejected",0,IF(R91="Corporate Card",0,V91))</f>
        <v>0</v>
      </c>
      <c r="AG91" s="15" t="s">
        <v>133</v>
      </c>
      <c r="AH91" s="16">
        <v>45688</v>
      </c>
      <c r="AI91" s="16">
        <v>45692</v>
      </c>
      <c r="AJ91" s="16">
        <v>45701</v>
      </c>
      <c r="AK91" s="17">
        <f>IF(AJ91="","",AJ91-AH91)</f>
        <v>13</v>
      </c>
    </row>
    <row r="92" spans="1:37">
      <c r="A92" s="2" t="s">
        <v>308</v>
      </c>
      <c r="B92" s="2" t="s">
        <v>287</v>
      </c>
      <c r="C92" s="2" t="s">
        <v>288</v>
      </c>
      <c r="D92" s="2" t="s">
        <v>171</v>
      </c>
      <c r="E92" s="2" t="s">
        <v>289</v>
      </c>
      <c r="F92" s="2" t="s">
        <v>173</v>
      </c>
      <c r="G92" s="2" t="s">
        <v>290</v>
      </c>
      <c r="H92" s="2" t="s">
        <v>291</v>
      </c>
      <c r="I92" s="2" t="s">
        <v>255</v>
      </c>
      <c r="J92" s="2" t="s">
        <v>256</v>
      </c>
      <c r="K92" s="9">
        <v>45670</v>
      </c>
      <c r="L92" s="9">
        <v>45677</v>
      </c>
      <c r="M92" s="9">
        <v>45671</v>
      </c>
      <c r="N92" s="2" t="s">
        <v>125</v>
      </c>
      <c r="O92" s="2" t="s">
        <v>55</v>
      </c>
      <c r="P92" s="2" t="s">
        <v>139</v>
      </c>
      <c r="Q92" s="2" t="s">
        <v>154</v>
      </c>
      <c r="R92" s="2" t="s">
        <v>128</v>
      </c>
      <c r="S92" s="2" t="s">
        <v>259</v>
      </c>
      <c r="T92" s="10">
        <v>2080</v>
      </c>
      <c r="U92" s="11">
        <v>6.5500000000000003E-3</v>
      </c>
      <c r="V92" s="12">
        <f>T92*U92</f>
        <v>13.624000000000001</v>
      </c>
      <c r="W92" s="13">
        <v>0.1</v>
      </c>
      <c r="X92" s="12">
        <f>V92-(V92/(1+W92))</f>
        <v>1.2385454545454557</v>
      </c>
      <c r="Y92" s="12">
        <f>V92-X92</f>
        <v>12.385454545454545</v>
      </c>
      <c r="Z92" s="14">
        <v>35</v>
      </c>
      <c r="AA92" s="2" t="str">
        <f>IF(V92&gt;Z92,"Yes","No")</f>
        <v>No</v>
      </c>
      <c r="AB92" s="12">
        <f>V92-Z92</f>
        <v>-21.375999999999998</v>
      </c>
      <c r="AC92" s="15" t="s">
        <v>130</v>
      </c>
      <c r="AD92" s="15" t="s">
        <v>131</v>
      </c>
      <c r="AE92" s="15" t="s">
        <v>132</v>
      </c>
      <c r="AF92" s="12">
        <f>IF(AG92="Rejected",0,IF(R92="Corporate Card",0,V92))</f>
        <v>0</v>
      </c>
      <c r="AG92" s="15" t="s">
        <v>133</v>
      </c>
      <c r="AH92" s="16">
        <v>45688</v>
      </c>
      <c r="AI92" s="16">
        <v>45692</v>
      </c>
      <c r="AJ92" s="16">
        <v>45701</v>
      </c>
      <c r="AK92" s="17">
        <f>IF(AJ92="","",AJ92-AH92)</f>
        <v>13</v>
      </c>
    </row>
    <row r="93" spans="1:37">
      <c r="A93" s="2" t="s">
        <v>309</v>
      </c>
      <c r="B93" s="2" t="s">
        <v>310</v>
      </c>
      <c r="C93" s="2" t="s">
        <v>311</v>
      </c>
      <c r="D93" s="2" t="s">
        <v>118</v>
      </c>
      <c r="E93" s="2" t="s">
        <v>312</v>
      </c>
      <c r="F93" s="2" t="s">
        <v>313</v>
      </c>
      <c r="G93" s="2" t="s">
        <v>314</v>
      </c>
      <c r="H93" s="2" t="s">
        <v>291</v>
      </c>
      <c r="I93" s="2" t="s">
        <v>315</v>
      </c>
      <c r="J93" s="2" t="s">
        <v>316</v>
      </c>
      <c r="K93" s="9">
        <v>45671</v>
      </c>
      <c r="L93" s="9">
        <v>45676</v>
      </c>
      <c r="M93" s="9">
        <v>45671</v>
      </c>
      <c r="N93" s="2" t="s">
        <v>125</v>
      </c>
      <c r="O93" s="2" t="s">
        <v>52</v>
      </c>
      <c r="P93" s="2" t="s">
        <v>317</v>
      </c>
      <c r="Q93" s="2" t="s">
        <v>258</v>
      </c>
      <c r="R93" s="2" t="s">
        <v>128</v>
      </c>
      <c r="S93" s="2" t="s">
        <v>318</v>
      </c>
      <c r="T93" s="10">
        <v>7195.79</v>
      </c>
      <c r="U93" s="11">
        <v>0.27229999999999999</v>
      </c>
      <c r="V93" s="12">
        <f>T93*U93</f>
        <v>1959.4136169999999</v>
      </c>
      <c r="W93" s="13">
        <v>0</v>
      </c>
      <c r="X93" s="12">
        <f>V93-(V93/(1+W93))</f>
        <v>0</v>
      </c>
      <c r="Y93" s="12">
        <f>V93-X93</f>
        <v>1959.4136169999999</v>
      </c>
      <c r="Z93" s="14">
        <v>1400</v>
      </c>
      <c r="AA93" s="2" t="str">
        <f>IF(V93&gt;Z93,"Yes","No")</f>
        <v>Yes</v>
      </c>
      <c r="AB93" s="12">
        <f>V93-Z93</f>
        <v>559.41361699999993</v>
      </c>
      <c r="AC93" s="15" t="s">
        <v>130</v>
      </c>
      <c r="AD93" s="15" t="s">
        <v>131</v>
      </c>
      <c r="AE93" s="15" t="s">
        <v>132</v>
      </c>
      <c r="AF93" s="12">
        <f>IF(AG93="Rejected",0,IF(R93="Corporate Card",0,V93))</f>
        <v>0</v>
      </c>
      <c r="AG93" s="15" t="s">
        <v>133</v>
      </c>
      <c r="AH93" s="16">
        <v>45683</v>
      </c>
      <c r="AI93" s="16">
        <v>45685</v>
      </c>
      <c r="AJ93" s="16">
        <v>45698</v>
      </c>
      <c r="AK93" s="17">
        <f>IF(AJ93="","",AJ93-AH93)</f>
        <v>15</v>
      </c>
    </row>
    <row r="94" spans="1:37">
      <c r="A94" s="2" t="s">
        <v>319</v>
      </c>
      <c r="B94" s="2" t="s">
        <v>310</v>
      </c>
      <c r="C94" s="2" t="s">
        <v>311</v>
      </c>
      <c r="D94" s="2" t="s">
        <v>118</v>
      </c>
      <c r="E94" s="2" t="s">
        <v>312</v>
      </c>
      <c r="F94" s="2" t="s">
        <v>313</v>
      </c>
      <c r="G94" s="2" t="s">
        <v>314</v>
      </c>
      <c r="H94" s="2" t="s">
        <v>291</v>
      </c>
      <c r="I94" s="2" t="s">
        <v>315</v>
      </c>
      <c r="J94" s="2" t="s">
        <v>316</v>
      </c>
      <c r="K94" s="9">
        <v>45671</v>
      </c>
      <c r="L94" s="9">
        <v>45676</v>
      </c>
      <c r="M94" s="9">
        <v>45671</v>
      </c>
      <c r="N94" s="2" t="s">
        <v>125</v>
      </c>
      <c r="O94" s="2" t="s">
        <v>56</v>
      </c>
      <c r="P94" s="2" t="s">
        <v>151</v>
      </c>
      <c r="Q94" s="2" t="s">
        <v>227</v>
      </c>
      <c r="R94" s="2" t="s">
        <v>137</v>
      </c>
      <c r="S94" s="2" t="s">
        <v>318</v>
      </c>
      <c r="T94" s="10">
        <v>198.71</v>
      </c>
      <c r="U94" s="11">
        <v>0.27229999999999999</v>
      </c>
      <c r="V94" s="12">
        <f>T94*U94</f>
        <v>54.108733000000001</v>
      </c>
      <c r="W94" s="13">
        <v>0.05</v>
      </c>
      <c r="X94" s="12">
        <f>V94-(V94/(1+W94))</f>
        <v>2.5766063333333378</v>
      </c>
      <c r="Y94" s="12">
        <f>V94-X94</f>
        <v>51.532126666666663</v>
      </c>
      <c r="Z94" s="14">
        <v>75</v>
      </c>
      <c r="AA94" s="2" t="str">
        <f>IF(V94&gt;Z94,"Yes","No")</f>
        <v>No</v>
      </c>
      <c r="AB94" s="12">
        <f>V94-Z94</f>
        <v>-20.891266999999999</v>
      </c>
      <c r="AC94" s="15" t="s">
        <v>130</v>
      </c>
      <c r="AD94" s="15" t="s">
        <v>131</v>
      </c>
      <c r="AE94" s="15" t="s">
        <v>132</v>
      </c>
      <c r="AF94" s="12">
        <f>IF(AG94="Rejected",0,IF(R94="Corporate Card",0,V94))</f>
        <v>54.108733000000001</v>
      </c>
      <c r="AG94" s="15" t="s">
        <v>133</v>
      </c>
      <c r="AH94" s="16">
        <v>45683</v>
      </c>
      <c r="AI94" s="16">
        <v>45685</v>
      </c>
      <c r="AJ94" s="16">
        <v>45698</v>
      </c>
      <c r="AK94" s="17">
        <f>IF(AJ94="","",AJ94-AH94)</f>
        <v>15</v>
      </c>
    </row>
    <row r="95" spans="1:37">
      <c r="A95" s="2" t="s">
        <v>320</v>
      </c>
      <c r="B95" s="2" t="s">
        <v>310</v>
      </c>
      <c r="C95" s="2" t="s">
        <v>311</v>
      </c>
      <c r="D95" s="2" t="s">
        <v>118</v>
      </c>
      <c r="E95" s="2" t="s">
        <v>312</v>
      </c>
      <c r="F95" s="2" t="s">
        <v>313</v>
      </c>
      <c r="G95" s="2" t="s">
        <v>314</v>
      </c>
      <c r="H95" s="2" t="s">
        <v>291</v>
      </c>
      <c r="I95" s="2" t="s">
        <v>315</v>
      </c>
      <c r="J95" s="2" t="s">
        <v>316</v>
      </c>
      <c r="K95" s="9">
        <v>45671</v>
      </c>
      <c r="L95" s="9">
        <v>45676</v>
      </c>
      <c r="M95" s="9">
        <v>45671</v>
      </c>
      <c r="N95" s="2" t="s">
        <v>125</v>
      </c>
      <c r="O95" s="2" t="s">
        <v>55</v>
      </c>
      <c r="P95" s="2" t="s">
        <v>139</v>
      </c>
      <c r="Q95" s="2" t="s">
        <v>161</v>
      </c>
      <c r="R95" s="2" t="s">
        <v>128</v>
      </c>
      <c r="S95" s="2" t="s">
        <v>318</v>
      </c>
      <c r="T95" s="10">
        <v>76.34</v>
      </c>
      <c r="U95" s="11">
        <v>0.27229999999999999</v>
      </c>
      <c r="V95" s="12">
        <f>T95*U95</f>
        <v>20.787382000000001</v>
      </c>
      <c r="W95" s="13">
        <v>0.05</v>
      </c>
      <c r="X95" s="12">
        <f>V95-(V95/(1+W95))</f>
        <v>0.98987533333333388</v>
      </c>
      <c r="Y95" s="12">
        <f>V95-X95</f>
        <v>19.797506666666667</v>
      </c>
      <c r="Z95" s="14">
        <v>35</v>
      </c>
      <c r="AA95" s="2" t="str">
        <f>IF(V95&gt;Z95,"Yes","No")</f>
        <v>No</v>
      </c>
      <c r="AB95" s="12">
        <f>V95-Z95</f>
        <v>-14.212617999999999</v>
      </c>
      <c r="AC95" s="15" t="s">
        <v>131</v>
      </c>
      <c r="AD95" s="15" t="s">
        <v>131</v>
      </c>
      <c r="AE95" s="15" t="s">
        <v>132</v>
      </c>
      <c r="AF95" s="12">
        <f>IF(AG95="Rejected",0,IF(R95="Corporate Card",0,V95))</f>
        <v>0</v>
      </c>
      <c r="AG95" s="15" t="s">
        <v>133</v>
      </c>
      <c r="AH95" s="16">
        <v>45683</v>
      </c>
      <c r="AI95" s="16">
        <v>45685</v>
      </c>
      <c r="AJ95" s="16">
        <v>45698</v>
      </c>
      <c r="AK95" s="17">
        <f>IF(AJ95="","",AJ95-AH95)</f>
        <v>15</v>
      </c>
    </row>
    <row r="96" spans="1:37">
      <c r="A96" s="2" t="s">
        <v>321</v>
      </c>
      <c r="B96" s="2" t="s">
        <v>248</v>
      </c>
      <c r="C96" s="2" t="s">
        <v>249</v>
      </c>
      <c r="D96" s="2" t="s">
        <v>250</v>
      </c>
      <c r="E96" s="2" t="s">
        <v>251</v>
      </c>
      <c r="F96" s="2" t="s">
        <v>252</v>
      </c>
      <c r="G96" s="2" t="s">
        <v>253</v>
      </c>
      <c r="H96" s="2" t="s">
        <v>254</v>
      </c>
      <c r="I96" s="2" t="s">
        <v>255</v>
      </c>
      <c r="J96" s="2" t="s">
        <v>256</v>
      </c>
      <c r="K96" s="9">
        <v>45667</v>
      </c>
      <c r="L96" s="9">
        <v>45672</v>
      </c>
      <c r="M96" s="9">
        <v>45672</v>
      </c>
      <c r="N96" s="2" t="s">
        <v>125</v>
      </c>
      <c r="O96" s="2" t="s">
        <v>58</v>
      </c>
      <c r="P96" s="2" t="s">
        <v>142</v>
      </c>
      <c r="Q96" s="2" t="s">
        <v>224</v>
      </c>
      <c r="R96" s="2" t="s">
        <v>149</v>
      </c>
      <c r="S96" s="2" t="s">
        <v>259</v>
      </c>
      <c r="T96" s="10">
        <v>7485</v>
      </c>
      <c r="U96" s="11">
        <v>6.5500000000000003E-3</v>
      </c>
      <c r="V96" s="12">
        <f>T96*U96</f>
        <v>49.02675</v>
      </c>
      <c r="W96" s="13">
        <v>0.1</v>
      </c>
      <c r="X96" s="12">
        <f>V96-(V96/(1+W96))</f>
        <v>4.4569772727272792</v>
      </c>
      <c r="Y96" s="12">
        <f>V96-X96</f>
        <v>44.569772727272721</v>
      </c>
      <c r="Z96" s="14">
        <v>60</v>
      </c>
      <c r="AA96" s="2" t="str">
        <f>IF(V96&gt;Z96,"Yes","No")</f>
        <v>No</v>
      </c>
      <c r="AB96" s="12">
        <f>V96-Z96</f>
        <v>-10.97325</v>
      </c>
      <c r="AC96" s="15" t="s">
        <v>130</v>
      </c>
      <c r="AD96" s="15" t="s">
        <v>130</v>
      </c>
      <c r="AE96" s="15" t="s">
        <v>260</v>
      </c>
      <c r="AF96" s="12">
        <f>IF(AG96="Rejected",0,IF(R96="Corporate Card",0,V96))</f>
        <v>49.02675</v>
      </c>
      <c r="AG96" s="15" t="s">
        <v>133</v>
      </c>
      <c r="AH96" s="16">
        <v>45680</v>
      </c>
      <c r="AI96" s="16">
        <v>45687</v>
      </c>
      <c r="AJ96" s="16">
        <v>45691</v>
      </c>
      <c r="AK96" s="17">
        <f>IF(AJ96="","",AJ96-AH96)</f>
        <v>11</v>
      </c>
    </row>
    <row r="97" spans="1:37">
      <c r="A97" s="2" t="s">
        <v>322</v>
      </c>
      <c r="B97" s="2" t="s">
        <v>248</v>
      </c>
      <c r="C97" s="2" t="s">
        <v>249</v>
      </c>
      <c r="D97" s="2" t="s">
        <v>250</v>
      </c>
      <c r="E97" s="2" t="s">
        <v>251</v>
      </c>
      <c r="F97" s="2" t="s">
        <v>252</v>
      </c>
      <c r="G97" s="2" t="s">
        <v>253</v>
      </c>
      <c r="H97" s="2" t="s">
        <v>254</v>
      </c>
      <c r="I97" s="2" t="s">
        <v>255</v>
      </c>
      <c r="J97" s="2" t="s">
        <v>256</v>
      </c>
      <c r="K97" s="9">
        <v>45667</v>
      </c>
      <c r="L97" s="9">
        <v>45672</v>
      </c>
      <c r="M97" s="9">
        <v>45672</v>
      </c>
      <c r="N97" s="2" t="s">
        <v>125</v>
      </c>
      <c r="O97" s="2" t="s">
        <v>55</v>
      </c>
      <c r="P97" s="2" t="s">
        <v>139</v>
      </c>
      <c r="Q97" s="2" t="s">
        <v>161</v>
      </c>
      <c r="R97" s="2" t="s">
        <v>128</v>
      </c>
      <c r="S97" s="2" t="s">
        <v>259</v>
      </c>
      <c r="T97" s="10">
        <v>2680</v>
      </c>
      <c r="U97" s="11">
        <v>6.5500000000000003E-3</v>
      </c>
      <c r="V97" s="12">
        <f>T97*U97</f>
        <v>17.554000000000002</v>
      </c>
      <c r="W97" s="13">
        <v>0.1</v>
      </c>
      <c r="X97" s="12">
        <f>V97-(V97/(1+W97))</f>
        <v>1.5958181818181831</v>
      </c>
      <c r="Y97" s="12">
        <f>V97-X97</f>
        <v>15.958181818181819</v>
      </c>
      <c r="Z97" s="14">
        <v>35</v>
      </c>
      <c r="AA97" s="2" t="str">
        <f>IF(V97&gt;Z97,"Yes","No")</f>
        <v>No</v>
      </c>
      <c r="AB97" s="12">
        <f>V97-Z97</f>
        <v>-17.445999999999998</v>
      </c>
      <c r="AC97" s="15" t="s">
        <v>130</v>
      </c>
      <c r="AD97" s="15" t="s">
        <v>130</v>
      </c>
      <c r="AE97" s="15" t="s">
        <v>260</v>
      </c>
      <c r="AF97" s="12">
        <f>IF(AG97="Rejected",0,IF(R97="Corporate Card",0,V97))</f>
        <v>0</v>
      </c>
      <c r="AG97" s="15" t="s">
        <v>133</v>
      </c>
      <c r="AH97" s="16">
        <v>45680</v>
      </c>
      <c r="AI97" s="16">
        <v>45687</v>
      </c>
      <c r="AJ97" s="16">
        <v>45691</v>
      </c>
      <c r="AK97" s="17">
        <f>IF(AJ97="","",AJ97-AH97)</f>
        <v>11</v>
      </c>
    </row>
    <row r="98" spans="1:37">
      <c r="A98" s="2" t="s">
        <v>323</v>
      </c>
      <c r="B98" s="2" t="s">
        <v>287</v>
      </c>
      <c r="C98" s="2" t="s">
        <v>288</v>
      </c>
      <c r="D98" s="2" t="s">
        <v>171</v>
      </c>
      <c r="E98" s="2" t="s">
        <v>289</v>
      </c>
      <c r="F98" s="2" t="s">
        <v>173</v>
      </c>
      <c r="G98" s="2" t="s">
        <v>290</v>
      </c>
      <c r="H98" s="2" t="s">
        <v>291</v>
      </c>
      <c r="I98" s="2" t="s">
        <v>255</v>
      </c>
      <c r="J98" s="2" t="s">
        <v>256</v>
      </c>
      <c r="K98" s="9">
        <v>45670</v>
      </c>
      <c r="L98" s="9">
        <v>45677</v>
      </c>
      <c r="M98" s="9">
        <v>45672</v>
      </c>
      <c r="N98" s="2" t="s">
        <v>125</v>
      </c>
      <c r="O98" s="2" t="s">
        <v>58</v>
      </c>
      <c r="P98" s="2" t="s">
        <v>142</v>
      </c>
      <c r="Q98" s="2" t="s">
        <v>156</v>
      </c>
      <c r="R98" s="2" t="s">
        <v>149</v>
      </c>
      <c r="S98" s="2" t="s">
        <v>259</v>
      </c>
      <c r="T98" s="10">
        <v>3684</v>
      </c>
      <c r="U98" s="11">
        <v>6.5500000000000003E-3</v>
      </c>
      <c r="V98" s="12">
        <f>T98*U98</f>
        <v>24.130200000000002</v>
      </c>
      <c r="W98" s="13">
        <v>0.1</v>
      </c>
      <c r="X98" s="12">
        <f>V98-(V98/(1+W98))</f>
        <v>2.193654545454546</v>
      </c>
      <c r="Y98" s="12">
        <f>V98-X98</f>
        <v>21.936545454545456</v>
      </c>
      <c r="Z98" s="14">
        <v>60</v>
      </c>
      <c r="AA98" s="2" t="str">
        <f>IF(V98&gt;Z98,"Yes","No")</f>
        <v>No</v>
      </c>
      <c r="AB98" s="12">
        <f>V98-Z98</f>
        <v>-35.869799999999998</v>
      </c>
      <c r="AC98" s="15" t="s">
        <v>130</v>
      </c>
      <c r="AD98" s="15" t="s">
        <v>131</v>
      </c>
      <c r="AE98" s="15" t="s">
        <v>132</v>
      </c>
      <c r="AF98" s="12">
        <f>IF(AG98="Rejected",0,IF(R98="Corporate Card",0,V98))</f>
        <v>24.130200000000002</v>
      </c>
      <c r="AG98" s="15" t="s">
        <v>133</v>
      </c>
      <c r="AH98" s="16">
        <v>45688</v>
      </c>
      <c r="AI98" s="16">
        <v>45692</v>
      </c>
      <c r="AJ98" s="16">
        <v>45701</v>
      </c>
      <c r="AK98" s="17">
        <f>IF(AJ98="","",AJ98-AH98)</f>
        <v>13</v>
      </c>
    </row>
    <row r="99" spans="1:37">
      <c r="A99" s="2" t="s">
        <v>324</v>
      </c>
      <c r="B99" s="2" t="s">
        <v>287</v>
      </c>
      <c r="C99" s="2" t="s">
        <v>288</v>
      </c>
      <c r="D99" s="2" t="s">
        <v>171</v>
      </c>
      <c r="E99" s="2" t="s">
        <v>289</v>
      </c>
      <c r="F99" s="2" t="s">
        <v>173</v>
      </c>
      <c r="G99" s="2" t="s">
        <v>290</v>
      </c>
      <c r="H99" s="2" t="s">
        <v>291</v>
      </c>
      <c r="I99" s="2" t="s">
        <v>255</v>
      </c>
      <c r="J99" s="2" t="s">
        <v>256</v>
      </c>
      <c r="K99" s="9">
        <v>45670</v>
      </c>
      <c r="L99" s="9">
        <v>45677</v>
      </c>
      <c r="M99" s="9">
        <v>45672</v>
      </c>
      <c r="N99" s="2" t="s">
        <v>125</v>
      </c>
      <c r="O99" s="2" t="s">
        <v>54</v>
      </c>
      <c r="P99" s="2" t="s">
        <v>139</v>
      </c>
      <c r="Q99" s="2" t="s">
        <v>214</v>
      </c>
      <c r="R99" s="2" t="s">
        <v>137</v>
      </c>
      <c r="S99" s="2" t="s">
        <v>259</v>
      </c>
      <c r="T99" s="10">
        <v>2571</v>
      </c>
      <c r="U99" s="11">
        <v>6.5500000000000003E-3</v>
      </c>
      <c r="V99" s="12">
        <f>T99*U99</f>
        <v>16.840050000000002</v>
      </c>
      <c r="W99" s="13">
        <v>0.1</v>
      </c>
      <c r="X99" s="12">
        <f>V99-(V99/(1+W99))</f>
        <v>1.5309136363636373</v>
      </c>
      <c r="Y99" s="12">
        <f>V99-X99</f>
        <v>15.309136363636364</v>
      </c>
      <c r="Z99" s="14">
        <v>25</v>
      </c>
      <c r="AA99" s="2" t="str">
        <f>IF(V99&gt;Z99,"Yes","No")</f>
        <v>No</v>
      </c>
      <c r="AB99" s="12">
        <f>V99-Z99</f>
        <v>-8.1599499999999985</v>
      </c>
      <c r="AC99" s="15" t="s">
        <v>130</v>
      </c>
      <c r="AD99" s="15" t="s">
        <v>131</v>
      </c>
      <c r="AE99" s="15" t="s">
        <v>132</v>
      </c>
      <c r="AF99" s="12">
        <f>IF(AG99="Rejected",0,IF(R99="Corporate Card",0,V99))</f>
        <v>16.840050000000002</v>
      </c>
      <c r="AG99" s="15" t="s">
        <v>133</v>
      </c>
      <c r="AH99" s="16">
        <v>45688</v>
      </c>
      <c r="AI99" s="16">
        <v>45692</v>
      </c>
      <c r="AJ99" s="16">
        <v>45701</v>
      </c>
      <c r="AK99" s="17">
        <f>IF(AJ99="","",AJ99-AH99)</f>
        <v>13</v>
      </c>
    </row>
    <row r="100" spans="1:37">
      <c r="A100" s="2" t="s">
        <v>325</v>
      </c>
      <c r="B100" s="2" t="s">
        <v>287</v>
      </c>
      <c r="C100" s="2" t="s">
        <v>288</v>
      </c>
      <c r="D100" s="2" t="s">
        <v>171</v>
      </c>
      <c r="E100" s="2" t="s">
        <v>289</v>
      </c>
      <c r="F100" s="2" t="s">
        <v>173</v>
      </c>
      <c r="G100" s="2" t="s">
        <v>290</v>
      </c>
      <c r="H100" s="2" t="s">
        <v>291</v>
      </c>
      <c r="I100" s="2" t="s">
        <v>255</v>
      </c>
      <c r="J100" s="2" t="s">
        <v>256</v>
      </c>
      <c r="K100" s="9">
        <v>45670</v>
      </c>
      <c r="L100" s="9">
        <v>45677</v>
      </c>
      <c r="M100" s="9">
        <v>45672</v>
      </c>
      <c r="N100" s="2" t="s">
        <v>125</v>
      </c>
      <c r="O100" s="2" t="s">
        <v>56</v>
      </c>
      <c r="P100" s="2" t="s">
        <v>151</v>
      </c>
      <c r="Q100" s="2" t="s">
        <v>159</v>
      </c>
      <c r="R100" s="2" t="s">
        <v>137</v>
      </c>
      <c r="S100" s="2" t="s">
        <v>259</v>
      </c>
      <c r="T100" s="10">
        <v>9328</v>
      </c>
      <c r="U100" s="11">
        <v>6.5500000000000003E-3</v>
      </c>
      <c r="V100" s="12">
        <f>T100*U100</f>
        <v>61.098400000000005</v>
      </c>
      <c r="W100" s="13">
        <v>0.1</v>
      </c>
      <c r="X100" s="12">
        <f>V100-(V100/(1+W100))</f>
        <v>5.5544000000000082</v>
      </c>
      <c r="Y100" s="12">
        <f>V100-X100</f>
        <v>55.543999999999997</v>
      </c>
      <c r="Z100" s="14">
        <v>75</v>
      </c>
      <c r="AA100" s="2" t="str">
        <f>IF(V100&gt;Z100,"Yes","No")</f>
        <v>No</v>
      </c>
      <c r="AB100" s="12">
        <f>V100-Z100</f>
        <v>-13.901599999999995</v>
      </c>
      <c r="AC100" s="15" t="s">
        <v>130</v>
      </c>
      <c r="AD100" s="15" t="s">
        <v>131</v>
      </c>
      <c r="AE100" s="15" t="s">
        <v>132</v>
      </c>
      <c r="AF100" s="12">
        <f>IF(AG100="Rejected",0,IF(R100="Corporate Card",0,V100))</f>
        <v>61.098400000000005</v>
      </c>
      <c r="AG100" s="15" t="s">
        <v>133</v>
      </c>
      <c r="AH100" s="16">
        <v>45688</v>
      </c>
      <c r="AI100" s="16">
        <v>45692</v>
      </c>
      <c r="AJ100" s="16">
        <v>45701</v>
      </c>
      <c r="AK100" s="17">
        <f>IF(AJ100="","",AJ100-AH100)</f>
        <v>13</v>
      </c>
    </row>
    <row r="101" spans="1:37">
      <c r="A101" s="2" t="s">
        <v>326</v>
      </c>
      <c r="B101" s="2" t="s">
        <v>287</v>
      </c>
      <c r="C101" s="2" t="s">
        <v>288</v>
      </c>
      <c r="D101" s="2" t="s">
        <v>171</v>
      </c>
      <c r="E101" s="2" t="s">
        <v>289</v>
      </c>
      <c r="F101" s="2" t="s">
        <v>173</v>
      </c>
      <c r="G101" s="2" t="s">
        <v>290</v>
      </c>
      <c r="H101" s="2" t="s">
        <v>291</v>
      </c>
      <c r="I101" s="2" t="s">
        <v>255</v>
      </c>
      <c r="J101" s="2" t="s">
        <v>256</v>
      </c>
      <c r="K101" s="9">
        <v>45670</v>
      </c>
      <c r="L101" s="9">
        <v>45677</v>
      </c>
      <c r="M101" s="9">
        <v>45672</v>
      </c>
      <c r="N101" s="2" t="s">
        <v>125</v>
      </c>
      <c r="O101" s="2" t="s">
        <v>55</v>
      </c>
      <c r="P101" s="2" t="s">
        <v>139</v>
      </c>
      <c r="Q101" s="2" t="s">
        <v>217</v>
      </c>
      <c r="R101" s="2" t="s">
        <v>149</v>
      </c>
      <c r="S101" s="2" t="s">
        <v>259</v>
      </c>
      <c r="T101" s="10">
        <v>2649</v>
      </c>
      <c r="U101" s="11">
        <v>6.5500000000000003E-3</v>
      </c>
      <c r="V101" s="12">
        <f>T101*U101</f>
        <v>17.350950000000001</v>
      </c>
      <c r="W101" s="13">
        <v>0.1</v>
      </c>
      <c r="X101" s="12">
        <f>V101-(V101/(1+W101))</f>
        <v>1.5773590909090931</v>
      </c>
      <c r="Y101" s="12">
        <f>V101-X101</f>
        <v>15.773590909090908</v>
      </c>
      <c r="Z101" s="14">
        <v>35</v>
      </c>
      <c r="AA101" s="2" t="str">
        <f>IF(V101&gt;Z101,"Yes","No")</f>
        <v>No</v>
      </c>
      <c r="AB101" s="12">
        <f>V101-Z101</f>
        <v>-17.649049999999999</v>
      </c>
      <c r="AC101" s="15" t="s">
        <v>131</v>
      </c>
      <c r="AD101" s="15" t="s">
        <v>131</v>
      </c>
      <c r="AE101" s="15" t="s">
        <v>132</v>
      </c>
      <c r="AF101" s="12">
        <f>IF(AG101="Rejected",0,IF(R101="Corporate Card",0,V101))</f>
        <v>17.350950000000001</v>
      </c>
      <c r="AG101" s="15" t="s">
        <v>133</v>
      </c>
      <c r="AH101" s="16">
        <v>45688</v>
      </c>
      <c r="AI101" s="16">
        <v>45692</v>
      </c>
      <c r="AJ101" s="16">
        <v>45701</v>
      </c>
      <c r="AK101" s="17">
        <f>IF(AJ101="","",AJ101-AH101)</f>
        <v>13</v>
      </c>
    </row>
    <row r="102" spans="1:37">
      <c r="A102" s="2" t="s">
        <v>327</v>
      </c>
      <c r="B102" s="2" t="s">
        <v>310</v>
      </c>
      <c r="C102" s="2" t="s">
        <v>311</v>
      </c>
      <c r="D102" s="2" t="s">
        <v>118</v>
      </c>
      <c r="E102" s="2" t="s">
        <v>312</v>
      </c>
      <c r="F102" s="2" t="s">
        <v>313</v>
      </c>
      <c r="G102" s="2" t="s">
        <v>314</v>
      </c>
      <c r="H102" s="2" t="s">
        <v>291</v>
      </c>
      <c r="I102" s="2" t="s">
        <v>315</v>
      </c>
      <c r="J102" s="2" t="s">
        <v>316</v>
      </c>
      <c r="K102" s="9">
        <v>45671</v>
      </c>
      <c r="L102" s="9">
        <v>45676</v>
      </c>
      <c r="M102" s="9">
        <v>45672</v>
      </c>
      <c r="N102" s="2" t="s">
        <v>125</v>
      </c>
      <c r="O102" s="2" t="s">
        <v>58</v>
      </c>
      <c r="P102" s="2" t="s">
        <v>142</v>
      </c>
      <c r="Q102" s="2" t="s">
        <v>143</v>
      </c>
      <c r="R102" s="2" t="s">
        <v>128</v>
      </c>
      <c r="S102" s="2" t="s">
        <v>318</v>
      </c>
      <c r="T102" s="10">
        <v>109.46</v>
      </c>
      <c r="U102" s="11">
        <v>0.27229999999999999</v>
      </c>
      <c r="V102" s="12">
        <f>T102*U102</f>
        <v>29.805957999999997</v>
      </c>
      <c r="W102" s="13">
        <v>0.05</v>
      </c>
      <c r="X102" s="12">
        <f>V102-(V102/(1+W102))</f>
        <v>1.4193313333333357</v>
      </c>
      <c r="Y102" s="12">
        <f>V102-X102</f>
        <v>28.386626666666661</v>
      </c>
      <c r="Z102" s="14">
        <v>60</v>
      </c>
      <c r="AA102" s="2" t="str">
        <f>IF(V102&gt;Z102,"Yes","No")</f>
        <v>No</v>
      </c>
      <c r="AB102" s="12">
        <f>V102-Z102</f>
        <v>-30.194042000000003</v>
      </c>
      <c r="AC102" s="15" t="s">
        <v>130</v>
      </c>
      <c r="AD102" s="15" t="s">
        <v>131</v>
      </c>
      <c r="AE102" s="15" t="s">
        <v>132</v>
      </c>
      <c r="AF102" s="12">
        <f>IF(AG102="Rejected",0,IF(R102="Corporate Card",0,V102))</f>
        <v>0</v>
      </c>
      <c r="AG102" s="15" t="s">
        <v>133</v>
      </c>
      <c r="AH102" s="16">
        <v>45683</v>
      </c>
      <c r="AI102" s="16">
        <v>45685</v>
      </c>
      <c r="AJ102" s="16">
        <v>45698</v>
      </c>
      <c r="AK102" s="17">
        <f>IF(AJ102="","",AJ102-AH102)</f>
        <v>15</v>
      </c>
    </row>
    <row r="103" spans="1:37">
      <c r="A103" s="2" t="s">
        <v>328</v>
      </c>
      <c r="B103" s="2" t="s">
        <v>310</v>
      </c>
      <c r="C103" s="2" t="s">
        <v>311</v>
      </c>
      <c r="D103" s="2" t="s">
        <v>118</v>
      </c>
      <c r="E103" s="2" t="s">
        <v>312</v>
      </c>
      <c r="F103" s="2" t="s">
        <v>313</v>
      </c>
      <c r="G103" s="2" t="s">
        <v>314</v>
      </c>
      <c r="H103" s="2" t="s">
        <v>291</v>
      </c>
      <c r="I103" s="2" t="s">
        <v>315</v>
      </c>
      <c r="J103" s="2" t="s">
        <v>316</v>
      </c>
      <c r="K103" s="9">
        <v>45671</v>
      </c>
      <c r="L103" s="9">
        <v>45676</v>
      </c>
      <c r="M103" s="9">
        <v>45672</v>
      </c>
      <c r="N103" s="2" t="s">
        <v>125</v>
      </c>
      <c r="O103" s="2" t="s">
        <v>53</v>
      </c>
      <c r="P103" s="2" t="s">
        <v>271</v>
      </c>
      <c r="Q103" s="2" t="s">
        <v>272</v>
      </c>
      <c r="R103" s="2" t="s">
        <v>149</v>
      </c>
      <c r="S103" s="2" t="s">
        <v>318</v>
      </c>
      <c r="T103" s="10">
        <v>3541.48</v>
      </c>
      <c r="U103" s="11">
        <v>0.27229999999999999</v>
      </c>
      <c r="V103" s="12">
        <f>T103*U103</f>
        <v>964.3450039999999</v>
      </c>
      <c r="W103" s="13">
        <v>0.05</v>
      </c>
      <c r="X103" s="12">
        <f>V103-(V103/(1+W103))</f>
        <v>45.921190666666689</v>
      </c>
      <c r="Y103" s="12">
        <f>V103-X103</f>
        <v>918.42381333333321</v>
      </c>
      <c r="Z103" s="14">
        <v>1400</v>
      </c>
      <c r="AA103" s="2" t="str">
        <f>IF(V103&gt;Z103,"Yes","No")</f>
        <v>No</v>
      </c>
      <c r="AB103" s="12">
        <f>V103-Z103</f>
        <v>-435.6549960000001</v>
      </c>
      <c r="AC103" s="15" t="s">
        <v>130</v>
      </c>
      <c r="AD103" s="15" t="s">
        <v>131</v>
      </c>
      <c r="AE103" s="15" t="s">
        <v>132</v>
      </c>
      <c r="AF103" s="12">
        <f>IF(AG103="Rejected",0,IF(R103="Corporate Card",0,V103))</f>
        <v>964.3450039999999</v>
      </c>
      <c r="AG103" s="15" t="s">
        <v>133</v>
      </c>
      <c r="AH103" s="16">
        <v>45683</v>
      </c>
      <c r="AI103" s="16">
        <v>45685</v>
      </c>
      <c r="AJ103" s="16">
        <v>45698</v>
      </c>
      <c r="AK103" s="17">
        <f>IF(AJ103="","",AJ103-AH103)</f>
        <v>15</v>
      </c>
    </row>
    <row r="104" spans="1:37">
      <c r="A104" s="2" t="s">
        <v>329</v>
      </c>
      <c r="B104" s="2" t="s">
        <v>310</v>
      </c>
      <c r="C104" s="2" t="s">
        <v>311</v>
      </c>
      <c r="D104" s="2" t="s">
        <v>118</v>
      </c>
      <c r="E104" s="2" t="s">
        <v>312</v>
      </c>
      <c r="F104" s="2" t="s">
        <v>313</v>
      </c>
      <c r="G104" s="2" t="s">
        <v>314</v>
      </c>
      <c r="H104" s="2" t="s">
        <v>291</v>
      </c>
      <c r="I104" s="2" t="s">
        <v>315</v>
      </c>
      <c r="J104" s="2" t="s">
        <v>316</v>
      </c>
      <c r="K104" s="9">
        <v>45671</v>
      </c>
      <c r="L104" s="9">
        <v>45676</v>
      </c>
      <c r="M104" s="9">
        <v>45672</v>
      </c>
      <c r="N104" s="2" t="s">
        <v>125</v>
      </c>
      <c r="O104" s="2" t="s">
        <v>54</v>
      </c>
      <c r="P104" s="2" t="s">
        <v>139</v>
      </c>
      <c r="Q104" s="2" t="s">
        <v>163</v>
      </c>
      <c r="R104" s="2" t="s">
        <v>128</v>
      </c>
      <c r="S104" s="2" t="s">
        <v>318</v>
      </c>
      <c r="T104" s="10">
        <v>79.66</v>
      </c>
      <c r="U104" s="11">
        <v>0.27229999999999999</v>
      </c>
      <c r="V104" s="12">
        <f>T104*U104</f>
        <v>21.691417999999999</v>
      </c>
      <c r="W104" s="13">
        <v>0.05</v>
      </c>
      <c r="X104" s="12">
        <f>V104-(V104/(1+W104))</f>
        <v>1.0329246666666663</v>
      </c>
      <c r="Y104" s="12">
        <f>V104-X104</f>
        <v>20.658493333333332</v>
      </c>
      <c r="Z104" s="14">
        <v>25</v>
      </c>
      <c r="AA104" s="2" t="str">
        <f>IF(V104&gt;Z104,"Yes","No")</f>
        <v>No</v>
      </c>
      <c r="AB104" s="12">
        <f>V104-Z104</f>
        <v>-3.3085820000000012</v>
      </c>
      <c r="AC104" s="15" t="s">
        <v>130</v>
      </c>
      <c r="AD104" s="15" t="s">
        <v>131</v>
      </c>
      <c r="AE104" s="15" t="s">
        <v>132</v>
      </c>
      <c r="AF104" s="12">
        <f>IF(AG104="Rejected",0,IF(R104="Corporate Card",0,V104))</f>
        <v>0</v>
      </c>
      <c r="AG104" s="15" t="s">
        <v>133</v>
      </c>
      <c r="AH104" s="16">
        <v>45683</v>
      </c>
      <c r="AI104" s="16">
        <v>45685</v>
      </c>
      <c r="AJ104" s="16">
        <v>45698</v>
      </c>
      <c r="AK104" s="17">
        <f>IF(AJ104="","",AJ104-AH104)</f>
        <v>15</v>
      </c>
    </row>
    <row r="105" spans="1:37">
      <c r="A105" s="2" t="s">
        <v>330</v>
      </c>
      <c r="B105" s="2" t="s">
        <v>310</v>
      </c>
      <c r="C105" s="2" t="s">
        <v>311</v>
      </c>
      <c r="D105" s="2" t="s">
        <v>118</v>
      </c>
      <c r="E105" s="2" t="s">
        <v>312</v>
      </c>
      <c r="F105" s="2" t="s">
        <v>313</v>
      </c>
      <c r="G105" s="2" t="s">
        <v>314</v>
      </c>
      <c r="H105" s="2" t="s">
        <v>291</v>
      </c>
      <c r="I105" s="2" t="s">
        <v>315</v>
      </c>
      <c r="J105" s="2" t="s">
        <v>316</v>
      </c>
      <c r="K105" s="9">
        <v>45671</v>
      </c>
      <c r="L105" s="9">
        <v>45676</v>
      </c>
      <c r="M105" s="9">
        <v>45672</v>
      </c>
      <c r="N105" s="2" t="s">
        <v>125</v>
      </c>
      <c r="O105" s="2" t="s">
        <v>56</v>
      </c>
      <c r="P105" s="2" t="s">
        <v>151</v>
      </c>
      <c r="Q105" s="2" t="s">
        <v>227</v>
      </c>
      <c r="R105" s="2" t="s">
        <v>149</v>
      </c>
      <c r="S105" s="2" t="s">
        <v>318</v>
      </c>
      <c r="T105" s="10">
        <v>113.13</v>
      </c>
      <c r="U105" s="11">
        <v>0.27229999999999999</v>
      </c>
      <c r="V105" s="12">
        <f>T105*U105</f>
        <v>30.805298999999998</v>
      </c>
      <c r="W105" s="13">
        <v>0.05</v>
      </c>
      <c r="X105" s="12">
        <f>V105-(V105/(1+W105))</f>
        <v>1.4669190000000008</v>
      </c>
      <c r="Y105" s="12">
        <f>V105-X105</f>
        <v>29.338379999999997</v>
      </c>
      <c r="Z105" s="14">
        <v>75</v>
      </c>
      <c r="AA105" s="2" t="str">
        <f>IF(V105&gt;Z105,"Yes","No")</f>
        <v>No</v>
      </c>
      <c r="AB105" s="12">
        <f>V105-Z105</f>
        <v>-44.194701000000002</v>
      </c>
      <c r="AC105" s="15" t="s">
        <v>130</v>
      </c>
      <c r="AD105" s="15" t="s">
        <v>131</v>
      </c>
      <c r="AE105" s="15" t="s">
        <v>132</v>
      </c>
      <c r="AF105" s="12">
        <f>IF(AG105="Rejected",0,IF(R105="Corporate Card",0,V105))</f>
        <v>30.805298999999998</v>
      </c>
      <c r="AG105" s="15" t="s">
        <v>133</v>
      </c>
      <c r="AH105" s="16">
        <v>45683</v>
      </c>
      <c r="AI105" s="16">
        <v>45685</v>
      </c>
      <c r="AJ105" s="16">
        <v>45698</v>
      </c>
      <c r="AK105" s="17">
        <f>IF(AJ105="","",AJ105-AH105)</f>
        <v>15</v>
      </c>
    </row>
    <row r="106" spans="1:37">
      <c r="A106" s="2" t="s">
        <v>331</v>
      </c>
      <c r="B106" s="2" t="s">
        <v>310</v>
      </c>
      <c r="C106" s="2" t="s">
        <v>311</v>
      </c>
      <c r="D106" s="2" t="s">
        <v>118</v>
      </c>
      <c r="E106" s="2" t="s">
        <v>312</v>
      </c>
      <c r="F106" s="2" t="s">
        <v>313</v>
      </c>
      <c r="G106" s="2" t="s">
        <v>314</v>
      </c>
      <c r="H106" s="2" t="s">
        <v>291</v>
      </c>
      <c r="I106" s="2" t="s">
        <v>315</v>
      </c>
      <c r="J106" s="2" t="s">
        <v>316</v>
      </c>
      <c r="K106" s="9">
        <v>45671</v>
      </c>
      <c r="L106" s="9">
        <v>45676</v>
      </c>
      <c r="M106" s="9">
        <v>45672</v>
      </c>
      <c r="N106" s="2" t="s">
        <v>125</v>
      </c>
      <c r="O106" s="2" t="s">
        <v>55</v>
      </c>
      <c r="P106" s="2" t="s">
        <v>139</v>
      </c>
      <c r="Q106" s="2" t="s">
        <v>217</v>
      </c>
      <c r="R106" s="2" t="s">
        <v>128</v>
      </c>
      <c r="S106" s="2" t="s">
        <v>318</v>
      </c>
      <c r="T106" s="10">
        <v>65.459999999999994</v>
      </c>
      <c r="U106" s="11">
        <v>0.27229999999999999</v>
      </c>
      <c r="V106" s="12">
        <f>T106*U106</f>
        <v>17.824757999999996</v>
      </c>
      <c r="W106" s="13">
        <v>0.05</v>
      </c>
      <c r="X106" s="12">
        <f>V106-(V106/(1+W106))</f>
        <v>0.84879800000000216</v>
      </c>
      <c r="Y106" s="12">
        <f>V106-X106</f>
        <v>16.975959999999993</v>
      </c>
      <c r="Z106" s="14">
        <v>35</v>
      </c>
      <c r="AA106" s="2" t="str">
        <f>IF(V106&gt;Z106,"Yes","No")</f>
        <v>No</v>
      </c>
      <c r="AB106" s="12">
        <f>V106-Z106</f>
        <v>-17.175242000000004</v>
      </c>
      <c r="AC106" s="15" t="s">
        <v>130</v>
      </c>
      <c r="AD106" s="15" t="s">
        <v>131</v>
      </c>
      <c r="AE106" s="15" t="s">
        <v>132</v>
      </c>
      <c r="AF106" s="12">
        <f>IF(AG106="Rejected",0,IF(R106="Corporate Card",0,V106))</f>
        <v>0</v>
      </c>
      <c r="AG106" s="15" t="s">
        <v>133</v>
      </c>
      <c r="AH106" s="16">
        <v>45683</v>
      </c>
      <c r="AI106" s="16">
        <v>45685</v>
      </c>
      <c r="AJ106" s="16">
        <v>45698</v>
      </c>
      <c r="AK106" s="17">
        <f>IF(AJ106="","",AJ106-AH106)</f>
        <v>15</v>
      </c>
    </row>
    <row r="107" spans="1:37">
      <c r="A107" s="2" t="s">
        <v>332</v>
      </c>
      <c r="B107" s="2" t="s">
        <v>287</v>
      </c>
      <c r="C107" s="2" t="s">
        <v>288</v>
      </c>
      <c r="D107" s="2" t="s">
        <v>171</v>
      </c>
      <c r="E107" s="2" t="s">
        <v>289</v>
      </c>
      <c r="F107" s="2" t="s">
        <v>173</v>
      </c>
      <c r="G107" s="2" t="s">
        <v>290</v>
      </c>
      <c r="H107" s="2" t="s">
        <v>291</v>
      </c>
      <c r="I107" s="2" t="s">
        <v>255</v>
      </c>
      <c r="J107" s="2" t="s">
        <v>256</v>
      </c>
      <c r="K107" s="9">
        <v>45670</v>
      </c>
      <c r="L107" s="9">
        <v>45677</v>
      </c>
      <c r="M107" s="9">
        <v>45673</v>
      </c>
      <c r="N107" s="2" t="s">
        <v>125</v>
      </c>
      <c r="O107" s="2" t="s">
        <v>58</v>
      </c>
      <c r="P107" s="2" t="s">
        <v>142</v>
      </c>
      <c r="Q107" s="2" t="s">
        <v>224</v>
      </c>
      <c r="R107" s="2" t="s">
        <v>137</v>
      </c>
      <c r="S107" s="2" t="s">
        <v>259</v>
      </c>
      <c r="T107" s="10">
        <v>6216</v>
      </c>
      <c r="U107" s="11">
        <v>6.5500000000000003E-3</v>
      </c>
      <c r="V107" s="12">
        <f>T107*U107</f>
        <v>40.714800000000004</v>
      </c>
      <c r="W107" s="13">
        <v>0.1</v>
      </c>
      <c r="X107" s="12">
        <f>V107-(V107/(1+W107))</f>
        <v>3.7013454545454607</v>
      </c>
      <c r="Y107" s="12">
        <f>V107-X107</f>
        <v>37.013454545454543</v>
      </c>
      <c r="Z107" s="14">
        <v>60</v>
      </c>
      <c r="AA107" s="2" t="str">
        <f>IF(V107&gt;Z107,"Yes","No")</f>
        <v>No</v>
      </c>
      <c r="AB107" s="12">
        <f>V107-Z107</f>
        <v>-19.285199999999996</v>
      </c>
      <c r="AC107" s="15" t="s">
        <v>130</v>
      </c>
      <c r="AD107" s="15" t="s">
        <v>131</v>
      </c>
      <c r="AE107" s="15" t="s">
        <v>132</v>
      </c>
      <c r="AF107" s="12">
        <f>IF(AG107="Rejected",0,IF(R107="Corporate Card",0,V107))</f>
        <v>40.714800000000004</v>
      </c>
      <c r="AG107" s="15" t="s">
        <v>133</v>
      </c>
      <c r="AH107" s="16">
        <v>45688</v>
      </c>
      <c r="AI107" s="16">
        <v>45692</v>
      </c>
      <c r="AJ107" s="16">
        <v>45701</v>
      </c>
      <c r="AK107" s="17">
        <f>IF(AJ107="","",AJ107-AH107)</f>
        <v>13</v>
      </c>
    </row>
    <row r="108" spans="1:37">
      <c r="A108" s="2" t="s">
        <v>333</v>
      </c>
      <c r="B108" s="2" t="s">
        <v>287</v>
      </c>
      <c r="C108" s="2" t="s">
        <v>288</v>
      </c>
      <c r="D108" s="2" t="s">
        <v>171</v>
      </c>
      <c r="E108" s="2" t="s">
        <v>289</v>
      </c>
      <c r="F108" s="2" t="s">
        <v>173</v>
      </c>
      <c r="G108" s="2" t="s">
        <v>290</v>
      </c>
      <c r="H108" s="2" t="s">
        <v>291</v>
      </c>
      <c r="I108" s="2" t="s">
        <v>255</v>
      </c>
      <c r="J108" s="2" t="s">
        <v>256</v>
      </c>
      <c r="K108" s="9">
        <v>45670</v>
      </c>
      <c r="L108" s="9">
        <v>45677</v>
      </c>
      <c r="M108" s="9">
        <v>45673</v>
      </c>
      <c r="N108" s="2" t="s">
        <v>125</v>
      </c>
      <c r="O108" s="2" t="s">
        <v>68</v>
      </c>
      <c r="P108" s="2" t="s">
        <v>282</v>
      </c>
      <c r="Q108" s="2" t="s">
        <v>283</v>
      </c>
      <c r="R108" s="2" t="s">
        <v>149</v>
      </c>
      <c r="S108" s="2" t="s">
        <v>259</v>
      </c>
      <c r="T108" s="10">
        <v>2249</v>
      </c>
      <c r="U108" s="11">
        <v>6.5500000000000003E-3</v>
      </c>
      <c r="V108" s="12">
        <f>T108*U108</f>
        <v>14.73095</v>
      </c>
      <c r="W108" s="13">
        <v>0.1</v>
      </c>
      <c r="X108" s="12">
        <f>V108-(V108/(1+W108))</f>
        <v>1.339177272727273</v>
      </c>
      <c r="Y108" s="12">
        <f>V108-X108</f>
        <v>13.391772727272727</v>
      </c>
      <c r="Z108" s="14">
        <v>30</v>
      </c>
      <c r="AA108" s="2" t="str">
        <f>IF(V108&gt;Z108,"Yes","No")</f>
        <v>No</v>
      </c>
      <c r="AB108" s="12">
        <f>V108-Z108</f>
        <v>-15.26905</v>
      </c>
      <c r="AC108" s="15" t="s">
        <v>130</v>
      </c>
      <c r="AD108" s="15" t="s">
        <v>131</v>
      </c>
      <c r="AE108" s="15" t="s">
        <v>132</v>
      </c>
      <c r="AF108" s="12">
        <f>IF(AG108="Rejected",0,IF(R108="Corporate Card",0,V108))</f>
        <v>14.73095</v>
      </c>
      <c r="AG108" s="15" t="s">
        <v>133</v>
      </c>
      <c r="AH108" s="16">
        <v>45688</v>
      </c>
      <c r="AI108" s="16">
        <v>45692</v>
      </c>
      <c r="AJ108" s="16">
        <v>45701</v>
      </c>
      <c r="AK108" s="17">
        <f>IF(AJ108="","",AJ108-AH108)</f>
        <v>13</v>
      </c>
    </row>
    <row r="109" spans="1:37">
      <c r="A109" s="2" t="s">
        <v>334</v>
      </c>
      <c r="B109" s="2" t="s">
        <v>287</v>
      </c>
      <c r="C109" s="2" t="s">
        <v>288</v>
      </c>
      <c r="D109" s="2" t="s">
        <v>171</v>
      </c>
      <c r="E109" s="2" t="s">
        <v>289</v>
      </c>
      <c r="F109" s="2" t="s">
        <v>173</v>
      </c>
      <c r="G109" s="2" t="s">
        <v>290</v>
      </c>
      <c r="H109" s="2" t="s">
        <v>291</v>
      </c>
      <c r="I109" s="2" t="s">
        <v>255</v>
      </c>
      <c r="J109" s="2" t="s">
        <v>256</v>
      </c>
      <c r="K109" s="9">
        <v>45670</v>
      </c>
      <c r="L109" s="9">
        <v>45677</v>
      </c>
      <c r="M109" s="9">
        <v>45673</v>
      </c>
      <c r="N109" s="2" t="s">
        <v>125</v>
      </c>
      <c r="O109" s="2" t="s">
        <v>54</v>
      </c>
      <c r="P109" s="2" t="s">
        <v>139</v>
      </c>
      <c r="Q109" s="2" t="s">
        <v>148</v>
      </c>
      <c r="R109" s="2" t="s">
        <v>149</v>
      </c>
      <c r="S109" s="2" t="s">
        <v>259</v>
      </c>
      <c r="T109" s="10">
        <v>2561</v>
      </c>
      <c r="U109" s="11">
        <v>6.5500000000000003E-3</v>
      </c>
      <c r="V109" s="12">
        <f>T109*U109</f>
        <v>16.774550000000001</v>
      </c>
      <c r="W109" s="13">
        <v>0.1</v>
      </c>
      <c r="X109" s="12">
        <f>V109-(V109/(1+W109))</f>
        <v>1.5249590909090927</v>
      </c>
      <c r="Y109" s="12">
        <f>V109-X109</f>
        <v>15.249590909090909</v>
      </c>
      <c r="Z109" s="14">
        <v>25</v>
      </c>
      <c r="AA109" s="2" t="str">
        <f>IF(V109&gt;Z109,"Yes","No")</f>
        <v>No</v>
      </c>
      <c r="AB109" s="12">
        <f>V109-Z109</f>
        <v>-8.2254499999999986</v>
      </c>
      <c r="AC109" s="15" t="s">
        <v>130</v>
      </c>
      <c r="AD109" s="15" t="s">
        <v>131</v>
      </c>
      <c r="AE109" s="15" t="s">
        <v>132</v>
      </c>
      <c r="AF109" s="12">
        <f>IF(AG109="Rejected",0,IF(R109="Corporate Card",0,V109))</f>
        <v>16.774550000000001</v>
      </c>
      <c r="AG109" s="15" t="s">
        <v>133</v>
      </c>
      <c r="AH109" s="16">
        <v>45688</v>
      </c>
      <c r="AI109" s="16">
        <v>45692</v>
      </c>
      <c r="AJ109" s="16">
        <v>45701</v>
      </c>
      <c r="AK109" s="17">
        <f>IF(AJ109="","",AJ109-AH109)</f>
        <v>13</v>
      </c>
    </row>
    <row r="110" spans="1:37">
      <c r="A110" s="2" t="s">
        <v>335</v>
      </c>
      <c r="B110" s="2" t="s">
        <v>287</v>
      </c>
      <c r="C110" s="2" t="s">
        <v>288</v>
      </c>
      <c r="D110" s="2" t="s">
        <v>171</v>
      </c>
      <c r="E110" s="2" t="s">
        <v>289</v>
      </c>
      <c r="F110" s="2" t="s">
        <v>173</v>
      </c>
      <c r="G110" s="2" t="s">
        <v>290</v>
      </c>
      <c r="H110" s="2" t="s">
        <v>291</v>
      </c>
      <c r="I110" s="2" t="s">
        <v>255</v>
      </c>
      <c r="J110" s="2" t="s">
        <v>256</v>
      </c>
      <c r="K110" s="9">
        <v>45670</v>
      </c>
      <c r="L110" s="9">
        <v>45677</v>
      </c>
      <c r="M110" s="9">
        <v>45673</v>
      </c>
      <c r="N110" s="2" t="s">
        <v>125</v>
      </c>
      <c r="O110" s="2" t="s">
        <v>56</v>
      </c>
      <c r="P110" s="2" t="s">
        <v>165</v>
      </c>
      <c r="Q110" s="2" t="s">
        <v>152</v>
      </c>
      <c r="R110" s="2" t="s">
        <v>128</v>
      </c>
      <c r="S110" s="2" t="s">
        <v>259</v>
      </c>
      <c r="T110" s="10">
        <v>13588</v>
      </c>
      <c r="U110" s="11">
        <v>6.5500000000000003E-3</v>
      </c>
      <c r="V110" s="12">
        <f>T110*U110</f>
        <v>89.001400000000004</v>
      </c>
      <c r="W110" s="13">
        <v>0.1</v>
      </c>
      <c r="X110" s="12">
        <f>V110-(V110/(1+W110))</f>
        <v>8.0910363636363769</v>
      </c>
      <c r="Y110" s="12">
        <f>V110-X110</f>
        <v>80.910363636363627</v>
      </c>
      <c r="Z110" s="14">
        <v>75</v>
      </c>
      <c r="AA110" s="2" t="str">
        <f>IF(V110&gt;Z110,"Yes","No")</f>
        <v>Yes</v>
      </c>
      <c r="AB110" s="12">
        <f>V110-Z110</f>
        <v>14.001400000000004</v>
      </c>
      <c r="AC110" s="15" t="s">
        <v>131</v>
      </c>
      <c r="AD110" s="15" t="s">
        <v>131</v>
      </c>
      <c r="AE110" s="15" t="s">
        <v>132</v>
      </c>
      <c r="AF110" s="12">
        <f>IF(AG110="Rejected",0,IF(R110="Corporate Card",0,V110))</f>
        <v>0</v>
      </c>
      <c r="AG110" s="15" t="s">
        <v>133</v>
      </c>
      <c r="AH110" s="16">
        <v>45688</v>
      </c>
      <c r="AI110" s="16">
        <v>45692</v>
      </c>
      <c r="AJ110" s="16">
        <v>45701</v>
      </c>
      <c r="AK110" s="17">
        <f>IF(AJ110="","",AJ110-AH110)</f>
        <v>13</v>
      </c>
    </row>
    <row r="111" spans="1:37">
      <c r="A111" s="2" t="s">
        <v>336</v>
      </c>
      <c r="B111" s="2" t="s">
        <v>287</v>
      </c>
      <c r="C111" s="2" t="s">
        <v>288</v>
      </c>
      <c r="D111" s="2" t="s">
        <v>171</v>
      </c>
      <c r="E111" s="2" t="s">
        <v>289</v>
      </c>
      <c r="F111" s="2" t="s">
        <v>173</v>
      </c>
      <c r="G111" s="2" t="s">
        <v>290</v>
      </c>
      <c r="H111" s="2" t="s">
        <v>291</v>
      </c>
      <c r="I111" s="2" t="s">
        <v>255</v>
      </c>
      <c r="J111" s="2" t="s">
        <v>256</v>
      </c>
      <c r="K111" s="9">
        <v>45670</v>
      </c>
      <c r="L111" s="9">
        <v>45677</v>
      </c>
      <c r="M111" s="9">
        <v>45673</v>
      </c>
      <c r="N111" s="2" t="s">
        <v>125</v>
      </c>
      <c r="O111" s="2" t="s">
        <v>55</v>
      </c>
      <c r="P111" s="2" t="s">
        <v>139</v>
      </c>
      <c r="Q111" s="2" t="s">
        <v>154</v>
      </c>
      <c r="R111" s="2" t="s">
        <v>137</v>
      </c>
      <c r="S111" s="2" t="s">
        <v>259</v>
      </c>
      <c r="T111" s="10">
        <v>4303</v>
      </c>
      <c r="U111" s="11">
        <v>6.5500000000000003E-3</v>
      </c>
      <c r="V111" s="12">
        <f>T111*U111</f>
        <v>28.184650000000001</v>
      </c>
      <c r="W111" s="13">
        <v>0.1</v>
      </c>
      <c r="X111" s="12">
        <f>V111-(V111/(1+W111))</f>
        <v>2.5622409090909102</v>
      </c>
      <c r="Y111" s="12">
        <f>V111-X111</f>
        <v>25.622409090909091</v>
      </c>
      <c r="Z111" s="14">
        <v>35</v>
      </c>
      <c r="AA111" s="2" t="str">
        <f>IF(V111&gt;Z111,"Yes","No")</f>
        <v>No</v>
      </c>
      <c r="AB111" s="12">
        <f>V111-Z111</f>
        <v>-6.8153499999999987</v>
      </c>
      <c r="AC111" s="15" t="s">
        <v>130</v>
      </c>
      <c r="AD111" s="15" t="s">
        <v>131</v>
      </c>
      <c r="AE111" s="15" t="s">
        <v>132</v>
      </c>
      <c r="AF111" s="12">
        <f>IF(AG111="Rejected",0,IF(R111="Corporate Card",0,V111))</f>
        <v>28.184650000000001</v>
      </c>
      <c r="AG111" s="15" t="s">
        <v>133</v>
      </c>
      <c r="AH111" s="16">
        <v>45688</v>
      </c>
      <c r="AI111" s="16">
        <v>45692</v>
      </c>
      <c r="AJ111" s="16">
        <v>45701</v>
      </c>
      <c r="AK111" s="17">
        <f>IF(AJ111="","",AJ111-AH111)</f>
        <v>13</v>
      </c>
    </row>
    <row r="112" spans="1:37">
      <c r="A112" s="2" t="s">
        <v>337</v>
      </c>
      <c r="B112" s="2" t="s">
        <v>310</v>
      </c>
      <c r="C112" s="2" t="s">
        <v>311</v>
      </c>
      <c r="D112" s="2" t="s">
        <v>118</v>
      </c>
      <c r="E112" s="2" t="s">
        <v>312</v>
      </c>
      <c r="F112" s="2" t="s">
        <v>313</v>
      </c>
      <c r="G112" s="2" t="s">
        <v>314</v>
      </c>
      <c r="H112" s="2" t="s">
        <v>291</v>
      </c>
      <c r="I112" s="2" t="s">
        <v>315</v>
      </c>
      <c r="J112" s="2" t="s">
        <v>316</v>
      </c>
      <c r="K112" s="9">
        <v>45671</v>
      </c>
      <c r="L112" s="9">
        <v>45676</v>
      </c>
      <c r="M112" s="9">
        <v>45673</v>
      </c>
      <c r="N112" s="2" t="s">
        <v>125</v>
      </c>
      <c r="O112" s="2" t="s">
        <v>58</v>
      </c>
      <c r="P112" s="2" t="s">
        <v>142</v>
      </c>
      <c r="Q112" s="2" t="s">
        <v>224</v>
      </c>
      <c r="R112" s="2" t="s">
        <v>128</v>
      </c>
      <c r="S112" s="2" t="s">
        <v>318</v>
      </c>
      <c r="T112" s="10">
        <v>79.5</v>
      </c>
      <c r="U112" s="11">
        <v>0.27229999999999999</v>
      </c>
      <c r="V112" s="12">
        <f>T112*U112</f>
        <v>21.647849999999998</v>
      </c>
      <c r="W112" s="13">
        <v>0.05</v>
      </c>
      <c r="X112" s="12">
        <f>V112-(V112/(1+W112))</f>
        <v>1.0308500000000009</v>
      </c>
      <c r="Y112" s="12">
        <f>V112-X112</f>
        <v>20.616999999999997</v>
      </c>
      <c r="Z112" s="14">
        <v>60</v>
      </c>
      <c r="AA112" s="2" t="str">
        <f>IF(V112&gt;Z112,"Yes","No")</f>
        <v>No</v>
      </c>
      <c r="AB112" s="12">
        <f>V112-Z112</f>
        <v>-38.352150000000002</v>
      </c>
      <c r="AC112" s="15" t="s">
        <v>130</v>
      </c>
      <c r="AD112" s="15" t="s">
        <v>131</v>
      </c>
      <c r="AE112" s="15" t="s">
        <v>132</v>
      </c>
      <c r="AF112" s="12">
        <f>IF(AG112="Rejected",0,IF(R112="Corporate Card",0,V112))</f>
        <v>0</v>
      </c>
      <c r="AG112" s="15" t="s">
        <v>133</v>
      </c>
      <c r="AH112" s="16">
        <v>45683</v>
      </c>
      <c r="AI112" s="16">
        <v>45685</v>
      </c>
      <c r="AJ112" s="16">
        <v>45698</v>
      </c>
      <c r="AK112" s="17">
        <f>IF(AJ112="","",AJ112-AH112)</f>
        <v>15</v>
      </c>
    </row>
    <row r="113" spans="1:37">
      <c r="A113" s="2" t="s">
        <v>338</v>
      </c>
      <c r="B113" s="2" t="s">
        <v>310</v>
      </c>
      <c r="C113" s="2" t="s">
        <v>311</v>
      </c>
      <c r="D113" s="2" t="s">
        <v>118</v>
      </c>
      <c r="E113" s="2" t="s">
        <v>312</v>
      </c>
      <c r="F113" s="2" t="s">
        <v>313</v>
      </c>
      <c r="G113" s="2" t="s">
        <v>314</v>
      </c>
      <c r="H113" s="2" t="s">
        <v>291</v>
      </c>
      <c r="I113" s="2" t="s">
        <v>315</v>
      </c>
      <c r="J113" s="2" t="s">
        <v>316</v>
      </c>
      <c r="K113" s="9">
        <v>45671</v>
      </c>
      <c r="L113" s="9">
        <v>45676</v>
      </c>
      <c r="M113" s="9">
        <v>45673</v>
      </c>
      <c r="N113" s="2" t="s">
        <v>125</v>
      </c>
      <c r="O113" s="2" t="s">
        <v>54</v>
      </c>
      <c r="P113" s="2" t="s">
        <v>139</v>
      </c>
      <c r="Q113" s="2" t="s">
        <v>214</v>
      </c>
      <c r="R113" s="2" t="s">
        <v>128</v>
      </c>
      <c r="S113" s="2" t="s">
        <v>318</v>
      </c>
      <c r="T113" s="10">
        <v>74.41</v>
      </c>
      <c r="U113" s="11">
        <v>0.27229999999999999</v>
      </c>
      <c r="V113" s="12">
        <f>T113*U113</f>
        <v>20.261842999999999</v>
      </c>
      <c r="W113" s="13">
        <v>0.05</v>
      </c>
      <c r="X113" s="12">
        <f>V113-(V113/(1+W113))</f>
        <v>0.96484966666666594</v>
      </c>
      <c r="Y113" s="12">
        <f>V113-X113</f>
        <v>19.296993333333333</v>
      </c>
      <c r="Z113" s="14">
        <v>25</v>
      </c>
      <c r="AA113" s="2" t="str">
        <f>IF(V113&gt;Z113,"Yes","No")</f>
        <v>No</v>
      </c>
      <c r="AB113" s="12">
        <f>V113-Z113</f>
        <v>-4.7381570000000011</v>
      </c>
      <c r="AC113" s="15" t="s">
        <v>130</v>
      </c>
      <c r="AD113" s="15" t="s">
        <v>131</v>
      </c>
      <c r="AE113" s="15" t="s">
        <v>132</v>
      </c>
      <c r="AF113" s="12">
        <f>IF(AG113="Rejected",0,IF(R113="Corporate Card",0,V113))</f>
        <v>0</v>
      </c>
      <c r="AG113" s="15" t="s">
        <v>133</v>
      </c>
      <c r="AH113" s="16">
        <v>45683</v>
      </c>
      <c r="AI113" s="16">
        <v>45685</v>
      </c>
      <c r="AJ113" s="16">
        <v>45698</v>
      </c>
      <c r="AK113" s="17">
        <f>IF(AJ113="","",AJ113-AH113)</f>
        <v>15</v>
      </c>
    </row>
    <row r="114" spans="1:37">
      <c r="A114" s="2" t="s">
        <v>339</v>
      </c>
      <c r="B114" s="2" t="s">
        <v>310</v>
      </c>
      <c r="C114" s="2" t="s">
        <v>311</v>
      </c>
      <c r="D114" s="2" t="s">
        <v>118</v>
      </c>
      <c r="E114" s="2" t="s">
        <v>312</v>
      </c>
      <c r="F114" s="2" t="s">
        <v>313</v>
      </c>
      <c r="G114" s="2" t="s">
        <v>314</v>
      </c>
      <c r="H114" s="2" t="s">
        <v>291</v>
      </c>
      <c r="I114" s="2" t="s">
        <v>315</v>
      </c>
      <c r="J114" s="2" t="s">
        <v>316</v>
      </c>
      <c r="K114" s="9">
        <v>45671</v>
      </c>
      <c r="L114" s="9">
        <v>45676</v>
      </c>
      <c r="M114" s="9">
        <v>45673</v>
      </c>
      <c r="N114" s="2" t="s">
        <v>125</v>
      </c>
      <c r="O114" s="2" t="s">
        <v>56</v>
      </c>
      <c r="P114" s="2" t="s">
        <v>231</v>
      </c>
      <c r="Q114" s="2" t="s">
        <v>166</v>
      </c>
      <c r="R114" s="2" t="s">
        <v>137</v>
      </c>
      <c r="S114" s="2" t="s">
        <v>318</v>
      </c>
      <c r="T114" s="10">
        <v>149.74</v>
      </c>
      <c r="U114" s="11">
        <v>0.27229999999999999</v>
      </c>
      <c r="V114" s="12">
        <f>T114*U114</f>
        <v>40.774202000000002</v>
      </c>
      <c r="W114" s="13">
        <v>0.05</v>
      </c>
      <c r="X114" s="12">
        <f>V114-(V114/(1+W114))</f>
        <v>1.9416286666666664</v>
      </c>
      <c r="Y114" s="12">
        <f>V114-X114</f>
        <v>38.832573333333336</v>
      </c>
      <c r="Z114" s="14">
        <v>75</v>
      </c>
      <c r="AA114" s="2" t="str">
        <f>IF(V114&gt;Z114,"Yes","No")</f>
        <v>No</v>
      </c>
      <c r="AB114" s="12">
        <f>V114-Z114</f>
        <v>-34.225797999999998</v>
      </c>
      <c r="AC114" s="15" t="s">
        <v>130</v>
      </c>
      <c r="AD114" s="15" t="s">
        <v>131</v>
      </c>
      <c r="AE114" s="15" t="s">
        <v>132</v>
      </c>
      <c r="AF114" s="12">
        <f>IF(AG114="Rejected",0,IF(R114="Corporate Card",0,V114))</f>
        <v>40.774202000000002</v>
      </c>
      <c r="AG114" s="15" t="s">
        <v>133</v>
      </c>
      <c r="AH114" s="16">
        <v>45683</v>
      </c>
      <c r="AI114" s="16">
        <v>45685</v>
      </c>
      <c r="AJ114" s="16">
        <v>45698</v>
      </c>
      <c r="AK114" s="17">
        <f>IF(AJ114="","",AJ114-AH114)</f>
        <v>15</v>
      </c>
    </row>
    <row r="115" spans="1:37">
      <c r="A115" s="2" t="s">
        <v>340</v>
      </c>
      <c r="B115" s="2" t="s">
        <v>310</v>
      </c>
      <c r="C115" s="2" t="s">
        <v>311</v>
      </c>
      <c r="D115" s="2" t="s">
        <v>118</v>
      </c>
      <c r="E115" s="2" t="s">
        <v>312</v>
      </c>
      <c r="F115" s="2" t="s">
        <v>313</v>
      </c>
      <c r="G115" s="2" t="s">
        <v>314</v>
      </c>
      <c r="H115" s="2" t="s">
        <v>291</v>
      </c>
      <c r="I115" s="2" t="s">
        <v>315</v>
      </c>
      <c r="J115" s="2" t="s">
        <v>316</v>
      </c>
      <c r="K115" s="9">
        <v>45671</v>
      </c>
      <c r="L115" s="9">
        <v>45676</v>
      </c>
      <c r="M115" s="9">
        <v>45673</v>
      </c>
      <c r="N115" s="2" t="s">
        <v>125</v>
      </c>
      <c r="O115" s="2" t="s">
        <v>55</v>
      </c>
      <c r="P115" s="2" t="s">
        <v>139</v>
      </c>
      <c r="Q115" s="2" t="s">
        <v>161</v>
      </c>
      <c r="R115" s="2" t="s">
        <v>128</v>
      </c>
      <c r="S115" s="2" t="s">
        <v>318</v>
      </c>
      <c r="T115" s="10">
        <v>84.88</v>
      </c>
      <c r="U115" s="11">
        <v>0.27229999999999999</v>
      </c>
      <c r="V115" s="12">
        <f>T115*U115</f>
        <v>23.112823999999996</v>
      </c>
      <c r="W115" s="13">
        <v>0.05</v>
      </c>
      <c r="X115" s="12">
        <f>V115-(V115/(1+W115))</f>
        <v>1.1006106666666682</v>
      </c>
      <c r="Y115" s="12">
        <f>V115-X115</f>
        <v>22.012213333333328</v>
      </c>
      <c r="Z115" s="14">
        <v>35</v>
      </c>
      <c r="AA115" s="2" t="str">
        <f>IF(V115&gt;Z115,"Yes","No")</f>
        <v>No</v>
      </c>
      <c r="AB115" s="12">
        <f>V115-Z115</f>
        <v>-11.887176000000004</v>
      </c>
      <c r="AC115" s="15" t="s">
        <v>130</v>
      </c>
      <c r="AD115" s="15" t="s">
        <v>131</v>
      </c>
      <c r="AE115" s="15" t="s">
        <v>132</v>
      </c>
      <c r="AF115" s="12">
        <f>IF(AG115="Rejected",0,IF(R115="Corporate Card",0,V115))</f>
        <v>0</v>
      </c>
      <c r="AG115" s="15" t="s">
        <v>133</v>
      </c>
      <c r="AH115" s="16">
        <v>45683</v>
      </c>
      <c r="AI115" s="16">
        <v>45685</v>
      </c>
      <c r="AJ115" s="16">
        <v>45698</v>
      </c>
      <c r="AK115" s="17">
        <f>IF(AJ115="","",AJ115-AH115)</f>
        <v>15</v>
      </c>
    </row>
    <row r="116" spans="1:37">
      <c r="A116" s="2" t="s">
        <v>341</v>
      </c>
      <c r="B116" s="2" t="s">
        <v>342</v>
      </c>
      <c r="C116" s="2" t="s">
        <v>343</v>
      </c>
      <c r="D116" s="2" t="s">
        <v>344</v>
      </c>
      <c r="E116" s="2" t="s">
        <v>345</v>
      </c>
      <c r="F116" s="2" t="s">
        <v>346</v>
      </c>
      <c r="G116" s="2" t="s">
        <v>347</v>
      </c>
      <c r="H116" s="2" t="s">
        <v>348</v>
      </c>
      <c r="I116" s="2" t="s">
        <v>194</v>
      </c>
      <c r="J116" s="2" t="s">
        <v>195</v>
      </c>
      <c r="K116" s="9">
        <v>45674</v>
      </c>
      <c r="L116" s="9">
        <v>45676</v>
      </c>
      <c r="M116" s="9">
        <v>45674</v>
      </c>
      <c r="N116" s="2" t="s">
        <v>125</v>
      </c>
      <c r="O116" s="2" t="s">
        <v>52</v>
      </c>
      <c r="P116" s="2" t="s">
        <v>196</v>
      </c>
      <c r="Q116" s="2" t="s">
        <v>349</v>
      </c>
      <c r="R116" s="2" t="s">
        <v>149</v>
      </c>
      <c r="S116" s="2" t="s">
        <v>198</v>
      </c>
      <c r="T116" s="10">
        <v>1109.24</v>
      </c>
      <c r="U116" s="11">
        <v>1.085</v>
      </c>
      <c r="V116" s="12">
        <f>T116*U116</f>
        <v>1203.5254</v>
      </c>
      <c r="W116" s="13">
        <v>0</v>
      </c>
      <c r="X116" s="12">
        <f>V116-(V116/(1+W116))</f>
        <v>0</v>
      </c>
      <c r="Y116" s="12">
        <f>V116-X116</f>
        <v>1203.5254</v>
      </c>
      <c r="Z116" s="14">
        <v>1400</v>
      </c>
      <c r="AA116" s="2" t="str">
        <f>IF(V116&gt;Z116,"Yes","No")</f>
        <v>No</v>
      </c>
      <c r="AB116" s="12">
        <f>V116-Z116</f>
        <v>-196.47460000000001</v>
      </c>
      <c r="AC116" s="15" t="s">
        <v>130</v>
      </c>
      <c r="AD116" s="15" t="s">
        <v>130</v>
      </c>
      <c r="AE116" s="15" t="s">
        <v>350</v>
      </c>
      <c r="AF116" s="12">
        <f>IF(AG116="Rejected",0,IF(R116="Corporate Card",0,V116))</f>
        <v>1203.5254</v>
      </c>
      <c r="AG116" s="15" t="s">
        <v>133</v>
      </c>
      <c r="AH116" s="16">
        <v>45686</v>
      </c>
      <c r="AI116" s="16">
        <v>45693</v>
      </c>
      <c r="AJ116" s="16">
        <v>45704</v>
      </c>
      <c r="AK116" s="17">
        <f>IF(AJ116="","",AJ116-AH116)</f>
        <v>18</v>
      </c>
    </row>
    <row r="117" spans="1:37">
      <c r="A117" s="2" t="s">
        <v>351</v>
      </c>
      <c r="B117" s="2" t="s">
        <v>342</v>
      </c>
      <c r="C117" s="2" t="s">
        <v>343</v>
      </c>
      <c r="D117" s="2" t="s">
        <v>344</v>
      </c>
      <c r="E117" s="2" t="s">
        <v>345</v>
      </c>
      <c r="F117" s="2" t="s">
        <v>346</v>
      </c>
      <c r="G117" s="2" t="s">
        <v>347</v>
      </c>
      <c r="H117" s="2" t="s">
        <v>348</v>
      </c>
      <c r="I117" s="2" t="s">
        <v>194</v>
      </c>
      <c r="J117" s="2" t="s">
        <v>195</v>
      </c>
      <c r="K117" s="9">
        <v>45674</v>
      </c>
      <c r="L117" s="9">
        <v>45676</v>
      </c>
      <c r="M117" s="9">
        <v>45674</v>
      </c>
      <c r="N117" s="2" t="s">
        <v>125</v>
      </c>
      <c r="O117" s="2" t="s">
        <v>54</v>
      </c>
      <c r="P117" s="2" t="s">
        <v>139</v>
      </c>
      <c r="Q117" s="2" t="s">
        <v>140</v>
      </c>
      <c r="R117" s="2" t="s">
        <v>137</v>
      </c>
      <c r="S117" s="2" t="s">
        <v>198</v>
      </c>
      <c r="T117" s="10">
        <v>12.4</v>
      </c>
      <c r="U117" s="11">
        <v>1.085</v>
      </c>
      <c r="V117" s="12">
        <f>T117*U117</f>
        <v>13.454000000000001</v>
      </c>
      <c r="W117" s="13">
        <v>0.19</v>
      </c>
      <c r="X117" s="12">
        <f>V117-(V117/(1+W117))</f>
        <v>2.1481176470588235</v>
      </c>
      <c r="Y117" s="12">
        <f>V117-X117</f>
        <v>11.305882352941177</v>
      </c>
      <c r="Z117" s="14">
        <v>25</v>
      </c>
      <c r="AA117" s="2" t="str">
        <f>IF(V117&gt;Z117,"Yes","No")</f>
        <v>No</v>
      </c>
      <c r="AB117" s="12">
        <f>V117-Z117</f>
        <v>-11.545999999999999</v>
      </c>
      <c r="AC117" s="15" t="s">
        <v>130</v>
      </c>
      <c r="AD117" s="15" t="s">
        <v>130</v>
      </c>
      <c r="AE117" s="15" t="s">
        <v>350</v>
      </c>
      <c r="AF117" s="12">
        <f>IF(AG117="Rejected",0,IF(R117="Corporate Card",0,V117))</f>
        <v>13.454000000000001</v>
      </c>
      <c r="AG117" s="15" t="s">
        <v>133</v>
      </c>
      <c r="AH117" s="16">
        <v>45686</v>
      </c>
      <c r="AI117" s="16">
        <v>45693</v>
      </c>
      <c r="AJ117" s="16">
        <v>45704</v>
      </c>
      <c r="AK117" s="17">
        <f>IF(AJ117="","",AJ117-AH117)</f>
        <v>18</v>
      </c>
    </row>
    <row r="118" spans="1:37">
      <c r="A118" s="2" t="s">
        <v>352</v>
      </c>
      <c r="B118" s="2" t="s">
        <v>342</v>
      </c>
      <c r="C118" s="2" t="s">
        <v>343</v>
      </c>
      <c r="D118" s="2" t="s">
        <v>344</v>
      </c>
      <c r="E118" s="2" t="s">
        <v>345</v>
      </c>
      <c r="F118" s="2" t="s">
        <v>346</v>
      </c>
      <c r="G118" s="2" t="s">
        <v>347</v>
      </c>
      <c r="H118" s="2" t="s">
        <v>348</v>
      </c>
      <c r="I118" s="2" t="s">
        <v>194</v>
      </c>
      <c r="J118" s="2" t="s">
        <v>195</v>
      </c>
      <c r="K118" s="9">
        <v>45674</v>
      </c>
      <c r="L118" s="9">
        <v>45676</v>
      </c>
      <c r="M118" s="9">
        <v>45674</v>
      </c>
      <c r="N118" s="2" t="s">
        <v>125</v>
      </c>
      <c r="O118" s="2" t="s">
        <v>56</v>
      </c>
      <c r="P118" s="2" t="s">
        <v>245</v>
      </c>
      <c r="Q118" s="2" t="s">
        <v>185</v>
      </c>
      <c r="R118" s="2" t="s">
        <v>128</v>
      </c>
      <c r="S118" s="2" t="s">
        <v>198</v>
      </c>
      <c r="T118" s="10">
        <v>39.24</v>
      </c>
      <c r="U118" s="11">
        <v>1.085</v>
      </c>
      <c r="V118" s="12">
        <f>T118*U118</f>
        <v>42.575400000000002</v>
      </c>
      <c r="W118" s="13">
        <v>0.19</v>
      </c>
      <c r="X118" s="12">
        <f>V118-(V118/(1+W118))</f>
        <v>6.7977529411764692</v>
      </c>
      <c r="Y118" s="12">
        <f>V118-X118</f>
        <v>35.777647058823533</v>
      </c>
      <c r="Z118" s="14">
        <v>75</v>
      </c>
      <c r="AA118" s="2" t="str">
        <f>IF(V118&gt;Z118,"Yes","No")</f>
        <v>No</v>
      </c>
      <c r="AB118" s="12">
        <f>V118-Z118</f>
        <v>-32.424599999999998</v>
      </c>
      <c r="AC118" s="15" t="s">
        <v>130</v>
      </c>
      <c r="AD118" s="15" t="s">
        <v>130</v>
      </c>
      <c r="AE118" s="15" t="s">
        <v>350</v>
      </c>
      <c r="AF118" s="12">
        <f>IF(AG118="Rejected",0,IF(R118="Corporate Card",0,V118))</f>
        <v>0</v>
      </c>
      <c r="AG118" s="15" t="s">
        <v>133</v>
      </c>
      <c r="AH118" s="16">
        <v>45686</v>
      </c>
      <c r="AI118" s="16">
        <v>45693</v>
      </c>
      <c r="AJ118" s="16">
        <v>45704</v>
      </c>
      <c r="AK118" s="17">
        <f>IF(AJ118="","",AJ118-AH118)</f>
        <v>18</v>
      </c>
    </row>
    <row r="119" spans="1:37">
      <c r="A119" s="2" t="s">
        <v>353</v>
      </c>
      <c r="B119" s="2" t="s">
        <v>342</v>
      </c>
      <c r="C119" s="2" t="s">
        <v>343</v>
      </c>
      <c r="D119" s="2" t="s">
        <v>344</v>
      </c>
      <c r="E119" s="2" t="s">
        <v>345</v>
      </c>
      <c r="F119" s="2" t="s">
        <v>346</v>
      </c>
      <c r="G119" s="2" t="s">
        <v>347</v>
      </c>
      <c r="H119" s="2" t="s">
        <v>348</v>
      </c>
      <c r="I119" s="2" t="s">
        <v>194</v>
      </c>
      <c r="J119" s="2" t="s">
        <v>195</v>
      </c>
      <c r="K119" s="9">
        <v>45674</v>
      </c>
      <c r="L119" s="9">
        <v>45676</v>
      </c>
      <c r="M119" s="9">
        <v>45674</v>
      </c>
      <c r="N119" s="2" t="s">
        <v>125</v>
      </c>
      <c r="O119" s="2" t="s">
        <v>55</v>
      </c>
      <c r="P119" s="2" t="s">
        <v>139</v>
      </c>
      <c r="Q119" s="2" t="s">
        <v>154</v>
      </c>
      <c r="R119" s="2" t="s">
        <v>149</v>
      </c>
      <c r="S119" s="2" t="s">
        <v>198</v>
      </c>
      <c r="T119" s="10">
        <v>14.28</v>
      </c>
      <c r="U119" s="11">
        <v>1.085</v>
      </c>
      <c r="V119" s="12">
        <f>T119*U119</f>
        <v>15.493799999999998</v>
      </c>
      <c r="W119" s="13">
        <v>0.19</v>
      </c>
      <c r="X119" s="12">
        <f>V119-(V119/(1+W119))</f>
        <v>2.4737999999999989</v>
      </c>
      <c r="Y119" s="12">
        <f>V119-X119</f>
        <v>13.02</v>
      </c>
      <c r="Z119" s="14">
        <v>35</v>
      </c>
      <c r="AA119" s="2" t="str">
        <f>IF(V119&gt;Z119,"Yes","No")</f>
        <v>No</v>
      </c>
      <c r="AB119" s="12">
        <f>V119-Z119</f>
        <v>-19.5062</v>
      </c>
      <c r="AC119" s="15" t="s">
        <v>130</v>
      </c>
      <c r="AD119" s="15" t="s">
        <v>130</v>
      </c>
      <c r="AE119" s="15" t="s">
        <v>350</v>
      </c>
      <c r="AF119" s="12">
        <f>IF(AG119="Rejected",0,IF(R119="Corporate Card",0,V119))</f>
        <v>15.493799999999998</v>
      </c>
      <c r="AG119" s="15" t="s">
        <v>133</v>
      </c>
      <c r="AH119" s="16">
        <v>45686</v>
      </c>
      <c r="AI119" s="16">
        <v>45693</v>
      </c>
      <c r="AJ119" s="16">
        <v>45704</v>
      </c>
      <c r="AK119" s="17">
        <f>IF(AJ119="","",AJ119-AH119)</f>
        <v>18</v>
      </c>
    </row>
    <row r="120" spans="1:37">
      <c r="A120" s="2" t="s">
        <v>354</v>
      </c>
      <c r="B120" s="2" t="s">
        <v>287</v>
      </c>
      <c r="C120" s="2" t="s">
        <v>288</v>
      </c>
      <c r="D120" s="2" t="s">
        <v>171</v>
      </c>
      <c r="E120" s="2" t="s">
        <v>289</v>
      </c>
      <c r="F120" s="2" t="s">
        <v>173</v>
      </c>
      <c r="G120" s="2" t="s">
        <v>290</v>
      </c>
      <c r="H120" s="2" t="s">
        <v>291</v>
      </c>
      <c r="I120" s="2" t="s">
        <v>255</v>
      </c>
      <c r="J120" s="2" t="s">
        <v>256</v>
      </c>
      <c r="K120" s="9">
        <v>45670</v>
      </c>
      <c r="L120" s="9">
        <v>45677</v>
      </c>
      <c r="M120" s="9">
        <v>45674</v>
      </c>
      <c r="N120" s="2" t="s">
        <v>125</v>
      </c>
      <c r="O120" s="2" t="s">
        <v>54</v>
      </c>
      <c r="P120" s="2" t="s">
        <v>139</v>
      </c>
      <c r="Q120" s="2" t="s">
        <v>163</v>
      </c>
      <c r="R120" s="2" t="s">
        <v>149</v>
      </c>
      <c r="S120" s="2" t="s">
        <v>259</v>
      </c>
      <c r="T120" s="10">
        <v>2726</v>
      </c>
      <c r="U120" s="11">
        <v>6.5500000000000003E-3</v>
      </c>
      <c r="V120" s="12">
        <f>T120*U120</f>
        <v>17.8553</v>
      </c>
      <c r="W120" s="13">
        <v>0.1</v>
      </c>
      <c r="X120" s="12">
        <f>V120-(V120/(1+W120))</f>
        <v>1.6232090909090928</v>
      </c>
      <c r="Y120" s="12">
        <f>V120-X120</f>
        <v>16.232090909090907</v>
      </c>
      <c r="Z120" s="14">
        <v>25</v>
      </c>
      <c r="AA120" s="2" t="str">
        <f>IF(V120&gt;Z120,"Yes","No")</f>
        <v>No</v>
      </c>
      <c r="AB120" s="12">
        <f>V120-Z120</f>
        <v>-7.1447000000000003</v>
      </c>
      <c r="AC120" s="15" t="s">
        <v>131</v>
      </c>
      <c r="AD120" s="15" t="s">
        <v>131</v>
      </c>
      <c r="AE120" s="15" t="s">
        <v>132</v>
      </c>
      <c r="AF120" s="12">
        <f>IF(AG120="Rejected",0,IF(R120="Corporate Card",0,V120))</f>
        <v>17.8553</v>
      </c>
      <c r="AG120" s="15" t="s">
        <v>133</v>
      </c>
      <c r="AH120" s="16">
        <v>45688</v>
      </c>
      <c r="AI120" s="16">
        <v>45692</v>
      </c>
      <c r="AJ120" s="16">
        <v>45701</v>
      </c>
      <c r="AK120" s="17">
        <f>IF(AJ120="","",AJ120-AH120)</f>
        <v>13</v>
      </c>
    </row>
    <row r="121" spans="1:37">
      <c r="A121" s="2" t="s">
        <v>355</v>
      </c>
      <c r="B121" s="2" t="s">
        <v>287</v>
      </c>
      <c r="C121" s="2" t="s">
        <v>288</v>
      </c>
      <c r="D121" s="2" t="s">
        <v>171</v>
      </c>
      <c r="E121" s="2" t="s">
        <v>289</v>
      </c>
      <c r="F121" s="2" t="s">
        <v>173</v>
      </c>
      <c r="G121" s="2" t="s">
        <v>290</v>
      </c>
      <c r="H121" s="2" t="s">
        <v>291</v>
      </c>
      <c r="I121" s="2" t="s">
        <v>255</v>
      </c>
      <c r="J121" s="2" t="s">
        <v>256</v>
      </c>
      <c r="K121" s="9">
        <v>45670</v>
      </c>
      <c r="L121" s="9">
        <v>45677</v>
      </c>
      <c r="M121" s="9">
        <v>45674</v>
      </c>
      <c r="N121" s="2" t="s">
        <v>125</v>
      </c>
      <c r="O121" s="2" t="s">
        <v>56</v>
      </c>
      <c r="P121" s="2" t="s">
        <v>151</v>
      </c>
      <c r="Q121" s="2" t="s">
        <v>227</v>
      </c>
      <c r="R121" s="2" t="s">
        <v>128</v>
      </c>
      <c r="S121" s="2" t="s">
        <v>259</v>
      </c>
      <c r="T121" s="10">
        <v>8024</v>
      </c>
      <c r="U121" s="11">
        <v>6.5500000000000003E-3</v>
      </c>
      <c r="V121" s="12">
        <f>T121*U121</f>
        <v>52.557200000000002</v>
      </c>
      <c r="W121" s="13">
        <v>0.1</v>
      </c>
      <c r="X121" s="12">
        <f>V121-(V121/(1+W121))</f>
        <v>4.7779272727272755</v>
      </c>
      <c r="Y121" s="12">
        <f>V121-X121</f>
        <v>47.779272727272726</v>
      </c>
      <c r="Z121" s="14">
        <v>75</v>
      </c>
      <c r="AA121" s="2" t="str">
        <f>IF(V121&gt;Z121,"Yes","No")</f>
        <v>No</v>
      </c>
      <c r="AB121" s="12">
        <f>V121-Z121</f>
        <v>-22.442799999999998</v>
      </c>
      <c r="AC121" s="15" t="s">
        <v>130</v>
      </c>
      <c r="AD121" s="15" t="s">
        <v>131</v>
      </c>
      <c r="AE121" s="15" t="s">
        <v>132</v>
      </c>
      <c r="AF121" s="12">
        <f>IF(AG121="Rejected",0,IF(R121="Corporate Card",0,V121))</f>
        <v>0</v>
      </c>
      <c r="AG121" s="15" t="s">
        <v>133</v>
      </c>
      <c r="AH121" s="16">
        <v>45688</v>
      </c>
      <c r="AI121" s="16">
        <v>45692</v>
      </c>
      <c r="AJ121" s="16">
        <v>45701</v>
      </c>
      <c r="AK121" s="17">
        <f>IF(AJ121="","",AJ121-AH121)</f>
        <v>13</v>
      </c>
    </row>
    <row r="122" spans="1:37">
      <c r="A122" s="2" t="s">
        <v>356</v>
      </c>
      <c r="B122" s="2" t="s">
        <v>310</v>
      </c>
      <c r="C122" s="2" t="s">
        <v>311</v>
      </c>
      <c r="D122" s="2" t="s">
        <v>118</v>
      </c>
      <c r="E122" s="2" t="s">
        <v>312</v>
      </c>
      <c r="F122" s="2" t="s">
        <v>313</v>
      </c>
      <c r="G122" s="2" t="s">
        <v>314</v>
      </c>
      <c r="H122" s="2" t="s">
        <v>291</v>
      </c>
      <c r="I122" s="2" t="s">
        <v>315</v>
      </c>
      <c r="J122" s="2" t="s">
        <v>316</v>
      </c>
      <c r="K122" s="9">
        <v>45671</v>
      </c>
      <c r="L122" s="9">
        <v>45676</v>
      </c>
      <c r="M122" s="9">
        <v>45674</v>
      </c>
      <c r="N122" s="2" t="s">
        <v>125</v>
      </c>
      <c r="O122" s="2" t="s">
        <v>58</v>
      </c>
      <c r="P122" s="2" t="s">
        <v>142</v>
      </c>
      <c r="Q122" s="2" t="s">
        <v>156</v>
      </c>
      <c r="R122" s="2" t="s">
        <v>128</v>
      </c>
      <c r="S122" s="2" t="s">
        <v>318</v>
      </c>
      <c r="T122" s="10">
        <v>167.84</v>
      </c>
      <c r="U122" s="11">
        <v>0.27229999999999999</v>
      </c>
      <c r="V122" s="12">
        <f>T122*U122</f>
        <v>45.702832000000001</v>
      </c>
      <c r="W122" s="13">
        <v>0.05</v>
      </c>
      <c r="X122" s="12">
        <f>V122-(V122/(1+W122))</f>
        <v>2.1763253333333381</v>
      </c>
      <c r="Y122" s="12">
        <f>V122-X122</f>
        <v>43.526506666666663</v>
      </c>
      <c r="Z122" s="14">
        <v>60</v>
      </c>
      <c r="AA122" s="2" t="str">
        <f>IF(V122&gt;Z122,"Yes","No")</f>
        <v>No</v>
      </c>
      <c r="AB122" s="12">
        <f>V122-Z122</f>
        <v>-14.297167999999999</v>
      </c>
      <c r="AC122" s="15" t="s">
        <v>130</v>
      </c>
      <c r="AD122" s="15" t="s">
        <v>131</v>
      </c>
      <c r="AE122" s="15" t="s">
        <v>132</v>
      </c>
      <c r="AF122" s="12">
        <f>IF(AG122="Rejected",0,IF(R122="Corporate Card",0,V122))</f>
        <v>0</v>
      </c>
      <c r="AG122" s="15" t="s">
        <v>133</v>
      </c>
      <c r="AH122" s="16">
        <v>45683</v>
      </c>
      <c r="AI122" s="16">
        <v>45685</v>
      </c>
      <c r="AJ122" s="16">
        <v>45698</v>
      </c>
      <c r="AK122" s="17">
        <f>IF(AJ122="","",AJ122-AH122)</f>
        <v>15</v>
      </c>
    </row>
    <row r="123" spans="1:37">
      <c r="A123" s="2" t="s">
        <v>357</v>
      </c>
      <c r="B123" s="2" t="s">
        <v>310</v>
      </c>
      <c r="C123" s="2" t="s">
        <v>311</v>
      </c>
      <c r="D123" s="2" t="s">
        <v>118</v>
      </c>
      <c r="E123" s="2" t="s">
        <v>312</v>
      </c>
      <c r="F123" s="2" t="s">
        <v>313</v>
      </c>
      <c r="G123" s="2" t="s">
        <v>314</v>
      </c>
      <c r="H123" s="2" t="s">
        <v>291</v>
      </c>
      <c r="I123" s="2" t="s">
        <v>315</v>
      </c>
      <c r="J123" s="2" t="s">
        <v>316</v>
      </c>
      <c r="K123" s="9">
        <v>45671</v>
      </c>
      <c r="L123" s="9">
        <v>45676</v>
      </c>
      <c r="M123" s="9">
        <v>45674</v>
      </c>
      <c r="N123" s="2" t="s">
        <v>125</v>
      </c>
      <c r="O123" s="2" t="s">
        <v>68</v>
      </c>
      <c r="P123" s="2" t="s">
        <v>282</v>
      </c>
      <c r="Q123" s="2" t="s">
        <v>283</v>
      </c>
      <c r="R123" s="2" t="s">
        <v>149</v>
      </c>
      <c r="S123" s="2" t="s">
        <v>318</v>
      </c>
      <c r="T123" s="10">
        <v>44.73</v>
      </c>
      <c r="U123" s="11">
        <v>0.27229999999999999</v>
      </c>
      <c r="V123" s="12">
        <f>T123*U123</f>
        <v>12.179978999999998</v>
      </c>
      <c r="W123" s="13">
        <v>0.05</v>
      </c>
      <c r="X123" s="12">
        <f>V123-(V123/(1+W123))</f>
        <v>0.57999900000000082</v>
      </c>
      <c r="Y123" s="12">
        <f>V123-X123</f>
        <v>11.599979999999997</v>
      </c>
      <c r="Z123" s="14">
        <v>30</v>
      </c>
      <c r="AA123" s="2" t="str">
        <f>IF(V123&gt;Z123,"Yes","No")</f>
        <v>No</v>
      </c>
      <c r="AB123" s="12">
        <f>V123-Z123</f>
        <v>-17.820021000000004</v>
      </c>
      <c r="AC123" s="15" t="s">
        <v>130</v>
      </c>
      <c r="AD123" s="15" t="s">
        <v>131</v>
      </c>
      <c r="AE123" s="15" t="s">
        <v>132</v>
      </c>
      <c r="AF123" s="12">
        <f>IF(AG123="Rejected",0,IF(R123="Corporate Card",0,V123))</f>
        <v>12.179978999999998</v>
      </c>
      <c r="AG123" s="15" t="s">
        <v>133</v>
      </c>
      <c r="AH123" s="16">
        <v>45683</v>
      </c>
      <c r="AI123" s="16">
        <v>45685</v>
      </c>
      <c r="AJ123" s="16">
        <v>45698</v>
      </c>
      <c r="AK123" s="17">
        <f>IF(AJ123="","",AJ123-AH123)</f>
        <v>15</v>
      </c>
    </row>
    <row r="124" spans="1:37">
      <c r="A124" s="2" t="s">
        <v>358</v>
      </c>
      <c r="B124" s="2" t="s">
        <v>310</v>
      </c>
      <c r="C124" s="2" t="s">
        <v>311</v>
      </c>
      <c r="D124" s="2" t="s">
        <v>118</v>
      </c>
      <c r="E124" s="2" t="s">
        <v>312</v>
      </c>
      <c r="F124" s="2" t="s">
        <v>313</v>
      </c>
      <c r="G124" s="2" t="s">
        <v>314</v>
      </c>
      <c r="H124" s="2" t="s">
        <v>291</v>
      </c>
      <c r="I124" s="2" t="s">
        <v>315</v>
      </c>
      <c r="J124" s="2" t="s">
        <v>316</v>
      </c>
      <c r="K124" s="9">
        <v>45671</v>
      </c>
      <c r="L124" s="9">
        <v>45676</v>
      </c>
      <c r="M124" s="9">
        <v>45674</v>
      </c>
      <c r="N124" s="2" t="s">
        <v>125</v>
      </c>
      <c r="O124" s="2" t="s">
        <v>56</v>
      </c>
      <c r="P124" s="2" t="s">
        <v>231</v>
      </c>
      <c r="Q124" s="2" t="s">
        <v>159</v>
      </c>
      <c r="R124" s="2" t="s">
        <v>149</v>
      </c>
      <c r="S124" s="2" t="s">
        <v>318</v>
      </c>
      <c r="T124" s="10">
        <v>240.48</v>
      </c>
      <c r="U124" s="11">
        <v>0.27229999999999999</v>
      </c>
      <c r="V124" s="12">
        <f>T124*U124</f>
        <v>65.482703999999998</v>
      </c>
      <c r="W124" s="13">
        <v>0.05</v>
      </c>
      <c r="X124" s="12">
        <f>V124-(V124/(1+W124))</f>
        <v>3.118224000000005</v>
      </c>
      <c r="Y124" s="12">
        <f>V124-X124</f>
        <v>62.364479999999993</v>
      </c>
      <c r="Z124" s="14">
        <v>75</v>
      </c>
      <c r="AA124" s="2" t="str">
        <f>IF(V124&gt;Z124,"Yes","No")</f>
        <v>No</v>
      </c>
      <c r="AB124" s="12">
        <f>V124-Z124</f>
        <v>-9.5172960000000018</v>
      </c>
      <c r="AC124" s="15" t="s">
        <v>130</v>
      </c>
      <c r="AD124" s="15" t="s">
        <v>131</v>
      </c>
      <c r="AE124" s="15" t="s">
        <v>132</v>
      </c>
      <c r="AF124" s="12">
        <f>IF(AG124="Rejected",0,IF(R124="Corporate Card",0,V124))</f>
        <v>65.482703999999998</v>
      </c>
      <c r="AG124" s="15" t="s">
        <v>133</v>
      </c>
      <c r="AH124" s="16">
        <v>45683</v>
      </c>
      <c r="AI124" s="16">
        <v>45685</v>
      </c>
      <c r="AJ124" s="16">
        <v>45698</v>
      </c>
      <c r="AK124" s="17">
        <f>IF(AJ124="","",AJ124-AH124)</f>
        <v>15</v>
      </c>
    </row>
    <row r="125" spans="1:37">
      <c r="A125" s="2" t="s">
        <v>359</v>
      </c>
      <c r="B125" s="2" t="s">
        <v>310</v>
      </c>
      <c r="C125" s="2" t="s">
        <v>311</v>
      </c>
      <c r="D125" s="2" t="s">
        <v>118</v>
      </c>
      <c r="E125" s="2" t="s">
        <v>312</v>
      </c>
      <c r="F125" s="2" t="s">
        <v>313</v>
      </c>
      <c r="G125" s="2" t="s">
        <v>314</v>
      </c>
      <c r="H125" s="2" t="s">
        <v>291</v>
      </c>
      <c r="I125" s="2" t="s">
        <v>315</v>
      </c>
      <c r="J125" s="2" t="s">
        <v>316</v>
      </c>
      <c r="K125" s="9">
        <v>45671</v>
      </c>
      <c r="L125" s="9">
        <v>45676</v>
      </c>
      <c r="M125" s="9">
        <v>45674</v>
      </c>
      <c r="N125" s="2" t="s">
        <v>125</v>
      </c>
      <c r="O125" s="2" t="s">
        <v>55</v>
      </c>
      <c r="P125" s="2" t="s">
        <v>139</v>
      </c>
      <c r="Q125" s="2" t="s">
        <v>154</v>
      </c>
      <c r="R125" s="2" t="s">
        <v>128</v>
      </c>
      <c r="S125" s="2" t="s">
        <v>318</v>
      </c>
      <c r="T125" s="10">
        <v>49.64</v>
      </c>
      <c r="U125" s="11">
        <v>0.27229999999999999</v>
      </c>
      <c r="V125" s="12">
        <f>T125*U125</f>
        <v>13.516971999999999</v>
      </c>
      <c r="W125" s="13">
        <v>0.05</v>
      </c>
      <c r="X125" s="12">
        <f>V125-(V125/(1+W125))</f>
        <v>0.64366533333333464</v>
      </c>
      <c r="Y125" s="12">
        <f>V125-X125</f>
        <v>12.873306666666664</v>
      </c>
      <c r="Z125" s="14">
        <v>35</v>
      </c>
      <c r="AA125" s="2" t="str">
        <f>IF(V125&gt;Z125,"Yes","No")</f>
        <v>No</v>
      </c>
      <c r="AB125" s="12">
        <f>V125-Z125</f>
        <v>-21.483028000000001</v>
      </c>
      <c r="AC125" s="15" t="s">
        <v>130</v>
      </c>
      <c r="AD125" s="15" t="s">
        <v>131</v>
      </c>
      <c r="AE125" s="15" t="s">
        <v>132</v>
      </c>
      <c r="AF125" s="12">
        <f>IF(AG125="Rejected",0,IF(R125="Corporate Card",0,V125))</f>
        <v>0</v>
      </c>
      <c r="AG125" s="15" t="s">
        <v>133</v>
      </c>
      <c r="AH125" s="16">
        <v>45683</v>
      </c>
      <c r="AI125" s="16">
        <v>45685</v>
      </c>
      <c r="AJ125" s="16">
        <v>45698</v>
      </c>
      <c r="AK125" s="17">
        <f>IF(AJ125="","",AJ125-AH125)</f>
        <v>15</v>
      </c>
    </row>
    <row r="126" spans="1:37">
      <c r="A126" s="2" t="s">
        <v>360</v>
      </c>
      <c r="B126" s="2" t="s">
        <v>342</v>
      </c>
      <c r="C126" s="2" t="s">
        <v>343</v>
      </c>
      <c r="D126" s="2" t="s">
        <v>344</v>
      </c>
      <c r="E126" s="2" t="s">
        <v>345</v>
      </c>
      <c r="F126" s="2" t="s">
        <v>346</v>
      </c>
      <c r="G126" s="2" t="s">
        <v>347</v>
      </c>
      <c r="H126" s="2" t="s">
        <v>348</v>
      </c>
      <c r="I126" s="2" t="s">
        <v>194</v>
      </c>
      <c r="J126" s="2" t="s">
        <v>195</v>
      </c>
      <c r="K126" s="9">
        <v>45674</v>
      </c>
      <c r="L126" s="9">
        <v>45676</v>
      </c>
      <c r="M126" s="9">
        <v>45675</v>
      </c>
      <c r="N126" s="2" t="s">
        <v>125</v>
      </c>
      <c r="O126" s="2" t="s">
        <v>58</v>
      </c>
      <c r="P126" s="2" t="s">
        <v>142</v>
      </c>
      <c r="Q126" s="2" t="s">
        <v>203</v>
      </c>
      <c r="R126" s="2" t="s">
        <v>128</v>
      </c>
      <c r="S126" s="2" t="s">
        <v>198</v>
      </c>
      <c r="T126" s="10">
        <v>29.63</v>
      </c>
      <c r="U126" s="11">
        <v>1.085</v>
      </c>
      <c r="V126" s="12">
        <f>T126*U126</f>
        <v>32.14855</v>
      </c>
      <c r="W126" s="13">
        <v>0.19</v>
      </c>
      <c r="X126" s="12">
        <f>V126-(V126/(1+W126))</f>
        <v>5.1329617647058825</v>
      </c>
      <c r="Y126" s="12">
        <f>V126-X126</f>
        <v>27.015588235294118</v>
      </c>
      <c r="Z126" s="14">
        <v>60</v>
      </c>
      <c r="AA126" s="2" t="str">
        <f>IF(V126&gt;Z126,"Yes","No")</f>
        <v>No</v>
      </c>
      <c r="AB126" s="12">
        <f>V126-Z126</f>
        <v>-27.85145</v>
      </c>
      <c r="AC126" s="15" t="s">
        <v>130</v>
      </c>
      <c r="AD126" s="15" t="s">
        <v>130</v>
      </c>
      <c r="AE126" s="15" t="s">
        <v>350</v>
      </c>
      <c r="AF126" s="12">
        <f>IF(AG126="Rejected",0,IF(R126="Corporate Card",0,V126))</f>
        <v>0</v>
      </c>
      <c r="AG126" s="15" t="s">
        <v>133</v>
      </c>
      <c r="AH126" s="16">
        <v>45686</v>
      </c>
      <c r="AI126" s="16">
        <v>45693</v>
      </c>
      <c r="AJ126" s="16">
        <v>45704</v>
      </c>
      <c r="AK126" s="17">
        <f>IF(AJ126="","",AJ126-AH126)</f>
        <v>18</v>
      </c>
    </row>
    <row r="127" spans="1:37">
      <c r="A127" s="2" t="s">
        <v>361</v>
      </c>
      <c r="B127" s="2" t="s">
        <v>342</v>
      </c>
      <c r="C127" s="2" t="s">
        <v>343</v>
      </c>
      <c r="D127" s="2" t="s">
        <v>344</v>
      </c>
      <c r="E127" s="2" t="s">
        <v>345</v>
      </c>
      <c r="F127" s="2" t="s">
        <v>346</v>
      </c>
      <c r="G127" s="2" t="s">
        <v>347</v>
      </c>
      <c r="H127" s="2" t="s">
        <v>348</v>
      </c>
      <c r="I127" s="2" t="s">
        <v>194</v>
      </c>
      <c r="J127" s="2" t="s">
        <v>195</v>
      </c>
      <c r="K127" s="9">
        <v>45674</v>
      </c>
      <c r="L127" s="9">
        <v>45676</v>
      </c>
      <c r="M127" s="9">
        <v>45675</v>
      </c>
      <c r="N127" s="2" t="s">
        <v>125</v>
      </c>
      <c r="O127" s="2" t="s">
        <v>53</v>
      </c>
      <c r="P127" s="2" t="s">
        <v>362</v>
      </c>
      <c r="Q127" s="2" t="s">
        <v>209</v>
      </c>
      <c r="R127" s="2" t="s">
        <v>128</v>
      </c>
      <c r="S127" s="2" t="s">
        <v>198</v>
      </c>
      <c r="T127" s="10">
        <v>334.12</v>
      </c>
      <c r="U127" s="11">
        <v>1.085</v>
      </c>
      <c r="V127" s="12">
        <f>T127*U127</f>
        <v>362.52019999999999</v>
      </c>
      <c r="W127" s="13">
        <v>0.19</v>
      </c>
      <c r="X127" s="12">
        <f>V127-(V127/(1+W127))</f>
        <v>57.881376470588236</v>
      </c>
      <c r="Y127" s="12">
        <f>V127-X127</f>
        <v>304.63882352941175</v>
      </c>
      <c r="Z127" s="14">
        <v>560</v>
      </c>
      <c r="AA127" s="2" t="str">
        <f>IF(V127&gt;Z127,"Yes","No")</f>
        <v>No</v>
      </c>
      <c r="AB127" s="12">
        <f>V127-Z127</f>
        <v>-197.47980000000001</v>
      </c>
      <c r="AC127" s="15" t="s">
        <v>130</v>
      </c>
      <c r="AD127" s="15" t="s">
        <v>130</v>
      </c>
      <c r="AE127" s="15" t="s">
        <v>350</v>
      </c>
      <c r="AF127" s="12">
        <f>IF(AG127="Rejected",0,IF(R127="Corporate Card",0,V127))</f>
        <v>0</v>
      </c>
      <c r="AG127" s="15" t="s">
        <v>133</v>
      </c>
      <c r="AH127" s="16">
        <v>45686</v>
      </c>
      <c r="AI127" s="16">
        <v>45693</v>
      </c>
      <c r="AJ127" s="16">
        <v>45704</v>
      </c>
      <c r="AK127" s="17">
        <f>IF(AJ127="","",AJ127-AH127)</f>
        <v>18</v>
      </c>
    </row>
    <row r="128" spans="1:37">
      <c r="A128" s="2" t="s">
        <v>363</v>
      </c>
      <c r="B128" s="2" t="s">
        <v>342</v>
      </c>
      <c r="C128" s="2" t="s">
        <v>343</v>
      </c>
      <c r="D128" s="2" t="s">
        <v>344</v>
      </c>
      <c r="E128" s="2" t="s">
        <v>345</v>
      </c>
      <c r="F128" s="2" t="s">
        <v>346</v>
      </c>
      <c r="G128" s="2" t="s">
        <v>347</v>
      </c>
      <c r="H128" s="2" t="s">
        <v>348</v>
      </c>
      <c r="I128" s="2" t="s">
        <v>194</v>
      </c>
      <c r="J128" s="2" t="s">
        <v>195</v>
      </c>
      <c r="K128" s="9">
        <v>45674</v>
      </c>
      <c r="L128" s="9">
        <v>45676</v>
      </c>
      <c r="M128" s="9">
        <v>45675</v>
      </c>
      <c r="N128" s="2" t="s">
        <v>125</v>
      </c>
      <c r="O128" s="2" t="s">
        <v>65</v>
      </c>
      <c r="P128" s="2" t="s">
        <v>211</v>
      </c>
      <c r="Q128" s="2" t="s">
        <v>364</v>
      </c>
      <c r="R128" s="2" t="s">
        <v>128</v>
      </c>
      <c r="S128" s="2" t="s">
        <v>198</v>
      </c>
      <c r="T128" s="10">
        <v>27.43</v>
      </c>
      <c r="U128" s="11">
        <v>1.085</v>
      </c>
      <c r="V128" s="12">
        <f>T128*U128</f>
        <v>29.76155</v>
      </c>
      <c r="W128" s="13">
        <v>0.19</v>
      </c>
      <c r="X128" s="12">
        <f>V128-(V128/(1+W128))</f>
        <v>4.7518441176470567</v>
      </c>
      <c r="Y128" s="12">
        <f>V128-X128</f>
        <v>25.009705882352943</v>
      </c>
      <c r="Z128" s="14">
        <v>55</v>
      </c>
      <c r="AA128" s="2" t="str">
        <f>IF(V128&gt;Z128,"Yes","No")</f>
        <v>No</v>
      </c>
      <c r="AB128" s="12">
        <f>V128-Z128</f>
        <v>-25.23845</v>
      </c>
      <c r="AC128" s="15" t="s">
        <v>130</v>
      </c>
      <c r="AD128" s="15" t="s">
        <v>130</v>
      </c>
      <c r="AE128" s="15" t="s">
        <v>350</v>
      </c>
      <c r="AF128" s="12">
        <f>IF(AG128="Rejected",0,IF(R128="Corporate Card",0,V128))</f>
        <v>0</v>
      </c>
      <c r="AG128" s="15" t="s">
        <v>133</v>
      </c>
      <c r="AH128" s="16">
        <v>45686</v>
      </c>
      <c r="AI128" s="16">
        <v>45693</v>
      </c>
      <c r="AJ128" s="16">
        <v>45704</v>
      </c>
      <c r="AK128" s="17">
        <f>IF(AJ128="","",AJ128-AH128)</f>
        <v>18</v>
      </c>
    </row>
    <row r="129" spans="1:37">
      <c r="A129" s="2" t="s">
        <v>365</v>
      </c>
      <c r="B129" s="2" t="s">
        <v>342</v>
      </c>
      <c r="C129" s="2" t="s">
        <v>343</v>
      </c>
      <c r="D129" s="2" t="s">
        <v>344</v>
      </c>
      <c r="E129" s="2" t="s">
        <v>345</v>
      </c>
      <c r="F129" s="2" t="s">
        <v>346</v>
      </c>
      <c r="G129" s="2" t="s">
        <v>347</v>
      </c>
      <c r="H129" s="2" t="s">
        <v>348</v>
      </c>
      <c r="I129" s="2" t="s">
        <v>194</v>
      </c>
      <c r="J129" s="2" t="s">
        <v>195</v>
      </c>
      <c r="K129" s="9">
        <v>45674</v>
      </c>
      <c r="L129" s="9">
        <v>45676</v>
      </c>
      <c r="M129" s="9">
        <v>45675</v>
      </c>
      <c r="N129" s="2" t="s">
        <v>125</v>
      </c>
      <c r="O129" s="2" t="s">
        <v>54</v>
      </c>
      <c r="P129" s="2" t="s">
        <v>139</v>
      </c>
      <c r="Q129" s="2" t="s">
        <v>148</v>
      </c>
      <c r="R129" s="2" t="s">
        <v>137</v>
      </c>
      <c r="S129" s="2" t="s">
        <v>198</v>
      </c>
      <c r="T129" s="10">
        <v>16.91</v>
      </c>
      <c r="U129" s="11">
        <v>1.085</v>
      </c>
      <c r="V129" s="12">
        <f>T129*U129</f>
        <v>18.347349999999999</v>
      </c>
      <c r="W129" s="13">
        <v>0.19</v>
      </c>
      <c r="X129" s="12">
        <f>V129-(V129/(1+W129))</f>
        <v>2.9294088235294105</v>
      </c>
      <c r="Y129" s="12">
        <f>V129-X129</f>
        <v>15.417941176470588</v>
      </c>
      <c r="Z129" s="14">
        <v>25</v>
      </c>
      <c r="AA129" s="2" t="str">
        <f>IF(V129&gt;Z129,"Yes","No")</f>
        <v>No</v>
      </c>
      <c r="AB129" s="12">
        <f>V129-Z129</f>
        <v>-6.6526500000000013</v>
      </c>
      <c r="AC129" s="15" t="s">
        <v>130</v>
      </c>
      <c r="AD129" s="15" t="s">
        <v>130</v>
      </c>
      <c r="AE129" s="15" t="s">
        <v>350</v>
      </c>
      <c r="AF129" s="12">
        <f>IF(AG129="Rejected",0,IF(R129="Corporate Card",0,V129))</f>
        <v>18.347349999999999</v>
      </c>
      <c r="AG129" s="15" t="s">
        <v>133</v>
      </c>
      <c r="AH129" s="16">
        <v>45686</v>
      </c>
      <c r="AI129" s="16">
        <v>45693</v>
      </c>
      <c r="AJ129" s="16">
        <v>45704</v>
      </c>
      <c r="AK129" s="17">
        <f>IF(AJ129="","",AJ129-AH129)</f>
        <v>18</v>
      </c>
    </row>
    <row r="130" spans="1:37">
      <c r="A130" s="2" t="s">
        <v>366</v>
      </c>
      <c r="B130" s="2" t="s">
        <v>342</v>
      </c>
      <c r="C130" s="2" t="s">
        <v>343</v>
      </c>
      <c r="D130" s="2" t="s">
        <v>344</v>
      </c>
      <c r="E130" s="2" t="s">
        <v>345</v>
      </c>
      <c r="F130" s="2" t="s">
        <v>346</v>
      </c>
      <c r="G130" s="2" t="s">
        <v>347</v>
      </c>
      <c r="H130" s="2" t="s">
        <v>348</v>
      </c>
      <c r="I130" s="2" t="s">
        <v>194</v>
      </c>
      <c r="J130" s="2" t="s">
        <v>195</v>
      </c>
      <c r="K130" s="9">
        <v>45674</v>
      </c>
      <c r="L130" s="9">
        <v>45676</v>
      </c>
      <c r="M130" s="9">
        <v>45675</v>
      </c>
      <c r="N130" s="2" t="s">
        <v>125</v>
      </c>
      <c r="O130" s="2" t="s">
        <v>56</v>
      </c>
      <c r="P130" s="2" t="s">
        <v>151</v>
      </c>
      <c r="Q130" s="2" t="s">
        <v>152</v>
      </c>
      <c r="R130" s="2" t="s">
        <v>149</v>
      </c>
      <c r="S130" s="2" t="s">
        <v>198</v>
      </c>
      <c r="T130" s="10">
        <v>25.08</v>
      </c>
      <c r="U130" s="11">
        <v>1.085</v>
      </c>
      <c r="V130" s="12">
        <f>T130*U130</f>
        <v>27.211799999999997</v>
      </c>
      <c r="W130" s="13">
        <v>0.19</v>
      </c>
      <c r="X130" s="12">
        <f>V130-(V130/(1+W130))</f>
        <v>4.3447411764705883</v>
      </c>
      <c r="Y130" s="12">
        <f>V130-X130</f>
        <v>22.867058823529408</v>
      </c>
      <c r="Z130" s="14">
        <v>75</v>
      </c>
      <c r="AA130" s="2" t="str">
        <f>IF(V130&gt;Z130,"Yes","No")</f>
        <v>No</v>
      </c>
      <c r="AB130" s="12">
        <f>V130-Z130</f>
        <v>-47.788200000000003</v>
      </c>
      <c r="AC130" s="15" t="s">
        <v>130</v>
      </c>
      <c r="AD130" s="15" t="s">
        <v>130</v>
      </c>
      <c r="AE130" s="15" t="s">
        <v>350</v>
      </c>
      <c r="AF130" s="12">
        <f>IF(AG130="Rejected",0,IF(R130="Corporate Card",0,V130))</f>
        <v>27.211799999999997</v>
      </c>
      <c r="AG130" s="15" t="s">
        <v>133</v>
      </c>
      <c r="AH130" s="16">
        <v>45686</v>
      </c>
      <c r="AI130" s="16">
        <v>45693</v>
      </c>
      <c r="AJ130" s="16">
        <v>45704</v>
      </c>
      <c r="AK130" s="17">
        <f>IF(AJ130="","",AJ130-AH130)</f>
        <v>18</v>
      </c>
    </row>
    <row r="131" spans="1:37">
      <c r="A131" s="2" t="s">
        <v>367</v>
      </c>
      <c r="B131" s="2" t="s">
        <v>287</v>
      </c>
      <c r="C131" s="2" t="s">
        <v>288</v>
      </c>
      <c r="D131" s="2" t="s">
        <v>171</v>
      </c>
      <c r="E131" s="2" t="s">
        <v>289</v>
      </c>
      <c r="F131" s="2" t="s">
        <v>173</v>
      </c>
      <c r="G131" s="2" t="s">
        <v>290</v>
      </c>
      <c r="H131" s="2" t="s">
        <v>291</v>
      </c>
      <c r="I131" s="2" t="s">
        <v>255</v>
      </c>
      <c r="J131" s="2" t="s">
        <v>256</v>
      </c>
      <c r="K131" s="9">
        <v>45670</v>
      </c>
      <c r="L131" s="9">
        <v>45677</v>
      </c>
      <c r="M131" s="9">
        <v>45675</v>
      </c>
      <c r="N131" s="2" t="s">
        <v>125</v>
      </c>
      <c r="O131" s="2" t="s">
        <v>58</v>
      </c>
      <c r="P131" s="2" t="s">
        <v>142</v>
      </c>
      <c r="Q131" s="2" t="s">
        <v>203</v>
      </c>
      <c r="R131" s="2" t="s">
        <v>128</v>
      </c>
      <c r="S131" s="2" t="s">
        <v>259</v>
      </c>
      <c r="T131" s="10">
        <v>5496</v>
      </c>
      <c r="U131" s="11">
        <v>6.5500000000000003E-3</v>
      </c>
      <c r="V131" s="12">
        <f>T131*U131</f>
        <v>35.998800000000003</v>
      </c>
      <c r="W131" s="13">
        <v>0.1</v>
      </c>
      <c r="X131" s="12">
        <f>V131-(V131/(1+W131))</f>
        <v>3.2726181818181814</v>
      </c>
      <c r="Y131" s="12">
        <f>V131-X131</f>
        <v>32.726181818181821</v>
      </c>
      <c r="Z131" s="14">
        <v>60</v>
      </c>
      <c r="AA131" s="2" t="str">
        <f>IF(V131&gt;Z131,"Yes","No")</f>
        <v>No</v>
      </c>
      <c r="AB131" s="12">
        <f>V131-Z131</f>
        <v>-24.001199999999997</v>
      </c>
      <c r="AC131" s="15" t="s">
        <v>130</v>
      </c>
      <c r="AD131" s="15" t="s">
        <v>131</v>
      </c>
      <c r="AE131" s="15" t="s">
        <v>132</v>
      </c>
      <c r="AF131" s="12">
        <f>IF(AG131="Rejected",0,IF(R131="Corporate Card",0,V131))</f>
        <v>0</v>
      </c>
      <c r="AG131" s="15" t="s">
        <v>133</v>
      </c>
      <c r="AH131" s="16">
        <v>45688</v>
      </c>
      <c r="AI131" s="16">
        <v>45692</v>
      </c>
      <c r="AJ131" s="16">
        <v>45701</v>
      </c>
      <c r="AK131" s="17">
        <f>IF(AJ131="","",AJ131-AH131)</f>
        <v>13</v>
      </c>
    </row>
    <row r="132" spans="1:37">
      <c r="A132" s="2" t="s">
        <v>368</v>
      </c>
      <c r="B132" s="2" t="s">
        <v>287</v>
      </c>
      <c r="C132" s="2" t="s">
        <v>288</v>
      </c>
      <c r="D132" s="2" t="s">
        <v>171</v>
      </c>
      <c r="E132" s="2" t="s">
        <v>289</v>
      </c>
      <c r="F132" s="2" t="s">
        <v>173</v>
      </c>
      <c r="G132" s="2" t="s">
        <v>290</v>
      </c>
      <c r="H132" s="2" t="s">
        <v>291</v>
      </c>
      <c r="I132" s="2" t="s">
        <v>255</v>
      </c>
      <c r="J132" s="2" t="s">
        <v>256</v>
      </c>
      <c r="K132" s="9">
        <v>45670</v>
      </c>
      <c r="L132" s="9">
        <v>45677</v>
      </c>
      <c r="M132" s="9">
        <v>45675</v>
      </c>
      <c r="N132" s="2" t="s">
        <v>125</v>
      </c>
      <c r="O132" s="2" t="s">
        <v>54</v>
      </c>
      <c r="P132" s="2" t="s">
        <v>139</v>
      </c>
      <c r="Q132" s="2" t="s">
        <v>214</v>
      </c>
      <c r="R132" s="2" t="s">
        <v>149</v>
      </c>
      <c r="S132" s="2" t="s">
        <v>259</v>
      </c>
      <c r="T132" s="10">
        <v>2943</v>
      </c>
      <c r="U132" s="11">
        <v>6.5500000000000003E-3</v>
      </c>
      <c r="V132" s="12">
        <f>T132*U132</f>
        <v>19.27665</v>
      </c>
      <c r="W132" s="13">
        <v>0.1</v>
      </c>
      <c r="X132" s="12">
        <f>V132-(V132/(1+W132))</f>
        <v>1.7524227272727302</v>
      </c>
      <c r="Y132" s="12">
        <f>V132-X132</f>
        <v>17.52422727272727</v>
      </c>
      <c r="Z132" s="14">
        <v>25</v>
      </c>
      <c r="AA132" s="2" t="str">
        <f>IF(V132&gt;Z132,"Yes","No")</f>
        <v>No</v>
      </c>
      <c r="AB132" s="12">
        <f>V132-Z132</f>
        <v>-5.7233499999999999</v>
      </c>
      <c r="AC132" s="15" t="s">
        <v>130</v>
      </c>
      <c r="AD132" s="15" t="s">
        <v>131</v>
      </c>
      <c r="AE132" s="15" t="s">
        <v>132</v>
      </c>
      <c r="AF132" s="12">
        <f>IF(AG132="Rejected",0,IF(R132="Corporate Card",0,V132))</f>
        <v>19.27665</v>
      </c>
      <c r="AG132" s="15" t="s">
        <v>133</v>
      </c>
      <c r="AH132" s="16">
        <v>45688</v>
      </c>
      <c r="AI132" s="16">
        <v>45692</v>
      </c>
      <c r="AJ132" s="16">
        <v>45701</v>
      </c>
      <c r="AK132" s="17">
        <f>IF(AJ132="","",AJ132-AH132)</f>
        <v>13</v>
      </c>
    </row>
    <row r="133" spans="1:37">
      <c r="A133" s="2" t="s">
        <v>369</v>
      </c>
      <c r="B133" s="2" t="s">
        <v>287</v>
      </c>
      <c r="C133" s="2" t="s">
        <v>288</v>
      </c>
      <c r="D133" s="2" t="s">
        <v>171</v>
      </c>
      <c r="E133" s="2" t="s">
        <v>289</v>
      </c>
      <c r="F133" s="2" t="s">
        <v>173</v>
      </c>
      <c r="G133" s="2" t="s">
        <v>290</v>
      </c>
      <c r="H133" s="2" t="s">
        <v>291</v>
      </c>
      <c r="I133" s="2" t="s">
        <v>255</v>
      </c>
      <c r="J133" s="2" t="s">
        <v>256</v>
      </c>
      <c r="K133" s="9">
        <v>45670</v>
      </c>
      <c r="L133" s="9">
        <v>45677</v>
      </c>
      <c r="M133" s="9">
        <v>45675</v>
      </c>
      <c r="N133" s="2" t="s">
        <v>125</v>
      </c>
      <c r="O133" s="2" t="s">
        <v>56</v>
      </c>
      <c r="P133" s="2" t="s">
        <v>245</v>
      </c>
      <c r="Q133" s="2" t="s">
        <v>227</v>
      </c>
      <c r="R133" s="2" t="s">
        <v>128</v>
      </c>
      <c r="S133" s="2" t="s">
        <v>259</v>
      </c>
      <c r="T133" s="10">
        <v>16064</v>
      </c>
      <c r="U133" s="11">
        <v>6.5500000000000003E-3</v>
      </c>
      <c r="V133" s="12">
        <f>T133*U133</f>
        <v>105.2192</v>
      </c>
      <c r="W133" s="13">
        <v>0.1</v>
      </c>
      <c r="X133" s="12">
        <f>V133-(V133/(1+W133))</f>
        <v>9.5653818181818195</v>
      </c>
      <c r="Y133" s="12">
        <f>V133-X133</f>
        <v>95.653818181818181</v>
      </c>
      <c r="Z133" s="14">
        <v>75</v>
      </c>
      <c r="AA133" s="2" t="str">
        <f>IF(V133&gt;Z133,"Yes","No")</f>
        <v>Yes</v>
      </c>
      <c r="AB133" s="12">
        <f>V133-Z133</f>
        <v>30.219200000000001</v>
      </c>
      <c r="AC133" s="15" t="s">
        <v>130</v>
      </c>
      <c r="AD133" s="15" t="s">
        <v>131</v>
      </c>
      <c r="AE133" s="15" t="s">
        <v>132</v>
      </c>
      <c r="AF133" s="12">
        <f>IF(AG133="Rejected",0,IF(R133="Corporate Card",0,V133))</f>
        <v>0</v>
      </c>
      <c r="AG133" s="15" t="s">
        <v>133</v>
      </c>
      <c r="AH133" s="16">
        <v>45688</v>
      </c>
      <c r="AI133" s="16">
        <v>45692</v>
      </c>
      <c r="AJ133" s="16">
        <v>45701</v>
      </c>
      <c r="AK133" s="17">
        <f>IF(AJ133="","",AJ133-AH133)</f>
        <v>13</v>
      </c>
    </row>
    <row r="134" spans="1:37">
      <c r="A134" s="2" t="s">
        <v>370</v>
      </c>
      <c r="B134" s="2" t="s">
        <v>287</v>
      </c>
      <c r="C134" s="2" t="s">
        <v>288</v>
      </c>
      <c r="D134" s="2" t="s">
        <v>171</v>
      </c>
      <c r="E134" s="2" t="s">
        <v>289</v>
      </c>
      <c r="F134" s="2" t="s">
        <v>173</v>
      </c>
      <c r="G134" s="2" t="s">
        <v>290</v>
      </c>
      <c r="H134" s="2" t="s">
        <v>291</v>
      </c>
      <c r="I134" s="2" t="s">
        <v>255</v>
      </c>
      <c r="J134" s="2" t="s">
        <v>256</v>
      </c>
      <c r="K134" s="9">
        <v>45670</v>
      </c>
      <c r="L134" s="9">
        <v>45677</v>
      </c>
      <c r="M134" s="9">
        <v>45675</v>
      </c>
      <c r="N134" s="2" t="s">
        <v>125</v>
      </c>
      <c r="O134" s="2" t="s">
        <v>55</v>
      </c>
      <c r="P134" s="2" t="s">
        <v>139</v>
      </c>
      <c r="Q134" s="2" t="s">
        <v>187</v>
      </c>
      <c r="R134" s="2" t="s">
        <v>137</v>
      </c>
      <c r="S134" s="2" t="s">
        <v>259</v>
      </c>
      <c r="T134" s="10">
        <v>4960</v>
      </c>
      <c r="U134" s="11">
        <v>6.5500000000000003E-3</v>
      </c>
      <c r="V134" s="12">
        <f>T134*U134</f>
        <v>32.488</v>
      </c>
      <c r="W134" s="13">
        <v>0.1</v>
      </c>
      <c r="X134" s="12">
        <f>V134-(V134/(1+W134))</f>
        <v>2.953454545454548</v>
      </c>
      <c r="Y134" s="12">
        <f>V134-X134</f>
        <v>29.534545454545452</v>
      </c>
      <c r="Z134" s="14">
        <v>35</v>
      </c>
      <c r="AA134" s="2" t="str">
        <f>IF(V134&gt;Z134,"Yes","No")</f>
        <v>No</v>
      </c>
      <c r="AB134" s="12">
        <f>V134-Z134</f>
        <v>-2.5120000000000005</v>
      </c>
      <c r="AC134" s="15" t="s">
        <v>130</v>
      </c>
      <c r="AD134" s="15" t="s">
        <v>131</v>
      </c>
      <c r="AE134" s="15" t="s">
        <v>132</v>
      </c>
      <c r="AF134" s="12">
        <f>IF(AG134="Rejected",0,IF(R134="Corporate Card",0,V134))</f>
        <v>32.488</v>
      </c>
      <c r="AG134" s="15" t="s">
        <v>133</v>
      </c>
      <c r="AH134" s="16">
        <v>45688</v>
      </c>
      <c r="AI134" s="16">
        <v>45692</v>
      </c>
      <c r="AJ134" s="16">
        <v>45701</v>
      </c>
      <c r="AK134" s="17">
        <f>IF(AJ134="","",AJ134-AH134)</f>
        <v>13</v>
      </c>
    </row>
    <row r="135" spans="1:37">
      <c r="A135" s="2" t="s">
        <v>371</v>
      </c>
      <c r="B135" s="2" t="s">
        <v>310</v>
      </c>
      <c r="C135" s="2" t="s">
        <v>311</v>
      </c>
      <c r="D135" s="2" t="s">
        <v>118</v>
      </c>
      <c r="E135" s="2" t="s">
        <v>312</v>
      </c>
      <c r="F135" s="2" t="s">
        <v>313</v>
      </c>
      <c r="G135" s="2" t="s">
        <v>314</v>
      </c>
      <c r="H135" s="2" t="s">
        <v>291</v>
      </c>
      <c r="I135" s="2" t="s">
        <v>315</v>
      </c>
      <c r="J135" s="2" t="s">
        <v>316</v>
      </c>
      <c r="K135" s="9">
        <v>45671</v>
      </c>
      <c r="L135" s="9">
        <v>45676</v>
      </c>
      <c r="M135" s="9">
        <v>45675</v>
      </c>
      <c r="N135" s="2" t="s">
        <v>125</v>
      </c>
      <c r="O135" s="2" t="s">
        <v>54</v>
      </c>
      <c r="P135" s="2" t="s">
        <v>139</v>
      </c>
      <c r="Q135" s="2" t="s">
        <v>214</v>
      </c>
      <c r="R135" s="2" t="s">
        <v>128</v>
      </c>
      <c r="S135" s="2" t="s">
        <v>318</v>
      </c>
      <c r="T135" s="10">
        <v>41.36</v>
      </c>
      <c r="U135" s="11">
        <v>0.27229999999999999</v>
      </c>
      <c r="V135" s="12">
        <f>T135*U135</f>
        <v>11.262328</v>
      </c>
      <c r="W135" s="13">
        <v>0.05</v>
      </c>
      <c r="X135" s="12">
        <f>V135-(V135/(1+W135))</f>
        <v>0.53630133333333418</v>
      </c>
      <c r="Y135" s="12">
        <f>V135-X135</f>
        <v>10.726026666666666</v>
      </c>
      <c r="Z135" s="14">
        <v>25</v>
      </c>
      <c r="AA135" s="2" t="str">
        <f>IF(V135&gt;Z135,"Yes","No")</f>
        <v>No</v>
      </c>
      <c r="AB135" s="12">
        <f>V135-Z135</f>
        <v>-13.737672</v>
      </c>
      <c r="AC135" s="15" t="s">
        <v>130</v>
      </c>
      <c r="AD135" s="15" t="s">
        <v>131</v>
      </c>
      <c r="AE135" s="15" t="s">
        <v>132</v>
      </c>
      <c r="AF135" s="12">
        <f>IF(AG135="Rejected",0,IF(R135="Corporate Card",0,V135))</f>
        <v>0</v>
      </c>
      <c r="AG135" s="15" t="s">
        <v>133</v>
      </c>
      <c r="AH135" s="16">
        <v>45683</v>
      </c>
      <c r="AI135" s="16">
        <v>45685</v>
      </c>
      <c r="AJ135" s="16">
        <v>45698</v>
      </c>
      <c r="AK135" s="17">
        <f>IF(AJ135="","",AJ135-AH135)</f>
        <v>15</v>
      </c>
    </row>
    <row r="136" spans="1:37">
      <c r="A136" s="2" t="s">
        <v>372</v>
      </c>
      <c r="B136" s="2" t="s">
        <v>310</v>
      </c>
      <c r="C136" s="2" t="s">
        <v>311</v>
      </c>
      <c r="D136" s="2" t="s">
        <v>118</v>
      </c>
      <c r="E136" s="2" t="s">
        <v>312</v>
      </c>
      <c r="F136" s="2" t="s">
        <v>313</v>
      </c>
      <c r="G136" s="2" t="s">
        <v>314</v>
      </c>
      <c r="H136" s="2" t="s">
        <v>291</v>
      </c>
      <c r="I136" s="2" t="s">
        <v>315</v>
      </c>
      <c r="J136" s="2" t="s">
        <v>316</v>
      </c>
      <c r="K136" s="9">
        <v>45671</v>
      </c>
      <c r="L136" s="9">
        <v>45676</v>
      </c>
      <c r="M136" s="9">
        <v>45675</v>
      </c>
      <c r="N136" s="2" t="s">
        <v>125</v>
      </c>
      <c r="O136" s="2" t="s">
        <v>56</v>
      </c>
      <c r="P136" s="2" t="s">
        <v>245</v>
      </c>
      <c r="Q136" s="2" t="s">
        <v>159</v>
      </c>
      <c r="R136" s="2" t="s">
        <v>149</v>
      </c>
      <c r="S136" s="2" t="s">
        <v>318</v>
      </c>
      <c r="T136" s="10">
        <v>131.96</v>
      </c>
      <c r="U136" s="11">
        <v>0.27229999999999999</v>
      </c>
      <c r="V136" s="12">
        <f>T136*U136</f>
        <v>35.932707999999998</v>
      </c>
      <c r="W136" s="13">
        <v>0.05</v>
      </c>
      <c r="X136" s="12">
        <f>V136-(V136/(1+W136))</f>
        <v>1.7110813333333326</v>
      </c>
      <c r="Y136" s="12">
        <f>V136-X136</f>
        <v>34.221626666666666</v>
      </c>
      <c r="Z136" s="14">
        <v>75</v>
      </c>
      <c r="AA136" s="2" t="str">
        <f>IF(V136&gt;Z136,"Yes","No")</f>
        <v>No</v>
      </c>
      <c r="AB136" s="12">
        <f>V136-Z136</f>
        <v>-39.067292000000002</v>
      </c>
      <c r="AC136" s="15" t="s">
        <v>130</v>
      </c>
      <c r="AD136" s="15" t="s">
        <v>131</v>
      </c>
      <c r="AE136" s="15" t="s">
        <v>132</v>
      </c>
      <c r="AF136" s="12">
        <f>IF(AG136="Rejected",0,IF(R136="Corporate Card",0,V136))</f>
        <v>35.932707999999998</v>
      </c>
      <c r="AG136" s="15" t="s">
        <v>133</v>
      </c>
      <c r="AH136" s="16">
        <v>45683</v>
      </c>
      <c r="AI136" s="16">
        <v>45685</v>
      </c>
      <c r="AJ136" s="16">
        <v>45698</v>
      </c>
      <c r="AK136" s="17">
        <f>IF(AJ136="","",AJ136-AH136)</f>
        <v>15</v>
      </c>
    </row>
    <row r="137" spans="1:37">
      <c r="A137" s="2" t="s">
        <v>373</v>
      </c>
      <c r="B137" s="2" t="s">
        <v>310</v>
      </c>
      <c r="C137" s="2" t="s">
        <v>311</v>
      </c>
      <c r="D137" s="2" t="s">
        <v>118</v>
      </c>
      <c r="E137" s="2" t="s">
        <v>312</v>
      </c>
      <c r="F137" s="2" t="s">
        <v>313</v>
      </c>
      <c r="G137" s="2" t="s">
        <v>314</v>
      </c>
      <c r="H137" s="2" t="s">
        <v>291</v>
      </c>
      <c r="I137" s="2" t="s">
        <v>315</v>
      </c>
      <c r="J137" s="2" t="s">
        <v>316</v>
      </c>
      <c r="K137" s="9">
        <v>45671</v>
      </c>
      <c r="L137" s="9">
        <v>45676</v>
      </c>
      <c r="M137" s="9">
        <v>45675</v>
      </c>
      <c r="N137" s="2" t="s">
        <v>125</v>
      </c>
      <c r="O137" s="2" t="s">
        <v>55</v>
      </c>
      <c r="P137" s="2" t="s">
        <v>139</v>
      </c>
      <c r="Q137" s="2" t="s">
        <v>161</v>
      </c>
      <c r="R137" s="2" t="s">
        <v>128</v>
      </c>
      <c r="S137" s="2" t="s">
        <v>318</v>
      </c>
      <c r="T137" s="10">
        <v>48.34</v>
      </c>
      <c r="U137" s="11">
        <v>0.27229999999999999</v>
      </c>
      <c r="V137" s="12">
        <f>T137*U137</f>
        <v>13.162982</v>
      </c>
      <c r="W137" s="13">
        <v>0.05</v>
      </c>
      <c r="X137" s="12">
        <f>V137-(V137/(1+W137))</f>
        <v>0.62680866666666724</v>
      </c>
      <c r="Y137" s="12">
        <f>V137-X137</f>
        <v>12.536173333333332</v>
      </c>
      <c r="Z137" s="14">
        <v>35</v>
      </c>
      <c r="AA137" s="2" t="str">
        <f>IF(V137&gt;Z137,"Yes","No")</f>
        <v>No</v>
      </c>
      <c r="AB137" s="12">
        <f>V137-Z137</f>
        <v>-21.837018</v>
      </c>
      <c r="AC137" s="15" t="s">
        <v>130</v>
      </c>
      <c r="AD137" s="15" t="s">
        <v>131</v>
      </c>
      <c r="AE137" s="15" t="s">
        <v>132</v>
      </c>
      <c r="AF137" s="12">
        <f>IF(AG137="Rejected",0,IF(R137="Corporate Card",0,V137))</f>
        <v>0</v>
      </c>
      <c r="AG137" s="15" t="s">
        <v>133</v>
      </c>
      <c r="AH137" s="16">
        <v>45683</v>
      </c>
      <c r="AI137" s="16">
        <v>45685</v>
      </c>
      <c r="AJ137" s="16">
        <v>45698</v>
      </c>
      <c r="AK137" s="17">
        <f>IF(AJ137="","",AJ137-AH137)</f>
        <v>15</v>
      </c>
    </row>
    <row r="138" spans="1:37">
      <c r="A138" s="2" t="s">
        <v>374</v>
      </c>
      <c r="B138" s="2" t="s">
        <v>375</v>
      </c>
      <c r="C138" s="2" t="s">
        <v>376</v>
      </c>
      <c r="D138" s="2" t="s">
        <v>344</v>
      </c>
      <c r="E138" s="2" t="s">
        <v>377</v>
      </c>
      <c r="F138" s="2" t="s">
        <v>346</v>
      </c>
      <c r="G138" s="2" t="s">
        <v>378</v>
      </c>
      <c r="H138" s="2" t="s">
        <v>379</v>
      </c>
      <c r="I138" s="2" t="s">
        <v>380</v>
      </c>
      <c r="J138" s="2" t="s">
        <v>381</v>
      </c>
      <c r="K138" s="9">
        <v>45675</v>
      </c>
      <c r="L138" s="9">
        <v>45676</v>
      </c>
      <c r="M138" s="9">
        <v>45675</v>
      </c>
      <c r="N138" s="2" t="s">
        <v>125</v>
      </c>
      <c r="O138" s="2" t="s">
        <v>52</v>
      </c>
      <c r="P138" s="2" t="s">
        <v>382</v>
      </c>
      <c r="Q138" s="2" t="s">
        <v>178</v>
      </c>
      <c r="R138" s="2" t="s">
        <v>128</v>
      </c>
      <c r="S138" s="2" t="s">
        <v>383</v>
      </c>
      <c r="T138" s="10">
        <v>1058.1400000000001</v>
      </c>
      <c r="U138" s="11">
        <v>1</v>
      </c>
      <c r="V138" s="12">
        <f>T138*U138</f>
        <v>1058.1400000000001</v>
      </c>
      <c r="W138" s="13">
        <v>0</v>
      </c>
      <c r="X138" s="12">
        <f>V138-(V138/(1+W138))</f>
        <v>0</v>
      </c>
      <c r="Y138" s="12">
        <f>V138-X138</f>
        <v>1058.1400000000001</v>
      </c>
      <c r="Z138" s="14">
        <v>1400</v>
      </c>
      <c r="AA138" s="2" t="str">
        <f>IF(V138&gt;Z138,"Yes","No")</f>
        <v>No</v>
      </c>
      <c r="AB138" s="12">
        <f>V138-Z138</f>
        <v>-341.8599999999999</v>
      </c>
      <c r="AC138" s="15" t="s">
        <v>130</v>
      </c>
      <c r="AD138" s="15" t="s">
        <v>131</v>
      </c>
      <c r="AE138" s="15" t="s">
        <v>350</v>
      </c>
      <c r="AF138" s="12">
        <f>IF(AG138="Rejected",0,IF(R138="Corporate Card",0,V138))</f>
        <v>0</v>
      </c>
      <c r="AG138" s="15" t="s">
        <v>133</v>
      </c>
      <c r="AH138" s="16">
        <v>45685</v>
      </c>
      <c r="AI138" s="16">
        <v>45687</v>
      </c>
      <c r="AJ138" s="16">
        <v>45692</v>
      </c>
      <c r="AK138" s="17">
        <f>IF(AJ138="","",AJ138-AH138)</f>
        <v>7</v>
      </c>
    </row>
    <row r="139" spans="1:37">
      <c r="A139" s="2" t="s">
        <v>384</v>
      </c>
      <c r="B139" s="2" t="s">
        <v>375</v>
      </c>
      <c r="C139" s="2" t="s">
        <v>376</v>
      </c>
      <c r="D139" s="2" t="s">
        <v>344</v>
      </c>
      <c r="E139" s="2" t="s">
        <v>377</v>
      </c>
      <c r="F139" s="2" t="s">
        <v>346</v>
      </c>
      <c r="G139" s="2" t="s">
        <v>378</v>
      </c>
      <c r="H139" s="2" t="s">
        <v>379</v>
      </c>
      <c r="I139" s="2" t="s">
        <v>380</v>
      </c>
      <c r="J139" s="2" t="s">
        <v>381</v>
      </c>
      <c r="K139" s="9">
        <v>45675</v>
      </c>
      <c r="L139" s="9">
        <v>45676</v>
      </c>
      <c r="M139" s="9">
        <v>45675</v>
      </c>
      <c r="N139" s="2" t="s">
        <v>125</v>
      </c>
      <c r="O139" s="2" t="s">
        <v>54</v>
      </c>
      <c r="P139" s="2" t="s">
        <v>139</v>
      </c>
      <c r="Q139" s="2" t="s">
        <v>163</v>
      </c>
      <c r="R139" s="2" t="s">
        <v>128</v>
      </c>
      <c r="S139" s="2" t="s">
        <v>383</v>
      </c>
      <c r="T139" s="10">
        <v>15.84</v>
      </c>
      <c r="U139" s="11">
        <v>1</v>
      </c>
      <c r="V139" s="12">
        <f>T139*U139</f>
        <v>15.84</v>
      </c>
      <c r="W139" s="13">
        <v>0</v>
      </c>
      <c r="X139" s="12">
        <f>V139-(V139/(1+W139))</f>
        <v>0</v>
      </c>
      <c r="Y139" s="12">
        <f>V139-X139</f>
        <v>15.84</v>
      </c>
      <c r="Z139" s="14">
        <v>25</v>
      </c>
      <c r="AA139" s="2" t="str">
        <f>IF(V139&gt;Z139,"Yes","No")</f>
        <v>No</v>
      </c>
      <c r="AB139" s="12">
        <f>V139-Z139</f>
        <v>-9.16</v>
      </c>
      <c r="AC139" s="15" t="s">
        <v>130</v>
      </c>
      <c r="AD139" s="15" t="s">
        <v>131</v>
      </c>
      <c r="AE139" s="15" t="s">
        <v>350</v>
      </c>
      <c r="AF139" s="12">
        <f>IF(AG139="Rejected",0,IF(R139="Corporate Card",0,V139))</f>
        <v>0</v>
      </c>
      <c r="AG139" s="15" t="s">
        <v>133</v>
      </c>
      <c r="AH139" s="16">
        <v>45685</v>
      </c>
      <c r="AI139" s="16">
        <v>45687</v>
      </c>
      <c r="AJ139" s="16">
        <v>45692</v>
      </c>
      <c r="AK139" s="17">
        <f>IF(AJ139="","",AJ139-AH139)</f>
        <v>7</v>
      </c>
    </row>
    <row r="140" spans="1:37">
      <c r="A140" s="2" t="s">
        <v>385</v>
      </c>
      <c r="B140" s="2" t="s">
        <v>375</v>
      </c>
      <c r="C140" s="2" t="s">
        <v>376</v>
      </c>
      <c r="D140" s="2" t="s">
        <v>344</v>
      </c>
      <c r="E140" s="2" t="s">
        <v>377</v>
      </c>
      <c r="F140" s="2" t="s">
        <v>346</v>
      </c>
      <c r="G140" s="2" t="s">
        <v>378</v>
      </c>
      <c r="H140" s="2" t="s">
        <v>379</v>
      </c>
      <c r="I140" s="2" t="s">
        <v>380</v>
      </c>
      <c r="J140" s="2" t="s">
        <v>381</v>
      </c>
      <c r="K140" s="9">
        <v>45675</v>
      </c>
      <c r="L140" s="9">
        <v>45676</v>
      </c>
      <c r="M140" s="9">
        <v>45675</v>
      </c>
      <c r="N140" s="2" t="s">
        <v>125</v>
      </c>
      <c r="O140" s="2" t="s">
        <v>56</v>
      </c>
      <c r="P140" s="2" t="s">
        <v>165</v>
      </c>
      <c r="Q140" s="2" t="s">
        <v>227</v>
      </c>
      <c r="R140" s="2" t="s">
        <v>137</v>
      </c>
      <c r="S140" s="2" t="s">
        <v>383</v>
      </c>
      <c r="T140" s="10">
        <v>65.13</v>
      </c>
      <c r="U140" s="11">
        <v>1</v>
      </c>
      <c r="V140" s="12">
        <f>T140*U140</f>
        <v>65.13</v>
      </c>
      <c r="W140" s="13">
        <v>0</v>
      </c>
      <c r="X140" s="12">
        <f>V140-(V140/(1+W140))</f>
        <v>0</v>
      </c>
      <c r="Y140" s="12">
        <f>V140-X140</f>
        <v>65.13</v>
      </c>
      <c r="Z140" s="14">
        <v>75</v>
      </c>
      <c r="AA140" s="2" t="str">
        <f>IF(V140&gt;Z140,"Yes","No")</f>
        <v>No</v>
      </c>
      <c r="AB140" s="12">
        <f>V140-Z140</f>
        <v>-9.8700000000000045</v>
      </c>
      <c r="AC140" s="15" t="s">
        <v>131</v>
      </c>
      <c r="AD140" s="15" t="s">
        <v>131</v>
      </c>
      <c r="AE140" s="15" t="s">
        <v>350</v>
      </c>
      <c r="AF140" s="12">
        <f>IF(AG140="Rejected",0,IF(R140="Corporate Card",0,V140))</f>
        <v>65.13</v>
      </c>
      <c r="AG140" s="15" t="s">
        <v>133</v>
      </c>
      <c r="AH140" s="16">
        <v>45685</v>
      </c>
      <c r="AI140" s="16">
        <v>45687</v>
      </c>
      <c r="AJ140" s="16">
        <v>45692</v>
      </c>
      <c r="AK140" s="17">
        <f>IF(AJ140="","",AJ140-AH140)</f>
        <v>7</v>
      </c>
    </row>
    <row r="141" spans="1:37">
      <c r="A141" s="2" t="s">
        <v>386</v>
      </c>
      <c r="B141" s="2" t="s">
        <v>375</v>
      </c>
      <c r="C141" s="2" t="s">
        <v>376</v>
      </c>
      <c r="D141" s="2" t="s">
        <v>344</v>
      </c>
      <c r="E141" s="2" t="s">
        <v>377</v>
      </c>
      <c r="F141" s="2" t="s">
        <v>346</v>
      </c>
      <c r="G141" s="2" t="s">
        <v>378</v>
      </c>
      <c r="H141" s="2" t="s">
        <v>379</v>
      </c>
      <c r="I141" s="2" t="s">
        <v>380</v>
      </c>
      <c r="J141" s="2" t="s">
        <v>381</v>
      </c>
      <c r="K141" s="9">
        <v>45675</v>
      </c>
      <c r="L141" s="9">
        <v>45676</v>
      </c>
      <c r="M141" s="9">
        <v>45675</v>
      </c>
      <c r="N141" s="2" t="s">
        <v>125</v>
      </c>
      <c r="O141" s="2" t="s">
        <v>55</v>
      </c>
      <c r="P141" s="2" t="s">
        <v>139</v>
      </c>
      <c r="Q141" s="2" t="s">
        <v>217</v>
      </c>
      <c r="R141" s="2" t="s">
        <v>149</v>
      </c>
      <c r="S141" s="2" t="s">
        <v>383</v>
      </c>
      <c r="T141" s="10">
        <v>14.07</v>
      </c>
      <c r="U141" s="11">
        <v>1</v>
      </c>
      <c r="V141" s="12">
        <f>T141*U141</f>
        <v>14.07</v>
      </c>
      <c r="W141" s="13">
        <v>0</v>
      </c>
      <c r="X141" s="12">
        <f>V141-(V141/(1+W141))</f>
        <v>0</v>
      </c>
      <c r="Y141" s="12">
        <f>V141-X141</f>
        <v>14.07</v>
      </c>
      <c r="Z141" s="14">
        <v>35</v>
      </c>
      <c r="AA141" s="2" t="str">
        <f>IF(V141&gt;Z141,"Yes","No")</f>
        <v>No</v>
      </c>
      <c r="AB141" s="12">
        <f>V141-Z141</f>
        <v>-20.93</v>
      </c>
      <c r="AC141" s="15" t="s">
        <v>130</v>
      </c>
      <c r="AD141" s="15" t="s">
        <v>131</v>
      </c>
      <c r="AE141" s="15" t="s">
        <v>350</v>
      </c>
      <c r="AF141" s="12">
        <f>IF(AG141="Rejected",0,IF(R141="Corporate Card",0,V141))</f>
        <v>14.07</v>
      </c>
      <c r="AG141" s="15" t="s">
        <v>133</v>
      </c>
      <c r="AH141" s="16">
        <v>45685</v>
      </c>
      <c r="AI141" s="16">
        <v>45687</v>
      </c>
      <c r="AJ141" s="16">
        <v>45692</v>
      </c>
      <c r="AK141" s="17">
        <f>IF(AJ141="","",AJ141-AH141)</f>
        <v>7</v>
      </c>
    </row>
    <row r="142" spans="1:37">
      <c r="A142" s="2" t="s">
        <v>387</v>
      </c>
      <c r="B142" s="2" t="s">
        <v>342</v>
      </c>
      <c r="C142" s="2" t="s">
        <v>343</v>
      </c>
      <c r="D142" s="2" t="s">
        <v>344</v>
      </c>
      <c r="E142" s="2" t="s">
        <v>345</v>
      </c>
      <c r="F142" s="2" t="s">
        <v>346</v>
      </c>
      <c r="G142" s="2" t="s">
        <v>347</v>
      </c>
      <c r="H142" s="2" t="s">
        <v>348</v>
      </c>
      <c r="I142" s="2" t="s">
        <v>194</v>
      </c>
      <c r="J142" s="2" t="s">
        <v>195</v>
      </c>
      <c r="K142" s="9">
        <v>45674</v>
      </c>
      <c r="L142" s="9">
        <v>45676</v>
      </c>
      <c r="M142" s="9">
        <v>45676</v>
      </c>
      <c r="N142" s="2" t="s">
        <v>125</v>
      </c>
      <c r="O142" s="2" t="s">
        <v>58</v>
      </c>
      <c r="P142" s="2" t="s">
        <v>142</v>
      </c>
      <c r="Q142" s="2" t="s">
        <v>143</v>
      </c>
      <c r="R142" s="2" t="s">
        <v>137</v>
      </c>
      <c r="S142" s="2" t="s">
        <v>198</v>
      </c>
      <c r="T142" s="10">
        <v>40.99</v>
      </c>
      <c r="U142" s="11">
        <v>1.085</v>
      </c>
      <c r="V142" s="12">
        <f>T142*U142</f>
        <v>44.474150000000002</v>
      </c>
      <c r="W142" s="13">
        <v>0.19</v>
      </c>
      <c r="X142" s="12">
        <f>V142-(V142/(1+W142))</f>
        <v>7.100914705882353</v>
      </c>
      <c r="Y142" s="12">
        <f>V142-X142</f>
        <v>37.373235294117649</v>
      </c>
      <c r="Z142" s="14">
        <v>60</v>
      </c>
      <c r="AA142" s="2" t="str">
        <f>IF(V142&gt;Z142,"Yes","No")</f>
        <v>No</v>
      </c>
      <c r="AB142" s="12">
        <f>V142-Z142</f>
        <v>-15.525849999999998</v>
      </c>
      <c r="AC142" s="15" t="s">
        <v>130</v>
      </c>
      <c r="AD142" s="15" t="s">
        <v>130</v>
      </c>
      <c r="AE142" s="15" t="s">
        <v>350</v>
      </c>
      <c r="AF142" s="12">
        <f>IF(AG142="Rejected",0,IF(R142="Corporate Card",0,V142))</f>
        <v>44.474150000000002</v>
      </c>
      <c r="AG142" s="15" t="s">
        <v>133</v>
      </c>
      <c r="AH142" s="16">
        <v>45686</v>
      </c>
      <c r="AI142" s="16">
        <v>45693</v>
      </c>
      <c r="AJ142" s="16">
        <v>45704</v>
      </c>
      <c r="AK142" s="17">
        <f>IF(AJ142="","",AJ142-AH142)</f>
        <v>18</v>
      </c>
    </row>
    <row r="143" spans="1:37">
      <c r="A143" s="2" t="s">
        <v>388</v>
      </c>
      <c r="B143" s="2" t="s">
        <v>342</v>
      </c>
      <c r="C143" s="2" t="s">
        <v>343</v>
      </c>
      <c r="D143" s="2" t="s">
        <v>344</v>
      </c>
      <c r="E143" s="2" t="s">
        <v>345</v>
      </c>
      <c r="F143" s="2" t="s">
        <v>346</v>
      </c>
      <c r="G143" s="2" t="s">
        <v>347</v>
      </c>
      <c r="H143" s="2" t="s">
        <v>348</v>
      </c>
      <c r="I143" s="2" t="s">
        <v>194</v>
      </c>
      <c r="J143" s="2" t="s">
        <v>195</v>
      </c>
      <c r="K143" s="9">
        <v>45674</v>
      </c>
      <c r="L143" s="9">
        <v>45676</v>
      </c>
      <c r="M143" s="9">
        <v>45676</v>
      </c>
      <c r="N143" s="2" t="s">
        <v>125</v>
      </c>
      <c r="O143" s="2" t="s">
        <v>54</v>
      </c>
      <c r="P143" s="2" t="s">
        <v>139</v>
      </c>
      <c r="Q143" s="2" t="s">
        <v>140</v>
      </c>
      <c r="R143" s="2" t="s">
        <v>128</v>
      </c>
      <c r="S143" s="2" t="s">
        <v>198</v>
      </c>
      <c r="T143" s="10">
        <v>12.96</v>
      </c>
      <c r="U143" s="11">
        <v>1.085</v>
      </c>
      <c r="V143" s="12">
        <f>T143*U143</f>
        <v>14.0616</v>
      </c>
      <c r="W143" s="13">
        <v>0.19</v>
      </c>
      <c r="X143" s="12">
        <f>V143-(V143/(1+W143))</f>
        <v>2.2451294117647063</v>
      </c>
      <c r="Y143" s="12">
        <f>V143-X143</f>
        <v>11.816470588235294</v>
      </c>
      <c r="Z143" s="14">
        <v>25</v>
      </c>
      <c r="AA143" s="2" t="str">
        <f>IF(V143&gt;Z143,"Yes","No")</f>
        <v>No</v>
      </c>
      <c r="AB143" s="12">
        <f>V143-Z143</f>
        <v>-10.9384</v>
      </c>
      <c r="AC143" s="15" t="s">
        <v>130</v>
      </c>
      <c r="AD143" s="15" t="s">
        <v>130</v>
      </c>
      <c r="AE143" s="15" t="s">
        <v>350</v>
      </c>
      <c r="AF143" s="12">
        <f>IF(AG143="Rejected",0,IF(R143="Corporate Card",0,V143))</f>
        <v>0</v>
      </c>
      <c r="AG143" s="15" t="s">
        <v>133</v>
      </c>
      <c r="AH143" s="16">
        <v>45686</v>
      </c>
      <c r="AI143" s="16">
        <v>45693</v>
      </c>
      <c r="AJ143" s="16">
        <v>45704</v>
      </c>
      <c r="AK143" s="17">
        <f>IF(AJ143="","",AJ143-AH143)</f>
        <v>18</v>
      </c>
    </row>
    <row r="144" spans="1:37">
      <c r="A144" s="2" t="s">
        <v>389</v>
      </c>
      <c r="B144" s="2" t="s">
        <v>342</v>
      </c>
      <c r="C144" s="2" t="s">
        <v>343</v>
      </c>
      <c r="D144" s="2" t="s">
        <v>344</v>
      </c>
      <c r="E144" s="2" t="s">
        <v>345</v>
      </c>
      <c r="F144" s="2" t="s">
        <v>346</v>
      </c>
      <c r="G144" s="2" t="s">
        <v>347</v>
      </c>
      <c r="H144" s="2" t="s">
        <v>348</v>
      </c>
      <c r="I144" s="2" t="s">
        <v>194</v>
      </c>
      <c r="J144" s="2" t="s">
        <v>195</v>
      </c>
      <c r="K144" s="9">
        <v>45674</v>
      </c>
      <c r="L144" s="9">
        <v>45676</v>
      </c>
      <c r="M144" s="9">
        <v>45676</v>
      </c>
      <c r="N144" s="2" t="s">
        <v>125</v>
      </c>
      <c r="O144" s="2" t="s">
        <v>55</v>
      </c>
      <c r="P144" s="2" t="s">
        <v>139</v>
      </c>
      <c r="Q144" s="2" t="s">
        <v>154</v>
      </c>
      <c r="R144" s="2" t="s">
        <v>128</v>
      </c>
      <c r="S144" s="2" t="s">
        <v>198</v>
      </c>
      <c r="T144" s="10">
        <v>35.24</v>
      </c>
      <c r="U144" s="11">
        <v>1.085</v>
      </c>
      <c r="V144" s="12">
        <f>T144*U144</f>
        <v>38.235399999999998</v>
      </c>
      <c r="W144" s="13">
        <v>0.19</v>
      </c>
      <c r="X144" s="12">
        <f>V144-(V144/(1+W144))</f>
        <v>6.1048117647058788</v>
      </c>
      <c r="Y144" s="12">
        <f>V144-X144</f>
        <v>32.13058823529412</v>
      </c>
      <c r="Z144" s="14">
        <v>35</v>
      </c>
      <c r="AA144" s="2" t="str">
        <f>IF(V144&gt;Z144,"Yes","No")</f>
        <v>Yes</v>
      </c>
      <c r="AB144" s="12">
        <f>V144-Z144</f>
        <v>3.2353999999999985</v>
      </c>
      <c r="AC144" s="15" t="s">
        <v>131</v>
      </c>
      <c r="AD144" s="15" t="s">
        <v>130</v>
      </c>
      <c r="AE144" s="15" t="s">
        <v>350</v>
      </c>
      <c r="AF144" s="12">
        <f>IF(AG144="Rejected",0,IF(R144="Corporate Card",0,V144))</f>
        <v>0</v>
      </c>
      <c r="AG144" s="15" t="s">
        <v>133</v>
      </c>
      <c r="AH144" s="16">
        <v>45686</v>
      </c>
      <c r="AI144" s="16">
        <v>45693</v>
      </c>
      <c r="AJ144" s="16">
        <v>45704</v>
      </c>
      <c r="AK144" s="17">
        <f>IF(AJ144="","",AJ144-AH144)</f>
        <v>18</v>
      </c>
    </row>
    <row r="145" spans="1:37">
      <c r="A145" s="2" t="s">
        <v>390</v>
      </c>
      <c r="B145" s="2" t="s">
        <v>287</v>
      </c>
      <c r="C145" s="2" t="s">
        <v>288</v>
      </c>
      <c r="D145" s="2" t="s">
        <v>171</v>
      </c>
      <c r="E145" s="2" t="s">
        <v>289</v>
      </c>
      <c r="F145" s="2" t="s">
        <v>173</v>
      </c>
      <c r="G145" s="2" t="s">
        <v>290</v>
      </c>
      <c r="H145" s="2" t="s">
        <v>291</v>
      </c>
      <c r="I145" s="2" t="s">
        <v>255</v>
      </c>
      <c r="J145" s="2" t="s">
        <v>256</v>
      </c>
      <c r="K145" s="9">
        <v>45670</v>
      </c>
      <c r="L145" s="9">
        <v>45677</v>
      </c>
      <c r="M145" s="9">
        <v>45676</v>
      </c>
      <c r="N145" s="2" t="s">
        <v>125</v>
      </c>
      <c r="O145" s="2" t="s">
        <v>58</v>
      </c>
      <c r="P145" s="2" t="s">
        <v>142</v>
      </c>
      <c r="Q145" s="2" t="s">
        <v>203</v>
      </c>
      <c r="R145" s="2" t="s">
        <v>128</v>
      </c>
      <c r="S145" s="2" t="s">
        <v>259</v>
      </c>
      <c r="T145" s="10">
        <v>8264</v>
      </c>
      <c r="U145" s="11">
        <v>6.5500000000000003E-3</v>
      </c>
      <c r="V145" s="12">
        <f>T145*U145</f>
        <v>54.129200000000004</v>
      </c>
      <c r="W145" s="13">
        <v>0.1</v>
      </c>
      <c r="X145" s="12">
        <f>V145-(V145/(1+W145))</f>
        <v>4.9208363636363686</v>
      </c>
      <c r="Y145" s="12">
        <f>V145-X145</f>
        <v>49.208363636363636</v>
      </c>
      <c r="Z145" s="14">
        <v>60</v>
      </c>
      <c r="AA145" s="2" t="str">
        <f>IF(V145&gt;Z145,"Yes","No")</f>
        <v>No</v>
      </c>
      <c r="AB145" s="12">
        <f>V145-Z145</f>
        <v>-5.8707999999999956</v>
      </c>
      <c r="AC145" s="15" t="s">
        <v>130</v>
      </c>
      <c r="AD145" s="15" t="s">
        <v>131</v>
      </c>
      <c r="AE145" s="15" t="s">
        <v>132</v>
      </c>
      <c r="AF145" s="12">
        <f>IF(AG145="Rejected",0,IF(R145="Corporate Card",0,V145))</f>
        <v>0</v>
      </c>
      <c r="AG145" s="15" t="s">
        <v>133</v>
      </c>
      <c r="AH145" s="16">
        <v>45688</v>
      </c>
      <c r="AI145" s="16">
        <v>45692</v>
      </c>
      <c r="AJ145" s="16">
        <v>45701</v>
      </c>
      <c r="AK145" s="17">
        <f>IF(AJ145="","",AJ145-AH145)</f>
        <v>13</v>
      </c>
    </row>
    <row r="146" spans="1:37">
      <c r="A146" s="2" t="s">
        <v>391</v>
      </c>
      <c r="B146" s="2" t="s">
        <v>287</v>
      </c>
      <c r="C146" s="2" t="s">
        <v>288</v>
      </c>
      <c r="D146" s="2" t="s">
        <v>171</v>
      </c>
      <c r="E146" s="2" t="s">
        <v>289</v>
      </c>
      <c r="F146" s="2" t="s">
        <v>173</v>
      </c>
      <c r="G146" s="2" t="s">
        <v>290</v>
      </c>
      <c r="H146" s="2" t="s">
        <v>291</v>
      </c>
      <c r="I146" s="2" t="s">
        <v>255</v>
      </c>
      <c r="J146" s="2" t="s">
        <v>256</v>
      </c>
      <c r="K146" s="9">
        <v>45670</v>
      </c>
      <c r="L146" s="9">
        <v>45677</v>
      </c>
      <c r="M146" s="9">
        <v>45676</v>
      </c>
      <c r="N146" s="2" t="s">
        <v>125</v>
      </c>
      <c r="O146" s="2" t="s">
        <v>54</v>
      </c>
      <c r="P146" s="2" t="s">
        <v>139</v>
      </c>
      <c r="Q146" s="2" t="s">
        <v>163</v>
      </c>
      <c r="R146" s="2" t="s">
        <v>149</v>
      </c>
      <c r="S146" s="2" t="s">
        <v>259</v>
      </c>
      <c r="T146" s="10">
        <v>4544</v>
      </c>
      <c r="U146" s="11">
        <v>6.5500000000000003E-3</v>
      </c>
      <c r="V146" s="12">
        <f>T146*U146</f>
        <v>29.763200000000001</v>
      </c>
      <c r="W146" s="13">
        <v>0.1</v>
      </c>
      <c r="X146" s="12">
        <f>V146-(V146/(1+W146))</f>
        <v>2.7057454545454576</v>
      </c>
      <c r="Y146" s="12">
        <f>V146-X146</f>
        <v>27.057454545454544</v>
      </c>
      <c r="Z146" s="14">
        <v>25</v>
      </c>
      <c r="AA146" s="2" t="str">
        <f>IF(V146&gt;Z146,"Yes","No")</f>
        <v>Yes</v>
      </c>
      <c r="AB146" s="12">
        <f>V146-Z146</f>
        <v>4.7632000000000012</v>
      </c>
      <c r="AC146" s="15" t="s">
        <v>130</v>
      </c>
      <c r="AD146" s="15" t="s">
        <v>131</v>
      </c>
      <c r="AE146" s="15" t="s">
        <v>132</v>
      </c>
      <c r="AF146" s="12">
        <f>IF(AG146="Rejected",0,IF(R146="Corporate Card",0,V146))</f>
        <v>29.763200000000001</v>
      </c>
      <c r="AG146" s="15" t="s">
        <v>133</v>
      </c>
      <c r="AH146" s="16">
        <v>45688</v>
      </c>
      <c r="AI146" s="16">
        <v>45692</v>
      </c>
      <c r="AJ146" s="16">
        <v>45701</v>
      </c>
      <c r="AK146" s="17">
        <f>IF(AJ146="","",AJ146-AH146)</f>
        <v>13</v>
      </c>
    </row>
    <row r="147" spans="1:37">
      <c r="A147" s="2" t="s">
        <v>392</v>
      </c>
      <c r="B147" s="2" t="s">
        <v>287</v>
      </c>
      <c r="C147" s="2" t="s">
        <v>288</v>
      </c>
      <c r="D147" s="2" t="s">
        <v>171</v>
      </c>
      <c r="E147" s="2" t="s">
        <v>289</v>
      </c>
      <c r="F147" s="2" t="s">
        <v>173</v>
      </c>
      <c r="G147" s="2" t="s">
        <v>290</v>
      </c>
      <c r="H147" s="2" t="s">
        <v>291</v>
      </c>
      <c r="I147" s="2" t="s">
        <v>255</v>
      </c>
      <c r="J147" s="2" t="s">
        <v>256</v>
      </c>
      <c r="K147" s="9">
        <v>45670</v>
      </c>
      <c r="L147" s="9">
        <v>45677</v>
      </c>
      <c r="M147" s="9">
        <v>45676</v>
      </c>
      <c r="N147" s="2" t="s">
        <v>125</v>
      </c>
      <c r="O147" s="2" t="s">
        <v>56</v>
      </c>
      <c r="P147" s="2" t="s">
        <v>151</v>
      </c>
      <c r="Q147" s="2" t="s">
        <v>166</v>
      </c>
      <c r="R147" s="2" t="s">
        <v>128</v>
      </c>
      <c r="S147" s="2" t="s">
        <v>259</v>
      </c>
      <c r="T147" s="10">
        <v>10398</v>
      </c>
      <c r="U147" s="11">
        <v>6.5500000000000003E-3</v>
      </c>
      <c r="V147" s="12">
        <f>T147*U147</f>
        <v>68.106899999999996</v>
      </c>
      <c r="W147" s="13">
        <v>0.1</v>
      </c>
      <c r="X147" s="12">
        <f>V147-(V147/(1+W147))</f>
        <v>6.1915363636363665</v>
      </c>
      <c r="Y147" s="12">
        <f>V147-X147</f>
        <v>61.915363636363629</v>
      </c>
      <c r="Z147" s="14">
        <v>75</v>
      </c>
      <c r="AA147" s="2" t="str">
        <f>IF(V147&gt;Z147,"Yes","No")</f>
        <v>No</v>
      </c>
      <c r="AB147" s="12">
        <f>V147-Z147</f>
        <v>-6.893100000000004</v>
      </c>
      <c r="AC147" s="15" t="s">
        <v>130</v>
      </c>
      <c r="AD147" s="15" t="s">
        <v>131</v>
      </c>
      <c r="AE147" s="15" t="s">
        <v>132</v>
      </c>
      <c r="AF147" s="12">
        <f>IF(AG147="Rejected",0,IF(R147="Corporate Card",0,V147))</f>
        <v>0</v>
      </c>
      <c r="AG147" s="15" t="s">
        <v>133</v>
      </c>
      <c r="AH147" s="16">
        <v>45688</v>
      </c>
      <c r="AI147" s="16">
        <v>45692</v>
      </c>
      <c r="AJ147" s="16">
        <v>45701</v>
      </c>
      <c r="AK147" s="17">
        <f>IF(AJ147="","",AJ147-AH147)</f>
        <v>13</v>
      </c>
    </row>
    <row r="148" spans="1:37">
      <c r="A148" s="2" t="s">
        <v>393</v>
      </c>
      <c r="B148" s="2" t="s">
        <v>287</v>
      </c>
      <c r="C148" s="2" t="s">
        <v>288</v>
      </c>
      <c r="D148" s="2" t="s">
        <v>171</v>
      </c>
      <c r="E148" s="2" t="s">
        <v>289</v>
      </c>
      <c r="F148" s="2" t="s">
        <v>173</v>
      </c>
      <c r="G148" s="2" t="s">
        <v>290</v>
      </c>
      <c r="H148" s="2" t="s">
        <v>291</v>
      </c>
      <c r="I148" s="2" t="s">
        <v>255</v>
      </c>
      <c r="J148" s="2" t="s">
        <v>256</v>
      </c>
      <c r="K148" s="9">
        <v>45670</v>
      </c>
      <c r="L148" s="9">
        <v>45677</v>
      </c>
      <c r="M148" s="9">
        <v>45676</v>
      </c>
      <c r="N148" s="2" t="s">
        <v>125</v>
      </c>
      <c r="O148" s="2" t="s">
        <v>55</v>
      </c>
      <c r="P148" s="2" t="s">
        <v>139</v>
      </c>
      <c r="Q148" s="2" t="s">
        <v>187</v>
      </c>
      <c r="R148" s="2" t="s">
        <v>137</v>
      </c>
      <c r="S148" s="2" t="s">
        <v>259</v>
      </c>
      <c r="T148" s="10">
        <v>3253</v>
      </c>
      <c r="U148" s="11">
        <v>6.5500000000000003E-3</v>
      </c>
      <c r="V148" s="12">
        <f>T148*U148</f>
        <v>21.30715</v>
      </c>
      <c r="W148" s="13">
        <v>0.1</v>
      </c>
      <c r="X148" s="12">
        <f>V148-(V148/(1+W148))</f>
        <v>1.9370136363636377</v>
      </c>
      <c r="Y148" s="12">
        <f>V148-X148</f>
        <v>19.370136363636362</v>
      </c>
      <c r="Z148" s="14">
        <v>35</v>
      </c>
      <c r="AA148" s="2" t="str">
        <f>IF(V148&gt;Z148,"Yes","No")</f>
        <v>No</v>
      </c>
      <c r="AB148" s="12">
        <f>V148-Z148</f>
        <v>-13.69285</v>
      </c>
      <c r="AC148" s="15" t="s">
        <v>130</v>
      </c>
      <c r="AD148" s="15" t="s">
        <v>131</v>
      </c>
      <c r="AE148" s="15" t="s">
        <v>132</v>
      </c>
      <c r="AF148" s="12">
        <f>IF(AG148="Rejected",0,IF(R148="Corporate Card",0,V148))</f>
        <v>21.30715</v>
      </c>
      <c r="AG148" s="15" t="s">
        <v>133</v>
      </c>
      <c r="AH148" s="16">
        <v>45688</v>
      </c>
      <c r="AI148" s="16">
        <v>45692</v>
      </c>
      <c r="AJ148" s="16">
        <v>45701</v>
      </c>
      <c r="AK148" s="17">
        <f>IF(AJ148="","",AJ148-AH148)</f>
        <v>13</v>
      </c>
    </row>
    <row r="149" spans="1:37">
      <c r="A149" s="2" t="s">
        <v>394</v>
      </c>
      <c r="B149" s="2" t="s">
        <v>310</v>
      </c>
      <c r="C149" s="2" t="s">
        <v>311</v>
      </c>
      <c r="D149" s="2" t="s">
        <v>118</v>
      </c>
      <c r="E149" s="2" t="s">
        <v>312</v>
      </c>
      <c r="F149" s="2" t="s">
        <v>313</v>
      </c>
      <c r="G149" s="2" t="s">
        <v>314</v>
      </c>
      <c r="H149" s="2" t="s">
        <v>291</v>
      </c>
      <c r="I149" s="2" t="s">
        <v>315</v>
      </c>
      <c r="J149" s="2" t="s">
        <v>316</v>
      </c>
      <c r="K149" s="9">
        <v>45671</v>
      </c>
      <c r="L149" s="9">
        <v>45676</v>
      </c>
      <c r="M149" s="9">
        <v>45676</v>
      </c>
      <c r="N149" s="2" t="s">
        <v>125</v>
      </c>
      <c r="O149" s="2" t="s">
        <v>54</v>
      </c>
      <c r="P149" s="2" t="s">
        <v>139</v>
      </c>
      <c r="Q149" s="2" t="s">
        <v>148</v>
      </c>
      <c r="R149" s="2" t="s">
        <v>137</v>
      </c>
      <c r="S149" s="2" t="s">
        <v>318</v>
      </c>
      <c r="T149" s="10">
        <v>72.58</v>
      </c>
      <c r="U149" s="11">
        <v>0.27229999999999999</v>
      </c>
      <c r="V149" s="12">
        <f>T149*U149</f>
        <v>19.763534</v>
      </c>
      <c r="W149" s="13">
        <v>0.05</v>
      </c>
      <c r="X149" s="12">
        <f>V149-(V149/(1+W149))</f>
        <v>0.94112066666666649</v>
      </c>
      <c r="Y149" s="12">
        <f>V149-X149</f>
        <v>18.822413333333333</v>
      </c>
      <c r="Z149" s="14">
        <v>25</v>
      </c>
      <c r="AA149" s="2" t="str">
        <f>IF(V149&gt;Z149,"Yes","No")</f>
        <v>No</v>
      </c>
      <c r="AB149" s="12">
        <f>V149-Z149</f>
        <v>-5.2364660000000001</v>
      </c>
      <c r="AC149" s="15" t="s">
        <v>130</v>
      </c>
      <c r="AD149" s="15" t="s">
        <v>131</v>
      </c>
      <c r="AE149" s="15" t="s">
        <v>132</v>
      </c>
      <c r="AF149" s="12">
        <f>IF(AG149="Rejected",0,IF(R149="Corporate Card",0,V149))</f>
        <v>19.763534</v>
      </c>
      <c r="AG149" s="15" t="s">
        <v>133</v>
      </c>
      <c r="AH149" s="16">
        <v>45683</v>
      </c>
      <c r="AI149" s="16">
        <v>45685</v>
      </c>
      <c r="AJ149" s="16">
        <v>45698</v>
      </c>
      <c r="AK149" s="17">
        <f>IF(AJ149="","",AJ149-AH149)</f>
        <v>15</v>
      </c>
    </row>
    <row r="150" spans="1:37">
      <c r="A150" s="2" t="s">
        <v>395</v>
      </c>
      <c r="B150" s="2" t="s">
        <v>310</v>
      </c>
      <c r="C150" s="2" t="s">
        <v>311</v>
      </c>
      <c r="D150" s="2" t="s">
        <v>118</v>
      </c>
      <c r="E150" s="2" t="s">
        <v>312</v>
      </c>
      <c r="F150" s="2" t="s">
        <v>313</v>
      </c>
      <c r="G150" s="2" t="s">
        <v>314</v>
      </c>
      <c r="H150" s="2" t="s">
        <v>291</v>
      </c>
      <c r="I150" s="2" t="s">
        <v>315</v>
      </c>
      <c r="J150" s="2" t="s">
        <v>316</v>
      </c>
      <c r="K150" s="9">
        <v>45671</v>
      </c>
      <c r="L150" s="9">
        <v>45676</v>
      </c>
      <c r="M150" s="9">
        <v>45676</v>
      </c>
      <c r="N150" s="2" t="s">
        <v>125</v>
      </c>
      <c r="O150" s="2" t="s">
        <v>56</v>
      </c>
      <c r="P150" s="2" t="s">
        <v>245</v>
      </c>
      <c r="Q150" s="2" t="s">
        <v>152</v>
      </c>
      <c r="R150" s="2" t="s">
        <v>128</v>
      </c>
      <c r="S150" s="2" t="s">
        <v>318</v>
      </c>
      <c r="T150" s="10">
        <v>207.04</v>
      </c>
      <c r="U150" s="11">
        <v>0.27229999999999999</v>
      </c>
      <c r="V150" s="12">
        <f>T150*U150</f>
        <v>56.376991999999994</v>
      </c>
      <c r="W150" s="13">
        <v>0.05</v>
      </c>
      <c r="X150" s="12">
        <f>V150-(V150/(1+W150))</f>
        <v>2.6846186666666654</v>
      </c>
      <c r="Y150" s="12">
        <f>V150-X150</f>
        <v>53.692373333333329</v>
      </c>
      <c r="Z150" s="14">
        <v>75</v>
      </c>
      <c r="AA150" s="2" t="str">
        <f>IF(V150&gt;Z150,"Yes","No")</f>
        <v>No</v>
      </c>
      <c r="AB150" s="12">
        <f>V150-Z150</f>
        <v>-18.623008000000006</v>
      </c>
      <c r="AC150" s="15" t="s">
        <v>130</v>
      </c>
      <c r="AD150" s="15" t="s">
        <v>131</v>
      </c>
      <c r="AE150" s="15" t="s">
        <v>132</v>
      </c>
      <c r="AF150" s="12">
        <f>IF(AG150="Rejected",0,IF(R150="Corporate Card",0,V150))</f>
        <v>0</v>
      </c>
      <c r="AG150" s="15" t="s">
        <v>133</v>
      </c>
      <c r="AH150" s="16">
        <v>45683</v>
      </c>
      <c r="AI150" s="16">
        <v>45685</v>
      </c>
      <c r="AJ150" s="16">
        <v>45698</v>
      </c>
      <c r="AK150" s="17">
        <f>IF(AJ150="","",AJ150-AH150)</f>
        <v>15</v>
      </c>
    </row>
    <row r="151" spans="1:37">
      <c r="A151" s="2" t="s">
        <v>396</v>
      </c>
      <c r="B151" s="2" t="s">
        <v>310</v>
      </c>
      <c r="C151" s="2" t="s">
        <v>311</v>
      </c>
      <c r="D151" s="2" t="s">
        <v>118</v>
      </c>
      <c r="E151" s="2" t="s">
        <v>312</v>
      </c>
      <c r="F151" s="2" t="s">
        <v>313</v>
      </c>
      <c r="G151" s="2" t="s">
        <v>314</v>
      </c>
      <c r="H151" s="2" t="s">
        <v>291</v>
      </c>
      <c r="I151" s="2" t="s">
        <v>315</v>
      </c>
      <c r="J151" s="2" t="s">
        <v>316</v>
      </c>
      <c r="K151" s="9">
        <v>45671</v>
      </c>
      <c r="L151" s="9">
        <v>45676</v>
      </c>
      <c r="M151" s="9">
        <v>45676</v>
      </c>
      <c r="N151" s="2" t="s">
        <v>125</v>
      </c>
      <c r="O151" s="2" t="s">
        <v>55</v>
      </c>
      <c r="P151" s="2" t="s">
        <v>139</v>
      </c>
      <c r="Q151" s="2" t="s">
        <v>154</v>
      </c>
      <c r="R151" s="2" t="s">
        <v>128</v>
      </c>
      <c r="S151" s="2" t="s">
        <v>318</v>
      </c>
      <c r="T151" s="10">
        <v>73.88</v>
      </c>
      <c r="U151" s="11">
        <v>0.27229999999999999</v>
      </c>
      <c r="V151" s="12">
        <f>T151*U151</f>
        <v>20.117524</v>
      </c>
      <c r="W151" s="13">
        <v>0.05</v>
      </c>
      <c r="X151" s="12">
        <f>V151-(V151/(1+W151))</f>
        <v>0.95797733333333568</v>
      </c>
      <c r="Y151" s="12">
        <f>V151-X151</f>
        <v>19.159546666666664</v>
      </c>
      <c r="Z151" s="14">
        <v>35</v>
      </c>
      <c r="AA151" s="2" t="str">
        <f>IF(V151&gt;Z151,"Yes","No")</f>
        <v>No</v>
      </c>
      <c r="AB151" s="12">
        <f>V151-Z151</f>
        <v>-14.882476</v>
      </c>
      <c r="AC151" s="15" t="s">
        <v>130</v>
      </c>
      <c r="AD151" s="15" t="s">
        <v>131</v>
      </c>
      <c r="AE151" s="15" t="s">
        <v>132</v>
      </c>
      <c r="AF151" s="12">
        <f>IF(AG151="Rejected",0,IF(R151="Corporate Card",0,V151))</f>
        <v>0</v>
      </c>
      <c r="AG151" s="15" t="s">
        <v>133</v>
      </c>
      <c r="AH151" s="16">
        <v>45683</v>
      </c>
      <c r="AI151" s="16">
        <v>45685</v>
      </c>
      <c r="AJ151" s="16">
        <v>45698</v>
      </c>
      <c r="AK151" s="17">
        <f>IF(AJ151="","",AJ151-AH151)</f>
        <v>15</v>
      </c>
    </row>
    <row r="152" spans="1:37">
      <c r="A152" s="2" t="s">
        <v>397</v>
      </c>
      <c r="B152" s="2" t="s">
        <v>375</v>
      </c>
      <c r="C152" s="2" t="s">
        <v>376</v>
      </c>
      <c r="D152" s="2" t="s">
        <v>344</v>
      </c>
      <c r="E152" s="2" t="s">
        <v>377</v>
      </c>
      <c r="F152" s="2" t="s">
        <v>346</v>
      </c>
      <c r="G152" s="2" t="s">
        <v>378</v>
      </c>
      <c r="H152" s="2" t="s">
        <v>379</v>
      </c>
      <c r="I152" s="2" t="s">
        <v>380</v>
      </c>
      <c r="J152" s="2" t="s">
        <v>381</v>
      </c>
      <c r="K152" s="9">
        <v>45675</v>
      </c>
      <c r="L152" s="9">
        <v>45676</v>
      </c>
      <c r="M152" s="9">
        <v>45676</v>
      </c>
      <c r="N152" s="2" t="s">
        <v>125</v>
      </c>
      <c r="O152" s="2" t="s">
        <v>57</v>
      </c>
      <c r="P152" s="2" t="s">
        <v>398</v>
      </c>
      <c r="Q152" s="2" t="s">
        <v>399</v>
      </c>
      <c r="R152" s="2" t="s">
        <v>128</v>
      </c>
      <c r="S152" s="2" t="s">
        <v>383</v>
      </c>
      <c r="T152" s="10">
        <v>152.04</v>
      </c>
      <c r="U152" s="11">
        <v>1</v>
      </c>
      <c r="V152" s="12">
        <f>T152*U152</f>
        <v>152.04</v>
      </c>
      <c r="W152" s="13">
        <v>0</v>
      </c>
      <c r="X152" s="12">
        <f>V152-(V152/(1+W152))</f>
        <v>0</v>
      </c>
      <c r="Y152" s="12">
        <f>V152-X152</f>
        <v>152.04</v>
      </c>
      <c r="Z152" s="14">
        <v>200</v>
      </c>
      <c r="AA152" s="2" t="str">
        <f>IF(V152&gt;Z152,"Yes","No")</f>
        <v>No</v>
      </c>
      <c r="AB152" s="12">
        <f>V152-Z152</f>
        <v>-47.960000000000008</v>
      </c>
      <c r="AC152" s="15" t="s">
        <v>130</v>
      </c>
      <c r="AD152" s="15" t="s">
        <v>131</v>
      </c>
      <c r="AE152" s="15" t="s">
        <v>350</v>
      </c>
      <c r="AF152" s="12">
        <f>IF(AG152="Rejected",0,IF(R152="Corporate Card",0,V152))</f>
        <v>0</v>
      </c>
      <c r="AG152" s="15" t="s">
        <v>133</v>
      </c>
      <c r="AH152" s="16">
        <v>45685</v>
      </c>
      <c r="AI152" s="16">
        <v>45687</v>
      </c>
      <c r="AJ152" s="16">
        <v>45692</v>
      </c>
      <c r="AK152" s="17">
        <f>IF(AJ152="","",AJ152-AH152)</f>
        <v>7</v>
      </c>
    </row>
    <row r="153" spans="1:37">
      <c r="A153" s="2" t="s">
        <v>400</v>
      </c>
      <c r="B153" s="2" t="s">
        <v>375</v>
      </c>
      <c r="C153" s="2" t="s">
        <v>376</v>
      </c>
      <c r="D153" s="2" t="s">
        <v>344</v>
      </c>
      <c r="E153" s="2" t="s">
        <v>377</v>
      </c>
      <c r="F153" s="2" t="s">
        <v>346</v>
      </c>
      <c r="G153" s="2" t="s">
        <v>378</v>
      </c>
      <c r="H153" s="2" t="s">
        <v>379</v>
      </c>
      <c r="I153" s="2" t="s">
        <v>380</v>
      </c>
      <c r="J153" s="2" t="s">
        <v>381</v>
      </c>
      <c r="K153" s="9">
        <v>45675</v>
      </c>
      <c r="L153" s="9">
        <v>45676</v>
      </c>
      <c r="M153" s="9">
        <v>45676</v>
      </c>
      <c r="N153" s="2" t="s">
        <v>125</v>
      </c>
      <c r="O153" s="2" t="s">
        <v>67</v>
      </c>
      <c r="P153" s="2" t="s">
        <v>401</v>
      </c>
      <c r="Q153" s="2" t="s">
        <v>402</v>
      </c>
      <c r="R153" s="2" t="s">
        <v>137</v>
      </c>
      <c r="S153" s="2" t="s">
        <v>383</v>
      </c>
      <c r="T153" s="10">
        <v>51.99</v>
      </c>
      <c r="U153" s="11">
        <v>1</v>
      </c>
      <c r="V153" s="12">
        <f>T153*U153</f>
        <v>51.99</v>
      </c>
      <c r="W153" s="13">
        <v>0</v>
      </c>
      <c r="X153" s="12">
        <f>V153-(V153/(1+W153))</f>
        <v>0</v>
      </c>
      <c r="Y153" s="12">
        <f>V153-X153</f>
        <v>51.99</v>
      </c>
      <c r="Z153" s="14">
        <v>100</v>
      </c>
      <c r="AA153" s="2" t="str">
        <f>IF(V153&gt;Z153,"Yes","No")</f>
        <v>No</v>
      </c>
      <c r="AB153" s="12">
        <f>V153-Z153</f>
        <v>-48.01</v>
      </c>
      <c r="AC153" s="15" t="s">
        <v>130</v>
      </c>
      <c r="AD153" s="15" t="s">
        <v>131</v>
      </c>
      <c r="AE153" s="15" t="s">
        <v>350</v>
      </c>
      <c r="AF153" s="12">
        <f>IF(AG153="Rejected",0,IF(R153="Corporate Card",0,V153))</f>
        <v>51.99</v>
      </c>
      <c r="AG153" s="15" t="s">
        <v>133</v>
      </c>
      <c r="AH153" s="16">
        <v>45685</v>
      </c>
      <c r="AI153" s="16">
        <v>45687</v>
      </c>
      <c r="AJ153" s="16">
        <v>45692</v>
      </c>
      <c r="AK153" s="17">
        <f>IF(AJ153="","",AJ153-AH153)</f>
        <v>7</v>
      </c>
    </row>
    <row r="154" spans="1:37">
      <c r="A154" s="2" t="s">
        <v>403</v>
      </c>
      <c r="B154" s="2" t="s">
        <v>375</v>
      </c>
      <c r="C154" s="2" t="s">
        <v>376</v>
      </c>
      <c r="D154" s="2" t="s">
        <v>344</v>
      </c>
      <c r="E154" s="2" t="s">
        <v>377</v>
      </c>
      <c r="F154" s="2" t="s">
        <v>346</v>
      </c>
      <c r="G154" s="2" t="s">
        <v>378</v>
      </c>
      <c r="H154" s="2" t="s">
        <v>379</v>
      </c>
      <c r="I154" s="2" t="s">
        <v>380</v>
      </c>
      <c r="J154" s="2" t="s">
        <v>381</v>
      </c>
      <c r="K154" s="9">
        <v>45675</v>
      </c>
      <c r="L154" s="9">
        <v>45676</v>
      </c>
      <c r="M154" s="9">
        <v>45676</v>
      </c>
      <c r="N154" s="2" t="s">
        <v>125</v>
      </c>
      <c r="O154" s="2" t="s">
        <v>58</v>
      </c>
      <c r="P154" s="2" t="s">
        <v>142</v>
      </c>
      <c r="Q154" s="2" t="s">
        <v>296</v>
      </c>
      <c r="R154" s="2" t="s">
        <v>128</v>
      </c>
      <c r="S154" s="2" t="s">
        <v>383</v>
      </c>
      <c r="T154" s="10">
        <v>48.08</v>
      </c>
      <c r="U154" s="11">
        <v>1</v>
      </c>
      <c r="V154" s="12">
        <f>T154*U154</f>
        <v>48.08</v>
      </c>
      <c r="W154" s="13">
        <v>0</v>
      </c>
      <c r="X154" s="12">
        <f>V154-(V154/(1+W154))</f>
        <v>0</v>
      </c>
      <c r="Y154" s="12">
        <f>V154-X154</f>
        <v>48.08</v>
      </c>
      <c r="Z154" s="14">
        <v>60</v>
      </c>
      <c r="AA154" s="2" t="str">
        <f>IF(V154&gt;Z154,"Yes","No")</f>
        <v>No</v>
      </c>
      <c r="AB154" s="12">
        <f>V154-Z154</f>
        <v>-11.920000000000002</v>
      </c>
      <c r="AC154" s="15" t="s">
        <v>130</v>
      </c>
      <c r="AD154" s="15" t="s">
        <v>131</v>
      </c>
      <c r="AE154" s="15" t="s">
        <v>350</v>
      </c>
      <c r="AF154" s="12">
        <f>IF(AG154="Rejected",0,IF(R154="Corporate Card",0,V154))</f>
        <v>0</v>
      </c>
      <c r="AG154" s="15" t="s">
        <v>133</v>
      </c>
      <c r="AH154" s="16">
        <v>45685</v>
      </c>
      <c r="AI154" s="16">
        <v>45687</v>
      </c>
      <c r="AJ154" s="16">
        <v>45692</v>
      </c>
      <c r="AK154" s="17">
        <f>IF(AJ154="","",AJ154-AH154)</f>
        <v>7</v>
      </c>
    </row>
    <row r="155" spans="1:37">
      <c r="A155" s="2" t="s">
        <v>404</v>
      </c>
      <c r="B155" s="2" t="s">
        <v>375</v>
      </c>
      <c r="C155" s="2" t="s">
        <v>376</v>
      </c>
      <c r="D155" s="2" t="s">
        <v>344</v>
      </c>
      <c r="E155" s="2" t="s">
        <v>377</v>
      </c>
      <c r="F155" s="2" t="s">
        <v>346</v>
      </c>
      <c r="G155" s="2" t="s">
        <v>378</v>
      </c>
      <c r="H155" s="2" t="s">
        <v>379</v>
      </c>
      <c r="I155" s="2" t="s">
        <v>380</v>
      </c>
      <c r="J155" s="2" t="s">
        <v>381</v>
      </c>
      <c r="K155" s="9">
        <v>45675</v>
      </c>
      <c r="L155" s="9">
        <v>45676</v>
      </c>
      <c r="M155" s="9">
        <v>45676</v>
      </c>
      <c r="N155" s="2" t="s">
        <v>125</v>
      </c>
      <c r="O155" s="2" t="s">
        <v>53</v>
      </c>
      <c r="P155" s="2" t="s">
        <v>405</v>
      </c>
      <c r="Q155" s="2" t="s">
        <v>209</v>
      </c>
      <c r="R155" s="2" t="s">
        <v>137</v>
      </c>
      <c r="S155" s="2" t="s">
        <v>383</v>
      </c>
      <c r="T155" s="10">
        <v>263.02999999999997</v>
      </c>
      <c r="U155" s="11">
        <v>1</v>
      </c>
      <c r="V155" s="12">
        <f>T155*U155</f>
        <v>263.02999999999997</v>
      </c>
      <c r="W155" s="13">
        <v>0</v>
      </c>
      <c r="X155" s="12">
        <f>V155-(V155/(1+W155))</f>
        <v>0</v>
      </c>
      <c r="Y155" s="12">
        <f>V155-X155</f>
        <v>263.02999999999997</v>
      </c>
      <c r="Z155" s="14">
        <v>280</v>
      </c>
      <c r="AA155" s="2" t="str">
        <f>IF(V155&gt;Z155,"Yes","No")</f>
        <v>No</v>
      </c>
      <c r="AB155" s="12">
        <f>V155-Z155</f>
        <v>-16.970000000000027</v>
      </c>
      <c r="AC155" s="15" t="s">
        <v>130</v>
      </c>
      <c r="AD155" s="15" t="s">
        <v>131</v>
      </c>
      <c r="AE155" s="15" t="s">
        <v>350</v>
      </c>
      <c r="AF155" s="12">
        <f>IF(AG155="Rejected",0,IF(R155="Corporate Card",0,V155))</f>
        <v>263.02999999999997</v>
      </c>
      <c r="AG155" s="15" t="s">
        <v>133</v>
      </c>
      <c r="AH155" s="16">
        <v>45685</v>
      </c>
      <c r="AI155" s="16">
        <v>45687</v>
      </c>
      <c r="AJ155" s="16">
        <v>45692</v>
      </c>
      <c r="AK155" s="17">
        <f>IF(AJ155="","",AJ155-AH155)</f>
        <v>7</v>
      </c>
    </row>
    <row r="156" spans="1:37">
      <c r="A156" s="2" t="s">
        <v>406</v>
      </c>
      <c r="B156" s="2" t="s">
        <v>375</v>
      </c>
      <c r="C156" s="2" t="s">
        <v>376</v>
      </c>
      <c r="D156" s="2" t="s">
        <v>344</v>
      </c>
      <c r="E156" s="2" t="s">
        <v>377</v>
      </c>
      <c r="F156" s="2" t="s">
        <v>346</v>
      </c>
      <c r="G156" s="2" t="s">
        <v>378</v>
      </c>
      <c r="H156" s="2" t="s">
        <v>379</v>
      </c>
      <c r="I156" s="2" t="s">
        <v>380</v>
      </c>
      <c r="J156" s="2" t="s">
        <v>381</v>
      </c>
      <c r="K156" s="9">
        <v>45675</v>
      </c>
      <c r="L156" s="9">
        <v>45676</v>
      </c>
      <c r="M156" s="9">
        <v>45676</v>
      </c>
      <c r="N156" s="2" t="s">
        <v>125</v>
      </c>
      <c r="O156" s="2" t="s">
        <v>54</v>
      </c>
      <c r="P156" s="2" t="s">
        <v>139</v>
      </c>
      <c r="Q156" s="2" t="s">
        <v>140</v>
      </c>
      <c r="R156" s="2" t="s">
        <v>128</v>
      </c>
      <c r="S156" s="2" t="s">
        <v>383</v>
      </c>
      <c r="T156" s="10">
        <v>18.68</v>
      </c>
      <c r="U156" s="11">
        <v>1</v>
      </c>
      <c r="V156" s="12">
        <f>T156*U156</f>
        <v>18.68</v>
      </c>
      <c r="W156" s="13">
        <v>0</v>
      </c>
      <c r="X156" s="12">
        <f>V156-(V156/(1+W156))</f>
        <v>0</v>
      </c>
      <c r="Y156" s="12">
        <f>V156-X156</f>
        <v>18.68</v>
      </c>
      <c r="Z156" s="14">
        <v>25</v>
      </c>
      <c r="AA156" s="2" t="str">
        <f>IF(V156&gt;Z156,"Yes","No")</f>
        <v>No</v>
      </c>
      <c r="AB156" s="12">
        <f>V156-Z156</f>
        <v>-6.32</v>
      </c>
      <c r="AC156" s="15" t="s">
        <v>130</v>
      </c>
      <c r="AD156" s="15" t="s">
        <v>131</v>
      </c>
      <c r="AE156" s="15" t="s">
        <v>350</v>
      </c>
      <c r="AF156" s="12">
        <f>IF(AG156="Rejected",0,IF(R156="Corporate Card",0,V156))</f>
        <v>0</v>
      </c>
      <c r="AG156" s="15" t="s">
        <v>133</v>
      </c>
      <c r="AH156" s="16">
        <v>45685</v>
      </c>
      <c r="AI156" s="16">
        <v>45687</v>
      </c>
      <c r="AJ156" s="16">
        <v>45692</v>
      </c>
      <c r="AK156" s="17">
        <f>IF(AJ156="","",AJ156-AH156)</f>
        <v>7</v>
      </c>
    </row>
    <row r="157" spans="1:37">
      <c r="A157" s="2" t="s">
        <v>407</v>
      </c>
      <c r="B157" s="2" t="s">
        <v>375</v>
      </c>
      <c r="C157" s="2" t="s">
        <v>376</v>
      </c>
      <c r="D157" s="2" t="s">
        <v>344</v>
      </c>
      <c r="E157" s="2" t="s">
        <v>377</v>
      </c>
      <c r="F157" s="2" t="s">
        <v>346</v>
      </c>
      <c r="G157" s="2" t="s">
        <v>378</v>
      </c>
      <c r="H157" s="2" t="s">
        <v>379</v>
      </c>
      <c r="I157" s="2" t="s">
        <v>380</v>
      </c>
      <c r="J157" s="2" t="s">
        <v>381</v>
      </c>
      <c r="K157" s="9">
        <v>45675</v>
      </c>
      <c r="L157" s="9">
        <v>45676</v>
      </c>
      <c r="M157" s="9">
        <v>45676</v>
      </c>
      <c r="N157" s="2" t="s">
        <v>125</v>
      </c>
      <c r="O157" s="2" t="s">
        <v>56</v>
      </c>
      <c r="P157" s="2" t="s">
        <v>231</v>
      </c>
      <c r="Q157" s="2" t="s">
        <v>227</v>
      </c>
      <c r="R157" s="2" t="s">
        <v>128</v>
      </c>
      <c r="S157" s="2" t="s">
        <v>383</v>
      </c>
      <c r="T157" s="10">
        <v>46.71</v>
      </c>
      <c r="U157" s="11">
        <v>1</v>
      </c>
      <c r="V157" s="12">
        <f>T157*U157</f>
        <v>46.71</v>
      </c>
      <c r="W157" s="13">
        <v>0</v>
      </c>
      <c r="X157" s="12">
        <f>V157-(V157/(1+W157))</f>
        <v>0</v>
      </c>
      <c r="Y157" s="12">
        <f>V157-X157</f>
        <v>46.71</v>
      </c>
      <c r="Z157" s="14">
        <v>75</v>
      </c>
      <c r="AA157" s="2" t="str">
        <f>IF(V157&gt;Z157,"Yes","No")</f>
        <v>No</v>
      </c>
      <c r="AB157" s="12">
        <f>V157-Z157</f>
        <v>-28.29</v>
      </c>
      <c r="AC157" s="15" t="s">
        <v>130</v>
      </c>
      <c r="AD157" s="15" t="s">
        <v>131</v>
      </c>
      <c r="AE157" s="15" t="s">
        <v>350</v>
      </c>
      <c r="AF157" s="12">
        <f>IF(AG157="Rejected",0,IF(R157="Corporate Card",0,V157))</f>
        <v>0</v>
      </c>
      <c r="AG157" s="15" t="s">
        <v>133</v>
      </c>
      <c r="AH157" s="16">
        <v>45685</v>
      </c>
      <c r="AI157" s="16">
        <v>45687</v>
      </c>
      <c r="AJ157" s="16">
        <v>45692</v>
      </c>
      <c r="AK157" s="17">
        <f>IF(AJ157="","",AJ157-AH157)</f>
        <v>7</v>
      </c>
    </row>
    <row r="158" spans="1:37">
      <c r="A158" s="2" t="s">
        <v>408</v>
      </c>
      <c r="B158" s="2" t="s">
        <v>375</v>
      </c>
      <c r="C158" s="2" t="s">
        <v>376</v>
      </c>
      <c r="D158" s="2" t="s">
        <v>344</v>
      </c>
      <c r="E158" s="2" t="s">
        <v>377</v>
      </c>
      <c r="F158" s="2" t="s">
        <v>346</v>
      </c>
      <c r="G158" s="2" t="s">
        <v>378</v>
      </c>
      <c r="H158" s="2" t="s">
        <v>379</v>
      </c>
      <c r="I158" s="2" t="s">
        <v>380</v>
      </c>
      <c r="J158" s="2" t="s">
        <v>381</v>
      </c>
      <c r="K158" s="9">
        <v>45675</v>
      </c>
      <c r="L158" s="9">
        <v>45676</v>
      </c>
      <c r="M158" s="9">
        <v>45676</v>
      </c>
      <c r="N158" s="2" t="s">
        <v>125</v>
      </c>
      <c r="O158" s="2" t="s">
        <v>69</v>
      </c>
      <c r="P158" s="2" t="s">
        <v>409</v>
      </c>
      <c r="Q158" s="2" t="s">
        <v>410</v>
      </c>
      <c r="R158" s="2" t="s">
        <v>137</v>
      </c>
      <c r="S158" s="2" t="s">
        <v>383</v>
      </c>
      <c r="T158" s="10">
        <v>21.63</v>
      </c>
      <c r="U158" s="11">
        <v>1</v>
      </c>
      <c r="V158" s="12">
        <f>T158*U158</f>
        <v>21.63</v>
      </c>
      <c r="W158" s="13">
        <v>0</v>
      </c>
      <c r="X158" s="12">
        <f>V158-(V158/(1+W158))</f>
        <v>0</v>
      </c>
      <c r="Y158" s="12">
        <f>V158-X158</f>
        <v>21.63</v>
      </c>
      <c r="Z158" s="14">
        <v>60</v>
      </c>
      <c r="AA158" s="2" t="str">
        <f>IF(V158&gt;Z158,"Yes","No")</f>
        <v>No</v>
      </c>
      <c r="AB158" s="12">
        <f>V158-Z158</f>
        <v>-38.370000000000005</v>
      </c>
      <c r="AC158" s="15" t="s">
        <v>130</v>
      </c>
      <c r="AD158" s="15" t="s">
        <v>131</v>
      </c>
      <c r="AE158" s="15" t="s">
        <v>350</v>
      </c>
      <c r="AF158" s="12">
        <f>IF(AG158="Rejected",0,IF(R158="Corporate Card",0,V158))</f>
        <v>21.63</v>
      </c>
      <c r="AG158" s="15" t="s">
        <v>133</v>
      </c>
      <c r="AH158" s="16">
        <v>45685</v>
      </c>
      <c r="AI158" s="16">
        <v>45687</v>
      </c>
      <c r="AJ158" s="16">
        <v>45692</v>
      </c>
      <c r="AK158" s="17">
        <f>IF(AJ158="","",AJ158-AH158)</f>
        <v>7</v>
      </c>
    </row>
    <row r="159" spans="1:37">
      <c r="A159" s="2" t="s">
        <v>411</v>
      </c>
      <c r="B159" s="2" t="s">
        <v>412</v>
      </c>
      <c r="C159" s="2" t="s">
        <v>413</v>
      </c>
      <c r="D159" s="2" t="s">
        <v>414</v>
      </c>
      <c r="E159" s="2" t="s">
        <v>415</v>
      </c>
      <c r="F159" s="2" t="s">
        <v>313</v>
      </c>
      <c r="G159" s="2" t="s">
        <v>416</v>
      </c>
      <c r="H159" s="2" t="s">
        <v>417</v>
      </c>
      <c r="I159" s="2" t="s">
        <v>418</v>
      </c>
      <c r="J159" s="2" t="s">
        <v>381</v>
      </c>
      <c r="K159" s="9">
        <v>45677</v>
      </c>
      <c r="L159" s="9">
        <v>45684</v>
      </c>
      <c r="M159" s="9">
        <v>45677</v>
      </c>
      <c r="N159" s="2" t="s">
        <v>125</v>
      </c>
      <c r="O159" s="2" t="s">
        <v>52</v>
      </c>
      <c r="P159" s="2" t="s">
        <v>419</v>
      </c>
      <c r="Q159" s="2" t="s">
        <v>420</v>
      </c>
      <c r="R159" s="2" t="s">
        <v>128</v>
      </c>
      <c r="S159" s="2" t="s">
        <v>383</v>
      </c>
      <c r="T159" s="10">
        <v>1535.64</v>
      </c>
      <c r="U159" s="11">
        <v>1</v>
      </c>
      <c r="V159" s="12">
        <f>T159*U159</f>
        <v>1535.64</v>
      </c>
      <c r="W159" s="13">
        <v>0</v>
      </c>
      <c r="X159" s="12">
        <f>V159-(V159/(1+W159))</f>
        <v>0</v>
      </c>
      <c r="Y159" s="12">
        <f>V159-X159</f>
        <v>1535.64</v>
      </c>
      <c r="Z159" s="14">
        <v>1400</v>
      </c>
      <c r="AA159" s="2" t="str">
        <f>IF(V159&gt;Z159,"Yes","No")</f>
        <v>Yes</v>
      </c>
      <c r="AB159" s="12">
        <f>V159-Z159</f>
        <v>135.6400000000001</v>
      </c>
      <c r="AC159" s="15" t="s">
        <v>130</v>
      </c>
      <c r="AD159" s="15" t="s">
        <v>130</v>
      </c>
      <c r="AE159" s="15" t="s">
        <v>421</v>
      </c>
      <c r="AF159" s="12">
        <f>IF(AG159="Rejected",0,IF(R159="Corporate Card",0,V159))</f>
        <v>0</v>
      </c>
      <c r="AG159" s="15" t="s">
        <v>133</v>
      </c>
      <c r="AH159" s="16">
        <v>45696</v>
      </c>
      <c r="AI159" s="16">
        <v>45702</v>
      </c>
      <c r="AJ159" s="16">
        <v>45712</v>
      </c>
      <c r="AK159" s="17">
        <f>IF(AJ159="","",AJ159-AH159)</f>
        <v>16</v>
      </c>
    </row>
    <row r="160" spans="1:37">
      <c r="A160" s="2" t="s">
        <v>422</v>
      </c>
      <c r="B160" s="2" t="s">
        <v>412</v>
      </c>
      <c r="C160" s="2" t="s">
        <v>413</v>
      </c>
      <c r="D160" s="2" t="s">
        <v>414</v>
      </c>
      <c r="E160" s="2" t="s">
        <v>415</v>
      </c>
      <c r="F160" s="2" t="s">
        <v>313</v>
      </c>
      <c r="G160" s="2" t="s">
        <v>416</v>
      </c>
      <c r="H160" s="2" t="s">
        <v>417</v>
      </c>
      <c r="I160" s="2" t="s">
        <v>418</v>
      </c>
      <c r="J160" s="2" t="s">
        <v>381</v>
      </c>
      <c r="K160" s="9">
        <v>45677</v>
      </c>
      <c r="L160" s="9">
        <v>45684</v>
      </c>
      <c r="M160" s="9">
        <v>45677</v>
      </c>
      <c r="N160" s="2" t="s">
        <v>125</v>
      </c>
      <c r="O160" s="2" t="s">
        <v>64</v>
      </c>
      <c r="P160" s="2" t="s">
        <v>135</v>
      </c>
      <c r="Q160" s="2" t="s">
        <v>420</v>
      </c>
      <c r="R160" s="2" t="s">
        <v>128</v>
      </c>
      <c r="S160" s="2" t="s">
        <v>383</v>
      </c>
      <c r="T160" s="10">
        <v>169.95</v>
      </c>
      <c r="U160" s="11">
        <v>1</v>
      </c>
      <c r="V160" s="12">
        <f>T160*U160</f>
        <v>169.95</v>
      </c>
      <c r="W160" s="13">
        <v>0</v>
      </c>
      <c r="X160" s="12">
        <f>V160-(V160/(1+W160))</f>
        <v>0</v>
      </c>
      <c r="Y160" s="12">
        <f>V160-X160</f>
        <v>169.95</v>
      </c>
      <c r="Z160" s="14">
        <v>120</v>
      </c>
      <c r="AA160" s="2" t="str">
        <f>IF(V160&gt;Z160,"Yes","No")</f>
        <v>Yes</v>
      </c>
      <c r="AB160" s="12">
        <f>V160-Z160</f>
        <v>49.949999999999989</v>
      </c>
      <c r="AC160" s="15" t="s">
        <v>130</v>
      </c>
      <c r="AD160" s="15" t="s">
        <v>130</v>
      </c>
      <c r="AE160" s="15" t="s">
        <v>421</v>
      </c>
      <c r="AF160" s="12">
        <f>IF(AG160="Rejected",0,IF(R160="Corporate Card",0,V160))</f>
        <v>0</v>
      </c>
      <c r="AG160" s="15" t="s">
        <v>133</v>
      </c>
      <c r="AH160" s="16">
        <v>45696</v>
      </c>
      <c r="AI160" s="16">
        <v>45702</v>
      </c>
      <c r="AJ160" s="16">
        <v>45712</v>
      </c>
      <c r="AK160" s="17">
        <f>IF(AJ160="","",AJ160-AH160)</f>
        <v>16</v>
      </c>
    </row>
    <row r="161" spans="1:37">
      <c r="A161" s="2" t="s">
        <v>423</v>
      </c>
      <c r="B161" s="2" t="s">
        <v>412</v>
      </c>
      <c r="C161" s="2" t="s">
        <v>413</v>
      </c>
      <c r="D161" s="2" t="s">
        <v>414</v>
      </c>
      <c r="E161" s="2" t="s">
        <v>415</v>
      </c>
      <c r="F161" s="2" t="s">
        <v>313</v>
      </c>
      <c r="G161" s="2" t="s">
        <v>416</v>
      </c>
      <c r="H161" s="2" t="s">
        <v>417</v>
      </c>
      <c r="I161" s="2" t="s">
        <v>418</v>
      </c>
      <c r="J161" s="2" t="s">
        <v>381</v>
      </c>
      <c r="K161" s="9">
        <v>45677</v>
      </c>
      <c r="L161" s="9">
        <v>45684</v>
      </c>
      <c r="M161" s="9">
        <v>45677</v>
      </c>
      <c r="N161" s="2" t="s">
        <v>125</v>
      </c>
      <c r="O161" s="2" t="s">
        <v>58</v>
      </c>
      <c r="P161" s="2" t="s">
        <v>142</v>
      </c>
      <c r="Q161" s="2" t="s">
        <v>296</v>
      </c>
      <c r="R161" s="2" t="s">
        <v>149</v>
      </c>
      <c r="S161" s="2" t="s">
        <v>383</v>
      </c>
      <c r="T161" s="10">
        <v>37.22</v>
      </c>
      <c r="U161" s="11">
        <v>1</v>
      </c>
      <c r="V161" s="12">
        <f>T161*U161</f>
        <v>37.22</v>
      </c>
      <c r="W161" s="13">
        <v>0</v>
      </c>
      <c r="X161" s="12">
        <f>V161-(V161/(1+W161))</f>
        <v>0</v>
      </c>
      <c r="Y161" s="12">
        <f>V161-X161</f>
        <v>37.22</v>
      </c>
      <c r="Z161" s="14">
        <v>60</v>
      </c>
      <c r="AA161" s="2" t="str">
        <f>IF(V161&gt;Z161,"Yes","No")</f>
        <v>No</v>
      </c>
      <c r="AB161" s="12">
        <f>V161-Z161</f>
        <v>-22.78</v>
      </c>
      <c r="AC161" s="15" t="s">
        <v>130</v>
      </c>
      <c r="AD161" s="15" t="s">
        <v>130</v>
      </c>
      <c r="AE161" s="15" t="s">
        <v>421</v>
      </c>
      <c r="AF161" s="12">
        <f>IF(AG161="Rejected",0,IF(R161="Corporate Card",0,V161))</f>
        <v>37.22</v>
      </c>
      <c r="AG161" s="15" t="s">
        <v>133</v>
      </c>
      <c r="AH161" s="16">
        <v>45696</v>
      </c>
      <c r="AI161" s="16">
        <v>45702</v>
      </c>
      <c r="AJ161" s="16">
        <v>45712</v>
      </c>
      <c r="AK161" s="17">
        <f>IF(AJ161="","",AJ161-AH161)</f>
        <v>16</v>
      </c>
    </row>
    <row r="162" spans="1:37">
      <c r="A162" s="2" t="s">
        <v>424</v>
      </c>
      <c r="B162" s="2" t="s">
        <v>412</v>
      </c>
      <c r="C162" s="2" t="s">
        <v>413</v>
      </c>
      <c r="D162" s="2" t="s">
        <v>414</v>
      </c>
      <c r="E162" s="2" t="s">
        <v>415</v>
      </c>
      <c r="F162" s="2" t="s">
        <v>313</v>
      </c>
      <c r="G162" s="2" t="s">
        <v>416</v>
      </c>
      <c r="H162" s="2" t="s">
        <v>417</v>
      </c>
      <c r="I162" s="2" t="s">
        <v>418</v>
      </c>
      <c r="J162" s="2" t="s">
        <v>381</v>
      </c>
      <c r="K162" s="9">
        <v>45677</v>
      </c>
      <c r="L162" s="9">
        <v>45684</v>
      </c>
      <c r="M162" s="9">
        <v>45677</v>
      </c>
      <c r="N162" s="2" t="s">
        <v>125</v>
      </c>
      <c r="O162" s="2" t="s">
        <v>54</v>
      </c>
      <c r="P162" s="2" t="s">
        <v>139</v>
      </c>
      <c r="Q162" s="2" t="s">
        <v>140</v>
      </c>
      <c r="R162" s="2" t="s">
        <v>128</v>
      </c>
      <c r="S162" s="2" t="s">
        <v>383</v>
      </c>
      <c r="T162" s="10">
        <v>16.559999999999999</v>
      </c>
      <c r="U162" s="11">
        <v>1</v>
      </c>
      <c r="V162" s="12">
        <f>T162*U162</f>
        <v>16.559999999999999</v>
      </c>
      <c r="W162" s="13">
        <v>0</v>
      </c>
      <c r="X162" s="12">
        <f>V162-(V162/(1+W162))</f>
        <v>0</v>
      </c>
      <c r="Y162" s="12">
        <f>V162-X162</f>
        <v>16.559999999999999</v>
      </c>
      <c r="Z162" s="14">
        <v>25</v>
      </c>
      <c r="AA162" s="2" t="str">
        <f>IF(V162&gt;Z162,"Yes","No")</f>
        <v>No</v>
      </c>
      <c r="AB162" s="12">
        <f>V162-Z162</f>
        <v>-8.4400000000000013</v>
      </c>
      <c r="AC162" s="15" t="s">
        <v>130</v>
      </c>
      <c r="AD162" s="15" t="s">
        <v>130</v>
      </c>
      <c r="AE162" s="15" t="s">
        <v>421</v>
      </c>
      <c r="AF162" s="12">
        <f>IF(AG162="Rejected",0,IF(R162="Corporate Card",0,V162))</f>
        <v>0</v>
      </c>
      <c r="AG162" s="15" t="s">
        <v>133</v>
      </c>
      <c r="AH162" s="16">
        <v>45696</v>
      </c>
      <c r="AI162" s="16">
        <v>45702</v>
      </c>
      <c r="AJ162" s="16">
        <v>45712</v>
      </c>
      <c r="AK162" s="17">
        <f>IF(AJ162="","",AJ162-AH162)</f>
        <v>16</v>
      </c>
    </row>
    <row r="163" spans="1:37">
      <c r="A163" s="2" t="s">
        <v>425</v>
      </c>
      <c r="B163" s="2" t="s">
        <v>412</v>
      </c>
      <c r="C163" s="2" t="s">
        <v>413</v>
      </c>
      <c r="D163" s="2" t="s">
        <v>414</v>
      </c>
      <c r="E163" s="2" t="s">
        <v>415</v>
      </c>
      <c r="F163" s="2" t="s">
        <v>313</v>
      </c>
      <c r="G163" s="2" t="s">
        <v>416</v>
      </c>
      <c r="H163" s="2" t="s">
        <v>417</v>
      </c>
      <c r="I163" s="2" t="s">
        <v>418</v>
      </c>
      <c r="J163" s="2" t="s">
        <v>381</v>
      </c>
      <c r="K163" s="9">
        <v>45677</v>
      </c>
      <c r="L163" s="9">
        <v>45684</v>
      </c>
      <c r="M163" s="9">
        <v>45677</v>
      </c>
      <c r="N163" s="2" t="s">
        <v>125</v>
      </c>
      <c r="O163" s="2" t="s">
        <v>56</v>
      </c>
      <c r="P163" s="2" t="s">
        <v>165</v>
      </c>
      <c r="Q163" s="2" t="s">
        <v>166</v>
      </c>
      <c r="R163" s="2" t="s">
        <v>128</v>
      </c>
      <c r="S163" s="2" t="s">
        <v>383</v>
      </c>
      <c r="T163" s="10">
        <v>52.89</v>
      </c>
      <c r="U163" s="11">
        <v>1</v>
      </c>
      <c r="V163" s="12">
        <f>T163*U163</f>
        <v>52.89</v>
      </c>
      <c r="W163" s="13">
        <v>0</v>
      </c>
      <c r="X163" s="12">
        <f>V163-(V163/(1+W163))</f>
        <v>0</v>
      </c>
      <c r="Y163" s="12">
        <f>V163-X163</f>
        <v>52.89</v>
      </c>
      <c r="Z163" s="14">
        <v>75</v>
      </c>
      <c r="AA163" s="2" t="str">
        <f>IF(V163&gt;Z163,"Yes","No")</f>
        <v>No</v>
      </c>
      <c r="AB163" s="12">
        <f>V163-Z163</f>
        <v>-22.11</v>
      </c>
      <c r="AC163" s="15" t="s">
        <v>130</v>
      </c>
      <c r="AD163" s="15" t="s">
        <v>130</v>
      </c>
      <c r="AE163" s="15" t="s">
        <v>421</v>
      </c>
      <c r="AF163" s="12">
        <f>IF(AG163="Rejected",0,IF(R163="Corporate Card",0,V163))</f>
        <v>0</v>
      </c>
      <c r="AG163" s="15" t="s">
        <v>133</v>
      </c>
      <c r="AH163" s="16">
        <v>45696</v>
      </c>
      <c r="AI163" s="16">
        <v>45702</v>
      </c>
      <c r="AJ163" s="16">
        <v>45712</v>
      </c>
      <c r="AK163" s="17">
        <f>IF(AJ163="","",AJ163-AH163)</f>
        <v>16</v>
      </c>
    </row>
    <row r="164" spans="1:37">
      <c r="A164" s="2" t="s">
        <v>426</v>
      </c>
      <c r="B164" s="2" t="s">
        <v>412</v>
      </c>
      <c r="C164" s="2" t="s">
        <v>413</v>
      </c>
      <c r="D164" s="2" t="s">
        <v>414</v>
      </c>
      <c r="E164" s="2" t="s">
        <v>415</v>
      </c>
      <c r="F164" s="2" t="s">
        <v>313</v>
      </c>
      <c r="G164" s="2" t="s">
        <v>416</v>
      </c>
      <c r="H164" s="2" t="s">
        <v>417</v>
      </c>
      <c r="I164" s="2" t="s">
        <v>418</v>
      </c>
      <c r="J164" s="2" t="s">
        <v>381</v>
      </c>
      <c r="K164" s="9">
        <v>45677</v>
      </c>
      <c r="L164" s="9">
        <v>45684</v>
      </c>
      <c r="M164" s="9">
        <v>45677</v>
      </c>
      <c r="N164" s="2" t="s">
        <v>125</v>
      </c>
      <c r="O164" s="2" t="s">
        <v>55</v>
      </c>
      <c r="P164" s="2" t="s">
        <v>139</v>
      </c>
      <c r="Q164" s="2" t="s">
        <v>154</v>
      </c>
      <c r="R164" s="2" t="s">
        <v>137</v>
      </c>
      <c r="S164" s="2" t="s">
        <v>383</v>
      </c>
      <c r="T164" s="10">
        <v>14.28</v>
      </c>
      <c r="U164" s="11">
        <v>1</v>
      </c>
      <c r="V164" s="12">
        <f>T164*U164</f>
        <v>14.28</v>
      </c>
      <c r="W164" s="13">
        <v>0</v>
      </c>
      <c r="X164" s="12">
        <f>V164-(V164/(1+W164))</f>
        <v>0</v>
      </c>
      <c r="Y164" s="12">
        <f>V164-X164</f>
        <v>14.28</v>
      </c>
      <c r="Z164" s="14">
        <v>35</v>
      </c>
      <c r="AA164" s="2" t="str">
        <f>IF(V164&gt;Z164,"Yes","No")</f>
        <v>No</v>
      </c>
      <c r="AB164" s="12">
        <f>V164-Z164</f>
        <v>-20.72</v>
      </c>
      <c r="AC164" s="15" t="s">
        <v>131</v>
      </c>
      <c r="AD164" s="15" t="s">
        <v>130</v>
      </c>
      <c r="AE164" s="15" t="s">
        <v>421</v>
      </c>
      <c r="AF164" s="12">
        <f>IF(AG164="Rejected",0,IF(R164="Corporate Card",0,V164))</f>
        <v>14.28</v>
      </c>
      <c r="AG164" s="15" t="s">
        <v>133</v>
      </c>
      <c r="AH164" s="16">
        <v>45696</v>
      </c>
      <c r="AI164" s="16">
        <v>45702</v>
      </c>
      <c r="AJ164" s="16">
        <v>45712</v>
      </c>
      <c r="AK164" s="17">
        <f>IF(AJ164="","",AJ164-AH164)</f>
        <v>16</v>
      </c>
    </row>
    <row r="165" spans="1:37">
      <c r="A165" s="2" t="s">
        <v>427</v>
      </c>
      <c r="B165" s="2" t="s">
        <v>287</v>
      </c>
      <c r="C165" s="2" t="s">
        <v>288</v>
      </c>
      <c r="D165" s="2" t="s">
        <v>171</v>
      </c>
      <c r="E165" s="2" t="s">
        <v>289</v>
      </c>
      <c r="F165" s="2" t="s">
        <v>173</v>
      </c>
      <c r="G165" s="2" t="s">
        <v>290</v>
      </c>
      <c r="H165" s="2" t="s">
        <v>291</v>
      </c>
      <c r="I165" s="2" t="s">
        <v>255</v>
      </c>
      <c r="J165" s="2" t="s">
        <v>256</v>
      </c>
      <c r="K165" s="9">
        <v>45670</v>
      </c>
      <c r="L165" s="9">
        <v>45677</v>
      </c>
      <c r="M165" s="9">
        <v>45677</v>
      </c>
      <c r="N165" s="2" t="s">
        <v>125</v>
      </c>
      <c r="O165" s="2" t="s">
        <v>58</v>
      </c>
      <c r="P165" s="2" t="s">
        <v>142</v>
      </c>
      <c r="Q165" s="2" t="s">
        <v>224</v>
      </c>
      <c r="R165" s="2" t="s">
        <v>128</v>
      </c>
      <c r="S165" s="2" t="s">
        <v>259</v>
      </c>
      <c r="T165" s="10">
        <v>5398</v>
      </c>
      <c r="U165" s="11">
        <v>6.5500000000000003E-3</v>
      </c>
      <c r="V165" s="12">
        <f>T165*U165</f>
        <v>35.356900000000003</v>
      </c>
      <c r="W165" s="13">
        <v>0.1</v>
      </c>
      <c r="X165" s="12">
        <f>V165-(V165/(1+W165))</f>
        <v>3.2142636363636399</v>
      </c>
      <c r="Y165" s="12">
        <f>V165-X165</f>
        <v>32.142636363636363</v>
      </c>
      <c r="Z165" s="14">
        <v>60</v>
      </c>
      <c r="AA165" s="2" t="str">
        <f>IF(V165&gt;Z165,"Yes","No")</f>
        <v>No</v>
      </c>
      <c r="AB165" s="12">
        <f>V165-Z165</f>
        <v>-24.643099999999997</v>
      </c>
      <c r="AC165" s="15" t="s">
        <v>130</v>
      </c>
      <c r="AD165" s="15" t="s">
        <v>131</v>
      </c>
      <c r="AE165" s="15" t="s">
        <v>132</v>
      </c>
      <c r="AF165" s="12">
        <f>IF(AG165="Rejected",0,IF(R165="Corporate Card",0,V165))</f>
        <v>0</v>
      </c>
      <c r="AG165" s="15" t="s">
        <v>133</v>
      </c>
      <c r="AH165" s="16">
        <v>45688</v>
      </c>
      <c r="AI165" s="16">
        <v>45692</v>
      </c>
      <c r="AJ165" s="16">
        <v>45701</v>
      </c>
      <c r="AK165" s="17">
        <f>IF(AJ165="","",AJ165-AH165)</f>
        <v>13</v>
      </c>
    </row>
    <row r="166" spans="1:37">
      <c r="A166" s="2" t="s">
        <v>428</v>
      </c>
      <c r="B166" s="2" t="s">
        <v>287</v>
      </c>
      <c r="C166" s="2" t="s">
        <v>288</v>
      </c>
      <c r="D166" s="2" t="s">
        <v>171</v>
      </c>
      <c r="E166" s="2" t="s">
        <v>289</v>
      </c>
      <c r="F166" s="2" t="s">
        <v>173</v>
      </c>
      <c r="G166" s="2" t="s">
        <v>290</v>
      </c>
      <c r="H166" s="2" t="s">
        <v>291</v>
      </c>
      <c r="I166" s="2" t="s">
        <v>255</v>
      </c>
      <c r="J166" s="2" t="s">
        <v>256</v>
      </c>
      <c r="K166" s="9">
        <v>45670</v>
      </c>
      <c r="L166" s="9">
        <v>45677</v>
      </c>
      <c r="M166" s="9">
        <v>45677</v>
      </c>
      <c r="N166" s="2" t="s">
        <v>125</v>
      </c>
      <c r="O166" s="2" t="s">
        <v>54</v>
      </c>
      <c r="P166" s="2" t="s">
        <v>139</v>
      </c>
      <c r="Q166" s="2" t="s">
        <v>140</v>
      </c>
      <c r="R166" s="2" t="s">
        <v>128</v>
      </c>
      <c r="S166" s="2" t="s">
        <v>259</v>
      </c>
      <c r="T166" s="10">
        <v>1712</v>
      </c>
      <c r="U166" s="11">
        <v>6.5500000000000003E-3</v>
      </c>
      <c r="V166" s="12">
        <f>T166*U166</f>
        <v>11.2136</v>
      </c>
      <c r="W166" s="13">
        <v>0.1</v>
      </c>
      <c r="X166" s="12">
        <f>V166-(V166/(1+W166))</f>
        <v>1.0194181818181818</v>
      </c>
      <c r="Y166" s="12">
        <f>V166-X166</f>
        <v>10.194181818181818</v>
      </c>
      <c r="Z166" s="14">
        <v>25</v>
      </c>
      <c r="AA166" s="2" t="str">
        <f>IF(V166&gt;Z166,"Yes","No")</f>
        <v>No</v>
      </c>
      <c r="AB166" s="12">
        <f>V166-Z166</f>
        <v>-13.7864</v>
      </c>
      <c r="AC166" s="15" t="s">
        <v>130</v>
      </c>
      <c r="AD166" s="15" t="s">
        <v>131</v>
      </c>
      <c r="AE166" s="15" t="s">
        <v>132</v>
      </c>
      <c r="AF166" s="12">
        <f>IF(AG166="Rejected",0,IF(R166="Corporate Card",0,V166))</f>
        <v>0</v>
      </c>
      <c r="AG166" s="15" t="s">
        <v>133</v>
      </c>
      <c r="AH166" s="16">
        <v>45688</v>
      </c>
      <c r="AI166" s="16">
        <v>45692</v>
      </c>
      <c r="AJ166" s="16">
        <v>45701</v>
      </c>
      <c r="AK166" s="17">
        <f>IF(AJ166="","",AJ166-AH166)</f>
        <v>13</v>
      </c>
    </row>
    <row r="167" spans="1:37">
      <c r="A167" s="2" t="s">
        <v>429</v>
      </c>
      <c r="B167" s="2" t="s">
        <v>287</v>
      </c>
      <c r="C167" s="2" t="s">
        <v>288</v>
      </c>
      <c r="D167" s="2" t="s">
        <v>171</v>
      </c>
      <c r="E167" s="2" t="s">
        <v>289</v>
      </c>
      <c r="F167" s="2" t="s">
        <v>173</v>
      </c>
      <c r="G167" s="2" t="s">
        <v>290</v>
      </c>
      <c r="H167" s="2" t="s">
        <v>291</v>
      </c>
      <c r="I167" s="2" t="s">
        <v>255</v>
      </c>
      <c r="J167" s="2" t="s">
        <v>256</v>
      </c>
      <c r="K167" s="9">
        <v>45670</v>
      </c>
      <c r="L167" s="9">
        <v>45677</v>
      </c>
      <c r="M167" s="9">
        <v>45677</v>
      </c>
      <c r="N167" s="2" t="s">
        <v>125</v>
      </c>
      <c r="O167" s="2" t="s">
        <v>56</v>
      </c>
      <c r="P167" s="2" t="s">
        <v>165</v>
      </c>
      <c r="Q167" s="2" t="s">
        <v>166</v>
      </c>
      <c r="R167" s="2" t="s">
        <v>128</v>
      </c>
      <c r="S167" s="2" t="s">
        <v>259</v>
      </c>
      <c r="T167" s="10">
        <v>9635</v>
      </c>
      <c r="U167" s="11">
        <v>6.5500000000000003E-3</v>
      </c>
      <c r="V167" s="12">
        <f>T167*U167</f>
        <v>63.109250000000003</v>
      </c>
      <c r="W167" s="13">
        <v>0.1</v>
      </c>
      <c r="X167" s="12">
        <f>V167-(V167/(1+W167))</f>
        <v>5.7372045454545528</v>
      </c>
      <c r="Y167" s="12">
        <f>V167-X167</f>
        <v>57.37204545454545</v>
      </c>
      <c r="Z167" s="14">
        <v>75</v>
      </c>
      <c r="AA167" s="2" t="str">
        <f>IF(V167&gt;Z167,"Yes","No")</f>
        <v>No</v>
      </c>
      <c r="AB167" s="12">
        <f>V167-Z167</f>
        <v>-11.890749999999997</v>
      </c>
      <c r="AC167" s="15" t="s">
        <v>130</v>
      </c>
      <c r="AD167" s="15" t="s">
        <v>131</v>
      </c>
      <c r="AE167" s="15" t="s">
        <v>132</v>
      </c>
      <c r="AF167" s="12">
        <f>IF(AG167="Rejected",0,IF(R167="Corporate Card",0,V167))</f>
        <v>0</v>
      </c>
      <c r="AG167" s="15" t="s">
        <v>133</v>
      </c>
      <c r="AH167" s="16">
        <v>45688</v>
      </c>
      <c r="AI167" s="16">
        <v>45692</v>
      </c>
      <c r="AJ167" s="16">
        <v>45701</v>
      </c>
      <c r="AK167" s="17">
        <f>IF(AJ167="","",AJ167-AH167)</f>
        <v>13</v>
      </c>
    </row>
    <row r="168" spans="1:37">
      <c r="A168" s="2" t="s">
        <v>430</v>
      </c>
      <c r="B168" s="2" t="s">
        <v>287</v>
      </c>
      <c r="C168" s="2" t="s">
        <v>288</v>
      </c>
      <c r="D168" s="2" t="s">
        <v>171</v>
      </c>
      <c r="E168" s="2" t="s">
        <v>289</v>
      </c>
      <c r="F168" s="2" t="s">
        <v>173</v>
      </c>
      <c r="G168" s="2" t="s">
        <v>290</v>
      </c>
      <c r="H168" s="2" t="s">
        <v>291</v>
      </c>
      <c r="I168" s="2" t="s">
        <v>255</v>
      </c>
      <c r="J168" s="2" t="s">
        <v>256</v>
      </c>
      <c r="K168" s="9">
        <v>45670</v>
      </c>
      <c r="L168" s="9">
        <v>45677</v>
      </c>
      <c r="M168" s="9">
        <v>45677</v>
      </c>
      <c r="N168" s="2" t="s">
        <v>125</v>
      </c>
      <c r="O168" s="2" t="s">
        <v>55</v>
      </c>
      <c r="P168" s="2" t="s">
        <v>139</v>
      </c>
      <c r="Q168" s="2" t="s">
        <v>161</v>
      </c>
      <c r="R168" s="2" t="s">
        <v>128</v>
      </c>
      <c r="S168" s="2" t="s">
        <v>259</v>
      </c>
      <c r="T168" s="10">
        <v>3562</v>
      </c>
      <c r="U168" s="11">
        <v>6.5500000000000003E-3</v>
      </c>
      <c r="V168" s="12">
        <f>T168*U168</f>
        <v>23.331099999999999</v>
      </c>
      <c r="W168" s="13">
        <v>0.1</v>
      </c>
      <c r="X168" s="12">
        <f>V168-(V168/(1+W168))</f>
        <v>2.1210090909090908</v>
      </c>
      <c r="Y168" s="12">
        <f>V168-X168</f>
        <v>21.210090909090908</v>
      </c>
      <c r="Z168" s="14">
        <v>35</v>
      </c>
      <c r="AA168" s="2" t="str">
        <f>IF(V168&gt;Z168,"Yes","No")</f>
        <v>No</v>
      </c>
      <c r="AB168" s="12">
        <f>V168-Z168</f>
        <v>-11.668900000000001</v>
      </c>
      <c r="AC168" s="15" t="s">
        <v>130</v>
      </c>
      <c r="AD168" s="15" t="s">
        <v>131</v>
      </c>
      <c r="AE168" s="15" t="s">
        <v>132</v>
      </c>
      <c r="AF168" s="12">
        <f>IF(AG168="Rejected",0,IF(R168="Corporate Card",0,V168))</f>
        <v>0</v>
      </c>
      <c r="AG168" s="15" t="s">
        <v>133</v>
      </c>
      <c r="AH168" s="16">
        <v>45688</v>
      </c>
      <c r="AI168" s="16">
        <v>45692</v>
      </c>
      <c r="AJ168" s="16">
        <v>45701</v>
      </c>
      <c r="AK168" s="17">
        <f>IF(AJ168="","",AJ168-AH168)</f>
        <v>13</v>
      </c>
    </row>
    <row r="169" spans="1:37">
      <c r="A169" s="2" t="s">
        <v>431</v>
      </c>
      <c r="B169" s="2" t="s">
        <v>412</v>
      </c>
      <c r="C169" s="2" t="s">
        <v>413</v>
      </c>
      <c r="D169" s="2" t="s">
        <v>414</v>
      </c>
      <c r="E169" s="2" t="s">
        <v>415</v>
      </c>
      <c r="F169" s="2" t="s">
        <v>313</v>
      </c>
      <c r="G169" s="2" t="s">
        <v>432</v>
      </c>
      <c r="H169" s="2" t="s">
        <v>417</v>
      </c>
      <c r="I169" s="2" t="s">
        <v>433</v>
      </c>
      <c r="J169" s="2" t="s">
        <v>434</v>
      </c>
      <c r="K169" s="9">
        <v>45677</v>
      </c>
      <c r="L169" s="9">
        <v>45681</v>
      </c>
      <c r="M169" s="9">
        <v>45677</v>
      </c>
      <c r="N169" s="2" t="s">
        <v>125</v>
      </c>
      <c r="O169" s="2" t="s">
        <v>52</v>
      </c>
      <c r="P169" s="2" t="s">
        <v>435</v>
      </c>
      <c r="Q169" s="2" t="s">
        <v>197</v>
      </c>
      <c r="R169" s="2" t="s">
        <v>149</v>
      </c>
      <c r="S169" s="2" t="s">
        <v>436</v>
      </c>
      <c r="T169" s="10">
        <v>173638</v>
      </c>
      <c r="U169" s="11">
        <v>1.1780000000000001E-2</v>
      </c>
      <c r="V169" s="12">
        <f>T169*U169</f>
        <v>2045.4556400000001</v>
      </c>
      <c r="W169" s="13">
        <v>0</v>
      </c>
      <c r="X169" s="12">
        <f>V169-(V169/(1+W169))</f>
        <v>0</v>
      </c>
      <c r="Y169" s="12">
        <f>V169-X169</f>
        <v>2045.4556400000001</v>
      </c>
      <c r="Z169" s="14">
        <v>1400</v>
      </c>
      <c r="AA169" s="2" t="str">
        <f>IF(V169&gt;Z169,"Yes","No")</f>
        <v>Yes</v>
      </c>
      <c r="AB169" s="12">
        <f>V169-Z169</f>
        <v>645.45564000000013</v>
      </c>
      <c r="AC169" s="15" t="s">
        <v>130</v>
      </c>
      <c r="AD169" s="15" t="s">
        <v>130</v>
      </c>
      <c r="AE169" s="15" t="s">
        <v>437</v>
      </c>
      <c r="AF169" s="12">
        <f>IF(AG169="Rejected",0,IF(R169="Corporate Card",0,V169))</f>
        <v>2045.4556400000001</v>
      </c>
      <c r="AG169" s="15" t="s">
        <v>133</v>
      </c>
      <c r="AH169" s="16">
        <v>45693</v>
      </c>
      <c r="AI169" s="16">
        <v>45700</v>
      </c>
      <c r="AJ169" s="16">
        <v>45707</v>
      </c>
      <c r="AK169" s="17">
        <f>IF(AJ169="","",AJ169-AH169)</f>
        <v>14</v>
      </c>
    </row>
    <row r="170" spans="1:37">
      <c r="A170" s="2" t="s">
        <v>438</v>
      </c>
      <c r="B170" s="2" t="s">
        <v>412</v>
      </c>
      <c r="C170" s="2" t="s">
        <v>413</v>
      </c>
      <c r="D170" s="2" t="s">
        <v>414</v>
      </c>
      <c r="E170" s="2" t="s">
        <v>415</v>
      </c>
      <c r="F170" s="2" t="s">
        <v>313</v>
      </c>
      <c r="G170" s="2" t="s">
        <v>432</v>
      </c>
      <c r="H170" s="2" t="s">
        <v>417</v>
      </c>
      <c r="I170" s="2" t="s">
        <v>433</v>
      </c>
      <c r="J170" s="2" t="s">
        <v>434</v>
      </c>
      <c r="K170" s="9">
        <v>45677</v>
      </c>
      <c r="L170" s="9">
        <v>45681</v>
      </c>
      <c r="M170" s="9">
        <v>45677</v>
      </c>
      <c r="N170" s="2" t="s">
        <v>125</v>
      </c>
      <c r="O170" s="2" t="s">
        <v>58</v>
      </c>
      <c r="P170" s="2" t="s">
        <v>142</v>
      </c>
      <c r="Q170" s="2" t="s">
        <v>296</v>
      </c>
      <c r="R170" s="2" t="s">
        <v>128</v>
      </c>
      <c r="S170" s="2" t="s">
        <v>436</v>
      </c>
      <c r="T170" s="10">
        <v>3190</v>
      </c>
      <c r="U170" s="11">
        <v>1.1780000000000001E-2</v>
      </c>
      <c r="V170" s="12">
        <f>T170*U170</f>
        <v>37.578200000000002</v>
      </c>
      <c r="W170" s="13">
        <v>0.18</v>
      </c>
      <c r="X170" s="12">
        <f>V170-(V170/(1+W170))</f>
        <v>5.7322677966101665</v>
      </c>
      <c r="Y170" s="12">
        <f>V170-X170</f>
        <v>31.845932203389836</v>
      </c>
      <c r="Z170" s="14">
        <v>60</v>
      </c>
      <c r="AA170" s="2" t="str">
        <f>IF(V170&gt;Z170,"Yes","No")</f>
        <v>No</v>
      </c>
      <c r="AB170" s="12">
        <f>V170-Z170</f>
        <v>-22.421799999999998</v>
      </c>
      <c r="AC170" s="15" t="s">
        <v>130</v>
      </c>
      <c r="AD170" s="15" t="s">
        <v>130</v>
      </c>
      <c r="AE170" s="15" t="s">
        <v>437</v>
      </c>
      <c r="AF170" s="12">
        <f>IF(AG170="Rejected",0,IF(R170="Corporate Card",0,V170))</f>
        <v>0</v>
      </c>
      <c r="AG170" s="15" t="s">
        <v>133</v>
      </c>
      <c r="AH170" s="16">
        <v>45693</v>
      </c>
      <c r="AI170" s="16">
        <v>45700</v>
      </c>
      <c r="AJ170" s="16">
        <v>45707</v>
      </c>
      <c r="AK170" s="17">
        <f>IF(AJ170="","",AJ170-AH170)</f>
        <v>14</v>
      </c>
    </row>
    <row r="171" spans="1:37">
      <c r="A171" s="2" t="s">
        <v>439</v>
      </c>
      <c r="B171" s="2" t="s">
        <v>412</v>
      </c>
      <c r="C171" s="2" t="s">
        <v>413</v>
      </c>
      <c r="D171" s="2" t="s">
        <v>414</v>
      </c>
      <c r="E171" s="2" t="s">
        <v>415</v>
      </c>
      <c r="F171" s="2" t="s">
        <v>313</v>
      </c>
      <c r="G171" s="2" t="s">
        <v>432</v>
      </c>
      <c r="H171" s="2" t="s">
        <v>417</v>
      </c>
      <c r="I171" s="2" t="s">
        <v>433</v>
      </c>
      <c r="J171" s="2" t="s">
        <v>434</v>
      </c>
      <c r="K171" s="9">
        <v>45677</v>
      </c>
      <c r="L171" s="9">
        <v>45681</v>
      </c>
      <c r="M171" s="9">
        <v>45677</v>
      </c>
      <c r="N171" s="2" t="s">
        <v>125</v>
      </c>
      <c r="O171" s="2" t="s">
        <v>54</v>
      </c>
      <c r="P171" s="2" t="s">
        <v>139</v>
      </c>
      <c r="Q171" s="2" t="s">
        <v>140</v>
      </c>
      <c r="R171" s="2" t="s">
        <v>149</v>
      </c>
      <c r="S171" s="2" t="s">
        <v>436</v>
      </c>
      <c r="T171" s="10">
        <v>1866</v>
      </c>
      <c r="U171" s="11">
        <v>1.1780000000000001E-2</v>
      </c>
      <c r="V171" s="12">
        <f>T171*U171</f>
        <v>21.981480000000001</v>
      </c>
      <c r="W171" s="13">
        <v>0.18</v>
      </c>
      <c r="X171" s="12">
        <f>V171-(V171/(1+W171))</f>
        <v>3.3531071186440684</v>
      </c>
      <c r="Y171" s="12">
        <f>V171-X171</f>
        <v>18.628372881355933</v>
      </c>
      <c r="Z171" s="14">
        <v>25</v>
      </c>
      <c r="AA171" s="2" t="str">
        <f>IF(V171&gt;Z171,"Yes","No")</f>
        <v>No</v>
      </c>
      <c r="AB171" s="12">
        <f>V171-Z171</f>
        <v>-3.0185199999999988</v>
      </c>
      <c r="AC171" s="15" t="s">
        <v>130</v>
      </c>
      <c r="AD171" s="15" t="s">
        <v>130</v>
      </c>
      <c r="AE171" s="15" t="s">
        <v>437</v>
      </c>
      <c r="AF171" s="12">
        <f>IF(AG171="Rejected",0,IF(R171="Corporate Card",0,V171))</f>
        <v>21.981480000000001</v>
      </c>
      <c r="AG171" s="15" t="s">
        <v>133</v>
      </c>
      <c r="AH171" s="16">
        <v>45693</v>
      </c>
      <c r="AI171" s="16">
        <v>45700</v>
      </c>
      <c r="AJ171" s="16">
        <v>45707</v>
      </c>
      <c r="AK171" s="17">
        <f>IF(AJ171="","",AJ171-AH171)</f>
        <v>14</v>
      </c>
    </row>
    <row r="172" spans="1:37">
      <c r="A172" s="2" t="s">
        <v>440</v>
      </c>
      <c r="B172" s="2" t="s">
        <v>412</v>
      </c>
      <c r="C172" s="2" t="s">
        <v>413</v>
      </c>
      <c r="D172" s="2" t="s">
        <v>414</v>
      </c>
      <c r="E172" s="2" t="s">
        <v>415</v>
      </c>
      <c r="F172" s="2" t="s">
        <v>313</v>
      </c>
      <c r="G172" s="2" t="s">
        <v>432</v>
      </c>
      <c r="H172" s="2" t="s">
        <v>417</v>
      </c>
      <c r="I172" s="2" t="s">
        <v>433</v>
      </c>
      <c r="J172" s="2" t="s">
        <v>434</v>
      </c>
      <c r="K172" s="9">
        <v>45677</v>
      </c>
      <c r="L172" s="9">
        <v>45681</v>
      </c>
      <c r="M172" s="9">
        <v>45677</v>
      </c>
      <c r="N172" s="2" t="s">
        <v>125</v>
      </c>
      <c r="O172" s="2" t="s">
        <v>55</v>
      </c>
      <c r="P172" s="2" t="s">
        <v>139</v>
      </c>
      <c r="Q172" s="2" t="s">
        <v>217</v>
      </c>
      <c r="R172" s="2" t="s">
        <v>149</v>
      </c>
      <c r="S172" s="2" t="s">
        <v>436</v>
      </c>
      <c r="T172" s="10">
        <v>2562</v>
      </c>
      <c r="U172" s="11">
        <v>1.1780000000000001E-2</v>
      </c>
      <c r="V172" s="12">
        <f>T172*U172</f>
        <v>30.18036</v>
      </c>
      <c r="W172" s="13">
        <v>0.18</v>
      </c>
      <c r="X172" s="12">
        <f>V172-(V172/(1+W172))</f>
        <v>4.603783728813557</v>
      </c>
      <c r="Y172" s="12">
        <f>V172-X172</f>
        <v>25.576576271186443</v>
      </c>
      <c r="Z172" s="14">
        <v>35</v>
      </c>
      <c r="AA172" s="2" t="str">
        <f>IF(V172&gt;Z172,"Yes","No")</f>
        <v>No</v>
      </c>
      <c r="AB172" s="12">
        <f>V172-Z172</f>
        <v>-4.8196399999999997</v>
      </c>
      <c r="AC172" s="15" t="s">
        <v>130</v>
      </c>
      <c r="AD172" s="15" t="s">
        <v>130</v>
      </c>
      <c r="AE172" s="15" t="s">
        <v>437</v>
      </c>
      <c r="AF172" s="12">
        <f>IF(AG172="Rejected",0,IF(R172="Corporate Card",0,V172))</f>
        <v>30.18036</v>
      </c>
      <c r="AG172" s="15" t="s">
        <v>133</v>
      </c>
      <c r="AH172" s="16">
        <v>45693</v>
      </c>
      <c r="AI172" s="16">
        <v>45700</v>
      </c>
      <c r="AJ172" s="16">
        <v>45707</v>
      </c>
      <c r="AK172" s="17">
        <f>IF(AJ172="","",AJ172-AH172)</f>
        <v>14</v>
      </c>
    </row>
    <row r="173" spans="1:37">
      <c r="A173" s="2" t="s">
        <v>441</v>
      </c>
      <c r="B173" s="2" t="s">
        <v>442</v>
      </c>
      <c r="C173" s="2" t="s">
        <v>443</v>
      </c>
      <c r="D173" s="2" t="s">
        <v>444</v>
      </c>
      <c r="E173" s="2" t="s">
        <v>445</v>
      </c>
      <c r="F173" s="2" t="s">
        <v>446</v>
      </c>
      <c r="G173" s="2" t="s">
        <v>447</v>
      </c>
      <c r="H173" s="2" t="s">
        <v>448</v>
      </c>
      <c r="I173" s="2" t="s">
        <v>418</v>
      </c>
      <c r="J173" s="2" t="s">
        <v>381</v>
      </c>
      <c r="K173" s="9">
        <v>45677</v>
      </c>
      <c r="L173" s="9">
        <v>45683</v>
      </c>
      <c r="M173" s="9">
        <v>45677</v>
      </c>
      <c r="N173" s="2" t="s">
        <v>125</v>
      </c>
      <c r="O173" s="2" t="s">
        <v>52</v>
      </c>
      <c r="P173" s="2" t="s">
        <v>419</v>
      </c>
      <c r="Q173" s="2" t="s">
        <v>349</v>
      </c>
      <c r="R173" s="2" t="s">
        <v>128</v>
      </c>
      <c r="S173" s="2" t="s">
        <v>383</v>
      </c>
      <c r="T173" s="10">
        <v>816.25</v>
      </c>
      <c r="U173" s="11">
        <v>1</v>
      </c>
      <c r="V173" s="12">
        <f>T173*U173</f>
        <v>816.25</v>
      </c>
      <c r="W173" s="13">
        <v>0</v>
      </c>
      <c r="X173" s="12">
        <f>V173-(V173/(1+W173))</f>
        <v>0</v>
      </c>
      <c r="Y173" s="12">
        <f>V173-X173</f>
        <v>816.25</v>
      </c>
      <c r="Z173" s="14">
        <v>1400</v>
      </c>
      <c r="AA173" s="2" t="str">
        <f>IF(V173&gt;Z173,"Yes","No")</f>
        <v>No</v>
      </c>
      <c r="AB173" s="12">
        <f>V173-Z173</f>
        <v>-583.75</v>
      </c>
      <c r="AC173" s="15" t="s">
        <v>130</v>
      </c>
      <c r="AD173" s="15" t="s">
        <v>131</v>
      </c>
      <c r="AE173" s="15" t="s">
        <v>350</v>
      </c>
      <c r="AF173" s="12">
        <f>IF(AG173="Rejected",0,IF(R173="Corporate Card",0,V173))</f>
        <v>0</v>
      </c>
      <c r="AG173" s="15" t="s">
        <v>133</v>
      </c>
      <c r="AH173" s="16">
        <v>45687</v>
      </c>
      <c r="AI173" s="16">
        <v>45693</v>
      </c>
      <c r="AJ173" s="16">
        <v>45700</v>
      </c>
      <c r="AK173" s="17">
        <f>IF(AJ173="","",AJ173-AH173)</f>
        <v>13</v>
      </c>
    </row>
    <row r="174" spans="1:37">
      <c r="A174" s="2" t="s">
        <v>449</v>
      </c>
      <c r="B174" s="2" t="s">
        <v>442</v>
      </c>
      <c r="C174" s="2" t="s">
        <v>443</v>
      </c>
      <c r="D174" s="2" t="s">
        <v>444</v>
      </c>
      <c r="E174" s="2" t="s">
        <v>445</v>
      </c>
      <c r="F174" s="2" t="s">
        <v>446</v>
      </c>
      <c r="G174" s="2" t="s">
        <v>447</v>
      </c>
      <c r="H174" s="2" t="s">
        <v>448</v>
      </c>
      <c r="I174" s="2" t="s">
        <v>418</v>
      </c>
      <c r="J174" s="2" t="s">
        <v>381</v>
      </c>
      <c r="K174" s="9">
        <v>45677</v>
      </c>
      <c r="L174" s="9">
        <v>45683</v>
      </c>
      <c r="M174" s="9">
        <v>45677</v>
      </c>
      <c r="N174" s="2" t="s">
        <v>125</v>
      </c>
      <c r="O174" s="2" t="s">
        <v>58</v>
      </c>
      <c r="P174" s="2" t="s">
        <v>142</v>
      </c>
      <c r="Q174" s="2" t="s">
        <v>156</v>
      </c>
      <c r="R174" s="2" t="s">
        <v>137</v>
      </c>
      <c r="S174" s="2" t="s">
        <v>383</v>
      </c>
      <c r="T174" s="10">
        <v>50.56</v>
      </c>
      <c r="U174" s="11">
        <v>1</v>
      </c>
      <c r="V174" s="12">
        <f>T174*U174</f>
        <v>50.56</v>
      </c>
      <c r="W174" s="13">
        <v>0</v>
      </c>
      <c r="X174" s="12">
        <f>V174-(V174/(1+W174))</f>
        <v>0</v>
      </c>
      <c r="Y174" s="12">
        <f>V174-X174</f>
        <v>50.56</v>
      </c>
      <c r="Z174" s="14">
        <v>60</v>
      </c>
      <c r="AA174" s="2" t="str">
        <f>IF(V174&gt;Z174,"Yes","No")</f>
        <v>No</v>
      </c>
      <c r="AB174" s="12">
        <f>V174-Z174</f>
        <v>-9.4399999999999977</v>
      </c>
      <c r="AC174" s="15" t="s">
        <v>130</v>
      </c>
      <c r="AD174" s="15" t="s">
        <v>131</v>
      </c>
      <c r="AE174" s="15" t="s">
        <v>350</v>
      </c>
      <c r="AF174" s="12">
        <f>IF(AG174="Rejected",0,IF(R174="Corporate Card",0,V174))</f>
        <v>50.56</v>
      </c>
      <c r="AG174" s="15" t="s">
        <v>133</v>
      </c>
      <c r="AH174" s="16">
        <v>45687</v>
      </c>
      <c r="AI174" s="16">
        <v>45693</v>
      </c>
      <c r="AJ174" s="16">
        <v>45700</v>
      </c>
      <c r="AK174" s="17">
        <f>IF(AJ174="","",AJ174-AH174)</f>
        <v>13</v>
      </c>
    </row>
    <row r="175" spans="1:37">
      <c r="A175" s="2" t="s">
        <v>450</v>
      </c>
      <c r="B175" s="2" t="s">
        <v>442</v>
      </c>
      <c r="C175" s="2" t="s">
        <v>443</v>
      </c>
      <c r="D175" s="2" t="s">
        <v>444</v>
      </c>
      <c r="E175" s="2" t="s">
        <v>445</v>
      </c>
      <c r="F175" s="2" t="s">
        <v>446</v>
      </c>
      <c r="G175" s="2" t="s">
        <v>447</v>
      </c>
      <c r="H175" s="2" t="s">
        <v>448</v>
      </c>
      <c r="I175" s="2" t="s">
        <v>418</v>
      </c>
      <c r="J175" s="2" t="s">
        <v>381</v>
      </c>
      <c r="K175" s="9">
        <v>45677</v>
      </c>
      <c r="L175" s="9">
        <v>45683</v>
      </c>
      <c r="M175" s="9">
        <v>45677</v>
      </c>
      <c r="N175" s="2" t="s">
        <v>125</v>
      </c>
      <c r="O175" s="2" t="s">
        <v>55</v>
      </c>
      <c r="P175" s="2" t="s">
        <v>139</v>
      </c>
      <c r="Q175" s="2" t="s">
        <v>187</v>
      </c>
      <c r="R175" s="2" t="s">
        <v>128</v>
      </c>
      <c r="S175" s="2" t="s">
        <v>383</v>
      </c>
      <c r="T175" s="10">
        <v>15.49</v>
      </c>
      <c r="U175" s="11">
        <v>1</v>
      </c>
      <c r="V175" s="12">
        <f>T175*U175</f>
        <v>15.49</v>
      </c>
      <c r="W175" s="13">
        <v>0</v>
      </c>
      <c r="X175" s="12">
        <f>V175-(V175/(1+W175))</f>
        <v>0</v>
      </c>
      <c r="Y175" s="12">
        <f>V175-X175</f>
        <v>15.49</v>
      </c>
      <c r="Z175" s="14">
        <v>35</v>
      </c>
      <c r="AA175" s="2" t="str">
        <f>IF(V175&gt;Z175,"Yes","No")</f>
        <v>No</v>
      </c>
      <c r="AB175" s="12">
        <f>V175-Z175</f>
        <v>-19.509999999999998</v>
      </c>
      <c r="AC175" s="15" t="s">
        <v>130</v>
      </c>
      <c r="AD175" s="15" t="s">
        <v>131</v>
      </c>
      <c r="AE175" s="15" t="s">
        <v>350</v>
      </c>
      <c r="AF175" s="12">
        <f>IF(AG175="Rejected",0,IF(R175="Corporate Card",0,V175))</f>
        <v>0</v>
      </c>
      <c r="AG175" s="15" t="s">
        <v>133</v>
      </c>
      <c r="AH175" s="16">
        <v>45687</v>
      </c>
      <c r="AI175" s="16">
        <v>45693</v>
      </c>
      <c r="AJ175" s="16">
        <v>45700</v>
      </c>
      <c r="AK175" s="17">
        <f>IF(AJ175="","",AJ175-AH175)</f>
        <v>13</v>
      </c>
    </row>
    <row r="176" spans="1:37">
      <c r="A176" s="2" t="s">
        <v>451</v>
      </c>
      <c r="B176" s="2" t="s">
        <v>412</v>
      </c>
      <c r="C176" s="2" t="s">
        <v>413</v>
      </c>
      <c r="D176" s="2" t="s">
        <v>414</v>
      </c>
      <c r="E176" s="2" t="s">
        <v>415</v>
      </c>
      <c r="F176" s="2" t="s">
        <v>313</v>
      </c>
      <c r="G176" s="2" t="s">
        <v>416</v>
      </c>
      <c r="H176" s="2" t="s">
        <v>417</v>
      </c>
      <c r="I176" s="2" t="s">
        <v>418</v>
      </c>
      <c r="J176" s="2" t="s">
        <v>381</v>
      </c>
      <c r="K176" s="9">
        <v>45677</v>
      </c>
      <c r="L176" s="9">
        <v>45684</v>
      </c>
      <c r="M176" s="9">
        <v>45678</v>
      </c>
      <c r="N176" s="2" t="s">
        <v>125</v>
      </c>
      <c r="O176" s="2" t="s">
        <v>59</v>
      </c>
      <c r="P176" s="2" t="s">
        <v>301</v>
      </c>
      <c r="Q176" s="2" t="s">
        <v>452</v>
      </c>
      <c r="R176" s="2" t="s">
        <v>137</v>
      </c>
      <c r="S176" s="2" t="s">
        <v>383</v>
      </c>
      <c r="T176" s="10">
        <v>59.36</v>
      </c>
      <c r="U176" s="11">
        <v>1</v>
      </c>
      <c r="V176" s="12">
        <f>T176*U176</f>
        <v>59.36</v>
      </c>
      <c r="W176" s="13">
        <v>0</v>
      </c>
      <c r="X176" s="12">
        <f>V176-(V176/(1+W176))</f>
        <v>0</v>
      </c>
      <c r="Y176" s="12">
        <f>V176-X176</f>
        <v>59.36</v>
      </c>
      <c r="Z176" s="14">
        <v>150</v>
      </c>
      <c r="AA176" s="2" t="str">
        <f>IF(V176&gt;Z176,"Yes","No")</f>
        <v>No</v>
      </c>
      <c r="AB176" s="12">
        <f>V176-Z176</f>
        <v>-90.64</v>
      </c>
      <c r="AC176" s="15" t="s">
        <v>131</v>
      </c>
      <c r="AD176" s="15" t="s">
        <v>130</v>
      </c>
      <c r="AE176" s="15" t="s">
        <v>421</v>
      </c>
      <c r="AF176" s="12">
        <f>IF(AG176="Rejected",0,IF(R176="Corporate Card",0,V176))</f>
        <v>59.36</v>
      </c>
      <c r="AG176" s="15" t="s">
        <v>133</v>
      </c>
      <c r="AH176" s="16">
        <v>45696</v>
      </c>
      <c r="AI176" s="16">
        <v>45702</v>
      </c>
      <c r="AJ176" s="16">
        <v>45712</v>
      </c>
      <c r="AK176" s="17">
        <f>IF(AJ176="","",AJ176-AH176)</f>
        <v>16</v>
      </c>
    </row>
    <row r="177" spans="1:37">
      <c r="A177" s="2" t="s">
        <v>453</v>
      </c>
      <c r="B177" s="2" t="s">
        <v>412</v>
      </c>
      <c r="C177" s="2" t="s">
        <v>413</v>
      </c>
      <c r="D177" s="2" t="s">
        <v>414</v>
      </c>
      <c r="E177" s="2" t="s">
        <v>415</v>
      </c>
      <c r="F177" s="2" t="s">
        <v>313</v>
      </c>
      <c r="G177" s="2" t="s">
        <v>416</v>
      </c>
      <c r="H177" s="2" t="s">
        <v>417</v>
      </c>
      <c r="I177" s="2" t="s">
        <v>418</v>
      </c>
      <c r="J177" s="2" t="s">
        <v>381</v>
      </c>
      <c r="K177" s="9">
        <v>45677</v>
      </c>
      <c r="L177" s="9">
        <v>45684</v>
      </c>
      <c r="M177" s="9">
        <v>45678</v>
      </c>
      <c r="N177" s="2" t="s">
        <v>125</v>
      </c>
      <c r="O177" s="2" t="s">
        <v>53</v>
      </c>
      <c r="P177" s="2" t="s">
        <v>208</v>
      </c>
      <c r="Q177" s="2" t="s">
        <v>220</v>
      </c>
      <c r="R177" s="2" t="s">
        <v>128</v>
      </c>
      <c r="S177" s="2" t="s">
        <v>383</v>
      </c>
      <c r="T177" s="10">
        <v>854.55</v>
      </c>
      <c r="U177" s="11">
        <v>1</v>
      </c>
      <c r="V177" s="12">
        <f>T177*U177</f>
        <v>854.55</v>
      </c>
      <c r="W177" s="13">
        <v>0</v>
      </c>
      <c r="X177" s="12">
        <f>V177-(V177/(1+W177))</f>
        <v>0</v>
      </c>
      <c r="Y177" s="12">
        <f>V177-X177</f>
        <v>854.55</v>
      </c>
      <c r="Z177" s="14">
        <v>1960</v>
      </c>
      <c r="AA177" s="2" t="str">
        <f>IF(V177&gt;Z177,"Yes","No")</f>
        <v>No</v>
      </c>
      <c r="AB177" s="12">
        <f>V177-Z177</f>
        <v>-1105.45</v>
      </c>
      <c r="AC177" s="15" t="s">
        <v>130</v>
      </c>
      <c r="AD177" s="15" t="s">
        <v>130</v>
      </c>
      <c r="AE177" s="15" t="s">
        <v>421</v>
      </c>
      <c r="AF177" s="12">
        <f>IF(AG177="Rejected",0,IF(R177="Corporate Card",0,V177))</f>
        <v>0</v>
      </c>
      <c r="AG177" s="15" t="s">
        <v>133</v>
      </c>
      <c r="AH177" s="16">
        <v>45696</v>
      </c>
      <c r="AI177" s="16">
        <v>45702</v>
      </c>
      <c r="AJ177" s="16">
        <v>45712</v>
      </c>
      <c r="AK177" s="17">
        <f>IF(AJ177="","",AJ177-AH177)</f>
        <v>16</v>
      </c>
    </row>
    <row r="178" spans="1:37">
      <c r="A178" s="2" t="s">
        <v>454</v>
      </c>
      <c r="B178" s="2" t="s">
        <v>412</v>
      </c>
      <c r="C178" s="2" t="s">
        <v>413</v>
      </c>
      <c r="D178" s="2" t="s">
        <v>414</v>
      </c>
      <c r="E178" s="2" t="s">
        <v>415</v>
      </c>
      <c r="F178" s="2" t="s">
        <v>313</v>
      </c>
      <c r="G178" s="2" t="s">
        <v>416</v>
      </c>
      <c r="H178" s="2" t="s">
        <v>417</v>
      </c>
      <c r="I178" s="2" t="s">
        <v>418</v>
      </c>
      <c r="J178" s="2" t="s">
        <v>381</v>
      </c>
      <c r="K178" s="9">
        <v>45677</v>
      </c>
      <c r="L178" s="9">
        <v>45684</v>
      </c>
      <c r="M178" s="9">
        <v>45678</v>
      </c>
      <c r="N178" s="2" t="s">
        <v>125</v>
      </c>
      <c r="O178" s="2" t="s">
        <v>54</v>
      </c>
      <c r="P178" s="2" t="s">
        <v>139</v>
      </c>
      <c r="Q178" s="2" t="s">
        <v>163</v>
      </c>
      <c r="R178" s="2" t="s">
        <v>128</v>
      </c>
      <c r="S178" s="2" t="s">
        <v>383</v>
      </c>
      <c r="T178" s="10">
        <v>38.29</v>
      </c>
      <c r="U178" s="11">
        <v>1</v>
      </c>
      <c r="V178" s="12">
        <f>T178*U178</f>
        <v>38.29</v>
      </c>
      <c r="W178" s="13">
        <v>0</v>
      </c>
      <c r="X178" s="12">
        <f>V178-(V178/(1+W178))</f>
        <v>0</v>
      </c>
      <c r="Y178" s="12">
        <f>V178-X178</f>
        <v>38.29</v>
      </c>
      <c r="Z178" s="14">
        <v>25</v>
      </c>
      <c r="AA178" s="2" t="str">
        <f>IF(V178&gt;Z178,"Yes","No")</f>
        <v>Yes</v>
      </c>
      <c r="AB178" s="12">
        <f>V178-Z178</f>
        <v>13.29</v>
      </c>
      <c r="AC178" s="15" t="s">
        <v>130</v>
      </c>
      <c r="AD178" s="15" t="s">
        <v>130</v>
      </c>
      <c r="AE178" s="15" t="s">
        <v>421</v>
      </c>
      <c r="AF178" s="12">
        <f>IF(AG178="Rejected",0,IF(R178="Corporate Card",0,V178))</f>
        <v>0</v>
      </c>
      <c r="AG178" s="15" t="s">
        <v>133</v>
      </c>
      <c r="AH178" s="16">
        <v>45696</v>
      </c>
      <c r="AI178" s="16">
        <v>45702</v>
      </c>
      <c r="AJ178" s="16">
        <v>45712</v>
      </c>
      <c r="AK178" s="17">
        <f>IF(AJ178="","",AJ178-AH178)</f>
        <v>16</v>
      </c>
    </row>
    <row r="179" spans="1:37">
      <c r="A179" s="2" t="s">
        <v>455</v>
      </c>
      <c r="B179" s="2" t="s">
        <v>412</v>
      </c>
      <c r="C179" s="2" t="s">
        <v>413</v>
      </c>
      <c r="D179" s="2" t="s">
        <v>414</v>
      </c>
      <c r="E179" s="2" t="s">
        <v>415</v>
      </c>
      <c r="F179" s="2" t="s">
        <v>313</v>
      </c>
      <c r="G179" s="2" t="s">
        <v>416</v>
      </c>
      <c r="H179" s="2" t="s">
        <v>417</v>
      </c>
      <c r="I179" s="2" t="s">
        <v>418</v>
      </c>
      <c r="J179" s="2" t="s">
        <v>381</v>
      </c>
      <c r="K179" s="9">
        <v>45677</v>
      </c>
      <c r="L179" s="9">
        <v>45684</v>
      </c>
      <c r="M179" s="9">
        <v>45678</v>
      </c>
      <c r="N179" s="2" t="s">
        <v>125</v>
      </c>
      <c r="O179" s="2" t="s">
        <v>55</v>
      </c>
      <c r="P179" s="2" t="s">
        <v>139</v>
      </c>
      <c r="Q179" s="2" t="s">
        <v>154</v>
      </c>
      <c r="R179" s="2" t="s">
        <v>128</v>
      </c>
      <c r="S179" s="2" t="s">
        <v>383</v>
      </c>
      <c r="T179" s="10">
        <v>39.53</v>
      </c>
      <c r="U179" s="11">
        <v>1</v>
      </c>
      <c r="V179" s="12">
        <f>T179*U179</f>
        <v>39.53</v>
      </c>
      <c r="W179" s="13">
        <v>0</v>
      </c>
      <c r="X179" s="12">
        <f>V179-(V179/(1+W179))</f>
        <v>0</v>
      </c>
      <c r="Y179" s="12">
        <f>V179-X179</f>
        <v>39.53</v>
      </c>
      <c r="Z179" s="14">
        <v>35</v>
      </c>
      <c r="AA179" s="2" t="str">
        <f>IF(V179&gt;Z179,"Yes","No")</f>
        <v>Yes</v>
      </c>
      <c r="AB179" s="12">
        <f>V179-Z179</f>
        <v>4.5300000000000011</v>
      </c>
      <c r="AC179" s="15" t="s">
        <v>130</v>
      </c>
      <c r="AD179" s="15" t="s">
        <v>130</v>
      </c>
      <c r="AE179" s="15" t="s">
        <v>421</v>
      </c>
      <c r="AF179" s="12">
        <f>IF(AG179="Rejected",0,IF(R179="Corporate Card",0,V179))</f>
        <v>0</v>
      </c>
      <c r="AG179" s="15" t="s">
        <v>133</v>
      </c>
      <c r="AH179" s="16">
        <v>45696</v>
      </c>
      <c r="AI179" s="16">
        <v>45702</v>
      </c>
      <c r="AJ179" s="16">
        <v>45712</v>
      </c>
      <c r="AK179" s="17">
        <f>IF(AJ179="","",AJ179-AH179)</f>
        <v>16</v>
      </c>
    </row>
    <row r="180" spans="1:37">
      <c r="A180" s="2" t="s">
        <v>456</v>
      </c>
      <c r="B180" s="2" t="s">
        <v>412</v>
      </c>
      <c r="C180" s="2" t="s">
        <v>413</v>
      </c>
      <c r="D180" s="2" t="s">
        <v>414</v>
      </c>
      <c r="E180" s="2" t="s">
        <v>415</v>
      </c>
      <c r="F180" s="2" t="s">
        <v>313</v>
      </c>
      <c r="G180" s="2" t="s">
        <v>432</v>
      </c>
      <c r="H180" s="2" t="s">
        <v>417</v>
      </c>
      <c r="I180" s="2" t="s">
        <v>433</v>
      </c>
      <c r="J180" s="2" t="s">
        <v>434</v>
      </c>
      <c r="K180" s="9">
        <v>45677</v>
      </c>
      <c r="L180" s="9">
        <v>45681</v>
      </c>
      <c r="M180" s="9">
        <v>45678</v>
      </c>
      <c r="N180" s="2" t="s">
        <v>125</v>
      </c>
      <c r="O180" s="2" t="s">
        <v>53</v>
      </c>
      <c r="P180" s="2" t="s">
        <v>457</v>
      </c>
      <c r="Q180" s="2" t="s">
        <v>458</v>
      </c>
      <c r="R180" s="2" t="s">
        <v>128</v>
      </c>
      <c r="S180" s="2" t="s">
        <v>436</v>
      </c>
      <c r="T180" s="10">
        <v>94342</v>
      </c>
      <c r="U180" s="11">
        <v>1.1780000000000001E-2</v>
      </c>
      <c r="V180" s="12">
        <f>T180*U180</f>
        <v>1111.3487600000001</v>
      </c>
      <c r="W180" s="13">
        <v>0.18</v>
      </c>
      <c r="X180" s="12">
        <f>V180-(V180/(1+W180))</f>
        <v>169.52777694915255</v>
      </c>
      <c r="Y180" s="12">
        <f>V180-X180</f>
        <v>941.82098305084753</v>
      </c>
      <c r="Z180" s="14">
        <v>1120</v>
      </c>
      <c r="AA180" s="2" t="str">
        <f>IF(V180&gt;Z180,"Yes","No")</f>
        <v>No</v>
      </c>
      <c r="AB180" s="12">
        <f>V180-Z180</f>
        <v>-8.6512399999999161</v>
      </c>
      <c r="AC180" s="15" t="s">
        <v>130</v>
      </c>
      <c r="AD180" s="15" t="s">
        <v>130</v>
      </c>
      <c r="AE180" s="15" t="s">
        <v>437</v>
      </c>
      <c r="AF180" s="12">
        <f>IF(AG180="Rejected",0,IF(R180="Corporate Card",0,V180))</f>
        <v>0</v>
      </c>
      <c r="AG180" s="15" t="s">
        <v>133</v>
      </c>
      <c r="AH180" s="16">
        <v>45693</v>
      </c>
      <c r="AI180" s="16">
        <v>45700</v>
      </c>
      <c r="AJ180" s="16">
        <v>45707</v>
      </c>
      <c r="AK180" s="17">
        <f>IF(AJ180="","",AJ180-AH180)</f>
        <v>14</v>
      </c>
    </row>
    <row r="181" spans="1:37">
      <c r="A181" s="2" t="s">
        <v>459</v>
      </c>
      <c r="B181" s="2" t="s">
        <v>412</v>
      </c>
      <c r="C181" s="2" t="s">
        <v>413</v>
      </c>
      <c r="D181" s="2" t="s">
        <v>414</v>
      </c>
      <c r="E181" s="2" t="s">
        <v>415</v>
      </c>
      <c r="F181" s="2" t="s">
        <v>313</v>
      </c>
      <c r="G181" s="2" t="s">
        <v>432</v>
      </c>
      <c r="H181" s="2" t="s">
        <v>417</v>
      </c>
      <c r="I181" s="2" t="s">
        <v>433</v>
      </c>
      <c r="J181" s="2" t="s">
        <v>434</v>
      </c>
      <c r="K181" s="9">
        <v>45677</v>
      </c>
      <c r="L181" s="9">
        <v>45681</v>
      </c>
      <c r="M181" s="9">
        <v>45678</v>
      </c>
      <c r="N181" s="2" t="s">
        <v>125</v>
      </c>
      <c r="O181" s="2" t="s">
        <v>65</v>
      </c>
      <c r="P181" s="2" t="s">
        <v>211</v>
      </c>
      <c r="Q181" s="2" t="s">
        <v>460</v>
      </c>
      <c r="R181" s="2" t="s">
        <v>137</v>
      </c>
      <c r="S181" s="2" t="s">
        <v>436</v>
      </c>
      <c r="T181" s="10">
        <v>4033</v>
      </c>
      <c r="U181" s="11">
        <v>1.1780000000000001E-2</v>
      </c>
      <c r="V181" s="12">
        <f>T181*U181</f>
        <v>47.508740000000003</v>
      </c>
      <c r="W181" s="13">
        <v>0.18</v>
      </c>
      <c r="X181" s="12">
        <f>V181-(V181/(1+W181))</f>
        <v>7.2470959322033863</v>
      </c>
      <c r="Y181" s="12">
        <f>V181-X181</f>
        <v>40.261644067796617</v>
      </c>
      <c r="Z181" s="14">
        <v>55</v>
      </c>
      <c r="AA181" s="2" t="str">
        <f>IF(V181&gt;Z181,"Yes","No")</f>
        <v>No</v>
      </c>
      <c r="AB181" s="12">
        <f>V181-Z181</f>
        <v>-7.4912599999999969</v>
      </c>
      <c r="AC181" s="15" t="s">
        <v>131</v>
      </c>
      <c r="AD181" s="15" t="s">
        <v>130</v>
      </c>
      <c r="AE181" s="15" t="s">
        <v>437</v>
      </c>
      <c r="AF181" s="12">
        <f>IF(AG181="Rejected",0,IF(R181="Corporate Card",0,V181))</f>
        <v>47.508740000000003</v>
      </c>
      <c r="AG181" s="15" t="s">
        <v>133</v>
      </c>
      <c r="AH181" s="16">
        <v>45693</v>
      </c>
      <c r="AI181" s="16">
        <v>45700</v>
      </c>
      <c r="AJ181" s="16">
        <v>45707</v>
      </c>
      <c r="AK181" s="17">
        <f>IF(AJ181="","",AJ181-AH181)</f>
        <v>14</v>
      </c>
    </row>
    <row r="182" spans="1:37">
      <c r="A182" s="2" t="s">
        <v>461</v>
      </c>
      <c r="B182" s="2" t="s">
        <v>412</v>
      </c>
      <c r="C182" s="2" t="s">
        <v>413</v>
      </c>
      <c r="D182" s="2" t="s">
        <v>414</v>
      </c>
      <c r="E182" s="2" t="s">
        <v>415</v>
      </c>
      <c r="F182" s="2" t="s">
        <v>313</v>
      </c>
      <c r="G182" s="2" t="s">
        <v>432</v>
      </c>
      <c r="H182" s="2" t="s">
        <v>417</v>
      </c>
      <c r="I182" s="2" t="s">
        <v>433</v>
      </c>
      <c r="J182" s="2" t="s">
        <v>434</v>
      </c>
      <c r="K182" s="9">
        <v>45677</v>
      </c>
      <c r="L182" s="9">
        <v>45681</v>
      </c>
      <c r="M182" s="9">
        <v>45678</v>
      </c>
      <c r="N182" s="2" t="s">
        <v>125</v>
      </c>
      <c r="O182" s="2" t="s">
        <v>56</v>
      </c>
      <c r="P182" s="2" t="s">
        <v>151</v>
      </c>
      <c r="Q182" s="2" t="s">
        <v>227</v>
      </c>
      <c r="R182" s="2" t="s">
        <v>128</v>
      </c>
      <c r="S182" s="2" t="s">
        <v>436</v>
      </c>
      <c r="T182" s="10">
        <v>3987</v>
      </c>
      <c r="U182" s="11">
        <v>1.1780000000000001E-2</v>
      </c>
      <c r="V182" s="12">
        <f>T182*U182</f>
        <v>46.966860000000004</v>
      </c>
      <c r="W182" s="13">
        <v>0.18</v>
      </c>
      <c r="X182" s="12">
        <f>V182-(V182/(1+W182))</f>
        <v>7.1644362711864389</v>
      </c>
      <c r="Y182" s="12">
        <f>V182-X182</f>
        <v>39.802423728813565</v>
      </c>
      <c r="Z182" s="14">
        <v>75</v>
      </c>
      <c r="AA182" s="2" t="str">
        <f>IF(V182&gt;Z182,"Yes","No")</f>
        <v>No</v>
      </c>
      <c r="AB182" s="12">
        <f>V182-Z182</f>
        <v>-28.033139999999996</v>
      </c>
      <c r="AC182" s="15" t="s">
        <v>130</v>
      </c>
      <c r="AD182" s="15" t="s">
        <v>130</v>
      </c>
      <c r="AE182" s="15" t="s">
        <v>437</v>
      </c>
      <c r="AF182" s="12">
        <f>IF(AG182="Rejected",0,IF(R182="Corporate Card",0,V182))</f>
        <v>0</v>
      </c>
      <c r="AG182" s="15" t="s">
        <v>133</v>
      </c>
      <c r="AH182" s="16">
        <v>45693</v>
      </c>
      <c r="AI182" s="16">
        <v>45700</v>
      </c>
      <c r="AJ182" s="16">
        <v>45707</v>
      </c>
      <c r="AK182" s="17">
        <f>IF(AJ182="","",AJ182-AH182)</f>
        <v>14</v>
      </c>
    </row>
    <row r="183" spans="1:37">
      <c r="A183" s="2" t="s">
        <v>462</v>
      </c>
      <c r="B183" s="2" t="s">
        <v>412</v>
      </c>
      <c r="C183" s="2" t="s">
        <v>413</v>
      </c>
      <c r="D183" s="2" t="s">
        <v>414</v>
      </c>
      <c r="E183" s="2" t="s">
        <v>415</v>
      </c>
      <c r="F183" s="2" t="s">
        <v>313</v>
      </c>
      <c r="G183" s="2" t="s">
        <v>432</v>
      </c>
      <c r="H183" s="2" t="s">
        <v>417</v>
      </c>
      <c r="I183" s="2" t="s">
        <v>433</v>
      </c>
      <c r="J183" s="2" t="s">
        <v>434</v>
      </c>
      <c r="K183" s="9">
        <v>45677</v>
      </c>
      <c r="L183" s="9">
        <v>45681</v>
      </c>
      <c r="M183" s="9">
        <v>45678</v>
      </c>
      <c r="N183" s="2" t="s">
        <v>125</v>
      </c>
      <c r="O183" s="2" t="s">
        <v>55</v>
      </c>
      <c r="P183" s="2" t="s">
        <v>139</v>
      </c>
      <c r="Q183" s="2" t="s">
        <v>187</v>
      </c>
      <c r="R183" s="2" t="s">
        <v>128</v>
      </c>
      <c r="S183" s="2" t="s">
        <v>436</v>
      </c>
      <c r="T183" s="10">
        <v>1706</v>
      </c>
      <c r="U183" s="11">
        <v>1.1780000000000001E-2</v>
      </c>
      <c r="V183" s="12">
        <f>T183*U183</f>
        <v>20.096679999999999</v>
      </c>
      <c r="W183" s="13">
        <v>0.18</v>
      </c>
      <c r="X183" s="12">
        <f>V183-(V183/(1+W183))</f>
        <v>3.0655952542372873</v>
      </c>
      <c r="Y183" s="12">
        <f>V183-X183</f>
        <v>17.031084745762712</v>
      </c>
      <c r="Z183" s="14">
        <v>35</v>
      </c>
      <c r="AA183" s="2" t="str">
        <f>IF(V183&gt;Z183,"Yes","No")</f>
        <v>No</v>
      </c>
      <c r="AB183" s="12">
        <f>V183-Z183</f>
        <v>-14.903320000000001</v>
      </c>
      <c r="AC183" s="15" t="s">
        <v>130</v>
      </c>
      <c r="AD183" s="15" t="s">
        <v>130</v>
      </c>
      <c r="AE183" s="15" t="s">
        <v>437</v>
      </c>
      <c r="AF183" s="12">
        <f>IF(AG183="Rejected",0,IF(R183="Corporate Card",0,V183))</f>
        <v>0</v>
      </c>
      <c r="AG183" s="15" t="s">
        <v>133</v>
      </c>
      <c r="AH183" s="16">
        <v>45693</v>
      </c>
      <c r="AI183" s="16">
        <v>45700</v>
      </c>
      <c r="AJ183" s="16">
        <v>45707</v>
      </c>
      <c r="AK183" s="17">
        <f>IF(AJ183="","",AJ183-AH183)</f>
        <v>14</v>
      </c>
    </row>
    <row r="184" spans="1:37">
      <c r="A184" s="2" t="s">
        <v>463</v>
      </c>
      <c r="B184" s="2" t="s">
        <v>442</v>
      </c>
      <c r="C184" s="2" t="s">
        <v>443</v>
      </c>
      <c r="D184" s="2" t="s">
        <v>444</v>
      </c>
      <c r="E184" s="2" t="s">
        <v>445</v>
      </c>
      <c r="F184" s="2" t="s">
        <v>446</v>
      </c>
      <c r="G184" s="2" t="s">
        <v>447</v>
      </c>
      <c r="H184" s="2" t="s">
        <v>448</v>
      </c>
      <c r="I184" s="2" t="s">
        <v>418</v>
      </c>
      <c r="J184" s="2" t="s">
        <v>381</v>
      </c>
      <c r="K184" s="9">
        <v>45677</v>
      </c>
      <c r="L184" s="9">
        <v>45683</v>
      </c>
      <c r="M184" s="9">
        <v>45678</v>
      </c>
      <c r="N184" s="2" t="s">
        <v>125</v>
      </c>
      <c r="O184" s="2" t="s">
        <v>59</v>
      </c>
      <c r="P184" s="2" t="s">
        <v>301</v>
      </c>
      <c r="Q184" s="2" t="s">
        <v>464</v>
      </c>
      <c r="R184" s="2" t="s">
        <v>128</v>
      </c>
      <c r="S184" s="2" t="s">
        <v>383</v>
      </c>
      <c r="T184" s="10">
        <v>105.44</v>
      </c>
      <c r="U184" s="11">
        <v>1</v>
      </c>
      <c r="V184" s="12">
        <f>T184*U184</f>
        <v>105.44</v>
      </c>
      <c r="W184" s="13">
        <v>0</v>
      </c>
      <c r="X184" s="12">
        <f>V184-(V184/(1+W184))</f>
        <v>0</v>
      </c>
      <c r="Y184" s="12">
        <f>V184-X184</f>
        <v>105.44</v>
      </c>
      <c r="Z184" s="14">
        <v>150</v>
      </c>
      <c r="AA184" s="2" t="str">
        <f>IF(V184&gt;Z184,"Yes","No")</f>
        <v>No</v>
      </c>
      <c r="AB184" s="12">
        <f>V184-Z184</f>
        <v>-44.56</v>
      </c>
      <c r="AC184" s="15" t="s">
        <v>130</v>
      </c>
      <c r="AD184" s="15" t="s">
        <v>131</v>
      </c>
      <c r="AE184" s="15" t="s">
        <v>350</v>
      </c>
      <c r="AF184" s="12">
        <f>IF(AG184="Rejected",0,IF(R184="Corporate Card",0,V184))</f>
        <v>0</v>
      </c>
      <c r="AG184" s="15" t="s">
        <v>133</v>
      </c>
      <c r="AH184" s="16">
        <v>45687</v>
      </c>
      <c r="AI184" s="16">
        <v>45693</v>
      </c>
      <c r="AJ184" s="16">
        <v>45700</v>
      </c>
      <c r="AK184" s="17">
        <f>IF(AJ184="","",AJ184-AH184)</f>
        <v>13</v>
      </c>
    </row>
    <row r="185" spans="1:37">
      <c r="A185" s="2" t="s">
        <v>465</v>
      </c>
      <c r="B185" s="2" t="s">
        <v>442</v>
      </c>
      <c r="C185" s="2" t="s">
        <v>443</v>
      </c>
      <c r="D185" s="2" t="s">
        <v>444</v>
      </c>
      <c r="E185" s="2" t="s">
        <v>445</v>
      </c>
      <c r="F185" s="2" t="s">
        <v>446</v>
      </c>
      <c r="G185" s="2" t="s">
        <v>447</v>
      </c>
      <c r="H185" s="2" t="s">
        <v>448</v>
      </c>
      <c r="I185" s="2" t="s">
        <v>418</v>
      </c>
      <c r="J185" s="2" t="s">
        <v>381</v>
      </c>
      <c r="K185" s="9">
        <v>45677</v>
      </c>
      <c r="L185" s="9">
        <v>45683</v>
      </c>
      <c r="M185" s="9">
        <v>45678</v>
      </c>
      <c r="N185" s="2" t="s">
        <v>125</v>
      </c>
      <c r="O185" s="2" t="s">
        <v>58</v>
      </c>
      <c r="P185" s="2" t="s">
        <v>142</v>
      </c>
      <c r="Q185" s="2" t="s">
        <v>203</v>
      </c>
      <c r="R185" s="2" t="s">
        <v>128</v>
      </c>
      <c r="S185" s="2" t="s">
        <v>383</v>
      </c>
      <c r="T185" s="10">
        <v>31.9</v>
      </c>
      <c r="U185" s="11">
        <v>1</v>
      </c>
      <c r="V185" s="12">
        <f>T185*U185</f>
        <v>31.9</v>
      </c>
      <c r="W185" s="13">
        <v>0</v>
      </c>
      <c r="X185" s="12">
        <f>V185-(V185/(1+W185))</f>
        <v>0</v>
      </c>
      <c r="Y185" s="12">
        <f>V185-X185</f>
        <v>31.9</v>
      </c>
      <c r="Z185" s="14">
        <v>60</v>
      </c>
      <c r="AA185" s="2" t="str">
        <f>IF(V185&gt;Z185,"Yes","No")</f>
        <v>No</v>
      </c>
      <c r="AB185" s="12">
        <f>V185-Z185</f>
        <v>-28.1</v>
      </c>
      <c r="AC185" s="15" t="s">
        <v>131</v>
      </c>
      <c r="AD185" s="15" t="s">
        <v>131</v>
      </c>
      <c r="AE185" s="15" t="s">
        <v>350</v>
      </c>
      <c r="AF185" s="12">
        <f>IF(AG185="Rejected",0,IF(R185="Corporate Card",0,V185))</f>
        <v>0</v>
      </c>
      <c r="AG185" s="15" t="s">
        <v>133</v>
      </c>
      <c r="AH185" s="16">
        <v>45687</v>
      </c>
      <c r="AI185" s="16">
        <v>45693</v>
      </c>
      <c r="AJ185" s="16">
        <v>45700</v>
      </c>
      <c r="AK185" s="17">
        <f>IF(AJ185="","",AJ185-AH185)</f>
        <v>13</v>
      </c>
    </row>
    <row r="186" spans="1:37">
      <c r="A186" s="2" t="s">
        <v>466</v>
      </c>
      <c r="B186" s="2" t="s">
        <v>442</v>
      </c>
      <c r="C186" s="2" t="s">
        <v>443</v>
      </c>
      <c r="D186" s="2" t="s">
        <v>444</v>
      </c>
      <c r="E186" s="2" t="s">
        <v>445</v>
      </c>
      <c r="F186" s="2" t="s">
        <v>446</v>
      </c>
      <c r="G186" s="2" t="s">
        <v>447</v>
      </c>
      <c r="H186" s="2" t="s">
        <v>448</v>
      </c>
      <c r="I186" s="2" t="s">
        <v>418</v>
      </c>
      <c r="J186" s="2" t="s">
        <v>381</v>
      </c>
      <c r="K186" s="9">
        <v>45677</v>
      </c>
      <c r="L186" s="9">
        <v>45683</v>
      </c>
      <c r="M186" s="9">
        <v>45678</v>
      </c>
      <c r="N186" s="2" t="s">
        <v>125</v>
      </c>
      <c r="O186" s="2" t="s">
        <v>53</v>
      </c>
      <c r="P186" s="2" t="s">
        <v>467</v>
      </c>
      <c r="Q186" s="2" t="s">
        <v>468</v>
      </c>
      <c r="R186" s="2" t="s">
        <v>128</v>
      </c>
      <c r="S186" s="2" t="s">
        <v>383</v>
      </c>
      <c r="T186" s="10">
        <v>745.81</v>
      </c>
      <c r="U186" s="11">
        <v>1</v>
      </c>
      <c r="V186" s="12">
        <f>T186*U186</f>
        <v>745.81</v>
      </c>
      <c r="W186" s="13">
        <v>0</v>
      </c>
      <c r="X186" s="12">
        <f>V186-(V186/(1+W186))</f>
        <v>0</v>
      </c>
      <c r="Y186" s="12">
        <f>V186-X186</f>
        <v>745.81</v>
      </c>
      <c r="Z186" s="14">
        <v>1680</v>
      </c>
      <c r="AA186" s="2" t="str">
        <f>IF(V186&gt;Z186,"Yes","No")</f>
        <v>No</v>
      </c>
      <c r="AB186" s="12">
        <f>V186-Z186</f>
        <v>-934.19</v>
      </c>
      <c r="AC186" s="15" t="s">
        <v>130</v>
      </c>
      <c r="AD186" s="15" t="s">
        <v>131</v>
      </c>
      <c r="AE186" s="15" t="s">
        <v>350</v>
      </c>
      <c r="AF186" s="12">
        <f>IF(AG186="Rejected",0,IF(R186="Corporate Card",0,V186))</f>
        <v>0</v>
      </c>
      <c r="AG186" s="15" t="s">
        <v>133</v>
      </c>
      <c r="AH186" s="16">
        <v>45687</v>
      </c>
      <c r="AI186" s="16">
        <v>45693</v>
      </c>
      <c r="AJ186" s="16">
        <v>45700</v>
      </c>
      <c r="AK186" s="17">
        <f>IF(AJ186="","",AJ186-AH186)</f>
        <v>13</v>
      </c>
    </row>
    <row r="187" spans="1:37">
      <c r="A187" s="2" t="s">
        <v>469</v>
      </c>
      <c r="B187" s="2" t="s">
        <v>442</v>
      </c>
      <c r="C187" s="2" t="s">
        <v>443</v>
      </c>
      <c r="D187" s="2" t="s">
        <v>444</v>
      </c>
      <c r="E187" s="2" t="s">
        <v>445</v>
      </c>
      <c r="F187" s="2" t="s">
        <v>446</v>
      </c>
      <c r="G187" s="2" t="s">
        <v>447</v>
      </c>
      <c r="H187" s="2" t="s">
        <v>448</v>
      </c>
      <c r="I187" s="2" t="s">
        <v>418</v>
      </c>
      <c r="J187" s="2" t="s">
        <v>381</v>
      </c>
      <c r="K187" s="9">
        <v>45677</v>
      </c>
      <c r="L187" s="9">
        <v>45683</v>
      </c>
      <c r="M187" s="9">
        <v>45678</v>
      </c>
      <c r="N187" s="2" t="s">
        <v>125</v>
      </c>
      <c r="O187" s="2" t="s">
        <v>54</v>
      </c>
      <c r="P187" s="2" t="s">
        <v>139</v>
      </c>
      <c r="Q187" s="2" t="s">
        <v>148</v>
      </c>
      <c r="R187" s="2" t="s">
        <v>149</v>
      </c>
      <c r="S187" s="2" t="s">
        <v>383</v>
      </c>
      <c r="T187" s="10">
        <v>15.4</v>
      </c>
      <c r="U187" s="11">
        <v>1</v>
      </c>
      <c r="V187" s="12">
        <f>T187*U187</f>
        <v>15.4</v>
      </c>
      <c r="W187" s="13">
        <v>0</v>
      </c>
      <c r="X187" s="12">
        <f>V187-(V187/(1+W187))</f>
        <v>0</v>
      </c>
      <c r="Y187" s="12">
        <f>V187-X187</f>
        <v>15.4</v>
      </c>
      <c r="Z187" s="14">
        <v>25</v>
      </c>
      <c r="AA187" s="2" t="str">
        <f>IF(V187&gt;Z187,"Yes","No")</f>
        <v>No</v>
      </c>
      <c r="AB187" s="12">
        <f>V187-Z187</f>
        <v>-9.6</v>
      </c>
      <c r="AC187" s="15" t="s">
        <v>130</v>
      </c>
      <c r="AD187" s="15" t="s">
        <v>131</v>
      </c>
      <c r="AE187" s="15" t="s">
        <v>350</v>
      </c>
      <c r="AF187" s="12">
        <f>IF(AG187="Rejected",0,IF(R187="Corporate Card",0,V187))</f>
        <v>15.4</v>
      </c>
      <c r="AG187" s="15" t="s">
        <v>133</v>
      </c>
      <c r="AH187" s="16">
        <v>45687</v>
      </c>
      <c r="AI187" s="16">
        <v>45693</v>
      </c>
      <c r="AJ187" s="16">
        <v>45700</v>
      </c>
      <c r="AK187" s="17">
        <f>IF(AJ187="","",AJ187-AH187)</f>
        <v>13</v>
      </c>
    </row>
    <row r="188" spans="1:37">
      <c r="A188" s="2" t="s">
        <v>470</v>
      </c>
      <c r="B188" s="2" t="s">
        <v>442</v>
      </c>
      <c r="C188" s="2" t="s">
        <v>443</v>
      </c>
      <c r="D188" s="2" t="s">
        <v>444</v>
      </c>
      <c r="E188" s="2" t="s">
        <v>445</v>
      </c>
      <c r="F188" s="2" t="s">
        <v>446</v>
      </c>
      <c r="G188" s="2" t="s">
        <v>447</v>
      </c>
      <c r="H188" s="2" t="s">
        <v>448</v>
      </c>
      <c r="I188" s="2" t="s">
        <v>418</v>
      </c>
      <c r="J188" s="2" t="s">
        <v>381</v>
      </c>
      <c r="K188" s="9">
        <v>45677</v>
      </c>
      <c r="L188" s="9">
        <v>45683</v>
      </c>
      <c r="M188" s="9">
        <v>45678</v>
      </c>
      <c r="N188" s="2" t="s">
        <v>125</v>
      </c>
      <c r="O188" s="2" t="s">
        <v>56</v>
      </c>
      <c r="P188" s="2" t="s">
        <v>231</v>
      </c>
      <c r="Q188" s="2" t="s">
        <v>227</v>
      </c>
      <c r="R188" s="2" t="s">
        <v>149</v>
      </c>
      <c r="S188" s="2" t="s">
        <v>383</v>
      </c>
      <c r="T188" s="10">
        <v>68.2</v>
      </c>
      <c r="U188" s="11">
        <v>1</v>
      </c>
      <c r="V188" s="12">
        <f>T188*U188</f>
        <v>68.2</v>
      </c>
      <c r="W188" s="13">
        <v>0</v>
      </c>
      <c r="X188" s="12">
        <f>V188-(V188/(1+W188))</f>
        <v>0</v>
      </c>
      <c r="Y188" s="12">
        <f>V188-X188</f>
        <v>68.2</v>
      </c>
      <c r="Z188" s="14">
        <v>75</v>
      </c>
      <c r="AA188" s="2" t="str">
        <f>IF(V188&gt;Z188,"Yes","No")</f>
        <v>No</v>
      </c>
      <c r="AB188" s="12">
        <f>V188-Z188</f>
        <v>-6.7999999999999972</v>
      </c>
      <c r="AC188" s="15" t="s">
        <v>130</v>
      </c>
      <c r="AD188" s="15" t="s">
        <v>131</v>
      </c>
      <c r="AE188" s="15" t="s">
        <v>350</v>
      </c>
      <c r="AF188" s="12">
        <f>IF(AG188="Rejected",0,IF(R188="Corporate Card",0,V188))</f>
        <v>68.2</v>
      </c>
      <c r="AG188" s="15" t="s">
        <v>133</v>
      </c>
      <c r="AH188" s="16">
        <v>45687</v>
      </c>
      <c r="AI188" s="16">
        <v>45693</v>
      </c>
      <c r="AJ188" s="16">
        <v>45700</v>
      </c>
      <c r="AK188" s="17">
        <f>IF(AJ188="","",AJ188-AH188)</f>
        <v>13</v>
      </c>
    </row>
    <row r="189" spans="1:37">
      <c r="A189" s="2" t="s">
        <v>471</v>
      </c>
      <c r="B189" s="2" t="s">
        <v>442</v>
      </c>
      <c r="C189" s="2" t="s">
        <v>443</v>
      </c>
      <c r="D189" s="2" t="s">
        <v>444</v>
      </c>
      <c r="E189" s="2" t="s">
        <v>445</v>
      </c>
      <c r="F189" s="2" t="s">
        <v>446</v>
      </c>
      <c r="G189" s="2" t="s">
        <v>447</v>
      </c>
      <c r="H189" s="2" t="s">
        <v>448</v>
      </c>
      <c r="I189" s="2" t="s">
        <v>418</v>
      </c>
      <c r="J189" s="2" t="s">
        <v>381</v>
      </c>
      <c r="K189" s="9">
        <v>45677</v>
      </c>
      <c r="L189" s="9">
        <v>45683</v>
      </c>
      <c r="M189" s="9">
        <v>45678</v>
      </c>
      <c r="N189" s="2" t="s">
        <v>125</v>
      </c>
      <c r="O189" s="2" t="s">
        <v>55</v>
      </c>
      <c r="P189" s="2" t="s">
        <v>139</v>
      </c>
      <c r="Q189" s="2" t="s">
        <v>187</v>
      </c>
      <c r="R189" s="2" t="s">
        <v>128</v>
      </c>
      <c r="S189" s="2" t="s">
        <v>383</v>
      </c>
      <c r="T189" s="10">
        <v>40.64</v>
      </c>
      <c r="U189" s="11">
        <v>1</v>
      </c>
      <c r="V189" s="12">
        <f>T189*U189</f>
        <v>40.64</v>
      </c>
      <c r="W189" s="13">
        <v>0</v>
      </c>
      <c r="X189" s="12">
        <f>V189-(V189/(1+W189))</f>
        <v>0</v>
      </c>
      <c r="Y189" s="12">
        <f>V189-X189</f>
        <v>40.64</v>
      </c>
      <c r="Z189" s="14">
        <v>35</v>
      </c>
      <c r="AA189" s="2" t="str">
        <f>IF(V189&gt;Z189,"Yes","No")</f>
        <v>Yes</v>
      </c>
      <c r="AB189" s="12">
        <f>V189-Z189</f>
        <v>5.6400000000000006</v>
      </c>
      <c r="AC189" s="15" t="s">
        <v>130</v>
      </c>
      <c r="AD189" s="15" t="s">
        <v>131</v>
      </c>
      <c r="AE189" s="15" t="s">
        <v>350</v>
      </c>
      <c r="AF189" s="12">
        <f>IF(AG189="Rejected",0,IF(R189="Corporate Card",0,V189))</f>
        <v>0</v>
      </c>
      <c r="AG189" s="15" t="s">
        <v>133</v>
      </c>
      <c r="AH189" s="16">
        <v>45687</v>
      </c>
      <c r="AI189" s="16">
        <v>45693</v>
      </c>
      <c r="AJ189" s="16">
        <v>45700</v>
      </c>
      <c r="AK189" s="17">
        <f>IF(AJ189="","",AJ189-AH189)</f>
        <v>13</v>
      </c>
    </row>
    <row r="190" spans="1:37">
      <c r="A190" s="2" t="s">
        <v>472</v>
      </c>
      <c r="B190" s="2" t="s">
        <v>412</v>
      </c>
      <c r="C190" s="2" t="s">
        <v>413</v>
      </c>
      <c r="D190" s="2" t="s">
        <v>414</v>
      </c>
      <c r="E190" s="2" t="s">
        <v>415</v>
      </c>
      <c r="F190" s="2" t="s">
        <v>313</v>
      </c>
      <c r="G190" s="2" t="s">
        <v>416</v>
      </c>
      <c r="H190" s="2" t="s">
        <v>417</v>
      </c>
      <c r="I190" s="2" t="s">
        <v>418</v>
      </c>
      <c r="J190" s="2" t="s">
        <v>381</v>
      </c>
      <c r="K190" s="9">
        <v>45677</v>
      </c>
      <c r="L190" s="9">
        <v>45684</v>
      </c>
      <c r="M190" s="9">
        <v>45679</v>
      </c>
      <c r="N190" s="2" t="s">
        <v>125</v>
      </c>
      <c r="O190" s="2" t="s">
        <v>58</v>
      </c>
      <c r="P190" s="2" t="s">
        <v>142</v>
      </c>
      <c r="Q190" s="2" t="s">
        <v>143</v>
      </c>
      <c r="R190" s="2" t="s">
        <v>149</v>
      </c>
      <c r="S190" s="2" t="s">
        <v>383</v>
      </c>
      <c r="T190" s="10">
        <v>58.15</v>
      </c>
      <c r="U190" s="11">
        <v>1</v>
      </c>
      <c r="V190" s="12">
        <f>T190*U190</f>
        <v>58.15</v>
      </c>
      <c r="W190" s="13">
        <v>0</v>
      </c>
      <c r="X190" s="12">
        <f>V190-(V190/(1+W190))</f>
        <v>0</v>
      </c>
      <c r="Y190" s="12">
        <f>V190-X190</f>
        <v>58.15</v>
      </c>
      <c r="Z190" s="14">
        <v>60</v>
      </c>
      <c r="AA190" s="2" t="str">
        <f>IF(V190&gt;Z190,"Yes","No")</f>
        <v>No</v>
      </c>
      <c r="AB190" s="12">
        <f>V190-Z190</f>
        <v>-1.8500000000000014</v>
      </c>
      <c r="AC190" s="15" t="s">
        <v>131</v>
      </c>
      <c r="AD190" s="15" t="s">
        <v>130</v>
      </c>
      <c r="AE190" s="15" t="s">
        <v>421</v>
      </c>
      <c r="AF190" s="12">
        <f>IF(AG190="Rejected",0,IF(R190="Corporate Card",0,V190))</f>
        <v>58.15</v>
      </c>
      <c r="AG190" s="15" t="s">
        <v>133</v>
      </c>
      <c r="AH190" s="16">
        <v>45696</v>
      </c>
      <c r="AI190" s="16">
        <v>45702</v>
      </c>
      <c r="AJ190" s="16">
        <v>45712</v>
      </c>
      <c r="AK190" s="17">
        <f>IF(AJ190="","",AJ190-AH190)</f>
        <v>16</v>
      </c>
    </row>
    <row r="191" spans="1:37">
      <c r="A191" s="2" t="s">
        <v>473</v>
      </c>
      <c r="B191" s="2" t="s">
        <v>412</v>
      </c>
      <c r="C191" s="2" t="s">
        <v>413</v>
      </c>
      <c r="D191" s="2" t="s">
        <v>414</v>
      </c>
      <c r="E191" s="2" t="s">
        <v>415</v>
      </c>
      <c r="F191" s="2" t="s">
        <v>313</v>
      </c>
      <c r="G191" s="2" t="s">
        <v>416</v>
      </c>
      <c r="H191" s="2" t="s">
        <v>417</v>
      </c>
      <c r="I191" s="2" t="s">
        <v>418</v>
      </c>
      <c r="J191" s="2" t="s">
        <v>381</v>
      </c>
      <c r="K191" s="9">
        <v>45677</v>
      </c>
      <c r="L191" s="9">
        <v>45684</v>
      </c>
      <c r="M191" s="9">
        <v>45679</v>
      </c>
      <c r="N191" s="2" t="s">
        <v>125</v>
      </c>
      <c r="O191" s="2" t="s">
        <v>54</v>
      </c>
      <c r="P191" s="2" t="s">
        <v>139</v>
      </c>
      <c r="Q191" s="2" t="s">
        <v>140</v>
      </c>
      <c r="R191" s="2" t="s">
        <v>128</v>
      </c>
      <c r="S191" s="2" t="s">
        <v>383</v>
      </c>
      <c r="T191" s="10">
        <v>11.58</v>
      </c>
      <c r="U191" s="11">
        <v>1</v>
      </c>
      <c r="V191" s="12">
        <f>T191*U191</f>
        <v>11.58</v>
      </c>
      <c r="W191" s="13">
        <v>0</v>
      </c>
      <c r="X191" s="12">
        <f>V191-(V191/(1+W191))</f>
        <v>0</v>
      </c>
      <c r="Y191" s="12">
        <f>V191-X191</f>
        <v>11.58</v>
      </c>
      <c r="Z191" s="14">
        <v>25</v>
      </c>
      <c r="AA191" s="2" t="str">
        <f>IF(V191&gt;Z191,"Yes","No")</f>
        <v>No</v>
      </c>
      <c r="AB191" s="12">
        <f>V191-Z191</f>
        <v>-13.42</v>
      </c>
      <c r="AC191" s="15" t="s">
        <v>130</v>
      </c>
      <c r="AD191" s="15" t="s">
        <v>130</v>
      </c>
      <c r="AE191" s="15" t="s">
        <v>421</v>
      </c>
      <c r="AF191" s="12">
        <f>IF(AG191="Rejected",0,IF(R191="Corporate Card",0,V191))</f>
        <v>0</v>
      </c>
      <c r="AG191" s="15" t="s">
        <v>133</v>
      </c>
      <c r="AH191" s="16">
        <v>45696</v>
      </c>
      <c r="AI191" s="16">
        <v>45702</v>
      </c>
      <c r="AJ191" s="16">
        <v>45712</v>
      </c>
      <c r="AK191" s="17">
        <f>IF(AJ191="","",AJ191-AH191)</f>
        <v>16</v>
      </c>
    </row>
    <row r="192" spans="1:37">
      <c r="A192" s="2" t="s">
        <v>474</v>
      </c>
      <c r="B192" s="2" t="s">
        <v>412</v>
      </c>
      <c r="C192" s="2" t="s">
        <v>413</v>
      </c>
      <c r="D192" s="2" t="s">
        <v>414</v>
      </c>
      <c r="E192" s="2" t="s">
        <v>415</v>
      </c>
      <c r="F192" s="2" t="s">
        <v>313</v>
      </c>
      <c r="G192" s="2" t="s">
        <v>416</v>
      </c>
      <c r="H192" s="2" t="s">
        <v>417</v>
      </c>
      <c r="I192" s="2" t="s">
        <v>418</v>
      </c>
      <c r="J192" s="2" t="s">
        <v>381</v>
      </c>
      <c r="K192" s="9">
        <v>45677</v>
      </c>
      <c r="L192" s="9">
        <v>45684</v>
      </c>
      <c r="M192" s="9">
        <v>45679</v>
      </c>
      <c r="N192" s="2" t="s">
        <v>125</v>
      </c>
      <c r="O192" s="2" t="s">
        <v>56</v>
      </c>
      <c r="P192" s="2" t="s">
        <v>231</v>
      </c>
      <c r="Q192" s="2" t="s">
        <v>185</v>
      </c>
      <c r="R192" s="2" t="s">
        <v>128</v>
      </c>
      <c r="S192" s="2" t="s">
        <v>383</v>
      </c>
      <c r="T192" s="10">
        <v>42.16</v>
      </c>
      <c r="U192" s="11">
        <v>1</v>
      </c>
      <c r="V192" s="12">
        <f>T192*U192</f>
        <v>42.16</v>
      </c>
      <c r="W192" s="13">
        <v>0</v>
      </c>
      <c r="X192" s="12">
        <f>V192-(V192/(1+W192))</f>
        <v>0</v>
      </c>
      <c r="Y192" s="12">
        <f>V192-X192</f>
        <v>42.16</v>
      </c>
      <c r="Z192" s="14">
        <v>75</v>
      </c>
      <c r="AA192" s="2" t="str">
        <f>IF(V192&gt;Z192,"Yes","No")</f>
        <v>No</v>
      </c>
      <c r="AB192" s="12">
        <f>V192-Z192</f>
        <v>-32.840000000000003</v>
      </c>
      <c r="AC192" s="15" t="s">
        <v>130</v>
      </c>
      <c r="AD192" s="15" t="s">
        <v>130</v>
      </c>
      <c r="AE192" s="15" t="s">
        <v>421</v>
      </c>
      <c r="AF192" s="12">
        <f>IF(AG192="Rejected",0,IF(R192="Corporate Card",0,V192))</f>
        <v>0</v>
      </c>
      <c r="AG192" s="15" t="s">
        <v>133</v>
      </c>
      <c r="AH192" s="16">
        <v>45696</v>
      </c>
      <c r="AI192" s="16">
        <v>45702</v>
      </c>
      <c r="AJ192" s="16">
        <v>45712</v>
      </c>
      <c r="AK192" s="17">
        <f>IF(AJ192="","",AJ192-AH192)</f>
        <v>16</v>
      </c>
    </row>
    <row r="193" spans="1:37">
      <c r="A193" s="2" t="s">
        <v>475</v>
      </c>
      <c r="B193" s="2" t="s">
        <v>412</v>
      </c>
      <c r="C193" s="2" t="s">
        <v>413</v>
      </c>
      <c r="D193" s="2" t="s">
        <v>414</v>
      </c>
      <c r="E193" s="2" t="s">
        <v>415</v>
      </c>
      <c r="F193" s="2" t="s">
        <v>313</v>
      </c>
      <c r="G193" s="2" t="s">
        <v>416</v>
      </c>
      <c r="H193" s="2" t="s">
        <v>417</v>
      </c>
      <c r="I193" s="2" t="s">
        <v>418</v>
      </c>
      <c r="J193" s="2" t="s">
        <v>381</v>
      </c>
      <c r="K193" s="9">
        <v>45677</v>
      </c>
      <c r="L193" s="9">
        <v>45684</v>
      </c>
      <c r="M193" s="9">
        <v>45679</v>
      </c>
      <c r="N193" s="2" t="s">
        <v>125</v>
      </c>
      <c r="O193" s="2" t="s">
        <v>55</v>
      </c>
      <c r="P193" s="2" t="s">
        <v>139</v>
      </c>
      <c r="Q193" s="2" t="s">
        <v>217</v>
      </c>
      <c r="R193" s="2" t="s">
        <v>128</v>
      </c>
      <c r="S193" s="2" t="s">
        <v>383</v>
      </c>
      <c r="T193" s="10">
        <v>18.7</v>
      </c>
      <c r="U193" s="11">
        <v>1</v>
      </c>
      <c r="V193" s="12">
        <f>T193*U193</f>
        <v>18.7</v>
      </c>
      <c r="W193" s="13">
        <v>0</v>
      </c>
      <c r="X193" s="12">
        <f>V193-(V193/(1+W193))</f>
        <v>0</v>
      </c>
      <c r="Y193" s="12">
        <f>V193-X193</f>
        <v>18.7</v>
      </c>
      <c r="Z193" s="14">
        <v>35</v>
      </c>
      <c r="AA193" s="2" t="str">
        <f>IF(V193&gt;Z193,"Yes","No")</f>
        <v>No</v>
      </c>
      <c r="AB193" s="12">
        <f>V193-Z193</f>
        <v>-16.3</v>
      </c>
      <c r="AC193" s="15" t="s">
        <v>130</v>
      </c>
      <c r="AD193" s="15" t="s">
        <v>130</v>
      </c>
      <c r="AE193" s="15" t="s">
        <v>421</v>
      </c>
      <c r="AF193" s="12">
        <f>IF(AG193="Rejected",0,IF(R193="Corporate Card",0,V193))</f>
        <v>0</v>
      </c>
      <c r="AG193" s="15" t="s">
        <v>133</v>
      </c>
      <c r="AH193" s="16">
        <v>45696</v>
      </c>
      <c r="AI193" s="16">
        <v>45702</v>
      </c>
      <c r="AJ193" s="16">
        <v>45712</v>
      </c>
      <c r="AK193" s="17">
        <f>IF(AJ193="","",AJ193-AH193)</f>
        <v>16</v>
      </c>
    </row>
    <row r="194" spans="1:37">
      <c r="A194" s="2" t="s">
        <v>476</v>
      </c>
      <c r="B194" s="2" t="s">
        <v>412</v>
      </c>
      <c r="C194" s="2" t="s">
        <v>413</v>
      </c>
      <c r="D194" s="2" t="s">
        <v>414</v>
      </c>
      <c r="E194" s="2" t="s">
        <v>415</v>
      </c>
      <c r="F194" s="2" t="s">
        <v>313</v>
      </c>
      <c r="G194" s="2" t="s">
        <v>432</v>
      </c>
      <c r="H194" s="2" t="s">
        <v>417</v>
      </c>
      <c r="I194" s="2" t="s">
        <v>433</v>
      </c>
      <c r="J194" s="2" t="s">
        <v>434</v>
      </c>
      <c r="K194" s="9">
        <v>45677</v>
      </c>
      <c r="L194" s="9">
        <v>45681</v>
      </c>
      <c r="M194" s="9">
        <v>45679</v>
      </c>
      <c r="N194" s="2" t="s">
        <v>125</v>
      </c>
      <c r="O194" s="2" t="s">
        <v>54</v>
      </c>
      <c r="P194" s="2" t="s">
        <v>139</v>
      </c>
      <c r="Q194" s="2" t="s">
        <v>163</v>
      </c>
      <c r="R194" s="2" t="s">
        <v>128</v>
      </c>
      <c r="S194" s="2" t="s">
        <v>436</v>
      </c>
      <c r="T194" s="10">
        <v>1099</v>
      </c>
      <c r="U194" s="11">
        <v>1.1780000000000001E-2</v>
      </c>
      <c r="V194" s="12">
        <f>T194*U194</f>
        <v>12.94622</v>
      </c>
      <c r="W194" s="13">
        <v>0.18</v>
      </c>
      <c r="X194" s="12">
        <f>V194-(V194/(1+W194))</f>
        <v>1.9748471186440675</v>
      </c>
      <c r="Y194" s="12">
        <f>V194-X194</f>
        <v>10.971372881355933</v>
      </c>
      <c r="Z194" s="14">
        <v>25</v>
      </c>
      <c r="AA194" s="2" t="str">
        <f>IF(V194&gt;Z194,"Yes","No")</f>
        <v>No</v>
      </c>
      <c r="AB194" s="12">
        <f>V194-Z194</f>
        <v>-12.05378</v>
      </c>
      <c r="AC194" s="15" t="s">
        <v>130</v>
      </c>
      <c r="AD194" s="15" t="s">
        <v>130</v>
      </c>
      <c r="AE194" s="15" t="s">
        <v>437</v>
      </c>
      <c r="AF194" s="12">
        <f>IF(AG194="Rejected",0,IF(R194="Corporate Card",0,V194))</f>
        <v>0</v>
      </c>
      <c r="AG194" s="15" t="s">
        <v>133</v>
      </c>
      <c r="AH194" s="16">
        <v>45693</v>
      </c>
      <c r="AI194" s="16">
        <v>45700</v>
      </c>
      <c r="AJ194" s="16">
        <v>45707</v>
      </c>
      <c r="AK194" s="17">
        <f>IF(AJ194="","",AJ194-AH194)</f>
        <v>14</v>
      </c>
    </row>
    <row r="195" spans="1:37">
      <c r="A195" s="2" t="s">
        <v>477</v>
      </c>
      <c r="B195" s="2" t="s">
        <v>412</v>
      </c>
      <c r="C195" s="2" t="s">
        <v>413</v>
      </c>
      <c r="D195" s="2" t="s">
        <v>414</v>
      </c>
      <c r="E195" s="2" t="s">
        <v>415</v>
      </c>
      <c r="F195" s="2" t="s">
        <v>313</v>
      </c>
      <c r="G195" s="2" t="s">
        <v>432</v>
      </c>
      <c r="H195" s="2" t="s">
        <v>417</v>
      </c>
      <c r="I195" s="2" t="s">
        <v>433</v>
      </c>
      <c r="J195" s="2" t="s">
        <v>434</v>
      </c>
      <c r="K195" s="9">
        <v>45677</v>
      </c>
      <c r="L195" s="9">
        <v>45681</v>
      </c>
      <c r="M195" s="9">
        <v>45679</v>
      </c>
      <c r="N195" s="2" t="s">
        <v>125</v>
      </c>
      <c r="O195" s="2" t="s">
        <v>56</v>
      </c>
      <c r="P195" s="2" t="s">
        <v>245</v>
      </c>
      <c r="Q195" s="2" t="s">
        <v>159</v>
      </c>
      <c r="R195" s="2" t="s">
        <v>149</v>
      </c>
      <c r="S195" s="2" t="s">
        <v>436</v>
      </c>
      <c r="T195" s="10">
        <v>2716</v>
      </c>
      <c r="U195" s="11">
        <v>1.1780000000000001E-2</v>
      </c>
      <c r="V195" s="12">
        <f>T195*U195</f>
        <v>31.994480000000003</v>
      </c>
      <c r="W195" s="13">
        <v>0.18</v>
      </c>
      <c r="X195" s="12">
        <f>V195-(V195/(1+W195))</f>
        <v>4.8805138983050824</v>
      </c>
      <c r="Y195" s="12">
        <f>V195-X195</f>
        <v>27.11396610169492</v>
      </c>
      <c r="Z195" s="14">
        <v>75</v>
      </c>
      <c r="AA195" s="2" t="str">
        <f>IF(V195&gt;Z195,"Yes","No")</f>
        <v>No</v>
      </c>
      <c r="AB195" s="12">
        <f>V195-Z195</f>
        <v>-43.005519999999997</v>
      </c>
      <c r="AC195" s="15" t="s">
        <v>130</v>
      </c>
      <c r="AD195" s="15" t="s">
        <v>130</v>
      </c>
      <c r="AE195" s="15" t="s">
        <v>437</v>
      </c>
      <c r="AF195" s="12">
        <f>IF(AG195="Rejected",0,IF(R195="Corporate Card",0,V195))</f>
        <v>31.994480000000003</v>
      </c>
      <c r="AG195" s="15" t="s">
        <v>133</v>
      </c>
      <c r="AH195" s="16">
        <v>45693</v>
      </c>
      <c r="AI195" s="16">
        <v>45700</v>
      </c>
      <c r="AJ195" s="16">
        <v>45707</v>
      </c>
      <c r="AK195" s="17">
        <f>IF(AJ195="","",AJ195-AH195)</f>
        <v>14</v>
      </c>
    </row>
    <row r="196" spans="1:37">
      <c r="A196" s="2" t="s">
        <v>478</v>
      </c>
      <c r="B196" s="2" t="s">
        <v>442</v>
      </c>
      <c r="C196" s="2" t="s">
        <v>443</v>
      </c>
      <c r="D196" s="2" t="s">
        <v>444</v>
      </c>
      <c r="E196" s="2" t="s">
        <v>445</v>
      </c>
      <c r="F196" s="2" t="s">
        <v>446</v>
      </c>
      <c r="G196" s="2" t="s">
        <v>447</v>
      </c>
      <c r="H196" s="2" t="s">
        <v>448</v>
      </c>
      <c r="I196" s="2" t="s">
        <v>418</v>
      </c>
      <c r="J196" s="2" t="s">
        <v>381</v>
      </c>
      <c r="K196" s="9">
        <v>45677</v>
      </c>
      <c r="L196" s="9">
        <v>45683</v>
      </c>
      <c r="M196" s="9">
        <v>45679</v>
      </c>
      <c r="N196" s="2" t="s">
        <v>125</v>
      </c>
      <c r="O196" s="2" t="s">
        <v>58</v>
      </c>
      <c r="P196" s="2" t="s">
        <v>142</v>
      </c>
      <c r="Q196" s="2" t="s">
        <v>203</v>
      </c>
      <c r="R196" s="2" t="s">
        <v>128</v>
      </c>
      <c r="S196" s="2" t="s">
        <v>383</v>
      </c>
      <c r="T196" s="10">
        <v>39.200000000000003</v>
      </c>
      <c r="U196" s="11">
        <v>1</v>
      </c>
      <c r="V196" s="12">
        <f>T196*U196</f>
        <v>39.200000000000003</v>
      </c>
      <c r="W196" s="13">
        <v>0</v>
      </c>
      <c r="X196" s="12">
        <f>V196-(V196/(1+W196))</f>
        <v>0</v>
      </c>
      <c r="Y196" s="12">
        <f>V196-X196</f>
        <v>39.200000000000003</v>
      </c>
      <c r="Z196" s="14">
        <v>60</v>
      </c>
      <c r="AA196" s="2" t="str">
        <f>IF(V196&gt;Z196,"Yes","No")</f>
        <v>No</v>
      </c>
      <c r="AB196" s="12">
        <f>V196-Z196</f>
        <v>-20.799999999999997</v>
      </c>
      <c r="AC196" s="15" t="s">
        <v>130</v>
      </c>
      <c r="AD196" s="15" t="s">
        <v>131</v>
      </c>
      <c r="AE196" s="15" t="s">
        <v>350</v>
      </c>
      <c r="AF196" s="12">
        <f>IF(AG196="Rejected",0,IF(R196="Corporate Card",0,V196))</f>
        <v>0</v>
      </c>
      <c r="AG196" s="15" t="s">
        <v>133</v>
      </c>
      <c r="AH196" s="16">
        <v>45687</v>
      </c>
      <c r="AI196" s="16">
        <v>45693</v>
      </c>
      <c r="AJ196" s="16">
        <v>45700</v>
      </c>
      <c r="AK196" s="17">
        <f>IF(AJ196="","",AJ196-AH196)</f>
        <v>13</v>
      </c>
    </row>
    <row r="197" spans="1:37">
      <c r="A197" s="2" t="s">
        <v>479</v>
      </c>
      <c r="B197" s="2" t="s">
        <v>442</v>
      </c>
      <c r="C197" s="2" t="s">
        <v>443</v>
      </c>
      <c r="D197" s="2" t="s">
        <v>444</v>
      </c>
      <c r="E197" s="2" t="s">
        <v>445</v>
      </c>
      <c r="F197" s="2" t="s">
        <v>446</v>
      </c>
      <c r="G197" s="2" t="s">
        <v>447</v>
      </c>
      <c r="H197" s="2" t="s">
        <v>448</v>
      </c>
      <c r="I197" s="2" t="s">
        <v>418</v>
      </c>
      <c r="J197" s="2" t="s">
        <v>381</v>
      </c>
      <c r="K197" s="9">
        <v>45677</v>
      </c>
      <c r="L197" s="9">
        <v>45683</v>
      </c>
      <c r="M197" s="9">
        <v>45679</v>
      </c>
      <c r="N197" s="2" t="s">
        <v>125</v>
      </c>
      <c r="O197" s="2" t="s">
        <v>54</v>
      </c>
      <c r="P197" s="2" t="s">
        <v>139</v>
      </c>
      <c r="Q197" s="2" t="s">
        <v>148</v>
      </c>
      <c r="R197" s="2" t="s">
        <v>137</v>
      </c>
      <c r="S197" s="2" t="s">
        <v>383</v>
      </c>
      <c r="T197" s="10">
        <v>18.86</v>
      </c>
      <c r="U197" s="11">
        <v>1</v>
      </c>
      <c r="V197" s="12">
        <f>T197*U197</f>
        <v>18.86</v>
      </c>
      <c r="W197" s="13">
        <v>0</v>
      </c>
      <c r="X197" s="12">
        <f>V197-(V197/(1+W197))</f>
        <v>0</v>
      </c>
      <c r="Y197" s="12">
        <f>V197-X197</f>
        <v>18.86</v>
      </c>
      <c r="Z197" s="14">
        <v>25</v>
      </c>
      <c r="AA197" s="2" t="str">
        <f>IF(V197&gt;Z197,"Yes","No")</f>
        <v>No</v>
      </c>
      <c r="AB197" s="12">
        <f>V197-Z197</f>
        <v>-6.1400000000000006</v>
      </c>
      <c r="AC197" s="15" t="s">
        <v>130</v>
      </c>
      <c r="AD197" s="15" t="s">
        <v>131</v>
      </c>
      <c r="AE197" s="15" t="s">
        <v>350</v>
      </c>
      <c r="AF197" s="12">
        <f>IF(AG197="Rejected",0,IF(R197="Corporate Card",0,V197))</f>
        <v>18.86</v>
      </c>
      <c r="AG197" s="15" t="s">
        <v>133</v>
      </c>
      <c r="AH197" s="16">
        <v>45687</v>
      </c>
      <c r="AI197" s="16">
        <v>45693</v>
      </c>
      <c r="AJ197" s="16">
        <v>45700</v>
      </c>
      <c r="AK197" s="17">
        <f>IF(AJ197="","",AJ197-AH197)</f>
        <v>13</v>
      </c>
    </row>
    <row r="198" spans="1:37">
      <c r="A198" s="2" t="s">
        <v>480</v>
      </c>
      <c r="B198" s="2" t="s">
        <v>442</v>
      </c>
      <c r="C198" s="2" t="s">
        <v>443</v>
      </c>
      <c r="D198" s="2" t="s">
        <v>444</v>
      </c>
      <c r="E198" s="2" t="s">
        <v>445</v>
      </c>
      <c r="F198" s="2" t="s">
        <v>446</v>
      </c>
      <c r="G198" s="2" t="s">
        <v>447</v>
      </c>
      <c r="H198" s="2" t="s">
        <v>448</v>
      </c>
      <c r="I198" s="2" t="s">
        <v>418</v>
      </c>
      <c r="J198" s="2" t="s">
        <v>381</v>
      </c>
      <c r="K198" s="9">
        <v>45677</v>
      </c>
      <c r="L198" s="9">
        <v>45683</v>
      </c>
      <c r="M198" s="9">
        <v>45679</v>
      </c>
      <c r="N198" s="2" t="s">
        <v>125</v>
      </c>
      <c r="O198" s="2" t="s">
        <v>56</v>
      </c>
      <c r="P198" s="2" t="s">
        <v>245</v>
      </c>
      <c r="Q198" s="2" t="s">
        <v>152</v>
      </c>
      <c r="R198" s="2" t="s">
        <v>137</v>
      </c>
      <c r="S198" s="2" t="s">
        <v>383</v>
      </c>
      <c r="T198" s="10">
        <v>53.11</v>
      </c>
      <c r="U198" s="11">
        <v>1</v>
      </c>
      <c r="V198" s="12">
        <f>T198*U198</f>
        <v>53.11</v>
      </c>
      <c r="W198" s="13">
        <v>0</v>
      </c>
      <c r="X198" s="12">
        <f>V198-(V198/(1+W198))</f>
        <v>0</v>
      </c>
      <c r="Y198" s="12">
        <f>V198-X198</f>
        <v>53.11</v>
      </c>
      <c r="Z198" s="14">
        <v>75</v>
      </c>
      <c r="AA198" s="2" t="str">
        <f>IF(V198&gt;Z198,"Yes","No")</f>
        <v>No</v>
      </c>
      <c r="AB198" s="12">
        <f>V198-Z198</f>
        <v>-21.89</v>
      </c>
      <c r="AC198" s="15" t="s">
        <v>130</v>
      </c>
      <c r="AD198" s="15" t="s">
        <v>131</v>
      </c>
      <c r="AE198" s="15" t="s">
        <v>350</v>
      </c>
      <c r="AF198" s="12">
        <f>IF(AG198="Rejected",0,IF(R198="Corporate Card",0,V198))</f>
        <v>53.11</v>
      </c>
      <c r="AG198" s="15" t="s">
        <v>133</v>
      </c>
      <c r="AH198" s="16">
        <v>45687</v>
      </c>
      <c r="AI198" s="16">
        <v>45693</v>
      </c>
      <c r="AJ198" s="16">
        <v>45700</v>
      </c>
      <c r="AK198" s="17">
        <f>IF(AJ198="","",AJ198-AH198)</f>
        <v>13</v>
      </c>
    </row>
    <row r="199" spans="1:37">
      <c r="A199" s="2" t="s">
        <v>481</v>
      </c>
      <c r="B199" s="2" t="s">
        <v>310</v>
      </c>
      <c r="C199" s="2" t="s">
        <v>311</v>
      </c>
      <c r="D199" s="2" t="s">
        <v>118</v>
      </c>
      <c r="E199" s="2" t="s">
        <v>312</v>
      </c>
      <c r="F199" s="2" t="s">
        <v>313</v>
      </c>
      <c r="G199" s="2" t="s">
        <v>482</v>
      </c>
      <c r="H199" s="2" t="s">
        <v>254</v>
      </c>
      <c r="I199" s="2" t="s">
        <v>255</v>
      </c>
      <c r="J199" s="2" t="s">
        <v>256</v>
      </c>
      <c r="K199" s="9">
        <v>45680</v>
      </c>
      <c r="L199" s="9">
        <v>45684</v>
      </c>
      <c r="M199" s="9">
        <v>45680</v>
      </c>
      <c r="N199" s="2" t="s">
        <v>125</v>
      </c>
      <c r="O199" s="2" t="s">
        <v>52</v>
      </c>
      <c r="P199" s="2" t="s">
        <v>257</v>
      </c>
      <c r="Q199" s="2" t="s">
        <v>349</v>
      </c>
      <c r="R199" s="2" t="s">
        <v>128</v>
      </c>
      <c r="S199" s="2" t="s">
        <v>259</v>
      </c>
      <c r="T199" s="10">
        <v>202738</v>
      </c>
      <c r="U199" s="11">
        <v>6.5500000000000003E-3</v>
      </c>
      <c r="V199" s="12">
        <f>T199*U199</f>
        <v>1327.9339</v>
      </c>
      <c r="W199" s="13">
        <v>0</v>
      </c>
      <c r="X199" s="12">
        <f>V199-(V199/(1+W199))</f>
        <v>0</v>
      </c>
      <c r="Y199" s="12">
        <f>V199-X199</f>
        <v>1327.9339</v>
      </c>
      <c r="Z199" s="14">
        <v>1400</v>
      </c>
      <c r="AA199" s="2" t="str">
        <f>IF(V199&gt;Z199,"Yes","No")</f>
        <v>No</v>
      </c>
      <c r="AB199" s="12">
        <f>V199-Z199</f>
        <v>-72.066100000000006</v>
      </c>
      <c r="AC199" s="15" t="s">
        <v>130</v>
      </c>
      <c r="AD199" s="15" t="s">
        <v>130</v>
      </c>
      <c r="AE199" s="15" t="s">
        <v>437</v>
      </c>
      <c r="AF199" s="12">
        <f>IF(AG199="Rejected",0,IF(R199="Corporate Card",0,V199))</f>
        <v>0</v>
      </c>
      <c r="AG199" s="15" t="s">
        <v>133</v>
      </c>
      <c r="AH199" s="16">
        <v>45695</v>
      </c>
      <c r="AI199" s="16">
        <v>45696</v>
      </c>
      <c r="AJ199" s="16">
        <v>45708</v>
      </c>
      <c r="AK199" s="17">
        <f>IF(AJ199="","",AJ199-AH199)</f>
        <v>13</v>
      </c>
    </row>
    <row r="200" spans="1:37">
      <c r="A200" s="2" t="s">
        <v>483</v>
      </c>
      <c r="B200" s="2" t="s">
        <v>310</v>
      </c>
      <c r="C200" s="2" t="s">
        <v>311</v>
      </c>
      <c r="D200" s="2" t="s">
        <v>118</v>
      </c>
      <c r="E200" s="2" t="s">
        <v>312</v>
      </c>
      <c r="F200" s="2" t="s">
        <v>313</v>
      </c>
      <c r="G200" s="2" t="s">
        <v>482</v>
      </c>
      <c r="H200" s="2" t="s">
        <v>254</v>
      </c>
      <c r="I200" s="2" t="s">
        <v>255</v>
      </c>
      <c r="J200" s="2" t="s">
        <v>256</v>
      </c>
      <c r="K200" s="9">
        <v>45680</v>
      </c>
      <c r="L200" s="9">
        <v>45684</v>
      </c>
      <c r="M200" s="9">
        <v>45680</v>
      </c>
      <c r="N200" s="2" t="s">
        <v>125</v>
      </c>
      <c r="O200" s="2" t="s">
        <v>63</v>
      </c>
      <c r="P200" s="2" t="s">
        <v>200</v>
      </c>
      <c r="Q200" s="2" t="s">
        <v>484</v>
      </c>
      <c r="R200" s="2" t="s">
        <v>137</v>
      </c>
      <c r="S200" s="2" t="s">
        <v>259</v>
      </c>
      <c r="T200" s="10">
        <v>125192</v>
      </c>
      <c r="U200" s="11">
        <v>6.5500000000000003E-3</v>
      </c>
      <c r="V200" s="12">
        <f>T200*U200</f>
        <v>820.00760000000002</v>
      </c>
      <c r="W200" s="13">
        <v>0</v>
      </c>
      <c r="X200" s="12">
        <f>V200-(V200/(1+W200))</f>
        <v>0</v>
      </c>
      <c r="Y200" s="12">
        <f>V200-X200</f>
        <v>820.00760000000002</v>
      </c>
      <c r="Z200" s="14">
        <v>1200</v>
      </c>
      <c r="AA200" s="2" t="str">
        <f>IF(V200&gt;Z200,"Yes","No")</f>
        <v>No</v>
      </c>
      <c r="AB200" s="12">
        <f>V200-Z200</f>
        <v>-379.99239999999998</v>
      </c>
      <c r="AC200" s="15" t="s">
        <v>130</v>
      </c>
      <c r="AD200" s="15" t="s">
        <v>130</v>
      </c>
      <c r="AE200" s="15" t="s">
        <v>437</v>
      </c>
      <c r="AF200" s="12">
        <f>IF(AG200="Rejected",0,IF(R200="Corporate Card",0,V200))</f>
        <v>820.00760000000002</v>
      </c>
      <c r="AG200" s="15" t="s">
        <v>133</v>
      </c>
      <c r="AH200" s="16">
        <v>45695</v>
      </c>
      <c r="AI200" s="16">
        <v>45696</v>
      </c>
      <c r="AJ200" s="16">
        <v>45708</v>
      </c>
      <c r="AK200" s="17">
        <f>IF(AJ200="","",AJ200-AH200)</f>
        <v>13</v>
      </c>
    </row>
    <row r="201" spans="1:37">
      <c r="A201" s="2" t="s">
        <v>485</v>
      </c>
      <c r="B201" s="2" t="s">
        <v>310</v>
      </c>
      <c r="C201" s="2" t="s">
        <v>311</v>
      </c>
      <c r="D201" s="2" t="s">
        <v>118</v>
      </c>
      <c r="E201" s="2" t="s">
        <v>312</v>
      </c>
      <c r="F201" s="2" t="s">
        <v>313</v>
      </c>
      <c r="G201" s="2" t="s">
        <v>482</v>
      </c>
      <c r="H201" s="2" t="s">
        <v>254</v>
      </c>
      <c r="I201" s="2" t="s">
        <v>255</v>
      </c>
      <c r="J201" s="2" t="s">
        <v>256</v>
      </c>
      <c r="K201" s="9">
        <v>45680</v>
      </c>
      <c r="L201" s="9">
        <v>45684</v>
      </c>
      <c r="M201" s="9">
        <v>45680</v>
      </c>
      <c r="N201" s="2" t="s">
        <v>125</v>
      </c>
      <c r="O201" s="2" t="s">
        <v>58</v>
      </c>
      <c r="P201" s="2" t="s">
        <v>142</v>
      </c>
      <c r="Q201" s="2" t="s">
        <v>224</v>
      </c>
      <c r="R201" s="2" t="s">
        <v>128</v>
      </c>
      <c r="S201" s="2" t="s">
        <v>259</v>
      </c>
      <c r="T201" s="10">
        <v>5146</v>
      </c>
      <c r="U201" s="11">
        <v>6.5500000000000003E-3</v>
      </c>
      <c r="V201" s="12">
        <f>T201*U201</f>
        <v>33.706299999999999</v>
      </c>
      <c r="W201" s="13">
        <v>0.1</v>
      </c>
      <c r="X201" s="12">
        <f>V201-(V201/(1+W201))</f>
        <v>3.0642090909090918</v>
      </c>
      <c r="Y201" s="12">
        <f>V201-X201</f>
        <v>30.642090909090907</v>
      </c>
      <c r="Z201" s="14">
        <v>60</v>
      </c>
      <c r="AA201" s="2" t="str">
        <f>IF(V201&gt;Z201,"Yes","No")</f>
        <v>No</v>
      </c>
      <c r="AB201" s="12">
        <f>V201-Z201</f>
        <v>-26.293700000000001</v>
      </c>
      <c r="AC201" s="15" t="s">
        <v>130</v>
      </c>
      <c r="AD201" s="15" t="s">
        <v>130</v>
      </c>
      <c r="AE201" s="15" t="s">
        <v>437</v>
      </c>
      <c r="AF201" s="12">
        <f>IF(AG201="Rejected",0,IF(R201="Corporate Card",0,V201))</f>
        <v>0</v>
      </c>
      <c r="AG201" s="15" t="s">
        <v>133</v>
      </c>
      <c r="AH201" s="16">
        <v>45695</v>
      </c>
      <c r="AI201" s="16">
        <v>45696</v>
      </c>
      <c r="AJ201" s="16">
        <v>45708</v>
      </c>
      <c r="AK201" s="17">
        <f>IF(AJ201="","",AJ201-AH201)</f>
        <v>13</v>
      </c>
    </row>
    <row r="202" spans="1:37">
      <c r="A202" s="2" t="s">
        <v>486</v>
      </c>
      <c r="B202" s="2" t="s">
        <v>310</v>
      </c>
      <c r="C202" s="2" t="s">
        <v>311</v>
      </c>
      <c r="D202" s="2" t="s">
        <v>118</v>
      </c>
      <c r="E202" s="2" t="s">
        <v>312</v>
      </c>
      <c r="F202" s="2" t="s">
        <v>313</v>
      </c>
      <c r="G202" s="2" t="s">
        <v>482</v>
      </c>
      <c r="H202" s="2" t="s">
        <v>254</v>
      </c>
      <c r="I202" s="2" t="s">
        <v>255</v>
      </c>
      <c r="J202" s="2" t="s">
        <v>256</v>
      </c>
      <c r="K202" s="9">
        <v>45680</v>
      </c>
      <c r="L202" s="9">
        <v>45684</v>
      </c>
      <c r="M202" s="9">
        <v>45680</v>
      </c>
      <c r="N202" s="2" t="s">
        <v>125</v>
      </c>
      <c r="O202" s="2" t="s">
        <v>54</v>
      </c>
      <c r="P202" s="2" t="s">
        <v>139</v>
      </c>
      <c r="Q202" s="2" t="s">
        <v>163</v>
      </c>
      <c r="R202" s="2" t="s">
        <v>137</v>
      </c>
      <c r="S202" s="2" t="s">
        <v>259</v>
      </c>
      <c r="T202" s="10">
        <v>2221</v>
      </c>
      <c r="U202" s="11">
        <v>6.5500000000000003E-3</v>
      </c>
      <c r="V202" s="12">
        <f>T202*U202</f>
        <v>14.547550000000001</v>
      </c>
      <c r="W202" s="13">
        <v>0.1</v>
      </c>
      <c r="X202" s="12">
        <f>V202-(V202/(1+W202))</f>
        <v>1.3225045454545459</v>
      </c>
      <c r="Y202" s="12">
        <f>V202-X202</f>
        <v>13.225045454545455</v>
      </c>
      <c r="Z202" s="14">
        <v>25</v>
      </c>
      <c r="AA202" s="2" t="str">
        <f>IF(V202&gt;Z202,"Yes","No")</f>
        <v>No</v>
      </c>
      <c r="AB202" s="12">
        <f>V202-Z202</f>
        <v>-10.452449999999999</v>
      </c>
      <c r="AC202" s="15" t="s">
        <v>130</v>
      </c>
      <c r="AD202" s="15" t="s">
        <v>130</v>
      </c>
      <c r="AE202" s="15" t="s">
        <v>437</v>
      </c>
      <c r="AF202" s="12">
        <f>IF(AG202="Rejected",0,IF(R202="Corporate Card",0,V202))</f>
        <v>14.547550000000001</v>
      </c>
      <c r="AG202" s="15" t="s">
        <v>133</v>
      </c>
      <c r="AH202" s="16">
        <v>45695</v>
      </c>
      <c r="AI202" s="16">
        <v>45696</v>
      </c>
      <c r="AJ202" s="16">
        <v>45708</v>
      </c>
      <c r="AK202" s="17">
        <f>IF(AJ202="","",AJ202-AH202)</f>
        <v>13</v>
      </c>
    </row>
    <row r="203" spans="1:37">
      <c r="A203" s="2" t="s">
        <v>487</v>
      </c>
      <c r="B203" s="2" t="s">
        <v>310</v>
      </c>
      <c r="C203" s="2" t="s">
        <v>311</v>
      </c>
      <c r="D203" s="2" t="s">
        <v>118</v>
      </c>
      <c r="E203" s="2" t="s">
        <v>312</v>
      </c>
      <c r="F203" s="2" t="s">
        <v>313</v>
      </c>
      <c r="G203" s="2" t="s">
        <v>482</v>
      </c>
      <c r="H203" s="2" t="s">
        <v>254</v>
      </c>
      <c r="I203" s="2" t="s">
        <v>255</v>
      </c>
      <c r="J203" s="2" t="s">
        <v>256</v>
      </c>
      <c r="K203" s="9">
        <v>45680</v>
      </c>
      <c r="L203" s="9">
        <v>45684</v>
      </c>
      <c r="M203" s="9">
        <v>45680</v>
      </c>
      <c r="N203" s="2" t="s">
        <v>125</v>
      </c>
      <c r="O203" s="2" t="s">
        <v>56</v>
      </c>
      <c r="P203" s="2" t="s">
        <v>151</v>
      </c>
      <c r="Q203" s="2" t="s">
        <v>166</v>
      </c>
      <c r="R203" s="2" t="s">
        <v>149</v>
      </c>
      <c r="S203" s="2" t="s">
        <v>259</v>
      </c>
      <c r="T203" s="10">
        <v>13380</v>
      </c>
      <c r="U203" s="11">
        <v>6.5500000000000003E-3</v>
      </c>
      <c r="V203" s="12">
        <f>T203*U203</f>
        <v>87.63900000000001</v>
      </c>
      <c r="W203" s="13">
        <v>0.1</v>
      </c>
      <c r="X203" s="12">
        <f>V203-(V203/(1+W203))</f>
        <v>7.9671818181818281</v>
      </c>
      <c r="Y203" s="12">
        <f>V203-X203</f>
        <v>79.671818181818182</v>
      </c>
      <c r="Z203" s="14">
        <v>75</v>
      </c>
      <c r="AA203" s="2" t="str">
        <f>IF(V203&gt;Z203,"Yes","No")</f>
        <v>Yes</v>
      </c>
      <c r="AB203" s="12">
        <f>V203-Z203</f>
        <v>12.63900000000001</v>
      </c>
      <c r="AC203" s="15" t="s">
        <v>130</v>
      </c>
      <c r="AD203" s="15" t="s">
        <v>130</v>
      </c>
      <c r="AE203" s="15" t="s">
        <v>437</v>
      </c>
      <c r="AF203" s="12">
        <f>IF(AG203="Rejected",0,IF(R203="Corporate Card",0,V203))</f>
        <v>87.63900000000001</v>
      </c>
      <c r="AG203" s="15" t="s">
        <v>133</v>
      </c>
      <c r="AH203" s="16">
        <v>45695</v>
      </c>
      <c r="AI203" s="16">
        <v>45696</v>
      </c>
      <c r="AJ203" s="16">
        <v>45708</v>
      </c>
      <c r="AK203" s="17">
        <f>IF(AJ203="","",AJ203-AH203)</f>
        <v>13</v>
      </c>
    </row>
    <row r="204" spans="1:37">
      <c r="A204" s="2" t="s">
        <v>488</v>
      </c>
      <c r="B204" s="2" t="s">
        <v>310</v>
      </c>
      <c r="C204" s="2" t="s">
        <v>311</v>
      </c>
      <c r="D204" s="2" t="s">
        <v>118</v>
      </c>
      <c r="E204" s="2" t="s">
        <v>312</v>
      </c>
      <c r="F204" s="2" t="s">
        <v>313</v>
      </c>
      <c r="G204" s="2" t="s">
        <v>482</v>
      </c>
      <c r="H204" s="2" t="s">
        <v>254</v>
      </c>
      <c r="I204" s="2" t="s">
        <v>255</v>
      </c>
      <c r="J204" s="2" t="s">
        <v>256</v>
      </c>
      <c r="K204" s="9">
        <v>45680</v>
      </c>
      <c r="L204" s="9">
        <v>45684</v>
      </c>
      <c r="M204" s="9">
        <v>45680</v>
      </c>
      <c r="N204" s="2" t="s">
        <v>125</v>
      </c>
      <c r="O204" s="2" t="s">
        <v>66</v>
      </c>
      <c r="P204" s="2" t="s">
        <v>489</v>
      </c>
      <c r="Q204" s="2" t="s">
        <v>490</v>
      </c>
      <c r="R204" s="2" t="s">
        <v>149</v>
      </c>
      <c r="S204" s="2" t="s">
        <v>259</v>
      </c>
      <c r="T204" s="10">
        <v>30785</v>
      </c>
      <c r="U204" s="11">
        <v>6.5500000000000003E-3</v>
      </c>
      <c r="V204" s="12">
        <f>T204*U204</f>
        <v>201.64175</v>
      </c>
      <c r="W204" s="13">
        <v>0</v>
      </c>
      <c r="X204" s="12">
        <f>V204-(V204/(1+W204))</f>
        <v>0</v>
      </c>
      <c r="Y204" s="12">
        <f>V204-X204</f>
        <v>201.64175</v>
      </c>
      <c r="Z204" s="14">
        <v>250</v>
      </c>
      <c r="AA204" s="2" t="str">
        <f>IF(V204&gt;Z204,"Yes","No")</f>
        <v>No</v>
      </c>
      <c r="AB204" s="12">
        <f>V204-Z204</f>
        <v>-48.358249999999998</v>
      </c>
      <c r="AC204" s="15" t="s">
        <v>130</v>
      </c>
      <c r="AD204" s="15" t="s">
        <v>130</v>
      </c>
      <c r="AE204" s="15" t="s">
        <v>437</v>
      </c>
      <c r="AF204" s="12">
        <f>IF(AG204="Rejected",0,IF(R204="Corporate Card",0,V204))</f>
        <v>201.64175</v>
      </c>
      <c r="AG204" s="15" t="s">
        <v>133</v>
      </c>
      <c r="AH204" s="16">
        <v>45695</v>
      </c>
      <c r="AI204" s="16">
        <v>45696</v>
      </c>
      <c r="AJ204" s="16">
        <v>45708</v>
      </c>
      <c r="AK204" s="17">
        <f>IF(AJ204="","",AJ204-AH204)</f>
        <v>13</v>
      </c>
    </row>
    <row r="205" spans="1:37">
      <c r="A205" s="2" t="s">
        <v>491</v>
      </c>
      <c r="B205" s="2" t="s">
        <v>412</v>
      </c>
      <c r="C205" s="2" t="s">
        <v>413</v>
      </c>
      <c r="D205" s="2" t="s">
        <v>414</v>
      </c>
      <c r="E205" s="2" t="s">
        <v>415</v>
      </c>
      <c r="F205" s="2" t="s">
        <v>313</v>
      </c>
      <c r="G205" s="2" t="s">
        <v>416</v>
      </c>
      <c r="H205" s="2" t="s">
        <v>417</v>
      </c>
      <c r="I205" s="2" t="s">
        <v>418</v>
      </c>
      <c r="J205" s="2" t="s">
        <v>381</v>
      </c>
      <c r="K205" s="9">
        <v>45677</v>
      </c>
      <c r="L205" s="9">
        <v>45684</v>
      </c>
      <c r="M205" s="9">
        <v>45680</v>
      </c>
      <c r="N205" s="2" t="s">
        <v>125</v>
      </c>
      <c r="O205" s="2" t="s">
        <v>58</v>
      </c>
      <c r="P205" s="2" t="s">
        <v>142</v>
      </c>
      <c r="Q205" s="2" t="s">
        <v>224</v>
      </c>
      <c r="R205" s="2" t="s">
        <v>149</v>
      </c>
      <c r="S205" s="2" t="s">
        <v>383</v>
      </c>
      <c r="T205" s="10">
        <v>79.7</v>
      </c>
      <c r="U205" s="11">
        <v>1</v>
      </c>
      <c r="V205" s="12">
        <f>T205*U205</f>
        <v>79.7</v>
      </c>
      <c r="W205" s="13">
        <v>0</v>
      </c>
      <c r="X205" s="12">
        <f>V205-(V205/(1+W205))</f>
        <v>0</v>
      </c>
      <c r="Y205" s="12">
        <f>V205-X205</f>
        <v>79.7</v>
      </c>
      <c r="Z205" s="14">
        <v>60</v>
      </c>
      <c r="AA205" s="2" t="str">
        <f>IF(V205&gt;Z205,"Yes","No")</f>
        <v>Yes</v>
      </c>
      <c r="AB205" s="12">
        <f>V205-Z205</f>
        <v>19.700000000000003</v>
      </c>
      <c r="AC205" s="15" t="s">
        <v>130</v>
      </c>
      <c r="AD205" s="15" t="s">
        <v>130</v>
      </c>
      <c r="AE205" s="15" t="s">
        <v>421</v>
      </c>
      <c r="AF205" s="12">
        <f>IF(AG205="Rejected",0,IF(R205="Corporate Card",0,V205))</f>
        <v>79.7</v>
      </c>
      <c r="AG205" s="15" t="s">
        <v>133</v>
      </c>
      <c r="AH205" s="16">
        <v>45696</v>
      </c>
      <c r="AI205" s="16">
        <v>45702</v>
      </c>
      <c r="AJ205" s="16">
        <v>45712</v>
      </c>
      <c r="AK205" s="17">
        <f>IF(AJ205="","",AJ205-AH205)</f>
        <v>16</v>
      </c>
    </row>
    <row r="206" spans="1:37">
      <c r="A206" s="2" t="s">
        <v>492</v>
      </c>
      <c r="B206" s="2" t="s">
        <v>412</v>
      </c>
      <c r="C206" s="2" t="s">
        <v>413</v>
      </c>
      <c r="D206" s="2" t="s">
        <v>414</v>
      </c>
      <c r="E206" s="2" t="s">
        <v>415</v>
      </c>
      <c r="F206" s="2" t="s">
        <v>313</v>
      </c>
      <c r="G206" s="2" t="s">
        <v>416</v>
      </c>
      <c r="H206" s="2" t="s">
        <v>417</v>
      </c>
      <c r="I206" s="2" t="s">
        <v>418</v>
      </c>
      <c r="J206" s="2" t="s">
        <v>381</v>
      </c>
      <c r="K206" s="9">
        <v>45677</v>
      </c>
      <c r="L206" s="9">
        <v>45684</v>
      </c>
      <c r="M206" s="9">
        <v>45680</v>
      </c>
      <c r="N206" s="2" t="s">
        <v>125</v>
      </c>
      <c r="O206" s="2" t="s">
        <v>54</v>
      </c>
      <c r="P206" s="2" t="s">
        <v>139</v>
      </c>
      <c r="Q206" s="2" t="s">
        <v>163</v>
      </c>
      <c r="R206" s="2" t="s">
        <v>128</v>
      </c>
      <c r="S206" s="2" t="s">
        <v>383</v>
      </c>
      <c r="T206" s="10">
        <v>13.39</v>
      </c>
      <c r="U206" s="11">
        <v>1</v>
      </c>
      <c r="V206" s="12">
        <f>T206*U206</f>
        <v>13.39</v>
      </c>
      <c r="W206" s="13">
        <v>0</v>
      </c>
      <c r="X206" s="12">
        <f>V206-(V206/(1+W206))</f>
        <v>0</v>
      </c>
      <c r="Y206" s="12">
        <f>V206-X206</f>
        <v>13.39</v>
      </c>
      <c r="Z206" s="14">
        <v>25</v>
      </c>
      <c r="AA206" s="2" t="str">
        <f>IF(V206&gt;Z206,"Yes","No")</f>
        <v>No</v>
      </c>
      <c r="AB206" s="12">
        <f>V206-Z206</f>
        <v>-11.61</v>
      </c>
      <c r="AC206" s="15" t="s">
        <v>130</v>
      </c>
      <c r="AD206" s="15" t="s">
        <v>130</v>
      </c>
      <c r="AE206" s="15" t="s">
        <v>421</v>
      </c>
      <c r="AF206" s="12">
        <f>IF(AG206="Rejected",0,IF(R206="Corporate Card",0,V206))</f>
        <v>0</v>
      </c>
      <c r="AG206" s="15" t="s">
        <v>133</v>
      </c>
      <c r="AH206" s="16">
        <v>45696</v>
      </c>
      <c r="AI206" s="16">
        <v>45702</v>
      </c>
      <c r="AJ206" s="16">
        <v>45712</v>
      </c>
      <c r="AK206" s="17">
        <f>IF(AJ206="","",AJ206-AH206)</f>
        <v>16</v>
      </c>
    </row>
    <row r="207" spans="1:37">
      <c r="A207" s="2" t="s">
        <v>493</v>
      </c>
      <c r="B207" s="2" t="s">
        <v>412</v>
      </c>
      <c r="C207" s="2" t="s">
        <v>413</v>
      </c>
      <c r="D207" s="2" t="s">
        <v>414</v>
      </c>
      <c r="E207" s="2" t="s">
        <v>415</v>
      </c>
      <c r="F207" s="2" t="s">
        <v>313</v>
      </c>
      <c r="G207" s="2" t="s">
        <v>416</v>
      </c>
      <c r="H207" s="2" t="s">
        <v>417</v>
      </c>
      <c r="I207" s="2" t="s">
        <v>418</v>
      </c>
      <c r="J207" s="2" t="s">
        <v>381</v>
      </c>
      <c r="K207" s="9">
        <v>45677</v>
      </c>
      <c r="L207" s="9">
        <v>45684</v>
      </c>
      <c r="M207" s="9">
        <v>45680</v>
      </c>
      <c r="N207" s="2" t="s">
        <v>125</v>
      </c>
      <c r="O207" s="2" t="s">
        <v>56</v>
      </c>
      <c r="P207" s="2" t="s">
        <v>151</v>
      </c>
      <c r="Q207" s="2" t="s">
        <v>185</v>
      </c>
      <c r="R207" s="2" t="s">
        <v>128</v>
      </c>
      <c r="S207" s="2" t="s">
        <v>383</v>
      </c>
      <c r="T207" s="10">
        <v>29.07</v>
      </c>
      <c r="U207" s="11">
        <v>1</v>
      </c>
      <c r="V207" s="12">
        <f>T207*U207</f>
        <v>29.07</v>
      </c>
      <c r="W207" s="13">
        <v>0</v>
      </c>
      <c r="X207" s="12">
        <f>V207-(V207/(1+W207))</f>
        <v>0</v>
      </c>
      <c r="Y207" s="12">
        <f>V207-X207</f>
        <v>29.07</v>
      </c>
      <c r="Z207" s="14">
        <v>75</v>
      </c>
      <c r="AA207" s="2" t="str">
        <f>IF(V207&gt;Z207,"Yes","No")</f>
        <v>No</v>
      </c>
      <c r="AB207" s="12">
        <f>V207-Z207</f>
        <v>-45.93</v>
      </c>
      <c r="AC207" s="15" t="s">
        <v>130</v>
      </c>
      <c r="AD207" s="15" t="s">
        <v>130</v>
      </c>
      <c r="AE207" s="15" t="s">
        <v>421</v>
      </c>
      <c r="AF207" s="12">
        <f>IF(AG207="Rejected",0,IF(R207="Corporate Card",0,V207))</f>
        <v>0</v>
      </c>
      <c r="AG207" s="15" t="s">
        <v>133</v>
      </c>
      <c r="AH207" s="16">
        <v>45696</v>
      </c>
      <c r="AI207" s="16">
        <v>45702</v>
      </c>
      <c r="AJ207" s="16">
        <v>45712</v>
      </c>
      <c r="AK207" s="17">
        <f>IF(AJ207="","",AJ207-AH207)</f>
        <v>16</v>
      </c>
    </row>
    <row r="208" spans="1:37">
      <c r="A208" s="2" t="s">
        <v>494</v>
      </c>
      <c r="B208" s="2" t="s">
        <v>412</v>
      </c>
      <c r="C208" s="2" t="s">
        <v>413</v>
      </c>
      <c r="D208" s="2" t="s">
        <v>414</v>
      </c>
      <c r="E208" s="2" t="s">
        <v>415</v>
      </c>
      <c r="F208" s="2" t="s">
        <v>313</v>
      </c>
      <c r="G208" s="2" t="s">
        <v>432</v>
      </c>
      <c r="H208" s="2" t="s">
        <v>417</v>
      </c>
      <c r="I208" s="2" t="s">
        <v>433</v>
      </c>
      <c r="J208" s="2" t="s">
        <v>434</v>
      </c>
      <c r="K208" s="9">
        <v>45677</v>
      </c>
      <c r="L208" s="9">
        <v>45681</v>
      </c>
      <c r="M208" s="9">
        <v>45680</v>
      </c>
      <c r="N208" s="2" t="s">
        <v>125</v>
      </c>
      <c r="O208" s="2" t="s">
        <v>57</v>
      </c>
      <c r="P208" s="2" t="s">
        <v>398</v>
      </c>
      <c r="Q208" s="2" t="s">
        <v>495</v>
      </c>
      <c r="R208" s="2" t="s">
        <v>149</v>
      </c>
      <c r="S208" s="2" t="s">
        <v>436</v>
      </c>
      <c r="T208" s="10">
        <v>15495</v>
      </c>
      <c r="U208" s="11">
        <v>1.1780000000000001E-2</v>
      </c>
      <c r="V208" s="12">
        <f>T208*U208</f>
        <v>182.53110000000001</v>
      </c>
      <c r="W208" s="13">
        <v>0.18</v>
      </c>
      <c r="X208" s="12">
        <f>V208-(V208/(1+W208))</f>
        <v>27.843727118644068</v>
      </c>
      <c r="Y208" s="12">
        <f>V208-X208</f>
        <v>154.68737288135594</v>
      </c>
      <c r="Z208" s="14">
        <v>200</v>
      </c>
      <c r="AA208" s="2" t="str">
        <f>IF(V208&gt;Z208,"Yes","No")</f>
        <v>No</v>
      </c>
      <c r="AB208" s="12">
        <f>V208-Z208</f>
        <v>-17.468899999999991</v>
      </c>
      <c r="AC208" s="15" t="s">
        <v>130</v>
      </c>
      <c r="AD208" s="15" t="s">
        <v>130</v>
      </c>
      <c r="AE208" s="15" t="s">
        <v>437</v>
      </c>
      <c r="AF208" s="12">
        <f>IF(AG208="Rejected",0,IF(R208="Corporate Card",0,V208))</f>
        <v>182.53110000000001</v>
      </c>
      <c r="AG208" s="15" t="s">
        <v>133</v>
      </c>
      <c r="AH208" s="16">
        <v>45693</v>
      </c>
      <c r="AI208" s="16">
        <v>45700</v>
      </c>
      <c r="AJ208" s="16">
        <v>45707</v>
      </c>
      <c r="AK208" s="17">
        <f>IF(AJ208="","",AJ208-AH208)</f>
        <v>14</v>
      </c>
    </row>
    <row r="209" spans="1:37">
      <c r="A209" s="2" t="s">
        <v>496</v>
      </c>
      <c r="B209" s="2" t="s">
        <v>412</v>
      </c>
      <c r="C209" s="2" t="s">
        <v>413</v>
      </c>
      <c r="D209" s="2" t="s">
        <v>414</v>
      </c>
      <c r="E209" s="2" t="s">
        <v>415</v>
      </c>
      <c r="F209" s="2" t="s">
        <v>313</v>
      </c>
      <c r="G209" s="2" t="s">
        <v>432</v>
      </c>
      <c r="H209" s="2" t="s">
        <v>417</v>
      </c>
      <c r="I209" s="2" t="s">
        <v>433</v>
      </c>
      <c r="J209" s="2" t="s">
        <v>434</v>
      </c>
      <c r="K209" s="9">
        <v>45677</v>
      </c>
      <c r="L209" s="9">
        <v>45681</v>
      </c>
      <c r="M209" s="9">
        <v>45680</v>
      </c>
      <c r="N209" s="2" t="s">
        <v>125</v>
      </c>
      <c r="O209" s="2" t="s">
        <v>56</v>
      </c>
      <c r="P209" s="2" t="s">
        <v>165</v>
      </c>
      <c r="Q209" s="2" t="s">
        <v>227</v>
      </c>
      <c r="R209" s="2" t="s">
        <v>128</v>
      </c>
      <c r="S209" s="2" t="s">
        <v>436</v>
      </c>
      <c r="T209" s="10">
        <v>3154</v>
      </c>
      <c r="U209" s="11">
        <v>1.1780000000000001E-2</v>
      </c>
      <c r="V209" s="12">
        <f>T209*U209</f>
        <v>37.154119999999999</v>
      </c>
      <c r="W209" s="13">
        <v>0.18</v>
      </c>
      <c r="X209" s="12">
        <f>V209-(V209/(1+W209))</f>
        <v>5.6675776271186429</v>
      </c>
      <c r="Y209" s="12">
        <f>V209-X209</f>
        <v>31.486542372881356</v>
      </c>
      <c r="Z209" s="14">
        <v>75</v>
      </c>
      <c r="AA209" s="2" t="str">
        <f>IF(V209&gt;Z209,"Yes","No")</f>
        <v>No</v>
      </c>
      <c r="AB209" s="12">
        <f>V209-Z209</f>
        <v>-37.845880000000001</v>
      </c>
      <c r="AC209" s="15" t="s">
        <v>130</v>
      </c>
      <c r="AD209" s="15" t="s">
        <v>130</v>
      </c>
      <c r="AE209" s="15" t="s">
        <v>437</v>
      </c>
      <c r="AF209" s="12">
        <f>IF(AG209="Rejected",0,IF(R209="Corporate Card",0,V209))</f>
        <v>0</v>
      </c>
      <c r="AG209" s="15" t="s">
        <v>133</v>
      </c>
      <c r="AH209" s="16">
        <v>45693</v>
      </c>
      <c r="AI209" s="16">
        <v>45700</v>
      </c>
      <c r="AJ209" s="16">
        <v>45707</v>
      </c>
      <c r="AK209" s="17">
        <f>IF(AJ209="","",AJ209-AH209)</f>
        <v>14</v>
      </c>
    </row>
    <row r="210" spans="1:37">
      <c r="A210" s="2" t="s">
        <v>497</v>
      </c>
      <c r="B210" s="2" t="s">
        <v>412</v>
      </c>
      <c r="C210" s="2" t="s">
        <v>413</v>
      </c>
      <c r="D210" s="2" t="s">
        <v>414</v>
      </c>
      <c r="E210" s="2" t="s">
        <v>415</v>
      </c>
      <c r="F210" s="2" t="s">
        <v>313</v>
      </c>
      <c r="G210" s="2" t="s">
        <v>432</v>
      </c>
      <c r="H210" s="2" t="s">
        <v>417</v>
      </c>
      <c r="I210" s="2" t="s">
        <v>433</v>
      </c>
      <c r="J210" s="2" t="s">
        <v>434</v>
      </c>
      <c r="K210" s="9">
        <v>45677</v>
      </c>
      <c r="L210" s="9">
        <v>45681</v>
      </c>
      <c r="M210" s="9">
        <v>45680</v>
      </c>
      <c r="N210" s="2" t="s">
        <v>125</v>
      </c>
      <c r="O210" s="2" t="s">
        <v>55</v>
      </c>
      <c r="P210" s="2" t="s">
        <v>139</v>
      </c>
      <c r="Q210" s="2" t="s">
        <v>161</v>
      </c>
      <c r="R210" s="2" t="s">
        <v>128</v>
      </c>
      <c r="S210" s="2" t="s">
        <v>436</v>
      </c>
      <c r="T210" s="10">
        <v>2059</v>
      </c>
      <c r="U210" s="11">
        <v>1.1780000000000001E-2</v>
      </c>
      <c r="V210" s="12">
        <f>T210*U210</f>
        <v>24.255020000000002</v>
      </c>
      <c r="W210" s="13">
        <v>0.18</v>
      </c>
      <c r="X210" s="12">
        <f>V210-(V210/(1+W210))</f>
        <v>3.6999183050847435</v>
      </c>
      <c r="Y210" s="12">
        <f>V210-X210</f>
        <v>20.555101694915258</v>
      </c>
      <c r="Z210" s="14">
        <v>35</v>
      </c>
      <c r="AA210" s="2" t="str">
        <f>IF(V210&gt;Z210,"Yes","No")</f>
        <v>No</v>
      </c>
      <c r="AB210" s="12">
        <f>V210-Z210</f>
        <v>-10.744979999999998</v>
      </c>
      <c r="AC210" s="15" t="s">
        <v>130</v>
      </c>
      <c r="AD210" s="15" t="s">
        <v>130</v>
      </c>
      <c r="AE210" s="15" t="s">
        <v>437</v>
      </c>
      <c r="AF210" s="12">
        <f>IF(AG210="Rejected",0,IF(R210="Corporate Card",0,V210))</f>
        <v>0</v>
      </c>
      <c r="AG210" s="15" t="s">
        <v>133</v>
      </c>
      <c r="AH210" s="16">
        <v>45693</v>
      </c>
      <c r="AI210" s="16">
        <v>45700</v>
      </c>
      <c r="AJ210" s="16">
        <v>45707</v>
      </c>
      <c r="AK210" s="17">
        <f>IF(AJ210="","",AJ210-AH210)</f>
        <v>14</v>
      </c>
    </row>
    <row r="211" spans="1:37">
      <c r="A211" s="2" t="s">
        <v>498</v>
      </c>
      <c r="B211" s="2" t="s">
        <v>442</v>
      </c>
      <c r="C211" s="2" t="s">
        <v>443</v>
      </c>
      <c r="D211" s="2" t="s">
        <v>444</v>
      </c>
      <c r="E211" s="2" t="s">
        <v>445</v>
      </c>
      <c r="F211" s="2" t="s">
        <v>446</v>
      </c>
      <c r="G211" s="2" t="s">
        <v>447</v>
      </c>
      <c r="H211" s="2" t="s">
        <v>448</v>
      </c>
      <c r="I211" s="2" t="s">
        <v>418</v>
      </c>
      <c r="J211" s="2" t="s">
        <v>381</v>
      </c>
      <c r="K211" s="9">
        <v>45677</v>
      </c>
      <c r="L211" s="9">
        <v>45683</v>
      </c>
      <c r="M211" s="9">
        <v>45680</v>
      </c>
      <c r="N211" s="2" t="s">
        <v>125</v>
      </c>
      <c r="O211" s="2" t="s">
        <v>54</v>
      </c>
      <c r="P211" s="2" t="s">
        <v>139</v>
      </c>
      <c r="Q211" s="2" t="s">
        <v>140</v>
      </c>
      <c r="R211" s="2" t="s">
        <v>137</v>
      </c>
      <c r="S211" s="2" t="s">
        <v>383</v>
      </c>
      <c r="T211" s="10">
        <v>13.43</v>
      </c>
      <c r="U211" s="11">
        <v>1</v>
      </c>
      <c r="V211" s="12">
        <f>T211*U211</f>
        <v>13.43</v>
      </c>
      <c r="W211" s="13">
        <v>0</v>
      </c>
      <c r="X211" s="12">
        <f>V211-(V211/(1+W211))</f>
        <v>0</v>
      </c>
      <c r="Y211" s="12">
        <f>V211-X211</f>
        <v>13.43</v>
      </c>
      <c r="Z211" s="14">
        <v>25</v>
      </c>
      <c r="AA211" s="2" t="str">
        <f>IF(V211&gt;Z211,"Yes","No")</f>
        <v>No</v>
      </c>
      <c r="AB211" s="12">
        <f>V211-Z211</f>
        <v>-11.57</v>
      </c>
      <c r="AC211" s="15" t="s">
        <v>130</v>
      </c>
      <c r="AD211" s="15" t="s">
        <v>131</v>
      </c>
      <c r="AE211" s="15" t="s">
        <v>350</v>
      </c>
      <c r="AF211" s="12">
        <f>IF(AG211="Rejected",0,IF(R211="Corporate Card",0,V211))</f>
        <v>13.43</v>
      </c>
      <c r="AG211" s="15" t="s">
        <v>133</v>
      </c>
      <c r="AH211" s="16">
        <v>45687</v>
      </c>
      <c r="AI211" s="16">
        <v>45693</v>
      </c>
      <c r="AJ211" s="16">
        <v>45700</v>
      </c>
      <c r="AK211" s="17">
        <f>IF(AJ211="","",AJ211-AH211)</f>
        <v>13</v>
      </c>
    </row>
    <row r="212" spans="1:37">
      <c r="A212" s="2" t="s">
        <v>499</v>
      </c>
      <c r="B212" s="2" t="s">
        <v>442</v>
      </c>
      <c r="C212" s="2" t="s">
        <v>443</v>
      </c>
      <c r="D212" s="2" t="s">
        <v>444</v>
      </c>
      <c r="E212" s="2" t="s">
        <v>445</v>
      </c>
      <c r="F212" s="2" t="s">
        <v>446</v>
      </c>
      <c r="G212" s="2" t="s">
        <v>447</v>
      </c>
      <c r="H212" s="2" t="s">
        <v>448</v>
      </c>
      <c r="I212" s="2" t="s">
        <v>418</v>
      </c>
      <c r="J212" s="2" t="s">
        <v>381</v>
      </c>
      <c r="K212" s="9">
        <v>45677</v>
      </c>
      <c r="L212" s="9">
        <v>45683</v>
      </c>
      <c r="M212" s="9">
        <v>45680</v>
      </c>
      <c r="N212" s="2" t="s">
        <v>125</v>
      </c>
      <c r="O212" s="2" t="s">
        <v>56</v>
      </c>
      <c r="P212" s="2" t="s">
        <v>231</v>
      </c>
      <c r="Q212" s="2" t="s">
        <v>159</v>
      </c>
      <c r="R212" s="2" t="s">
        <v>128</v>
      </c>
      <c r="S212" s="2" t="s">
        <v>383</v>
      </c>
      <c r="T212" s="10">
        <v>50.4</v>
      </c>
      <c r="U212" s="11">
        <v>1</v>
      </c>
      <c r="V212" s="12">
        <f>T212*U212</f>
        <v>50.4</v>
      </c>
      <c r="W212" s="13">
        <v>0</v>
      </c>
      <c r="X212" s="12">
        <f>V212-(V212/(1+W212))</f>
        <v>0</v>
      </c>
      <c r="Y212" s="12">
        <f>V212-X212</f>
        <v>50.4</v>
      </c>
      <c r="Z212" s="14">
        <v>75</v>
      </c>
      <c r="AA212" s="2" t="str">
        <f>IF(V212&gt;Z212,"Yes","No")</f>
        <v>No</v>
      </c>
      <c r="AB212" s="12">
        <f>V212-Z212</f>
        <v>-24.6</v>
      </c>
      <c r="AC212" s="15" t="s">
        <v>130</v>
      </c>
      <c r="AD212" s="15" t="s">
        <v>131</v>
      </c>
      <c r="AE212" s="15" t="s">
        <v>350</v>
      </c>
      <c r="AF212" s="12">
        <f>IF(AG212="Rejected",0,IF(R212="Corporate Card",0,V212))</f>
        <v>0</v>
      </c>
      <c r="AG212" s="15" t="s">
        <v>133</v>
      </c>
      <c r="AH212" s="16">
        <v>45687</v>
      </c>
      <c r="AI212" s="16">
        <v>45693</v>
      </c>
      <c r="AJ212" s="16">
        <v>45700</v>
      </c>
      <c r="AK212" s="17">
        <f>IF(AJ212="","",AJ212-AH212)</f>
        <v>13</v>
      </c>
    </row>
    <row r="213" spans="1:37">
      <c r="A213" s="2" t="s">
        <v>500</v>
      </c>
      <c r="B213" s="2" t="s">
        <v>442</v>
      </c>
      <c r="C213" s="2" t="s">
        <v>443</v>
      </c>
      <c r="D213" s="2" t="s">
        <v>444</v>
      </c>
      <c r="E213" s="2" t="s">
        <v>445</v>
      </c>
      <c r="F213" s="2" t="s">
        <v>446</v>
      </c>
      <c r="G213" s="2" t="s">
        <v>447</v>
      </c>
      <c r="H213" s="2" t="s">
        <v>448</v>
      </c>
      <c r="I213" s="2" t="s">
        <v>418</v>
      </c>
      <c r="J213" s="2" t="s">
        <v>381</v>
      </c>
      <c r="K213" s="9">
        <v>45677</v>
      </c>
      <c r="L213" s="9">
        <v>45683</v>
      </c>
      <c r="M213" s="9">
        <v>45680</v>
      </c>
      <c r="N213" s="2" t="s">
        <v>125</v>
      </c>
      <c r="O213" s="2" t="s">
        <v>55</v>
      </c>
      <c r="P213" s="2" t="s">
        <v>139</v>
      </c>
      <c r="Q213" s="2" t="s">
        <v>161</v>
      </c>
      <c r="R213" s="2" t="s">
        <v>128</v>
      </c>
      <c r="S213" s="2" t="s">
        <v>383</v>
      </c>
      <c r="T213" s="10">
        <v>42.84</v>
      </c>
      <c r="U213" s="11">
        <v>1</v>
      </c>
      <c r="V213" s="12">
        <f>T213*U213</f>
        <v>42.84</v>
      </c>
      <c r="W213" s="13">
        <v>0</v>
      </c>
      <c r="X213" s="12">
        <f>V213-(V213/(1+W213))</f>
        <v>0</v>
      </c>
      <c r="Y213" s="12">
        <f>V213-X213</f>
        <v>42.84</v>
      </c>
      <c r="Z213" s="14">
        <v>35</v>
      </c>
      <c r="AA213" s="2" t="str">
        <f>IF(V213&gt;Z213,"Yes","No")</f>
        <v>Yes</v>
      </c>
      <c r="AB213" s="12">
        <f>V213-Z213</f>
        <v>7.8400000000000034</v>
      </c>
      <c r="AC213" s="15" t="s">
        <v>130</v>
      </c>
      <c r="AD213" s="15" t="s">
        <v>131</v>
      </c>
      <c r="AE213" s="15" t="s">
        <v>350</v>
      </c>
      <c r="AF213" s="12">
        <f>IF(AG213="Rejected",0,IF(R213="Corporate Card",0,V213))</f>
        <v>0</v>
      </c>
      <c r="AG213" s="15" t="s">
        <v>133</v>
      </c>
      <c r="AH213" s="16">
        <v>45687</v>
      </c>
      <c r="AI213" s="16">
        <v>45693</v>
      </c>
      <c r="AJ213" s="16">
        <v>45700</v>
      </c>
      <c r="AK213" s="17">
        <f>IF(AJ213="","",AJ213-AH213)</f>
        <v>13</v>
      </c>
    </row>
    <row r="214" spans="1:37">
      <c r="A214" s="2" t="s">
        <v>501</v>
      </c>
      <c r="B214" s="2" t="s">
        <v>310</v>
      </c>
      <c r="C214" s="2" t="s">
        <v>311</v>
      </c>
      <c r="D214" s="2" t="s">
        <v>118</v>
      </c>
      <c r="E214" s="2" t="s">
        <v>312</v>
      </c>
      <c r="F214" s="2" t="s">
        <v>313</v>
      </c>
      <c r="G214" s="2" t="s">
        <v>482</v>
      </c>
      <c r="H214" s="2" t="s">
        <v>254</v>
      </c>
      <c r="I214" s="2" t="s">
        <v>255</v>
      </c>
      <c r="J214" s="2" t="s">
        <v>256</v>
      </c>
      <c r="K214" s="9">
        <v>45680</v>
      </c>
      <c r="L214" s="9">
        <v>45684</v>
      </c>
      <c r="M214" s="9">
        <v>45681</v>
      </c>
      <c r="N214" s="2" t="s">
        <v>125</v>
      </c>
      <c r="O214" s="2" t="s">
        <v>60</v>
      </c>
      <c r="P214" s="2" t="s">
        <v>502</v>
      </c>
      <c r="Q214" s="2" t="s">
        <v>503</v>
      </c>
      <c r="R214" s="2" t="s">
        <v>149</v>
      </c>
      <c r="S214" s="2" t="s">
        <v>259</v>
      </c>
      <c r="T214" s="10">
        <v>46531</v>
      </c>
      <c r="U214" s="11">
        <v>6.5500000000000003E-3</v>
      </c>
      <c r="V214" s="12">
        <f>T214*U214</f>
        <v>304.77805000000001</v>
      </c>
      <c r="W214" s="13">
        <v>0.1</v>
      </c>
      <c r="X214" s="12">
        <f>V214-(V214/(1+W214))</f>
        <v>27.707095454545481</v>
      </c>
      <c r="Y214" s="12">
        <f>V214-X214</f>
        <v>277.07095454545453</v>
      </c>
      <c r="Z214" s="14">
        <v>480</v>
      </c>
      <c r="AA214" s="2" t="str">
        <f>IF(V214&gt;Z214,"Yes","No")</f>
        <v>No</v>
      </c>
      <c r="AB214" s="12">
        <f>V214-Z214</f>
        <v>-175.22194999999999</v>
      </c>
      <c r="AC214" s="15" t="s">
        <v>130</v>
      </c>
      <c r="AD214" s="15" t="s">
        <v>130</v>
      </c>
      <c r="AE214" s="15" t="s">
        <v>437</v>
      </c>
      <c r="AF214" s="12">
        <f>IF(AG214="Rejected",0,IF(R214="Corporate Card",0,V214))</f>
        <v>304.77805000000001</v>
      </c>
      <c r="AG214" s="15" t="s">
        <v>133</v>
      </c>
      <c r="AH214" s="16">
        <v>45695</v>
      </c>
      <c r="AI214" s="16">
        <v>45696</v>
      </c>
      <c r="AJ214" s="16">
        <v>45708</v>
      </c>
      <c r="AK214" s="17">
        <f>IF(AJ214="","",AJ214-AH214)</f>
        <v>13</v>
      </c>
    </row>
    <row r="215" spans="1:37">
      <c r="A215" s="2" t="s">
        <v>504</v>
      </c>
      <c r="B215" s="2" t="s">
        <v>310</v>
      </c>
      <c r="C215" s="2" t="s">
        <v>311</v>
      </c>
      <c r="D215" s="2" t="s">
        <v>118</v>
      </c>
      <c r="E215" s="2" t="s">
        <v>312</v>
      </c>
      <c r="F215" s="2" t="s">
        <v>313</v>
      </c>
      <c r="G215" s="2" t="s">
        <v>482</v>
      </c>
      <c r="H215" s="2" t="s">
        <v>254</v>
      </c>
      <c r="I215" s="2" t="s">
        <v>255</v>
      </c>
      <c r="J215" s="2" t="s">
        <v>256</v>
      </c>
      <c r="K215" s="9">
        <v>45680</v>
      </c>
      <c r="L215" s="9">
        <v>45684</v>
      </c>
      <c r="M215" s="9">
        <v>45681</v>
      </c>
      <c r="N215" s="2" t="s">
        <v>125</v>
      </c>
      <c r="O215" s="2" t="s">
        <v>59</v>
      </c>
      <c r="P215" s="2" t="s">
        <v>301</v>
      </c>
      <c r="Q215" s="2" t="s">
        <v>302</v>
      </c>
      <c r="R215" s="2" t="s">
        <v>137</v>
      </c>
      <c r="S215" s="2" t="s">
        <v>259</v>
      </c>
      <c r="T215" s="10">
        <v>8896</v>
      </c>
      <c r="U215" s="11">
        <v>6.5500000000000003E-3</v>
      </c>
      <c r="V215" s="12">
        <f>T215*U215</f>
        <v>58.268799999999999</v>
      </c>
      <c r="W215" s="13">
        <v>0.1</v>
      </c>
      <c r="X215" s="12">
        <f>V215-(V215/(1+W215))</f>
        <v>5.2971636363636421</v>
      </c>
      <c r="Y215" s="12">
        <f>V215-X215</f>
        <v>52.971636363636357</v>
      </c>
      <c r="Z215" s="14">
        <v>150</v>
      </c>
      <c r="AA215" s="2" t="str">
        <f>IF(V215&gt;Z215,"Yes","No")</f>
        <v>No</v>
      </c>
      <c r="AB215" s="12">
        <f>V215-Z215</f>
        <v>-91.731200000000001</v>
      </c>
      <c r="AC215" s="15" t="s">
        <v>130</v>
      </c>
      <c r="AD215" s="15" t="s">
        <v>130</v>
      </c>
      <c r="AE215" s="15" t="s">
        <v>437</v>
      </c>
      <c r="AF215" s="12">
        <f>IF(AG215="Rejected",0,IF(R215="Corporate Card",0,V215))</f>
        <v>58.268799999999999</v>
      </c>
      <c r="AG215" s="15" t="s">
        <v>133</v>
      </c>
      <c r="AH215" s="16">
        <v>45695</v>
      </c>
      <c r="AI215" s="16">
        <v>45696</v>
      </c>
      <c r="AJ215" s="16">
        <v>45708</v>
      </c>
      <c r="AK215" s="17">
        <f>IF(AJ215="","",AJ215-AH215)</f>
        <v>13</v>
      </c>
    </row>
    <row r="216" spans="1:37">
      <c r="A216" s="2" t="s">
        <v>505</v>
      </c>
      <c r="B216" s="2" t="s">
        <v>310</v>
      </c>
      <c r="C216" s="2" t="s">
        <v>311</v>
      </c>
      <c r="D216" s="2" t="s">
        <v>118</v>
      </c>
      <c r="E216" s="2" t="s">
        <v>312</v>
      </c>
      <c r="F216" s="2" t="s">
        <v>313</v>
      </c>
      <c r="G216" s="2" t="s">
        <v>482</v>
      </c>
      <c r="H216" s="2" t="s">
        <v>254</v>
      </c>
      <c r="I216" s="2" t="s">
        <v>255</v>
      </c>
      <c r="J216" s="2" t="s">
        <v>256</v>
      </c>
      <c r="K216" s="9">
        <v>45680</v>
      </c>
      <c r="L216" s="9">
        <v>45684</v>
      </c>
      <c r="M216" s="9">
        <v>45681</v>
      </c>
      <c r="N216" s="2" t="s">
        <v>125</v>
      </c>
      <c r="O216" s="2" t="s">
        <v>53</v>
      </c>
      <c r="P216" s="2" t="s">
        <v>457</v>
      </c>
      <c r="Q216" s="2" t="s">
        <v>272</v>
      </c>
      <c r="R216" s="2" t="s">
        <v>128</v>
      </c>
      <c r="S216" s="2" t="s">
        <v>259</v>
      </c>
      <c r="T216" s="10">
        <v>125478</v>
      </c>
      <c r="U216" s="11">
        <v>6.5500000000000003E-3</v>
      </c>
      <c r="V216" s="12">
        <f>T216*U216</f>
        <v>821.8809</v>
      </c>
      <c r="W216" s="13">
        <v>0.1</v>
      </c>
      <c r="X216" s="12">
        <f>V216-(V216/(1+W216))</f>
        <v>74.716445454545465</v>
      </c>
      <c r="Y216" s="12">
        <f>V216-X216</f>
        <v>747.16445454545453</v>
      </c>
      <c r="Z216" s="14">
        <v>1120</v>
      </c>
      <c r="AA216" s="2" t="str">
        <f>IF(V216&gt;Z216,"Yes","No")</f>
        <v>No</v>
      </c>
      <c r="AB216" s="12">
        <f>V216-Z216</f>
        <v>-298.1191</v>
      </c>
      <c r="AC216" s="15" t="s">
        <v>130</v>
      </c>
      <c r="AD216" s="15" t="s">
        <v>130</v>
      </c>
      <c r="AE216" s="15" t="s">
        <v>437</v>
      </c>
      <c r="AF216" s="12">
        <f>IF(AG216="Rejected",0,IF(R216="Corporate Card",0,V216))</f>
        <v>0</v>
      </c>
      <c r="AG216" s="15" t="s">
        <v>133</v>
      </c>
      <c r="AH216" s="16">
        <v>45695</v>
      </c>
      <c r="AI216" s="16">
        <v>45696</v>
      </c>
      <c r="AJ216" s="16">
        <v>45708</v>
      </c>
      <c r="AK216" s="17">
        <f>IF(AJ216="","",AJ216-AH216)</f>
        <v>13</v>
      </c>
    </row>
    <row r="217" spans="1:37">
      <c r="A217" s="2" t="s">
        <v>506</v>
      </c>
      <c r="B217" s="2" t="s">
        <v>310</v>
      </c>
      <c r="C217" s="2" t="s">
        <v>311</v>
      </c>
      <c r="D217" s="2" t="s">
        <v>118</v>
      </c>
      <c r="E217" s="2" t="s">
        <v>312</v>
      </c>
      <c r="F217" s="2" t="s">
        <v>313</v>
      </c>
      <c r="G217" s="2" t="s">
        <v>482</v>
      </c>
      <c r="H217" s="2" t="s">
        <v>254</v>
      </c>
      <c r="I217" s="2" t="s">
        <v>255</v>
      </c>
      <c r="J217" s="2" t="s">
        <v>256</v>
      </c>
      <c r="K217" s="9">
        <v>45680</v>
      </c>
      <c r="L217" s="9">
        <v>45684</v>
      </c>
      <c r="M217" s="9">
        <v>45681</v>
      </c>
      <c r="N217" s="2" t="s">
        <v>125</v>
      </c>
      <c r="O217" s="2" t="s">
        <v>54</v>
      </c>
      <c r="P217" s="2" t="s">
        <v>139</v>
      </c>
      <c r="Q217" s="2" t="s">
        <v>163</v>
      </c>
      <c r="R217" s="2" t="s">
        <v>128</v>
      </c>
      <c r="S217" s="2" t="s">
        <v>259</v>
      </c>
      <c r="T217" s="10">
        <v>2017</v>
      </c>
      <c r="U217" s="11">
        <v>6.5500000000000003E-3</v>
      </c>
      <c r="V217" s="12">
        <f>T217*U217</f>
        <v>13.211350000000001</v>
      </c>
      <c r="W217" s="13">
        <v>0.1</v>
      </c>
      <c r="X217" s="12">
        <f>V217-(V217/(1+W217))</f>
        <v>1.2010318181818196</v>
      </c>
      <c r="Y217" s="12">
        <f>V217-X217</f>
        <v>12.010318181818182</v>
      </c>
      <c r="Z217" s="14">
        <v>25</v>
      </c>
      <c r="AA217" s="2" t="str">
        <f>IF(V217&gt;Z217,"Yes","No")</f>
        <v>No</v>
      </c>
      <c r="AB217" s="12">
        <f>V217-Z217</f>
        <v>-11.788649999999999</v>
      </c>
      <c r="AC217" s="15" t="s">
        <v>130</v>
      </c>
      <c r="AD217" s="15" t="s">
        <v>130</v>
      </c>
      <c r="AE217" s="15" t="s">
        <v>437</v>
      </c>
      <c r="AF217" s="12">
        <f>IF(AG217="Rejected",0,IF(R217="Corporate Card",0,V217))</f>
        <v>0</v>
      </c>
      <c r="AG217" s="15" t="s">
        <v>133</v>
      </c>
      <c r="AH217" s="16">
        <v>45695</v>
      </c>
      <c r="AI217" s="16">
        <v>45696</v>
      </c>
      <c r="AJ217" s="16">
        <v>45708</v>
      </c>
      <c r="AK217" s="17">
        <f>IF(AJ217="","",AJ217-AH217)</f>
        <v>13</v>
      </c>
    </row>
    <row r="218" spans="1:37">
      <c r="A218" s="2" t="s">
        <v>507</v>
      </c>
      <c r="B218" s="2" t="s">
        <v>310</v>
      </c>
      <c r="C218" s="2" t="s">
        <v>311</v>
      </c>
      <c r="D218" s="2" t="s">
        <v>118</v>
      </c>
      <c r="E218" s="2" t="s">
        <v>312</v>
      </c>
      <c r="F218" s="2" t="s">
        <v>313</v>
      </c>
      <c r="G218" s="2" t="s">
        <v>482</v>
      </c>
      <c r="H218" s="2" t="s">
        <v>254</v>
      </c>
      <c r="I218" s="2" t="s">
        <v>255</v>
      </c>
      <c r="J218" s="2" t="s">
        <v>256</v>
      </c>
      <c r="K218" s="9">
        <v>45680</v>
      </c>
      <c r="L218" s="9">
        <v>45684</v>
      </c>
      <c r="M218" s="9">
        <v>45681</v>
      </c>
      <c r="N218" s="2" t="s">
        <v>125</v>
      </c>
      <c r="O218" s="2" t="s">
        <v>55</v>
      </c>
      <c r="P218" s="2" t="s">
        <v>139</v>
      </c>
      <c r="Q218" s="2" t="s">
        <v>217</v>
      </c>
      <c r="R218" s="2" t="s">
        <v>137</v>
      </c>
      <c r="S218" s="2" t="s">
        <v>259</v>
      </c>
      <c r="T218" s="10">
        <v>2588</v>
      </c>
      <c r="U218" s="11">
        <v>6.5500000000000003E-3</v>
      </c>
      <c r="V218" s="12">
        <f>T218*U218</f>
        <v>16.9514</v>
      </c>
      <c r="W218" s="13">
        <v>0.1</v>
      </c>
      <c r="X218" s="12">
        <f>V218-(V218/(1+W218))</f>
        <v>1.5410363636363655</v>
      </c>
      <c r="Y218" s="12">
        <f>V218-X218</f>
        <v>15.410363636363634</v>
      </c>
      <c r="Z218" s="14">
        <v>35</v>
      </c>
      <c r="AA218" s="2" t="str">
        <f>IF(V218&gt;Z218,"Yes","No")</f>
        <v>No</v>
      </c>
      <c r="AB218" s="12">
        <f>V218-Z218</f>
        <v>-18.0486</v>
      </c>
      <c r="AC218" s="15" t="s">
        <v>130</v>
      </c>
      <c r="AD218" s="15" t="s">
        <v>130</v>
      </c>
      <c r="AE218" s="15" t="s">
        <v>437</v>
      </c>
      <c r="AF218" s="12">
        <f>IF(AG218="Rejected",0,IF(R218="Corporate Card",0,V218))</f>
        <v>16.9514</v>
      </c>
      <c r="AG218" s="15" t="s">
        <v>133</v>
      </c>
      <c r="AH218" s="16">
        <v>45695</v>
      </c>
      <c r="AI218" s="16">
        <v>45696</v>
      </c>
      <c r="AJ218" s="16">
        <v>45708</v>
      </c>
      <c r="AK218" s="17">
        <f>IF(AJ218="","",AJ218-AH218)</f>
        <v>13</v>
      </c>
    </row>
    <row r="219" spans="1:37">
      <c r="A219" s="2" t="s">
        <v>508</v>
      </c>
      <c r="B219" s="2" t="s">
        <v>509</v>
      </c>
      <c r="C219" s="2" t="s">
        <v>510</v>
      </c>
      <c r="D219" s="2" t="s">
        <v>250</v>
      </c>
      <c r="E219" s="2" t="s">
        <v>511</v>
      </c>
      <c r="F219" s="2" t="s">
        <v>313</v>
      </c>
      <c r="G219" s="2" t="s">
        <v>512</v>
      </c>
      <c r="H219" s="2" t="s">
        <v>417</v>
      </c>
      <c r="I219" s="2" t="s">
        <v>194</v>
      </c>
      <c r="J219" s="2" t="s">
        <v>195</v>
      </c>
      <c r="K219" s="9">
        <v>45681</v>
      </c>
      <c r="L219" s="9">
        <v>45682</v>
      </c>
      <c r="M219" s="9">
        <v>45681</v>
      </c>
      <c r="N219" s="2" t="s">
        <v>125</v>
      </c>
      <c r="O219" s="2" t="s">
        <v>52</v>
      </c>
      <c r="P219" s="2" t="s">
        <v>196</v>
      </c>
      <c r="Q219" s="2" t="s">
        <v>513</v>
      </c>
      <c r="R219" s="2" t="s">
        <v>149</v>
      </c>
      <c r="S219" s="2" t="s">
        <v>198</v>
      </c>
      <c r="T219" s="10">
        <v>2099.37</v>
      </c>
      <c r="U219" s="11">
        <v>1.085</v>
      </c>
      <c r="V219" s="12">
        <f>T219*U219</f>
        <v>2277.8164499999998</v>
      </c>
      <c r="W219" s="13">
        <v>0</v>
      </c>
      <c r="X219" s="12">
        <f>V219-(V219/(1+W219))</f>
        <v>0</v>
      </c>
      <c r="Y219" s="12">
        <f>V219-X219</f>
        <v>2277.8164499999998</v>
      </c>
      <c r="Z219" s="14">
        <v>1400</v>
      </c>
      <c r="AA219" s="2" t="str">
        <f>IF(V219&gt;Z219,"Yes","No")</f>
        <v>Yes</v>
      </c>
      <c r="AB219" s="12">
        <f>V219-Z219</f>
        <v>877.8164499999998</v>
      </c>
      <c r="AC219" s="15" t="s">
        <v>131</v>
      </c>
      <c r="AD219" s="15" t="s">
        <v>131</v>
      </c>
      <c r="AE219" s="15" t="s">
        <v>514</v>
      </c>
      <c r="AF219" s="12">
        <f>IF(AG219="Rejected",0,IF(R219="Corporate Card",0,V219))</f>
        <v>2277.8164499999998</v>
      </c>
      <c r="AG219" s="15" t="s">
        <v>133</v>
      </c>
      <c r="AH219" s="16">
        <v>45692</v>
      </c>
      <c r="AI219" s="16">
        <v>45700</v>
      </c>
      <c r="AJ219" s="16">
        <v>45707</v>
      </c>
      <c r="AK219" s="17">
        <f>IF(AJ219="","",AJ219-AH219)</f>
        <v>15</v>
      </c>
    </row>
    <row r="220" spans="1:37">
      <c r="A220" s="2" t="s">
        <v>515</v>
      </c>
      <c r="B220" s="2" t="s">
        <v>509</v>
      </c>
      <c r="C220" s="2" t="s">
        <v>510</v>
      </c>
      <c r="D220" s="2" t="s">
        <v>250</v>
      </c>
      <c r="E220" s="2" t="s">
        <v>511</v>
      </c>
      <c r="F220" s="2" t="s">
        <v>313</v>
      </c>
      <c r="G220" s="2" t="s">
        <v>512</v>
      </c>
      <c r="H220" s="2" t="s">
        <v>417</v>
      </c>
      <c r="I220" s="2" t="s">
        <v>194</v>
      </c>
      <c r="J220" s="2" t="s">
        <v>195</v>
      </c>
      <c r="K220" s="9">
        <v>45681</v>
      </c>
      <c r="L220" s="9">
        <v>45682</v>
      </c>
      <c r="M220" s="9">
        <v>45681</v>
      </c>
      <c r="N220" s="2" t="s">
        <v>125</v>
      </c>
      <c r="O220" s="2" t="s">
        <v>58</v>
      </c>
      <c r="P220" s="2" t="s">
        <v>142</v>
      </c>
      <c r="Q220" s="2" t="s">
        <v>156</v>
      </c>
      <c r="R220" s="2" t="s">
        <v>128</v>
      </c>
      <c r="S220" s="2" t="s">
        <v>198</v>
      </c>
      <c r="T220" s="10">
        <v>54.71</v>
      </c>
      <c r="U220" s="11">
        <v>1.085</v>
      </c>
      <c r="V220" s="12">
        <f>T220*U220</f>
        <v>59.360349999999997</v>
      </c>
      <c r="W220" s="13">
        <v>0.19</v>
      </c>
      <c r="X220" s="12">
        <f>V220-(V220/(1+W220))</f>
        <v>9.4777029411764673</v>
      </c>
      <c r="Y220" s="12">
        <f>V220-X220</f>
        <v>49.88264705882353</v>
      </c>
      <c r="Z220" s="14">
        <v>60</v>
      </c>
      <c r="AA220" s="2" t="str">
        <f>IF(V220&gt;Z220,"Yes","No")</f>
        <v>No</v>
      </c>
      <c r="AB220" s="12">
        <f>V220-Z220</f>
        <v>-0.63965000000000316</v>
      </c>
      <c r="AC220" s="15" t="s">
        <v>130</v>
      </c>
      <c r="AD220" s="15" t="s">
        <v>131</v>
      </c>
      <c r="AE220" s="15" t="s">
        <v>514</v>
      </c>
      <c r="AF220" s="12">
        <f>IF(AG220="Rejected",0,IF(R220="Corporate Card",0,V220))</f>
        <v>0</v>
      </c>
      <c r="AG220" s="15" t="s">
        <v>133</v>
      </c>
      <c r="AH220" s="16">
        <v>45692</v>
      </c>
      <c r="AI220" s="16">
        <v>45700</v>
      </c>
      <c r="AJ220" s="16">
        <v>45707</v>
      </c>
      <c r="AK220" s="17">
        <f>IF(AJ220="","",AJ220-AH220)</f>
        <v>15</v>
      </c>
    </row>
    <row r="221" spans="1:37">
      <c r="A221" s="2" t="s">
        <v>516</v>
      </c>
      <c r="B221" s="2" t="s">
        <v>509</v>
      </c>
      <c r="C221" s="2" t="s">
        <v>510</v>
      </c>
      <c r="D221" s="2" t="s">
        <v>250</v>
      </c>
      <c r="E221" s="2" t="s">
        <v>511</v>
      </c>
      <c r="F221" s="2" t="s">
        <v>313</v>
      </c>
      <c r="G221" s="2" t="s">
        <v>512</v>
      </c>
      <c r="H221" s="2" t="s">
        <v>417</v>
      </c>
      <c r="I221" s="2" t="s">
        <v>194</v>
      </c>
      <c r="J221" s="2" t="s">
        <v>195</v>
      </c>
      <c r="K221" s="9">
        <v>45681</v>
      </c>
      <c r="L221" s="9">
        <v>45682</v>
      </c>
      <c r="M221" s="9">
        <v>45681</v>
      </c>
      <c r="N221" s="2" t="s">
        <v>125</v>
      </c>
      <c r="O221" s="2" t="s">
        <v>54</v>
      </c>
      <c r="P221" s="2" t="s">
        <v>139</v>
      </c>
      <c r="Q221" s="2" t="s">
        <v>214</v>
      </c>
      <c r="R221" s="2" t="s">
        <v>137</v>
      </c>
      <c r="S221" s="2" t="s">
        <v>198</v>
      </c>
      <c r="T221" s="10">
        <v>19.41</v>
      </c>
      <c r="U221" s="11">
        <v>1.085</v>
      </c>
      <c r="V221" s="12">
        <f>T221*U221</f>
        <v>21.059850000000001</v>
      </c>
      <c r="W221" s="13">
        <v>0.19</v>
      </c>
      <c r="X221" s="12">
        <f>V221-(V221/(1+W221))</f>
        <v>3.3624970588235286</v>
      </c>
      <c r="Y221" s="12">
        <f>V221-X221</f>
        <v>17.697352941176472</v>
      </c>
      <c r="Z221" s="14">
        <v>25</v>
      </c>
      <c r="AA221" s="2" t="str">
        <f>IF(V221&gt;Z221,"Yes","No")</f>
        <v>No</v>
      </c>
      <c r="AB221" s="12">
        <f>V221-Z221</f>
        <v>-3.9401499999999992</v>
      </c>
      <c r="AC221" s="15" t="s">
        <v>130</v>
      </c>
      <c r="AD221" s="15" t="s">
        <v>131</v>
      </c>
      <c r="AE221" s="15" t="s">
        <v>514</v>
      </c>
      <c r="AF221" s="12">
        <f>IF(AG221="Rejected",0,IF(R221="Corporate Card",0,V221))</f>
        <v>21.059850000000001</v>
      </c>
      <c r="AG221" s="15" t="s">
        <v>133</v>
      </c>
      <c r="AH221" s="16">
        <v>45692</v>
      </c>
      <c r="AI221" s="16">
        <v>45700</v>
      </c>
      <c r="AJ221" s="16">
        <v>45707</v>
      </c>
      <c r="AK221" s="17">
        <f>IF(AJ221="","",AJ221-AH221)</f>
        <v>15</v>
      </c>
    </row>
    <row r="222" spans="1:37">
      <c r="A222" s="2" t="s">
        <v>517</v>
      </c>
      <c r="B222" s="2" t="s">
        <v>509</v>
      </c>
      <c r="C222" s="2" t="s">
        <v>510</v>
      </c>
      <c r="D222" s="2" t="s">
        <v>250</v>
      </c>
      <c r="E222" s="2" t="s">
        <v>511</v>
      </c>
      <c r="F222" s="2" t="s">
        <v>313</v>
      </c>
      <c r="G222" s="2" t="s">
        <v>512</v>
      </c>
      <c r="H222" s="2" t="s">
        <v>417</v>
      </c>
      <c r="I222" s="2" t="s">
        <v>194</v>
      </c>
      <c r="J222" s="2" t="s">
        <v>195</v>
      </c>
      <c r="K222" s="9">
        <v>45681</v>
      </c>
      <c r="L222" s="9">
        <v>45682</v>
      </c>
      <c r="M222" s="9">
        <v>45681</v>
      </c>
      <c r="N222" s="2" t="s">
        <v>125</v>
      </c>
      <c r="O222" s="2" t="s">
        <v>56</v>
      </c>
      <c r="P222" s="2" t="s">
        <v>231</v>
      </c>
      <c r="Q222" s="2" t="s">
        <v>166</v>
      </c>
      <c r="R222" s="2" t="s">
        <v>128</v>
      </c>
      <c r="S222" s="2" t="s">
        <v>198</v>
      </c>
      <c r="T222" s="10">
        <v>51.21</v>
      </c>
      <c r="U222" s="11">
        <v>1.085</v>
      </c>
      <c r="V222" s="12">
        <f>T222*U222</f>
        <v>55.562849999999997</v>
      </c>
      <c r="W222" s="13">
        <v>0.19</v>
      </c>
      <c r="X222" s="12">
        <f>V222-(V222/(1+W222))</f>
        <v>8.8713794117647069</v>
      </c>
      <c r="Y222" s="12">
        <f>V222-X222</f>
        <v>46.691470588235291</v>
      </c>
      <c r="Z222" s="14">
        <v>75</v>
      </c>
      <c r="AA222" s="2" t="str">
        <f>IF(V222&gt;Z222,"Yes","No")</f>
        <v>No</v>
      </c>
      <c r="AB222" s="12">
        <f>V222-Z222</f>
        <v>-19.437150000000003</v>
      </c>
      <c r="AC222" s="15" t="s">
        <v>130</v>
      </c>
      <c r="AD222" s="15" t="s">
        <v>131</v>
      </c>
      <c r="AE222" s="15" t="s">
        <v>514</v>
      </c>
      <c r="AF222" s="12">
        <f>IF(AG222="Rejected",0,IF(R222="Corporate Card",0,V222))</f>
        <v>0</v>
      </c>
      <c r="AG222" s="15" t="s">
        <v>133</v>
      </c>
      <c r="AH222" s="16">
        <v>45692</v>
      </c>
      <c r="AI222" s="16">
        <v>45700</v>
      </c>
      <c r="AJ222" s="16">
        <v>45707</v>
      </c>
      <c r="AK222" s="17">
        <f>IF(AJ222="","",AJ222-AH222)</f>
        <v>15</v>
      </c>
    </row>
    <row r="223" spans="1:37">
      <c r="A223" s="2" t="s">
        <v>518</v>
      </c>
      <c r="B223" s="2" t="s">
        <v>509</v>
      </c>
      <c r="C223" s="2" t="s">
        <v>510</v>
      </c>
      <c r="D223" s="2" t="s">
        <v>250</v>
      </c>
      <c r="E223" s="2" t="s">
        <v>511</v>
      </c>
      <c r="F223" s="2" t="s">
        <v>313</v>
      </c>
      <c r="G223" s="2" t="s">
        <v>512</v>
      </c>
      <c r="H223" s="2" t="s">
        <v>417</v>
      </c>
      <c r="I223" s="2" t="s">
        <v>194</v>
      </c>
      <c r="J223" s="2" t="s">
        <v>195</v>
      </c>
      <c r="K223" s="9">
        <v>45681</v>
      </c>
      <c r="L223" s="9">
        <v>45682</v>
      </c>
      <c r="M223" s="9">
        <v>45681</v>
      </c>
      <c r="N223" s="2" t="s">
        <v>125</v>
      </c>
      <c r="O223" s="2" t="s">
        <v>55</v>
      </c>
      <c r="P223" s="2" t="s">
        <v>139</v>
      </c>
      <c r="Q223" s="2" t="s">
        <v>217</v>
      </c>
      <c r="R223" s="2" t="s">
        <v>128</v>
      </c>
      <c r="S223" s="2" t="s">
        <v>198</v>
      </c>
      <c r="T223" s="10">
        <v>16.03</v>
      </c>
      <c r="U223" s="11">
        <v>1.085</v>
      </c>
      <c r="V223" s="12">
        <f>T223*U223</f>
        <v>17.39255</v>
      </c>
      <c r="W223" s="13">
        <v>0.19</v>
      </c>
      <c r="X223" s="12">
        <f>V223-(V223/(1+W223))</f>
        <v>2.7769617647058809</v>
      </c>
      <c r="Y223" s="12">
        <f>V223-X223</f>
        <v>14.615588235294119</v>
      </c>
      <c r="Z223" s="14">
        <v>35</v>
      </c>
      <c r="AA223" s="2" t="str">
        <f>IF(V223&gt;Z223,"Yes","No")</f>
        <v>No</v>
      </c>
      <c r="AB223" s="12">
        <f>V223-Z223</f>
        <v>-17.60745</v>
      </c>
      <c r="AC223" s="15" t="s">
        <v>130</v>
      </c>
      <c r="AD223" s="15" t="s">
        <v>131</v>
      </c>
      <c r="AE223" s="15" t="s">
        <v>514</v>
      </c>
      <c r="AF223" s="12">
        <f>IF(AG223="Rejected",0,IF(R223="Corporate Card",0,V223))</f>
        <v>0</v>
      </c>
      <c r="AG223" s="15" t="s">
        <v>133</v>
      </c>
      <c r="AH223" s="16">
        <v>45692</v>
      </c>
      <c r="AI223" s="16">
        <v>45700</v>
      </c>
      <c r="AJ223" s="16">
        <v>45707</v>
      </c>
      <c r="AK223" s="17">
        <f>IF(AJ223="","",AJ223-AH223)</f>
        <v>15</v>
      </c>
    </row>
    <row r="224" spans="1:37">
      <c r="A224" s="2" t="s">
        <v>519</v>
      </c>
      <c r="B224" s="2" t="s">
        <v>412</v>
      </c>
      <c r="C224" s="2" t="s">
        <v>413</v>
      </c>
      <c r="D224" s="2" t="s">
        <v>414</v>
      </c>
      <c r="E224" s="2" t="s">
        <v>415</v>
      </c>
      <c r="F224" s="2" t="s">
        <v>313</v>
      </c>
      <c r="G224" s="2" t="s">
        <v>416</v>
      </c>
      <c r="H224" s="2" t="s">
        <v>417</v>
      </c>
      <c r="I224" s="2" t="s">
        <v>418</v>
      </c>
      <c r="J224" s="2" t="s">
        <v>381</v>
      </c>
      <c r="K224" s="9">
        <v>45677</v>
      </c>
      <c r="L224" s="9">
        <v>45684</v>
      </c>
      <c r="M224" s="9">
        <v>45681</v>
      </c>
      <c r="N224" s="2" t="s">
        <v>125</v>
      </c>
      <c r="O224" s="2" t="s">
        <v>58</v>
      </c>
      <c r="P224" s="2" t="s">
        <v>142</v>
      </c>
      <c r="Q224" s="2" t="s">
        <v>296</v>
      </c>
      <c r="R224" s="2" t="s">
        <v>149</v>
      </c>
      <c r="S224" s="2" t="s">
        <v>383</v>
      </c>
      <c r="T224" s="10">
        <v>43.89</v>
      </c>
      <c r="U224" s="11">
        <v>1</v>
      </c>
      <c r="V224" s="12">
        <f>T224*U224</f>
        <v>43.89</v>
      </c>
      <c r="W224" s="13">
        <v>0</v>
      </c>
      <c r="X224" s="12">
        <f>V224-(V224/(1+W224))</f>
        <v>0</v>
      </c>
      <c r="Y224" s="12">
        <f>V224-X224</f>
        <v>43.89</v>
      </c>
      <c r="Z224" s="14">
        <v>60</v>
      </c>
      <c r="AA224" s="2" t="str">
        <f>IF(V224&gt;Z224,"Yes","No")</f>
        <v>No</v>
      </c>
      <c r="AB224" s="12">
        <f>V224-Z224</f>
        <v>-16.11</v>
      </c>
      <c r="AC224" s="15" t="s">
        <v>130</v>
      </c>
      <c r="AD224" s="15" t="s">
        <v>130</v>
      </c>
      <c r="AE224" s="15" t="s">
        <v>421</v>
      </c>
      <c r="AF224" s="12">
        <f>IF(AG224="Rejected",0,IF(R224="Corporate Card",0,V224))</f>
        <v>43.89</v>
      </c>
      <c r="AG224" s="15" t="s">
        <v>133</v>
      </c>
      <c r="AH224" s="16">
        <v>45696</v>
      </c>
      <c r="AI224" s="16">
        <v>45702</v>
      </c>
      <c r="AJ224" s="16">
        <v>45712</v>
      </c>
      <c r="AK224" s="17">
        <f>IF(AJ224="","",AJ224-AH224)</f>
        <v>16</v>
      </c>
    </row>
    <row r="225" spans="1:37">
      <c r="A225" s="2" t="s">
        <v>520</v>
      </c>
      <c r="B225" s="2" t="s">
        <v>412</v>
      </c>
      <c r="C225" s="2" t="s">
        <v>413</v>
      </c>
      <c r="D225" s="2" t="s">
        <v>414</v>
      </c>
      <c r="E225" s="2" t="s">
        <v>415</v>
      </c>
      <c r="F225" s="2" t="s">
        <v>313</v>
      </c>
      <c r="G225" s="2" t="s">
        <v>416</v>
      </c>
      <c r="H225" s="2" t="s">
        <v>417</v>
      </c>
      <c r="I225" s="2" t="s">
        <v>418</v>
      </c>
      <c r="J225" s="2" t="s">
        <v>381</v>
      </c>
      <c r="K225" s="9">
        <v>45677</v>
      </c>
      <c r="L225" s="9">
        <v>45684</v>
      </c>
      <c r="M225" s="9">
        <v>45681</v>
      </c>
      <c r="N225" s="2" t="s">
        <v>125</v>
      </c>
      <c r="O225" s="2" t="s">
        <v>54</v>
      </c>
      <c r="P225" s="2" t="s">
        <v>139</v>
      </c>
      <c r="Q225" s="2" t="s">
        <v>214</v>
      </c>
      <c r="R225" s="2" t="s">
        <v>149</v>
      </c>
      <c r="S225" s="2" t="s">
        <v>383</v>
      </c>
      <c r="T225" s="10">
        <v>20.13</v>
      </c>
      <c r="U225" s="11">
        <v>1</v>
      </c>
      <c r="V225" s="12">
        <f>T225*U225</f>
        <v>20.13</v>
      </c>
      <c r="W225" s="13">
        <v>0</v>
      </c>
      <c r="X225" s="12">
        <f>V225-(V225/(1+W225))</f>
        <v>0</v>
      </c>
      <c r="Y225" s="12">
        <f>V225-X225</f>
        <v>20.13</v>
      </c>
      <c r="Z225" s="14">
        <v>25</v>
      </c>
      <c r="AA225" s="2" t="str">
        <f>IF(V225&gt;Z225,"Yes","No")</f>
        <v>No</v>
      </c>
      <c r="AB225" s="12">
        <f>V225-Z225</f>
        <v>-4.870000000000001</v>
      </c>
      <c r="AC225" s="15" t="s">
        <v>130</v>
      </c>
      <c r="AD225" s="15" t="s">
        <v>130</v>
      </c>
      <c r="AE225" s="15" t="s">
        <v>421</v>
      </c>
      <c r="AF225" s="12">
        <f>IF(AG225="Rejected",0,IF(R225="Corporate Card",0,V225))</f>
        <v>20.13</v>
      </c>
      <c r="AG225" s="15" t="s">
        <v>133</v>
      </c>
      <c r="AH225" s="16">
        <v>45696</v>
      </c>
      <c r="AI225" s="16">
        <v>45702</v>
      </c>
      <c r="AJ225" s="16">
        <v>45712</v>
      </c>
      <c r="AK225" s="17">
        <f>IF(AJ225="","",AJ225-AH225)</f>
        <v>16</v>
      </c>
    </row>
    <row r="226" spans="1:37">
      <c r="A226" s="2" t="s">
        <v>521</v>
      </c>
      <c r="B226" s="2" t="s">
        <v>412</v>
      </c>
      <c r="C226" s="2" t="s">
        <v>413</v>
      </c>
      <c r="D226" s="2" t="s">
        <v>414</v>
      </c>
      <c r="E226" s="2" t="s">
        <v>415</v>
      </c>
      <c r="F226" s="2" t="s">
        <v>313</v>
      </c>
      <c r="G226" s="2" t="s">
        <v>416</v>
      </c>
      <c r="H226" s="2" t="s">
        <v>417</v>
      </c>
      <c r="I226" s="2" t="s">
        <v>418</v>
      </c>
      <c r="J226" s="2" t="s">
        <v>381</v>
      </c>
      <c r="K226" s="9">
        <v>45677</v>
      </c>
      <c r="L226" s="9">
        <v>45684</v>
      </c>
      <c r="M226" s="9">
        <v>45681</v>
      </c>
      <c r="N226" s="2" t="s">
        <v>125</v>
      </c>
      <c r="O226" s="2" t="s">
        <v>56</v>
      </c>
      <c r="P226" s="2" t="s">
        <v>245</v>
      </c>
      <c r="Q226" s="2" t="s">
        <v>185</v>
      </c>
      <c r="R226" s="2" t="s">
        <v>137</v>
      </c>
      <c r="S226" s="2" t="s">
        <v>383</v>
      </c>
      <c r="T226" s="10">
        <v>68.84</v>
      </c>
      <c r="U226" s="11">
        <v>1</v>
      </c>
      <c r="V226" s="12">
        <f>T226*U226</f>
        <v>68.84</v>
      </c>
      <c r="W226" s="13">
        <v>0</v>
      </c>
      <c r="X226" s="12">
        <f>V226-(V226/(1+W226))</f>
        <v>0</v>
      </c>
      <c r="Y226" s="12">
        <f>V226-X226</f>
        <v>68.84</v>
      </c>
      <c r="Z226" s="14">
        <v>75</v>
      </c>
      <c r="AA226" s="2" t="str">
        <f>IF(V226&gt;Z226,"Yes","No")</f>
        <v>No</v>
      </c>
      <c r="AB226" s="12">
        <f>V226-Z226</f>
        <v>-6.1599999999999966</v>
      </c>
      <c r="AC226" s="15" t="s">
        <v>130</v>
      </c>
      <c r="AD226" s="15" t="s">
        <v>130</v>
      </c>
      <c r="AE226" s="15" t="s">
        <v>421</v>
      </c>
      <c r="AF226" s="12">
        <f>IF(AG226="Rejected",0,IF(R226="Corporate Card",0,V226))</f>
        <v>68.84</v>
      </c>
      <c r="AG226" s="15" t="s">
        <v>133</v>
      </c>
      <c r="AH226" s="16">
        <v>45696</v>
      </c>
      <c r="AI226" s="16">
        <v>45702</v>
      </c>
      <c r="AJ226" s="16">
        <v>45712</v>
      </c>
      <c r="AK226" s="17">
        <f>IF(AJ226="","",AJ226-AH226)</f>
        <v>16</v>
      </c>
    </row>
    <row r="227" spans="1:37">
      <c r="A227" s="2" t="s">
        <v>522</v>
      </c>
      <c r="B227" s="2" t="s">
        <v>412</v>
      </c>
      <c r="C227" s="2" t="s">
        <v>413</v>
      </c>
      <c r="D227" s="2" t="s">
        <v>414</v>
      </c>
      <c r="E227" s="2" t="s">
        <v>415</v>
      </c>
      <c r="F227" s="2" t="s">
        <v>313</v>
      </c>
      <c r="G227" s="2" t="s">
        <v>416</v>
      </c>
      <c r="H227" s="2" t="s">
        <v>417</v>
      </c>
      <c r="I227" s="2" t="s">
        <v>418</v>
      </c>
      <c r="J227" s="2" t="s">
        <v>381</v>
      </c>
      <c r="K227" s="9">
        <v>45677</v>
      </c>
      <c r="L227" s="9">
        <v>45684</v>
      </c>
      <c r="M227" s="9">
        <v>45681</v>
      </c>
      <c r="N227" s="2" t="s">
        <v>125</v>
      </c>
      <c r="O227" s="2" t="s">
        <v>55</v>
      </c>
      <c r="P227" s="2" t="s">
        <v>139</v>
      </c>
      <c r="Q227" s="2" t="s">
        <v>154</v>
      </c>
      <c r="R227" s="2" t="s">
        <v>137</v>
      </c>
      <c r="S227" s="2" t="s">
        <v>383</v>
      </c>
      <c r="T227" s="10">
        <v>27.39</v>
      </c>
      <c r="U227" s="11">
        <v>1</v>
      </c>
      <c r="V227" s="12">
        <f>T227*U227</f>
        <v>27.39</v>
      </c>
      <c r="W227" s="13">
        <v>0</v>
      </c>
      <c r="X227" s="12">
        <f>V227-(V227/(1+W227))</f>
        <v>0</v>
      </c>
      <c r="Y227" s="12">
        <f>V227-X227</f>
        <v>27.39</v>
      </c>
      <c r="Z227" s="14">
        <v>35</v>
      </c>
      <c r="AA227" s="2" t="str">
        <f>IF(V227&gt;Z227,"Yes","No")</f>
        <v>No</v>
      </c>
      <c r="AB227" s="12">
        <f>V227-Z227</f>
        <v>-7.6099999999999994</v>
      </c>
      <c r="AC227" s="15" t="s">
        <v>131</v>
      </c>
      <c r="AD227" s="15" t="s">
        <v>130</v>
      </c>
      <c r="AE227" s="15" t="s">
        <v>421</v>
      </c>
      <c r="AF227" s="12">
        <f>IF(AG227="Rejected",0,IF(R227="Corporate Card",0,V227))</f>
        <v>27.39</v>
      </c>
      <c r="AG227" s="15" t="s">
        <v>133</v>
      </c>
      <c r="AH227" s="16">
        <v>45696</v>
      </c>
      <c r="AI227" s="16">
        <v>45702</v>
      </c>
      <c r="AJ227" s="16">
        <v>45712</v>
      </c>
      <c r="AK227" s="17">
        <f>IF(AJ227="","",AJ227-AH227)</f>
        <v>16</v>
      </c>
    </row>
    <row r="228" spans="1:37">
      <c r="A228" s="2" t="s">
        <v>523</v>
      </c>
      <c r="B228" s="2" t="s">
        <v>412</v>
      </c>
      <c r="C228" s="2" t="s">
        <v>413</v>
      </c>
      <c r="D228" s="2" t="s">
        <v>414</v>
      </c>
      <c r="E228" s="2" t="s">
        <v>415</v>
      </c>
      <c r="F228" s="2" t="s">
        <v>313</v>
      </c>
      <c r="G228" s="2" t="s">
        <v>432</v>
      </c>
      <c r="H228" s="2" t="s">
        <v>417</v>
      </c>
      <c r="I228" s="2" t="s">
        <v>433</v>
      </c>
      <c r="J228" s="2" t="s">
        <v>434</v>
      </c>
      <c r="K228" s="9">
        <v>45677</v>
      </c>
      <c r="L228" s="9">
        <v>45681</v>
      </c>
      <c r="M228" s="9">
        <v>45681</v>
      </c>
      <c r="N228" s="2" t="s">
        <v>125</v>
      </c>
      <c r="O228" s="2" t="s">
        <v>55</v>
      </c>
      <c r="P228" s="2" t="s">
        <v>139</v>
      </c>
      <c r="Q228" s="2" t="s">
        <v>154</v>
      </c>
      <c r="R228" s="2" t="s">
        <v>128</v>
      </c>
      <c r="S228" s="2" t="s">
        <v>436</v>
      </c>
      <c r="T228" s="10">
        <v>1070</v>
      </c>
      <c r="U228" s="11">
        <v>1.1780000000000001E-2</v>
      </c>
      <c r="V228" s="12">
        <f>T228*U228</f>
        <v>12.604600000000001</v>
      </c>
      <c r="W228" s="13">
        <v>0.18</v>
      </c>
      <c r="X228" s="12">
        <f>V228-(V228/(1+W228))</f>
        <v>1.922735593220338</v>
      </c>
      <c r="Y228" s="12">
        <f>V228-X228</f>
        <v>10.681864406779663</v>
      </c>
      <c r="Z228" s="14">
        <v>35</v>
      </c>
      <c r="AA228" s="2" t="str">
        <f>IF(V228&gt;Z228,"Yes","No")</f>
        <v>No</v>
      </c>
      <c r="AB228" s="12">
        <f>V228-Z228</f>
        <v>-22.395399999999999</v>
      </c>
      <c r="AC228" s="15" t="s">
        <v>130</v>
      </c>
      <c r="AD228" s="15" t="s">
        <v>130</v>
      </c>
      <c r="AE228" s="15" t="s">
        <v>437</v>
      </c>
      <c r="AF228" s="12">
        <f>IF(AG228="Rejected",0,IF(R228="Corporate Card",0,V228))</f>
        <v>0</v>
      </c>
      <c r="AG228" s="15" t="s">
        <v>133</v>
      </c>
      <c r="AH228" s="16">
        <v>45693</v>
      </c>
      <c r="AI228" s="16">
        <v>45700</v>
      </c>
      <c r="AJ228" s="16">
        <v>45707</v>
      </c>
      <c r="AK228" s="17">
        <f>IF(AJ228="","",AJ228-AH228)</f>
        <v>14</v>
      </c>
    </row>
    <row r="229" spans="1:37">
      <c r="A229" s="2" t="s">
        <v>524</v>
      </c>
      <c r="B229" s="2" t="s">
        <v>442</v>
      </c>
      <c r="C229" s="2" t="s">
        <v>443</v>
      </c>
      <c r="D229" s="2" t="s">
        <v>444</v>
      </c>
      <c r="E229" s="2" t="s">
        <v>445</v>
      </c>
      <c r="F229" s="2" t="s">
        <v>446</v>
      </c>
      <c r="G229" s="2" t="s">
        <v>447</v>
      </c>
      <c r="H229" s="2" t="s">
        <v>448</v>
      </c>
      <c r="I229" s="2" t="s">
        <v>418</v>
      </c>
      <c r="J229" s="2" t="s">
        <v>381</v>
      </c>
      <c r="K229" s="9">
        <v>45677</v>
      </c>
      <c r="L229" s="9">
        <v>45683</v>
      </c>
      <c r="M229" s="9">
        <v>45681</v>
      </c>
      <c r="N229" s="2" t="s">
        <v>125</v>
      </c>
      <c r="O229" s="2" t="s">
        <v>54</v>
      </c>
      <c r="P229" s="2" t="s">
        <v>139</v>
      </c>
      <c r="Q229" s="2" t="s">
        <v>148</v>
      </c>
      <c r="R229" s="2" t="s">
        <v>128</v>
      </c>
      <c r="S229" s="2" t="s">
        <v>383</v>
      </c>
      <c r="T229" s="10">
        <v>20.63</v>
      </c>
      <c r="U229" s="11">
        <v>1</v>
      </c>
      <c r="V229" s="12">
        <f>T229*U229</f>
        <v>20.63</v>
      </c>
      <c r="W229" s="13">
        <v>0</v>
      </c>
      <c r="X229" s="12">
        <f>V229-(V229/(1+W229))</f>
        <v>0</v>
      </c>
      <c r="Y229" s="12">
        <f>V229-X229</f>
        <v>20.63</v>
      </c>
      <c r="Z229" s="14">
        <v>25</v>
      </c>
      <c r="AA229" s="2" t="str">
        <f>IF(V229&gt;Z229,"Yes","No")</f>
        <v>No</v>
      </c>
      <c r="AB229" s="12">
        <f>V229-Z229</f>
        <v>-4.370000000000001</v>
      </c>
      <c r="AC229" s="15" t="s">
        <v>130</v>
      </c>
      <c r="AD229" s="15" t="s">
        <v>131</v>
      </c>
      <c r="AE229" s="15" t="s">
        <v>350</v>
      </c>
      <c r="AF229" s="12">
        <f>IF(AG229="Rejected",0,IF(R229="Corporate Card",0,V229))</f>
        <v>0</v>
      </c>
      <c r="AG229" s="15" t="s">
        <v>133</v>
      </c>
      <c r="AH229" s="16">
        <v>45687</v>
      </c>
      <c r="AI229" s="16">
        <v>45693</v>
      </c>
      <c r="AJ229" s="16">
        <v>45700</v>
      </c>
      <c r="AK229" s="17">
        <f>IF(AJ229="","",AJ229-AH229)</f>
        <v>13</v>
      </c>
    </row>
    <row r="230" spans="1:37">
      <c r="A230" s="2" t="s">
        <v>525</v>
      </c>
      <c r="B230" s="2" t="s">
        <v>442</v>
      </c>
      <c r="C230" s="2" t="s">
        <v>443</v>
      </c>
      <c r="D230" s="2" t="s">
        <v>444</v>
      </c>
      <c r="E230" s="2" t="s">
        <v>445</v>
      </c>
      <c r="F230" s="2" t="s">
        <v>446</v>
      </c>
      <c r="G230" s="2" t="s">
        <v>447</v>
      </c>
      <c r="H230" s="2" t="s">
        <v>448</v>
      </c>
      <c r="I230" s="2" t="s">
        <v>418</v>
      </c>
      <c r="J230" s="2" t="s">
        <v>381</v>
      </c>
      <c r="K230" s="9">
        <v>45677</v>
      </c>
      <c r="L230" s="9">
        <v>45683</v>
      </c>
      <c r="M230" s="9">
        <v>45681</v>
      </c>
      <c r="N230" s="2" t="s">
        <v>125</v>
      </c>
      <c r="O230" s="2" t="s">
        <v>56</v>
      </c>
      <c r="P230" s="2" t="s">
        <v>165</v>
      </c>
      <c r="Q230" s="2" t="s">
        <v>159</v>
      </c>
      <c r="R230" s="2" t="s">
        <v>128</v>
      </c>
      <c r="S230" s="2" t="s">
        <v>383</v>
      </c>
      <c r="T230" s="10">
        <v>45.59</v>
      </c>
      <c r="U230" s="11">
        <v>1</v>
      </c>
      <c r="V230" s="12">
        <f>T230*U230</f>
        <v>45.59</v>
      </c>
      <c r="W230" s="13">
        <v>0</v>
      </c>
      <c r="X230" s="12">
        <f>V230-(V230/(1+W230))</f>
        <v>0</v>
      </c>
      <c r="Y230" s="12">
        <f>V230-X230</f>
        <v>45.59</v>
      </c>
      <c r="Z230" s="14">
        <v>75</v>
      </c>
      <c r="AA230" s="2" t="str">
        <f>IF(V230&gt;Z230,"Yes","No")</f>
        <v>No</v>
      </c>
      <c r="AB230" s="12">
        <f>V230-Z230</f>
        <v>-29.409999999999997</v>
      </c>
      <c r="AC230" s="15" t="s">
        <v>130</v>
      </c>
      <c r="AD230" s="15" t="s">
        <v>131</v>
      </c>
      <c r="AE230" s="15" t="s">
        <v>350</v>
      </c>
      <c r="AF230" s="12">
        <f>IF(AG230="Rejected",0,IF(R230="Corporate Card",0,V230))</f>
        <v>0</v>
      </c>
      <c r="AG230" s="15" t="s">
        <v>133</v>
      </c>
      <c r="AH230" s="16">
        <v>45687</v>
      </c>
      <c r="AI230" s="16">
        <v>45693</v>
      </c>
      <c r="AJ230" s="16">
        <v>45700</v>
      </c>
      <c r="AK230" s="17">
        <f>IF(AJ230="","",AJ230-AH230)</f>
        <v>13</v>
      </c>
    </row>
    <row r="231" spans="1:37">
      <c r="A231" s="2" t="s">
        <v>526</v>
      </c>
      <c r="B231" s="2" t="s">
        <v>442</v>
      </c>
      <c r="C231" s="2" t="s">
        <v>443</v>
      </c>
      <c r="D231" s="2" t="s">
        <v>444</v>
      </c>
      <c r="E231" s="2" t="s">
        <v>445</v>
      </c>
      <c r="F231" s="2" t="s">
        <v>446</v>
      </c>
      <c r="G231" s="2" t="s">
        <v>447</v>
      </c>
      <c r="H231" s="2" t="s">
        <v>448</v>
      </c>
      <c r="I231" s="2" t="s">
        <v>418</v>
      </c>
      <c r="J231" s="2" t="s">
        <v>381</v>
      </c>
      <c r="K231" s="9">
        <v>45677</v>
      </c>
      <c r="L231" s="9">
        <v>45683</v>
      </c>
      <c r="M231" s="9">
        <v>45681</v>
      </c>
      <c r="N231" s="2" t="s">
        <v>125</v>
      </c>
      <c r="O231" s="2" t="s">
        <v>55</v>
      </c>
      <c r="P231" s="2" t="s">
        <v>139</v>
      </c>
      <c r="Q231" s="2" t="s">
        <v>187</v>
      </c>
      <c r="R231" s="2" t="s">
        <v>128</v>
      </c>
      <c r="S231" s="2" t="s">
        <v>383</v>
      </c>
      <c r="T231" s="10">
        <v>21.81</v>
      </c>
      <c r="U231" s="11">
        <v>1</v>
      </c>
      <c r="V231" s="12">
        <f>T231*U231</f>
        <v>21.81</v>
      </c>
      <c r="W231" s="13">
        <v>0</v>
      </c>
      <c r="X231" s="12">
        <f>V231-(V231/(1+W231))</f>
        <v>0</v>
      </c>
      <c r="Y231" s="12">
        <f>V231-X231</f>
        <v>21.81</v>
      </c>
      <c r="Z231" s="14">
        <v>35</v>
      </c>
      <c r="AA231" s="2" t="str">
        <f>IF(V231&gt;Z231,"Yes","No")</f>
        <v>No</v>
      </c>
      <c r="AB231" s="12">
        <f>V231-Z231</f>
        <v>-13.190000000000001</v>
      </c>
      <c r="AC231" s="15" t="s">
        <v>130</v>
      </c>
      <c r="AD231" s="15" t="s">
        <v>131</v>
      </c>
      <c r="AE231" s="15" t="s">
        <v>350</v>
      </c>
      <c r="AF231" s="12">
        <f>IF(AG231="Rejected",0,IF(R231="Corporate Card",0,V231))</f>
        <v>0</v>
      </c>
      <c r="AG231" s="15" t="s">
        <v>133</v>
      </c>
      <c r="AH231" s="16">
        <v>45687</v>
      </c>
      <c r="AI231" s="16">
        <v>45693</v>
      </c>
      <c r="AJ231" s="16">
        <v>45700</v>
      </c>
      <c r="AK231" s="17">
        <f>IF(AJ231="","",AJ231-AH231)</f>
        <v>13</v>
      </c>
    </row>
    <row r="232" spans="1:37">
      <c r="A232" s="2" t="s">
        <v>527</v>
      </c>
      <c r="B232" s="2" t="s">
        <v>310</v>
      </c>
      <c r="C232" s="2" t="s">
        <v>311</v>
      </c>
      <c r="D232" s="2" t="s">
        <v>118</v>
      </c>
      <c r="E232" s="2" t="s">
        <v>312</v>
      </c>
      <c r="F232" s="2" t="s">
        <v>313</v>
      </c>
      <c r="G232" s="2" t="s">
        <v>482</v>
      </c>
      <c r="H232" s="2" t="s">
        <v>254</v>
      </c>
      <c r="I232" s="2" t="s">
        <v>255</v>
      </c>
      <c r="J232" s="2" t="s">
        <v>256</v>
      </c>
      <c r="K232" s="9">
        <v>45680</v>
      </c>
      <c r="L232" s="9">
        <v>45684</v>
      </c>
      <c r="M232" s="9">
        <v>45682</v>
      </c>
      <c r="N232" s="2" t="s">
        <v>125</v>
      </c>
      <c r="O232" s="2" t="s">
        <v>61</v>
      </c>
      <c r="P232" s="2" t="s">
        <v>528</v>
      </c>
      <c r="Q232" s="2" t="s">
        <v>529</v>
      </c>
      <c r="R232" s="2" t="s">
        <v>149</v>
      </c>
      <c r="S232" s="2" t="s">
        <v>259</v>
      </c>
      <c r="T232" s="10">
        <v>7342</v>
      </c>
      <c r="U232" s="11">
        <v>6.5500000000000003E-3</v>
      </c>
      <c r="V232" s="12">
        <f>T232*U232</f>
        <v>48.0901</v>
      </c>
      <c r="W232" s="13">
        <v>0</v>
      </c>
      <c r="X232" s="12">
        <f>V232-(V232/(1+W232))</f>
        <v>0</v>
      </c>
      <c r="Y232" s="12">
        <f>V232-X232</f>
        <v>48.0901</v>
      </c>
      <c r="Z232" s="14">
        <v>90</v>
      </c>
      <c r="AA232" s="2" t="str">
        <f>IF(V232&gt;Z232,"Yes","No")</f>
        <v>No</v>
      </c>
      <c r="AB232" s="12">
        <f>V232-Z232</f>
        <v>-41.9099</v>
      </c>
      <c r="AC232" s="15" t="s">
        <v>130</v>
      </c>
      <c r="AD232" s="15" t="s">
        <v>130</v>
      </c>
      <c r="AE232" s="15" t="s">
        <v>437</v>
      </c>
      <c r="AF232" s="12">
        <f>IF(AG232="Rejected",0,IF(R232="Corporate Card",0,V232))</f>
        <v>48.0901</v>
      </c>
      <c r="AG232" s="15" t="s">
        <v>133</v>
      </c>
      <c r="AH232" s="16">
        <v>45695</v>
      </c>
      <c r="AI232" s="16">
        <v>45696</v>
      </c>
      <c r="AJ232" s="16">
        <v>45708</v>
      </c>
      <c r="AK232" s="17">
        <f>IF(AJ232="","",AJ232-AH232)</f>
        <v>13</v>
      </c>
    </row>
    <row r="233" spans="1:37">
      <c r="A233" s="2" t="s">
        <v>530</v>
      </c>
      <c r="B233" s="2" t="s">
        <v>310</v>
      </c>
      <c r="C233" s="2" t="s">
        <v>311</v>
      </c>
      <c r="D233" s="2" t="s">
        <v>118</v>
      </c>
      <c r="E233" s="2" t="s">
        <v>312</v>
      </c>
      <c r="F233" s="2" t="s">
        <v>313</v>
      </c>
      <c r="G233" s="2" t="s">
        <v>482</v>
      </c>
      <c r="H233" s="2" t="s">
        <v>254</v>
      </c>
      <c r="I233" s="2" t="s">
        <v>255</v>
      </c>
      <c r="J233" s="2" t="s">
        <v>256</v>
      </c>
      <c r="K233" s="9">
        <v>45680</v>
      </c>
      <c r="L233" s="9">
        <v>45684</v>
      </c>
      <c r="M233" s="9">
        <v>45682</v>
      </c>
      <c r="N233" s="2" t="s">
        <v>125</v>
      </c>
      <c r="O233" s="2" t="s">
        <v>56</v>
      </c>
      <c r="P233" s="2" t="s">
        <v>165</v>
      </c>
      <c r="Q233" s="2" t="s">
        <v>166</v>
      </c>
      <c r="R233" s="2" t="s">
        <v>128</v>
      </c>
      <c r="S233" s="2" t="s">
        <v>259</v>
      </c>
      <c r="T233" s="10">
        <v>14161</v>
      </c>
      <c r="U233" s="11">
        <v>6.5500000000000003E-3</v>
      </c>
      <c r="V233" s="12">
        <f>T233*U233</f>
        <v>92.754550000000009</v>
      </c>
      <c r="W233" s="13">
        <v>0.1</v>
      </c>
      <c r="X233" s="12">
        <f>V233-(V233/(1+W233))</f>
        <v>8.432231818181819</v>
      </c>
      <c r="Y233" s="12">
        <f>V233-X233</f>
        <v>84.32231818181819</v>
      </c>
      <c r="Z233" s="14">
        <v>75</v>
      </c>
      <c r="AA233" s="2" t="str">
        <f>IF(V233&gt;Z233,"Yes","No")</f>
        <v>Yes</v>
      </c>
      <c r="AB233" s="12">
        <f>V233-Z233</f>
        <v>17.754550000000009</v>
      </c>
      <c r="AC233" s="15" t="s">
        <v>130</v>
      </c>
      <c r="AD233" s="15" t="s">
        <v>130</v>
      </c>
      <c r="AE233" s="15" t="s">
        <v>437</v>
      </c>
      <c r="AF233" s="12">
        <f>IF(AG233="Rejected",0,IF(R233="Corporate Card",0,V233))</f>
        <v>0</v>
      </c>
      <c r="AG233" s="15" t="s">
        <v>133</v>
      </c>
      <c r="AH233" s="16">
        <v>45695</v>
      </c>
      <c r="AI233" s="16">
        <v>45696</v>
      </c>
      <c r="AJ233" s="16">
        <v>45708</v>
      </c>
      <c r="AK233" s="17">
        <f>IF(AJ233="","",AJ233-AH233)</f>
        <v>13</v>
      </c>
    </row>
    <row r="234" spans="1:37">
      <c r="A234" s="2" t="s">
        <v>531</v>
      </c>
      <c r="B234" s="2" t="s">
        <v>310</v>
      </c>
      <c r="C234" s="2" t="s">
        <v>311</v>
      </c>
      <c r="D234" s="2" t="s">
        <v>118</v>
      </c>
      <c r="E234" s="2" t="s">
        <v>312</v>
      </c>
      <c r="F234" s="2" t="s">
        <v>313</v>
      </c>
      <c r="G234" s="2" t="s">
        <v>482</v>
      </c>
      <c r="H234" s="2" t="s">
        <v>254</v>
      </c>
      <c r="I234" s="2" t="s">
        <v>255</v>
      </c>
      <c r="J234" s="2" t="s">
        <v>256</v>
      </c>
      <c r="K234" s="9">
        <v>45680</v>
      </c>
      <c r="L234" s="9">
        <v>45684</v>
      </c>
      <c r="M234" s="9">
        <v>45682</v>
      </c>
      <c r="N234" s="2" t="s">
        <v>125</v>
      </c>
      <c r="O234" s="2" t="s">
        <v>55</v>
      </c>
      <c r="P234" s="2" t="s">
        <v>139</v>
      </c>
      <c r="Q234" s="2" t="s">
        <v>154</v>
      </c>
      <c r="R234" s="2" t="s">
        <v>128</v>
      </c>
      <c r="S234" s="2" t="s">
        <v>259</v>
      </c>
      <c r="T234" s="10">
        <v>2911</v>
      </c>
      <c r="U234" s="11">
        <v>6.5500000000000003E-3</v>
      </c>
      <c r="V234" s="12">
        <f>T234*U234</f>
        <v>19.067050000000002</v>
      </c>
      <c r="W234" s="13">
        <v>0.1</v>
      </c>
      <c r="X234" s="12">
        <f>V234-(V234/(1+W234))</f>
        <v>1.7333681818181823</v>
      </c>
      <c r="Y234" s="12">
        <f>V234-X234</f>
        <v>17.33368181818182</v>
      </c>
      <c r="Z234" s="14">
        <v>35</v>
      </c>
      <c r="AA234" s="2" t="str">
        <f>IF(V234&gt;Z234,"Yes","No")</f>
        <v>No</v>
      </c>
      <c r="AB234" s="12">
        <f>V234-Z234</f>
        <v>-15.932949999999998</v>
      </c>
      <c r="AC234" s="15" t="s">
        <v>130</v>
      </c>
      <c r="AD234" s="15" t="s">
        <v>130</v>
      </c>
      <c r="AE234" s="15" t="s">
        <v>437</v>
      </c>
      <c r="AF234" s="12">
        <f>IF(AG234="Rejected",0,IF(R234="Corporate Card",0,V234))</f>
        <v>0</v>
      </c>
      <c r="AG234" s="15" t="s">
        <v>133</v>
      </c>
      <c r="AH234" s="16">
        <v>45695</v>
      </c>
      <c r="AI234" s="16">
        <v>45696</v>
      </c>
      <c r="AJ234" s="16">
        <v>45708</v>
      </c>
      <c r="AK234" s="17">
        <f>IF(AJ234="","",AJ234-AH234)</f>
        <v>13</v>
      </c>
    </row>
    <row r="235" spans="1:37">
      <c r="A235" s="2" t="s">
        <v>532</v>
      </c>
      <c r="B235" s="2" t="s">
        <v>310</v>
      </c>
      <c r="C235" s="2" t="s">
        <v>311</v>
      </c>
      <c r="D235" s="2" t="s">
        <v>118</v>
      </c>
      <c r="E235" s="2" t="s">
        <v>312</v>
      </c>
      <c r="F235" s="2" t="s">
        <v>313</v>
      </c>
      <c r="G235" s="2" t="s">
        <v>482</v>
      </c>
      <c r="H235" s="2" t="s">
        <v>254</v>
      </c>
      <c r="I235" s="2" t="s">
        <v>255</v>
      </c>
      <c r="J235" s="2" t="s">
        <v>256</v>
      </c>
      <c r="K235" s="9">
        <v>45680</v>
      </c>
      <c r="L235" s="9">
        <v>45684</v>
      </c>
      <c r="M235" s="9">
        <v>45682</v>
      </c>
      <c r="N235" s="2" t="s">
        <v>125</v>
      </c>
      <c r="O235" s="2" t="s">
        <v>62</v>
      </c>
      <c r="P235" s="2" t="s">
        <v>533</v>
      </c>
      <c r="Q235" s="2" t="s">
        <v>534</v>
      </c>
      <c r="R235" s="2" t="s">
        <v>128</v>
      </c>
      <c r="S235" s="2" t="s">
        <v>259</v>
      </c>
      <c r="T235" s="10">
        <v>5868</v>
      </c>
      <c r="U235" s="11">
        <v>6.5500000000000003E-3</v>
      </c>
      <c r="V235" s="12">
        <f>T235*U235</f>
        <v>38.435400000000001</v>
      </c>
      <c r="W235" s="13">
        <v>0.1</v>
      </c>
      <c r="X235" s="12">
        <f>V235-(V235/(1+W235))</f>
        <v>3.4941272727272761</v>
      </c>
      <c r="Y235" s="12">
        <f>V235-X235</f>
        <v>34.941272727272725</v>
      </c>
      <c r="Z235" s="14">
        <v>45</v>
      </c>
      <c r="AA235" s="2" t="str">
        <f>IF(V235&gt;Z235,"Yes","No")</f>
        <v>No</v>
      </c>
      <c r="AB235" s="12">
        <f>V235-Z235</f>
        <v>-6.5645999999999987</v>
      </c>
      <c r="AC235" s="15" t="s">
        <v>130</v>
      </c>
      <c r="AD235" s="15" t="s">
        <v>130</v>
      </c>
      <c r="AE235" s="15" t="s">
        <v>437</v>
      </c>
      <c r="AF235" s="12">
        <f>IF(AG235="Rejected",0,IF(R235="Corporate Card",0,V235))</f>
        <v>0</v>
      </c>
      <c r="AG235" s="15" t="s">
        <v>133</v>
      </c>
      <c r="AH235" s="16">
        <v>45695</v>
      </c>
      <c r="AI235" s="16">
        <v>45696</v>
      </c>
      <c r="AJ235" s="16">
        <v>45708</v>
      </c>
      <c r="AK235" s="17">
        <f>IF(AJ235="","",AJ235-AH235)</f>
        <v>13</v>
      </c>
    </row>
    <row r="236" spans="1:37">
      <c r="A236" s="2" t="s">
        <v>535</v>
      </c>
      <c r="B236" s="2" t="s">
        <v>509</v>
      </c>
      <c r="C236" s="2" t="s">
        <v>510</v>
      </c>
      <c r="D236" s="2" t="s">
        <v>250</v>
      </c>
      <c r="E236" s="2" t="s">
        <v>511</v>
      </c>
      <c r="F236" s="2" t="s">
        <v>313</v>
      </c>
      <c r="G236" s="2" t="s">
        <v>512</v>
      </c>
      <c r="H236" s="2" t="s">
        <v>417</v>
      </c>
      <c r="I236" s="2" t="s">
        <v>194</v>
      </c>
      <c r="J236" s="2" t="s">
        <v>195</v>
      </c>
      <c r="K236" s="9">
        <v>45681</v>
      </c>
      <c r="L236" s="9">
        <v>45682</v>
      </c>
      <c r="M236" s="9">
        <v>45682</v>
      </c>
      <c r="N236" s="2" t="s">
        <v>125</v>
      </c>
      <c r="O236" s="2" t="s">
        <v>60</v>
      </c>
      <c r="P236" s="2" t="s">
        <v>536</v>
      </c>
      <c r="Q236" s="2" t="s">
        <v>537</v>
      </c>
      <c r="R236" s="2" t="s">
        <v>128</v>
      </c>
      <c r="S236" s="2" t="s">
        <v>198</v>
      </c>
      <c r="T236" s="10">
        <v>121.25</v>
      </c>
      <c r="U236" s="11">
        <v>1.085</v>
      </c>
      <c r="V236" s="12">
        <f>T236*U236</f>
        <v>131.55625000000001</v>
      </c>
      <c r="W236" s="13">
        <v>0.19</v>
      </c>
      <c r="X236" s="12">
        <f>V236-(V236/(1+W236))</f>
        <v>21.004779411764702</v>
      </c>
      <c r="Y236" s="12">
        <f>V236-X236</f>
        <v>110.5514705882353</v>
      </c>
      <c r="Z236" s="14">
        <v>120</v>
      </c>
      <c r="AA236" s="2" t="str">
        <f>IF(V236&gt;Z236,"Yes","No")</f>
        <v>Yes</v>
      </c>
      <c r="AB236" s="12">
        <f>V236-Z236</f>
        <v>11.556250000000006</v>
      </c>
      <c r="AC236" s="15" t="s">
        <v>130</v>
      </c>
      <c r="AD236" s="15" t="s">
        <v>131</v>
      </c>
      <c r="AE236" s="15" t="s">
        <v>514</v>
      </c>
      <c r="AF236" s="12">
        <f>IF(AG236="Rejected",0,IF(R236="Corporate Card",0,V236))</f>
        <v>0</v>
      </c>
      <c r="AG236" s="15" t="s">
        <v>133</v>
      </c>
      <c r="AH236" s="16">
        <v>45692</v>
      </c>
      <c r="AI236" s="16">
        <v>45700</v>
      </c>
      <c r="AJ236" s="16">
        <v>45707</v>
      </c>
      <c r="AK236" s="17">
        <f>IF(AJ236="","",AJ236-AH236)</f>
        <v>15</v>
      </c>
    </row>
    <row r="237" spans="1:37">
      <c r="A237" s="2" t="s">
        <v>538</v>
      </c>
      <c r="B237" s="2" t="s">
        <v>509</v>
      </c>
      <c r="C237" s="2" t="s">
        <v>510</v>
      </c>
      <c r="D237" s="2" t="s">
        <v>250</v>
      </c>
      <c r="E237" s="2" t="s">
        <v>511</v>
      </c>
      <c r="F237" s="2" t="s">
        <v>313</v>
      </c>
      <c r="G237" s="2" t="s">
        <v>512</v>
      </c>
      <c r="H237" s="2" t="s">
        <v>417</v>
      </c>
      <c r="I237" s="2" t="s">
        <v>194</v>
      </c>
      <c r="J237" s="2" t="s">
        <v>195</v>
      </c>
      <c r="K237" s="9">
        <v>45681</v>
      </c>
      <c r="L237" s="9">
        <v>45682</v>
      </c>
      <c r="M237" s="9">
        <v>45682</v>
      </c>
      <c r="N237" s="2" t="s">
        <v>125</v>
      </c>
      <c r="O237" s="2" t="s">
        <v>57</v>
      </c>
      <c r="P237" s="2" t="s">
        <v>398</v>
      </c>
      <c r="Q237" s="2" t="s">
        <v>495</v>
      </c>
      <c r="R237" s="2" t="s">
        <v>128</v>
      </c>
      <c r="S237" s="2" t="s">
        <v>198</v>
      </c>
      <c r="T237" s="10">
        <v>109.69</v>
      </c>
      <c r="U237" s="11">
        <v>1.085</v>
      </c>
      <c r="V237" s="12">
        <f>T237*U237</f>
        <v>119.01365</v>
      </c>
      <c r="W237" s="13">
        <v>0.19</v>
      </c>
      <c r="X237" s="12">
        <f>V237-(V237/(1+W237))</f>
        <v>19.0021794117647</v>
      </c>
      <c r="Y237" s="12">
        <f>V237-X237</f>
        <v>100.0114705882353</v>
      </c>
      <c r="Z237" s="14">
        <v>200</v>
      </c>
      <c r="AA237" s="2" t="str">
        <f>IF(V237&gt;Z237,"Yes","No")</f>
        <v>No</v>
      </c>
      <c r="AB237" s="12">
        <f>V237-Z237</f>
        <v>-80.986350000000002</v>
      </c>
      <c r="AC237" s="15" t="s">
        <v>130</v>
      </c>
      <c r="AD237" s="15" t="s">
        <v>131</v>
      </c>
      <c r="AE237" s="15" t="s">
        <v>514</v>
      </c>
      <c r="AF237" s="12">
        <f>IF(AG237="Rejected",0,IF(R237="Corporate Card",0,V237))</f>
        <v>0</v>
      </c>
      <c r="AG237" s="15" t="s">
        <v>133</v>
      </c>
      <c r="AH237" s="16">
        <v>45692</v>
      </c>
      <c r="AI237" s="16">
        <v>45700</v>
      </c>
      <c r="AJ237" s="16">
        <v>45707</v>
      </c>
      <c r="AK237" s="17">
        <f>IF(AJ237="","",AJ237-AH237)</f>
        <v>15</v>
      </c>
    </row>
    <row r="238" spans="1:37">
      <c r="A238" s="2" t="s">
        <v>539</v>
      </c>
      <c r="B238" s="2" t="s">
        <v>509</v>
      </c>
      <c r="C238" s="2" t="s">
        <v>510</v>
      </c>
      <c r="D238" s="2" t="s">
        <v>250</v>
      </c>
      <c r="E238" s="2" t="s">
        <v>511</v>
      </c>
      <c r="F238" s="2" t="s">
        <v>313</v>
      </c>
      <c r="G238" s="2" t="s">
        <v>512</v>
      </c>
      <c r="H238" s="2" t="s">
        <v>417</v>
      </c>
      <c r="I238" s="2" t="s">
        <v>194</v>
      </c>
      <c r="J238" s="2" t="s">
        <v>195</v>
      </c>
      <c r="K238" s="9">
        <v>45681</v>
      </c>
      <c r="L238" s="9">
        <v>45682</v>
      </c>
      <c r="M238" s="9">
        <v>45682</v>
      </c>
      <c r="N238" s="2" t="s">
        <v>125</v>
      </c>
      <c r="O238" s="2" t="s">
        <v>61</v>
      </c>
      <c r="P238" s="2" t="s">
        <v>528</v>
      </c>
      <c r="Q238" s="2" t="s">
        <v>540</v>
      </c>
      <c r="R238" s="2" t="s">
        <v>128</v>
      </c>
      <c r="S238" s="2" t="s">
        <v>198</v>
      </c>
      <c r="T238" s="10">
        <v>46.59</v>
      </c>
      <c r="U238" s="11">
        <v>1.085</v>
      </c>
      <c r="V238" s="12">
        <f>T238*U238</f>
        <v>50.550150000000002</v>
      </c>
      <c r="W238" s="13">
        <v>0</v>
      </c>
      <c r="X238" s="12">
        <f>V238-(V238/(1+W238))</f>
        <v>0</v>
      </c>
      <c r="Y238" s="12">
        <f>V238-X238</f>
        <v>50.550150000000002</v>
      </c>
      <c r="Z238" s="14">
        <v>90</v>
      </c>
      <c r="AA238" s="2" t="str">
        <f>IF(V238&gt;Z238,"Yes","No")</f>
        <v>No</v>
      </c>
      <c r="AB238" s="12">
        <f>V238-Z238</f>
        <v>-39.449849999999998</v>
      </c>
      <c r="AC238" s="15" t="s">
        <v>130</v>
      </c>
      <c r="AD238" s="15" t="s">
        <v>131</v>
      </c>
      <c r="AE238" s="15" t="s">
        <v>514</v>
      </c>
      <c r="AF238" s="12">
        <f>IF(AG238="Rejected",0,IF(R238="Corporate Card",0,V238))</f>
        <v>0</v>
      </c>
      <c r="AG238" s="15" t="s">
        <v>133</v>
      </c>
      <c r="AH238" s="16">
        <v>45692</v>
      </c>
      <c r="AI238" s="16">
        <v>45700</v>
      </c>
      <c r="AJ238" s="16">
        <v>45707</v>
      </c>
      <c r="AK238" s="17">
        <f>IF(AJ238="","",AJ238-AH238)</f>
        <v>15</v>
      </c>
    </row>
    <row r="239" spans="1:37">
      <c r="A239" s="2" t="s">
        <v>541</v>
      </c>
      <c r="B239" s="2" t="s">
        <v>509</v>
      </c>
      <c r="C239" s="2" t="s">
        <v>510</v>
      </c>
      <c r="D239" s="2" t="s">
        <v>250</v>
      </c>
      <c r="E239" s="2" t="s">
        <v>511</v>
      </c>
      <c r="F239" s="2" t="s">
        <v>313</v>
      </c>
      <c r="G239" s="2" t="s">
        <v>512</v>
      </c>
      <c r="H239" s="2" t="s">
        <v>417</v>
      </c>
      <c r="I239" s="2" t="s">
        <v>194</v>
      </c>
      <c r="J239" s="2" t="s">
        <v>195</v>
      </c>
      <c r="K239" s="9">
        <v>45681</v>
      </c>
      <c r="L239" s="9">
        <v>45682</v>
      </c>
      <c r="M239" s="9">
        <v>45682</v>
      </c>
      <c r="N239" s="2" t="s">
        <v>125</v>
      </c>
      <c r="O239" s="2" t="s">
        <v>58</v>
      </c>
      <c r="P239" s="2" t="s">
        <v>142</v>
      </c>
      <c r="Q239" s="2" t="s">
        <v>224</v>
      </c>
      <c r="R239" s="2" t="s">
        <v>128</v>
      </c>
      <c r="S239" s="2" t="s">
        <v>198</v>
      </c>
      <c r="T239" s="10">
        <v>30.86</v>
      </c>
      <c r="U239" s="11">
        <v>1.085</v>
      </c>
      <c r="V239" s="12">
        <f>T239*U239</f>
        <v>33.4831</v>
      </c>
      <c r="W239" s="13">
        <v>0.19</v>
      </c>
      <c r="X239" s="12">
        <f>V239-(V239/(1+W239))</f>
        <v>5.3460411764705853</v>
      </c>
      <c r="Y239" s="12">
        <f>V239-X239</f>
        <v>28.137058823529415</v>
      </c>
      <c r="Z239" s="14">
        <v>60</v>
      </c>
      <c r="AA239" s="2" t="str">
        <f>IF(V239&gt;Z239,"Yes","No")</f>
        <v>No</v>
      </c>
      <c r="AB239" s="12">
        <f>V239-Z239</f>
        <v>-26.5169</v>
      </c>
      <c r="AC239" s="15" t="s">
        <v>130</v>
      </c>
      <c r="AD239" s="15" t="s">
        <v>131</v>
      </c>
      <c r="AE239" s="15" t="s">
        <v>514</v>
      </c>
      <c r="AF239" s="12">
        <f>IF(AG239="Rejected",0,IF(R239="Corporate Card",0,V239))</f>
        <v>0</v>
      </c>
      <c r="AG239" s="15" t="s">
        <v>133</v>
      </c>
      <c r="AH239" s="16">
        <v>45692</v>
      </c>
      <c r="AI239" s="16">
        <v>45700</v>
      </c>
      <c r="AJ239" s="16">
        <v>45707</v>
      </c>
      <c r="AK239" s="17">
        <f>IF(AJ239="","",AJ239-AH239)</f>
        <v>15</v>
      </c>
    </row>
    <row r="240" spans="1:37">
      <c r="A240" s="2" t="s">
        <v>542</v>
      </c>
      <c r="B240" s="2" t="s">
        <v>509</v>
      </c>
      <c r="C240" s="2" t="s">
        <v>510</v>
      </c>
      <c r="D240" s="2" t="s">
        <v>250</v>
      </c>
      <c r="E240" s="2" t="s">
        <v>511</v>
      </c>
      <c r="F240" s="2" t="s">
        <v>313</v>
      </c>
      <c r="G240" s="2" t="s">
        <v>512</v>
      </c>
      <c r="H240" s="2" t="s">
        <v>417</v>
      </c>
      <c r="I240" s="2" t="s">
        <v>194</v>
      </c>
      <c r="J240" s="2" t="s">
        <v>195</v>
      </c>
      <c r="K240" s="9">
        <v>45681</v>
      </c>
      <c r="L240" s="9">
        <v>45682</v>
      </c>
      <c r="M240" s="9">
        <v>45682</v>
      </c>
      <c r="N240" s="2" t="s">
        <v>125</v>
      </c>
      <c r="O240" s="2" t="s">
        <v>53</v>
      </c>
      <c r="P240" s="2" t="s">
        <v>405</v>
      </c>
      <c r="Q240" s="2" t="s">
        <v>458</v>
      </c>
      <c r="R240" s="2" t="s">
        <v>128</v>
      </c>
      <c r="S240" s="2" t="s">
        <v>198</v>
      </c>
      <c r="T240" s="10">
        <v>242.24</v>
      </c>
      <c r="U240" s="11">
        <v>1.085</v>
      </c>
      <c r="V240" s="12">
        <f>T240*U240</f>
        <v>262.8304</v>
      </c>
      <c r="W240" s="13">
        <v>0.19</v>
      </c>
      <c r="X240" s="12">
        <f>V240-(V240/(1+W240))</f>
        <v>41.964517647058813</v>
      </c>
      <c r="Y240" s="12">
        <f>V240-X240</f>
        <v>220.86588235294118</v>
      </c>
      <c r="Z240" s="14">
        <v>280</v>
      </c>
      <c r="AA240" s="2" t="str">
        <f>IF(V240&gt;Z240,"Yes","No")</f>
        <v>No</v>
      </c>
      <c r="AB240" s="12">
        <f>V240-Z240</f>
        <v>-17.169600000000003</v>
      </c>
      <c r="AC240" s="15" t="s">
        <v>130</v>
      </c>
      <c r="AD240" s="15" t="s">
        <v>131</v>
      </c>
      <c r="AE240" s="15" t="s">
        <v>514</v>
      </c>
      <c r="AF240" s="12">
        <f>IF(AG240="Rejected",0,IF(R240="Corporate Card",0,V240))</f>
        <v>0</v>
      </c>
      <c r="AG240" s="15" t="s">
        <v>133</v>
      </c>
      <c r="AH240" s="16">
        <v>45692</v>
      </c>
      <c r="AI240" s="16">
        <v>45700</v>
      </c>
      <c r="AJ240" s="16">
        <v>45707</v>
      </c>
      <c r="AK240" s="17">
        <f>IF(AJ240="","",AJ240-AH240)</f>
        <v>15</v>
      </c>
    </row>
    <row r="241" spans="1:37">
      <c r="A241" s="2" t="s">
        <v>543</v>
      </c>
      <c r="B241" s="2" t="s">
        <v>509</v>
      </c>
      <c r="C241" s="2" t="s">
        <v>510</v>
      </c>
      <c r="D241" s="2" t="s">
        <v>250</v>
      </c>
      <c r="E241" s="2" t="s">
        <v>511</v>
      </c>
      <c r="F241" s="2" t="s">
        <v>313</v>
      </c>
      <c r="G241" s="2" t="s">
        <v>512</v>
      </c>
      <c r="H241" s="2" t="s">
        <v>417</v>
      </c>
      <c r="I241" s="2" t="s">
        <v>194</v>
      </c>
      <c r="J241" s="2" t="s">
        <v>195</v>
      </c>
      <c r="K241" s="9">
        <v>45681</v>
      </c>
      <c r="L241" s="9">
        <v>45682</v>
      </c>
      <c r="M241" s="9">
        <v>45682</v>
      </c>
      <c r="N241" s="2" t="s">
        <v>125</v>
      </c>
      <c r="O241" s="2" t="s">
        <v>65</v>
      </c>
      <c r="P241" s="2" t="s">
        <v>211</v>
      </c>
      <c r="Q241" s="2" t="s">
        <v>364</v>
      </c>
      <c r="R241" s="2" t="s">
        <v>128</v>
      </c>
      <c r="S241" s="2" t="s">
        <v>198</v>
      </c>
      <c r="T241" s="10">
        <v>34.01</v>
      </c>
      <c r="U241" s="11">
        <v>1.085</v>
      </c>
      <c r="V241" s="12">
        <f>T241*U241</f>
        <v>36.900849999999998</v>
      </c>
      <c r="W241" s="13">
        <v>0.19</v>
      </c>
      <c r="X241" s="12">
        <f>V241-(V241/(1+W241))</f>
        <v>5.891732352941176</v>
      </c>
      <c r="Y241" s="12">
        <f>V241-X241</f>
        <v>31.009117647058822</v>
      </c>
      <c r="Z241" s="14">
        <v>55</v>
      </c>
      <c r="AA241" s="2" t="str">
        <f>IF(V241&gt;Z241,"Yes","No")</f>
        <v>No</v>
      </c>
      <c r="AB241" s="12">
        <f>V241-Z241</f>
        <v>-18.099150000000002</v>
      </c>
      <c r="AC241" s="15" t="s">
        <v>130</v>
      </c>
      <c r="AD241" s="15" t="s">
        <v>131</v>
      </c>
      <c r="AE241" s="15" t="s">
        <v>514</v>
      </c>
      <c r="AF241" s="12">
        <f>IF(AG241="Rejected",0,IF(R241="Corporate Card",0,V241))</f>
        <v>0</v>
      </c>
      <c r="AG241" s="15" t="s">
        <v>133</v>
      </c>
      <c r="AH241" s="16">
        <v>45692</v>
      </c>
      <c r="AI241" s="16">
        <v>45700</v>
      </c>
      <c r="AJ241" s="16">
        <v>45707</v>
      </c>
      <c r="AK241" s="17">
        <f>IF(AJ241="","",AJ241-AH241)</f>
        <v>15</v>
      </c>
    </row>
    <row r="242" spans="1:37">
      <c r="A242" s="2" t="s">
        <v>544</v>
      </c>
      <c r="B242" s="2" t="s">
        <v>509</v>
      </c>
      <c r="C242" s="2" t="s">
        <v>510</v>
      </c>
      <c r="D242" s="2" t="s">
        <v>250</v>
      </c>
      <c r="E242" s="2" t="s">
        <v>511</v>
      </c>
      <c r="F242" s="2" t="s">
        <v>313</v>
      </c>
      <c r="G242" s="2" t="s">
        <v>512</v>
      </c>
      <c r="H242" s="2" t="s">
        <v>417</v>
      </c>
      <c r="I242" s="2" t="s">
        <v>194</v>
      </c>
      <c r="J242" s="2" t="s">
        <v>195</v>
      </c>
      <c r="K242" s="9">
        <v>45681</v>
      </c>
      <c r="L242" s="9">
        <v>45682</v>
      </c>
      <c r="M242" s="9">
        <v>45682</v>
      </c>
      <c r="N242" s="2" t="s">
        <v>125</v>
      </c>
      <c r="O242" s="2" t="s">
        <v>54</v>
      </c>
      <c r="P242" s="2" t="s">
        <v>139</v>
      </c>
      <c r="Q242" s="2" t="s">
        <v>148</v>
      </c>
      <c r="R242" s="2" t="s">
        <v>149</v>
      </c>
      <c r="S242" s="2" t="s">
        <v>198</v>
      </c>
      <c r="T242" s="10">
        <v>19.260000000000002</v>
      </c>
      <c r="U242" s="11">
        <v>1.085</v>
      </c>
      <c r="V242" s="12">
        <f>T242*U242</f>
        <v>20.897100000000002</v>
      </c>
      <c r="W242" s="13">
        <v>0.19</v>
      </c>
      <c r="X242" s="12">
        <f>V242-(V242/(1+W242))</f>
        <v>3.3365117647058824</v>
      </c>
      <c r="Y242" s="12">
        <f>V242-X242</f>
        <v>17.560588235294119</v>
      </c>
      <c r="Z242" s="14">
        <v>25</v>
      </c>
      <c r="AA242" s="2" t="str">
        <f>IF(V242&gt;Z242,"Yes","No")</f>
        <v>No</v>
      </c>
      <c r="AB242" s="12">
        <f>V242-Z242</f>
        <v>-4.1028999999999982</v>
      </c>
      <c r="AC242" s="15" t="s">
        <v>130</v>
      </c>
      <c r="AD242" s="15" t="s">
        <v>131</v>
      </c>
      <c r="AE242" s="15" t="s">
        <v>514</v>
      </c>
      <c r="AF242" s="12">
        <f>IF(AG242="Rejected",0,IF(R242="Corporate Card",0,V242))</f>
        <v>20.897100000000002</v>
      </c>
      <c r="AG242" s="15" t="s">
        <v>133</v>
      </c>
      <c r="AH242" s="16">
        <v>45692</v>
      </c>
      <c r="AI242" s="16">
        <v>45700</v>
      </c>
      <c r="AJ242" s="16">
        <v>45707</v>
      </c>
      <c r="AK242" s="17">
        <f>IF(AJ242="","",AJ242-AH242)</f>
        <v>15</v>
      </c>
    </row>
    <row r="243" spans="1:37">
      <c r="A243" s="2" t="s">
        <v>545</v>
      </c>
      <c r="B243" s="2" t="s">
        <v>509</v>
      </c>
      <c r="C243" s="2" t="s">
        <v>510</v>
      </c>
      <c r="D243" s="2" t="s">
        <v>250</v>
      </c>
      <c r="E243" s="2" t="s">
        <v>511</v>
      </c>
      <c r="F243" s="2" t="s">
        <v>313</v>
      </c>
      <c r="G243" s="2" t="s">
        <v>512</v>
      </c>
      <c r="H243" s="2" t="s">
        <v>417</v>
      </c>
      <c r="I243" s="2" t="s">
        <v>194</v>
      </c>
      <c r="J243" s="2" t="s">
        <v>195</v>
      </c>
      <c r="K243" s="9">
        <v>45681</v>
      </c>
      <c r="L243" s="9">
        <v>45682</v>
      </c>
      <c r="M243" s="9">
        <v>45682</v>
      </c>
      <c r="N243" s="2" t="s">
        <v>125</v>
      </c>
      <c r="O243" s="2" t="s">
        <v>56</v>
      </c>
      <c r="P243" s="2" t="s">
        <v>231</v>
      </c>
      <c r="Q243" s="2" t="s">
        <v>166</v>
      </c>
      <c r="R243" s="2" t="s">
        <v>149</v>
      </c>
      <c r="S243" s="2" t="s">
        <v>198</v>
      </c>
      <c r="T243" s="10">
        <v>47.03</v>
      </c>
      <c r="U243" s="11">
        <v>1.085</v>
      </c>
      <c r="V243" s="12">
        <f>T243*U243</f>
        <v>51.027549999999998</v>
      </c>
      <c r="W243" s="13">
        <v>0.19</v>
      </c>
      <c r="X243" s="12">
        <f>V243-(V243/(1+W243))</f>
        <v>8.1472558823529369</v>
      </c>
      <c r="Y243" s="12">
        <f>V243-X243</f>
        <v>42.880294117647061</v>
      </c>
      <c r="Z243" s="14">
        <v>75</v>
      </c>
      <c r="AA243" s="2" t="str">
        <f>IF(V243&gt;Z243,"Yes","No")</f>
        <v>No</v>
      </c>
      <c r="AB243" s="12">
        <f>V243-Z243</f>
        <v>-23.972450000000002</v>
      </c>
      <c r="AC243" s="15" t="s">
        <v>130</v>
      </c>
      <c r="AD243" s="15" t="s">
        <v>131</v>
      </c>
      <c r="AE243" s="15" t="s">
        <v>514</v>
      </c>
      <c r="AF243" s="12">
        <f>IF(AG243="Rejected",0,IF(R243="Corporate Card",0,V243))</f>
        <v>51.027549999999998</v>
      </c>
      <c r="AG243" s="15" t="s">
        <v>133</v>
      </c>
      <c r="AH243" s="16">
        <v>45692</v>
      </c>
      <c r="AI243" s="16">
        <v>45700</v>
      </c>
      <c r="AJ243" s="16">
        <v>45707</v>
      </c>
      <c r="AK243" s="17">
        <f>IF(AJ243="","",AJ243-AH243)</f>
        <v>15</v>
      </c>
    </row>
    <row r="244" spans="1:37">
      <c r="A244" s="2" t="s">
        <v>546</v>
      </c>
      <c r="B244" s="2" t="s">
        <v>509</v>
      </c>
      <c r="C244" s="2" t="s">
        <v>510</v>
      </c>
      <c r="D244" s="2" t="s">
        <v>250</v>
      </c>
      <c r="E244" s="2" t="s">
        <v>511</v>
      </c>
      <c r="F244" s="2" t="s">
        <v>313</v>
      </c>
      <c r="G244" s="2" t="s">
        <v>512</v>
      </c>
      <c r="H244" s="2" t="s">
        <v>417</v>
      </c>
      <c r="I244" s="2" t="s">
        <v>194</v>
      </c>
      <c r="J244" s="2" t="s">
        <v>195</v>
      </c>
      <c r="K244" s="9">
        <v>45681</v>
      </c>
      <c r="L244" s="9">
        <v>45682</v>
      </c>
      <c r="M244" s="9">
        <v>45682</v>
      </c>
      <c r="N244" s="2" t="s">
        <v>125</v>
      </c>
      <c r="O244" s="2" t="s">
        <v>55</v>
      </c>
      <c r="P244" s="2" t="s">
        <v>139</v>
      </c>
      <c r="Q244" s="2" t="s">
        <v>187</v>
      </c>
      <c r="R244" s="2" t="s">
        <v>137</v>
      </c>
      <c r="S244" s="2" t="s">
        <v>198</v>
      </c>
      <c r="T244" s="10">
        <v>29.37</v>
      </c>
      <c r="U244" s="11">
        <v>1.085</v>
      </c>
      <c r="V244" s="12">
        <f>T244*U244</f>
        <v>31.86645</v>
      </c>
      <c r="W244" s="13">
        <v>0.19</v>
      </c>
      <c r="X244" s="12">
        <f>V244-(V244/(1+W244))</f>
        <v>5.087920588235292</v>
      </c>
      <c r="Y244" s="12">
        <f>V244-X244</f>
        <v>26.778529411764708</v>
      </c>
      <c r="Z244" s="14">
        <v>35</v>
      </c>
      <c r="AA244" s="2" t="str">
        <f>IF(V244&gt;Z244,"Yes","No")</f>
        <v>No</v>
      </c>
      <c r="AB244" s="12">
        <f>V244-Z244</f>
        <v>-3.1335499999999996</v>
      </c>
      <c r="AC244" s="15" t="s">
        <v>130</v>
      </c>
      <c r="AD244" s="15" t="s">
        <v>131</v>
      </c>
      <c r="AE244" s="15" t="s">
        <v>514</v>
      </c>
      <c r="AF244" s="12">
        <f>IF(AG244="Rejected",0,IF(R244="Corporate Card",0,V244))</f>
        <v>31.86645</v>
      </c>
      <c r="AG244" s="15" t="s">
        <v>133</v>
      </c>
      <c r="AH244" s="16">
        <v>45692</v>
      </c>
      <c r="AI244" s="16">
        <v>45700</v>
      </c>
      <c r="AJ244" s="16">
        <v>45707</v>
      </c>
      <c r="AK244" s="17">
        <f>IF(AJ244="","",AJ244-AH244)</f>
        <v>15</v>
      </c>
    </row>
    <row r="245" spans="1:37">
      <c r="A245" s="2" t="s">
        <v>547</v>
      </c>
      <c r="B245" s="2" t="s">
        <v>509</v>
      </c>
      <c r="C245" s="2" t="s">
        <v>510</v>
      </c>
      <c r="D245" s="2" t="s">
        <v>250</v>
      </c>
      <c r="E245" s="2" t="s">
        <v>511</v>
      </c>
      <c r="F245" s="2" t="s">
        <v>313</v>
      </c>
      <c r="G245" s="2" t="s">
        <v>512</v>
      </c>
      <c r="H245" s="2" t="s">
        <v>417</v>
      </c>
      <c r="I245" s="2" t="s">
        <v>194</v>
      </c>
      <c r="J245" s="2" t="s">
        <v>195</v>
      </c>
      <c r="K245" s="9">
        <v>45681</v>
      </c>
      <c r="L245" s="9">
        <v>45682</v>
      </c>
      <c r="M245" s="9">
        <v>45682</v>
      </c>
      <c r="N245" s="2" t="s">
        <v>125</v>
      </c>
      <c r="O245" s="2" t="s">
        <v>62</v>
      </c>
      <c r="P245" s="2" t="s">
        <v>533</v>
      </c>
      <c r="Q245" s="2" t="s">
        <v>548</v>
      </c>
      <c r="R245" s="2" t="s">
        <v>137</v>
      </c>
      <c r="S245" s="2" t="s">
        <v>198</v>
      </c>
      <c r="T245" s="10">
        <v>23.05</v>
      </c>
      <c r="U245" s="11">
        <v>1.085</v>
      </c>
      <c r="V245" s="12">
        <f>T245*U245</f>
        <v>25.009250000000002</v>
      </c>
      <c r="W245" s="13">
        <v>0.19</v>
      </c>
      <c r="X245" s="12">
        <f>V245-(V245/(1+W245))</f>
        <v>3.9930735294117632</v>
      </c>
      <c r="Y245" s="12">
        <f>V245-X245</f>
        <v>21.016176470588238</v>
      </c>
      <c r="Z245" s="14">
        <v>45</v>
      </c>
      <c r="AA245" s="2" t="str">
        <f>IF(V245&gt;Z245,"Yes","No")</f>
        <v>No</v>
      </c>
      <c r="AB245" s="12">
        <f>V245-Z245</f>
        <v>-19.990749999999998</v>
      </c>
      <c r="AC245" s="15" t="s">
        <v>130</v>
      </c>
      <c r="AD245" s="15" t="s">
        <v>131</v>
      </c>
      <c r="AE245" s="15" t="s">
        <v>514</v>
      </c>
      <c r="AF245" s="12">
        <f>IF(AG245="Rejected",0,IF(R245="Corporate Card",0,V245))</f>
        <v>25.009250000000002</v>
      </c>
      <c r="AG245" s="15" t="s">
        <v>133</v>
      </c>
      <c r="AH245" s="16">
        <v>45692</v>
      </c>
      <c r="AI245" s="16">
        <v>45700</v>
      </c>
      <c r="AJ245" s="16">
        <v>45707</v>
      </c>
      <c r="AK245" s="17">
        <f>IF(AJ245="","",AJ245-AH245)</f>
        <v>15</v>
      </c>
    </row>
    <row r="246" spans="1:37">
      <c r="A246" s="2" t="s">
        <v>549</v>
      </c>
      <c r="B246" s="2" t="s">
        <v>550</v>
      </c>
      <c r="C246" s="2" t="s">
        <v>551</v>
      </c>
      <c r="D246" s="2" t="s">
        <v>171</v>
      </c>
      <c r="E246" s="2" t="s">
        <v>172</v>
      </c>
      <c r="F246" s="2" t="s">
        <v>173</v>
      </c>
      <c r="G246" s="2" t="s">
        <v>552</v>
      </c>
      <c r="H246" s="2" t="s">
        <v>254</v>
      </c>
      <c r="I246" s="2" t="s">
        <v>553</v>
      </c>
      <c r="J246" s="2" t="s">
        <v>553</v>
      </c>
      <c r="K246" s="9">
        <v>45682</v>
      </c>
      <c r="L246" s="9">
        <v>45684</v>
      </c>
      <c r="M246" s="9">
        <v>45682</v>
      </c>
      <c r="N246" s="2" t="s">
        <v>125</v>
      </c>
      <c r="O246" s="2" t="s">
        <v>52</v>
      </c>
      <c r="P246" s="2" t="s">
        <v>554</v>
      </c>
      <c r="Q246" s="2" t="s">
        <v>513</v>
      </c>
      <c r="R246" s="2" t="s">
        <v>149</v>
      </c>
      <c r="S246" s="2" t="s">
        <v>555</v>
      </c>
      <c r="T246" s="10">
        <v>3665.34</v>
      </c>
      <c r="U246" s="11">
        <v>0.74299999999999999</v>
      </c>
      <c r="V246" s="12">
        <f>T246*U246</f>
        <v>2723.34762</v>
      </c>
      <c r="W246" s="13">
        <v>0</v>
      </c>
      <c r="X246" s="12">
        <f>V246-(V246/(1+W246))</f>
        <v>0</v>
      </c>
      <c r="Y246" s="12">
        <f>V246-X246</f>
        <v>2723.34762</v>
      </c>
      <c r="Z246" s="14">
        <v>1400</v>
      </c>
      <c r="AA246" s="2" t="str">
        <f>IF(V246&gt;Z246,"Yes","No")</f>
        <v>Yes</v>
      </c>
      <c r="AB246" s="12">
        <f>V246-Z246</f>
        <v>1323.34762</v>
      </c>
      <c r="AC246" s="15" t="s">
        <v>131</v>
      </c>
      <c r="AD246" s="15" t="s">
        <v>130</v>
      </c>
      <c r="AE246" s="15" t="s">
        <v>260</v>
      </c>
      <c r="AF246" s="12">
        <f>IF(AG246="Rejected",0,IF(R246="Corporate Card",0,V246))</f>
        <v>2723.34762</v>
      </c>
      <c r="AG246" s="15" t="s">
        <v>133</v>
      </c>
      <c r="AH246" s="16">
        <v>45694</v>
      </c>
      <c r="AI246" s="16">
        <v>45697</v>
      </c>
      <c r="AJ246" s="16">
        <v>45707</v>
      </c>
      <c r="AK246" s="17">
        <f>IF(AJ246="","",AJ246-AH246)</f>
        <v>13</v>
      </c>
    </row>
    <row r="247" spans="1:37">
      <c r="A247" s="2" t="s">
        <v>556</v>
      </c>
      <c r="B247" s="2" t="s">
        <v>550</v>
      </c>
      <c r="C247" s="2" t="s">
        <v>551</v>
      </c>
      <c r="D247" s="2" t="s">
        <v>171</v>
      </c>
      <c r="E247" s="2" t="s">
        <v>172</v>
      </c>
      <c r="F247" s="2" t="s">
        <v>173</v>
      </c>
      <c r="G247" s="2" t="s">
        <v>552</v>
      </c>
      <c r="H247" s="2" t="s">
        <v>254</v>
      </c>
      <c r="I247" s="2" t="s">
        <v>553</v>
      </c>
      <c r="J247" s="2" t="s">
        <v>553</v>
      </c>
      <c r="K247" s="9">
        <v>45682</v>
      </c>
      <c r="L247" s="9">
        <v>45684</v>
      </c>
      <c r="M247" s="9">
        <v>45682</v>
      </c>
      <c r="N247" s="2" t="s">
        <v>125</v>
      </c>
      <c r="O247" s="2" t="s">
        <v>63</v>
      </c>
      <c r="P247" s="2" t="s">
        <v>200</v>
      </c>
      <c r="Q247" s="2" t="s">
        <v>557</v>
      </c>
      <c r="R247" s="2" t="s">
        <v>128</v>
      </c>
      <c r="S247" s="2" t="s">
        <v>555</v>
      </c>
      <c r="T247" s="10">
        <v>905.7</v>
      </c>
      <c r="U247" s="11">
        <v>0.74299999999999999</v>
      </c>
      <c r="V247" s="12">
        <f>T247*U247</f>
        <v>672.93510000000003</v>
      </c>
      <c r="W247" s="13">
        <v>0</v>
      </c>
      <c r="X247" s="12">
        <f>V247-(V247/(1+W247))</f>
        <v>0</v>
      </c>
      <c r="Y247" s="12">
        <f>V247-X247</f>
        <v>672.93510000000003</v>
      </c>
      <c r="Z247" s="14">
        <v>1200</v>
      </c>
      <c r="AA247" s="2" t="str">
        <f>IF(V247&gt;Z247,"Yes","No")</f>
        <v>No</v>
      </c>
      <c r="AB247" s="12">
        <f>V247-Z247</f>
        <v>-527.06489999999997</v>
      </c>
      <c r="AC247" s="15" t="s">
        <v>130</v>
      </c>
      <c r="AD247" s="15" t="s">
        <v>130</v>
      </c>
      <c r="AE247" s="15" t="s">
        <v>260</v>
      </c>
      <c r="AF247" s="12">
        <f>IF(AG247="Rejected",0,IF(R247="Corporate Card",0,V247))</f>
        <v>0</v>
      </c>
      <c r="AG247" s="15" t="s">
        <v>133</v>
      </c>
      <c r="AH247" s="16">
        <v>45694</v>
      </c>
      <c r="AI247" s="16">
        <v>45697</v>
      </c>
      <c r="AJ247" s="16">
        <v>45707</v>
      </c>
      <c r="AK247" s="17">
        <f>IF(AJ247="","",AJ247-AH247)</f>
        <v>13</v>
      </c>
    </row>
    <row r="248" spans="1:37">
      <c r="A248" s="2" t="s">
        <v>558</v>
      </c>
      <c r="B248" s="2" t="s">
        <v>550</v>
      </c>
      <c r="C248" s="2" t="s">
        <v>551</v>
      </c>
      <c r="D248" s="2" t="s">
        <v>171</v>
      </c>
      <c r="E248" s="2" t="s">
        <v>172</v>
      </c>
      <c r="F248" s="2" t="s">
        <v>173</v>
      </c>
      <c r="G248" s="2" t="s">
        <v>552</v>
      </c>
      <c r="H248" s="2" t="s">
        <v>254</v>
      </c>
      <c r="I248" s="2" t="s">
        <v>553</v>
      </c>
      <c r="J248" s="2" t="s">
        <v>553</v>
      </c>
      <c r="K248" s="9">
        <v>45682</v>
      </c>
      <c r="L248" s="9">
        <v>45684</v>
      </c>
      <c r="M248" s="9">
        <v>45682</v>
      </c>
      <c r="N248" s="2" t="s">
        <v>125</v>
      </c>
      <c r="O248" s="2" t="s">
        <v>54</v>
      </c>
      <c r="P248" s="2" t="s">
        <v>139</v>
      </c>
      <c r="Q248" s="2" t="s">
        <v>214</v>
      </c>
      <c r="R248" s="2" t="s">
        <v>128</v>
      </c>
      <c r="S248" s="2" t="s">
        <v>555</v>
      </c>
      <c r="T248" s="10">
        <v>25.24</v>
      </c>
      <c r="U248" s="11">
        <v>0.74299999999999999</v>
      </c>
      <c r="V248" s="12">
        <f>T248*U248</f>
        <v>18.753319999999999</v>
      </c>
      <c r="W248" s="13">
        <v>0.09</v>
      </c>
      <c r="X248" s="12">
        <f>V248-(V248/(1+W248))</f>
        <v>1.5484392660550483</v>
      </c>
      <c r="Y248" s="12">
        <f>V248-X248</f>
        <v>17.20488073394495</v>
      </c>
      <c r="Z248" s="14">
        <v>25</v>
      </c>
      <c r="AA248" s="2" t="str">
        <f>IF(V248&gt;Z248,"Yes","No")</f>
        <v>No</v>
      </c>
      <c r="AB248" s="12">
        <f>V248-Z248</f>
        <v>-6.2466800000000013</v>
      </c>
      <c r="AC248" s="15" t="s">
        <v>130</v>
      </c>
      <c r="AD248" s="15" t="s">
        <v>130</v>
      </c>
      <c r="AE248" s="15" t="s">
        <v>260</v>
      </c>
      <c r="AF248" s="12">
        <f>IF(AG248="Rejected",0,IF(R248="Corporate Card",0,V248))</f>
        <v>0</v>
      </c>
      <c r="AG248" s="15" t="s">
        <v>133</v>
      </c>
      <c r="AH248" s="16">
        <v>45694</v>
      </c>
      <c r="AI248" s="16">
        <v>45697</v>
      </c>
      <c r="AJ248" s="16">
        <v>45707</v>
      </c>
      <c r="AK248" s="17">
        <f>IF(AJ248="","",AJ248-AH248)</f>
        <v>13</v>
      </c>
    </row>
    <row r="249" spans="1:37">
      <c r="A249" s="2" t="s">
        <v>559</v>
      </c>
      <c r="B249" s="2" t="s">
        <v>550</v>
      </c>
      <c r="C249" s="2" t="s">
        <v>551</v>
      </c>
      <c r="D249" s="2" t="s">
        <v>171</v>
      </c>
      <c r="E249" s="2" t="s">
        <v>172</v>
      </c>
      <c r="F249" s="2" t="s">
        <v>173</v>
      </c>
      <c r="G249" s="2" t="s">
        <v>552</v>
      </c>
      <c r="H249" s="2" t="s">
        <v>254</v>
      </c>
      <c r="I249" s="2" t="s">
        <v>553</v>
      </c>
      <c r="J249" s="2" t="s">
        <v>553</v>
      </c>
      <c r="K249" s="9">
        <v>45682</v>
      </c>
      <c r="L249" s="9">
        <v>45684</v>
      </c>
      <c r="M249" s="9">
        <v>45682</v>
      </c>
      <c r="N249" s="2" t="s">
        <v>125</v>
      </c>
      <c r="O249" s="2" t="s">
        <v>55</v>
      </c>
      <c r="P249" s="2" t="s">
        <v>139</v>
      </c>
      <c r="Q249" s="2" t="s">
        <v>161</v>
      </c>
      <c r="R249" s="2" t="s">
        <v>128</v>
      </c>
      <c r="S249" s="2" t="s">
        <v>555</v>
      </c>
      <c r="T249" s="10">
        <v>25.35</v>
      </c>
      <c r="U249" s="11">
        <v>0.74299999999999999</v>
      </c>
      <c r="V249" s="12">
        <f>T249*U249</f>
        <v>18.835050000000003</v>
      </c>
      <c r="W249" s="13">
        <v>0.09</v>
      </c>
      <c r="X249" s="12">
        <f>V249-(V249/(1+W249))</f>
        <v>1.5551876146788999</v>
      </c>
      <c r="Y249" s="12">
        <f>V249-X249</f>
        <v>17.279862385321103</v>
      </c>
      <c r="Z249" s="14">
        <v>35</v>
      </c>
      <c r="AA249" s="2" t="str">
        <f>IF(V249&gt;Z249,"Yes","No")</f>
        <v>No</v>
      </c>
      <c r="AB249" s="12">
        <f>V249-Z249</f>
        <v>-16.164949999999997</v>
      </c>
      <c r="AC249" s="15" t="s">
        <v>130</v>
      </c>
      <c r="AD249" s="15" t="s">
        <v>130</v>
      </c>
      <c r="AE249" s="15" t="s">
        <v>260</v>
      </c>
      <c r="AF249" s="12">
        <f>IF(AG249="Rejected",0,IF(R249="Corporate Card",0,V249))</f>
        <v>0</v>
      </c>
      <c r="AG249" s="15" t="s">
        <v>133</v>
      </c>
      <c r="AH249" s="16">
        <v>45694</v>
      </c>
      <c r="AI249" s="16">
        <v>45697</v>
      </c>
      <c r="AJ249" s="16">
        <v>45707</v>
      </c>
      <c r="AK249" s="17">
        <f>IF(AJ249="","",AJ249-AH249)</f>
        <v>13</v>
      </c>
    </row>
    <row r="250" spans="1:37">
      <c r="A250" s="2" t="s">
        <v>560</v>
      </c>
      <c r="B250" s="2" t="s">
        <v>412</v>
      </c>
      <c r="C250" s="2" t="s">
        <v>413</v>
      </c>
      <c r="D250" s="2" t="s">
        <v>414</v>
      </c>
      <c r="E250" s="2" t="s">
        <v>415</v>
      </c>
      <c r="F250" s="2" t="s">
        <v>313</v>
      </c>
      <c r="G250" s="2" t="s">
        <v>416</v>
      </c>
      <c r="H250" s="2" t="s">
        <v>417</v>
      </c>
      <c r="I250" s="2" t="s">
        <v>418</v>
      </c>
      <c r="J250" s="2" t="s">
        <v>381</v>
      </c>
      <c r="K250" s="9">
        <v>45677</v>
      </c>
      <c r="L250" s="9">
        <v>45684</v>
      </c>
      <c r="M250" s="9">
        <v>45682</v>
      </c>
      <c r="N250" s="2" t="s">
        <v>125</v>
      </c>
      <c r="O250" s="2" t="s">
        <v>56</v>
      </c>
      <c r="P250" s="2" t="s">
        <v>165</v>
      </c>
      <c r="Q250" s="2" t="s">
        <v>159</v>
      </c>
      <c r="R250" s="2" t="s">
        <v>128</v>
      </c>
      <c r="S250" s="2" t="s">
        <v>383</v>
      </c>
      <c r="T250" s="10">
        <v>28.89</v>
      </c>
      <c r="U250" s="11">
        <v>1</v>
      </c>
      <c r="V250" s="12">
        <f>T250*U250</f>
        <v>28.89</v>
      </c>
      <c r="W250" s="13">
        <v>0</v>
      </c>
      <c r="X250" s="12">
        <f>V250-(V250/(1+W250))</f>
        <v>0</v>
      </c>
      <c r="Y250" s="12">
        <f>V250-X250</f>
        <v>28.89</v>
      </c>
      <c r="Z250" s="14">
        <v>75</v>
      </c>
      <c r="AA250" s="2" t="str">
        <f>IF(V250&gt;Z250,"Yes","No")</f>
        <v>No</v>
      </c>
      <c r="AB250" s="12">
        <f>V250-Z250</f>
        <v>-46.11</v>
      </c>
      <c r="AC250" s="15" t="s">
        <v>130</v>
      </c>
      <c r="AD250" s="15" t="s">
        <v>130</v>
      </c>
      <c r="AE250" s="15" t="s">
        <v>421</v>
      </c>
      <c r="AF250" s="12">
        <f>IF(AG250="Rejected",0,IF(R250="Corporate Card",0,V250))</f>
        <v>0</v>
      </c>
      <c r="AG250" s="15" t="s">
        <v>133</v>
      </c>
      <c r="AH250" s="16">
        <v>45696</v>
      </c>
      <c r="AI250" s="16">
        <v>45702</v>
      </c>
      <c r="AJ250" s="16">
        <v>45712</v>
      </c>
      <c r="AK250" s="17">
        <f>IF(AJ250="","",AJ250-AH250)</f>
        <v>16</v>
      </c>
    </row>
    <row r="251" spans="1:37">
      <c r="A251" s="2" t="s">
        <v>561</v>
      </c>
      <c r="B251" s="2" t="s">
        <v>412</v>
      </c>
      <c r="C251" s="2" t="s">
        <v>413</v>
      </c>
      <c r="D251" s="2" t="s">
        <v>414</v>
      </c>
      <c r="E251" s="2" t="s">
        <v>415</v>
      </c>
      <c r="F251" s="2" t="s">
        <v>313</v>
      </c>
      <c r="G251" s="2" t="s">
        <v>416</v>
      </c>
      <c r="H251" s="2" t="s">
        <v>417</v>
      </c>
      <c r="I251" s="2" t="s">
        <v>418</v>
      </c>
      <c r="J251" s="2" t="s">
        <v>381</v>
      </c>
      <c r="K251" s="9">
        <v>45677</v>
      </c>
      <c r="L251" s="9">
        <v>45684</v>
      </c>
      <c r="M251" s="9">
        <v>45682</v>
      </c>
      <c r="N251" s="2" t="s">
        <v>125</v>
      </c>
      <c r="O251" s="2" t="s">
        <v>55</v>
      </c>
      <c r="P251" s="2" t="s">
        <v>139</v>
      </c>
      <c r="Q251" s="2" t="s">
        <v>154</v>
      </c>
      <c r="R251" s="2" t="s">
        <v>137</v>
      </c>
      <c r="S251" s="2" t="s">
        <v>383</v>
      </c>
      <c r="T251" s="10">
        <v>46.38</v>
      </c>
      <c r="U251" s="11">
        <v>1</v>
      </c>
      <c r="V251" s="12">
        <f>T251*U251</f>
        <v>46.38</v>
      </c>
      <c r="W251" s="13">
        <v>0</v>
      </c>
      <c r="X251" s="12">
        <f>V251-(V251/(1+W251))</f>
        <v>0</v>
      </c>
      <c r="Y251" s="12">
        <f>V251-X251</f>
        <v>46.38</v>
      </c>
      <c r="Z251" s="14">
        <v>35</v>
      </c>
      <c r="AA251" s="2" t="str">
        <f>IF(V251&gt;Z251,"Yes","No")</f>
        <v>Yes</v>
      </c>
      <c r="AB251" s="12">
        <f>V251-Z251</f>
        <v>11.380000000000003</v>
      </c>
      <c r="AC251" s="15" t="s">
        <v>130</v>
      </c>
      <c r="AD251" s="15" t="s">
        <v>130</v>
      </c>
      <c r="AE251" s="15" t="s">
        <v>421</v>
      </c>
      <c r="AF251" s="12">
        <f>IF(AG251="Rejected",0,IF(R251="Corporate Card",0,V251))</f>
        <v>46.38</v>
      </c>
      <c r="AG251" s="15" t="s">
        <v>133</v>
      </c>
      <c r="AH251" s="16">
        <v>45696</v>
      </c>
      <c r="AI251" s="16">
        <v>45702</v>
      </c>
      <c r="AJ251" s="16">
        <v>45712</v>
      </c>
      <c r="AK251" s="17">
        <f>IF(AJ251="","",AJ251-AH251)</f>
        <v>16</v>
      </c>
    </row>
    <row r="252" spans="1:37">
      <c r="A252" s="2" t="s">
        <v>562</v>
      </c>
      <c r="B252" s="2" t="s">
        <v>442</v>
      </c>
      <c r="C252" s="2" t="s">
        <v>443</v>
      </c>
      <c r="D252" s="2" t="s">
        <v>444</v>
      </c>
      <c r="E252" s="2" t="s">
        <v>445</v>
      </c>
      <c r="F252" s="2" t="s">
        <v>446</v>
      </c>
      <c r="G252" s="2" t="s">
        <v>447</v>
      </c>
      <c r="H252" s="2" t="s">
        <v>448</v>
      </c>
      <c r="I252" s="2" t="s">
        <v>418</v>
      </c>
      <c r="J252" s="2" t="s">
        <v>381</v>
      </c>
      <c r="K252" s="9">
        <v>45677</v>
      </c>
      <c r="L252" s="9">
        <v>45683</v>
      </c>
      <c r="M252" s="9">
        <v>45682</v>
      </c>
      <c r="N252" s="2" t="s">
        <v>125</v>
      </c>
      <c r="O252" s="2" t="s">
        <v>54</v>
      </c>
      <c r="P252" s="2" t="s">
        <v>139</v>
      </c>
      <c r="Q252" s="2" t="s">
        <v>140</v>
      </c>
      <c r="R252" s="2" t="s">
        <v>128</v>
      </c>
      <c r="S252" s="2" t="s">
        <v>383</v>
      </c>
      <c r="T252" s="10">
        <v>23.3</v>
      </c>
      <c r="U252" s="11">
        <v>1</v>
      </c>
      <c r="V252" s="12">
        <f>T252*U252</f>
        <v>23.3</v>
      </c>
      <c r="W252" s="13">
        <v>0</v>
      </c>
      <c r="X252" s="12">
        <f>V252-(V252/(1+W252))</f>
        <v>0</v>
      </c>
      <c r="Y252" s="12">
        <f>V252-X252</f>
        <v>23.3</v>
      </c>
      <c r="Z252" s="14">
        <v>25</v>
      </c>
      <c r="AA252" s="2" t="str">
        <f>IF(V252&gt;Z252,"Yes","No")</f>
        <v>No</v>
      </c>
      <c r="AB252" s="12">
        <f>V252-Z252</f>
        <v>-1.6999999999999993</v>
      </c>
      <c r="AC252" s="15" t="s">
        <v>130</v>
      </c>
      <c r="AD252" s="15" t="s">
        <v>131</v>
      </c>
      <c r="AE252" s="15" t="s">
        <v>350</v>
      </c>
      <c r="AF252" s="12">
        <f>IF(AG252="Rejected",0,IF(R252="Corporate Card",0,V252))</f>
        <v>0</v>
      </c>
      <c r="AG252" s="15" t="s">
        <v>133</v>
      </c>
      <c r="AH252" s="16">
        <v>45687</v>
      </c>
      <c r="AI252" s="16">
        <v>45693</v>
      </c>
      <c r="AJ252" s="16">
        <v>45700</v>
      </c>
      <c r="AK252" s="17">
        <f>IF(AJ252="","",AJ252-AH252)</f>
        <v>13</v>
      </c>
    </row>
    <row r="253" spans="1:37">
      <c r="A253" s="2" t="s">
        <v>563</v>
      </c>
      <c r="B253" s="2" t="s">
        <v>442</v>
      </c>
      <c r="C253" s="2" t="s">
        <v>443</v>
      </c>
      <c r="D253" s="2" t="s">
        <v>444</v>
      </c>
      <c r="E253" s="2" t="s">
        <v>445</v>
      </c>
      <c r="F253" s="2" t="s">
        <v>446</v>
      </c>
      <c r="G253" s="2" t="s">
        <v>447</v>
      </c>
      <c r="H253" s="2" t="s">
        <v>448</v>
      </c>
      <c r="I253" s="2" t="s">
        <v>418</v>
      </c>
      <c r="J253" s="2" t="s">
        <v>381</v>
      </c>
      <c r="K253" s="9">
        <v>45677</v>
      </c>
      <c r="L253" s="9">
        <v>45683</v>
      </c>
      <c r="M253" s="9">
        <v>45682</v>
      </c>
      <c r="N253" s="2" t="s">
        <v>125</v>
      </c>
      <c r="O253" s="2" t="s">
        <v>56</v>
      </c>
      <c r="P253" s="2" t="s">
        <v>245</v>
      </c>
      <c r="Q253" s="2" t="s">
        <v>185</v>
      </c>
      <c r="R253" s="2" t="s">
        <v>128</v>
      </c>
      <c r="S253" s="2" t="s">
        <v>383</v>
      </c>
      <c r="T253" s="10">
        <v>98.54</v>
      </c>
      <c r="U253" s="11">
        <v>1</v>
      </c>
      <c r="V253" s="12">
        <f>T253*U253</f>
        <v>98.54</v>
      </c>
      <c r="W253" s="13">
        <v>0</v>
      </c>
      <c r="X253" s="12">
        <f>V253-(V253/(1+W253))</f>
        <v>0</v>
      </c>
      <c r="Y253" s="12">
        <f>V253-X253</f>
        <v>98.54</v>
      </c>
      <c r="Z253" s="14">
        <v>75</v>
      </c>
      <c r="AA253" s="2" t="str">
        <f>IF(V253&gt;Z253,"Yes","No")</f>
        <v>Yes</v>
      </c>
      <c r="AB253" s="12">
        <f>V253-Z253</f>
        <v>23.540000000000006</v>
      </c>
      <c r="AC253" s="15" t="s">
        <v>130</v>
      </c>
      <c r="AD253" s="15" t="s">
        <v>131</v>
      </c>
      <c r="AE253" s="15" t="s">
        <v>350</v>
      </c>
      <c r="AF253" s="12">
        <f>IF(AG253="Rejected",0,IF(R253="Corporate Card",0,V253))</f>
        <v>0</v>
      </c>
      <c r="AG253" s="15" t="s">
        <v>133</v>
      </c>
      <c r="AH253" s="16">
        <v>45687</v>
      </c>
      <c r="AI253" s="16">
        <v>45693</v>
      </c>
      <c r="AJ253" s="16">
        <v>45700</v>
      </c>
      <c r="AK253" s="17">
        <f>IF(AJ253="","",AJ253-AH253)</f>
        <v>13</v>
      </c>
    </row>
    <row r="254" spans="1:37">
      <c r="A254" s="2" t="s">
        <v>564</v>
      </c>
      <c r="B254" s="2" t="s">
        <v>442</v>
      </c>
      <c r="C254" s="2" t="s">
        <v>443</v>
      </c>
      <c r="D254" s="2" t="s">
        <v>444</v>
      </c>
      <c r="E254" s="2" t="s">
        <v>445</v>
      </c>
      <c r="F254" s="2" t="s">
        <v>446</v>
      </c>
      <c r="G254" s="2" t="s">
        <v>447</v>
      </c>
      <c r="H254" s="2" t="s">
        <v>448</v>
      </c>
      <c r="I254" s="2" t="s">
        <v>418</v>
      </c>
      <c r="J254" s="2" t="s">
        <v>381</v>
      </c>
      <c r="K254" s="9">
        <v>45677</v>
      </c>
      <c r="L254" s="9">
        <v>45683</v>
      </c>
      <c r="M254" s="9">
        <v>45682</v>
      </c>
      <c r="N254" s="2" t="s">
        <v>125</v>
      </c>
      <c r="O254" s="2" t="s">
        <v>55</v>
      </c>
      <c r="P254" s="2" t="s">
        <v>139</v>
      </c>
      <c r="Q254" s="2" t="s">
        <v>154</v>
      </c>
      <c r="R254" s="2" t="s">
        <v>128</v>
      </c>
      <c r="S254" s="2" t="s">
        <v>383</v>
      </c>
      <c r="T254" s="10">
        <v>15.65</v>
      </c>
      <c r="U254" s="11">
        <v>1</v>
      </c>
      <c r="V254" s="12">
        <f>T254*U254</f>
        <v>15.65</v>
      </c>
      <c r="W254" s="13">
        <v>0</v>
      </c>
      <c r="X254" s="12">
        <f>V254-(V254/(1+W254))</f>
        <v>0</v>
      </c>
      <c r="Y254" s="12">
        <f>V254-X254</f>
        <v>15.65</v>
      </c>
      <c r="Z254" s="14">
        <v>35</v>
      </c>
      <c r="AA254" s="2" t="str">
        <f>IF(V254&gt;Z254,"Yes","No")</f>
        <v>No</v>
      </c>
      <c r="AB254" s="12">
        <f>V254-Z254</f>
        <v>-19.350000000000001</v>
      </c>
      <c r="AC254" s="15" t="s">
        <v>130</v>
      </c>
      <c r="AD254" s="15" t="s">
        <v>131</v>
      </c>
      <c r="AE254" s="15" t="s">
        <v>350</v>
      </c>
      <c r="AF254" s="12">
        <f>IF(AG254="Rejected",0,IF(R254="Corporate Card",0,V254))</f>
        <v>0</v>
      </c>
      <c r="AG254" s="15" t="s">
        <v>133</v>
      </c>
      <c r="AH254" s="16">
        <v>45687</v>
      </c>
      <c r="AI254" s="16">
        <v>45693</v>
      </c>
      <c r="AJ254" s="16">
        <v>45700</v>
      </c>
      <c r="AK254" s="17">
        <f>IF(AJ254="","",AJ254-AH254)</f>
        <v>13</v>
      </c>
    </row>
    <row r="255" spans="1:37">
      <c r="A255" s="2" t="s">
        <v>565</v>
      </c>
      <c r="B255" s="2" t="s">
        <v>509</v>
      </c>
      <c r="C255" s="2" t="s">
        <v>510</v>
      </c>
      <c r="D255" s="2" t="s">
        <v>250</v>
      </c>
      <c r="E255" s="2" t="s">
        <v>511</v>
      </c>
      <c r="F255" s="2" t="s">
        <v>313</v>
      </c>
      <c r="G255" s="2" t="s">
        <v>566</v>
      </c>
      <c r="H255" s="2" t="s">
        <v>193</v>
      </c>
      <c r="I255" s="2" t="s">
        <v>567</v>
      </c>
      <c r="J255" s="2" t="s">
        <v>434</v>
      </c>
      <c r="K255" s="9">
        <v>45683</v>
      </c>
      <c r="L255" s="9">
        <v>45688</v>
      </c>
      <c r="M255" s="9">
        <v>45683</v>
      </c>
      <c r="N255" s="2" t="s">
        <v>125</v>
      </c>
      <c r="O255" s="2" t="s">
        <v>52</v>
      </c>
      <c r="P255" s="2" t="s">
        <v>568</v>
      </c>
      <c r="Q255" s="2" t="s">
        <v>513</v>
      </c>
      <c r="R255" s="2" t="s">
        <v>137</v>
      </c>
      <c r="S255" s="2" t="s">
        <v>436</v>
      </c>
      <c r="T255" s="10">
        <v>98216</v>
      </c>
      <c r="U255" s="11">
        <v>1.1780000000000001E-2</v>
      </c>
      <c r="V255" s="12">
        <f>T255*U255</f>
        <v>1156.9844800000001</v>
      </c>
      <c r="W255" s="13">
        <v>0</v>
      </c>
      <c r="X255" s="12">
        <f>V255-(V255/(1+W255))</f>
        <v>0</v>
      </c>
      <c r="Y255" s="12">
        <f>V255-X255</f>
        <v>1156.9844800000001</v>
      </c>
      <c r="Z255" s="14">
        <v>1400</v>
      </c>
      <c r="AA255" s="2" t="str">
        <f>IF(V255&gt;Z255,"Yes","No")</f>
        <v>No</v>
      </c>
      <c r="AB255" s="12">
        <f>V255-Z255</f>
        <v>-243.01551999999992</v>
      </c>
      <c r="AC255" s="15" t="s">
        <v>131</v>
      </c>
      <c r="AD255" s="15" t="s">
        <v>131</v>
      </c>
      <c r="AE255" s="15" t="s">
        <v>421</v>
      </c>
      <c r="AF255" s="12">
        <f>IF(AG255="Rejected",0,IF(R255="Corporate Card",0,V255))</f>
        <v>1156.9844800000001</v>
      </c>
      <c r="AG255" s="15" t="s">
        <v>133</v>
      </c>
      <c r="AH255" s="16">
        <v>45695</v>
      </c>
      <c r="AI255" s="16">
        <v>45699</v>
      </c>
      <c r="AJ255" s="16">
        <v>45704</v>
      </c>
      <c r="AK255" s="17">
        <f>IF(AJ255="","",AJ255-AH255)</f>
        <v>9</v>
      </c>
    </row>
    <row r="256" spans="1:37">
      <c r="A256" s="2" t="s">
        <v>569</v>
      </c>
      <c r="B256" s="2" t="s">
        <v>509</v>
      </c>
      <c r="C256" s="2" t="s">
        <v>510</v>
      </c>
      <c r="D256" s="2" t="s">
        <v>250</v>
      </c>
      <c r="E256" s="2" t="s">
        <v>511</v>
      </c>
      <c r="F256" s="2" t="s">
        <v>313</v>
      </c>
      <c r="G256" s="2" t="s">
        <v>566</v>
      </c>
      <c r="H256" s="2" t="s">
        <v>193</v>
      </c>
      <c r="I256" s="2" t="s">
        <v>567</v>
      </c>
      <c r="J256" s="2" t="s">
        <v>434</v>
      </c>
      <c r="K256" s="9">
        <v>45683</v>
      </c>
      <c r="L256" s="9">
        <v>45688</v>
      </c>
      <c r="M256" s="9">
        <v>45683</v>
      </c>
      <c r="N256" s="2" t="s">
        <v>125</v>
      </c>
      <c r="O256" s="2" t="s">
        <v>63</v>
      </c>
      <c r="P256" s="2" t="s">
        <v>200</v>
      </c>
      <c r="Q256" s="2" t="s">
        <v>201</v>
      </c>
      <c r="R256" s="2" t="s">
        <v>137</v>
      </c>
      <c r="S256" s="2" t="s">
        <v>436</v>
      </c>
      <c r="T256" s="10">
        <v>65930</v>
      </c>
      <c r="U256" s="11">
        <v>1.1780000000000001E-2</v>
      </c>
      <c r="V256" s="12">
        <f>T256*U256</f>
        <v>776.65539999999999</v>
      </c>
      <c r="W256" s="13">
        <v>0</v>
      </c>
      <c r="X256" s="12">
        <f>V256-(V256/(1+W256))</f>
        <v>0</v>
      </c>
      <c r="Y256" s="12">
        <f>V256-X256</f>
        <v>776.65539999999999</v>
      </c>
      <c r="Z256" s="14">
        <v>1200</v>
      </c>
      <c r="AA256" s="2" t="str">
        <f>IF(V256&gt;Z256,"Yes","No")</f>
        <v>No</v>
      </c>
      <c r="AB256" s="12">
        <f>V256-Z256</f>
        <v>-423.34460000000001</v>
      </c>
      <c r="AC256" s="15" t="s">
        <v>130</v>
      </c>
      <c r="AD256" s="15" t="s">
        <v>131</v>
      </c>
      <c r="AE256" s="15" t="s">
        <v>421</v>
      </c>
      <c r="AF256" s="12">
        <f>IF(AG256="Rejected",0,IF(R256="Corporate Card",0,V256))</f>
        <v>776.65539999999999</v>
      </c>
      <c r="AG256" s="15" t="s">
        <v>133</v>
      </c>
      <c r="AH256" s="16">
        <v>45695</v>
      </c>
      <c r="AI256" s="16">
        <v>45699</v>
      </c>
      <c r="AJ256" s="16">
        <v>45704</v>
      </c>
      <c r="AK256" s="17">
        <f>IF(AJ256="","",AJ256-AH256)</f>
        <v>9</v>
      </c>
    </row>
    <row r="257" spans="1:37">
      <c r="A257" s="2" t="s">
        <v>570</v>
      </c>
      <c r="B257" s="2" t="s">
        <v>509</v>
      </c>
      <c r="C257" s="2" t="s">
        <v>510</v>
      </c>
      <c r="D257" s="2" t="s">
        <v>250</v>
      </c>
      <c r="E257" s="2" t="s">
        <v>511</v>
      </c>
      <c r="F257" s="2" t="s">
        <v>313</v>
      </c>
      <c r="G257" s="2" t="s">
        <v>566</v>
      </c>
      <c r="H257" s="2" t="s">
        <v>193</v>
      </c>
      <c r="I257" s="2" t="s">
        <v>567</v>
      </c>
      <c r="J257" s="2" t="s">
        <v>434</v>
      </c>
      <c r="K257" s="9">
        <v>45683</v>
      </c>
      <c r="L257" s="9">
        <v>45688</v>
      </c>
      <c r="M257" s="9">
        <v>45683</v>
      </c>
      <c r="N257" s="2" t="s">
        <v>125</v>
      </c>
      <c r="O257" s="2" t="s">
        <v>58</v>
      </c>
      <c r="P257" s="2" t="s">
        <v>142</v>
      </c>
      <c r="Q257" s="2" t="s">
        <v>143</v>
      </c>
      <c r="R257" s="2" t="s">
        <v>128</v>
      </c>
      <c r="S257" s="2" t="s">
        <v>436</v>
      </c>
      <c r="T257" s="10">
        <v>3559</v>
      </c>
      <c r="U257" s="11">
        <v>1.1780000000000001E-2</v>
      </c>
      <c r="V257" s="12">
        <f>T257*U257</f>
        <v>41.925020000000004</v>
      </c>
      <c r="W257" s="13">
        <v>0.18</v>
      </c>
      <c r="X257" s="12">
        <f>V257-(V257/(1+W257))</f>
        <v>6.3953420338983022</v>
      </c>
      <c r="Y257" s="12">
        <f>V257-X257</f>
        <v>35.529677966101701</v>
      </c>
      <c r="Z257" s="14">
        <v>60</v>
      </c>
      <c r="AA257" s="2" t="str">
        <f>IF(V257&gt;Z257,"Yes","No")</f>
        <v>No</v>
      </c>
      <c r="AB257" s="12">
        <f>V257-Z257</f>
        <v>-18.074979999999996</v>
      </c>
      <c r="AC257" s="15" t="s">
        <v>130</v>
      </c>
      <c r="AD257" s="15" t="s">
        <v>131</v>
      </c>
      <c r="AE257" s="15" t="s">
        <v>421</v>
      </c>
      <c r="AF257" s="12">
        <f>IF(AG257="Rejected",0,IF(R257="Corporate Card",0,V257))</f>
        <v>0</v>
      </c>
      <c r="AG257" s="15" t="s">
        <v>133</v>
      </c>
      <c r="AH257" s="16">
        <v>45695</v>
      </c>
      <c r="AI257" s="16">
        <v>45699</v>
      </c>
      <c r="AJ257" s="16">
        <v>45704</v>
      </c>
      <c r="AK257" s="17">
        <f>IF(AJ257="","",AJ257-AH257)</f>
        <v>9</v>
      </c>
    </row>
    <row r="258" spans="1:37">
      <c r="A258" s="2" t="s">
        <v>571</v>
      </c>
      <c r="B258" s="2" t="s">
        <v>509</v>
      </c>
      <c r="C258" s="2" t="s">
        <v>510</v>
      </c>
      <c r="D258" s="2" t="s">
        <v>250</v>
      </c>
      <c r="E258" s="2" t="s">
        <v>511</v>
      </c>
      <c r="F258" s="2" t="s">
        <v>313</v>
      </c>
      <c r="G258" s="2" t="s">
        <v>566</v>
      </c>
      <c r="H258" s="2" t="s">
        <v>193</v>
      </c>
      <c r="I258" s="2" t="s">
        <v>567</v>
      </c>
      <c r="J258" s="2" t="s">
        <v>434</v>
      </c>
      <c r="K258" s="9">
        <v>45683</v>
      </c>
      <c r="L258" s="9">
        <v>45688</v>
      </c>
      <c r="M258" s="9">
        <v>45683</v>
      </c>
      <c r="N258" s="2" t="s">
        <v>125</v>
      </c>
      <c r="O258" s="2" t="s">
        <v>54</v>
      </c>
      <c r="P258" s="2" t="s">
        <v>139</v>
      </c>
      <c r="Q258" s="2" t="s">
        <v>214</v>
      </c>
      <c r="R258" s="2" t="s">
        <v>128</v>
      </c>
      <c r="S258" s="2" t="s">
        <v>436</v>
      </c>
      <c r="T258" s="10">
        <v>768</v>
      </c>
      <c r="U258" s="11">
        <v>1.1780000000000001E-2</v>
      </c>
      <c r="V258" s="12">
        <f>T258*U258</f>
        <v>9.0470400000000009</v>
      </c>
      <c r="W258" s="13">
        <v>0.18</v>
      </c>
      <c r="X258" s="12">
        <f>V258-(V258/(1+W258))</f>
        <v>1.3800569491525421</v>
      </c>
      <c r="Y258" s="12">
        <f>V258-X258</f>
        <v>7.6669830508474588</v>
      </c>
      <c r="Z258" s="14">
        <v>25</v>
      </c>
      <c r="AA258" s="2" t="str">
        <f>IF(V258&gt;Z258,"Yes","No")</f>
        <v>No</v>
      </c>
      <c r="AB258" s="12">
        <f>V258-Z258</f>
        <v>-15.952959999999999</v>
      </c>
      <c r="AC258" s="15" t="s">
        <v>130</v>
      </c>
      <c r="AD258" s="15" t="s">
        <v>131</v>
      </c>
      <c r="AE258" s="15" t="s">
        <v>421</v>
      </c>
      <c r="AF258" s="12">
        <f>IF(AG258="Rejected",0,IF(R258="Corporate Card",0,V258))</f>
        <v>0</v>
      </c>
      <c r="AG258" s="15" t="s">
        <v>133</v>
      </c>
      <c r="AH258" s="16">
        <v>45695</v>
      </c>
      <c r="AI258" s="16">
        <v>45699</v>
      </c>
      <c r="AJ258" s="16">
        <v>45704</v>
      </c>
      <c r="AK258" s="17">
        <f>IF(AJ258="","",AJ258-AH258)</f>
        <v>9</v>
      </c>
    </row>
    <row r="259" spans="1:37">
      <c r="A259" s="2" t="s">
        <v>572</v>
      </c>
      <c r="B259" s="2" t="s">
        <v>509</v>
      </c>
      <c r="C259" s="2" t="s">
        <v>510</v>
      </c>
      <c r="D259" s="2" t="s">
        <v>250</v>
      </c>
      <c r="E259" s="2" t="s">
        <v>511</v>
      </c>
      <c r="F259" s="2" t="s">
        <v>313</v>
      </c>
      <c r="G259" s="2" t="s">
        <v>566</v>
      </c>
      <c r="H259" s="2" t="s">
        <v>193</v>
      </c>
      <c r="I259" s="2" t="s">
        <v>567</v>
      </c>
      <c r="J259" s="2" t="s">
        <v>434</v>
      </c>
      <c r="K259" s="9">
        <v>45683</v>
      </c>
      <c r="L259" s="9">
        <v>45688</v>
      </c>
      <c r="M259" s="9">
        <v>45683</v>
      </c>
      <c r="N259" s="2" t="s">
        <v>125</v>
      </c>
      <c r="O259" s="2" t="s">
        <v>56</v>
      </c>
      <c r="P259" s="2" t="s">
        <v>165</v>
      </c>
      <c r="Q259" s="2" t="s">
        <v>166</v>
      </c>
      <c r="R259" s="2" t="s">
        <v>128</v>
      </c>
      <c r="S259" s="2" t="s">
        <v>436</v>
      </c>
      <c r="T259" s="10">
        <v>8703</v>
      </c>
      <c r="U259" s="11">
        <v>1.1780000000000001E-2</v>
      </c>
      <c r="V259" s="12">
        <f>T259*U259</f>
        <v>102.52134000000001</v>
      </c>
      <c r="W259" s="13">
        <v>0.18</v>
      </c>
      <c r="X259" s="12">
        <f>V259-(V259/(1+W259))</f>
        <v>15.638848474576264</v>
      </c>
      <c r="Y259" s="12">
        <f>V259-X259</f>
        <v>86.882491525423745</v>
      </c>
      <c r="Z259" s="14">
        <v>75</v>
      </c>
      <c r="AA259" s="2" t="str">
        <f>IF(V259&gt;Z259,"Yes","No")</f>
        <v>Yes</v>
      </c>
      <c r="AB259" s="12">
        <f>V259-Z259</f>
        <v>27.521340000000009</v>
      </c>
      <c r="AC259" s="15" t="s">
        <v>130</v>
      </c>
      <c r="AD259" s="15" t="s">
        <v>131</v>
      </c>
      <c r="AE259" s="15" t="s">
        <v>421</v>
      </c>
      <c r="AF259" s="12">
        <f>IF(AG259="Rejected",0,IF(R259="Corporate Card",0,V259))</f>
        <v>0</v>
      </c>
      <c r="AG259" s="15" t="s">
        <v>133</v>
      </c>
      <c r="AH259" s="16">
        <v>45695</v>
      </c>
      <c r="AI259" s="16">
        <v>45699</v>
      </c>
      <c r="AJ259" s="16">
        <v>45704</v>
      </c>
      <c r="AK259" s="17">
        <f>IF(AJ259="","",AJ259-AH259)</f>
        <v>9</v>
      </c>
    </row>
    <row r="260" spans="1:37">
      <c r="A260" s="2" t="s">
        <v>573</v>
      </c>
      <c r="B260" s="2" t="s">
        <v>310</v>
      </c>
      <c r="C260" s="2" t="s">
        <v>311</v>
      </c>
      <c r="D260" s="2" t="s">
        <v>118</v>
      </c>
      <c r="E260" s="2" t="s">
        <v>312</v>
      </c>
      <c r="F260" s="2" t="s">
        <v>313</v>
      </c>
      <c r="G260" s="2" t="s">
        <v>482</v>
      </c>
      <c r="H260" s="2" t="s">
        <v>254</v>
      </c>
      <c r="I260" s="2" t="s">
        <v>255</v>
      </c>
      <c r="J260" s="2" t="s">
        <v>256</v>
      </c>
      <c r="K260" s="9">
        <v>45680</v>
      </c>
      <c r="L260" s="9">
        <v>45684</v>
      </c>
      <c r="M260" s="9">
        <v>45683</v>
      </c>
      <c r="N260" s="2" t="s">
        <v>125</v>
      </c>
      <c r="O260" s="2" t="s">
        <v>67</v>
      </c>
      <c r="P260" s="2" t="s">
        <v>401</v>
      </c>
      <c r="Q260" s="2" t="s">
        <v>574</v>
      </c>
      <c r="R260" s="2" t="s">
        <v>128</v>
      </c>
      <c r="S260" s="2" t="s">
        <v>259</v>
      </c>
      <c r="T260" s="10">
        <v>23013</v>
      </c>
      <c r="U260" s="11">
        <v>6.5500000000000003E-3</v>
      </c>
      <c r="V260" s="12">
        <f>T260*U260</f>
        <v>150.73515</v>
      </c>
      <c r="W260" s="13">
        <v>0.1</v>
      </c>
      <c r="X260" s="12">
        <f>V260-(V260/(1+W260))</f>
        <v>13.703195454545465</v>
      </c>
      <c r="Y260" s="12">
        <f>V260-X260</f>
        <v>137.03195454545454</v>
      </c>
      <c r="Z260" s="14">
        <v>100</v>
      </c>
      <c r="AA260" s="2" t="str">
        <f>IF(V260&gt;Z260,"Yes","No")</f>
        <v>Yes</v>
      </c>
      <c r="AB260" s="12">
        <f>V260-Z260</f>
        <v>50.735150000000004</v>
      </c>
      <c r="AC260" s="15" t="s">
        <v>130</v>
      </c>
      <c r="AD260" s="15" t="s">
        <v>130</v>
      </c>
      <c r="AE260" s="15" t="s">
        <v>437</v>
      </c>
      <c r="AF260" s="12">
        <f>IF(AG260="Rejected",0,IF(R260="Corporate Card",0,V260))</f>
        <v>0</v>
      </c>
      <c r="AG260" s="15" t="s">
        <v>133</v>
      </c>
      <c r="AH260" s="16">
        <v>45695</v>
      </c>
      <c r="AI260" s="16">
        <v>45696</v>
      </c>
      <c r="AJ260" s="16">
        <v>45708</v>
      </c>
      <c r="AK260" s="17">
        <f>IF(AJ260="","",AJ260-AH260)</f>
        <v>13</v>
      </c>
    </row>
    <row r="261" spans="1:37">
      <c r="A261" s="2" t="s">
        <v>575</v>
      </c>
      <c r="B261" s="2" t="s">
        <v>310</v>
      </c>
      <c r="C261" s="2" t="s">
        <v>311</v>
      </c>
      <c r="D261" s="2" t="s">
        <v>118</v>
      </c>
      <c r="E261" s="2" t="s">
        <v>312</v>
      </c>
      <c r="F261" s="2" t="s">
        <v>313</v>
      </c>
      <c r="G261" s="2" t="s">
        <v>482</v>
      </c>
      <c r="H261" s="2" t="s">
        <v>254</v>
      </c>
      <c r="I261" s="2" t="s">
        <v>255</v>
      </c>
      <c r="J261" s="2" t="s">
        <v>256</v>
      </c>
      <c r="K261" s="9">
        <v>45680</v>
      </c>
      <c r="L261" s="9">
        <v>45684</v>
      </c>
      <c r="M261" s="9">
        <v>45683</v>
      </c>
      <c r="N261" s="2" t="s">
        <v>125</v>
      </c>
      <c r="O261" s="2" t="s">
        <v>58</v>
      </c>
      <c r="P261" s="2" t="s">
        <v>142</v>
      </c>
      <c r="Q261" s="2" t="s">
        <v>224</v>
      </c>
      <c r="R261" s="2" t="s">
        <v>128</v>
      </c>
      <c r="S261" s="2" t="s">
        <v>259</v>
      </c>
      <c r="T261" s="10">
        <v>4610</v>
      </c>
      <c r="U261" s="11">
        <v>6.5500000000000003E-3</v>
      </c>
      <c r="V261" s="12">
        <f>T261*U261</f>
        <v>30.195500000000003</v>
      </c>
      <c r="W261" s="13">
        <v>0.1</v>
      </c>
      <c r="X261" s="12">
        <f>V261-(V261/(1+W261))</f>
        <v>2.7450454545454583</v>
      </c>
      <c r="Y261" s="12">
        <f>V261-X261</f>
        <v>27.450454545454544</v>
      </c>
      <c r="Z261" s="14">
        <v>60</v>
      </c>
      <c r="AA261" s="2" t="str">
        <f>IF(V261&gt;Z261,"Yes","No")</f>
        <v>No</v>
      </c>
      <c r="AB261" s="12">
        <f>V261-Z261</f>
        <v>-29.804499999999997</v>
      </c>
      <c r="AC261" s="15" t="s">
        <v>130</v>
      </c>
      <c r="AD261" s="15" t="s">
        <v>130</v>
      </c>
      <c r="AE261" s="15" t="s">
        <v>437</v>
      </c>
      <c r="AF261" s="12">
        <f>IF(AG261="Rejected",0,IF(R261="Corporate Card",0,V261))</f>
        <v>0</v>
      </c>
      <c r="AG261" s="15" t="s">
        <v>133</v>
      </c>
      <c r="AH261" s="16">
        <v>45695</v>
      </c>
      <c r="AI261" s="16">
        <v>45696</v>
      </c>
      <c r="AJ261" s="16">
        <v>45708</v>
      </c>
      <c r="AK261" s="17">
        <f>IF(AJ261="","",AJ261-AH261)</f>
        <v>13</v>
      </c>
    </row>
    <row r="262" spans="1:37">
      <c r="A262" s="2" t="s">
        <v>576</v>
      </c>
      <c r="B262" s="2" t="s">
        <v>310</v>
      </c>
      <c r="C262" s="2" t="s">
        <v>311</v>
      </c>
      <c r="D262" s="2" t="s">
        <v>118</v>
      </c>
      <c r="E262" s="2" t="s">
        <v>312</v>
      </c>
      <c r="F262" s="2" t="s">
        <v>313</v>
      </c>
      <c r="G262" s="2" t="s">
        <v>482</v>
      </c>
      <c r="H262" s="2" t="s">
        <v>254</v>
      </c>
      <c r="I262" s="2" t="s">
        <v>255</v>
      </c>
      <c r="J262" s="2" t="s">
        <v>256</v>
      </c>
      <c r="K262" s="9">
        <v>45680</v>
      </c>
      <c r="L262" s="9">
        <v>45684</v>
      </c>
      <c r="M262" s="9">
        <v>45683</v>
      </c>
      <c r="N262" s="2" t="s">
        <v>125</v>
      </c>
      <c r="O262" s="2" t="s">
        <v>54</v>
      </c>
      <c r="P262" s="2" t="s">
        <v>139</v>
      </c>
      <c r="Q262" s="2" t="s">
        <v>140</v>
      </c>
      <c r="R262" s="2" t="s">
        <v>128</v>
      </c>
      <c r="S262" s="2" t="s">
        <v>259</v>
      </c>
      <c r="T262" s="10">
        <v>3088</v>
      </c>
      <c r="U262" s="11">
        <v>6.5500000000000003E-3</v>
      </c>
      <c r="V262" s="12">
        <f>T262*U262</f>
        <v>20.226400000000002</v>
      </c>
      <c r="W262" s="13">
        <v>0.1</v>
      </c>
      <c r="X262" s="12">
        <f>V262-(V262/(1+W262))</f>
        <v>1.8387636363636375</v>
      </c>
      <c r="Y262" s="12">
        <f>V262-X262</f>
        <v>18.387636363636364</v>
      </c>
      <c r="Z262" s="14">
        <v>25</v>
      </c>
      <c r="AA262" s="2" t="str">
        <f>IF(V262&gt;Z262,"Yes","No")</f>
        <v>No</v>
      </c>
      <c r="AB262" s="12">
        <f>V262-Z262</f>
        <v>-4.7735999999999983</v>
      </c>
      <c r="AC262" s="15" t="s">
        <v>131</v>
      </c>
      <c r="AD262" s="15" t="s">
        <v>130</v>
      </c>
      <c r="AE262" s="15" t="s">
        <v>437</v>
      </c>
      <c r="AF262" s="12">
        <f>IF(AG262="Rejected",0,IF(R262="Corporate Card",0,V262))</f>
        <v>0</v>
      </c>
      <c r="AG262" s="15" t="s">
        <v>133</v>
      </c>
      <c r="AH262" s="16">
        <v>45695</v>
      </c>
      <c r="AI262" s="16">
        <v>45696</v>
      </c>
      <c r="AJ262" s="16">
        <v>45708</v>
      </c>
      <c r="AK262" s="17">
        <f>IF(AJ262="","",AJ262-AH262)</f>
        <v>13</v>
      </c>
    </row>
    <row r="263" spans="1:37">
      <c r="A263" s="2" t="s">
        <v>577</v>
      </c>
      <c r="B263" s="2" t="s">
        <v>310</v>
      </c>
      <c r="C263" s="2" t="s">
        <v>311</v>
      </c>
      <c r="D263" s="2" t="s">
        <v>118</v>
      </c>
      <c r="E263" s="2" t="s">
        <v>312</v>
      </c>
      <c r="F263" s="2" t="s">
        <v>313</v>
      </c>
      <c r="G263" s="2" t="s">
        <v>482</v>
      </c>
      <c r="H263" s="2" t="s">
        <v>254</v>
      </c>
      <c r="I263" s="2" t="s">
        <v>255</v>
      </c>
      <c r="J263" s="2" t="s">
        <v>256</v>
      </c>
      <c r="K263" s="9">
        <v>45680</v>
      </c>
      <c r="L263" s="9">
        <v>45684</v>
      </c>
      <c r="M263" s="9">
        <v>45683</v>
      </c>
      <c r="N263" s="2" t="s">
        <v>125</v>
      </c>
      <c r="O263" s="2" t="s">
        <v>56</v>
      </c>
      <c r="P263" s="2" t="s">
        <v>231</v>
      </c>
      <c r="Q263" s="2" t="s">
        <v>185</v>
      </c>
      <c r="R263" s="2" t="s">
        <v>128</v>
      </c>
      <c r="S263" s="2" t="s">
        <v>259</v>
      </c>
      <c r="T263" s="10">
        <v>7179</v>
      </c>
      <c r="U263" s="11">
        <v>6.5500000000000003E-3</v>
      </c>
      <c r="V263" s="12">
        <f>T263*U263</f>
        <v>47.022449999999999</v>
      </c>
      <c r="W263" s="13">
        <v>0.1</v>
      </c>
      <c r="X263" s="12">
        <f>V263-(V263/(1+W263))</f>
        <v>4.2747681818181817</v>
      </c>
      <c r="Y263" s="12">
        <f>V263-X263</f>
        <v>42.747681818181817</v>
      </c>
      <c r="Z263" s="14">
        <v>75</v>
      </c>
      <c r="AA263" s="2" t="str">
        <f>IF(V263&gt;Z263,"Yes","No")</f>
        <v>No</v>
      </c>
      <c r="AB263" s="12">
        <f>V263-Z263</f>
        <v>-27.977550000000001</v>
      </c>
      <c r="AC263" s="15" t="s">
        <v>130</v>
      </c>
      <c r="AD263" s="15" t="s">
        <v>130</v>
      </c>
      <c r="AE263" s="15" t="s">
        <v>437</v>
      </c>
      <c r="AF263" s="12">
        <f>IF(AG263="Rejected",0,IF(R263="Corporate Card",0,V263))</f>
        <v>0</v>
      </c>
      <c r="AG263" s="15" t="s">
        <v>133</v>
      </c>
      <c r="AH263" s="16">
        <v>45695</v>
      </c>
      <c r="AI263" s="16">
        <v>45696</v>
      </c>
      <c r="AJ263" s="16">
        <v>45708</v>
      </c>
      <c r="AK263" s="17">
        <f>IF(AJ263="","",AJ263-AH263)</f>
        <v>13</v>
      </c>
    </row>
    <row r="264" spans="1:37">
      <c r="A264" s="2" t="s">
        <v>578</v>
      </c>
      <c r="B264" s="2" t="s">
        <v>310</v>
      </c>
      <c r="C264" s="2" t="s">
        <v>311</v>
      </c>
      <c r="D264" s="2" t="s">
        <v>118</v>
      </c>
      <c r="E264" s="2" t="s">
        <v>312</v>
      </c>
      <c r="F264" s="2" t="s">
        <v>313</v>
      </c>
      <c r="G264" s="2" t="s">
        <v>482</v>
      </c>
      <c r="H264" s="2" t="s">
        <v>254</v>
      </c>
      <c r="I264" s="2" t="s">
        <v>255</v>
      </c>
      <c r="J264" s="2" t="s">
        <v>256</v>
      </c>
      <c r="K264" s="9">
        <v>45680</v>
      </c>
      <c r="L264" s="9">
        <v>45684</v>
      </c>
      <c r="M264" s="9">
        <v>45683</v>
      </c>
      <c r="N264" s="2" t="s">
        <v>125</v>
      </c>
      <c r="O264" s="2" t="s">
        <v>55</v>
      </c>
      <c r="P264" s="2" t="s">
        <v>139</v>
      </c>
      <c r="Q264" s="2" t="s">
        <v>217</v>
      </c>
      <c r="R264" s="2" t="s">
        <v>137</v>
      </c>
      <c r="S264" s="2" t="s">
        <v>259</v>
      </c>
      <c r="T264" s="10">
        <v>2148</v>
      </c>
      <c r="U264" s="11">
        <v>6.5500000000000003E-3</v>
      </c>
      <c r="V264" s="12">
        <f>T264*U264</f>
        <v>14.0694</v>
      </c>
      <c r="W264" s="13">
        <v>0.1</v>
      </c>
      <c r="X264" s="12">
        <f>V264-(V264/(1+W264))</f>
        <v>1.2790363636363651</v>
      </c>
      <c r="Y264" s="12">
        <f>V264-X264</f>
        <v>12.790363636363635</v>
      </c>
      <c r="Z264" s="14">
        <v>35</v>
      </c>
      <c r="AA264" s="2" t="str">
        <f>IF(V264&gt;Z264,"Yes","No")</f>
        <v>No</v>
      </c>
      <c r="AB264" s="12">
        <f>V264-Z264</f>
        <v>-20.930599999999998</v>
      </c>
      <c r="AC264" s="15" t="s">
        <v>130</v>
      </c>
      <c r="AD264" s="15" t="s">
        <v>130</v>
      </c>
      <c r="AE264" s="15" t="s">
        <v>437</v>
      </c>
      <c r="AF264" s="12">
        <f>IF(AG264="Rejected",0,IF(R264="Corporate Card",0,V264))</f>
        <v>14.0694</v>
      </c>
      <c r="AG264" s="15" t="s">
        <v>133</v>
      </c>
      <c r="AH264" s="16">
        <v>45695</v>
      </c>
      <c r="AI264" s="16">
        <v>45696</v>
      </c>
      <c r="AJ264" s="16">
        <v>45708</v>
      </c>
      <c r="AK264" s="17">
        <f>IF(AJ264="","",AJ264-AH264)</f>
        <v>13</v>
      </c>
    </row>
    <row r="265" spans="1:37">
      <c r="A265" s="2" t="s">
        <v>579</v>
      </c>
      <c r="B265" s="2" t="s">
        <v>550</v>
      </c>
      <c r="C265" s="2" t="s">
        <v>551</v>
      </c>
      <c r="D265" s="2" t="s">
        <v>171</v>
      </c>
      <c r="E265" s="2" t="s">
        <v>172</v>
      </c>
      <c r="F265" s="2" t="s">
        <v>173</v>
      </c>
      <c r="G265" s="2" t="s">
        <v>552</v>
      </c>
      <c r="H265" s="2" t="s">
        <v>254</v>
      </c>
      <c r="I265" s="2" t="s">
        <v>553</v>
      </c>
      <c r="J265" s="2" t="s">
        <v>553</v>
      </c>
      <c r="K265" s="9">
        <v>45682</v>
      </c>
      <c r="L265" s="9">
        <v>45684</v>
      </c>
      <c r="M265" s="9">
        <v>45683</v>
      </c>
      <c r="N265" s="2" t="s">
        <v>125</v>
      </c>
      <c r="O265" s="2" t="s">
        <v>57</v>
      </c>
      <c r="P265" s="2" t="s">
        <v>398</v>
      </c>
      <c r="Q265" s="2" t="s">
        <v>399</v>
      </c>
      <c r="R265" s="2" t="s">
        <v>128</v>
      </c>
      <c r="S265" s="2" t="s">
        <v>555</v>
      </c>
      <c r="T265" s="10">
        <v>119.11</v>
      </c>
      <c r="U265" s="11">
        <v>0.74299999999999999</v>
      </c>
      <c r="V265" s="12">
        <f>T265*U265</f>
        <v>88.498729999999995</v>
      </c>
      <c r="W265" s="13">
        <v>0.09</v>
      </c>
      <c r="X265" s="12">
        <f>V265-(V265/(1+W265))</f>
        <v>7.3072345871559747</v>
      </c>
      <c r="Y265" s="12">
        <f>V265-X265</f>
        <v>81.19149541284402</v>
      </c>
      <c r="Z265" s="14">
        <v>200</v>
      </c>
      <c r="AA265" s="2" t="str">
        <f>IF(V265&gt;Z265,"Yes","No")</f>
        <v>No</v>
      </c>
      <c r="AB265" s="12">
        <f>V265-Z265</f>
        <v>-111.50127000000001</v>
      </c>
      <c r="AC265" s="15" t="s">
        <v>130</v>
      </c>
      <c r="AD265" s="15" t="s">
        <v>130</v>
      </c>
      <c r="AE265" s="15" t="s">
        <v>260</v>
      </c>
      <c r="AF265" s="12">
        <f>IF(AG265="Rejected",0,IF(R265="Corporate Card",0,V265))</f>
        <v>0</v>
      </c>
      <c r="AG265" s="15" t="s">
        <v>133</v>
      </c>
      <c r="AH265" s="16">
        <v>45694</v>
      </c>
      <c r="AI265" s="16">
        <v>45697</v>
      </c>
      <c r="AJ265" s="16">
        <v>45707</v>
      </c>
      <c r="AK265" s="17">
        <f>IF(AJ265="","",AJ265-AH265)</f>
        <v>13</v>
      </c>
    </row>
    <row r="266" spans="1:37">
      <c r="A266" s="2" t="s">
        <v>580</v>
      </c>
      <c r="B266" s="2" t="s">
        <v>550</v>
      </c>
      <c r="C266" s="2" t="s">
        <v>551</v>
      </c>
      <c r="D266" s="2" t="s">
        <v>171</v>
      </c>
      <c r="E266" s="2" t="s">
        <v>172</v>
      </c>
      <c r="F266" s="2" t="s">
        <v>173</v>
      </c>
      <c r="G266" s="2" t="s">
        <v>552</v>
      </c>
      <c r="H266" s="2" t="s">
        <v>254</v>
      </c>
      <c r="I266" s="2" t="s">
        <v>553</v>
      </c>
      <c r="J266" s="2" t="s">
        <v>553</v>
      </c>
      <c r="K266" s="9">
        <v>45682</v>
      </c>
      <c r="L266" s="9">
        <v>45684</v>
      </c>
      <c r="M266" s="9">
        <v>45683</v>
      </c>
      <c r="N266" s="2" t="s">
        <v>125</v>
      </c>
      <c r="O266" s="2" t="s">
        <v>59</v>
      </c>
      <c r="P266" s="2" t="s">
        <v>301</v>
      </c>
      <c r="Q266" s="2" t="s">
        <v>581</v>
      </c>
      <c r="R266" s="2" t="s">
        <v>149</v>
      </c>
      <c r="S266" s="2" t="s">
        <v>555</v>
      </c>
      <c r="T266" s="10">
        <v>264.64999999999998</v>
      </c>
      <c r="U266" s="11">
        <v>0.74299999999999999</v>
      </c>
      <c r="V266" s="12">
        <f>T266*U266</f>
        <v>196.63494999999998</v>
      </c>
      <c r="W266" s="13">
        <v>0.09</v>
      </c>
      <c r="X266" s="12">
        <f>V266-(V266/(1+W266))</f>
        <v>16.235913302752294</v>
      </c>
      <c r="Y266" s="12">
        <f>V266-X266</f>
        <v>180.39903669724768</v>
      </c>
      <c r="Z266" s="14">
        <v>150</v>
      </c>
      <c r="AA266" s="2" t="str">
        <f>IF(V266&gt;Z266,"Yes","No")</f>
        <v>Yes</v>
      </c>
      <c r="AB266" s="12">
        <f>V266-Z266</f>
        <v>46.634949999999975</v>
      </c>
      <c r="AC266" s="15" t="s">
        <v>130</v>
      </c>
      <c r="AD266" s="15" t="s">
        <v>130</v>
      </c>
      <c r="AE266" s="15" t="s">
        <v>260</v>
      </c>
      <c r="AF266" s="12">
        <f>IF(AG266="Rejected",0,IF(R266="Corporate Card",0,V266))</f>
        <v>196.63494999999998</v>
      </c>
      <c r="AG266" s="15" t="s">
        <v>133</v>
      </c>
      <c r="AH266" s="16">
        <v>45694</v>
      </c>
      <c r="AI266" s="16">
        <v>45697</v>
      </c>
      <c r="AJ266" s="16">
        <v>45707</v>
      </c>
      <c r="AK266" s="17">
        <f>IF(AJ266="","",AJ266-AH266)</f>
        <v>13</v>
      </c>
    </row>
    <row r="267" spans="1:37">
      <c r="A267" s="2" t="s">
        <v>582</v>
      </c>
      <c r="B267" s="2" t="s">
        <v>550</v>
      </c>
      <c r="C267" s="2" t="s">
        <v>551</v>
      </c>
      <c r="D267" s="2" t="s">
        <v>171</v>
      </c>
      <c r="E267" s="2" t="s">
        <v>172</v>
      </c>
      <c r="F267" s="2" t="s">
        <v>173</v>
      </c>
      <c r="G267" s="2" t="s">
        <v>552</v>
      </c>
      <c r="H267" s="2" t="s">
        <v>254</v>
      </c>
      <c r="I267" s="2" t="s">
        <v>553</v>
      </c>
      <c r="J267" s="2" t="s">
        <v>553</v>
      </c>
      <c r="K267" s="9">
        <v>45682</v>
      </c>
      <c r="L267" s="9">
        <v>45684</v>
      </c>
      <c r="M267" s="9">
        <v>45683</v>
      </c>
      <c r="N267" s="2" t="s">
        <v>125</v>
      </c>
      <c r="O267" s="2" t="s">
        <v>58</v>
      </c>
      <c r="P267" s="2" t="s">
        <v>142</v>
      </c>
      <c r="Q267" s="2" t="s">
        <v>143</v>
      </c>
      <c r="R267" s="2" t="s">
        <v>128</v>
      </c>
      <c r="S267" s="2" t="s">
        <v>555</v>
      </c>
      <c r="T267" s="10">
        <v>41.65</v>
      </c>
      <c r="U267" s="11">
        <v>0.74299999999999999</v>
      </c>
      <c r="V267" s="12">
        <f>T267*U267</f>
        <v>30.94595</v>
      </c>
      <c r="W267" s="13">
        <v>0.09</v>
      </c>
      <c r="X267" s="12">
        <f>V267-(V267/(1+W267))</f>
        <v>2.5551701834862399</v>
      </c>
      <c r="Y267" s="12">
        <f>V267-X267</f>
        <v>28.39077981651376</v>
      </c>
      <c r="Z267" s="14">
        <v>60</v>
      </c>
      <c r="AA267" s="2" t="str">
        <f>IF(V267&gt;Z267,"Yes","No")</f>
        <v>No</v>
      </c>
      <c r="AB267" s="12">
        <f>V267-Z267</f>
        <v>-29.05405</v>
      </c>
      <c r="AC267" s="15" t="s">
        <v>130</v>
      </c>
      <c r="AD267" s="15" t="s">
        <v>130</v>
      </c>
      <c r="AE267" s="15" t="s">
        <v>260</v>
      </c>
      <c r="AF267" s="12">
        <f>IF(AG267="Rejected",0,IF(R267="Corporate Card",0,V267))</f>
        <v>0</v>
      </c>
      <c r="AG267" s="15" t="s">
        <v>133</v>
      </c>
      <c r="AH267" s="16">
        <v>45694</v>
      </c>
      <c r="AI267" s="16">
        <v>45697</v>
      </c>
      <c r="AJ267" s="16">
        <v>45707</v>
      </c>
      <c r="AK267" s="17">
        <f>IF(AJ267="","",AJ267-AH267)</f>
        <v>13</v>
      </c>
    </row>
    <row r="268" spans="1:37">
      <c r="A268" s="2" t="s">
        <v>583</v>
      </c>
      <c r="B268" s="2" t="s">
        <v>550</v>
      </c>
      <c r="C268" s="2" t="s">
        <v>551</v>
      </c>
      <c r="D268" s="2" t="s">
        <v>171</v>
      </c>
      <c r="E268" s="2" t="s">
        <v>172</v>
      </c>
      <c r="F268" s="2" t="s">
        <v>173</v>
      </c>
      <c r="G268" s="2" t="s">
        <v>552</v>
      </c>
      <c r="H268" s="2" t="s">
        <v>254</v>
      </c>
      <c r="I268" s="2" t="s">
        <v>553</v>
      </c>
      <c r="J268" s="2" t="s">
        <v>553</v>
      </c>
      <c r="K268" s="9">
        <v>45682</v>
      </c>
      <c r="L268" s="9">
        <v>45684</v>
      </c>
      <c r="M268" s="9">
        <v>45683</v>
      </c>
      <c r="N268" s="2" t="s">
        <v>125</v>
      </c>
      <c r="O268" s="2" t="s">
        <v>53</v>
      </c>
      <c r="P268" s="2" t="s">
        <v>362</v>
      </c>
      <c r="Q268" s="2" t="s">
        <v>458</v>
      </c>
      <c r="R268" s="2" t="s">
        <v>137</v>
      </c>
      <c r="S268" s="2" t="s">
        <v>555</v>
      </c>
      <c r="T268" s="10">
        <v>452.86</v>
      </c>
      <c r="U268" s="11">
        <v>0.74299999999999999</v>
      </c>
      <c r="V268" s="12">
        <f>T268*U268</f>
        <v>336.47498000000002</v>
      </c>
      <c r="W268" s="13">
        <v>0.09</v>
      </c>
      <c r="X268" s="12">
        <f>V268-(V268/(1+W268))</f>
        <v>27.782337798165145</v>
      </c>
      <c r="Y268" s="12">
        <f>V268-X268</f>
        <v>308.69264220183487</v>
      </c>
      <c r="Z268" s="14">
        <v>560</v>
      </c>
      <c r="AA268" s="2" t="str">
        <f>IF(V268&gt;Z268,"Yes","No")</f>
        <v>No</v>
      </c>
      <c r="AB268" s="12">
        <f>V268-Z268</f>
        <v>-223.52501999999998</v>
      </c>
      <c r="AC268" s="15" t="s">
        <v>130</v>
      </c>
      <c r="AD268" s="15" t="s">
        <v>130</v>
      </c>
      <c r="AE268" s="15" t="s">
        <v>260</v>
      </c>
      <c r="AF268" s="12">
        <f>IF(AG268="Rejected",0,IF(R268="Corporate Card",0,V268))</f>
        <v>336.47498000000002</v>
      </c>
      <c r="AG268" s="15" t="s">
        <v>133</v>
      </c>
      <c r="AH268" s="16">
        <v>45694</v>
      </c>
      <c r="AI268" s="16">
        <v>45697</v>
      </c>
      <c r="AJ268" s="16">
        <v>45707</v>
      </c>
      <c r="AK268" s="17">
        <f>IF(AJ268="","",AJ268-AH268)</f>
        <v>13</v>
      </c>
    </row>
    <row r="269" spans="1:37">
      <c r="A269" s="2" t="s">
        <v>584</v>
      </c>
      <c r="B269" s="2" t="s">
        <v>550</v>
      </c>
      <c r="C269" s="2" t="s">
        <v>551</v>
      </c>
      <c r="D269" s="2" t="s">
        <v>171</v>
      </c>
      <c r="E269" s="2" t="s">
        <v>172</v>
      </c>
      <c r="F269" s="2" t="s">
        <v>173</v>
      </c>
      <c r="G269" s="2" t="s">
        <v>552</v>
      </c>
      <c r="H269" s="2" t="s">
        <v>254</v>
      </c>
      <c r="I269" s="2" t="s">
        <v>553</v>
      </c>
      <c r="J269" s="2" t="s">
        <v>553</v>
      </c>
      <c r="K269" s="9">
        <v>45682</v>
      </c>
      <c r="L269" s="9">
        <v>45684</v>
      </c>
      <c r="M269" s="9">
        <v>45683</v>
      </c>
      <c r="N269" s="2" t="s">
        <v>125</v>
      </c>
      <c r="O269" s="2" t="s">
        <v>65</v>
      </c>
      <c r="P269" s="2" t="s">
        <v>211</v>
      </c>
      <c r="Q269" s="2" t="s">
        <v>212</v>
      </c>
      <c r="R269" s="2" t="s">
        <v>128</v>
      </c>
      <c r="S269" s="2" t="s">
        <v>555</v>
      </c>
      <c r="T269" s="10">
        <v>85.53</v>
      </c>
      <c r="U269" s="11">
        <v>0.74299999999999999</v>
      </c>
      <c r="V269" s="12">
        <f>T269*U269</f>
        <v>63.548789999999997</v>
      </c>
      <c r="W269" s="13">
        <v>0.09</v>
      </c>
      <c r="X269" s="12">
        <f>V269-(V269/(1+W269))</f>
        <v>5.2471477981651446</v>
      </c>
      <c r="Y269" s="12">
        <f>V269-X269</f>
        <v>58.301642201834852</v>
      </c>
      <c r="Z269" s="14">
        <v>55</v>
      </c>
      <c r="AA269" s="2" t="str">
        <f>IF(V269&gt;Z269,"Yes","No")</f>
        <v>Yes</v>
      </c>
      <c r="AB269" s="12">
        <f>V269-Z269</f>
        <v>8.5487899999999968</v>
      </c>
      <c r="AC269" s="15" t="s">
        <v>130</v>
      </c>
      <c r="AD269" s="15" t="s">
        <v>130</v>
      </c>
      <c r="AE269" s="15" t="s">
        <v>260</v>
      </c>
      <c r="AF269" s="12">
        <f>IF(AG269="Rejected",0,IF(R269="Corporate Card",0,V269))</f>
        <v>0</v>
      </c>
      <c r="AG269" s="15" t="s">
        <v>133</v>
      </c>
      <c r="AH269" s="16">
        <v>45694</v>
      </c>
      <c r="AI269" s="16">
        <v>45697</v>
      </c>
      <c r="AJ269" s="16">
        <v>45707</v>
      </c>
      <c r="AK269" s="17">
        <f>IF(AJ269="","",AJ269-AH269)</f>
        <v>13</v>
      </c>
    </row>
    <row r="270" spans="1:37">
      <c r="A270" s="2" t="s">
        <v>585</v>
      </c>
      <c r="B270" s="2" t="s">
        <v>550</v>
      </c>
      <c r="C270" s="2" t="s">
        <v>551</v>
      </c>
      <c r="D270" s="2" t="s">
        <v>171</v>
      </c>
      <c r="E270" s="2" t="s">
        <v>172</v>
      </c>
      <c r="F270" s="2" t="s">
        <v>173</v>
      </c>
      <c r="G270" s="2" t="s">
        <v>552</v>
      </c>
      <c r="H270" s="2" t="s">
        <v>254</v>
      </c>
      <c r="I270" s="2" t="s">
        <v>553</v>
      </c>
      <c r="J270" s="2" t="s">
        <v>553</v>
      </c>
      <c r="K270" s="9">
        <v>45682</v>
      </c>
      <c r="L270" s="9">
        <v>45684</v>
      </c>
      <c r="M270" s="9">
        <v>45683</v>
      </c>
      <c r="N270" s="2" t="s">
        <v>125</v>
      </c>
      <c r="O270" s="2" t="s">
        <v>54</v>
      </c>
      <c r="P270" s="2" t="s">
        <v>139</v>
      </c>
      <c r="Q270" s="2" t="s">
        <v>214</v>
      </c>
      <c r="R270" s="2" t="s">
        <v>149</v>
      </c>
      <c r="S270" s="2" t="s">
        <v>555</v>
      </c>
      <c r="T270" s="10">
        <v>28.68</v>
      </c>
      <c r="U270" s="11">
        <v>0.74299999999999999</v>
      </c>
      <c r="V270" s="12">
        <f>T270*U270</f>
        <v>21.309239999999999</v>
      </c>
      <c r="W270" s="13">
        <v>0.09</v>
      </c>
      <c r="X270" s="12">
        <f>V270-(V270/(1+W270))</f>
        <v>1.7594785321100943</v>
      </c>
      <c r="Y270" s="12">
        <f>V270-X270</f>
        <v>19.549761467889905</v>
      </c>
      <c r="Z270" s="14">
        <v>25</v>
      </c>
      <c r="AA270" s="2" t="str">
        <f>IF(V270&gt;Z270,"Yes","No")</f>
        <v>No</v>
      </c>
      <c r="AB270" s="12">
        <f>V270-Z270</f>
        <v>-3.6907600000000009</v>
      </c>
      <c r="AC270" s="15" t="s">
        <v>130</v>
      </c>
      <c r="AD270" s="15" t="s">
        <v>130</v>
      </c>
      <c r="AE270" s="15" t="s">
        <v>260</v>
      </c>
      <c r="AF270" s="12">
        <f>IF(AG270="Rejected",0,IF(R270="Corporate Card",0,V270))</f>
        <v>21.309239999999999</v>
      </c>
      <c r="AG270" s="15" t="s">
        <v>133</v>
      </c>
      <c r="AH270" s="16">
        <v>45694</v>
      </c>
      <c r="AI270" s="16">
        <v>45697</v>
      </c>
      <c r="AJ270" s="16">
        <v>45707</v>
      </c>
      <c r="AK270" s="17">
        <f>IF(AJ270="","",AJ270-AH270)</f>
        <v>13</v>
      </c>
    </row>
    <row r="271" spans="1:37">
      <c r="A271" s="2" t="s">
        <v>586</v>
      </c>
      <c r="B271" s="2" t="s">
        <v>550</v>
      </c>
      <c r="C271" s="2" t="s">
        <v>551</v>
      </c>
      <c r="D271" s="2" t="s">
        <v>171</v>
      </c>
      <c r="E271" s="2" t="s">
        <v>172</v>
      </c>
      <c r="F271" s="2" t="s">
        <v>173</v>
      </c>
      <c r="G271" s="2" t="s">
        <v>552</v>
      </c>
      <c r="H271" s="2" t="s">
        <v>254</v>
      </c>
      <c r="I271" s="2" t="s">
        <v>553</v>
      </c>
      <c r="J271" s="2" t="s">
        <v>553</v>
      </c>
      <c r="K271" s="9">
        <v>45682</v>
      </c>
      <c r="L271" s="9">
        <v>45684</v>
      </c>
      <c r="M271" s="9">
        <v>45683</v>
      </c>
      <c r="N271" s="2" t="s">
        <v>125</v>
      </c>
      <c r="O271" s="2" t="s">
        <v>56</v>
      </c>
      <c r="P271" s="2" t="s">
        <v>165</v>
      </c>
      <c r="Q271" s="2" t="s">
        <v>152</v>
      </c>
      <c r="R271" s="2" t="s">
        <v>128</v>
      </c>
      <c r="S271" s="2" t="s">
        <v>555</v>
      </c>
      <c r="T271" s="10">
        <v>84.84</v>
      </c>
      <c r="U271" s="11">
        <v>0.74299999999999999</v>
      </c>
      <c r="V271" s="12">
        <f>T271*U271</f>
        <v>63.036120000000004</v>
      </c>
      <c r="W271" s="13">
        <v>0.09</v>
      </c>
      <c r="X271" s="12">
        <f>V271-(V271/(1+W271))</f>
        <v>5.2048172477064298</v>
      </c>
      <c r="Y271" s="12">
        <f>V271-X271</f>
        <v>57.831302752293574</v>
      </c>
      <c r="Z271" s="14">
        <v>75</v>
      </c>
      <c r="AA271" s="2" t="str">
        <f>IF(V271&gt;Z271,"Yes","No")</f>
        <v>No</v>
      </c>
      <c r="AB271" s="12">
        <f>V271-Z271</f>
        <v>-11.963879999999996</v>
      </c>
      <c r="AC271" s="15" t="s">
        <v>130</v>
      </c>
      <c r="AD271" s="15" t="s">
        <v>130</v>
      </c>
      <c r="AE271" s="15" t="s">
        <v>260</v>
      </c>
      <c r="AF271" s="12">
        <f>IF(AG271="Rejected",0,IF(R271="Corporate Card",0,V271))</f>
        <v>0</v>
      </c>
      <c r="AG271" s="15" t="s">
        <v>133</v>
      </c>
      <c r="AH271" s="16">
        <v>45694</v>
      </c>
      <c r="AI271" s="16">
        <v>45697</v>
      </c>
      <c r="AJ271" s="16">
        <v>45707</v>
      </c>
      <c r="AK271" s="17">
        <f>IF(AJ271="","",AJ271-AH271)</f>
        <v>13</v>
      </c>
    </row>
    <row r="272" spans="1:37">
      <c r="A272" s="2" t="s">
        <v>587</v>
      </c>
      <c r="B272" s="2" t="s">
        <v>550</v>
      </c>
      <c r="C272" s="2" t="s">
        <v>551</v>
      </c>
      <c r="D272" s="2" t="s">
        <v>171</v>
      </c>
      <c r="E272" s="2" t="s">
        <v>172</v>
      </c>
      <c r="F272" s="2" t="s">
        <v>173</v>
      </c>
      <c r="G272" s="2" t="s">
        <v>552</v>
      </c>
      <c r="H272" s="2" t="s">
        <v>254</v>
      </c>
      <c r="I272" s="2" t="s">
        <v>553</v>
      </c>
      <c r="J272" s="2" t="s">
        <v>553</v>
      </c>
      <c r="K272" s="9">
        <v>45682</v>
      </c>
      <c r="L272" s="9">
        <v>45684</v>
      </c>
      <c r="M272" s="9">
        <v>45683</v>
      </c>
      <c r="N272" s="2" t="s">
        <v>125</v>
      </c>
      <c r="O272" s="2" t="s">
        <v>55</v>
      </c>
      <c r="P272" s="2" t="s">
        <v>139</v>
      </c>
      <c r="Q272" s="2" t="s">
        <v>161</v>
      </c>
      <c r="R272" s="2" t="s">
        <v>128</v>
      </c>
      <c r="S272" s="2" t="s">
        <v>555</v>
      </c>
      <c r="T272" s="10">
        <v>25.19</v>
      </c>
      <c r="U272" s="11">
        <v>0.74299999999999999</v>
      </c>
      <c r="V272" s="12">
        <f>T272*U272</f>
        <v>18.716170000000002</v>
      </c>
      <c r="W272" s="13">
        <v>0.09</v>
      </c>
      <c r="X272" s="12">
        <f>V272-(V272/(1+W272))</f>
        <v>1.5453718348623866</v>
      </c>
      <c r="Y272" s="12">
        <f>V272-X272</f>
        <v>17.170798165137615</v>
      </c>
      <c r="Z272" s="14">
        <v>35</v>
      </c>
      <c r="AA272" s="2" t="str">
        <f>IF(V272&gt;Z272,"Yes","No")</f>
        <v>No</v>
      </c>
      <c r="AB272" s="12">
        <f>V272-Z272</f>
        <v>-16.283829999999998</v>
      </c>
      <c r="AC272" s="15" t="s">
        <v>131</v>
      </c>
      <c r="AD272" s="15" t="s">
        <v>130</v>
      </c>
      <c r="AE272" s="15" t="s">
        <v>260</v>
      </c>
      <c r="AF272" s="12">
        <f>IF(AG272="Rejected",0,IF(R272="Corporate Card",0,V272))</f>
        <v>0</v>
      </c>
      <c r="AG272" s="15" t="s">
        <v>133</v>
      </c>
      <c r="AH272" s="16">
        <v>45694</v>
      </c>
      <c r="AI272" s="16">
        <v>45697</v>
      </c>
      <c r="AJ272" s="16">
        <v>45707</v>
      </c>
      <c r="AK272" s="17">
        <f>IF(AJ272="","",AJ272-AH272)</f>
        <v>13</v>
      </c>
    </row>
    <row r="273" spans="1:37">
      <c r="A273" s="2" t="s">
        <v>588</v>
      </c>
      <c r="B273" s="2" t="s">
        <v>412</v>
      </c>
      <c r="C273" s="2" t="s">
        <v>413</v>
      </c>
      <c r="D273" s="2" t="s">
        <v>414</v>
      </c>
      <c r="E273" s="2" t="s">
        <v>415</v>
      </c>
      <c r="F273" s="2" t="s">
        <v>313</v>
      </c>
      <c r="G273" s="2" t="s">
        <v>416</v>
      </c>
      <c r="H273" s="2" t="s">
        <v>417</v>
      </c>
      <c r="I273" s="2" t="s">
        <v>418</v>
      </c>
      <c r="J273" s="2" t="s">
        <v>381</v>
      </c>
      <c r="K273" s="9">
        <v>45677</v>
      </c>
      <c r="L273" s="9">
        <v>45684</v>
      </c>
      <c r="M273" s="9">
        <v>45683</v>
      </c>
      <c r="N273" s="2" t="s">
        <v>125</v>
      </c>
      <c r="O273" s="2" t="s">
        <v>58</v>
      </c>
      <c r="P273" s="2" t="s">
        <v>142</v>
      </c>
      <c r="Q273" s="2" t="s">
        <v>156</v>
      </c>
      <c r="R273" s="2" t="s">
        <v>137</v>
      </c>
      <c r="S273" s="2" t="s">
        <v>383</v>
      </c>
      <c r="T273" s="10">
        <v>34.450000000000003</v>
      </c>
      <c r="U273" s="11">
        <v>1</v>
      </c>
      <c r="V273" s="12">
        <f>T273*U273</f>
        <v>34.450000000000003</v>
      </c>
      <c r="W273" s="13">
        <v>0</v>
      </c>
      <c r="X273" s="12">
        <f>V273-(V273/(1+W273))</f>
        <v>0</v>
      </c>
      <c r="Y273" s="12">
        <f>V273-X273</f>
        <v>34.450000000000003</v>
      </c>
      <c r="Z273" s="14">
        <v>60</v>
      </c>
      <c r="AA273" s="2" t="str">
        <f>IF(V273&gt;Z273,"Yes","No")</f>
        <v>No</v>
      </c>
      <c r="AB273" s="12">
        <f>V273-Z273</f>
        <v>-25.549999999999997</v>
      </c>
      <c r="AC273" s="15" t="s">
        <v>131</v>
      </c>
      <c r="AD273" s="15" t="s">
        <v>130</v>
      </c>
      <c r="AE273" s="15" t="s">
        <v>421</v>
      </c>
      <c r="AF273" s="12">
        <f>IF(AG273="Rejected",0,IF(R273="Corporate Card",0,V273))</f>
        <v>34.450000000000003</v>
      </c>
      <c r="AG273" s="15" t="s">
        <v>133</v>
      </c>
      <c r="AH273" s="16">
        <v>45696</v>
      </c>
      <c r="AI273" s="16">
        <v>45702</v>
      </c>
      <c r="AJ273" s="16">
        <v>45712</v>
      </c>
      <c r="AK273" s="17">
        <f>IF(AJ273="","",AJ273-AH273)</f>
        <v>16</v>
      </c>
    </row>
    <row r="274" spans="1:37">
      <c r="A274" s="2" t="s">
        <v>589</v>
      </c>
      <c r="B274" s="2" t="s">
        <v>412</v>
      </c>
      <c r="C274" s="2" t="s">
        <v>413</v>
      </c>
      <c r="D274" s="2" t="s">
        <v>414</v>
      </c>
      <c r="E274" s="2" t="s">
        <v>415</v>
      </c>
      <c r="F274" s="2" t="s">
        <v>313</v>
      </c>
      <c r="G274" s="2" t="s">
        <v>416</v>
      </c>
      <c r="H274" s="2" t="s">
        <v>417</v>
      </c>
      <c r="I274" s="2" t="s">
        <v>418</v>
      </c>
      <c r="J274" s="2" t="s">
        <v>381</v>
      </c>
      <c r="K274" s="9">
        <v>45677</v>
      </c>
      <c r="L274" s="9">
        <v>45684</v>
      </c>
      <c r="M274" s="9">
        <v>45683</v>
      </c>
      <c r="N274" s="2" t="s">
        <v>125</v>
      </c>
      <c r="O274" s="2" t="s">
        <v>54</v>
      </c>
      <c r="P274" s="2" t="s">
        <v>139</v>
      </c>
      <c r="Q274" s="2" t="s">
        <v>148</v>
      </c>
      <c r="R274" s="2" t="s">
        <v>149</v>
      </c>
      <c r="S274" s="2" t="s">
        <v>383</v>
      </c>
      <c r="T274" s="10">
        <v>16.68</v>
      </c>
      <c r="U274" s="11">
        <v>1</v>
      </c>
      <c r="V274" s="12">
        <f>T274*U274</f>
        <v>16.68</v>
      </c>
      <c r="W274" s="13">
        <v>0</v>
      </c>
      <c r="X274" s="12">
        <f>V274-(V274/(1+W274))</f>
        <v>0</v>
      </c>
      <c r="Y274" s="12">
        <f>V274-X274</f>
        <v>16.68</v>
      </c>
      <c r="Z274" s="14">
        <v>25</v>
      </c>
      <c r="AA274" s="2" t="str">
        <f>IF(V274&gt;Z274,"Yes","No")</f>
        <v>No</v>
      </c>
      <c r="AB274" s="12">
        <f>V274-Z274</f>
        <v>-8.32</v>
      </c>
      <c r="AC274" s="15" t="s">
        <v>130</v>
      </c>
      <c r="AD274" s="15" t="s">
        <v>130</v>
      </c>
      <c r="AE274" s="15" t="s">
        <v>421</v>
      </c>
      <c r="AF274" s="12">
        <f>IF(AG274="Rejected",0,IF(R274="Corporate Card",0,V274))</f>
        <v>16.68</v>
      </c>
      <c r="AG274" s="15" t="s">
        <v>133</v>
      </c>
      <c r="AH274" s="16">
        <v>45696</v>
      </c>
      <c r="AI274" s="16">
        <v>45702</v>
      </c>
      <c r="AJ274" s="16">
        <v>45712</v>
      </c>
      <c r="AK274" s="17">
        <f>IF(AJ274="","",AJ274-AH274)</f>
        <v>16</v>
      </c>
    </row>
    <row r="275" spans="1:37">
      <c r="A275" s="2" t="s">
        <v>590</v>
      </c>
      <c r="B275" s="2" t="s">
        <v>412</v>
      </c>
      <c r="C275" s="2" t="s">
        <v>413</v>
      </c>
      <c r="D275" s="2" t="s">
        <v>414</v>
      </c>
      <c r="E275" s="2" t="s">
        <v>415</v>
      </c>
      <c r="F275" s="2" t="s">
        <v>313</v>
      </c>
      <c r="G275" s="2" t="s">
        <v>416</v>
      </c>
      <c r="H275" s="2" t="s">
        <v>417</v>
      </c>
      <c r="I275" s="2" t="s">
        <v>418</v>
      </c>
      <c r="J275" s="2" t="s">
        <v>381</v>
      </c>
      <c r="K275" s="9">
        <v>45677</v>
      </c>
      <c r="L275" s="9">
        <v>45684</v>
      </c>
      <c r="M275" s="9">
        <v>45683</v>
      </c>
      <c r="N275" s="2" t="s">
        <v>125</v>
      </c>
      <c r="O275" s="2" t="s">
        <v>56</v>
      </c>
      <c r="P275" s="2" t="s">
        <v>151</v>
      </c>
      <c r="Q275" s="2" t="s">
        <v>159</v>
      </c>
      <c r="R275" s="2" t="s">
        <v>128</v>
      </c>
      <c r="S275" s="2" t="s">
        <v>383</v>
      </c>
      <c r="T275" s="10">
        <v>52.49</v>
      </c>
      <c r="U275" s="11">
        <v>1</v>
      </c>
      <c r="V275" s="12">
        <f>T275*U275</f>
        <v>52.49</v>
      </c>
      <c r="W275" s="13">
        <v>0</v>
      </c>
      <c r="X275" s="12">
        <f>V275-(V275/(1+W275))</f>
        <v>0</v>
      </c>
      <c r="Y275" s="12">
        <f>V275-X275</f>
        <v>52.49</v>
      </c>
      <c r="Z275" s="14">
        <v>75</v>
      </c>
      <c r="AA275" s="2" t="str">
        <f>IF(V275&gt;Z275,"Yes","No")</f>
        <v>No</v>
      </c>
      <c r="AB275" s="12">
        <f>V275-Z275</f>
        <v>-22.509999999999998</v>
      </c>
      <c r="AC275" s="15" t="s">
        <v>130</v>
      </c>
      <c r="AD275" s="15" t="s">
        <v>130</v>
      </c>
      <c r="AE275" s="15" t="s">
        <v>421</v>
      </c>
      <c r="AF275" s="12">
        <f>IF(AG275="Rejected",0,IF(R275="Corporate Card",0,V275))</f>
        <v>0</v>
      </c>
      <c r="AG275" s="15" t="s">
        <v>133</v>
      </c>
      <c r="AH275" s="16">
        <v>45696</v>
      </c>
      <c r="AI275" s="16">
        <v>45702</v>
      </c>
      <c r="AJ275" s="16">
        <v>45712</v>
      </c>
      <c r="AK275" s="17">
        <f>IF(AJ275="","",AJ275-AH275)</f>
        <v>16</v>
      </c>
    </row>
    <row r="276" spans="1:37">
      <c r="A276" s="2" t="s">
        <v>591</v>
      </c>
      <c r="B276" s="2" t="s">
        <v>412</v>
      </c>
      <c r="C276" s="2" t="s">
        <v>413</v>
      </c>
      <c r="D276" s="2" t="s">
        <v>414</v>
      </c>
      <c r="E276" s="2" t="s">
        <v>415</v>
      </c>
      <c r="F276" s="2" t="s">
        <v>313</v>
      </c>
      <c r="G276" s="2" t="s">
        <v>416</v>
      </c>
      <c r="H276" s="2" t="s">
        <v>417</v>
      </c>
      <c r="I276" s="2" t="s">
        <v>418</v>
      </c>
      <c r="J276" s="2" t="s">
        <v>381</v>
      </c>
      <c r="K276" s="9">
        <v>45677</v>
      </c>
      <c r="L276" s="9">
        <v>45684</v>
      </c>
      <c r="M276" s="9">
        <v>45683</v>
      </c>
      <c r="N276" s="2" t="s">
        <v>125</v>
      </c>
      <c r="O276" s="2" t="s">
        <v>55</v>
      </c>
      <c r="P276" s="2" t="s">
        <v>139</v>
      </c>
      <c r="Q276" s="2" t="s">
        <v>161</v>
      </c>
      <c r="R276" s="2" t="s">
        <v>128</v>
      </c>
      <c r="S276" s="2" t="s">
        <v>383</v>
      </c>
      <c r="T276" s="10">
        <v>18.93</v>
      </c>
      <c r="U276" s="11">
        <v>1</v>
      </c>
      <c r="V276" s="12">
        <f>T276*U276</f>
        <v>18.93</v>
      </c>
      <c r="W276" s="13">
        <v>0</v>
      </c>
      <c r="X276" s="12">
        <f>V276-(V276/(1+W276))</f>
        <v>0</v>
      </c>
      <c r="Y276" s="12">
        <f>V276-X276</f>
        <v>18.93</v>
      </c>
      <c r="Z276" s="14">
        <v>35</v>
      </c>
      <c r="AA276" s="2" t="str">
        <f>IF(V276&gt;Z276,"Yes","No")</f>
        <v>No</v>
      </c>
      <c r="AB276" s="12">
        <f>V276-Z276</f>
        <v>-16.07</v>
      </c>
      <c r="AC276" s="15" t="s">
        <v>130</v>
      </c>
      <c r="AD276" s="15" t="s">
        <v>130</v>
      </c>
      <c r="AE276" s="15" t="s">
        <v>421</v>
      </c>
      <c r="AF276" s="12">
        <f>IF(AG276="Rejected",0,IF(R276="Corporate Card",0,V276))</f>
        <v>0</v>
      </c>
      <c r="AG276" s="15" t="s">
        <v>133</v>
      </c>
      <c r="AH276" s="16">
        <v>45696</v>
      </c>
      <c r="AI276" s="16">
        <v>45702</v>
      </c>
      <c r="AJ276" s="16">
        <v>45712</v>
      </c>
      <c r="AK276" s="17">
        <f>IF(AJ276="","",AJ276-AH276)</f>
        <v>16</v>
      </c>
    </row>
    <row r="277" spans="1:37">
      <c r="A277" s="2" t="s">
        <v>592</v>
      </c>
      <c r="B277" s="2" t="s">
        <v>442</v>
      </c>
      <c r="C277" s="2" t="s">
        <v>443</v>
      </c>
      <c r="D277" s="2" t="s">
        <v>444</v>
      </c>
      <c r="E277" s="2" t="s">
        <v>445</v>
      </c>
      <c r="F277" s="2" t="s">
        <v>446</v>
      </c>
      <c r="G277" s="2" t="s">
        <v>447</v>
      </c>
      <c r="H277" s="2" t="s">
        <v>448</v>
      </c>
      <c r="I277" s="2" t="s">
        <v>418</v>
      </c>
      <c r="J277" s="2" t="s">
        <v>381</v>
      </c>
      <c r="K277" s="9">
        <v>45677</v>
      </c>
      <c r="L277" s="9">
        <v>45683</v>
      </c>
      <c r="M277" s="9">
        <v>45683</v>
      </c>
      <c r="N277" s="2" t="s">
        <v>125</v>
      </c>
      <c r="O277" s="2" t="s">
        <v>58</v>
      </c>
      <c r="P277" s="2" t="s">
        <v>142</v>
      </c>
      <c r="Q277" s="2" t="s">
        <v>203</v>
      </c>
      <c r="R277" s="2" t="s">
        <v>128</v>
      </c>
      <c r="S277" s="2" t="s">
        <v>383</v>
      </c>
      <c r="T277" s="10">
        <v>36.869999999999997</v>
      </c>
      <c r="U277" s="11">
        <v>1</v>
      </c>
      <c r="V277" s="12">
        <f>T277*U277</f>
        <v>36.869999999999997</v>
      </c>
      <c r="W277" s="13">
        <v>0</v>
      </c>
      <c r="X277" s="12">
        <f>V277-(V277/(1+W277))</f>
        <v>0</v>
      </c>
      <c r="Y277" s="12">
        <f>V277-X277</f>
        <v>36.869999999999997</v>
      </c>
      <c r="Z277" s="14">
        <v>60</v>
      </c>
      <c r="AA277" s="2" t="str">
        <f>IF(V277&gt;Z277,"Yes","No")</f>
        <v>No</v>
      </c>
      <c r="AB277" s="12">
        <f>V277-Z277</f>
        <v>-23.130000000000003</v>
      </c>
      <c r="AC277" s="15" t="s">
        <v>130</v>
      </c>
      <c r="AD277" s="15" t="s">
        <v>131</v>
      </c>
      <c r="AE277" s="15" t="s">
        <v>350</v>
      </c>
      <c r="AF277" s="12">
        <f>IF(AG277="Rejected",0,IF(R277="Corporate Card",0,V277))</f>
        <v>0</v>
      </c>
      <c r="AG277" s="15" t="s">
        <v>133</v>
      </c>
      <c r="AH277" s="16">
        <v>45687</v>
      </c>
      <c r="AI277" s="16">
        <v>45693</v>
      </c>
      <c r="AJ277" s="16">
        <v>45700</v>
      </c>
      <c r="AK277" s="17">
        <f>IF(AJ277="","",AJ277-AH277)</f>
        <v>13</v>
      </c>
    </row>
    <row r="278" spans="1:37">
      <c r="A278" s="2" t="s">
        <v>593</v>
      </c>
      <c r="B278" s="2" t="s">
        <v>442</v>
      </c>
      <c r="C278" s="2" t="s">
        <v>443</v>
      </c>
      <c r="D278" s="2" t="s">
        <v>444</v>
      </c>
      <c r="E278" s="2" t="s">
        <v>445</v>
      </c>
      <c r="F278" s="2" t="s">
        <v>446</v>
      </c>
      <c r="G278" s="2" t="s">
        <v>447</v>
      </c>
      <c r="H278" s="2" t="s">
        <v>448</v>
      </c>
      <c r="I278" s="2" t="s">
        <v>418</v>
      </c>
      <c r="J278" s="2" t="s">
        <v>381</v>
      </c>
      <c r="K278" s="9">
        <v>45677</v>
      </c>
      <c r="L278" s="9">
        <v>45683</v>
      </c>
      <c r="M278" s="9">
        <v>45683</v>
      </c>
      <c r="N278" s="2" t="s">
        <v>125</v>
      </c>
      <c r="O278" s="2" t="s">
        <v>54</v>
      </c>
      <c r="P278" s="2" t="s">
        <v>139</v>
      </c>
      <c r="Q278" s="2" t="s">
        <v>148</v>
      </c>
      <c r="R278" s="2" t="s">
        <v>128</v>
      </c>
      <c r="S278" s="2" t="s">
        <v>383</v>
      </c>
      <c r="T278" s="10">
        <v>21.95</v>
      </c>
      <c r="U278" s="11">
        <v>1</v>
      </c>
      <c r="V278" s="12">
        <f>T278*U278</f>
        <v>21.95</v>
      </c>
      <c r="W278" s="13">
        <v>0</v>
      </c>
      <c r="X278" s="12">
        <f>V278-(V278/(1+W278))</f>
        <v>0</v>
      </c>
      <c r="Y278" s="12">
        <f>V278-X278</f>
        <v>21.95</v>
      </c>
      <c r="Z278" s="14">
        <v>25</v>
      </c>
      <c r="AA278" s="2" t="str">
        <f>IF(V278&gt;Z278,"Yes","No")</f>
        <v>No</v>
      </c>
      <c r="AB278" s="12">
        <f>V278-Z278</f>
        <v>-3.0500000000000007</v>
      </c>
      <c r="AC278" s="15" t="s">
        <v>130</v>
      </c>
      <c r="AD278" s="15" t="s">
        <v>131</v>
      </c>
      <c r="AE278" s="15" t="s">
        <v>350</v>
      </c>
      <c r="AF278" s="12">
        <f>IF(AG278="Rejected",0,IF(R278="Corporate Card",0,V278))</f>
        <v>0</v>
      </c>
      <c r="AG278" s="15" t="s">
        <v>133</v>
      </c>
      <c r="AH278" s="16">
        <v>45687</v>
      </c>
      <c r="AI278" s="16">
        <v>45693</v>
      </c>
      <c r="AJ278" s="16">
        <v>45700</v>
      </c>
      <c r="AK278" s="17">
        <f>IF(AJ278="","",AJ278-AH278)</f>
        <v>13</v>
      </c>
    </row>
    <row r="279" spans="1:37">
      <c r="A279" s="2" t="s">
        <v>594</v>
      </c>
      <c r="B279" s="2" t="s">
        <v>442</v>
      </c>
      <c r="C279" s="2" t="s">
        <v>443</v>
      </c>
      <c r="D279" s="2" t="s">
        <v>444</v>
      </c>
      <c r="E279" s="2" t="s">
        <v>445</v>
      </c>
      <c r="F279" s="2" t="s">
        <v>446</v>
      </c>
      <c r="G279" s="2" t="s">
        <v>447</v>
      </c>
      <c r="H279" s="2" t="s">
        <v>448</v>
      </c>
      <c r="I279" s="2" t="s">
        <v>418</v>
      </c>
      <c r="J279" s="2" t="s">
        <v>381</v>
      </c>
      <c r="K279" s="9">
        <v>45677</v>
      </c>
      <c r="L279" s="9">
        <v>45683</v>
      </c>
      <c r="M279" s="9">
        <v>45683</v>
      </c>
      <c r="N279" s="2" t="s">
        <v>125</v>
      </c>
      <c r="O279" s="2" t="s">
        <v>56</v>
      </c>
      <c r="P279" s="2" t="s">
        <v>165</v>
      </c>
      <c r="Q279" s="2" t="s">
        <v>166</v>
      </c>
      <c r="R279" s="2" t="s">
        <v>128</v>
      </c>
      <c r="S279" s="2" t="s">
        <v>383</v>
      </c>
      <c r="T279" s="10">
        <v>106.38</v>
      </c>
      <c r="U279" s="11">
        <v>1</v>
      </c>
      <c r="V279" s="12">
        <f>T279*U279</f>
        <v>106.38</v>
      </c>
      <c r="W279" s="13">
        <v>0</v>
      </c>
      <c r="X279" s="12">
        <f>V279-(V279/(1+W279))</f>
        <v>0</v>
      </c>
      <c r="Y279" s="12">
        <f>V279-X279</f>
        <v>106.38</v>
      </c>
      <c r="Z279" s="14">
        <v>75</v>
      </c>
      <c r="AA279" s="2" t="str">
        <f>IF(V279&gt;Z279,"Yes","No")</f>
        <v>Yes</v>
      </c>
      <c r="AB279" s="12">
        <f>V279-Z279</f>
        <v>31.379999999999995</v>
      </c>
      <c r="AC279" s="15" t="s">
        <v>130</v>
      </c>
      <c r="AD279" s="15" t="s">
        <v>131</v>
      </c>
      <c r="AE279" s="15" t="s">
        <v>350</v>
      </c>
      <c r="AF279" s="12">
        <f>IF(AG279="Rejected",0,IF(R279="Corporate Card",0,V279))</f>
        <v>0</v>
      </c>
      <c r="AG279" s="15" t="s">
        <v>133</v>
      </c>
      <c r="AH279" s="16">
        <v>45687</v>
      </c>
      <c r="AI279" s="16">
        <v>45693</v>
      </c>
      <c r="AJ279" s="16">
        <v>45700</v>
      </c>
      <c r="AK279" s="17">
        <f>IF(AJ279="","",AJ279-AH279)</f>
        <v>13</v>
      </c>
    </row>
    <row r="280" spans="1:37">
      <c r="A280" s="2" t="s">
        <v>595</v>
      </c>
      <c r="B280" s="2" t="s">
        <v>442</v>
      </c>
      <c r="C280" s="2" t="s">
        <v>443</v>
      </c>
      <c r="D280" s="2" t="s">
        <v>444</v>
      </c>
      <c r="E280" s="2" t="s">
        <v>445</v>
      </c>
      <c r="F280" s="2" t="s">
        <v>446</v>
      </c>
      <c r="G280" s="2" t="s">
        <v>447</v>
      </c>
      <c r="H280" s="2" t="s">
        <v>448</v>
      </c>
      <c r="I280" s="2" t="s">
        <v>418</v>
      </c>
      <c r="J280" s="2" t="s">
        <v>381</v>
      </c>
      <c r="K280" s="9">
        <v>45677</v>
      </c>
      <c r="L280" s="9">
        <v>45683</v>
      </c>
      <c r="M280" s="9">
        <v>45683</v>
      </c>
      <c r="N280" s="2" t="s">
        <v>125</v>
      </c>
      <c r="O280" s="2" t="s">
        <v>55</v>
      </c>
      <c r="P280" s="2" t="s">
        <v>139</v>
      </c>
      <c r="Q280" s="2" t="s">
        <v>187</v>
      </c>
      <c r="R280" s="2" t="s">
        <v>137</v>
      </c>
      <c r="S280" s="2" t="s">
        <v>383</v>
      </c>
      <c r="T280" s="10">
        <v>26.16</v>
      </c>
      <c r="U280" s="11">
        <v>1</v>
      </c>
      <c r="V280" s="12">
        <f>T280*U280</f>
        <v>26.16</v>
      </c>
      <c r="W280" s="13">
        <v>0</v>
      </c>
      <c r="X280" s="12">
        <f>V280-(V280/(1+W280))</f>
        <v>0</v>
      </c>
      <c r="Y280" s="12">
        <f>V280-X280</f>
        <v>26.16</v>
      </c>
      <c r="Z280" s="14">
        <v>35</v>
      </c>
      <c r="AA280" s="2" t="str">
        <f>IF(V280&gt;Z280,"Yes","No")</f>
        <v>No</v>
      </c>
      <c r="AB280" s="12">
        <f>V280-Z280</f>
        <v>-8.84</v>
      </c>
      <c r="AC280" s="15" t="s">
        <v>130</v>
      </c>
      <c r="AD280" s="15" t="s">
        <v>131</v>
      </c>
      <c r="AE280" s="15" t="s">
        <v>350</v>
      </c>
      <c r="AF280" s="12">
        <f>IF(AG280="Rejected",0,IF(R280="Corporate Card",0,V280))</f>
        <v>26.16</v>
      </c>
      <c r="AG280" s="15" t="s">
        <v>133</v>
      </c>
      <c r="AH280" s="16">
        <v>45687</v>
      </c>
      <c r="AI280" s="16">
        <v>45693</v>
      </c>
      <c r="AJ280" s="16">
        <v>45700</v>
      </c>
      <c r="AK280" s="17">
        <f>IF(AJ280="","",AJ280-AH280)</f>
        <v>13</v>
      </c>
    </row>
    <row r="281" spans="1:37">
      <c r="A281" s="2" t="s">
        <v>596</v>
      </c>
      <c r="B281" s="2" t="s">
        <v>597</v>
      </c>
      <c r="C281" s="2" t="s">
        <v>598</v>
      </c>
      <c r="D281" s="2" t="s">
        <v>414</v>
      </c>
      <c r="E281" s="2" t="s">
        <v>599</v>
      </c>
      <c r="F281" s="2" t="s">
        <v>413</v>
      </c>
      <c r="G281" s="2" t="s">
        <v>600</v>
      </c>
      <c r="H281" s="2" t="s">
        <v>348</v>
      </c>
      <c r="I281" s="2" t="s">
        <v>601</v>
      </c>
      <c r="J281" s="2" t="s">
        <v>381</v>
      </c>
      <c r="K281" s="9">
        <v>45684</v>
      </c>
      <c r="L281" s="9">
        <v>45691</v>
      </c>
      <c r="M281" s="9">
        <v>45684</v>
      </c>
      <c r="N281" s="2" t="s">
        <v>125</v>
      </c>
      <c r="O281" s="2" t="s">
        <v>52</v>
      </c>
      <c r="P281" s="2" t="s">
        <v>602</v>
      </c>
      <c r="Q281" s="2" t="s">
        <v>420</v>
      </c>
      <c r="R281" s="2" t="s">
        <v>149</v>
      </c>
      <c r="S281" s="2" t="s">
        <v>383</v>
      </c>
      <c r="T281" s="10">
        <v>1496.47</v>
      </c>
      <c r="U281" s="11">
        <v>1</v>
      </c>
      <c r="V281" s="12">
        <f>T281*U281</f>
        <v>1496.47</v>
      </c>
      <c r="W281" s="13">
        <v>0</v>
      </c>
      <c r="X281" s="12">
        <f>V281-(V281/(1+W281))</f>
        <v>0</v>
      </c>
      <c r="Y281" s="12">
        <f>V281-X281</f>
        <v>1496.47</v>
      </c>
      <c r="Z281" s="14">
        <v>1400</v>
      </c>
      <c r="AA281" s="2" t="str">
        <f>IF(V281&gt;Z281,"Yes","No")</f>
        <v>Yes</v>
      </c>
      <c r="AB281" s="12">
        <f>V281-Z281</f>
        <v>96.470000000000027</v>
      </c>
      <c r="AC281" s="15" t="s">
        <v>130</v>
      </c>
      <c r="AD281" s="15" t="s">
        <v>130</v>
      </c>
      <c r="AE281" s="15" t="s">
        <v>437</v>
      </c>
      <c r="AF281" s="12">
        <f>IF(AG281="Rejected",0,IF(R281="Corporate Card",0,V281))</f>
        <v>1496.47</v>
      </c>
      <c r="AG281" s="15" t="s">
        <v>133</v>
      </c>
      <c r="AH281" s="16">
        <v>45702</v>
      </c>
      <c r="AI281" s="16">
        <v>45704</v>
      </c>
      <c r="AJ281" s="16">
        <v>45711</v>
      </c>
      <c r="AK281" s="17">
        <f>IF(AJ281="","",AJ281-AH281)</f>
        <v>9</v>
      </c>
    </row>
    <row r="282" spans="1:37">
      <c r="A282" s="2" t="s">
        <v>603</v>
      </c>
      <c r="B282" s="2" t="s">
        <v>597</v>
      </c>
      <c r="C282" s="2" t="s">
        <v>598</v>
      </c>
      <c r="D282" s="2" t="s">
        <v>414</v>
      </c>
      <c r="E282" s="2" t="s">
        <v>599</v>
      </c>
      <c r="F282" s="2" t="s">
        <v>413</v>
      </c>
      <c r="G282" s="2" t="s">
        <v>600</v>
      </c>
      <c r="H282" s="2" t="s">
        <v>348</v>
      </c>
      <c r="I282" s="2" t="s">
        <v>601</v>
      </c>
      <c r="J282" s="2" t="s">
        <v>381</v>
      </c>
      <c r="K282" s="9">
        <v>45684</v>
      </c>
      <c r="L282" s="9">
        <v>45691</v>
      </c>
      <c r="M282" s="9">
        <v>45684</v>
      </c>
      <c r="N282" s="2" t="s">
        <v>125</v>
      </c>
      <c r="O282" s="2" t="s">
        <v>58</v>
      </c>
      <c r="P282" s="2" t="s">
        <v>142</v>
      </c>
      <c r="Q282" s="2" t="s">
        <v>156</v>
      </c>
      <c r="R282" s="2" t="s">
        <v>128</v>
      </c>
      <c r="S282" s="2" t="s">
        <v>383</v>
      </c>
      <c r="T282" s="10">
        <v>49.74</v>
      </c>
      <c r="U282" s="11">
        <v>1</v>
      </c>
      <c r="V282" s="12">
        <f>T282*U282</f>
        <v>49.74</v>
      </c>
      <c r="W282" s="13">
        <v>0</v>
      </c>
      <c r="X282" s="12">
        <f>V282-(V282/(1+W282))</f>
        <v>0</v>
      </c>
      <c r="Y282" s="12">
        <f>V282-X282</f>
        <v>49.74</v>
      </c>
      <c r="Z282" s="14">
        <v>60</v>
      </c>
      <c r="AA282" s="2" t="str">
        <f>IF(V282&gt;Z282,"Yes","No")</f>
        <v>No</v>
      </c>
      <c r="AB282" s="12">
        <f>V282-Z282</f>
        <v>-10.259999999999998</v>
      </c>
      <c r="AC282" s="15" t="s">
        <v>130</v>
      </c>
      <c r="AD282" s="15" t="s">
        <v>130</v>
      </c>
      <c r="AE282" s="15" t="s">
        <v>437</v>
      </c>
      <c r="AF282" s="12">
        <f>IF(AG282="Rejected",0,IF(R282="Corporate Card",0,V282))</f>
        <v>0</v>
      </c>
      <c r="AG282" s="15" t="s">
        <v>133</v>
      </c>
      <c r="AH282" s="16">
        <v>45702</v>
      </c>
      <c r="AI282" s="16">
        <v>45704</v>
      </c>
      <c r="AJ282" s="16">
        <v>45711</v>
      </c>
      <c r="AK282" s="17">
        <f>IF(AJ282="","",AJ282-AH282)</f>
        <v>9</v>
      </c>
    </row>
    <row r="283" spans="1:37">
      <c r="A283" s="2" t="s">
        <v>604</v>
      </c>
      <c r="B283" s="2" t="s">
        <v>597</v>
      </c>
      <c r="C283" s="2" t="s">
        <v>598</v>
      </c>
      <c r="D283" s="2" t="s">
        <v>414</v>
      </c>
      <c r="E283" s="2" t="s">
        <v>599</v>
      </c>
      <c r="F283" s="2" t="s">
        <v>413</v>
      </c>
      <c r="G283" s="2" t="s">
        <v>600</v>
      </c>
      <c r="H283" s="2" t="s">
        <v>348</v>
      </c>
      <c r="I283" s="2" t="s">
        <v>601</v>
      </c>
      <c r="J283" s="2" t="s">
        <v>381</v>
      </c>
      <c r="K283" s="9">
        <v>45684</v>
      </c>
      <c r="L283" s="9">
        <v>45691</v>
      </c>
      <c r="M283" s="9">
        <v>45684</v>
      </c>
      <c r="N283" s="2" t="s">
        <v>125</v>
      </c>
      <c r="O283" s="2" t="s">
        <v>54</v>
      </c>
      <c r="P283" s="2" t="s">
        <v>139</v>
      </c>
      <c r="Q283" s="2" t="s">
        <v>163</v>
      </c>
      <c r="R283" s="2" t="s">
        <v>128</v>
      </c>
      <c r="S283" s="2" t="s">
        <v>383</v>
      </c>
      <c r="T283" s="10">
        <v>23.47</v>
      </c>
      <c r="U283" s="11">
        <v>1</v>
      </c>
      <c r="V283" s="12">
        <f>T283*U283</f>
        <v>23.47</v>
      </c>
      <c r="W283" s="13">
        <v>0</v>
      </c>
      <c r="X283" s="12">
        <f>V283-(V283/(1+W283))</f>
        <v>0</v>
      </c>
      <c r="Y283" s="12">
        <f>V283-X283</f>
        <v>23.47</v>
      </c>
      <c r="Z283" s="14">
        <v>25</v>
      </c>
      <c r="AA283" s="2" t="str">
        <f>IF(V283&gt;Z283,"Yes","No")</f>
        <v>No</v>
      </c>
      <c r="AB283" s="12">
        <f>V283-Z283</f>
        <v>-1.5300000000000011</v>
      </c>
      <c r="AC283" s="15" t="s">
        <v>130</v>
      </c>
      <c r="AD283" s="15" t="s">
        <v>130</v>
      </c>
      <c r="AE283" s="15" t="s">
        <v>437</v>
      </c>
      <c r="AF283" s="12">
        <f>IF(AG283="Rejected",0,IF(R283="Corporate Card",0,V283))</f>
        <v>0</v>
      </c>
      <c r="AG283" s="15" t="s">
        <v>133</v>
      </c>
      <c r="AH283" s="16">
        <v>45702</v>
      </c>
      <c r="AI283" s="16">
        <v>45704</v>
      </c>
      <c r="AJ283" s="16">
        <v>45711</v>
      </c>
      <c r="AK283" s="17">
        <f>IF(AJ283="","",AJ283-AH283)</f>
        <v>9</v>
      </c>
    </row>
    <row r="284" spans="1:37">
      <c r="A284" s="2" t="s">
        <v>605</v>
      </c>
      <c r="B284" s="2" t="s">
        <v>597</v>
      </c>
      <c r="C284" s="2" t="s">
        <v>598</v>
      </c>
      <c r="D284" s="2" t="s">
        <v>414</v>
      </c>
      <c r="E284" s="2" t="s">
        <v>599</v>
      </c>
      <c r="F284" s="2" t="s">
        <v>413</v>
      </c>
      <c r="G284" s="2" t="s">
        <v>600</v>
      </c>
      <c r="H284" s="2" t="s">
        <v>348</v>
      </c>
      <c r="I284" s="2" t="s">
        <v>601</v>
      </c>
      <c r="J284" s="2" t="s">
        <v>381</v>
      </c>
      <c r="K284" s="9">
        <v>45684</v>
      </c>
      <c r="L284" s="9">
        <v>45691</v>
      </c>
      <c r="M284" s="9">
        <v>45684</v>
      </c>
      <c r="N284" s="2" t="s">
        <v>125</v>
      </c>
      <c r="O284" s="2" t="s">
        <v>56</v>
      </c>
      <c r="P284" s="2" t="s">
        <v>245</v>
      </c>
      <c r="Q284" s="2" t="s">
        <v>227</v>
      </c>
      <c r="R284" s="2" t="s">
        <v>128</v>
      </c>
      <c r="S284" s="2" t="s">
        <v>383</v>
      </c>
      <c r="T284" s="10">
        <v>49.18</v>
      </c>
      <c r="U284" s="11">
        <v>1</v>
      </c>
      <c r="V284" s="12">
        <f>T284*U284</f>
        <v>49.18</v>
      </c>
      <c r="W284" s="13">
        <v>0</v>
      </c>
      <c r="X284" s="12">
        <f>V284-(V284/(1+W284))</f>
        <v>0</v>
      </c>
      <c r="Y284" s="12">
        <f>V284-X284</f>
        <v>49.18</v>
      </c>
      <c r="Z284" s="14">
        <v>75</v>
      </c>
      <c r="AA284" s="2" t="str">
        <f>IF(V284&gt;Z284,"Yes","No")</f>
        <v>No</v>
      </c>
      <c r="AB284" s="12">
        <f>V284-Z284</f>
        <v>-25.82</v>
      </c>
      <c r="AC284" s="15" t="s">
        <v>130</v>
      </c>
      <c r="AD284" s="15" t="s">
        <v>130</v>
      </c>
      <c r="AE284" s="15" t="s">
        <v>437</v>
      </c>
      <c r="AF284" s="12">
        <f>IF(AG284="Rejected",0,IF(R284="Corporate Card",0,V284))</f>
        <v>0</v>
      </c>
      <c r="AG284" s="15" t="s">
        <v>133</v>
      </c>
      <c r="AH284" s="16">
        <v>45702</v>
      </c>
      <c r="AI284" s="16">
        <v>45704</v>
      </c>
      <c r="AJ284" s="16">
        <v>45711</v>
      </c>
      <c r="AK284" s="17">
        <f>IF(AJ284="","",AJ284-AH284)</f>
        <v>9</v>
      </c>
    </row>
    <row r="285" spans="1:37">
      <c r="A285" s="2" t="s">
        <v>606</v>
      </c>
      <c r="B285" s="2" t="s">
        <v>597</v>
      </c>
      <c r="C285" s="2" t="s">
        <v>598</v>
      </c>
      <c r="D285" s="2" t="s">
        <v>414</v>
      </c>
      <c r="E285" s="2" t="s">
        <v>599</v>
      </c>
      <c r="F285" s="2" t="s">
        <v>413</v>
      </c>
      <c r="G285" s="2" t="s">
        <v>600</v>
      </c>
      <c r="H285" s="2" t="s">
        <v>348</v>
      </c>
      <c r="I285" s="2" t="s">
        <v>601</v>
      </c>
      <c r="J285" s="2" t="s">
        <v>381</v>
      </c>
      <c r="K285" s="9">
        <v>45684</v>
      </c>
      <c r="L285" s="9">
        <v>45691</v>
      </c>
      <c r="M285" s="9">
        <v>45684</v>
      </c>
      <c r="N285" s="2" t="s">
        <v>125</v>
      </c>
      <c r="O285" s="2" t="s">
        <v>55</v>
      </c>
      <c r="P285" s="2" t="s">
        <v>139</v>
      </c>
      <c r="Q285" s="2" t="s">
        <v>187</v>
      </c>
      <c r="R285" s="2" t="s">
        <v>149</v>
      </c>
      <c r="S285" s="2" t="s">
        <v>383</v>
      </c>
      <c r="T285" s="10">
        <v>30.27</v>
      </c>
      <c r="U285" s="11">
        <v>1</v>
      </c>
      <c r="V285" s="12">
        <f>T285*U285</f>
        <v>30.27</v>
      </c>
      <c r="W285" s="13">
        <v>0</v>
      </c>
      <c r="X285" s="12">
        <f>V285-(V285/(1+W285))</f>
        <v>0</v>
      </c>
      <c r="Y285" s="12">
        <f>V285-X285</f>
        <v>30.27</v>
      </c>
      <c r="Z285" s="14">
        <v>35</v>
      </c>
      <c r="AA285" s="2" t="str">
        <f>IF(V285&gt;Z285,"Yes","No")</f>
        <v>No</v>
      </c>
      <c r="AB285" s="12">
        <f>V285-Z285</f>
        <v>-4.7300000000000004</v>
      </c>
      <c r="AC285" s="15" t="s">
        <v>130</v>
      </c>
      <c r="AD285" s="15" t="s">
        <v>130</v>
      </c>
      <c r="AE285" s="15" t="s">
        <v>437</v>
      </c>
      <c r="AF285" s="12">
        <f>IF(AG285="Rejected",0,IF(R285="Corporate Card",0,V285))</f>
        <v>30.27</v>
      </c>
      <c r="AG285" s="15" t="s">
        <v>133</v>
      </c>
      <c r="AH285" s="16">
        <v>45702</v>
      </c>
      <c r="AI285" s="16">
        <v>45704</v>
      </c>
      <c r="AJ285" s="16">
        <v>45711</v>
      </c>
      <c r="AK285" s="17">
        <f>IF(AJ285="","",AJ285-AH285)</f>
        <v>9</v>
      </c>
    </row>
    <row r="286" spans="1:37">
      <c r="A286" s="2" t="s">
        <v>607</v>
      </c>
      <c r="B286" s="2" t="s">
        <v>509</v>
      </c>
      <c r="C286" s="2" t="s">
        <v>510</v>
      </c>
      <c r="D286" s="2" t="s">
        <v>250</v>
      </c>
      <c r="E286" s="2" t="s">
        <v>511</v>
      </c>
      <c r="F286" s="2" t="s">
        <v>313</v>
      </c>
      <c r="G286" s="2" t="s">
        <v>566</v>
      </c>
      <c r="H286" s="2" t="s">
        <v>193</v>
      </c>
      <c r="I286" s="2" t="s">
        <v>567</v>
      </c>
      <c r="J286" s="2" t="s">
        <v>434</v>
      </c>
      <c r="K286" s="9">
        <v>45683</v>
      </c>
      <c r="L286" s="9">
        <v>45688</v>
      </c>
      <c r="M286" s="9">
        <v>45684</v>
      </c>
      <c r="N286" s="2" t="s">
        <v>125</v>
      </c>
      <c r="O286" s="2" t="s">
        <v>58</v>
      </c>
      <c r="P286" s="2" t="s">
        <v>142</v>
      </c>
      <c r="Q286" s="2" t="s">
        <v>143</v>
      </c>
      <c r="R286" s="2" t="s">
        <v>149</v>
      </c>
      <c r="S286" s="2" t="s">
        <v>436</v>
      </c>
      <c r="T286" s="10">
        <v>2001</v>
      </c>
      <c r="U286" s="11">
        <v>1.1780000000000001E-2</v>
      </c>
      <c r="V286" s="12">
        <f>T286*U286</f>
        <v>23.57178</v>
      </c>
      <c r="W286" s="13">
        <v>0.18</v>
      </c>
      <c r="X286" s="12">
        <f>V286-(V286/(1+W286))</f>
        <v>3.5956952542372882</v>
      </c>
      <c r="Y286" s="12">
        <f>V286-X286</f>
        <v>19.976084745762712</v>
      </c>
      <c r="Z286" s="14">
        <v>60</v>
      </c>
      <c r="AA286" s="2" t="str">
        <f>IF(V286&gt;Z286,"Yes","No")</f>
        <v>No</v>
      </c>
      <c r="AB286" s="12">
        <f>V286-Z286</f>
        <v>-36.428219999999996</v>
      </c>
      <c r="AC286" s="15" t="s">
        <v>130</v>
      </c>
      <c r="AD286" s="15" t="s">
        <v>131</v>
      </c>
      <c r="AE286" s="15" t="s">
        <v>421</v>
      </c>
      <c r="AF286" s="12">
        <f>IF(AG286="Rejected",0,IF(R286="Corporate Card",0,V286))</f>
        <v>23.57178</v>
      </c>
      <c r="AG286" s="15" t="s">
        <v>133</v>
      </c>
      <c r="AH286" s="16">
        <v>45695</v>
      </c>
      <c r="AI286" s="16">
        <v>45699</v>
      </c>
      <c r="AJ286" s="16">
        <v>45704</v>
      </c>
      <c r="AK286" s="17">
        <f>IF(AJ286="","",AJ286-AH286)</f>
        <v>9</v>
      </c>
    </row>
    <row r="287" spans="1:37">
      <c r="A287" s="2" t="s">
        <v>608</v>
      </c>
      <c r="B287" s="2" t="s">
        <v>509</v>
      </c>
      <c r="C287" s="2" t="s">
        <v>510</v>
      </c>
      <c r="D287" s="2" t="s">
        <v>250</v>
      </c>
      <c r="E287" s="2" t="s">
        <v>511</v>
      </c>
      <c r="F287" s="2" t="s">
        <v>313</v>
      </c>
      <c r="G287" s="2" t="s">
        <v>566</v>
      </c>
      <c r="H287" s="2" t="s">
        <v>193</v>
      </c>
      <c r="I287" s="2" t="s">
        <v>567</v>
      </c>
      <c r="J287" s="2" t="s">
        <v>434</v>
      </c>
      <c r="K287" s="9">
        <v>45683</v>
      </c>
      <c r="L287" s="9">
        <v>45688</v>
      </c>
      <c r="M287" s="9">
        <v>45684</v>
      </c>
      <c r="N287" s="2" t="s">
        <v>125</v>
      </c>
      <c r="O287" s="2" t="s">
        <v>53</v>
      </c>
      <c r="P287" s="2" t="s">
        <v>271</v>
      </c>
      <c r="Q287" s="2" t="s">
        <v>305</v>
      </c>
      <c r="R287" s="2" t="s">
        <v>128</v>
      </c>
      <c r="S287" s="2" t="s">
        <v>436</v>
      </c>
      <c r="T287" s="10">
        <v>182592</v>
      </c>
      <c r="U287" s="11">
        <v>1.1780000000000001E-2</v>
      </c>
      <c r="V287" s="12">
        <f>T287*U287</f>
        <v>2150.9337599999999</v>
      </c>
      <c r="W287" s="13">
        <v>0.18</v>
      </c>
      <c r="X287" s="12">
        <f>V287-(V287/(1+W287))</f>
        <v>328.10853966101695</v>
      </c>
      <c r="Y287" s="12">
        <f>V287-X287</f>
        <v>1822.8252203389829</v>
      </c>
      <c r="Z287" s="14">
        <v>1400</v>
      </c>
      <c r="AA287" s="2" t="str">
        <f>IF(V287&gt;Z287,"Yes","No")</f>
        <v>Yes</v>
      </c>
      <c r="AB287" s="12">
        <f>V287-Z287</f>
        <v>750.93375999999989</v>
      </c>
      <c r="AC287" s="15" t="s">
        <v>130</v>
      </c>
      <c r="AD287" s="15" t="s">
        <v>131</v>
      </c>
      <c r="AE287" s="15" t="s">
        <v>421</v>
      </c>
      <c r="AF287" s="12">
        <f>IF(AG287="Rejected",0,IF(R287="Corporate Card",0,V287))</f>
        <v>0</v>
      </c>
      <c r="AG287" s="15" t="s">
        <v>133</v>
      </c>
      <c r="AH287" s="16">
        <v>45695</v>
      </c>
      <c r="AI287" s="16">
        <v>45699</v>
      </c>
      <c r="AJ287" s="16">
        <v>45704</v>
      </c>
      <c r="AK287" s="17">
        <f>IF(AJ287="","",AJ287-AH287)</f>
        <v>9</v>
      </c>
    </row>
    <row r="288" spans="1:37">
      <c r="A288" s="2" t="s">
        <v>609</v>
      </c>
      <c r="B288" s="2" t="s">
        <v>509</v>
      </c>
      <c r="C288" s="2" t="s">
        <v>510</v>
      </c>
      <c r="D288" s="2" t="s">
        <v>250</v>
      </c>
      <c r="E288" s="2" t="s">
        <v>511</v>
      </c>
      <c r="F288" s="2" t="s">
        <v>313</v>
      </c>
      <c r="G288" s="2" t="s">
        <v>566</v>
      </c>
      <c r="H288" s="2" t="s">
        <v>193</v>
      </c>
      <c r="I288" s="2" t="s">
        <v>567</v>
      </c>
      <c r="J288" s="2" t="s">
        <v>434</v>
      </c>
      <c r="K288" s="9">
        <v>45683</v>
      </c>
      <c r="L288" s="9">
        <v>45688</v>
      </c>
      <c r="M288" s="9">
        <v>45684</v>
      </c>
      <c r="N288" s="2" t="s">
        <v>125</v>
      </c>
      <c r="O288" s="2" t="s">
        <v>56</v>
      </c>
      <c r="P288" s="2" t="s">
        <v>231</v>
      </c>
      <c r="Q288" s="2" t="s">
        <v>152</v>
      </c>
      <c r="R288" s="2" t="s">
        <v>137</v>
      </c>
      <c r="S288" s="2" t="s">
        <v>436</v>
      </c>
      <c r="T288" s="10">
        <v>3223</v>
      </c>
      <c r="U288" s="11">
        <v>1.1780000000000001E-2</v>
      </c>
      <c r="V288" s="12">
        <f>T288*U288</f>
        <v>37.966940000000001</v>
      </c>
      <c r="W288" s="13">
        <v>0.18</v>
      </c>
      <c r="X288" s="12">
        <f>V288-(V288/(1+W288))</f>
        <v>5.7915671186440676</v>
      </c>
      <c r="Y288" s="12">
        <f>V288-X288</f>
        <v>32.175372881355933</v>
      </c>
      <c r="Z288" s="14">
        <v>75</v>
      </c>
      <c r="AA288" s="2" t="str">
        <f>IF(V288&gt;Z288,"Yes","No")</f>
        <v>No</v>
      </c>
      <c r="AB288" s="12">
        <f>V288-Z288</f>
        <v>-37.033059999999999</v>
      </c>
      <c r="AC288" s="15" t="s">
        <v>130</v>
      </c>
      <c r="AD288" s="15" t="s">
        <v>131</v>
      </c>
      <c r="AE288" s="15" t="s">
        <v>421</v>
      </c>
      <c r="AF288" s="12">
        <f>IF(AG288="Rejected",0,IF(R288="Corporate Card",0,V288))</f>
        <v>37.966940000000001</v>
      </c>
      <c r="AG288" s="15" t="s">
        <v>133</v>
      </c>
      <c r="AH288" s="16">
        <v>45695</v>
      </c>
      <c r="AI288" s="16">
        <v>45699</v>
      </c>
      <c r="AJ288" s="16">
        <v>45704</v>
      </c>
      <c r="AK288" s="17">
        <f>IF(AJ288="","",AJ288-AH288)</f>
        <v>9</v>
      </c>
    </row>
    <row r="289" spans="1:37">
      <c r="A289" s="2" t="s">
        <v>610</v>
      </c>
      <c r="B289" s="2" t="s">
        <v>509</v>
      </c>
      <c r="C289" s="2" t="s">
        <v>510</v>
      </c>
      <c r="D289" s="2" t="s">
        <v>250</v>
      </c>
      <c r="E289" s="2" t="s">
        <v>511</v>
      </c>
      <c r="F289" s="2" t="s">
        <v>313</v>
      </c>
      <c r="G289" s="2" t="s">
        <v>566</v>
      </c>
      <c r="H289" s="2" t="s">
        <v>193</v>
      </c>
      <c r="I289" s="2" t="s">
        <v>567</v>
      </c>
      <c r="J289" s="2" t="s">
        <v>434</v>
      </c>
      <c r="K289" s="9">
        <v>45683</v>
      </c>
      <c r="L289" s="9">
        <v>45688</v>
      </c>
      <c r="M289" s="9">
        <v>45684</v>
      </c>
      <c r="N289" s="2" t="s">
        <v>125</v>
      </c>
      <c r="O289" s="2" t="s">
        <v>55</v>
      </c>
      <c r="P289" s="2" t="s">
        <v>139</v>
      </c>
      <c r="Q289" s="2" t="s">
        <v>187</v>
      </c>
      <c r="R289" s="2" t="s">
        <v>149</v>
      </c>
      <c r="S289" s="2" t="s">
        <v>436</v>
      </c>
      <c r="T289" s="10">
        <v>2360</v>
      </c>
      <c r="U289" s="11">
        <v>1.1780000000000001E-2</v>
      </c>
      <c r="V289" s="12">
        <f>T289*U289</f>
        <v>27.800800000000002</v>
      </c>
      <c r="W289" s="13">
        <v>0.18</v>
      </c>
      <c r="X289" s="12">
        <f>V289-(V289/(1+W289))</f>
        <v>4.2408000000000001</v>
      </c>
      <c r="Y289" s="12">
        <f>V289-X289</f>
        <v>23.560000000000002</v>
      </c>
      <c r="Z289" s="14">
        <v>35</v>
      </c>
      <c r="AA289" s="2" t="str">
        <f>IF(V289&gt;Z289,"Yes","No")</f>
        <v>No</v>
      </c>
      <c r="AB289" s="12">
        <f>V289-Z289</f>
        <v>-7.1991999999999976</v>
      </c>
      <c r="AC289" s="15" t="s">
        <v>130</v>
      </c>
      <c r="AD289" s="15" t="s">
        <v>131</v>
      </c>
      <c r="AE289" s="15" t="s">
        <v>421</v>
      </c>
      <c r="AF289" s="12">
        <f>IF(AG289="Rejected",0,IF(R289="Corporate Card",0,V289))</f>
        <v>27.800800000000002</v>
      </c>
      <c r="AG289" s="15" t="s">
        <v>133</v>
      </c>
      <c r="AH289" s="16">
        <v>45695</v>
      </c>
      <c r="AI289" s="16">
        <v>45699</v>
      </c>
      <c r="AJ289" s="16">
        <v>45704</v>
      </c>
      <c r="AK289" s="17">
        <f>IF(AJ289="","",AJ289-AH289)</f>
        <v>9</v>
      </c>
    </row>
    <row r="290" spans="1:37">
      <c r="A290" s="2" t="s">
        <v>611</v>
      </c>
      <c r="B290" s="2" t="s">
        <v>310</v>
      </c>
      <c r="C290" s="2" t="s">
        <v>311</v>
      </c>
      <c r="D290" s="2" t="s">
        <v>118</v>
      </c>
      <c r="E290" s="2" t="s">
        <v>312</v>
      </c>
      <c r="F290" s="2" t="s">
        <v>313</v>
      </c>
      <c r="G290" s="2" t="s">
        <v>482</v>
      </c>
      <c r="H290" s="2" t="s">
        <v>254</v>
      </c>
      <c r="I290" s="2" t="s">
        <v>255</v>
      </c>
      <c r="J290" s="2" t="s">
        <v>256</v>
      </c>
      <c r="K290" s="9">
        <v>45680</v>
      </c>
      <c r="L290" s="9">
        <v>45684</v>
      </c>
      <c r="M290" s="9">
        <v>45684</v>
      </c>
      <c r="N290" s="2" t="s">
        <v>125</v>
      </c>
      <c r="O290" s="2" t="s">
        <v>58</v>
      </c>
      <c r="P290" s="2" t="s">
        <v>142</v>
      </c>
      <c r="Q290" s="2" t="s">
        <v>224</v>
      </c>
      <c r="R290" s="2" t="s">
        <v>137</v>
      </c>
      <c r="S290" s="2" t="s">
        <v>259</v>
      </c>
      <c r="T290" s="10">
        <v>6673</v>
      </c>
      <c r="U290" s="11">
        <v>6.5500000000000003E-3</v>
      </c>
      <c r="V290" s="12">
        <f>T290*U290</f>
        <v>43.708150000000003</v>
      </c>
      <c r="W290" s="13">
        <v>0.1</v>
      </c>
      <c r="X290" s="12">
        <f>V290-(V290/(1+W290))</f>
        <v>3.9734681818181841</v>
      </c>
      <c r="Y290" s="12">
        <f>V290-X290</f>
        <v>39.734681818181819</v>
      </c>
      <c r="Z290" s="14">
        <v>60</v>
      </c>
      <c r="AA290" s="2" t="str">
        <f>IF(V290&gt;Z290,"Yes","No")</f>
        <v>No</v>
      </c>
      <c r="AB290" s="12">
        <f>V290-Z290</f>
        <v>-16.291849999999997</v>
      </c>
      <c r="AC290" s="15" t="s">
        <v>130</v>
      </c>
      <c r="AD290" s="15" t="s">
        <v>130</v>
      </c>
      <c r="AE290" s="15" t="s">
        <v>437</v>
      </c>
      <c r="AF290" s="12">
        <f>IF(AG290="Rejected",0,IF(R290="Corporate Card",0,V290))</f>
        <v>43.708150000000003</v>
      </c>
      <c r="AG290" s="15" t="s">
        <v>133</v>
      </c>
      <c r="AH290" s="16">
        <v>45695</v>
      </c>
      <c r="AI290" s="16">
        <v>45696</v>
      </c>
      <c r="AJ290" s="16">
        <v>45708</v>
      </c>
      <c r="AK290" s="17">
        <f>IF(AJ290="","",AJ290-AH290)</f>
        <v>13</v>
      </c>
    </row>
    <row r="291" spans="1:37">
      <c r="A291" s="2" t="s">
        <v>612</v>
      </c>
      <c r="B291" s="2" t="s">
        <v>310</v>
      </c>
      <c r="C291" s="2" t="s">
        <v>311</v>
      </c>
      <c r="D291" s="2" t="s">
        <v>118</v>
      </c>
      <c r="E291" s="2" t="s">
        <v>312</v>
      </c>
      <c r="F291" s="2" t="s">
        <v>313</v>
      </c>
      <c r="G291" s="2" t="s">
        <v>482</v>
      </c>
      <c r="H291" s="2" t="s">
        <v>254</v>
      </c>
      <c r="I291" s="2" t="s">
        <v>255</v>
      </c>
      <c r="J291" s="2" t="s">
        <v>256</v>
      </c>
      <c r="K291" s="9">
        <v>45680</v>
      </c>
      <c r="L291" s="9">
        <v>45684</v>
      </c>
      <c r="M291" s="9">
        <v>45684</v>
      </c>
      <c r="N291" s="2" t="s">
        <v>125</v>
      </c>
      <c r="O291" s="2" t="s">
        <v>54</v>
      </c>
      <c r="P291" s="2" t="s">
        <v>139</v>
      </c>
      <c r="Q291" s="2" t="s">
        <v>140</v>
      </c>
      <c r="R291" s="2" t="s">
        <v>137</v>
      </c>
      <c r="S291" s="2" t="s">
        <v>259</v>
      </c>
      <c r="T291" s="10">
        <v>1615</v>
      </c>
      <c r="U291" s="11">
        <v>6.5500000000000003E-3</v>
      </c>
      <c r="V291" s="12">
        <f>T291*U291</f>
        <v>10.578250000000001</v>
      </c>
      <c r="W291" s="13">
        <v>0.1</v>
      </c>
      <c r="X291" s="12">
        <f>V291-(V291/(1+W291))</f>
        <v>0.96165909090909096</v>
      </c>
      <c r="Y291" s="12">
        <f>V291-X291</f>
        <v>9.6165909090909096</v>
      </c>
      <c r="Z291" s="14">
        <v>25</v>
      </c>
      <c r="AA291" s="2" t="str">
        <f>IF(V291&gt;Z291,"Yes","No")</f>
        <v>No</v>
      </c>
      <c r="AB291" s="12">
        <f>V291-Z291</f>
        <v>-14.421749999999999</v>
      </c>
      <c r="AC291" s="15" t="s">
        <v>130</v>
      </c>
      <c r="AD291" s="15" t="s">
        <v>130</v>
      </c>
      <c r="AE291" s="15" t="s">
        <v>437</v>
      </c>
      <c r="AF291" s="12">
        <f>IF(AG291="Rejected",0,IF(R291="Corporate Card",0,V291))</f>
        <v>10.578250000000001</v>
      </c>
      <c r="AG291" s="15" t="s">
        <v>133</v>
      </c>
      <c r="AH291" s="16">
        <v>45695</v>
      </c>
      <c r="AI291" s="16">
        <v>45696</v>
      </c>
      <c r="AJ291" s="16">
        <v>45708</v>
      </c>
      <c r="AK291" s="17">
        <f>IF(AJ291="","",AJ291-AH291)</f>
        <v>13</v>
      </c>
    </row>
    <row r="292" spans="1:37">
      <c r="A292" s="2" t="s">
        <v>613</v>
      </c>
      <c r="B292" s="2" t="s">
        <v>310</v>
      </c>
      <c r="C292" s="2" t="s">
        <v>311</v>
      </c>
      <c r="D292" s="2" t="s">
        <v>118</v>
      </c>
      <c r="E292" s="2" t="s">
        <v>312</v>
      </c>
      <c r="F292" s="2" t="s">
        <v>313</v>
      </c>
      <c r="G292" s="2" t="s">
        <v>482</v>
      </c>
      <c r="H292" s="2" t="s">
        <v>254</v>
      </c>
      <c r="I292" s="2" t="s">
        <v>255</v>
      </c>
      <c r="J292" s="2" t="s">
        <v>256</v>
      </c>
      <c r="K292" s="9">
        <v>45680</v>
      </c>
      <c r="L292" s="9">
        <v>45684</v>
      </c>
      <c r="M292" s="9">
        <v>45684</v>
      </c>
      <c r="N292" s="2" t="s">
        <v>125</v>
      </c>
      <c r="O292" s="2" t="s">
        <v>56</v>
      </c>
      <c r="P292" s="2" t="s">
        <v>245</v>
      </c>
      <c r="Q292" s="2" t="s">
        <v>185</v>
      </c>
      <c r="R292" s="2" t="s">
        <v>137</v>
      </c>
      <c r="S292" s="2" t="s">
        <v>259</v>
      </c>
      <c r="T292" s="10">
        <v>7611</v>
      </c>
      <c r="U292" s="11">
        <v>6.5500000000000003E-3</v>
      </c>
      <c r="V292" s="12">
        <f>T292*U292</f>
        <v>49.852050000000006</v>
      </c>
      <c r="W292" s="13">
        <v>0.1</v>
      </c>
      <c r="X292" s="12">
        <f>V292-(V292/(1+W292))</f>
        <v>4.5320045454545479</v>
      </c>
      <c r="Y292" s="12">
        <f>V292-X292</f>
        <v>45.320045454545458</v>
      </c>
      <c r="Z292" s="14">
        <v>75</v>
      </c>
      <c r="AA292" s="2" t="str">
        <f>IF(V292&gt;Z292,"Yes","No")</f>
        <v>No</v>
      </c>
      <c r="AB292" s="12">
        <f>V292-Z292</f>
        <v>-25.147949999999994</v>
      </c>
      <c r="AC292" s="15" t="s">
        <v>130</v>
      </c>
      <c r="AD292" s="15" t="s">
        <v>130</v>
      </c>
      <c r="AE292" s="15" t="s">
        <v>437</v>
      </c>
      <c r="AF292" s="12">
        <f>IF(AG292="Rejected",0,IF(R292="Corporate Card",0,V292))</f>
        <v>49.852050000000006</v>
      </c>
      <c r="AG292" s="15" t="s">
        <v>133</v>
      </c>
      <c r="AH292" s="16">
        <v>45695</v>
      </c>
      <c r="AI292" s="16">
        <v>45696</v>
      </c>
      <c r="AJ292" s="16">
        <v>45708</v>
      </c>
      <c r="AK292" s="17">
        <f>IF(AJ292="","",AJ292-AH292)</f>
        <v>13</v>
      </c>
    </row>
    <row r="293" spans="1:37">
      <c r="A293" s="2" t="s">
        <v>614</v>
      </c>
      <c r="B293" s="2" t="s">
        <v>310</v>
      </c>
      <c r="C293" s="2" t="s">
        <v>311</v>
      </c>
      <c r="D293" s="2" t="s">
        <v>118</v>
      </c>
      <c r="E293" s="2" t="s">
        <v>312</v>
      </c>
      <c r="F293" s="2" t="s">
        <v>313</v>
      </c>
      <c r="G293" s="2" t="s">
        <v>482</v>
      </c>
      <c r="H293" s="2" t="s">
        <v>254</v>
      </c>
      <c r="I293" s="2" t="s">
        <v>255</v>
      </c>
      <c r="J293" s="2" t="s">
        <v>256</v>
      </c>
      <c r="K293" s="9">
        <v>45680</v>
      </c>
      <c r="L293" s="9">
        <v>45684</v>
      </c>
      <c r="M293" s="9">
        <v>45684</v>
      </c>
      <c r="N293" s="2" t="s">
        <v>125</v>
      </c>
      <c r="O293" s="2" t="s">
        <v>55</v>
      </c>
      <c r="P293" s="2" t="s">
        <v>139</v>
      </c>
      <c r="Q293" s="2" t="s">
        <v>154</v>
      </c>
      <c r="R293" s="2" t="s">
        <v>128</v>
      </c>
      <c r="S293" s="2" t="s">
        <v>259</v>
      </c>
      <c r="T293" s="10">
        <v>2208</v>
      </c>
      <c r="U293" s="11">
        <v>6.5500000000000003E-3</v>
      </c>
      <c r="V293" s="12">
        <f>T293*U293</f>
        <v>14.462400000000001</v>
      </c>
      <c r="W293" s="13">
        <v>0.1</v>
      </c>
      <c r="X293" s="12">
        <f>V293-(V293/(1+W293))</f>
        <v>1.3147636363636384</v>
      </c>
      <c r="Y293" s="12">
        <f>V293-X293</f>
        <v>13.147636363636362</v>
      </c>
      <c r="Z293" s="14">
        <v>35</v>
      </c>
      <c r="AA293" s="2" t="str">
        <f>IF(V293&gt;Z293,"Yes","No")</f>
        <v>No</v>
      </c>
      <c r="AB293" s="12">
        <f>V293-Z293</f>
        <v>-20.537599999999998</v>
      </c>
      <c r="AC293" s="15" t="s">
        <v>130</v>
      </c>
      <c r="AD293" s="15" t="s">
        <v>130</v>
      </c>
      <c r="AE293" s="15" t="s">
        <v>437</v>
      </c>
      <c r="AF293" s="12">
        <f>IF(AG293="Rejected",0,IF(R293="Corporate Card",0,V293))</f>
        <v>0</v>
      </c>
      <c r="AG293" s="15" t="s">
        <v>133</v>
      </c>
      <c r="AH293" s="16">
        <v>45695</v>
      </c>
      <c r="AI293" s="16">
        <v>45696</v>
      </c>
      <c r="AJ293" s="16">
        <v>45708</v>
      </c>
      <c r="AK293" s="17">
        <f>IF(AJ293="","",AJ293-AH293)</f>
        <v>13</v>
      </c>
    </row>
    <row r="294" spans="1:37">
      <c r="A294" s="2" t="s">
        <v>615</v>
      </c>
      <c r="B294" s="2" t="s">
        <v>616</v>
      </c>
      <c r="C294" s="2" t="s">
        <v>252</v>
      </c>
      <c r="D294" s="2" t="s">
        <v>250</v>
      </c>
      <c r="E294" s="2" t="s">
        <v>617</v>
      </c>
      <c r="F294" s="2" t="s">
        <v>510</v>
      </c>
      <c r="G294" s="2" t="s">
        <v>618</v>
      </c>
      <c r="H294" s="2" t="s">
        <v>417</v>
      </c>
      <c r="I294" s="2" t="s">
        <v>619</v>
      </c>
      <c r="J294" s="2" t="s">
        <v>381</v>
      </c>
      <c r="K294" s="9">
        <v>45684</v>
      </c>
      <c r="L294" s="9">
        <v>45688</v>
      </c>
      <c r="M294" s="9">
        <v>45684</v>
      </c>
      <c r="N294" s="2" t="s">
        <v>125</v>
      </c>
      <c r="O294" s="2" t="s">
        <v>52</v>
      </c>
      <c r="P294" s="2" t="s">
        <v>620</v>
      </c>
      <c r="Q294" s="2" t="s">
        <v>178</v>
      </c>
      <c r="R294" s="2" t="s">
        <v>149</v>
      </c>
      <c r="S294" s="2" t="s">
        <v>383</v>
      </c>
      <c r="T294" s="10">
        <v>884.95</v>
      </c>
      <c r="U294" s="11">
        <v>1</v>
      </c>
      <c r="V294" s="12">
        <f>T294*U294</f>
        <v>884.95</v>
      </c>
      <c r="W294" s="13">
        <v>0</v>
      </c>
      <c r="X294" s="12">
        <f>V294-(V294/(1+W294))</f>
        <v>0</v>
      </c>
      <c r="Y294" s="12">
        <f>V294-X294</f>
        <v>884.95</v>
      </c>
      <c r="Z294" s="14">
        <v>1400</v>
      </c>
      <c r="AA294" s="2" t="str">
        <f>IF(V294&gt;Z294,"Yes","No")</f>
        <v>No</v>
      </c>
      <c r="AB294" s="12">
        <f>V294-Z294</f>
        <v>-515.04999999999995</v>
      </c>
      <c r="AC294" s="15" t="s">
        <v>130</v>
      </c>
      <c r="AD294" s="15" t="s">
        <v>131</v>
      </c>
      <c r="AE294" s="15" t="s">
        <v>180</v>
      </c>
      <c r="AF294" s="12">
        <f>IF(AG294="Rejected",0,IF(R294="Corporate Card",0,V294))</f>
        <v>884.95</v>
      </c>
      <c r="AG294" s="15" t="s">
        <v>181</v>
      </c>
      <c r="AH294" s="16">
        <v>45698</v>
      </c>
      <c r="AI294" s="16"/>
      <c r="AJ294" s="16"/>
      <c r="AK294" s="17" t="str">
        <f>IF(AJ294="","",AJ294-AH294)</f>
        <v/>
      </c>
    </row>
    <row r="295" spans="1:37">
      <c r="A295" s="2" t="s">
        <v>621</v>
      </c>
      <c r="B295" s="2" t="s">
        <v>616</v>
      </c>
      <c r="C295" s="2" t="s">
        <v>252</v>
      </c>
      <c r="D295" s="2" t="s">
        <v>250</v>
      </c>
      <c r="E295" s="2" t="s">
        <v>617</v>
      </c>
      <c r="F295" s="2" t="s">
        <v>510</v>
      </c>
      <c r="G295" s="2" t="s">
        <v>618</v>
      </c>
      <c r="H295" s="2" t="s">
        <v>417</v>
      </c>
      <c r="I295" s="2" t="s">
        <v>619</v>
      </c>
      <c r="J295" s="2" t="s">
        <v>381</v>
      </c>
      <c r="K295" s="9">
        <v>45684</v>
      </c>
      <c r="L295" s="9">
        <v>45688</v>
      </c>
      <c r="M295" s="9">
        <v>45684</v>
      </c>
      <c r="N295" s="2" t="s">
        <v>125</v>
      </c>
      <c r="O295" s="2" t="s">
        <v>64</v>
      </c>
      <c r="P295" s="2" t="s">
        <v>135</v>
      </c>
      <c r="Q295" s="2" t="s">
        <v>136</v>
      </c>
      <c r="R295" s="2" t="s">
        <v>128</v>
      </c>
      <c r="S295" s="2" t="s">
        <v>383</v>
      </c>
      <c r="T295" s="10">
        <v>68.41</v>
      </c>
      <c r="U295" s="11">
        <v>1</v>
      </c>
      <c r="V295" s="12">
        <f>T295*U295</f>
        <v>68.41</v>
      </c>
      <c r="W295" s="13">
        <v>0</v>
      </c>
      <c r="X295" s="12">
        <f>V295-(V295/(1+W295))</f>
        <v>0</v>
      </c>
      <c r="Y295" s="12">
        <f>V295-X295</f>
        <v>68.41</v>
      </c>
      <c r="Z295" s="14">
        <v>120</v>
      </c>
      <c r="AA295" s="2" t="str">
        <f>IF(V295&gt;Z295,"Yes","No")</f>
        <v>No</v>
      </c>
      <c r="AB295" s="12">
        <f>V295-Z295</f>
        <v>-51.59</v>
      </c>
      <c r="AC295" s="15" t="s">
        <v>130</v>
      </c>
      <c r="AD295" s="15" t="s">
        <v>131</v>
      </c>
      <c r="AE295" s="15" t="s">
        <v>180</v>
      </c>
      <c r="AF295" s="12">
        <f>IF(AG295="Rejected",0,IF(R295="Corporate Card",0,V295))</f>
        <v>0</v>
      </c>
      <c r="AG295" s="15" t="s">
        <v>181</v>
      </c>
      <c r="AH295" s="16">
        <v>45698</v>
      </c>
      <c r="AI295" s="16"/>
      <c r="AJ295" s="16"/>
      <c r="AK295" s="17" t="str">
        <f>IF(AJ295="","",AJ295-AH295)</f>
        <v/>
      </c>
    </row>
    <row r="296" spans="1:37">
      <c r="A296" s="2" t="s">
        <v>622</v>
      </c>
      <c r="B296" s="2" t="s">
        <v>616</v>
      </c>
      <c r="C296" s="2" t="s">
        <v>252</v>
      </c>
      <c r="D296" s="2" t="s">
        <v>250</v>
      </c>
      <c r="E296" s="2" t="s">
        <v>617</v>
      </c>
      <c r="F296" s="2" t="s">
        <v>510</v>
      </c>
      <c r="G296" s="2" t="s">
        <v>618</v>
      </c>
      <c r="H296" s="2" t="s">
        <v>417</v>
      </c>
      <c r="I296" s="2" t="s">
        <v>619</v>
      </c>
      <c r="J296" s="2" t="s">
        <v>381</v>
      </c>
      <c r="K296" s="9">
        <v>45684</v>
      </c>
      <c r="L296" s="9">
        <v>45688</v>
      </c>
      <c r="M296" s="9">
        <v>45684</v>
      </c>
      <c r="N296" s="2" t="s">
        <v>125</v>
      </c>
      <c r="O296" s="2" t="s">
        <v>54</v>
      </c>
      <c r="P296" s="2" t="s">
        <v>139</v>
      </c>
      <c r="Q296" s="2" t="s">
        <v>214</v>
      </c>
      <c r="R296" s="2" t="s">
        <v>137</v>
      </c>
      <c r="S296" s="2" t="s">
        <v>383</v>
      </c>
      <c r="T296" s="10">
        <v>27.43</v>
      </c>
      <c r="U296" s="11">
        <v>1</v>
      </c>
      <c r="V296" s="12">
        <f>T296*U296</f>
        <v>27.43</v>
      </c>
      <c r="W296" s="13">
        <v>0</v>
      </c>
      <c r="X296" s="12">
        <f>V296-(V296/(1+W296))</f>
        <v>0</v>
      </c>
      <c r="Y296" s="12">
        <f>V296-X296</f>
        <v>27.43</v>
      </c>
      <c r="Z296" s="14">
        <v>25</v>
      </c>
      <c r="AA296" s="2" t="str">
        <f>IF(V296&gt;Z296,"Yes","No")</f>
        <v>Yes</v>
      </c>
      <c r="AB296" s="12">
        <f>V296-Z296</f>
        <v>2.4299999999999997</v>
      </c>
      <c r="AC296" s="15" t="s">
        <v>131</v>
      </c>
      <c r="AD296" s="15" t="s">
        <v>131</v>
      </c>
      <c r="AE296" s="15" t="s">
        <v>180</v>
      </c>
      <c r="AF296" s="12">
        <f>IF(AG296="Rejected",0,IF(R296="Corporate Card",0,V296))</f>
        <v>27.43</v>
      </c>
      <c r="AG296" s="15" t="s">
        <v>181</v>
      </c>
      <c r="AH296" s="16">
        <v>45698</v>
      </c>
      <c r="AI296" s="16"/>
      <c r="AJ296" s="16"/>
      <c r="AK296" s="17" t="str">
        <f>IF(AJ296="","",AJ296-AH296)</f>
        <v/>
      </c>
    </row>
    <row r="297" spans="1:37">
      <c r="A297" s="2" t="s">
        <v>623</v>
      </c>
      <c r="B297" s="2" t="s">
        <v>616</v>
      </c>
      <c r="C297" s="2" t="s">
        <v>252</v>
      </c>
      <c r="D297" s="2" t="s">
        <v>250</v>
      </c>
      <c r="E297" s="2" t="s">
        <v>617</v>
      </c>
      <c r="F297" s="2" t="s">
        <v>510</v>
      </c>
      <c r="G297" s="2" t="s">
        <v>618</v>
      </c>
      <c r="H297" s="2" t="s">
        <v>417</v>
      </c>
      <c r="I297" s="2" t="s">
        <v>619</v>
      </c>
      <c r="J297" s="2" t="s">
        <v>381</v>
      </c>
      <c r="K297" s="9">
        <v>45684</v>
      </c>
      <c r="L297" s="9">
        <v>45688</v>
      </c>
      <c r="M297" s="9">
        <v>45684</v>
      </c>
      <c r="N297" s="2" t="s">
        <v>125</v>
      </c>
      <c r="O297" s="2" t="s">
        <v>55</v>
      </c>
      <c r="P297" s="2" t="s">
        <v>139</v>
      </c>
      <c r="Q297" s="2" t="s">
        <v>187</v>
      </c>
      <c r="R297" s="2" t="s">
        <v>137</v>
      </c>
      <c r="S297" s="2" t="s">
        <v>383</v>
      </c>
      <c r="T297" s="10">
        <v>16.350000000000001</v>
      </c>
      <c r="U297" s="11">
        <v>1</v>
      </c>
      <c r="V297" s="12">
        <f>T297*U297</f>
        <v>16.350000000000001</v>
      </c>
      <c r="W297" s="13">
        <v>0</v>
      </c>
      <c r="X297" s="12">
        <f>V297-(V297/(1+W297))</f>
        <v>0</v>
      </c>
      <c r="Y297" s="12">
        <f>V297-X297</f>
        <v>16.350000000000001</v>
      </c>
      <c r="Z297" s="14">
        <v>35</v>
      </c>
      <c r="AA297" s="2" t="str">
        <f>IF(V297&gt;Z297,"Yes","No")</f>
        <v>No</v>
      </c>
      <c r="AB297" s="12">
        <f>V297-Z297</f>
        <v>-18.649999999999999</v>
      </c>
      <c r="AC297" s="15" t="s">
        <v>130</v>
      </c>
      <c r="AD297" s="15" t="s">
        <v>131</v>
      </c>
      <c r="AE297" s="15" t="s">
        <v>180</v>
      </c>
      <c r="AF297" s="12">
        <f>IF(AG297="Rejected",0,IF(R297="Corporate Card",0,V297))</f>
        <v>16.350000000000001</v>
      </c>
      <c r="AG297" s="15" t="s">
        <v>181</v>
      </c>
      <c r="AH297" s="16">
        <v>45698</v>
      </c>
      <c r="AI297" s="16"/>
      <c r="AJ297" s="16"/>
      <c r="AK297" s="17" t="str">
        <f>IF(AJ297="","",AJ297-AH297)</f>
        <v/>
      </c>
    </row>
    <row r="298" spans="1:37">
      <c r="A298" s="2" t="s">
        <v>624</v>
      </c>
      <c r="B298" s="2" t="s">
        <v>550</v>
      </c>
      <c r="C298" s="2" t="s">
        <v>551</v>
      </c>
      <c r="D298" s="2" t="s">
        <v>171</v>
      </c>
      <c r="E298" s="2" t="s">
        <v>172</v>
      </c>
      <c r="F298" s="2" t="s">
        <v>173</v>
      </c>
      <c r="G298" s="2" t="s">
        <v>552</v>
      </c>
      <c r="H298" s="2" t="s">
        <v>254</v>
      </c>
      <c r="I298" s="2" t="s">
        <v>553</v>
      </c>
      <c r="J298" s="2" t="s">
        <v>553</v>
      </c>
      <c r="K298" s="9">
        <v>45682</v>
      </c>
      <c r="L298" s="9">
        <v>45684</v>
      </c>
      <c r="M298" s="9">
        <v>45684</v>
      </c>
      <c r="N298" s="2" t="s">
        <v>125</v>
      </c>
      <c r="O298" s="2" t="s">
        <v>58</v>
      </c>
      <c r="P298" s="2" t="s">
        <v>142</v>
      </c>
      <c r="Q298" s="2" t="s">
        <v>156</v>
      </c>
      <c r="R298" s="2" t="s">
        <v>137</v>
      </c>
      <c r="S298" s="2" t="s">
        <v>555</v>
      </c>
      <c r="T298" s="10">
        <v>59.47</v>
      </c>
      <c r="U298" s="11">
        <v>0.74299999999999999</v>
      </c>
      <c r="V298" s="12">
        <f>T298*U298</f>
        <v>44.186209999999996</v>
      </c>
      <c r="W298" s="13">
        <v>0.09</v>
      </c>
      <c r="X298" s="12">
        <f>V298-(V298/(1+W298))</f>
        <v>3.6484026605504596</v>
      </c>
      <c r="Y298" s="12">
        <f>V298-X298</f>
        <v>40.537807339449536</v>
      </c>
      <c r="Z298" s="14">
        <v>60</v>
      </c>
      <c r="AA298" s="2" t="str">
        <f>IF(V298&gt;Z298,"Yes","No")</f>
        <v>No</v>
      </c>
      <c r="AB298" s="12">
        <f>V298-Z298</f>
        <v>-15.813790000000004</v>
      </c>
      <c r="AC298" s="15" t="s">
        <v>130</v>
      </c>
      <c r="AD298" s="15" t="s">
        <v>130</v>
      </c>
      <c r="AE298" s="15" t="s">
        <v>260</v>
      </c>
      <c r="AF298" s="12">
        <f>IF(AG298="Rejected",0,IF(R298="Corporate Card",0,V298))</f>
        <v>44.186209999999996</v>
      </c>
      <c r="AG298" s="15" t="s">
        <v>133</v>
      </c>
      <c r="AH298" s="16">
        <v>45694</v>
      </c>
      <c r="AI298" s="16">
        <v>45697</v>
      </c>
      <c r="AJ298" s="16">
        <v>45707</v>
      </c>
      <c r="AK298" s="17">
        <f>IF(AJ298="","",AJ298-AH298)</f>
        <v>13</v>
      </c>
    </row>
    <row r="299" spans="1:37">
      <c r="A299" s="2" t="s">
        <v>625</v>
      </c>
      <c r="B299" s="2" t="s">
        <v>550</v>
      </c>
      <c r="C299" s="2" t="s">
        <v>551</v>
      </c>
      <c r="D299" s="2" t="s">
        <v>171</v>
      </c>
      <c r="E299" s="2" t="s">
        <v>172</v>
      </c>
      <c r="F299" s="2" t="s">
        <v>173</v>
      </c>
      <c r="G299" s="2" t="s">
        <v>552</v>
      </c>
      <c r="H299" s="2" t="s">
        <v>254</v>
      </c>
      <c r="I299" s="2" t="s">
        <v>553</v>
      </c>
      <c r="J299" s="2" t="s">
        <v>553</v>
      </c>
      <c r="K299" s="9">
        <v>45682</v>
      </c>
      <c r="L299" s="9">
        <v>45684</v>
      </c>
      <c r="M299" s="9">
        <v>45684</v>
      </c>
      <c r="N299" s="2" t="s">
        <v>125</v>
      </c>
      <c r="O299" s="2" t="s">
        <v>56</v>
      </c>
      <c r="P299" s="2" t="s">
        <v>231</v>
      </c>
      <c r="Q299" s="2" t="s">
        <v>159</v>
      </c>
      <c r="R299" s="2" t="s">
        <v>128</v>
      </c>
      <c r="S299" s="2" t="s">
        <v>555</v>
      </c>
      <c r="T299" s="10">
        <v>45.95</v>
      </c>
      <c r="U299" s="11">
        <v>0.74299999999999999</v>
      </c>
      <c r="V299" s="12">
        <f>T299*U299</f>
        <v>34.14085</v>
      </c>
      <c r="W299" s="13">
        <v>0.09</v>
      </c>
      <c r="X299" s="12">
        <f>V299-(V299/(1+W299))</f>
        <v>2.8189692660550492</v>
      </c>
      <c r="Y299" s="12">
        <f>V299-X299</f>
        <v>31.321880733944951</v>
      </c>
      <c r="Z299" s="14">
        <v>75</v>
      </c>
      <c r="AA299" s="2" t="str">
        <f>IF(V299&gt;Z299,"Yes","No")</f>
        <v>No</v>
      </c>
      <c r="AB299" s="12">
        <f>V299-Z299</f>
        <v>-40.85915</v>
      </c>
      <c r="AC299" s="15" t="s">
        <v>130</v>
      </c>
      <c r="AD299" s="15" t="s">
        <v>130</v>
      </c>
      <c r="AE299" s="15" t="s">
        <v>260</v>
      </c>
      <c r="AF299" s="12">
        <f>IF(AG299="Rejected",0,IF(R299="Corporate Card",0,V299))</f>
        <v>0</v>
      </c>
      <c r="AG299" s="15" t="s">
        <v>133</v>
      </c>
      <c r="AH299" s="16">
        <v>45694</v>
      </c>
      <c r="AI299" s="16">
        <v>45697</v>
      </c>
      <c r="AJ299" s="16">
        <v>45707</v>
      </c>
      <c r="AK299" s="17">
        <f>IF(AJ299="","",AJ299-AH299)</f>
        <v>13</v>
      </c>
    </row>
    <row r="300" spans="1:37">
      <c r="A300" s="2" t="s">
        <v>626</v>
      </c>
      <c r="B300" s="2" t="s">
        <v>412</v>
      </c>
      <c r="C300" s="2" t="s">
        <v>413</v>
      </c>
      <c r="D300" s="2" t="s">
        <v>414</v>
      </c>
      <c r="E300" s="2" t="s">
        <v>415</v>
      </c>
      <c r="F300" s="2" t="s">
        <v>313</v>
      </c>
      <c r="G300" s="2" t="s">
        <v>416</v>
      </c>
      <c r="H300" s="2" t="s">
        <v>417</v>
      </c>
      <c r="I300" s="2" t="s">
        <v>418</v>
      </c>
      <c r="J300" s="2" t="s">
        <v>381</v>
      </c>
      <c r="K300" s="9">
        <v>45677</v>
      </c>
      <c r="L300" s="9">
        <v>45684</v>
      </c>
      <c r="M300" s="9">
        <v>45684</v>
      </c>
      <c r="N300" s="2" t="s">
        <v>125</v>
      </c>
      <c r="O300" s="2" t="s">
        <v>54</v>
      </c>
      <c r="P300" s="2" t="s">
        <v>139</v>
      </c>
      <c r="Q300" s="2" t="s">
        <v>163</v>
      </c>
      <c r="R300" s="2" t="s">
        <v>149</v>
      </c>
      <c r="S300" s="2" t="s">
        <v>383</v>
      </c>
      <c r="T300" s="10">
        <v>9.9</v>
      </c>
      <c r="U300" s="11">
        <v>1</v>
      </c>
      <c r="V300" s="12">
        <f>T300*U300</f>
        <v>9.9</v>
      </c>
      <c r="W300" s="13">
        <v>0</v>
      </c>
      <c r="X300" s="12">
        <f>V300-(V300/(1+W300))</f>
        <v>0</v>
      </c>
      <c r="Y300" s="12">
        <f>V300-X300</f>
        <v>9.9</v>
      </c>
      <c r="Z300" s="14">
        <v>25</v>
      </c>
      <c r="AA300" s="2" t="str">
        <f>IF(V300&gt;Z300,"Yes","No")</f>
        <v>No</v>
      </c>
      <c r="AB300" s="12">
        <f>V300-Z300</f>
        <v>-15.1</v>
      </c>
      <c r="AC300" s="15" t="s">
        <v>130</v>
      </c>
      <c r="AD300" s="15" t="s">
        <v>130</v>
      </c>
      <c r="AE300" s="15" t="s">
        <v>421</v>
      </c>
      <c r="AF300" s="12">
        <f>IF(AG300="Rejected",0,IF(R300="Corporate Card",0,V300))</f>
        <v>9.9</v>
      </c>
      <c r="AG300" s="15" t="s">
        <v>133</v>
      </c>
      <c r="AH300" s="16">
        <v>45696</v>
      </c>
      <c r="AI300" s="16">
        <v>45702</v>
      </c>
      <c r="AJ300" s="16">
        <v>45712</v>
      </c>
      <c r="AK300" s="17">
        <f>IF(AJ300="","",AJ300-AH300)</f>
        <v>16</v>
      </c>
    </row>
    <row r="301" spans="1:37">
      <c r="A301" s="2" t="s">
        <v>627</v>
      </c>
      <c r="B301" s="2" t="s">
        <v>412</v>
      </c>
      <c r="C301" s="2" t="s">
        <v>413</v>
      </c>
      <c r="D301" s="2" t="s">
        <v>414</v>
      </c>
      <c r="E301" s="2" t="s">
        <v>415</v>
      </c>
      <c r="F301" s="2" t="s">
        <v>313</v>
      </c>
      <c r="G301" s="2" t="s">
        <v>416</v>
      </c>
      <c r="H301" s="2" t="s">
        <v>417</v>
      </c>
      <c r="I301" s="2" t="s">
        <v>418</v>
      </c>
      <c r="J301" s="2" t="s">
        <v>381</v>
      </c>
      <c r="K301" s="9">
        <v>45677</v>
      </c>
      <c r="L301" s="9">
        <v>45684</v>
      </c>
      <c r="M301" s="9">
        <v>45684</v>
      </c>
      <c r="N301" s="2" t="s">
        <v>125</v>
      </c>
      <c r="O301" s="2" t="s">
        <v>56</v>
      </c>
      <c r="P301" s="2" t="s">
        <v>151</v>
      </c>
      <c r="Q301" s="2" t="s">
        <v>159</v>
      </c>
      <c r="R301" s="2" t="s">
        <v>149</v>
      </c>
      <c r="S301" s="2" t="s">
        <v>383</v>
      </c>
      <c r="T301" s="10">
        <v>68.900000000000006</v>
      </c>
      <c r="U301" s="11">
        <v>1</v>
      </c>
      <c r="V301" s="12">
        <f>T301*U301</f>
        <v>68.900000000000006</v>
      </c>
      <c r="W301" s="13">
        <v>0</v>
      </c>
      <c r="X301" s="12">
        <f>V301-(V301/(1+W301))</f>
        <v>0</v>
      </c>
      <c r="Y301" s="12">
        <f>V301-X301</f>
        <v>68.900000000000006</v>
      </c>
      <c r="Z301" s="14">
        <v>75</v>
      </c>
      <c r="AA301" s="2" t="str">
        <f>IF(V301&gt;Z301,"Yes","No")</f>
        <v>No</v>
      </c>
      <c r="AB301" s="12">
        <f>V301-Z301</f>
        <v>-6.0999999999999943</v>
      </c>
      <c r="AC301" s="15" t="s">
        <v>130</v>
      </c>
      <c r="AD301" s="15" t="s">
        <v>130</v>
      </c>
      <c r="AE301" s="15" t="s">
        <v>421</v>
      </c>
      <c r="AF301" s="12">
        <f>IF(AG301="Rejected",0,IF(R301="Corporate Card",0,V301))</f>
        <v>68.900000000000006</v>
      </c>
      <c r="AG301" s="15" t="s">
        <v>133</v>
      </c>
      <c r="AH301" s="16">
        <v>45696</v>
      </c>
      <c r="AI301" s="16">
        <v>45702</v>
      </c>
      <c r="AJ301" s="16">
        <v>45712</v>
      </c>
      <c r="AK301" s="17">
        <f>IF(AJ301="","",AJ301-AH301)</f>
        <v>16</v>
      </c>
    </row>
    <row r="302" spans="1:37">
      <c r="A302" s="2" t="s">
        <v>628</v>
      </c>
      <c r="B302" s="2" t="s">
        <v>412</v>
      </c>
      <c r="C302" s="2" t="s">
        <v>413</v>
      </c>
      <c r="D302" s="2" t="s">
        <v>414</v>
      </c>
      <c r="E302" s="2" t="s">
        <v>415</v>
      </c>
      <c r="F302" s="2" t="s">
        <v>313</v>
      </c>
      <c r="G302" s="2" t="s">
        <v>416</v>
      </c>
      <c r="H302" s="2" t="s">
        <v>417</v>
      </c>
      <c r="I302" s="2" t="s">
        <v>418</v>
      </c>
      <c r="J302" s="2" t="s">
        <v>381</v>
      </c>
      <c r="K302" s="9">
        <v>45677</v>
      </c>
      <c r="L302" s="9">
        <v>45684</v>
      </c>
      <c r="M302" s="9">
        <v>45684</v>
      </c>
      <c r="N302" s="2" t="s">
        <v>125</v>
      </c>
      <c r="O302" s="2" t="s">
        <v>55</v>
      </c>
      <c r="P302" s="2" t="s">
        <v>139</v>
      </c>
      <c r="Q302" s="2" t="s">
        <v>187</v>
      </c>
      <c r="R302" s="2" t="s">
        <v>128</v>
      </c>
      <c r="S302" s="2" t="s">
        <v>383</v>
      </c>
      <c r="T302" s="10">
        <v>22.91</v>
      </c>
      <c r="U302" s="11">
        <v>1</v>
      </c>
      <c r="V302" s="12">
        <f>T302*U302</f>
        <v>22.91</v>
      </c>
      <c r="W302" s="13">
        <v>0</v>
      </c>
      <c r="X302" s="12">
        <f>V302-(V302/(1+W302))</f>
        <v>0</v>
      </c>
      <c r="Y302" s="12">
        <f>V302-X302</f>
        <v>22.91</v>
      </c>
      <c r="Z302" s="14">
        <v>35</v>
      </c>
      <c r="AA302" s="2" t="str">
        <f>IF(V302&gt;Z302,"Yes","No")</f>
        <v>No</v>
      </c>
      <c r="AB302" s="12">
        <f>V302-Z302</f>
        <v>-12.09</v>
      </c>
      <c r="AC302" s="15" t="s">
        <v>130</v>
      </c>
      <c r="AD302" s="15" t="s">
        <v>130</v>
      </c>
      <c r="AE302" s="15" t="s">
        <v>421</v>
      </c>
      <c r="AF302" s="12">
        <f>IF(AG302="Rejected",0,IF(R302="Corporate Card",0,V302))</f>
        <v>0</v>
      </c>
      <c r="AG302" s="15" t="s">
        <v>133</v>
      </c>
      <c r="AH302" s="16">
        <v>45696</v>
      </c>
      <c r="AI302" s="16">
        <v>45702</v>
      </c>
      <c r="AJ302" s="16">
        <v>45712</v>
      </c>
      <c r="AK302" s="17">
        <f>IF(AJ302="","",AJ302-AH302)</f>
        <v>16</v>
      </c>
    </row>
    <row r="303" spans="1:37">
      <c r="A303" s="2" t="s">
        <v>629</v>
      </c>
      <c r="B303" s="2" t="s">
        <v>597</v>
      </c>
      <c r="C303" s="2" t="s">
        <v>598</v>
      </c>
      <c r="D303" s="2" t="s">
        <v>414</v>
      </c>
      <c r="E303" s="2" t="s">
        <v>599</v>
      </c>
      <c r="F303" s="2" t="s">
        <v>413</v>
      </c>
      <c r="G303" s="2" t="s">
        <v>600</v>
      </c>
      <c r="H303" s="2" t="s">
        <v>348</v>
      </c>
      <c r="I303" s="2" t="s">
        <v>601</v>
      </c>
      <c r="J303" s="2" t="s">
        <v>381</v>
      </c>
      <c r="K303" s="9">
        <v>45684</v>
      </c>
      <c r="L303" s="9">
        <v>45691</v>
      </c>
      <c r="M303" s="9">
        <v>45685</v>
      </c>
      <c r="N303" s="2" t="s">
        <v>125</v>
      </c>
      <c r="O303" s="2" t="s">
        <v>59</v>
      </c>
      <c r="P303" s="2" t="s">
        <v>301</v>
      </c>
      <c r="Q303" s="2" t="s">
        <v>581</v>
      </c>
      <c r="R303" s="2" t="s">
        <v>137</v>
      </c>
      <c r="S303" s="2" t="s">
        <v>383</v>
      </c>
      <c r="T303" s="10">
        <v>127.81</v>
      </c>
      <c r="U303" s="11">
        <v>1</v>
      </c>
      <c r="V303" s="12">
        <f>T303*U303</f>
        <v>127.81</v>
      </c>
      <c r="W303" s="13">
        <v>0</v>
      </c>
      <c r="X303" s="12">
        <f>V303-(V303/(1+W303))</f>
        <v>0</v>
      </c>
      <c r="Y303" s="12">
        <f>V303-X303</f>
        <v>127.81</v>
      </c>
      <c r="Z303" s="14">
        <v>150</v>
      </c>
      <c r="AA303" s="2" t="str">
        <f>IF(V303&gt;Z303,"Yes","No")</f>
        <v>No</v>
      </c>
      <c r="AB303" s="12">
        <f>V303-Z303</f>
        <v>-22.189999999999998</v>
      </c>
      <c r="AC303" s="15" t="s">
        <v>130</v>
      </c>
      <c r="AD303" s="15" t="s">
        <v>130</v>
      </c>
      <c r="AE303" s="15" t="s">
        <v>437</v>
      </c>
      <c r="AF303" s="12">
        <f>IF(AG303="Rejected",0,IF(R303="Corporate Card",0,V303))</f>
        <v>127.81</v>
      </c>
      <c r="AG303" s="15" t="s">
        <v>133</v>
      </c>
      <c r="AH303" s="16">
        <v>45702</v>
      </c>
      <c r="AI303" s="16">
        <v>45704</v>
      </c>
      <c r="AJ303" s="16">
        <v>45711</v>
      </c>
      <c r="AK303" s="17">
        <f>IF(AJ303="","",AJ303-AH303)</f>
        <v>9</v>
      </c>
    </row>
    <row r="304" spans="1:37">
      <c r="A304" s="2" t="s">
        <v>630</v>
      </c>
      <c r="B304" s="2" t="s">
        <v>597</v>
      </c>
      <c r="C304" s="2" t="s">
        <v>598</v>
      </c>
      <c r="D304" s="2" t="s">
        <v>414</v>
      </c>
      <c r="E304" s="2" t="s">
        <v>599</v>
      </c>
      <c r="F304" s="2" t="s">
        <v>413</v>
      </c>
      <c r="G304" s="2" t="s">
        <v>600</v>
      </c>
      <c r="H304" s="2" t="s">
        <v>348</v>
      </c>
      <c r="I304" s="2" t="s">
        <v>601</v>
      </c>
      <c r="J304" s="2" t="s">
        <v>381</v>
      </c>
      <c r="K304" s="9">
        <v>45684</v>
      </c>
      <c r="L304" s="9">
        <v>45691</v>
      </c>
      <c r="M304" s="9">
        <v>45685</v>
      </c>
      <c r="N304" s="2" t="s">
        <v>125</v>
      </c>
      <c r="O304" s="2" t="s">
        <v>58</v>
      </c>
      <c r="P304" s="2" t="s">
        <v>142</v>
      </c>
      <c r="Q304" s="2" t="s">
        <v>224</v>
      </c>
      <c r="R304" s="2" t="s">
        <v>137</v>
      </c>
      <c r="S304" s="2" t="s">
        <v>383</v>
      </c>
      <c r="T304" s="10">
        <v>75.36</v>
      </c>
      <c r="U304" s="11">
        <v>1</v>
      </c>
      <c r="V304" s="12">
        <f>T304*U304</f>
        <v>75.36</v>
      </c>
      <c r="W304" s="13">
        <v>0</v>
      </c>
      <c r="X304" s="12">
        <f>V304-(V304/(1+W304))</f>
        <v>0</v>
      </c>
      <c r="Y304" s="12">
        <f>V304-X304</f>
        <v>75.36</v>
      </c>
      <c r="Z304" s="14">
        <v>60</v>
      </c>
      <c r="AA304" s="2" t="str">
        <f>IF(V304&gt;Z304,"Yes","No")</f>
        <v>Yes</v>
      </c>
      <c r="AB304" s="12">
        <f>V304-Z304</f>
        <v>15.36</v>
      </c>
      <c r="AC304" s="15" t="s">
        <v>130</v>
      </c>
      <c r="AD304" s="15" t="s">
        <v>130</v>
      </c>
      <c r="AE304" s="15" t="s">
        <v>437</v>
      </c>
      <c r="AF304" s="12">
        <f>IF(AG304="Rejected",0,IF(R304="Corporate Card",0,V304))</f>
        <v>75.36</v>
      </c>
      <c r="AG304" s="15" t="s">
        <v>133</v>
      </c>
      <c r="AH304" s="16">
        <v>45702</v>
      </c>
      <c r="AI304" s="16">
        <v>45704</v>
      </c>
      <c r="AJ304" s="16">
        <v>45711</v>
      </c>
      <c r="AK304" s="17">
        <f>IF(AJ304="","",AJ304-AH304)</f>
        <v>9</v>
      </c>
    </row>
    <row r="305" spans="1:37">
      <c r="A305" s="2" t="s">
        <v>631</v>
      </c>
      <c r="B305" s="2" t="s">
        <v>597</v>
      </c>
      <c r="C305" s="2" t="s">
        <v>598</v>
      </c>
      <c r="D305" s="2" t="s">
        <v>414</v>
      </c>
      <c r="E305" s="2" t="s">
        <v>599</v>
      </c>
      <c r="F305" s="2" t="s">
        <v>413</v>
      </c>
      <c r="G305" s="2" t="s">
        <v>600</v>
      </c>
      <c r="H305" s="2" t="s">
        <v>348</v>
      </c>
      <c r="I305" s="2" t="s">
        <v>601</v>
      </c>
      <c r="J305" s="2" t="s">
        <v>381</v>
      </c>
      <c r="K305" s="9">
        <v>45684</v>
      </c>
      <c r="L305" s="9">
        <v>45691</v>
      </c>
      <c r="M305" s="9">
        <v>45685</v>
      </c>
      <c r="N305" s="2" t="s">
        <v>125</v>
      </c>
      <c r="O305" s="2" t="s">
        <v>53</v>
      </c>
      <c r="P305" s="2" t="s">
        <v>208</v>
      </c>
      <c r="Q305" s="2" t="s">
        <v>458</v>
      </c>
      <c r="R305" s="2" t="s">
        <v>128</v>
      </c>
      <c r="S305" s="2" t="s">
        <v>383</v>
      </c>
      <c r="T305" s="10">
        <v>1574.97</v>
      </c>
      <c r="U305" s="11">
        <v>1</v>
      </c>
      <c r="V305" s="12">
        <f>T305*U305</f>
        <v>1574.97</v>
      </c>
      <c r="W305" s="13">
        <v>0</v>
      </c>
      <c r="X305" s="12">
        <f>V305-(V305/(1+W305))</f>
        <v>0</v>
      </c>
      <c r="Y305" s="12">
        <f>V305-X305</f>
        <v>1574.97</v>
      </c>
      <c r="Z305" s="14">
        <v>1960</v>
      </c>
      <c r="AA305" s="2" t="str">
        <f>IF(V305&gt;Z305,"Yes","No")</f>
        <v>No</v>
      </c>
      <c r="AB305" s="12">
        <f>V305-Z305</f>
        <v>-385.03</v>
      </c>
      <c r="AC305" s="15" t="s">
        <v>131</v>
      </c>
      <c r="AD305" s="15" t="s">
        <v>130</v>
      </c>
      <c r="AE305" s="15" t="s">
        <v>437</v>
      </c>
      <c r="AF305" s="12">
        <f>IF(AG305="Rejected",0,IF(R305="Corporate Card",0,V305))</f>
        <v>0</v>
      </c>
      <c r="AG305" s="15" t="s">
        <v>133</v>
      </c>
      <c r="AH305" s="16">
        <v>45702</v>
      </c>
      <c r="AI305" s="16">
        <v>45704</v>
      </c>
      <c r="AJ305" s="16">
        <v>45711</v>
      </c>
      <c r="AK305" s="17">
        <f>IF(AJ305="","",AJ305-AH305)</f>
        <v>9</v>
      </c>
    </row>
    <row r="306" spans="1:37">
      <c r="A306" s="2" t="s">
        <v>632</v>
      </c>
      <c r="B306" s="2" t="s">
        <v>597</v>
      </c>
      <c r="C306" s="2" t="s">
        <v>598</v>
      </c>
      <c r="D306" s="2" t="s">
        <v>414</v>
      </c>
      <c r="E306" s="2" t="s">
        <v>599</v>
      </c>
      <c r="F306" s="2" t="s">
        <v>413</v>
      </c>
      <c r="G306" s="2" t="s">
        <v>600</v>
      </c>
      <c r="H306" s="2" t="s">
        <v>348</v>
      </c>
      <c r="I306" s="2" t="s">
        <v>601</v>
      </c>
      <c r="J306" s="2" t="s">
        <v>381</v>
      </c>
      <c r="K306" s="9">
        <v>45684</v>
      </c>
      <c r="L306" s="9">
        <v>45691</v>
      </c>
      <c r="M306" s="9">
        <v>45685</v>
      </c>
      <c r="N306" s="2" t="s">
        <v>125</v>
      </c>
      <c r="O306" s="2" t="s">
        <v>54</v>
      </c>
      <c r="P306" s="2" t="s">
        <v>139</v>
      </c>
      <c r="Q306" s="2" t="s">
        <v>148</v>
      </c>
      <c r="R306" s="2" t="s">
        <v>149</v>
      </c>
      <c r="S306" s="2" t="s">
        <v>383</v>
      </c>
      <c r="T306" s="10">
        <v>17.77</v>
      </c>
      <c r="U306" s="11">
        <v>1</v>
      </c>
      <c r="V306" s="12">
        <f>T306*U306</f>
        <v>17.77</v>
      </c>
      <c r="W306" s="13">
        <v>0</v>
      </c>
      <c r="X306" s="12">
        <f>V306-(V306/(1+W306))</f>
        <v>0</v>
      </c>
      <c r="Y306" s="12">
        <f>V306-X306</f>
        <v>17.77</v>
      </c>
      <c r="Z306" s="14">
        <v>25</v>
      </c>
      <c r="AA306" s="2" t="str">
        <f>IF(V306&gt;Z306,"Yes","No")</f>
        <v>No</v>
      </c>
      <c r="AB306" s="12">
        <f>V306-Z306</f>
        <v>-7.23</v>
      </c>
      <c r="AC306" s="15" t="s">
        <v>130</v>
      </c>
      <c r="AD306" s="15" t="s">
        <v>130</v>
      </c>
      <c r="AE306" s="15" t="s">
        <v>437</v>
      </c>
      <c r="AF306" s="12">
        <f>IF(AG306="Rejected",0,IF(R306="Corporate Card",0,V306))</f>
        <v>17.77</v>
      </c>
      <c r="AG306" s="15" t="s">
        <v>133</v>
      </c>
      <c r="AH306" s="16">
        <v>45702</v>
      </c>
      <c r="AI306" s="16">
        <v>45704</v>
      </c>
      <c r="AJ306" s="16">
        <v>45711</v>
      </c>
      <c r="AK306" s="17">
        <f>IF(AJ306="","",AJ306-AH306)</f>
        <v>9</v>
      </c>
    </row>
    <row r="307" spans="1:37">
      <c r="A307" s="2" t="s">
        <v>633</v>
      </c>
      <c r="B307" s="2" t="s">
        <v>597</v>
      </c>
      <c r="C307" s="2" t="s">
        <v>598</v>
      </c>
      <c r="D307" s="2" t="s">
        <v>414</v>
      </c>
      <c r="E307" s="2" t="s">
        <v>599</v>
      </c>
      <c r="F307" s="2" t="s">
        <v>413</v>
      </c>
      <c r="G307" s="2" t="s">
        <v>600</v>
      </c>
      <c r="H307" s="2" t="s">
        <v>348</v>
      </c>
      <c r="I307" s="2" t="s">
        <v>601</v>
      </c>
      <c r="J307" s="2" t="s">
        <v>381</v>
      </c>
      <c r="K307" s="9">
        <v>45684</v>
      </c>
      <c r="L307" s="9">
        <v>45691</v>
      </c>
      <c r="M307" s="9">
        <v>45685</v>
      </c>
      <c r="N307" s="2" t="s">
        <v>125</v>
      </c>
      <c r="O307" s="2" t="s">
        <v>56</v>
      </c>
      <c r="P307" s="2" t="s">
        <v>151</v>
      </c>
      <c r="Q307" s="2" t="s">
        <v>152</v>
      </c>
      <c r="R307" s="2" t="s">
        <v>128</v>
      </c>
      <c r="S307" s="2" t="s">
        <v>383</v>
      </c>
      <c r="T307" s="10">
        <v>102.51</v>
      </c>
      <c r="U307" s="11">
        <v>1</v>
      </c>
      <c r="V307" s="12">
        <f>T307*U307</f>
        <v>102.51</v>
      </c>
      <c r="W307" s="13">
        <v>0</v>
      </c>
      <c r="X307" s="12">
        <f>V307-(V307/(1+W307))</f>
        <v>0</v>
      </c>
      <c r="Y307" s="12">
        <f>V307-X307</f>
        <v>102.51</v>
      </c>
      <c r="Z307" s="14">
        <v>75</v>
      </c>
      <c r="AA307" s="2" t="str">
        <f>IF(V307&gt;Z307,"Yes","No")</f>
        <v>Yes</v>
      </c>
      <c r="AB307" s="12">
        <f>V307-Z307</f>
        <v>27.510000000000005</v>
      </c>
      <c r="AC307" s="15" t="s">
        <v>130</v>
      </c>
      <c r="AD307" s="15" t="s">
        <v>130</v>
      </c>
      <c r="AE307" s="15" t="s">
        <v>437</v>
      </c>
      <c r="AF307" s="12">
        <f>IF(AG307="Rejected",0,IF(R307="Corporate Card",0,V307))</f>
        <v>0</v>
      </c>
      <c r="AG307" s="15" t="s">
        <v>133</v>
      </c>
      <c r="AH307" s="16">
        <v>45702</v>
      </c>
      <c r="AI307" s="16">
        <v>45704</v>
      </c>
      <c r="AJ307" s="16">
        <v>45711</v>
      </c>
      <c r="AK307" s="17">
        <f>IF(AJ307="","",AJ307-AH307)</f>
        <v>9</v>
      </c>
    </row>
    <row r="308" spans="1:37">
      <c r="A308" s="2" t="s">
        <v>634</v>
      </c>
      <c r="B308" s="2" t="s">
        <v>597</v>
      </c>
      <c r="C308" s="2" t="s">
        <v>598</v>
      </c>
      <c r="D308" s="2" t="s">
        <v>414</v>
      </c>
      <c r="E308" s="2" t="s">
        <v>599</v>
      </c>
      <c r="F308" s="2" t="s">
        <v>413</v>
      </c>
      <c r="G308" s="2" t="s">
        <v>600</v>
      </c>
      <c r="H308" s="2" t="s">
        <v>348</v>
      </c>
      <c r="I308" s="2" t="s">
        <v>601</v>
      </c>
      <c r="J308" s="2" t="s">
        <v>381</v>
      </c>
      <c r="K308" s="9">
        <v>45684</v>
      </c>
      <c r="L308" s="9">
        <v>45691</v>
      </c>
      <c r="M308" s="9">
        <v>45685</v>
      </c>
      <c r="N308" s="2" t="s">
        <v>125</v>
      </c>
      <c r="O308" s="2" t="s">
        <v>55</v>
      </c>
      <c r="P308" s="2" t="s">
        <v>139</v>
      </c>
      <c r="Q308" s="2" t="s">
        <v>161</v>
      </c>
      <c r="R308" s="2" t="s">
        <v>128</v>
      </c>
      <c r="S308" s="2" t="s">
        <v>383</v>
      </c>
      <c r="T308" s="10">
        <v>28.59</v>
      </c>
      <c r="U308" s="11">
        <v>1</v>
      </c>
      <c r="V308" s="12">
        <f>T308*U308</f>
        <v>28.59</v>
      </c>
      <c r="W308" s="13">
        <v>0</v>
      </c>
      <c r="X308" s="12">
        <f>V308-(V308/(1+W308))</f>
        <v>0</v>
      </c>
      <c r="Y308" s="12">
        <f>V308-X308</f>
        <v>28.59</v>
      </c>
      <c r="Z308" s="14">
        <v>35</v>
      </c>
      <c r="AA308" s="2" t="str">
        <f>IF(V308&gt;Z308,"Yes","No")</f>
        <v>No</v>
      </c>
      <c r="AB308" s="12">
        <f>V308-Z308</f>
        <v>-6.41</v>
      </c>
      <c r="AC308" s="15" t="s">
        <v>131</v>
      </c>
      <c r="AD308" s="15" t="s">
        <v>130</v>
      </c>
      <c r="AE308" s="15" t="s">
        <v>437</v>
      </c>
      <c r="AF308" s="12">
        <f>IF(AG308="Rejected",0,IF(R308="Corporate Card",0,V308))</f>
        <v>0</v>
      </c>
      <c r="AG308" s="15" t="s">
        <v>133</v>
      </c>
      <c r="AH308" s="16">
        <v>45702</v>
      </c>
      <c r="AI308" s="16">
        <v>45704</v>
      </c>
      <c r="AJ308" s="16">
        <v>45711</v>
      </c>
      <c r="AK308" s="17">
        <f>IF(AJ308="","",AJ308-AH308)</f>
        <v>9</v>
      </c>
    </row>
    <row r="309" spans="1:37">
      <c r="A309" s="2" t="s">
        <v>635</v>
      </c>
      <c r="B309" s="2" t="s">
        <v>509</v>
      </c>
      <c r="C309" s="2" t="s">
        <v>510</v>
      </c>
      <c r="D309" s="2" t="s">
        <v>250</v>
      </c>
      <c r="E309" s="2" t="s">
        <v>511</v>
      </c>
      <c r="F309" s="2" t="s">
        <v>313</v>
      </c>
      <c r="G309" s="2" t="s">
        <v>566</v>
      </c>
      <c r="H309" s="2" t="s">
        <v>193</v>
      </c>
      <c r="I309" s="2" t="s">
        <v>567</v>
      </c>
      <c r="J309" s="2" t="s">
        <v>434</v>
      </c>
      <c r="K309" s="9">
        <v>45683</v>
      </c>
      <c r="L309" s="9">
        <v>45688</v>
      </c>
      <c r="M309" s="9">
        <v>45685</v>
      </c>
      <c r="N309" s="2" t="s">
        <v>125</v>
      </c>
      <c r="O309" s="2" t="s">
        <v>54</v>
      </c>
      <c r="P309" s="2" t="s">
        <v>139</v>
      </c>
      <c r="Q309" s="2" t="s">
        <v>140</v>
      </c>
      <c r="R309" s="2" t="s">
        <v>137</v>
      </c>
      <c r="S309" s="2" t="s">
        <v>436</v>
      </c>
      <c r="T309" s="10">
        <v>1030</v>
      </c>
      <c r="U309" s="11">
        <v>1.1780000000000001E-2</v>
      </c>
      <c r="V309" s="12">
        <f>T309*U309</f>
        <v>12.1334</v>
      </c>
      <c r="W309" s="13">
        <v>0.18</v>
      </c>
      <c r="X309" s="12">
        <f>V309-(V309/(1+W309))</f>
        <v>1.8508576271186428</v>
      </c>
      <c r="Y309" s="12">
        <f>V309-X309</f>
        <v>10.282542372881357</v>
      </c>
      <c r="Z309" s="14">
        <v>25</v>
      </c>
      <c r="AA309" s="2" t="str">
        <f>IF(V309&gt;Z309,"Yes","No")</f>
        <v>No</v>
      </c>
      <c r="AB309" s="12">
        <f>V309-Z309</f>
        <v>-12.8666</v>
      </c>
      <c r="AC309" s="15" t="s">
        <v>130</v>
      </c>
      <c r="AD309" s="15" t="s">
        <v>131</v>
      </c>
      <c r="AE309" s="15" t="s">
        <v>421</v>
      </c>
      <c r="AF309" s="12">
        <f>IF(AG309="Rejected",0,IF(R309="Corporate Card",0,V309))</f>
        <v>12.1334</v>
      </c>
      <c r="AG309" s="15" t="s">
        <v>133</v>
      </c>
      <c r="AH309" s="16">
        <v>45695</v>
      </c>
      <c r="AI309" s="16">
        <v>45699</v>
      </c>
      <c r="AJ309" s="16">
        <v>45704</v>
      </c>
      <c r="AK309" s="17">
        <f>IF(AJ309="","",AJ309-AH309)</f>
        <v>9</v>
      </c>
    </row>
    <row r="310" spans="1:37">
      <c r="A310" s="2" t="s">
        <v>636</v>
      </c>
      <c r="B310" s="2" t="s">
        <v>509</v>
      </c>
      <c r="C310" s="2" t="s">
        <v>510</v>
      </c>
      <c r="D310" s="2" t="s">
        <v>250</v>
      </c>
      <c r="E310" s="2" t="s">
        <v>511</v>
      </c>
      <c r="F310" s="2" t="s">
        <v>313</v>
      </c>
      <c r="G310" s="2" t="s">
        <v>566</v>
      </c>
      <c r="H310" s="2" t="s">
        <v>193</v>
      </c>
      <c r="I310" s="2" t="s">
        <v>567</v>
      </c>
      <c r="J310" s="2" t="s">
        <v>434</v>
      </c>
      <c r="K310" s="9">
        <v>45683</v>
      </c>
      <c r="L310" s="9">
        <v>45688</v>
      </c>
      <c r="M310" s="9">
        <v>45685</v>
      </c>
      <c r="N310" s="2" t="s">
        <v>125</v>
      </c>
      <c r="O310" s="2" t="s">
        <v>56</v>
      </c>
      <c r="P310" s="2" t="s">
        <v>151</v>
      </c>
      <c r="Q310" s="2" t="s">
        <v>166</v>
      </c>
      <c r="R310" s="2" t="s">
        <v>128</v>
      </c>
      <c r="S310" s="2" t="s">
        <v>436</v>
      </c>
      <c r="T310" s="10">
        <v>3357</v>
      </c>
      <c r="U310" s="11">
        <v>1.1780000000000001E-2</v>
      </c>
      <c r="V310" s="12">
        <f>T310*U310</f>
        <v>39.545459999999999</v>
      </c>
      <c r="W310" s="13">
        <v>0.18</v>
      </c>
      <c r="X310" s="12">
        <f>V310-(V310/(1+W310))</f>
        <v>6.0323583050847418</v>
      </c>
      <c r="Y310" s="12">
        <f>V310-X310</f>
        <v>33.513101694915257</v>
      </c>
      <c r="Z310" s="14">
        <v>75</v>
      </c>
      <c r="AA310" s="2" t="str">
        <f>IF(V310&gt;Z310,"Yes","No")</f>
        <v>No</v>
      </c>
      <c r="AB310" s="12">
        <f>V310-Z310</f>
        <v>-35.454540000000001</v>
      </c>
      <c r="AC310" s="15" t="s">
        <v>130</v>
      </c>
      <c r="AD310" s="15" t="s">
        <v>131</v>
      </c>
      <c r="AE310" s="15" t="s">
        <v>421</v>
      </c>
      <c r="AF310" s="12">
        <f>IF(AG310="Rejected",0,IF(R310="Corporate Card",0,V310))</f>
        <v>0</v>
      </c>
      <c r="AG310" s="15" t="s">
        <v>133</v>
      </c>
      <c r="AH310" s="16">
        <v>45695</v>
      </c>
      <c r="AI310" s="16">
        <v>45699</v>
      </c>
      <c r="AJ310" s="16">
        <v>45704</v>
      </c>
      <c r="AK310" s="17">
        <f>IF(AJ310="","",AJ310-AH310)</f>
        <v>9</v>
      </c>
    </row>
    <row r="311" spans="1:37">
      <c r="A311" s="2" t="s">
        <v>637</v>
      </c>
      <c r="B311" s="2" t="s">
        <v>509</v>
      </c>
      <c r="C311" s="2" t="s">
        <v>510</v>
      </c>
      <c r="D311" s="2" t="s">
        <v>250</v>
      </c>
      <c r="E311" s="2" t="s">
        <v>511</v>
      </c>
      <c r="F311" s="2" t="s">
        <v>313</v>
      </c>
      <c r="G311" s="2" t="s">
        <v>566</v>
      </c>
      <c r="H311" s="2" t="s">
        <v>193</v>
      </c>
      <c r="I311" s="2" t="s">
        <v>567</v>
      </c>
      <c r="J311" s="2" t="s">
        <v>434</v>
      </c>
      <c r="K311" s="9">
        <v>45683</v>
      </c>
      <c r="L311" s="9">
        <v>45688</v>
      </c>
      <c r="M311" s="9">
        <v>45685</v>
      </c>
      <c r="N311" s="2" t="s">
        <v>125</v>
      </c>
      <c r="O311" s="2" t="s">
        <v>55</v>
      </c>
      <c r="P311" s="2" t="s">
        <v>139</v>
      </c>
      <c r="Q311" s="2" t="s">
        <v>217</v>
      </c>
      <c r="R311" s="2" t="s">
        <v>149</v>
      </c>
      <c r="S311" s="2" t="s">
        <v>436</v>
      </c>
      <c r="T311" s="10">
        <v>1596</v>
      </c>
      <c r="U311" s="11">
        <v>1.1780000000000001E-2</v>
      </c>
      <c r="V311" s="12">
        <f>T311*U311</f>
        <v>18.800879999999999</v>
      </c>
      <c r="W311" s="13">
        <v>0.18</v>
      </c>
      <c r="X311" s="12">
        <f>V311-(V311/(1+W311))</f>
        <v>2.8679308474576271</v>
      </c>
      <c r="Y311" s="12">
        <f>V311-X311</f>
        <v>15.932949152542372</v>
      </c>
      <c r="Z311" s="14">
        <v>35</v>
      </c>
      <c r="AA311" s="2" t="str">
        <f>IF(V311&gt;Z311,"Yes","No")</f>
        <v>No</v>
      </c>
      <c r="AB311" s="12">
        <f>V311-Z311</f>
        <v>-16.199120000000001</v>
      </c>
      <c r="AC311" s="15" t="s">
        <v>130</v>
      </c>
      <c r="AD311" s="15" t="s">
        <v>131</v>
      </c>
      <c r="AE311" s="15" t="s">
        <v>421</v>
      </c>
      <c r="AF311" s="12">
        <f>IF(AG311="Rejected",0,IF(R311="Corporate Card",0,V311))</f>
        <v>18.800879999999999</v>
      </c>
      <c r="AG311" s="15" t="s">
        <v>133</v>
      </c>
      <c r="AH311" s="16">
        <v>45695</v>
      </c>
      <c r="AI311" s="16">
        <v>45699</v>
      </c>
      <c r="AJ311" s="16">
        <v>45704</v>
      </c>
      <c r="AK311" s="17">
        <f>IF(AJ311="","",AJ311-AH311)</f>
        <v>9</v>
      </c>
    </row>
    <row r="312" spans="1:37">
      <c r="A312" s="2" t="s">
        <v>638</v>
      </c>
      <c r="B312" s="2" t="s">
        <v>616</v>
      </c>
      <c r="C312" s="2" t="s">
        <v>252</v>
      </c>
      <c r="D312" s="2" t="s">
        <v>250</v>
      </c>
      <c r="E312" s="2" t="s">
        <v>617</v>
      </c>
      <c r="F312" s="2" t="s">
        <v>510</v>
      </c>
      <c r="G312" s="2" t="s">
        <v>618</v>
      </c>
      <c r="H312" s="2" t="s">
        <v>417</v>
      </c>
      <c r="I312" s="2" t="s">
        <v>619</v>
      </c>
      <c r="J312" s="2" t="s">
        <v>381</v>
      </c>
      <c r="K312" s="9">
        <v>45684</v>
      </c>
      <c r="L312" s="9">
        <v>45688</v>
      </c>
      <c r="M312" s="9">
        <v>45685</v>
      </c>
      <c r="N312" s="2" t="s">
        <v>125</v>
      </c>
      <c r="O312" s="2" t="s">
        <v>53</v>
      </c>
      <c r="P312" s="2" t="s">
        <v>457</v>
      </c>
      <c r="Q312" s="2" t="s">
        <v>458</v>
      </c>
      <c r="R312" s="2" t="s">
        <v>137</v>
      </c>
      <c r="S312" s="2" t="s">
        <v>383</v>
      </c>
      <c r="T312" s="10">
        <v>1011.06</v>
      </c>
      <c r="U312" s="11">
        <v>1</v>
      </c>
      <c r="V312" s="12">
        <f>T312*U312</f>
        <v>1011.06</v>
      </c>
      <c r="W312" s="13">
        <v>0</v>
      </c>
      <c r="X312" s="12">
        <f>V312-(V312/(1+W312))</f>
        <v>0</v>
      </c>
      <c r="Y312" s="12">
        <f>V312-X312</f>
        <v>1011.06</v>
      </c>
      <c r="Z312" s="14">
        <v>1120</v>
      </c>
      <c r="AA312" s="2" t="str">
        <f>IF(V312&gt;Z312,"Yes","No")</f>
        <v>No</v>
      </c>
      <c r="AB312" s="12">
        <f>V312-Z312</f>
        <v>-108.94000000000005</v>
      </c>
      <c r="AC312" s="15" t="s">
        <v>130</v>
      </c>
      <c r="AD312" s="15" t="s">
        <v>131</v>
      </c>
      <c r="AE312" s="15" t="s">
        <v>180</v>
      </c>
      <c r="AF312" s="12">
        <f>IF(AG312="Rejected",0,IF(R312="Corporate Card",0,V312))</f>
        <v>1011.06</v>
      </c>
      <c r="AG312" s="15" t="s">
        <v>181</v>
      </c>
      <c r="AH312" s="16">
        <v>45698</v>
      </c>
      <c r="AI312" s="16"/>
      <c r="AJ312" s="16"/>
      <c r="AK312" s="17" t="str">
        <f>IF(AJ312="","",AJ312-AH312)</f>
        <v/>
      </c>
    </row>
    <row r="313" spans="1:37">
      <c r="A313" s="2" t="s">
        <v>639</v>
      </c>
      <c r="B313" s="2" t="s">
        <v>616</v>
      </c>
      <c r="C313" s="2" t="s">
        <v>252</v>
      </c>
      <c r="D313" s="2" t="s">
        <v>250</v>
      </c>
      <c r="E313" s="2" t="s">
        <v>617</v>
      </c>
      <c r="F313" s="2" t="s">
        <v>510</v>
      </c>
      <c r="G313" s="2" t="s">
        <v>618</v>
      </c>
      <c r="H313" s="2" t="s">
        <v>417</v>
      </c>
      <c r="I313" s="2" t="s">
        <v>619</v>
      </c>
      <c r="J313" s="2" t="s">
        <v>381</v>
      </c>
      <c r="K313" s="9">
        <v>45684</v>
      </c>
      <c r="L313" s="9">
        <v>45688</v>
      </c>
      <c r="M313" s="9">
        <v>45685</v>
      </c>
      <c r="N313" s="2" t="s">
        <v>125</v>
      </c>
      <c r="O313" s="2" t="s">
        <v>54</v>
      </c>
      <c r="P313" s="2" t="s">
        <v>139</v>
      </c>
      <c r="Q313" s="2" t="s">
        <v>140</v>
      </c>
      <c r="R313" s="2" t="s">
        <v>128</v>
      </c>
      <c r="S313" s="2" t="s">
        <v>383</v>
      </c>
      <c r="T313" s="10">
        <v>17.13</v>
      </c>
      <c r="U313" s="11">
        <v>1</v>
      </c>
      <c r="V313" s="12">
        <f>T313*U313</f>
        <v>17.13</v>
      </c>
      <c r="W313" s="13">
        <v>0</v>
      </c>
      <c r="X313" s="12">
        <f>V313-(V313/(1+W313))</f>
        <v>0</v>
      </c>
      <c r="Y313" s="12">
        <f>V313-X313</f>
        <v>17.13</v>
      </c>
      <c r="Z313" s="14">
        <v>25</v>
      </c>
      <c r="AA313" s="2" t="str">
        <f>IF(V313&gt;Z313,"Yes","No")</f>
        <v>No</v>
      </c>
      <c r="AB313" s="12">
        <f>V313-Z313</f>
        <v>-7.870000000000001</v>
      </c>
      <c r="AC313" s="15" t="s">
        <v>130</v>
      </c>
      <c r="AD313" s="15" t="s">
        <v>131</v>
      </c>
      <c r="AE313" s="15" t="s">
        <v>180</v>
      </c>
      <c r="AF313" s="12">
        <f>IF(AG313="Rejected",0,IF(R313="Corporate Card",0,V313))</f>
        <v>0</v>
      </c>
      <c r="AG313" s="15" t="s">
        <v>181</v>
      </c>
      <c r="AH313" s="16">
        <v>45698</v>
      </c>
      <c r="AI313" s="16"/>
      <c r="AJ313" s="16"/>
      <c r="AK313" s="17" t="str">
        <f>IF(AJ313="","",AJ313-AH313)</f>
        <v/>
      </c>
    </row>
    <row r="314" spans="1:37">
      <c r="A314" s="2" t="s">
        <v>640</v>
      </c>
      <c r="B314" s="2" t="s">
        <v>616</v>
      </c>
      <c r="C314" s="2" t="s">
        <v>252</v>
      </c>
      <c r="D314" s="2" t="s">
        <v>250</v>
      </c>
      <c r="E314" s="2" t="s">
        <v>617</v>
      </c>
      <c r="F314" s="2" t="s">
        <v>510</v>
      </c>
      <c r="G314" s="2" t="s">
        <v>618</v>
      </c>
      <c r="H314" s="2" t="s">
        <v>417</v>
      </c>
      <c r="I314" s="2" t="s">
        <v>619</v>
      </c>
      <c r="J314" s="2" t="s">
        <v>381</v>
      </c>
      <c r="K314" s="9">
        <v>45684</v>
      </c>
      <c r="L314" s="9">
        <v>45688</v>
      </c>
      <c r="M314" s="9">
        <v>45685</v>
      </c>
      <c r="N314" s="2" t="s">
        <v>125</v>
      </c>
      <c r="O314" s="2" t="s">
        <v>55</v>
      </c>
      <c r="P314" s="2" t="s">
        <v>139</v>
      </c>
      <c r="Q314" s="2" t="s">
        <v>154</v>
      </c>
      <c r="R314" s="2" t="s">
        <v>149</v>
      </c>
      <c r="S314" s="2" t="s">
        <v>383</v>
      </c>
      <c r="T314" s="10">
        <v>20.97</v>
      </c>
      <c r="U314" s="11">
        <v>1</v>
      </c>
      <c r="V314" s="12">
        <f>T314*U314</f>
        <v>20.97</v>
      </c>
      <c r="W314" s="13">
        <v>0</v>
      </c>
      <c r="X314" s="12">
        <f>V314-(V314/(1+W314))</f>
        <v>0</v>
      </c>
      <c r="Y314" s="12">
        <f>V314-X314</f>
        <v>20.97</v>
      </c>
      <c r="Z314" s="14">
        <v>35</v>
      </c>
      <c r="AA314" s="2" t="str">
        <f>IF(V314&gt;Z314,"Yes","No")</f>
        <v>No</v>
      </c>
      <c r="AB314" s="12">
        <f>V314-Z314</f>
        <v>-14.030000000000001</v>
      </c>
      <c r="AC314" s="15" t="s">
        <v>130</v>
      </c>
      <c r="AD314" s="15" t="s">
        <v>131</v>
      </c>
      <c r="AE314" s="15" t="s">
        <v>180</v>
      </c>
      <c r="AF314" s="12">
        <f>IF(AG314="Rejected",0,IF(R314="Corporate Card",0,V314))</f>
        <v>20.97</v>
      </c>
      <c r="AG314" s="15" t="s">
        <v>181</v>
      </c>
      <c r="AH314" s="16">
        <v>45698</v>
      </c>
      <c r="AI314" s="16"/>
      <c r="AJ314" s="16"/>
      <c r="AK314" s="17" t="str">
        <f>IF(AJ314="","",AJ314-AH314)</f>
        <v/>
      </c>
    </row>
    <row r="315" spans="1:37">
      <c r="A315" s="2" t="s">
        <v>641</v>
      </c>
      <c r="B315" s="2" t="s">
        <v>597</v>
      </c>
      <c r="C315" s="2" t="s">
        <v>598</v>
      </c>
      <c r="D315" s="2" t="s">
        <v>414</v>
      </c>
      <c r="E315" s="2" t="s">
        <v>599</v>
      </c>
      <c r="F315" s="2" t="s">
        <v>413</v>
      </c>
      <c r="G315" s="2" t="s">
        <v>600</v>
      </c>
      <c r="H315" s="2" t="s">
        <v>348</v>
      </c>
      <c r="I315" s="2" t="s">
        <v>601</v>
      </c>
      <c r="J315" s="2" t="s">
        <v>381</v>
      </c>
      <c r="K315" s="9">
        <v>45684</v>
      </c>
      <c r="L315" s="9">
        <v>45691</v>
      </c>
      <c r="M315" s="9">
        <v>45686</v>
      </c>
      <c r="N315" s="2" t="s">
        <v>125</v>
      </c>
      <c r="O315" s="2" t="s">
        <v>58</v>
      </c>
      <c r="P315" s="2" t="s">
        <v>142</v>
      </c>
      <c r="Q315" s="2" t="s">
        <v>143</v>
      </c>
      <c r="R315" s="2" t="s">
        <v>128</v>
      </c>
      <c r="S315" s="2" t="s">
        <v>383</v>
      </c>
      <c r="T315" s="10">
        <v>32.39</v>
      </c>
      <c r="U315" s="11">
        <v>1</v>
      </c>
      <c r="V315" s="12">
        <f>T315*U315</f>
        <v>32.39</v>
      </c>
      <c r="W315" s="13">
        <v>0</v>
      </c>
      <c r="X315" s="12">
        <f>V315-(V315/(1+W315))</f>
        <v>0</v>
      </c>
      <c r="Y315" s="12">
        <f>V315-X315</f>
        <v>32.39</v>
      </c>
      <c r="Z315" s="14">
        <v>60</v>
      </c>
      <c r="AA315" s="2" t="str">
        <f>IF(V315&gt;Z315,"Yes","No")</f>
        <v>No</v>
      </c>
      <c r="AB315" s="12">
        <f>V315-Z315</f>
        <v>-27.61</v>
      </c>
      <c r="AC315" s="15" t="s">
        <v>130</v>
      </c>
      <c r="AD315" s="15" t="s">
        <v>130</v>
      </c>
      <c r="AE315" s="15" t="s">
        <v>437</v>
      </c>
      <c r="AF315" s="12">
        <f>IF(AG315="Rejected",0,IF(R315="Corporate Card",0,V315))</f>
        <v>0</v>
      </c>
      <c r="AG315" s="15" t="s">
        <v>133</v>
      </c>
      <c r="AH315" s="16">
        <v>45702</v>
      </c>
      <c r="AI315" s="16">
        <v>45704</v>
      </c>
      <c r="AJ315" s="16">
        <v>45711</v>
      </c>
      <c r="AK315" s="17">
        <f>IF(AJ315="","",AJ315-AH315)</f>
        <v>9</v>
      </c>
    </row>
    <row r="316" spans="1:37">
      <c r="A316" s="2" t="s">
        <v>642</v>
      </c>
      <c r="B316" s="2" t="s">
        <v>597</v>
      </c>
      <c r="C316" s="2" t="s">
        <v>598</v>
      </c>
      <c r="D316" s="2" t="s">
        <v>414</v>
      </c>
      <c r="E316" s="2" t="s">
        <v>599</v>
      </c>
      <c r="F316" s="2" t="s">
        <v>413</v>
      </c>
      <c r="G316" s="2" t="s">
        <v>600</v>
      </c>
      <c r="H316" s="2" t="s">
        <v>348</v>
      </c>
      <c r="I316" s="2" t="s">
        <v>601</v>
      </c>
      <c r="J316" s="2" t="s">
        <v>381</v>
      </c>
      <c r="K316" s="9">
        <v>45684</v>
      </c>
      <c r="L316" s="9">
        <v>45691</v>
      </c>
      <c r="M316" s="9">
        <v>45686</v>
      </c>
      <c r="N316" s="2" t="s">
        <v>125</v>
      </c>
      <c r="O316" s="2" t="s">
        <v>54</v>
      </c>
      <c r="P316" s="2" t="s">
        <v>139</v>
      </c>
      <c r="Q316" s="2" t="s">
        <v>148</v>
      </c>
      <c r="R316" s="2" t="s">
        <v>128</v>
      </c>
      <c r="S316" s="2" t="s">
        <v>383</v>
      </c>
      <c r="T316" s="10">
        <v>12.22</v>
      </c>
      <c r="U316" s="11">
        <v>1</v>
      </c>
      <c r="V316" s="12">
        <f>T316*U316</f>
        <v>12.22</v>
      </c>
      <c r="W316" s="13">
        <v>0</v>
      </c>
      <c r="X316" s="12">
        <f>V316-(V316/(1+W316))</f>
        <v>0</v>
      </c>
      <c r="Y316" s="12">
        <f>V316-X316</f>
        <v>12.22</v>
      </c>
      <c r="Z316" s="14">
        <v>25</v>
      </c>
      <c r="AA316" s="2" t="str">
        <f>IF(V316&gt;Z316,"Yes","No")</f>
        <v>No</v>
      </c>
      <c r="AB316" s="12">
        <f>V316-Z316</f>
        <v>-12.78</v>
      </c>
      <c r="AC316" s="15" t="s">
        <v>130</v>
      </c>
      <c r="AD316" s="15" t="s">
        <v>130</v>
      </c>
      <c r="AE316" s="15" t="s">
        <v>437</v>
      </c>
      <c r="AF316" s="12">
        <f>IF(AG316="Rejected",0,IF(R316="Corporate Card",0,V316))</f>
        <v>0</v>
      </c>
      <c r="AG316" s="15" t="s">
        <v>133</v>
      </c>
      <c r="AH316" s="16">
        <v>45702</v>
      </c>
      <c r="AI316" s="16">
        <v>45704</v>
      </c>
      <c r="AJ316" s="16">
        <v>45711</v>
      </c>
      <c r="AK316" s="17">
        <f>IF(AJ316="","",AJ316-AH316)</f>
        <v>9</v>
      </c>
    </row>
    <row r="317" spans="1:37">
      <c r="A317" s="2" t="s">
        <v>643</v>
      </c>
      <c r="B317" s="2" t="s">
        <v>597</v>
      </c>
      <c r="C317" s="2" t="s">
        <v>598</v>
      </c>
      <c r="D317" s="2" t="s">
        <v>414</v>
      </c>
      <c r="E317" s="2" t="s">
        <v>599</v>
      </c>
      <c r="F317" s="2" t="s">
        <v>413</v>
      </c>
      <c r="G317" s="2" t="s">
        <v>600</v>
      </c>
      <c r="H317" s="2" t="s">
        <v>348</v>
      </c>
      <c r="I317" s="2" t="s">
        <v>601</v>
      </c>
      <c r="J317" s="2" t="s">
        <v>381</v>
      </c>
      <c r="K317" s="9">
        <v>45684</v>
      </c>
      <c r="L317" s="9">
        <v>45691</v>
      </c>
      <c r="M317" s="9">
        <v>45686</v>
      </c>
      <c r="N317" s="2" t="s">
        <v>125</v>
      </c>
      <c r="O317" s="2" t="s">
        <v>56</v>
      </c>
      <c r="P317" s="2" t="s">
        <v>245</v>
      </c>
      <c r="Q317" s="2" t="s">
        <v>166</v>
      </c>
      <c r="R317" s="2" t="s">
        <v>128</v>
      </c>
      <c r="S317" s="2" t="s">
        <v>383</v>
      </c>
      <c r="T317" s="10">
        <v>73.900000000000006</v>
      </c>
      <c r="U317" s="11">
        <v>1</v>
      </c>
      <c r="V317" s="12">
        <f>T317*U317</f>
        <v>73.900000000000006</v>
      </c>
      <c r="W317" s="13">
        <v>0</v>
      </c>
      <c r="X317" s="12">
        <f>V317-(V317/(1+W317))</f>
        <v>0</v>
      </c>
      <c r="Y317" s="12">
        <f>V317-X317</f>
        <v>73.900000000000006</v>
      </c>
      <c r="Z317" s="14">
        <v>75</v>
      </c>
      <c r="AA317" s="2" t="str">
        <f>IF(V317&gt;Z317,"Yes","No")</f>
        <v>No</v>
      </c>
      <c r="AB317" s="12">
        <f>V317-Z317</f>
        <v>-1.0999999999999943</v>
      </c>
      <c r="AC317" s="15" t="s">
        <v>130</v>
      </c>
      <c r="AD317" s="15" t="s">
        <v>130</v>
      </c>
      <c r="AE317" s="15" t="s">
        <v>437</v>
      </c>
      <c r="AF317" s="12">
        <f>IF(AG317="Rejected",0,IF(R317="Corporate Card",0,V317))</f>
        <v>0</v>
      </c>
      <c r="AG317" s="15" t="s">
        <v>133</v>
      </c>
      <c r="AH317" s="16">
        <v>45702</v>
      </c>
      <c r="AI317" s="16">
        <v>45704</v>
      </c>
      <c r="AJ317" s="16">
        <v>45711</v>
      </c>
      <c r="AK317" s="17">
        <f>IF(AJ317="","",AJ317-AH317)</f>
        <v>9</v>
      </c>
    </row>
    <row r="318" spans="1:37">
      <c r="A318" s="2" t="s">
        <v>644</v>
      </c>
      <c r="B318" s="2" t="s">
        <v>509</v>
      </c>
      <c r="C318" s="2" t="s">
        <v>510</v>
      </c>
      <c r="D318" s="2" t="s">
        <v>250</v>
      </c>
      <c r="E318" s="2" t="s">
        <v>511</v>
      </c>
      <c r="F318" s="2" t="s">
        <v>313</v>
      </c>
      <c r="G318" s="2" t="s">
        <v>566</v>
      </c>
      <c r="H318" s="2" t="s">
        <v>193</v>
      </c>
      <c r="I318" s="2" t="s">
        <v>567</v>
      </c>
      <c r="J318" s="2" t="s">
        <v>434</v>
      </c>
      <c r="K318" s="9">
        <v>45683</v>
      </c>
      <c r="L318" s="9">
        <v>45688</v>
      </c>
      <c r="M318" s="9">
        <v>45686</v>
      </c>
      <c r="N318" s="2" t="s">
        <v>125</v>
      </c>
      <c r="O318" s="2" t="s">
        <v>58</v>
      </c>
      <c r="P318" s="2" t="s">
        <v>142</v>
      </c>
      <c r="Q318" s="2" t="s">
        <v>224</v>
      </c>
      <c r="R318" s="2" t="s">
        <v>128</v>
      </c>
      <c r="S318" s="2" t="s">
        <v>436</v>
      </c>
      <c r="T318" s="10">
        <v>7889</v>
      </c>
      <c r="U318" s="11">
        <v>1.1780000000000001E-2</v>
      </c>
      <c r="V318" s="12">
        <f>T318*U318</f>
        <v>92.932420000000008</v>
      </c>
      <c r="W318" s="13">
        <v>0.18</v>
      </c>
      <c r="X318" s="12">
        <f>V318-(V318/(1+W318))</f>
        <v>14.17613186440677</v>
      </c>
      <c r="Y318" s="12">
        <f>V318-X318</f>
        <v>78.756288135593238</v>
      </c>
      <c r="Z318" s="14">
        <v>60</v>
      </c>
      <c r="AA318" s="2" t="str">
        <f>IF(V318&gt;Z318,"Yes","No")</f>
        <v>Yes</v>
      </c>
      <c r="AB318" s="12">
        <f>V318-Z318</f>
        <v>32.932420000000008</v>
      </c>
      <c r="AC318" s="15" t="s">
        <v>130</v>
      </c>
      <c r="AD318" s="15" t="s">
        <v>131</v>
      </c>
      <c r="AE318" s="15" t="s">
        <v>421</v>
      </c>
      <c r="AF318" s="12">
        <f>IF(AG318="Rejected",0,IF(R318="Corporate Card",0,V318))</f>
        <v>0</v>
      </c>
      <c r="AG318" s="15" t="s">
        <v>133</v>
      </c>
      <c r="AH318" s="16">
        <v>45695</v>
      </c>
      <c r="AI318" s="16">
        <v>45699</v>
      </c>
      <c r="AJ318" s="16">
        <v>45704</v>
      </c>
      <c r="AK318" s="17">
        <f>IF(AJ318="","",AJ318-AH318)</f>
        <v>9</v>
      </c>
    </row>
    <row r="319" spans="1:37">
      <c r="A319" s="2" t="s">
        <v>645</v>
      </c>
      <c r="B319" s="2" t="s">
        <v>509</v>
      </c>
      <c r="C319" s="2" t="s">
        <v>510</v>
      </c>
      <c r="D319" s="2" t="s">
        <v>250</v>
      </c>
      <c r="E319" s="2" t="s">
        <v>511</v>
      </c>
      <c r="F319" s="2" t="s">
        <v>313</v>
      </c>
      <c r="G319" s="2" t="s">
        <v>566</v>
      </c>
      <c r="H319" s="2" t="s">
        <v>193</v>
      </c>
      <c r="I319" s="2" t="s">
        <v>567</v>
      </c>
      <c r="J319" s="2" t="s">
        <v>434</v>
      </c>
      <c r="K319" s="9">
        <v>45683</v>
      </c>
      <c r="L319" s="9">
        <v>45688</v>
      </c>
      <c r="M319" s="9">
        <v>45686</v>
      </c>
      <c r="N319" s="2" t="s">
        <v>125</v>
      </c>
      <c r="O319" s="2" t="s">
        <v>54</v>
      </c>
      <c r="P319" s="2" t="s">
        <v>139</v>
      </c>
      <c r="Q319" s="2" t="s">
        <v>163</v>
      </c>
      <c r="R319" s="2" t="s">
        <v>128</v>
      </c>
      <c r="S319" s="2" t="s">
        <v>436</v>
      </c>
      <c r="T319" s="10">
        <v>1041</v>
      </c>
      <c r="U319" s="11">
        <v>1.1780000000000001E-2</v>
      </c>
      <c r="V319" s="12">
        <f>T319*U319</f>
        <v>12.262980000000001</v>
      </c>
      <c r="W319" s="13">
        <v>0.18</v>
      </c>
      <c r="X319" s="12">
        <f>V319-(V319/(1+W319))</f>
        <v>1.8706240677966104</v>
      </c>
      <c r="Y319" s="12">
        <f>V319-X319</f>
        <v>10.39235593220339</v>
      </c>
      <c r="Z319" s="14">
        <v>25</v>
      </c>
      <c r="AA319" s="2" t="str">
        <f>IF(V319&gt;Z319,"Yes","No")</f>
        <v>No</v>
      </c>
      <c r="AB319" s="12">
        <f>V319-Z319</f>
        <v>-12.737019999999999</v>
      </c>
      <c r="AC319" s="15" t="s">
        <v>130</v>
      </c>
      <c r="AD319" s="15" t="s">
        <v>131</v>
      </c>
      <c r="AE319" s="15" t="s">
        <v>421</v>
      </c>
      <c r="AF319" s="12">
        <f>IF(AG319="Rejected",0,IF(R319="Corporate Card",0,V319))</f>
        <v>0</v>
      </c>
      <c r="AG319" s="15" t="s">
        <v>133</v>
      </c>
      <c r="AH319" s="16">
        <v>45695</v>
      </c>
      <c r="AI319" s="16">
        <v>45699</v>
      </c>
      <c r="AJ319" s="16">
        <v>45704</v>
      </c>
      <c r="AK319" s="17">
        <f>IF(AJ319="","",AJ319-AH319)</f>
        <v>9</v>
      </c>
    </row>
    <row r="320" spans="1:37">
      <c r="A320" s="2" t="s">
        <v>646</v>
      </c>
      <c r="B320" s="2" t="s">
        <v>509</v>
      </c>
      <c r="C320" s="2" t="s">
        <v>510</v>
      </c>
      <c r="D320" s="2" t="s">
        <v>250</v>
      </c>
      <c r="E320" s="2" t="s">
        <v>511</v>
      </c>
      <c r="F320" s="2" t="s">
        <v>313</v>
      </c>
      <c r="G320" s="2" t="s">
        <v>566</v>
      </c>
      <c r="H320" s="2" t="s">
        <v>193</v>
      </c>
      <c r="I320" s="2" t="s">
        <v>567</v>
      </c>
      <c r="J320" s="2" t="s">
        <v>434</v>
      </c>
      <c r="K320" s="9">
        <v>45683</v>
      </c>
      <c r="L320" s="9">
        <v>45688</v>
      </c>
      <c r="M320" s="9">
        <v>45686</v>
      </c>
      <c r="N320" s="2" t="s">
        <v>125</v>
      </c>
      <c r="O320" s="2" t="s">
        <v>55</v>
      </c>
      <c r="P320" s="2" t="s">
        <v>139</v>
      </c>
      <c r="Q320" s="2" t="s">
        <v>161</v>
      </c>
      <c r="R320" s="2" t="s">
        <v>128</v>
      </c>
      <c r="S320" s="2" t="s">
        <v>436</v>
      </c>
      <c r="T320" s="10">
        <v>2532</v>
      </c>
      <c r="U320" s="11">
        <v>1.1780000000000001E-2</v>
      </c>
      <c r="V320" s="12">
        <f>T320*U320</f>
        <v>29.82696</v>
      </c>
      <c r="W320" s="13">
        <v>0.18</v>
      </c>
      <c r="X320" s="12">
        <f>V320-(V320/(1+W320))</f>
        <v>4.5498752542372856</v>
      </c>
      <c r="Y320" s="12">
        <f>V320-X320</f>
        <v>25.277084745762714</v>
      </c>
      <c r="Z320" s="14">
        <v>35</v>
      </c>
      <c r="AA320" s="2" t="str">
        <f>IF(V320&gt;Z320,"Yes","No")</f>
        <v>No</v>
      </c>
      <c r="AB320" s="12">
        <f>V320-Z320</f>
        <v>-5.1730400000000003</v>
      </c>
      <c r="AC320" s="15" t="s">
        <v>130</v>
      </c>
      <c r="AD320" s="15" t="s">
        <v>131</v>
      </c>
      <c r="AE320" s="15" t="s">
        <v>421</v>
      </c>
      <c r="AF320" s="12">
        <f>IF(AG320="Rejected",0,IF(R320="Corporate Card",0,V320))</f>
        <v>0</v>
      </c>
      <c r="AG320" s="15" t="s">
        <v>133</v>
      </c>
      <c r="AH320" s="16">
        <v>45695</v>
      </c>
      <c r="AI320" s="16">
        <v>45699</v>
      </c>
      <c r="AJ320" s="16">
        <v>45704</v>
      </c>
      <c r="AK320" s="17">
        <f>IF(AJ320="","",AJ320-AH320)</f>
        <v>9</v>
      </c>
    </row>
    <row r="321" spans="1:37">
      <c r="A321" s="2" t="s">
        <v>647</v>
      </c>
      <c r="B321" s="2" t="s">
        <v>648</v>
      </c>
      <c r="C321" s="2" t="s">
        <v>173</v>
      </c>
      <c r="D321" s="2" t="s">
        <v>171</v>
      </c>
      <c r="E321" s="2" t="s">
        <v>649</v>
      </c>
      <c r="F321" s="2" t="s">
        <v>313</v>
      </c>
      <c r="G321" s="2" t="s">
        <v>650</v>
      </c>
      <c r="H321" s="2" t="s">
        <v>193</v>
      </c>
      <c r="I321" s="2" t="s">
        <v>651</v>
      </c>
      <c r="J321" s="2" t="s">
        <v>652</v>
      </c>
      <c r="K321" s="9">
        <v>45686</v>
      </c>
      <c r="L321" s="9">
        <v>45694</v>
      </c>
      <c r="M321" s="9">
        <v>45686</v>
      </c>
      <c r="N321" s="2" t="s">
        <v>125</v>
      </c>
      <c r="O321" s="2" t="s">
        <v>52</v>
      </c>
      <c r="P321" s="2" t="s">
        <v>653</v>
      </c>
      <c r="Q321" s="2" t="s">
        <v>420</v>
      </c>
      <c r="R321" s="2" t="s">
        <v>128</v>
      </c>
      <c r="S321" s="2" t="s">
        <v>654</v>
      </c>
      <c r="T321" s="10">
        <v>1393.4</v>
      </c>
      <c r="U321" s="11">
        <v>0.72799999999999998</v>
      </c>
      <c r="V321" s="12">
        <f>T321*U321</f>
        <v>1014.3952</v>
      </c>
      <c r="W321" s="13">
        <v>0</v>
      </c>
      <c r="X321" s="12">
        <f>V321-(V321/(1+W321))</f>
        <v>0</v>
      </c>
      <c r="Y321" s="12">
        <f>V321-X321</f>
        <v>1014.3952</v>
      </c>
      <c r="Z321" s="14">
        <v>1400</v>
      </c>
      <c r="AA321" s="2" t="str">
        <f>IF(V321&gt;Z321,"Yes","No")</f>
        <v>No</v>
      </c>
      <c r="AB321" s="12">
        <f>V321-Z321</f>
        <v>-385.60479999999995</v>
      </c>
      <c r="AC321" s="15" t="s">
        <v>130</v>
      </c>
      <c r="AD321" s="15" t="s">
        <v>130</v>
      </c>
      <c r="AE321" s="15" t="s">
        <v>437</v>
      </c>
      <c r="AF321" s="12">
        <f>IF(AG321="Rejected",0,IF(R321="Corporate Card",0,V321))</f>
        <v>0</v>
      </c>
      <c r="AG321" s="15" t="s">
        <v>181</v>
      </c>
      <c r="AH321" s="16">
        <v>45700</v>
      </c>
      <c r="AI321" s="16"/>
      <c r="AJ321" s="16"/>
      <c r="AK321" s="17" t="str">
        <f>IF(AJ321="","",AJ321-AH321)</f>
        <v/>
      </c>
    </row>
    <row r="322" spans="1:37">
      <c r="A322" s="2" t="s">
        <v>655</v>
      </c>
      <c r="B322" s="2" t="s">
        <v>648</v>
      </c>
      <c r="C322" s="2" t="s">
        <v>173</v>
      </c>
      <c r="D322" s="2" t="s">
        <v>171</v>
      </c>
      <c r="E322" s="2" t="s">
        <v>649</v>
      </c>
      <c r="F322" s="2" t="s">
        <v>313</v>
      </c>
      <c r="G322" s="2" t="s">
        <v>650</v>
      </c>
      <c r="H322" s="2" t="s">
        <v>193</v>
      </c>
      <c r="I322" s="2" t="s">
        <v>651</v>
      </c>
      <c r="J322" s="2" t="s">
        <v>652</v>
      </c>
      <c r="K322" s="9">
        <v>45686</v>
      </c>
      <c r="L322" s="9">
        <v>45694</v>
      </c>
      <c r="M322" s="9">
        <v>45686</v>
      </c>
      <c r="N322" s="2" t="s">
        <v>125</v>
      </c>
      <c r="O322" s="2" t="s">
        <v>63</v>
      </c>
      <c r="P322" s="2" t="s">
        <v>200</v>
      </c>
      <c r="Q322" s="2" t="s">
        <v>484</v>
      </c>
      <c r="R322" s="2" t="s">
        <v>128</v>
      </c>
      <c r="S322" s="2" t="s">
        <v>654</v>
      </c>
      <c r="T322" s="10">
        <v>1002.98</v>
      </c>
      <c r="U322" s="11">
        <v>0.72799999999999998</v>
      </c>
      <c r="V322" s="12">
        <f>T322*U322</f>
        <v>730.16944000000001</v>
      </c>
      <c r="W322" s="13">
        <v>0</v>
      </c>
      <c r="X322" s="12">
        <f>V322-(V322/(1+W322))</f>
        <v>0</v>
      </c>
      <c r="Y322" s="12">
        <f>V322-X322</f>
        <v>730.16944000000001</v>
      </c>
      <c r="Z322" s="14">
        <v>1200</v>
      </c>
      <c r="AA322" s="2" t="str">
        <f>IF(V322&gt;Z322,"Yes","No")</f>
        <v>No</v>
      </c>
      <c r="AB322" s="12">
        <f>V322-Z322</f>
        <v>-469.83055999999999</v>
      </c>
      <c r="AC322" s="15" t="s">
        <v>130</v>
      </c>
      <c r="AD322" s="15" t="s">
        <v>130</v>
      </c>
      <c r="AE322" s="15" t="s">
        <v>437</v>
      </c>
      <c r="AF322" s="12">
        <f>IF(AG322="Rejected",0,IF(R322="Corporate Card",0,V322))</f>
        <v>0</v>
      </c>
      <c r="AG322" s="15" t="s">
        <v>181</v>
      </c>
      <c r="AH322" s="16">
        <v>45700</v>
      </c>
      <c r="AI322" s="16"/>
      <c r="AJ322" s="16"/>
      <c r="AK322" s="17" t="str">
        <f>IF(AJ322="","",AJ322-AH322)</f>
        <v/>
      </c>
    </row>
    <row r="323" spans="1:37">
      <c r="A323" s="2" t="s">
        <v>656</v>
      </c>
      <c r="B323" s="2" t="s">
        <v>648</v>
      </c>
      <c r="C323" s="2" t="s">
        <v>173</v>
      </c>
      <c r="D323" s="2" t="s">
        <v>171</v>
      </c>
      <c r="E323" s="2" t="s">
        <v>649</v>
      </c>
      <c r="F323" s="2" t="s">
        <v>313</v>
      </c>
      <c r="G323" s="2" t="s">
        <v>650</v>
      </c>
      <c r="H323" s="2" t="s">
        <v>193</v>
      </c>
      <c r="I323" s="2" t="s">
        <v>651</v>
      </c>
      <c r="J323" s="2" t="s">
        <v>652</v>
      </c>
      <c r="K323" s="9">
        <v>45686</v>
      </c>
      <c r="L323" s="9">
        <v>45694</v>
      </c>
      <c r="M323" s="9">
        <v>45686</v>
      </c>
      <c r="N323" s="2" t="s">
        <v>125</v>
      </c>
      <c r="O323" s="2" t="s">
        <v>58</v>
      </c>
      <c r="P323" s="2" t="s">
        <v>142</v>
      </c>
      <c r="Q323" s="2" t="s">
        <v>203</v>
      </c>
      <c r="R323" s="2" t="s">
        <v>149</v>
      </c>
      <c r="S323" s="2" t="s">
        <v>654</v>
      </c>
      <c r="T323" s="10">
        <v>51.69</v>
      </c>
      <c r="U323" s="11">
        <v>0.72799999999999998</v>
      </c>
      <c r="V323" s="12">
        <f>T323*U323</f>
        <v>37.630319999999998</v>
      </c>
      <c r="W323" s="13">
        <v>0.13</v>
      </c>
      <c r="X323" s="12">
        <f>V323-(V323/(1+W323))</f>
        <v>4.329151858407073</v>
      </c>
      <c r="Y323" s="12">
        <f>V323-X323</f>
        <v>33.301168141592925</v>
      </c>
      <c r="Z323" s="14">
        <v>60</v>
      </c>
      <c r="AA323" s="2" t="str">
        <f>IF(V323&gt;Z323,"Yes","No")</f>
        <v>No</v>
      </c>
      <c r="AB323" s="12">
        <f>V323-Z323</f>
        <v>-22.369680000000002</v>
      </c>
      <c r="AC323" s="15" t="s">
        <v>130</v>
      </c>
      <c r="AD323" s="15" t="s">
        <v>130</v>
      </c>
      <c r="AE323" s="15" t="s">
        <v>437</v>
      </c>
      <c r="AF323" s="12">
        <f>IF(AG323="Rejected",0,IF(R323="Corporate Card",0,V323))</f>
        <v>37.630319999999998</v>
      </c>
      <c r="AG323" s="15" t="s">
        <v>181</v>
      </c>
      <c r="AH323" s="16">
        <v>45700</v>
      </c>
      <c r="AI323" s="16"/>
      <c r="AJ323" s="16"/>
      <c r="AK323" s="17" t="str">
        <f>IF(AJ323="","",AJ323-AH323)</f>
        <v/>
      </c>
    </row>
    <row r="324" spans="1:37">
      <c r="A324" s="2" t="s">
        <v>657</v>
      </c>
      <c r="B324" s="2" t="s">
        <v>648</v>
      </c>
      <c r="C324" s="2" t="s">
        <v>173</v>
      </c>
      <c r="D324" s="2" t="s">
        <v>171</v>
      </c>
      <c r="E324" s="2" t="s">
        <v>649</v>
      </c>
      <c r="F324" s="2" t="s">
        <v>313</v>
      </c>
      <c r="G324" s="2" t="s">
        <v>650</v>
      </c>
      <c r="H324" s="2" t="s">
        <v>193</v>
      </c>
      <c r="I324" s="2" t="s">
        <v>651</v>
      </c>
      <c r="J324" s="2" t="s">
        <v>652</v>
      </c>
      <c r="K324" s="9">
        <v>45686</v>
      </c>
      <c r="L324" s="9">
        <v>45694</v>
      </c>
      <c r="M324" s="9">
        <v>45686</v>
      </c>
      <c r="N324" s="2" t="s">
        <v>125</v>
      </c>
      <c r="O324" s="2" t="s">
        <v>54</v>
      </c>
      <c r="P324" s="2" t="s">
        <v>139</v>
      </c>
      <c r="Q324" s="2" t="s">
        <v>163</v>
      </c>
      <c r="R324" s="2" t="s">
        <v>128</v>
      </c>
      <c r="S324" s="2" t="s">
        <v>654</v>
      </c>
      <c r="T324" s="10">
        <v>21.94</v>
      </c>
      <c r="U324" s="11">
        <v>0.72799999999999998</v>
      </c>
      <c r="V324" s="12">
        <f>T324*U324</f>
        <v>15.97232</v>
      </c>
      <c r="W324" s="13">
        <v>0.13</v>
      </c>
      <c r="X324" s="12">
        <f>V324-(V324/(1+W324))</f>
        <v>1.8375235398230068</v>
      </c>
      <c r="Y324" s="12">
        <f>V324-X324</f>
        <v>14.134796460176993</v>
      </c>
      <c r="Z324" s="14">
        <v>25</v>
      </c>
      <c r="AA324" s="2" t="str">
        <f>IF(V324&gt;Z324,"Yes","No")</f>
        <v>No</v>
      </c>
      <c r="AB324" s="12">
        <f>V324-Z324</f>
        <v>-9.0276800000000001</v>
      </c>
      <c r="AC324" s="15" t="s">
        <v>130</v>
      </c>
      <c r="AD324" s="15" t="s">
        <v>130</v>
      </c>
      <c r="AE324" s="15" t="s">
        <v>437</v>
      </c>
      <c r="AF324" s="12">
        <f>IF(AG324="Rejected",0,IF(R324="Corporate Card",0,V324))</f>
        <v>0</v>
      </c>
      <c r="AG324" s="15" t="s">
        <v>181</v>
      </c>
      <c r="AH324" s="16">
        <v>45700</v>
      </c>
      <c r="AI324" s="16"/>
      <c r="AJ324" s="16"/>
      <c r="AK324" s="17" t="str">
        <f>IF(AJ324="","",AJ324-AH324)</f>
        <v/>
      </c>
    </row>
    <row r="325" spans="1:37">
      <c r="A325" s="2" t="s">
        <v>658</v>
      </c>
      <c r="B325" s="2" t="s">
        <v>648</v>
      </c>
      <c r="C325" s="2" t="s">
        <v>173</v>
      </c>
      <c r="D325" s="2" t="s">
        <v>171</v>
      </c>
      <c r="E325" s="2" t="s">
        <v>649</v>
      </c>
      <c r="F325" s="2" t="s">
        <v>313</v>
      </c>
      <c r="G325" s="2" t="s">
        <v>650</v>
      </c>
      <c r="H325" s="2" t="s">
        <v>193</v>
      </c>
      <c r="I325" s="2" t="s">
        <v>651</v>
      </c>
      <c r="J325" s="2" t="s">
        <v>652</v>
      </c>
      <c r="K325" s="9">
        <v>45686</v>
      </c>
      <c r="L325" s="9">
        <v>45694</v>
      </c>
      <c r="M325" s="9">
        <v>45686</v>
      </c>
      <c r="N325" s="2" t="s">
        <v>125</v>
      </c>
      <c r="O325" s="2" t="s">
        <v>55</v>
      </c>
      <c r="P325" s="2" t="s">
        <v>139</v>
      </c>
      <c r="Q325" s="2" t="s">
        <v>217</v>
      </c>
      <c r="R325" s="2" t="s">
        <v>149</v>
      </c>
      <c r="S325" s="2" t="s">
        <v>654</v>
      </c>
      <c r="T325" s="10">
        <v>47.35</v>
      </c>
      <c r="U325" s="11">
        <v>0.72799999999999998</v>
      </c>
      <c r="V325" s="12">
        <f>T325*U325</f>
        <v>34.470799999999997</v>
      </c>
      <c r="W325" s="13">
        <v>0.13</v>
      </c>
      <c r="X325" s="12">
        <f>V325-(V325/(1+W325))</f>
        <v>3.9656672566371647</v>
      </c>
      <c r="Y325" s="12">
        <f>V325-X325</f>
        <v>30.505132743362832</v>
      </c>
      <c r="Z325" s="14">
        <v>35</v>
      </c>
      <c r="AA325" s="2" t="str">
        <f>IF(V325&gt;Z325,"Yes","No")</f>
        <v>No</v>
      </c>
      <c r="AB325" s="12">
        <f>V325-Z325</f>
        <v>-0.529200000000003</v>
      </c>
      <c r="AC325" s="15" t="s">
        <v>130</v>
      </c>
      <c r="AD325" s="15" t="s">
        <v>130</v>
      </c>
      <c r="AE325" s="15" t="s">
        <v>437</v>
      </c>
      <c r="AF325" s="12">
        <f>IF(AG325="Rejected",0,IF(R325="Corporate Card",0,V325))</f>
        <v>34.470799999999997</v>
      </c>
      <c r="AG325" s="15" t="s">
        <v>181</v>
      </c>
      <c r="AH325" s="16">
        <v>45700</v>
      </c>
      <c r="AI325" s="16"/>
      <c r="AJ325" s="16"/>
      <c r="AK325" s="17" t="str">
        <f>IF(AJ325="","",AJ325-AH325)</f>
        <v/>
      </c>
    </row>
    <row r="326" spans="1:37">
      <c r="A326" s="2" t="s">
        <v>659</v>
      </c>
      <c r="B326" s="2" t="s">
        <v>616</v>
      </c>
      <c r="C326" s="2" t="s">
        <v>252</v>
      </c>
      <c r="D326" s="2" t="s">
        <v>250</v>
      </c>
      <c r="E326" s="2" t="s">
        <v>617</v>
      </c>
      <c r="F326" s="2" t="s">
        <v>510</v>
      </c>
      <c r="G326" s="2" t="s">
        <v>618</v>
      </c>
      <c r="H326" s="2" t="s">
        <v>417</v>
      </c>
      <c r="I326" s="2" t="s">
        <v>619</v>
      </c>
      <c r="J326" s="2" t="s">
        <v>381</v>
      </c>
      <c r="K326" s="9">
        <v>45684</v>
      </c>
      <c r="L326" s="9">
        <v>45688</v>
      </c>
      <c r="M326" s="9">
        <v>45686</v>
      </c>
      <c r="N326" s="2" t="s">
        <v>125</v>
      </c>
      <c r="O326" s="2" t="s">
        <v>58</v>
      </c>
      <c r="P326" s="2" t="s">
        <v>142</v>
      </c>
      <c r="Q326" s="2" t="s">
        <v>296</v>
      </c>
      <c r="R326" s="2" t="s">
        <v>128</v>
      </c>
      <c r="S326" s="2" t="s">
        <v>383</v>
      </c>
      <c r="T326" s="10">
        <v>57.7</v>
      </c>
      <c r="U326" s="11">
        <v>1</v>
      </c>
      <c r="V326" s="12">
        <f>T326*U326</f>
        <v>57.7</v>
      </c>
      <c r="W326" s="13">
        <v>0</v>
      </c>
      <c r="X326" s="12">
        <f>V326-(V326/(1+W326))</f>
        <v>0</v>
      </c>
      <c r="Y326" s="12">
        <f>V326-X326</f>
        <v>57.7</v>
      </c>
      <c r="Z326" s="14">
        <v>60</v>
      </c>
      <c r="AA326" s="2" t="str">
        <f>IF(V326&gt;Z326,"Yes","No")</f>
        <v>No</v>
      </c>
      <c r="AB326" s="12">
        <f>V326-Z326</f>
        <v>-2.2999999999999972</v>
      </c>
      <c r="AC326" s="15" t="s">
        <v>130</v>
      </c>
      <c r="AD326" s="15" t="s">
        <v>131</v>
      </c>
      <c r="AE326" s="15" t="s">
        <v>180</v>
      </c>
      <c r="AF326" s="12">
        <f>IF(AG326="Rejected",0,IF(R326="Corporate Card",0,V326))</f>
        <v>0</v>
      </c>
      <c r="AG326" s="15" t="s">
        <v>181</v>
      </c>
      <c r="AH326" s="16">
        <v>45698</v>
      </c>
      <c r="AI326" s="16"/>
      <c r="AJ326" s="16"/>
      <c r="AK326" s="17" t="str">
        <f>IF(AJ326="","",AJ326-AH326)</f>
        <v/>
      </c>
    </row>
    <row r="327" spans="1:37">
      <c r="A327" s="2" t="s">
        <v>660</v>
      </c>
      <c r="B327" s="2" t="s">
        <v>616</v>
      </c>
      <c r="C327" s="2" t="s">
        <v>252</v>
      </c>
      <c r="D327" s="2" t="s">
        <v>250</v>
      </c>
      <c r="E327" s="2" t="s">
        <v>617</v>
      </c>
      <c r="F327" s="2" t="s">
        <v>510</v>
      </c>
      <c r="G327" s="2" t="s">
        <v>618</v>
      </c>
      <c r="H327" s="2" t="s">
        <v>417</v>
      </c>
      <c r="I327" s="2" t="s">
        <v>619</v>
      </c>
      <c r="J327" s="2" t="s">
        <v>381</v>
      </c>
      <c r="K327" s="9">
        <v>45684</v>
      </c>
      <c r="L327" s="9">
        <v>45688</v>
      </c>
      <c r="M327" s="9">
        <v>45686</v>
      </c>
      <c r="N327" s="2" t="s">
        <v>125</v>
      </c>
      <c r="O327" s="2" t="s">
        <v>54</v>
      </c>
      <c r="P327" s="2" t="s">
        <v>139</v>
      </c>
      <c r="Q327" s="2" t="s">
        <v>163</v>
      </c>
      <c r="R327" s="2" t="s">
        <v>149</v>
      </c>
      <c r="S327" s="2" t="s">
        <v>383</v>
      </c>
      <c r="T327" s="10">
        <v>26.6</v>
      </c>
      <c r="U327" s="11">
        <v>1</v>
      </c>
      <c r="V327" s="12">
        <f>T327*U327</f>
        <v>26.6</v>
      </c>
      <c r="W327" s="13">
        <v>0</v>
      </c>
      <c r="X327" s="12">
        <f>V327-(V327/(1+W327))</f>
        <v>0</v>
      </c>
      <c r="Y327" s="12">
        <f>V327-X327</f>
        <v>26.6</v>
      </c>
      <c r="Z327" s="14">
        <v>25</v>
      </c>
      <c r="AA327" s="2" t="str">
        <f>IF(V327&gt;Z327,"Yes","No")</f>
        <v>Yes</v>
      </c>
      <c r="AB327" s="12">
        <f>V327-Z327</f>
        <v>1.6000000000000014</v>
      </c>
      <c r="AC327" s="15" t="s">
        <v>130</v>
      </c>
      <c r="AD327" s="15" t="s">
        <v>131</v>
      </c>
      <c r="AE327" s="15" t="s">
        <v>180</v>
      </c>
      <c r="AF327" s="12">
        <f>IF(AG327="Rejected",0,IF(R327="Corporate Card",0,V327))</f>
        <v>26.6</v>
      </c>
      <c r="AG327" s="15" t="s">
        <v>181</v>
      </c>
      <c r="AH327" s="16">
        <v>45698</v>
      </c>
      <c r="AI327" s="16"/>
      <c r="AJ327" s="16"/>
      <c r="AK327" s="17" t="str">
        <f>IF(AJ327="","",AJ327-AH327)</f>
        <v/>
      </c>
    </row>
    <row r="328" spans="1:37">
      <c r="A328" s="2" t="s">
        <v>661</v>
      </c>
      <c r="B328" s="2" t="s">
        <v>616</v>
      </c>
      <c r="C328" s="2" t="s">
        <v>252</v>
      </c>
      <c r="D328" s="2" t="s">
        <v>250</v>
      </c>
      <c r="E328" s="2" t="s">
        <v>617</v>
      </c>
      <c r="F328" s="2" t="s">
        <v>510</v>
      </c>
      <c r="G328" s="2" t="s">
        <v>618</v>
      </c>
      <c r="H328" s="2" t="s">
        <v>417</v>
      </c>
      <c r="I328" s="2" t="s">
        <v>619</v>
      </c>
      <c r="J328" s="2" t="s">
        <v>381</v>
      </c>
      <c r="K328" s="9">
        <v>45684</v>
      </c>
      <c r="L328" s="9">
        <v>45688</v>
      </c>
      <c r="M328" s="9">
        <v>45686</v>
      </c>
      <c r="N328" s="2" t="s">
        <v>125</v>
      </c>
      <c r="O328" s="2" t="s">
        <v>55</v>
      </c>
      <c r="P328" s="2" t="s">
        <v>139</v>
      </c>
      <c r="Q328" s="2" t="s">
        <v>154</v>
      </c>
      <c r="R328" s="2" t="s">
        <v>128</v>
      </c>
      <c r="S328" s="2" t="s">
        <v>383</v>
      </c>
      <c r="T328" s="10">
        <v>34.479999999999997</v>
      </c>
      <c r="U328" s="11">
        <v>1</v>
      </c>
      <c r="V328" s="12">
        <f>T328*U328</f>
        <v>34.479999999999997</v>
      </c>
      <c r="W328" s="13">
        <v>0</v>
      </c>
      <c r="X328" s="12">
        <f>V328-(V328/(1+W328))</f>
        <v>0</v>
      </c>
      <c r="Y328" s="12">
        <f>V328-X328</f>
        <v>34.479999999999997</v>
      </c>
      <c r="Z328" s="14">
        <v>35</v>
      </c>
      <c r="AA328" s="2" t="str">
        <f>IF(V328&gt;Z328,"Yes","No")</f>
        <v>No</v>
      </c>
      <c r="AB328" s="12">
        <f>V328-Z328</f>
        <v>-0.52000000000000313</v>
      </c>
      <c r="AC328" s="15" t="s">
        <v>130</v>
      </c>
      <c r="AD328" s="15" t="s">
        <v>131</v>
      </c>
      <c r="AE328" s="15" t="s">
        <v>180</v>
      </c>
      <c r="AF328" s="12">
        <f>IF(AG328="Rejected",0,IF(R328="Corporate Card",0,V328))</f>
        <v>0</v>
      </c>
      <c r="AG328" s="15" t="s">
        <v>181</v>
      </c>
      <c r="AH328" s="16">
        <v>45698</v>
      </c>
      <c r="AI328" s="16"/>
      <c r="AJ328" s="16"/>
      <c r="AK328" s="17" t="str">
        <f>IF(AJ328="","",AJ328-AH328)</f>
        <v/>
      </c>
    </row>
    <row r="329" spans="1:37">
      <c r="A329" s="2" t="s">
        <v>662</v>
      </c>
      <c r="B329" s="2" t="s">
        <v>597</v>
      </c>
      <c r="C329" s="2" t="s">
        <v>598</v>
      </c>
      <c r="D329" s="2" t="s">
        <v>414</v>
      </c>
      <c r="E329" s="2" t="s">
        <v>599</v>
      </c>
      <c r="F329" s="2" t="s">
        <v>413</v>
      </c>
      <c r="G329" s="2" t="s">
        <v>600</v>
      </c>
      <c r="H329" s="2" t="s">
        <v>348</v>
      </c>
      <c r="I329" s="2" t="s">
        <v>601</v>
      </c>
      <c r="J329" s="2" t="s">
        <v>381</v>
      </c>
      <c r="K329" s="9">
        <v>45684</v>
      </c>
      <c r="L329" s="9">
        <v>45691</v>
      </c>
      <c r="M329" s="9">
        <v>45687</v>
      </c>
      <c r="N329" s="2" t="s">
        <v>125</v>
      </c>
      <c r="O329" s="2" t="s">
        <v>54</v>
      </c>
      <c r="P329" s="2" t="s">
        <v>139</v>
      </c>
      <c r="Q329" s="2" t="s">
        <v>148</v>
      </c>
      <c r="R329" s="2" t="s">
        <v>137</v>
      </c>
      <c r="S329" s="2" t="s">
        <v>383</v>
      </c>
      <c r="T329" s="10">
        <v>11.27</v>
      </c>
      <c r="U329" s="11">
        <v>1</v>
      </c>
      <c r="V329" s="12">
        <f>T329*U329</f>
        <v>11.27</v>
      </c>
      <c r="W329" s="13">
        <v>0</v>
      </c>
      <c r="X329" s="12">
        <f>V329-(V329/(1+W329))</f>
        <v>0</v>
      </c>
      <c r="Y329" s="12">
        <f>V329-X329</f>
        <v>11.27</v>
      </c>
      <c r="Z329" s="14">
        <v>25</v>
      </c>
      <c r="AA329" s="2" t="str">
        <f>IF(V329&gt;Z329,"Yes","No")</f>
        <v>No</v>
      </c>
      <c r="AB329" s="12">
        <f>V329-Z329</f>
        <v>-13.73</v>
      </c>
      <c r="AC329" s="15" t="s">
        <v>130</v>
      </c>
      <c r="AD329" s="15" t="s">
        <v>130</v>
      </c>
      <c r="AE329" s="15" t="s">
        <v>437</v>
      </c>
      <c r="AF329" s="12">
        <f>IF(AG329="Rejected",0,IF(R329="Corporate Card",0,V329))</f>
        <v>11.27</v>
      </c>
      <c r="AG329" s="15" t="s">
        <v>133</v>
      </c>
      <c r="AH329" s="16">
        <v>45702</v>
      </c>
      <c r="AI329" s="16">
        <v>45704</v>
      </c>
      <c r="AJ329" s="16">
        <v>45711</v>
      </c>
      <c r="AK329" s="17">
        <f>IF(AJ329="","",AJ329-AH329)</f>
        <v>9</v>
      </c>
    </row>
    <row r="330" spans="1:37">
      <c r="A330" s="2" t="s">
        <v>663</v>
      </c>
      <c r="B330" s="2" t="s">
        <v>597</v>
      </c>
      <c r="C330" s="2" t="s">
        <v>598</v>
      </c>
      <c r="D330" s="2" t="s">
        <v>414</v>
      </c>
      <c r="E330" s="2" t="s">
        <v>599</v>
      </c>
      <c r="F330" s="2" t="s">
        <v>413</v>
      </c>
      <c r="G330" s="2" t="s">
        <v>600</v>
      </c>
      <c r="H330" s="2" t="s">
        <v>348</v>
      </c>
      <c r="I330" s="2" t="s">
        <v>601</v>
      </c>
      <c r="J330" s="2" t="s">
        <v>381</v>
      </c>
      <c r="K330" s="9">
        <v>45684</v>
      </c>
      <c r="L330" s="9">
        <v>45691</v>
      </c>
      <c r="M330" s="9">
        <v>45687</v>
      </c>
      <c r="N330" s="2" t="s">
        <v>125</v>
      </c>
      <c r="O330" s="2" t="s">
        <v>56</v>
      </c>
      <c r="P330" s="2" t="s">
        <v>151</v>
      </c>
      <c r="Q330" s="2" t="s">
        <v>152</v>
      </c>
      <c r="R330" s="2" t="s">
        <v>128</v>
      </c>
      <c r="S330" s="2" t="s">
        <v>383</v>
      </c>
      <c r="T330" s="10">
        <v>51.99</v>
      </c>
      <c r="U330" s="11">
        <v>1</v>
      </c>
      <c r="V330" s="12">
        <f>T330*U330</f>
        <v>51.99</v>
      </c>
      <c r="W330" s="13">
        <v>0</v>
      </c>
      <c r="X330" s="12">
        <f>V330-(V330/(1+W330))</f>
        <v>0</v>
      </c>
      <c r="Y330" s="12">
        <f>V330-X330</f>
        <v>51.99</v>
      </c>
      <c r="Z330" s="14">
        <v>75</v>
      </c>
      <c r="AA330" s="2" t="str">
        <f>IF(V330&gt;Z330,"Yes","No")</f>
        <v>No</v>
      </c>
      <c r="AB330" s="12">
        <f>V330-Z330</f>
        <v>-23.009999999999998</v>
      </c>
      <c r="AC330" s="15" t="s">
        <v>130</v>
      </c>
      <c r="AD330" s="15" t="s">
        <v>130</v>
      </c>
      <c r="AE330" s="15" t="s">
        <v>437</v>
      </c>
      <c r="AF330" s="12">
        <f>IF(AG330="Rejected",0,IF(R330="Corporate Card",0,V330))</f>
        <v>0</v>
      </c>
      <c r="AG330" s="15" t="s">
        <v>133</v>
      </c>
      <c r="AH330" s="16">
        <v>45702</v>
      </c>
      <c r="AI330" s="16">
        <v>45704</v>
      </c>
      <c r="AJ330" s="16">
        <v>45711</v>
      </c>
      <c r="AK330" s="17">
        <f>IF(AJ330="","",AJ330-AH330)</f>
        <v>9</v>
      </c>
    </row>
    <row r="331" spans="1:37">
      <c r="A331" s="2" t="s">
        <v>664</v>
      </c>
      <c r="B331" s="2" t="s">
        <v>597</v>
      </c>
      <c r="C331" s="2" t="s">
        <v>598</v>
      </c>
      <c r="D331" s="2" t="s">
        <v>414</v>
      </c>
      <c r="E331" s="2" t="s">
        <v>599</v>
      </c>
      <c r="F331" s="2" t="s">
        <v>413</v>
      </c>
      <c r="G331" s="2" t="s">
        <v>600</v>
      </c>
      <c r="H331" s="2" t="s">
        <v>348</v>
      </c>
      <c r="I331" s="2" t="s">
        <v>601</v>
      </c>
      <c r="J331" s="2" t="s">
        <v>381</v>
      </c>
      <c r="K331" s="9">
        <v>45684</v>
      </c>
      <c r="L331" s="9">
        <v>45691</v>
      </c>
      <c r="M331" s="9">
        <v>45687</v>
      </c>
      <c r="N331" s="2" t="s">
        <v>125</v>
      </c>
      <c r="O331" s="2" t="s">
        <v>55</v>
      </c>
      <c r="P331" s="2" t="s">
        <v>139</v>
      </c>
      <c r="Q331" s="2" t="s">
        <v>154</v>
      </c>
      <c r="R331" s="2" t="s">
        <v>137</v>
      </c>
      <c r="S331" s="2" t="s">
        <v>383</v>
      </c>
      <c r="T331" s="10">
        <v>27.38</v>
      </c>
      <c r="U331" s="11">
        <v>1</v>
      </c>
      <c r="V331" s="12">
        <f>T331*U331</f>
        <v>27.38</v>
      </c>
      <c r="W331" s="13">
        <v>0</v>
      </c>
      <c r="X331" s="12">
        <f>V331-(V331/(1+W331))</f>
        <v>0</v>
      </c>
      <c r="Y331" s="12">
        <f>V331-X331</f>
        <v>27.38</v>
      </c>
      <c r="Z331" s="14">
        <v>35</v>
      </c>
      <c r="AA331" s="2" t="str">
        <f>IF(V331&gt;Z331,"Yes","No")</f>
        <v>No</v>
      </c>
      <c r="AB331" s="12">
        <f>V331-Z331</f>
        <v>-7.620000000000001</v>
      </c>
      <c r="AC331" s="15" t="s">
        <v>130</v>
      </c>
      <c r="AD331" s="15" t="s">
        <v>130</v>
      </c>
      <c r="AE331" s="15" t="s">
        <v>437</v>
      </c>
      <c r="AF331" s="12">
        <f>IF(AG331="Rejected",0,IF(R331="Corporate Card",0,V331))</f>
        <v>27.38</v>
      </c>
      <c r="AG331" s="15" t="s">
        <v>133</v>
      </c>
      <c r="AH331" s="16">
        <v>45702</v>
      </c>
      <c r="AI331" s="16">
        <v>45704</v>
      </c>
      <c r="AJ331" s="16">
        <v>45711</v>
      </c>
      <c r="AK331" s="17">
        <f>IF(AJ331="","",AJ331-AH331)</f>
        <v>9</v>
      </c>
    </row>
    <row r="332" spans="1:37">
      <c r="A332" s="2" t="s">
        <v>665</v>
      </c>
      <c r="B332" s="2" t="s">
        <v>509</v>
      </c>
      <c r="C332" s="2" t="s">
        <v>510</v>
      </c>
      <c r="D332" s="2" t="s">
        <v>250</v>
      </c>
      <c r="E332" s="2" t="s">
        <v>511</v>
      </c>
      <c r="F332" s="2" t="s">
        <v>313</v>
      </c>
      <c r="G332" s="2" t="s">
        <v>566</v>
      </c>
      <c r="H332" s="2" t="s">
        <v>193</v>
      </c>
      <c r="I332" s="2" t="s">
        <v>567</v>
      </c>
      <c r="J332" s="2" t="s">
        <v>434</v>
      </c>
      <c r="K332" s="9">
        <v>45683</v>
      </c>
      <c r="L332" s="9">
        <v>45688</v>
      </c>
      <c r="M332" s="9">
        <v>45687</v>
      </c>
      <c r="N332" s="2" t="s">
        <v>125</v>
      </c>
      <c r="O332" s="2" t="s">
        <v>54</v>
      </c>
      <c r="P332" s="2" t="s">
        <v>139</v>
      </c>
      <c r="Q332" s="2" t="s">
        <v>214</v>
      </c>
      <c r="R332" s="2" t="s">
        <v>128</v>
      </c>
      <c r="S332" s="2" t="s">
        <v>436</v>
      </c>
      <c r="T332" s="10">
        <v>1200</v>
      </c>
      <c r="U332" s="11">
        <v>1.1780000000000001E-2</v>
      </c>
      <c r="V332" s="12">
        <f>T332*U332</f>
        <v>14.136000000000001</v>
      </c>
      <c r="W332" s="13">
        <v>0.18</v>
      </c>
      <c r="X332" s="12">
        <f>V332-(V332/(1+W332))</f>
        <v>2.1563389830508477</v>
      </c>
      <c r="Y332" s="12">
        <f>V332-X332</f>
        <v>11.979661016949153</v>
      </c>
      <c r="Z332" s="14">
        <v>25</v>
      </c>
      <c r="AA332" s="2" t="str">
        <f>IF(V332&gt;Z332,"Yes","No")</f>
        <v>No</v>
      </c>
      <c r="AB332" s="12">
        <f>V332-Z332</f>
        <v>-10.863999999999999</v>
      </c>
      <c r="AC332" s="15" t="s">
        <v>130</v>
      </c>
      <c r="AD332" s="15" t="s">
        <v>131</v>
      </c>
      <c r="AE332" s="15" t="s">
        <v>421</v>
      </c>
      <c r="AF332" s="12">
        <f>IF(AG332="Rejected",0,IF(R332="Corporate Card",0,V332))</f>
        <v>0</v>
      </c>
      <c r="AG332" s="15" t="s">
        <v>133</v>
      </c>
      <c r="AH332" s="16">
        <v>45695</v>
      </c>
      <c r="AI332" s="16">
        <v>45699</v>
      </c>
      <c r="AJ332" s="16">
        <v>45704</v>
      </c>
      <c r="AK332" s="17">
        <f>IF(AJ332="","",AJ332-AH332)</f>
        <v>9</v>
      </c>
    </row>
    <row r="333" spans="1:37">
      <c r="A333" s="2" t="s">
        <v>666</v>
      </c>
      <c r="B333" s="2" t="s">
        <v>509</v>
      </c>
      <c r="C333" s="2" t="s">
        <v>510</v>
      </c>
      <c r="D333" s="2" t="s">
        <v>250</v>
      </c>
      <c r="E333" s="2" t="s">
        <v>511</v>
      </c>
      <c r="F333" s="2" t="s">
        <v>313</v>
      </c>
      <c r="G333" s="2" t="s">
        <v>566</v>
      </c>
      <c r="H333" s="2" t="s">
        <v>193</v>
      </c>
      <c r="I333" s="2" t="s">
        <v>567</v>
      </c>
      <c r="J333" s="2" t="s">
        <v>434</v>
      </c>
      <c r="K333" s="9">
        <v>45683</v>
      </c>
      <c r="L333" s="9">
        <v>45688</v>
      </c>
      <c r="M333" s="9">
        <v>45687</v>
      </c>
      <c r="N333" s="2" t="s">
        <v>125</v>
      </c>
      <c r="O333" s="2" t="s">
        <v>56</v>
      </c>
      <c r="P333" s="2" t="s">
        <v>165</v>
      </c>
      <c r="Q333" s="2" t="s">
        <v>185</v>
      </c>
      <c r="R333" s="2" t="s">
        <v>137</v>
      </c>
      <c r="S333" s="2" t="s">
        <v>436</v>
      </c>
      <c r="T333" s="10">
        <v>4231</v>
      </c>
      <c r="U333" s="11">
        <v>1.1780000000000001E-2</v>
      </c>
      <c r="V333" s="12">
        <f>T333*U333</f>
        <v>49.841180000000001</v>
      </c>
      <c r="W333" s="13">
        <v>0.18</v>
      </c>
      <c r="X333" s="12">
        <f>V333-(V333/(1+W333))</f>
        <v>7.6028918644067787</v>
      </c>
      <c r="Y333" s="12">
        <f>V333-X333</f>
        <v>42.238288135593223</v>
      </c>
      <c r="Z333" s="14">
        <v>75</v>
      </c>
      <c r="AA333" s="2" t="str">
        <f>IF(V333&gt;Z333,"Yes","No")</f>
        <v>No</v>
      </c>
      <c r="AB333" s="12">
        <f>V333-Z333</f>
        <v>-25.158819999999999</v>
      </c>
      <c r="AC333" s="15" t="s">
        <v>130</v>
      </c>
      <c r="AD333" s="15" t="s">
        <v>131</v>
      </c>
      <c r="AE333" s="15" t="s">
        <v>421</v>
      </c>
      <c r="AF333" s="12">
        <f>IF(AG333="Rejected",0,IF(R333="Corporate Card",0,V333))</f>
        <v>49.841180000000001</v>
      </c>
      <c r="AG333" s="15" t="s">
        <v>133</v>
      </c>
      <c r="AH333" s="16">
        <v>45695</v>
      </c>
      <c r="AI333" s="16">
        <v>45699</v>
      </c>
      <c r="AJ333" s="16">
        <v>45704</v>
      </c>
      <c r="AK333" s="17">
        <f>IF(AJ333="","",AJ333-AH333)</f>
        <v>9</v>
      </c>
    </row>
    <row r="334" spans="1:37">
      <c r="A334" s="2" t="s">
        <v>667</v>
      </c>
      <c r="B334" s="2" t="s">
        <v>648</v>
      </c>
      <c r="C334" s="2" t="s">
        <v>173</v>
      </c>
      <c r="D334" s="2" t="s">
        <v>171</v>
      </c>
      <c r="E334" s="2" t="s">
        <v>649</v>
      </c>
      <c r="F334" s="2" t="s">
        <v>313</v>
      </c>
      <c r="G334" s="2" t="s">
        <v>650</v>
      </c>
      <c r="H334" s="2" t="s">
        <v>193</v>
      </c>
      <c r="I334" s="2" t="s">
        <v>651</v>
      </c>
      <c r="J334" s="2" t="s">
        <v>652</v>
      </c>
      <c r="K334" s="9">
        <v>45686</v>
      </c>
      <c r="L334" s="9">
        <v>45694</v>
      </c>
      <c r="M334" s="9">
        <v>45687</v>
      </c>
      <c r="N334" s="2" t="s">
        <v>125</v>
      </c>
      <c r="O334" s="2" t="s">
        <v>58</v>
      </c>
      <c r="P334" s="2" t="s">
        <v>142</v>
      </c>
      <c r="Q334" s="2" t="s">
        <v>224</v>
      </c>
      <c r="R334" s="2" t="s">
        <v>149</v>
      </c>
      <c r="S334" s="2" t="s">
        <v>654</v>
      </c>
      <c r="T334" s="10">
        <v>64.989999999999995</v>
      </c>
      <c r="U334" s="11">
        <v>0.72799999999999998</v>
      </c>
      <c r="V334" s="12">
        <f>T334*U334</f>
        <v>47.312719999999992</v>
      </c>
      <c r="W334" s="13">
        <v>0.13</v>
      </c>
      <c r="X334" s="12">
        <f>V334-(V334/(1+W334))</f>
        <v>5.4430562831858325</v>
      </c>
      <c r="Y334" s="12">
        <f>V334-X334</f>
        <v>41.869663716814159</v>
      </c>
      <c r="Z334" s="14">
        <v>60</v>
      </c>
      <c r="AA334" s="2" t="str">
        <f>IF(V334&gt;Z334,"Yes","No")</f>
        <v>No</v>
      </c>
      <c r="AB334" s="12">
        <f>V334-Z334</f>
        <v>-12.687280000000008</v>
      </c>
      <c r="AC334" s="15" t="s">
        <v>130</v>
      </c>
      <c r="AD334" s="15" t="s">
        <v>130</v>
      </c>
      <c r="AE334" s="15" t="s">
        <v>437</v>
      </c>
      <c r="AF334" s="12">
        <f>IF(AG334="Rejected",0,IF(R334="Corporate Card",0,V334))</f>
        <v>47.312719999999992</v>
      </c>
      <c r="AG334" s="15" t="s">
        <v>181</v>
      </c>
      <c r="AH334" s="16">
        <v>45700</v>
      </c>
      <c r="AI334" s="16"/>
      <c r="AJ334" s="16"/>
      <c r="AK334" s="17" t="str">
        <f>IF(AJ334="","",AJ334-AH334)</f>
        <v/>
      </c>
    </row>
    <row r="335" spans="1:37">
      <c r="A335" s="2" t="s">
        <v>668</v>
      </c>
      <c r="B335" s="2" t="s">
        <v>648</v>
      </c>
      <c r="C335" s="2" t="s">
        <v>173</v>
      </c>
      <c r="D335" s="2" t="s">
        <v>171</v>
      </c>
      <c r="E335" s="2" t="s">
        <v>649</v>
      </c>
      <c r="F335" s="2" t="s">
        <v>313</v>
      </c>
      <c r="G335" s="2" t="s">
        <v>650</v>
      </c>
      <c r="H335" s="2" t="s">
        <v>193</v>
      </c>
      <c r="I335" s="2" t="s">
        <v>651</v>
      </c>
      <c r="J335" s="2" t="s">
        <v>652</v>
      </c>
      <c r="K335" s="9">
        <v>45686</v>
      </c>
      <c r="L335" s="9">
        <v>45694</v>
      </c>
      <c r="M335" s="9">
        <v>45687</v>
      </c>
      <c r="N335" s="2" t="s">
        <v>125</v>
      </c>
      <c r="O335" s="2" t="s">
        <v>53</v>
      </c>
      <c r="P335" s="2" t="s">
        <v>669</v>
      </c>
      <c r="Q335" s="2" t="s">
        <v>468</v>
      </c>
      <c r="R335" s="2" t="s">
        <v>128</v>
      </c>
      <c r="S335" s="2" t="s">
        <v>654</v>
      </c>
      <c r="T335" s="10">
        <v>1544.19</v>
      </c>
      <c r="U335" s="11">
        <v>0.72799999999999998</v>
      </c>
      <c r="V335" s="12">
        <f>T335*U335</f>
        <v>1124.1703199999999</v>
      </c>
      <c r="W335" s="13">
        <v>0.13</v>
      </c>
      <c r="X335" s="12">
        <f>V335-(V335/(1+W335))</f>
        <v>129.32932884955744</v>
      </c>
      <c r="Y335" s="12">
        <f>V335-X335</f>
        <v>994.84099115044251</v>
      </c>
      <c r="Z335" s="14">
        <v>2240</v>
      </c>
      <c r="AA335" s="2" t="str">
        <f>IF(V335&gt;Z335,"Yes","No")</f>
        <v>No</v>
      </c>
      <c r="AB335" s="12">
        <f>V335-Z335</f>
        <v>-1115.8296800000001</v>
      </c>
      <c r="AC335" s="15" t="s">
        <v>130</v>
      </c>
      <c r="AD335" s="15" t="s">
        <v>130</v>
      </c>
      <c r="AE335" s="15" t="s">
        <v>437</v>
      </c>
      <c r="AF335" s="12">
        <f>IF(AG335="Rejected",0,IF(R335="Corporate Card",0,V335))</f>
        <v>0</v>
      </c>
      <c r="AG335" s="15" t="s">
        <v>181</v>
      </c>
      <c r="AH335" s="16">
        <v>45700</v>
      </c>
      <c r="AI335" s="16"/>
      <c r="AJ335" s="16"/>
      <c r="AK335" s="17" t="str">
        <f>IF(AJ335="","",AJ335-AH335)</f>
        <v/>
      </c>
    </row>
    <row r="336" spans="1:37">
      <c r="A336" s="2" t="s">
        <v>670</v>
      </c>
      <c r="B336" s="2" t="s">
        <v>648</v>
      </c>
      <c r="C336" s="2" t="s">
        <v>173</v>
      </c>
      <c r="D336" s="2" t="s">
        <v>171</v>
      </c>
      <c r="E336" s="2" t="s">
        <v>649</v>
      </c>
      <c r="F336" s="2" t="s">
        <v>313</v>
      </c>
      <c r="G336" s="2" t="s">
        <v>650</v>
      </c>
      <c r="H336" s="2" t="s">
        <v>193</v>
      </c>
      <c r="I336" s="2" t="s">
        <v>651</v>
      </c>
      <c r="J336" s="2" t="s">
        <v>652</v>
      </c>
      <c r="K336" s="9">
        <v>45686</v>
      </c>
      <c r="L336" s="9">
        <v>45694</v>
      </c>
      <c r="M336" s="9">
        <v>45687</v>
      </c>
      <c r="N336" s="2" t="s">
        <v>125</v>
      </c>
      <c r="O336" s="2" t="s">
        <v>65</v>
      </c>
      <c r="P336" s="2" t="s">
        <v>211</v>
      </c>
      <c r="Q336" s="2" t="s">
        <v>364</v>
      </c>
      <c r="R336" s="2" t="s">
        <v>149</v>
      </c>
      <c r="S336" s="2" t="s">
        <v>654</v>
      </c>
      <c r="T336" s="10">
        <v>74.58</v>
      </c>
      <c r="U336" s="11">
        <v>0.72799999999999998</v>
      </c>
      <c r="V336" s="12">
        <f>T336*U336</f>
        <v>54.294239999999995</v>
      </c>
      <c r="W336" s="13">
        <v>0.13</v>
      </c>
      <c r="X336" s="12">
        <f>V336-(V336/(1+W336))</f>
        <v>6.2462399999999931</v>
      </c>
      <c r="Y336" s="12">
        <f>V336-X336</f>
        <v>48.048000000000002</v>
      </c>
      <c r="Z336" s="14">
        <v>55</v>
      </c>
      <c r="AA336" s="2" t="str">
        <f>IF(V336&gt;Z336,"Yes","No")</f>
        <v>No</v>
      </c>
      <c r="AB336" s="12">
        <f>V336-Z336</f>
        <v>-0.70576000000000505</v>
      </c>
      <c r="AC336" s="15" t="s">
        <v>130</v>
      </c>
      <c r="AD336" s="15" t="s">
        <v>130</v>
      </c>
      <c r="AE336" s="15" t="s">
        <v>437</v>
      </c>
      <c r="AF336" s="12">
        <f>IF(AG336="Rejected",0,IF(R336="Corporate Card",0,V336))</f>
        <v>54.294239999999995</v>
      </c>
      <c r="AG336" s="15" t="s">
        <v>181</v>
      </c>
      <c r="AH336" s="16">
        <v>45700</v>
      </c>
      <c r="AI336" s="16"/>
      <c r="AJ336" s="16"/>
      <c r="AK336" s="17" t="str">
        <f>IF(AJ336="","",AJ336-AH336)</f>
        <v/>
      </c>
    </row>
    <row r="337" spans="1:37">
      <c r="A337" s="2" t="s">
        <v>671</v>
      </c>
      <c r="B337" s="2" t="s">
        <v>648</v>
      </c>
      <c r="C337" s="2" t="s">
        <v>173</v>
      </c>
      <c r="D337" s="2" t="s">
        <v>171</v>
      </c>
      <c r="E337" s="2" t="s">
        <v>649</v>
      </c>
      <c r="F337" s="2" t="s">
        <v>313</v>
      </c>
      <c r="G337" s="2" t="s">
        <v>650</v>
      </c>
      <c r="H337" s="2" t="s">
        <v>193</v>
      </c>
      <c r="I337" s="2" t="s">
        <v>651</v>
      </c>
      <c r="J337" s="2" t="s">
        <v>652</v>
      </c>
      <c r="K337" s="9">
        <v>45686</v>
      </c>
      <c r="L337" s="9">
        <v>45694</v>
      </c>
      <c r="M337" s="9">
        <v>45687</v>
      </c>
      <c r="N337" s="2" t="s">
        <v>125</v>
      </c>
      <c r="O337" s="2" t="s">
        <v>56</v>
      </c>
      <c r="P337" s="2" t="s">
        <v>245</v>
      </c>
      <c r="Q337" s="2" t="s">
        <v>185</v>
      </c>
      <c r="R337" s="2" t="s">
        <v>137</v>
      </c>
      <c r="S337" s="2" t="s">
        <v>654</v>
      </c>
      <c r="T337" s="10">
        <v>88.23</v>
      </c>
      <c r="U337" s="11">
        <v>0.72799999999999998</v>
      </c>
      <c r="V337" s="12">
        <f>T337*U337</f>
        <v>64.231440000000006</v>
      </c>
      <c r="W337" s="13">
        <v>0.13</v>
      </c>
      <c r="X337" s="12">
        <f>V337-(V337/(1+W337))</f>
        <v>7.3894576991150416</v>
      </c>
      <c r="Y337" s="12">
        <f>V337-X337</f>
        <v>56.841982300884965</v>
      </c>
      <c r="Z337" s="14">
        <v>75</v>
      </c>
      <c r="AA337" s="2" t="str">
        <f>IF(V337&gt;Z337,"Yes","No")</f>
        <v>No</v>
      </c>
      <c r="AB337" s="12">
        <f>V337-Z337</f>
        <v>-10.768559999999994</v>
      </c>
      <c r="AC337" s="15" t="s">
        <v>130</v>
      </c>
      <c r="AD337" s="15" t="s">
        <v>130</v>
      </c>
      <c r="AE337" s="15" t="s">
        <v>437</v>
      </c>
      <c r="AF337" s="12">
        <f>IF(AG337="Rejected",0,IF(R337="Corporate Card",0,V337))</f>
        <v>64.231440000000006</v>
      </c>
      <c r="AG337" s="15" t="s">
        <v>181</v>
      </c>
      <c r="AH337" s="16">
        <v>45700</v>
      </c>
      <c r="AI337" s="16"/>
      <c r="AJ337" s="16"/>
      <c r="AK337" s="17" t="str">
        <f>IF(AJ337="","",AJ337-AH337)</f>
        <v/>
      </c>
    </row>
    <row r="338" spans="1:37">
      <c r="A338" s="2" t="s">
        <v>672</v>
      </c>
      <c r="B338" s="2" t="s">
        <v>616</v>
      </c>
      <c r="C338" s="2" t="s">
        <v>252</v>
      </c>
      <c r="D338" s="2" t="s">
        <v>250</v>
      </c>
      <c r="E338" s="2" t="s">
        <v>617</v>
      </c>
      <c r="F338" s="2" t="s">
        <v>510</v>
      </c>
      <c r="G338" s="2" t="s">
        <v>618</v>
      </c>
      <c r="H338" s="2" t="s">
        <v>417</v>
      </c>
      <c r="I338" s="2" t="s">
        <v>619</v>
      </c>
      <c r="J338" s="2" t="s">
        <v>381</v>
      </c>
      <c r="K338" s="9">
        <v>45684</v>
      </c>
      <c r="L338" s="9">
        <v>45688</v>
      </c>
      <c r="M338" s="9">
        <v>45687</v>
      </c>
      <c r="N338" s="2" t="s">
        <v>125</v>
      </c>
      <c r="O338" s="2" t="s">
        <v>67</v>
      </c>
      <c r="P338" s="2" t="s">
        <v>401</v>
      </c>
      <c r="Q338" s="2" t="s">
        <v>574</v>
      </c>
      <c r="R338" s="2" t="s">
        <v>137</v>
      </c>
      <c r="S338" s="2" t="s">
        <v>383</v>
      </c>
      <c r="T338" s="10">
        <v>41.14</v>
      </c>
      <c r="U338" s="11">
        <v>1</v>
      </c>
      <c r="V338" s="12">
        <f>T338*U338</f>
        <v>41.14</v>
      </c>
      <c r="W338" s="13">
        <v>0</v>
      </c>
      <c r="X338" s="12">
        <f>V338-(V338/(1+W338))</f>
        <v>0</v>
      </c>
      <c r="Y338" s="12">
        <f>V338-X338</f>
        <v>41.14</v>
      </c>
      <c r="Z338" s="14">
        <v>100</v>
      </c>
      <c r="AA338" s="2" t="str">
        <f>IF(V338&gt;Z338,"Yes","No")</f>
        <v>No</v>
      </c>
      <c r="AB338" s="12">
        <f>V338-Z338</f>
        <v>-58.86</v>
      </c>
      <c r="AC338" s="15" t="s">
        <v>130</v>
      </c>
      <c r="AD338" s="15" t="s">
        <v>131</v>
      </c>
      <c r="AE338" s="15" t="s">
        <v>180</v>
      </c>
      <c r="AF338" s="12">
        <f>IF(AG338="Rejected",0,IF(R338="Corporate Card",0,V338))</f>
        <v>41.14</v>
      </c>
      <c r="AG338" s="15" t="s">
        <v>181</v>
      </c>
      <c r="AH338" s="16">
        <v>45698</v>
      </c>
      <c r="AI338" s="16"/>
      <c r="AJ338" s="16"/>
      <c r="AK338" s="17" t="str">
        <f>IF(AJ338="","",AJ338-AH338)</f>
        <v/>
      </c>
    </row>
    <row r="339" spans="1:37">
      <c r="A339" s="2" t="s">
        <v>673</v>
      </c>
      <c r="B339" s="2" t="s">
        <v>616</v>
      </c>
      <c r="C339" s="2" t="s">
        <v>252</v>
      </c>
      <c r="D339" s="2" t="s">
        <v>250</v>
      </c>
      <c r="E339" s="2" t="s">
        <v>617</v>
      </c>
      <c r="F339" s="2" t="s">
        <v>510</v>
      </c>
      <c r="G339" s="2" t="s">
        <v>618</v>
      </c>
      <c r="H339" s="2" t="s">
        <v>417</v>
      </c>
      <c r="I339" s="2" t="s">
        <v>619</v>
      </c>
      <c r="J339" s="2" t="s">
        <v>381</v>
      </c>
      <c r="K339" s="9">
        <v>45684</v>
      </c>
      <c r="L339" s="9">
        <v>45688</v>
      </c>
      <c r="M339" s="9">
        <v>45687</v>
      </c>
      <c r="N339" s="2" t="s">
        <v>125</v>
      </c>
      <c r="O339" s="2" t="s">
        <v>58</v>
      </c>
      <c r="P339" s="2" t="s">
        <v>142</v>
      </c>
      <c r="Q339" s="2" t="s">
        <v>143</v>
      </c>
      <c r="R339" s="2" t="s">
        <v>128</v>
      </c>
      <c r="S339" s="2" t="s">
        <v>383</v>
      </c>
      <c r="T339" s="10">
        <v>47.99</v>
      </c>
      <c r="U339" s="11">
        <v>1</v>
      </c>
      <c r="V339" s="12">
        <f>T339*U339</f>
        <v>47.99</v>
      </c>
      <c r="W339" s="13">
        <v>0</v>
      </c>
      <c r="X339" s="12">
        <f>V339-(V339/(1+W339))</f>
        <v>0</v>
      </c>
      <c r="Y339" s="12">
        <f>V339-X339</f>
        <v>47.99</v>
      </c>
      <c r="Z339" s="14">
        <v>60</v>
      </c>
      <c r="AA339" s="2" t="str">
        <f>IF(V339&gt;Z339,"Yes","No")</f>
        <v>No</v>
      </c>
      <c r="AB339" s="12">
        <f>V339-Z339</f>
        <v>-12.009999999999998</v>
      </c>
      <c r="AC339" s="15" t="s">
        <v>130</v>
      </c>
      <c r="AD339" s="15" t="s">
        <v>131</v>
      </c>
      <c r="AE339" s="15" t="s">
        <v>180</v>
      </c>
      <c r="AF339" s="12">
        <f>IF(AG339="Rejected",0,IF(R339="Corporate Card",0,V339))</f>
        <v>0</v>
      </c>
      <c r="AG339" s="15" t="s">
        <v>181</v>
      </c>
      <c r="AH339" s="16">
        <v>45698</v>
      </c>
      <c r="AI339" s="16"/>
      <c r="AJ339" s="16"/>
      <c r="AK339" s="17" t="str">
        <f>IF(AJ339="","",AJ339-AH339)</f>
        <v/>
      </c>
    </row>
    <row r="340" spans="1:37">
      <c r="A340" s="2" t="s">
        <v>674</v>
      </c>
      <c r="B340" s="2" t="s">
        <v>616</v>
      </c>
      <c r="C340" s="2" t="s">
        <v>252</v>
      </c>
      <c r="D340" s="2" t="s">
        <v>250</v>
      </c>
      <c r="E340" s="2" t="s">
        <v>617</v>
      </c>
      <c r="F340" s="2" t="s">
        <v>510</v>
      </c>
      <c r="G340" s="2" t="s">
        <v>618</v>
      </c>
      <c r="H340" s="2" t="s">
        <v>417</v>
      </c>
      <c r="I340" s="2" t="s">
        <v>619</v>
      </c>
      <c r="J340" s="2" t="s">
        <v>381</v>
      </c>
      <c r="K340" s="9">
        <v>45684</v>
      </c>
      <c r="L340" s="9">
        <v>45688</v>
      </c>
      <c r="M340" s="9">
        <v>45687</v>
      </c>
      <c r="N340" s="2" t="s">
        <v>125</v>
      </c>
      <c r="O340" s="2" t="s">
        <v>54</v>
      </c>
      <c r="P340" s="2" t="s">
        <v>139</v>
      </c>
      <c r="Q340" s="2" t="s">
        <v>148</v>
      </c>
      <c r="R340" s="2" t="s">
        <v>128</v>
      </c>
      <c r="S340" s="2" t="s">
        <v>383</v>
      </c>
      <c r="T340" s="10">
        <v>14.75</v>
      </c>
      <c r="U340" s="11">
        <v>1</v>
      </c>
      <c r="V340" s="12">
        <f>T340*U340</f>
        <v>14.75</v>
      </c>
      <c r="W340" s="13">
        <v>0</v>
      </c>
      <c r="X340" s="12">
        <f>V340-(V340/(1+W340))</f>
        <v>0</v>
      </c>
      <c r="Y340" s="12">
        <f>V340-X340</f>
        <v>14.75</v>
      </c>
      <c r="Z340" s="14">
        <v>25</v>
      </c>
      <c r="AA340" s="2" t="str">
        <f>IF(V340&gt;Z340,"Yes","No")</f>
        <v>No</v>
      </c>
      <c r="AB340" s="12">
        <f>V340-Z340</f>
        <v>-10.25</v>
      </c>
      <c r="AC340" s="15" t="s">
        <v>130</v>
      </c>
      <c r="AD340" s="15" t="s">
        <v>131</v>
      </c>
      <c r="AE340" s="15" t="s">
        <v>180</v>
      </c>
      <c r="AF340" s="12">
        <f>IF(AG340="Rejected",0,IF(R340="Corporate Card",0,V340))</f>
        <v>0</v>
      </c>
      <c r="AG340" s="15" t="s">
        <v>181</v>
      </c>
      <c r="AH340" s="16">
        <v>45698</v>
      </c>
      <c r="AI340" s="16"/>
      <c r="AJ340" s="16"/>
      <c r="AK340" s="17" t="str">
        <f>IF(AJ340="","",AJ340-AH340)</f>
        <v/>
      </c>
    </row>
    <row r="341" spans="1:37">
      <c r="A341" s="2" t="s">
        <v>675</v>
      </c>
      <c r="B341" s="2" t="s">
        <v>616</v>
      </c>
      <c r="C341" s="2" t="s">
        <v>252</v>
      </c>
      <c r="D341" s="2" t="s">
        <v>250</v>
      </c>
      <c r="E341" s="2" t="s">
        <v>617</v>
      </c>
      <c r="F341" s="2" t="s">
        <v>510</v>
      </c>
      <c r="G341" s="2" t="s">
        <v>618</v>
      </c>
      <c r="H341" s="2" t="s">
        <v>417</v>
      </c>
      <c r="I341" s="2" t="s">
        <v>619</v>
      </c>
      <c r="J341" s="2" t="s">
        <v>381</v>
      </c>
      <c r="K341" s="9">
        <v>45684</v>
      </c>
      <c r="L341" s="9">
        <v>45688</v>
      </c>
      <c r="M341" s="9">
        <v>45687</v>
      </c>
      <c r="N341" s="2" t="s">
        <v>125</v>
      </c>
      <c r="O341" s="2" t="s">
        <v>56</v>
      </c>
      <c r="P341" s="2" t="s">
        <v>231</v>
      </c>
      <c r="Q341" s="2" t="s">
        <v>166</v>
      </c>
      <c r="R341" s="2" t="s">
        <v>128</v>
      </c>
      <c r="S341" s="2" t="s">
        <v>383</v>
      </c>
      <c r="T341" s="10">
        <v>43.65</v>
      </c>
      <c r="U341" s="11">
        <v>1</v>
      </c>
      <c r="V341" s="12">
        <f>T341*U341</f>
        <v>43.65</v>
      </c>
      <c r="W341" s="13">
        <v>0</v>
      </c>
      <c r="X341" s="12">
        <f>V341-(V341/(1+W341))</f>
        <v>0</v>
      </c>
      <c r="Y341" s="12">
        <f>V341-X341</f>
        <v>43.65</v>
      </c>
      <c r="Z341" s="14">
        <v>75</v>
      </c>
      <c r="AA341" s="2" t="str">
        <f>IF(V341&gt;Z341,"Yes","No")</f>
        <v>No</v>
      </c>
      <c r="AB341" s="12">
        <f>V341-Z341</f>
        <v>-31.35</v>
      </c>
      <c r="AC341" s="15" t="s">
        <v>130</v>
      </c>
      <c r="AD341" s="15" t="s">
        <v>131</v>
      </c>
      <c r="AE341" s="15" t="s">
        <v>180</v>
      </c>
      <c r="AF341" s="12">
        <f>IF(AG341="Rejected",0,IF(R341="Corporate Card",0,V341))</f>
        <v>0</v>
      </c>
      <c r="AG341" s="15" t="s">
        <v>181</v>
      </c>
      <c r="AH341" s="16">
        <v>45698</v>
      </c>
      <c r="AI341" s="16"/>
      <c r="AJ341" s="16"/>
      <c r="AK341" s="17" t="str">
        <f>IF(AJ341="","",AJ341-AH341)</f>
        <v/>
      </c>
    </row>
    <row r="342" spans="1:37">
      <c r="A342" s="2" t="s">
        <v>676</v>
      </c>
      <c r="B342" s="2" t="s">
        <v>616</v>
      </c>
      <c r="C342" s="2" t="s">
        <v>252</v>
      </c>
      <c r="D342" s="2" t="s">
        <v>250</v>
      </c>
      <c r="E342" s="2" t="s">
        <v>617</v>
      </c>
      <c r="F342" s="2" t="s">
        <v>510</v>
      </c>
      <c r="G342" s="2" t="s">
        <v>618</v>
      </c>
      <c r="H342" s="2" t="s">
        <v>417</v>
      </c>
      <c r="I342" s="2" t="s">
        <v>619</v>
      </c>
      <c r="J342" s="2" t="s">
        <v>381</v>
      </c>
      <c r="K342" s="9">
        <v>45684</v>
      </c>
      <c r="L342" s="9">
        <v>45688</v>
      </c>
      <c r="M342" s="9">
        <v>45687</v>
      </c>
      <c r="N342" s="2" t="s">
        <v>125</v>
      </c>
      <c r="O342" s="2" t="s">
        <v>55</v>
      </c>
      <c r="P342" s="2" t="s">
        <v>139</v>
      </c>
      <c r="Q342" s="2" t="s">
        <v>187</v>
      </c>
      <c r="R342" s="2" t="s">
        <v>128</v>
      </c>
      <c r="S342" s="2" t="s">
        <v>383</v>
      </c>
      <c r="T342" s="10">
        <v>14.33</v>
      </c>
      <c r="U342" s="11">
        <v>1</v>
      </c>
      <c r="V342" s="12">
        <f>T342*U342</f>
        <v>14.33</v>
      </c>
      <c r="W342" s="13">
        <v>0</v>
      </c>
      <c r="X342" s="12">
        <f>V342-(V342/(1+W342))</f>
        <v>0</v>
      </c>
      <c r="Y342" s="12">
        <f>V342-X342</f>
        <v>14.33</v>
      </c>
      <c r="Z342" s="14">
        <v>35</v>
      </c>
      <c r="AA342" s="2" t="str">
        <f>IF(V342&gt;Z342,"Yes","No")</f>
        <v>No</v>
      </c>
      <c r="AB342" s="12">
        <f>V342-Z342</f>
        <v>-20.67</v>
      </c>
      <c r="AC342" s="15" t="s">
        <v>130</v>
      </c>
      <c r="AD342" s="15" t="s">
        <v>131</v>
      </c>
      <c r="AE342" s="15" t="s">
        <v>180</v>
      </c>
      <c r="AF342" s="12">
        <f>IF(AG342="Rejected",0,IF(R342="Corporate Card",0,V342))</f>
        <v>0</v>
      </c>
      <c r="AG342" s="15" t="s">
        <v>181</v>
      </c>
      <c r="AH342" s="16">
        <v>45698</v>
      </c>
      <c r="AI342" s="16"/>
      <c r="AJ342" s="16"/>
      <c r="AK342" s="17" t="str">
        <f>IF(AJ342="","",AJ342-AH342)</f>
        <v/>
      </c>
    </row>
    <row r="343" spans="1:37">
      <c r="A343" s="2" t="s">
        <v>677</v>
      </c>
      <c r="B343" s="2" t="s">
        <v>597</v>
      </c>
      <c r="C343" s="2" t="s">
        <v>598</v>
      </c>
      <c r="D343" s="2" t="s">
        <v>414</v>
      </c>
      <c r="E343" s="2" t="s">
        <v>599</v>
      </c>
      <c r="F343" s="2" t="s">
        <v>413</v>
      </c>
      <c r="G343" s="2" t="s">
        <v>600</v>
      </c>
      <c r="H343" s="2" t="s">
        <v>348</v>
      </c>
      <c r="I343" s="2" t="s">
        <v>601</v>
      </c>
      <c r="J343" s="2" t="s">
        <v>381</v>
      </c>
      <c r="K343" s="9">
        <v>45684</v>
      </c>
      <c r="L343" s="9">
        <v>45691</v>
      </c>
      <c r="M343" s="9">
        <v>45688</v>
      </c>
      <c r="N343" s="2" t="s">
        <v>125</v>
      </c>
      <c r="O343" s="2" t="s">
        <v>58</v>
      </c>
      <c r="P343" s="2" t="s">
        <v>142</v>
      </c>
      <c r="Q343" s="2" t="s">
        <v>203</v>
      </c>
      <c r="R343" s="2" t="s">
        <v>128</v>
      </c>
      <c r="S343" s="2" t="s">
        <v>383</v>
      </c>
      <c r="T343" s="10">
        <v>21.46</v>
      </c>
      <c r="U343" s="11">
        <v>1</v>
      </c>
      <c r="V343" s="12">
        <f>T343*U343</f>
        <v>21.46</v>
      </c>
      <c r="W343" s="13">
        <v>0</v>
      </c>
      <c r="X343" s="12">
        <f>V343-(V343/(1+W343))</f>
        <v>0</v>
      </c>
      <c r="Y343" s="12">
        <f>V343-X343</f>
        <v>21.46</v>
      </c>
      <c r="Z343" s="14">
        <v>60</v>
      </c>
      <c r="AA343" s="2" t="str">
        <f>IF(V343&gt;Z343,"Yes","No")</f>
        <v>No</v>
      </c>
      <c r="AB343" s="12">
        <f>V343-Z343</f>
        <v>-38.54</v>
      </c>
      <c r="AC343" s="15" t="s">
        <v>130</v>
      </c>
      <c r="AD343" s="15" t="s">
        <v>130</v>
      </c>
      <c r="AE343" s="15" t="s">
        <v>437</v>
      </c>
      <c r="AF343" s="12">
        <f>IF(AG343="Rejected",0,IF(R343="Corporate Card",0,V343))</f>
        <v>0</v>
      </c>
      <c r="AG343" s="15" t="s">
        <v>133</v>
      </c>
      <c r="AH343" s="16">
        <v>45702</v>
      </c>
      <c r="AI343" s="16">
        <v>45704</v>
      </c>
      <c r="AJ343" s="16">
        <v>45711</v>
      </c>
      <c r="AK343" s="17">
        <f>IF(AJ343="","",AJ343-AH343)</f>
        <v>9</v>
      </c>
    </row>
    <row r="344" spans="1:37">
      <c r="A344" s="2" t="s">
        <v>678</v>
      </c>
      <c r="B344" s="2" t="s">
        <v>597</v>
      </c>
      <c r="C344" s="2" t="s">
        <v>598</v>
      </c>
      <c r="D344" s="2" t="s">
        <v>414</v>
      </c>
      <c r="E344" s="2" t="s">
        <v>599</v>
      </c>
      <c r="F344" s="2" t="s">
        <v>413</v>
      </c>
      <c r="G344" s="2" t="s">
        <v>600</v>
      </c>
      <c r="H344" s="2" t="s">
        <v>348</v>
      </c>
      <c r="I344" s="2" t="s">
        <v>601</v>
      </c>
      <c r="J344" s="2" t="s">
        <v>381</v>
      </c>
      <c r="K344" s="9">
        <v>45684</v>
      </c>
      <c r="L344" s="9">
        <v>45691</v>
      </c>
      <c r="M344" s="9">
        <v>45688</v>
      </c>
      <c r="N344" s="2" t="s">
        <v>125</v>
      </c>
      <c r="O344" s="2" t="s">
        <v>56</v>
      </c>
      <c r="P344" s="2" t="s">
        <v>245</v>
      </c>
      <c r="Q344" s="2" t="s">
        <v>227</v>
      </c>
      <c r="R344" s="2" t="s">
        <v>149</v>
      </c>
      <c r="S344" s="2" t="s">
        <v>383</v>
      </c>
      <c r="T344" s="10">
        <v>60.58</v>
      </c>
      <c r="U344" s="11">
        <v>1</v>
      </c>
      <c r="V344" s="12">
        <f>T344*U344</f>
        <v>60.58</v>
      </c>
      <c r="W344" s="13">
        <v>0</v>
      </c>
      <c r="X344" s="12">
        <f>V344-(V344/(1+W344))</f>
        <v>0</v>
      </c>
      <c r="Y344" s="12">
        <f>V344-X344</f>
        <v>60.58</v>
      </c>
      <c r="Z344" s="14">
        <v>75</v>
      </c>
      <c r="AA344" s="2" t="str">
        <f>IF(V344&gt;Z344,"Yes","No")</f>
        <v>No</v>
      </c>
      <c r="AB344" s="12">
        <f>V344-Z344</f>
        <v>-14.420000000000002</v>
      </c>
      <c r="AC344" s="15" t="s">
        <v>130</v>
      </c>
      <c r="AD344" s="15" t="s">
        <v>130</v>
      </c>
      <c r="AE344" s="15" t="s">
        <v>437</v>
      </c>
      <c r="AF344" s="12">
        <f>IF(AG344="Rejected",0,IF(R344="Corporate Card",0,V344))</f>
        <v>60.58</v>
      </c>
      <c r="AG344" s="15" t="s">
        <v>133</v>
      </c>
      <c r="AH344" s="16">
        <v>45702</v>
      </c>
      <c r="AI344" s="16">
        <v>45704</v>
      </c>
      <c r="AJ344" s="16">
        <v>45711</v>
      </c>
      <c r="AK344" s="17">
        <f>IF(AJ344="","",AJ344-AH344)</f>
        <v>9</v>
      </c>
    </row>
    <row r="345" spans="1:37">
      <c r="A345" s="2" t="s">
        <v>679</v>
      </c>
      <c r="B345" s="2" t="s">
        <v>597</v>
      </c>
      <c r="C345" s="2" t="s">
        <v>598</v>
      </c>
      <c r="D345" s="2" t="s">
        <v>414</v>
      </c>
      <c r="E345" s="2" t="s">
        <v>599</v>
      </c>
      <c r="F345" s="2" t="s">
        <v>413</v>
      </c>
      <c r="G345" s="2" t="s">
        <v>600</v>
      </c>
      <c r="H345" s="2" t="s">
        <v>348</v>
      </c>
      <c r="I345" s="2" t="s">
        <v>601</v>
      </c>
      <c r="J345" s="2" t="s">
        <v>381</v>
      </c>
      <c r="K345" s="9">
        <v>45684</v>
      </c>
      <c r="L345" s="9">
        <v>45691</v>
      </c>
      <c r="M345" s="9">
        <v>45688</v>
      </c>
      <c r="N345" s="2" t="s">
        <v>125</v>
      </c>
      <c r="O345" s="2" t="s">
        <v>55</v>
      </c>
      <c r="P345" s="2" t="s">
        <v>139</v>
      </c>
      <c r="Q345" s="2" t="s">
        <v>154</v>
      </c>
      <c r="R345" s="2" t="s">
        <v>137</v>
      </c>
      <c r="S345" s="2" t="s">
        <v>383</v>
      </c>
      <c r="T345" s="10">
        <v>30.35</v>
      </c>
      <c r="U345" s="11">
        <v>1</v>
      </c>
      <c r="V345" s="12">
        <f>T345*U345</f>
        <v>30.35</v>
      </c>
      <c r="W345" s="13">
        <v>0</v>
      </c>
      <c r="X345" s="12">
        <f>V345-(V345/(1+W345))</f>
        <v>0</v>
      </c>
      <c r="Y345" s="12">
        <f>V345-X345</f>
        <v>30.35</v>
      </c>
      <c r="Z345" s="14">
        <v>35</v>
      </c>
      <c r="AA345" s="2" t="str">
        <f>IF(V345&gt;Z345,"Yes","No")</f>
        <v>No</v>
      </c>
      <c r="AB345" s="12">
        <f>V345-Z345</f>
        <v>-4.6499999999999986</v>
      </c>
      <c r="AC345" s="15" t="s">
        <v>130</v>
      </c>
      <c r="AD345" s="15" t="s">
        <v>130</v>
      </c>
      <c r="AE345" s="15" t="s">
        <v>437</v>
      </c>
      <c r="AF345" s="12">
        <f>IF(AG345="Rejected",0,IF(R345="Corporate Card",0,V345))</f>
        <v>30.35</v>
      </c>
      <c r="AG345" s="15" t="s">
        <v>133</v>
      </c>
      <c r="AH345" s="16">
        <v>45702</v>
      </c>
      <c r="AI345" s="16">
        <v>45704</v>
      </c>
      <c r="AJ345" s="16">
        <v>45711</v>
      </c>
      <c r="AK345" s="17">
        <f>IF(AJ345="","",AJ345-AH345)</f>
        <v>9</v>
      </c>
    </row>
    <row r="346" spans="1:37">
      <c r="A346" s="2" t="s">
        <v>680</v>
      </c>
      <c r="B346" s="2" t="s">
        <v>509</v>
      </c>
      <c r="C346" s="2" t="s">
        <v>510</v>
      </c>
      <c r="D346" s="2" t="s">
        <v>250</v>
      </c>
      <c r="E346" s="2" t="s">
        <v>511</v>
      </c>
      <c r="F346" s="2" t="s">
        <v>313</v>
      </c>
      <c r="G346" s="2" t="s">
        <v>566</v>
      </c>
      <c r="H346" s="2" t="s">
        <v>193</v>
      </c>
      <c r="I346" s="2" t="s">
        <v>567</v>
      </c>
      <c r="J346" s="2" t="s">
        <v>434</v>
      </c>
      <c r="K346" s="9">
        <v>45683</v>
      </c>
      <c r="L346" s="9">
        <v>45688</v>
      </c>
      <c r="M346" s="9">
        <v>45688</v>
      </c>
      <c r="N346" s="2" t="s">
        <v>125</v>
      </c>
      <c r="O346" s="2" t="s">
        <v>58</v>
      </c>
      <c r="P346" s="2" t="s">
        <v>142</v>
      </c>
      <c r="Q346" s="2" t="s">
        <v>224</v>
      </c>
      <c r="R346" s="2" t="s">
        <v>149</v>
      </c>
      <c r="S346" s="2" t="s">
        <v>436</v>
      </c>
      <c r="T346" s="10">
        <v>4053</v>
      </c>
      <c r="U346" s="11">
        <v>1.1780000000000001E-2</v>
      </c>
      <c r="V346" s="12">
        <f>T346*U346</f>
        <v>47.744340000000001</v>
      </c>
      <c r="W346" s="13">
        <v>0.18</v>
      </c>
      <c r="X346" s="12">
        <f>V346-(V346/(1+W346))</f>
        <v>7.283034915254234</v>
      </c>
      <c r="Y346" s="12">
        <f>V346-X346</f>
        <v>40.461305084745767</v>
      </c>
      <c r="Z346" s="14">
        <v>60</v>
      </c>
      <c r="AA346" s="2" t="str">
        <f>IF(V346&gt;Z346,"Yes","No")</f>
        <v>No</v>
      </c>
      <c r="AB346" s="12">
        <f>V346-Z346</f>
        <v>-12.255659999999999</v>
      </c>
      <c r="AC346" s="15" t="s">
        <v>130</v>
      </c>
      <c r="AD346" s="15" t="s">
        <v>131</v>
      </c>
      <c r="AE346" s="15" t="s">
        <v>421</v>
      </c>
      <c r="AF346" s="12">
        <f>IF(AG346="Rejected",0,IF(R346="Corporate Card",0,V346))</f>
        <v>47.744340000000001</v>
      </c>
      <c r="AG346" s="15" t="s">
        <v>133</v>
      </c>
      <c r="AH346" s="16">
        <v>45695</v>
      </c>
      <c r="AI346" s="16">
        <v>45699</v>
      </c>
      <c r="AJ346" s="16">
        <v>45704</v>
      </c>
      <c r="AK346" s="17">
        <f>IF(AJ346="","",AJ346-AH346)</f>
        <v>9</v>
      </c>
    </row>
    <row r="347" spans="1:37">
      <c r="A347" s="2" t="s">
        <v>681</v>
      </c>
      <c r="B347" s="2" t="s">
        <v>509</v>
      </c>
      <c r="C347" s="2" t="s">
        <v>510</v>
      </c>
      <c r="D347" s="2" t="s">
        <v>250</v>
      </c>
      <c r="E347" s="2" t="s">
        <v>511</v>
      </c>
      <c r="F347" s="2" t="s">
        <v>313</v>
      </c>
      <c r="G347" s="2" t="s">
        <v>566</v>
      </c>
      <c r="H347" s="2" t="s">
        <v>193</v>
      </c>
      <c r="I347" s="2" t="s">
        <v>567</v>
      </c>
      <c r="J347" s="2" t="s">
        <v>434</v>
      </c>
      <c r="K347" s="9">
        <v>45683</v>
      </c>
      <c r="L347" s="9">
        <v>45688</v>
      </c>
      <c r="M347" s="9">
        <v>45688</v>
      </c>
      <c r="N347" s="2" t="s">
        <v>125</v>
      </c>
      <c r="O347" s="2" t="s">
        <v>54</v>
      </c>
      <c r="P347" s="2" t="s">
        <v>139</v>
      </c>
      <c r="Q347" s="2" t="s">
        <v>163</v>
      </c>
      <c r="R347" s="2" t="s">
        <v>128</v>
      </c>
      <c r="S347" s="2" t="s">
        <v>436</v>
      </c>
      <c r="T347" s="10">
        <v>895</v>
      </c>
      <c r="U347" s="11">
        <v>1.1780000000000001E-2</v>
      </c>
      <c r="V347" s="12">
        <f>T347*U347</f>
        <v>10.543100000000001</v>
      </c>
      <c r="W347" s="13">
        <v>0.18</v>
      </c>
      <c r="X347" s="12">
        <f>V347-(V347/(1+W347))</f>
        <v>1.608269491525423</v>
      </c>
      <c r="Y347" s="12">
        <f>V347-X347</f>
        <v>8.9348305084745778</v>
      </c>
      <c r="Z347" s="14">
        <v>25</v>
      </c>
      <c r="AA347" s="2" t="str">
        <f>IF(V347&gt;Z347,"Yes","No")</f>
        <v>No</v>
      </c>
      <c r="AB347" s="12">
        <f>V347-Z347</f>
        <v>-14.456899999999999</v>
      </c>
      <c r="AC347" s="15" t="s">
        <v>130</v>
      </c>
      <c r="AD347" s="15" t="s">
        <v>131</v>
      </c>
      <c r="AE347" s="15" t="s">
        <v>421</v>
      </c>
      <c r="AF347" s="12">
        <f>IF(AG347="Rejected",0,IF(R347="Corporate Card",0,V347))</f>
        <v>0</v>
      </c>
      <c r="AG347" s="15" t="s">
        <v>133</v>
      </c>
      <c r="AH347" s="16">
        <v>45695</v>
      </c>
      <c r="AI347" s="16">
        <v>45699</v>
      </c>
      <c r="AJ347" s="16">
        <v>45704</v>
      </c>
      <c r="AK347" s="17">
        <f>IF(AJ347="","",AJ347-AH347)</f>
        <v>9</v>
      </c>
    </row>
    <row r="348" spans="1:37">
      <c r="A348" s="2" t="s">
        <v>682</v>
      </c>
      <c r="B348" s="2" t="s">
        <v>509</v>
      </c>
      <c r="C348" s="2" t="s">
        <v>510</v>
      </c>
      <c r="D348" s="2" t="s">
        <v>250</v>
      </c>
      <c r="E348" s="2" t="s">
        <v>511</v>
      </c>
      <c r="F348" s="2" t="s">
        <v>313</v>
      </c>
      <c r="G348" s="2" t="s">
        <v>566</v>
      </c>
      <c r="H348" s="2" t="s">
        <v>193</v>
      </c>
      <c r="I348" s="2" t="s">
        <v>567</v>
      </c>
      <c r="J348" s="2" t="s">
        <v>434</v>
      </c>
      <c r="K348" s="9">
        <v>45683</v>
      </c>
      <c r="L348" s="9">
        <v>45688</v>
      </c>
      <c r="M348" s="9">
        <v>45688</v>
      </c>
      <c r="N348" s="2" t="s">
        <v>125</v>
      </c>
      <c r="O348" s="2" t="s">
        <v>56</v>
      </c>
      <c r="P348" s="2" t="s">
        <v>151</v>
      </c>
      <c r="Q348" s="2" t="s">
        <v>185</v>
      </c>
      <c r="R348" s="2" t="s">
        <v>137</v>
      </c>
      <c r="S348" s="2" t="s">
        <v>436</v>
      </c>
      <c r="T348" s="10">
        <v>3606</v>
      </c>
      <c r="U348" s="11">
        <v>1.1780000000000001E-2</v>
      </c>
      <c r="V348" s="12">
        <f>T348*U348</f>
        <v>42.478680000000004</v>
      </c>
      <c r="W348" s="13">
        <v>0.18</v>
      </c>
      <c r="X348" s="12">
        <f>V348-(V348/(1+W348))</f>
        <v>6.4797986440677988</v>
      </c>
      <c r="Y348" s="12">
        <f>V348-X348</f>
        <v>35.998881355932205</v>
      </c>
      <c r="Z348" s="14">
        <v>75</v>
      </c>
      <c r="AA348" s="2" t="str">
        <f>IF(V348&gt;Z348,"Yes","No")</f>
        <v>No</v>
      </c>
      <c r="AB348" s="12">
        <f>V348-Z348</f>
        <v>-32.521319999999996</v>
      </c>
      <c r="AC348" s="15" t="s">
        <v>130</v>
      </c>
      <c r="AD348" s="15" t="s">
        <v>131</v>
      </c>
      <c r="AE348" s="15" t="s">
        <v>421</v>
      </c>
      <c r="AF348" s="12">
        <f>IF(AG348="Rejected",0,IF(R348="Corporate Card",0,V348))</f>
        <v>42.478680000000004</v>
      </c>
      <c r="AG348" s="15" t="s">
        <v>133</v>
      </c>
      <c r="AH348" s="16">
        <v>45695</v>
      </c>
      <c r="AI348" s="16">
        <v>45699</v>
      </c>
      <c r="AJ348" s="16">
        <v>45704</v>
      </c>
      <c r="AK348" s="17">
        <f>IF(AJ348="","",AJ348-AH348)</f>
        <v>9</v>
      </c>
    </row>
    <row r="349" spans="1:37">
      <c r="A349" s="2" t="s">
        <v>683</v>
      </c>
      <c r="B349" s="2" t="s">
        <v>509</v>
      </c>
      <c r="C349" s="2" t="s">
        <v>510</v>
      </c>
      <c r="D349" s="2" t="s">
        <v>250</v>
      </c>
      <c r="E349" s="2" t="s">
        <v>511</v>
      </c>
      <c r="F349" s="2" t="s">
        <v>313</v>
      </c>
      <c r="G349" s="2" t="s">
        <v>566</v>
      </c>
      <c r="H349" s="2" t="s">
        <v>193</v>
      </c>
      <c r="I349" s="2" t="s">
        <v>567</v>
      </c>
      <c r="J349" s="2" t="s">
        <v>434</v>
      </c>
      <c r="K349" s="9">
        <v>45683</v>
      </c>
      <c r="L349" s="9">
        <v>45688</v>
      </c>
      <c r="M349" s="9">
        <v>45688</v>
      </c>
      <c r="N349" s="2" t="s">
        <v>125</v>
      </c>
      <c r="O349" s="2" t="s">
        <v>55</v>
      </c>
      <c r="P349" s="2" t="s">
        <v>139</v>
      </c>
      <c r="Q349" s="2" t="s">
        <v>154</v>
      </c>
      <c r="R349" s="2" t="s">
        <v>128</v>
      </c>
      <c r="S349" s="2" t="s">
        <v>436</v>
      </c>
      <c r="T349" s="10">
        <v>1475</v>
      </c>
      <c r="U349" s="11">
        <v>1.1780000000000001E-2</v>
      </c>
      <c r="V349" s="12">
        <f>T349*U349</f>
        <v>17.375500000000002</v>
      </c>
      <c r="W349" s="13">
        <v>0.18</v>
      </c>
      <c r="X349" s="12">
        <f>V349-(V349/(1+W349))</f>
        <v>2.6504999999999992</v>
      </c>
      <c r="Y349" s="12">
        <f>V349-X349</f>
        <v>14.725000000000003</v>
      </c>
      <c r="Z349" s="14">
        <v>35</v>
      </c>
      <c r="AA349" s="2" t="str">
        <f>IF(V349&gt;Z349,"Yes","No")</f>
        <v>No</v>
      </c>
      <c r="AB349" s="12">
        <f>V349-Z349</f>
        <v>-17.624499999999998</v>
      </c>
      <c r="AC349" s="15" t="s">
        <v>130</v>
      </c>
      <c r="AD349" s="15" t="s">
        <v>131</v>
      </c>
      <c r="AE349" s="15" t="s">
        <v>421</v>
      </c>
      <c r="AF349" s="12">
        <f>IF(AG349="Rejected",0,IF(R349="Corporate Card",0,V349))</f>
        <v>0</v>
      </c>
      <c r="AG349" s="15" t="s">
        <v>133</v>
      </c>
      <c r="AH349" s="16">
        <v>45695</v>
      </c>
      <c r="AI349" s="16">
        <v>45699</v>
      </c>
      <c r="AJ349" s="16">
        <v>45704</v>
      </c>
      <c r="AK349" s="17">
        <f>IF(AJ349="","",AJ349-AH349)</f>
        <v>9</v>
      </c>
    </row>
    <row r="350" spans="1:37">
      <c r="A350" s="2" t="s">
        <v>684</v>
      </c>
      <c r="B350" s="2" t="s">
        <v>648</v>
      </c>
      <c r="C350" s="2" t="s">
        <v>173</v>
      </c>
      <c r="D350" s="2" t="s">
        <v>171</v>
      </c>
      <c r="E350" s="2" t="s">
        <v>649</v>
      </c>
      <c r="F350" s="2" t="s">
        <v>313</v>
      </c>
      <c r="G350" s="2" t="s">
        <v>650</v>
      </c>
      <c r="H350" s="2" t="s">
        <v>193</v>
      </c>
      <c r="I350" s="2" t="s">
        <v>651</v>
      </c>
      <c r="J350" s="2" t="s">
        <v>652</v>
      </c>
      <c r="K350" s="9">
        <v>45686</v>
      </c>
      <c r="L350" s="9">
        <v>45694</v>
      </c>
      <c r="M350" s="9">
        <v>45688</v>
      </c>
      <c r="N350" s="2" t="s">
        <v>125</v>
      </c>
      <c r="O350" s="2" t="s">
        <v>58</v>
      </c>
      <c r="P350" s="2" t="s">
        <v>142</v>
      </c>
      <c r="Q350" s="2" t="s">
        <v>156</v>
      </c>
      <c r="R350" s="2" t="s">
        <v>128</v>
      </c>
      <c r="S350" s="2" t="s">
        <v>654</v>
      </c>
      <c r="T350" s="10">
        <v>41.79</v>
      </c>
      <c r="U350" s="11">
        <v>0.72799999999999998</v>
      </c>
      <c r="V350" s="12">
        <f>T350*U350</f>
        <v>30.423119999999997</v>
      </c>
      <c r="W350" s="13">
        <v>0.13</v>
      </c>
      <c r="X350" s="12">
        <f>V350-(V350/(1+W350))</f>
        <v>3.5000049557522104</v>
      </c>
      <c r="Y350" s="12">
        <f>V350-X350</f>
        <v>26.923115044247787</v>
      </c>
      <c r="Z350" s="14">
        <v>60</v>
      </c>
      <c r="AA350" s="2" t="str">
        <f>IF(V350&gt;Z350,"Yes","No")</f>
        <v>No</v>
      </c>
      <c r="AB350" s="12">
        <f>V350-Z350</f>
        <v>-29.576880000000003</v>
      </c>
      <c r="AC350" s="15" t="s">
        <v>130</v>
      </c>
      <c r="AD350" s="15" t="s">
        <v>130</v>
      </c>
      <c r="AE350" s="15" t="s">
        <v>437</v>
      </c>
      <c r="AF350" s="12">
        <f>IF(AG350="Rejected",0,IF(R350="Corporate Card",0,V350))</f>
        <v>0</v>
      </c>
      <c r="AG350" s="15" t="s">
        <v>181</v>
      </c>
      <c r="AH350" s="16">
        <v>45700</v>
      </c>
      <c r="AI350" s="16"/>
      <c r="AJ350" s="16"/>
      <c r="AK350" s="17" t="str">
        <f>IF(AJ350="","",AJ350-AH350)</f>
        <v/>
      </c>
    </row>
    <row r="351" spans="1:37">
      <c r="A351" s="2" t="s">
        <v>685</v>
      </c>
      <c r="B351" s="2" t="s">
        <v>648</v>
      </c>
      <c r="C351" s="2" t="s">
        <v>173</v>
      </c>
      <c r="D351" s="2" t="s">
        <v>171</v>
      </c>
      <c r="E351" s="2" t="s">
        <v>649</v>
      </c>
      <c r="F351" s="2" t="s">
        <v>313</v>
      </c>
      <c r="G351" s="2" t="s">
        <v>650</v>
      </c>
      <c r="H351" s="2" t="s">
        <v>193</v>
      </c>
      <c r="I351" s="2" t="s">
        <v>651</v>
      </c>
      <c r="J351" s="2" t="s">
        <v>652</v>
      </c>
      <c r="K351" s="9">
        <v>45686</v>
      </c>
      <c r="L351" s="9">
        <v>45694</v>
      </c>
      <c r="M351" s="9">
        <v>45688</v>
      </c>
      <c r="N351" s="2" t="s">
        <v>125</v>
      </c>
      <c r="O351" s="2" t="s">
        <v>54</v>
      </c>
      <c r="P351" s="2" t="s">
        <v>139</v>
      </c>
      <c r="Q351" s="2" t="s">
        <v>163</v>
      </c>
      <c r="R351" s="2" t="s">
        <v>128</v>
      </c>
      <c r="S351" s="2" t="s">
        <v>654</v>
      </c>
      <c r="T351" s="10">
        <v>22.97</v>
      </c>
      <c r="U351" s="11">
        <v>0.72799999999999998</v>
      </c>
      <c r="V351" s="12">
        <f>T351*U351</f>
        <v>16.722159999999999</v>
      </c>
      <c r="W351" s="13">
        <v>0.13</v>
      </c>
      <c r="X351" s="12">
        <f>V351-(V351/(1+W351))</f>
        <v>1.9237883185840694</v>
      </c>
      <c r="Y351" s="12">
        <f>V351-X351</f>
        <v>14.798371681415929</v>
      </c>
      <c r="Z351" s="14">
        <v>25</v>
      </c>
      <c r="AA351" s="2" t="str">
        <f>IF(V351&gt;Z351,"Yes","No")</f>
        <v>No</v>
      </c>
      <c r="AB351" s="12">
        <f>V351-Z351</f>
        <v>-8.2778400000000012</v>
      </c>
      <c r="AC351" s="15" t="s">
        <v>130</v>
      </c>
      <c r="AD351" s="15" t="s">
        <v>130</v>
      </c>
      <c r="AE351" s="15" t="s">
        <v>437</v>
      </c>
      <c r="AF351" s="12">
        <f>IF(AG351="Rejected",0,IF(R351="Corporate Card",0,V351))</f>
        <v>0</v>
      </c>
      <c r="AG351" s="15" t="s">
        <v>181</v>
      </c>
      <c r="AH351" s="16">
        <v>45700</v>
      </c>
      <c r="AI351" s="16"/>
      <c r="AJ351" s="16"/>
      <c r="AK351" s="17" t="str">
        <f>IF(AJ351="","",AJ351-AH351)</f>
        <v/>
      </c>
    </row>
    <row r="352" spans="1:37">
      <c r="A352" s="2" t="s">
        <v>686</v>
      </c>
      <c r="B352" s="2" t="s">
        <v>648</v>
      </c>
      <c r="C352" s="2" t="s">
        <v>173</v>
      </c>
      <c r="D352" s="2" t="s">
        <v>171</v>
      </c>
      <c r="E352" s="2" t="s">
        <v>649</v>
      </c>
      <c r="F352" s="2" t="s">
        <v>313</v>
      </c>
      <c r="G352" s="2" t="s">
        <v>650</v>
      </c>
      <c r="H352" s="2" t="s">
        <v>193</v>
      </c>
      <c r="I352" s="2" t="s">
        <v>651</v>
      </c>
      <c r="J352" s="2" t="s">
        <v>652</v>
      </c>
      <c r="K352" s="9">
        <v>45686</v>
      </c>
      <c r="L352" s="9">
        <v>45694</v>
      </c>
      <c r="M352" s="9">
        <v>45688</v>
      </c>
      <c r="N352" s="2" t="s">
        <v>125</v>
      </c>
      <c r="O352" s="2" t="s">
        <v>55</v>
      </c>
      <c r="P352" s="2" t="s">
        <v>139</v>
      </c>
      <c r="Q352" s="2" t="s">
        <v>154</v>
      </c>
      <c r="R352" s="2" t="s">
        <v>128</v>
      </c>
      <c r="S352" s="2" t="s">
        <v>654</v>
      </c>
      <c r="T352" s="10">
        <v>39.619999999999997</v>
      </c>
      <c r="U352" s="11">
        <v>0.72799999999999998</v>
      </c>
      <c r="V352" s="12">
        <f>T352*U352</f>
        <v>28.843359999999997</v>
      </c>
      <c r="W352" s="13">
        <v>0.13</v>
      </c>
      <c r="X352" s="12">
        <f>V352-(V352/(1+W352))</f>
        <v>3.3182626548672545</v>
      </c>
      <c r="Y352" s="12">
        <f>V352-X352</f>
        <v>25.525097345132743</v>
      </c>
      <c r="Z352" s="14">
        <v>35</v>
      </c>
      <c r="AA352" s="2" t="str">
        <f>IF(V352&gt;Z352,"Yes","No")</f>
        <v>No</v>
      </c>
      <c r="AB352" s="12">
        <f>V352-Z352</f>
        <v>-6.156640000000003</v>
      </c>
      <c r="AC352" s="15" t="s">
        <v>130</v>
      </c>
      <c r="AD352" s="15" t="s">
        <v>130</v>
      </c>
      <c r="AE352" s="15" t="s">
        <v>437</v>
      </c>
      <c r="AF352" s="12">
        <f>IF(AG352="Rejected",0,IF(R352="Corporate Card",0,V352))</f>
        <v>0</v>
      </c>
      <c r="AG352" s="15" t="s">
        <v>181</v>
      </c>
      <c r="AH352" s="16">
        <v>45700</v>
      </c>
      <c r="AI352" s="16"/>
      <c r="AJ352" s="16"/>
      <c r="AK352" s="17" t="str">
        <f>IF(AJ352="","",AJ352-AH352)</f>
        <v/>
      </c>
    </row>
    <row r="353" spans="1:37">
      <c r="A353" s="2" t="s">
        <v>687</v>
      </c>
      <c r="B353" s="2" t="s">
        <v>509</v>
      </c>
      <c r="C353" s="2" t="s">
        <v>510</v>
      </c>
      <c r="D353" s="2" t="s">
        <v>250</v>
      </c>
      <c r="E353" s="2" t="s">
        <v>511</v>
      </c>
      <c r="F353" s="2" t="s">
        <v>313</v>
      </c>
      <c r="G353" s="2" t="s">
        <v>688</v>
      </c>
      <c r="H353" s="2" t="s">
        <v>254</v>
      </c>
      <c r="I353" s="2" t="s">
        <v>123</v>
      </c>
      <c r="J353" s="2" t="s">
        <v>124</v>
      </c>
      <c r="K353" s="9">
        <v>45688</v>
      </c>
      <c r="L353" s="9">
        <v>45695</v>
      </c>
      <c r="M353" s="9">
        <v>45688</v>
      </c>
      <c r="N353" s="2" t="s">
        <v>125</v>
      </c>
      <c r="O353" s="2" t="s">
        <v>52</v>
      </c>
      <c r="P353" s="2" t="s">
        <v>126</v>
      </c>
      <c r="Q353" s="2" t="s">
        <v>420</v>
      </c>
      <c r="R353" s="2" t="s">
        <v>149</v>
      </c>
      <c r="S353" s="2" t="s">
        <v>129</v>
      </c>
      <c r="T353" s="10">
        <v>951.59</v>
      </c>
      <c r="U353" s="11">
        <v>1.272</v>
      </c>
      <c r="V353" s="12">
        <f>T353*U353</f>
        <v>1210.42248</v>
      </c>
      <c r="W353" s="13">
        <v>0</v>
      </c>
      <c r="X353" s="12">
        <f>V353-(V353/(1+W353))</f>
        <v>0</v>
      </c>
      <c r="Y353" s="12">
        <f>V353-X353</f>
        <v>1210.42248</v>
      </c>
      <c r="Z353" s="14">
        <v>1400</v>
      </c>
      <c r="AA353" s="2" t="str">
        <f>IF(V353&gt;Z353,"Yes","No")</f>
        <v>No</v>
      </c>
      <c r="AB353" s="12">
        <f>V353-Z353</f>
        <v>-189.57752000000005</v>
      </c>
      <c r="AC353" s="15" t="s">
        <v>130</v>
      </c>
      <c r="AD353" s="15" t="s">
        <v>130</v>
      </c>
      <c r="AE353" s="15" t="s">
        <v>180</v>
      </c>
      <c r="AF353" s="12">
        <f>IF(AG353="Rejected",0,IF(R353="Corporate Card",0,V353))</f>
        <v>1210.42248</v>
      </c>
      <c r="AG353" s="15" t="s">
        <v>133</v>
      </c>
      <c r="AH353" s="16">
        <v>45706</v>
      </c>
      <c r="AI353" s="16">
        <v>45714</v>
      </c>
      <c r="AJ353" s="16">
        <v>45720</v>
      </c>
      <c r="AK353" s="17">
        <f>IF(AJ353="","",AJ353-AH353)</f>
        <v>14</v>
      </c>
    </row>
    <row r="354" spans="1:37">
      <c r="A354" s="2" t="s">
        <v>689</v>
      </c>
      <c r="B354" s="2" t="s">
        <v>509</v>
      </c>
      <c r="C354" s="2" t="s">
        <v>510</v>
      </c>
      <c r="D354" s="2" t="s">
        <v>250</v>
      </c>
      <c r="E354" s="2" t="s">
        <v>511</v>
      </c>
      <c r="F354" s="2" t="s">
        <v>313</v>
      </c>
      <c r="G354" s="2" t="s">
        <v>688</v>
      </c>
      <c r="H354" s="2" t="s">
        <v>254</v>
      </c>
      <c r="I354" s="2" t="s">
        <v>123</v>
      </c>
      <c r="J354" s="2" t="s">
        <v>124</v>
      </c>
      <c r="K354" s="9">
        <v>45688</v>
      </c>
      <c r="L354" s="9">
        <v>45695</v>
      </c>
      <c r="M354" s="9">
        <v>45688</v>
      </c>
      <c r="N354" s="2" t="s">
        <v>125</v>
      </c>
      <c r="O354" s="2" t="s">
        <v>63</v>
      </c>
      <c r="P354" s="2" t="s">
        <v>200</v>
      </c>
      <c r="Q354" s="2" t="s">
        <v>201</v>
      </c>
      <c r="R354" s="2" t="s">
        <v>128</v>
      </c>
      <c r="S354" s="2" t="s">
        <v>129</v>
      </c>
      <c r="T354" s="10">
        <v>591.17999999999995</v>
      </c>
      <c r="U354" s="11">
        <v>1.272</v>
      </c>
      <c r="V354" s="12">
        <f>T354*U354</f>
        <v>751.98095999999998</v>
      </c>
      <c r="W354" s="13">
        <v>0</v>
      </c>
      <c r="X354" s="12">
        <f>V354-(V354/(1+W354))</f>
        <v>0</v>
      </c>
      <c r="Y354" s="12">
        <f>V354-X354</f>
        <v>751.98095999999998</v>
      </c>
      <c r="Z354" s="14">
        <v>1200</v>
      </c>
      <c r="AA354" s="2" t="str">
        <f>IF(V354&gt;Z354,"Yes","No")</f>
        <v>No</v>
      </c>
      <c r="AB354" s="12">
        <f>V354-Z354</f>
        <v>-448.01904000000002</v>
      </c>
      <c r="AC354" s="15" t="s">
        <v>130</v>
      </c>
      <c r="AD354" s="15" t="s">
        <v>130</v>
      </c>
      <c r="AE354" s="15" t="s">
        <v>180</v>
      </c>
      <c r="AF354" s="12">
        <f>IF(AG354="Rejected",0,IF(R354="Corporate Card",0,V354))</f>
        <v>0</v>
      </c>
      <c r="AG354" s="15" t="s">
        <v>133</v>
      </c>
      <c r="AH354" s="16">
        <v>45706</v>
      </c>
      <c r="AI354" s="16">
        <v>45714</v>
      </c>
      <c r="AJ354" s="16">
        <v>45720</v>
      </c>
      <c r="AK354" s="17">
        <f>IF(AJ354="","",AJ354-AH354)</f>
        <v>14</v>
      </c>
    </row>
    <row r="355" spans="1:37">
      <c r="A355" s="2" t="s">
        <v>690</v>
      </c>
      <c r="B355" s="2" t="s">
        <v>509</v>
      </c>
      <c r="C355" s="2" t="s">
        <v>510</v>
      </c>
      <c r="D355" s="2" t="s">
        <v>250</v>
      </c>
      <c r="E355" s="2" t="s">
        <v>511</v>
      </c>
      <c r="F355" s="2" t="s">
        <v>313</v>
      </c>
      <c r="G355" s="2" t="s">
        <v>688</v>
      </c>
      <c r="H355" s="2" t="s">
        <v>254</v>
      </c>
      <c r="I355" s="2" t="s">
        <v>123</v>
      </c>
      <c r="J355" s="2" t="s">
        <v>124</v>
      </c>
      <c r="K355" s="9">
        <v>45688</v>
      </c>
      <c r="L355" s="9">
        <v>45695</v>
      </c>
      <c r="M355" s="9">
        <v>45688</v>
      </c>
      <c r="N355" s="2" t="s">
        <v>125</v>
      </c>
      <c r="O355" s="2" t="s">
        <v>54</v>
      </c>
      <c r="P355" s="2" t="s">
        <v>139</v>
      </c>
      <c r="Q355" s="2" t="s">
        <v>163</v>
      </c>
      <c r="R355" s="2" t="s">
        <v>149</v>
      </c>
      <c r="S355" s="2" t="s">
        <v>129</v>
      </c>
      <c r="T355" s="10">
        <v>10.29</v>
      </c>
      <c r="U355" s="11">
        <v>1.272</v>
      </c>
      <c r="V355" s="12">
        <f>T355*U355</f>
        <v>13.08888</v>
      </c>
      <c r="W355" s="13">
        <v>0.2</v>
      </c>
      <c r="X355" s="12">
        <f>V355-(V355/(1+W355))</f>
        <v>2.1814799999999988</v>
      </c>
      <c r="Y355" s="12">
        <f>V355-X355</f>
        <v>10.907400000000001</v>
      </c>
      <c r="Z355" s="14">
        <v>25</v>
      </c>
      <c r="AA355" s="2" t="str">
        <f>IF(V355&gt;Z355,"Yes","No")</f>
        <v>No</v>
      </c>
      <c r="AB355" s="12">
        <f>V355-Z355</f>
        <v>-11.91112</v>
      </c>
      <c r="AC355" s="15" t="s">
        <v>130</v>
      </c>
      <c r="AD355" s="15" t="s">
        <v>130</v>
      </c>
      <c r="AE355" s="15" t="s">
        <v>180</v>
      </c>
      <c r="AF355" s="12">
        <f>IF(AG355="Rejected",0,IF(R355="Corporate Card",0,V355))</f>
        <v>13.08888</v>
      </c>
      <c r="AG355" s="15" t="s">
        <v>133</v>
      </c>
      <c r="AH355" s="16">
        <v>45706</v>
      </c>
      <c r="AI355" s="16">
        <v>45714</v>
      </c>
      <c r="AJ355" s="16">
        <v>45720</v>
      </c>
      <c r="AK355" s="17">
        <f>IF(AJ355="","",AJ355-AH355)</f>
        <v>14</v>
      </c>
    </row>
    <row r="356" spans="1:37">
      <c r="A356" s="2" t="s">
        <v>691</v>
      </c>
      <c r="B356" s="2" t="s">
        <v>509</v>
      </c>
      <c r="C356" s="2" t="s">
        <v>510</v>
      </c>
      <c r="D356" s="2" t="s">
        <v>250</v>
      </c>
      <c r="E356" s="2" t="s">
        <v>511</v>
      </c>
      <c r="F356" s="2" t="s">
        <v>313</v>
      </c>
      <c r="G356" s="2" t="s">
        <v>688</v>
      </c>
      <c r="H356" s="2" t="s">
        <v>254</v>
      </c>
      <c r="I356" s="2" t="s">
        <v>123</v>
      </c>
      <c r="J356" s="2" t="s">
        <v>124</v>
      </c>
      <c r="K356" s="9">
        <v>45688</v>
      </c>
      <c r="L356" s="9">
        <v>45695</v>
      </c>
      <c r="M356" s="9">
        <v>45688</v>
      </c>
      <c r="N356" s="2" t="s">
        <v>125</v>
      </c>
      <c r="O356" s="2" t="s">
        <v>56</v>
      </c>
      <c r="P356" s="2" t="s">
        <v>245</v>
      </c>
      <c r="Q356" s="2" t="s">
        <v>185</v>
      </c>
      <c r="R356" s="2" t="s">
        <v>128</v>
      </c>
      <c r="S356" s="2" t="s">
        <v>129</v>
      </c>
      <c r="T356" s="10">
        <v>57.82</v>
      </c>
      <c r="U356" s="11">
        <v>1.272</v>
      </c>
      <c r="V356" s="12">
        <f>T356*U356</f>
        <v>73.547039999999996</v>
      </c>
      <c r="W356" s="13">
        <v>0.2</v>
      </c>
      <c r="X356" s="12">
        <f>V356-(V356/(1+W356))</f>
        <v>12.257839999999995</v>
      </c>
      <c r="Y356" s="12">
        <f>V356-X356</f>
        <v>61.289200000000001</v>
      </c>
      <c r="Z356" s="14">
        <v>75</v>
      </c>
      <c r="AA356" s="2" t="str">
        <f>IF(V356&gt;Z356,"Yes","No")</f>
        <v>No</v>
      </c>
      <c r="AB356" s="12">
        <f>V356-Z356</f>
        <v>-1.4529600000000045</v>
      </c>
      <c r="AC356" s="15" t="s">
        <v>130</v>
      </c>
      <c r="AD356" s="15" t="s">
        <v>130</v>
      </c>
      <c r="AE356" s="15" t="s">
        <v>180</v>
      </c>
      <c r="AF356" s="12">
        <f>IF(AG356="Rejected",0,IF(R356="Corporate Card",0,V356))</f>
        <v>0</v>
      </c>
      <c r="AG356" s="15" t="s">
        <v>133</v>
      </c>
      <c r="AH356" s="16">
        <v>45706</v>
      </c>
      <c r="AI356" s="16">
        <v>45714</v>
      </c>
      <c r="AJ356" s="16">
        <v>45720</v>
      </c>
      <c r="AK356" s="17">
        <f>IF(AJ356="","",AJ356-AH356)</f>
        <v>14</v>
      </c>
    </row>
    <row r="357" spans="1:37">
      <c r="A357" s="2" t="s">
        <v>692</v>
      </c>
      <c r="B357" s="2" t="s">
        <v>509</v>
      </c>
      <c r="C357" s="2" t="s">
        <v>510</v>
      </c>
      <c r="D357" s="2" t="s">
        <v>250</v>
      </c>
      <c r="E357" s="2" t="s">
        <v>511</v>
      </c>
      <c r="F357" s="2" t="s">
        <v>313</v>
      </c>
      <c r="G357" s="2" t="s">
        <v>688</v>
      </c>
      <c r="H357" s="2" t="s">
        <v>254</v>
      </c>
      <c r="I357" s="2" t="s">
        <v>123</v>
      </c>
      <c r="J357" s="2" t="s">
        <v>124</v>
      </c>
      <c r="K357" s="9">
        <v>45688</v>
      </c>
      <c r="L357" s="9">
        <v>45695</v>
      </c>
      <c r="M357" s="9">
        <v>45688</v>
      </c>
      <c r="N357" s="2" t="s">
        <v>125</v>
      </c>
      <c r="O357" s="2" t="s">
        <v>55</v>
      </c>
      <c r="P357" s="2" t="s">
        <v>139</v>
      </c>
      <c r="Q357" s="2" t="s">
        <v>154</v>
      </c>
      <c r="R357" s="2" t="s">
        <v>137</v>
      </c>
      <c r="S357" s="2" t="s">
        <v>129</v>
      </c>
      <c r="T357" s="10">
        <v>16.899999999999999</v>
      </c>
      <c r="U357" s="11">
        <v>1.272</v>
      </c>
      <c r="V357" s="12">
        <f>T357*U357</f>
        <v>21.496799999999997</v>
      </c>
      <c r="W357" s="13">
        <v>0.2</v>
      </c>
      <c r="X357" s="12">
        <f>V357-(V357/(1+W357))</f>
        <v>3.5827999999999989</v>
      </c>
      <c r="Y357" s="12">
        <f>V357-X357</f>
        <v>17.913999999999998</v>
      </c>
      <c r="Z357" s="14">
        <v>35</v>
      </c>
      <c r="AA357" s="2" t="str">
        <f>IF(V357&gt;Z357,"Yes","No")</f>
        <v>No</v>
      </c>
      <c r="AB357" s="12">
        <f>V357-Z357</f>
        <v>-13.503200000000003</v>
      </c>
      <c r="AC357" s="15" t="s">
        <v>130</v>
      </c>
      <c r="AD357" s="15" t="s">
        <v>130</v>
      </c>
      <c r="AE357" s="15" t="s">
        <v>180</v>
      </c>
      <c r="AF357" s="12">
        <f>IF(AG357="Rejected",0,IF(R357="Corporate Card",0,V357))</f>
        <v>21.496799999999997</v>
      </c>
      <c r="AG357" s="15" t="s">
        <v>133</v>
      </c>
      <c r="AH357" s="16">
        <v>45706</v>
      </c>
      <c r="AI357" s="16">
        <v>45714</v>
      </c>
      <c r="AJ357" s="16">
        <v>45720</v>
      </c>
      <c r="AK357" s="17">
        <f>IF(AJ357="","",AJ357-AH357)</f>
        <v>14</v>
      </c>
    </row>
    <row r="358" spans="1:37">
      <c r="A358" s="2" t="s">
        <v>693</v>
      </c>
      <c r="B358" s="2" t="s">
        <v>616</v>
      </c>
      <c r="C358" s="2" t="s">
        <v>252</v>
      </c>
      <c r="D358" s="2" t="s">
        <v>250</v>
      </c>
      <c r="E358" s="2" t="s">
        <v>617</v>
      </c>
      <c r="F358" s="2" t="s">
        <v>510</v>
      </c>
      <c r="G358" s="2" t="s">
        <v>618</v>
      </c>
      <c r="H358" s="2" t="s">
        <v>417</v>
      </c>
      <c r="I358" s="2" t="s">
        <v>619</v>
      </c>
      <c r="J358" s="2" t="s">
        <v>381</v>
      </c>
      <c r="K358" s="9">
        <v>45684</v>
      </c>
      <c r="L358" s="9">
        <v>45688</v>
      </c>
      <c r="M358" s="9">
        <v>45688</v>
      </c>
      <c r="N358" s="2" t="s">
        <v>125</v>
      </c>
      <c r="O358" s="2" t="s">
        <v>54</v>
      </c>
      <c r="P358" s="2" t="s">
        <v>139</v>
      </c>
      <c r="Q358" s="2" t="s">
        <v>214</v>
      </c>
      <c r="R358" s="2" t="s">
        <v>128</v>
      </c>
      <c r="S358" s="2" t="s">
        <v>383</v>
      </c>
      <c r="T358" s="10">
        <v>12.28</v>
      </c>
      <c r="U358" s="11">
        <v>1</v>
      </c>
      <c r="V358" s="12">
        <f>T358*U358</f>
        <v>12.28</v>
      </c>
      <c r="W358" s="13">
        <v>0</v>
      </c>
      <c r="X358" s="12">
        <f>V358-(V358/(1+W358))</f>
        <v>0</v>
      </c>
      <c r="Y358" s="12">
        <f>V358-X358</f>
        <v>12.28</v>
      </c>
      <c r="Z358" s="14">
        <v>25</v>
      </c>
      <c r="AA358" s="2" t="str">
        <f>IF(V358&gt;Z358,"Yes","No")</f>
        <v>No</v>
      </c>
      <c r="AB358" s="12">
        <f>V358-Z358</f>
        <v>-12.72</v>
      </c>
      <c r="AC358" s="15" t="s">
        <v>130</v>
      </c>
      <c r="AD358" s="15" t="s">
        <v>131</v>
      </c>
      <c r="AE358" s="15" t="s">
        <v>180</v>
      </c>
      <c r="AF358" s="12">
        <f>IF(AG358="Rejected",0,IF(R358="Corporate Card",0,V358))</f>
        <v>0</v>
      </c>
      <c r="AG358" s="15" t="s">
        <v>181</v>
      </c>
      <c r="AH358" s="16">
        <v>45698</v>
      </c>
      <c r="AI358" s="16"/>
      <c r="AJ358" s="16"/>
      <c r="AK358" s="17" t="str">
        <f>IF(AJ358="","",AJ358-AH358)</f>
        <v/>
      </c>
    </row>
    <row r="359" spans="1:37">
      <c r="A359" s="2" t="s">
        <v>694</v>
      </c>
      <c r="B359" s="2" t="s">
        <v>616</v>
      </c>
      <c r="C359" s="2" t="s">
        <v>252</v>
      </c>
      <c r="D359" s="2" t="s">
        <v>250</v>
      </c>
      <c r="E359" s="2" t="s">
        <v>617</v>
      </c>
      <c r="F359" s="2" t="s">
        <v>510</v>
      </c>
      <c r="G359" s="2" t="s">
        <v>618</v>
      </c>
      <c r="H359" s="2" t="s">
        <v>417</v>
      </c>
      <c r="I359" s="2" t="s">
        <v>619</v>
      </c>
      <c r="J359" s="2" t="s">
        <v>381</v>
      </c>
      <c r="K359" s="9">
        <v>45684</v>
      </c>
      <c r="L359" s="9">
        <v>45688</v>
      </c>
      <c r="M359" s="9">
        <v>45688</v>
      </c>
      <c r="N359" s="2" t="s">
        <v>125</v>
      </c>
      <c r="O359" s="2" t="s">
        <v>56</v>
      </c>
      <c r="P359" s="2" t="s">
        <v>245</v>
      </c>
      <c r="Q359" s="2" t="s">
        <v>152</v>
      </c>
      <c r="R359" s="2" t="s">
        <v>128</v>
      </c>
      <c r="S359" s="2" t="s">
        <v>383</v>
      </c>
      <c r="T359" s="10">
        <v>39.76</v>
      </c>
      <c r="U359" s="11">
        <v>1</v>
      </c>
      <c r="V359" s="12">
        <f>T359*U359</f>
        <v>39.76</v>
      </c>
      <c r="W359" s="13">
        <v>0</v>
      </c>
      <c r="X359" s="12">
        <f>V359-(V359/(1+W359))</f>
        <v>0</v>
      </c>
      <c r="Y359" s="12">
        <f>V359-X359</f>
        <v>39.76</v>
      </c>
      <c r="Z359" s="14">
        <v>75</v>
      </c>
      <c r="AA359" s="2" t="str">
        <f>IF(V359&gt;Z359,"Yes","No")</f>
        <v>No</v>
      </c>
      <c r="AB359" s="12">
        <f>V359-Z359</f>
        <v>-35.24</v>
      </c>
      <c r="AC359" s="15" t="s">
        <v>131</v>
      </c>
      <c r="AD359" s="15" t="s">
        <v>131</v>
      </c>
      <c r="AE359" s="15" t="s">
        <v>180</v>
      </c>
      <c r="AF359" s="12">
        <f>IF(AG359="Rejected",0,IF(R359="Corporate Card",0,V359))</f>
        <v>0</v>
      </c>
      <c r="AG359" s="15" t="s">
        <v>181</v>
      </c>
      <c r="AH359" s="16">
        <v>45698</v>
      </c>
      <c r="AI359" s="16"/>
      <c r="AJ359" s="16"/>
      <c r="AK359" s="17" t="str">
        <f>IF(AJ359="","",AJ359-AH359)</f>
        <v/>
      </c>
    </row>
    <row r="360" spans="1:37">
      <c r="A360" s="2" t="s">
        <v>695</v>
      </c>
      <c r="B360" s="2" t="s">
        <v>597</v>
      </c>
      <c r="C360" s="2" t="s">
        <v>598</v>
      </c>
      <c r="D360" s="2" t="s">
        <v>414</v>
      </c>
      <c r="E360" s="2" t="s">
        <v>599</v>
      </c>
      <c r="F360" s="2" t="s">
        <v>413</v>
      </c>
      <c r="G360" s="2" t="s">
        <v>600</v>
      </c>
      <c r="H360" s="2" t="s">
        <v>348</v>
      </c>
      <c r="I360" s="2" t="s">
        <v>601</v>
      </c>
      <c r="J360" s="2" t="s">
        <v>381</v>
      </c>
      <c r="K360" s="9">
        <v>45684</v>
      </c>
      <c r="L360" s="9">
        <v>45691</v>
      </c>
      <c r="M360" s="9">
        <v>45689</v>
      </c>
      <c r="N360" s="2" t="s">
        <v>696</v>
      </c>
      <c r="O360" s="2" t="s">
        <v>56</v>
      </c>
      <c r="P360" s="2" t="s">
        <v>245</v>
      </c>
      <c r="Q360" s="2" t="s">
        <v>185</v>
      </c>
      <c r="R360" s="2" t="s">
        <v>128</v>
      </c>
      <c r="S360" s="2" t="s">
        <v>383</v>
      </c>
      <c r="T360" s="10">
        <v>63.14</v>
      </c>
      <c r="U360" s="11">
        <v>1</v>
      </c>
      <c r="V360" s="12">
        <f>T360*U360</f>
        <v>63.14</v>
      </c>
      <c r="W360" s="13">
        <v>0</v>
      </c>
      <c r="X360" s="12">
        <f>V360-(V360/(1+W360))</f>
        <v>0</v>
      </c>
      <c r="Y360" s="12">
        <f>V360-X360</f>
        <v>63.14</v>
      </c>
      <c r="Z360" s="14">
        <v>75</v>
      </c>
      <c r="AA360" s="2" t="str">
        <f>IF(V360&gt;Z360,"Yes","No")</f>
        <v>No</v>
      </c>
      <c r="AB360" s="12">
        <f>V360-Z360</f>
        <v>-11.86</v>
      </c>
      <c r="AC360" s="15" t="s">
        <v>130</v>
      </c>
      <c r="AD360" s="15" t="s">
        <v>130</v>
      </c>
      <c r="AE360" s="15" t="s">
        <v>437</v>
      </c>
      <c r="AF360" s="12">
        <f>IF(AG360="Rejected",0,IF(R360="Corporate Card",0,V360))</f>
        <v>0</v>
      </c>
      <c r="AG360" s="15" t="s">
        <v>133</v>
      </c>
      <c r="AH360" s="16">
        <v>45702</v>
      </c>
      <c r="AI360" s="16">
        <v>45704</v>
      </c>
      <c r="AJ360" s="16">
        <v>45711</v>
      </c>
      <c r="AK360" s="17">
        <f>IF(AJ360="","",AJ360-AH360)</f>
        <v>9</v>
      </c>
    </row>
    <row r="361" spans="1:37">
      <c r="A361" s="2" t="s">
        <v>697</v>
      </c>
      <c r="B361" s="2" t="s">
        <v>597</v>
      </c>
      <c r="C361" s="2" t="s">
        <v>598</v>
      </c>
      <c r="D361" s="2" t="s">
        <v>414</v>
      </c>
      <c r="E361" s="2" t="s">
        <v>599</v>
      </c>
      <c r="F361" s="2" t="s">
        <v>413</v>
      </c>
      <c r="G361" s="2" t="s">
        <v>600</v>
      </c>
      <c r="H361" s="2" t="s">
        <v>348</v>
      </c>
      <c r="I361" s="2" t="s">
        <v>601</v>
      </c>
      <c r="J361" s="2" t="s">
        <v>381</v>
      </c>
      <c r="K361" s="9">
        <v>45684</v>
      </c>
      <c r="L361" s="9">
        <v>45691</v>
      </c>
      <c r="M361" s="9">
        <v>45689</v>
      </c>
      <c r="N361" s="2" t="s">
        <v>696</v>
      </c>
      <c r="O361" s="2" t="s">
        <v>55</v>
      </c>
      <c r="P361" s="2" t="s">
        <v>139</v>
      </c>
      <c r="Q361" s="2" t="s">
        <v>217</v>
      </c>
      <c r="R361" s="2" t="s">
        <v>128</v>
      </c>
      <c r="S361" s="2" t="s">
        <v>383</v>
      </c>
      <c r="T361" s="10">
        <v>21.86</v>
      </c>
      <c r="U361" s="11">
        <v>1</v>
      </c>
      <c r="V361" s="12">
        <f>T361*U361</f>
        <v>21.86</v>
      </c>
      <c r="W361" s="13">
        <v>0</v>
      </c>
      <c r="X361" s="12">
        <f>V361-(V361/(1+W361))</f>
        <v>0</v>
      </c>
      <c r="Y361" s="12">
        <f>V361-X361</f>
        <v>21.86</v>
      </c>
      <c r="Z361" s="14">
        <v>35</v>
      </c>
      <c r="AA361" s="2" t="str">
        <f>IF(V361&gt;Z361,"Yes","No")</f>
        <v>No</v>
      </c>
      <c r="AB361" s="12">
        <f>V361-Z361</f>
        <v>-13.14</v>
      </c>
      <c r="AC361" s="15" t="s">
        <v>130</v>
      </c>
      <c r="AD361" s="15" t="s">
        <v>130</v>
      </c>
      <c r="AE361" s="15" t="s">
        <v>437</v>
      </c>
      <c r="AF361" s="12">
        <f>IF(AG361="Rejected",0,IF(R361="Corporate Card",0,V361))</f>
        <v>0</v>
      </c>
      <c r="AG361" s="15" t="s">
        <v>133</v>
      </c>
      <c r="AH361" s="16">
        <v>45702</v>
      </c>
      <c r="AI361" s="16">
        <v>45704</v>
      </c>
      <c r="AJ361" s="16">
        <v>45711</v>
      </c>
      <c r="AK361" s="17">
        <f>IF(AJ361="","",AJ361-AH361)</f>
        <v>9</v>
      </c>
    </row>
    <row r="362" spans="1:37">
      <c r="A362" s="2" t="s">
        <v>698</v>
      </c>
      <c r="B362" s="2" t="s">
        <v>648</v>
      </c>
      <c r="C362" s="2" t="s">
        <v>173</v>
      </c>
      <c r="D362" s="2" t="s">
        <v>171</v>
      </c>
      <c r="E362" s="2" t="s">
        <v>649</v>
      </c>
      <c r="F362" s="2" t="s">
        <v>313</v>
      </c>
      <c r="G362" s="2" t="s">
        <v>650</v>
      </c>
      <c r="H362" s="2" t="s">
        <v>193</v>
      </c>
      <c r="I362" s="2" t="s">
        <v>651</v>
      </c>
      <c r="J362" s="2" t="s">
        <v>652</v>
      </c>
      <c r="K362" s="9">
        <v>45686</v>
      </c>
      <c r="L362" s="9">
        <v>45694</v>
      </c>
      <c r="M362" s="9">
        <v>45689</v>
      </c>
      <c r="N362" s="2" t="s">
        <v>696</v>
      </c>
      <c r="O362" s="2" t="s">
        <v>68</v>
      </c>
      <c r="P362" s="2" t="s">
        <v>282</v>
      </c>
      <c r="Q362" s="2" t="s">
        <v>283</v>
      </c>
      <c r="R362" s="2" t="s">
        <v>128</v>
      </c>
      <c r="S362" s="2" t="s">
        <v>654</v>
      </c>
      <c r="T362" s="10">
        <v>37.61</v>
      </c>
      <c r="U362" s="11">
        <v>0.72799999999999998</v>
      </c>
      <c r="V362" s="12">
        <f>T362*U362</f>
        <v>27.38008</v>
      </c>
      <c r="W362" s="13">
        <v>0.13</v>
      </c>
      <c r="X362" s="12">
        <f>V362-(V362/(1+W362))</f>
        <v>3.1499207079646006</v>
      </c>
      <c r="Y362" s="12">
        <f>V362-X362</f>
        <v>24.230159292035399</v>
      </c>
      <c r="Z362" s="14">
        <v>30</v>
      </c>
      <c r="AA362" s="2" t="str">
        <f>IF(V362&gt;Z362,"Yes","No")</f>
        <v>No</v>
      </c>
      <c r="AB362" s="12">
        <f>V362-Z362</f>
        <v>-2.6199200000000005</v>
      </c>
      <c r="AC362" s="15" t="s">
        <v>130</v>
      </c>
      <c r="AD362" s="15" t="s">
        <v>130</v>
      </c>
      <c r="AE362" s="15" t="s">
        <v>437</v>
      </c>
      <c r="AF362" s="12">
        <f>IF(AG362="Rejected",0,IF(R362="Corporate Card",0,V362))</f>
        <v>0</v>
      </c>
      <c r="AG362" s="15" t="s">
        <v>181</v>
      </c>
      <c r="AH362" s="16">
        <v>45700</v>
      </c>
      <c r="AI362" s="16"/>
      <c r="AJ362" s="16"/>
      <c r="AK362" s="17" t="str">
        <f>IF(AJ362="","",AJ362-AH362)</f>
        <v/>
      </c>
    </row>
    <row r="363" spans="1:37">
      <c r="A363" s="2" t="s">
        <v>699</v>
      </c>
      <c r="B363" s="2" t="s">
        <v>648</v>
      </c>
      <c r="C363" s="2" t="s">
        <v>173</v>
      </c>
      <c r="D363" s="2" t="s">
        <v>171</v>
      </c>
      <c r="E363" s="2" t="s">
        <v>649</v>
      </c>
      <c r="F363" s="2" t="s">
        <v>313</v>
      </c>
      <c r="G363" s="2" t="s">
        <v>650</v>
      </c>
      <c r="H363" s="2" t="s">
        <v>193</v>
      </c>
      <c r="I363" s="2" t="s">
        <v>651</v>
      </c>
      <c r="J363" s="2" t="s">
        <v>652</v>
      </c>
      <c r="K363" s="9">
        <v>45686</v>
      </c>
      <c r="L363" s="9">
        <v>45694</v>
      </c>
      <c r="M363" s="9">
        <v>45689</v>
      </c>
      <c r="N363" s="2" t="s">
        <v>696</v>
      </c>
      <c r="O363" s="2" t="s">
        <v>54</v>
      </c>
      <c r="P363" s="2" t="s">
        <v>139</v>
      </c>
      <c r="Q363" s="2" t="s">
        <v>148</v>
      </c>
      <c r="R363" s="2" t="s">
        <v>137</v>
      </c>
      <c r="S363" s="2" t="s">
        <v>654</v>
      </c>
      <c r="T363" s="10">
        <v>25.31</v>
      </c>
      <c r="U363" s="11">
        <v>0.72799999999999998</v>
      </c>
      <c r="V363" s="12">
        <f>T363*U363</f>
        <v>18.42568</v>
      </c>
      <c r="W363" s="13">
        <v>0.13</v>
      </c>
      <c r="X363" s="12">
        <f>V363-(V363/(1+W363))</f>
        <v>2.1197684955752187</v>
      </c>
      <c r="Y363" s="12">
        <f>V363-X363</f>
        <v>16.305911504424781</v>
      </c>
      <c r="Z363" s="14">
        <v>25</v>
      </c>
      <c r="AA363" s="2" t="str">
        <f>IF(V363&gt;Z363,"Yes","No")</f>
        <v>No</v>
      </c>
      <c r="AB363" s="12">
        <f>V363-Z363</f>
        <v>-6.5743200000000002</v>
      </c>
      <c r="AC363" s="15" t="s">
        <v>130</v>
      </c>
      <c r="AD363" s="15" t="s">
        <v>130</v>
      </c>
      <c r="AE363" s="15" t="s">
        <v>437</v>
      </c>
      <c r="AF363" s="12">
        <f>IF(AG363="Rejected",0,IF(R363="Corporate Card",0,V363))</f>
        <v>18.42568</v>
      </c>
      <c r="AG363" s="15" t="s">
        <v>181</v>
      </c>
      <c r="AH363" s="16">
        <v>45700</v>
      </c>
      <c r="AI363" s="16"/>
      <c r="AJ363" s="16"/>
      <c r="AK363" s="17" t="str">
        <f>IF(AJ363="","",AJ363-AH363)</f>
        <v/>
      </c>
    </row>
    <row r="364" spans="1:37">
      <c r="A364" s="2" t="s">
        <v>700</v>
      </c>
      <c r="B364" s="2" t="s">
        <v>509</v>
      </c>
      <c r="C364" s="2" t="s">
        <v>510</v>
      </c>
      <c r="D364" s="2" t="s">
        <v>250</v>
      </c>
      <c r="E364" s="2" t="s">
        <v>511</v>
      </c>
      <c r="F364" s="2" t="s">
        <v>313</v>
      </c>
      <c r="G364" s="2" t="s">
        <v>688</v>
      </c>
      <c r="H364" s="2" t="s">
        <v>254</v>
      </c>
      <c r="I364" s="2" t="s">
        <v>123</v>
      </c>
      <c r="J364" s="2" t="s">
        <v>124</v>
      </c>
      <c r="K364" s="9">
        <v>45688</v>
      </c>
      <c r="L364" s="9">
        <v>45695</v>
      </c>
      <c r="M364" s="9">
        <v>45689</v>
      </c>
      <c r="N364" s="2" t="s">
        <v>696</v>
      </c>
      <c r="O364" s="2" t="s">
        <v>60</v>
      </c>
      <c r="P364" s="2" t="s">
        <v>701</v>
      </c>
      <c r="Q364" s="2" t="s">
        <v>702</v>
      </c>
      <c r="R364" s="2" t="s">
        <v>137</v>
      </c>
      <c r="S364" s="2" t="s">
        <v>129</v>
      </c>
      <c r="T364" s="10">
        <v>449.54</v>
      </c>
      <c r="U364" s="11">
        <v>1.272</v>
      </c>
      <c r="V364" s="12">
        <f>T364*U364</f>
        <v>571.81488000000002</v>
      </c>
      <c r="W364" s="13">
        <v>0.2</v>
      </c>
      <c r="X364" s="12">
        <f>V364-(V364/(1+W364))</f>
        <v>95.302480000000003</v>
      </c>
      <c r="Y364" s="12">
        <f>V364-X364</f>
        <v>476.51240000000001</v>
      </c>
      <c r="Z364" s="14">
        <v>840</v>
      </c>
      <c r="AA364" s="2" t="str">
        <f>IF(V364&gt;Z364,"Yes","No")</f>
        <v>No</v>
      </c>
      <c r="AB364" s="12">
        <f>V364-Z364</f>
        <v>-268.18511999999998</v>
      </c>
      <c r="AC364" s="15" t="s">
        <v>130</v>
      </c>
      <c r="AD364" s="15" t="s">
        <v>130</v>
      </c>
      <c r="AE364" s="15" t="s">
        <v>180</v>
      </c>
      <c r="AF364" s="12">
        <f>IF(AG364="Rejected",0,IF(R364="Corporate Card",0,V364))</f>
        <v>571.81488000000002</v>
      </c>
      <c r="AG364" s="15" t="s">
        <v>133</v>
      </c>
      <c r="AH364" s="16">
        <v>45706</v>
      </c>
      <c r="AI364" s="16">
        <v>45714</v>
      </c>
      <c r="AJ364" s="16">
        <v>45720</v>
      </c>
      <c r="AK364" s="17">
        <f>IF(AJ364="","",AJ364-AH364)</f>
        <v>14</v>
      </c>
    </row>
    <row r="365" spans="1:37">
      <c r="A365" s="2" t="s">
        <v>703</v>
      </c>
      <c r="B365" s="2" t="s">
        <v>509</v>
      </c>
      <c r="C365" s="2" t="s">
        <v>510</v>
      </c>
      <c r="D365" s="2" t="s">
        <v>250</v>
      </c>
      <c r="E365" s="2" t="s">
        <v>511</v>
      </c>
      <c r="F365" s="2" t="s">
        <v>313</v>
      </c>
      <c r="G365" s="2" t="s">
        <v>688</v>
      </c>
      <c r="H365" s="2" t="s">
        <v>254</v>
      </c>
      <c r="I365" s="2" t="s">
        <v>123</v>
      </c>
      <c r="J365" s="2" t="s">
        <v>124</v>
      </c>
      <c r="K365" s="9">
        <v>45688</v>
      </c>
      <c r="L365" s="9">
        <v>45695</v>
      </c>
      <c r="M365" s="9">
        <v>45689</v>
      </c>
      <c r="N365" s="2" t="s">
        <v>696</v>
      </c>
      <c r="O365" s="2" t="s">
        <v>58</v>
      </c>
      <c r="P365" s="2" t="s">
        <v>142</v>
      </c>
      <c r="Q365" s="2" t="s">
        <v>224</v>
      </c>
      <c r="R365" s="2" t="s">
        <v>128</v>
      </c>
      <c r="S365" s="2" t="s">
        <v>129</v>
      </c>
      <c r="T365" s="10">
        <v>43.04</v>
      </c>
      <c r="U365" s="11">
        <v>1.272</v>
      </c>
      <c r="V365" s="12">
        <f>T365*U365</f>
        <v>54.746879999999997</v>
      </c>
      <c r="W365" s="13">
        <v>0.2</v>
      </c>
      <c r="X365" s="12">
        <f>V365-(V365/(1+W365))</f>
        <v>9.1244799999999984</v>
      </c>
      <c r="Y365" s="12">
        <f>V365-X365</f>
        <v>45.622399999999999</v>
      </c>
      <c r="Z365" s="14">
        <v>60</v>
      </c>
      <c r="AA365" s="2" t="str">
        <f>IF(V365&gt;Z365,"Yes","No")</f>
        <v>No</v>
      </c>
      <c r="AB365" s="12">
        <f>V365-Z365</f>
        <v>-5.2531200000000027</v>
      </c>
      <c r="AC365" s="15" t="s">
        <v>130</v>
      </c>
      <c r="AD365" s="15" t="s">
        <v>130</v>
      </c>
      <c r="AE365" s="15" t="s">
        <v>180</v>
      </c>
      <c r="AF365" s="12">
        <f>IF(AG365="Rejected",0,IF(R365="Corporate Card",0,V365))</f>
        <v>0</v>
      </c>
      <c r="AG365" s="15" t="s">
        <v>133</v>
      </c>
      <c r="AH365" s="16">
        <v>45706</v>
      </c>
      <c r="AI365" s="16">
        <v>45714</v>
      </c>
      <c r="AJ365" s="16">
        <v>45720</v>
      </c>
      <c r="AK365" s="17">
        <f>IF(AJ365="","",AJ365-AH365)</f>
        <v>14</v>
      </c>
    </row>
    <row r="366" spans="1:37">
      <c r="A366" s="2" t="s">
        <v>704</v>
      </c>
      <c r="B366" s="2" t="s">
        <v>509</v>
      </c>
      <c r="C366" s="2" t="s">
        <v>510</v>
      </c>
      <c r="D366" s="2" t="s">
        <v>250</v>
      </c>
      <c r="E366" s="2" t="s">
        <v>511</v>
      </c>
      <c r="F366" s="2" t="s">
        <v>313</v>
      </c>
      <c r="G366" s="2" t="s">
        <v>688</v>
      </c>
      <c r="H366" s="2" t="s">
        <v>254</v>
      </c>
      <c r="I366" s="2" t="s">
        <v>123</v>
      </c>
      <c r="J366" s="2" t="s">
        <v>124</v>
      </c>
      <c r="K366" s="9">
        <v>45688</v>
      </c>
      <c r="L366" s="9">
        <v>45695</v>
      </c>
      <c r="M366" s="9">
        <v>45689</v>
      </c>
      <c r="N366" s="2" t="s">
        <v>696</v>
      </c>
      <c r="O366" s="2" t="s">
        <v>53</v>
      </c>
      <c r="P366" s="2" t="s">
        <v>208</v>
      </c>
      <c r="Q366" s="2" t="s">
        <v>220</v>
      </c>
      <c r="R366" s="2" t="s">
        <v>128</v>
      </c>
      <c r="S366" s="2" t="s">
        <v>129</v>
      </c>
      <c r="T366" s="10">
        <v>1148.0999999999999</v>
      </c>
      <c r="U366" s="11">
        <v>1.272</v>
      </c>
      <c r="V366" s="12">
        <f>T366*U366</f>
        <v>1460.3832</v>
      </c>
      <c r="W366" s="13">
        <v>0.2</v>
      </c>
      <c r="X366" s="12">
        <f>V366-(V366/(1+W366))</f>
        <v>243.39719999999988</v>
      </c>
      <c r="Y366" s="12">
        <f>V366-X366</f>
        <v>1216.9860000000001</v>
      </c>
      <c r="Z366" s="14">
        <v>1960</v>
      </c>
      <c r="AA366" s="2" t="str">
        <f>IF(V366&gt;Z366,"Yes","No")</f>
        <v>No</v>
      </c>
      <c r="AB366" s="12">
        <f>V366-Z366</f>
        <v>-499.61680000000001</v>
      </c>
      <c r="AC366" s="15" t="s">
        <v>130</v>
      </c>
      <c r="AD366" s="15" t="s">
        <v>130</v>
      </c>
      <c r="AE366" s="15" t="s">
        <v>180</v>
      </c>
      <c r="AF366" s="12">
        <f>IF(AG366="Rejected",0,IF(R366="Corporate Card",0,V366))</f>
        <v>0</v>
      </c>
      <c r="AG366" s="15" t="s">
        <v>133</v>
      </c>
      <c r="AH366" s="16">
        <v>45706</v>
      </c>
      <c r="AI366" s="16">
        <v>45714</v>
      </c>
      <c r="AJ366" s="16">
        <v>45720</v>
      </c>
      <c r="AK366" s="17">
        <f>IF(AJ366="","",AJ366-AH366)</f>
        <v>14</v>
      </c>
    </row>
    <row r="367" spans="1:37">
      <c r="A367" s="2" t="s">
        <v>705</v>
      </c>
      <c r="B367" s="2" t="s">
        <v>509</v>
      </c>
      <c r="C367" s="2" t="s">
        <v>510</v>
      </c>
      <c r="D367" s="2" t="s">
        <v>250</v>
      </c>
      <c r="E367" s="2" t="s">
        <v>511</v>
      </c>
      <c r="F367" s="2" t="s">
        <v>313</v>
      </c>
      <c r="G367" s="2" t="s">
        <v>688</v>
      </c>
      <c r="H367" s="2" t="s">
        <v>254</v>
      </c>
      <c r="I367" s="2" t="s">
        <v>123</v>
      </c>
      <c r="J367" s="2" t="s">
        <v>124</v>
      </c>
      <c r="K367" s="9">
        <v>45688</v>
      </c>
      <c r="L367" s="9">
        <v>45695</v>
      </c>
      <c r="M367" s="9">
        <v>45689</v>
      </c>
      <c r="N367" s="2" t="s">
        <v>696</v>
      </c>
      <c r="O367" s="2" t="s">
        <v>54</v>
      </c>
      <c r="P367" s="2" t="s">
        <v>139</v>
      </c>
      <c r="Q367" s="2" t="s">
        <v>148</v>
      </c>
      <c r="R367" s="2" t="s">
        <v>128</v>
      </c>
      <c r="S367" s="2" t="s">
        <v>129</v>
      </c>
      <c r="T367" s="10">
        <v>8.2799999999999994</v>
      </c>
      <c r="U367" s="11">
        <v>1.272</v>
      </c>
      <c r="V367" s="12">
        <f>T367*U367</f>
        <v>10.532159999999999</v>
      </c>
      <c r="W367" s="13">
        <v>0.2</v>
      </c>
      <c r="X367" s="12">
        <f>V367-(V367/(1+W367))</f>
        <v>1.7553599999999996</v>
      </c>
      <c r="Y367" s="12">
        <f>V367-X367</f>
        <v>8.7767999999999997</v>
      </c>
      <c r="Z367" s="14">
        <v>25</v>
      </c>
      <c r="AA367" s="2" t="str">
        <f>IF(V367&gt;Z367,"Yes","No")</f>
        <v>No</v>
      </c>
      <c r="AB367" s="12">
        <f>V367-Z367</f>
        <v>-14.467840000000001</v>
      </c>
      <c r="AC367" s="15" t="s">
        <v>130</v>
      </c>
      <c r="AD367" s="15" t="s">
        <v>130</v>
      </c>
      <c r="AE367" s="15" t="s">
        <v>180</v>
      </c>
      <c r="AF367" s="12">
        <f>IF(AG367="Rejected",0,IF(R367="Corporate Card",0,V367))</f>
        <v>0</v>
      </c>
      <c r="AG367" s="15" t="s">
        <v>133</v>
      </c>
      <c r="AH367" s="16">
        <v>45706</v>
      </c>
      <c r="AI367" s="16">
        <v>45714</v>
      </c>
      <c r="AJ367" s="16">
        <v>45720</v>
      </c>
      <c r="AK367" s="17">
        <f>IF(AJ367="","",AJ367-AH367)</f>
        <v>14</v>
      </c>
    </row>
    <row r="368" spans="1:37">
      <c r="A368" s="2" t="s">
        <v>706</v>
      </c>
      <c r="B368" s="2" t="s">
        <v>509</v>
      </c>
      <c r="C368" s="2" t="s">
        <v>510</v>
      </c>
      <c r="D368" s="2" t="s">
        <v>250</v>
      </c>
      <c r="E368" s="2" t="s">
        <v>511</v>
      </c>
      <c r="F368" s="2" t="s">
        <v>313</v>
      </c>
      <c r="G368" s="2" t="s">
        <v>688</v>
      </c>
      <c r="H368" s="2" t="s">
        <v>254</v>
      </c>
      <c r="I368" s="2" t="s">
        <v>123</v>
      </c>
      <c r="J368" s="2" t="s">
        <v>124</v>
      </c>
      <c r="K368" s="9">
        <v>45688</v>
      </c>
      <c r="L368" s="9">
        <v>45695</v>
      </c>
      <c r="M368" s="9">
        <v>45689</v>
      </c>
      <c r="N368" s="2" t="s">
        <v>696</v>
      </c>
      <c r="O368" s="2" t="s">
        <v>56</v>
      </c>
      <c r="P368" s="2" t="s">
        <v>245</v>
      </c>
      <c r="Q368" s="2" t="s">
        <v>227</v>
      </c>
      <c r="R368" s="2" t="s">
        <v>128</v>
      </c>
      <c r="S368" s="2" t="s">
        <v>129</v>
      </c>
      <c r="T368" s="10">
        <v>73.5</v>
      </c>
      <c r="U368" s="11">
        <v>1.272</v>
      </c>
      <c r="V368" s="12">
        <f>T368*U368</f>
        <v>93.492000000000004</v>
      </c>
      <c r="W368" s="13">
        <v>0.2</v>
      </c>
      <c r="X368" s="12">
        <f>V368-(V368/(1+W368))</f>
        <v>15.581999999999994</v>
      </c>
      <c r="Y368" s="12">
        <f>V368-X368</f>
        <v>77.910000000000011</v>
      </c>
      <c r="Z368" s="14">
        <v>75</v>
      </c>
      <c r="AA368" s="2" t="str">
        <f>IF(V368&gt;Z368,"Yes","No")</f>
        <v>Yes</v>
      </c>
      <c r="AB368" s="12">
        <f>V368-Z368</f>
        <v>18.492000000000004</v>
      </c>
      <c r="AC368" s="15" t="s">
        <v>130</v>
      </c>
      <c r="AD368" s="15" t="s">
        <v>130</v>
      </c>
      <c r="AE368" s="15" t="s">
        <v>180</v>
      </c>
      <c r="AF368" s="12">
        <f>IF(AG368="Rejected",0,IF(R368="Corporate Card",0,V368))</f>
        <v>0</v>
      </c>
      <c r="AG368" s="15" t="s">
        <v>133</v>
      </c>
      <c r="AH368" s="16">
        <v>45706</v>
      </c>
      <c r="AI368" s="16">
        <v>45714</v>
      </c>
      <c r="AJ368" s="16">
        <v>45720</v>
      </c>
      <c r="AK368" s="17">
        <f>IF(AJ368="","",AJ368-AH368)</f>
        <v>14</v>
      </c>
    </row>
    <row r="369" spans="1:37">
      <c r="A369" s="2" t="s">
        <v>707</v>
      </c>
      <c r="B369" s="2" t="s">
        <v>509</v>
      </c>
      <c r="C369" s="2" t="s">
        <v>510</v>
      </c>
      <c r="D369" s="2" t="s">
        <v>250</v>
      </c>
      <c r="E369" s="2" t="s">
        <v>511</v>
      </c>
      <c r="F369" s="2" t="s">
        <v>313</v>
      </c>
      <c r="G369" s="2" t="s">
        <v>688</v>
      </c>
      <c r="H369" s="2" t="s">
        <v>254</v>
      </c>
      <c r="I369" s="2" t="s">
        <v>123</v>
      </c>
      <c r="J369" s="2" t="s">
        <v>124</v>
      </c>
      <c r="K369" s="9">
        <v>45688</v>
      </c>
      <c r="L369" s="9">
        <v>45695</v>
      </c>
      <c r="M369" s="9">
        <v>45689</v>
      </c>
      <c r="N369" s="2" t="s">
        <v>696</v>
      </c>
      <c r="O369" s="2" t="s">
        <v>55</v>
      </c>
      <c r="P369" s="2" t="s">
        <v>139</v>
      </c>
      <c r="Q369" s="2" t="s">
        <v>161</v>
      </c>
      <c r="R369" s="2" t="s">
        <v>149</v>
      </c>
      <c r="S369" s="2" t="s">
        <v>129</v>
      </c>
      <c r="T369" s="10">
        <v>18.5</v>
      </c>
      <c r="U369" s="11">
        <v>1.272</v>
      </c>
      <c r="V369" s="12">
        <f>T369*U369</f>
        <v>23.532</v>
      </c>
      <c r="W369" s="13">
        <v>0.2</v>
      </c>
      <c r="X369" s="12">
        <f>V369-(V369/(1+W369))</f>
        <v>3.9220000000000006</v>
      </c>
      <c r="Y369" s="12">
        <f>V369-X369</f>
        <v>19.61</v>
      </c>
      <c r="Z369" s="14">
        <v>35</v>
      </c>
      <c r="AA369" s="2" t="str">
        <f>IF(V369&gt;Z369,"Yes","No")</f>
        <v>No</v>
      </c>
      <c r="AB369" s="12">
        <f>V369-Z369</f>
        <v>-11.468</v>
      </c>
      <c r="AC369" s="15" t="s">
        <v>130</v>
      </c>
      <c r="AD369" s="15" t="s">
        <v>130</v>
      </c>
      <c r="AE369" s="15" t="s">
        <v>180</v>
      </c>
      <c r="AF369" s="12">
        <f>IF(AG369="Rejected",0,IF(R369="Corporate Card",0,V369))</f>
        <v>23.532</v>
      </c>
      <c r="AG369" s="15" t="s">
        <v>133</v>
      </c>
      <c r="AH369" s="16">
        <v>45706</v>
      </c>
      <c r="AI369" s="16">
        <v>45714</v>
      </c>
      <c r="AJ369" s="16">
        <v>45720</v>
      </c>
      <c r="AK369" s="17">
        <f>IF(AJ369="","",AJ369-AH369)</f>
        <v>14</v>
      </c>
    </row>
    <row r="370" spans="1:37">
      <c r="A370" s="2" t="s">
        <v>708</v>
      </c>
      <c r="B370" s="2" t="s">
        <v>597</v>
      </c>
      <c r="C370" s="2" t="s">
        <v>598</v>
      </c>
      <c r="D370" s="2" t="s">
        <v>414</v>
      </c>
      <c r="E370" s="2" t="s">
        <v>599</v>
      </c>
      <c r="F370" s="2" t="s">
        <v>413</v>
      </c>
      <c r="G370" s="2" t="s">
        <v>600</v>
      </c>
      <c r="H370" s="2" t="s">
        <v>348</v>
      </c>
      <c r="I370" s="2" t="s">
        <v>601</v>
      </c>
      <c r="J370" s="2" t="s">
        <v>381</v>
      </c>
      <c r="K370" s="9">
        <v>45684</v>
      </c>
      <c r="L370" s="9">
        <v>45691</v>
      </c>
      <c r="M370" s="9">
        <v>45690</v>
      </c>
      <c r="N370" s="2" t="s">
        <v>696</v>
      </c>
      <c r="O370" s="2" t="s">
        <v>57</v>
      </c>
      <c r="P370" s="2" t="s">
        <v>398</v>
      </c>
      <c r="Q370" s="2" t="s">
        <v>495</v>
      </c>
      <c r="R370" s="2" t="s">
        <v>128</v>
      </c>
      <c r="S370" s="2" t="s">
        <v>383</v>
      </c>
      <c r="T370" s="10">
        <v>110.14</v>
      </c>
      <c r="U370" s="11">
        <v>1</v>
      </c>
      <c r="V370" s="12">
        <f>T370*U370</f>
        <v>110.14</v>
      </c>
      <c r="W370" s="13">
        <v>0</v>
      </c>
      <c r="X370" s="12">
        <f>V370-(V370/(1+W370))</f>
        <v>0</v>
      </c>
      <c r="Y370" s="12">
        <f>V370-X370</f>
        <v>110.14</v>
      </c>
      <c r="Z370" s="14">
        <v>200</v>
      </c>
      <c r="AA370" s="2" t="str">
        <f>IF(V370&gt;Z370,"Yes","No")</f>
        <v>No</v>
      </c>
      <c r="AB370" s="12">
        <f>V370-Z370</f>
        <v>-89.86</v>
      </c>
      <c r="AC370" s="15" t="s">
        <v>131</v>
      </c>
      <c r="AD370" s="15" t="s">
        <v>130</v>
      </c>
      <c r="AE370" s="15" t="s">
        <v>437</v>
      </c>
      <c r="AF370" s="12">
        <f>IF(AG370="Rejected",0,IF(R370="Corporate Card",0,V370))</f>
        <v>0</v>
      </c>
      <c r="AG370" s="15" t="s">
        <v>133</v>
      </c>
      <c r="AH370" s="16">
        <v>45702</v>
      </c>
      <c r="AI370" s="16">
        <v>45704</v>
      </c>
      <c r="AJ370" s="16">
        <v>45711</v>
      </c>
      <c r="AK370" s="17">
        <f>IF(AJ370="","",AJ370-AH370)</f>
        <v>9</v>
      </c>
    </row>
    <row r="371" spans="1:37">
      <c r="A371" s="2" t="s">
        <v>709</v>
      </c>
      <c r="B371" s="2" t="s">
        <v>597</v>
      </c>
      <c r="C371" s="2" t="s">
        <v>598</v>
      </c>
      <c r="D371" s="2" t="s">
        <v>414</v>
      </c>
      <c r="E371" s="2" t="s">
        <v>599</v>
      </c>
      <c r="F371" s="2" t="s">
        <v>413</v>
      </c>
      <c r="G371" s="2" t="s">
        <v>600</v>
      </c>
      <c r="H371" s="2" t="s">
        <v>348</v>
      </c>
      <c r="I371" s="2" t="s">
        <v>601</v>
      </c>
      <c r="J371" s="2" t="s">
        <v>381</v>
      </c>
      <c r="K371" s="9">
        <v>45684</v>
      </c>
      <c r="L371" s="9">
        <v>45691</v>
      </c>
      <c r="M371" s="9">
        <v>45690</v>
      </c>
      <c r="N371" s="2" t="s">
        <v>696</v>
      </c>
      <c r="O371" s="2" t="s">
        <v>58</v>
      </c>
      <c r="P371" s="2" t="s">
        <v>142</v>
      </c>
      <c r="Q371" s="2" t="s">
        <v>143</v>
      </c>
      <c r="R371" s="2" t="s">
        <v>128</v>
      </c>
      <c r="S371" s="2" t="s">
        <v>383</v>
      </c>
      <c r="T371" s="10">
        <v>41.98</v>
      </c>
      <c r="U371" s="11">
        <v>1</v>
      </c>
      <c r="V371" s="12">
        <f>T371*U371</f>
        <v>41.98</v>
      </c>
      <c r="W371" s="13">
        <v>0</v>
      </c>
      <c r="X371" s="12">
        <f>V371-(V371/(1+W371))</f>
        <v>0</v>
      </c>
      <c r="Y371" s="12">
        <f>V371-X371</f>
        <v>41.98</v>
      </c>
      <c r="Z371" s="14">
        <v>60</v>
      </c>
      <c r="AA371" s="2" t="str">
        <f>IF(V371&gt;Z371,"Yes","No")</f>
        <v>No</v>
      </c>
      <c r="AB371" s="12">
        <f>V371-Z371</f>
        <v>-18.020000000000003</v>
      </c>
      <c r="AC371" s="15" t="s">
        <v>130</v>
      </c>
      <c r="AD371" s="15" t="s">
        <v>130</v>
      </c>
      <c r="AE371" s="15" t="s">
        <v>437</v>
      </c>
      <c r="AF371" s="12">
        <f>IF(AG371="Rejected",0,IF(R371="Corporate Card",0,V371))</f>
        <v>0</v>
      </c>
      <c r="AG371" s="15" t="s">
        <v>133</v>
      </c>
      <c r="AH371" s="16">
        <v>45702</v>
      </c>
      <c r="AI371" s="16">
        <v>45704</v>
      </c>
      <c r="AJ371" s="16">
        <v>45711</v>
      </c>
      <c r="AK371" s="17">
        <f>IF(AJ371="","",AJ371-AH371)</f>
        <v>9</v>
      </c>
    </row>
    <row r="372" spans="1:37">
      <c r="A372" s="2" t="s">
        <v>710</v>
      </c>
      <c r="B372" s="2" t="s">
        <v>597</v>
      </c>
      <c r="C372" s="2" t="s">
        <v>598</v>
      </c>
      <c r="D372" s="2" t="s">
        <v>414</v>
      </c>
      <c r="E372" s="2" t="s">
        <v>599</v>
      </c>
      <c r="F372" s="2" t="s">
        <v>413</v>
      </c>
      <c r="G372" s="2" t="s">
        <v>600</v>
      </c>
      <c r="H372" s="2" t="s">
        <v>348</v>
      </c>
      <c r="I372" s="2" t="s">
        <v>601</v>
      </c>
      <c r="J372" s="2" t="s">
        <v>381</v>
      </c>
      <c r="K372" s="9">
        <v>45684</v>
      </c>
      <c r="L372" s="9">
        <v>45691</v>
      </c>
      <c r="M372" s="9">
        <v>45690</v>
      </c>
      <c r="N372" s="2" t="s">
        <v>696</v>
      </c>
      <c r="O372" s="2" t="s">
        <v>54</v>
      </c>
      <c r="P372" s="2" t="s">
        <v>139</v>
      </c>
      <c r="Q372" s="2" t="s">
        <v>163</v>
      </c>
      <c r="R372" s="2" t="s">
        <v>128</v>
      </c>
      <c r="S372" s="2" t="s">
        <v>383</v>
      </c>
      <c r="T372" s="10">
        <v>9.5399999999999991</v>
      </c>
      <c r="U372" s="11">
        <v>1</v>
      </c>
      <c r="V372" s="12">
        <f>T372*U372</f>
        <v>9.5399999999999991</v>
      </c>
      <c r="W372" s="13">
        <v>0</v>
      </c>
      <c r="X372" s="12">
        <f>V372-(V372/(1+W372))</f>
        <v>0</v>
      </c>
      <c r="Y372" s="12">
        <f>V372-X372</f>
        <v>9.5399999999999991</v>
      </c>
      <c r="Z372" s="14">
        <v>25</v>
      </c>
      <c r="AA372" s="2" t="str">
        <f>IF(V372&gt;Z372,"Yes","No")</f>
        <v>No</v>
      </c>
      <c r="AB372" s="12">
        <f>V372-Z372</f>
        <v>-15.46</v>
      </c>
      <c r="AC372" s="15" t="s">
        <v>130</v>
      </c>
      <c r="AD372" s="15" t="s">
        <v>130</v>
      </c>
      <c r="AE372" s="15" t="s">
        <v>437</v>
      </c>
      <c r="AF372" s="12">
        <f>IF(AG372="Rejected",0,IF(R372="Corporate Card",0,V372))</f>
        <v>0</v>
      </c>
      <c r="AG372" s="15" t="s">
        <v>133</v>
      </c>
      <c r="AH372" s="16">
        <v>45702</v>
      </c>
      <c r="AI372" s="16">
        <v>45704</v>
      </c>
      <c r="AJ372" s="16">
        <v>45711</v>
      </c>
      <c r="AK372" s="17">
        <f>IF(AJ372="","",AJ372-AH372)</f>
        <v>9</v>
      </c>
    </row>
    <row r="373" spans="1:37">
      <c r="A373" s="2" t="s">
        <v>711</v>
      </c>
      <c r="B373" s="2" t="s">
        <v>597</v>
      </c>
      <c r="C373" s="2" t="s">
        <v>598</v>
      </c>
      <c r="D373" s="2" t="s">
        <v>414</v>
      </c>
      <c r="E373" s="2" t="s">
        <v>599</v>
      </c>
      <c r="F373" s="2" t="s">
        <v>413</v>
      </c>
      <c r="G373" s="2" t="s">
        <v>600</v>
      </c>
      <c r="H373" s="2" t="s">
        <v>348</v>
      </c>
      <c r="I373" s="2" t="s">
        <v>601</v>
      </c>
      <c r="J373" s="2" t="s">
        <v>381</v>
      </c>
      <c r="K373" s="9">
        <v>45684</v>
      </c>
      <c r="L373" s="9">
        <v>45691</v>
      </c>
      <c r="M373" s="9">
        <v>45690</v>
      </c>
      <c r="N373" s="2" t="s">
        <v>696</v>
      </c>
      <c r="O373" s="2" t="s">
        <v>55</v>
      </c>
      <c r="P373" s="2" t="s">
        <v>139</v>
      </c>
      <c r="Q373" s="2" t="s">
        <v>187</v>
      </c>
      <c r="R373" s="2" t="s">
        <v>137</v>
      </c>
      <c r="S373" s="2" t="s">
        <v>383</v>
      </c>
      <c r="T373" s="10">
        <v>18.28</v>
      </c>
      <c r="U373" s="11">
        <v>1</v>
      </c>
      <c r="V373" s="12">
        <f>T373*U373</f>
        <v>18.28</v>
      </c>
      <c r="W373" s="13">
        <v>0</v>
      </c>
      <c r="X373" s="12">
        <f>V373-(V373/(1+W373))</f>
        <v>0</v>
      </c>
      <c r="Y373" s="12">
        <f>V373-X373</f>
        <v>18.28</v>
      </c>
      <c r="Z373" s="14">
        <v>35</v>
      </c>
      <c r="AA373" s="2" t="str">
        <f>IF(V373&gt;Z373,"Yes","No")</f>
        <v>No</v>
      </c>
      <c r="AB373" s="12">
        <f>V373-Z373</f>
        <v>-16.72</v>
      </c>
      <c r="AC373" s="15" t="s">
        <v>130</v>
      </c>
      <c r="AD373" s="15" t="s">
        <v>130</v>
      </c>
      <c r="AE373" s="15" t="s">
        <v>437</v>
      </c>
      <c r="AF373" s="12">
        <f>IF(AG373="Rejected",0,IF(R373="Corporate Card",0,V373))</f>
        <v>18.28</v>
      </c>
      <c r="AG373" s="15" t="s">
        <v>133</v>
      </c>
      <c r="AH373" s="16">
        <v>45702</v>
      </c>
      <c r="AI373" s="16">
        <v>45704</v>
      </c>
      <c r="AJ373" s="16">
        <v>45711</v>
      </c>
      <c r="AK373" s="17">
        <f>IF(AJ373="","",AJ373-AH373)</f>
        <v>9</v>
      </c>
    </row>
    <row r="374" spans="1:37">
      <c r="A374" s="2" t="s">
        <v>712</v>
      </c>
      <c r="B374" s="2" t="s">
        <v>648</v>
      </c>
      <c r="C374" s="2" t="s">
        <v>173</v>
      </c>
      <c r="D374" s="2" t="s">
        <v>171</v>
      </c>
      <c r="E374" s="2" t="s">
        <v>649</v>
      </c>
      <c r="F374" s="2" t="s">
        <v>313</v>
      </c>
      <c r="G374" s="2" t="s">
        <v>650</v>
      </c>
      <c r="H374" s="2" t="s">
        <v>193</v>
      </c>
      <c r="I374" s="2" t="s">
        <v>651</v>
      </c>
      <c r="J374" s="2" t="s">
        <v>652</v>
      </c>
      <c r="K374" s="9">
        <v>45686</v>
      </c>
      <c r="L374" s="9">
        <v>45694</v>
      </c>
      <c r="M374" s="9">
        <v>45690</v>
      </c>
      <c r="N374" s="2" t="s">
        <v>696</v>
      </c>
      <c r="O374" s="2" t="s">
        <v>58</v>
      </c>
      <c r="P374" s="2" t="s">
        <v>142</v>
      </c>
      <c r="Q374" s="2" t="s">
        <v>203</v>
      </c>
      <c r="R374" s="2" t="s">
        <v>149</v>
      </c>
      <c r="S374" s="2" t="s">
        <v>654</v>
      </c>
      <c r="T374" s="10">
        <v>36.74</v>
      </c>
      <c r="U374" s="11">
        <v>0.72799999999999998</v>
      </c>
      <c r="V374" s="12">
        <f>T374*U374</f>
        <v>26.74672</v>
      </c>
      <c r="W374" s="13">
        <v>0.13</v>
      </c>
      <c r="X374" s="12">
        <f>V374-(V374/(1+W374))</f>
        <v>3.0770562831858399</v>
      </c>
      <c r="Y374" s="12">
        <f>V374-X374</f>
        <v>23.66966371681416</v>
      </c>
      <c r="Z374" s="14">
        <v>60</v>
      </c>
      <c r="AA374" s="2" t="str">
        <f>IF(V374&gt;Z374,"Yes","No")</f>
        <v>No</v>
      </c>
      <c r="AB374" s="12">
        <f>V374-Z374</f>
        <v>-33.253280000000004</v>
      </c>
      <c r="AC374" s="15" t="s">
        <v>130</v>
      </c>
      <c r="AD374" s="15" t="s">
        <v>130</v>
      </c>
      <c r="AE374" s="15" t="s">
        <v>437</v>
      </c>
      <c r="AF374" s="12">
        <f>IF(AG374="Rejected",0,IF(R374="Corporate Card",0,V374))</f>
        <v>26.74672</v>
      </c>
      <c r="AG374" s="15" t="s">
        <v>181</v>
      </c>
      <c r="AH374" s="16">
        <v>45700</v>
      </c>
      <c r="AI374" s="16"/>
      <c r="AJ374" s="16"/>
      <c r="AK374" s="17" t="str">
        <f>IF(AJ374="","",AJ374-AH374)</f>
        <v/>
      </c>
    </row>
    <row r="375" spans="1:37">
      <c r="A375" s="2" t="s">
        <v>713</v>
      </c>
      <c r="B375" s="2" t="s">
        <v>648</v>
      </c>
      <c r="C375" s="2" t="s">
        <v>173</v>
      </c>
      <c r="D375" s="2" t="s">
        <v>171</v>
      </c>
      <c r="E375" s="2" t="s">
        <v>649</v>
      </c>
      <c r="F375" s="2" t="s">
        <v>313</v>
      </c>
      <c r="G375" s="2" t="s">
        <v>650</v>
      </c>
      <c r="H375" s="2" t="s">
        <v>193</v>
      </c>
      <c r="I375" s="2" t="s">
        <v>651</v>
      </c>
      <c r="J375" s="2" t="s">
        <v>652</v>
      </c>
      <c r="K375" s="9">
        <v>45686</v>
      </c>
      <c r="L375" s="9">
        <v>45694</v>
      </c>
      <c r="M375" s="9">
        <v>45690</v>
      </c>
      <c r="N375" s="2" t="s">
        <v>696</v>
      </c>
      <c r="O375" s="2" t="s">
        <v>54</v>
      </c>
      <c r="P375" s="2" t="s">
        <v>139</v>
      </c>
      <c r="Q375" s="2" t="s">
        <v>214</v>
      </c>
      <c r="R375" s="2" t="s">
        <v>128</v>
      </c>
      <c r="S375" s="2" t="s">
        <v>654</v>
      </c>
      <c r="T375" s="10">
        <v>15.85</v>
      </c>
      <c r="U375" s="11">
        <v>0.72799999999999998</v>
      </c>
      <c r="V375" s="12">
        <f>T375*U375</f>
        <v>11.5388</v>
      </c>
      <c r="W375" s="13">
        <v>0.13</v>
      </c>
      <c r="X375" s="12">
        <f>V375-(V375/(1+W375))</f>
        <v>1.3274725663716804</v>
      </c>
      <c r="Y375" s="12">
        <f>V375-X375</f>
        <v>10.21132743362832</v>
      </c>
      <c r="Z375" s="14">
        <v>25</v>
      </c>
      <c r="AA375" s="2" t="str">
        <f>IF(V375&gt;Z375,"Yes","No")</f>
        <v>No</v>
      </c>
      <c r="AB375" s="12">
        <f>V375-Z375</f>
        <v>-13.4612</v>
      </c>
      <c r="AC375" s="15" t="s">
        <v>130</v>
      </c>
      <c r="AD375" s="15" t="s">
        <v>130</v>
      </c>
      <c r="AE375" s="15" t="s">
        <v>437</v>
      </c>
      <c r="AF375" s="12">
        <f>IF(AG375="Rejected",0,IF(R375="Corporate Card",0,V375))</f>
        <v>0</v>
      </c>
      <c r="AG375" s="15" t="s">
        <v>181</v>
      </c>
      <c r="AH375" s="16">
        <v>45700</v>
      </c>
      <c r="AI375" s="16"/>
      <c r="AJ375" s="16"/>
      <c r="AK375" s="17" t="str">
        <f>IF(AJ375="","",AJ375-AH375)</f>
        <v/>
      </c>
    </row>
    <row r="376" spans="1:37">
      <c r="A376" s="2" t="s">
        <v>714</v>
      </c>
      <c r="B376" s="2" t="s">
        <v>648</v>
      </c>
      <c r="C376" s="2" t="s">
        <v>173</v>
      </c>
      <c r="D376" s="2" t="s">
        <v>171</v>
      </c>
      <c r="E376" s="2" t="s">
        <v>649</v>
      </c>
      <c r="F376" s="2" t="s">
        <v>313</v>
      </c>
      <c r="G376" s="2" t="s">
        <v>650</v>
      </c>
      <c r="H376" s="2" t="s">
        <v>193</v>
      </c>
      <c r="I376" s="2" t="s">
        <v>651</v>
      </c>
      <c r="J376" s="2" t="s">
        <v>652</v>
      </c>
      <c r="K376" s="9">
        <v>45686</v>
      </c>
      <c r="L376" s="9">
        <v>45694</v>
      </c>
      <c r="M376" s="9">
        <v>45690</v>
      </c>
      <c r="N376" s="2" t="s">
        <v>696</v>
      </c>
      <c r="O376" s="2" t="s">
        <v>56</v>
      </c>
      <c r="P376" s="2" t="s">
        <v>231</v>
      </c>
      <c r="Q376" s="2" t="s">
        <v>159</v>
      </c>
      <c r="R376" s="2" t="s">
        <v>128</v>
      </c>
      <c r="S376" s="2" t="s">
        <v>654</v>
      </c>
      <c r="T376" s="10">
        <v>46.81</v>
      </c>
      <c r="U376" s="11">
        <v>0.72799999999999998</v>
      </c>
      <c r="V376" s="12">
        <f>T376*U376</f>
        <v>34.077680000000001</v>
      </c>
      <c r="W376" s="13">
        <v>0.13</v>
      </c>
      <c r="X376" s="12">
        <f>V376-(V376/(1+W376))</f>
        <v>3.9204410619468995</v>
      </c>
      <c r="Y376" s="12">
        <f>V376-X376</f>
        <v>30.157238938053101</v>
      </c>
      <c r="Z376" s="14">
        <v>75</v>
      </c>
      <c r="AA376" s="2" t="str">
        <f>IF(V376&gt;Z376,"Yes","No")</f>
        <v>No</v>
      </c>
      <c r="AB376" s="12">
        <f>V376-Z376</f>
        <v>-40.922319999999999</v>
      </c>
      <c r="AC376" s="15" t="s">
        <v>130</v>
      </c>
      <c r="AD376" s="15" t="s">
        <v>130</v>
      </c>
      <c r="AE376" s="15" t="s">
        <v>437</v>
      </c>
      <c r="AF376" s="12">
        <f>IF(AG376="Rejected",0,IF(R376="Corporate Card",0,V376))</f>
        <v>0</v>
      </c>
      <c r="AG376" s="15" t="s">
        <v>181</v>
      </c>
      <c r="AH376" s="16">
        <v>45700</v>
      </c>
      <c r="AI376" s="16"/>
      <c r="AJ376" s="16"/>
      <c r="AK376" s="17" t="str">
        <f>IF(AJ376="","",AJ376-AH376)</f>
        <v/>
      </c>
    </row>
    <row r="377" spans="1:37">
      <c r="A377" s="2" t="s">
        <v>715</v>
      </c>
      <c r="B377" s="2" t="s">
        <v>648</v>
      </c>
      <c r="C377" s="2" t="s">
        <v>173</v>
      </c>
      <c r="D377" s="2" t="s">
        <v>171</v>
      </c>
      <c r="E377" s="2" t="s">
        <v>649</v>
      </c>
      <c r="F377" s="2" t="s">
        <v>313</v>
      </c>
      <c r="G377" s="2" t="s">
        <v>650</v>
      </c>
      <c r="H377" s="2" t="s">
        <v>193</v>
      </c>
      <c r="I377" s="2" t="s">
        <v>651</v>
      </c>
      <c r="J377" s="2" t="s">
        <v>652</v>
      </c>
      <c r="K377" s="9">
        <v>45686</v>
      </c>
      <c r="L377" s="9">
        <v>45694</v>
      </c>
      <c r="M377" s="9">
        <v>45690</v>
      </c>
      <c r="N377" s="2" t="s">
        <v>696</v>
      </c>
      <c r="O377" s="2" t="s">
        <v>55</v>
      </c>
      <c r="P377" s="2" t="s">
        <v>139</v>
      </c>
      <c r="Q377" s="2" t="s">
        <v>161</v>
      </c>
      <c r="R377" s="2" t="s">
        <v>128</v>
      </c>
      <c r="S377" s="2" t="s">
        <v>654</v>
      </c>
      <c r="T377" s="10">
        <v>27.89</v>
      </c>
      <c r="U377" s="11">
        <v>0.72799999999999998</v>
      </c>
      <c r="V377" s="12">
        <f>T377*U377</f>
        <v>20.303920000000002</v>
      </c>
      <c r="W377" s="13">
        <v>0.13</v>
      </c>
      <c r="X377" s="12">
        <f>V377-(V377/(1+W377))</f>
        <v>2.3358492035398228</v>
      </c>
      <c r="Y377" s="12">
        <f>V377-X377</f>
        <v>17.968070796460179</v>
      </c>
      <c r="Z377" s="14">
        <v>35</v>
      </c>
      <c r="AA377" s="2" t="str">
        <f>IF(V377&gt;Z377,"Yes","No")</f>
        <v>No</v>
      </c>
      <c r="AB377" s="12">
        <f>V377-Z377</f>
        <v>-14.696079999999998</v>
      </c>
      <c r="AC377" s="15" t="s">
        <v>131</v>
      </c>
      <c r="AD377" s="15" t="s">
        <v>130</v>
      </c>
      <c r="AE377" s="15" t="s">
        <v>437</v>
      </c>
      <c r="AF377" s="12">
        <f>IF(AG377="Rejected",0,IF(R377="Corporate Card",0,V377))</f>
        <v>0</v>
      </c>
      <c r="AG377" s="15" t="s">
        <v>181</v>
      </c>
      <c r="AH377" s="16">
        <v>45700</v>
      </c>
      <c r="AI377" s="16"/>
      <c r="AJ377" s="16"/>
      <c r="AK377" s="17" t="str">
        <f>IF(AJ377="","",AJ377-AH377)</f>
        <v/>
      </c>
    </row>
    <row r="378" spans="1:37">
      <c r="A378" s="2" t="s">
        <v>716</v>
      </c>
      <c r="B378" s="2" t="s">
        <v>509</v>
      </c>
      <c r="C378" s="2" t="s">
        <v>510</v>
      </c>
      <c r="D378" s="2" t="s">
        <v>250</v>
      </c>
      <c r="E378" s="2" t="s">
        <v>511</v>
      </c>
      <c r="F378" s="2" t="s">
        <v>313</v>
      </c>
      <c r="G378" s="2" t="s">
        <v>688</v>
      </c>
      <c r="H378" s="2" t="s">
        <v>254</v>
      </c>
      <c r="I378" s="2" t="s">
        <v>123</v>
      </c>
      <c r="J378" s="2" t="s">
        <v>124</v>
      </c>
      <c r="K378" s="9">
        <v>45688</v>
      </c>
      <c r="L378" s="9">
        <v>45695</v>
      </c>
      <c r="M378" s="9">
        <v>45690</v>
      </c>
      <c r="N378" s="2" t="s">
        <v>696</v>
      </c>
      <c r="O378" s="2" t="s">
        <v>61</v>
      </c>
      <c r="P378" s="2" t="s">
        <v>528</v>
      </c>
      <c r="Q378" s="2" t="s">
        <v>540</v>
      </c>
      <c r="R378" s="2" t="s">
        <v>137</v>
      </c>
      <c r="S378" s="2" t="s">
        <v>129</v>
      </c>
      <c r="T378" s="10">
        <v>26.49</v>
      </c>
      <c r="U378" s="11">
        <v>1.272</v>
      </c>
      <c r="V378" s="12">
        <f>T378*U378</f>
        <v>33.695279999999997</v>
      </c>
      <c r="W378" s="13">
        <v>0</v>
      </c>
      <c r="X378" s="12">
        <f>V378-(V378/(1+W378))</f>
        <v>0</v>
      </c>
      <c r="Y378" s="12">
        <f>V378-X378</f>
        <v>33.695279999999997</v>
      </c>
      <c r="Z378" s="14">
        <v>90</v>
      </c>
      <c r="AA378" s="2" t="str">
        <f>IF(V378&gt;Z378,"Yes","No")</f>
        <v>No</v>
      </c>
      <c r="AB378" s="12">
        <f>V378-Z378</f>
        <v>-56.304720000000003</v>
      </c>
      <c r="AC378" s="15" t="s">
        <v>130</v>
      </c>
      <c r="AD378" s="15" t="s">
        <v>130</v>
      </c>
      <c r="AE378" s="15" t="s">
        <v>180</v>
      </c>
      <c r="AF378" s="12">
        <f>IF(AG378="Rejected",0,IF(R378="Corporate Card",0,V378))</f>
        <v>33.695279999999997</v>
      </c>
      <c r="AG378" s="15" t="s">
        <v>133</v>
      </c>
      <c r="AH378" s="16">
        <v>45706</v>
      </c>
      <c r="AI378" s="16">
        <v>45714</v>
      </c>
      <c r="AJ378" s="16">
        <v>45720</v>
      </c>
      <c r="AK378" s="17">
        <f>IF(AJ378="","",AJ378-AH378)</f>
        <v>14</v>
      </c>
    </row>
    <row r="379" spans="1:37">
      <c r="A379" s="2" t="s">
        <v>717</v>
      </c>
      <c r="B379" s="2" t="s">
        <v>509</v>
      </c>
      <c r="C379" s="2" t="s">
        <v>510</v>
      </c>
      <c r="D379" s="2" t="s">
        <v>250</v>
      </c>
      <c r="E379" s="2" t="s">
        <v>511</v>
      </c>
      <c r="F379" s="2" t="s">
        <v>313</v>
      </c>
      <c r="G379" s="2" t="s">
        <v>688</v>
      </c>
      <c r="H379" s="2" t="s">
        <v>254</v>
      </c>
      <c r="I379" s="2" t="s">
        <v>123</v>
      </c>
      <c r="J379" s="2" t="s">
        <v>124</v>
      </c>
      <c r="K379" s="9">
        <v>45688</v>
      </c>
      <c r="L379" s="9">
        <v>45695</v>
      </c>
      <c r="M379" s="9">
        <v>45690</v>
      </c>
      <c r="N379" s="2" t="s">
        <v>696</v>
      </c>
      <c r="O379" s="2" t="s">
        <v>58</v>
      </c>
      <c r="P379" s="2" t="s">
        <v>142</v>
      </c>
      <c r="Q379" s="2" t="s">
        <v>143</v>
      </c>
      <c r="R379" s="2" t="s">
        <v>137</v>
      </c>
      <c r="S379" s="2" t="s">
        <v>129</v>
      </c>
      <c r="T379" s="10">
        <v>39.840000000000003</v>
      </c>
      <c r="U379" s="11">
        <v>1.272</v>
      </c>
      <c r="V379" s="12">
        <f>T379*U379</f>
        <v>50.676480000000005</v>
      </c>
      <c r="W379" s="13">
        <v>0.2</v>
      </c>
      <c r="X379" s="12">
        <f>V379-(V379/(1+W379))</f>
        <v>8.446080000000002</v>
      </c>
      <c r="Y379" s="12">
        <f>V379-X379</f>
        <v>42.230400000000003</v>
      </c>
      <c r="Z379" s="14">
        <v>60</v>
      </c>
      <c r="AA379" s="2" t="str">
        <f>IF(V379&gt;Z379,"Yes","No")</f>
        <v>No</v>
      </c>
      <c r="AB379" s="12">
        <f>V379-Z379</f>
        <v>-9.3235199999999949</v>
      </c>
      <c r="AC379" s="15" t="s">
        <v>130</v>
      </c>
      <c r="AD379" s="15" t="s">
        <v>130</v>
      </c>
      <c r="AE379" s="15" t="s">
        <v>180</v>
      </c>
      <c r="AF379" s="12">
        <f>IF(AG379="Rejected",0,IF(R379="Corporate Card",0,V379))</f>
        <v>50.676480000000005</v>
      </c>
      <c r="AG379" s="15" t="s">
        <v>133</v>
      </c>
      <c r="AH379" s="16">
        <v>45706</v>
      </c>
      <c r="AI379" s="16">
        <v>45714</v>
      </c>
      <c r="AJ379" s="16">
        <v>45720</v>
      </c>
      <c r="AK379" s="17">
        <f>IF(AJ379="","",AJ379-AH379)</f>
        <v>14</v>
      </c>
    </row>
    <row r="380" spans="1:37">
      <c r="A380" s="2" t="s">
        <v>718</v>
      </c>
      <c r="B380" s="2" t="s">
        <v>509</v>
      </c>
      <c r="C380" s="2" t="s">
        <v>510</v>
      </c>
      <c r="D380" s="2" t="s">
        <v>250</v>
      </c>
      <c r="E380" s="2" t="s">
        <v>511</v>
      </c>
      <c r="F380" s="2" t="s">
        <v>313</v>
      </c>
      <c r="G380" s="2" t="s">
        <v>688</v>
      </c>
      <c r="H380" s="2" t="s">
        <v>254</v>
      </c>
      <c r="I380" s="2" t="s">
        <v>123</v>
      </c>
      <c r="J380" s="2" t="s">
        <v>124</v>
      </c>
      <c r="K380" s="9">
        <v>45688</v>
      </c>
      <c r="L380" s="9">
        <v>45695</v>
      </c>
      <c r="M380" s="9">
        <v>45690</v>
      </c>
      <c r="N380" s="2" t="s">
        <v>696</v>
      </c>
      <c r="O380" s="2" t="s">
        <v>54</v>
      </c>
      <c r="P380" s="2" t="s">
        <v>139</v>
      </c>
      <c r="Q380" s="2" t="s">
        <v>148</v>
      </c>
      <c r="R380" s="2" t="s">
        <v>128</v>
      </c>
      <c r="S380" s="2" t="s">
        <v>129</v>
      </c>
      <c r="T380" s="10">
        <v>19.52</v>
      </c>
      <c r="U380" s="11">
        <v>1.272</v>
      </c>
      <c r="V380" s="12">
        <f>T380*U380</f>
        <v>24.829439999999998</v>
      </c>
      <c r="W380" s="13">
        <v>0.2</v>
      </c>
      <c r="X380" s="12">
        <f>V380-(V380/(1+W380))</f>
        <v>4.1382399999999997</v>
      </c>
      <c r="Y380" s="12">
        <f>V380-X380</f>
        <v>20.691199999999998</v>
      </c>
      <c r="Z380" s="14">
        <v>25</v>
      </c>
      <c r="AA380" s="2" t="str">
        <f>IF(V380&gt;Z380,"Yes","No")</f>
        <v>No</v>
      </c>
      <c r="AB380" s="12">
        <f>V380-Z380</f>
        <v>-0.17056000000000182</v>
      </c>
      <c r="AC380" s="15" t="s">
        <v>130</v>
      </c>
      <c r="AD380" s="15" t="s">
        <v>130</v>
      </c>
      <c r="AE380" s="15" t="s">
        <v>180</v>
      </c>
      <c r="AF380" s="12">
        <f>IF(AG380="Rejected",0,IF(R380="Corporate Card",0,V380))</f>
        <v>0</v>
      </c>
      <c r="AG380" s="15" t="s">
        <v>133</v>
      </c>
      <c r="AH380" s="16">
        <v>45706</v>
      </c>
      <c r="AI380" s="16">
        <v>45714</v>
      </c>
      <c r="AJ380" s="16">
        <v>45720</v>
      </c>
      <c r="AK380" s="17">
        <f>IF(AJ380="","",AJ380-AH380)</f>
        <v>14</v>
      </c>
    </row>
    <row r="381" spans="1:37">
      <c r="A381" s="2" t="s">
        <v>719</v>
      </c>
      <c r="B381" s="2" t="s">
        <v>509</v>
      </c>
      <c r="C381" s="2" t="s">
        <v>510</v>
      </c>
      <c r="D381" s="2" t="s">
        <v>250</v>
      </c>
      <c r="E381" s="2" t="s">
        <v>511</v>
      </c>
      <c r="F381" s="2" t="s">
        <v>313</v>
      </c>
      <c r="G381" s="2" t="s">
        <v>688</v>
      </c>
      <c r="H381" s="2" t="s">
        <v>254</v>
      </c>
      <c r="I381" s="2" t="s">
        <v>123</v>
      </c>
      <c r="J381" s="2" t="s">
        <v>124</v>
      </c>
      <c r="K381" s="9">
        <v>45688</v>
      </c>
      <c r="L381" s="9">
        <v>45695</v>
      </c>
      <c r="M381" s="9">
        <v>45690</v>
      </c>
      <c r="N381" s="2" t="s">
        <v>696</v>
      </c>
      <c r="O381" s="2" t="s">
        <v>56</v>
      </c>
      <c r="P381" s="2" t="s">
        <v>165</v>
      </c>
      <c r="Q381" s="2" t="s">
        <v>166</v>
      </c>
      <c r="R381" s="2" t="s">
        <v>128</v>
      </c>
      <c r="S381" s="2" t="s">
        <v>129</v>
      </c>
      <c r="T381" s="10">
        <v>86.15</v>
      </c>
      <c r="U381" s="11">
        <v>1.272</v>
      </c>
      <c r="V381" s="12">
        <f>T381*U381</f>
        <v>109.58280000000001</v>
      </c>
      <c r="W381" s="13">
        <v>0.2</v>
      </c>
      <c r="X381" s="12">
        <f>V381-(V381/(1+W381))</f>
        <v>18.263800000000003</v>
      </c>
      <c r="Y381" s="12">
        <f>V381-X381</f>
        <v>91.319000000000003</v>
      </c>
      <c r="Z381" s="14">
        <v>75</v>
      </c>
      <c r="AA381" s="2" t="str">
        <f>IF(V381&gt;Z381,"Yes","No")</f>
        <v>Yes</v>
      </c>
      <c r="AB381" s="12">
        <f>V381-Z381</f>
        <v>34.582800000000006</v>
      </c>
      <c r="AC381" s="15" t="s">
        <v>130</v>
      </c>
      <c r="AD381" s="15" t="s">
        <v>130</v>
      </c>
      <c r="AE381" s="15" t="s">
        <v>180</v>
      </c>
      <c r="AF381" s="12">
        <f>IF(AG381="Rejected",0,IF(R381="Corporate Card",0,V381))</f>
        <v>0</v>
      </c>
      <c r="AG381" s="15" t="s">
        <v>133</v>
      </c>
      <c r="AH381" s="16">
        <v>45706</v>
      </c>
      <c r="AI381" s="16">
        <v>45714</v>
      </c>
      <c r="AJ381" s="16">
        <v>45720</v>
      </c>
      <c r="AK381" s="17">
        <f>IF(AJ381="","",AJ381-AH381)</f>
        <v>14</v>
      </c>
    </row>
    <row r="382" spans="1:37">
      <c r="A382" s="2" t="s">
        <v>720</v>
      </c>
      <c r="B382" s="2" t="s">
        <v>509</v>
      </c>
      <c r="C382" s="2" t="s">
        <v>510</v>
      </c>
      <c r="D382" s="2" t="s">
        <v>250</v>
      </c>
      <c r="E382" s="2" t="s">
        <v>511</v>
      </c>
      <c r="F382" s="2" t="s">
        <v>313</v>
      </c>
      <c r="G382" s="2" t="s">
        <v>688</v>
      </c>
      <c r="H382" s="2" t="s">
        <v>254</v>
      </c>
      <c r="I382" s="2" t="s">
        <v>123</v>
      </c>
      <c r="J382" s="2" t="s">
        <v>124</v>
      </c>
      <c r="K382" s="9">
        <v>45688</v>
      </c>
      <c r="L382" s="9">
        <v>45695</v>
      </c>
      <c r="M382" s="9">
        <v>45690</v>
      </c>
      <c r="N382" s="2" t="s">
        <v>696</v>
      </c>
      <c r="O382" s="2" t="s">
        <v>55</v>
      </c>
      <c r="P382" s="2" t="s">
        <v>139</v>
      </c>
      <c r="Q382" s="2" t="s">
        <v>161</v>
      </c>
      <c r="R382" s="2" t="s">
        <v>128</v>
      </c>
      <c r="S382" s="2" t="s">
        <v>129</v>
      </c>
      <c r="T382" s="10">
        <v>9.67</v>
      </c>
      <c r="U382" s="11">
        <v>1.272</v>
      </c>
      <c r="V382" s="12">
        <f>T382*U382</f>
        <v>12.300240000000001</v>
      </c>
      <c r="W382" s="13">
        <v>0.2</v>
      </c>
      <c r="X382" s="12">
        <f>V382-(V382/(1+W382))</f>
        <v>2.0500399999999992</v>
      </c>
      <c r="Y382" s="12">
        <f>V382-X382</f>
        <v>10.250200000000001</v>
      </c>
      <c r="Z382" s="14">
        <v>35</v>
      </c>
      <c r="AA382" s="2" t="str">
        <f>IF(V382&gt;Z382,"Yes","No")</f>
        <v>No</v>
      </c>
      <c r="AB382" s="12">
        <f>V382-Z382</f>
        <v>-22.699759999999998</v>
      </c>
      <c r="AC382" s="15" t="s">
        <v>131</v>
      </c>
      <c r="AD382" s="15" t="s">
        <v>130</v>
      </c>
      <c r="AE382" s="15" t="s">
        <v>180</v>
      </c>
      <c r="AF382" s="12">
        <f>IF(AG382="Rejected",0,IF(R382="Corporate Card",0,V382))</f>
        <v>0</v>
      </c>
      <c r="AG382" s="15" t="s">
        <v>133</v>
      </c>
      <c r="AH382" s="16">
        <v>45706</v>
      </c>
      <c r="AI382" s="16">
        <v>45714</v>
      </c>
      <c r="AJ382" s="16">
        <v>45720</v>
      </c>
      <c r="AK382" s="17">
        <f>IF(AJ382="","",AJ382-AH382)</f>
        <v>14</v>
      </c>
    </row>
    <row r="383" spans="1:37">
      <c r="A383" s="2" t="s">
        <v>721</v>
      </c>
      <c r="B383" s="2" t="s">
        <v>509</v>
      </c>
      <c r="C383" s="2" t="s">
        <v>510</v>
      </c>
      <c r="D383" s="2" t="s">
        <v>250</v>
      </c>
      <c r="E383" s="2" t="s">
        <v>511</v>
      </c>
      <c r="F383" s="2" t="s">
        <v>313</v>
      </c>
      <c r="G383" s="2" t="s">
        <v>688</v>
      </c>
      <c r="H383" s="2" t="s">
        <v>254</v>
      </c>
      <c r="I383" s="2" t="s">
        <v>123</v>
      </c>
      <c r="J383" s="2" t="s">
        <v>124</v>
      </c>
      <c r="K383" s="9">
        <v>45688</v>
      </c>
      <c r="L383" s="9">
        <v>45695</v>
      </c>
      <c r="M383" s="9">
        <v>45690</v>
      </c>
      <c r="N383" s="2" t="s">
        <v>696</v>
      </c>
      <c r="O383" s="2" t="s">
        <v>62</v>
      </c>
      <c r="P383" s="2" t="s">
        <v>533</v>
      </c>
      <c r="Q383" s="2" t="s">
        <v>534</v>
      </c>
      <c r="R383" s="2" t="s">
        <v>128</v>
      </c>
      <c r="S383" s="2" t="s">
        <v>129</v>
      </c>
      <c r="T383" s="10">
        <v>18.940000000000001</v>
      </c>
      <c r="U383" s="11">
        <v>1.272</v>
      </c>
      <c r="V383" s="12">
        <f>T383*U383</f>
        <v>24.091680000000004</v>
      </c>
      <c r="W383" s="13">
        <v>0.2</v>
      </c>
      <c r="X383" s="12">
        <f>V383-(V383/(1+W383))</f>
        <v>4.0152800000000006</v>
      </c>
      <c r="Y383" s="12">
        <f>V383-X383</f>
        <v>20.076400000000003</v>
      </c>
      <c r="Z383" s="14">
        <v>45</v>
      </c>
      <c r="AA383" s="2" t="str">
        <f>IF(V383&gt;Z383,"Yes","No")</f>
        <v>No</v>
      </c>
      <c r="AB383" s="12">
        <f>V383-Z383</f>
        <v>-20.908319999999996</v>
      </c>
      <c r="AC383" s="15" t="s">
        <v>130</v>
      </c>
      <c r="AD383" s="15" t="s">
        <v>130</v>
      </c>
      <c r="AE383" s="15" t="s">
        <v>180</v>
      </c>
      <c r="AF383" s="12">
        <f>IF(AG383="Rejected",0,IF(R383="Corporate Card",0,V383))</f>
        <v>0</v>
      </c>
      <c r="AG383" s="15" t="s">
        <v>133</v>
      </c>
      <c r="AH383" s="16">
        <v>45706</v>
      </c>
      <c r="AI383" s="16">
        <v>45714</v>
      </c>
      <c r="AJ383" s="16">
        <v>45720</v>
      </c>
      <c r="AK383" s="17">
        <f>IF(AJ383="","",AJ383-AH383)</f>
        <v>14</v>
      </c>
    </row>
    <row r="384" spans="1:37">
      <c r="A384" s="2" t="s">
        <v>722</v>
      </c>
      <c r="B384" s="2" t="s">
        <v>597</v>
      </c>
      <c r="C384" s="2" t="s">
        <v>598</v>
      </c>
      <c r="D384" s="2" t="s">
        <v>414</v>
      </c>
      <c r="E384" s="2" t="s">
        <v>599</v>
      </c>
      <c r="F384" s="2" t="s">
        <v>413</v>
      </c>
      <c r="G384" s="2" t="s">
        <v>600</v>
      </c>
      <c r="H384" s="2" t="s">
        <v>348</v>
      </c>
      <c r="I384" s="2" t="s">
        <v>601</v>
      </c>
      <c r="J384" s="2" t="s">
        <v>381</v>
      </c>
      <c r="K384" s="9">
        <v>45684</v>
      </c>
      <c r="L384" s="9">
        <v>45691</v>
      </c>
      <c r="M384" s="9">
        <v>45691</v>
      </c>
      <c r="N384" s="2" t="s">
        <v>696</v>
      </c>
      <c r="O384" s="2" t="s">
        <v>54</v>
      </c>
      <c r="P384" s="2" t="s">
        <v>139</v>
      </c>
      <c r="Q384" s="2" t="s">
        <v>140</v>
      </c>
      <c r="R384" s="2" t="s">
        <v>137</v>
      </c>
      <c r="S384" s="2" t="s">
        <v>383</v>
      </c>
      <c r="T384" s="10">
        <v>11.57</v>
      </c>
      <c r="U384" s="11">
        <v>1</v>
      </c>
      <c r="V384" s="12">
        <f>T384*U384</f>
        <v>11.57</v>
      </c>
      <c r="W384" s="13">
        <v>0</v>
      </c>
      <c r="X384" s="12">
        <f>V384-(V384/(1+W384))</f>
        <v>0</v>
      </c>
      <c r="Y384" s="12">
        <f>V384-X384</f>
        <v>11.57</v>
      </c>
      <c r="Z384" s="14">
        <v>25</v>
      </c>
      <c r="AA384" s="2" t="str">
        <f>IF(V384&gt;Z384,"Yes","No")</f>
        <v>No</v>
      </c>
      <c r="AB384" s="12">
        <f>V384-Z384</f>
        <v>-13.43</v>
      </c>
      <c r="AC384" s="15" t="s">
        <v>130</v>
      </c>
      <c r="AD384" s="15" t="s">
        <v>130</v>
      </c>
      <c r="AE384" s="15" t="s">
        <v>437</v>
      </c>
      <c r="AF384" s="12">
        <f>IF(AG384="Rejected",0,IF(R384="Corporate Card",0,V384))</f>
        <v>11.57</v>
      </c>
      <c r="AG384" s="15" t="s">
        <v>133</v>
      </c>
      <c r="AH384" s="16">
        <v>45702</v>
      </c>
      <c r="AI384" s="16">
        <v>45704</v>
      </c>
      <c r="AJ384" s="16">
        <v>45711</v>
      </c>
      <c r="AK384" s="17">
        <f>IF(AJ384="","",AJ384-AH384)</f>
        <v>9</v>
      </c>
    </row>
    <row r="385" spans="1:37">
      <c r="A385" s="2" t="s">
        <v>723</v>
      </c>
      <c r="B385" s="2" t="s">
        <v>597</v>
      </c>
      <c r="C385" s="2" t="s">
        <v>598</v>
      </c>
      <c r="D385" s="2" t="s">
        <v>414</v>
      </c>
      <c r="E385" s="2" t="s">
        <v>599</v>
      </c>
      <c r="F385" s="2" t="s">
        <v>413</v>
      </c>
      <c r="G385" s="2" t="s">
        <v>600</v>
      </c>
      <c r="H385" s="2" t="s">
        <v>348</v>
      </c>
      <c r="I385" s="2" t="s">
        <v>601</v>
      </c>
      <c r="J385" s="2" t="s">
        <v>381</v>
      </c>
      <c r="K385" s="9">
        <v>45684</v>
      </c>
      <c r="L385" s="9">
        <v>45691</v>
      </c>
      <c r="M385" s="9">
        <v>45691</v>
      </c>
      <c r="N385" s="2" t="s">
        <v>696</v>
      </c>
      <c r="O385" s="2" t="s">
        <v>56</v>
      </c>
      <c r="P385" s="2" t="s">
        <v>165</v>
      </c>
      <c r="Q385" s="2" t="s">
        <v>185</v>
      </c>
      <c r="R385" s="2" t="s">
        <v>149</v>
      </c>
      <c r="S385" s="2" t="s">
        <v>383</v>
      </c>
      <c r="T385" s="10">
        <v>42.49</v>
      </c>
      <c r="U385" s="11">
        <v>1</v>
      </c>
      <c r="V385" s="12">
        <f>T385*U385</f>
        <v>42.49</v>
      </c>
      <c r="W385" s="13">
        <v>0</v>
      </c>
      <c r="X385" s="12">
        <f>V385-(V385/(1+W385))</f>
        <v>0</v>
      </c>
      <c r="Y385" s="12">
        <f>V385-X385</f>
        <v>42.49</v>
      </c>
      <c r="Z385" s="14">
        <v>75</v>
      </c>
      <c r="AA385" s="2" t="str">
        <f>IF(V385&gt;Z385,"Yes","No")</f>
        <v>No</v>
      </c>
      <c r="AB385" s="12">
        <f>V385-Z385</f>
        <v>-32.51</v>
      </c>
      <c r="AC385" s="15" t="s">
        <v>130</v>
      </c>
      <c r="AD385" s="15" t="s">
        <v>130</v>
      </c>
      <c r="AE385" s="15" t="s">
        <v>437</v>
      </c>
      <c r="AF385" s="12">
        <f>IF(AG385="Rejected",0,IF(R385="Corporate Card",0,V385))</f>
        <v>42.49</v>
      </c>
      <c r="AG385" s="15" t="s">
        <v>133</v>
      </c>
      <c r="AH385" s="16">
        <v>45702</v>
      </c>
      <c r="AI385" s="16">
        <v>45704</v>
      </c>
      <c r="AJ385" s="16">
        <v>45711</v>
      </c>
      <c r="AK385" s="17">
        <f>IF(AJ385="","",AJ385-AH385)</f>
        <v>9</v>
      </c>
    </row>
    <row r="386" spans="1:37">
      <c r="A386" s="2" t="s">
        <v>724</v>
      </c>
      <c r="B386" s="2" t="s">
        <v>597</v>
      </c>
      <c r="C386" s="2" t="s">
        <v>598</v>
      </c>
      <c r="D386" s="2" t="s">
        <v>414</v>
      </c>
      <c r="E386" s="2" t="s">
        <v>599</v>
      </c>
      <c r="F386" s="2" t="s">
        <v>413</v>
      </c>
      <c r="G386" s="2" t="s">
        <v>600</v>
      </c>
      <c r="H386" s="2" t="s">
        <v>348</v>
      </c>
      <c r="I386" s="2" t="s">
        <v>601</v>
      </c>
      <c r="J386" s="2" t="s">
        <v>381</v>
      </c>
      <c r="K386" s="9">
        <v>45684</v>
      </c>
      <c r="L386" s="9">
        <v>45691</v>
      </c>
      <c r="M386" s="9">
        <v>45691</v>
      </c>
      <c r="N386" s="2" t="s">
        <v>696</v>
      </c>
      <c r="O386" s="2" t="s">
        <v>55</v>
      </c>
      <c r="P386" s="2" t="s">
        <v>139</v>
      </c>
      <c r="Q386" s="2" t="s">
        <v>217</v>
      </c>
      <c r="R386" s="2" t="s">
        <v>128</v>
      </c>
      <c r="S386" s="2" t="s">
        <v>383</v>
      </c>
      <c r="T386" s="10">
        <v>20.69</v>
      </c>
      <c r="U386" s="11">
        <v>1</v>
      </c>
      <c r="V386" s="12">
        <f>T386*U386</f>
        <v>20.69</v>
      </c>
      <c r="W386" s="13">
        <v>0</v>
      </c>
      <c r="X386" s="12">
        <f>V386-(V386/(1+W386))</f>
        <v>0</v>
      </c>
      <c r="Y386" s="12">
        <f>V386-X386</f>
        <v>20.69</v>
      </c>
      <c r="Z386" s="14">
        <v>35</v>
      </c>
      <c r="AA386" s="2" t="str">
        <f>IF(V386&gt;Z386,"Yes","No")</f>
        <v>No</v>
      </c>
      <c r="AB386" s="12">
        <f>V386-Z386</f>
        <v>-14.309999999999999</v>
      </c>
      <c r="AC386" s="15" t="s">
        <v>130</v>
      </c>
      <c r="AD386" s="15" t="s">
        <v>130</v>
      </c>
      <c r="AE386" s="15" t="s">
        <v>437</v>
      </c>
      <c r="AF386" s="12">
        <f>IF(AG386="Rejected",0,IF(R386="Corporate Card",0,V386))</f>
        <v>0</v>
      </c>
      <c r="AG386" s="15" t="s">
        <v>133</v>
      </c>
      <c r="AH386" s="16">
        <v>45702</v>
      </c>
      <c r="AI386" s="16">
        <v>45704</v>
      </c>
      <c r="AJ386" s="16">
        <v>45711</v>
      </c>
      <c r="AK386" s="17">
        <f>IF(AJ386="","",AJ386-AH386)</f>
        <v>9</v>
      </c>
    </row>
    <row r="387" spans="1:37">
      <c r="A387" s="2" t="s">
        <v>725</v>
      </c>
      <c r="B387" s="2" t="s">
        <v>648</v>
      </c>
      <c r="C387" s="2" t="s">
        <v>173</v>
      </c>
      <c r="D387" s="2" t="s">
        <v>171</v>
      </c>
      <c r="E387" s="2" t="s">
        <v>649</v>
      </c>
      <c r="F387" s="2" t="s">
        <v>313</v>
      </c>
      <c r="G387" s="2" t="s">
        <v>650</v>
      </c>
      <c r="H387" s="2" t="s">
        <v>193</v>
      </c>
      <c r="I387" s="2" t="s">
        <v>651</v>
      </c>
      <c r="J387" s="2" t="s">
        <v>652</v>
      </c>
      <c r="K387" s="9">
        <v>45686</v>
      </c>
      <c r="L387" s="9">
        <v>45694</v>
      </c>
      <c r="M387" s="9">
        <v>45691</v>
      </c>
      <c r="N387" s="2" t="s">
        <v>696</v>
      </c>
      <c r="O387" s="2" t="s">
        <v>54</v>
      </c>
      <c r="P387" s="2" t="s">
        <v>139</v>
      </c>
      <c r="Q387" s="2" t="s">
        <v>214</v>
      </c>
      <c r="R387" s="2" t="s">
        <v>149</v>
      </c>
      <c r="S387" s="2" t="s">
        <v>654</v>
      </c>
      <c r="T387" s="10">
        <v>18.350000000000001</v>
      </c>
      <c r="U387" s="11">
        <v>0.72799999999999998</v>
      </c>
      <c r="V387" s="12">
        <f>T387*U387</f>
        <v>13.3588</v>
      </c>
      <c r="W387" s="13">
        <v>0.13</v>
      </c>
      <c r="X387" s="12">
        <f>V387-(V387/(1+W387))</f>
        <v>1.5368530973451318</v>
      </c>
      <c r="Y387" s="12">
        <f>V387-X387</f>
        <v>11.821946902654869</v>
      </c>
      <c r="Z387" s="14">
        <v>25</v>
      </c>
      <c r="AA387" s="2" t="str">
        <f>IF(V387&gt;Z387,"Yes","No")</f>
        <v>No</v>
      </c>
      <c r="AB387" s="12">
        <f>V387-Z387</f>
        <v>-11.6412</v>
      </c>
      <c r="AC387" s="15" t="s">
        <v>130</v>
      </c>
      <c r="AD387" s="15" t="s">
        <v>130</v>
      </c>
      <c r="AE387" s="15" t="s">
        <v>437</v>
      </c>
      <c r="AF387" s="12">
        <f>IF(AG387="Rejected",0,IF(R387="Corporate Card",0,V387))</f>
        <v>13.3588</v>
      </c>
      <c r="AG387" s="15" t="s">
        <v>181</v>
      </c>
      <c r="AH387" s="16">
        <v>45700</v>
      </c>
      <c r="AI387" s="16"/>
      <c r="AJ387" s="16"/>
      <c r="AK387" s="17" t="str">
        <f>IF(AJ387="","",AJ387-AH387)</f>
        <v/>
      </c>
    </row>
    <row r="388" spans="1:37">
      <c r="A388" s="2" t="s">
        <v>726</v>
      </c>
      <c r="B388" s="2" t="s">
        <v>648</v>
      </c>
      <c r="C388" s="2" t="s">
        <v>173</v>
      </c>
      <c r="D388" s="2" t="s">
        <v>171</v>
      </c>
      <c r="E388" s="2" t="s">
        <v>649</v>
      </c>
      <c r="F388" s="2" t="s">
        <v>313</v>
      </c>
      <c r="G388" s="2" t="s">
        <v>650</v>
      </c>
      <c r="H388" s="2" t="s">
        <v>193</v>
      </c>
      <c r="I388" s="2" t="s">
        <v>651</v>
      </c>
      <c r="J388" s="2" t="s">
        <v>652</v>
      </c>
      <c r="K388" s="9">
        <v>45686</v>
      </c>
      <c r="L388" s="9">
        <v>45694</v>
      </c>
      <c r="M388" s="9">
        <v>45691</v>
      </c>
      <c r="N388" s="2" t="s">
        <v>696</v>
      </c>
      <c r="O388" s="2" t="s">
        <v>56</v>
      </c>
      <c r="P388" s="2" t="s">
        <v>245</v>
      </c>
      <c r="Q388" s="2" t="s">
        <v>227</v>
      </c>
      <c r="R388" s="2" t="s">
        <v>128</v>
      </c>
      <c r="S388" s="2" t="s">
        <v>654</v>
      </c>
      <c r="T388" s="10">
        <v>76.88</v>
      </c>
      <c r="U388" s="11">
        <v>0.72799999999999998</v>
      </c>
      <c r="V388" s="12">
        <f>T388*U388</f>
        <v>55.968639999999994</v>
      </c>
      <c r="W388" s="13">
        <v>0.13</v>
      </c>
      <c r="X388" s="12">
        <f>V388-(V388/(1+W388))</f>
        <v>6.4388700884955696</v>
      </c>
      <c r="Y388" s="12">
        <f>V388-X388</f>
        <v>49.529769911504424</v>
      </c>
      <c r="Z388" s="14">
        <v>75</v>
      </c>
      <c r="AA388" s="2" t="str">
        <f>IF(V388&gt;Z388,"Yes","No")</f>
        <v>No</v>
      </c>
      <c r="AB388" s="12">
        <f>V388-Z388</f>
        <v>-19.031360000000006</v>
      </c>
      <c r="AC388" s="15" t="s">
        <v>130</v>
      </c>
      <c r="AD388" s="15" t="s">
        <v>130</v>
      </c>
      <c r="AE388" s="15" t="s">
        <v>437</v>
      </c>
      <c r="AF388" s="12">
        <f>IF(AG388="Rejected",0,IF(R388="Corporate Card",0,V388))</f>
        <v>0</v>
      </c>
      <c r="AG388" s="15" t="s">
        <v>181</v>
      </c>
      <c r="AH388" s="16">
        <v>45700</v>
      </c>
      <c r="AI388" s="16"/>
      <c r="AJ388" s="16"/>
      <c r="AK388" s="17" t="str">
        <f>IF(AJ388="","",AJ388-AH388)</f>
        <v/>
      </c>
    </row>
    <row r="389" spans="1:37">
      <c r="A389" s="2" t="s">
        <v>727</v>
      </c>
      <c r="B389" s="2" t="s">
        <v>648</v>
      </c>
      <c r="C389" s="2" t="s">
        <v>173</v>
      </c>
      <c r="D389" s="2" t="s">
        <v>171</v>
      </c>
      <c r="E389" s="2" t="s">
        <v>649</v>
      </c>
      <c r="F389" s="2" t="s">
        <v>313</v>
      </c>
      <c r="G389" s="2" t="s">
        <v>650</v>
      </c>
      <c r="H389" s="2" t="s">
        <v>193</v>
      </c>
      <c r="I389" s="2" t="s">
        <v>651</v>
      </c>
      <c r="J389" s="2" t="s">
        <v>652</v>
      </c>
      <c r="K389" s="9">
        <v>45686</v>
      </c>
      <c r="L389" s="9">
        <v>45694</v>
      </c>
      <c r="M389" s="9">
        <v>45691</v>
      </c>
      <c r="N389" s="2" t="s">
        <v>696</v>
      </c>
      <c r="O389" s="2" t="s">
        <v>55</v>
      </c>
      <c r="P389" s="2" t="s">
        <v>139</v>
      </c>
      <c r="Q389" s="2" t="s">
        <v>161</v>
      </c>
      <c r="R389" s="2" t="s">
        <v>137</v>
      </c>
      <c r="S389" s="2" t="s">
        <v>654</v>
      </c>
      <c r="T389" s="10">
        <v>44.62</v>
      </c>
      <c r="U389" s="11">
        <v>0.72799999999999998</v>
      </c>
      <c r="V389" s="12">
        <f>T389*U389</f>
        <v>32.483359999999998</v>
      </c>
      <c r="W389" s="13">
        <v>0.13</v>
      </c>
      <c r="X389" s="12">
        <f>V389-(V389/(1+W389))</f>
        <v>3.7370237168141571</v>
      </c>
      <c r="Y389" s="12">
        <f>V389-X389</f>
        <v>28.74633628318584</v>
      </c>
      <c r="Z389" s="14">
        <v>35</v>
      </c>
      <c r="AA389" s="2" t="str">
        <f>IF(V389&gt;Z389,"Yes","No")</f>
        <v>No</v>
      </c>
      <c r="AB389" s="12">
        <f>V389-Z389</f>
        <v>-2.5166400000000024</v>
      </c>
      <c r="AC389" s="15" t="s">
        <v>130</v>
      </c>
      <c r="AD389" s="15" t="s">
        <v>130</v>
      </c>
      <c r="AE389" s="15" t="s">
        <v>437</v>
      </c>
      <c r="AF389" s="12">
        <f>IF(AG389="Rejected",0,IF(R389="Corporate Card",0,V389))</f>
        <v>32.483359999999998</v>
      </c>
      <c r="AG389" s="15" t="s">
        <v>181</v>
      </c>
      <c r="AH389" s="16">
        <v>45700</v>
      </c>
      <c r="AI389" s="16"/>
      <c r="AJ389" s="16"/>
      <c r="AK389" s="17" t="str">
        <f>IF(AJ389="","",AJ389-AH389)</f>
        <v/>
      </c>
    </row>
    <row r="390" spans="1:37">
      <c r="A390" s="2" t="s">
        <v>728</v>
      </c>
      <c r="B390" s="2" t="s">
        <v>509</v>
      </c>
      <c r="C390" s="2" t="s">
        <v>510</v>
      </c>
      <c r="D390" s="2" t="s">
        <v>250</v>
      </c>
      <c r="E390" s="2" t="s">
        <v>511</v>
      </c>
      <c r="F390" s="2" t="s">
        <v>313</v>
      </c>
      <c r="G390" s="2" t="s">
        <v>688</v>
      </c>
      <c r="H390" s="2" t="s">
        <v>254</v>
      </c>
      <c r="I390" s="2" t="s">
        <v>123</v>
      </c>
      <c r="J390" s="2" t="s">
        <v>124</v>
      </c>
      <c r="K390" s="9">
        <v>45688</v>
      </c>
      <c r="L390" s="9">
        <v>45695</v>
      </c>
      <c r="M390" s="9">
        <v>45691</v>
      </c>
      <c r="N390" s="2" t="s">
        <v>696</v>
      </c>
      <c r="O390" s="2" t="s">
        <v>54</v>
      </c>
      <c r="P390" s="2" t="s">
        <v>139</v>
      </c>
      <c r="Q390" s="2" t="s">
        <v>148</v>
      </c>
      <c r="R390" s="2" t="s">
        <v>128</v>
      </c>
      <c r="S390" s="2" t="s">
        <v>129</v>
      </c>
      <c r="T390" s="10">
        <v>15.91</v>
      </c>
      <c r="U390" s="11">
        <v>1.272</v>
      </c>
      <c r="V390" s="12">
        <f>T390*U390</f>
        <v>20.23752</v>
      </c>
      <c r="W390" s="13">
        <v>0.2</v>
      </c>
      <c r="X390" s="12">
        <f>V390-(V390/(1+W390))</f>
        <v>3.3729200000000006</v>
      </c>
      <c r="Y390" s="12">
        <f>V390-X390</f>
        <v>16.864599999999999</v>
      </c>
      <c r="Z390" s="14">
        <v>25</v>
      </c>
      <c r="AA390" s="2" t="str">
        <f>IF(V390&gt;Z390,"Yes","No")</f>
        <v>No</v>
      </c>
      <c r="AB390" s="12">
        <f>V390-Z390</f>
        <v>-4.76248</v>
      </c>
      <c r="AC390" s="15" t="s">
        <v>130</v>
      </c>
      <c r="AD390" s="15" t="s">
        <v>130</v>
      </c>
      <c r="AE390" s="15" t="s">
        <v>180</v>
      </c>
      <c r="AF390" s="12">
        <f>IF(AG390="Rejected",0,IF(R390="Corporate Card",0,V390))</f>
        <v>0</v>
      </c>
      <c r="AG390" s="15" t="s">
        <v>133</v>
      </c>
      <c r="AH390" s="16">
        <v>45706</v>
      </c>
      <c r="AI390" s="16">
        <v>45714</v>
      </c>
      <c r="AJ390" s="16">
        <v>45720</v>
      </c>
      <c r="AK390" s="17">
        <f>IF(AJ390="","",AJ390-AH390)</f>
        <v>14</v>
      </c>
    </row>
    <row r="391" spans="1:37">
      <c r="A391" s="2" t="s">
        <v>729</v>
      </c>
      <c r="B391" s="2" t="s">
        <v>509</v>
      </c>
      <c r="C391" s="2" t="s">
        <v>510</v>
      </c>
      <c r="D391" s="2" t="s">
        <v>250</v>
      </c>
      <c r="E391" s="2" t="s">
        <v>511</v>
      </c>
      <c r="F391" s="2" t="s">
        <v>313</v>
      </c>
      <c r="G391" s="2" t="s">
        <v>688</v>
      </c>
      <c r="H391" s="2" t="s">
        <v>254</v>
      </c>
      <c r="I391" s="2" t="s">
        <v>123</v>
      </c>
      <c r="J391" s="2" t="s">
        <v>124</v>
      </c>
      <c r="K391" s="9">
        <v>45688</v>
      </c>
      <c r="L391" s="9">
        <v>45695</v>
      </c>
      <c r="M391" s="9">
        <v>45691</v>
      </c>
      <c r="N391" s="2" t="s">
        <v>696</v>
      </c>
      <c r="O391" s="2" t="s">
        <v>56</v>
      </c>
      <c r="P391" s="2" t="s">
        <v>245</v>
      </c>
      <c r="Q391" s="2" t="s">
        <v>152</v>
      </c>
      <c r="R391" s="2" t="s">
        <v>149</v>
      </c>
      <c r="S391" s="2" t="s">
        <v>129</v>
      </c>
      <c r="T391" s="10">
        <v>77.349999999999994</v>
      </c>
      <c r="U391" s="11">
        <v>1.272</v>
      </c>
      <c r="V391" s="12">
        <f>T391*U391</f>
        <v>98.389199999999988</v>
      </c>
      <c r="W391" s="13">
        <v>0.2</v>
      </c>
      <c r="X391" s="12">
        <f>V391-(V391/(1+W391))</f>
        <v>16.398199999999989</v>
      </c>
      <c r="Y391" s="12">
        <f>V391-X391</f>
        <v>81.991</v>
      </c>
      <c r="Z391" s="14">
        <v>75</v>
      </c>
      <c r="AA391" s="2" t="str">
        <f>IF(V391&gt;Z391,"Yes","No")</f>
        <v>Yes</v>
      </c>
      <c r="AB391" s="12">
        <f>V391-Z391</f>
        <v>23.389199999999988</v>
      </c>
      <c r="AC391" s="15" t="s">
        <v>130</v>
      </c>
      <c r="AD391" s="15" t="s">
        <v>130</v>
      </c>
      <c r="AE391" s="15" t="s">
        <v>180</v>
      </c>
      <c r="AF391" s="12">
        <f>IF(AG391="Rejected",0,IF(R391="Corporate Card",0,V391))</f>
        <v>98.389199999999988</v>
      </c>
      <c r="AG391" s="15" t="s">
        <v>133</v>
      </c>
      <c r="AH391" s="16">
        <v>45706</v>
      </c>
      <c r="AI391" s="16">
        <v>45714</v>
      </c>
      <c r="AJ391" s="16">
        <v>45720</v>
      </c>
      <c r="AK391" s="17">
        <f>IF(AJ391="","",AJ391-AH391)</f>
        <v>14</v>
      </c>
    </row>
    <row r="392" spans="1:37">
      <c r="A392" s="2" t="s">
        <v>730</v>
      </c>
      <c r="B392" s="2" t="s">
        <v>509</v>
      </c>
      <c r="C392" s="2" t="s">
        <v>510</v>
      </c>
      <c r="D392" s="2" t="s">
        <v>250</v>
      </c>
      <c r="E392" s="2" t="s">
        <v>511</v>
      </c>
      <c r="F392" s="2" t="s">
        <v>313</v>
      </c>
      <c r="G392" s="2" t="s">
        <v>688</v>
      </c>
      <c r="H392" s="2" t="s">
        <v>254</v>
      </c>
      <c r="I392" s="2" t="s">
        <v>123</v>
      </c>
      <c r="J392" s="2" t="s">
        <v>124</v>
      </c>
      <c r="K392" s="9">
        <v>45688</v>
      </c>
      <c r="L392" s="9">
        <v>45695</v>
      </c>
      <c r="M392" s="9">
        <v>45691</v>
      </c>
      <c r="N392" s="2" t="s">
        <v>696</v>
      </c>
      <c r="O392" s="2" t="s">
        <v>55</v>
      </c>
      <c r="P392" s="2" t="s">
        <v>139</v>
      </c>
      <c r="Q392" s="2" t="s">
        <v>161</v>
      </c>
      <c r="R392" s="2" t="s">
        <v>137</v>
      </c>
      <c r="S392" s="2" t="s">
        <v>129</v>
      </c>
      <c r="T392" s="10">
        <v>21.13</v>
      </c>
      <c r="U392" s="11">
        <v>1.272</v>
      </c>
      <c r="V392" s="12">
        <f>T392*U392</f>
        <v>26.877359999999999</v>
      </c>
      <c r="W392" s="13">
        <v>0.2</v>
      </c>
      <c r="X392" s="12">
        <f>V392-(V392/(1+W392))</f>
        <v>4.4795599999999993</v>
      </c>
      <c r="Y392" s="12">
        <f>V392-X392</f>
        <v>22.3978</v>
      </c>
      <c r="Z392" s="14">
        <v>35</v>
      </c>
      <c r="AA392" s="2" t="str">
        <f>IF(V392&gt;Z392,"Yes","No")</f>
        <v>No</v>
      </c>
      <c r="AB392" s="12">
        <f>V392-Z392</f>
        <v>-8.1226400000000005</v>
      </c>
      <c r="AC392" s="15" t="s">
        <v>130</v>
      </c>
      <c r="AD392" s="15" t="s">
        <v>130</v>
      </c>
      <c r="AE392" s="15" t="s">
        <v>180</v>
      </c>
      <c r="AF392" s="12">
        <f>IF(AG392="Rejected",0,IF(R392="Corporate Card",0,V392))</f>
        <v>26.877359999999999</v>
      </c>
      <c r="AG392" s="15" t="s">
        <v>133</v>
      </c>
      <c r="AH392" s="16">
        <v>45706</v>
      </c>
      <c r="AI392" s="16">
        <v>45714</v>
      </c>
      <c r="AJ392" s="16">
        <v>45720</v>
      </c>
      <c r="AK392" s="17">
        <f>IF(AJ392="","",AJ392-AH392)</f>
        <v>14</v>
      </c>
    </row>
    <row r="393" spans="1:37">
      <c r="A393" s="2" t="s">
        <v>731</v>
      </c>
      <c r="B393" s="2" t="s">
        <v>648</v>
      </c>
      <c r="C393" s="2" t="s">
        <v>173</v>
      </c>
      <c r="D393" s="2" t="s">
        <v>171</v>
      </c>
      <c r="E393" s="2" t="s">
        <v>649</v>
      </c>
      <c r="F393" s="2" t="s">
        <v>313</v>
      </c>
      <c r="G393" s="2" t="s">
        <v>650</v>
      </c>
      <c r="H393" s="2" t="s">
        <v>193</v>
      </c>
      <c r="I393" s="2" t="s">
        <v>651</v>
      </c>
      <c r="J393" s="2" t="s">
        <v>652</v>
      </c>
      <c r="K393" s="9">
        <v>45686</v>
      </c>
      <c r="L393" s="9">
        <v>45694</v>
      </c>
      <c r="M393" s="9">
        <v>45692</v>
      </c>
      <c r="N393" s="2" t="s">
        <v>696</v>
      </c>
      <c r="O393" s="2" t="s">
        <v>58</v>
      </c>
      <c r="P393" s="2" t="s">
        <v>142</v>
      </c>
      <c r="Q393" s="2" t="s">
        <v>143</v>
      </c>
      <c r="R393" s="2" t="s">
        <v>137</v>
      </c>
      <c r="S393" s="2" t="s">
        <v>654</v>
      </c>
      <c r="T393" s="10">
        <v>32.119999999999997</v>
      </c>
      <c r="U393" s="11">
        <v>0.72799999999999998</v>
      </c>
      <c r="V393" s="12">
        <f>T393*U393</f>
        <v>23.383359999999996</v>
      </c>
      <c r="W393" s="13">
        <v>0.13</v>
      </c>
      <c r="X393" s="12">
        <f>V393-(V393/(1+W393))</f>
        <v>2.6901210619469005</v>
      </c>
      <c r="Y393" s="12">
        <f>V393-X393</f>
        <v>20.693238938053096</v>
      </c>
      <c r="Z393" s="14">
        <v>60</v>
      </c>
      <c r="AA393" s="2" t="str">
        <f>IF(V393&gt;Z393,"Yes","No")</f>
        <v>No</v>
      </c>
      <c r="AB393" s="12">
        <f>V393-Z393</f>
        <v>-36.616640000000004</v>
      </c>
      <c r="AC393" s="15" t="s">
        <v>130</v>
      </c>
      <c r="AD393" s="15" t="s">
        <v>130</v>
      </c>
      <c r="AE393" s="15" t="s">
        <v>437</v>
      </c>
      <c r="AF393" s="12">
        <f>IF(AG393="Rejected",0,IF(R393="Corporate Card",0,V393))</f>
        <v>23.383359999999996</v>
      </c>
      <c r="AG393" s="15" t="s">
        <v>181</v>
      </c>
      <c r="AH393" s="16">
        <v>45700</v>
      </c>
      <c r="AI393" s="16"/>
      <c r="AJ393" s="16"/>
      <c r="AK393" s="17" t="str">
        <f>IF(AJ393="","",AJ393-AH393)</f>
        <v/>
      </c>
    </row>
    <row r="394" spans="1:37">
      <c r="A394" s="2" t="s">
        <v>732</v>
      </c>
      <c r="B394" s="2" t="s">
        <v>509</v>
      </c>
      <c r="C394" s="2" t="s">
        <v>510</v>
      </c>
      <c r="D394" s="2" t="s">
        <v>250</v>
      </c>
      <c r="E394" s="2" t="s">
        <v>511</v>
      </c>
      <c r="F394" s="2" t="s">
        <v>313</v>
      </c>
      <c r="G394" s="2" t="s">
        <v>688</v>
      </c>
      <c r="H394" s="2" t="s">
        <v>254</v>
      </c>
      <c r="I394" s="2" t="s">
        <v>123</v>
      </c>
      <c r="J394" s="2" t="s">
        <v>124</v>
      </c>
      <c r="K394" s="9">
        <v>45688</v>
      </c>
      <c r="L394" s="9">
        <v>45695</v>
      </c>
      <c r="M394" s="9">
        <v>45692</v>
      </c>
      <c r="N394" s="2" t="s">
        <v>696</v>
      </c>
      <c r="O394" s="2" t="s">
        <v>58</v>
      </c>
      <c r="P394" s="2" t="s">
        <v>142</v>
      </c>
      <c r="Q394" s="2" t="s">
        <v>156</v>
      </c>
      <c r="R394" s="2" t="s">
        <v>128</v>
      </c>
      <c r="S394" s="2" t="s">
        <v>129</v>
      </c>
      <c r="T394" s="10">
        <v>24.97</v>
      </c>
      <c r="U394" s="11">
        <v>1.272</v>
      </c>
      <c r="V394" s="12">
        <f>T394*U394</f>
        <v>31.761839999999999</v>
      </c>
      <c r="W394" s="13">
        <v>0.2</v>
      </c>
      <c r="X394" s="12">
        <f>V394-(V394/(1+W394))</f>
        <v>5.2936399999999999</v>
      </c>
      <c r="Y394" s="12">
        <f>V394-X394</f>
        <v>26.4682</v>
      </c>
      <c r="Z394" s="14">
        <v>60</v>
      </c>
      <c r="AA394" s="2" t="str">
        <f>IF(V394&gt;Z394,"Yes","No")</f>
        <v>No</v>
      </c>
      <c r="AB394" s="12">
        <f>V394-Z394</f>
        <v>-28.238160000000001</v>
      </c>
      <c r="AC394" s="15" t="s">
        <v>130</v>
      </c>
      <c r="AD394" s="15" t="s">
        <v>130</v>
      </c>
      <c r="AE394" s="15" t="s">
        <v>180</v>
      </c>
      <c r="AF394" s="12">
        <f>IF(AG394="Rejected",0,IF(R394="Corporate Card",0,V394))</f>
        <v>0</v>
      </c>
      <c r="AG394" s="15" t="s">
        <v>133</v>
      </c>
      <c r="AH394" s="16">
        <v>45706</v>
      </c>
      <c r="AI394" s="16">
        <v>45714</v>
      </c>
      <c r="AJ394" s="16">
        <v>45720</v>
      </c>
      <c r="AK394" s="17">
        <f>IF(AJ394="","",AJ394-AH394)</f>
        <v>14</v>
      </c>
    </row>
    <row r="395" spans="1:37">
      <c r="A395" s="2" t="s">
        <v>733</v>
      </c>
      <c r="B395" s="2" t="s">
        <v>509</v>
      </c>
      <c r="C395" s="2" t="s">
        <v>510</v>
      </c>
      <c r="D395" s="2" t="s">
        <v>250</v>
      </c>
      <c r="E395" s="2" t="s">
        <v>511</v>
      </c>
      <c r="F395" s="2" t="s">
        <v>313</v>
      </c>
      <c r="G395" s="2" t="s">
        <v>688</v>
      </c>
      <c r="H395" s="2" t="s">
        <v>254</v>
      </c>
      <c r="I395" s="2" t="s">
        <v>123</v>
      </c>
      <c r="J395" s="2" t="s">
        <v>124</v>
      </c>
      <c r="K395" s="9">
        <v>45688</v>
      </c>
      <c r="L395" s="9">
        <v>45695</v>
      </c>
      <c r="M395" s="9">
        <v>45692</v>
      </c>
      <c r="N395" s="2" t="s">
        <v>696</v>
      </c>
      <c r="O395" s="2" t="s">
        <v>54</v>
      </c>
      <c r="P395" s="2" t="s">
        <v>139</v>
      </c>
      <c r="Q395" s="2" t="s">
        <v>140</v>
      </c>
      <c r="R395" s="2" t="s">
        <v>128</v>
      </c>
      <c r="S395" s="2" t="s">
        <v>129</v>
      </c>
      <c r="T395" s="10">
        <v>14.11</v>
      </c>
      <c r="U395" s="11">
        <v>1.272</v>
      </c>
      <c r="V395" s="12">
        <f>T395*U395</f>
        <v>17.94792</v>
      </c>
      <c r="W395" s="13">
        <v>0.2</v>
      </c>
      <c r="X395" s="12">
        <f>V395-(V395/(1+W395))</f>
        <v>2.99132</v>
      </c>
      <c r="Y395" s="12">
        <f>V395-X395</f>
        <v>14.9566</v>
      </c>
      <c r="Z395" s="14">
        <v>25</v>
      </c>
      <c r="AA395" s="2" t="str">
        <f>IF(V395&gt;Z395,"Yes","No")</f>
        <v>No</v>
      </c>
      <c r="AB395" s="12">
        <f>V395-Z395</f>
        <v>-7.0520800000000001</v>
      </c>
      <c r="AC395" s="15" t="s">
        <v>130</v>
      </c>
      <c r="AD395" s="15" t="s">
        <v>130</v>
      </c>
      <c r="AE395" s="15" t="s">
        <v>180</v>
      </c>
      <c r="AF395" s="12">
        <f>IF(AG395="Rejected",0,IF(R395="Corporate Card",0,V395))</f>
        <v>0</v>
      </c>
      <c r="AG395" s="15" t="s">
        <v>133</v>
      </c>
      <c r="AH395" s="16">
        <v>45706</v>
      </c>
      <c r="AI395" s="16">
        <v>45714</v>
      </c>
      <c r="AJ395" s="16">
        <v>45720</v>
      </c>
      <c r="AK395" s="17">
        <f>IF(AJ395="","",AJ395-AH395)</f>
        <v>14</v>
      </c>
    </row>
    <row r="396" spans="1:37">
      <c r="A396" s="2" t="s">
        <v>734</v>
      </c>
      <c r="B396" s="2" t="s">
        <v>509</v>
      </c>
      <c r="C396" s="2" t="s">
        <v>510</v>
      </c>
      <c r="D396" s="2" t="s">
        <v>250</v>
      </c>
      <c r="E396" s="2" t="s">
        <v>511</v>
      </c>
      <c r="F396" s="2" t="s">
        <v>313</v>
      </c>
      <c r="G396" s="2" t="s">
        <v>688</v>
      </c>
      <c r="H396" s="2" t="s">
        <v>254</v>
      </c>
      <c r="I396" s="2" t="s">
        <v>123</v>
      </c>
      <c r="J396" s="2" t="s">
        <v>124</v>
      </c>
      <c r="K396" s="9">
        <v>45688</v>
      </c>
      <c r="L396" s="9">
        <v>45695</v>
      </c>
      <c r="M396" s="9">
        <v>45692</v>
      </c>
      <c r="N396" s="2" t="s">
        <v>696</v>
      </c>
      <c r="O396" s="2" t="s">
        <v>56</v>
      </c>
      <c r="P396" s="2" t="s">
        <v>245</v>
      </c>
      <c r="Q396" s="2" t="s">
        <v>159</v>
      </c>
      <c r="R396" s="2" t="s">
        <v>128</v>
      </c>
      <c r="S396" s="2" t="s">
        <v>129</v>
      </c>
      <c r="T396" s="10">
        <v>42.67</v>
      </c>
      <c r="U396" s="11">
        <v>1.272</v>
      </c>
      <c r="V396" s="12">
        <f>T396*U396</f>
        <v>54.276240000000001</v>
      </c>
      <c r="W396" s="13">
        <v>0.2</v>
      </c>
      <c r="X396" s="12">
        <f>V396-(V396/(1+W396))</f>
        <v>9.0460399999999979</v>
      </c>
      <c r="Y396" s="12">
        <f>V396-X396</f>
        <v>45.230200000000004</v>
      </c>
      <c r="Z396" s="14">
        <v>75</v>
      </c>
      <c r="AA396" s="2" t="str">
        <f>IF(V396&gt;Z396,"Yes","No")</f>
        <v>No</v>
      </c>
      <c r="AB396" s="12">
        <f>V396-Z396</f>
        <v>-20.723759999999999</v>
      </c>
      <c r="AC396" s="15" t="s">
        <v>130</v>
      </c>
      <c r="AD396" s="15" t="s">
        <v>130</v>
      </c>
      <c r="AE396" s="15" t="s">
        <v>180</v>
      </c>
      <c r="AF396" s="12">
        <f>IF(AG396="Rejected",0,IF(R396="Corporate Card",0,V396))</f>
        <v>0</v>
      </c>
      <c r="AG396" s="15" t="s">
        <v>133</v>
      </c>
      <c r="AH396" s="16">
        <v>45706</v>
      </c>
      <c r="AI396" s="16">
        <v>45714</v>
      </c>
      <c r="AJ396" s="16">
        <v>45720</v>
      </c>
      <c r="AK396" s="17">
        <f>IF(AJ396="","",AJ396-AH396)</f>
        <v>14</v>
      </c>
    </row>
    <row r="397" spans="1:37">
      <c r="A397" s="2" t="s">
        <v>735</v>
      </c>
      <c r="B397" s="2" t="s">
        <v>509</v>
      </c>
      <c r="C397" s="2" t="s">
        <v>510</v>
      </c>
      <c r="D397" s="2" t="s">
        <v>250</v>
      </c>
      <c r="E397" s="2" t="s">
        <v>511</v>
      </c>
      <c r="F397" s="2" t="s">
        <v>313</v>
      </c>
      <c r="G397" s="2" t="s">
        <v>688</v>
      </c>
      <c r="H397" s="2" t="s">
        <v>254</v>
      </c>
      <c r="I397" s="2" t="s">
        <v>123</v>
      </c>
      <c r="J397" s="2" t="s">
        <v>124</v>
      </c>
      <c r="K397" s="9">
        <v>45688</v>
      </c>
      <c r="L397" s="9">
        <v>45695</v>
      </c>
      <c r="M397" s="9">
        <v>45692</v>
      </c>
      <c r="N397" s="2" t="s">
        <v>696</v>
      </c>
      <c r="O397" s="2" t="s">
        <v>55</v>
      </c>
      <c r="P397" s="2" t="s">
        <v>139</v>
      </c>
      <c r="Q397" s="2" t="s">
        <v>187</v>
      </c>
      <c r="R397" s="2" t="s">
        <v>128</v>
      </c>
      <c r="S397" s="2" t="s">
        <v>129</v>
      </c>
      <c r="T397" s="10">
        <v>11.76</v>
      </c>
      <c r="U397" s="11">
        <v>1.272</v>
      </c>
      <c r="V397" s="12">
        <f>T397*U397</f>
        <v>14.95872</v>
      </c>
      <c r="W397" s="13">
        <v>0.2</v>
      </c>
      <c r="X397" s="12">
        <f>V397-(V397/(1+W397))</f>
        <v>2.4931199999999993</v>
      </c>
      <c r="Y397" s="12">
        <f>V397-X397</f>
        <v>12.4656</v>
      </c>
      <c r="Z397" s="14">
        <v>35</v>
      </c>
      <c r="AA397" s="2" t="str">
        <f>IF(V397&gt;Z397,"Yes","No")</f>
        <v>No</v>
      </c>
      <c r="AB397" s="12">
        <f>V397-Z397</f>
        <v>-20.04128</v>
      </c>
      <c r="AC397" s="15" t="s">
        <v>130</v>
      </c>
      <c r="AD397" s="15" t="s">
        <v>130</v>
      </c>
      <c r="AE397" s="15" t="s">
        <v>180</v>
      </c>
      <c r="AF397" s="12">
        <f>IF(AG397="Rejected",0,IF(R397="Corporate Card",0,V397))</f>
        <v>0</v>
      </c>
      <c r="AG397" s="15" t="s">
        <v>133</v>
      </c>
      <c r="AH397" s="16">
        <v>45706</v>
      </c>
      <c r="AI397" s="16">
        <v>45714</v>
      </c>
      <c r="AJ397" s="16">
        <v>45720</v>
      </c>
      <c r="AK397" s="17">
        <f>IF(AJ397="","",AJ397-AH397)</f>
        <v>14</v>
      </c>
    </row>
    <row r="398" spans="1:37">
      <c r="A398" s="2" t="s">
        <v>736</v>
      </c>
      <c r="B398" s="2" t="s">
        <v>648</v>
      </c>
      <c r="C398" s="2" t="s">
        <v>173</v>
      </c>
      <c r="D398" s="2" t="s">
        <v>171</v>
      </c>
      <c r="E398" s="2" t="s">
        <v>649</v>
      </c>
      <c r="F398" s="2" t="s">
        <v>313</v>
      </c>
      <c r="G398" s="2" t="s">
        <v>650</v>
      </c>
      <c r="H398" s="2" t="s">
        <v>193</v>
      </c>
      <c r="I398" s="2" t="s">
        <v>651</v>
      </c>
      <c r="J398" s="2" t="s">
        <v>652</v>
      </c>
      <c r="K398" s="9">
        <v>45686</v>
      </c>
      <c r="L398" s="9">
        <v>45694</v>
      </c>
      <c r="M398" s="9">
        <v>45693</v>
      </c>
      <c r="N398" s="2" t="s">
        <v>696</v>
      </c>
      <c r="O398" s="2" t="s">
        <v>57</v>
      </c>
      <c r="P398" s="2" t="s">
        <v>398</v>
      </c>
      <c r="Q398" s="2" t="s">
        <v>399</v>
      </c>
      <c r="R398" s="2" t="s">
        <v>149</v>
      </c>
      <c r="S398" s="2" t="s">
        <v>654</v>
      </c>
      <c r="T398" s="10">
        <v>342.97</v>
      </c>
      <c r="U398" s="11">
        <v>0.72799999999999998</v>
      </c>
      <c r="V398" s="12">
        <f>T398*U398</f>
        <v>249.68216000000001</v>
      </c>
      <c r="W398" s="13">
        <v>0.13</v>
      </c>
      <c r="X398" s="12">
        <f>V398-(V398/(1+W398))</f>
        <v>28.724496283185829</v>
      </c>
      <c r="Y398" s="12">
        <f>V398-X398</f>
        <v>220.95766371681418</v>
      </c>
      <c r="Z398" s="14">
        <v>200</v>
      </c>
      <c r="AA398" s="2" t="str">
        <f>IF(V398&gt;Z398,"Yes","No")</f>
        <v>Yes</v>
      </c>
      <c r="AB398" s="12">
        <f>V398-Z398</f>
        <v>49.68216000000001</v>
      </c>
      <c r="AC398" s="15" t="s">
        <v>130</v>
      </c>
      <c r="AD398" s="15" t="s">
        <v>130</v>
      </c>
      <c r="AE398" s="15" t="s">
        <v>437</v>
      </c>
      <c r="AF398" s="12">
        <f>IF(AG398="Rejected",0,IF(R398="Corporate Card",0,V398))</f>
        <v>249.68216000000001</v>
      </c>
      <c r="AG398" s="15" t="s">
        <v>181</v>
      </c>
      <c r="AH398" s="16">
        <v>45700</v>
      </c>
      <c r="AI398" s="16"/>
      <c r="AJ398" s="16"/>
      <c r="AK398" s="17" t="str">
        <f>IF(AJ398="","",AJ398-AH398)</f>
        <v/>
      </c>
    </row>
    <row r="399" spans="1:37">
      <c r="A399" s="2" t="s">
        <v>737</v>
      </c>
      <c r="B399" s="2" t="s">
        <v>648</v>
      </c>
      <c r="C399" s="2" t="s">
        <v>173</v>
      </c>
      <c r="D399" s="2" t="s">
        <v>171</v>
      </c>
      <c r="E399" s="2" t="s">
        <v>649</v>
      </c>
      <c r="F399" s="2" t="s">
        <v>313</v>
      </c>
      <c r="G399" s="2" t="s">
        <v>650</v>
      </c>
      <c r="H399" s="2" t="s">
        <v>193</v>
      </c>
      <c r="I399" s="2" t="s">
        <v>651</v>
      </c>
      <c r="J399" s="2" t="s">
        <v>652</v>
      </c>
      <c r="K399" s="9">
        <v>45686</v>
      </c>
      <c r="L399" s="9">
        <v>45694</v>
      </c>
      <c r="M399" s="9">
        <v>45693</v>
      </c>
      <c r="N399" s="2" t="s">
        <v>696</v>
      </c>
      <c r="O399" s="2" t="s">
        <v>67</v>
      </c>
      <c r="P399" s="2" t="s">
        <v>401</v>
      </c>
      <c r="Q399" s="2" t="s">
        <v>402</v>
      </c>
      <c r="R399" s="2" t="s">
        <v>128</v>
      </c>
      <c r="S399" s="2" t="s">
        <v>654</v>
      </c>
      <c r="T399" s="10">
        <v>211.85</v>
      </c>
      <c r="U399" s="11">
        <v>0.72799999999999998</v>
      </c>
      <c r="V399" s="12">
        <f>T399*U399</f>
        <v>154.2268</v>
      </c>
      <c r="W399" s="13">
        <v>0.13</v>
      </c>
      <c r="X399" s="12">
        <f>V399-(V399/(1+W399))</f>
        <v>17.742906194690249</v>
      </c>
      <c r="Y399" s="12">
        <f>V399-X399</f>
        <v>136.48389380530975</v>
      </c>
      <c r="Z399" s="14">
        <v>100</v>
      </c>
      <c r="AA399" s="2" t="str">
        <f>IF(V399&gt;Z399,"Yes","No")</f>
        <v>Yes</v>
      </c>
      <c r="AB399" s="12">
        <f>V399-Z399</f>
        <v>54.226799999999997</v>
      </c>
      <c r="AC399" s="15" t="s">
        <v>130</v>
      </c>
      <c r="AD399" s="15" t="s">
        <v>130</v>
      </c>
      <c r="AE399" s="15" t="s">
        <v>437</v>
      </c>
      <c r="AF399" s="12">
        <f>IF(AG399="Rejected",0,IF(R399="Corporate Card",0,V399))</f>
        <v>0</v>
      </c>
      <c r="AG399" s="15" t="s">
        <v>181</v>
      </c>
      <c r="AH399" s="16">
        <v>45700</v>
      </c>
      <c r="AI399" s="16"/>
      <c r="AJ399" s="16"/>
      <c r="AK399" s="17" t="str">
        <f>IF(AJ399="","",AJ399-AH399)</f>
        <v/>
      </c>
    </row>
    <row r="400" spans="1:37">
      <c r="A400" s="2" t="s">
        <v>738</v>
      </c>
      <c r="B400" s="2" t="s">
        <v>648</v>
      </c>
      <c r="C400" s="2" t="s">
        <v>173</v>
      </c>
      <c r="D400" s="2" t="s">
        <v>171</v>
      </c>
      <c r="E400" s="2" t="s">
        <v>649</v>
      </c>
      <c r="F400" s="2" t="s">
        <v>313</v>
      </c>
      <c r="G400" s="2" t="s">
        <v>650</v>
      </c>
      <c r="H400" s="2" t="s">
        <v>193</v>
      </c>
      <c r="I400" s="2" t="s">
        <v>651</v>
      </c>
      <c r="J400" s="2" t="s">
        <v>652</v>
      </c>
      <c r="K400" s="9">
        <v>45686</v>
      </c>
      <c r="L400" s="9">
        <v>45694</v>
      </c>
      <c r="M400" s="9">
        <v>45693</v>
      </c>
      <c r="N400" s="2" t="s">
        <v>696</v>
      </c>
      <c r="O400" s="2" t="s">
        <v>58</v>
      </c>
      <c r="P400" s="2" t="s">
        <v>142</v>
      </c>
      <c r="Q400" s="2" t="s">
        <v>143</v>
      </c>
      <c r="R400" s="2" t="s">
        <v>149</v>
      </c>
      <c r="S400" s="2" t="s">
        <v>654</v>
      </c>
      <c r="T400" s="10">
        <v>39.75</v>
      </c>
      <c r="U400" s="11">
        <v>0.72799999999999998</v>
      </c>
      <c r="V400" s="12">
        <f>T400*U400</f>
        <v>28.937999999999999</v>
      </c>
      <c r="W400" s="13">
        <v>0.13</v>
      </c>
      <c r="X400" s="12">
        <f>V400-(V400/(1+W400))</f>
        <v>3.3291504424778751</v>
      </c>
      <c r="Y400" s="12">
        <f>V400-X400</f>
        <v>25.608849557522124</v>
      </c>
      <c r="Z400" s="14">
        <v>60</v>
      </c>
      <c r="AA400" s="2" t="str">
        <f>IF(V400&gt;Z400,"Yes","No")</f>
        <v>No</v>
      </c>
      <c r="AB400" s="12">
        <f>V400-Z400</f>
        <v>-31.062000000000001</v>
      </c>
      <c r="AC400" s="15" t="s">
        <v>130</v>
      </c>
      <c r="AD400" s="15" t="s">
        <v>130</v>
      </c>
      <c r="AE400" s="15" t="s">
        <v>437</v>
      </c>
      <c r="AF400" s="12">
        <f>IF(AG400="Rejected",0,IF(R400="Corporate Card",0,V400))</f>
        <v>28.937999999999999</v>
      </c>
      <c r="AG400" s="15" t="s">
        <v>181</v>
      </c>
      <c r="AH400" s="16">
        <v>45700</v>
      </c>
      <c r="AI400" s="16"/>
      <c r="AJ400" s="16"/>
      <c r="AK400" s="17" t="str">
        <f>IF(AJ400="","",AJ400-AH400)</f>
        <v/>
      </c>
    </row>
    <row r="401" spans="1:37">
      <c r="A401" s="2" t="s">
        <v>739</v>
      </c>
      <c r="B401" s="2" t="s">
        <v>648</v>
      </c>
      <c r="C401" s="2" t="s">
        <v>173</v>
      </c>
      <c r="D401" s="2" t="s">
        <v>171</v>
      </c>
      <c r="E401" s="2" t="s">
        <v>649</v>
      </c>
      <c r="F401" s="2" t="s">
        <v>313</v>
      </c>
      <c r="G401" s="2" t="s">
        <v>650</v>
      </c>
      <c r="H401" s="2" t="s">
        <v>193</v>
      </c>
      <c r="I401" s="2" t="s">
        <v>651</v>
      </c>
      <c r="J401" s="2" t="s">
        <v>652</v>
      </c>
      <c r="K401" s="9">
        <v>45686</v>
      </c>
      <c r="L401" s="9">
        <v>45694</v>
      </c>
      <c r="M401" s="9">
        <v>45693</v>
      </c>
      <c r="N401" s="2" t="s">
        <v>696</v>
      </c>
      <c r="O401" s="2" t="s">
        <v>55</v>
      </c>
      <c r="P401" s="2" t="s">
        <v>139</v>
      </c>
      <c r="Q401" s="2" t="s">
        <v>154</v>
      </c>
      <c r="R401" s="2" t="s">
        <v>128</v>
      </c>
      <c r="S401" s="2" t="s">
        <v>654</v>
      </c>
      <c r="T401" s="10">
        <v>53.34</v>
      </c>
      <c r="U401" s="11">
        <v>0.72799999999999998</v>
      </c>
      <c r="V401" s="12">
        <f>T401*U401</f>
        <v>38.831520000000005</v>
      </c>
      <c r="W401" s="13">
        <v>0.13</v>
      </c>
      <c r="X401" s="12">
        <f>V401-(V401/(1+W401))</f>
        <v>4.4673430088495536</v>
      </c>
      <c r="Y401" s="12">
        <f>V401-X401</f>
        <v>34.364176991150451</v>
      </c>
      <c r="Z401" s="14">
        <v>35</v>
      </c>
      <c r="AA401" s="2" t="str">
        <f>IF(V401&gt;Z401,"Yes","No")</f>
        <v>Yes</v>
      </c>
      <c r="AB401" s="12">
        <f>V401-Z401</f>
        <v>3.8315200000000047</v>
      </c>
      <c r="AC401" s="15" t="s">
        <v>130</v>
      </c>
      <c r="AD401" s="15" t="s">
        <v>130</v>
      </c>
      <c r="AE401" s="15" t="s">
        <v>437</v>
      </c>
      <c r="AF401" s="12">
        <f>IF(AG401="Rejected",0,IF(R401="Corporate Card",0,V401))</f>
        <v>0</v>
      </c>
      <c r="AG401" s="15" t="s">
        <v>181</v>
      </c>
      <c r="AH401" s="16">
        <v>45700</v>
      </c>
      <c r="AI401" s="16"/>
      <c r="AJ401" s="16"/>
      <c r="AK401" s="17" t="str">
        <f>IF(AJ401="","",AJ401-AH401)</f>
        <v/>
      </c>
    </row>
    <row r="402" spans="1:37">
      <c r="A402" s="2" t="s">
        <v>740</v>
      </c>
      <c r="B402" s="2" t="s">
        <v>509</v>
      </c>
      <c r="C402" s="2" t="s">
        <v>510</v>
      </c>
      <c r="D402" s="2" t="s">
        <v>250</v>
      </c>
      <c r="E402" s="2" t="s">
        <v>511</v>
      </c>
      <c r="F402" s="2" t="s">
        <v>313</v>
      </c>
      <c r="G402" s="2" t="s">
        <v>688</v>
      </c>
      <c r="H402" s="2" t="s">
        <v>254</v>
      </c>
      <c r="I402" s="2" t="s">
        <v>123</v>
      </c>
      <c r="J402" s="2" t="s">
        <v>124</v>
      </c>
      <c r="K402" s="9">
        <v>45688</v>
      </c>
      <c r="L402" s="9">
        <v>45695</v>
      </c>
      <c r="M402" s="9">
        <v>45693</v>
      </c>
      <c r="N402" s="2" t="s">
        <v>696</v>
      </c>
      <c r="O402" s="2" t="s">
        <v>58</v>
      </c>
      <c r="P402" s="2" t="s">
        <v>142</v>
      </c>
      <c r="Q402" s="2" t="s">
        <v>296</v>
      </c>
      <c r="R402" s="2" t="s">
        <v>128</v>
      </c>
      <c r="S402" s="2" t="s">
        <v>129</v>
      </c>
      <c r="T402" s="10">
        <v>23.79</v>
      </c>
      <c r="U402" s="11">
        <v>1.272</v>
      </c>
      <c r="V402" s="12">
        <f>T402*U402</f>
        <v>30.26088</v>
      </c>
      <c r="W402" s="13">
        <v>0.2</v>
      </c>
      <c r="X402" s="12">
        <f>V402-(V402/(1+W402))</f>
        <v>5.0434799999999989</v>
      </c>
      <c r="Y402" s="12">
        <f>V402-X402</f>
        <v>25.217400000000001</v>
      </c>
      <c r="Z402" s="14">
        <v>60</v>
      </c>
      <c r="AA402" s="2" t="str">
        <f>IF(V402&gt;Z402,"Yes","No")</f>
        <v>No</v>
      </c>
      <c r="AB402" s="12">
        <f>V402-Z402</f>
        <v>-29.73912</v>
      </c>
      <c r="AC402" s="15" t="s">
        <v>130</v>
      </c>
      <c r="AD402" s="15" t="s">
        <v>130</v>
      </c>
      <c r="AE402" s="15" t="s">
        <v>180</v>
      </c>
      <c r="AF402" s="12">
        <f>IF(AG402="Rejected",0,IF(R402="Corporate Card",0,V402))</f>
        <v>0</v>
      </c>
      <c r="AG402" s="15" t="s">
        <v>133</v>
      </c>
      <c r="AH402" s="16">
        <v>45706</v>
      </c>
      <c r="AI402" s="16">
        <v>45714</v>
      </c>
      <c r="AJ402" s="16">
        <v>45720</v>
      </c>
      <c r="AK402" s="17">
        <f>IF(AJ402="","",AJ402-AH402)</f>
        <v>14</v>
      </c>
    </row>
    <row r="403" spans="1:37">
      <c r="A403" s="2" t="s">
        <v>741</v>
      </c>
      <c r="B403" s="2" t="s">
        <v>509</v>
      </c>
      <c r="C403" s="2" t="s">
        <v>510</v>
      </c>
      <c r="D403" s="2" t="s">
        <v>250</v>
      </c>
      <c r="E403" s="2" t="s">
        <v>511</v>
      </c>
      <c r="F403" s="2" t="s">
        <v>313</v>
      </c>
      <c r="G403" s="2" t="s">
        <v>688</v>
      </c>
      <c r="H403" s="2" t="s">
        <v>254</v>
      </c>
      <c r="I403" s="2" t="s">
        <v>123</v>
      </c>
      <c r="J403" s="2" t="s">
        <v>124</v>
      </c>
      <c r="K403" s="9">
        <v>45688</v>
      </c>
      <c r="L403" s="9">
        <v>45695</v>
      </c>
      <c r="M403" s="9">
        <v>45693</v>
      </c>
      <c r="N403" s="2" t="s">
        <v>696</v>
      </c>
      <c r="O403" s="2" t="s">
        <v>55</v>
      </c>
      <c r="P403" s="2" t="s">
        <v>139</v>
      </c>
      <c r="Q403" s="2" t="s">
        <v>161</v>
      </c>
      <c r="R403" s="2" t="s">
        <v>128</v>
      </c>
      <c r="S403" s="2" t="s">
        <v>129</v>
      </c>
      <c r="T403" s="10">
        <v>13.07</v>
      </c>
      <c r="U403" s="11">
        <v>1.272</v>
      </c>
      <c r="V403" s="12">
        <f>T403*U403</f>
        <v>16.625040000000002</v>
      </c>
      <c r="W403" s="13">
        <v>0.2</v>
      </c>
      <c r="X403" s="12">
        <f>V403-(V403/(1+W403))</f>
        <v>2.7708399999999997</v>
      </c>
      <c r="Y403" s="12">
        <f>V403-X403</f>
        <v>13.854200000000002</v>
      </c>
      <c r="Z403" s="14">
        <v>35</v>
      </c>
      <c r="AA403" s="2" t="str">
        <f>IF(V403&gt;Z403,"Yes","No")</f>
        <v>No</v>
      </c>
      <c r="AB403" s="12">
        <f>V403-Z403</f>
        <v>-18.374959999999998</v>
      </c>
      <c r="AC403" s="15" t="s">
        <v>130</v>
      </c>
      <c r="AD403" s="15" t="s">
        <v>130</v>
      </c>
      <c r="AE403" s="15" t="s">
        <v>180</v>
      </c>
      <c r="AF403" s="12">
        <f>IF(AG403="Rejected",0,IF(R403="Corporate Card",0,V403))</f>
        <v>0</v>
      </c>
      <c r="AG403" s="15" t="s">
        <v>133</v>
      </c>
      <c r="AH403" s="16">
        <v>45706</v>
      </c>
      <c r="AI403" s="16">
        <v>45714</v>
      </c>
      <c r="AJ403" s="16">
        <v>45720</v>
      </c>
      <c r="AK403" s="17">
        <f>IF(AJ403="","",AJ403-AH403)</f>
        <v>14</v>
      </c>
    </row>
    <row r="404" spans="1:37">
      <c r="A404" s="2" t="s">
        <v>742</v>
      </c>
      <c r="B404" s="2" t="s">
        <v>743</v>
      </c>
      <c r="C404" s="2" t="s">
        <v>313</v>
      </c>
      <c r="D404" s="2" t="s">
        <v>744</v>
      </c>
      <c r="E404" s="2" t="s">
        <v>745</v>
      </c>
      <c r="F404" s="2" t="s">
        <v>746</v>
      </c>
      <c r="G404" s="2" t="s">
        <v>747</v>
      </c>
      <c r="H404" s="2" t="s">
        <v>748</v>
      </c>
      <c r="I404" s="2" t="s">
        <v>749</v>
      </c>
      <c r="J404" s="2" t="s">
        <v>750</v>
      </c>
      <c r="K404" s="9">
        <v>45693</v>
      </c>
      <c r="L404" s="9">
        <v>45694</v>
      </c>
      <c r="M404" s="9">
        <v>45693</v>
      </c>
      <c r="N404" s="2" t="s">
        <v>696</v>
      </c>
      <c r="O404" s="2" t="s">
        <v>52</v>
      </c>
      <c r="P404" s="2" t="s">
        <v>751</v>
      </c>
      <c r="Q404" s="2" t="s">
        <v>127</v>
      </c>
      <c r="R404" s="2" t="s">
        <v>137</v>
      </c>
      <c r="S404" s="2" t="s">
        <v>198</v>
      </c>
      <c r="T404" s="10">
        <v>1091.6400000000001</v>
      </c>
      <c r="U404" s="11">
        <v>1.085</v>
      </c>
      <c r="V404" s="12">
        <f>T404*U404</f>
        <v>1184.4294</v>
      </c>
      <c r="W404" s="13">
        <v>0</v>
      </c>
      <c r="X404" s="12">
        <f>V404-(V404/(1+W404))</f>
        <v>0</v>
      </c>
      <c r="Y404" s="12">
        <f>V404-X404</f>
        <v>1184.4294</v>
      </c>
      <c r="Z404" s="14">
        <v>1400</v>
      </c>
      <c r="AA404" s="2" t="str">
        <f>IF(V404&gt;Z404,"Yes","No")</f>
        <v>No</v>
      </c>
      <c r="AB404" s="12">
        <f>V404-Z404</f>
        <v>-215.57060000000001</v>
      </c>
      <c r="AC404" s="15" t="s">
        <v>130</v>
      </c>
      <c r="AD404" s="15" t="s">
        <v>130</v>
      </c>
      <c r="AE404" s="15" t="s">
        <v>421</v>
      </c>
      <c r="AF404" s="12">
        <f>IF(AG404="Rejected",0,IF(R404="Corporate Card",0,V404))</f>
        <v>1184.4294</v>
      </c>
      <c r="AG404" s="15" t="s">
        <v>181</v>
      </c>
      <c r="AH404" s="16">
        <v>45696</v>
      </c>
      <c r="AI404" s="16"/>
      <c r="AJ404" s="16"/>
      <c r="AK404" s="17" t="str">
        <f>IF(AJ404="","",AJ404-AH404)</f>
        <v/>
      </c>
    </row>
    <row r="405" spans="1:37">
      <c r="A405" s="2" t="s">
        <v>752</v>
      </c>
      <c r="B405" s="2" t="s">
        <v>743</v>
      </c>
      <c r="C405" s="2" t="s">
        <v>313</v>
      </c>
      <c r="D405" s="2" t="s">
        <v>744</v>
      </c>
      <c r="E405" s="2" t="s">
        <v>745</v>
      </c>
      <c r="F405" s="2" t="s">
        <v>746</v>
      </c>
      <c r="G405" s="2" t="s">
        <v>747</v>
      </c>
      <c r="H405" s="2" t="s">
        <v>748</v>
      </c>
      <c r="I405" s="2" t="s">
        <v>749</v>
      </c>
      <c r="J405" s="2" t="s">
        <v>750</v>
      </c>
      <c r="K405" s="9">
        <v>45693</v>
      </c>
      <c r="L405" s="9">
        <v>45694</v>
      </c>
      <c r="M405" s="9">
        <v>45693</v>
      </c>
      <c r="N405" s="2" t="s">
        <v>696</v>
      </c>
      <c r="O405" s="2" t="s">
        <v>54</v>
      </c>
      <c r="P405" s="2" t="s">
        <v>139</v>
      </c>
      <c r="Q405" s="2" t="s">
        <v>214</v>
      </c>
      <c r="R405" s="2" t="s">
        <v>128</v>
      </c>
      <c r="S405" s="2" t="s">
        <v>198</v>
      </c>
      <c r="T405" s="10">
        <v>16.350000000000001</v>
      </c>
      <c r="U405" s="11">
        <v>1.085</v>
      </c>
      <c r="V405" s="12">
        <f>T405*U405</f>
        <v>17.739750000000001</v>
      </c>
      <c r="W405" s="13">
        <v>0.19</v>
      </c>
      <c r="X405" s="12">
        <f>V405-(V405/(1+W405))</f>
        <v>2.8323970588235294</v>
      </c>
      <c r="Y405" s="12">
        <f>V405-X405</f>
        <v>14.907352941176471</v>
      </c>
      <c r="Z405" s="14">
        <v>25</v>
      </c>
      <c r="AA405" s="2" t="str">
        <f>IF(V405&gt;Z405,"Yes","No")</f>
        <v>No</v>
      </c>
      <c r="AB405" s="12">
        <f>V405-Z405</f>
        <v>-7.2602499999999992</v>
      </c>
      <c r="AC405" s="15" t="s">
        <v>130</v>
      </c>
      <c r="AD405" s="15" t="s">
        <v>130</v>
      </c>
      <c r="AE405" s="15" t="s">
        <v>421</v>
      </c>
      <c r="AF405" s="12">
        <f>IF(AG405="Rejected",0,IF(R405="Corporate Card",0,V405))</f>
        <v>0</v>
      </c>
      <c r="AG405" s="15" t="s">
        <v>181</v>
      </c>
      <c r="AH405" s="16">
        <v>45696</v>
      </c>
      <c r="AI405" s="16"/>
      <c r="AJ405" s="16"/>
      <c r="AK405" s="17" t="str">
        <f>IF(AJ405="","",AJ405-AH405)</f>
        <v/>
      </c>
    </row>
    <row r="406" spans="1:37">
      <c r="A406" s="2" t="s">
        <v>753</v>
      </c>
      <c r="B406" s="2" t="s">
        <v>743</v>
      </c>
      <c r="C406" s="2" t="s">
        <v>313</v>
      </c>
      <c r="D406" s="2" t="s">
        <v>744</v>
      </c>
      <c r="E406" s="2" t="s">
        <v>745</v>
      </c>
      <c r="F406" s="2" t="s">
        <v>746</v>
      </c>
      <c r="G406" s="2" t="s">
        <v>747</v>
      </c>
      <c r="H406" s="2" t="s">
        <v>748</v>
      </c>
      <c r="I406" s="2" t="s">
        <v>749</v>
      </c>
      <c r="J406" s="2" t="s">
        <v>750</v>
      </c>
      <c r="K406" s="9">
        <v>45693</v>
      </c>
      <c r="L406" s="9">
        <v>45694</v>
      </c>
      <c r="M406" s="9">
        <v>45693</v>
      </c>
      <c r="N406" s="2" t="s">
        <v>696</v>
      </c>
      <c r="O406" s="2" t="s">
        <v>56</v>
      </c>
      <c r="P406" s="2" t="s">
        <v>151</v>
      </c>
      <c r="Q406" s="2" t="s">
        <v>227</v>
      </c>
      <c r="R406" s="2" t="s">
        <v>128</v>
      </c>
      <c r="S406" s="2" t="s">
        <v>198</v>
      </c>
      <c r="T406" s="10">
        <v>30.06</v>
      </c>
      <c r="U406" s="11">
        <v>1.085</v>
      </c>
      <c r="V406" s="12">
        <f>T406*U406</f>
        <v>32.615099999999998</v>
      </c>
      <c r="W406" s="13">
        <v>0.19</v>
      </c>
      <c r="X406" s="12">
        <f>V406-(V406/(1+W406))</f>
        <v>5.2074529411764701</v>
      </c>
      <c r="Y406" s="12">
        <f>V406-X406</f>
        <v>27.407647058823528</v>
      </c>
      <c r="Z406" s="14">
        <v>75</v>
      </c>
      <c r="AA406" s="2" t="str">
        <f>IF(V406&gt;Z406,"Yes","No")</f>
        <v>No</v>
      </c>
      <c r="AB406" s="12">
        <f>V406-Z406</f>
        <v>-42.384900000000002</v>
      </c>
      <c r="AC406" s="15" t="s">
        <v>130</v>
      </c>
      <c r="AD406" s="15" t="s">
        <v>130</v>
      </c>
      <c r="AE406" s="15" t="s">
        <v>421</v>
      </c>
      <c r="AF406" s="12">
        <f>IF(AG406="Rejected",0,IF(R406="Corporate Card",0,V406))</f>
        <v>0</v>
      </c>
      <c r="AG406" s="15" t="s">
        <v>181</v>
      </c>
      <c r="AH406" s="16">
        <v>45696</v>
      </c>
      <c r="AI406" s="16"/>
      <c r="AJ406" s="16"/>
      <c r="AK406" s="17" t="str">
        <f>IF(AJ406="","",AJ406-AH406)</f>
        <v/>
      </c>
    </row>
    <row r="407" spans="1:37">
      <c r="A407" s="2" t="s">
        <v>754</v>
      </c>
      <c r="B407" s="2" t="s">
        <v>743</v>
      </c>
      <c r="C407" s="2" t="s">
        <v>313</v>
      </c>
      <c r="D407" s="2" t="s">
        <v>744</v>
      </c>
      <c r="E407" s="2" t="s">
        <v>745</v>
      </c>
      <c r="F407" s="2" t="s">
        <v>746</v>
      </c>
      <c r="G407" s="2" t="s">
        <v>747</v>
      </c>
      <c r="H407" s="2" t="s">
        <v>748</v>
      </c>
      <c r="I407" s="2" t="s">
        <v>749</v>
      </c>
      <c r="J407" s="2" t="s">
        <v>750</v>
      </c>
      <c r="K407" s="9">
        <v>45693</v>
      </c>
      <c r="L407" s="9">
        <v>45694</v>
      </c>
      <c r="M407" s="9">
        <v>45693</v>
      </c>
      <c r="N407" s="2" t="s">
        <v>696</v>
      </c>
      <c r="O407" s="2" t="s">
        <v>55</v>
      </c>
      <c r="P407" s="2" t="s">
        <v>139</v>
      </c>
      <c r="Q407" s="2" t="s">
        <v>161</v>
      </c>
      <c r="R407" s="2" t="s">
        <v>149</v>
      </c>
      <c r="S407" s="2" t="s">
        <v>198</v>
      </c>
      <c r="T407" s="10">
        <v>16.39</v>
      </c>
      <c r="U407" s="11">
        <v>1.085</v>
      </c>
      <c r="V407" s="12">
        <f>T407*U407</f>
        <v>17.783149999999999</v>
      </c>
      <c r="W407" s="13">
        <v>0.19</v>
      </c>
      <c r="X407" s="12">
        <f>V407-(V407/(1+W407))</f>
        <v>2.8393264705882348</v>
      </c>
      <c r="Y407" s="12">
        <f>V407-X407</f>
        <v>14.943823529411764</v>
      </c>
      <c r="Z407" s="14">
        <v>35</v>
      </c>
      <c r="AA407" s="2" t="str">
        <f>IF(V407&gt;Z407,"Yes","No")</f>
        <v>No</v>
      </c>
      <c r="AB407" s="12">
        <f>V407-Z407</f>
        <v>-17.216850000000001</v>
      </c>
      <c r="AC407" s="15" t="s">
        <v>130</v>
      </c>
      <c r="AD407" s="15" t="s">
        <v>130</v>
      </c>
      <c r="AE407" s="15" t="s">
        <v>421</v>
      </c>
      <c r="AF407" s="12">
        <f>IF(AG407="Rejected",0,IF(R407="Corporate Card",0,V407))</f>
        <v>17.783149999999999</v>
      </c>
      <c r="AG407" s="15" t="s">
        <v>181</v>
      </c>
      <c r="AH407" s="16">
        <v>45696</v>
      </c>
      <c r="AI407" s="16"/>
      <c r="AJ407" s="16"/>
      <c r="AK407" s="17" t="str">
        <f>IF(AJ407="","",AJ407-AH407)</f>
        <v/>
      </c>
    </row>
    <row r="408" spans="1:37">
      <c r="A408" s="2" t="s">
        <v>755</v>
      </c>
      <c r="B408" s="2" t="s">
        <v>648</v>
      </c>
      <c r="C408" s="2" t="s">
        <v>173</v>
      </c>
      <c r="D408" s="2" t="s">
        <v>171</v>
      </c>
      <c r="E408" s="2" t="s">
        <v>649</v>
      </c>
      <c r="F408" s="2" t="s">
        <v>313</v>
      </c>
      <c r="G408" s="2" t="s">
        <v>650</v>
      </c>
      <c r="H408" s="2" t="s">
        <v>193</v>
      </c>
      <c r="I408" s="2" t="s">
        <v>651</v>
      </c>
      <c r="J408" s="2" t="s">
        <v>652</v>
      </c>
      <c r="K408" s="9">
        <v>45686</v>
      </c>
      <c r="L408" s="9">
        <v>45694</v>
      </c>
      <c r="M408" s="9">
        <v>45694</v>
      </c>
      <c r="N408" s="2" t="s">
        <v>696</v>
      </c>
      <c r="O408" s="2" t="s">
        <v>56</v>
      </c>
      <c r="P408" s="2" t="s">
        <v>245</v>
      </c>
      <c r="Q408" s="2" t="s">
        <v>185</v>
      </c>
      <c r="R408" s="2" t="s">
        <v>137</v>
      </c>
      <c r="S408" s="2" t="s">
        <v>654</v>
      </c>
      <c r="T408" s="10">
        <v>55.7</v>
      </c>
      <c r="U408" s="11">
        <v>0.72799999999999998</v>
      </c>
      <c r="V408" s="12">
        <f>T408*U408</f>
        <v>40.549599999999998</v>
      </c>
      <c r="W408" s="13">
        <v>0.13</v>
      </c>
      <c r="X408" s="12">
        <f>V408-(V408/(1+W408))</f>
        <v>4.6649982300884929</v>
      </c>
      <c r="Y408" s="12">
        <f>V408-X408</f>
        <v>35.884601769911505</v>
      </c>
      <c r="Z408" s="14">
        <v>75</v>
      </c>
      <c r="AA408" s="2" t="str">
        <f>IF(V408&gt;Z408,"Yes","No")</f>
        <v>No</v>
      </c>
      <c r="AB408" s="12">
        <f>V408-Z408</f>
        <v>-34.450400000000002</v>
      </c>
      <c r="AC408" s="15" t="s">
        <v>130</v>
      </c>
      <c r="AD408" s="15" t="s">
        <v>130</v>
      </c>
      <c r="AE408" s="15" t="s">
        <v>437</v>
      </c>
      <c r="AF408" s="12">
        <f>IF(AG408="Rejected",0,IF(R408="Corporate Card",0,V408))</f>
        <v>40.549599999999998</v>
      </c>
      <c r="AG408" s="15" t="s">
        <v>181</v>
      </c>
      <c r="AH408" s="16">
        <v>45700</v>
      </c>
      <c r="AI408" s="16"/>
      <c r="AJ408" s="16"/>
      <c r="AK408" s="17" t="str">
        <f>IF(AJ408="","",AJ408-AH408)</f>
        <v/>
      </c>
    </row>
    <row r="409" spans="1:37">
      <c r="A409" s="2" t="s">
        <v>756</v>
      </c>
      <c r="B409" s="2" t="s">
        <v>509</v>
      </c>
      <c r="C409" s="2" t="s">
        <v>510</v>
      </c>
      <c r="D409" s="2" t="s">
        <v>250</v>
      </c>
      <c r="E409" s="2" t="s">
        <v>511</v>
      </c>
      <c r="F409" s="2" t="s">
        <v>313</v>
      </c>
      <c r="G409" s="2" t="s">
        <v>688</v>
      </c>
      <c r="H409" s="2" t="s">
        <v>254</v>
      </c>
      <c r="I409" s="2" t="s">
        <v>123</v>
      </c>
      <c r="J409" s="2" t="s">
        <v>124</v>
      </c>
      <c r="K409" s="9">
        <v>45688</v>
      </c>
      <c r="L409" s="9">
        <v>45695</v>
      </c>
      <c r="M409" s="9">
        <v>45694</v>
      </c>
      <c r="N409" s="2" t="s">
        <v>696</v>
      </c>
      <c r="O409" s="2" t="s">
        <v>57</v>
      </c>
      <c r="P409" s="2" t="s">
        <v>398</v>
      </c>
      <c r="Q409" s="2" t="s">
        <v>399</v>
      </c>
      <c r="R409" s="2" t="s">
        <v>149</v>
      </c>
      <c r="S409" s="2" t="s">
        <v>129</v>
      </c>
      <c r="T409" s="10">
        <v>90.2</v>
      </c>
      <c r="U409" s="11">
        <v>1.272</v>
      </c>
      <c r="V409" s="12">
        <f>T409*U409</f>
        <v>114.73440000000001</v>
      </c>
      <c r="W409" s="13">
        <v>0.2</v>
      </c>
      <c r="X409" s="12">
        <f>V409-(V409/(1+W409))</f>
        <v>19.122399999999999</v>
      </c>
      <c r="Y409" s="12">
        <f>V409-X409</f>
        <v>95.612000000000009</v>
      </c>
      <c r="Z409" s="14">
        <v>200</v>
      </c>
      <c r="AA409" s="2" t="str">
        <f>IF(V409&gt;Z409,"Yes","No")</f>
        <v>No</v>
      </c>
      <c r="AB409" s="12">
        <f>V409-Z409</f>
        <v>-85.265599999999992</v>
      </c>
      <c r="AC409" s="15" t="s">
        <v>130</v>
      </c>
      <c r="AD409" s="15" t="s">
        <v>130</v>
      </c>
      <c r="AE409" s="15" t="s">
        <v>180</v>
      </c>
      <c r="AF409" s="12">
        <f>IF(AG409="Rejected",0,IF(R409="Corporate Card",0,V409))</f>
        <v>114.73440000000001</v>
      </c>
      <c r="AG409" s="15" t="s">
        <v>133</v>
      </c>
      <c r="AH409" s="16">
        <v>45706</v>
      </c>
      <c r="AI409" s="16">
        <v>45714</v>
      </c>
      <c r="AJ409" s="16">
        <v>45720</v>
      </c>
      <c r="AK409" s="17">
        <f>IF(AJ409="","",AJ409-AH409)</f>
        <v>14</v>
      </c>
    </row>
    <row r="410" spans="1:37">
      <c r="A410" s="2" t="s">
        <v>757</v>
      </c>
      <c r="B410" s="2" t="s">
        <v>509</v>
      </c>
      <c r="C410" s="2" t="s">
        <v>510</v>
      </c>
      <c r="D410" s="2" t="s">
        <v>250</v>
      </c>
      <c r="E410" s="2" t="s">
        <v>511</v>
      </c>
      <c r="F410" s="2" t="s">
        <v>313</v>
      </c>
      <c r="G410" s="2" t="s">
        <v>688</v>
      </c>
      <c r="H410" s="2" t="s">
        <v>254</v>
      </c>
      <c r="I410" s="2" t="s">
        <v>123</v>
      </c>
      <c r="J410" s="2" t="s">
        <v>124</v>
      </c>
      <c r="K410" s="9">
        <v>45688</v>
      </c>
      <c r="L410" s="9">
        <v>45695</v>
      </c>
      <c r="M410" s="9">
        <v>45694</v>
      </c>
      <c r="N410" s="2" t="s">
        <v>696</v>
      </c>
      <c r="O410" s="2" t="s">
        <v>67</v>
      </c>
      <c r="P410" s="2" t="s">
        <v>401</v>
      </c>
      <c r="Q410" s="2" t="s">
        <v>402</v>
      </c>
      <c r="R410" s="2" t="s">
        <v>128</v>
      </c>
      <c r="S410" s="2" t="s">
        <v>129</v>
      </c>
      <c r="T410" s="10">
        <v>35.69</v>
      </c>
      <c r="U410" s="11">
        <v>1.272</v>
      </c>
      <c r="V410" s="12">
        <f>T410*U410</f>
        <v>45.397680000000001</v>
      </c>
      <c r="W410" s="13">
        <v>0.2</v>
      </c>
      <c r="X410" s="12">
        <f>V410-(V410/(1+W410))</f>
        <v>7.566279999999999</v>
      </c>
      <c r="Y410" s="12">
        <f>V410-X410</f>
        <v>37.831400000000002</v>
      </c>
      <c r="Z410" s="14">
        <v>100</v>
      </c>
      <c r="AA410" s="2" t="str">
        <f>IF(V410&gt;Z410,"Yes","No")</f>
        <v>No</v>
      </c>
      <c r="AB410" s="12">
        <f>V410-Z410</f>
        <v>-54.602319999999999</v>
      </c>
      <c r="AC410" s="15" t="s">
        <v>130</v>
      </c>
      <c r="AD410" s="15" t="s">
        <v>130</v>
      </c>
      <c r="AE410" s="15" t="s">
        <v>180</v>
      </c>
      <c r="AF410" s="12">
        <f>IF(AG410="Rejected",0,IF(R410="Corporate Card",0,V410))</f>
        <v>0</v>
      </c>
      <c r="AG410" s="15" t="s">
        <v>133</v>
      </c>
      <c r="AH410" s="16">
        <v>45706</v>
      </c>
      <c r="AI410" s="16">
        <v>45714</v>
      </c>
      <c r="AJ410" s="16">
        <v>45720</v>
      </c>
      <c r="AK410" s="17">
        <f>IF(AJ410="","",AJ410-AH410)</f>
        <v>14</v>
      </c>
    </row>
    <row r="411" spans="1:37">
      <c r="A411" s="2" t="s">
        <v>758</v>
      </c>
      <c r="B411" s="2" t="s">
        <v>509</v>
      </c>
      <c r="C411" s="2" t="s">
        <v>510</v>
      </c>
      <c r="D411" s="2" t="s">
        <v>250</v>
      </c>
      <c r="E411" s="2" t="s">
        <v>511</v>
      </c>
      <c r="F411" s="2" t="s">
        <v>313</v>
      </c>
      <c r="G411" s="2" t="s">
        <v>688</v>
      </c>
      <c r="H411" s="2" t="s">
        <v>254</v>
      </c>
      <c r="I411" s="2" t="s">
        <v>123</v>
      </c>
      <c r="J411" s="2" t="s">
        <v>124</v>
      </c>
      <c r="K411" s="9">
        <v>45688</v>
      </c>
      <c r="L411" s="9">
        <v>45695</v>
      </c>
      <c r="M411" s="9">
        <v>45694</v>
      </c>
      <c r="N411" s="2" t="s">
        <v>696</v>
      </c>
      <c r="O411" s="2" t="s">
        <v>58</v>
      </c>
      <c r="P411" s="2" t="s">
        <v>142</v>
      </c>
      <c r="Q411" s="2" t="s">
        <v>156</v>
      </c>
      <c r="R411" s="2" t="s">
        <v>149</v>
      </c>
      <c r="S411" s="2" t="s">
        <v>129</v>
      </c>
      <c r="T411" s="10">
        <v>29.24</v>
      </c>
      <c r="U411" s="11">
        <v>1.272</v>
      </c>
      <c r="V411" s="12">
        <f>T411*U411</f>
        <v>37.193280000000001</v>
      </c>
      <c r="W411" s="13">
        <v>0.2</v>
      </c>
      <c r="X411" s="12">
        <f>V411-(V411/(1+W411))</f>
        <v>6.1988799999999991</v>
      </c>
      <c r="Y411" s="12">
        <f>V411-X411</f>
        <v>30.994400000000002</v>
      </c>
      <c r="Z411" s="14">
        <v>60</v>
      </c>
      <c r="AA411" s="2" t="str">
        <f>IF(V411&gt;Z411,"Yes","No")</f>
        <v>No</v>
      </c>
      <c r="AB411" s="12">
        <f>V411-Z411</f>
        <v>-22.806719999999999</v>
      </c>
      <c r="AC411" s="15" t="s">
        <v>130</v>
      </c>
      <c r="AD411" s="15" t="s">
        <v>130</v>
      </c>
      <c r="AE411" s="15" t="s">
        <v>180</v>
      </c>
      <c r="AF411" s="12">
        <f>IF(AG411="Rejected",0,IF(R411="Corporate Card",0,V411))</f>
        <v>37.193280000000001</v>
      </c>
      <c r="AG411" s="15" t="s">
        <v>133</v>
      </c>
      <c r="AH411" s="16">
        <v>45706</v>
      </c>
      <c r="AI411" s="16">
        <v>45714</v>
      </c>
      <c r="AJ411" s="16">
        <v>45720</v>
      </c>
      <c r="AK411" s="17">
        <f>IF(AJ411="","",AJ411-AH411)</f>
        <v>14</v>
      </c>
    </row>
    <row r="412" spans="1:37">
      <c r="A412" s="2" t="s">
        <v>759</v>
      </c>
      <c r="B412" s="2" t="s">
        <v>509</v>
      </c>
      <c r="C412" s="2" t="s">
        <v>510</v>
      </c>
      <c r="D412" s="2" t="s">
        <v>250</v>
      </c>
      <c r="E412" s="2" t="s">
        <v>511</v>
      </c>
      <c r="F412" s="2" t="s">
        <v>313</v>
      </c>
      <c r="G412" s="2" t="s">
        <v>688</v>
      </c>
      <c r="H412" s="2" t="s">
        <v>254</v>
      </c>
      <c r="I412" s="2" t="s">
        <v>123</v>
      </c>
      <c r="J412" s="2" t="s">
        <v>124</v>
      </c>
      <c r="K412" s="9">
        <v>45688</v>
      </c>
      <c r="L412" s="9">
        <v>45695</v>
      </c>
      <c r="M412" s="9">
        <v>45694</v>
      </c>
      <c r="N412" s="2" t="s">
        <v>696</v>
      </c>
      <c r="O412" s="2" t="s">
        <v>54</v>
      </c>
      <c r="P412" s="2" t="s">
        <v>139</v>
      </c>
      <c r="Q412" s="2" t="s">
        <v>163</v>
      </c>
      <c r="R412" s="2" t="s">
        <v>137</v>
      </c>
      <c r="S412" s="2" t="s">
        <v>129</v>
      </c>
      <c r="T412" s="10">
        <v>8.7899999999999991</v>
      </c>
      <c r="U412" s="11">
        <v>1.272</v>
      </c>
      <c r="V412" s="12">
        <f>T412*U412</f>
        <v>11.180879999999998</v>
      </c>
      <c r="W412" s="13">
        <v>0.2</v>
      </c>
      <c r="X412" s="12">
        <f>V412-(V412/(1+W412))</f>
        <v>1.8634799999999991</v>
      </c>
      <c r="Y412" s="12">
        <f>V412-X412</f>
        <v>9.3173999999999992</v>
      </c>
      <c r="Z412" s="14">
        <v>25</v>
      </c>
      <c r="AA412" s="2" t="str">
        <f>IF(V412&gt;Z412,"Yes","No")</f>
        <v>No</v>
      </c>
      <c r="AB412" s="12">
        <f>V412-Z412</f>
        <v>-13.819120000000002</v>
      </c>
      <c r="AC412" s="15" t="s">
        <v>131</v>
      </c>
      <c r="AD412" s="15" t="s">
        <v>130</v>
      </c>
      <c r="AE412" s="15" t="s">
        <v>180</v>
      </c>
      <c r="AF412" s="12">
        <f>IF(AG412="Rejected",0,IF(R412="Corporate Card",0,V412))</f>
        <v>11.180879999999998</v>
      </c>
      <c r="AG412" s="15" t="s">
        <v>133</v>
      </c>
      <c r="AH412" s="16">
        <v>45706</v>
      </c>
      <c r="AI412" s="16">
        <v>45714</v>
      </c>
      <c r="AJ412" s="16">
        <v>45720</v>
      </c>
      <c r="AK412" s="17">
        <f>IF(AJ412="","",AJ412-AH412)</f>
        <v>14</v>
      </c>
    </row>
    <row r="413" spans="1:37">
      <c r="A413" s="2" t="s">
        <v>760</v>
      </c>
      <c r="B413" s="2" t="s">
        <v>509</v>
      </c>
      <c r="C413" s="2" t="s">
        <v>510</v>
      </c>
      <c r="D413" s="2" t="s">
        <v>250</v>
      </c>
      <c r="E413" s="2" t="s">
        <v>511</v>
      </c>
      <c r="F413" s="2" t="s">
        <v>313</v>
      </c>
      <c r="G413" s="2" t="s">
        <v>688</v>
      </c>
      <c r="H413" s="2" t="s">
        <v>254</v>
      </c>
      <c r="I413" s="2" t="s">
        <v>123</v>
      </c>
      <c r="J413" s="2" t="s">
        <v>124</v>
      </c>
      <c r="K413" s="9">
        <v>45688</v>
      </c>
      <c r="L413" s="9">
        <v>45695</v>
      </c>
      <c r="M413" s="9">
        <v>45694</v>
      </c>
      <c r="N413" s="2" t="s">
        <v>696</v>
      </c>
      <c r="O413" s="2" t="s">
        <v>56</v>
      </c>
      <c r="P413" s="2" t="s">
        <v>231</v>
      </c>
      <c r="Q413" s="2" t="s">
        <v>152</v>
      </c>
      <c r="R413" s="2" t="s">
        <v>137</v>
      </c>
      <c r="S413" s="2" t="s">
        <v>129</v>
      </c>
      <c r="T413" s="10">
        <v>44</v>
      </c>
      <c r="U413" s="11">
        <v>1.272</v>
      </c>
      <c r="V413" s="12">
        <f>T413*U413</f>
        <v>55.968000000000004</v>
      </c>
      <c r="W413" s="13">
        <v>0.2</v>
      </c>
      <c r="X413" s="12">
        <f>V413-(V413/(1+W413))</f>
        <v>9.3279999999999959</v>
      </c>
      <c r="Y413" s="12">
        <f>V413-X413</f>
        <v>46.640000000000008</v>
      </c>
      <c r="Z413" s="14">
        <v>75</v>
      </c>
      <c r="AA413" s="2" t="str">
        <f>IF(V413&gt;Z413,"Yes","No")</f>
        <v>No</v>
      </c>
      <c r="AB413" s="12">
        <f>V413-Z413</f>
        <v>-19.031999999999996</v>
      </c>
      <c r="AC413" s="15" t="s">
        <v>130</v>
      </c>
      <c r="AD413" s="15" t="s">
        <v>130</v>
      </c>
      <c r="AE413" s="15" t="s">
        <v>180</v>
      </c>
      <c r="AF413" s="12">
        <f>IF(AG413="Rejected",0,IF(R413="Corporate Card",0,V413))</f>
        <v>55.968000000000004</v>
      </c>
      <c r="AG413" s="15" t="s">
        <v>133</v>
      </c>
      <c r="AH413" s="16">
        <v>45706</v>
      </c>
      <c r="AI413" s="16">
        <v>45714</v>
      </c>
      <c r="AJ413" s="16">
        <v>45720</v>
      </c>
      <c r="AK413" s="17">
        <f>IF(AJ413="","",AJ413-AH413)</f>
        <v>14</v>
      </c>
    </row>
    <row r="414" spans="1:37">
      <c r="A414" s="2" t="s">
        <v>761</v>
      </c>
      <c r="B414" s="2" t="s">
        <v>509</v>
      </c>
      <c r="C414" s="2" t="s">
        <v>510</v>
      </c>
      <c r="D414" s="2" t="s">
        <v>250</v>
      </c>
      <c r="E414" s="2" t="s">
        <v>511</v>
      </c>
      <c r="F414" s="2" t="s">
        <v>313</v>
      </c>
      <c r="G414" s="2" t="s">
        <v>688</v>
      </c>
      <c r="H414" s="2" t="s">
        <v>254</v>
      </c>
      <c r="I414" s="2" t="s">
        <v>123</v>
      </c>
      <c r="J414" s="2" t="s">
        <v>124</v>
      </c>
      <c r="K414" s="9">
        <v>45688</v>
      </c>
      <c r="L414" s="9">
        <v>45695</v>
      </c>
      <c r="M414" s="9">
        <v>45694</v>
      </c>
      <c r="N414" s="2" t="s">
        <v>696</v>
      </c>
      <c r="O414" s="2" t="s">
        <v>55</v>
      </c>
      <c r="P414" s="2" t="s">
        <v>139</v>
      </c>
      <c r="Q414" s="2" t="s">
        <v>161</v>
      </c>
      <c r="R414" s="2" t="s">
        <v>128</v>
      </c>
      <c r="S414" s="2" t="s">
        <v>129</v>
      </c>
      <c r="T414" s="10">
        <v>23.01</v>
      </c>
      <c r="U414" s="11">
        <v>1.272</v>
      </c>
      <c r="V414" s="12">
        <f>T414*U414</f>
        <v>29.268720000000002</v>
      </c>
      <c r="W414" s="13">
        <v>0.2</v>
      </c>
      <c r="X414" s="12">
        <f>V414-(V414/(1+W414))</f>
        <v>4.8781199999999991</v>
      </c>
      <c r="Y414" s="12">
        <f>V414-X414</f>
        <v>24.390600000000003</v>
      </c>
      <c r="Z414" s="14">
        <v>35</v>
      </c>
      <c r="AA414" s="2" t="str">
        <f>IF(V414&gt;Z414,"Yes","No")</f>
        <v>No</v>
      </c>
      <c r="AB414" s="12">
        <f>V414-Z414</f>
        <v>-5.7312799999999982</v>
      </c>
      <c r="AC414" s="15" t="s">
        <v>130</v>
      </c>
      <c r="AD414" s="15" t="s">
        <v>130</v>
      </c>
      <c r="AE414" s="15" t="s">
        <v>180</v>
      </c>
      <c r="AF414" s="12">
        <f>IF(AG414="Rejected",0,IF(R414="Corporate Card",0,V414))</f>
        <v>0</v>
      </c>
      <c r="AG414" s="15" t="s">
        <v>133</v>
      </c>
      <c r="AH414" s="16">
        <v>45706</v>
      </c>
      <c r="AI414" s="16">
        <v>45714</v>
      </c>
      <c r="AJ414" s="16">
        <v>45720</v>
      </c>
      <c r="AK414" s="17">
        <f>IF(AJ414="","",AJ414-AH414)</f>
        <v>14</v>
      </c>
    </row>
    <row r="415" spans="1:37">
      <c r="A415" s="2" t="s">
        <v>762</v>
      </c>
      <c r="B415" s="2" t="s">
        <v>743</v>
      </c>
      <c r="C415" s="2" t="s">
        <v>313</v>
      </c>
      <c r="D415" s="2" t="s">
        <v>744</v>
      </c>
      <c r="E415" s="2" t="s">
        <v>745</v>
      </c>
      <c r="F415" s="2" t="s">
        <v>746</v>
      </c>
      <c r="G415" s="2" t="s">
        <v>747</v>
      </c>
      <c r="H415" s="2" t="s">
        <v>748</v>
      </c>
      <c r="I415" s="2" t="s">
        <v>749</v>
      </c>
      <c r="J415" s="2" t="s">
        <v>750</v>
      </c>
      <c r="K415" s="9">
        <v>45693</v>
      </c>
      <c r="L415" s="9">
        <v>45694</v>
      </c>
      <c r="M415" s="9">
        <v>45694</v>
      </c>
      <c r="N415" s="2" t="s">
        <v>696</v>
      </c>
      <c r="O415" s="2" t="s">
        <v>57</v>
      </c>
      <c r="P415" s="2" t="s">
        <v>398</v>
      </c>
      <c r="Q415" s="2" t="s">
        <v>399</v>
      </c>
      <c r="R415" s="2" t="s">
        <v>137</v>
      </c>
      <c r="S415" s="2" t="s">
        <v>198</v>
      </c>
      <c r="T415" s="10">
        <v>177.8</v>
      </c>
      <c r="U415" s="11">
        <v>1.085</v>
      </c>
      <c r="V415" s="12">
        <f>T415*U415</f>
        <v>192.91300000000001</v>
      </c>
      <c r="W415" s="13">
        <v>0.19</v>
      </c>
      <c r="X415" s="12">
        <f>V415-(V415/(1+W415))</f>
        <v>30.801235294117646</v>
      </c>
      <c r="Y415" s="12">
        <f>V415-X415</f>
        <v>162.11176470588236</v>
      </c>
      <c r="Z415" s="14">
        <v>200</v>
      </c>
      <c r="AA415" s="2" t="str">
        <f>IF(V415&gt;Z415,"Yes","No")</f>
        <v>No</v>
      </c>
      <c r="AB415" s="12">
        <f>V415-Z415</f>
        <v>-7.0869999999999891</v>
      </c>
      <c r="AC415" s="15" t="s">
        <v>131</v>
      </c>
      <c r="AD415" s="15" t="s">
        <v>130</v>
      </c>
      <c r="AE415" s="15" t="s">
        <v>421</v>
      </c>
      <c r="AF415" s="12">
        <f>IF(AG415="Rejected",0,IF(R415="Corporate Card",0,V415))</f>
        <v>192.91300000000001</v>
      </c>
      <c r="AG415" s="15" t="s">
        <v>181</v>
      </c>
      <c r="AH415" s="16">
        <v>45696</v>
      </c>
      <c r="AI415" s="16"/>
      <c r="AJ415" s="16"/>
      <c r="AK415" s="17" t="str">
        <f>IF(AJ415="","",AJ415-AH415)</f>
        <v/>
      </c>
    </row>
    <row r="416" spans="1:37">
      <c r="A416" s="2" t="s">
        <v>763</v>
      </c>
      <c r="B416" s="2" t="s">
        <v>743</v>
      </c>
      <c r="C416" s="2" t="s">
        <v>313</v>
      </c>
      <c r="D416" s="2" t="s">
        <v>744</v>
      </c>
      <c r="E416" s="2" t="s">
        <v>745</v>
      </c>
      <c r="F416" s="2" t="s">
        <v>746</v>
      </c>
      <c r="G416" s="2" t="s">
        <v>747</v>
      </c>
      <c r="H416" s="2" t="s">
        <v>748</v>
      </c>
      <c r="I416" s="2" t="s">
        <v>749</v>
      </c>
      <c r="J416" s="2" t="s">
        <v>750</v>
      </c>
      <c r="K416" s="9">
        <v>45693</v>
      </c>
      <c r="L416" s="9">
        <v>45694</v>
      </c>
      <c r="M416" s="9">
        <v>45694</v>
      </c>
      <c r="N416" s="2" t="s">
        <v>696</v>
      </c>
      <c r="O416" s="2" t="s">
        <v>67</v>
      </c>
      <c r="P416" s="2" t="s">
        <v>401</v>
      </c>
      <c r="Q416" s="2" t="s">
        <v>574</v>
      </c>
      <c r="R416" s="2" t="s">
        <v>137</v>
      </c>
      <c r="S416" s="2" t="s">
        <v>198</v>
      </c>
      <c r="T416" s="10">
        <v>70.7</v>
      </c>
      <c r="U416" s="11">
        <v>1.085</v>
      </c>
      <c r="V416" s="12">
        <f>T416*U416</f>
        <v>76.709500000000006</v>
      </c>
      <c r="W416" s="13">
        <v>0.19</v>
      </c>
      <c r="X416" s="12">
        <f>V416-(V416/(1+W416))</f>
        <v>12.247735294117646</v>
      </c>
      <c r="Y416" s="12">
        <f>V416-X416</f>
        <v>64.461764705882359</v>
      </c>
      <c r="Z416" s="14">
        <v>100</v>
      </c>
      <c r="AA416" s="2" t="str">
        <f>IF(V416&gt;Z416,"Yes","No")</f>
        <v>No</v>
      </c>
      <c r="AB416" s="12">
        <f>V416-Z416</f>
        <v>-23.290499999999994</v>
      </c>
      <c r="AC416" s="15" t="s">
        <v>130</v>
      </c>
      <c r="AD416" s="15" t="s">
        <v>130</v>
      </c>
      <c r="AE416" s="15" t="s">
        <v>421</v>
      </c>
      <c r="AF416" s="12">
        <f>IF(AG416="Rejected",0,IF(R416="Corporate Card",0,V416))</f>
        <v>76.709500000000006</v>
      </c>
      <c r="AG416" s="15" t="s">
        <v>181</v>
      </c>
      <c r="AH416" s="16">
        <v>45696</v>
      </c>
      <c r="AI416" s="16"/>
      <c r="AJ416" s="16"/>
      <c r="AK416" s="17" t="str">
        <f>IF(AJ416="","",AJ416-AH416)</f>
        <v/>
      </c>
    </row>
    <row r="417" spans="1:37">
      <c r="A417" s="2" t="s">
        <v>764</v>
      </c>
      <c r="B417" s="2" t="s">
        <v>743</v>
      </c>
      <c r="C417" s="2" t="s">
        <v>313</v>
      </c>
      <c r="D417" s="2" t="s">
        <v>744</v>
      </c>
      <c r="E417" s="2" t="s">
        <v>745</v>
      </c>
      <c r="F417" s="2" t="s">
        <v>746</v>
      </c>
      <c r="G417" s="2" t="s">
        <v>747</v>
      </c>
      <c r="H417" s="2" t="s">
        <v>748</v>
      </c>
      <c r="I417" s="2" t="s">
        <v>749</v>
      </c>
      <c r="J417" s="2" t="s">
        <v>750</v>
      </c>
      <c r="K417" s="9">
        <v>45693</v>
      </c>
      <c r="L417" s="9">
        <v>45694</v>
      </c>
      <c r="M417" s="9">
        <v>45694</v>
      </c>
      <c r="N417" s="2" t="s">
        <v>696</v>
      </c>
      <c r="O417" s="2" t="s">
        <v>53</v>
      </c>
      <c r="P417" s="2" t="s">
        <v>405</v>
      </c>
      <c r="Q417" s="2" t="s">
        <v>305</v>
      </c>
      <c r="R417" s="2" t="s">
        <v>137</v>
      </c>
      <c r="S417" s="2" t="s">
        <v>198</v>
      </c>
      <c r="T417" s="10">
        <v>214.74</v>
      </c>
      <c r="U417" s="11">
        <v>1.085</v>
      </c>
      <c r="V417" s="12">
        <f>T417*U417</f>
        <v>232.99289999999999</v>
      </c>
      <c r="W417" s="13">
        <v>0.19</v>
      </c>
      <c r="X417" s="12">
        <f>V417-(V417/(1+W417))</f>
        <v>37.200547058823531</v>
      </c>
      <c r="Y417" s="12">
        <f>V417-X417</f>
        <v>195.79235294117646</v>
      </c>
      <c r="Z417" s="14">
        <v>280</v>
      </c>
      <c r="AA417" s="2" t="str">
        <f>IF(V417&gt;Z417,"Yes","No")</f>
        <v>No</v>
      </c>
      <c r="AB417" s="12">
        <f>V417-Z417</f>
        <v>-47.007100000000008</v>
      </c>
      <c r="AC417" s="15" t="s">
        <v>130</v>
      </c>
      <c r="AD417" s="15" t="s">
        <v>130</v>
      </c>
      <c r="AE417" s="15" t="s">
        <v>421</v>
      </c>
      <c r="AF417" s="12">
        <f>IF(AG417="Rejected",0,IF(R417="Corporate Card",0,V417))</f>
        <v>232.99289999999999</v>
      </c>
      <c r="AG417" s="15" t="s">
        <v>181</v>
      </c>
      <c r="AH417" s="16">
        <v>45696</v>
      </c>
      <c r="AI417" s="16"/>
      <c r="AJ417" s="16"/>
      <c r="AK417" s="17" t="str">
        <f>IF(AJ417="","",AJ417-AH417)</f>
        <v/>
      </c>
    </row>
    <row r="418" spans="1:37">
      <c r="A418" s="2" t="s">
        <v>765</v>
      </c>
      <c r="B418" s="2" t="s">
        <v>743</v>
      </c>
      <c r="C418" s="2" t="s">
        <v>313</v>
      </c>
      <c r="D418" s="2" t="s">
        <v>744</v>
      </c>
      <c r="E418" s="2" t="s">
        <v>745</v>
      </c>
      <c r="F418" s="2" t="s">
        <v>746</v>
      </c>
      <c r="G418" s="2" t="s">
        <v>747</v>
      </c>
      <c r="H418" s="2" t="s">
        <v>748</v>
      </c>
      <c r="I418" s="2" t="s">
        <v>749</v>
      </c>
      <c r="J418" s="2" t="s">
        <v>750</v>
      </c>
      <c r="K418" s="9">
        <v>45693</v>
      </c>
      <c r="L418" s="9">
        <v>45694</v>
      </c>
      <c r="M418" s="9">
        <v>45694</v>
      </c>
      <c r="N418" s="2" t="s">
        <v>696</v>
      </c>
      <c r="O418" s="2" t="s">
        <v>65</v>
      </c>
      <c r="P418" s="2" t="s">
        <v>211</v>
      </c>
      <c r="Q418" s="2" t="s">
        <v>212</v>
      </c>
      <c r="R418" s="2" t="s">
        <v>128</v>
      </c>
      <c r="S418" s="2" t="s">
        <v>198</v>
      </c>
      <c r="T418" s="10">
        <v>36.56</v>
      </c>
      <c r="U418" s="11">
        <v>1.085</v>
      </c>
      <c r="V418" s="12">
        <f>T418*U418</f>
        <v>39.6676</v>
      </c>
      <c r="W418" s="13">
        <v>0.19</v>
      </c>
      <c r="X418" s="12">
        <f>V418-(V418/(1+W418))</f>
        <v>6.333482352941175</v>
      </c>
      <c r="Y418" s="12">
        <f>V418-X418</f>
        <v>33.334117647058825</v>
      </c>
      <c r="Z418" s="14">
        <v>55</v>
      </c>
      <c r="AA418" s="2" t="str">
        <f>IF(V418&gt;Z418,"Yes","No")</f>
        <v>No</v>
      </c>
      <c r="AB418" s="12">
        <f>V418-Z418</f>
        <v>-15.3324</v>
      </c>
      <c r="AC418" s="15" t="s">
        <v>130</v>
      </c>
      <c r="AD418" s="15" t="s">
        <v>130</v>
      </c>
      <c r="AE418" s="15" t="s">
        <v>421</v>
      </c>
      <c r="AF418" s="12">
        <f>IF(AG418="Rejected",0,IF(R418="Corporate Card",0,V418))</f>
        <v>0</v>
      </c>
      <c r="AG418" s="15" t="s">
        <v>181</v>
      </c>
      <c r="AH418" s="16">
        <v>45696</v>
      </c>
      <c r="AI418" s="16"/>
      <c r="AJ418" s="16"/>
      <c r="AK418" s="17" t="str">
        <f>IF(AJ418="","",AJ418-AH418)</f>
        <v/>
      </c>
    </row>
    <row r="419" spans="1:37">
      <c r="A419" s="2" t="s">
        <v>766</v>
      </c>
      <c r="B419" s="2" t="s">
        <v>743</v>
      </c>
      <c r="C419" s="2" t="s">
        <v>313</v>
      </c>
      <c r="D419" s="2" t="s">
        <v>744</v>
      </c>
      <c r="E419" s="2" t="s">
        <v>745</v>
      </c>
      <c r="F419" s="2" t="s">
        <v>746</v>
      </c>
      <c r="G419" s="2" t="s">
        <v>747</v>
      </c>
      <c r="H419" s="2" t="s">
        <v>748</v>
      </c>
      <c r="I419" s="2" t="s">
        <v>749</v>
      </c>
      <c r="J419" s="2" t="s">
        <v>750</v>
      </c>
      <c r="K419" s="9">
        <v>45693</v>
      </c>
      <c r="L419" s="9">
        <v>45694</v>
      </c>
      <c r="M419" s="9">
        <v>45694</v>
      </c>
      <c r="N419" s="2" t="s">
        <v>696</v>
      </c>
      <c r="O419" s="2" t="s">
        <v>54</v>
      </c>
      <c r="P419" s="2" t="s">
        <v>139</v>
      </c>
      <c r="Q419" s="2" t="s">
        <v>148</v>
      </c>
      <c r="R419" s="2" t="s">
        <v>128</v>
      </c>
      <c r="S419" s="2" t="s">
        <v>198</v>
      </c>
      <c r="T419" s="10">
        <v>16.37</v>
      </c>
      <c r="U419" s="11">
        <v>1.085</v>
      </c>
      <c r="V419" s="12">
        <f>T419*U419</f>
        <v>17.76145</v>
      </c>
      <c r="W419" s="13">
        <v>0.19</v>
      </c>
      <c r="X419" s="12">
        <f>V419-(V419/(1+W419))</f>
        <v>2.8358617647058821</v>
      </c>
      <c r="Y419" s="12">
        <f>V419-X419</f>
        <v>14.925588235294118</v>
      </c>
      <c r="Z419" s="14">
        <v>25</v>
      </c>
      <c r="AA419" s="2" t="str">
        <f>IF(V419&gt;Z419,"Yes","No")</f>
        <v>No</v>
      </c>
      <c r="AB419" s="12">
        <f>V419-Z419</f>
        <v>-7.23855</v>
      </c>
      <c r="AC419" s="15" t="s">
        <v>131</v>
      </c>
      <c r="AD419" s="15" t="s">
        <v>130</v>
      </c>
      <c r="AE419" s="15" t="s">
        <v>421</v>
      </c>
      <c r="AF419" s="12">
        <f>IF(AG419="Rejected",0,IF(R419="Corporate Card",0,V419))</f>
        <v>0</v>
      </c>
      <c r="AG419" s="15" t="s">
        <v>181</v>
      </c>
      <c r="AH419" s="16">
        <v>45696</v>
      </c>
      <c r="AI419" s="16"/>
      <c r="AJ419" s="16"/>
      <c r="AK419" s="17" t="str">
        <f>IF(AJ419="","",AJ419-AH419)</f>
        <v/>
      </c>
    </row>
    <row r="420" spans="1:37">
      <c r="A420" s="2" t="s">
        <v>767</v>
      </c>
      <c r="B420" s="2" t="s">
        <v>743</v>
      </c>
      <c r="C420" s="2" t="s">
        <v>313</v>
      </c>
      <c r="D420" s="2" t="s">
        <v>744</v>
      </c>
      <c r="E420" s="2" t="s">
        <v>745</v>
      </c>
      <c r="F420" s="2" t="s">
        <v>746</v>
      </c>
      <c r="G420" s="2" t="s">
        <v>747</v>
      </c>
      <c r="H420" s="2" t="s">
        <v>748</v>
      </c>
      <c r="I420" s="2" t="s">
        <v>749</v>
      </c>
      <c r="J420" s="2" t="s">
        <v>750</v>
      </c>
      <c r="K420" s="9">
        <v>45693</v>
      </c>
      <c r="L420" s="9">
        <v>45694</v>
      </c>
      <c r="M420" s="9">
        <v>45694</v>
      </c>
      <c r="N420" s="2" t="s">
        <v>696</v>
      </c>
      <c r="O420" s="2" t="s">
        <v>56</v>
      </c>
      <c r="P420" s="2" t="s">
        <v>231</v>
      </c>
      <c r="Q420" s="2" t="s">
        <v>152</v>
      </c>
      <c r="R420" s="2" t="s">
        <v>128</v>
      </c>
      <c r="S420" s="2" t="s">
        <v>198</v>
      </c>
      <c r="T420" s="10">
        <v>45.89</v>
      </c>
      <c r="U420" s="11">
        <v>1.085</v>
      </c>
      <c r="V420" s="12">
        <f>T420*U420</f>
        <v>49.790649999999999</v>
      </c>
      <c r="W420" s="13">
        <v>0.19</v>
      </c>
      <c r="X420" s="12">
        <f>V420-(V420/(1+W420))</f>
        <v>7.9497676470588203</v>
      </c>
      <c r="Y420" s="12">
        <f>V420-X420</f>
        <v>41.840882352941179</v>
      </c>
      <c r="Z420" s="14">
        <v>75</v>
      </c>
      <c r="AA420" s="2" t="str">
        <f>IF(V420&gt;Z420,"Yes","No")</f>
        <v>No</v>
      </c>
      <c r="AB420" s="12">
        <f>V420-Z420</f>
        <v>-25.209350000000001</v>
      </c>
      <c r="AC420" s="15" t="s">
        <v>130</v>
      </c>
      <c r="AD420" s="15" t="s">
        <v>130</v>
      </c>
      <c r="AE420" s="15" t="s">
        <v>421</v>
      </c>
      <c r="AF420" s="12">
        <f>IF(AG420="Rejected",0,IF(R420="Corporate Card",0,V420))</f>
        <v>0</v>
      </c>
      <c r="AG420" s="15" t="s">
        <v>181</v>
      </c>
      <c r="AH420" s="16">
        <v>45696</v>
      </c>
      <c r="AI420" s="16"/>
      <c r="AJ420" s="16"/>
      <c r="AK420" s="17" t="str">
        <f>IF(AJ420="","",AJ420-AH420)</f>
        <v/>
      </c>
    </row>
    <row r="421" spans="1:37">
      <c r="A421" s="2" t="s">
        <v>768</v>
      </c>
      <c r="B421" s="2" t="s">
        <v>743</v>
      </c>
      <c r="C421" s="2" t="s">
        <v>313</v>
      </c>
      <c r="D421" s="2" t="s">
        <v>744</v>
      </c>
      <c r="E421" s="2" t="s">
        <v>745</v>
      </c>
      <c r="F421" s="2" t="s">
        <v>746</v>
      </c>
      <c r="G421" s="2" t="s">
        <v>747</v>
      </c>
      <c r="H421" s="2" t="s">
        <v>748</v>
      </c>
      <c r="I421" s="2" t="s">
        <v>749</v>
      </c>
      <c r="J421" s="2" t="s">
        <v>750</v>
      </c>
      <c r="K421" s="9">
        <v>45693</v>
      </c>
      <c r="L421" s="9">
        <v>45694</v>
      </c>
      <c r="M421" s="9">
        <v>45694</v>
      </c>
      <c r="N421" s="2" t="s">
        <v>696</v>
      </c>
      <c r="O421" s="2" t="s">
        <v>55</v>
      </c>
      <c r="P421" s="2" t="s">
        <v>139</v>
      </c>
      <c r="Q421" s="2" t="s">
        <v>154</v>
      </c>
      <c r="R421" s="2" t="s">
        <v>128</v>
      </c>
      <c r="S421" s="2" t="s">
        <v>198</v>
      </c>
      <c r="T421" s="10">
        <v>29.13</v>
      </c>
      <c r="U421" s="11">
        <v>1.085</v>
      </c>
      <c r="V421" s="12">
        <f>T421*U421</f>
        <v>31.606049999999996</v>
      </c>
      <c r="W421" s="13">
        <v>0.19</v>
      </c>
      <c r="X421" s="12">
        <f>V421-(V421/(1+W421))</f>
        <v>5.046344117647056</v>
      </c>
      <c r="Y421" s="12">
        <f>V421-X421</f>
        <v>26.55970588235294</v>
      </c>
      <c r="Z421" s="14">
        <v>35</v>
      </c>
      <c r="AA421" s="2" t="str">
        <f>IF(V421&gt;Z421,"Yes","No")</f>
        <v>No</v>
      </c>
      <c r="AB421" s="12">
        <f>V421-Z421</f>
        <v>-3.3939500000000038</v>
      </c>
      <c r="AC421" s="15" t="s">
        <v>130</v>
      </c>
      <c r="AD421" s="15" t="s">
        <v>130</v>
      </c>
      <c r="AE421" s="15" t="s">
        <v>421</v>
      </c>
      <c r="AF421" s="12">
        <f>IF(AG421="Rejected",0,IF(R421="Corporate Card",0,V421))</f>
        <v>0</v>
      </c>
      <c r="AG421" s="15" t="s">
        <v>181</v>
      </c>
      <c r="AH421" s="16">
        <v>45696</v>
      </c>
      <c r="AI421" s="16"/>
      <c r="AJ421" s="16"/>
      <c r="AK421" s="17" t="str">
        <f>IF(AJ421="","",AJ421-AH421)</f>
        <v/>
      </c>
    </row>
    <row r="422" spans="1:37">
      <c r="A422" s="2" t="s">
        <v>769</v>
      </c>
      <c r="B422" s="2" t="s">
        <v>770</v>
      </c>
      <c r="C422" s="2" t="s">
        <v>771</v>
      </c>
      <c r="D422" s="2" t="s">
        <v>414</v>
      </c>
      <c r="E422" s="2" t="s">
        <v>772</v>
      </c>
      <c r="F422" s="2" t="s">
        <v>413</v>
      </c>
      <c r="G422" s="2" t="s">
        <v>773</v>
      </c>
      <c r="H422" s="2" t="s">
        <v>748</v>
      </c>
      <c r="I422" s="2" t="s">
        <v>194</v>
      </c>
      <c r="J422" s="2" t="s">
        <v>195</v>
      </c>
      <c r="K422" s="9">
        <v>45694</v>
      </c>
      <c r="L422" s="9">
        <v>45701</v>
      </c>
      <c r="M422" s="9">
        <v>45694</v>
      </c>
      <c r="N422" s="2" t="s">
        <v>696</v>
      </c>
      <c r="O422" s="2" t="s">
        <v>52</v>
      </c>
      <c r="P422" s="2" t="s">
        <v>196</v>
      </c>
      <c r="Q422" s="2" t="s">
        <v>513</v>
      </c>
      <c r="R422" s="2" t="s">
        <v>149</v>
      </c>
      <c r="S422" s="2" t="s">
        <v>198</v>
      </c>
      <c r="T422" s="10">
        <v>1714.28</v>
      </c>
      <c r="U422" s="11">
        <v>1.085</v>
      </c>
      <c r="V422" s="12">
        <f>T422*U422</f>
        <v>1859.9938</v>
      </c>
      <c r="W422" s="13">
        <v>0</v>
      </c>
      <c r="X422" s="12">
        <f>V422-(V422/(1+W422))</f>
        <v>0</v>
      </c>
      <c r="Y422" s="12">
        <f>V422-X422</f>
        <v>1859.9938</v>
      </c>
      <c r="Z422" s="14">
        <v>1400</v>
      </c>
      <c r="AA422" s="2" t="str">
        <f>IF(V422&gt;Z422,"Yes","No")</f>
        <v>Yes</v>
      </c>
      <c r="AB422" s="12">
        <f>V422-Z422</f>
        <v>459.99379999999996</v>
      </c>
      <c r="AC422" s="15" t="s">
        <v>130</v>
      </c>
      <c r="AD422" s="15" t="s">
        <v>131</v>
      </c>
      <c r="AE422" s="15" t="s">
        <v>421</v>
      </c>
      <c r="AF422" s="12">
        <f>IF(AG422="Rejected",0,IF(R422="Corporate Card",0,V422))</f>
        <v>1859.9938</v>
      </c>
      <c r="AG422" s="15" t="s">
        <v>133</v>
      </c>
      <c r="AH422" s="16">
        <v>45711</v>
      </c>
      <c r="AI422" s="16">
        <v>45713</v>
      </c>
      <c r="AJ422" s="16">
        <v>45723</v>
      </c>
      <c r="AK422" s="17">
        <f>IF(AJ422="","",AJ422-AH422)</f>
        <v>12</v>
      </c>
    </row>
    <row r="423" spans="1:37">
      <c r="A423" s="2" t="s">
        <v>774</v>
      </c>
      <c r="B423" s="2" t="s">
        <v>770</v>
      </c>
      <c r="C423" s="2" t="s">
        <v>771</v>
      </c>
      <c r="D423" s="2" t="s">
        <v>414</v>
      </c>
      <c r="E423" s="2" t="s">
        <v>772</v>
      </c>
      <c r="F423" s="2" t="s">
        <v>413</v>
      </c>
      <c r="G423" s="2" t="s">
        <v>773</v>
      </c>
      <c r="H423" s="2" t="s">
        <v>748</v>
      </c>
      <c r="I423" s="2" t="s">
        <v>194</v>
      </c>
      <c r="J423" s="2" t="s">
        <v>195</v>
      </c>
      <c r="K423" s="9">
        <v>45694</v>
      </c>
      <c r="L423" s="9">
        <v>45701</v>
      </c>
      <c r="M423" s="9">
        <v>45694</v>
      </c>
      <c r="N423" s="2" t="s">
        <v>696</v>
      </c>
      <c r="O423" s="2" t="s">
        <v>64</v>
      </c>
      <c r="P423" s="2" t="s">
        <v>135</v>
      </c>
      <c r="Q423" s="2" t="s">
        <v>420</v>
      </c>
      <c r="R423" s="2" t="s">
        <v>128</v>
      </c>
      <c r="S423" s="2" t="s">
        <v>198</v>
      </c>
      <c r="T423" s="10">
        <v>56.98</v>
      </c>
      <c r="U423" s="11">
        <v>1.085</v>
      </c>
      <c r="V423" s="12">
        <f>T423*U423</f>
        <v>61.823299999999996</v>
      </c>
      <c r="W423" s="13">
        <v>0</v>
      </c>
      <c r="X423" s="12">
        <f>V423-(V423/(1+W423))</f>
        <v>0</v>
      </c>
      <c r="Y423" s="12">
        <f>V423-X423</f>
        <v>61.823299999999996</v>
      </c>
      <c r="Z423" s="14">
        <v>120</v>
      </c>
      <c r="AA423" s="2" t="str">
        <f>IF(V423&gt;Z423,"Yes","No")</f>
        <v>No</v>
      </c>
      <c r="AB423" s="12">
        <f>V423-Z423</f>
        <v>-58.176700000000004</v>
      </c>
      <c r="AC423" s="15" t="s">
        <v>130</v>
      </c>
      <c r="AD423" s="15" t="s">
        <v>131</v>
      </c>
      <c r="AE423" s="15" t="s">
        <v>421</v>
      </c>
      <c r="AF423" s="12">
        <f>IF(AG423="Rejected",0,IF(R423="Corporate Card",0,V423))</f>
        <v>0</v>
      </c>
      <c r="AG423" s="15" t="s">
        <v>133</v>
      </c>
      <c r="AH423" s="16">
        <v>45711</v>
      </c>
      <c r="AI423" s="16">
        <v>45713</v>
      </c>
      <c r="AJ423" s="16">
        <v>45723</v>
      </c>
      <c r="AK423" s="17">
        <f>IF(AJ423="","",AJ423-AH423)</f>
        <v>12</v>
      </c>
    </row>
    <row r="424" spans="1:37">
      <c r="A424" s="2" t="s">
        <v>775</v>
      </c>
      <c r="B424" s="2" t="s">
        <v>770</v>
      </c>
      <c r="C424" s="2" t="s">
        <v>771</v>
      </c>
      <c r="D424" s="2" t="s">
        <v>414</v>
      </c>
      <c r="E424" s="2" t="s">
        <v>772</v>
      </c>
      <c r="F424" s="2" t="s">
        <v>413</v>
      </c>
      <c r="G424" s="2" t="s">
        <v>773</v>
      </c>
      <c r="H424" s="2" t="s">
        <v>748</v>
      </c>
      <c r="I424" s="2" t="s">
        <v>194</v>
      </c>
      <c r="J424" s="2" t="s">
        <v>195</v>
      </c>
      <c r="K424" s="9">
        <v>45694</v>
      </c>
      <c r="L424" s="9">
        <v>45701</v>
      </c>
      <c r="M424" s="9">
        <v>45694</v>
      </c>
      <c r="N424" s="2" t="s">
        <v>696</v>
      </c>
      <c r="O424" s="2" t="s">
        <v>56</v>
      </c>
      <c r="P424" s="2" t="s">
        <v>151</v>
      </c>
      <c r="Q424" s="2" t="s">
        <v>227</v>
      </c>
      <c r="R424" s="2" t="s">
        <v>149</v>
      </c>
      <c r="S424" s="2" t="s">
        <v>198</v>
      </c>
      <c r="T424" s="10">
        <v>29.89</v>
      </c>
      <c r="U424" s="11">
        <v>1.085</v>
      </c>
      <c r="V424" s="12">
        <f>T424*U424</f>
        <v>32.43065</v>
      </c>
      <c r="W424" s="13">
        <v>0.19</v>
      </c>
      <c r="X424" s="12">
        <f>V424-(V424/(1+W424))</f>
        <v>5.1780029411764694</v>
      </c>
      <c r="Y424" s="12">
        <f>V424-X424</f>
        <v>27.252647058823531</v>
      </c>
      <c r="Z424" s="14">
        <v>75</v>
      </c>
      <c r="AA424" s="2" t="str">
        <f>IF(V424&gt;Z424,"Yes","No")</f>
        <v>No</v>
      </c>
      <c r="AB424" s="12">
        <f>V424-Z424</f>
        <v>-42.56935</v>
      </c>
      <c r="AC424" s="15" t="s">
        <v>130</v>
      </c>
      <c r="AD424" s="15" t="s">
        <v>131</v>
      </c>
      <c r="AE424" s="15" t="s">
        <v>421</v>
      </c>
      <c r="AF424" s="12">
        <f>IF(AG424="Rejected",0,IF(R424="Corporate Card",0,V424))</f>
        <v>32.43065</v>
      </c>
      <c r="AG424" s="15" t="s">
        <v>133</v>
      </c>
      <c r="AH424" s="16">
        <v>45711</v>
      </c>
      <c r="AI424" s="16">
        <v>45713</v>
      </c>
      <c r="AJ424" s="16">
        <v>45723</v>
      </c>
      <c r="AK424" s="17">
        <f>IF(AJ424="","",AJ424-AH424)</f>
        <v>12</v>
      </c>
    </row>
    <row r="425" spans="1:37">
      <c r="A425" s="2" t="s">
        <v>776</v>
      </c>
      <c r="B425" s="2" t="s">
        <v>770</v>
      </c>
      <c r="C425" s="2" t="s">
        <v>771</v>
      </c>
      <c r="D425" s="2" t="s">
        <v>414</v>
      </c>
      <c r="E425" s="2" t="s">
        <v>772</v>
      </c>
      <c r="F425" s="2" t="s">
        <v>413</v>
      </c>
      <c r="G425" s="2" t="s">
        <v>773</v>
      </c>
      <c r="H425" s="2" t="s">
        <v>748</v>
      </c>
      <c r="I425" s="2" t="s">
        <v>194</v>
      </c>
      <c r="J425" s="2" t="s">
        <v>195</v>
      </c>
      <c r="K425" s="9">
        <v>45694</v>
      </c>
      <c r="L425" s="9">
        <v>45701</v>
      </c>
      <c r="M425" s="9">
        <v>45694</v>
      </c>
      <c r="N425" s="2" t="s">
        <v>696</v>
      </c>
      <c r="O425" s="2" t="s">
        <v>55</v>
      </c>
      <c r="P425" s="2" t="s">
        <v>139</v>
      </c>
      <c r="Q425" s="2" t="s">
        <v>161</v>
      </c>
      <c r="R425" s="2" t="s">
        <v>128</v>
      </c>
      <c r="S425" s="2" t="s">
        <v>198</v>
      </c>
      <c r="T425" s="10">
        <v>14.6</v>
      </c>
      <c r="U425" s="11">
        <v>1.085</v>
      </c>
      <c r="V425" s="12">
        <f>T425*U425</f>
        <v>15.840999999999999</v>
      </c>
      <c r="W425" s="13">
        <v>0.19</v>
      </c>
      <c r="X425" s="12">
        <f>V425-(V425/(1+W425))</f>
        <v>2.5292352941176457</v>
      </c>
      <c r="Y425" s="12">
        <f>V425-X425</f>
        <v>13.311764705882354</v>
      </c>
      <c r="Z425" s="14">
        <v>35</v>
      </c>
      <c r="AA425" s="2" t="str">
        <f>IF(V425&gt;Z425,"Yes","No")</f>
        <v>No</v>
      </c>
      <c r="AB425" s="12">
        <f>V425-Z425</f>
        <v>-19.158999999999999</v>
      </c>
      <c r="AC425" s="15" t="s">
        <v>130</v>
      </c>
      <c r="AD425" s="15" t="s">
        <v>131</v>
      </c>
      <c r="AE425" s="15" t="s">
        <v>421</v>
      </c>
      <c r="AF425" s="12">
        <f>IF(AG425="Rejected",0,IF(R425="Corporate Card",0,V425))</f>
        <v>0</v>
      </c>
      <c r="AG425" s="15" t="s">
        <v>133</v>
      </c>
      <c r="AH425" s="16">
        <v>45711</v>
      </c>
      <c r="AI425" s="16">
        <v>45713</v>
      </c>
      <c r="AJ425" s="16">
        <v>45723</v>
      </c>
      <c r="AK425" s="17">
        <f>IF(AJ425="","",AJ425-AH425)</f>
        <v>12</v>
      </c>
    </row>
    <row r="426" spans="1:37">
      <c r="A426" s="2" t="s">
        <v>777</v>
      </c>
      <c r="B426" s="2" t="s">
        <v>375</v>
      </c>
      <c r="C426" s="2" t="s">
        <v>376</v>
      </c>
      <c r="D426" s="2" t="s">
        <v>344</v>
      </c>
      <c r="E426" s="2" t="s">
        <v>377</v>
      </c>
      <c r="F426" s="2" t="s">
        <v>346</v>
      </c>
      <c r="G426" s="2" t="s">
        <v>778</v>
      </c>
      <c r="H426" s="2" t="s">
        <v>348</v>
      </c>
      <c r="I426" s="2" t="s">
        <v>651</v>
      </c>
      <c r="J426" s="2" t="s">
        <v>652</v>
      </c>
      <c r="K426" s="9">
        <v>45695</v>
      </c>
      <c r="L426" s="9">
        <v>45698</v>
      </c>
      <c r="M426" s="9">
        <v>45695</v>
      </c>
      <c r="N426" s="2" t="s">
        <v>696</v>
      </c>
      <c r="O426" s="2" t="s">
        <v>52</v>
      </c>
      <c r="P426" s="2" t="s">
        <v>653</v>
      </c>
      <c r="Q426" s="2" t="s">
        <v>178</v>
      </c>
      <c r="R426" s="2" t="s">
        <v>137</v>
      </c>
      <c r="S426" s="2" t="s">
        <v>654</v>
      </c>
      <c r="T426" s="10">
        <v>1920.62</v>
      </c>
      <c r="U426" s="11">
        <v>0.72799999999999998</v>
      </c>
      <c r="V426" s="12">
        <f>T426*U426</f>
        <v>1398.2113599999998</v>
      </c>
      <c r="W426" s="13">
        <v>0</v>
      </c>
      <c r="X426" s="12">
        <f>V426-(V426/(1+W426))</f>
        <v>0</v>
      </c>
      <c r="Y426" s="12">
        <f>V426-X426</f>
        <v>1398.2113599999998</v>
      </c>
      <c r="Z426" s="14">
        <v>1400</v>
      </c>
      <c r="AA426" s="2" t="str">
        <f>IF(V426&gt;Z426,"Yes","No")</f>
        <v>No</v>
      </c>
      <c r="AB426" s="12">
        <f>V426-Z426</f>
        <v>-1.7886400000002141</v>
      </c>
      <c r="AC426" s="15" t="s">
        <v>130</v>
      </c>
      <c r="AD426" s="15" t="s">
        <v>130</v>
      </c>
      <c r="AE426" s="15" t="s">
        <v>350</v>
      </c>
      <c r="AF426" s="12">
        <f>IF(AG426="Rejected",0,IF(R426="Corporate Card",0,V426))</f>
        <v>1398.2113599999998</v>
      </c>
      <c r="AG426" s="15" t="s">
        <v>133</v>
      </c>
      <c r="AH426" s="16">
        <v>45704</v>
      </c>
      <c r="AI426" s="16">
        <v>45708</v>
      </c>
      <c r="AJ426" s="16">
        <v>45720</v>
      </c>
      <c r="AK426" s="17">
        <f>IF(AJ426="","",AJ426-AH426)</f>
        <v>16</v>
      </c>
    </row>
    <row r="427" spans="1:37">
      <c r="A427" s="2" t="s">
        <v>779</v>
      </c>
      <c r="B427" s="2" t="s">
        <v>375</v>
      </c>
      <c r="C427" s="2" t="s">
        <v>376</v>
      </c>
      <c r="D427" s="2" t="s">
        <v>344</v>
      </c>
      <c r="E427" s="2" t="s">
        <v>377</v>
      </c>
      <c r="F427" s="2" t="s">
        <v>346</v>
      </c>
      <c r="G427" s="2" t="s">
        <v>778</v>
      </c>
      <c r="H427" s="2" t="s">
        <v>348</v>
      </c>
      <c r="I427" s="2" t="s">
        <v>651</v>
      </c>
      <c r="J427" s="2" t="s">
        <v>652</v>
      </c>
      <c r="K427" s="9">
        <v>45695</v>
      </c>
      <c r="L427" s="9">
        <v>45698</v>
      </c>
      <c r="M427" s="9">
        <v>45695</v>
      </c>
      <c r="N427" s="2" t="s">
        <v>696</v>
      </c>
      <c r="O427" s="2" t="s">
        <v>58</v>
      </c>
      <c r="P427" s="2" t="s">
        <v>142</v>
      </c>
      <c r="Q427" s="2" t="s">
        <v>203</v>
      </c>
      <c r="R427" s="2" t="s">
        <v>137</v>
      </c>
      <c r="S427" s="2" t="s">
        <v>654</v>
      </c>
      <c r="T427" s="10">
        <v>59.62</v>
      </c>
      <c r="U427" s="11">
        <v>0.72799999999999998</v>
      </c>
      <c r="V427" s="12">
        <f>T427*U427</f>
        <v>43.403359999999999</v>
      </c>
      <c r="W427" s="13">
        <v>0.13</v>
      </c>
      <c r="X427" s="12">
        <f>V427-(V427/(1+W427))</f>
        <v>4.9933069026548651</v>
      </c>
      <c r="Y427" s="12">
        <f>V427-X427</f>
        <v>38.410053097345134</v>
      </c>
      <c r="Z427" s="14">
        <v>60</v>
      </c>
      <c r="AA427" s="2" t="str">
        <f>IF(V427&gt;Z427,"Yes","No")</f>
        <v>No</v>
      </c>
      <c r="AB427" s="12">
        <f>V427-Z427</f>
        <v>-16.596640000000001</v>
      </c>
      <c r="AC427" s="15" t="s">
        <v>130</v>
      </c>
      <c r="AD427" s="15" t="s">
        <v>130</v>
      </c>
      <c r="AE427" s="15" t="s">
        <v>350</v>
      </c>
      <c r="AF427" s="12">
        <f>IF(AG427="Rejected",0,IF(R427="Corporate Card",0,V427))</f>
        <v>43.403359999999999</v>
      </c>
      <c r="AG427" s="15" t="s">
        <v>133</v>
      </c>
      <c r="AH427" s="16">
        <v>45704</v>
      </c>
      <c r="AI427" s="16">
        <v>45708</v>
      </c>
      <c r="AJ427" s="16">
        <v>45720</v>
      </c>
      <c r="AK427" s="17">
        <f>IF(AJ427="","",AJ427-AH427)</f>
        <v>16</v>
      </c>
    </row>
    <row r="428" spans="1:37">
      <c r="A428" s="2" t="s">
        <v>780</v>
      </c>
      <c r="B428" s="2" t="s">
        <v>375</v>
      </c>
      <c r="C428" s="2" t="s">
        <v>376</v>
      </c>
      <c r="D428" s="2" t="s">
        <v>344</v>
      </c>
      <c r="E428" s="2" t="s">
        <v>377</v>
      </c>
      <c r="F428" s="2" t="s">
        <v>346</v>
      </c>
      <c r="G428" s="2" t="s">
        <v>778</v>
      </c>
      <c r="H428" s="2" t="s">
        <v>348</v>
      </c>
      <c r="I428" s="2" t="s">
        <v>651</v>
      </c>
      <c r="J428" s="2" t="s">
        <v>652</v>
      </c>
      <c r="K428" s="9">
        <v>45695</v>
      </c>
      <c r="L428" s="9">
        <v>45698</v>
      </c>
      <c r="M428" s="9">
        <v>45695</v>
      </c>
      <c r="N428" s="2" t="s">
        <v>696</v>
      </c>
      <c r="O428" s="2" t="s">
        <v>54</v>
      </c>
      <c r="P428" s="2" t="s">
        <v>139</v>
      </c>
      <c r="Q428" s="2" t="s">
        <v>140</v>
      </c>
      <c r="R428" s="2" t="s">
        <v>128</v>
      </c>
      <c r="S428" s="2" t="s">
        <v>654</v>
      </c>
      <c r="T428" s="10">
        <v>20.78</v>
      </c>
      <c r="U428" s="11">
        <v>0.72799999999999998</v>
      </c>
      <c r="V428" s="12">
        <f>T428*U428</f>
        <v>15.127840000000001</v>
      </c>
      <c r="W428" s="13">
        <v>0.13</v>
      </c>
      <c r="X428" s="12">
        <f>V428-(V428/(1+W428))</f>
        <v>1.7403709734513271</v>
      </c>
      <c r="Y428" s="12">
        <f>V428-X428</f>
        <v>13.387469026548674</v>
      </c>
      <c r="Z428" s="14">
        <v>25</v>
      </c>
      <c r="AA428" s="2" t="str">
        <f>IF(V428&gt;Z428,"Yes","No")</f>
        <v>No</v>
      </c>
      <c r="AB428" s="12">
        <f>V428-Z428</f>
        <v>-9.8721599999999992</v>
      </c>
      <c r="AC428" s="15" t="s">
        <v>130</v>
      </c>
      <c r="AD428" s="15" t="s">
        <v>130</v>
      </c>
      <c r="AE428" s="15" t="s">
        <v>350</v>
      </c>
      <c r="AF428" s="12">
        <f>IF(AG428="Rejected",0,IF(R428="Corporate Card",0,V428))</f>
        <v>0</v>
      </c>
      <c r="AG428" s="15" t="s">
        <v>133</v>
      </c>
      <c r="AH428" s="16">
        <v>45704</v>
      </c>
      <c r="AI428" s="16">
        <v>45708</v>
      </c>
      <c r="AJ428" s="16">
        <v>45720</v>
      </c>
      <c r="AK428" s="17">
        <f>IF(AJ428="","",AJ428-AH428)</f>
        <v>16</v>
      </c>
    </row>
    <row r="429" spans="1:37">
      <c r="A429" s="2" t="s">
        <v>781</v>
      </c>
      <c r="B429" s="2" t="s">
        <v>375</v>
      </c>
      <c r="C429" s="2" t="s">
        <v>376</v>
      </c>
      <c r="D429" s="2" t="s">
        <v>344</v>
      </c>
      <c r="E429" s="2" t="s">
        <v>377</v>
      </c>
      <c r="F429" s="2" t="s">
        <v>346</v>
      </c>
      <c r="G429" s="2" t="s">
        <v>778</v>
      </c>
      <c r="H429" s="2" t="s">
        <v>348</v>
      </c>
      <c r="I429" s="2" t="s">
        <v>651</v>
      </c>
      <c r="J429" s="2" t="s">
        <v>652</v>
      </c>
      <c r="K429" s="9">
        <v>45695</v>
      </c>
      <c r="L429" s="9">
        <v>45698</v>
      </c>
      <c r="M429" s="9">
        <v>45695</v>
      </c>
      <c r="N429" s="2" t="s">
        <v>696</v>
      </c>
      <c r="O429" s="2" t="s">
        <v>55</v>
      </c>
      <c r="P429" s="2" t="s">
        <v>139</v>
      </c>
      <c r="Q429" s="2" t="s">
        <v>154</v>
      </c>
      <c r="R429" s="2" t="s">
        <v>128</v>
      </c>
      <c r="S429" s="2" t="s">
        <v>654</v>
      </c>
      <c r="T429" s="10">
        <v>38.33</v>
      </c>
      <c r="U429" s="11">
        <v>0.72799999999999998</v>
      </c>
      <c r="V429" s="12">
        <f>T429*U429</f>
        <v>27.904239999999998</v>
      </c>
      <c r="W429" s="13">
        <v>0.13</v>
      </c>
      <c r="X429" s="12">
        <f>V429-(V429/(1+W429))</f>
        <v>3.2102223008849542</v>
      </c>
      <c r="Y429" s="12">
        <f>V429-X429</f>
        <v>24.694017699115044</v>
      </c>
      <c r="Z429" s="14">
        <v>35</v>
      </c>
      <c r="AA429" s="2" t="str">
        <f>IF(V429&gt;Z429,"Yes","No")</f>
        <v>No</v>
      </c>
      <c r="AB429" s="12">
        <f>V429-Z429</f>
        <v>-7.0957600000000021</v>
      </c>
      <c r="AC429" s="15" t="s">
        <v>130</v>
      </c>
      <c r="AD429" s="15" t="s">
        <v>130</v>
      </c>
      <c r="AE429" s="15" t="s">
        <v>350</v>
      </c>
      <c r="AF429" s="12">
        <f>IF(AG429="Rejected",0,IF(R429="Corporate Card",0,V429))</f>
        <v>0</v>
      </c>
      <c r="AG429" s="15" t="s">
        <v>133</v>
      </c>
      <c r="AH429" s="16">
        <v>45704</v>
      </c>
      <c r="AI429" s="16">
        <v>45708</v>
      </c>
      <c r="AJ429" s="16">
        <v>45720</v>
      </c>
      <c r="AK429" s="17">
        <f>IF(AJ429="","",AJ429-AH429)</f>
        <v>16</v>
      </c>
    </row>
    <row r="430" spans="1:37">
      <c r="A430" s="2" t="s">
        <v>782</v>
      </c>
      <c r="B430" s="2" t="s">
        <v>375</v>
      </c>
      <c r="C430" s="2" t="s">
        <v>376</v>
      </c>
      <c r="D430" s="2" t="s">
        <v>344</v>
      </c>
      <c r="E430" s="2" t="s">
        <v>377</v>
      </c>
      <c r="F430" s="2" t="s">
        <v>346</v>
      </c>
      <c r="G430" s="2" t="s">
        <v>778</v>
      </c>
      <c r="H430" s="2" t="s">
        <v>348</v>
      </c>
      <c r="I430" s="2" t="s">
        <v>651</v>
      </c>
      <c r="J430" s="2" t="s">
        <v>652</v>
      </c>
      <c r="K430" s="9">
        <v>45695</v>
      </c>
      <c r="L430" s="9">
        <v>45698</v>
      </c>
      <c r="M430" s="9">
        <v>45695</v>
      </c>
      <c r="N430" s="2" t="s">
        <v>696</v>
      </c>
      <c r="O430" s="2" t="s">
        <v>66</v>
      </c>
      <c r="P430" s="2" t="s">
        <v>489</v>
      </c>
      <c r="Q430" s="2" t="s">
        <v>783</v>
      </c>
      <c r="R430" s="2" t="s">
        <v>128</v>
      </c>
      <c r="S430" s="2" t="s">
        <v>654</v>
      </c>
      <c r="T430" s="10">
        <v>179.3</v>
      </c>
      <c r="U430" s="11">
        <v>0.72799999999999998</v>
      </c>
      <c r="V430" s="12">
        <f>T430*U430</f>
        <v>130.53040000000001</v>
      </c>
      <c r="W430" s="13">
        <v>0</v>
      </c>
      <c r="X430" s="12">
        <f>V430-(V430/(1+W430))</f>
        <v>0</v>
      </c>
      <c r="Y430" s="12">
        <f>V430-X430</f>
        <v>130.53040000000001</v>
      </c>
      <c r="Z430" s="14">
        <v>250</v>
      </c>
      <c r="AA430" s="2" t="str">
        <f>IF(V430&gt;Z430,"Yes","No")</f>
        <v>No</v>
      </c>
      <c r="AB430" s="12">
        <f>V430-Z430</f>
        <v>-119.46959999999999</v>
      </c>
      <c r="AC430" s="15" t="s">
        <v>130</v>
      </c>
      <c r="AD430" s="15" t="s">
        <v>130</v>
      </c>
      <c r="AE430" s="15" t="s">
        <v>350</v>
      </c>
      <c r="AF430" s="12">
        <f>IF(AG430="Rejected",0,IF(R430="Corporate Card",0,V430))</f>
        <v>0</v>
      </c>
      <c r="AG430" s="15" t="s">
        <v>133</v>
      </c>
      <c r="AH430" s="16">
        <v>45704</v>
      </c>
      <c r="AI430" s="16">
        <v>45708</v>
      </c>
      <c r="AJ430" s="16">
        <v>45720</v>
      </c>
      <c r="AK430" s="17">
        <f>IF(AJ430="","",AJ430-AH430)</f>
        <v>16</v>
      </c>
    </row>
    <row r="431" spans="1:37">
      <c r="A431" s="2" t="s">
        <v>784</v>
      </c>
      <c r="B431" s="2" t="s">
        <v>509</v>
      </c>
      <c r="C431" s="2" t="s">
        <v>510</v>
      </c>
      <c r="D431" s="2" t="s">
        <v>250</v>
      </c>
      <c r="E431" s="2" t="s">
        <v>511</v>
      </c>
      <c r="F431" s="2" t="s">
        <v>313</v>
      </c>
      <c r="G431" s="2" t="s">
        <v>688</v>
      </c>
      <c r="H431" s="2" t="s">
        <v>254</v>
      </c>
      <c r="I431" s="2" t="s">
        <v>123</v>
      </c>
      <c r="J431" s="2" t="s">
        <v>124</v>
      </c>
      <c r="K431" s="9">
        <v>45688</v>
      </c>
      <c r="L431" s="9">
        <v>45695</v>
      </c>
      <c r="M431" s="9">
        <v>45695</v>
      </c>
      <c r="N431" s="2" t="s">
        <v>696</v>
      </c>
      <c r="O431" s="2" t="s">
        <v>58</v>
      </c>
      <c r="P431" s="2" t="s">
        <v>142</v>
      </c>
      <c r="Q431" s="2" t="s">
        <v>296</v>
      </c>
      <c r="R431" s="2" t="s">
        <v>128</v>
      </c>
      <c r="S431" s="2" t="s">
        <v>129</v>
      </c>
      <c r="T431" s="10">
        <v>18.739999999999998</v>
      </c>
      <c r="U431" s="11">
        <v>1.272</v>
      </c>
      <c r="V431" s="12">
        <f>T431*U431</f>
        <v>23.83728</v>
      </c>
      <c r="W431" s="13">
        <v>0.2</v>
      </c>
      <c r="X431" s="12">
        <f>V431-(V431/(1+W431))</f>
        <v>3.97288</v>
      </c>
      <c r="Y431" s="12">
        <f>V431-X431</f>
        <v>19.8644</v>
      </c>
      <c r="Z431" s="14">
        <v>60</v>
      </c>
      <c r="AA431" s="2" t="str">
        <f>IF(V431&gt;Z431,"Yes","No")</f>
        <v>No</v>
      </c>
      <c r="AB431" s="12">
        <f>V431-Z431</f>
        <v>-36.16272</v>
      </c>
      <c r="AC431" s="15" t="s">
        <v>130</v>
      </c>
      <c r="AD431" s="15" t="s">
        <v>130</v>
      </c>
      <c r="AE431" s="15" t="s">
        <v>180</v>
      </c>
      <c r="AF431" s="12">
        <f>IF(AG431="Rejected",0,IF(R431="Corporate Card",0,V431))</f>
        <v>0</v>
      </c>
      <c r="AG431" s="15" t="s">
        <v>133</v>
      </c>
      <c r="AH431" s="16">
        <v>45706</v>
      </c>
      <c r="AI431" s="16">
        <v>45714</v>
      </c>
      <c r="AJ431" s="16">
        <v>45720</v>
      </c>
      <c r="AK431" s="17">
        <f>IF(AJ431="","",AJ431-AH431)</f>
        <v>14</v>
      </c>
    </row>
    <row r="432" spans="1:37">
      <c r="A432" s="2" t="s">
        <v>785</v>
      </c>
      <c r="B432" s="2" t="s">
        <v>509</v>
      </c>
      <c r="C432" s="2" t="s">
        <v>510</v>
      </c>
      <c r="D432" s="2" t="s">
        <v>250</v>
      </c>
      <c r="E432" s="2" t="s">
        <v>511</v>
      </c>
      <c r="F432" s="2" t="s">
        <v>313</v>
      </c>
      <c r="G432" s="2" t="s">
        <v>688</v>
      </c>
      <c r="H432" s="2" t="s">
        <v>254</v>
      </c>
      <c r="I432" s="2" t="s">
        <v>123</v>
      </c>
      <c r="J432" s="2" t="s">
        <v>124</v>
      </c>
      <c r="K432" s="9">
        <v>45688</v>
      </c>
      <c r="L432" s="9">
        <v>45695</v>
      </c>
      <c r="M432" s="9">
        <v>45695</v>
      </c>
      <c r="N432" s="2" t="s">
        <v>696</v>
      </c>
      <c r="O432" s="2" t="s">
        <v>54</v>
      </c>
      <c r="P432" s="2" t="s">
        <v>139</v>
      </c>
      <c r="Q432" s="2" t="s">
        <v>214</v>
      </c>
      <c r="R432" s="2" t="s">
        <v>128</v>
      </c>
      <c r="S432" s="2" t="s">
        <v>129</v>
      </c>
      <c r="T432" s="10">
        <v>9.77</v>
      </c>
      <c r="U432" s="11">
        <v>1.272</v>
      </c>
      <c r="V432" s="12">
        <f>T432*U432</f>
        <v>12.427439999999999</v>
      </c>
      <c r="W432" s="13">
        <v>0.2</v>
      </c>
      <c r="X432" s="12">
        <f>V432-(V432/(1+W432))</f>
        <v>2.0712399999999995</v>
      </c>
      <c r="Y432" s="12">
        <f>V432-X432</f>
        <v>10.356199999999999</v>
      </c>
      <c r="Z432" s="14">
        <v>25</v>
      </c>
      <c r="AA432" s="2" t="str">
        <f>IF(V432&gt;Z432,"Yes","No")</f>
        <v>No</v>
      </c>
      <c r="AB432" s="12">
        <f>V432-Z432</f>
        <v>-12.572560000000001</v>
      </c>
      <c r="AC432" s="15" t="s">
        <v>130</v>
      </c>
      <c r="AD432" s="15" t="s">
        <v>130</v>
      </c>
      <c r="AE432" s="15" t="s">
        <v>180</v>
      </c>
      <c r="AF432" s="12">
        <f>IF(AG432="Rejected",0,IF(R432="Corporate Card",0,V432))</f>
        <v>0</v>
      </c>
      <c r="AG432" s="15" t="s">
        <v>133</v>
      </c>
      <c r="AH432" s="16">
        <v>45706</v>
      </c>
      <c r="AI432" s="16">
        <v>45714</v>
      </c>
      <c r="AJ432" s="16">
        <v>45720</v>
      </c>
      <c r="AK432" s="17">
        <f>IF(AJ432="","",AJ432-AH432)</f>
        <v>14</v>
      </c>
    </row>
    <row r="433" spans="1:37">
      <c r="A433" s="2" t="s">
        <v>786</v>
      </c>
      <c r="B433" s="2" t="s">
        <v>509</v>
      </c>
      <c r="C433" s="2" t="s">
        <v>510</v>
      </c>
      <c r="D433" s="2" t="s">
        <v>250</v>
      </c>
      <c r="E433" s="2" t="s">
        <v>511</v>
      </c>
      <c r="F433" s="2" t="s">
        <v>313</v>
      </c>
      <c r="G433" s="2" t="s">
        <v>688</v>
      </c>
      <c r="H433" s="2" t="s">
        <v>254</v>
      </c>
      <c r="I433" s="2" t="s">
        <v>123</v>
      </c>
      <c r="J433" s="2" t="s">
        <v>124</v>
      </c>
      <c r="K433" s="9">
        <v>45688</v>
      </c>
      <c r="L433" s="9">
        <v>45695</v>
      </c>
      <c r="M433" s="9">
        <v>45695</v>
      </c>
      <c r="N433" s="2" t="s">
        <v>696</v>
      </c>
      <c r="O433" s="2" t="s">
        <v>55</v>
      </c>
      <c r="P433" s="2" t="s">
        <v>139</v>
      </c>
      <c r="Q433" s="2" t="s">
        <v>217</v>
      </c>
      <c r="R433" s="2" t="s">
        <v>149</v>
      </c>
      <c r="S433" s="2" t="s">
        <v>129</v>
      </c>
      <c r="T433" s="10">
        <v>20.67</v>
      </c>
      <c r="U433" s="11">
        <v>1.272</v>
      </c>
      <c r="V433" s="12">
        <f>T433*U433</f>
        <v>26.292240000000003</v>
      </c>
      <c r="W433" s="13">
        <v>0.2</v>
      </c>
      <c r="X433" s="12">
        <f>V433-(V433/(1+W433))</f>
        <v>4.3820399999999999</v>
      </c>
      <c r="Y433" s="12">
        <f>V433-X433</f>
        <v>21.910200000000003</v>
      </c>
      <c r="Z433" s="14">
        <v>35</v>
      </c>
      <c r="AA433" s="2" t="str">
        <f>IF(V433&gt;Z433,"Yes","No")</f>
        <v>No</v>
      </c>
      <c r="AB433" s="12">
        <f>V433-Z433</f>
        <v>-8.7077599999999968</v>
      </c>
      <c r="AC433" s="15" t="s">
        <v>130</v>
      </c>
      <c r="AD433" s="15" t="s">
        <v>130</v>
      </c>
      <c r="AE433" s="15" t="s">
        <v>180</v>
      </c>
      <c r="AF433" s="12">
        <f>IF(AG433="Rejected",0,IF(R433="Corporate Card",0,V433))</f>
        <v>26.292240000000003</v>
      </c>
      <c r="AG433" s="15" t="s">
        <v>133</v>
      </c>
      <c r="AH433" s="16">
        <v>45706</v>
      </c>
      <c r="AI433" s="16">
        <v>45714</v>
      </c>
      <c r="AJ433" s="16">
        <v>45720</v>
      </c>
      <c r="AK433" s="17">
        <f>IF(AJ433="","",AJ433-AH433)</f>
        <v>14</v>
      </c>
    </row>
    <row r="434" spans="1:37">
      <c r="A434" s="2" t="s">
        <v>787</v>
      </c>
      <c r="B434" s="2" t="s">
        <v>770</v>
      </c>
      <c r="C434" s="2" t="s">
        <v>771</v>
      </c>
      <c r="D434" s="2" t="s">
        <v>414</v>
      </c>
      <c r="E434" s="2" t="s">
        <v>772</v>
      </c>
      <c r="F434" s="2" t="s">
        <v>413</v>
      </c>
      <c r="G434" s="2" t="s">
        <v>773</v>
      </c>
      <c r="H434" s="2" t="s">
        <v>748</v>
      </c>
      <c r="I434" s="2" t="s">
        <v>194</v>
      </c>
      <c r="J434" s="2" t="s">
        <v>195</v>
      </c>
      <c r="K434" s="9">
        <v>45694</v>
      </c>
      <c r="L434" s="9">
        <v>45701</v>
      </c>
      <c r="M434" s="9">
        <v>45695</v>
      </c>
      <c r="N434" s="2" t="s">
        <v>696</v>
      </c>
      <c r="O434" s="2" t="s">
        <v>60</v>
      </c>
      <c r="P434" s="2" t="s">
        <v>701</v>
      </c>
      <c r="Q434" s="2" t="s">
        <v>702</v>
      </c>
      <c r="R434" s="2" t="s">
        <v>137</v>
      </c>
      <c r="S434" s="2" t="s">
        <v>198</v>
      </c>
      <c r="T434" s="10">
        <v>480.98</v>
      </c>
      <c r="U434" s="11">
        <v>1.085</v>
      </c>
      <c r="V434" s="12">
        <f>T434*U434</f>
        <v>521.86329999999998</v>
      </c>
      <c r="W434" s="13">
        <v>0.19</v>
      </c>
      <c r="X434" s="12">
        <f>V434-(V434/(1+W434))</f>
        <v>83.322711764705844</v>
      </c>
      <c r="Y434" s="12">
        <f>V434-X434</f>
        <v>438.54058823529414</v>
      </c>
      <c r="Z434" s="14">
        <v>840</v>
      </c>
      <c r="AA434" s="2" t="str">
        <f>IF(V434&gt;Z434,"Yes","No")</f>
        <v>No</v>
      </c>
      <c r="AB434" s="12">
        <f>V434-Z434</f>
        <v>-318.13670000000002</v>
      </c>
      <c r="AC434" s="15" t="s">
        <v>130</v>
      </c>
      <c r="AD434" s="15" t="s">
        <v>131</v>
      </c>
      <c r="AE434" s="15" t="s">
        <v>421</v>
      </c>
      <c r="AF434" s="12">
        <f>IF(AG434="Rejected",0,IF(R434="Corporate Card",0,V434))</f>
        <v>521.86329999999998</v>
      </c>
      <c r="AG434" s="15" t="s">
        <v>133</v>
      </c>
      <c r="AH434" s="16">
        <v>45711</v>
      </c>
      <c r="AI434" s="16">
        <v>45713</v>
      </c>
      <c r="AJ434" s="16">
        <v>45723</v>
      </c>
      <c r="AK434" s="17">
        <f>IF(AJ434="","",AJ434-AH434)</f>
        <v>12</v>
      </c>
    </row>
    <row r="435" spans="1:37">
      <c r="A435" s="2" t="s">
        <v>788</v>
      </c>
      <c r="B435" s="2" t="s">
        <v>770</v>
      </c>
      <c r="C435" s="2" t="s">
        <v>771</v>
      </c>
      <c r="D435" s="2" t="s">
        <v>414</v>
      </c>
      <c r="E435" s="2" t="s">
        <v>772</v>
      </c>
      <c r="F435" s="2" t="s">
        <v>413</v>
      </c>
      <c r="G435" s="2" t="s">
        <v>773</v>
      </c>
      <c r="H435" s="2" t="s">
        <v>748</v>
      </c>
      <c r="I435" s="2" t="s">
        <v>194</v>
      </c>
      <c r="J435" s="2" t="s">
        <v>195</v>
      </c>
      <c r="K435" s="9">
        <v>45694</v>
      </c>
      <c r="L435" s="9">
        <v>45701</v>
      </c>
      <c r="M435" s="9">
        <v>45695</v>
      </c>
      <c r="N435" s="2" t="s">
        <v>696</v>
      </c>
      <c r="O435" s="2" t="s">
        <v>59</v>
      </c>
      <c r="P435" s="2" t="s">
        <v>301</v>
      </c>
      <c r="Q435" s="2" t="s">
        <v>452</v>
      </c>
      <c r="R435" s="2" t="s">
        <v>128</v>
      </c>
      <c r="S435" s="2" t="s">
        <v>198</v>
      </c>
      <c r="T435" s="10">
        <v>103.02</v>
      </c>
      <c r="U435" s="11">
        <v>1.085</v>
      </c>
      <c r="V435" s="12">
        <f>T435*U435</f>
        <v>111.77669999999999</v>
      </c>
      <c r="W435" s="13">
        <v>0.19</v>
      </c>
      <c r="X435" s="12">
        <f>V435-(V435/(1+W435))</f>
        <v>17.846699999999998</v>
      </c>
      <c r="Y435" s="12">
        <f>V435-X435</f>
        <v>93.929999999999993</v>
      </c>
      <c r="Z435" s="14">
        <v>150</v>
      </c>
      <c r="AA435" s="2" t="str">
        <f>IF(V435&gt;Z435,"Yes","No")</f>
        <v>No</v>
      </c>
      <c r="AB435" s="12">
        <f>V435-Z435</f>
        <v>-38.223300000000009</v>
      </c>
      <c r="AC435" s="15" t="s">
        <v>130</v>
      </c>
      <c r="AD435" s="15" t="s">
        <v>131</v>
      </c>
      <c r="AE435" s="15" t="s">
        <v>421</v>
      </c>
      <c r="AF435" s="12">
        <f>IF(AG435="Rejected",0,IF(R435="Corporate Card",0,V435))</f>
        <v>0</v>
      </c>
      <c r="AG435" s="15" t="s">
        <v>133</v>
      </c>
      <c r="AH435" s="16">
        <v>45711</v>
      </c>
      <c r="AI435" s="16">
        <v>45713</v>
      </c>
      <c r="AJ435" s="16">
        <v>45723</v>
      </c>
      <c r="AK435" s="17">
        <f>IF(AJ435="","",AJ435-AH435)</f>
        <v>12</v>
      </c>
    </row>
    <row r="436" spans="1:37">
      <c r="A436" s="2" t="s">
        <v>789</v>
      </c>
      <c r="B436" s="2" t="s">
        <v>770</v>
      </c>
      <c r="C436" s="2" t="s">
        <v>771</v>
      </c>
      <c r="D436" s="2" t="s">
        <v>414</v>
      </c>
      <c r="E436" s="2" t="s">
        <v>772</v>
      </c>
      <c r="F436" s="2" t="s">
        <v>413</v>
      </c>
      <c r="G436" s="2" t="s">
        <v>773</v>
      </c>
      <c r="H436" s="2" t="s">
        <v>748</v>
      </c>
      <c r="I436" s="2" t="s">
        <v>194</v>
      </c>
      <c r="J436" s="2" t="s">
        <v>195</v>
      </c>
      <c r="K436" s="9">
        <v>45694</v>
      </c>
      <c r="L436" s="9">
        <v>45701</v>
      </c>
      <c r="M436" s="9">
        <v>45695</v>
      </c>
      <c r="N436" s="2" t="s">
        <v>696</v>
      </c>
      <c r="O436" s="2" t="s">
        <v>58</v>
      </c>
      <c r="P436" s="2" t="s">
        <v>142</v>
      </c>
      <c r="Q436" s="2" t="s">
        <v>224</v>
      </c>
      <c r="R436" s="2" t="s">
        <v>149</v>
      </c>
      <c r="S436" s="2" t="s">
        <v>198</v>
      </c>
      <c r="T436" s="10">
        <v>30.22</v>
      </c>
      <c r="U436" s="11">
        <v>1.085</v>
      </c>
      <c r="V436" s="12">
        <f>T436*U436</f>
        <v>32.788699999999999</v>
      </c>
      <c r="W436" s="13">
        <v>0.19</v>
      </c>
      <c r="X436" s="12">
        <f>V436-(V436/(1+W436))</f>
        <v>5.2351705882352917</v>
      </c>
      <c r="Y436" s="12">
        <f>V436-X436</f>
        <v>27.553529411764707</v>
      </c>
      <c r="Z436" s="14">
        <v>60</v>
      </c>
      <c r="AA436" s="2" t="str">
        <f>IF(V436&gt;Z436,"Yes","No")</f>
        <v>No</v>
      </c>
      <c r="AB436" s="12">
        <f>V436-Z436</f>
        <v>-27.211300000000001</v>
      </c>
      <c r="AC436" s="15" t="s">
        <v>130</v>
      </c>
      <c r="AD436" s="15" t="s">
        <v>131</v>
      </c>
      <c r="AE436" s="15" t="s">
        <v>421</v>
      </c>
      <c r="AF436" s="12">
        <f>IF(AG436="Rejected",0,IF(R436="Corporate Card",0,V436))</f>
        <v>32.788699999999999</v>
      </c>
      <c r="AG436" s="15" t="s">
        <v>133</v>
      </c>
      <c r="AH436" s="16">
        <v>45711</v>
      </c>
      <c r="AI436" s="16">
        <v>45713</v>
      </c>
      <c r="AJ436" s="16">
        <v>45723</v>
      </c>
      <c r="AK436" s="17">
        <f>IF(AJ436="","",AJ436-AH436)</f>
        <v>12</v>
      </c>
    </row>
    <row r="437" spans="1:37">
      <c r="A437" s="2" t="s">
        <v>790</v>
      </c>
      <c r="B437" s="2" t="s">
        <v>770</v>
      </c>
      <c r="C437" s="2" t="s">
        <v>771</v>
      </c>
      <c r="D437" s="2" t="s">
        <v>414</v>
      </c>
      <c r="E437" s="2" t="s">
        <v>772</v>
      </c>
      <c r="F437" s="2" t="s">
        <v>413</v>
      </c>
      <c r="G437" s="2" t="s">
        <v>773</v>
      </c>
      <c r="H437" s="2" t="s">
        <v>748</v>
      </c>
      <c r="I437" s="2" t="s">
        <v>194</v>
      </c>
      <c r="J437" s="2" t="s">
        <v>195</v>
      </c>
      <c r="K437" s="9">
        <v>45694</v>
      </c>
      <c r="L437" s="9">
        <v>45701</v>
      </c>
      <c r="M437" s="9">
        <v>45695</v>
      </c>
      <c r="N437" s="2" t="s">
        <v>696</v>
      </c>
      <c r="O437" s="2" t="s">
        <v>53</v>
      </c>
      <c r="P437" s="2" t="s">
        <v>208</v>
      </c>
      <c r="Q437" s="2" t="s">
        <v>220</v>
      </c>
      <c r="R437" s="2" t="s">
        <v>128</v>
      </c>
      <c r="S437" s="2" t="s">
        <v>198</v>
      </c>
      <c r="T437" s="10">
        <v>896.3</v>
      </c>
      <c r="U437" s="11">
        <v>1.085</v>
      </c>
      <c r="V437" s="12">
        <f>T437*U437</f>
        <v>972.48549999999989</v>
      </c>
      <c r="W437" s="13">
        <v>0.19</v>
      </c>
      <c r="X437" s="12">
        <f>V437-(V437/(1+W437))</f>
        <v>155.27079411764703</v>
      </c>
      <c r="Y437" s="12">
        <f>V437-X437</f>
        <v>817.21470588235286</v>
      </c>
      <c r="Z437" s="14">
        <v>1960</v>
      </c>
      <c r="AA437" s="2" t="str">
        <f>IF(V437&gt;Z437,"Yes","No")</f>
        <v>No</v>
      </c>
      <c r="AB437" s="12">
        <f>V437-Z437</f>
        <v>-987.51450000000011</v>
      </c>
      <c r="AC437" s="15" t="s">
        <v>130</v>
      </c>
      <c r="AD437" s="15" t="s">
        <v>131</v>
      </c>
      <c r="AE437" s="15" t="s">
        <v>421</v>
      </c>
      <c r="AF437" s="12">
        <f>IF(AG437="Rejected",0,IF(R437="Corporate Card",0,V437))</f>
        <v>0</v>
      </c>
      <c r="AG437" s="15" t="s">
        <v>133</v>
      </c>
      <c r="AH437" s="16">
        <v>45711</v>
      </c>
      <c r="AI437" s="16">
        <v>45713</v>
      </c>
      <c r="AJ437" s="16">
        <v>45723</v>
      </c>
      <c r="AK437" s="17">
        <f>IF(AJ437="","",AJ437-AH437)</f>
        <v>12</v>
      </c>
    </row>
    <row r="438" spans="1:37">
      <c r="A438" s="2" t="s">
        <v>791</v>
      </c>
      <c r="B438" s="2" t="s">
        <v>770</v>
      </c>
      <c r="C438" s="2" t="s">
        <v>771</v>
      </c>
      <c r="D438" s="2" t="s">
        <v>414</v>
      </c>
      <c r="E438" s="2" t="s">
        <v>772</v>
      </c>
      <c r="F438" s="2" t="s">
        <v>413</v>
      </c>
      <c r="G438" s="2" t="s">
        <v>773</v>
      </c>
      <c r="H438" s="2" t="s">
        <v>748</v>
      </c>
      <c r="I438" s="2" t="s">
        <v>194</v>
      </c>
      <c r="J438" s="2" t="s">
        <v>195</v>
      </c>
      <c r="K438" s="9">
        <v>45694</v>
      </c>
      <c r="L438" s="9">
        <v>45701</v>
      </c>
      <c r="M438" s="9">
        <v>45695</v>
      </c>
      <c r="N438" s="2" t="s">
        <v>696</v>
      </c>
      <c r="O438" s="2" t="s">
        <v>65</v>
      </c>
      <c r="P438" s="2" t="s">
        <v>211</v>
      </c>
      <c r="Q438" s="2" t="s">
        <v>212</v>
      </c>
      <c r="R438" s="2" t="s">
        <v>128</v>
      </c>
      <c r="S438" s="2" t="s">
        <v>198</v>
      </c>
      <c r="T438" s="10">
        <v>44.54</v>
      </c>
      <c r="U438" s="11">
        <v>1.085</v>
      </c>
      <c r="V438" s="12">
        <f>T438*U438</f>
        <v>48.325899999999997</v>
      </c>
      <c r="W438" s="13">
        <v>0.19</v>
      </c>
      <c r="X438" s="12">
        <f>V438-(V438/(1+W438))</f>
        <v>7.7158999999999978</v>
      </c>
      <c r="Y438" s="12">
        <f>V438-X438</f>
        <v>40.61</v>
      </c>
      <c r="Z438" s="14">
        <v>55</v>
      </c>
      <c r="AA438" s="2" t="str">
        <f>IF(V438&gt;Z438,"Yes","No")</f>
        <v>No</v>
      </c>
      <c r="AB438" s="12">
        <f>V438-Z438</f>
        <v>-6.6741000000000028</v>
      </c>
      <c r="AC438" s="15" t="s">
        <v>130</v>
      </c>
      <c r="AD438" s="15" t="s">
        <v>131</v>
      </c>
      <c r="AE438" s="15" t="s">
        <v>421</v>
      </c>
      <c r="AF438" s="12">
        <f>IF(AG438="Rejected",0,IF(R438="Corporate Card",0,V438))</f>
        <v>0</v>
      </c>
      <c r="AG438" s="15" t="s">
        <v>133</v>
      </c>
      <c r="AH438" s="16">
        <v>45711</v>
      </c>
      <c r="AI438" s="16">
        <v>45713</v>
      </c>
      <c r="AJ438" s="16">
        <v>45723</v>
      </c>
      <c r="AK438" s="17">
        <f>IF(AJ438="","",AJ438-AH438)</f>
        <v>12</v>
      </c>
    </row>
    <row r="439" spans="1:37">
      <c r="A439" s="2" t="s">
        <v>792</v>
      </c>
      <c r="B439" s="2" t="s">
        <v>770</v>
      </c>
      <c r="C439" s="2" t="s">
        <v>771</v>
      </c>
      <c r="D439" s="2" t="s">
        <v>414</v>
      </c>
      <c r="E439" s="2" t="s">
        <v>772</v>
      </c>
      <c r="F439" s="2" t="s">
        <v>413</v>
      </c>
      <c r="G439" s="2" t="s">
        <v>773</v>
      </c>
      <c r="H439" s="2" t="s">
        <v>748</v>
      </c>
      <c r="I439" s="2" t="s">
        <v>194</v>
      </c>
      <c r="J439" s="2" t="s">
        <v>195</v>
      </c>
      <c r="K439" s="9">
        <v>45694</v>
      </c>
      <c r="L439" s="9">
        <v>45701</v>
      </c>
      <c r="M439" s="9">
        <v>45695</v>
      </c>
      <c r="N439" s="2" t="s">
        <v>696</v>
      </c>
      <c r="O439" s="2" t="s">
        <v>54</v>
      </c>
      <c r="P439" s="2" t="s">
        <v>139</v>
      </c>
      <c r="Q439" s="2" t="s">
        <v>163</v>
      </c>
      <c r="R439" s="2" t="s">
        <v>128</v>
      </c>
      <c r="S439" s="2" t="s">
        <v>198</v>
      </c>
      <c r="T439" s="10">
        <v>16.82</v>
      </c>
      <c r="U439" s="11">
        <v>1.085</v>
      </c>
      <c r="V439" s="12">
        <f>T439*U439</f>
        <v>18.249700000000001</v>
      </c>
      <c r="W439" s="13">
        <v>0.19</v>
      </c>
      <c r="X439" s="12">
        <f>V439-(V439/(1+W439))</f>
        <v>2.9138176470588224</v>
      </c>
      <c r="Y439" s="12">
        <f>V439-X439</f>
        <v>15.335882352941178</v>
      </c>
      <c r="Z439" s="14">
        <v>25</v>
      </c>
      <c r="AA439" s="2" t="str">
        <f>IF(V439&gt;Z439,"Yes","No")</f>
        <v>No</v>
      </c>
      <c r="AB439" s="12">
        <f>V439-Z439</f>
        <v>-6.7502999999999993</v>
      </c>
      <c r="AC439" s="15" t="s">
        <v>130</v>
      </c>
      <c r="AD439" s="15" t="s">
        <v>131</v>
      </c>
      <c r="AE439" s="15" t="s">
        <v>421</v>
      </c>
      <c r="AF439" s="12">
        <f>IF(AG439="Rejected",0,IF(R439="Corporate Card",0,V439))</f>
        <v>0</v>
      </c>
      <c r="AG439" s="15" t="s">
        <v>133</v>
      </c>
      <c r="AH439" s="16">
        <v>45711</v>
      </c>
      <c r="AI439" s="16">
        <v>45713</v>
      </c>
      <c r="AJ439" s="16">
        <v>45723</v>
      </c>
      <c r="AK439" s="17">
        <f>IF(AJ439="","",AJ439-AH439)</f>
        <v>12</v>
      </c>
    </row>
    <row r="440" spans="1:37">
      <c r="A440" s="2" t="s">
        <v>793</v>
      </c>
      <c r="B440" s="2" t="s">
        <v>770</v>
      </c>
      <c r="C440" s="2" t="s">
        <v>771</v>
      </c>
      <c r="D440" s="2" t="s">
        <v>414</v>
      </c>
      <c r="E440" s="2" t="s">
        <v>772</v>
      </c>
      <c r="F440" s="2" t="s">
        <v>413</v>
      </c>
      <c r="G440" s="2" t="s">
        <v>773</v>
      </c>
      <c r="H440" s="2" t="s">
        <v>748</v>
      </c>
      <c r="I440" s="2" t="s">
        <v>194</v>
      </c>
      <c r="J440" s="2" t="s">
        <v>195</v>
      </c>
      <c r="K440" s="9">
        <v>45694</v>
      </c>
      <c r="L440" s="9">
        <v>45701</v>
      </c>
      <c r="M440" s="9">
        <v>45695</v>
      </c>
      <c r="N440" s="2" t="s">
        <v>696</v>
      </c>
      <c r="O440" s="2" t="s">
        <v>56</v>
      </c>
      <c r="P440" s="2" t="s">
        <v>151</v>
      </c>
      <c r="Q440" s="2" t="s">
        <v>185</v>
      </c>
      <c r="R440" s="2" t="s">
        <v>128</v>
      </c>
      <c r="S440" s="2" t="s">
        <v>198</v>
      </c>
      <c r="T440" s="10">
        <v>47.02</v>
      </c>
      <c r="U440" s="11">
        <v>1.085</v>
      </c>
      <c r="V440" s="12">
        <f>T440*U440</f>
        <v>51.0167</v>
      </c>
      <c r="W440" s="13">
        <v>0.19</v>
      </c>
      <c r="X440" s="12">
        <f>V440-(V440/(1+W440))</f>
        <v>8.1455235294117614</v>
      </c>
      <c r="Y440" s="12">
        <f>V440-X440</f>
        <v>42.871176470588239</v>
      </c>
      <c r="Z440" s="14">
        <v>75</v>
      </c>
      <c r="AA440" s="2" t="str">
        <f>IF(V440&gt;Z440,"Yes","No")</f>
        <v>No</v>
      </c>
      <c r="AB440" s="12">
        <f>V440-Z440</f>
        <v>-23.9833</v>
      </c>
      <c r="AC440" s="15" t="s">
        <v>131</v>
      </c>
      <c r="AD440" s="15" t="s">
        <v>131</v>
      </c>
      <c r="AE440" s="15" t="s">
        <v>421</v>
      </c>
      <c r="AF440" s="12">
        <f>IF(AG440="Rejected",0,IF(R440="Corporate Card",0,V440))</f>
        <v>0</v>
      </c>
      <c r="AG440" s="15" t="s">
        <v>133</v>
      </c>
      <c r="AH440" s="16">
        <v>45711</v>
      </c>
      <c r="AI440" s="16">
        <v>45713</v>
      </c>
      <c r="AJ440" s="16">
        <v>45723</v>
      </c>
      <c r="AK440" s="17">
        <f>IF(AJ440="","",AJ440-AH440)</f>
        <v>12</v>
      </c>
    </row>
    <row r="441" spans="1:37">
      <c r="A441" s="2" t="s">
        <v>794</v>
      </c>
      <c r="B441" s="2" t="s">
        <v>770</v>
      </c>
      <c r="C441" s="2" t="s">
        <v>771</v>
      </c>
      <c r="D441" s="2" t="s">
        <v>414</v>
      </c>
      <c r="E441" s="2" t="s">
        <v>772</v>
      </c>
      <c r="F441" s="2" t="s">
        <v>413</v>
      </c>
      <c r="G441" s="2" t="s">
        <v>773</v>
      </c>
      <c r="H441" s="2" t="s">
        <v>748</v>
      </c>
      <c r="I441" s="2" t="s">
        <v>194</v>
      </c>
      <c r="J441" s="2" t="s">
        <v>195</v>
      </c>
      <c r="K441" s="9">
        <v>45694</v>
      </c>
      <c r="L441" s="9">
        <v>45701</v>
      </c>
      <c r="M441" s="9">
        <v>45695</v>
      </c>
      <c r="N441" s="2" t="s">
        <v>696</v>
      </c>
      <c r="O441" s="2" t="s">
        <v>55</v>
      </c>
      <c r="P441" s="2" t="s">
        <v>139</v>
      </c>
      <c r="Q441" s="2" t="s">
        <v>161</v>
      </c>
      <c r="R441" s="2" t="s">
        <v>128</v>
      </c>
      <c r="S441" s="2" t="s">
        <v>198</v>
      </c>
      <c r="T441" s="10">
        <v>19.34</v>
      </c>
      <c r="U441" s="11">
        <v>1.085</v>
      </c>
      <c r="V441" s="12">
        <f>T441*U441</f>
        <v>20.983899999999998</v>
      </c>
      <c r="W441" s="13">
        <v>0.19</v>
      </c>
      <c r="X441" s="12">
        <f>V441-(V441/(1+W441))</f>
        <v>3.3503705882352932</v>
      </c>
      <c r="Y441" s="12">
        <f>V441-X441</f>
        <v>17.633529411764705</v>
      </c>
      <c r="Z441" s="14">
        <v>35</v>
      </c>
      <c r="AA441" s="2" t="str">
        <f>IF(V441&gt;Z441,"Yes","No")</f>
        <v>No</v>
      </c>
      <c r="AB441" s="12">
        <f>V441-Z441</f>
        <v>-14.016100000000002</v>
      </c>
      <c r="AC441" s="15" t="s">
        <v>130</v>
      </c>
      <c r="AD441" s="15" t="s">
        <v>131</v>
      </c>
      <c r="AE441" s="15" t="s">
        <v>421</v>
      </c>
      <c r="AF441" s="12">
        <f>IF(AG441="Rejected",0,IF(R441="Corporate Card",0,V441))</f>
        <v>0</v>
      </c>
      <c r="AG441" s="15" t="s">
        <v>133</v>
      </c>
      <c r="AH441" s="16">
        <v>45711</v>
      </c>
      <c r="AI441" s="16">
        <v>45713</v>
      </c>
      <c r="AJ441" s="16">
        <v>45723</v>
      </c>
      <c r="AK441" s="17">
        <f>IF(AJ441="","",AJ441-AH441)</f>
        <v>12</v>
      </c>
    </row>
    <row r="442" spans="1:37">
      <c r="A442" s="2" t="s">
        <v>795</v>
      </c>
      <c r="B442" s="2" t="s">
        <v>375</v>
      </c>
      <c r="C442" s="2" t="s">
        <v>376</v>
      </c>
      <c r="D442" s="2" t="s">
        <v>344</v>
      </c>
      <c r="E442" s="2" t="s">
        <v>377</v>
      </c>
      <c r="F442" s="2" t="s">
        <v>346</v>
      </c>
      <c r="G442" s="2" t="s">
        <v>778</v>
      </c>
      <c r="H442" s="2" t="s">
        <v>348</v>
      </c>
      <c r="I442" s="2" t="s">
        <v>651</v>
      </c>
      <c r="J442" s="2" t="s">
        <v>652</v>
      </c>
      <c r="K442" s="9">
        <v>45695</v>
      </c>
      <c r="L442" s="9">
        <v>45698</v>
      </c>
      <c r="M442" s="9">
        <v>45696</v>
      </c>
      <c r="N442" s="2" t="s">
        <v>696</v>
      </c>
      <c r="O442" s="2" t="s">
        <v>58</v>
      </c>
      <c r="P442" s="2" t="s">
        <v>142</v>
      </c>
      <c r="Q442" s="2" t="s">
        <v>296</v>
      </c>
      <c r="R442" s="2" t="s">
        <v>149</v>
      </c>
      <c r="S442" s="2" t="s">
        <v>654</v>
      </c>
      <c r="T442" s="10">
        <v>81.569999999999993</v>
      </c>
      <c r="U442" s="11">
        <v>0.72799999999999998</v>
      </c>
      <c r="V442" s="12">
        <f>T442*U442</f>
        <v>59.38295999999999</v>
      </c>
      <c r="W442" s="13">
        <v>0.13</v>
      </c>
      <c r="X442" s="12">
        <f>V442-(V442/(1+W442))</f>
        <v>6.8316679646017633</v>
      </c>
      <c r="Y442" s="12">
        <f>V442-X442</f>
        <v>52.551292035398227</v>
      </c>
      <c r="Z442" s="14">
        <v>60</v>
      </c>
      <c r="AA442" s="2" t="str">
        <f>IF(V442&gt;Z442,"Yes","No")</f>
        <v>No</v>
      </c>
      <c r="AB442" s="12">
        <f>V442-Z442</f>
        <v>-0.61704000000001002</v>
      </c>
      <c r="AC442" s="15" t="s">
        <v>130</v>
      </c>
      <c r="AD442" s="15" t="s">
        <v>130</v>
      </c>
      <c r="AE442" s="15" t="s">
        <v>350</v>
      </c>
      <c r="AF442" s="12">
        <f>IF(AG442="Rejected",0,IF(R442="Corporate Card",0,V442))</f>
        <v>59.38295999999999</v>
      </c>
      <c r="AG442" s="15" t="s">
        <v>133</v>
      </c>
      <c r="AH442" s="16">
        <v>45704</v>
      </c>
      <c r="AI442" s="16">
        <v>45708</v>
      </c>
      <c r="AJ442" s="16">
        <v>45720</v>
      </c>
      <c r="AK442" s="17">
        <f>IF(AJ442="","",AJ442-AH442)</f>
        <v>16</v>
      </c>
    </row>
    <row r="443" spans="1:37">
      <c r="A443" s="2" t="s">
        <v>796</v>
      </c>
      <c r="B443" s="2" t="s">
        <v>375</v>
      </c>
      <c r="C443" s="2" t="s">
        <v>376</v>
      </c>
      <c r="D443" s="2" t="s">
        <v>344</v>
      </c>
      <c r="E443" s="2" t="s">
        <v>377</v>
      </c>
      <c r="F443" s="2" t="s">
        <v>346</v>
      </c>
      <c r="G443" s="2" t="s">
        <v>778</v>
      </c>
      <c r="H443" s="2" t="s">
        <v>348</v>
      </c>
      <c r="I443" s="2" t="s">
        <v>651</v>
      </c>
      <c r="J443" s="2" t="s">
        <v>652</v>
      </c>
      <c r="K443" s="9">
        <v>45695</v>
      </c>
      <c r="L443" s="9">
        <v>45698</v>
      </c>
      <c r="M443" s="9">
        <v>45696</v>
      </c>
      <c r="N443" s="2" t="s">
        <v>696</v>
      </c>
      <c r="O443" s="2" t="s">
        <v>53</v>
      </c>
      <c r="P443" s="2" t="s">
        <v>145</v>
      </c>
      <c r="Q443" s="2" t="s">
        <v>468</v>
      </c>
      <c r="R443" s="2" t="s">
        <v>128</v>
      </c>
      <c r="S443" s="2" t="s">
        <v>654</v>
      </c>
      <c r="T443" s="10">
        <v>806.53</v>
      </c>
      <c r="U443" s="11">
        <v>0.72799999999999998</v>
      </c>
      <c r="V443" s="12">
        <f>T443*U443</f>
        <v>587.15383999999995</v>
      </c>
      <c r="W443" s="13">
        <v>0.13</v>
      </c>
      <c r="X443" s="12">
        <f>V443-(V443/(1+W443))</f>
        <v>67.548671858407033</v>
      </c>
      <c r="Y443" s="12">
        <f>V443-X443</f>
        <v>519.60516814159291</v>
      </c>
      <c r="Z443" s="14">
        <v>840</v>
      </c>
      <c r="AA443" s="2" t="str">
        <f>IF(V443&gt;Z443,"Yes","No")</f>
        <v>No</v>
      </c>
      <c r="AB443" s="12">
        <f>V443-Z443</f>
        <v>-252.84616000000005</v>
      </c>
      <c r="AC443" s="15" t="s">
        <v>130</v>
      </c>
      <c r="AD443" s="15" t="s">
        <v>130</v>
      </c>
      <c r="AE443" s="15" t="s">
        <v>350</v>
      </c>
      <c r="AF443" s="12">
        <f>IF(AG443="Rejected",0,IF(R443="Corporate Card",0,V443))</f>
        <v>0</v>
      </c>
      <c r="AG443" s="15" t="s">
        <v>133</v>
      </c>
      <c r="AH443" s="16">
        <v>45704</v>
      </c>
      <c r="AI443" s="16">
        <v>45708</v>
      </c>
      <c r="AJ443" s="16">
        <v>45720</v>
      </c>
      <c r="AK443" s="17">
        <f>IF(AJ443="","",AJ443-AH443)</f>
        <v>16</v>
      </c>
    </row>
    <row r="444" spans="1:37">
      <c r="A444" s="2" t="s">
        <v>797</v>
      </c>
      <c r="B444" s="2" t="s">
        <v>375</v>
      </c>
      <c r="C444" s="2" t="s">
        <v>376</v>
      </c>
      <c r="D444" s="2" t="s">
        <v>344</v>
      </c>
      <c r="E444" s="2" t="s">
        <v>377</v>
      </c>
      <c r="F444" s="2" t="s">
        <v>346</v>
      </c>
      <c r="G444" s="2" t="s">
        <v>778</v>
      </c>
      <c r="H444" s="2" t="s">
        <v>348</v>
      </c>
      <c r="I444" s="2" t="s">
        <v>651</v>
      </c>
      <c r="J444" s="2" t="s">
        <v>652</v>
      </c>
      <c r="K444" s="9">
        <v>45695</v>
      </c>
      <c r="L444" s="9">
        <v>45698</v>
      </c>
      <c r="M444" s="9">
        <v>45696</v>
      </c>
      <c r="N444" s="2" t="s">
        <v>696</v>
      </c>
      <c r="O444" s="2" t="s">
        <v>65</v>
      </c>
      <c r="P444" s="2" t="s">
        <v>211</v>
      </c>
      <c r="Q444" s="2" t="s">
        <v>364</v>
      </c>
      <c r="R444" s="2" t="s">
        <v>149</v>
      </c>
      <c r="S444" s="2" t="s">
        <v>654</v>
      </c>
      <c r="T444" s="10">
        <v>95.89</v>
      </c>
      <c r="U444" s="11">
        <v>0.72799999999999998</v>
      </c>
      <c r="V444" s="12">
        <f>T444*U444</f>
        <v>69.807919999999996</v>
      </c>
      <c r="W444" s="13">
        <v>0.13</v>
      </c>
      <c r="X444" s="12">
        <f>V444-(V444/(1+W444))</f>
        <v>8.0309996460176905</v>
      </c>
      <c r="Y444" s="12">
        <f>V444-X444</f>
        <v>61.776920353982305</v>
      </c>
      <c r="Z444" s="14">
        <v>55</v>
      </c>
      <c r="AA444" s="2" t="str">
        <f>IF(V444&gt;Z444,"Yes","No")</f>
        <v>Yes</v>
      </c>
      <c r="AB444" s="12">
        <f>V444-Z444</f>
        <v>14.807919999999996</v>
      </c>
      <c r="AC444" s="15" t="s">
        <v>131</v>
      </c>
      <c r="AD444" s="15" t="s">
        <v>130</v>
      </c>
      <c r="AE444" s="15" t="s">
        <v>350</v>
      </c>
      <c r="AF444" s="12">
        <f>IF(AG444="Rejected",0,IF(R444="Corporate Card",0,V444))</f>
        <v>69.807919999999996</v>
      </c>
      <c r="AG444" s="15" t="s">
        <v>133</v>
      </c>
      <c r="AH444" s="16">
        <v>45704</v>
      </c>
      <c r="AI444" s="16">
        <v>45708</v>
      </c>
      <c r="AJ444" s="16">
        <v>45720</v>
      </c>
      <c r="AK444" s="17">
        <f>IF(AJ444="","",AJ444-AH444)</f>
        <v>16</v>
      </c>
    </row>
    <row r="445" spans="1:37">
      <c r="A445" s="2" t="s">
        <v>798</v>
      </c>
      <c r="B445" s="2" t="s">
        <v>375</v>
      </c>
      <c r="C445" s="2" t="s">
        <v>376</v>
      </c>
      <c r="D445" s="2" t="s">
        <v>344</v>
      </c>
      <c r="E445" s="2" t="s">
        <v>377</v>
      </c>
      <c r="F445" s="2" t="s">
        <v>346</v>
      </c>
      <c r="G445" s="2" t="s">
        <v>778</v>
      </c>
      <c r="H445" s="2" t="s">
        <v>348</v>
      </c>
      <c r="I445" s="2" t="s">
        <v>651</v>
      </c>
      <c r="J445" s="2" t="s">
        <v>652</v>
      </c>
      <c r="K445" s="9">
        <v>45695</v>
      </c>
      <c r="L445" s="9">
        <v>45698</v>
      </c>
      <c r="M445" s="9">
        <v>45696</v>
      </c>
      <c r="N445" s="2" t="s">
        <v>696</v>
      </c>
      <c r="O445" s="2" t="s">
        <v>54</v>
      </c>
      <c r="P445" s="2" t="s">
        <v>139</v>
      </c>
      <c r="Q445" s="2" t="s">
        <v>148</v>
      </c>
      <c r="R445" s="2" t="s">
        <v>128</v>
      </c>
      <c r="S445" s="2" t="s">
        <v>654</v>
      </c>
      <c r="T445" s="10">
        <v>28.92</v>
      </c>
      <c r="U445" s="11">
        <v>0.72799999999999998</v>
      </c>
      <c r="V445" s="12">
        <f>T445*U445</f>
        <v>21.05376</v>
      </c>
      <c r="W445" s="13">
        <v>0.13</v>
      </c>
      <c r="X445" s="12">
        <f>V445-(V445/(1+W445))</f>
        <v>2.4221139823008819</v>
      </c>
      <c r="Y445" s="12">
        <f>V445-X445</f>
        <v>18.631646017699119</v>
      </c>
      <c r="Z445" s="14">
        <v>25</v>
      </c>
      <c r="AA445" s="2" t="str">
        <f>IF(V445&gt;Z445,"Yes","No")</f>
        <v>No</v>
      </c>
      <c r="AB445" s="12">
        <f>V445-Z445</f>
        <v>-3.9462399999999995</v>
      </c>
      <c r="AC445" s="15" t="s">
        <v>130</v>
      </c>
      <c r="AD445" s="15" t="s">
        <v>130</v>
      </c>
      <c r="AE445" s="15" t="s">
        <v>350</v>
      </c>
      <c r="AF445" s="12">
        <f>IF(AG445="Rejected",0,IF(R445="Corporate Card",0,V445))</f>
        <v>0</v>
      </c>
      <c r="AG445" s="15" t="s">
        <v>133</v>
      </c>
      <c r="AH445" s="16">
        <v>45704</v>
      </c>
      <c r="AI445" s="16">
        <v>45708</v>
      </c>
      <c r="AJ445" s="16">
        <v>45720</v>
      </c>
      <c r="AK445" s="17">
        <f>IF(AJ445="","",AJ445-AH445)</f>
        <v>16</v>
      </c>
    </row>
    <row r="446" spans="1:37">
      <c r="A446" s="2" t="s">
        <v>799</v>
      </c>
      <c r="B446" s="2" t="s">
        <v>375</v>
      </c>
      <c r="C446" s="2" t="s">
        <v>376</v>
      </c>
      <c r="D446" s="2" t="s">
        <v>344</v>
      </c>
      <c r="E446" s="2" t="s">
        <v>377</v>
      </c>
      <c r="F446" s="2" t="s">
        <v>346</v>
      </c>
      <c r="G446" s="2" t="s">
        <v>778</v>
      </c>
      <c r="H446" s="2" t="s">
        <v>348</v>
      </c>
      <c r="I446" s="2" t="s">
        <v>651</v>
      </c>
      <c r="J446" s="2" t="s">
        <v>652</v>
      </c>
      <c r="K446" s="9">
        <v>45695</v>
      </c>
      <c r="L446" s="9">
        <v>45698</v>
      </c>
      <c r="M446" s="9">
        <v>45696</v>
      </c>
      <c r="N446" s="2" t="s">
        <v>696</v>
      </c>
      <c r="O446" s="2" t="s">
        <v>56</v>
      </c>
      <c r="P446" s="2" t="s">
        <v>151</v>
      </c>
      <c r="Q446" s="2" t="s">
        <v>159</v>
      </c>
      <c r="R446" s="2" t="s">
        <v>137</v>
      </c>
      <c r="S446" s="2" t="s">
        <v>654</v>
      </c>
      <c r="T446" s="10">
        <v>47.5</v>
      </c>
      <c r="U446" s="11">
        <v>0.72799999999999998</v>
      </c>
      <c r="V446" s="12">
        <f>T446*U446</f>
        <v>34.58</v>
      </c>
      <c r="W446" s="13">
        <v>0.13</v>
      </c>
      <c r="X446" s="12">
        <f>V446-(V446/(1+W446))</f>
        <v>3.9782300884955717</v>
      </c>
      <c r="Y446" s="12">
        <f>V446-X446</f>
        <v>30.601769911504427</v>
      </c>
      <c r="Z446" s="14">
        <v>75</v>
      </c>
      <c r="AA446" s="2" t="str">
        <f>IF(V446&gt;Z446,"Yes","No")</f>
        <v>No</v>
      </c>
      <c r="AB446" s="12">
        <f>V446-Z446</f>
        <v>-40.42</v>
      </c>
      <c r="AC446" s="15" t="s">
        <v>130</v>
      </c>
      <c r="AD446" s="15" t="s">
        <v>130</v>
      </c>
      <c r="AE446" s="15" t="s">
        <v>350</v>
      </c>
      <c r="AF446" s="12">
        <f>IF(AG446="Rejected",0,IF(R446="Corporate Card",0,V446))</f>
        <v>34.58</v>
      </c>
      <c r="AG446" s="15" t="s">
        <v>133</v>
      </c>
      <c r="AH446" s="16">
        <v>45704</v>
      </c>
      <c r="AI446" s="16">
        <v>45708</v>
      </c>
      <c r="AJ446" s="16">
        <v>45720</v>
      </c>
      <c r="AK446" s="17">
        <f>IF(AJ446="","",AJ446-AH446)</f>
        <v>16</v>
      </c>
    </row>
    <row r="447" spans="1:37">
      <c r="A447" s="2" t="s">
        <v>800</v>
      </c>
      <c r="B447" s="2" t="s">
        <v>375</v>
      </c>
      <c r="C447" s="2" t="s">
        <v>376</v>
      </c>
      <c r="D447" s="2" t="s">
        <v>344</v>
      </c>
      <c r="E447" s="2" t="s">
        <v>377</v>
      </c>
      <c r="F447" s="2" t="s">
        <v>346</v>
      </c>
      <c r="G447" s="2" t="s">
        <v>778</v>
      </c>
      <c r="H447" s="2" t="s">
        <v>348</v>
      </c>
      <c r="I447" s="2" t="s">
        <v>651</v>
      </c>
      <c r="J447" s="2" t="s">
        <v>652</v>
      </c>
      <c r="K447" s="9">
        <v>45695</v>
      </c>
      <c r="L447" s="9">
        <v>45698</v>
      </c>
      <c r="M447" s="9">
        <v>45696</v>
      </c>
      <c r="N447" s="2" t="s">
        <v>696</v>
      </c>
      <c r="O447" s="2" t="s">
        <v>55</v>
      </c>
      <c r="P447" s="2" t="s">
        <v>139</v>
      </c>
      <c r="Q447" s="2" t="s">
        <v>187</v>
      </c>
      <c r="R447" s="2" t="s">
        <v>128</v>
      </c>
      <c r="S447" s="2" t="s">
        <v>654</v>
      </c>
      <c r="T447" s="10">
        <v>24.76</v>
      </c>
      <c r="U447" s="11">
        <v>0.72799999999999998</v>
      </c>
      <c r="V447" s="12">
        <f>T447*U447</f>
        <v>18.025280000000002</v>
      </c>
      <c r="W447" s="13">
        <v>0.13</v>
      </c>
      <c r="X447" s="12">
        <f>V447-(V447/(1+W447))</f>
        <v>2.0737047787610603</v>
      </c>
      <c r="Y447" s="12">
        <f>V447-X447</f>
        <v>15.951575221238942</v>
      </c>
      <c r="Z447" s="14">
        <v>35</v>
      </c>
      <c r="AA447" s="2" t="str">
        <f>IF(V447&gt;Z447,"Yes","No")</f>
        <v>No</v>
      </c>
      <c r="AB447" s="12">
        <f>V447-Z447</f>
        <v>-16.974719999999998</v>
      </c>
      <c r="AC447" s="15" t="s">
        <v>130</v>
      </c>
      <c r="AD447" s="15" t="s">
        <v>130</v>
      </c>
      <c r="AE447" s="15" t="s">
        <v>350</v>
      </c>
      <c r="AF447" s="12">
        <f>IF(AG447="Rejected",0,IF(R447="Corporate Card",0,V447))</f>
        <v>0</v>
      </c>
      <c r="AG447" s="15" t="s">
        <v>133</v>
      </c>
      <c r="AH447" s="16">
        <v>45704</v>
      </c>
      <c r="AI447" s="16">
        <v>45708</v>
      </c>
      <c r="AJ447" s="16">
        <v>45720</v>
      </c>
      <c r="AK447" s="17">
        <f>IF(AJ447="","",AJ447-AH447)</f>
        <v>16</v>
      </c>
    </row>
    <row r="448" spans="1:37">
      <c r="A448" s="2" t="s">
        <v>801</v>
      </c>
      <c r="B448" s="2" t="s">
        <v>375</v>
      </c>
      <c r="C448" s="2" t="s">
        <v>376</v>
      </c>
      <c r="D448" s="2" t="s">
        <v>344</v>
      </c>
      <c r="E448" s="2" t="s">
        <v>377</v>
      </c>
      <c r="F448" s="2" t="s">
        <v>346</v>
      </c>
      <c r="G448" s="2" t="s">
        <v>802</v>
      </c>
      <c r="H448" s="2" t="s">
        <v>803</v>
      </c>
      <c r="I448" s="2" t="s">
        <v>553</v>
      </c>
      <c r="J448" s="2" t="s">
        <v>553</v>
      </c>
      <c r="K448" s="9">
        <v>45696</v>
      </c>
      <c r="L448" s="9">
        <v>45702</v>
      </c>
      <c r="M448" s="9">
        <v>45696</v>
      </c>
      <c r="N448" s="2" t="s">
        <v>696</v>
      </c>
      <c r="O448" s="2" t="s">
        <v>52</v>
      </c>
      <c r="P448" s="2" t="s">
        <v>554</v>
      </c>
      <c r="Q448" s="2" t="s">
        <v>258</v>
      </c>
      <c r="R448" s="2" t="s">
        <v>128</v>
      </c>
      <c r="S448" s="2" t="s">
        <v>555</v>
      </c>
      <c r="T448" s="10">
        <v>2931.06</v>
      </c>
      <c r="U448" s="11">
        <v>0.74299999999999999</v>
      </c>
      <c r="V448" s="12">
        <f>T448*U448</f>
        <v>2177.7775799999999</v>
      </c>
      <c r="W448" s="13">
        <v>0</v>
      </c>
      <c r="X448" s="12">
        <f>V448-(V448/(1+W448))</f>
        <v>0</v>
      </c>
      <c r="Y448" s="12">
        <f>V448-X448</f>
        <v>2177.7775799999999</v>
      </c>
      <c r="Z448" s="14">
        <v>1400</v>
      </c>
      <c r="AA448" s="2" t="str">
        <f>IF(V448&gt;Z448,"Yes","No")</f>
        <v>Yes</v>
      </c>
      <c r="AB448" s="12">
        <f>V448-Z448</f>
        <v>777.77757999999994</v>
      </c>
      <c r="AC448" s="15" t="s">
        <v>130</v>
      </c>
      <c r="AD448" s="15" t="s">
        <v>130</v>
      </c>
      <c r="AE448" s="15" t="s">
        <v>350</v>
      </c>
      <c r="AF448" s="12">
        <f>IF(AG448="Rejected",0,IF(R448="Corporate Card",0,V448))</f>
        <v>0</v>
      </c>
      <c r="AG448" s="15" t="s">
        <v>804</v>
      </c>
      <c r="AH448" s="16">
        <v>45714</v>
      </c>
      <c r="AI448" s="16"/>
      <c r="AJ448" s="16"/>
      <c r="AK448" s="17" t="str">
        <f>IF(AJ448="","",AJ448-AH448)</f>
        <v/>
      </c>
    </row>
    <row r="449" spans="1:37">
      <c r="A449" s="2" t="s">
        <v>805</v>
      </c>
      <c r="B449" s="2" t="s">
        <v>375</v>
      </c>
      <c r="C449" s="2" t="s">
        <v>376</v>
      </c>
      <c r="D449" s="2" t="s">
        <v>344</v>
      </c>
      <c r="E449" s="2" t="s">
        <v>377</v>
      </c>
      <c r="F449" s="2" t="s">
        <v>346</v>
      </c>
      <c r="G449" s="2" t="s">
        <v>802</v>
      </c>
      <c r="H449" s="2" t="s">
        <v>803</v>
      </c>
      <c r="I449" s="2" t="s">
        <v>553</v>
      </c>
      <c r="J449" s="2" t="s">
        <v>553</v>
      </c>
      <c r="K449" s="9">
        <v>45696</v>
      </c>
      <c r="L449" s="9">
        <v>45702</v>
      </c>
      <c r="M449" s="9">
        <v>45696</v>
      </c>
      <c r="N449" s="2" t="s">
        <v>696</v>
      </c>
      <c r="O449" s="2" t="s">
        <v>58</v>
      </c>
      <c r="P449" s="2" t="s">
        <v>142</v>
      </c>
      <c r="Q449" s="2" t="s">
        <v>296</v>
      </c>
      <c r="R449" s="2" t="s">
        <v>128</v>
      </c>
      <c r="S449" s="2" t="s">
        <v>555</v>
      </c>
      <c r="T449" s="10">
        <v>103.04</v>
      </c>
      <c r="U449" s="11">
        <v>0.74299999999999999</v>
      </c>
      <c r="V449" s="12">
        <f>T449*U449</f>
        <v>76.558720000000008</v>
      </c>
      <c r="W449" s="13">
        <v>0.09</v>
      </c>
      <c r="X449" s="12">
        <f>V449-(V449/(1+W449))</f>
        <v>6.321362201834873</v>
      </c>
      <c r="Y449" s="12">
        <f>V449-X449</f>
        <v>70.237357798165135</v>
      </c>
      <c r="Z449" s="14">
        <v>60</v>
      </c>
      <c r="AA449" s="2" t="str">
        <f>IF(V449&gt;Z449,"Yes","No")</f>
        <v>Yes</v>
      </c>
      <c r="AB449" s="12">
        <f>V449-Z449</f>
        <v>16.558720000000008</v>
      </c>
      <c r="AC449" s="15" t="s">
        <v>130</v>
      </c>
      <c r="AD449" s="15" t="s">
        <v>130</v>
      </c>
      <c r="AE449" s="15" t="s">
        <v>350</v>
      </c>
      <c r="AF449" s="12">
        <f>IF(AG449="Rejected",0,IF(R449="Corporate Card",0,V449))</f>
        <v>0</v>
      </c>
      <c r="AG449" s="15" t="s">
        <v>804</v>
      </c>
      <c r="AH449" s="16">
        <v>45714</v>
      </c>
      <c r="AI449" s="16"/>
      <c r="AJ449" s="16"/>
      <c r="AK449" s="17" t="str">
        <f>IF(AJ449="","",AJ449-AH449)</f>
        <v/>
      </c>
    </row>
    <row r="450" spans="1:37">
      <c r="A450" s="2" t="s">
        <v>806</v>
      </c>
      <c r="B450" s="2" t="s">
        <v>375</v>
      </c>
      <c r="C450" s="2" t="s">
        <v>376</v>
      </c>
      <c r="D450" s="2" t="s">
        <v>344</v>
      </c>
      <c r="E450" s="2" t="s">
        <v>377</v>
      </c>
      <c r="F450" s="2" t="s">
        <v>346</v>
      </c>
      <c r="G450" s="2" t="s">
        <v>802</v>
      </c>
      <c r="H450" s="2" t="s">
        <v>803</v>
      </c>
      <c r="I450" s="2" t="s">
        <v>553</v>
      </c>
      <c r="J450" s="2" t="s">
        <v>553</v>
      </c>
      <c r="K450" s="9">
        <v>45696</v>
      </c>
      <c r="L450" s="9">
        <v>45702</v>
      </c>
      <c r="M450" s="9">
        <v>45696</v>
      </c>
      <c r="N450" s="2" t="s">
        <v>696</v>
      </c>
      <c r="O450" s="2" t="s">
        <v>56</v>
      </c>
      <c r="P450" s="2" t="s">
        <v>165</v>
      </c>
      <c r="Q450" s="2" t="s">
        <v>152</v>
      </c>
      <c r="R450" s="2" t="s">
        <v>128</v>
      </c>
      <c r="S450" s="2" t="s">
        <v>555</v>
      </c>
      <c r="T450" s="10">
        <v>39.28</v>
      </c>
      <c r="U450" s="11">
        <v>0.74299999999999999</v>
      </c>
      <c r="V450" s="12">
        <f>T450*U450</f>
        <v>29.185040000000001</v>
      </c>
      <c r="W450" s="13">
        <v>0.09</v>
      </c>
      <c r="X450" s="12">
        <f>V450-(V450/(1+W450))</f>
        <v>2.4097739449541322</v>
      </c>
      <c r="Y450" s="12">
        <f>V450-X450</f>
        <v>26.775266055045869</v>
      </c>
      <c r="Z450" s="14">
        <v>75</v>
      </c>
      <c r="AA450" s="2" t="str">
        <f>IF(V450&gt;Z450,"Yes","No")</f>
        <v>No</v>
      </c>
      <c r="AB450" s="12">
        <f>V450-Z450</f>
        <v>-45.814959999999999</v>
      </c>
      <c r="AC450" s="15" t="s">
        <v>130</v>
      </c>
      <c r="AD450" s="15" t="s">
        <v>130</v>
      </c>
      <c r="AE450" s="15" t="s">
        <v>350</v>
      </c>
      <c r="AF450" s="12">
        <f>IF(AG450="Rejected",0,IF(R450="Corporate Card",0,V450))</f>
        <v>0</v>
      </c>
      <c r="AG450" s="15" t="s">
        <v>804</v>
      </c>
      <c r="AH450" s="16">
        <v>45714</v>
      </c>
      <c r="AI450" s="16"/>
      <c r="AJ450" s="16"/>
      <c r="AK450" s="17" t="str">
        <f>IF(AJ450="","",AJ450-AH450)</f>
        <v/>
      </c>
    </row>
    <row r="451" spans="1:37">
      <c r="A451" s="2" t="s">
        <v>807</v>
      </c>
      <c r="B451" s="2" t="s">
        <v>375</v>
      </c>
      <c r="C451" s="2" t="s">
        <v>376</v>
      </c>
      <c r="D451" s="2" t="s">
        <v>344</v>
      </c>
      <c r="E451" s="2" t="s">
        <v>377</v>
      </c>
      <c r="F451" s="2" t="s">
        <v>346</v>
      </c>
      <c r="G451" s="2" t="s">
        <v>802</v>
      </c>
      <c r="H451" s="2" t="s">
        <v>803</v>
      </c>
      <c r="I451" s="2" t="s">
        <v>553</v>
      </c>
      <c r="J451" s="2" t="s">
        <v>553</v>
      </c>
      <c r="K451" s="9">
        <v>45696</v>
      </c>
      <c r="L451" s="9">
        <v>45702</v>
      </c>
      <c r="M451" s="9">
        <v>45696</v>
      </c>
      <c r="N451" s="2" t="s">
        <v>696</v>
      </c>
      <c r="O451" s="2" t="s">
        <v>55</v>
      </c>
      <c r="P451" s="2" t="s">
        <v>139</v>
      </c>
      <c r="Q451" s="2" t="s">
        <v>187</v>
      </c>
      <c r="R451" s="2" t="s">
        <v>128</v>
      </c>
      <c r="S451" s="2" t="s">
        <v>555</v>
      </c>
      <c r="T451" s="10">
        <v>57.93</v>
      </c>
      <c r="U451" s="11">
        <v>0.74299999999999999</v>
      </c>
      <c r="V451" s="12">
        <f>T451*U451</f>
        <v>43.041989999999998</v>
      </c>
      <c r="W451" s="13">
        <v>0.09</v>
      </c>
      <c r="X451" s="12">
        <f>V451-(V451/(1+W451))</f>
        <v>3.5539257798165167</v>
      </c>
      <c r="Y451" s="12">
        <f>V451-X451</f>
        <v>39.488064220183482</v>
      </c>
      <c r="Z451" s="14">
        <v>35</v>
      </c>
      <c r="AA451" s="2" t="str">
        <f>IF(V451&gt;Z451,"Yes","No")</f>
        <v>Yes</v>
      </c>
      <c r="AB451" s="12">
        <f>V451-Z451</f>
        <v>8.0419899999999984</v>
      </c>
      <c r="AC451" s="15" t="s">
        <v>130</v>
      </c>
      <c r="AD451" s="15" t="s">
        <v>130</v>
      </c>
      <c r="AE451" s="15" t="s">
        <v>350</v>
      </c>
      <c r="AF451" s="12">
        <f>IF(AG451="Rejected",0,IF(R451="Corporate Card",0,V451))</f>
        <v>0</v>
      </c>
      <c r="AG451" s="15" t="s">
        <v>804</v>
      </c>
      <c r="AH451" s="16">
        <v>45714</v>
      </c>
      <c r="AI451" s="16"/>
      <c r="AJ451" s="16"/>
      <c r="AK451" s="17" t="str">
        <f>IF(AJ451="","",AJ451-AH451)</f>
        <v/>
      </c>
    </row>
    <row r="452" spans="1:37">
      <c r="A452" s="2" t="s">
        <v>808</v>
      </c>
      <c r="B452" s="2" t="s">
        <v>770</v>
      </c>
      <c r="C452" s="2" t="s">
        <v>771</v>
      </c>
      <c r="D452" s="2" t="s">
        <v>414</v>
      </c>
      <c r="E452" s="2" t="s">
        <v>772</v>
      </c>
      <c r="F452" s="2" t="s">
        <v>413</v>
      </c>
      <c r="G452" s="2" t="s">
        <v>773</v>
      </c>
      <c r="H452" s="2" t="s">
        <v>748</v>
      </c>
      <c r="I452" s="2" t="s">
        <v>194</v>
      </c>
      <c r="J452" s="2" t="s">
        <v>195</v>
      </c>
      <c r="K452" s="9">
        <v>45694</v>
      </c>
      <c r="L452" s="9">
        <v>45701</v>
      </c>
      <c r="M452" s="9">
        <v>45696</v>
      </c>
      <c r="N452" s="2" t="s">
        <v>696</v>
      </c>
      <c r="O452" s="2" t="s">
        <v>61</v>
      </c>
      <c r="P452" s="2" t="s">
        <v>528</v>
      </c>
      <c r="Q452" s="2" t="s">
        <v>529</v>
      </c>
      <c r="R452" s="2" t="s">
        <v>128</v>
      </c>
      <c r="S452" s="2" t="s">
        <v>198</v>
      </c>
      <c r="T452" s="10">
        <v>65.41</v>
      </c>
      <c r="U452" s="11">
        <v>1.085</v>
      </c>
      <c r="V452" s="12">
        <f>T452*U452</f>
        <v>70.969849999999994</v>
      </c>
      <c r="W452" s="13">
        <v>0</v>
      </c>
      <c r="X452" s="12">
        <f>V452-(V452/(1+W452))</f>
        <v>0</v>
      </c>
      <c r="Y452" s="12">
        <f>V452-X452</f>
        <v>70.969849999999994</v>
      </c>
      <c r="Z452" s="14">
        <v>90</v>
      </c>
      <c r="AA452" s="2" t="str">
        <f>IF(V452&gt;Z452,"Yes","No")</f>
        <v>No</v>
      </c>
      <c r="AB452" s="12">
        <f>V452-Z452</f>
        <v>-19.030150000000006</v>
      </c>
      <c r="AC452" s="15" t="s">
        <v>130</v>
      </c>
      <c r="AD452" s="15" t="s">
        <v>131</v>
      </c>
      <c r="AE452" s="15" t="s">
        <v>421</v>
      </c>
      <c r="AF452" s="12">
        <f>IF(AG452="Rejected",0,IF(R452="Corporate Card",0,V452))</f>
        <v>0</v>
      </c>
      <c r="AG452" s="15" t="s">
        <v>133</v>
      </c>
      <c r="AH452" s="16">
        <v>45711</v>
      </c>
      <c r="AI452" s="16">
        <v>45713</v>
      </c>
      <c r="AJ452" s="16">
        <v>45723</v>
      </c>
      <c r="AK452" s="17">
        <f>IF(AJ452="","",AJ452-AH452)</f>
        <v>12</v>
      </c>
    </row>
    <row r="453" spans="1:37">
      <c r="A453" s="2" t="s">
        <v>809</v>
      </c>
      <c r="B453" s="2" t="s">
        <v>770</v>
      </c>
      <c r="C453" s="2" t="s">
        <v>771</v>
      </c>
      <c r="D453" s="2" t="s">
        <v>414</v>
      </c>
      <c r="E453" s="2" t="s">
        <v>772</v>
      </c>
      <c r="F453" s="2" t="s">
        <v>413</v>
      </c>
      <c r="G453" s="2" t="s">
        <v>773</v>
      </c>
      <c r="H453" s="2" t="s">
        <v>748</v>
      </c>
      <c r="I453" s="2" t="s">
        <v>194</v>
      </c>
      <c r="J453" s="2" t="s">
        <v>195</v>
      </c>
      <c r="K453" s="9">
        <v>45694</v>
      </c>
      <c r="L453" s="9">
        <v>45701</v>
      </c>
      <c r="M453" s="9">
        <v>45696</v>
      </c>
      <c r="N453" s="2" t="s">
        <v>696</v>
      </c>
      <c r="O453" s="2" t="s">
        <v>54</v>
      </c>
      <c r="P453" s="2" t="s">
        <v>139</v>
      </c>
      <c r="Q453" s="2" t="s">
        <v>140</v>
      </c>
      <c r="R453" s="2" t="s">
        <v>149</v>
      </c>
      <c r="S453" s="2" t="s">
        <v>198</v>
      </c>
      <c r="T453" s="10">
        <v>13.9</v>
      </c>
      <c r="U453" s="11">
        <v>1.085</v>
      </c>
      <c r="V453" s="12">
        <f>T453*U453</f>
        <v>15.0815</v>
      </c>
      <c r="W453" s="13">
        <v>0.19</v>
      </c>
      <c r="X453" s="12">
        <f>V453-(V453/(1+W453))</f>
        <v>2.407970588235294</v>
      </c>
      <c r="Y453" s="12">
        <f>V453-X453</f>
        <v>12.673529411764706</v>
      </c>
      <c r="Z453" s="14">
        <v>25</v>
      </c>
      <c r="AA453" s="2" t="str">
        <f>IF(V453&gt;Z453,"Yes","No")</f>
        <v>No</v>
      </c>
      <c r="AB453" s="12">
        <f>V453-Z453</f>
        <v>-9.9184999999999999</v>
      </c>
      <c r="AC453" s="15" t="s">
        <v>131</v>
      </c>
      <c r="AD453" s="15" t="s">
        <v>131</v>
      </c>
      <c r="AE453" s="15" t="s">
        <v>421</v>
      </c>
      <c r="AF453" s="12">
        <f>IF(AG453="Rejected",0,IF(R453="Corporate Card",0,V453))</f>
        <v>15.0815</v>
      </c>
      <c r="AG453" s="15" t="s">
        <v>133</v>
      </c>
      <c r="AH453" s="16">
        <v>45711</v>
      </c>
      <c r="AI453" s="16">
        <v>45713</v>
      </c>
      <c r="AJ453" s="16">
        <v>45723</v>
      </c>
      <c r="AK453" s="17">
        <f>IF(AJ453="","",AJ453-AH453)</f>
        <v>12</v>
      </c>
    </row>
    <row r="454" spans="1:37">
      <c r="A454" s="2" t="s">
        <v>810</v>
      </c>
      <c r="B454" s="2" t="s">
        <v>770</v>
      </c>
      <c r="C454" s="2" t="s">
        <v>771</v>
      </c>
      <c r="D454" s="2" t="s">
        <v>414</v>
      </c>
      <c r="E454" s="2" t="s">
        <v>772</v>
      </c>
      <c r="F454" s="2" t="s">
        <v>413</v>
      </c>
      <c r="G454" s="2" t="s">
        <v>773</v>
      </c>
      <c r="H454" s="2" t="s">
        <v>748</v>
      </c>
      <c r="I454" s="2" t="s">
        <v>194</v>
      </c>
      <c r="J454" s="2" t="s">
        <v>195</v>
      </c>
      <c r="K454" s="9">
        <v>45694</v>
      </c>
      <c r="L454" s="9">
        <v>45701</v>
      </c>
      <c r="M454" s="9">
        <v>45696</v>
      </c>
      <c r="N454" s="2" t="s">
        <v>696</v>
      </c>
      <c r="O454" s="2" t="s">
        <v>56</v>
      </c>
      <c r="P454" s="2" t="s">
        <v>245</v>
      </c>
      <c r="Q454" s="2" t="s">
        <v>185</v>
      </c>
      <c r="R454" s="2" t="s">
        <v>128</v>
      </c>
      <c r="S454" s="2" t="s">
        <v>198</v>
      </c>
      <c r="T454" s="10">
        <v>51.41</v>
      </c>
      <c r="U454" s="11">
        <v>1.085</v>
      </c>
      <c r="V454" s="12">
        <f>T454*U454</f>
        <v>55.779849999999996</v>
      </c>
      <c r="W454" s="13">
        <v>0.19</v>
      </c>
      <c r="X454" s="12">
        <f>V454-(V454/(1+W454))</f>
        <v>8.9060264705882304</v>
      </c>
      <c r="Y454" s="12">
        <f>V454-X454</f>
        <v>46.873823529411766</v>
      </c>
      <c r="Z454" s="14">
        <v>75</v>
      </c>
      <c r="AA454" s="2" t="str">
        <f>IF(V454&gt;Z454,"Yes","No")</f>
        <v>No</v>
      </c>
      <c r="AB454" s="12">
        <f>V454-Z454</f>
        <v>-19.220150000000004</v>
      </c>
      <c r="AC454" s="15" t="s">
        <v>130</v>
      </c>
      <c r="AD454" s="15" t="s">
        <v>131</v>
      </c>
      <c r="AE454" s="15" t="s">
        <v>421</v>
      </c>
      <c r="AF454" s="12">
        <f>IF(AG454="Rejected",0,IF(R454="Corporate Card",0,V454))</f>
        <v>0</v>
      </c>
      <c r="AG454" s="15" t="s">
        <v>133</v>
      </c>
      <c r="AH454" s="16">
        <v>45711</v>
      </c>
      <c r="AI454" s="16">
        <v>45713</v>
      </c>
      <c r="AJ454" s="16">
        <v>45723</v>
      </c>
      <c r="AK454" s="17">
        <f>IF(AJ454="","",AJ454-AH454)</f>
        <v>12</v>
      </c>
    </row>
    <row r="455" spans="1:37">
      <c r="A455" s="2" t="s">
        <v>811</v>
      </c>
      <c r="B455" s="2" t="s">
        <v>770</v>
      </c>
      <c r="C455" s="2" t="s">
        <v>771</v>
      </c>
      <c r="D455" s="2" t="s">
        <v>414</v>
      </c>
      <c r="E455" s="2" t="s">
        <v>772</v>
      </c>
      <c r="F455" s="2" t="s">
        <v>413</v>
      </c>
      <c r="G455" s="2" t="s">
        <v>773</v>
      </c>
      <c r="H455" s="2" t="s">
        <v>748</v>
      </c>
      <c r="I455" s="2" t="s">
        <v>194</v>
      </c>
      <c r="J455" s="2" t="s">
        <v>195</v>
      </c>
      <c r="K455" s="9">
        <v>45694</v>
      </c>
      <c r="L455" s="9">
        <v>45701</v>
      </c>
      <c r="M455" s="9">
        <v>45696</v>
      </c>
      <c r="N455" s="2" t="s">
        <v>696</v>
      </c>
      <c r="O455" s="2" t="s">
        <v>55</v>
      </c>
      <c r="P455" s="2" t="s">
        <v>139</v>
      </c>
      <c r="Q455" s="2" t="s">
        <v>217</v>
      </c>
      <c r="R455" s="2" t="s">
        <v>128</v>
      </c>
      <c r="S455" s="2" t="s">
        <v>198</v>
      </c>
      <c r="T455" s="10">
        <v>29.92</v>
      </c>
      <c r="U455" s="11">
        <v>1.085</v>
      </c>
      <c r="V455" s="12">
        <f>T455*U455</f>
        <v>32.463200000000001</v>
      </c>
      <c r="W455" s="13">
        <v>0.19</v>
      </c>
      <c r="X455" s="12">
        <f>V455-(V455/(1+W455))</f>
        <v>5.1831999999999994</v>
      </c>
      <c r="Y455" s="12">
        <f>V455-X455</f>
        <v>27.28</v>
      </c>
      <c r="Z455" s="14">
        <v>35</v>
      </c>
      <c r="AA455" s="2" t="str">
        <f>IF(V455&gt;Z455,"Yes","No")</f>
        <v>No</v>
      </c>
      <c r="AB455" s="12">
        <f>V455-Z455</f>
        <v>-2.5367999999999995</v>
      </c>
      <c r="AC455" s="15" t="s">
        <v>130</v>
      </c>
      <c r="AD455" s="15" t="s">
        <v>131</v>
      </c>
      <c r="AE455" s="15" t="s">
        <v>421</v>
      </c>
      <c r="AF455" s="12">
        <f>IF(AG455="Rejected",0,IF(R455="Corporate Card",0,V455))</f>
        <v>0</v>
      </c>
      <c r="AG455" s="15" t="s">
        <v>133</v>
      </c>
      <c r="AH455" s="16">
        <v>45711</v>
      </c>
      <c r="AI455" s="16">
        <v>45713</v>
      </c>
      <c r="AJ455" s="16">
        <v>45723</v>
      </c>
      <c r="AK455" s="17">
        <f>IF(AJ455="","",AJ455-AH455)</f>
        <v>12</v>
      </c>
    </row>
    <row r="456" spans="1:37">
      <c r="A456" s="2" t="s">
        <v>812</v>
      </c>
      <c r="B456" s="2" t="s">
        <v>770</v>
      </c>
      <c r="C456" s="2" t="s">
        <v>771</v>
      </c>
      <c r="D456" s="2" t="s">
        <v>414</v>
      </c>
      <c r="E456" s="2" t="s">
        <v>772</v>
      </c>
      <c r="F456" s="2" t="s">
        <v>413</v>
      </c>
      <c r="G456" s="2" t="s">
        <v>773</v>
      </c>
      <c r="H456" s="2" t="s">
        <v>748</v>
      </c>
      <c r="I456" s="2" t="s">
        <v>194</v>
      </c>
      <c r="J456" s="2" t="s">
        <v>195</v>
      </c>
      <c r="K456" s="9">
        <v>45694</v>
      </c>
      <c r="L456" s="9">
        <v>45701</v>
      </c>
      <c r="M456" s="9">
        <v>45696</v>
      </c>
      <c r="N456" s="2" t="s">
        <v>696</v>
      </c>
      <c r="O456" s="2" t="s">
        <v>62</v>
      </c>
      <c r="P456" s="2" t="s">
        <v>533</v>
      </c>
      <c r="Q456" s="2" t="s">
        <v>548</v>
      </c>
      <c r="R456" s="2" t="s">
        <v>137</v>
      </c>
      <c r="S456" s="2" t="s">
        <v>198</v>
      </c>
      <c r="T456" s="10">
        <v>20.84</v>
      </c>
      <c r="U456" s="11">
        <v>1.085</v>
      </c>
      <c r="V456" s="12">
        <f>T456*U456</f>
        <v>22.6114</v>
      </c>
      <c r="W456" s="13">
        <v>0.19</v>
      </c>
      <c r="X456" s="12">
        <f>V456-(V456/(1+W456))</f>
        <v>3.6102235294117655</v>
      </c>
      <c r="Y456" s="12">
        <f>V456-X456</f>
        <v>19.001176470588234</v>
      </c>
      <c r="Z456" s="14">
        <v>45</v>
      </c>
      <c r="AA456" s="2" t="str">
        <f>IF(V456&gt;Z456,"Yes","No")</f>
        <v>No</v>
      </c>
      <c r="AB456" s="12">
        <f>V456-Z456</f>
        <v>-22.3886</v>
      </c>
      <c r="AC456" s="15" t="s">
        <v>130</v>
      </c>
      <c r="AD456" s="15" t="s">
        <v>131</v>
      </c>
      <c r="AE456" s="15" t="s">
        <v>421</v>
      </c>
      <c r="AF456" s="12">
        <f>IF(AG456="Rejected",0,IF(R456="Corporate Card",0,V456))</f>
        <v>22.6114</v>
      </c>
      <c r="AG456" s="15" t="s">
        <v>133</v>
      </c>
      <c r="AH456" s="16">
        <v>45711</v>
      </c>
      <c r="AI456" s="16">
        <v>45713</v>
      </c>
      <c r="AJ456" s="16">
        <v>45723</v>
      </c>
      <c r="AK456" s="17">
        <f>IF(AJ456="","",AJ456-AH456)</f>
        <v>12</v>
      </c>
    </row>
    <row r="457" spans="1:37">
      <c r="A457" s="2" t="s">
        <v>813</v>
      </c>
      <c r="B457" s="2" t="s">
        <v>375</v>
      </c>
      <c r="C457" s="2" t="s">
        <v>376</v>
      </c>
      <c r="D457" s="2" t="s">
        <v>344</v>
      </c>
      <c r="E457" s="2" t="s">
        <v>377</v>
      </c>
      <c r="F457" s="2" t="s">
        <v>346</v>
      </c>
      <c r="G457" s="2" t="s">
        <v>778</v>
      </c>
      <c r="H457" s="2" t="s">
        <v>348</v>
      </c>
      <c r="I457" s="2" t="s">
        <v>651</v>
      </c>
      <c r="J457" s="2" t="s">
        <v>652</v>
      </c>
      <c r="K457" s="9">
        <v>45695</v>
      </c>
      <c r="L457" s="9">
        <v>45698</v>
      </c>
      <c r="M457" s="9">
        <v>45697</v>
      </c>
      <c r="N457" s="2" t="s">
        <v>696</v>
      </c>
      <c r="O457" s="2" t="s">
        <v>58</v>
      </c>
      <c r="P457" s="2" t="s">
        <v>142</v>
      </c>
      <c r="Q457" s="2" t="s">
        <v>296</v>
      </c>
      <c r="R457" s="2" t="s">
        <v>149</v>
      </c>
      <c r="S457" s="2" t="s">
        <v>654</v>
      </c>
      <c r="T457" s="10">
        <v>116.57</v>
      </c>
      <c r="U457" s="11">
        <v>0.72799999999999998</v>
      </c>
      <c r="V457" s="12">
        <f>T457*U457</f>
        <v>84.862959999999987</v>
      </c>
      <c r="W457" s="13">
        <v>0.13</v>
      </c>
      <c r="X457" s="12">
        <f>V457-(V457/(1+W457))</f>
        <v>9.7629953982300748</v>
      </c>
      <c r="Y457" s="12">
        <f>V457-X457</f>
        <v>75.099964601769912</v>
      </c>
      <c r="Z457" s="14">
        <v>60</v>
      </c>
      <c r="AA457" s="2" t="str">
        <f>IF(V457&gt;Z457,"Yes","No")</f>
        <v>Yes</v>
      </c>
      <c r="AB457" s="12">
        <f>V457-Z457</f>
        <v>24.862959999999987</v>
      </c>
      <c r="AC457" s="15" t="s">
        <v>130</v>
      </c>
      <c r="AD457" s="15" t="s">
        <v>130</v>
      </c>
      <c r="AE457" s="15" t="s">
        <v>350</v>
      </c>
      <c r="AF457" s="12">
        <f>IF(AG457="Rejected",0,IF(R457="Corporate Card",0,V457))</f>
        <v>84.862959999999987</v>
      </c>
      <c r="AG457" s="15" t="s">
        <v>133</v>
      </c>
      <c r="AH457" s="16">
        <v>45704</v>
      </c>
      <c r="AI457" s="16">
        <v>45708</v>
      </c>
      <c r="AJ457" s="16">
        <v>45720</v>
      </c>
      <c r="AK457" s="17">
        <f>IF(AJ457="","",AJ457-AH457)</f>
        <v>16</v>
      </c>
    </row>
    <row r="458" spans="1:37">
      <c r="A458" s="2" t="s">
        <v>814</v>
      </c>
      <c r="B458" s="2" t="s">
        <v>375</v>
      </c>
      <c r="C458" s="2" t="s">
        <v>376</v>
      </c>
      <c r="D458" s="2" t="s">
        <v>344</v>
      </c>
      <c r="E458" s="2" t="s">
        <v>377</v>
      </c>
      <c r="F458" s="2" t="s">
        <v>346</v>
      </c>
      <c r="G458" s="2" t="s">
        <v>778</v>
      </c>
      <c r="H458" s="2" t="s">
        <v>348</v>
      </c>
      <c r="I458" s="2" t="s">
        <v>651</v>
      </c>
      <c r="J458" s="2" t="s">
        <v>652</v>
      </c>
      <c r="K458" s="9">
        <v>45695</v>
      </c>
      <c r="L458" s="9">
        <v>45698</v>
      </c>
      <c r="M458" s="9">
        <v>45697</v>
      </c>
      <c r="N458" s="2" t="s">
        <v>696</v>
      </c>
      <c r="O458" s="2" t="s">
        <v>54</v>
      </c>
      <c r="P458" s="2" t="s">
        <v>139</v>
      </c>
      <c r="Q458" s="2" t="s">
        <v>140</v>
      </c>
      <c r="R458" s="2" t="s">
        <v>128</v>
      </c>
      <c r="S458" s="2" t="s">
        <v>654</v>
      </c>
      <c r="T458" s="10">
        <v>17.420000000000002</v>
      </c>
      <c r="U458" s="11">
        <v>0.72799999999999998</v>
      </c>
      <c r="V458" s="12">
        <f>T458*U458</f>
        <v>12.681760000000001</v>
      </c>
      <c r="W458" s="13">
        <v>0.13</v>
      </c>
      <c r="X458" s="12">
        <f>V458-(V458/(1+W458))</f>
        <v>1.4589635398230083</v>
      </c>
      <c r="Y458" s="12">
        <f>V458-X458</f>
        <v>11.222796460176992</v>
      </c>
      <c r="Z458" s="14">
        <v>25</v>
      </c>
      <c r="AA458" s="2" t="str">
        <f>IF(V458&gt;Z458,"Yes","No")</f>
        <v>No</v>
      </c>
      <c r="AB458" s="12">
        <f>V458-Z458</f>
        <v>-12.318239999999999</v>
      </c>
      <c r="AC458" s="15" t="s">
        <v>130</v>
      </c>
      <c r="AD458" s="15" t="s">
        <v>130</v>
      </c>
      <c r="AE458" s="15" t="s">
        <v>350</v>
      </c>
      <c r="AF458" s="12">
        <f>IF(AG458="Rejected",0,IF(R458="Corporate Card",0,V458))</f>
        <v>0</v>
      </c>
      <c r="AG458" s="15" t="s">
        <v>133</v>
      </c>
      <c r="AH458" s="16">
        <v>45704</v>
      </c>
      <c r="AI458" s="16">
        <v>45708</v>
      </c>
      <c r="AJ458" s="16">
        <v>45720</v>
      </c>
      <c r="AK458" s="17">
        <f>IF(AJ458="","",AJ458-AH458)</f>
        <v>16</v>
      </c>
    </row>
    <row r="459" spans="1:37">
      <c r="A459" s="2" t="s">
        <v>815</v>
      </c>
      <c r="B459" s="2" t="s">
        <v>375</v>
      </c>
      <c r="C459" s="2" t="s">
        <v>376</v>
      </c>
      <c r="D459" s="2" t="s">
        <v>344</v>
      </c>
      <c r="E459" s="2" t="s">
        <v>377</v>
      </c>
      <c r="F459" s="2" t="s">
        <v>346</v>
      </c>
      <c r="G459" s="2" t="s">
        <v>778</v>
      </c>
      <c r="H459" s="2" t="s">
        <v>348</v>
      </c>
      <c r="I459" s="2" t="s">
        <v>651</v>
      </c>
      <c r="J459" s="2" t="s">
        <v>652</v>
      </c>
      <c r="K459" s="9">
        <v>45695</v>
      </c>
      <c r="L459" s="9">
        <v>45698</v>
      </c>
      <c r="M459" s="9">
        <v>45697</v>
      </c>
      <c r="N459" s="2" t="s">
        <v>696</v>
      </c>
      <c r="O459" s="2" t="s">
        <v>56</v>
      </c>
      <c r="P459" s="2" t="s">
        <v>245</v>
      </c>
      <c r="Q459" s="2" t="s">
        <v>159</v>
      </c>
      <c r="R459" s="2" t="s">
        <v>128</v>
      </c>
      <c r="S459" s="2" t="s">
        <v>654</v>
      </c>
      <c r="T459" s="10">
        <v>90.09</v>
      </c>
      <c r="U459" s="11">
        <v>0.72799999999999998</v>
      </c>
      <c r="V459" s="12">
        <f>T459*U459</f>
        <v>65.585520000000002</v>
      </c>
      <c r="W459" s="13">
        <v>0.13</v>
      </c>
      <c r="X459" s="12">
        <f>V459-(V459/(1+W459))</f>
        <v>7.5452368141592885</v>
      </c>
      <c r="Y459" s="12">
        <f>V459-X459</f>
        <v>58.040283185840714</v>
      </c>
      <c r="Z459" s="14">
        <v>75</v>
      </c>
      <c r="AA459" s="2" t="str">
        <f>IF(V459&gt;Z459,"Yes","No")</f>
        <v>No</v>
      </c>
      <c r="AB459" s="12">
        <f>V459-Z459</f>
        <v>-9.4144799999999975</v>
      </c>
      <c r="AC459" s="15" t="s">
        <v>130</v>
      </c>
      <c r="AD459" s="15" t="s">
        <v>130</v>
      </c>
      <c r="AE459" s="15" t="s">
        <v>350</v>
      </c>
      <c r="AF459" s="12">
        <f>IF(AG459="Rejected",0,IF(R459="Corporate Card",0,V459))</f>
        <v>0</v>
      </c>
      <c r="AG459" s="15" t="s">
        <v>133</v>
      </c>
      <c r="AH459" s="16">
        <v>45704</v>
      </c>
      <c r="AI459" s="16">
        <v>45708</v>
      </c>
      <c r="AJ459" s="16">
        <v>45720</v>
      </c>
      <c r="AK459" s="17">
        <f>IF(AJ459="","",AJ459-AH459)</f>
        <v>16</v>
      </c>
    </row>
    <row r="460" spans="1:37">
      <c r="A460" s="2" t="s">
        <v>816</v>
      </c>
      <c r="B460" s="2" t="s">
        <v>375</v>
      </c>
      <c r="C460" s="2" t="s">
        <v>376</v>
      </c>
      <c r="D460" s="2" t="s">
        <v>344</v>
      </c>
      <c r="E460" s="2" t="s">
        <v>377</v>
      </c>
      <c r="F460" s="2" t="s">
        <v>346</v>
      </c>
      <c r="G460" s="2" t="s">
        <v>778</v>
      </c>
      <c r="H460" s="2" t="s">
        <v>348</v>
      </c>
      <c r="I460" s="2" t="s">
        <v>651</v>
      </c>
      <c r="J460" s="2" t="s">
        <v>652</v>
      </c>
      <c r="K460" s="9">
        <v>45695</v>
      </c>
      <c r="L460" s="9">
        <v>45698</v>
      </c>
      <c r="M460" s="9">
        <v>45697</v>
      </c>
      <c r="N460" s="2" t="s">
        <v>696</v>
      </c>
      <c r="O460" s="2" t="s">
        <v>55</v>
      </c>
      <c r="P460" s="2" t="s">
        <v>139</v>
      </c>
      <c r="Q460" s="2" t="s">
        <v>217</v>
      </c>
      <c r="R460" s="2" t="s">
        <v>128</v>
      </c>
      <c r="S460" s="2" t="s">
        <v>654</v>
      </c>
      <c r="T460" s="10">
        <v>22.42</v>
      </c>
      <c r="U460" s="11">
        <v>0.72799999999999998</v>
      </c>
      <c r="V460" s="12">
        <f>T460*U460</f>
        <v>16.321760000000001</v>
      </c>
      <c r="W460" s="13">
        <v>0.13</v>
      </c>
      <c r="X460" s="12">
        <f>V460-(V460/(1+W460))</f>
        <v>1.877724601769911</v>
      </c>
      <c r="Y460" s="12">
        <f>V460-X460</f>
        <v>14.44403539823009</v>
      </c>
      <c r="Z460" s="14">
        <v>35</v>
      </c>
      <c r="AA460" s="2" t="str">
        <f>IF(V460&gt;Z460,"Yes","No")</f>
        <v>No</v>
      </c>
      <c r="AB460" s="12">
        <f>V460-Z460</f>
        <v>-18.678239999999999</v>
      </c>
      <c r="AC460" s="15" t="s">
        <v>130</v>
      </c>
      <c r="AD460" s="15" t="s">
        <v>130</v>
      </c>
      <c r="AE460" s="15" t="s">
        <v>350</v>
      </c>
      <c r="AF460" s="12">
        <f>IF(AG460="Rejected",0,IF(R460="Corporate Card",0,V460))</f>
        <v>0</v>
      </c>
      <c r="AG460" s="15" t="s">
        <v>133</v>
      </c>
      <c r="AH460" s="16">
        <v>45704</v>
      </c>
      <c r="AI460" s="16">
        <v>45708</v>
      </c>
      <c r="AJ460" s="16">
        <v>45720</v>
      </c>
      <c r="AK460" s="17">
        <f>IF(AJ460="","",AJ460-AH460)</f>
        <v>16</v>
      </c>
    </row>
    <row r="461" spans="1:37">
      <c r="A461" s="2" t="s">
        <v>817</v>
      </c>
      <c r="B461" s="2" t="s">
        <v>375</v>
      </c>
      <c r="C461" s="2" t="s">
        <v>376</v>
      </c>
      <c r="D461" s="2" t="s">
        <v>344</v>
      </c>
      <c r="E461" s="2" t="s">
        <v>377</v>
      </c>
      <c r="F461" s="2" t="s">
        <v>346</v>
      </c>
      <c r="G461" s="2" t="s">
        <v>802</v>
      </c>
      <c r="H461" s="2" t="s">
        <v>803</v>
      </c>
      <c r="I461" s="2" t="s">
        <v>553</v>
      </c>
      <c r="J461" s="2" t="s">
        <v>553</v>
      </c>
      <c r="K461" s="9">
        <v>45696</v>
      </c>
      <c r="L461" s="9">
        <v>45702</v>
      </c>
      <c r="M461" s="9">
        <v>45697</v>
      </c>
      <c r="N461" s="2" t="s">
        <v>696</v>
      </c>
      <c r="O461" s="2" t="s">
        <v>53</v>
      </c>
      <c r="P461" s="2" t="s">
        <v>467</v>
      </c>
      <c r="Q461" s="2" t="s">
        <v>272</v>
      </c>
      <c r="R461" s="2" t="s">
        <v>128</v>
      </c>
      <c r="S461" s="2" t="s">
        <v>555</v>
      </c>
      <c r="T461" s="10">
        <v>816.44</v>
      </c>
      <c r="U461" s="11">
        <v>0.74299999999999999</v>
      </c>
      <c r="V461" s="12">
        <f>T461*U461</f>
        <v>606.61491999999998</v>
      </c>
      <c r="W461" s="13">
        <v>0.09</v>
      </c>
      <c r="X461" s="12">
        <f>V461-(V461/(1+W461))</f>
        <v>50.087470458715643</v>
      </c>
      <c r="Y461" s="12">
        <f>V461-X461</f>
        <v>556.52744954128434</v>
      </c>
      <c r="Z461" s="14">
        <v>1680</v>
      </c>
      <c r="AA461" s="2" t="str">
        <f>IF(V461&gt;Z461,"Yes","No")</f>
        <v>No</v>
      </c>
      <c r="AB461" s="12">
        <f>V461-Z461</f>
        <v>-1073.38508</v>
      </c>
      <c r="AC461" s="15" t="s">
        <v>130</v>
      </c>
      <c r="AD461" s="15" t="s">
        <v>130</v>
      </c>
      <c r="AE461" s="15" t="s">
        <v>350</v>
      </c>
      <c r="AF461" s="12">
        <f>IF(AG461="Rejected",0,IF(R461="Corporate Card",0,V461))</f>
        <v>0</v>
      </c>
      <c r="AG461" s="15" t="s">
        <v>804</v>
      </c>
      <c r="AH461" s="16">
        <v>45714</v>
      </c>
      <c r="AI461" s="16"/>
      <c r="AJ461" s="16"/>
      <c r="AK461" s="17" t="str">
        <f>IF(AJ461="","",AJ461-AH461)</f>
        <v/>
      </c>
    </row>
    <row r="462" spans="1:37">
      <c r="A462" s="2" t="s">
        <v>818</v>
      </c>
      <c r="B462" s="2" t="s">
        <v>375</v>
      </c>
      <c r="C462" s="2" t="s">
        <v>376</v>
      </c>
      <c r="D462" s="2" t="s">
        <v>344</v>
      </c>
      <c r="E462" s="2" t="s">
        <v>377</v>
      </c>
      <c r="F462" s="2" t="s">
        <v>346</v>
      </c>
      <c r="G462" s="2" t="s">
        <v>802</v>
      </c>
      <c r="H462" s="2" t="s">
        <v>803</v>
      </c>
      <c r="I462" s="2" t="s">
        <v>553</v>
      </c>
      <c r="J462" s="2" t="s">
        <v>553</v>
      </c>
      <c r="K462" s="9">
        <v>45696</v>
      </c>
      <c r="L462" s="9">
        <v>45702</v>
      </c>
      <c r="M462" s="9">
        <v>45697</v>
      </c>
      <c r="N462" s="2" t="s">
        <v>696</v>
      </c>
      <c r="O462" s="2" t="s">
        <v>54</v>
      </c>
      <c r="P462" s="2" t="s">
        <v>139</v>
      </c>
      <c r="Q462" s="2" t="s">
        <v>214</v>
      </c>
      <c r="R462" s="2" t="s">
        <v>128</v>
      </c>
      <c r="S462" s="2" t="s">
        <v>555</v>
      </c>
      <c r="T462" s="10">
        <v>16.350000000000001</v>
      </c>
      <c r="U462" s="11">
        <v>0.74299999999999999</v>
      </c>
      <c r="V462" s="12">
        <f>T462*U462</f>
        <v>12.148050000000001</v>
      </c>
      <c r="W462" s="13">
        <v>0.09</v>
      </c>
      <c r="X462" s="12">
        <f>V462-(V462/(1+W462))</f>
        <v>1.0030500000000018</v>
      </c>
      <c r="Y462" s="12">
        <f>V462-X462</f>
        <v>11.145</v>
      </c>
      <c r="Z462" s="14">
        <v>25</v>
      </c>
      <c r="AA462" s="2" t="str">
        <f>IF(V462&gt;Z462,"Yes","No")</f>
        <v>No</v>
      </c>
      <c r="AB462" s="12">
        <f>V462-Z462</f>
        <v>-12.851949999999999</v>
      </c>
      <c r="AC462" s="15" t="s">
        <v>130</v>
      </c>
      <c r="AD462" s="15" t="s">
        <v>130</v>
      </c>
      <c r="AE462" s="15" t="s">
        <v>350</v>
      </c>
      <c r="AF462" s="12">
        <f>IF(AG462="Rejected",0,IF(R462="Corporate Card",0,V462))</f>
        <v>0</v>
      </c>
      <c r="AG462" s="15" t="s">
        <v>804</v>
      </c>
      <c r="AH462" s="16">
        <v>45714</v>
      </c>
      <c r="AI462" s="16"/>
      <c r="AJ462" s="16"/>
      <c r="AK462" s="17" t="str">
        <f>IF(AJ462="","",AJ462-AH462)</f>
        <v/>
      </c>
    </row>
    <row r="463" spans="1:37">
      <c r="A463" s="2" t="s">
        <v>819</v>
      </c>
      <c r="B463" s="2" t="s">
        <v>375</v>
      </c>
      <c r="C463" s="2" t="s">
        <v>376</v>
      </c>
      <c r="D463" s="2" t="s">
        <v>344</v>
      </c>
      <c r="E463" s="2" t="s">
        <v>377</v>
      </c>
      <c r="F463" s="2" t="s">
        <v>346</v>
      </c>
      <c r="G463" s="2" t="s">
        <v>802</v>
      </c>
      <c r="H463" s="2" t="s">
        <v>803</v>
      </c>
      <c r="I463" s="2" t="s">
        <v>553</v>
      </c>
      <c r="J463" s="2" t="s">
        <v>553</v>
      </c>
      <c r="K463" s="9">
        <v>45696</v>
      </c>
      <c r="L463" s="9">
        <v>45702</v>
      </c>
      <c r="M463" s="9">
        <v>45697</v>
      </c>
      <c r="N463" s="2" t="s">
        <v>696</v>
      </c>
      <c r="O463" s="2" t="s">
        <v>56</v>
      </c>
      <c r="P463" s="2" t="s">
        <v>151</v>
      </c>
      <c r="Q463" s="2" t="s">
        <v>159</v>
      </c>
      <c r="R463" s="2" t="s">
        <v>128</v>
      </c>
      <c r="S463" s="2" t="s">
        <v>555</v>
      </c>
      <c r="T463" s="10">
        <v>71.83</v>
      </c>
      <c r="U463" s="11">
        <v>0.74299999999999999</v>
      </c>
      <c r="V463" s="12">
        <f>T463*U463</f>
        <v>53.369689999999999</v>
      </c>
      <c r="W463" s="13">
        <v>0.09</v>
      </c>
      <c r="X463" s="12">
        <f>V463-(V463/(1+W463))</f>
        <v>4.4066716513761506</v>
      </c>
      <c r="Y463" s="12">
        <f>V463-X463</f>
        <v>48.963018348623848</v>
      </c>
      <c r="Z463" s="14">
        <v>75</v>
      </c>
      <c r="AA463" s="2" t="str">
        <f>IF(V463&gt;Z463,"Yes","No")</f>
        <v>No</v>
      </c>
      <c r="AB463" s="12">
        <f>V463-Z463</f>
        <v>-21.630310000000001</v>
      </c>
      <c r="AC463" s="15" t="s">
        <v>130</v>
      </c>
      <c r="AD463" s="15" t="s">
        <v>130</v>
      </c>
      <c r="AE463" s="15" t="s">
        <v>350</v>
      </c>
      <c r="AF463" s="12">
        <f>IF(AG463="Rejected",0,IF(R463="Corporate Card",0,V463))</f>
        <v>0</v>
      </c>
      <c r="AG463" s="15" t="s">
        <v>804</v>
      </c>
      <c r="AH463" s="16">
        <v>45714</v>
      </c>
      <c r="AI463" s="16"/>
      <c r="AJ463" s="16"/>
      <c r="AK463" s="17" t="str">
        <f>IF(AJ463="","",AJ463-AH463)</f>
        <v/>
      </c>
    </row>
    <row r="464" spans="1:37">
      <c r="A464" s="2" t="s">
        <v>820</v>
      </c>
      <c r="B464" s="2" t="s">
        <v>375</v>
      </c>
      <c r="C464" s="2" t="s">
        <v>376</v>
      </c>
      <c r="D464" s="2" t="s">
        <v>344</v>
      </c>
      <c r="E464" s="2" t="s">
        <v>377</v>
      </c>
      <c r="F464" s="2" t="s">
        <v>346</v>
      </c>
      <c r="G464" s="2" t="s">
        <v>802</v>
      </c>
      <c r="H464" s="2" t="s">
        <v>803</v>
      </c>
      <c r="I464" s="2" t="s">
        <v>553</v>
      </c>
      <c r="J464" s="2" t="s">
        <v>553</v>
      </c>
      <c r="K464" s="9">
        <v>45696</v>
      </c>
      <c r="L464" s="9">
        <v>45702</v>
      </c>
      <c r="M464" s="9">
        <v>45697</v>
      </c>
      <c r="N464" s="2" t="s">
        <v>696</v>
      </c>
      <c r="O464" s="2" t="s">
        <v>55</v>
      </c>
      <c r="P464" s="2" t="s">
        <v>139</v>
      </c>
      <c r="Q464" s="2" t="s">
        <v>161</v>
      </c>
      <c r="R464" s="2" t="s">
        <v>128</v>
      </c>
      <c r="S464" s="2" t="s">
        <v>555</v>
      </c>
      <c r="T464" s="10">
        <v>26.61</v>
      </c>
      <c r="U464" s="11">
        <v>0.74299999999999999</v>
      </c>
      <c r="V464" s="12">
        <f>T464*U464</f>
        <v>19.771229999999999</v>
      </c>
      <c r="W464" s="13">
        <v>0.09</v>
      </c>
      <c r="X464" s="12">
        <f>V464-(V464/(1+W464))</f>
        <v>1.6324868807339463</v>
      </c>
      <c r="Y464" s="12">
        <f>V464-X464</f>
        <v>18.138743119266053</v>
      </c>
      <c r="Z464" s="14">
        <v>35</v>
      </c>
      <c r="AA464" s="2" t="str">
        <f>IF(V464&gt;Z464,"Yes","No")</f>
        <v>No</v>
      </c>
      <c r="AB464" s="12">
        <f>V464-Z464</f>
        <v>-15.228770000000001</v>
      </c>
      <c r="AC464" s="15" t="s">
        <v>131</v>
      </c>
      <c r="AD464" s="15" t="s">
        <v>130</v>
      </c>
      <c r="AE464" s="15" t="s">
        <v>350</v>
      </c>
      <c r="AF464" s="12">
        <f>IF(AG464="Rejected",0,IF(R464="Corporate Card",0,V464))</f>
        <v>0</v>
      </c>
      <c r="AG464" s="15" t="s">
        <v>804</v>
      </c>
      <c r="AH464" s="16">
        <v>45714</v>
      </c>
      <c r="AI464" s="16"/>
      <c r="AJ464" s="16"/>
      <c r="AK464" s="17" t="str">
        <f>IF(AJ464="","",AJ464-AH464)</f>
        <v/>
      </c>
    </row>
    <row r="465" spans="1:37">
      <c r="A465" s="2" t="s">
        <v>821</v>
      </c>
      <c r="B465" s="2" t="s">
        <v>770</v>
      </c>
      <c r="C465" s="2" t="s">
        <v>771</v>
      </c>
      <c r="D465" s="2" t="s">
        <v>414</v>
      </c>
      <c r="E465" s="2" t="s">
        <v>772</v>
      </c>
      <c r="F465" s="2" t="s">
        <v>413</v>
      </c>
      <c r="G465" s="2" t="s">
        <v>773</v>
      </c>
      <c r="H465" s="2" t="s">
        <v>748</v>
      </c>
      <c r="I465" s="2" t="s">
        <v>194</v>
      </c>
      <c r="J465" s="2" t="s">
        <v>195</v>
      </c>
      <c r="K465" s="9">
        <v>45694</v>
      </c>
      <c r="L465" s="9">
        <v>45701</v>
      </c>
      <c r="M465" s="9">
        <v>45697</v>
      </c>
      <c r="N465" s="2" t="s">
        <v>696</v>
      </c>
      <c r="O465" s="2" t="s">
        <v>58</v>
      </c>
      <c r="P465" s="2" t="s">
        <v>142</v>
      </c>
      <c r="Q465" s="2" t="s">
        <v>203</v>
      </c>
      <c r="R465" s="2" t="s">
        <v>128</v>
      </c>
      <c r="S465" s="2" t="s">
        <v>198</v>
      </c>
      <c r="T465" s="10">
        <v>43.1</v>
      </c>
      <c r="U465" s="11">
        <v>1.085</v>
      </c>
      <c r="V465" s="12">
        <f>T465*U465</f>
        <v>46.763500000000001</v>
      </c>
      <c r="W465" s="13">
        <v>0.19</v>
      </c>
      <c r="X465" s="12">
        <f>V465-(V465/(1+W465))</f>
        <v>7.4664411764705889</v>
      </c>
      <c r="Y465" s="12">
        <f>V465-X465</f>
        <v>39.297058823529412</v>
      </c>
      <c r="Z465" s="14">
        <v>60</v>
      </c>
      <c r="AA465" s="2" t="str">
        <f>IF(V465&gt;Z465,"Yes","No")</f>
        <v>No</v>
      </c>
      <c r="AB465" s="12">
        <f>V465-Z465</f>
        <v>-13.236499999999999</v>
      </c>
      <c r="AC465" s="15" t="s">
        <v>130</v>
      </c>
      <c r="AD465" s="15" t="s">
        <v>131</v>
      </c>
      <c r="AE465" s="15" t="s">
        <v>421</v>
      </c>
      <c r="AF465" s="12">
        <f>IF(AG465="Rejected",0,IF(R465="Corporate Card",0,V465))</f>
        <v>0</v>
      </c>
      <c r="AG465" s="15" t="s">
        <v>133</v>
      </c>
      <c r="AH465" s="16">
        <v>45711</v>
      </c>
      <c r="AI465" s="16">
        <v>45713</v>
      </c>
      <c r="AJ465" s="16">
        <v>45723</v>
      </c>
      <c r="AK465" s="17">
        <f>IF(AJ465="","",AJ465-AH465)</f>
        <v>12</v>
      </c>
    </row>
    <row r="466" spans="1:37">
      <c r="A466" s="2" t="s">
        <v>822</v>
      </c>
      <c r="B466" s="2" t="s">
        <v>770</v>
      </c>
      <c r="C466" s="2" t="s">
        <v>771</v>
      </c>
      <c r="D466" s="2" t="s">
        <v>414</v>
      </c>
      <c r="E466" s="2" t="s">
        <v>772</v>
      </c>
      <c r="F466" s="2" t="s">
        <v>413</v>
      </c>
      <c r="G466" s="2" t="s">
        <v>773</v>
      </c>
      <c r="H466" s="2" t="s">
        <v>748</v>
      </c>
      <c r="I466" s="2" t="s">
        <v>194</v>
      </c>
      <c r="J466" s="2" t="s">
        <v>195</v>
      </c>
      <c r="K466" s="9">
        <v>45694</v>
      </c>
      <c r="L466" s="9">
        <v>45701</v>
      </c>
      <c r="M466" s="9">
        <v>45697</v>
      </c>
      <c r="N466" s="2" t="s">
        <v>696</v>
      </c>
      <c r="O466" s="2" t="s">
        <v>54</v>
      </c>
      <c r="P466" s="2" t="s">
        <v>139</v>
      </c>
      <c r="Q466" s="2" t="s">
        <v>214</v>
      </c>
      <c r="R466" s="2" t="s">
        <v>149</v>
      </c>
      <c r="S466" s="2" t="s">
        <v>198</v>
      </c>
      <c r="T466" s="10">
        <v>10.28</v>
      </c>
      <c r="U466" s="11">
        <v>1.085</v>
      </c>
      <c r="V466" s="12">
        <f>T466*U466</f>
        <v>11.153799999999999</v>
      </c>
      <c r="W466" s="13">
        <v>0.19</v>
      </c>
      <c r="X466" s="12">
        <f>V466-(V466/(1+W466))</f>
        <v>1.7808588235294103</v>
      </c>
      <c r="Y466" s="12">
        <f>V466-X466</f>
        <v>9.3729411764705883</v>
      </c>
      <c r="Z466" s="14">
        <v>25</v>
      </c>
      <c r="AA466" s="2" t="str">
        <f>IF(V466&gt;Z466,"Yes","No")</f>
        <v>No</v>
      </c>
      <c r="AB466" s="12">
        <f>V466-Z466</f>
        <v>-13.846200000000001</v>
      </c>
      <c r="AC466" s="15" t="s">
        <v>130</v>
      </c>
      <c r="AD466" s="15" t="s">
        <v>131</v>
      </c>
      <c r="AE466" s="15" t="s">
        <v>421</v>
      </c>
      <c r="AF466" s="12">
        <f>IF(AG466="Rejected",0,IF(R466="Corporate Card",0,V466))</f>
        <v>11.153799999999999</v>
      </c>
      <c r="AG466" s="15" t="s">
        <v>133</v>
      </c>
      <c r="AH466" s="16">
        <v>45711</v>
      </c>
      <c r="AI466" s="16">
        <v>45713</v>
      </c>
      <c r="AJ466" s="16">
        <v>45723</v>
      </c>
      <c r="AK466" s="17">
        <f>IF(AJ466="","",AJ466-AH466)</f>
        <v>12</v>
      </c>
    </row>
    <row r="467" spans="1:37">
      <c r="A467" s="2" t="s">
        <v>823</v>
      </c>
      <c r="B467" s="2" t="s">
        <v>770</v>
      </c>
      <c r="C467" s="2" t="s">
        <v>771</v>
      </c>
      <c r="D467" s="2" t="s">
        <v>414</v>
      </c>
      <c r="E467" s="2" t="s">
        <v>772</v>
      </c>
      <c r="F467" s="2" t="s">
        <v>413</v>
      </c>
      <c r="G467" s="2" t="s">
        <v>773</v>
      </c>
      <c r="H467" s="2" t="s">
        <v>748</v>
      </c>
      <c r="I467" s="2" t="s">
        <v>194</v>
      </c>
      <c r="J467" s="2" t="s">
        <v>195</v>
      </c>
      <c r="K467" s="9">
        <v>45694</v>
      </c>
      <c r="L467" s="9">
        <v>45701</v>
      </c>
      <c r="M467" s="9">
        <v>45697</v>
      </c>
      <c r="N467" s="2" t="s">
        <v>696</v>
      </c>
      <c r="O467" s="2" t="s">
        <v>56</v>
      </c>
      <c r="P467" s="2" t="s">
        <v>165</v>
      </c>
      <c r="Q467" s="2" t="s">
        <v>152</v>
      </c>
      <c r="R467" s="2" t="s">
        <v>128</v>
      </c>
      <c r="S467" s="2" t="s">
        <v>198</v>
      </c>
      <c r="T467" s="10">
        <v>41.68</v>
      </c>
      <c r="U467" s="11">
        <v>1.085</v>
      </c>
      <c r="V467" s="12">
        <f>T467*U467</f>
        <v>45.222799999999999</v>
      </c>
      <c r="W467" s="13">
        <v>0.19</v>
      </c>
      <c r="X467" s="12">
        <f>V467-(V467/(1+W467))</f>
        <v>7.220447058823531</v>
      </c>
      <c r="Y467" s="12">
        <f>V467-X467</f>
        <v>38.002352941176468</v>
      </c>
      <c r="Z467" s="14">
        <v>75</v>
      </c>
      <c r="AA467" s="2" t="str">
        <f>IF(V467&gt;Z467,"Yes","No")</f>
        <v>No</v>
      </c>
      <c r="AB467" s="12">
        <f>V467-Z467</f>
        <v>-29.777200000000001</v>
      </c>
      <c r="AC467" s="15" t="s">
        <v>130</v>
      </c>
      <c r="AD467" s="15" t="s">
        <v>131</v>
      </c>
      <c r="AE467" s="15" t="s">
        <v>421</v>
      </c>
      <c r="AF467" s="12">
        <f>IF(AG467="Rejected",0,IF(R467="Corporate Card",0,V467))</f>
        <v>0</v>
      </c>
      <c r="AG467" s="15" t="s">
        <v>133</v>
      </c>
      <c r="AH467" s="16">
        <v>45711</v>
      </c>
      <c r="AI467" s="16">
        <v>45713</v>
      </c>
      <c r="AJ467" s="16">
        <v>45723</v>
      </c>
      <c r="AK467" s="17">
        <f>IF(AJ467="","",AJ467-AH467)</f>
        <v>12</v>
      </c>
    </row>
    <row r="468" spans="1:37">
      <c r="A468" s="2" t="s">
        <v>824</v>
      </c>
      <c r="B468" s="2" t="s">
        <v>770</v>
      </c>
      <c r="C468" s="2" t="s">
        <v>771</v>
      </c>
      <c r="D468" s="2" t="s">
        <v>414</v>
      </c>
      <c r="E468" s="2" t="s">
        <v>772</v>
      </c>
      <c r="F468" s="2" t="s">
        <v>413</v>
      </c>
      <c r="G468" s="2" t="s">
        <v>773</v>
      </c>
      <c r="H468" s="2" t="s">
        <v>748</v>
      </c>
      <c r="I468" s="2" t="s">
        <v>194</v>
      </c>
      <c r="J468" s="2" t="s">
        <v>195</v>
      </c>
      <c r="K468" s="9">
        <v>45694</v>
      </c>
      <c r="L468" s="9">
        <v>45701</v>
      </c>
      <c r="M468" s="9">
        <v>45697</v>
      </c>
      <c r="N468" s="2" t="s">
        <v>696</v>
      </c>
      <c r="O468" s="2" t="s">
        <v>55</v>
      </c>
      <c r="P468" s="2" t="s">
        <v>139</v>
      </c>
      <c r="Q468" s="2" t="s">
        <v>154</v>
      </c>
      <c r="R468" s="2" t="s">
        <v>149</v>
      </c>
      <c r="S468" s="2" t="s">
        <v>198</v>
      </c>
      <c r="T468" s="10">
        <v>30.22</v>
      </c>
      <c r="U468" s="11">
        <v>1.085</v>
      </c>
      <c r="V468" s="12">
        <f>T468*U468</f>
        <v>32.788699999999999</v>
      </c>
      <c r="W468" s="13">
        <v>0.19</v>
      </c>
      <c r="X468" s="12">
        <f>V468-(V468/(1+W468))</f>
        <v>5.2351705882352917</v>
      </c>
      <c r="Y468" s="12">
        <f>V468-X468</f>
        <v>27.553529411764707</v>
      </c>
      <c r="Z468" s="14">
        <v>35</v>
      </c>
      <c r="AA468" s="2" t="str">
        <f>IF(V468&gt;Z468,"Yes","No")</f>
        <v>No</v>
      </c>
      <c r="AB468" s="12">
        <f>V468-Z468</f>
        <v>-2.2113000000000014</v>
      </c>
      <c r="AC468" s="15" t="s">
        <v>130</v>
      </c>
      <c r="AD468" s="15" t="s">
        <v>131</v>
      </c>
      <c r="AE468" s="15" t="s">
        <v>421</v>
      </c>
      <c r="AF468" s="12">
        <f>IF(AG468="Rejected",0,IF(R468="Corporate Card",0,V468))</f>
        <v>32.788699999999999</v>
      </c>
      <c r="AG468" s="15" t="s">
        <v>133</v>
      </c>
      <c r="AH468" s="16">
        <v>45711</v>
      </c>
      <c r="AI468" s="16">
        <v>45713</v>
      </c>
      <c r="AJ468" s="16">
        <v>45723</v>
      </c>
      <c r="AK468" s="17">
        <f>IF(AJ468="","",AJ468-AH468)</f>
        <v>12</v>
      </c>
    </row>
    <row r="469" spans="1:37">
      <c r="A469" s="2" t="s">
        <v>825</v>
      </c>
      <c r="B469" s="2" t="s">
        <v>375</v>
      </c>
      <c r="C469" s="2" t="s">
        <v>376</v>
      </c>
      <c r="D469" s="2" t="s">
        <v>344</v>
      </c>
      <c r="E469" s="2" t="s">
        <v>377</v>
      </c>
      <c r="F469" s="2" t="s">
        <v>346</v>
      </c>
      <c r="G469" s="2" t="s">
        <v>778</v>
      </c>
      <c r="H469" s="2" t="s">
        <v>348</v>
      </c>
      <c r="I469" s="2" t="s">
        <v>651</v>
      </c>
      <c r="J469" s="2" t="s">
        <v>652</v>
      </c>
      <c r="K469" s="9">
        <v>45695</v>
      </c>
      <c r="L469" s="9">
        <v>45698</v>
      </c>
      <c r="M469" s="9">
        <v>45698</v>
      </c>
      <c r="N469" s="2" t="s">
        <v>696</v>
      </c>
      <c r="O469" s="2" t="s">
        <v>58</v>
      </c>
      <c r="P469" s="2" t="s">
        <v>142</v>
      </c>
      <c r="Q469" s="2" t="s">
        <v>156</v>
      </c>
      <c r="R469" s="2" t="s">
        <v>128</v>
      </c>
      <c r="S469" s="2" t="s">
        <v>654</v>
      </c>
      <c r="T469" s="10">
        <v>66.540000000000006</v>
      </c>
      <c r="U469" s="11">
        <v>0.72799999999999998</v>
      </c>
      <c r="V469" s="12">
        <f>T469*U469</f>
        <v>48.441120000000005</v>
      </c>
      <c r="W469" s="13">
        <v>0.13</v>
      </c>
      <c r="X469" s="12">
        <f>V469-(V469/(1+W469))</f>
        <v>5.5728722123893775</v>
      </c>
      <c r="Y469" s="12">
        <f>V469-X469</f>
        <v>42.868247787610628</v>
      </c>
      <c r="Z469" s="14">
        <v>60</v>
      </c>
      <c r="AA469" s="2" t="str">
        <f>IF(V469&gt;Z469,"Yes","No")</f>
        <v>No</v>
      </c>
      <c r="AB469" s="12">
        <f>V469-Z469</f>
        <v>-11.558879999999995</v>
      </c>
      <c r="AC469" s="15" t="s">
        <v>130</v>
      </c>
      <c r="AD469" s="15" t="s">
        <v>130</v>
      </c>
      <c r="AE469" s="15" t="s">
        <v>350</v>
      </c>
      <c r="AF469" s="12">
        <f>IF(AG469="Rejected",0,IF(R469="Corporate Card",0,V469))</f>
        <v>0</v>
      </c>
      <c r="AG469" s="15" t="s">
        <v>133</v>
      </c>
      <c r="AH469" s="16">
        <v>45704</v>
      </c>
      <c r="AI469" s="16">
        <v>45708</v>
      </c>
      <c r="AJ469" s="16">
        <v>45720</v>
      </c>
      <c r="AK469" s="17">
        <f>IF(AJ469="","",AJ469-AH469)</f>
        <v>16</v>
      </c>
    </row>
    <row r="470" spans="1:37">
      <c r="A470" s="2" t="s">
        <v>826</v>
      </c>
      <c r="B470" s="2" t="s">
        <v>375</v>
      </c>
      <c r="C470" s="2" t="s">
        <v>376</v>
      </c>
      <c r="D470" s="2" t="s">
        <v>344</v>
      </c>
      <c r="E470" s="2" t="s">
        <v>377</v>
      </c>
      <c r="F470" s="2" t="s">
        <v>346</v>
      </c>
      <c r="G470" s="2" t="s">
        <v>778</v>
      </c>
      <c r="H470" s="2" t="s">
        <v>348</v>
      </c>
      <c r="I470" s="2" t="s">
        <v>651</v>
      </c>
      <c r="J470" s="2" t="s">
        <v>652</v>
      </c>
      <c r="K470" s="9">
        <v>45695</v>
      </c>
      <c r="L470" s="9">
        <v>45698</v>
      </c>
      <c r="M470" s="9">
        <v>45698</v>
      </c>
      <c r="N470" s="2" t="s">
        <v>696</v>
      </c>
      <c r="O470" s="2" t="s">
        <v>54</v>
      </c>
      <c r="P470" s="2" t="s">
        <v>139</v>
      </c>
      <c r="Q470" s="2" t="s">
        <v>214</v>
      </c>
      <c r="R470" s="2" t="s">
        <v>149</v>
      </c>
      <c r="S470" s="2" t="s">
        <v>654</v>
      </c>
      <c r="T470" s="10">
        <v>26.26</v>
      </c>
      <c r="U470" s="11">
        <v>0.72799999999999998</v>
      </c>
      <c r="V470" s="12">
        <f>T470*U470</f>
        <v>19.117280000000001</v>
      </c>
      <c r="W470" s="13">
        <v>0.13</v>
      </c>
      <c r="X470" s="12">
        <f>V470-(V470/(1+W470))</f>
        <v>2.1993330973451322</v>
      </c>
      <c r="Y470" s="12">
        <f>V470-X470</f>
        <v>16.917946902654869</v>
      </c>
      <c r="Z470" s="14">
        <v>25</v>
      </c>
      <c r="AA470" s="2" t="str">
        <f>IF(V470&gt;Z470,"Yes","No")</f>
        <v>No</v>
      </c>
      <c r="AB470" s="12">
        <f>V470-Z470</f>
        <v>-5.8827199999999991</v>
      </c>
      <c r="AC470" s="15" t="s">
        <v>130</v>
      </c>
      <c r="AD470" s="15" t="s">
        <v>130</v>
      </c>
      <c r="AE470" s="15" t="s">
        <v>350</v>
      </c>
      <c r="AF470" s="12">
        <f>IF(AG470="Rejected",0,IF(R470="Corporate Card",0,V470))</f>
        <v>19.117280000000001</v>
      </c>
      <c r="AG470" s="15" t="s">
        <v>133</v>
      </c>
      <c r="AH470" s="16">
        <v>45704</v>
      </c>
      <c r="AI470" s="16">
        <v>45708</v>
      </c>
      <c r="AJ470" s="16">
        <v>45720</v>
      </c>
      <c r="AK470" s="17">
        <f>IF(AJ470="","",AJ470-AH470)</f>
        <v>16</v>
      </c>
    </row>
    <row r="471" spans="1:37">
      <c r="A471" s="2" t="s">
        <v>827</v>
      </c>
      <c r="B471" s="2" t="s">
        <v>375</v>
      </c>
      <c r="C471" s="2" t="s">
        <v>376</v>
      </c>
      <c r="D471" s="2" t="s">
        <v>344</v>
      </c>
      <c r="E471" s="2" t="s">
        <v>377</v>
      </c>
      <c r="F471" s="2" t="s">
        <v>346</v>
      </c>
      <c r="G471" s="2" t="s">
        <v>778</v>
      </c>
      <c r="H471" s="2" t="s">
        <v>348</v>
      </c>
      <c r="I471" s="2" t="s">
        <v>651</v>
      </c>
      <c r="J471" s="2" t="s">
        <v>652</v>
      </c>
      <c r="K471" s="9">
        <v>45695</v>
      </c>
      <c r="L471" s="9">
        <v>45698</v>
      </c>
      <c r="M471" s="9">
        <v>45698</v>
      </c>
      <c r="N471" s="2" t="s">
        <v>696</v>
      </c>
      <c r="O471" s="2" t="s">
        <v>56</v>
      </c>
      <c r="P471" s="2" t="s">
        <v>231</v>
      </c>
      <c r="Q471" s="2" t="s">
        <v>185</v>
      </c>
      <c r="R471" s="2" t="s">
        <v>128</v>
      </c>
      <c r="S471" s="2" t="s">
        <v>654</v>
      </c>
      <c r="T471" s="10">
        <v>150.63</v>
      </c>
      <c r="U471" s="11">
        <v>0.72799999999999998</v>
      </c>
      <c r="V471" s="12">
        <f>T471*U471</f>
        <v>109.65863999999999</v>
      </c>
      <c r="W471" s="13">
        <v>0.13</v>
      </c>
      <c r="X471" s="12">
        <f>V471-(V471/(1+W471))</f>
        <v>12.615595752212386</v>
      </c>
      <c r="Y471" s="12">
        <f>V471-X471</f>
        <v>97.043044247787606</v>
      </c>
      <c r="Z471" s="14">
        <v>75</v>
      </c>
      <c r="AA471" s="2" t="str">
        <f>IF(V471&gt;Z471,"Yes","No")</f>
        <v>Yes</v>
      </c>
      <c r="AB471" s="12">
        <f>V471-Z471</f>
        <v>34.658639999999991</v>
      </c>
      <c r="AC471" s="15" t="s">
        <v>130</v>
      </c>
      <c r="AD471" s="15" t="s">
        <v>130</v>
      </c>
      <c r="AE471" s="15" t="s">
        <v>350</v>
      </c>
      <c r="AF471" s="12">
        <f>IF(AG471="Rejected",0,IF(R471="Corporate Card",0,V471))</f>
        <v>0</v>
      </c>
      <c r="AG471" s="15" t="s">
        <v>133</v>
      </c>
      <c r="AH471" s="16">
        <v>45704</v>
      </c>
      <c r="AI471" s="16">
        <v>45708</v>
      </c>
      <c r="AJ471" s="16">
        <v>45720</v>
      </c>
      <c r="AK471" s="17">
        <f>IF(AJ471="","",AJ471-AH471)</f>
        <v>16</v>
      </c>
    </row>
    <row r="472" spans="1:37">
      <c r="A472" s="2" t="s">
        <v>828</v>
      </c>
      <c r="B472" s="2" t="s">
        <v>375</v>
      </c>
      <c r="C472" s="2" t="s">
        <v>376</v>
      </c>
      <c r="D472" s="2" t="s">
        <v>344</v>
      </c>
      <c r="E472" s="2" t="s">
        <v>377</v>
      </c>
      <c r="F472" s="2" t="s">
        <v>346</v>
      </c>
      <c r="G472" s="2" t="s">
        <v>778</v>
      </c>
      <c r="H472" s="2" t="s">
        <v>348</v>
      </c>
      <c r="I472" s="2" t="s">
        <v>651</v>
      </c>
      <c r="J472" s="2" t="s">
        <v>652</v>
      </c>
      <c r="K472" s="9">
        <v>45695</v>
      </c>
      <c r="L472" s="9">
        <v>45698</v>
      </c>
      <c r="M472" s="9">
        <v>45698</v>
      </c>
      <c r="N472" s="2" t="s">
        <v>696</v>
      </c>
      <c r="O472" s="2" t="s">
        <v>55</v>
      </c>
      <c r="P472" s="2" t="s">
        <v>139</v>
      </c>
      <c r="Q472" s="2" t="s">
        <v>187</v>
      </c>
      <c r="R472" s="2" t="s">
        <v>137</v>
      </c>
      <c r="S472" s="2" t="s">
        <v>654</v>
      </c>
      <c r="T472" s="10">
        <v>72.27</v>
      </c>
      <c r="U472" s="11">
        <v>0.72799999999999998</v>
      </c>
      <c r="V472" s="12">
        <f>T472*U472</f>
        <v>52.612559999999995</v>
      </c>
      <c r="W472" s="13">
        <v>0.13</v>
      </c>
      <c r="X472" s="12">
        <f>V472-(V472/(1+W472))</f>
        <v>6.0527723893805288</v>
      </c>
      <c r="Y472" s="12">
        <f>V472-X472</f>
        <v>46.559787610619466</v>
      </c>
      <c r="Z472" s="14">
        <v>35</v>
      </c>
      <c r="AA472" s="2" t="str">
        <f>IF(V472&gt;Z472,"Yes","No")</f>
        <v>Yes</v>
      </c>
      <c r="AB472" s="12">
        <f>V472-Z472</f>
        <v>17.612559999999995</v>
      </c>
      <c r="AC472" s="15" t="s">
        <v>130</v>
      </c>
      <c r="AD472" s="15" t="s">
        <v>130</v>
      </c>
      <c r="AE472" s="15" t="s">
        <v>350</v>
      </c>
      <c r="AF472" s="12">
        <f>IF(AG472="Rejected",0,IF(R472="Corporate Card",0,V472))</f>
        <v>52.612559999999995</v>
      </c>
      <c r="AG472" s="15" t="s">
        <v>133</v>
      </c>
      <c r="AH472" s="16">
        <v>45704</v>
      </c>
      <c r="AI472" s="16">
        <v>45708</v>
      </c>
      <c r="AJ472" s="16">
        <v>45720</v>
      </c>
      <c r="AK472" s="17">
        <f>IF(AJ472="","",AJ472-AH472)</f>
        <v>16</v>
      </c>
    </row>
    <row r="473" spans="1:37">
      <c r="A473" s="2" t="s">
        <v>829</v>
      </c>
      <c r="B473" s="2" t="s">
        <v>248</v>
      </c>
      <c r="C473" s="2" t="s">
        <v>249</v>
      </c>
      <c r="D473" s="2" t="s">
        <v>250</v>
      </c>
      <c r="E473" s="2" t="s">
        <v>251</v>
      </c>
      <c r="F473" s="2" t="s">
        <v>252</v>
      </c>
      <c r="G473" s="2" t="s">
        <v>830</v>
      </c>
      <c r="H473" s="2" t="s">
        <v>291</v>
      </c>
      <c r="I473" s="2" t="s">
        <v>175</v>
      </c>
      <c r="J473" s="2" t="s">
        <v>176</v>
      </c>
      <c r="K473" s="9">
        <v>45698</v>
      </c>
      <c r="L473" s="9">
        <v>45706</v>
      </c>
      <c r="M473" s="9">
        <v>45698</v>
      </c>
      <c r="N473" s="2" t="s">
        <v>696</v>
      </c>
      <c r="O473" s="2" t="s">
        <v>52</v>
      </c>
      <c r="P473" s="2" t="s">
        <v>177</v>
      </c>
      <c r="Q473" s="2" t="s">
        <v>178</v>
      </c>
      <c r="R473" s="2" t="s">
        <v>128</v>
      </c>
      <c r="S473" s="2" t="s">
        <v>179</v>
      </c>
      <c r="T473" s="10">
        <v>8740.44</v>
      </c>
      <c r="U473" s="11">
        <v>0.18099999999999999</v>
      </c>
      <c r="V473" s="12">
        <f>T473*U473</f>
        <v>1582.01964</v>
      </c>
      <c r="W473" s="13">
        <v>0</v>
      </c>
      <c r="X473" s="12">
        <f>V473-(V473/(1+W473))</f>
        <v>0</v>
      </c>
      <c r="Y473" s="12">
        <f>V473-X473</f>
        <v>1582.01964</v>
      </c>
      <c r="Z473" s="14">
        <v>1400</v>
      </c>
      <c r="AA473" s="2" t="str">
        <f>IF(V473&gt;Z473,"Yes","No")</f>
        <v>Yes</v>
      </c>
      <c r="AB473" s="12">
        <f>V473-Z473</f>
        <v>182.01963999999998</v>
      </c>
      <c r="AC473" s="15" t="s">
        <v>130</v>
      </c>
      <c r="AD473" s="15" t="s">
        <v>130</v>
      </c>
      <c r="AE473" s="15" t="s">
        <v>350</v>
      </c>
      <c r="AF473" s="12">
        <f>IF(AG473="Rejected",0,IF(R473="Corporate Card",0,V473))</f>
        <v>0</v>
      </c>
      <c r="AG473" s="15" t="s">
        <v>133</v>
      </c>
      <c r="AH473" s="16">
        <v>45712</v>
      </c>
      <c r="AI473" s="16">
        <v>45714</v>
      </c>
      <c r="AJ473" s="16">
        <v>45720</v>
      </c>
      <c r="AK473" s="17">
        <f>IF(AJ473="","",AJ473-AH473)</f>
        <v>8</v>
      </c>
    </row>
    <row r="474" spans="1:37">
      <c r="A474" s="2" t="s">
        <v>831</v>
      </c>
      <c r="B474" s="2" t="s">
        <v>248</v>
      </c>
      <c r="C474" s="2" t="s">
        <v>249</v>
      </c>
      <c r="D474" s="2" t="s">
        <v>250</v>
      </c>
      <c r="E474" s="2" t="s">
        <v>251</v>
      </c>
      <c r="F474" s="2" t="s">
        <v>252</v>
      </c>
      <c r="G474" s="2" t="s">
        <v>830</v>
      </c>
      <c r="H474" s="2" t="s">
        <v>291</v>
      </c>
      <c r="I474" s="2" t="s">
        <v>175</v>
      </c>
      <c r="J474" s="2" t="s">
        <v>176</v>
      </c>
      <c r="K474" s="9">
        <v>45698</v>
      </c>
      <c r="L474" s="9">
        <v>45706</v>
      </c>
      <c r="M474" s="9">
        <v>45698</v>
      </c>
      <c r="N474" s="2" t="s">
        <v>696</v>
      </c>
      <c r="O474" s="2" t="s">
        <v>58</v>
      </c>
      <c r="P474" s="2" t="s">
        <v>142</v>
      </c>
      <c r="Q474" s="2" t="s">
        <v>143</v>
      </c>
      <c r="R474" s="2" t="s">
        <v>128</v>
      </c>
      <c r="S474" s="2" t="s">
        <v>179</v>
      </c>
      <c r="T474" s="10">
        <v>187.66</v>
      </c>
      <c r="U474" s="11">
        <v>0.18099999999999999</v>
      </c>
      <c r="V474" s="12">
        <f>T474*U474</f>
        <v>33.966459999999998</v>
      </c>
      <c r="W474" s="13">
        <v>0.17</v>
      </c>
      <c r="X474" s="12">
        <f>V474-(V474/(1+W474))</f>
        <v>4.9352976068376044</v>
      </c>
      <c r="Y474" s="12">
        <f>V474-X474</f>
        <v>29.031162393162393</v>
      </c>
      <c r="Z474" s="14">
        <v>60</v>
      </c>
      <c r="AA474" s="2" t="str">
        <f>IF(V474&gt;Z474,"Yes","No")</f>
        <v>No</v>
      </c>
      <c r="AB474" s="12">
        <f>V474-Z474</f>
        <v>-26.033540000000002</v>
      </c>
      <c r="AC474" s="15" t="s">
        <v>130</v>
      </c>
      <c r="AD474" s="15" t="s">
        <v>130</v>
      </c>
      <c r="AE474" s="15" t="s">
        <v>350</v>
      </c>
      <c r="AF474" s="12">
        <f>IF(AG474="Rejected",0,IF(R474="Corporate Card",0,V474))</f>
        <v>0</v>
      </c>
      <c r="AG474" s="15" t="s">
        <v>133</v>
      </c>
      <c r="AH474" s="16">
        <v>45712</v>
      </c>
      <c r="AI474" s="16">
        <v>45714</v>
      </c>
      <c r="AJ474" s="16">
        <v>45720</v>
      </c>
      <c r="AK474" s="17">
        <f>IF(AJ474="","",AJ474-AH474)</f>
        <v>8</v>
      </c>
    </row>
    <row r="475" spans="1:37">
      <c r="A475" s="2" t="s">
        <v>832</v>
      </c>
      <c r="B475" s="2" t="s">
        <v>248</v>
      </c>
      <c r="C475" s="2" t="s">
        <v>249</v>
      </c>
      <c r="D475" s="2" t="s">
        <v>250</v>
      </c>
      <c r="E475" s="2" t="s">
        <v>251</v>
      </c>
      <c r="F475" s="2" t="s">
        <v>252</v>
      </c>
      <c r="G475" s="2" t="s">
        <v>830</v>
      </c>
      <c r="H475" s="2" t="s">
        <v>291</v>
      </c>
      <c r="I475" s="2" t="s">
        <v>175</v>
      </c>
      <c r="J475" s="2" t="s">
        <v>176</v>
      </c>
      <c r="K475" s="9">
        <v>45698</v>
      </c>
      <c r="L475" s="9">
        <v>45706</v>
      </c>
      <c r="M475" s="9">
        <v>45698</v>
      </c>
      <c r="N475" s="2" t="s">
        <v>696</v>
      </c>
      <c r="O475" s="2" t="s">
        <v>54</v>
      </c>
      <c r="P475" s="2" t="s">
        <v>139</v>
      </c>
      <c r="Q475" s="2" t="s">
        <v>214</v>
      </c>
      <c r="R475" s="2" t="s">
        <v>149</v>
      </c>
      <c r="S475" s="2" t="s">
        <v>179</v>
      </c>
      <c r="T475" s="10">
        <v>102.72</v>
      </c>
      <c r="U475" s="11">
        <v>0.18099999999999999</v>
      </c>
      <c r="V475" s="12">
        <f>T475*U475</f>
        <v>18.592320000000001</v>
      </c>
      <c r="W475" s="13">
        <v>0.17</v>
      </c>
      <c r="X475" s="12">
        <f>V475-(V475/(1+W475))</f>
        <v>2.7014482051282052</v>
      </c>
      <c r="Y475" s="12">
        <f>V475-X475</f>
        <v>15.890871794871796</v>
      </c>
      <c r="Z475" s="14">
        <v>25</v>
      </c>
      <c r="AA475" s="2" t="str">
        <f>IF(V475&gt;Z475,"Yes","No")</f>
        <v>No</v>
      </c>
      <c r="AB475" s="12">
        <f>V475-Z475</f>
        <v>-6.4076799999999992</v>
      </c>
      <c r="AC475" s="15" t="s">
        <v>130</v>
      </c>
      <c r="AD475" s="15" t="s">
        <v>130</v>
      </c>
      <c r="AE475" s="15" t="s">
        <v>350</v>
      </c>
      <c r="AF475" s="12">
        <f>IF(AG475="Rejected",0,IF(R475="Corporate Card",0,V475))</f>
        <v>18.592320000000001</v>
      </c>
      <c r="AG475" s="15" t="s">
        <v>133</v>
      </c>
      <c r="AH475" s="16">
        <v>45712</v>
      </c>
      <c r="AI475" s="16">
        <v>45714</v>
      </c>
      <c r="AJ475" s="16">
        <v>45720</v>
      </c>
      <c r="AK475" s="17">
        <f>IF(AJ475="","",AJ475-AH475)</f>
        <v>8</v>
      </c>
    </row>
    <row r="476" spans="1:37">
      <c r="A476" s="2" t="s">
        <v>833</v>
      </c>
      <c r="B476" s="2" t="s">
        <v>248</v>
      </c>
      <c r="C476" s="2" t="s">
        <v>249</v>
      </c>
      <c r="D476" s="2" t="s">
        <v>250</v>
      </c>
      <c r="E476" s="2" t="s">
        <v>251</v>
      </c>
      <c r="F476" s="2" t="s">
        <v>252</v>
      </c>
      <c r="G476" s="2" t="s">
        <v>830</v>
      </c>
      <c r="H476" s="2" t="s">
        <v>291</v>
      </c>
      <c r="I476" s="2" t="s">
        <v>175</v>
      </c>
      <c r="J476" s="2" t="s">
        <v>176</v>
      </c>
      <c r="K476" s="9">
        <v>45698</v>
      </c>
      <c r="L476" s="9">
        <v>45706</v>
      </c>
      <c r="M476" s="9">
        <v>45698</v>
      </c>
      <c r="N476" s="2" t="s">
        <v>696</v>
      </c>
      <c r="O476" s="2" t="s">
        <v>56</v>
      </c>
      <c r="P476" s="2" t="s">
        <v>231</v>
      </c>
      <c r="Q476" s="2" t="s">
        <v>227</v>
      </c>
      <c r="R476" s="2" t="s">
        <v>128</v>
      </c>
      <c r="S476" s="2" t="s">
        <v>179</v>
      </c>
      <c r="T476" s="10">
        <v>234.26</v>
      </c>
      <c r="U476" s="11">
        <v>0.18099999999999999</v>
      </c>
      <c r="V476" s="12">
        <f>T476*U476</f>
        <v>42.401059999999994</v>
      </c>
      <c r="W476" s="13">
        <v>0.17</v>
      </c>
      <c r="X476" s="12">
        <f>V476-(V476/(1+W476))</f>
        <v>6.1608377777777719</v>
      </c>
      <c r="Y476" s="12">
        <f>V476-X476</f>
        <v>36.240222222222222</v>
      </c>
      <c r="Z476" s="14">
        <v>75</v>
      </c>
      <c r="AA476" s="2" t="str">
        <f>IF(V476&gt;Z476,"Yes","No")</f>
        <v>No</v>
      </c>
      <c r="AB476" s="12">
        <f>V476-Z476</f>
        <v>-32.598940000000006</v>
      </c>
      <c r="AC476" s="15" t="s">
        <v>130</v>
      </c>
      <c r="AD476" s="15" t="s">
        <v>130</v>
      </c>
      <c r="AE476" s="15" t="s">
        <v>350</v>
      </c>
      <c r="AF476" s="12">
        <f>IF(AG476="Rejected",0,IF(R476="Corporate Card",0,V476))</f>
        <v>0</v>
      </c>
      <c r="AG476" s="15" t="s">
        <v>133</v>
      </c>
      <c r="AH476" s="16">
        <v>45712</v>
      </c>
      <c r="AI476" s="16">
        <v>45714</v>
      </c>
      <c r="AJ476" s="16">
        <v>45720</v>
      </c>
      <c r="AK476" s="17">
        <f>IF(AJ476="","",AJ476-AH476)</f>
        <v>8</v>
      </c>
    </row>
    <row r="477" spans="1:37">
      <c r="A477" s="2" t="s">
        <v>834</v>
      </c>
      <c r="B477" s="2" t="s">
        <v>248</v>
      </c>
      <c r="C477" s="2" t="s">
        <v>249</v>
      </c>
      <c r="D477" s="2" t="s">
        <v>250</v>
      </c>
      <c r="E477" s="2" t="s">
        <v>251</v>
      </c>
      <c r="F477" s="2" t="s">
        <v>252</v>
      </c>
      <c r="G477" s="2" t="s">
        <v>830</v>
      </c>
      <c r="H477" s="2" t="s">
        <v>291</v>
      </c>
      <c r="I477" s="2" t="s">
        <v>175</v>
      </c>
      <c r="J477" s="2" t="s">
        <v>176</v>
      </c>
      <c r="K477" s="9">
        <v>45698</v>
      </c>
      <c r="L477" s="9">
        <v>45706</v>
      </c>
      <c r="M477" s="9">
        <v>45698</v>
      </c>
      <c r="N477" s="2" t="s">
        <v>696</v>
      </c>
      <c r="O477" s="2" t="s">
        <v>55</v>
      </c>
      <c r="P477" s="2" t="s">
        <v>139</v>
      </c>
      <c r="Q477" s="2" t="s">
        <v>154</v>
      </c>
      <c r="R477" s="2" t="s">
        <v>128</v>
      </c>
      <c r="S477" s="2" t="s">
        <v>179</v>
      </c>
      <c r="T477" s="10">
        <v>83.76</v>
      </c>
      <c r="U477" s="11">
        <v>0.18099999999999999</v>
      </c>
      <c r="V477" s="12">
        <f>T477*U477</f>
        <v>15.16056</v>
      </c>
      <c r="W477" s="13">
        <v>0.17</v>
      </c>
      <c r="X477" s="12">
        <f>V477-(V477/(1+W477))</f>
        <v>2.2028164102564087</v>
      </c>
      <c r="Y477" s="12">
        <f>V477-X477</f>
        <v>12.957743589743592</v>
      </c>
      <c r="Z477" s="14">
        <v>35</v>
      </c>
      <c r="AA477" s="2" t="str">
        <f>IF(V477&gt;Z477,"Yes","No")</f>
        <v>No</v>
      </c>
      <c r="AB477" s="12">
        <f>V477-Z477</f>
        <v>-19.83944</v>
      </c>
      <c r="AC477" s="15" t="s">
        <v>130</v>
      </c>
      <c r="AD477" s="15" t="s">
        <v>130</v>
      </c>
      <c r="AE477" s="15" t="s">
        <v>350</v>
      </c>
      <c r="AF477" s="12">
        <f>IF(AG477="Rejected",0,IF(R477="Corporate Card",0,V477))</f>
        <v>0</v>
      </c>
      <c r="AG477" s="15" t="s">
        <v>133</v>
      </c>
      <c r="AH477" s="16">
        <v>45712</v>
      </c>
      <c r="AI477" s="16">
        <v>45714</v>
      </c>
      <c r="AJ477" s="16">
        <v>45720</v>
      </c>
      <c r="AK477" s="17">
        <f>IF(AJ477="","",AJ477-AH477)</f>
        <v>8</v>
      </c>
    </row>
    <row r="478" spans="1:37">
      <c r="A478" s="2" t="s">
        <v>835</v>
      </c>
      <c r="B478" s="2" t="s">
        <v>375</v>
      </c>
      <c r="C478" s="2" t="s">
        <v>376</v>
      </c>
      <c r="D478" s="2" t="s">
        <v>344</v>
      </c>
      <c r="E478" s="2" t="s">
        <v>377</v>
      </c>
      <c r="F478" s="2" t="s">
        <v>346</v>
      </c>
      <c r="G478" s="2" t="s">
        <v>802</v>
      </c>
      <c r="H478" s="2" t="s">
        <v>803</v>
      </c>
      <c r="I478" s="2" t="s">
        <v>553</v>
      </c>
      <c r="J478" s="2" t="s">
        <v>553</v>
      </c>
      <c r="K478" s="9">
        <v>45696</v>
      </c>
      <c r="L478" s="9">
        <v>45702</v>
      </c>
      <c r="M478" s="9">
        <v>45698</v>
      </c>
      <c r="N478" s="2" t="s">
        <v>696</v>
      </c>
      <c r="O478" s="2" t="s">
        <v>54</v>
      </c>
      <c r="P478" s="2" t="s">
        <v>139</v>
      </c>
      <c r="Q478" s="2" t="s">
        <v>214</v>
      </c>
      <c r="R478" s="2" t="s">
        <v>128</v>
      </c>
      <c r="S478" s="2" t="s">
        <v>555</v>
      </c>
      <c r="T478" s="10">
        <v>20.81</v>
      </c>
      <c r="U478" s="11">
        <v>0.74299999999999999</v>
      </c>
      <c r="V478" s="12">
        <f>T478*U478</f>
        <v>15.461829999999999</v>
      </c>
      <c r="W478" s="13">
        <v>0.09</v>
      </c>
      <c r="X478" s="12">
        <f>V478-(V478/(1+W478))</f>
        <v>1.2766648623853225</v>
      </c>
      <c r="Y478" s="12">
        <f>V478-X478</f>
        <v>14.185165137614677</v>
      </c>
      <c r="Z478" s="14">
        <v>25</v>
      </c>
      <c r="AA478" s="2" t="str">
        <f>IF(V478&gt;Z478,"Yes","No")</f>
        <v>No</v>
      </c>
      <c r="AB478" s="12">
        <f>V478-Z478</f>
        <v>-9.5381700000000009</v>
      </c>
      <c r="AC478" s="15" t="s">
        <v>130</v>
      </c>
      <c r="AD478" s="15" t="s">
        <v>130</v>
      </c>
      <c r="AE478" s="15" t="s">
        <v>350</v>
      </c>
      <c r="AF478" s="12">
        <f>IF(AG478="Rejected",0,IF(R478="Corporate Card",0,V478))</f>
        <v>0</v>
      </c>
      <c r="AG478" s="15" t="s">
        <v>804</v>
      </c>
      <c r="AH478" s="16">
        <v>45714</v>
      </c>
      <c r="AI478" s="16"/>
      <c r="AJ478" s="16"/>
      <c r="AK478" s="17" t="str">
        <f>IF(AJ478="","",AJ478-AH478)</f>
        <v/>
      </c>
    </row>
    <row r="479" spans="1:37">
      <c r="A479" s="2" t="s">
        <v>836</v>
      </c>
      <c r="B479" s="2" t="s">
        <v>375</v>
      </c>
      <c r="C479" s="2" t="s">
        <v>376</v>
      </c>
      <c r="D479" s="2" t="s">
        <v>344</v>
      </c>
      <c r="E479" s="2" t="s">
        <v>377</v>
      </c>
      <c r="F479" s="2" t="s">
        <v>346</v>
      </c>
      <c r="G479" s="2" t="s">
        <v>802</v>
      </c>
      <c r="H479" s="2" t="s">
        <v>803</v>
      </c>
      <c r="I479" s="2" t="s">
        <v>553</v>
      </c>
      <c r="J479" s="2" t="s">
        <v>553</v>
      </c>
      <c r="K479" s="9">
        <v>45696</v>
      </c>
      <c r="L479" s="9">
        <v>45702</v>
      </c>
      <c r="M479" s="9">
        <v>45698</v>
      </c>
      <c r="N479" s="2" t="s">
        <v>696</v>
      </c>
      <c r="O479" s="2" t="s">
        <v>55</v>
      </c>
      <c r="P479" s="2" t="s">
        <v>139</v>
      </c>
      <c r="Q479" s="2" t="s">
        <v>154</v>
      </c>
      <c r="R479" s="2" t="s">
        <v>128</v>
      </c>
      <c r="S479" s="2" t="s">
        <v>555</v>
      </c>
      <c r="T479" s="10">
        <v>36.79</v>
      </c>
      <c r="U479" s="11">
        <v>0.74299999999999999</v>
      </c>
      <c r="V479" s="12">
        <f>T479*U479</f>
        <v>27.334969999999998</v>
      </c>
      <c r="W479" s="13">
        <v>0.09</v>
      </c>
      <c r="X479" s="12">
        <f>V479-(V479/(1+W479))</f>
        <v>2.2570158715596342</v>
      </c>
      <c r="Y479" s="12">
        <f>V479-X479</f>
        <v>25.077954128440364</v>
      </c>
      <c r="Z479" s="14">
        <v>35</v>
      </c>
      <c r="AA479" s="2" t="str">
        <f>IF(V479&gt;Z479,"Yes","No")</f>
        <v>No</v>
      </c>
      <c r="AB479" s="12">
        <f>V479-Z479</f>
        <v>-7.6650300000000016</v>
      </c>
      <c r="AC479" s="15" t="s">
        <v>131</v>
      </c>
      <c r="AD479" s="15" t="s">
        <v>130</v>
      </c>
      <c r="AE479" s="15" t="s">
        <v>350</v>
      </c>
      <c r="AF479" s="12">
        <f>IF(AG479="Rejected",0,IF(R479="Corporate Card",0,V479))</f>
        <v>0</v>
      </c>
      <c r="AG479" s="15" t="s">
        <v>804</v>
      </c>
      <c r="AH479" s="16">
        <v>45714</v>
      </c>
      <c r="AI479" s="16"/>
      <c r="AJ479" s="16"/>
      <c r="AK479" s="17" t="str">
        <f>IF(AJ479="","",AJ479-AH479)</f>
        <v/>
      </c>
    </row>
    <row r="480" spans="1:37">
      <c r="A480" s="2" t="s">
        <v>837</v>
      </c>
      <c r="B480" s="2" t="s">
        <v>770</v>
      </c>
      <c r="C480" s="2" t="s">
        <v>771</v>
      </c>
      <c r="D480" s="2" t="s">
        <v>414</v>
      </c>
      <c r="E480" s="2" t="s">
        <v>772</v>
      </c>
      <c r="F480" s="2" t="s">
        <v>413</v>
      </c>
      <c r="G480" s="2" t="s">
        <v>773</v>
      </c>
      <c r="H480" s="2" t="s">
        <v>748</v>
      </c>
      <c r="I480" s="2" t="s">
        <v>194</v>
      </c>
      <c r="J480" s="2" t="s">
        <v>195</v>
      </c>
      <c r="K480" s="9">
        <v>45694</v>
      </c>
      <c r="L480" s="9">
        <v>45701</v>
      </c>
      <c r="M480" s="9">
        <v>45698</v>
      </c>
      <c r="N480" s="2" t="s">
        <v>696</v>
      </c>
      <c r="O480" s="2" t="s">
        <v>58</v>
      </c>
      <c r="P480" s="2" t="s">
        <v>142</v>
      </c>
      <c r="Q480" s="2" t="s">
        <v>296</v>
      </c>
      <c r="R480" s="2" t="s">
        <v>128</v>
      </c>
      <c r="S480" s="2" t="s">
        <v>198</v>
      </c>
      <c r="T480" s="10">
        <v>54.2</v>
      </c>
      <c r="U480" s="11">
        <v>1.085</v>
      </c>
      <c r="V480" s="12">
        <f>T480*U480</f>
        <v>58.807000000000002</v>
      </c>
      <c r="W480" s="13">
        <v>0.19</v>
      </c>
      <c r="X480" s="12">
        <f>V480-(V480/(1+W480))</f>
        <v>9.3893529411764689</v>
      </c>
      <c r="Y480" s="12">
        <f>V480-X480</f>
        <v>49.417647058823533</v>
      </c>
      <c r="Z480" s="14">
        <v>60</v>
      </c>
      <c r="AA480" s="2" t="str">
        <f>IF(V480&gt;Z480,"Yes","No")</f>
        <v>No</v>
      </c>
      <c r="AB480" s="12">
        <f>V480-Z480</f>
        <v>-1.1929999999999978</v>
      </c>
      <c r="AC480" s="15" t="s">
        <v>130</v>
      </c>
      <c r="AD480" s="15" t="s">
        <v>131</v>
      </c>
      <c r="AE480" s="15" t="s">
        <v>421</v>
      </c>
      <c r="AF480" s="12">
        <f>IF(AG480="Rejected",0,IF(R480="Corporate Card",0,V480))</f>
        <v>0</v>
      </c>
      <c r="AG480" s="15" t="s">
        <v>133</v>
      </c>
      <c r="AH480" s="16">
        <v>45711</v>
      </c>
      <c r="AI480" s="16">
        <v>45713</v>
      </c>
      <c r="AJ480" s="16">
        <v>45723</v>
      </c>
      <c r="AK480" s="17">
        <f>IF(AJ480="","",AJ480-AH480)</f>
        <v>12</v>
      </c>
    </row>
    <row r="481" spans="1:37">
      <c r="A481" s="2" t="s">
        <v>838</v>
      </c>
      <c r="B481" s="2" t="s">
        <v>770</v>
      </c>
      <c r="C481" s="2" t="s">
        <v>771</v>
      </c>
      <c r="D481" s="2" t="s">
        <v>414</v>
      </c>
      <c r="E481" s="2" t="s">
        <v>772</v>
      </c>
      <c r="F481" s="2" t="s">
        <v>413</v>
      </c>
      <c r="G481" s="2" t="s">
        <v>773</v>
      </c>
      <c r="H481" s="2" t="s">
        <v>748</v>
      </c>
      <c r="I481" s="2" t="s">
        <v>194</v>
      </c>
      <c r="J481" s="2" t="s">
        <v>195</v>
      </c>
      <c r="K481" s="9">
        <v>45694</v>
      </c>
      <c r="L481" s="9">
        <v>45701</v>
      </c>
      <c r="M481" s="9">
        <v>45698</v>
      </c>
      <c r="N481" s="2" t="s">
        <v>696</v>
      </c>
      <c r="O481" s="2" t="s">
        <v>54</v>
      </c>
      <c r="P481" s="2" t="s">
        <v>139</v>
      </c>
      <c r="Q481" s="2" t="s">
        <v>148</v>
      </c>
      <c r="R481" s="2" t="s">
        <v>128</v>
      </c>
      <c r="S481" s="2" t="s">
        <v>198</v>
      </c>
      <c r="T481" s="10">
        <v>20.97</v>
      </c>
      <c r="U481" s="11">
        <v>1.085</v>
      </c>
      <c r="V481" s="12">
        <f>T481*U481</f>
        <v>22.75245</v>
      </c>
      <c r="W481" s="13">
        <v>0.19</v>
      </c>
      <c r="X481" s="12">
        <f>V481-(V481/(1+W481))</f>
        <v>3.6327441176470572</v>
      </c>
      <c r="Y481" s="12">
        <f>V481-X481</f>
        <v>19.119705882352942</v>
      </c>
      <c r="Z481" s="14">
        <v>25</v>
      </c>
      <c r="AA481" s="2" t="str">
        <f>IF(V481&gt;Z481,"Yes","No")</f>
        <v>No</v>
      </c>
      <c r="AB481" s="12">
        <f>V481-Z481</f>
        <v>-2.2475500000000004</v>
      </c>
      <c r="AC481" s="15" t="s">
        <v>130</v>
      </c>
      <c r="AD481" s="15" t="s">
        <v>131</v>
      </c>
      <c r="AE481" s="15" t="s">
        <v>421</v>
      </c>
      <c r="AF481" s="12">
        <f>IF(AG481="Rejected",0,IF(R481="Corporate Card",0,V481))</f>
        <v>0</v>
      </c>
      <c r="AG481" s="15" t="s">
        <v>133</v>
      </c>
      <c r="AH481" s="16">
        <v>45711</v>
      </c>
      <c r="AI481" s="16">
        <v>45713</v>
      </c>
      <c r="AJ481" s="16">
        <v>45723</v>
      </c>
      <c r="AK481" s="17">
        <f>IF(AJ481="","",AJ481-AH481)</f>
        <v>12</v>
      </c>
    </row>
    <row r="482" spans="1:37">
      <c r="A482" s="2" t="s">
        <v>839</v>
      </c>
      <c r="B482" s="2" t="s">
        <v>770</v>
      </c>
      <c r="C482" s="2" t="s">
        <v>771</v>
      </c>
      <c r="D482" s="2" t="s">
        <v>414</v>
      </c>
      <c r="E482" s="2" t="s">
        <v>772</v>
      </c>
      <c r="F482" s="2" t="s">
        <v>413</v>
      </c>
      <c r="G482" s="2" t="s">
        <v>773</v>
      </c>
      <c r="H482" s="2" t="s">
        <v>748</v>
      </c>
      <c r="I482" s="2" t="s">
        <v>194</v>
      </c>
      <c r="J482" s="2" t="s">
        <v>195</v>
      </c>
      <c r="K482" s="9">
        <v>45694</v>
      </c>
      <c r="L482" s="9">
        <v>45701</v>
      </c>
      <c r="M482" s="9">
        <v>45698</v>
      </c>
      <c r="N482" s="2" t="s">
        <v>696</v>
      </c>
      <c r="O482" s="2" t="s">
        <v>56</v>
      </c>
      <c r="P482" s="2" t="s">
        <v>165</v>
      </c>
      <c r="Q482" s="2" t="s">
        <v>159</v>
      </c>
      <c r="R482" s="2" t="s">
        <v>149</v>
      </c>
      <c r="S482" s="2" t="s">
        <v>198</v>
      </c>
      <c r="T482" s="10">
        <v>55.59</v>
      </c>
      <c r="U482" s="11">
        <v>1.085</v>
      </c>
      <c r="V482" s="12">
        <f>T482*U482</f>
        <v>60.315150000000003</v>
      </c>
      <c r="W482" s="13">
        <v>0.19</v>
      </c>
      <c r="X482" s="12">
        <f>V482-(V482/(1+W482))</f>
        <v>9.6301500000000004</v>
      </c>
      <c r="Y482" s="12">
        <f>V482-X482</f>
        <v>50.685000000000002</v>
      </c>
      <c r="Z482" s="14">
        <v>75</v>
      </c>
      <c r="AA482" s="2" t="str">
        <f>IF(V482&gt;Z482,"Yes","No")</f>
        <v>No</v>
      </c>
      <c r="AB482" s="12">
        <f>V482-Z482</f>
        <v>-14.684849999999997</v>
      </c>
      <c r="AC482" s="15" t="s">
        <v>130</v>
      </c>
      <c r="AD482" s="15" t="s">
        <v>131</v>
      </c>
      <c r="AE482" s="15" t="s">
        <v>421</v>
      </c>
      <c r="AF482" s="12">
        <f>IF(AG482="Rejected",0,IF(R482="Corporate Card",0,V482))</f>
        <v>60.315150000000003</v>
      </c>
      <c r="AG482" s="15" t="s">
        <v>133</v>
      </c>
      <c r="AH482" s="16">
        <v>45711</v>
      </c>
      <c r="AI482" s="16">
        <v>45713</v>
      </c>
      <c r="AJ482" s="16">
        <v>45723</v>
      </c>
      <c r="AK482" s="17">
        <f>IF(AJ482="","",AJ482-AH482)</f>
        <v>12</v>
      </c>
    </row>
    <row r="483" spans="1:37">
      <c r="A483" s="2" t="s">
        <v>840</v>
      </c>
      <c r="B483" s="2" t="s">
        <v>770</v>
      </c>
      <c r="C483" s="2" t="s">
        <v>771</v>
      </c>
      <c r="D483" s="2" t="s">
        <v>414</v>
      </c>
      <c r="E483" s="2" t="s">
        <v>772</v>
      </c>
      <c r="F483" s="2" t="s">
        <v>413</v>
      </c>
      <c r="G483" s="2" t="s">
        <v>773</v>
      </c>
      <c r="H483" s="2" t="s">
        <v>748</v>
      </c>
      <c r="I483" s="2" t="s">
        <v>194</v>
      </c>
      <c r="J483" s="2" t="s">
        <v>195</v>
      </c>
      <c r="K483" s="9">
        <v>45694</v>
      </c>
      <c r="L483" s="9">
        <v>45701</v>
      </c>
      <c r="M483" s="9">
        <v>45698</v>
      </c>
      <c r="N483" s="2" t="s">
        <v>696</v>
      </c>
      <c r="O483" s="2" t="s">
        <v>55</v>
      </c>
      <c r="P483" s="2" t="s">
        <v>139</v>
      </c>
      <c r="Q483" s="2" t="s">
        <v>217</v>
      </c>
      <c r="R483" s="2" t="s">
        <v>128</v>
      </c>
      <c r="S483" s="2" t="s">
        <v>198</v>
      </c>
      <c r="T483" s="10">
        <v>12.71</v>
      </c>
      <c r="U483" s="11">
        <v>1.085</v>
      </c>
      <c r="V483" s="12">
        <f>T483*U483</f>
        <v>13.79035</v>
      </c>
      <c r="W483" s="13">
        <v>0.19</v>
      </c>
      <c r="X483" s="12">
        <f>V483-(V483/(1+W483))</f>
        <v>2.201820588235293</v>
      </c>
      <c r="Y483" s="12">
        <f>V483-X483</f>
        <v>11.588529411764707</v>
      </c>
      <c r="Z483" s="14">
        <v>35</v>
      </c>
      <c r="AA483" s="2" t="str">
        <f>IF(V483&gt;Z483,"Yes","No")</f>
        <v>No</v>
      </c>
      <c r="AB483" s="12">
        <f>V483-Z483</f>
        <v>-21.20965</v>
      </c>
      <c r="AC483" s="15" t="s">
        <v>130</v>
      </c>
      <c r="AD483" s="15" t="s">
        <v>131</v>
      </c>
      <c r="AE483" s="15" t="s">
        <v>421</v>
      </c>
      <c r="AF483" s="12">
        <f>IF(AG483="Rejected",0,IF(R483="Corporate Card",0,V483))</f>
        <v>0</v>
      </c>
      <c r="AG483" s="15" t="s">
        <v>133</v>
      </c>
      <c r="AH483" s="16">
        <v>45711</v>
      </c>
      <c r="AI483" s="16">
        <v>45713</v>
      </c>
      <c r="AJ483" s="16">
        <v>45723</v>
      </c>
      <c r="AK483" s="17">
        <f>IF(AJ483="","",AJ483-AH483)</f>
        <v>12</v>
      </c>
    </row>
    <row r="484" spans="1:37">
      <c r="A484" s="2" t="s">
        <v>841</v>
      </c>
      <c r="B484" s="2" t="s">
        <v>248</v>
      </c>
      <c r="C484" s="2" t="s">
        <v>249</v>
      </c>
      <c r="D484" s="2" t="s">
        <v>250</v>
      </c>
      <c r="E484" s="2" t="s">
        <v>251</v>
      </c>
      <c r="F484" s="2" t="s">
        <v>252</v>
      </c>
      <c r="G484" s="2" t="s">
        <v>830</v>
      </c>
      <c r="H484" s="2" t="s">
        <v>291</v>
      </c>
      <c r="I484" s="2" t="s">
        <v>175</v>
      </c>
      <c r="J484" s="2" t="s">
        <v>176</v>
      </c>
      <c r="K484" s="9">
        <v>45698</v>
      </c>
      <c r="L484" s="9">
        <v>45706</v>
      </c>
      <c r="M484" s="9">
        <v>45699</v>
      </c>
      <c r="N484" s="2" t="s">
        <v>696</v>
      </c>
      <c r="O484" s="2" t="s">
        <v>53</v>
      </c>
      <c r="P484" s="2" t="s">
        <v>669</v>
      </c>
      <c r="Q484" s="2" t="s">
        <v>468</v>
      </c>
      <c r="R484" s="2" t="s">
        <v>128</v>
      </c>
      <c r="S484" s="2" t="s">
        <v>179</v>
      </c>
      <c r="T484" s="10">
        <v>8100.51</v>
      </c>
      <c r="U484" s="11">
        <v>0.18099999999999999</v>
      </c>
      <c r="V484" s="12">
        <f>T484*U484</f>
        <v>1466.1923099999999</v>
      </c>
      <c r="W484" s="13">
        <v>0.17</v>
      </c>
      <c r="X484" s="12">
        <f>V484-(V484/(1+W484))</f>
        <v>213.03648948717932</v>
      </c>
      <c r="Y484" s="12">
        <f>V484-X484</f>
        <v>1253.1558205128206</v>
      </c>
      <c r="Z484" s="14">
        <v>2240</v>
      </c>
      <c r="AA484" s="2" t="str">
        <f>IF(V484&gt;Z484,"Yes","No")</f>
        <v>No</v>
      </c>
      <c r="AB484" s="12">
        <f>V484-Z484</f>
        <v>-773.80769000000009</v>
      </c>
      <c r="AC484" s="15" t="s">
        <v>130</v>
      </c>
      <c r="AD484" s="15" t="s">
        <v>130</v>
      </c>
      <c r="AE484" s="15" t="s">
        <v>350</v>
      </c>
      <c r="AF484" s="12">
        <f>IF(AG484="Rejected",0,IF(R484="Corporate Card",0,V484))</f>
        <v>0</v>
      </c>
      <c r="AG484" s="15" t="s">
        <v>133</v>
      </c>
      <c r="AH484" s="16">
        <v>45712</v>
      </c>
      <c r="AI484" s="16">
        <v>45714</v>
      </c>
      <c r="AJ484" s="16">
        <v>45720</v>
      </c>
      <c r="AK484" s="17">
        <f>IF(AJ484="","",AJ484-AH484)</f>
        <v>8</v>
      </c>
    </row>
    <row r="485" spans="1:37">
      <c r="A485" s="2" t="s">
        <v>842</v>
      </c>
      <c r="B485" s="2" t="s">
        <v>375</v>
      </c>
      <c r="C485" s="2" t="s">
        <v>376</v>
      </c>
      <c r="D485" s="2" t="s">
        <v>344</v>
      </c>
      <c r="E485" s="2" t="s">
        <v>377</v>
      </c>
      <c r="F485" s="2" t="s">
        <v>346</v>
      </c>
      <c r="G485" s="2" t="s">
        <v>802</v>
      </c>
      <c r="H485" s="2" t="s">
        <v>803</v>
      </c>
      <c r="I485" s="2" t="s">
        <v>553</v>
      </c>
      <c r="J485" s="2" t="s">
        <v>553</v>
      </c>
      <c r="K485" s="9">
        <v>45696</v>
      </c>
      <c r="L485" s="9">
        <v>45702</v>
      </c>
      <c r="M485" s="9">
        <v>45699</v>
      </c>
      <c r="N485" s="2" t="s">
        <v>696</v>
      </c>
      <c r="O485" s="2" t="s">
        <v>58</v>
      </c>
      <c r="P485" s="2" t="s">
        <v>142</v>
      </c>
      <c r="Q485" s="2" t="s">
        <v>203</v>
      </c>
      <c r="R485" s="2" t="s">
        <v>128</v>
      </c>
      <c r="S485" s="2" t="s">
        <v>555</v>
      </c>
      <c r="T485" s="10">
        <v>39.79</v>
      </c>
      <c r="U485" s="11">
        <v>0.74299999999999999</v>
      </c>
      <c r="V485" s="12">
        <f>T485*U485</f>
        <v>29.563969999999998</v>
      </c>
      <c r="W485" s="13">
        <v>0.09</v>
      </c>
      <c r="X485" s="12">
        <f>V485-(V485/(1+W485))</f>
        <v>2.4410617431192669</v>
      </c>
      <c r="Y485" s="12">
        <f>V485-X485</f>
        <v>27.122908256880731</v>
      </c>
      <c r="Z485" s="14">
        <v>60</v>
      </c>
      <c r="AA485" s="2" t="str">
        <f>IF(V485&gt;Z485,"Yes","No")</f>
        <v>No</v>
      </c>
      <c r="AB485" s="12">
        <f>V485-Z485</f>
        <v>-30.436030000000002</v>
      </c>
      <c r="AC485" s="15" t="s">
        <v>130</v>
      </c>
      <c r="AD485" s="15" t="s">
        <v>130</v>
      </c>
      <c r="AE485" s="15" t="s">
        <v>350</v>
      </c>
      <c r="AF485" s="12">
        <f>IF(AG485="Rejected",0,IF(R485="Corporate Card",0,V485))</f>
        <v>0</v>
      </c>
      <c r="AG485" s="15" t="s">
        <v>804</v>
      </c>
      <c r="AH485" s="16">
        <v>45714</v>
      </c>
      <c r="AI485" s="16"/>
      <c r="AJ485" s="16"/>
      <c r="AK485" s="17" t="str">
        <f>IF(AJ485="","",AJ485-AH485)</f>
        <v/>
      </c>
    </row>
    <row r="486" spans="1:37">
      <c r="A486" s="2" t="s">
        <v>843</v>
      </c>
      <c r="B486" s="2" t="s">
        <v>375</v>
      </c>
      <c r="C486" s="2" t="s">
        <v>376</v>
      </c>
      <c r="D486" s="2" t="s">
        <v>344</v>
      </c>
      <c r="E486" s="2" t="s">
        <v>377</v>
      </c>
      <c r="F486" s="2" t="s">
        <v>346</v>
      </c>
      <c r="G486" s="2" t="s">
        <v>802</v>
      </c>
      <c r="H486" s="2" t="s">
        <v>803</v>
      </c>
      <c r="I486" s="2" t="s">
        <v>553</v>
      </c>
      <c r="J486" s="2" t="s">
        <v>553</v>
      </c>
      <c r="K486" s="9">
        <v>45696</v>
      </c>
      <c r="L486" s="9">
        <v>45702</v>
      </c>
      <c r="M486" s="9">
        <v>45699</v>
      </c>
      <c r="N486" s="2" t="s">
        <v>696</v>
      </c>
      <c r="O486" s="2" t="s">
        <v>68</v>
      </c>
      <c r="P486" s="2" t="s">
        <v>282</v>
      </c>
      <c r="Q486" s="2" t="s">
        <v>283</v>
      </c>
      <c r="R486" s="2" t="s">
        <v>128</v>
      </c>
      <c r="S486" s="2" t="s">
        <v>555</v>
      </c>
      <c r="T486" s="10">
        <v>16.25</v>
      </c>
      <c r="U486" s="11">
        <v>0.74299999999999999</v>
      </c>
      <c r="V486" s="12">
        <f>T486*U486</f>
        <v>12.07375</v>
      </c>
      <c r="W486" s="13">
        <v>0.09</v>
      </c>
      <c r="X486" s="12">
        <f>V486-(V486/(1+W486))</f>
        <v>0.99691513761468009</v>
      </c>
      <c r="Y486" s="12">
        <f>V486-X486</f>
        <v>11.07683486238532</v>
      </c>
      <c r="Z486" s="14">
        <v>30</v>
      </c>
      <c r="AA486" s="2" t="str">
        <f>IF(V486&gt;Z486,"Yes","No")</f>
        <v>No</v>
      </c>
      <c r="AB486" s="12">
        <f>V486-Z486</f>
        <v>-17.92625</v>
      </c>
      <c r="AC486" s="15" t="s">
        <v>130</v>
      </c>
      <c r="AD486" s="15" t="s">
        <v>130</v>
      </c>
      <c r="AE486" s="15" t="s">
        <v>350</v>
      </c>
      <c r="AF486" s="12">
        <f>IF(AG486="Rejected",0,IF(R486="Corporate Card",0,V486))</f>
        <v>0</v>
      </c>
      <c r="AG486" s="15" t="s">
        <v>804</v>
      </c>
      <c r="AH486" s="16">
        <v>45714</v>
      </c>
      <c r="AI486" s="16"/>
      <c r="AJ486" s="16"/>
      <c r="AK486" s="17" t="str">
        <f>IF(AJ486="","",AJ486-AH486)</f>
        <v/>
      </c>
    </row>
    <row r="487" spans="1:37">
      <c r="A487" s="2" t="s">
        <v>844</v>
      </c>
      <c r="B487" s="2" t="s">
        <v>375</v>
      </c>
      <c r="C487" s="2" t="s">
        <v>376</v>
      </c>
      <c r="D487" s="2" t="s">
        <v>344</v>
      </c>
      <c r="E487" s="2" t="s">
        <v>377</v>
      </c>
      <c r="F487" s="2" t="s">
        <v>346</v>
      </c>
      <c r="G487" s="2" t="s">
        <v>802</v>
      </c>
      <c r="H487" s="2" t="s">
        <v>803</v>
      </c>
      <c r="I487" s="2" t="s">
        <v>553</v>
      </c>
      <c r="J487" s="2" t="s">
        <v>553</v>
      </c>
      <c r="K487" s="9">
        <v>45696</v>
      </c>
      <c r="L487" s="9">
        <v>45702</v>
      </c>
      <c r="M487" s="9">
        <v>45699</v>
      </c>
      <c r="N487" s="2" t="s">
        <v>696</v>
      </c>
      <c r="O487" s="2" t="s">
        <v>54</v>
      </c>
      <c r="P487" s="2" t="s">
        <v>139</v>
      </c>
      <c r="Q487" s="2" t="s">
        <v>140</v>
      </c>
      <c r="R487" s="2" t="s">
        <v>149</v>
      </c>
      <c r="S487" s="2" t="s">
        <v>555</v>
      </c>
      <c r="T487" s="10">
        <v>30.34</v>
      </c>
      <c r="U487" s="11">
        <v>0.74299999999999999</v>
      </c>
      <c r="V487" s="12">
        <f>T487*U487</f>
        <v>22.542619999999999</v>
      </c>
      <c r="W487" s="13">
        <v>0.09</v>
      </c>
      <c r="X487" s="12">
        <f>V487-(V487/(1+W487))</f>
        <v>1.8613172477064239</v>
      </c>
      <c r="Y487" s="12">
        <f>V487-X487</f>
        <v>20.681302752293576</v>
      </c>
      <c r="Z487" s="14">
        <v>25</v>
      </c>
      <c r="AA487" s="2" t="str">
        <f>IF(V487&gt;Z487,"Yes","No")</f>
        <v>No</v>
      </c>
      <c r="AB487" s="12">
        <f>V487-Z487</f>
        <v>-2.4573800000000006</v>
      </c>
      <c r="AC487" s="15" t="s">
        <v>131</v>
      </c>
      <c r="AD487" s="15" t="s">
        <v>130</v>
      </c>
      <c r="AE487" s="15" t="s">
        <v>350</v>
      </c>
      <c r="AF487" s="12">
        <f>IF(AG487="Rejected",0,IF(R487="Corporate Card",0,V487))</f>
        <v>0</v>
      </c>
      <c r="AG487" s="15" t="s">
        <v>804</v>
      </c>
      <c r="AH487" s="16">
        <v>45714</v>
      </c>
      <c r="AI487" s="16"/>
      <c r="AJ487" s="16"/>
      <c r="AK487" s="17" t="str">
        <f>IF(AJ487="","",AJ487-AH487)</f>
        <v/>
      </c>
    </row>
    <row r="488" spans="1:37">
      <c r="A488" s="2" t="s">
        <v>845</v>
      </c>
      <c r="B488" s="2" t="s">
        <v>375</v>
      </c>
      <c r="C488" s="2" t="s">
        <v>376</v>
      </c>
      <c r="D488" s="2" t="s">
        <v>344</v>
      </c>
      <c r="E488" s="2" t="s">
        <v>377</v>
      </c>
      <c r="F488" s="2" t="s">
        <v>346</v>
      </c>
      <c r="G488" s="2" t="s">
        <v>802</v>
      </c>
      <c r="H488" s="2" t="s">
        <v>803</v>
      </c>
      <c r="I488" s="2" t="s">
        <v>553</v>
      </c>
      <c r="J488" s="2" t="s">
        <v>553</v>
      </c>
      <c r="K488" s="9">
        <v>45696</v>
      </c>
      <c r="L488" s="9">
        <v>45702</v>
      </c>
      <c r="M488" s="9">
        <v>45699</v>
      </c>
      <c r="N488" s="2" t="s">
        <v>696</v>
      </c>
      <c r="O488" s="2" t="s">
        <v>56</v>
      </c>
      <c r="P488" s="2" t="s">
        <v>245</v>
      </c>
      <c r="Q488" s="2" t="s">
        <v>185</v>
      </c>
      <c r="R488" s="2" t="s">
        <v>149</v>
      </c>
      <c r="S488" s="2" t="s">
        <v>555</v>
      </c>
      <c r="T488" s="10">
        <v>56.36</v>
      </c>
      <c r="U488" s="11">
        <v>0.74299999999999999</v>
      </c>
      <c r="V488" s="12">
        <f>T488*U488</f>
        <v>41.875479999999996</v>
      </c>
      <c r="W488" s="13">
        <v>0.09</v>
      </c>
      <c r="X488" s="12">
        <f>V488-(V488/(1+W488))</f>
        <v>3.4576084403669753</v>
      </c>
      <c r="Y488" s="12">
        <f>V488-X488</f>
        <v>38.417871559633021</v>
      </c>
      <c r="Z488" s="14">
        <v>75</v>
      </c>
      <c r="AA488" s="2" t="str">
        <f>IF(V488&gt;Z488,"Yes","No")</f>
        <v>No</v>
      </c>
      <c r="AB488" s="12">
        <f>V488-Z488</f>
        <v>-33.124520000000004</v>
      </c>
      <c r="AC488" s="15" t="s">
        <v>130</v>
      </c>
      <c r="AD488" s="15" t="s">
        <v>130</v>
      </c>
      <c r="AE488" s="15" t="s">
        <v>350</v>
      </c>
      <c r="AF488" s="12">
        <f>IF(AG488="Rejected",0,IF(R488="Corporate Card",0,V488))</f>
        <v>0</v>
      </c>
      <c r="AG488" s="15" t="s">
        <v>804</v>
      </c>
      <c r="AH488" s="16">
        <v>45714</v>
      </c>
      <c r="AI488" s="16"/>
      <c r="AJ488" s="16"/>
      <c r="AK488" s="17" t="str">
        <f>IF(AJ488="","",AJ488-AH488)</f>
        <v/>
      </c>
    </row>
    <row r="489" spans="1:37">
      <c r="A489" s="2" t="s">
        <v>846</v>
      </c>
      <c r="B489" s="2" t="s">
        <v>770</v>
      </c>
      <c r="C489" s="2" t="s">
        <v>771</v>
      </c>
      <c r="D489" s="2" t="s">
        <v>414</v>
      </c>
      <c r="E489" s="2" t="s">
        <v>772</v>
      </c>
      <c r="F489" s="2" t="s">
        <v>413</v>
      </c>
      <c r="G489" s="2" t="s">
        <v>773</v>
      </c>
      <c r="H489" s="2" t="s">
        <v>748</v>
      </c>
      <c r="I489" s="2" t="s">
        <v>194</v>
      </c>
      <c r="J489" s="2" t="s">
        <v>195</v>
      </c>
      <c r="K489" s="9">
        <v>45694</v>
      </c>
      <c r="L489" s="9">
        <v>45701</v>
      </c>
      <c r="M489" s="9">
        <v>45699</v>
      </c>
      <c r="N489" s="2" t="s">
        <v>696</v>
      </c>
      <c r="O489" s="2" t="s">
        <v>58</v>
      </c>
      <c r="P489" s="2" t="s">
        <v>142</v>
      </c>
      <c r="Q489" s="2" t="s">
        <v>156</v>
      </c>
      <c r="R489" s="2" t="s">
        <v>128</v>
      </c>
      <c r="S489" s="2" t="s">
        <v>198</v>
      </c>
      <c r="T489" s="10">
        <v>40.770000000000003</v>
      </c>
      <c r="U489" s="11">
        <v>1.085</v>
      </c>
      <c r="V489" s="12">
        <f>T489*U489</f>
        <v>44.23545</v>
      </c>
      <c r="W489" s="13">
        <v>0.19</v>
      </c>
      <c r="X489" s="12">
        <f>V489-(V489/(1+W489))</f>
        <v>7.0628029411764714</v>
      </c>
      <c r="Y489" s="12">
        <f>V489-X489</f>
        <v>37.172647058823529</v>
      </c>
      <c r="Z489" s="14">
        <v>60</v>
      </c>
      <c r="AA489" s="2" t="str">
        <f>IF(V489&gt;Z489,"Yes","No")</f>
        <v>No</v>
      </c>
      <c r="AB489" s="12">
        <f>V489-Z489</f>
        <v>-15.76455</v>
      </c>
      <c r="AC489" s="15" t="s">
        <v>130</v>
      </c>
      <c r="AD489" s="15" t="s">
        <v>131</v>
      </c>
      <c r="AE489" s="15" t="s">
        <v>421</v>
      </c>
      <c r="AF489" s="12">
        <f>IF(AG489="Rejected",0,IF(R489="Corporate Card",0,V489))</f>
        <v>0</v>
      </c>
      <c r="AG489" s="15" t="s">
        <v>133</v>
      </c>
      <c r="AH489" s="16">
        <v>45711</v>
      </c>
      <c r="AI489" s="16">
        <v>45713</v>
      </c>
      <c r="AJ489" s="16">
        <v>45723</v>
      </c>
      <c r="AK489" s="17">
        <f>IF(AJ489="","",AJ489-AH489)</f>
        <v>12</v>
      </c>
    </row>
    <row r="490" spans="1:37">
      <c r="A490" s="2" t="s">
        <v>847</v>
      </c>
      <c r="B490" s="2" t="s">
        <v>770</v>
      </c>
      <c r="C490" s="2" t="s">
        <v>771</v>
      </c>
      <c r="D490" s="2" t="s">
        <v>414</v>
      </c>
      <c r="E490" s="2" t="s">
        <v>772</v>
      </c>
      <c r="F490" s="2" t="s">
        <v>413</v>
      </c>
      <c r="G490" s="2" t="s">
        <v>773</v>
      </c>
      <c r="H490" s="2" t="s">
        <v>748</v>
      </c>
      <c r="I490" s="2" t="s">
        <v>194</v>
      </c>
      <c r="J490" s="2" t="s">
        <v>195</v>
      </c>
      <c r="K490" s="9">
        <v>45694</v>
      </c>
      <c r="L490" s="9">
        <v>45701</v>
      </c>
      <c r="M490" s="9">
        <v>45699</v>
      </c>
      <c r="N490" s="2" t="s">
        <v>696</v>
      </c>
      <c r="O490" s="2" t="s">
        <v>54</v>
      </c>
      <c r="P490" s="2" t="s">
        <v>139</v>
      </c>
      <c r="Q490" s="2" t="s">
        <v>214</v>
      </c>
      <c r="R490" s="2" t="s">
        <v>128</v>
      </c>
      <c r="S490" s="2" t="s">
        <v>198</v>
      </c>
      <c r="T490" s="10">
        <v>18.28</v>
      </c>
      <c r="U490" s="11">
        <v>1.085</v>
      </c>
      <c r="V490" s="12">
        <f>T490*U490</f>
        <v>19.8338</v>
      </c>
      <c r="W490" s="13">
        <v>0.19</v>
      </c>
      <c r="X490" s="12">
        <f>V490-(V490/(1+W490))</f>
        <v>3.1667411764705875</v>
      </c>
      <c r="Y490" s="12">
        <f>V490-X490</f>
        <v>16.667058823529413</v>
      </c>
      <c r="Z490" s="14">
        <v>25</v>
      </c>
      <c r="AA490" s="2" t="str">
        <f>IF(V490&gt;Z490,"Yes","No")</f>
        <v>No</v>
      </c>
      <c r="AB490" s="12">
        <f>V490-Z490</f>
        <v>-5.1661999999999999</v>
      </c>
      <c r="AC490" s="15" t="s">
        <v>130</v>
      </c>
      <c r="AD490" s="15" t="s">
        <v>131</v>
      </c>
      <c r="AE490" s="15" t="s">
        <v>421</v>
      </c>
      <c r="AF490" s="12">
        <f>IF(AG490="Rejected",0,IF(R490="Corporate Card",0,V490))</f>
        <v>0</v>
      </c>
      <c r="AG490" s="15" t="s">
        <v>133</v>
      </c>
      <c r="AH490" s="16">
        <v>45711</v>
      </c>
      <c r="AI490" s="16">
        <v>45713</v>
      </c>
      <c r="AJ490" s="16">
        <v>45723</v>
      </c>
      <c r="AK490" s="17">
        <f>IF(AJ490="","",AJ490-AH490)</f>
        <v>12</v>
      </c>
    </row>
    <row r="491" spans="1:37">
      <c r="A491" s="2" t="s">
        <v>848</v>
      </c>
      <c r="B491" s="2" t="s">
        <v>770</v>
      </c>
      <c r="C491" s="2" t="s">
        <v>771</v>
      </c>
      <c r="D491" s="2" t="s">
        <v>414</v>
      </c>
      <c r="E491" s="2" t="s">
        <v>772</v>
      </c>
      <c r="F491" s="2" t="s">
        <v>413</v>
      </c>
      <c r="G491" s="2" t="s">
        <v>773</v>
      </c>
      <c r="H491" s="2" t="s">
        <v>748</v>
      </c>
      <c r="I491" s="2" t="s">
        <v>194</v>
      </c>
      <c r="J491" s="2" t="s">
        <v>195</v>
      </c>
      <c r="K491" s="9">
        <v>45694</v>
      </c>
      <c r="L491" s="9">
        <v>45701</v>
      </c>
      <c r="M491" s="9">
        <v>45699</v>
      </c>
      <c r="N491" s="2" t="s">
        <v>696</v>
      </c>
      <c r="O491" s="2" t="s">
        <v>56</v>
      </c>
      <c r="P491" s="2" t="s">
        <v>245</v>
      </c>
      <c r="Q491" s="2" t="s">
        <v>152</v>
      </c>
      <c r="R491" s="2" t="s">
        <v>128</v>
      </c>
      <c r="S491" s="2" t="s">
        <v>198</v>
      </c>
      <c r="T491" s="10">
        <v>57.59</v>
      </c>
      <c r="U491" s="11">
        <v>1.085</v>
      </c>
      <c r="V491" s="12">
        <f>T491*U491</f>
        <v>62.485150000000004</v>
      </c>
      <c r="W491" s="13">
        <v>0.19</v>
      </c>
      <c r="X491" s="12">
        <f>V491-(V491/(1+W491))</f>
        <v>9.9766205882352921</v>
      </c>
      <c r="Y491" s="12">
        <f>V491-X491</f>
        <v>52.508529411764712</v>
      </c>
      <c r="Z491" s="14">
        <v>75</v>
      </c>
      <c r="AA491" s="2" t="str">
        <f>IF(V491&gt;Z491,"Yes","No")</f>
        <v>No</v>
      </c>
      <c r="AB491" s="12">
        <f>V491-Z491</f>
        <v>-12.514849999999996</v>
      </c>
      <c r="AC491" s="15" t="s">
        <v>130</v>
      </c>
      <c r="AD491" s="15" t="s">
        <v>131</v>
      </c>
      <c r="AE491" s="15" t="s">
        <v>421</v>
      </c>
      <c r="AF491" s="12">
        <f>IF(AG491="Rejected",0,IF(R491="Corporate Card",0,V491))</f>
        <v>0</v>
      </c>
      <c r="AG491" s="15" t="s">
        <v>133</v>
      </c>
      <c r="AH491" s="16">
        <v>45711</v>
      </c>
      <c r="AI491" s="16">
        <v>45713</v>
      </c>
      <c r="AJ491" s="16">
        <v>45723</v>
      </c>
      <c r="AK491" s="17">
        <f>IF(AJ491="","",AJ491-AH491)</f>
        <v>12</v>
      </c>
    </row>
    <row r="492" spans="1:37">
      <c r="A492" s="2" t="s">
        <v>849</v>
      </c>
      <c r="B492" s="2" t="s">
        <v>770</v>
      </c>
      <c r="C492" s="2" t="s">
        <v>771</v>
      </c>
      <c r="D492" s="2" t="s">
        <v>414</v>
      </c>
      <c r="E492" s="2" t="s">
        <v>772</v>
      </c>
      <c r="F492" s="2" t="s">
        <v>413</v>
      </c>
      <c r="G492" s="2" t="s">
        <v>773</v>
      </c>
      <c r="H492" s="2" t="s">
        <v>748</v>
      </c>
      <c r="I492" s="2" t="s">
        <v>194</v>
      </c>
      <c r="J492" s="2" t="s">
        <v>195</v>
      </c>
      <c r="K492" s="9">
        <v>45694</v>
      </c>
      <c r="L492" s="9">
        <v>45701</v>
      </c>
      <c r="M492" s="9">
        <v>45699</v>
      </c>
      <c r="N492" s="2" t="s">
        <v>696</v>
      </c>
      <c r="O492" s="2" t="s">
        <v>55</v>
      </c>
      <c r="P492" s="2" t="s">
        <v>139</v>
      </c>
      <c r="Q492" s="2" t="s">
        <v>187</v>
      </c>
      <c r="R492" s="2" t="s">
        <v>128</v>
      </c>
      <c r="S492" s="2" t="s">
        <v>198</v>
      </c>
      <c r="T492" s="10">
        <v>12.87</v>
      </c>
      <c r="U492" s="11">
        <v>1.085</v>
      </c>
      <c r="V492" s="12">
        <f>T492*U492</f>
        <v>13.963949999999999</v>
      </c>
      <c r="W492" s="13">
        <v>0.19</v>
      </c>
      <c r="X492" s="12">
        <f>V492-(V492/(1+W492))</f>
        <v>2.2295382352941164</v>
      </c>
      <c r="Y492" s="12">
        <f>V492-X492</f>
        <v>11.734411764705882</v>
      </c>
      <c r="Z492" s="14">
        <v>35</v>
      </c>
      <c r="AA492" s="2" t="str">
        <f>IF(V492&gt;Z492,"Yes","No")</f>
        <v>No</v>
      </c>
      <c r="AB492" s="12">
        <f>V492-Z492</f>
        <v>-21.036050000000003</v>
      </c>
      <c r="AC492" s="15" t="s">
        <v>130</v>
      </c>
      <c r="AD492" s="15" t="s">
        <v>131</v>
      </c>
      <c r="AE492" s="15" t="s">
        <v>421</v>
      </c>
      <c r="AF492" s="12">
        <f>IF(AG492="Rejected",0,IF(R492="Corporate Card",0,V492))</f>
        <v>0</v>
      </c>
      <c r="AG492" s="15" t="s">
        <v>133</v>
      </c>
      <c r="AH492" s="16">
        <v>45711</v>
      </c>
      <c r="AI492" s="16">
        <v>45713</v>
      </c>
      <c r="AJ492" s="16">
        <v>45723</v>
      </c>
      <c r="AK492" s="17">
        <f>IF(AJ492="","",AJ492-AH492)</f>
        <v>12</v>
      </c>
    </row>
    <row r="493" spans="1:37">
      <c r="A493" s="2" t="s">
        <v>850</v>
      </c>
      <c r="B493" s="2" t="s">
        <v>248</v>
      </c>
      <c r="C493" s="2" t="s">
        <v>249</v>
      </c>
      <c r="D493" s="2" t="s">
        <v>250</v>
      </c>
      <c r="E493" s="2" t="s">
        <v>251</v>
      </c>
      <c r="F493" s="2" t="s">
        <v>252</v>
      </c>
      <c r="G493" s="2" t="s">
        <v>830</v>
      </c>
      <c r="H493" s="2" t="s">
        <v>291</v>
      </c>
      <c r="I493" s="2" t="s">
        <v>175</v>
      </c>
      <c r="J493" s="2" t="s">
        <v>176</v>
      </c>
      <c r="K493" s="9">
        <v>45698</v>
      </c>
      <c r="L493" s="9">
        <v>45706</v>
      </c>
      <c r="M493" s="9">
        <v>45700</v>
      </c>
      <c r="N493" s="2" t="s">
        <v>696</v>
      </c>
      <c r="O493" s="2" t="s">
        <v>54</v>
      </c>
      <c r="P493" s="2" t="s">
        <v>139</v>
      </c>
      <c r="Q493" s="2" t="s">
        <v>140</v>
      </c>
      <c r="R493" s="2" t="s">
        <v>128</v>
      </c>
      <c r="S493" s="2" t="s">
        <v>179</v>
      </c>
      <c r="T493" s="10">
        <v>96.25</v>
      </c>
      <c r="U493" s="11">
        <v>0.18099999999999999</v>
      </c>
      <c r="V493" s="12">
        <f>T493*U493</f>
        <v>17.421250000000001</v>
      </c>
      <c r="W493" s="13">
        <v>0.17</v>
      </c>
      <c r="X493" s="12">
        <f>V493-(V493/(1+W493))</f>
        <v>2.5312927350427348</v>
      </c>
      <c r="Y493" s="12">
        <f>V493-X493</f>
        <v>14.889957264957266</v>
      </c>
      <c r="Z493" s="14">
        <v>25</v>
      </c>
      <c r="AA493" s="2" t="str">
        <f>IF(V493&gt;Z493,"Yes","No")</f>
        <v>No</v>
      </c>
      <c r="AB493" s="12">
        <f>V493-Z493</f>
        <v>-7.5787499999999994</v>
      </c>
      <c r="AC493" s="15" t="s">
        <v>130</v>
      </c>
      <c r="AD493" s="15" t="s">
        <v>130</v>
      </c>
      <c r="AE493" s="15" t="s">
        <v>350</v>
      </c>
      <c r="AF493" s="12">
        <f>IF(AG493="Rejected",0,IF(R493="Corporate Card",0,V493))</f>
        <v>0</v>
      </c>
      <c r="AG493" s="15" t="s">
        <v>133</v>
      </c>
      <c r="AH493" s="16">
        <v>45712</v>
      </c>
      <c r="AI493" s="16">
        <v>45714</v>
      </c>
      <c r="AJ493" s="16">
        <v>45720</v>
      </c>
      <c r="AK493" s="17">
        <f>IF(AJ493="","",AJ493-AH493)</f>
        <v>8</v>
      </c>
    </row>
    <row r="494" spans="1:37">
      <c r="A494" s="2" t="s">
        <v>851</v>
      </c>
      <c r="B494" s="2" t="s">
        <v>248</v>
      </c>
      <c r="C494" s="2" t="s">
        <v>249</v>
      </c>
      <c r="D494" s="2" t="s">
        <v>250</v>
      </c>
      <c r="E494" s="2" t="s">
        <v>251</v>
      </c>
      <c r="F494" s="2" t="s">
        <v>252</v>
      </c>
      <c r="G494" s="2" t="s">
        <v>830</v>
      </c>
      <c r="H494" s="2" t="s">
        <v>291</v>
      </c>
      <c r="I494" s="2" t="s">
        <v>175</v>
      </c>
      <c r="J494" s="2" t="s">
        <v>176</v>
      </c>
      <c r="K494" s="9">
        <v>45698</v>
      </c>
      <c r="L494" s="9">
        <v>45706</v>
      </c>
      <c r="M494" s="9">
        <v>45700</v>
      </c>
      <c r="N494" s="2" t="s">
        <v>696</v>
      </c>
      <c r="O494" s="2" t="s">
        <v>55</v>
      </c>
      <c r="P494" s="2" t="s">
        <v>139</v>
      </c>
      <c r="Q494" s="2" t="s">
        <v>154</v>
      </c>
      <c r="R494" s="2" t="s">
        <v>149</v>
      </c>
      <c r="S494" s="2" t="s">
        <v>179</v>
      </c>
      <c r="T494" s="10">
        <v>189.26</v>
      </c>
      <c r="U494" s="11">
        <v>0.18099999999999999</v>
      </c>
      <c r="V494" s="12">
        <f>T494*U494</f>
        <v>34.256059999999998</v>
      </c>
      <c r="W494" s="13">
        <v>0.17</v>
      </c>
      <c r="X494" s="12">
        <f>V494-(V494/(1+W494))</f>
        <v>4.9773762393162357</v>
      </c>
      <c r="Y494" s="12">
        <f>V494-X494</f>
        <v>29.278683760683762</v>
      </c>
      <c r="Z494" s="14">
        <v>35</v>
      </c>
      <c r="AA494" s="2" t="str">
        <f>IF(V494&gt;Z494,"Yes","No")</f>
        <v>No</v>
      </c>
      <c r="AB494" s="12">
        <f>V494-Z494</f>
        <v>-0.74394000000000204</v>
      </c>
      <c r="AC494" s="15" t="s">
        <v>130</v>
      </c>
      <c r="AD494" s="15" t="s">
        <v>130</v>
      </c>
      <c r="AE494" s="15" t="s">
        <v>350</v>
      </c>
      <c r="AF494" s="12">
        <f>IF(AG494="Rejected",0,IF(R494="Corporate Card",0,V494))</f>
        <v>34.256059999999998</v>
      </c>
      <c r="AG494" s="15" t="s">
        <v>133</v>
      </c>
      <c r="AH494" s="16">
        <v>45712</v>
      </c>
      <c r="AI494" s="16">
        <v>45714</v>
      </c>
      <c r="AJ494" s="16">
        <v>45720</v>
      </c>
      <c r="AK494" s="17">
        <f>IF(AJ494="","",AJ494-AH494)</f>
        <v>8</v>
      </c>
    </row>
    <row r="495" spans="1:37">
      <c r="A495" s="2" t="s">
        <v>852</v>
      </c>
      <c r="B495" s="2" t="s">
        <v>375</v>
      </c>
      <c r="C495" s="2" t="s">
        <v>376</v>
      </c>
      <c r="D495" s="2" t="s">
        <v>344</v>
      </c>
      <c r="E495" s="2" t="s">
        <v>377</v>
      </c>
      <c r="F495" s="2" t="s">
        <v>346</v>
      </c>
      <c r="G495" s="2" t="s">
        <v>802</v>
      </c>
      <c r="H495" s="2" t="s">
        <v>803</v>
      </c>
      <c r="I495" s="2" t="s">
        <v>553</v>
      </c>
      <c r="J495" s="2" t="s">
        <v>553</v>
      </c>
      <c r="K495" s="9">
        <v>45696</v>
      </c>
      <c r="L495" s="9">
        <v>45702</v>
      </c>
      <c r="M495" s="9">
        <v>45700</v>
      </c>
      <c r="N495" s="2" t="s">
        <v>696</v>
      </c>
      <c r="O495" s="2" t="s">
        <v>58</v>
      </c>
      <c r="P495" s="2" t="s">
        <v>142</v>
      </c>
      <c r="Q495" s="2" t="s">
        <v>203</v>
      </c>
      <c r="R495" s="2" t="s">
        <v>149</v>
      </c>
      <c r="S495" s="2" t="s">
        <v>555</v>
      </c>
      <c r="T495" s="10">
        <v>45.46</v>
      </c>
      <c r="U495" s="11">
        <v>0.74299999999999999</v>
      </c>
      <c r="V495" s="12">
        <f>T495*U495</f>
        <v>33.776780000000002</v>
      </c>
      <c r="W495" s="13">
        <v>0.09</v>
      </c>
      <c r="X495" s="12">
        <f>V495-(V495/(1+W495))</f>
        <v>2.7889084403669742</v>
      </c>
      <c r="Y495" s="12">
        <f>V495-X495</f>
        <v>30.987871559633028</v>
      </c>
      <c r="Z495" s="14">
        <v>60</v>
      </c>
      <c r="AA495" s="2" t="str">
        <f>IF(V495&gt;Z495,"Yes","No")</f>
        <v>No</v>
      </c>
      <c r="AB495" s="12">
        <f>V495-Z495</f>
        <v>-26.223219999999998</v>
      </c>
      <c r="AC495" s="15" t="s">
        <v>130</v>
      </c>
      <c r="AD495" s="15" t="s">
        <v>130</v>
      </c>
      <c r="AE495" s="15" t="s">
        <v>350</v>
      </c>
      <c r="AF495" s="12">
        <f>IF(AG495="Rejected",0,IF(R495="Corporate Card",0,V495))</f>
        <v>0</v>
      </c>
      <c r="AG495" s="15" t="s">
        <v>804</v>
      </c>
      <c r="AH495" s="16">
        <v>45714</v>
      </c>
      <c r="AI495" s="16"/>
      <c r="AJ495" s="16"/>
      <c r="AK495" s="17" t="str">
        <f>IF(AJ495="","",AJ495-AH495)</f>
        <v/>
      </c>
    </row>
    <row r="496" spans="1:37">
      <c r="A496" s="2" t="s">
        <v>853</v>
      </c>
      <c r="B496" s="2" t="s">
        <v>375</v>
      </c>
      <c r="C496" s="2" t="s">
        <v>376</v>
      </c>
      <c r="D496" s="2" t="s">
        <v>344</v>
      </c>
      <c r="E496" s="2" t="s">
        <v>377</v>
      </c>
      <c r="F496" s="2" t="s">
        <v>346</v>
      </c>
      <c r="G496" s="2" t="s">
        <v>802</v>
      </c>
      <c r="H496" s="2" t="s">
        <v>803</v>
      </c>
      <c r="I496" s="2" t="s">
        <v>553</v>
      </c>
      <c r="J496" s="2" t="s">
        <v>553</v>
      </c>
      <c r="K496" s="9">
        <v>45696</v>
      </c>
      <c r="L496" s="9">
        <v>45702</v>
      </c>
      <c r="M496" s="9">
        <v>45700</v>
      </c>
      <c r="N496" s="2" t="s">
        <v>696</v>
      </c>
      <c r="O496" s="2" t="s">
        <v>54</v>
      </c>
      <c r="P496" s="2" t="s">
        <v>139</v>
      </c>
      <c r="Q496" s="2" t="s">
        <v>148</v>
      </c>
      <c r="R496" s="2" t="s">
        <v>137</v>
      </c>
      <c r="S496" s="2" t="s">
        <v>555</v>
      </c>
      <c r="T496" s="10">
        <v>29.3</v>
      </c>
      <c r="U496" s="11">
        <v>0.74299999999999999</v>
      </c>
      <c r="V496" s="12">
        <f>T496*U496</f>
        <v>21.7699</v>
      </c>
      <c r="W496" s="13">
        <v>0.09</v>
      </c>
      <c r="X496" s="12">
        <f>V496-(V496/(1+W496))</f>
        <v>1.7975146788990841</v>
      </c>
      <c r="Y496" s="12">
        <f>V496-X496</f>
        <v>19.972385321100916</v>
      </c>
      <c r="Z496" s="14">
        <v>25</v>
      </c>
      <c r="AA496" s="2" t="str">
        <f>IF(V496&gt;Z496,"Yes","No")</f>
        <v>No</v>
      </c>
      <c r="AB496" s="12">
        <f>V496-Z496</f>
        <v>-3.2301000000000002</v>
      </c>
      <c r="AC496" s="15" t="s">
        <v>130</v>
      </c>
      <c r="AD496" s="15" t="s">
        <v>130</v>
      </c>
      <c r="AE496" s="15" t="s">
        <v>350</v>
      </c>
      <c r="AF496" s="12">
        <f>IF(AG496="Rejected",0,IF(R496="Corporate Card",0,V496))</f>
        <v>0</v>
      </c>
      <c r="AG496" s="15" t="s">
        <v>804</v>
      </c>
      <c r="AH496" s="16">
        <v>45714</v>
      </c>
      <c r="AI496" s="16"/>
      <c r="AJ496" s="16"/>
      <c r="AK496" s="17" t="str">
        <f>IF(AJ496="","",AJ496-AH496)</f>
        <v/>
      </c>
    </row>
    <row r="497" spans="1:37">
      <c r="A497" s="2" t="s">
        <v>854</v>
      </c>
      <c r="B497" s="2" t="s">
        <v>375</v>
      </c>
      <c r="C497" s="2" t="s">
        <v>376</v>
      </c>
      <c r="D497" s="2" t="s">
        <v>344</v>
      </c>
      <c r="E497" s="2" t="s">
        <v>377</v>
      </c>
      <c r="F497" s="2" t="s">
        <v>346</v>
      </c>
      <c r="G497" s="2" t="s">
        <v>802</v>
      </c>
      <c r="H497" s="2" t="s">
        <v>803</v>
      </c>
      <c r="I497" s="2" t="s">
        <v>553</v>
      </c>
      <c r="J497" s="2" t="s">
        <v>553</v>
      </c>
      <c r="K497" s="9">
        <v>45696</v>
      </c>
      <c r="L497" s="9">
        <v>45702</v>
      </c>
      <c r="M497" s="9">
        <v>45700</v>
      </c>
      <c r="N497" s="2" t="s">
        <v>696</v>
      </c>
      <c r="O497" s="2" t="s">
        <v>56</v>
      </c>
      <c r="P497" s="2" t="s">
        <v>151</v>
      </c>
      <c r="Q497" s="2" t="s">
        <v>152</v>
      </c>
      <c r="R497" s="2" t="s">
        <v>128</v>
      </c>
      <c r="S497" s="2" t="s">
        <v>555</v>
      </c>
      <c r="T497" s="10">
        <v>77.53</v>
      </c>
      <c r="U497" s="11">
        <v>0.74299999999999999</v>
      </c>
      <c r="V497" s="12">
        <f>T497*U497</f>
        <v>57.604790000000001</v>
      </c>
      <c r="W497" s="13">
        <v>0.09</v>
      </c>
      <c r="X497" s="12">
        <f>V497-(V497/(1+W497))</f>
        <v>4.7563588073394527</v>
      </c>
      <c r="Y497" s="12">
        <f>V497-X497</f>
        <v>52.848431192660549</v>
      </c>
      <c r="Z497" s="14">
        <v>75</v>
      </c>
      <c r="AA497" s="2" t="str">
        <f>IF(V497&gt;Z497,"Yes","No")</f>
        <v>No</v>
      </c>
      <c r="AB497" s="12">
        <f>V497-Z497</f>
        <v>-17.395209999999999</v>
      </c>
      <c r="AC497" s="15" t="s">
        <v>130</v>
      </c>
      <c r="AD497" s="15" t="s">
        <v>130</v>
      </c>
      <c r="AE497" s="15" t="s">
        <v>350</v>
      </c>
      <c r="AF497" s="12">
        <f>IF(AG497="Rejected",0,IF(R497="Corporate Card",0,V497))</f>
        <v>0</v>
      </c>
      <c r="AG497" s="15" t="s">
        <v>804</v>
      </c>
      <c r="AH497" s="16">
        <v>45714</v>
      </c>
      <c r="AI497" s="16"/>
      <c r="AJ497" s="16"/>
      <c r="AK497" s="17" t="str">
        <f>IF(AJ497="","",AJ497-AH497)</f>
        <v/>
      </c>
    </row>
    <row r="498" spans="1:37">
      <c r="A498" s="2" t="s">
        <v>855</v>
      </c>
      <c r="B498" s="2" t="s">
        <v>375</v>
      </c>
      <c r="C498" s="2" t="s">
        <v>376</v>
      </c>
      <c r="D498" s="2" t="s">
        <v>344</v>
      </c>
      <c r="E498" s="2" t="s">
        <v>377</v>
      </c>
      <c r="F498" s="2" t="s">
        <v>346</v>
      </c>
      <c r="G498" s="2" t="s">
        <v>802</v>
      </c>
      <c r="H498" s="2" t="s">
        <v>803</v>
      </c>
      <c r="I498" s="2" t="s">
        <v>553</v>
      </c>
      <c r="J498" s="2" t="s">
        <v>553</v>
      </c>
      <c r="K498" s="9">
        <v>45696</v>
      </c>
      <c r="L498" s="9">
        <v>45702</v>
      </c>
      <c r="M498" s="9">
        <v>45700</v>
      </c>
      <c r="N498" s="2" t="s">
        <v>696</v>
      </c>
      <c r="O498" s="2" t="s">
        <v>55</v>
      </c>
      <c r="P498" s="2" t="s">
        <v>139</v>
      </c>
      <c r="Q498" s="2" t="s">
        <v>161</v>
      </c>
      <c r="R498" s="2" t="s">
        <v>149</v>
      </c>
      <c r="S498" s="2" t="s">
        <v>555</v>
      </c>
      <c r="T498" s="10">
        <v>28.09</v>
      </c>
      <c r="U498" s="11">
        <v>0.74299999999999999</v>
      </c>
      <c r="V498" s="12">
        <f>T498*U498</f>
        <v>20.87087</v>
      </c>
      <c r="W498" s="13">
        <v>0.09</v>
      </c>
      <c r="X498" s="12">
        <f>V498-(V498/(1+W498))</f>
        <v>1.7232828440366994</v>
      </c>
      <c r="Y498" s="12">
        <f>V498-X498</f>
        <v>19.147587155963301</v>
      </c>
      <c r="Z498" s="14">
        <v>35</v>
      </c>
      <c r="AA498" s="2" t="str">
        <f>IF(V498&gt;Z498,"Yes","No")</f>
        <v>No</v>
      </c>
      <c r="AB498" s="12">
        <f>V498-Z498</f>
        <v>-14.12913</v>
      </c>
      <c r="AC498" s="15" t="s">
        <v>130</v>
      </c>
      <c r="AD498" s="15" t="s">
        <v>130</v>
      </c>
      <c r="AE498" s="15" t="s">
        <v>350</v>
      </c>
      <c r="AF498" s="12">
        <f>IF(AG498="Rejected",0,IF(R498="Corporate Card",0,V498))</f>
        <v>0</v>
      </c>
      <c r="AG498" s="15" t="s">
        <v>804</v>
      </c>
      <c r="AH498" s="16">
        <v>45714</v>
      </c>
      <c r="AI498" s="16"/>
      <c r="AJ498" s="16"/>
      <c r="AK498" s="17" t="str">
        <f>IF(AJ498="","",AJ498-AH498)</f>
        <v/>
      </c>
    </row>
    <row r="499" spans="1:37">
      <c r="A499" s="2" t="s">
        <v>856</v>
      </c>
      <c r="B499" s="2" t="s">
        <v>616</v>
      </c>
      <c r="C499" s="2" t="s">
        <v>252</v>
      </c>
      <c r="D499" s="2" t="s">
        <v>250</v>
      </c>
      <c r="E499" s="2" t="s">
        <v>617</v>
      </c>
      <c r="F499" s="2" t="s">
        <v>510</v>
      </c>
      <c r="G499" s="2" t="s">
        <v>857</v>
      </c>
      <c r="H499" s="2" t="s">
        <v>291</v>
      </c>
      <c r="I499" s="2" t="s">
        <v>601</v>
      </c>
      <c r="J499" s="2" t="s">
        <v>381</v>
      </c>
      <c r="K499" s="9">
        <v>45700</v>
      </c>
      <c r="L499" s="9">
        <v>45704</v>
      </c>
      <c r="M499" s="9">
        <v>45700</v>
      </c>
      <c r="N499" s="2" t="s">
        <v>696</v>
      </c>
      <c r="O499" s="2" t="s">
        <v>52</v>
      </c>
      <c r="P499" s="2" t="s">
        <v>602</v>
      </c>
      <c r="Q499" s="2" t="s">
        <v>136</v>
      </c>
      <c r="R499" s="2" t="s">
        <v>149</v>
      </c>
      <c r="S499" s="2" t="s">
        <v>383</v>
      </c>
      <c r="T499" s="10">
        <v>1260.99</v>
      </c>
      <c r="U499" s="11">
        <v>1</v>
      </c>
      <c r="V499" s="12">
        <f>T499*U499</f>
        <v>1260.99</v>
      </c>
      <c r="W499" s="13">
        <v>0</v>
      </c>
      <c r="X499" s="12">
        <f>V499-(V499/(1+W499))</f>
        <v>0</v>
      </c>
      <c r="Y499" s="12">
        <f>V499-X499</f>
        <v>1260.99</v>
      </c>
      <c r="Z499" s="14">
        <v>1400</v>
      </c>
      <c r="AA499" s="2" t="str">
        <f>IF(V499&gt;Z499,"Yes","No")</f>
        <v>No</v>
      </c>
      <c r="AB499" s="12">
        <f>V499-Z499</f>
        <v>-139.01</v>
      </c>
      <c r="AC499" s="15" t="s">
        <v>130</v>
      </c>
      <c r="AD499" s="15" t="s">
        <v>130</v>
      </c>
      <c r="AE499" s="15" t="s">
        <v>858</v>
      </c>
      <c r="AF499" s="12">
        <f>IF(AG499="Rejected",0,IF(R499="Corporate Card",0,V499))</f>
        <v>1260.99</v>
      </c>
      <c r="AG499" s="15" t="s">
        <v>133</v>
      </c>
      <c r="AH499" s="16">
        <v>45712</v>
      </c>
      <c r="AI499" s="16">
        <v>45717</v>
      </c>
      <c r="AJ499" s="16">
        <v>45721</v>
      </c>
      <c r="AK499" s="17">
        <f>IF(AJ499="","",AJ499-AH499)</f>
        <v>9</v>
      </c>
    </row>
    <row r="500" spans="1:37">
      <c r="A500" s="2" t="s">
        <v>859</v>
      </c>
      <c r="B500" s="2" t="s">
        <v>616</v>
      </c>
      <c r="C500" s="2" t="s">
        <v>252</v>
      </c>
      <c r="D500" s="2" t="s">
        <v>250</v>
      </c>
      <c r="E500" s="2" t="s">
        <v>617</v>
      </c>
      <c r="F500" s="2" t="s">
        <v>510</v>
      </c>
      <c r="G500" s="2" t="s">
        <v>857</v>
      </c>
      <c r="H500" s="2" t="s">
        <v>291</v>
      </c>
      <c r="I500" s="2" t="s">
        <v>601</v>
      </c>
      <c r="J500" s="2" t="s">
        <v>381</v>
      </c>
      <c r="K500" s="9">
        <v>45700</v>
      </c>
      <c r="L500" s="9">
        <v>45704</v>
      </c>
      <c r="M500" s="9">
        <v>45700</v>
      </c>
      <c r="N500" s="2" t="s">
        <v>696</v>
      </c>
      <c r="O500" s="2" t="s">
        <v>58</v>
      </c>
      <c r="P500" s="2" t="s">
        <v>142</v>
      </c>
      <c r="Q500" s="2" t="s">
        <v>156</v>
      </c>
      <c r="R500" s="2" t="s">
        <v>128</v>
      </c>
      <c r="S500" s="2" t="s">
        <v>383</v>
      </c>
      <c r="T500" s="10">
        <v>48.48</v>
      </c>
      <c r="U500" s="11">
        <v>1</v>
      </c>
      <c r="V500" s="12">
        <f>T500*U500</f>
        <v>48.48</v>
      </c>
      <c r="W500" s="13">
        <v>0</v>
      </c>
      <c r="X500" s="12">
        <f>V500-(V500/(1+W500))</f>
        <v>0</v>
      </c>
      <c r="Y500" s="12">
        <f>V500-X500</f>
        <v>48.48</v>
      </c>
      <c r="Z500" s="14">
        <v>60</v>
      </c>
      <c r="AA500" s="2" t="str">
        <f>IF(V500&gt;Z500,"Yes","No")</f>
        <v>No</v>
      </c>
      <c r="AB500" s="12">
        <f>V500-Z500</f>
        <v>-11.520000000000003</v>
      </c>
      <c r="AC500" s="15" t="s">
        <v>130</v>
      </c>
      <c r="AD500" s="15" t="s">
        <v>130</v>
      </c>
      <c r="AE500" s="15" t="s">
        <v>858</v>
      </c>
      <c r="AF500" s="12">
        <f>IF(AG500="Rejected",0,IF(R500="Corporate Card",0,V500))</f>
        <v>0</v>
      </c>
      <c r="AG500" s="15" t="s">
        <v>133</v>
      </c>
      <c r="AH500" s="16">
        <v>45712</v>
      </c>
      <c r="AI500" s="16">
        <v>45717</v>
      </c>
      <c r="AJ500" s="16">
        <v>45721</v>
      </c>
      <c r="AK500" s="17">
        <f>IF(AJ500="","",AJ500-AH500)</f>
        <v>9</v>
      </c>
    </row>
    <row r="501" spans="1:37">
      <c r="A501" s="2" t="s">
        <v>860</v>
      </c>
      <c r="B501" s="2" t="s">
        <v>616</v>
      </c>
      <c r="C501" s="2" t="s">
        <v>252</v>
      </c>
      <c r="D501" s="2" t="s">
        <v>250</v>
      </c>
      <c r="E501" s="2" t="s">
        <v>617</v>
      </c>
      <c r="F501" s="2" t="s">
        <v>510</v>
      </c>
      <c r="G501" s="2" t="s">
        <v>857</v>
      </c>
      <c r="H501" s="2" t="s">
        <v>291</v>
      </c>
      <c r="I501" s="2" t="s">
        <v>601</v>
      </c>
      <c r="J501" s="2" t="s">
        <v>381</v>
      </c>
      <c r="K501" s="9">
        <v>45700</v>
      </c>
      <c r="L501" s="9">
        <v>45704</v>
      </c>
      <c r="M501" s="9">
        <v>45700</v>
      </c>
      <c r="N501" s="2" t="s">
        <v>696</v>
      </c>
      <c r="O501" s="2" t="s">
        <v>56</v>
      </c>
      <c r="P501" s="2" t="s">
        <v>231</v>
      </c>
      <c r="Q501" s="2" t="s">
        <v>185</v>
      </c>
      <c r="R501" s="2" t="s">
        <v>128</v>
      </c>
      <c r="S501" s="2" t="s">
        <v>383</v>
      </c>
      <c r="T501" s="10">
        <v>43.58</v>
      </c>
      <c r="U501" s="11">
        <v>1</v>
      </c>
      <c r="V501" s="12">
        <f>T501*U501</f>
        <v>43.58</v>
      </c>
      <c r="W501" s="13">
        <v>0</v>
      </c>
      <c r="X501" s="12">
        <f>V501-(V501/(1+W501))</f>
        <v>0</v>
      </c>
      <c r="Y501" s="12">
        <f>V501-X501</f>
        <v>43.58</v>
      </c>
      <c r="Z501" s="14">
        <v>75</v>
      </c>
      <c r="AA501" s="2" t="str">
        <f>IF(V501&gt;Z501,"Yes","No")</f>
        <v>No</v>
      </c>
      <c r="AB501" s="12">
        <f>V501-Z501</f>
        <v>-31.42</v>
      </c>
      <c r="AC501" s="15" t="s">
        <v>130</v>
      </c>
      <c r="AD501" s="15" t="s">
        <v>130</v>
      </c>
      <c r="AE501" s="15" t="s">
        <v>858</v>
      </c>
      <c r="AF501" s="12">
        <f>IF(AG501="Rejected",0,IF(R501="Corporate Card",0,V501))</f>
        <v>0</v>
      </c>
      <c r="AG501" s="15" t="s">
        <v>133</v>
      </c>
      <c r="AH501" s="16">
        <v>45712</v>
      </c>
      <c r="AI501" s="16">
        <v>45717</v>
      </c>
      <c r="AJ501" s="16">
        <v>45721</v>
      </c>
      <c r="AK501" s="17">
        <f>IF(AJ501="","",AJ501-AH501)</f>
        <v>9</v>
      </c>
    </row>
    <row r="502" spans="1:37">
      <c r="A502" s="2" t="s">
        <v>861</v>
      </c>
      <c r="B502" s="2" t="s">
        <v>616</v>
      </c>
      <c r="C502" s="2" t="s">
        <v>252</v>
      </c>
      <c r="D502" s="2" t="s">
        <v>250</v>
      </c>
      <c r="E502" s="2" t="s">
        <v>617</v>
      </c>
      <c r="F502" s="2" t="s">
        <v>510</v>
      </c>
      <c r="G502" s="2" t="s">
        <v>857</v>
      </c>
      <c r="H502" s="2" t="s">
        <v>291</v>
      </c>
      <c r="I502" s="2" t="s">
        <v>601</v>
      </c>
      <c r="J502" s="2" t="s">
        <v>381</v>
      </c>
      <c r="K502" s="9">
        <v>45700</v>
      </c>
      <c r="L502" s="9">
        <v>45704</v>
      </c>
      <c r="M502" s="9">
        <v>45700</v>
      </c>
      <c r="N502" s="2" t="s">
        <v>696</v>
      </c>
      <c r="O502" s="2" t="s">
        <v>55</v>
      </c>
      <c r="P502" s="2" t="s">
        <v>139</v>
      </c>
      <c r="Q502" s="2" t="s">
        <v>187</v>
      </c>
      <c r="R502" s="2" t="s">
        <v>128</v>
      </c>
      <c r="S502" s="2" t="s">
        <v>383</v>
      </c>
      <c r="T502" s="10">
        <v>16.670000000000002</v>
      </c>
      <c r="U502" s="11">
        <v>1</v>
      </c>
      <c r="V502" s="12">
        <f>T502*U502</f>
        <v>16.670000000000002</v>
      </c>
      <c r="W502" s="13">
        <v>0</v>
      </c>
      <c r="X502" s="12">
        <f>V502-(V502/(1+W502))</f>
        <v>0</v>
      </c>
      <c r="Y502" s="12">
        <f>V502-X502</f>
        <v>16.670000000000002</v>
      </c>
      <c r="Z502" s="14">
        <v>35</v>
      </c>
      <c r="AA502" s="2" t="str">
        <f>IF(V502&gt;Z502,"Yes","No")</f>
        <v>No</v>
      </c>
      <c r="AB502" s="12">
        <f>V502-Z502</f>
        <v>-18.329999999999998</v>
      </c>
      <c r="AC502" s="15" t="s">
        <v>130</v>
      </c>
      <c r="AD502" s="15" t="s">
        <v>130</v>
      </c>
      <c r="AE502" s="15" t="s">
        <v>858</v>
      </c>
      <c r="AF502" s="12">
        <f>IF(AG502="Rejected",0,IF(R502="Corporate Card",0,V502))</f>
        <v>0</v>
      </c>
      <c r="AG502" s="15" t="s">
        <v>133</v>
      </c>
      <c r="AH502" s="16">
        <v>45712</v>
      </c>
      <c r="AI502" s="16">
        <v>45717</v>
      </c>
      <c r="AJ502" s="16">
        <v>45721</v>
      </c>
      <c r="AK502" s="17">
        <f>IF(AJ502="","",AJ502-AH502)</f>
        <v>9</v>
      </c>
    </row>
    <row r="503" spans="1:37">
      <c r="A503" s="2" t="s">
        <v>862</v>
      </c>
      <c r="B503" s="2" t="s">
        <v>863</v>
      </c>
      <c r="C503" s="2" t="s">
        <v>864</v>
      </c>
      <c r="D503" s="2" t="s">
        <v>865</v>
      </c>
      <c r="E503" s="2" t="s">
        <v>866</v>
      </c>
      <c r="F503" s="2" t="s">
        <v>867</v>
      </c>
      <c r="G503" s="2" t="s">
        <v>868</v>
      </c>
      <c r="H503" s="2" t="s">
        <v>448</v>
      </c>
      <c r="I503" s="2" t="s">
        <v>123</v>
      </c>
      <c r="J503" s="2" t="s">
        <v>124</v>
      </c>
      <c r="K503" s="9">
        <v>45700</v>
      </c>
      <c r="L503" s="9">
        <v>45707</v>
      </c>
      <c r="M503" s="9">
        <v>45700</v>
      </c>
      <c r="N503" s="2" t="s">
        <v>696</v>
      </c>
      <c r="O503" s="2" t="s">
        <v>52</v>
      </c>
      <c r="P503" s="2" t="s">
        <v>126</v>
      </c>
      <c r="Q503" s="2" t="s">
        <v>197</v>
      </c>
      <c r="R503" s="2" t="s">
        <v>128</v>
      </c>
      <c r="S503" s="2" t="s">
        <v>129</v>
      </c>
      <c r="T503" s="10">
        <v>1938.78</v>
      </c>
      <c r="U503" s="11">
        <v>1.272</v>
      </c>
      <c r="V503" s="12">
        <f>T503*U503</f>
        <v>2466.1281600000002</v>
      </c>
      <c r="W503" s="13">
        <v>0</v>
      </c>
      <c r="X503" s="12">
        <f>V503-(V503/(1+W503))</f>
        <v>0</v>
      </c>
      <c r="Y503" s="12">
        <f>V503-X503</f>
        <v>2466.1281600000002</v>
      </c>
      <c r="Z503" s="14">
        <v>1400</v>
      </c>
      <c r="AA503" s="2" t="str">
        <f>IF(V503&gt;Z503,"Yes","No")</f>
        <v>Yes</v>
      </c>
      <c r="AB503" s="12">
        <f>V503-Z503</f>
        <v>1066.1281600000002</v>
      </c>
      <c r="AC503" s="15" t="s">
        <v>130</v>
      </c>
      <c r="AD503" s="15" t="s">
        <v>130</v>
      </c>
      <c r="AE503" s="15" t="s">
        <v>180</v>
      </c>
      <c r="AF503" s="12">
        <f>IF(AG503="Rejected",0,IF(R503="Corporate Card",0,V503))</f>
        <v>0</v>
      </c>
      <c r="AG503" s="15" t="s">
        <v>181</v>
      </c>
      <c r="AH503" s="16">
        <v>45709</v>
      </c>
      <c r="AI503" s="16"/>
      <c r="AJ503" s="16"/>
      <c r="AK503" s="17" t="str">
        <f>IF(AJ503="","",AJ503-AH503)</f>
        <v/>
      </c>
    </row>
    <row r="504" spans="1:37">
      <c r="A504" s="2" t="s">
        <v>869</v>
      </c>
      <c r="B504" s="2" t="s">
        <v>863</v>
      </c>
      <c r="C504" s="2" t="s">
        <v>864</v>
      </c>
      <c r="D504" s="2" t="s">
        <v>865</v>
      </c>
      <c r="E504" s="2" t="s">
        <v>866</v>
      </c>
      <c r="F504" s="2" t="s">
        <v>867</v>
      </c>
      <c r="G504" s="2" t="s">
        <v>868</v>
      </c>
      <c r="H504" s="2" t="s">
        <v>448</v>
      </c>
      <c r="I504" s="2" t="s">
        <v>123</v>
      </c>
      <c r="J504" s="2" t="s">
        <v>124</v>
      </c>
      <c r="K504" s="9">
        <v>45700</v>
      </c>
      <c r="L504" s="9">
        <v>45707</v>
      </c>
      <c r="M504" s="9">
        <v>45700</v>
      </c>
      <c r="N504" s="2" t="s">
        <v>696</v>
      </c>
      <c r="O504" s="2" t="s">
        <v>54</v>
      </c>
      <c r="P504" s="2" t="s">
        <v>139</v>
      </c>
      <c r="Q504" s="2" t="s">
        <v>148</v>
      </c>
      <c r="R504" s="2" t="s">
        <v>128</v>
      </c>
      <c r="S504" s="2" t="s">
        <v>129</v>
      </c>
      <c r="T504" s="10">
        <v>18.5</v>
      </c>
      <c r="U504" s="11">
        <v>1.272</v>
      </c>
      <c r="V504" s="12">
        <f>T504*U504</f>
        <v>23.532</v>
      </c>
      <c r="W504" s="13">
        <v>0.2</v>
      </c>
      <c r="X504" s="12">
        <f>V504-(V504/(1+W504))</f>
        <v>3.9220000000000006</v>
      </c>
      <c r="Y504" s="12">
        <f>V504-X504</f>
        <v>19.61</v>
      </c>
      <c r="Z504" s="14">
        <v>25</v>
      </c>
      <c r="AA504" s="2" t="str">
        <f>IF(V504&gt;Z504,"Yes","No")</f>
        <v>No</v>
      </c>
      <c r="AB504" s="12">
        <f>V504-Z504</f>
        <v>-1.468</v>
      </c>
      <c r="AC504" s="15" t="s">
        <v>130</v>
      </c>
      <c r="AD504" s="15" t="s">
        <v>130</v>
      </c>
      <c r="AE504" s="15" t="s">
        <v>180</v>
      </c>
      <c r="AF504" s="12">
        <f>IF(AG504="Rejected",0,IF(R504="Corporate Card",0,V504))</f>
        <v>0</v>
      </c>
      <c r="AG504" s="15" t="s">
        <v>181</v>
      </c>
      <c r="AH504" s="16">
        <v>45709</v>
      </c>
      <c r="AI504" s="16"/>
      <c r="AJ504" s="16"/>
      <c r="AK504" s="17" t="str">
        <f>IF(AJ504="","",AJ504-AH504)</f>
        <v/>
      </c>
    </row>
    <row r="505" spans="1:37">
      <c r="A505" s="2" t="s">
        <v>870</v>
      </c>
      <c r="B505" s="2" t="s">
        <v>863</v>
      </c>
      <c r="C505" s="2" t="s">
        <v>864</v>
      </c>
      <c r="D505" s="2" t="s">
        <v>865</v>
      </c>
      <c r="E505" s="2" t="s">
        <v>866</v>
      </c>
      <c r="F505" s="2" t="s">
        <v>867</v>
      </c>
      <c r="G505" s="2" t="s">
        <v>868</v>
      </c>
      <c r="H505" s="2" t="s">
        <v>448</v>
      </c>
      <c r="I505" s="2" t="s">
        <v>123</v>
      </c>
      <c r="J505" s="2" t="s">
        <v>124</v>
      </c>
      <c r="K505" s="9">
        <v>45700</v>
      </c>
      <c r="L505" s="9">
        <v>45707</v>
      </c>
      <c r="M505" s="9">
        <v>45700</v>
      </c>
      <c r="N505" s="2" t="s">
        <v>696</v>
      </c>
      <c r="O505" s="2" t="s">
        <v>56</v>
      </c>
      <c r="P505" s="2" t="s">
        <v>165</v>
      </c>
      <c r="Q505" s="2" t="s">
        <v>185</v>
      </c>
      <c r="R505" s="2" t="s">
        <v>137</v>
      </c>
      <c r="S505" s="2" t="s">
        <v>129</v>
      </c>
      <c r="T505" s="10">
        <v>28.67</v>
      </c>
      <c r="U505" s="11">
        <v>1.272</v>
      </c>
      <c r="V505" s="12">
        <f>T505*U505</f>
        <v>36.468240000000002</v>
      </c>
      <c r="W505" s="13">
        <v>0.2</v>
      </c>
      <c r="X505" s="12">
        <f>V505-(V505/(1+W505))</f>
        <v>6.0780399999999979</v>
      </c>
      <c r="Y505" s="12">
        <f>V505-X505</f>
        <v>30.390200000000004</v>
      </c>
      <c r="Z505" s="14">
        <v>75</v>
      </c>
      <c r="AA505" s="2" t="str">
        <f>IF(V505&gt;Z505,"Yes","No")</f>
        <v>No</v>
      </c>
      <c r="AB505" s="12">
        <f>V505-Z505</f>
        <v>-38.531759999999998</v>
      </c>
      <c r="AC505" s="15" t="s">
        <v>130</v>
      </c>
      <c r="AD505" s="15" t="s">
        <v>130</v>
      </c>
      <c r="AE505" s="15" t="s">
        <v>180</v>
      </c>
      <c r="AF505" s="12">
        <f>IF(AG505="Rejected",0,IF(R505="Corporate Card",0,V505))</f>
        <v>36.468240000000002</v>
      </c>
      <c r="AG505" s="15" t="s">
        <v>181</v>
      </c>
      <c r="AH505" s="16">
        <v>45709</v>
      </c>
      <c r="AI505" s="16"/>
      <c r="AJ505" s="16"/>
      <c r="AK505" s="17" t="str">
        <f>IF(AJ505="","",AJ505-AH505)</f>
        <v/>
      </c>
    </row>
    <row r="506" spans="1:37">
      <c r="A506" s="2" t="s">
        <v>871</v>
      </c>
      <c r="B506" s="2" t="s">
        <v>863</v>
      </c>
      <c r="C506" s="2" t="s">
        <v>864</v>
      </c>
      <c r="D506" s="2" t="s">
        <v>865</v>
      </c>
      <c r="E506" s="2" t="s">
        <v>866</v>
      </c>
      <c r="F506" s="2" t="s">
        <v>867</v>
      </c>
      <c r="G506" s="2" t="s">
        <v>868</v>
      </c>
      <c r="H506" s="2" t="s">
        <v>448</v>
      </c>
      <c r="I506" s="2" t="s">
        <v>123</v>
      </c>
      <c r="J506" s="2" t="s">
        <v>124</v>
      </c>
      <c r="K506" s="9">
        <v>45700</v>
      </c>
      <c r="L506" s="9">
        <v>45707</v>
      </c>
      <c r="M506" s="9">
        <v>45700</v>
      </c>
      <c r="N506" s="2" t="s">
        <v>696</v>
      </c>
      <c r="O506" s="2" t="s">
        <v>55</v>
      </c>
      <c r="P506" s="2" t="s">
        <v>139</v>
      </c>
      <c r="Q506" s="2" t="s">
        <v>217</v>
      </c>
      <c r="R506" s="2" t="s">
        <v>128</v>
      </c>
      <c r="S506" s="2" t="s">
        <v>129</v>
      </c>
      <c r="T506" s="10">
        <v>12.13</v>
      </c>
      <c r="U506" s="11">
        <v>1.272</v>
      </c>
      <c r="V506" s="12">
        <f>T506*U506</f>
        <v>15.429360000000001</v>
      </c>
      <c r="W506" s="13">
        <v>0.2</v>
      </c>
      <c r="X506" s="12">
        <f>V506-(V506/(1+W506))</f>
        <v>2.5715599999999998</v>
      </c>
      <c r="Y506" s="12">
        <f>V506-X506</f>
        <v>12.857800000000001</v>
      </c>
      <c r="Z506" s="14">
        <v>35</v>
      </c>
      <c r="AA506" s="2" t="str">
        <f>IF(V506&gt;Z506,"Yes","No")</f>
        <v>No</v>
      </c>
      <c r="AB506" s="12">
        <f>V506-Z506</f>
        <v>-19.570639999999997</v>
      </c>
      <c r="AC506" s="15" t="s">
        <v>130</v>
      </c>
      <c r="AD506" s="15" t="s">
        <v>130</v>
      </c>
      <c r="AE506" s="15" t="s">
        <v>180</v>
      </c>
      <c r="AF506" s="12">
        <f>IF(AG506="Rejected",0,IF(R506="Corporate Card",0,V506))</f>
        <v>0</v>
      </c>
      <c r="AG506" s="15" t="s">
        <v>181</v>
      </c>
      <c r="AH506" s="16">
        <v>45709</v>
      </c>
      <c r="AI506" s="16"/>
      <c r="AJ506" s="16"/>
      <c r="AK506" s="17" t="str">
        <f>IF(AJ506="","",AJ506-AH506)</f>
        <v/>
      </c>
    </row>
    <row r="507" spans="1:37">
      <c r="A507" s="2" t="s">
        <v>872</v>
      </c>
      <c r="B507" s="2" t="s">
        <v>770</v>
      </c>
      <c r="C507" s="2" t="s">
        <v>771</v>
      </c>
      <c r="D507" s="2" t="s">
        <v>414</v>
      </c>
      <c r="E507" s="2" t="s">
        <v>772</v>
      </c>
      <c r="F507" s="2" t="s">
        <v>413</v>
      </c>
      <c r="G507" s="2" t="s">
        <v>773</v>
      </c>
      <c r="H507" s="2" t="s">
        <v>748</v>
      </c>
      <c r="I507" s="2" t="s">
        <v>194</v>
      </c>
      <c r="J507" s="2" t="s">
        <v>195</v>
      </c>
      <c r="K507" s="9">
        <v>45694</v>
      </c>
      <c r="L507" s="9">
        <v>45701</v>
      </c>
      <c r="M507" s="9">
        <v>45700</v>
      </c>
      <c r="N507" s="2" t="s">
        <v>696</v>
      </c>
      <c r="O507" s="2" t="s">
        <v>56</v>
      </c>
      <c r="P507" s="2" t="s">
        <v>231</v>
      </c>
      <c r="Q507" s="2" t="s">
        <v>159</v>
      </c>
      <c r="R507" s="2" t="s">
        <v>128</v>
      </c>
      <c r="S507" s="2" t="s">
        <v>198</v>
      </c>
      <c r="T507" s="10">
        <v>33.51</v>
      </c>
      <c r="U507" s="11">
        <v>1.085</v>
      </c>
      <c r="V507" s="12">
        <f>T507*U507</f>
        <v>36.358349999999994</v>
      </c>
      <c r="W507" s="13">
        <v>0.19</v>
      </c>
      <c r="X507" s="12">
        <f>V507-(V507/(1+W507))</f>
        <v>5.8051147058823496</v>
      </c>
      <c r="Y507" s="12">
        <f>V507-X507</f>
        <v>30.553235294117645</v>
      </c>
      <c r="Z507" s="14">
        <v>75</v>
      </c>
      <c r="AA507" s="2" t="str">
        <f>IF(V507&gt;Z507,"Yes","No")</f>
        <v>No</v>
      </c>
      <c r="AB507" s="12">
        <f>V507-Z507</f>
        <v>-38.641650000000006</v>
      </c>
      <c r="AC507" s="15" t="s">
        <v>130</v>
      </c>
      <c r="AD507" s="15" t="s">
        <v>131</v>
      </c>
      <c r="AE507" s="15" t="s">
        <v>421</v>
      </c>
      <c r="AF507" s="12">
        <f>IF(AG507="Rejected",0,IF(R507="Corporate Card",0,V507))</f>
        <v>0</v>
      </c>
      <c r="AG507" s="15" t="s">
        <v>133</v>
      </c>
      <c r="AH507" s="16">
        <v>45711</v>
      </c>
      <c r="AI507" s="16">
        <v>45713</v>
      </c>
      <c r="AJ507" s="16">
        <v>45723</v>
      </c>
      <c r="AK507" s="17">
        <f>IF(AJ507="","",AJ507-AH507)</f>
        <v>12</v>
      </c>
    </row>
    <row r="508" spans="1:37">
      <c r="A508" s="2" t="s">
        <v>873</v>
      </c>
      <c r="B508" s="2" t="s">
        <v>770</v>
      </c>
      <c r="C508" s="2" t="s">
        <v>771</v>
      </c>
      <c r="D508" s="2" t="s">
        <v>414</v>
      </c>
      <c r="E508" s="2" t="s">
        <v>772</v>
      </c>
      <c r="F508" s="2" t="s">
        <v>413</v>
      </c>
      <c r="G508" s="2" t="s">
        <v>773</v>
      </c>
      <c r="H508" s="2" t="s">
        <v>748</v>
      </c>
      <c r="I508" s="2" t="s">
        <v>194</v>
      </c>
      <c r="J508" s="2" t="s">
        <v>195</v>
      </c>
      <c r="K508" s="9">
        <v>45694</v>
      </c>
      <c r="L508" s="9">
        <v>45701</v>
      </c>
      <c r="M508" s="9">
        <v>45700</v>
      </c>
      <c r="N508" s="2" t="s">
        <v>696</v>
      </c>
      <c r="O508" s="2" t="s">
        <v>55</v>
      </c>
      <c r="P508" s="2" t="s">
        <v>139</v>
      </c>
      <c r="Q508" s="2" t="s">
        <v>161</v>
      </c>
      <c r="R508" s="2" t="s">
        <v>128</v>
      </c>
      <c r="S508" s="2" t="s">
        <v>198</v>
      </c>
      <c r="T508" s="10">
        <v>21.26</v>
      </c>
      <c r="U508" s="11">
        <v>1.085</v>
      </c>
      <c r="V508" s="12">
        <f>T508*U508</f>
        <v>23.0671</v>
      </c>
      <c r="W508" s="13">
        <v>0.19</v>
      </c>
      <c r="X508" s="12">
        <f>V508-(V508/(1+W508))</f>
        <v>3.682982352941174</v>
      </c>
      <c r="Y508" s="12">
        <f>V508-X508</f>
        <v>19.384117647058826</v>
      </c>
      <c r="Z508" s="14">
        <v>35</v>
      </c>
      <c r="AA508" s="2" t="str">
        <f>IF(V508&gt;Z508,"Yes","No")</f>
        <v>No</v>
      </c>
      <c r="AB508" s="12">
        <f>V508-Z508</f>
        <v>-11.9329</v>
      </c>
      <c r="AC508" s="15" t="s">
        <v>130</v>
      </c>
      <c r="AD508" s="15" t="s">
        <v>131</v>
      </c>
      <c r="AE508" s="15" t="s">
        <v>421</v>
      </c>
      <c r="AF508" s="12">
        <f>IF(AG508="Rejected",0,IF(R508="Corporate Card",0,V508))</f>
        <v>0</v>
      </c>
      <c r="AG508" s="15" t="s">
        <v>133</v>
      </c>
      <c r="AH508" s="16">
        <v>45711</v>
      </c>
      <c r="AI508" s="16">
        <v>45713</v>
      </c>
      <c r="AJ508" s="16">
        <v>45723</v>
      </c>
      <c r="AK508" s="17">
        <f>IF(AJ508="","",AJ508-AH508)</f>
        <v>12</v>
      </c>
    </row>
    <row r="509" spans="1:37">
      <c r="A509" s="2" t="s">
        <v>874</v>
      </c>
      <c r="B509" s="2" t="s">
        <v>248</v>
      </c>
      <c r="C509" s="2" t="s">
        <v>249</v>
      </c>
      <c r="D509" s="2" t="s">
        <v>250</v>
      </c>
      <c r="E509" s="2" t="s">
        <v>251</v>
      </c>
      <c r="F509" s="2" t="s">
        <v>252</v>
      </c>
      <c r="G509" s="2" t="s">
        <v>830</v>
      </c>
      <c r="H509" s="2" t="s">
        <v>291</v>
      </c>
      <c r="I509" s="2" t="s">
        <v>175</v>
      </c>
      <c r="J509" s="2" t="s">
        <v>176</v>
      </c>
      <c r="K509" s="9">
        <v>45698</v>
      </c>
      <c r="L509" s="9">
        <v>45706</v>
      </c>
      <c r="M509" s="9">
        <v>45701</v>
      </c>
      <c r="N509" s="2" t="s">
        <v>696</v>
      </c>
      <c r="O509" s="2" t="s">
        <v>54</v>
      </c>
      <c r="P509" s="2" t="s">
        <v>139</v>
      </c>
      <c r="Q509" s="2" t="s">
        <v>140</v>
      </c>
      <c r="R509" s="2" t="s">
        <v>128</v>
      </c>
      <c r="S509" s="2" t="s">
        <v>179</v>
      </c>
      <c r="T509" s="10">
        <v>93.13</v>
      </c>
      <c r="U509" s="11">
        <v>0.18099999999999999</v>
      </c>
      <c r="V509" s="12">
        <f>T509*U509</f>
        <v>16.856529999999999</v>
      </c>
      <c r="W509" s="13">
        <v>0.17</v>
      </c>
      <c r="X509" s="12">
        <f>V509-(V509/(1+W509))</f>
        <v>2.4492394017094004</v>
      </c>
      <c r="Y509" s="12">
        <f>V509-X509</f>
        <v>14.407290598290599</v>
      </c>
      <c r="Z509" s="14">
        <v>25</v>
      </c>
      <c r="AA509" s="2" t="str">
        <f>IF(V509&gt;Z509,"Yes","No")</f>
        <v>No</v>
      </c>
      <c r="AB509" s="12">
        <f>V509-Z509</f>
        <v>-8.1434700000000007</v>
      </c>
      <c r="AC509" s="15" t="s">
        <v>130</v>
      </c>
      <c r="AD509" s="15" t="s">
        <v>130</v>
      </c>
      <c r="AE509" s="15" t="s">
        <v>350</v>
      </c>
      <c r="AF509" s="12">
        <f>IF(AG509="Rejected",0,IF(R509="Corporate Card",0,V509))</f>
        <v>0</v>
      </c>
      <c r="AG509" s="15" t="s">
        <v>133</v>
      </c>
      <c r="AH509" s="16">
        <v>45712</v>
      </c>
      <c r="AI509" s="16">
        <v>45714</v>
      </c>
      <c r="AJ509" s="16">
        <v>45720</v>
      </c>
      <c r="AK509" s="17">
        <f>IF(AJ509="","",AJ509-AH509)</f>
        <v>8</v>
      </c>
    </row>
    <row r="510" spans="1:37">
      <c r="A510" s="2" t="s">
        <v>875</v>
      </c>
      <c r="B510" s="2" t="s">
        <v>248</v>
      </c>
      <c r="C510" s="2" t="s">
        <v>249</v>
      </c>
      <c r="D510" s="2" t="s">
        <v>250</v>
      </c>
      <c r="E510" s="2" t="s">
        <v>251</v>
      </c>
      <c r="F510" s="2" t="s">
        <v>252</v>
      </c>
      <c r="G510" s="2" t="s">
        <v>830</v>
      </c>
      <c r="H510" s="2" t="s">
        <v>291</v>
      </c>
      <c r="I510" s="2" t="s">
        <v>175</v>
      </c>
      <c r="J510" s="2" t="s">
        <v>176</v>
      </c>
      <c r="K510" s="9">
        <v>45698</v>
      </c>
      <c r="L510" s="9">
        <v>45706</v>
      </c>
      <c r="M510" s="9">
        <v>45701</v>
      </c>
      <c r="N510" s="2" t="s">
        <v>696</v>
      </c>
      <c r="O510" s="2" t="s">
        <v>56</v>
      </c>
      <c r="P510" s="2" t="s">
        <v>231</v>
      </c>
      <c r="Q510" s="2" t="s">
        <v>185</v>
      </c>
      <c r="R510" s="2" t="s">
        <v>137</v>
      </c>
      <c r="S510" s="2" t="s">
        <v>179</v>
      </c>
      <c r="T510" s="10">
        <v>393.87</v>
      </c>
      <c r="U510" s="11">
        <v>0.18099999999999999</v>
      </c>
      <c r="V510" s="12">
        <f>T510*U510</f>
        <v>71.290469999999999</v>
      </c>
      <c r="W510" s="13">
        <v>0.17</v>
      </c>
      <c r="X510" s="12">
        <f>V510-(V510/(1+W510))</f>
        <v>10.358444358974353</v>
      </c>
      <c r="Y510" s="12">
        <f>V510-X510</f>
        <v>60.932025641025646</v>
      </c>
      <c r="Z510" s="14">
        <v>75</v>
      </c>
      <c r="AA510" s="2" t="str">
        <f>IF(V510&gt;Z510,"Yes","No")</f>
        <v>No</v>
      </c>
      <c r="AB510" s="12">
        <f>V510-Z510</f>
        <v>-3.7095300000000009</v>
      </c>
      <c r="AC510" s="15" t="s">
        <v>130</v>
      </c>
      <c r="AD510" s="15" t="s">
        <v>130</v>
      </c>
      <c r="AE510" s="15" t="s">
        <v>350</v>
      </c>
      <c r="AF510" s="12">
        <f>IF(AG510="Rejected",0,IF(R510="Corporate Card",0,V510))</f>
        <v>71.290469999999999</v>
      </c>
      <c r="AG510" s="15" t="s">
        <v>133</v>
      </c>
      <c r="AH510" s="16">
        <v>45712</v>
      </c>
      <c r="AI510" s="16">
        <v>45714</v>
      </c>
      <c r="AJ510" s="16">
        <v>45720</v>
      </c>
      <c r="AK510" s="17">
        <f>IF(AJ510="","",AJ510-AH510)</f>
        <v>8</v>
      </c>
    </row>
    <row r="511" spans="1:37">
      <c r="A511" s="2" t="s">
        <v>876</v>
      </c>
      <c r="B511" s="2" t="s">
        <v>248</v>
      </c>
      <c r="C511" s="2" t="s">
        <v>249</v>
      </c>
      <c r="D511" s="2" t="s">
        <v>250</v>
      </c>
      <c r="E511" s="2" t="s">
        <v>251</v>
      </c>
      <c r="F511" s="2" t="s">
        <v>252</v>
      </c>
      <c r="G511" s="2" t="s">
        <v>830</v>
      </c>
      <c r="H511" s="2" t="s">
        <v>291</v>
      </c>
      <c r="I511" s="2" t="s">
        <v>175</v>
      </c>
      <c r="J511" s="2" t="s">
        <v>176</v>
      </c>
      <c r="K511" s="9">
        <v>45698</v>
      </c>
      <c r="L511" s="9">
        <v>45706</v>
      </c>
      <c r="M511" s="9">
        <v>45701</v>
      </c>
      <c r="N511" s="2" t="s">
        <v>696</v>
      </c>
      <c r="O511" s="2" t="s">
        <v>55</v>
      </c>
      <c r="P511" s="2" t="s">
        <v>139</v>
      </c>
      <c r="Q511" s="2" t="s">
        <v>187</v>
      </c>
      <c r="R511" s="2" t="s">
        <v>137</v>
      </c>
      <c r="S511" s="2" t="s">
        <v>179</v>
      </c>
      <c r="T511" s="10">
        <v>166.59</v>
      </c>
      <c r="U511" s="11">
        <v>0.18099999999999999</v>
      </c>
      <c r="V511" s="12">
        <f>T511*U511</f>
        <v>30.15279</v>
      </c>
      <c r="W511" s="13">
        <v>0.17</v>
      </c>
      <c r="X511" s="12">
        <f>V511-(V511/(1+W511))</f>
        <v>4.3811746153846123</v>
      </c>
      <c r="Y511" s="12">
        <f>V511-X511</f>
        <v>25.771615384615387</v>
      </c>
      <c r="Z511" s="14">
        <v>35</v>
      </c>
      <c r="AA511" s="2" t="str">
        <f>IF(V511&gt;Z511,"Yes","No")</f>
        <v>No</v>
      </c>
      <c r="AB511" s="12">
        <f>V511-Z511</f>
        <v>-4.8472100000000005</v>
      </c>
      <c r="AC511" s="15" t="s">
        <v>130</v>
      </c>
      <c r="AD511" s="15" t="s">
        <v>130</v>
      </c>
      <c r="AE511" s="15" t="s">
        <v>350</v>
      </c>
      <c r="AF511" s="12">
        <f>IF(AG511="Rejected",0,IF(R511="Corporate Card",0,V511))</f>
        <v>30.15279</v>
      </c>
      <c r="AG511" s="15" t="s">
        <v>133</v>
      </c>
      <c r="AH511" s="16">
        <v>45712</v>
      </c>
      <c r="AI511" s="16">
        <v>45714</v>
      </c>
      <c r="AJ511" s="16">
        <v>45720</v>
      </c>
      <c r="AK511" s="17">
        <f>IF(AJ511="","",AJ511-AH511)</f>
        <v>8</v>
      </c>
    </row>
    <row r="512" spans="1:37">
      <c r="A512" s="2" t="s">
        <v>877</v>
      </c>
      <c r="B512" s="2" t="s">
        <v>375</v>
      </c>
      <c r="C512" s="2" t="s">
        <v>376</v>
      </c>
      <c r="D512" s="2" t="s">
        <v>344</v>
      </c>
      <c r="E512" s="2" t="s">
        <v>377</v>
      </c>
      <c r="F512" s="2" t="s">
        <v>346</v>
      </c>
      <c r="G512" s="2" t="s">
        <v>802</v>
      </c>
      <c r="H512" s="2" t="s">
        <v>803</v>
      </c>
      <c r="I512" s="2" t="s">
        <v>553</v>
      </c>
      <c r="J512" s="2" t="s">
        <v>553</v>
      </c>
      <c r="K512" s="9">
        <v>45696</v>
      </c>
      <c r="L512" s="9">
        <v>45702</v>
      </c>
      <c r="M512" s="9">
        <v>45701</v>
      </c>
      <c r="N512" s="2" t="s">
        <v>696</v>
      </c>
      <c r="O512" s="2" t="s">
        <v>58</v>
      </c>
      <c r="P512" s="2" t="s">
        <v>142</v>
      </c>
      <c r="Q512" s="2" t="s">
        <v>203</v>
      </c>
      <c r="R512" s="2" t="s">
        <v>137</v>
      </c>
      <c r="S512" s="2" t="s">
        <v>555</v>
      </c>
      <c r="T512" s="10">
        <v>49.07</v>
      </c>
      <c r="U512" s="11">
        <v>0.74299999999999999</v>
      </c>
      <c r="V512" s="12">
        <f>T512*U512</f>
        <v>36.459009999999999</v>
      </c>
      <c r="W512" s="13">
        <v>0.09</v>
      </c>
      <c r="X512" s="12">
        <f>V512-(V512/(1+W512))</f>
        <v>3.0103769724770686</v>
      </c>
      <c r="Y512" s="12">
        <f>V512-X512</f>
        <v>33.448633027522931</v>
      </c>
      <c r="Z512" s="14">
        <v>60</v>
      </c>
      <c r="AA512" s="2" t="str">
        <f>IF(V512&gt;Z512,"Yes","No")</f>
        <v>No</v>
      </c>
      <c r="AB512" s="12">
        <f>V512-Z512</f>
        <v>-23.540990000000001</v>
      </c>
      <c r="AC512" s="15" t="s">
        <v>130</v>
      </c>
      <c r="AD512" s="15" t="s">
        <v>130</v>
      </c>
      <c r="AE512" s="15" t="s">
        <v>350</v>
      </c>
      <c r="AF512" s="12">
        <f>IF(AG512="Rejected",0,IF(R512="Corporate Card",0,V512))</f>
        <v>0</v>
      </c>
      <c r="AG512" s="15" t="s">
        <v>804</v>
      </c>
      <c r="AH512" s="16">
        <v>45714</v>
      </c>
      <c r="AI512" s="16"/>
      <c r="AJ512" s="16"/>
      <c r="AK512" s="17" t="str">
        <f>IF(AJ512="","",AJ512-AH512)</f>
        <v/>
      </c>
    </row>
    <row r="513" spans="1:37">
      <c r="A513" s="2" t="s">
        <v>878</v>
      </c>
      <c r="B513" s="2" t="s">
        <v>375</v>
      </c>
      <c r="C513" s="2" t="s">
        <v>376</v>
      </c>
      <c r="D513" s="2" t="s">
        <v>344</v>
      </c>
      <c r="E513" s="2" t="s">
        <v>377</v>
      </c>
      <c r="F513" s="2" t="s">
        <v>346</v>
      </c>
      <c r="G513" s="2" t="s">
        <v>802</v>
      </c>
      <c r="H513" s="2" t="s">
        <v>803</v>
      </c>
      <c r="I513" s="2" t="s">
        <v>553</v>
      </c>
      <c r="J513" s="2" t="s">
        <v>553</v>
      </c>
      <c r="K513" s="9">
        <v>45696</v>
      </c>
      <c r="L513" s="9">
        <v>45702</v>
      </c>
      <c r="M513" s="9">
        <v>45701</v>
      </c>
      <c r="N513" s="2" t="s">
        <v>696</v>
      </c>
      <c r="O513" s="2" t="s">
        <v>54</v>
      </c>
      <c r="P513" s="2" t="s">
        <v>139</v>
      </c>
      <c r="Q513" s="2" t="s">
        <v>140</v>
      </c>
      <c r="R513" s="2" t="s">
        <v>128</v>
      </c>
      <c r="S513" s="2" t="s">
        <v>555</v>
      </c>
      <c r="T513" s="10">
        <v>18.13</v>
      </c>
      <c r="U513" s="11">
        <v>0.74299999999999999</v>
      </c>
      <c r="V513" s="12">
        <f>T513*U513</f>
        <v>13.47059</v>
      </c>
      <c r="W513" s="13">
        <v>0.09</v>
      </c>
      <c r="X513" s="12">
        <f>V513-(V513/(1+W513))</f>
        <v>1.1122505504587163</v>
      </c>
      <c r="Y513" s="12">
        <f>V513-X513</f>
        <v>12.358339449541283</v>
      </c>
      <c r="Z513" s="14">
        <v>25</v>
      </c>
      <c r="AA513" s="2" t="str">
        <f>IF(V513&gt;Z513,"Yes","No")</f>
        <v>No</v>
      </c>
      <c r="AB513" s="12">
        <f>V513-Z513</f>
        <v>-11.52941</v>
      </c>
      <c r="AC513" s="15" t="s">
        <v>130</v>
      </c>
      <c r="AD513" s="15" t="s">
        <v>130</v>
      </c>
      <c r="AE513" s="15" t="s">
        <v>350</v>
      </c>
      <c r="AF513" s="12">
        <f>IF(AG513="Rejected",0,IF(R513="Corporate Card",0,V513))</f>
        <v>0</v>
      </c>
      <c r="AG513" s="15" t="s">
        <v>804</v>
      </c>
      <c r="AH513" s="16">
        <v>45714</v>
      </c>
      <c r="AI513" s="16"/>
      <c r="AJ513" s="16"/>
      <c r="AK513" s="17" t="str">
        <f>IF(AJ513="","",AJ513-AH513)</f>
        <v/>
      </c>
    </row>
    <row r="514" spans="1:37">
      <c r="A514" s="2" t="s">
        <v>879</v>
      </c>
      <c r="B514" s="2" t="s">
        <v>375</v>
      </c>
      <c r="C514" s="2" t="s">
        <v>376</v>
      </c>
      <c r="D514" s="2" t="s">
        <v>344</v>
      </c>
      <c r="E514" s="2" t="s">
        <v>377</v>
      </c>
      <c r="F514" s="2" t="s">
        <v>346</v>
      </c>
      <c r="G514" s="2" t="s">
        <v>802</v>
      </c>
      <c r="H514" s="2" t="s">
        <v>803</v>
      </c>
      <c r="I514" s="2" t="s">
        <v>553</v>
      </c>
      <c r="J514" s="2" t="s">
        <v>553</v>
      </c>
      <c r="K514" s="9">
        <v>45696</v>
      </c>
      <c r="L514" s="9">
        <v>45702</v>
      </c>
      <c r="M514" s="9">
        <v>45701</v>
      </c>
      <c r="N514" s="2" t="s">
        <v>696</v>
      </c>
      <c r="O514" s="2" t="s">
        <v>56</v>
      </c>
      <c r="P514" s="2" t="s">
        <v>231</v>
      </c>
      <c r="Q514" s="2" t="s">
        <v>166</v>
      </c>
      <c r="R514" s="2" t="s">
        <v>128</v>
      </c>
      <c r="S514" s="2" t="s">
        <v>555</v>
      </c>
      <c r="T514" s="10">
        <v>91.82</v>
      </c>
      <c r="U514" s="11">
        <v>0.74299999999999999</v>
      </c>
      <c r="V514" s="12">
        <f>T514*U514</f>
        <v>68.222259999999991</v>
      </c>
      <c r="W514" s="13">
        <v>0.09</v>
      </c>
      <c r="X514" s="12">
        <f>V514-(V514/(1+W514))</f>
        <v>5.6330306422018381</v>
      </c>
      <c r="Y514" s="12">
        <f>V514-X514</f>
        <v>62.589229357798153</v>
      </c>
      <c r="Z514" s="14">
        <v>75</v>
      </c>
      <c r="AA514" s="2" t="str">
        <f>IF(V514&gt;Z514,"Yes","No")</f>
        <v>No</v>
      </c>
      <c r="AB514" s="12">
        <f>V514-Z514</f>
        <v>-6.7777400000000085</v>
      </c>
      <c r="AC514" s="15" t="s">
        <v>130</v>
      </c>
      <c r="AD514" s="15" t="s">
        <v>130</v>
      </c>
      <c r="AE514" s="15" t="s">
        <v>350</v>
      </c>
      <c r="AF514" s="12">
        <f>IF(AG514="Rejected",0,IF(R514="Corporate Card",0,V514))</f>
        <v>0</v>
      </c>
      <c r="AG514" s="15" t="s">
        <v>804</v>
      </c>
      <c r="AH514" s="16">
        <v>45714</v>
      </c>
      <c r="AI514" s="16"/>
      <c r="AJ514" s="16"/>
      <c r="AK514" s="17" t="str">
        <f>IF(AJ514="","",AJ514-AH514)</f>
        <v/>
      </c>
    </row>
    <row r="515" spans="1:37">
      <c r="A515" s="2" t="s">
        <v>880</v>
      </c>
      <c r="B515" s="2" t="s">
        <v>375</v>
      </c>
      <c r="C515" s="2" t="s">
        <v>376</v>
      </c>
      <c r="D515" s="2" t="s">
        <v>344</v>
      </c>
      <c r="E515" s="2" t="s">
        <v>377</v>
      </c>
      <c r="F515" s="2" t="s">
        <v>346</v>
      </c>
      <c r="G515" s="2" t="s">
        <v>802</v>
      </c>
      <c r="H515" s="2" t="s">
        <v>803</v>
      </c>
      <c r="I515" s="2" t="s">
        <v>553</v>
      </c>
      <c r="J515" s="2" t="s">
        <v>553</v>
      </c>
      <c r="K515" s="9">
        <v>45696</v>
      </c>
      <c r="L515" s="9">
        <v>45702</v>
      </c>
      <c r="M515" s="9">
        <v>45701</v>
      </c>
      <c r="N515" s="2" t="s">
        <v>696</v>
      </c>
      <c r="O515" s="2" t="s">
        <v>55</v>
      </c>
      <c r="P515" s="2" t="s">
        <v>139</v>
      </c>
      <c r="Q515" s="2" t="s">
        <v>187</v>
      </c>
      <c r="R515" s="2" t="s">
        <v>149</v>
      </c>
      <c r="S515" s="2" t="s">
        <v>555</v>
      </c>
      <c r="T515" s="10">
        <v>34.380000000000003</v>
      </c>
      <c r="U515" s="11">
        <v>0.74299999999999999</v>
      </c>
      <c r="V515" s="12">
        <f>T515*U515</f>
        <v>25.544340000000002</v>
      </c>
      <c r="W515" s="13">
        <v>0.09</v>
      </c>
      <c r="X515" s="12">
        <f>V515-(V515/(1+W515))</f>
        <v>2.1091656880733964</v>
      </c>
      <c r="Y515" s="12">
        <f>V515-X515</f>
        <v>23.435174311926605</v>
      </c>
      <c r="Z515" s="14">
        <v>35</v>
      </c>
      <c r="AA515" s="2" t="str">
        <f>IF(V515&gt;Z515,"Yes","No")</f>
        <v>No</v>
      </c>
      <c r="AB515" s="12">
        <f>V515-Z515</f>
        <v>-9.4556599999999982</v>
      </c>
      <c r="AC515" s="15" t="s">
        <v>130</v>
      </c>
      <c r="AD515" s="15" t="s">
        <v>130</v>
      </c>
      <c r="AE515" s="15" t="s">
        <v>350</v>
      </c>
      <c r="AF515" s="12">
        <f>IF(AG515="Rejected",0,IF(R515="Corporate Card",0,V515))</f>
        <v>0</v>
      </c>
      <c r="AG515" s="15" t="s">
        <v>804</v>
      </c>
      <c r="AH515" s="16">
        <v>45714</v>
      </c>
      <c r="AI515" s="16"/>
      <c r="AJ515" s="16"/>
      <c r="AK515" s="17" t="str">
        <f>IF(AJ515="","",AJ515-AH515)</f>
        <v/>
      </c>
    </row>
    <row r="516" spans="1:37">
      <c r="A516" s="2" t="s">
        <v>881</v>
      </c>
      <c r="B516" s="2" t="s">
        <v>882</v>
      </c>
      <c r="C516" s="2" t="s">
        <v>446</v>
      </c>
      <c r="D516" s="2" t="s">
        <v>444</v>
      </c>
      <c r="E516" s="2" t="s">
        <v>883</v>
      </c>
      <c r="F516" s="2" t="s">
        <v>313</v>
      </c>
      <c r="G516" s="2" t="s">
        <v>884</v>
      </c>
      <c r="H516" s="2" t="s">
        <v>122</v>
      </c>
      <c r="I516" s="2" t="s">
        <v>380</v>
      </c>
      <c r="J516" s="2" t="s">
        <v>381</v>
      </c>
      <c r="K516" s="9">
        <v>45701</v>
      </c>
      <c r="L516" s="9">
        <v>45704</v>
      </c>
      <c r="M516" s="9">
        <v>45701</v>
      </c>
      <c r="N516" s="2" t="s">
        <v>696</v>
      </c>
      <c r="O516" s="2" t="s">
        <v>52</v>
      </c>
      <c r="P516" s="2" t="s">
        <v>382</v>
      </c>
      <c r="Q516" s="2" t="s">
        <v>197</v>
      </c>
      <c r="R516" s="2" t="s">
        <v>137</v>
      </c>
      <c r="S516" s="2" t="s">
        <v>383</v>
      </c>
      <c r="T516" s="10">
        <v>505.48</v>
      </c>
      <c r="U516" s="11">
        <v>1</v>
      </c>
      <c r="V516" s="12">
        <f>T516*U516</f>
        <v>505.48</v>
      </c>
      <c r="W516" s="13">
        <v>0</v>
      </c>
      <c r="X516" s="12">
        <f>V516-(V516/(1+W516))</f>
        <v>0</v>
      </c>
      <c r="Y516" s="12">
        <f>V516-X516</f>
        <v>505.48</v>
      </c>
      <c r="Z516" s="14">
        <v>1400</v>
      </c>
      <c r="AA516" s="2" t="str">
        <f>IF(V516&gt;Z516,"Yes","No")</f>
        <v>No</v>
      </c>
      <c r="AB516" s="12">
        <f>V516-Z516</f>
        <v>-894.52</v>
      </c>
      <c r="AC516" s="15" t="s">
        <v>130</v>
      </c>
      <c r="AD516" s="15" t="s">
        <v>131</v>
      </c>
      <c r="AE516" s="15" t="s">
        <v>437</v>
      </c>
      <c r="AF516" s="12">
        <f>IF(AG516="Rejected",0,IF(R516="Corporate Card",0,V516))</f>
        <v>505.48</v>
      </c>
      <c r="AG516" s="15" t="s">
        <v>133</v>
      </c>
      <c r="AH516" s="16">
        <v>45708</v>
      </c>
      <c r="AI516" s="16">
        <v>45711</v>
      </c>
      <c r="AJ516" s="16">
        <v>45724</v>
      </c>
      <c r="AK516" s="17">
        <f>IF(AJ516="","",AJ516-AH516)</f>
        <v>16</v>
      </c>
    </row>
    <row r="517" spans="1:37">
      <c r="A517" s="2" t="s">
        <v>885</v>
      </c>
      <c r="B517" s="2" t="s">
        <v>882</v>
      </c>
      <c r="C517" s="2" t="s">
        <v>446</v>
      </c>
      <c r="D517" s="2" t="s">
        <v>444</v>
      </c>
      <c r="E517" s="2" t="s">
        <v>883</v>
      </c>
      <c r="F517" s="2" t="s">
        <v>313</v>
      </c>
      <c r="G517" s="2" t="s">
        <v>884</v>
      </c>
      <c r="H517" s="2" t="s">
        <v>122</v>
      </c>
      <c r="I517" s="2" t="s">
        <v>380</v>
      </c>
      <c r="J517" s="2" t="s">
        <v>381</v>
      </c>
      <c r="K517" s="9">
        <v>45701</v>
      </c>
      <c r="L517" s="9">
        <v>45704</v>
      </c>
      <c r="M517" s="9">
        <v>45701</v>
      </c>
      <c r="N517" s="2" t="s">
        <v>696</v>
      </c>
      <c r="O517" s="2" t="s">
        <v>64</v>
      </c>
      <c r="P517" s="2" t="s">
        <v>135</v>
      </c>
      <c r="Q517" s="2" t="s">
        <v>513</v>
      </c>
      <c r="R517" s="2" t="s">
        <v>128</v>
      </c>
      <c r="S517" s="2" t="s">
        <v>383</v>
      </c>
      <c r="T517" s="10">
        <v>72.989999999999995</v>
      </c>
      <c r="U517" s="11">
        <v>1</v>
      </c>
      <c r="V517" s="12">
        <f>T517*U517</f>
        <v>72.989999999999995</v>
      </c>
      <c r="W517" s="13">
        <v>0</v>
      </c>
      <c r="X517" s="12">
        <f>V517-(V517/(1+W517))</f>
        <v>0</v>
      </c>
      <c r="Y517" s="12">
        <f>V517-X517</f>
        <v>72.989999999999995</v>
      </c>
      <c r="Z517" s="14">
        <v>120</v>
      </c>
      <c r="AA517" s="2" t="str">
        <f>IF(V517&gt;Z517,"Yes","No")</f>
        <v>No</v>
      </c>
      <c r="AB517" s="12">
        <f>V517-Z517</f>
        <v>-47.010000000000005</v>
      </c>
      <c r="AC517" s="15" t="s">
        <v>130</v>
      </c>
      <c r="AD517" s="15" t="s">
        <v>131</v>
      </c>
      <c r="AE517" s="15" t="s">
        <v>437</v>
      </c>
      <c r="AF517" s="12">
        <f>IF(AG517="Rejected",0,IF(R517="Corporate Card",0,V517))</f>
        <v>0</v>
      </c>
      <c r="AG517" s="15" t="s">
        <v>133</v>
      </c>
      <c r="AH517" s="16">
        <v>45708</v>
      </c>
      <c r="AI517" s="16">
        <v>45711</v>
      </c>
      <c r="AJ517" s="16">
        <v>45724</v>
      </c>
      <c r="AK517" s="17">
        <f>IF(AJ517="","",AJ517-AH517)</f>
        <v>16</v>
      </c>
    </row>
    <row r="518" spans="1:37">
      <c r="A518" s="2" t="s">
        <v>886</v>
      </c>
      <c r="B518" s="2" t="s">
        <v>882</v>
      </c>
      <c r="C518" s="2" t="s">
        <v>446</v>
      </c>
      <c r="D518" s="2" t="s">
        <v>444</v>
      </c>
      <c r="E518" s="2" t="s">
        <v>883</v>
      </c>
      <c r="F518" s="2" t="s">
        <v>313</v>
      </c>
      <c r="G518" s="2" t="s">
        <v>884</v>
      </c>
      <c r="H518" s="2" t="s">
        <v>122</v>
      </c>
      <c r="I518" s="2" t="s">
        <v>380</v>
      </c>
      <c r="J518" s="2" t="s">
        <v>381</v>
      </c>
      <c r="K518" s="9">
        <v>45701</v>
      </c>
      <c r="L518" s="9">
        <v>45704</v>
      </c>
      <c r="M518" s="9">
        <v>45701</v>
      </c>
      <c r="N518" s="2" t="s">
        <v>696</v>
      </c>
      <c r="O518" s="2" t="s">
        <v>58</v>
      </c>
      <c r="P518" s="2" t="s">
        <v>142</v>
      </c>
      <c r="Q518" s="2" t="s">
        <v>203</v>
      </c>
      <c r="R518" s="2" t="s">
        <v>128</v>
      </c>
      <c r="S518" s="2" t="s">
        <v>383</v>
      </c>
      <c r="T518" s="10">
        <v>42.45</v>
      </c>
      <c r="U518" s="11">
        <v>1</v>
      </c>
      <c r="V518" s="12">
        <f>T518*U518</f>
        <v>42.45</v>
      </c>
      <c r="W518" s="13">
        <v>0</v>
      </c>
      <c r="X518" s="12">
        <f>V518-(V518/(1+W518))</f>
        <v>0</v>
      </c>
      <c r="Y518" s="12">
        <f>V518-X518</f>
        <v>42.45</v>
      </c>
      <c r="Z518" s="14">
        <v>60</v>
      </c>
      <c r="AA518" s="2" t="str">
        <f>IF(V518&gt;Z518,"Yes","No")</f>
        <v>No</v>
      </c>
      <c r="AB518" s="12">
        <f>V518-Z518</f>
        <v>-17.549999999999997</v>
      </c>
      <c r="AC518" s="15" t="s">
        <v>130</v>
      </c>
      <c r="AD518" s="15" t="s">
        <v>131</v>
      </c>
      <c r="AE518" s="15" t="s">
        <v>437</v>
      </c>
      <c r="AF518" s="12">
        <f>IF(AG518="Rejected",0,IF(R518="Corporate Card",0,V518))</f>
        <v>0</v>
      </c>
      <c r="AG518" s="15" t="s">
        <v>133</v>
      </c>
      <c r="AH518" s="16">
        <v>45708</v>
      </c>
      <c r="AI518" s="16">
        <v>45711</v>
      </c>
      <c r="AJ518" s="16">
        <v>45724</v>
      </c>
      <c r="AK518" s="17">
        <f>IF(AJ518="","",AJ518-AH518)</f>
        <v>16</v>
      </c>
    </row>
    <row r="519" spans="1:37">
      <c r="A519" s="2" t="s">
        <v>887</v>
      </c>
      <c r="B519" s="2" t="s">
        <v>882</v>
      </c>
      <c r="C519" s="2" t="s">
        <v>446</v>
      </c>
      <c r="D519" s="2" t="s">
        <v>444</v>
      </c>
      <c r="E519" s="2" t="s">
        <v>883</v>
      </c>
      <c r="F519" s="2" t="s">
        <v>313</v>
      </c>
      <c r="G519" s="2" t="s">
        <v>884</v>
      </c>
      <c r="H519" s="2" t="s">
        <v>122</v>
      </c>
      <c r="I519" s="2" t="s">
        <v>380</v>
      </c>
      <c r="J519" s="2" t="s">
        <v>381</v>
      </c>
      <c r="K519" s="9">
        <v>45701</v>
      </c>
      <c r="L519" s="9">
        <v>45704</v>
      </c>
      <c r="M519" s="9">
        <v>45701</v>
      </c>
      <c r="N519" s="2" t="s">
        <v>696</v>
      </c>
      <c r="O519" s="2" t="s">
        <v>56</v>
      </c>
      <c r="P519" s="2" t="s">
        <v>165</v>
      </c>
      <c r="Q519" s="2" t="s">
        <v>152</v>
      </c>
      <c r="R519" s="2" t="s">
        <v>149</v>
      </c>
      <c r="S519" s="2" t="s">
        <v>383</v>
      </c>
      <c r="T519" s="10">
        <v>61.14</v>
      </c>
      <c r="U519" s="11">
        <v>1</v>
      </c>
      <c r="V519" s="12">
        <f>T519*U519</f>
        <v>61.14</v>
      </c>
      <c r="W519" s="13">
        <v>0</v>
      </c>
      <c r="X519" s="12">
        <f>V519-(V519/(1+W519))</f>
        <v>0</v>
      </c>
      <c r="Y519" s="12">
        <f>V519-X519</f>
        <v>61.14</v>
      </c>
      <c r="Z519" s="14">
        <v>75</v>
      </c>
      <c r="AA519" s="2" t="str">
        <f>IF(V519&gt;Z519,"Yes","No")</f>
        <v>No</v>
      </c>
      <c r="AB519" s="12">
        <f>V519-Z519</f>
        <v>-13.86</v>
      </c>
      <c r="AC519" s="15" t="s">
        <v>130</v>
      </c>
      <c r="AD519" s="15" t="s">
        <v>131</v>
      </c>
      <c r="AE519" s="15" t="s">
        <v>437</v>
      </c>
      <c r="AF519" s="12">
        <f>IF(AG519="Rejected",0,IF(R519="Corporate Card",0,V519))</f>
        <v>61.14</v>
      </c>
      <c r="AG519" s="15" t="s">
        <v>133</v>
      </c>
      <c r="AH519" s="16">
        <v>45708</v>
      </c>
      <c r="AI519" s="16">
        <v>45711</v>
      </c>
      <c r="AJ519" s="16">
        <v>45724</v>
      </c>
      <c r="AK519" s="17">
        <f>IF(AJ519="","",AJ519-AH519)</f>
        <v>16</v>
      </c>
    </row>
    <row r="520" spans="1:37">
      <c r="A520" s="2" t="s">
        <v>888</v>
      </c>
      <c r="B520" s="2" t="s">
        <v>882</v>
      </c>
      <c r="C520" s="2" t="s">
        <v>446</v>
      </c>
      <c r="D520" s="2" t="s">
        <v>444</v>
      </c>
      <c r="E520" s="2" t="s">
        <v>883</v>
      </c>
      <c r="F520" s="2" t="s">
        <v>313</v>
      </c>
      <c r="G520" s="2" t="s">
        <v>884</v>
      </c>
      <c r="H520" s="2" t="s">
        <v>122</v>
      </c>
      <c r="I520" s="2" t="s">
        <v>380</v>
      </c>
      <c r="J520" s="2" t="s">
        <v>381</v>
      </c>
      <c r="K520" s="9">
        <v>45701</v>
      </c>
      <c r="L520" s="9">
        <v>45704</v>
      </c>
      <c r="M520" s="9">
        <v>45701</v>
      </c>
      <c r="N520" s="2" t="s">
        <v>696</v>
      </c>
      <c r="O520" s="2" t="s">
        <v>55</v>
      </c>
      <c r="P520" s="2" t="s">
        <v>139</v>
      </c>
      <c r="Q520" s="2" t="s">
        <v>161</v>
      </c>
      <c r="R520" s="2" t="s">
        <v>128</v>
      </c>
      <c r="S520" s="2" t="s">
        <v>383</v>
      </c>
      <c r="T520" s="10">
        <v>17.39</v>
      </c>
      <c r="U520" s="11">
        <v>1</v>
      </c>
      <c r="V520" s="12">
        <f>T520*U520</f>
        <v>17.39</v>
      </c>
      <c r="W520" s="13">
        <v>0</v>
      </c>
      <c r="X520" s="12">
        <f>V520-(V520/(1+W520))</f>
        <v>0</v>
      </c>
      <c r="Y520" s="12">
        <f>V520-X520</f>
        <v>17.39</v>
      </c>
      <c r="Z520" s="14">
        <v>35</v>
      </c>
      <c r="AA520" s="2" t="str">
        <f>IF(V520&gt;Z520,"Yes","No")</f>
        <v>No</v>
      </c>
      <c r="AB520" s="12">
        <f>V520-Z520</f>
        <v>-17.61</v>
      </c>
      <c r="AC520" s="15" t="s">
        <v>130</v>
      </c>
      <c r="AD520" s="15" t="s">
        <v>131</v>
      </c>
      <c r="AE520" s="15" t="s">
        <v>437</v>
      </c>
      <c r="AF520" s="12">
        <f>IF(AG520="Rejected",0,IF(R520="Corporate Card",0,V520))</f>
        <v>0</v>
      </c>
      <c r="AG520" s="15" t="s">
        <v>133</v>
      </c>
      <c r="AH520" s="16">
        <v>45708</v>
      </c>
      <c r="AI520" s="16">
        <v>45711</v>
      </c>
      <c r="AJ520" s="16">
        <v>45724</v>
      </c>
      <c r="AK520" s="17">
        <f>IF(AJ520="","",AJ520-AH520)</f>
        <v>16</v>
      </c>
    </row>
    <row r="521" spans="1:37">
      <c r="A521" s="2" t="s">
        <v>889</v>
      </c>
      <c r="B521" s="2" t="s">
        <v>616</v>
      </c>
      <c r="C521" s="2" t="s">
        <v>252</v>
      </c>
      <c r="D521" s="2" t="s">
        <v>250</v>
      </c>
      <c r="E521" s="2" t="s">
        <v>617</v>
      </c>
      <c r="F521" s="2" t="s">
        <v>510</v>
      </c>
      <c r="G521" s="2" t="s">
        <v>857</v>
      </c>
      <c r="H521" s="2" t="s">
        <v>291</v>
      </c>
      <c r="I521" s="2" t="s">
        <v>601</v>
      </c>
      <c r="J521" s="2" t="s">
        <v>381</v>
      </c>
      <c r="K521" s="9">
        <v>45700</v>
      </c>
      <c r="L521" s="9">
        <v>45704</v>
      </c>
      <c r="M521" s="9">
        <v>45701</v>
      </c>
      <c r="N521" s="2" t="s">
        <v>696</v>
      </c>
      <c r="O521" s="2" t="s">
        <v>59</v>
      </c>
      <c r="P521" s="2" t="s">
        <v>301</v>
      </c>
      <c r="Q521" s="2" t="s">
        <v>452</v>
      </c>
      <c r="R521" s="2" t="s">
        <v>149</v>
      </c>
      <c r="S521" s="2" t="s">
        <v>383</v>
      </c>
      <c r="T521" s="10">
        <v>73.510000000000005</v>
      </c>
      <c r="U521" s="11">
        <v>1</v>
      </c>
      <c r="V521" s="12">
        <f>T521*U521</f>
        <v>73.510000000000005</v>
      </c>
      <c r="W521" s="13">
        <v>0</v>
      </c>
      <c r="X521" s="12">
        <f>V521-(V521/(1+W521))</f>
        <v>0</v>
      </c>
      <c r="Y521" s="12">
        <f>V521-X521</f>
        <v>73.510000000000005</v>
      </c>
      <c r="Z521" s="14">
        <v>150</v>
      </c>
      <c r="AA521" s="2" t="str">
        <f>IF(V521&gt;Z521,"Yes","No")</f>
        <v>No</v>
      </c>
      <c r="AB521" s="12">
        <f>V521-Z521</f>
        <v>-76.489999999999995</v>
      </c>
      <c r="AC521" s="15" t="s">
        <v>130</v>
      </c>
      <c r="AD521" s="15" t="s">
        <v>130</v>
      </c>
      <c r="AE521" s="15" t="s">
        <v>858</v>
      </c>
      <c r="AF521" s="12">
        <f>IF(AG521="Rejected",0,IF(R521="Corporate Card",0,V521))</f>
        <v>73.510000000000005</v>
      </c>
      <c r="AG521" s="15" t="s">
        <v>133</v>
      </c>
      <c r="AH521" s="16">
        <v>45712</v>
      </c>
      <c r="AI521" s="16">
        <v>45717</v>
      </c>
      <c r="AJ521" s="16">
        <v>45721</v>
      </c>
      <c r="AK521" s="17">
        <f>IF(AJ521="","",AJ521-AH521)</f>
        <v>9</v>
      </c>
    </row>
    <row r="522" spans="1:37">
      <c r="A522" s="2" t="s">
        <v>890</v>
      </c>
      <c r="B522" s="2" t="s">
        <v>616</v>
      </c>
      <c r="C522" s="2" t="s">
        <v>252</v>
      </c>
      <c r="D522" s="2" t="s">
        <v>250</v>
      </c>
      <c r="E522" s="2" t="s">
        <v>617</v>
      </c>
      <c r="F522" s="2" t="s">
        <v>510</v>
      </c>
      <c r="G522" s="2" t="s">
        <v>857</v>
      </c>
      <c r="H522" s="2" t="s">
        <v>291</v>
      </c>
      <c r="I522" s="2" t="s">
        <v>601</v>
      </c>
      <c r="J522" s="2" t="s">
        <v>381</v>
      </c>
      <c r="K522" s="9">
        <v>45700</v>
      </c>
      <c r="L522" s="9">
        <v>45704</v>
      </c>
      <c r="M522" s="9">
        <v>45701</v>
      </c>
      <c r="N522" s="2" t="s">
        <v>696</v>
      </c>
      <c r="O522" s="2" t="s">
        <v>58</v>
      </c>
      <c r="P522" s="2" t="s">
        <v>142</v>
      </c>
      <c r="Q522" s="2" t="s">
        <v>224</v>
      </c>
      <c r="R522" s="2" t="s">
        <v>128</v>
      </c>
      <c r="S522" s="2" t="s">
        <v>383</v>
      </c>
      <c r="T522" s="10">
        <v>24.42</v>
      </c>
      <c r="U522" s="11">
        <v>1</v>
      </c>
      <c r="V522" s="12">
        <f>T522*U522</f>
        <v>24.42</v>
      </c>
      <c r="W522" s="13">
        <v>0</v>
      </c>
      <c r="X522" s="12">
        <f>V522-(V522/(1+W522))</f>
        <v>0</v>
      </c>
      <c r="Y522" s="12">
        <f>V522-X522</f>
        <v>24.42</v>
      </c>
      <c r="Z522" s="14">
        <v>60</v>
      </c>
      <c r="AA522" s="2" t="str">
        <f>IF(V522&gt;Z522,"Yes","No")</f>
        <v>No</v>
      </c>
      <c r="AB522" s="12">
        <f>V522-Z522</f>
        <v>-35.58</v>
      </c>
      <c r="AC522" s="15" t="s">
        <v>131</v>
      </c>
      <c r="AD522" s="15" t="s">
        <v>130</v>
      </c>
      <c r="AE522" s="15" t="s">
        <v>858</v>
      </c>
      <c r="AF522" s="12">
        <f>IF(AG522="Rejected",0,IF(R522="Corporate Card",0,V522))</f>
        <v>0</v>
      </c>
      <c r="AG522" s="15" t="s">
        <v>133</v>
      </c>
      <c r="AH522" s="16">
        <v>45712</v>
      </c>
      <c r="AI522" s="16">
        <v>45717</v>
      </c>
      <c r="AJ522" s="16">
        <v>45721</v>
      </c>
      <c r="AK522" s="17">
        <f>IF(AJ522="","",AJ522-AH522)</f>
        <v>9</v>
      </c>
    </row>
    <row r="523" spans="1:37">
      <c r="A523" s="2" t="s">
        <v>891</v>
      </c>
      <c r="B523" s="2" t="s">
        <v>616</v>
      </c>
      <c r="C523" s="2" t="s">
        <v>252</v>
      </c>
      <c r="D523" s="2" t="s">
        <v>250</v>
      </c>
      <c r="E523" s="2" t="s">
        <v>617</v>
      </c>
      <c r="F523" s="2" t="s">
        <v>510</v>
      </c>
      <c r="G523" s="2" t="s">
        <v>857</v>
      </c>
      <c r="H523" s="2" t="s">
        <v>291</v>
      </c>
      <c r="I523" s="2" t="s">
        <v>601</v>
      </c>
      <c r="J523" s="2" t="s">
        <v>381</v>
      </c>
      <c r="K523" s="9">
        <v>45700</v>
      </c>
      <c r="L523" s="9">
        <v>45704</v>
      </c>
      <c r="M523" s="9">
        <v>45701</v>
      </c>
      <c r="N523" s="2" t="s">
        <v>696</v>
      </c>
      <c r="O523" s="2" t="s">
        <v>53</v>
      </c>
      <c r="P523" s="2" t="s">
        <v>457</v>
      </c>
      <c r="Q523" s="2" t="s">
        <v>305</v>
      </c>
      <c r="R523" s="2" t="s">
        <v>128</v>
      </c>
      <c r="S523" s="2" t="s">
        <v>383</v>
      </c>
      <c r="T523" s="10">
        <v>641.33000000000004</v>
      </c>
      <c r="U523" s="11">
        <v>1</v>
      </c>
      <c r="V523" s="12">
        <f>T523*U523</f>
        <v>641.33000000000004</v>
      </c>
      <c r="W523" s="13">
        <v>0</v>
      </c>
      <c r="X523" s="12">
        <f>V523-(V523/(1+W523))</f>
        <v>0</v>
      </c>
      <c r="Y523" s="12">
        <f>V523-X523</f>
        <v>641.33000000000004</v>
      </c>
      <c r="Z523" s="14">
        <v>1120</v>
      </c>
      <c r="AA523" s="2" t="str">
        <f>IF(V523&gt;Z523,"Yes","No")</f>
        <v>No</v>
      </c>
      <c r="AB523" s="12">
        <f>V523-Z523</f>
        <v>-478.66999999999996</v>
      </c>
      <c r="AC523" s="15" t="s">
        <v>130</v>
      </c>
      <c r="AD523" s="15" t="s">
        <v>130</v>
      </c>
      <c r="AE523" s="15" t="s">
        <v>858</v>
      </c>
      <c r="AF523" s="12">
        <f>IF(AG523="Rejected",0,IF(R523="Corporate Card",0,V523))</f>
        <v>0</v>
      </c>
      <c r="AG523" s="15" t="s">
        <v>133</v>
      </c>
      <c r="AH523" s="16">
        <v>45712</v>
      </c>
      <c r="AI523" s="16">
        <v>45717</v>
      </c>
      <c r="AJ523" s="16">
        <v>45721</v>
      </c>
      <c r="AK523" s="17">
        <f>IF(AJ523="","",AJ523-AH523)</f>
        <v>9</v>
      </c>
    </row>
    <row r="524" spans="1:37">
      <c r="A524" s="2" t="s">
        <v>892</v>
      </c>
      <c r="B524" s="2" t="s">
        <v>616</v>
      </c>
      <c r="C524" s="2" t="s">
        <v>252</v>
      </c>
      <c r="D524" s="2" t="s">
        <v>250</v>
      </c>
      <c r="E524" s="2" t="s">
        <v>617</v>
      </c>
      <c r="F524" s="2" t="s">
        <v>510</v>
      </c>
      <c r="G524" s="2" t="s">
        <v>857</v>
      </c>
      <c r="H524" s="2" t="s">
        <v>291</v>
      </c>
      <c r="I524" s="2" t="s">
        <v>601</v>
      </c>
      <c r="J524" s="2" t="s">
        <v>381</v>
      </c>
      <c r="K524" s="9">
        <v>45700</v>
      </c>
      <c r="L524" s="9">
        <v>45704</v>
      </c>
      <c r="M524" s="9">
        <v>45701</v>
      </c>
      <c r="N524" s="2" t="s">
        <v>696</v>
      </c>
      <c r="O524" s="2" t="s">
        <v>54</v>
      </c>
      <c r="P524" s="2" t="s">
        <v>139</v>
      </c>
      <c r="Q524" s="2" t="s">
        <v>148</v>
      </c>
      <c r="R524" s="2" t="s">
        <v>149</v>
      </c>
      <c r="S524" s="2" t="s">
        <v>383</v>
      </c>
      <c r="T524" s="10">
        <v>13.59</v>
      </c>
      <c r="U524" s="11">
        <v>1</v>
      </c>
      <c r="V524" s="12">
        <f>T524*U524</f>
        <v>13.59</v>
      </c>
      <c r="W524" s="13">
        <v>0</v>
      </c>
      <c r="X524" s="12">
        <f>V524-(V524/(1+W524))</f>
        <v>0</v>
      </c>
      <c r="Y524" s="12">
        <f>V524-X524</f>
        <v>13.59</v>
      </c>
      <c r="Z524" s="14">
        <v>25</v>
      </c>
      <c r="AA524" s="2" t="str">
        <f>IF(V524&gt;Z524,"Yes","No")</f>
        <v>No</v>
      </c>
      <c r="AB524" s="12">
        <f>V524-Z524</f>
        <v>-11.41</v>
      </c>
      <c r="AC524" s="15" t="s">
        <v>130</v>
      </c>
      <c r="AD524" s="15" t="s">
        <v>130</v>
      </c>
      <c r="AE524" s="15" t="s">
        <v>858</v>
      </c>
      <c r="AF524" s="12">
        <f>IF(AG524="Rejected",0,IF(R524="Corporate Card",0,V524))</f>
        <v>13.59</v>
      </c>
      <c r="AG524" s="15" t="s">
        <v>133</v>
      </c>
      <c r="AH524" s="16">
        <v>45712</v>
      </c>
      <c r="AI524" s="16">
        <v>45717</v>
      </c>
      <c r="AJ524" s="16">
        <v>45721</v>
      </c>
      <c r="AK524" s="17">
        <f>IF(AJ524="","",AJ524-AH524)</f>
        <v>9</v>
      </c>
    </row>
    <row r="525" spans="1:37">
      <c r="A525" s="2" t="s">
        <v>893</v>
      </c>
      <c r="B525" s="2" t="s">
        <v>616</v>
      </c>
      <c r="C525" s="2" t="s">
        <v>252</v>
      </c>
      <c r="D525" s="2" t="s">
        <v>250</v>
      </c>
      <c r="E525" s="2" t="s">
        <v>617</v>
      </c>
      <c r="F525" s="2" t="s">
        <v>510</v>
      </c>
      <c r="G525" s="2" t="s">
        <v>857</v>
      </c>
      <c r="H525" s="2" t="s">
        <v>291</v>
      </c>
      <c r="I525" s="2" t="s">
        <v>601</v>
      </c>
      <c r="J525" s="2" t="s">
        <v>381</v>
      </c>
      <c r="K525" s="9">
        <v>45700</v>
      </c>
      <c r="L525" s="9">
        <v>45704</v>
      </c>
      <c r="M525" s="9">
        <v>45701</v>
      </c>
      <c r="N525" s="2" t="s">
        <v>696</v>
      </c>
      <c r="O525" s="2" t="s">
        <v>56</v>
      </c>
      <c r="P525" s="2" t="s">
        <v>231</v>
      </c>
      <c r="Q525" s="2" t="s">
        <v>159</v>
      </c>
      <c r="R525" s="2" t="s">
        <v>128</v>
      </c>
      <c r="S525" s="2" t="s">
        <v>383</v>
      </c>
      <c r="T525" s="10">
        <v>43.49</v>
      </c>
      <c r="U525" s="11">
        <v>1</v>
      </c>
      <c r="V525" s="12">
        <f>T525*U525</f>
        <v>43.49</v>
      </c>
      <c r="W525" s="13">
        <v>0</v>
      </c>
      <c r="X525" s="12">
        <f>V525-(V525/(1+W525))</f>
        <v>0</v>
      </c>
      <c r="Y525" s="12">
        <f>V525-X525</f>
        <v>43.49</v>
      </c>
      <c r="Z525" s="14">
        <v>75</v>
      </c>
      <c r="AA525" s="2" t="str">
        <f>IF(V525&gt;Z525,"Yes","No")</f>
        <v>No</v>
      </c>
      <c r="AB525" s="12">
        <f>V525-Z525</f>
        <v>-31.509999999999998</v>
      </c>
      <c r="AC525" s="15" t="s">
        <v>130</v>
      </c>
      <c r="AD525" s="15" t="s">
        <v>130</v>
      </c>
      <c r="AE525" s="15" t="s">
        <v>858</v>
      </c>
      <c r="AF525" s="12">
        <f>IF(AG525="Rejected",0,IF(R525="Corporate Card",0,V525))</f>
        <v>0</v>
      </c>
      <c r="AG525" s="15" t="s">
        <v>133</v>
      </c>
      <c r="AH525" s="16">
        <v>45712</v>
      </c>
      <c r="AI525" s="16">
        <v>45717</v>
      </c>
      <c r="AJ525" s="16">
        <v>45721</v>
      </c>
      <c r="AK525" s="17">
        <f>IF(AJ525="","",AJ525-AH525)</f>
        <v>9</v>
      </c>
    </row>
    <row r="526" spans="1:37">
      <c r="A526" s="2" t="s">
        <v>894</v>
      </c>
      <c r="B526" s="2" t="s">
        <v>616</v>
      </c>
      <c r="C526" s="2" t="s">
        <v>252</v>
      </c>
      <c r="D526" s="2" t="s">
        <v>250</v>
      </c>
      <c r="E526" s="2" t="s">
        <v>617</v>
      </c>
      <c r="F526" s="2" t="s">
        <v>510</v>
      </c>
      <c r="G526" s="2" t="s">
        <v>857</v>
      </c>
      <c r="H526" s="2" t="s">
        <v>291</v>
      </c>
      <c r="I526" s="2" t="s">
        <v>601</v>
      </c>
      <c r="J526" s="2" t="s">
        <v>381</v>
      </c>
      <c r="K526" s="9">
        <v>45700</v>
      </c>
      <c r="L526" s="9">
        <v>45704</v>
      </c>
      <c r="M526" s="9">
        <v>45701</v>
      </c>
      <c r="N526" s="2" t="s">
        <v>696</v>
      </c>
      <c r="O526" s="2" t="s">
        <v>55</v>
      </c>
      <c r="P526" s="2" t="s">
        <v>139</v>
      </c>
      <c r="Q526" s="2" t="s">
        <v>217</v>
      </c>
      <c r="R526" s="2" t="s">
        <v>128</v>
      </c>
      <c r="S526" s="2" t="s">
        <v>383</v>
      </c>
      <c r="T526" s="10">
        <v>25.52</v>
      </c>
      <c r="U526" s="11">
        <v>1</v>
      </c>
      <c r="V526" s="12">
        <f>T526*U526</f>
        <v>25.52</v>
      </c>
      <c r="W526" s="13">
        <v>0</v>
      </c>
      <c r="X526" s="12">
        <f>V526-(V526/(1+W526))</f>
        <v>0</v>
      </c>
      <c r="Y526" s="12">
        <f>V526-X526</f>
        <v>25.52</v>
      </c>
      <c r="Z526" s="14">
        <v>35</v>
      </c>
      <c r="AA526" s="2" t="str">
        <f>IF(V526&gt;Z526,"Yes","No")</f>
        <v>No</v>
      </c>
      <c r="AB526" s="12">
        <f>V526-Z526</f>
        <v>-9.48</v>
      </c>
      <c r="AC526" s="15" t="s">
        <v>130</v>
      </c>
      <c r="AD526" s="15" t="s">
        <v>130</v>
      </c>
      <c r="AE526" s="15" t="s">
        <v>858</v>
      </c>
      <c r="AF526" s="12">
        <f>IF(AG526="Rejected",0,IF(R526="Corporate Card",0,V526))</f>
        <v>0</v>
      </c>
      <c r="AG526" s="15" t="s">
        <v>133</v>
      </c>
      <c r="AH526" s="16">
        <v>45712</v>
      </c>
      <c r="AI526" s="16">
        <v>45717</v>
      </c>
      <c r="AJ526" s="16">
        <v>45721</v>
      </c>
      <c r="AK526" s="17">
        <f>IF(AJ526="","",AJ526-AH526)</f>
        <v>9</v>
      </c>
    </row>
    <row r="527" spans="1:37">
      <c r="A527" s="2" t="s">
        <v>895</v>
      </c>
      <c r="B527" s="2" t="s">
        <v>863</v>
      </c>
      <c r="C527" s="2" t="s">
        <v>864</v>
      </c>
      <c r="D527" s="2" t="s">
        <v>865</v>
      </c>
      <c r="E527" s="2" t="s">
        <v>866</v>
      </c>
      <c r="F527" s="2" t="s">
        <v>867</v>
      </c>
      <c r="G527" s="2" t="s">
        <v>868</v>
      </c>
      <c r="H527" s="2" t="s">
        <v>448</v>
      </c>
      <c r="I527" s="2" t="s">
        <v>123</v>
      </c>
      <c r="J527" s="2" t="s">
        <v>124</v>
      </c>
      <c r="K527" s="9">
        <v>45700</v>
      </c>
      <c r="L527" s="9">
        <v>45707</v>
      </c>
      <c r="M527" s="9">
        <v>45701</v>
      </c>
      <c r="N527" s="2" t="s">
        <v>696</v>
      </c>
      <c r="O527" s="2" t="s">
        <v>59</v>
      </c>
      <c r="P527" s="2" t="s">
        <v>301</v>
      </c>
      <c r="Q527" s="2" t="s">
        <v>581</v>
      </c>
      <c r="R527" s="2" t="s">
        <v>128</v>
      </c>
      <c r="S527" s="2" t="s">
        <v>129</v>
      </c>
      <c r="T527" s="10">
        <v>106.52</v>
      </c>
      <c r="U527" s="11">
        <v>1.272</v>
      </c>
      <c r="V527" s="12">
        <f>T527*U527</f>
        <v>135.49343999999999</v>
      </c>
      <c r="W527" s="13">
        <v>0.2</v>
      </c>
      <c r="X527" s="12">
        <f>V527-(V527/(1+W527))</f>
        <v>22.582239999999999</v>
      </c>
      <c r="Y527" s="12">
        <f>V527-X527</f>
        <v>112.91119999999999</v>
      </c>
      <c r="Z527" s="14">
        <v>150</v>
      </c>
      <c r="AA527" s="2" t="str">
        <f>IF(V527&gt;Z527,"Yes","No")</f>
        <v>No</v>
      </c>
      <c r="AB527" s="12">
        <f>V527-Z527</f>
        <v>-14.506560000000007</v>
      </c>
      <c r="AC527" s="15" t="s">
        <v>130</v>
      </c>
      <c r="AD527" s="15" t="s">
        <v>130</v>
      </c>
      <c r="AE527" s="15" t="s">
        <v>180</v>
      </c>
      <c r="AF527" s="12">
        <f>IF(AG527="Rejected",0,IF(R527="Corporate Card",0,V527))</f>
        <v>0</v>
      </c>
      <c r="AG527" s="15" t="s">
        <v>181</v>
      </c>
      <c r="AH527" s="16">
        <v>45709</v>
      </c>
      <c r="AI527" s="16"/>
      <c r="AJ527" s="16"/>
      <c r="AK527" s="17" t="str">
        <f>IF(AJ527="","",AJ527-AH527)</f>
        <v/>
      </c>
    </row>
    <row r="528" spans="1:37">
      <c r="A528" s="2" t="s">
        <v>896</v>
      </c>
      <c r="B528" s="2" t="s">
        <v>863</v>
      </c>
      <c r="C528" s="2" t="s">
        <v>864</v>
      </c>
      <c r="D528" s="2" t="s">
        <v>865</v>
      </c>
      <c r="E528" s="2" t="s">
        <v>866</v>
      </c>
      <c r="F528" s="2" t="s">
        <v>867</v>
      </c>
      <c r="G528" s="2" t="s">
        <v>868</v>
      </c>
      <c r="H528" s="2" t="s">
        <v>448</v>
      </c>
      <c r="I528" s="2" t="s">
        <v>123</v>
      </c>
      <c r="J528" s="2" t="s">
        <v>124</v>
      </c>
      <c r="K528" s="9">
        <v>45700</v>
      </c>
      <c r="L528" s="9">
        <v>45707</v>
      </c>
      <c r="M528" s="9">
        <v>45701</v>
      </c>
      <c r="N528" s="2" t="s">
        <v>696</v>
      </c>
      <c r="O528" s="2" t="s">
        <v>53</v>
      </c>
      <c r="P528" s="2" t="s">
        <v>208</v>
      </c>
      <c r="Q528" s="2" t="s">
        <v>468</v>
      </c>
      <c r="R528" s="2" t="s">
        <v>128</v>
      </c>
      <c r="S528" s="2" t="s">
        <v>129</v>
      </c>
      <c r="T528" s="10">
        <v>622.17999999999995</v>
      </c>
      <c r="U528" s="11">
        <v>1.272</v>
      </c>
      <c r="V528" s="12">
        <f>T528*U528</f>
        <v>791.41296</v>
      </c>
      <c r="W528" s="13">
        <v>0.2</v>
      </c>
      <c r="X528" s="12">
        <f>V528-(V528/(1+W528))</f>
        <v>131.90215999999998</v>
      </c>
      <c r="Y528" s="12">
        <f>V528-X528</f>
        <v>659.51080000000002</v>
      </c>
      <c r="Z528" s="14">
        <v>1960</v>
      </c>
      <c r="AA528" s="2" t="str">
        <f>IF(V528&gt;Z528,"Yes","No")</f>
        <v>No</v>
      </c>
      <c r="AB528" s="12">
        <f>V528-Z528</f>
        <v>-1168.5870399999999</v>
      </c>
      <c r="AC528" s="15" t="s">
        <v>130</v>
      </c>
      <c r="AD528" s="15" t="s">
        <v>130</v>
      </c>
      <c r="AE528" s="15" t="s">
        <v>180</v>
      </c>
      <c r="AF528" s="12">
        <f>IF(AG528="Rejected",0,IF(R528="Corporate Card",0,V528))</f>
        <v>0</v>
      </c>
      <c r="AG528" s="15" t="s">
        <v>181</v>
      </c>
      <c r="AH528" s="16">
        <v>45709</v>
      </c>
      <c r="AI528" s="16"/>
      <c r="AJ528" s="16"/>
      <c r="AK528" s="17" t="str">
        <f>IF(AJ528="","",AJ528-AH528)</f>
        <v/>
      </c>
    </row>
    <row r="529" spans="1:37">
      <c r="A529" s="2" t="s">
        <v>897</v>
      </c>
      <c r="B529" s="2" t="s">
        <v>863</v>
      </c>
      <c r="C529" s="2" t="s">
        <v>864</v>
      </c>
      <c r="D529" s="2" t="s">
        <v>865</v>
      </c>
      <c r="E529" s="2" t="s">
        <v>866</v>
      </c>
      <c r="F529" s="2" t="s">
        <v>867</v>
      </c>
      <c r="G529" s="2" t="s">
        <v>868</v>
      </c>
      <c r="H529" s="2" t="s">
        <v>448</v>
      </c>
      <c r="I529" s="2" t="s">
        <v>123</v>
      </c>
      <c r="J529" s="2" t="s">
        <v>124</v>
      </c>
      <c r="K529" s="9">
        <v>45700</v>
      </c>
      <c r="L529" s="9">
        <v>45707</v>
      </c>
      <c r="M529" s="9">
        <v>45701</v>
      </c>
      <c r="N529" s="2" t="s">
        <v>696</v>
      </c>
      <c r="O529" s="2" t="s">
        <v>55</v>
      </c>
      <c r="P529" s="2" t="s">
        <v>139</v>
      </c>
      <c r="Q529" s="2" t="s">
        <v>154</v>
      </c>
      <c r="R529" s="2" t="s">
        <v>128</v>
      </c>
      <c r="S529" s="2" t="s">
        <v>129</v>
      </c>
      <c r="T529" s="10">
        <v>20.63</v>
      </c>
      <c r="U529" s="11">
        <v>1.272</v>
      </c>
      <c r="V529" s="12">
        <f>T529*U529</f>
        <v>26.24136</v>
      </c>
      <c r="W529" s="13">
        <v>0.2</v>
      </c>
      <c r="X529" s="12">
        <f>V529-(V529/(1+W529))</f>
        <v>4.3735599999999977</v>
      </c>
      <c r="Y529" s="12">
        <f>V529-X529</f>
        <v>21.867800000000003</v>
      </c>
      <c r="Z529" s="14">
        <v>35</v>
      </c>
      <c r="AA529" s="2" t="str">
        <f>IF(V529&gt;Z529,"Yes","No")</f>
        <v>No</v>
      </c>
      <c r="AB529" s="12">
        <f>V529-Z529</f>
        <v>-8.7586399999999998</v>
      </c>
      <c r="AC529" s="15" t="s">
        <v>130</v>
      </c>
      <c r="AD529" s="15" t="s">
        <v>130</v>
      </c>
      <c r="AE529" s="15" t="s">
        <v>180</v>
      </c>
      <c r="AF529" s="12">
        <f>IF(AG529="Rejected",0,IF(R529="Corporate Card",0,V529))</f>
        <v>0</v>
      </c>
      <c r="AG529" s="15" t="s">
        <v>181</v>
      </c>
      <c r="AH529" s="16">
        <v>45709</v>
      </c>
      <c r="AI529" s="16"/>
      <c r="AJ529" s="16"/>
      <c r="AK529" s="17" t="str">
        <f>IF(AJ529="","",AJ529-AH529)</f>
        <v/>
      </c>
    </row>
    <row r="530" spans="1:37">
      <c r="A530" s="2" t="s">
        <v>898</v>
      </c>
      <c r="B530" s="2" t="s">
        <v>770</v>
      </c>
      <c r="C530" s="2" t="s">
        <v>771</v>
      </c>
      <c r="D530" s="2" t="s">
        <v>414</v>
      </c>
      <c r="E530" s="2" t="s">
        <v>772</v>
      </c>
      <c r="F530" s="2" t="s">
        <v>413</v>
      </c>
      <c r="G530" s="2" t="s">
        <v>773</v>
      </c>
      <c r="H530" s="2" t="s">
        <v>748</v>
      </c>
      <c r="I530" s="2" t="s">
        <v>194</v>
      </c>
      <c r="J530" s="2" t="s">
        <v>195</v>
      </c>
      <c r="K530" s="9">
        <v>45694</v>
      </c>
      <c r="L530" s="9">
        <v>45701</v>
      </c>
      <c r="M530" s="9">
        <v>45701</v>
      </c>
      <c r="N530" s="2" t="s">
        <v>696</v>
      </c>
      <c r="O530" s="2" t="s">
        <v>54</v>
      </c>
      <c r="P530" s="2" t="s">
        <v>139</v>
      </c>
      <c r="Q530" s="2" t="s">
        <v>214</v>
      </c>
      <c r="R530" s="2" t="s">
        <v>128</v>
      </c>
      <c r="S530" s="2" t="s">
        <v>198</v>
      </c>
      <c r="T530" s="10">
        <v>16.100000000000001</v>
      </c>
      <c r="U530" s="11">
        <v>1.085</v>
      </c>
      <c r="V530" s="12">
        <f>T530*U530</f>
        <v>17.468500000000002</v>
      </c>
      <c r="W530" s="13">
        <v>0.19</v>
      </c>
      <c r="X530" s="12">
        <f>V530-(V530/(1+W530))</f>
        <v>2.789088235294118</v>
      </c>
      <c r="Y530" s="12">
        <f>V530-X530</f>
        <v>14.679411764705884</v>
      </c>
      <c r="Z530" s="14">
        <v>25</v>
      </c>
      <c r="AA530" s="2" t="str">
        <f>IF(V530&gt;Z530,"Yes","No")</f>
        <v>No</v>
      </c>
      <c r="AB530" s="12">
        <f>V530-Z530</f>
        <v>-7.5314999999999976</v>
      </c>
      <c r="AC530" s="15" t="s">
        <v>130</v>
      </c>
      <c r="AD530" s="15" t="s">
        <v>131</v>
      </c>
      <c r="AE530" s="15" t="s">
        <v>421</v>
      </c>
      <c r="AF530" s="12">
        <f>IF(AG530="Rejected",0,IF(R530="Corporate Card",0,V530))</f>
        <v>0</v>
      </c>
      <c r="AG530" s="15" t="s">
        <v>133</v>
      </c>
      <c r="AH530" s="16">
        <v>45711</v>
      </c>
      <c r="AI530" s="16">
        <v>45713</v>
      </c>
      <c r="AJ530" s="16">
        <v>45723</v>
      </c>
      <c r="AK530" s="17">
        <f>IF(AJ530="","",AJ530-AH530)</f>
        <v>12</v>
      </c>
    </row>
    <row r="531" spans="1:37">
      <c r="A531" s="2" t="s">
        <v>899</v>
      </c>
      <c r="B531" s="2" t="s">
        <v>770</v>
      </c>
      <c r="C531" s="2" t="s">
        <v>771</v>
      </c>
      <c r="D531" s="2" t="s">
        <v>414</v>
      </c>
      <c r="E531" s="2" t="s">
        <v>772</v>
      </c>
      <c r="F531" s="2" t="s">
        <v>413</v>
      </c>
      <c r="G531" s="2" t="s">
        <v>773</v>
      </c>
      <c r="H531" s="2" t="s">
        <v>748</v>
      </c>
      <c r="I531" s="2" t="s">
        <v>194</v>
      </c>
      <c r="J531" s="2" t="s">
        <v>195</v>
      </c>
      <c r="K531" s="9">
        <v>45694</v>
      </c>
      <c r="L531" s="9">
        <v>45701</v>
      </c>
      <c r="M531" s="9">
        <v>45701</v>
      </c>
      <c r="N531" s="2" t="s">
        <v>696</v>
      </c>
      <c r="O531" s="2" t="s">
        <v>56</v>
      </c>
      <c r="P531" s="2" t="s">
        <v>231</v>
      </c>
      <c r="Q531" s="2" t="s">
        <v>227</v>
      </c>
      <c r="R531" s="2" t="s">
        <v>128</v>
      </c>
      <c r="S531" s="2" t="s">
        <v>198</v>
      </c>
      <c r="T531" s="10">
        <v>29.57</v>
      </c>
      <c r="U531" s="11">
        <v>1.085</v>
      </c>
      <c r="V531" s="12">
        <f>T531*U531</f>
        <v>32.083449999999999</v>
      </c>
      <c r="W531" s="13">
        <v>0.19</v>
      </c>
      <c r="X531" s="12">
        <f>V531-(V531/(1+W531))</f>
        <v>5.1225676470588226</v>
      </c>
      <c r="Y531" s="12">
        <f>V531-X531</f>
        <v>26.960882352941177</v>
      </c>
      <c r="Z531" s="14">
        <v>75</v>
      </c>
      <c r="AA531" s="2" t="str">
        <f>IF(V531&gt;Z531,"Yes","No")</f>
        <v>No</v>
      </c>
      <c r="AB531" s="12">
        <f>V531-Z531</f>
        <v>-42.916550000000001</v>
      </c>
      <c r="AC531" s="15" t="s">
        <v>130</v>
      </c>
      <c r="AD531" s="15" t="s">
        <v>131</v>
      </c>
      <c r="AE531" s="15" t="s">
        <v>421</v>
      </c>
      <c r="AF531" s="12">
        <f>IF(AG531="Rejected",0,IF(R531="Corporate Card",0,V531))</f>
        <v>0</v>
      </c>
      <c r="AG531" s="15" t="s">
        <v>133</v>
      </c>
      <c r="AH531" s="16">
        <v>45711</v>
      </c>
      <c r="AI531" s="16">
        <v>45713</v>
      </c>
      <c r="AJ531" s="16">
        <v>45723</v>
      </c>
      <c r="AK531" s="17">
        <f>IF(AJ531="","",AJ531-AH531)</f>
        <v>12</v>
      </c>
    </row>
    <row r="532" spans="1:37">
      <c r="A532" s="2" t="s">
        <v>900</v>
      </c>
      <c r="B532" s="2" t="s">
        <v>770</v>
      </c>
      <c r="C532" s="2" t="s">
        <v>771</v>
      </c>
      <c r="D532" s="2" t="s">
        <v>414</v>
      </c>
      <c r="E532" s="2" t="s">
        <v>772</v>
      </c>
      <c r="F532" s="2" t="s">
        <v>413</v>
      </c>
      <c r="G532" s="2" t="s">
        <v>773</v>
      </c>
      <c r="H532" s="2" t="s">
        <v>748</v>
      </c>
      <c r="I532" s="2" t="s">
        <v>194</v>
      </c>
      <c r="J532" s="2" t="s">
        <v>195</v>
      </c>
      <c r="K532" s="9">
        <v>45694</v>
      </c>
      <c r="L532" s="9">
        <v>45701</v>
      </c>
      <c r="M532" s="9">
        <v>45701</v>
      </c>
      <c r="N532" s="2" t="s">
        <v>696</v>
      </c>
      <c r="O532" s="2" t="s">
        <v>55</v>
      </c>
      <c r="P532" s="2" t="s">
        <v>139</v>
      </c>
      <c r="Q532" s="2" t="s">
        <v>187</v>
      </c>
      <c r="R532" s="2" t="s">
        <v>137</v>
      </c>
      <c r="S532" s="2" t="s">
        <v>198</v>
      </c>
      <c r="T532" s="10">
        <v>15.27</v>
      </c>
      <c r="U532" s="11">
        <v>1.085</v>
      </c>
      <c r="V532" s="12">
        <f>T532*U532</f>
        <v>16.56795</v>
      </c>
      <c r="W532" s="13">
        <v>0.19</v>
      </c>
      <c r="X532" s="12">
        <f>V532-(V532/(1+W532))</f>
        <v>2.6453029411764692</v>
      </c>
      <c r="Y532" s="12">
        <f>V532-X532</f>
        <v>13.92264705882353</v>
      </c>
      <c r="Z532" s="14">
        <v>35</v>
      </c>
      <c r="AA532" s="2" t="str">
        <f>IF(V532&gt;Z532,"Yes","No")</f>
        <v>No</v>
      </c>
      <c r="AB532" s="12">
        <f>V532-Z532</f>
        <v>-18.43205</v>
      </c>
      <c r="AC532" s="15" t="s">
        <v>130</v>
      </c>
      <c r="AD532" s="15" t="s">
        <v>131</v>
      </c>
      <c r="AE532" s="15" t="s">
        <v>421</v>
      </c>
      <c r="AF532" s="12">
        <f>IF(AG532="Rejected",0,IF(R532="Corporate Card",0,V532))</f>
        <v>16.56795</v>
      </c>
      <c r="AG532" s="15" t="s">
        <v>133</v>
      </c>
      <c r="AH532" s="16">
        <v>45711</v>
      </c>
      <c r="AI532" s="16">
        <v>45713</v>
      </c>
      <c r="AJ532" s="16">
        <v>45723</v>
      </c>
      <c r="AK532" s="17">
        <f>IF(AJ532="","",AJ532-AH532)</f>
        <v>12</v>
      </c>
    </row>
    <row r="533" spans="1:37">
      <c r="A533" s="2" t="s">
        <v>901</v>
      </c>
      <c r="B533" s="2" t="s">
        <v>248</v>
      </c>
      <c r="C533" s="2" t="s">
        <v>249</v>
      </c>
      <c r="D533" s="2" t="s">
        <v>250</v>
      </c>
      <c r="E533" s="2" t="s">
        <v>251</v>
      </c>
      <c r="F533" s="2" t="s">
        <v>252</v>
      </c>
      <c r="G533" s="2" t="s">
        <v>830</v>
      </c>
      <c r="H533" s="2" t="s">
        <v>291</v>
      </c>
      <c r="I533" s="2" t="s">
        <v>175</v>
      </c>
      <c r="J533" s="2" t="s">
        <v>176</v>
      </c>
      <c r="K533" s="9">
        <v>45698</v>
      </c>
      <c r="L533" s="9">
        <v>45706</v>
      </c>
      <c r="M533" s="9">
        <v>45702</v>
      </c>
      <c r="N533" s="2" t="s">
        <v>696</v>
      </c>
      <c r="O533" s="2" t="s">
        <v>54</v>
      </c>
      <c r="P533" s="2" t="s">
        <v>139</v>
      </c>
      <c r="Q533" s="2" t="s">
        <v>214</v>
      </c>
      <c r="R533" s="2" t="s">
        <v>149</v>
      </c>
      <c r="S533" s="2" t="s">
        <v>179</v>
      </c>
      <c r="T533" s="10">
        <v>164.07</v>
      </c>
      <c r="U533" s="11">
        <v>0.18099999999999999</v>
      </c>
      <c r="V533" s="12">
        <f>T533*U533</f>
        <v>29.696669999999997</v>
      </c>
      <c r="W533" s="13">
        <v>0.17</v>
      </c>
      <c r="X533" s="12">
        <f>V533-(V533/(1+W533))</f>
        <v>4.3149007692307677</v>
      </c>
      <c r="Y533" s="12">
        <f>V533-X533</f>
        <v>25.38176923076923</v>
      </c>
      <c r="Z533" s="14">
        <v>25</v>
      </c>
      <c r="AA533" s="2" t="str">
        <f>IF(V533&gt;Z533,"Yes","No")</f>
        <v>Yes</v>
      </c>
      <c r="AB533" s="12">
        <f>V533-Z533</f>
        <v>4.6966699999999975</v>
      </c>
      <c r="AC533" s="15" t="s">
        <v>130</v>
      </c>
      <c r="AD533" s="15" t="s">
        <v>130</v>
      </c>
      <c r="AE533" s="15" t="s">
        <v>350</v>
      </c>
      <c r="AF533" s="12">
        <f>IF(AG533="Rejected",0,IF(R533="Corporate Card",0,V533))</f>
        <v>29.696669999999997</v>
      </c>
      <c r="AG533" s="15" t="s">
        <v>133</v>
      </c>
      <c r="AH533" s="16">
        <v>45712</v>
      </c>
      <c r="AI533" s="16">
        <v>45714</v>
      </c>
      <c r="AJ533" s="16">
        <v>45720</v>
      </c>
      <c r="AK533" s="17">
        <f>IF(AJ533="","",AJ533-AH533)</f>
        <v>8</v>
      </c>
    </row>
    <row r="534" spans="1:37">
      <c r="A534" s="2" t="s">
        <v>902</v>
      </c>
      <c r="B534" s="2" t="s">
        <v>248</v>
      </c>
      <c r="C534" s="2" t="s">
        <v>249</v>
      </c>
      <c r="D534" s="2" t="s">
        <v>250</v>
      </c>
      <c r="E534" s="2" t="s">
        <v>251</v>
      </c>
      <c r="F534" s="2" t="s">
        <v>252</v>
      </c>
      <c r="G534" s="2" t="s">
        <v>830</v>
      </c>
      <c r="H534" s="2" t="s">
        <v>291</v>
      </c>
      <c r="I534" s="2" t="s">
        <v>175</v>
      </c>
      <c r="J534" s="2" t="s">
        <v>176</v>
      </c>
      <c r="K534" s="9">
        <v>45698</v>
      </c>
      <c r="L534" s="9">
        <v>45706</v>
      </c>
      <c r="M534" s="9">
        <v>45702</v>
      </c>
      <c r="N534" s="2" t="s">
        <v>696</v>
      </c>
      <c r="O534" s="2" t="s">
        <v>56</v>
      </c>
      <c r="P534" s="2" t="s">
        <v>231</v>
      </c>
      <c r="Q534" s="2" t="s">
        <v>185</v>
      </c>
      <c r="R534" s="2" t="s">
        <v>149</v>
      </c>
      <c r="S534" s="2" t="s">
        <v>179</v>
      </c>
      <c r="T534" s="10">
        <v>211.51</v>
      </c>
      <c r="U534" s="11">
        <v>0.18099999999999999</v>
      </c>
      <c r="V534" s="12">
        <f>T534*U534</f>
        <v>38.28331</v>
      </c>
      <c r="W534" s="13">
        <v>0.17</v>
      </c>
      <c r="X534" s="12">
        <f>V534-(V534/(1+W534))</f>
        <v>5.5625322222222238</v>
      </c>
      <c r="Y534" s="12">
        <f>V534-X534</f>
        <v>32.720777777777776</v>
      </c>
      <c r="Z534" s="14">
        <v>75</v>
      </c>
      <c r="AA534" s="2" t="str">
        <f>IF(V534&gt;Z534,"Yes","No")</f>
        <v>No</v>
      </c>
      <c r="AB534" s="12">
        <f>V534-Z534</f>
        <v>-36.71669</v>
      </c>
      <c r="AC534" s="15" t="s">
        <v>130</v>
      </c>
      <c r="AD534" s="15" t="s">
        <v>130</v>
      </c>
      <c r="AE534" s="15" t="s">
        <v>350</v>
      </c>
      <c r="AF534" s="12">
        <f>IF(AG534="Rejected",0,IF(R534="Corporate Card",0,V534))</f>
        <v>38.28331</v>
      </c>
      <c r="AG534" s="15" t="s">
        <v>133</v>
      </c>
      <c r="AH534" s="16">
        <v>45712</v>
      </c>
      <c r="AI534" s="16">
        <v>45714</v>
      </c>
      <c r="AJ534" s="16">
        <v>45720</v>
      </c>
      <c r="AK534" s="17">
        <f>IF(AJ534="","",AJ534-AH534)</f>
        <v>8</v>
      </c>
    </row>
    <row r="535" spans="1:37">
      <c r="A535" s="2" t="s">
        <v>903</v>
      </c>
      <c r="B535" s="2" t="s">
        <v>375</v>
      </c>
      <c r="C535" s="2" t="s">
        <v>376</v>
      </c>
      <c r="D535" s="2" t="s">
        <v>344</v>
      </c>
      <c r="E535" s="2" t="s">
        <v>377</v>
      </c>
      <c r="F535" s="2" t="s">
        <v>346</v>
      </c>
      <c r="G535" s="2" t="s">
        <v>802</v>
      </c>
      <c r="H535" s="2" t="s">
        <v>803</v>
      </c>
      <c r="I535" s="2" t="s">
        <v>553</v>
      </c>
      <c r="J535" s="2" t="s">
        <v>553</v>
      </c>
      <c r="K535" s="9">
        <v>45696</v>
      </c>
      <c r="L535" s="9">
        <v>45702</v>
      </c>
      <c r="M535" s="9">
        <v>45702</v>
      </c>
      <c r="N535" s="2" t="s">
        <v>696</v>
      </c>
      <c r="O535" s="2" t="s">
        <v>54</v>
      </c>
      <c r="P535" s="2" t="s">
        <v>139</v>
      </c>
      <c r="Q535" s="2" t="s">
        <v>140</v>
      </c>
      <c r="R535" s="2" t="s">
        <v>128</v>
      </c>
      <c r="S535" s="2" t="s">
        <v>555</v>
      </c>
      <c r="T535" s="10">
        <v>23.72</v>
      </c>
      <c r="U535" s="11">
        <v>0.74299999999999999</v>
      </c>
      <c r="V535" s="12">
        <f>T535*U535</f>
        <v>17.62396</v>
      </c>
      <c r="W535" s="13">
        <v>0.09</v>
      </c>
      <c r="X535" s="12">
        <f>V535-(V535/(1+W535))</f>
        <v>1.4551893577981652</v>
      </c>
      <c r="Y535" s="12">
        <f>V535-X535</f>
        <v>16.168770642201835</v>
      </c>
      <c r="Z535" s="14">
        <v>25</v>
      </c>
      <c r="AA535" s="2" t="str">
        <f>IF(V535&gt;Z535,"Yes","No")</f>
        <v>No</v>
      </c>
      <c r="AB535" s="12">
        <f>V535-Z535</f>
        <v>-7.3760399999999997</v>
      </c>
      <c r="AC535" s="15" t="s">
        <v>130</v>
      </c>
      <c r="AD535" s="15" t="s">
        <v>130</v>
      </c>
      <c r="AE535" s="15" t="s">
        <v>350</v>
      </c>
      <c r="AF535" s="12">
        <f>IF(AG535="Rejected",0,IF(R535="Corporate Card",0,V535))</f>
        <v>0</v>
      </c>
      <c r="AG535" s="15" t="s">
        <v>804</v>
      </c>
      <c r="AH535" s="16">
        <v>45714</v>
      </c>
      <c r="AI535" s="16"/>
      <c r="AJ535" s="16"/>
      <c r="AK535" s="17" t="str">
        <f>IF(AJ535="","",AJ535-AH535)</f>
        <v/>
      </c>
    </row>
    <row r="536" spans="1:37">
      <c r="A536" s="2" t="s">
        <v>904</v>
      </c>
      <c r="B536" s="2" t="s">
        <v>375</v>
      </c>
      <c r="C536" s="2" t="s">
        <v>376</v>
      </c>
      <c r="D536" s="2" t="s">
        <v>344</v>
      </c>
      <c r="E536" s="2" t="s">
        <v>377</v>
      </c>
      <c r="F536" s="2" t="s">
        <v>346</v>
      </c>
      <c r="G536" s="2" t="s">
        <v>802</v>
      </c>
      <c r="H536" s="2" t="s">
        <v>803</v>
      </c>
      <c r="I536" s="2" t="s">
        <v>553</v>
      </c>
      <c r="J536" s="2" t="s">
        <v>553</v>
      </c>
      <c r="K536" s="9">
        <v>45696</v>
      </c>
      <c r="L536" s="9">
        <v>45702</v>
      </c>
      <c r="M536" s="9">
        <v>45702</v>
      </c>
      <c r="N536" s="2" t="s">
        <v>696</v>
      </c>
      <c r="O536" s="2" t="s">
        <v>56</v>
      </c>
      <c r="P536" s="2" t="s">
        <v>151</v>
      </c>
      <c r="Q536" s="2" t="s">
        <v>185</v>
      </c>
      <c r="R536" s="2" t="s">
        <v>128</v>
      </c>
      <c r="S536" s="2" t="s">
        <v>555</v>
      </c>
      <c r="T536" s="10">
        <v>83.83</v>
      </c>
      <c r="U536" s="11">
        <v>0.74299999999999999</v>
      </c>
      <c r="V536" s="12">
        <f>T536*U536</f>
        <v>62.285689999999995</v>
      </c>
      <c r="W536" s="13">
        <v>0.09</v>
      </c>
      <c r="X536" s="12">
        <f>V536-(V536/(1+W536))</f>
        <v>5.1428551376146814</v>
      </c>
      <c r="Y536" s="12">
        <f>V536-X536</f>
        <v>57.142834862385314</v>
      </c>
      <c r="Z536" s="14">
        <v>75</v>
      </c>
      <c r="AA536" s="2" t="str">
        <f>IF(V536&gt;Z536,"Yes","No")</f>
        <v>No</v>
      </c>
      <c r="AB536" s="12">
        <f>V536-Z536</f>
        <v>-12.714310000000005</v>
      </c>
      <c r="AC536" s="15" t="s">
        <v>130</v>
      </c>
      <c r="AD536" s="15" t="s">
        <v>130</v>
      </c>
      <c r="AE536" s="15" t="s">
        <v>350</v>
      </c>
      <c r="AF536" s="12">
        <f>IF(AG536="Rejected",0,IF(R536="Corporate Card",0,V536))</f>
        <v>0</v>
      </c>
      <c r="AG536" s="15" t="s">
        <v>804</v>
      </c>
      <c r="AH536" s="16">
        <v>45714</v>
      </c>
      <c r="AI536" s="16"/>
      <c r="AJ536" s="16"/>
      <c r="AK536" s="17" t="str">
        <f>IF(AJ536="","",AJ536-AH536)</f>
        <v/>
      </c>
    </row>
    <row r="537" spans="1:37">
      <c r="A537" s="2" t="s">
        <v>905</v>
      </c>
      <c r="B537" s="2" t="s">
        <v>375</v>
      </c>
      <c r="C537" s="2" t="s">
        <v>376</v>
      </c>
      <c r="D537" s="2" t="s">
        <v>344</v>
      </c>
      <c r="E537" s="2" t="s">
        <v>377</v>
      </c>
      <c r="F537" s="2" t="s">
        <v>346</v>
      </c>
      <c r="G537" s="2" t="s">
        <v>802</v>
      </c>
      <c r="H537" s="2" t="s">
        <v>803</v>
      </c>
      <c r="I537" s="2" t="s">
        <v>553</v>
      </c>
      <c r="J537" s="2" t="s">
        <v>553</v>
      </c>
      <c r="K537" s="9">
        <v>45696</v>
      </c>
      <c r="L537" s="9">
        <v>45702</v>
      </c>
      <c r="M537" s="9">
        <v>45702</v>
      </c>
      <c r="N537" s="2" t="s">
        <v>696</v>
      </c>
      <c r="O537" s="2" t="s">
        <v>55</v>
      </c>
      <c r="P537" s="2" t="s">
        <v>139</v>
      </c>
      <c r="Q537" s="2" t="s">
        <v>161</v>
      </c>
      <c r="R537" s="2" t="s">
        <v>149</v>
      </c>
      <c r="S537" s="2" t="s">
        <v>555</v>
      </c>
      <c r="T537" s="10">
        <v>18.09</v>
      </c>
      <c r="U537" s="11">
        <v>0.74299999999999999</v>
      </c>
      <c r="V537" s="12">
        <f>T537*U537</f>
        <v>13.44087</v>
      </c>
      <c r="W537" s="13">
        <v>0.09</v>
      </c>
      <c r="X537" s="12">
        <f>V537-(V537/(1+W537))</f>
        <v>1.109796605504588</v>
      </c>
      <c r="Y537" s="12">
        <f>V537-X537</f>
        <v>12.331073394495412</v>
      </c>
      <c r="Z537" s="14">
        <v>35</v>
      </c>
      <c r="AA537" s="2" t="str">
        <f>IF(V537&gt;Z537,"Yes","No")</f>
        <v>No</v>
      </c>
      <c r="AB537" s="12">
        <f>V537-Z537</f>
        <v>-21.55913</v>
      </c>
      <c r="AC537" s="15" t="s">
        <v>130</v>
      </c>
      <c r="AD537" s="15" t="s">
        <v>130</v>
      </c>
      <c r="AE537" s="15" t="s">
        <v>350</v>
      </c>
      <c r="AF537" s="12">
        <f>IF(AG537="Rejected",0,IF(R537="Corporate Card",0,V537))</f>
        <v>0</v>
      </c>
      <c r="AG537" s="15" t="s">
        <v>804</v>
      </c>
      <c r="AH537" s="16">
        <v>45714</v>
      </c>
      <c r="AI537" s="16"/>
      <c r="AJ537" s="16"/>
      <c r="AK537" s="17" t="str">
        <f>IF(AJ537="","",AJ537-AH537)</f>
        <v/>
      </c>
    </row>
    <row r="538" spans="1:37">
      <c r="A538" s="2" t="s">
        <v>906</v>
      </c>
      <c r="B538" s="2" t="s">
        <v>882</v>
      </c>
      <c r="C538" s="2" t="s">
        <v>446</v>
      </c>
      <c r="D538" s="2" t="s">
        <v>444</v>
      </c>
      <c r="E538" s="2" t="s">
        <v>883</v>
      </c>
      <c r="F538" s="2" t="s">
        <v>313</v>
      </c>
      <c r="G538" s="2" t="s">
        <v>884</v>
      </c>
      <c r="H538" s="2" t="s">
        <v>122</v>
      </c>
      <c r="I538" s="2" t="s">
        <v>380</v>
      </c>
      <c r="J538" s="2" t="s">
        <v>381</v>
      </c>
      <c r="K538" s="9">
        <v>45701</v>
      </c>
      <c r="L538" s="9">
        <v>45704</v>
      </c>
      <c r="M538" s="9">
        <v>45702</v>
      </c>
      <c r="N538" s="2" t="s">
        <v>696</v>
      </c>
      <c r="O538" s="2" t="s">
        <v>58</v>
      </c>
      <c r="P538" s="2" t="s">
        <v>142</v>
      </c>
      <c r="Q538" s="2" t="s">
        <v>203</v>
      </c>
      <c r="R538" s="2" t="s">
        <v>137</v>
      </c>
      <c r="S538" s="2" t="s">
        <v>383</v>
      </c>
      <c r="T538" s="10">
        <v>34.15</v>
      </c>
      <c r="U538" s="11">
        <v>1</v>
      </c>
      <c r="V538" s="12">
        <f>T538*U538</f>
        <v>34.15</v>
      </c>
      <c r="W538" s="13">
        <v>0</v>
      </c>
      <c r="X538" s="12">
        <f>V538-(V538/(1+W538))</f>
        <v>0</v>
      </c>
      <c r="Y538" s="12">
        <f>V538-X538</f>
        <v>34.15</v>
      </c>
      <c r="Z538" s="14">
        <v>60</v>
      </c>
      <c r="AA538" s="2" t="str">
        <f>IF(V538&gt;Z538,"Yes","No")</f>
        <v>No</v>
      </c>
      <c r="AB538" s="12">
        <f>V538-Z538</f>
        <v>-25.85</v>
      </c>
      <c r="AC538" s="15" t="s">
        <v>130</v>
      </c>
      <c r="AD538" s="15" t="s">
        <v>131</v>
      </c>
      <c r="AE538" s="15" t="s">
        <v>437</v>
      </c>
      <c r="AF538" s="12">
        <f>IF(AG538="Rejected",0,IF(R538="Corporate Card",0,V538))</f>
        <v>34.15</v>
      </c>
      <c r="AG538" s="15" t="s">
        <v>133</v>
      </c>
      <c r="AH538" s="16">
        <v>45708</v>
      </c>
      <c r="AI538" s="16">
        <v>45711</v>
      </c>
      <c r="AJ538" s="16">
        <v>45724</v>
      </c>
      <c r="AK538" s="17">
        <f>IF(AJ538="","",AJ538-AH538)</f>
        <v>16</v>
      </c>
    </row>
    <row r="539" spans="1:37">
      <c r="A539" s="2" t="s">
        <v>907</v>
      </c>
      <c r="B539" s="2" t="s">
        <v>882</v>
      </c>
      <c r="C539" s="2" t="s">
        <v>446</v>
      </c>
      <c r="D539" s="2" t="s">
        <v>444</v>
      </c>
      <c r="E539" s="2" t="s">
        <v>883</v>
      </c>
      <c r="F539" s="2" t="s">
        <v>313</v>
      </c>
      <c r="G539" s="2" t="s">
        <v>884</v>
      </c>
      <c r="H539" s="2" t="s">
        <v>122</v>
      </c>
      <c r="I539" s="2" t="s">
        <v>380</v>
      </c>
      <c r="J539" s="2" t="s">
        <v>381</v>
      </c>
      <c r="K539" s="9">
        <v>45701</v>
      </c>
      <c r="L539" s="9">
        <v>45704</v>
      </c>
      <c r="M539" s="9">
        <v>45702</v>
      </c>
      <c r="N539" s="2" t="s">
        <v>696</v>
      </c>
      <c r="O539" s="2" t="s">
        <v>53</v>
      </c>
      <c r="P539" s="2" t="s">
        <v>145</v>
      </c>
      <c r="Q539" s="2" t="s">
        <v>458</v>
      </c>
      <c r="R539" s="2" t="s">
        <v>149</v>
      </c>
      <c r="S539" s="2" t="s">
        <v>383</v>
      </c>
      <c r="T539" s="10">
        <v>309.62</v>
      </c>
      <c r="U539" s="11">
        <v>1</v>
      </c>
      <c r="V539" s="12">
        <f>T539*U539</f>
        <v>309.62</v>
      </c>
      <c r="W539" s="13">
        <v>0</v>
      </c>
      <c r="X539" s="12">
        <f>V539-(V539/(1+W539))</f>
        <v>0</v>
      </c>
      <c r="Y539" s="12">
        <f>V539-X539</f>
        <v>309.62</v>
      </c>
      <c r="Z539" s="14">
        <v>840</v>
      </c>
      <c r="AA539" s="2" t="str">
        <f>IF(V539&gt;Z539,"Yes","No")</f>
        <v>No</v>
      </c>
      <c r="AB539" s="12">
        <f>V539-Z539</f>
        <v>-530.38</v>
      </c>
      <c r="AC539" s="15" t="s">
        <v>130</v>
      </c>
      <c r="AD539" s="15" t="s">
        <v>131</v>
      </c>
      <c r="AE539" s="15" t="s">
        <v>437</v>
      </c>
      <c r="AF539" s="12">
        <f>IF(AG539="Rejected",0,IF(R539="Corporate Card",0,V539))</f>
        <v>309.62</v>
      </c>
      <c r="AG539" s="15" t="s">
        <v>133</v>
      </c>
      <c r="AH539" s="16">
        <v>45708</v>
      </c>
      <c r="AI539" s="16">
        <v>45711</v>
      </c>
      <c r="AJ539" s="16">
        <v>45724</v>
      </c>
      <c r="AK539" s="17">
        <f>IF(AJ539="","",AJ539-AH539)</f>
        <v>16</v>
      </c>
    </row>
    <row r="540" spans="1:37">
      <c r="A540" s="2" t="s">
        <v>908</v>
      </c>
      <c r="B540" s="2" t="s">
        <v>882</v>
      </c>
      <c r="C540" s="2" t="s">
        <v>446</v>
      </c>
      <c r="D540" s="2" t="s">
        <v>444</v>
      </c>
      <c r="E540" s="2" t="s">
        <v>883</v>
      </c>
      <c r="F540" s="2" t="s">
        <v>313</v>
      </c>
      <c r="G540" s="2" t="s">
        <v>884</v>
      </c>
      <c r="H540" s="2" t="s">
        <v>122</v>
      </c>
      <c r="I540" s="2" t="s">
        <v>380</v>
      </c>
      <c r="J540" s="2" t="s">
        <v>381</v>
      </c>
      <c r="K540" s="9">
        <v>45701</v>
      </c>
      <c r="L540" s="9">
        <v>45704</v>
      </c>
      <c r="M540" s="9">
        <v>45702</v>
      </c>
      <c r="N540" s="2" t="s">
        <v>696</v>
      </c>
      <c r="O540" s="2" t="s">
        <v>54</v>
      </c>
      <c r="P540" s="2" t="s">
        <v>139</v>
      </c>
      <c r="Q540" s="2" t="s">
        <v>214</v>
      </c>
      <c r="R540" s="2" t="s">
        <v>149</v>
      </c>
      <c r="S540" s="2" t="s">
        <v>383</v>
      </c>
      <c r="T540" s="10">
        <v>17.149999999999999</v>
      </c>
      <c r="U540" s="11">
        <v>1</v>
      </c>
      <c r="V540" s="12">
        <f>T540*U540</f>
        <v>17.149999999999999</v>
      </c>
      <c r="W540" s="13">
        <v>0</v>
      </c>
      <c r="X540" s="12">
        <f>V540-(V540/(1+W540))</f>
        <v>0</v>
      </c>
      <c r="Y540" s="12">
        <f>V540-X540</f>
        <v>17.149999999999999</v>
      </c>
      <c r="Z540" s="14">
        <v>25</v>
      </c>
      <c r="AA540" s="2" t="str">
        <f>IF(V540&gt;Z540,"Yes","No")</f>
        <v>No</v>
      </c>
      <c r="AB540" s="12">
        <f>V540-Z540</f>
        <v>-7.8500000000000014</v>
      </c>
      <c r="AC540" s="15" t="s">
        <v>130</v>
      </c>
      <c r="AD540" s="15" t="s">
        <v>131</v>
      </c>
      <c r="AE540" s="15" t="s">
        <v>437</v>
      </c>
      <c r="AF540" s="12">
        <f>IF(AG540="Rejected",0,IF(R540="Corporate Card",0,V540))</f>
        <v>17.149999999999999</v>
      </c>
      <c r="AG540" s="15" t="s">
        <v>133</v>
      </c>
      <c r="AH540" s="16">
        <v>45708</v>
      </c>
      <c r="AI540" s="16">
        <v>45711</v>
      </c>
      <c r="AJ540" s="16">
        <v>45724</v>
      </c>
      <c r="AK540" s="17">
        <f>IF(AJ540="","",AJ540-AH540)</f>
        <v>16</v>
      </c>
    </row>
    <row r="541" spans="1:37">
      <c r="A541" s="2" t="s">
        <v>909</v>
      </c>
      <c r="B541" s="2" t="s">
        <v>882</v>
      </c>
      <c r="C541" s="2" t="s">
        <v>446</v>
      </c>
      <c r="D541" s="2" t="s">
        <v>444</v>
      </c>
      <c r="E541" s="2" t="s">
        <v>883</v>
      </c>
      <c r="F541" s="2" t="s">
        <v>313</v>
      </c>
      <c r="G541" s="2" t="s">
        <v>884</v>
      </c>
      <c r="H541" s="2" t="s">
        <v>122</v>
      </c>
      <c r="I541" s="2" t="s">
        <v>380</v>
      </c>
      <c r="J541" s="2" t="s">
        <v>381</v>
      </c>
      <c r="K541" s="9">
        <v>45701</v>
      </c>
      <c r="L541" s="9">
        <v>45704</v>
      </c>
      <c r="M541" s="9">
        <v>45702</v>
      </c>
      <c r="N541" s="2" t="s">
        <v>696</v>
      </c>
      <c r="O541" s="2" t="s">
        <v>56</v>
      </c>
      <c r="P541" s="2" t="s">
        <v>165</v>
      </c>
      <c r="Q541" s="2" t="s">
        <v>166</v>
      </c>
      <c r="R541" s="2" t="s">
        <v>128</v>
      </c>
      <c r="S541" s="2" t="s">
        <v>383</v>
      </c>
      <c r="T541" s="10">
        <v>55.5</v>
      </c>
      <c r="U541" s="11">
        <v>1</v>
      </c>
      <c r="V541" s="12">
        <f>T541*U541</f>
        <v>55.5</v>
      </c>
      <c r="W541" s="13">
        <v>0</v>
      </c>
      <c r="X541" s="12">
        <f>V541-(V541/(1+W541))</f>
        <v>0</v>
      </c>
      <c r="Y541" s="12">
        <f>V541-X541</f>
        <v>55.5</v>
      </c>
      <c r="Z541" s="14">
        <v>75</v>
      </c>
      <c r="AA541" s="2" t="str">
        <f>IF(V541&gt;Z541,"Yes","No")</f>
        <v>No</v>
      </c>
      <c r="AB541" s="12">
        <f>V541-Z541</f>
        <v>-19.5</v>
      </c>
      <c r="AC541" s="15" t="s">
        <v>131</v>
      </c>
      <c r="AD541" s="15" t="s">
        <v>131</v>
      </c>
      <c r="AE541" s="15" t="s">
        <v>437</v>
      </c>
      <c r="AF541" s="12">
        <f>IF(AG541="Rejected",0,IF(R541="Corporate Card",0,V541))</f>
        <v>0</v>
      </c>
      <c r="AG541" s="15" t="s">
        <v>133</v>
      </c>
      <c r="AH541" s="16">
        <v>45708</v>
      </c>
      <c r="AI541" s="16">
        <v>45711</v>
      </c>
      <c r="AJ541" s="16">
        <v>45724</v>
      </c>
      <c r="AK541" s="17">
        <f>IF(AJ541="","",AJ541-AH541)</f>
        <v>16</v>
      </c>
    </row>
    <row r="542" spans="1:37">
      <c r="A542" s="2" t="s">
        <v>910</v>
      </c>
      <c r="B542" s="2" t="s">
        <v>882</v>
      </c>
      <c r="C542" s="2" t="s">
        <v>446</v>
      </c>
      <c r="D542" s="2" t="s">
        <v>444</v>
      </c>
      <c r="E542" s="2" t="s">
        <v>883</v>
      </c>
      <c r="F542" s="2" t="s">
        <v>313</v>
      </c>
      <c r="G542" s="2" t="s">
        <v>884</v>
      </c>
      <c r="H542" s="2" t="s">
        <v>122</v>
      </c>
      <c r="I542" s="2" t="s">
        <v>380</v>
      </c>
      <c r="J542" s="2" t="s">
        <v>381</v>
      </c>
      <c r="K542" s="9">
        <v>45701</v>
      </c>
      <c r="L542" s="9">
        <v>45704</v>
      </c>
      <c r="M542" s="9">
        <v>45702</v>
      </c>
      <c r="N542" s="2" t="s">
        <v>696</v>
      </c>
      <c r="O542" s="2" t="s">
        <v>55</v>
      </c>
      <c r="P542" s="2" t="s">
        <v>139</v>
      </c>
      <c r="Q542" s="2" t="s">
        <v>161</v>
      </c>
      <c r="R542" s="2" t="s">
        <v>149</v>
      </c>
      <c r="S542" s="2" t="s">
        <v>383</v>
      </c>
      <c r="T542" s="10">
        <v>22.2</v>
      </c>
      <c r="U542" s="11">
        <v>1</v>
      </c>
      <c r="V542" s="12">
        <f>T542*U542</f>
        <v>22.2</v>
      </c>
      <c r="W542" s="13">
        <v>0</v>
      </c>
      <c r="X542" s="12">
        <f>V542-(V542/(1+W542))</f>
        <v>0</v>
      </c>
      <c r="Y542" s="12">
        <f>V542-X542</f>
        <v>22.2</v>
      </c>
      <c r="Z542" s="14">
        <v>35</v>
      </c>
      <c r="AA542" s="2" t="str">
        <f>IF(V542&gt;Z542,"Yes","No")</f>
        <v>No</v>
      </c>
      <c r="AB542" s="12">
        <f>V542-Z542</f>
        <v>-12.8</v>
      </c>
      <c r="AC542" s="15" t="s">
        <v>130</v>
      </c>
      <c r="AD542" s="15" t="s">
        <v>131</v>
      </c>
      <c r="AE542" s="15" t="s">
        <v>437</v>
      </c>
      <c r="AF542" s="12">
        <f>IF(AG542="Rejected",0,IF(R542="Corporate Card",0,V542))</f>
        <v>22.2</v>
      </c>
      <c r="AG542" s="15" t="s">
        <v>133</v>
      </c>
      <c r="AH542" s="16">
        <v>45708</v>
      </c>
      <c r="AI542" s="16">
        <v>45711</v>
      </c>
      <c r="AJ542" s="16">
        <v>45724</v>
      </c>
      <c r="AK542" s="17">
        <f>IF(AJ542="","",AJ542-AH542)</f>
        <v>16</v>
      </c>
    </row>
    <row r="543" spans="1:37">
      <c r="A543" s="2" t="s">
        <v>911</v>
      </c>
      <c r="B543" s="2" t="s">
        <v>882</v>
      </c>
      <c r="C543" s="2" t="s">
        <v>446</v>
      </c>
      <c r="D543" s="2" t="s">
        <v>444</v>
      </c>
      <c r="E543" s="2" t="s">
        <v>883</v>
      </c>
      <c r="F543" s="2" t="s">
        <v>313</v>
      </c>
      <c r="G543" s="2" t="s">
        <v>884</v>
      </c>
      <c r="H543" s="2" t="s">
        <v>122</v>
      </c>
      <c r="I543" s="2" t="s">
        <v>380</v>
      </c>
      <c r="J543" s="2" t="s">
        <v>381</v>
      </c>
      <c r="K543" s="9">
        <v>45701</v>
      </c>
      <c r="L543" s="9">
        <v>45704</v>
      </c>
      <c r="M543" s="9">
        <v>45702</v>
      </c>
      <c r="N543" s="2" t="s">
        <v>696</v>
      </c>
      <c r="O543" s="2" t="s">
        <v>69</v>
      </c>
      <c r="P543" s="2" t="s">
        <v>409</v>
      </c>
      <c r="Q543" s="2" t="s">
        <v>410</v>
      </c>
      <c r="R543" s="2" t="s">
        <v>128</v>
      </c>
      <c r="S543" s="2" t="s">
        <v>383</v>
      </c>
      <c r="T543" s="10">
        <v>59.98</v>
      </c>
      <c r="U543" s="11">
        <v>1</v>
      </c>
      <c r="V543" s="12">
        <f>T543*U543</f>
        <v>59.98</v>
      </c>
      <c r="W543" s="13">
        <v>0</v>
      </c>
      <c r="X543" s="12">
        <f>V543-(V543/(1+W543))</f>
        <v>0</v>
      </c>
      <c r="Y543" s="12">
        <f>V543-X543</f>
        <v>59.98</v>
      </c>
      <c r="Z543" s="14">
        <v>60</v>
      </c>
      <c r="AA543" s="2" t="str">
        <f>IF(V543&gt;Z543,"Yes","No")</f>
        <v>No</v>
      </c>
      <c r="AB543" s="12">
        <f>V543-Z543</f>
        <v>-2.0000000000003126E-2</v>
      </c>
      <c r="AC543" s="15" t="s">
        <v>130</v>
      </c>
      <c r="AD543" s="15" t="s">
        <v>131</v>
      </c>
      <c r="AE543" s="15" t="s">
        <v>437</v>
      </c>
      <c r="AF543" s="12">
        <f>IF(AG543="Rejected",0,IF(R543="Corporate Card",0,V543))</f>
        <v>0</v>
      </c>
      <c r="AG543" s="15" t="s">
        <v>133</v>
      </c>
      <c r="AH543" s="16">
        <v>45708</v>
      </c>
      <c r="AI543" s="16">
        <v>45711</v>
      </c>
      <c r="AJ543" s="16">
        <v>45724</v>
      </c>
      <c r="AK543" s="17">
        <f>IF(AJ543="","",AJ543-AH543)</f>
        <v>16</v>
      </c>
    </row>
    <row r="544" spans="1:37">
      <c r="A544" s="2" t="s">
        <v>912</v>
      </c>
      <c r="B544" s="2" t="s">
        <v>616</v>
      </c>
      <c r="C544" s="2" t="s">
        <v>252</v>
      </c>
      <c r="D544" s="2" t="s">
        <v>250</v>
      </c>
      <c r="E544" s="2" t="s">
        <v>617</v>
      </c>
      <c r="F544" s="2" t="s">
        <v>510</v>
      </c>
      <c r="G544" s="2" t="s">
        <v>857</v>
      </c>
      <c r="H544" s="2" t="s">
        <v>291</v>
      </c>
      <c r="I544" s="2" t="s">
        <v>601</v>
      </c>
      <c r="J544" s="2" t="s">
        <v>381</v>
      </c>
      <c r="K544" s="9">
        <v>45700</v>
      </c>
      <c r="L544" s="9">
        <v>45704</v>
      </c>
      <c r="M544" s="9">
        <v>45702</v>
      </c>
      <c r="N544" s="2" t="s">
        <v>696</v>
      </c>
      <c r="O544" s="2" t="s">
        <v>54</v>
      </c>
      <c r="P544" s="2" t="s">
        <v>139</v>
      </c>
      <c r="Q544" s="2" t="s">
        <v>140</v>
      </c>
      <c r="R544" s="2" t="s">
        <v>128</v>
      </c>
      <c r="S544" s="2" t="s">
        <v>383</v>
      </c>
      <c r="T544" s="10">
        <v>12.77</v>
      </c>
      <c r="U544" s="11">
        <v>1</v>
      </c>
      <c r="V544" s="12">
        <f>T544*U544</f>
        <v>12.77</v>
      </c>
      <c r="W544" s="13">
        <v>0</v>
      </c>
      <c r="X544" s="12">
        <f>V544-(V544/(1+W544))</f>
        <v>0</v>
      </c>
      <c r="Y544" s="12">
        <f>V544-X544</f>
        <v>12.77</v>
      </c>
      <c r="Z544" s="14">
        <v>25</v>
      </c>
      <c r="AA544" s="2" t="str">
        <f>IF(V544&gt;Z544,"Yes","No")</f>
        <v>No</v>
      </c>
      <c r="AB544" s="12">
        <f>V544-Z544</f>
        <v>-12.23</v>
      </c>
      <c r="AC544" s="15" t="s">
        <v>130</v>
      </c>
      <c r="AD544" s="15" t="s">
        <v>130</v>
      </c>
      <c r="AE544" s="15" t="s">
        <v>858</v>
      </c>
      <c r="AF544" s="12">
        <f>IF(AG544="Rejected",0,IF(R544="Corporate Card",0,V544))</f>
        <v>0</v>
      </c>
      <c r="AG544" s="15" t="s">
        <v>133</v>
      </c>
      <c r="AH544" s="16">
        <v>45712</v>
      </c>
      <c r="AI544" s="16">
        <v>45717</v>
      </c>
      <c r="AJ544" s="16">
        <v>45721</v>
      </c>
      <c r="AK544" s="17">
        <f>IF(AJ544="","",AJ544-AH544)</f>
        <v>9</v>
      </c>
    </row>
    <row r="545" spans="1:37">
      <c r="A545" s="2" t="s">
        <v>913</v>
      </c>
      <c r="B545" s="2" t="s">
        <v>616</v>
      </c>
      <c r="C545" s="2" t="s">
        <v>252</v>
      </c>
      <c r="D545" s="2" t="s">
        <v>250</v>
      </c>
      <c r="E545" s="2" t="s">
        <v>617</v>
      </c>
      <c r="F545" s="2" t="s">
        <v>510</v>
      </c>
      <c r="G545" s="2" t="s">
        <v>857</v>
      </c>
      <c r="H545" s="2" t="s">
        <v>291</v>
      </c>
      <c r="I545" s="2" t="s">
        <v>601</v>
      </c>
      <c r="J545" s="2" t="s">
        <v>381</v>
      </c>
      <c r="K545" s="9">
        <v>45700</v>
      </c>
      <c r="L545" s="9">
        <v>45704</v>
      </c>
      <c r="M545" s="9">
        <v>45702</v>
      </c>
      <c r="N545" s="2" t="s">
        <v>696</v>
      </c>
      <c r="O545" s="2" t="s">
        <v>56</v>
      </c>
      <c r="P545" s="2" t="s">
        <v>245</v>
      </c>
      <c r="Q545" s="2" t="s">
        <v>166</v>
      </c>
      <c r="R545" s="2" t="s">
        <v>128</v>
      </c>
      <c r="S545" s="2" t="s">
        <v>383</v>
      </c>
      <c r="T545" s="10">
        <v>40.78</v>
      </c>
      <c r="U545" s="11">
        <v>1</v>
      </c>
      <c r="V545" s="12">
        <f>T545*U545</f>
        <v>40.78</v>
      </c>
      <c r="W545" s="13">
        <v>0</v>
      </c>
      <c r="X545" s="12">
        <f>V545-(V545/(1+W545))</f>
        <v>0</v>
      </c>
      <c r="Y545" s="12">
        <f>V545-X545</f>
        <v>40.78</v>
      </c>
      <c r="Z545" s="14">
        <v>75</v>
      </c>
      <c r="AA545" s="2" t="str">
        <f>IF(V545&gt;Z545,"Yes","No")</f>
        <v>No</v>
      </c>
      <c r="AB545" s="12">
        <f>V545-Z545</f>
        <v>-34.22</v>
      </c>
      <c r="AC545" s="15" t="s">
        <v>130</v>
      </c>
      <c r="AD545" s="15" t="s">
        <v>130</v>
      </c>
      <c r="AE545" s="15" t="s">
        <v>858</v>
      </c>
      <c r="AF545" s="12">
        <f>IF(AG545="Rejected",0,IF(R545="Corporate Card",0,V545))</f>
        <v>0</v>
      </c>
      <c r="AG545" s="15" t="s">
        <v>133</v>
      </c>
      <c r="AH545" s="16">
        <v>45712</v>
      </c>
      <c r="AI545" s="16">
        <v>45717</v>
      </c>
      <c r="AJ545" s="16">
        <v>45721</v>
      </c>
      <c r="AK545" s="17">
        <f>IF(AJ545="","",AJ545-AH545)</f>
        <v>9</v>
      </c>
    </row>
    <row r="546" spans="1:37">
      <c r="A546" s="2" t="s">
        <v>914</v>
      </c>
      <c r="B546" s="2" t="s">
        <v>616</v>
      </c>
      <c r="C546" s="2" t="s">
        <v>252</v>
      </c>
      <c r="D546" s="2" t="s">
        <v>250</v>
      </c>
      <c r="E546" s="2" t="s">
        <v>617</v>
      </c>
      <c r="F546" s="2" t="s">
        <v>510</v>
      </c>
      <c r="G546" s="2" t="s">
        <v>857</v>
      </c>
      <c r="H546" s="2" t="s">
        <v>291</v>
      </c>
      <c r="I546" s="2" t="s">
        <v>601</v>
      </c>
      <c r="J546" s="2" t="s">
        <v>381</v>
      </c>
      <c r="K546" s="9">
        <v>45700</v>
      </c>
      <c r="L546" s="9">
        <v>45704</v>
      </c>
      <c r="M546" s="9">
        <v>45702</v>
      </c>
      <c r="N546" s="2" t="s">
        <v>696</v>
      </c>
      <c r="O546" s="2" t="s">
        <v>55</v>
      </c>
      <c r="P546" s="2" t="s">
        <v>139</v>
      </c>
      <c r="Q546" s="2" t="s">
        <v>217</v>
      </c>
      <c r="R546" s="2" t="s">
        <v>149</v>
      </c>
      <c r="S546" s="2" t="s">
        <v>383</v>
      </c>
      <c r="T546" s="10">
        <v>33.72</v>
      </c>
      <c r="U546" s="11">
        <v>1</v>
      </c>
      <c r="V546" s="12">
        <f>T546*U546</f>
        <v>33.72</v>
      </c>
      <c r="W546" s="13">
        <v>0</v>
      </c>
      <c r="X546" s="12">
        <f>V546-(V546/(1+W546))</f>
        <v>0</v>
      </c>
      <c r="Y546" s="12">
        <f>V546-X546</f>
        <v>33.72</v>
      </c>
      <c r="Z546" s="14">
        <v>35</v>
      </c>
      <c r="AA546" s="2" t="str">
        <f>IF(V546&gt;Z546,"Yes","No")</f>
        <v>No</v>
      </c>
      <c r="AB546" s="12">
        <f>V546-Z546</f>
        <v>-1.2800000000000011</v>
      </c>
      <c r="AC546" s="15" t="s">
        <v>130</v>
      </c>
      <c r="AD546" s="15" t="s">
        <v>130</v>
      </c>
      <c r="AE546" s="15" t="s">
        <v>858</v>
      </c>
      <c r="AF546" s="12">
        <f>IF(AG546="Rejected",0,IF(R546="Corporate Card",0,V546))</f>
        <v>33.72</v>
      </c>
      <c r="AG546" s="15" t="s">
        <v>133</v>
      </c>
      <c r="AH546" s="16">
        <v>45712</v>
      </c>
      <c r="AI546" s="16">
        <v>45717</v>
      </c>
      <c r="AJ546" s="16">
        <v>45721</v>
      </c>
      <c r="AK546" s="17">
        <f>IF(AJ546="","",AJ546-AH546)</f>
        <v>9</v>
      </c>
    </row>
    <row r="547" spans="1:37">
      <c r="A547" s="2" t="s">
        <v>915</v>
      </c>
      <c r="B547" s="2" t="s">
        <v>863</v>
      </c>
      <c r="C547" s="2" t="s">
        <v>864</v>
      </c>
      <c r="D547" s="2" t="s">
        <v>865</v>
      </c>
      <c r="E547" s="2" t="s">
        <v>866</v>
      </c>
      <c r="F547" s="2" t="s">
        <v>867</v>
      </c>
      <c r="G547" s="2" t="s">
        <v>868</v>
      </c>
      <c r="H547" s="2" t="s">
        <v>448</v>
      </c>
      <c r="I547" s="2" t="s">
        <v>123</v>
      </c>
      <c r="J547" s="2" t="s">
        <v>124</v>
      </c>
      <c r="K547" s="9">
        <v>45700</v>
      </c>
      <c r="L547" s="9">
        <v>45707</v>
      </c>
      <c r="M547" s="9">
        <v>45702</v>
      </c>
      <c r="N547" s="2" t="s">
        <v>696</v>
      </c>
      <c r="O547" s="2" t="s">
        <v>54</v>
      </c>
      <c r="P547" s="2" t="s">
        <v>139</v>
      </c>
      <c r="Q547" s="2" t="s">
        <v>163</v>
      </c>
      <c r="R547" s="2" t="s">
        <v>128</v>
      </c>
      <c r="S547" s="2" t="s">
        <v>129</v>
      </c>
      <c r="T547" s="10">
        <v>16.61</v>
      </c>
      <c r="U547" s="11">
        <v>1.272</v>
      </c>
      <c r="V547" s="12">
        <f>T547*U547</f>
        <v>21.12792</v>
      </c>
      <c r="W547" s="13">
        <v>0.2</v>
      </c>
      <c r="X547" s="12">
        <f>V547-(V547/(1+W547))</f>
        <v>3.5213199999999993</v>
      </c>
      <c r="Y547" s="12">
        <f>V547-X547</f>
        <v>17.6066</v>
      </c>
      <c r="Z547" s="14">
        <v>25</v>
      </c>
      <c r="AA547" s="2" t="str">
        <f>IF(V547&gt;Z547,"Yes","No")</f>
        <v>No</v>
      </c>
      <c r="AB547" s="12">
        <f>V547-Z547</f>
        <v>-3.8720800000000004</v>
      </c>
      <c r="AC547" s="15" t="s">
        <v>130</v>
      </c>
      <c r="AD547" s="15" t="s">
        <v>130</v>
      </c>
      <c r="AE547" s="15" t="s">
        <v>180</v>
      </c>
      <c r="AF547" s="12">
        <f>IF(AG547="Rejected",0,IF(R547="Corporate Card",0,V547))</f>
        <v>0</v>
      </c>
      <c r="AG547" s="15" t="s">
        <v>181</v>
      </c>
      <c r="AH547" s="16">
        <v>45709</v>
      </c>
      <c r="AI547" s="16"/>
      <c r="AJ547" s="16"/>
      <c r="AK547" s="17" t="str">
        <f>IF(AJ547="","",AJ547-AH547)</f>
        <v/>
      </c>
    </row>
    <row r="548" spans="1:37">
      <c r="A548" s="2" t="s">
        <v>916</v>
      </c>
      <c r="B548" s="2" t="s">
        <v>863</v>
      </c>
      <c r="C548" s="2" t="s">
        <v>864</v>
      </c>
      <c r="D548" s="2" t="s">
        <v>865</v>
      </c>
      <c r="E548" s="2" t="s">
        <v>866</v>
      </c>
      <c r="F548" s="2" t="s">
        <v>867</v>
      </c>
      <c r="G548" s="2" t="s">
        <v>868</v>
      </c>
      <c r="H548" s="2" t="s">
        <v>448</v>
      </c>
      <c r="I548" s="2" t="s">
        <v>123</v>
      </c>
      <c r="J548" s="2" t="s">
        <v>124</v>
      </c>
      <c r="K548" s="9">
        <v>45700</v>
      </c>
      <c r="L548" s="9">
        <v>45707</v>
      </c>
      <c r="M548" s="9">
        <v>45702</v>
      </c>
      <c r="N548" s="2" t="s">
        <v>696</v>
      </c>
      <c r="O548" s="2" t="s">
        <v>56</v>
      </c>
      <c r="P548" s="2" t="s">
        <v>151</v>
      </c>
      <c r="Q548" s="2" t="s">
        <v>166</v>
      </c>
      <c r="R548" s="2" t="s">
        <v>128</v>
      </c>
      <c r="S548" s="2" t="s">
        <v>129</v>
      </c>
      <c r="T548" s="10">
        <v>22.43</v>
      </c>
      <c r="U548" s="11">
        <v>1.272</v>
      </c>
      <c r="V548" s="12">
        <f>T548*U548</f>
        <v>28.53096</v>
      </c>
      <c r="W548" s="13">
        <v>0.2</v>
      </c>
      <c r="X548" s="12">
        <f>V548-(V548/(1+W548))</f>
        <v>4.7551600000000001</v>
      </c>
      <c r="Y548" s="12">
        <f>V548-X548</f>
        <v>23.7758</v>
      </c>
      <c r="Z548" s="14">
        <v>75</v>
      </c>
      <c r="AA548" s="2" t="str">
        <f>IF(V548&gt;Z548,"Yes","No")</f>
        <v>No</v>
      </c>
      <c r="AB548" s="12">
        <f>V548-Z548</f>
        <v>-46.46904</v>
      </c>
      <c r="AC548" s="15" t="s">
        <v>130</v>
      </c>
      <c r="AD548" s="15" t="s">
        <v>130</v>
      </c>
      <c r="AE548" s="15" t="s">
        <v>180</v>
      </c>
      <c r="AF548" s="12">
        <f>IF(AG548="Rejected",0,IF(R548="Corporate Card",0,V548))</f>
        <v>0</v>
      </c>
      <c r="AG548" s="15" t="s">
        <v>181</v>
      </c>
      <c r="AH548" s="16">
        <v>45709</v>
      </c>
      <c r="AI548" s="16"/>
      <c r="AJ548" s="16"/>
      <c r="AK548" s="17" t="str">
        <f>IF(AJ548="","",AJ548-AH548)</f>
        <v/>
      </c>
    </row>
    <row r="549" spans="1:37">
      <c r="A549" s="2" t="s">
        <v>917</v>
      </c>
      <c r="B549" s="2" t="s">
        <v>248</v>
      </c>
      <c r="C549" s="2" t="s">
        <v>249</v>
      </c>
      <c r="D549" s="2" t="s">
        <v>250</v>
      </c>
      <c r="E549" s="2" t="s">
        <v>251</v>
      </c>
      <c r="F549" s="2" t="s">
        <v>252</v>
      </c>
      <c r="G549" s="2" t="s">
        <v>830</v>
      </c>
      <c r="H549" s="2" t="s">
        <v>291</v>
      </c>
      <c r="I549" s="2" t="s">
        <v>175</v>
      </c>
      <c r="J549" s="2" t="s">
        <v>176</v>
      </c>
      <c r="K549" s="9">
        <v>45698</v>
      </c>
      <c r="L549" s="9">
        <v>45706</v>
      </c>
      <c r="M549" s="9">
        <v>45703</v>
      </c>
      <c r="N549" s="2" t="s">
        <v>696</v>
      </c>
      <c r="O549" s="2" t="s">
        <v>58</v>
      </c>
      <c r="P549" s="2" t="s">
        <v>142</v>
      </c>
      <c r="Q549" s="2" t="s">
        <v>203</v>
      </c>
      <c r="R549" s="2" t="s">
        <v>128</v>
      </c>
      <c r="S549" s="2" t="s">
        <v>179</v>
      </c>
      <c r="T549" s="10">
        <v>272.83999999999997</v>
      </c>
      <c r="U549" s="11">
        <v>0.18099999999999999</v>
      </c>
      <c r="V549" s="12">
        <f>T549*U549</f>
        <v>49.384039999999992</v>
      </c>
      <c r="W549" s="13">
        <v>0.17</v>
      </c>
      <c r="X549" s="12">
        <f>V549-(V549/(1+W549))</f>
        <v>7.1754588034187989</v>
      </c>
      <c r="Y549" s="12">
        <f>V549-X549</f>
        <v>42.208581196581193</v>
      </c>
      <c r="Z549" s="14">
        <v>60</v>
      </c>
      <c r="AA549" s="2" t="str">
        <f>IF(V549&gt;Z549,"Yes","No")</f>
        <v>No</v>
      </c>
      <c r="AB549" s="12">
        <f>V549-Z549</f>
        <v>-10.615960000000008</v>
      </c>
      <c r="AC549" s="15" t="s">
        <v>130</v>
      </c>
      <c r="AD549" s="15" t="s">
        <v>130</v>
      </c>
      <c r="AE549" s="15" t="s">
        <v>350</v>
      </c>
      <c r="AF549" s="12">
        <f>IF(AG549="Rejected",0,IF(R549="Corporate Card",0,V549))</f>
        <v>0</v>
      </c>
      <c r="AG549" s="15" t="s">
        <v>133</v>
      </c>
      <c r="AH549" s="16">
        <v>45712</v>
      </c>
      <c r="AI549" s="16">
        <v>45714</v>
      </c>
      <c r="AJ549" s="16">
        <v>45720</v>
      </c>
      <c r="AK549" s="17">
        <f>IF(AJ549="","",AJ549-AH549)</f>
        <v>8</v>
      </c>
    </row>
    <row r="550" spans="1:37">
      <c r="A550" s="2" t="s">
        <v>918</v>
      </c>
      <c r="B550" s="2" t="s">
        <v>248</v>
      </c>
      <c r="C550" s="2" t="s">
        <v>249</v>
      </c>
      <c r="D550" s="2" t="s">
        <v>250</v>
      </c>
      <c r="E550" s="2" t="s">
        <v>251</v>
      </c>
      <c r="F550" s="2" t="s">
        <v>252</v>
      </c>
      <c r="G550" s="2" t="s">
        <v>830</v>
      </c>
      <c r="H550" s="2" t="s">
        <v>291</v>
      </c>
      <c r="I550" s="2" t="s">
        <v>175</v>
      </c>
      <c r="J550" s="2" t="s">
        <v>176</v>
      </c>
      <c r="K550" s="9">
        <v>45698</v>
      </c>
      <c r="L550" s="9">
        <v>45706</v>
      </c>
      <c r="M550" s="9">
        <v>45703</v>
      </c>
      <c r="N550" s="2" t="s">
        <v>696</v>
      </c>
      <c r="O550" s="2" t="s">
        <v>54</v>
      </c>
      <c r="P550" s="2" t="s">
        <v>139</v>
      </c>
      <c r="Q550" s="2" t="s">
        <v>148</v>
      </c>
      <c r="R550" s="2" t="s">
        <v>128</v>
      </c>
      <c r="S550" s="2" t="s">
        <v>179</v>
      </c>
      <c r="T550" s="10">
        <v>176.5</v>
      </c>
      <c r="U550" s="11">
        <v>0.18099999999999999</v>
      </c>
      <c r="V550" s="12">
        <f>T550*U550</f>
        <v>31.9465</v>
      </c>
      <c r="W550" s="13">
        <v>0.17</v>
      </c>
      <c r="X550" s="12">
        <f>V550-(V550/(1+W550))</f>
        <v>4.6417991452991423</v>
      </c>
      <c r="Y550" s="12">
        <f>V550-X550</f>
        <v>27.304700854700858</v>
      </c>
      <c r="Z550" s="14">
        <v>25</v>
      </c>
      <c r="AA550" s="2" t="str">
        <f>IF(V550&gt;Z550,"Yes","No")</f>
        <v>Yes</v>
      </c>
      <c r="AB550" s="12">
        <f>V550-Z550</f>
        <v>6.9465000000000003</v>
      </c>
      <c r="AC550" s="15" t="s">
        <v>130</v>
      </c>
      <c r="AD550" s="15" t="s">
        <v>130</v>
      </c>
      <c r="AE550" s="15" t="s">
        <v>350</v>
      </c>
      <c r="AF550" s="12">
        <f>IF(AG550="Rejected",0,IF(R550="Corporate Card",0,V550))</f>
        <v>0</v>
      </c>
      <c r="AG550" s="15" t="s">
        <v>133</v>
      </c>
      <c r="AH550" s="16">
        <v>45712</v>
      </c>
      <c r="AI550" s="16">
        <v>45714</v>
      </c>
      <c r="AJ550" s="16">
        <v>45720</v>
      </c>
      <c r="AK550" s="17">
        <f>IF(AJ550="","",AJ550-AH550)</f>
        <v>8</v>
      </c>
    </row>
    <row r="551" spans="1:37">
      <c r="A551" s="2" t="s">
        <v>919</v>
      </c>
      <c r="B551" s="2" t="s">
        <v>248</v>
      </c>
      <c r="C551" s="2" t="s">
        <v>249</v>
      </c>
      <c r="D551" s="2" t="s">
        <v>250</v>
      </c>
      <c r="E551" s="2" t="s">
        <v>251</v>
      </c>
      <c r="F551" s="2" t="s">
        <v>252</v>
      </c>
      <c r="G551" s="2" t="s">
        <v>830</v>
      </c>
      <c r="H551" s="2" t="s">
        <v>291</v>
      </c>
      <c r="I551" s="2" t="s">
        <v>175</v>
      </c>
      <c r="J551" s="2" t="s">
        <v>176</v>
      </c>
      <c r="K551" s="9">
        <v>45698</v>
      </c>
      <c r="L551" s="9">
        <v>45706</v>
      </c>
      <c r="M551" s="9">
        <v>45703</v>
      </c>
      <c r="N551" s="2" t="s">
        <v>696</v>
      </c>
      <c r="O551" s="2" t="s">
        <v>56</v>
      </c>
      <c r="P551" s="2" t="s">
        <v>151</v>
      </c>
      <c r="Q551" s="2" t="s">
        <v>166</v>
      </c>
      <c r="R551" s="2" t="s">
        <v>128</v>
      </c>
      <c r="S551" s="2" t="s">
        <v>179</v>
      </c>
      <c r="T551" s="10">
        <v>255.01</v>
      </c>
      <c r="U551" s="11">
        <v>0.18099999999999999</v>
      </c>
      <c r="V551" s="12">
        <f>T551*U551</f>
        <v>46.15681</v>
      </c>
      <c r="W551" s="13">
        <v>0.17</v>
      </c>
      <c r="X551" s="12">
        <f>V551-(V551/(1+W551))</f>
        <v>6.706545042735037</v>
      </c>
      <c r="Y551" s="12">
        <f>V551-X551</f>
        <v>39.450264957264963</v>
      </c>
      <c r="Z551" s="14">
        <v>75</v>
      </c>
      <c r="AA551" s="2" t="str">
        <f>IF(V551&gt;Z551,"Yes","No")</f>
        <v>No</v>
      </c>
      <c r="AB551" s="12">
        <f>V551-Z551</f>
        <v>-28.84319</v>
      </c>
      <c r="AC551" s="15" t="s">
        <v>130</v>
      </c>
      <c r="AD551" s="15" t="s">
        <v>130</v>
      </c>
      <c r="AE551" s="15" t="s">
        <v>350</v>
      </c>
      <c r="AF551" s="12">
        <f>IF(AG551="Rejected",0,IF(R551="Corporate Card",0,V551))</f>
        <v>0</v>
      </c>
      <c r="AG551" s="15" t="s">
        <v>133</v>
      </c>
      <c r="AH551" s="16">
        <v>45712</v>
      </c>
      <c r="AI551" s="16">
        <v>45714</v>
      </c>
      <c r="AJ551" s="16">
        <v>45720</v>
      </c>
      <c r="AK551" s="17">
        <f>IF(AJ551="","",AJ551-AH551)</f>
        <v>8</v>
      </c>
    </row>
    <row r="552" spans="1:37">
      <c r="A552" s="2" t="s">
        <v>920</v>
      </c>
      <c r="B552" s="2" t="s">
        <v>248</v>
      </c>
      <c r="C552" s="2" t="s">
        <v>249</v>
      </c>
      <c r="D552" s="2" t="s">
        <v>250</v>
      </c>
      <c r="E552" s="2" t="s">
        <v>251</v>
      </c>
      <c r="F552" s="2" t="s">
        <v>252</v>
      </c>
      <c r="G552" s="2" t="s">
        <v>830</v>
      </c>
      <c r="H552" s="2" t="s">
        <v>291</v>
      </c>
      <c r="I552" s="2" t="s">
        <v>175</v>
      </c>
      <c r="J552" s="2" t="s">
        <v>176</v>
      </c>
      <c r="K552" s="9">
        <v>45698</v>
      </c>
      <c r="L552" s="9">
        <v>45706</v>
      </c>
      <c r="M552" s="9">
        <v>45703</v>
      </c>
      <c r="N552" s="2" t="s">
        <v>696</v>
      </c>
      <c r="O552" s="2" t="s">
        <v>55</v>
      </c>
      <c r="P552" s="2" t="s">
        <v>139</v>
      </c>
      <c r="Q552" s="2" t="s">
        <v>161</v>
      </c>
      <c r="R552" s="2" t="s">
        <v>149</v>
      </c>
      <c r="S552" s="2" t="s">
        <v>179</v>
      </c>
      <c r="T552" s="10">
        <v>120.39</v>
      </c>
      <c r="U552" s="11">
        <v>0.18099999999999999</v>
      </c>
      <c r="V552" s="12">
        <f>T552*U552</f>
        <v>21.790589999999998</v>
      </c>
      <c r="W552" s="13">
        <v>0.17</v>
      </c>
      <c r="X552" s="12">
        <f>V552-(V552/(1+W552))</f>
        <v>3.1661541025641</v>
      </c>
      <c r="Y552" s="12">
        <f>V552-X552</f>
        <v>18.624435897435898</v>
      </c>
      <c r="Z552" s="14">
        <v>35</v>
      </c>
      <c r="AA552" s="2" t="str">
        <f>IF(V552&gt;Z552,"Yes","No")</f>
        <v>No</v>
      </c>
      <c r="AB552" s="12">
        <f>V552-Z552</f>
        <v>-13.209410000000002</v>
      </c>
      <c r="AC552" s="15" t="s">
        <v>130</v>
      </c>
      <c r="AD552" s="15" t="s">
        <v>130</v>
      </c>
      <c r="AE552" s="15" t="s">
        <v>350</v>
      </c>
      <c r="AF552" s="12">
        <f>IF(AG552="Rejected",0,IF(R552="Corporate Card",0,V552))</f>
        <v>21.790589999999998</v>
      </c>
      <c r="AG552" s="15" t="s">
        <v>133</v>
      </c>
      <c r="AH552" s="16">
        <v>45712</v>
      </c>
      <c r="AI552" s="16">
        <v>45714</v>
      </c>
      <c r="AJ552" s="16">
        <v>45720</v>
      </c>
      <c r="AK552" s="17">
        <f>IF(AJ552="","",AJ552-AH552)</f>
        <v>8</v>
      </c>
    </row>
    <row r="553" spans="1:37">
      <c r="A553" s="2" t="s">
        <v>921</v>
      </c>
      <c r="B553" s="2" t="s">
        <v>882</v>
      </c>
      <c r="C553" s="2" t="s">
        <v>446</v>
      </c>
      <c r="D553" s="2" t="s">
        <v>444</v>
      </c>
      <c r="E553" s="2" t="s">
        <v>883</v>
      </c>
      <c r="F553" s="2" t="s">
        <v>313</v>
      </c>
      <c r="G553" s="2" t="s">
        <v>884</v>
      </c>
      <c r="H553" s="2" t="s">
        <v>122</v>
      </c>
      <c r="I553" s="2" t="s">
        <v>380</v>
      </c>
      <c r="J553" s="2" t="s">
        <v>381</v>
      </c>
      <c r="K553" s="9">
        <v>45701</v>
      </c>
      <c r="L553" s="9">
        <v>45704</v>
      </c>
      <c r="M553" s="9">
        <v>45703</v>
      </c>
      <c r="N553" s="2" t="s">
        <v>696</v>
      </c>
      <c r="O553" s="2" t="s">
        <v>67</v>
      </c>
      <c r="P553" s="2" t="s">
        <v>401</v>
      </c>
      <c r="Q553" s="2" t="s">
        <v>402</v>
      </c>
      <c r="R553" s="2" t="s">
        <v>128</v>
      </c>
      <c r="S553" s="2" t="s">
        <v>383</v>
      </c>
      <c r="T553" s="10">
        <v>38.79</v>
      </c>
      <c r="U553" s="11">
        <v>1</v>
      </c>
      <c r="V553" s="12">
        <f>T553*U553</f>
        <v>38.79</v>
      </c>
      <c r="W553" s="13">
        <v>0</v>
      </c>
      <c r="X553" s="12">
        <f>V553-(V553/(1+W553))</f>
        <v>0</v>
      </c>
      <c r="Y553" s="12">
        <f>V553-X553</f>
        <v>38.79</v>
      </c>
      <c r="Z553" s="14">
        <v>100</v>
      </c>
      <c r="AA553" s="2" t="str">
        <f>IF(V553&gt;Z553,"Yes","No")</f>
        <v>No</v>
      </c>
      <c r="AB553" s="12">
        <f>V553-Z553</f>
        <v>-61.21</v>
      </c>
      <c r="AC553" s="15" t="s">
        <v>130</v>
      </c>
      <c r="AD553" s="15" t="s">
        <v>131</v>
      </c>
      <c r="AE553" s="15" t="s">
        <v>437</v>
      </c>
      <c r="AF553" s="12">
        <f>IF(AG553="Rejected",0,IF(R553="Corporate Card",0,V553))</f>
        <v>0</v>
      </c>
      <c r="AG553" s="15" t="s">
        <v>133</v>
      </c>
      <c r="AH553" s="16">
        <v>45708</v>
      </c>
      <c r="AI553" s="16">
        <v>45711</v>
      </c>
      <c r="AJ553" s="16">
        <v>45724</v>
      </c>
      <c r="AK553" s="17">
        <f>IF(AJ553="","",AJ553-AH553)</f>
        <v>16</v>
      </c>
    </row>
    <row r="554" spans="1:37">
      <c r="A554" s="2" t="s">
        <v>922</v>
      </c>
      <c r="B554" s="2" t="s">
        <v>882</v>
      </c>
      <c r="C554" s="2" t="s">
        <v>446</v>
      </c>
      <c r="D554" s="2" t="s">
        <v>444</v>
      </c>
      <c r="E554" s="2" t="s">
        <v>883</v>
      </c>
      <c r="F554" s="2" t="s">
        <v>313</v>
      </c>
      <c r="G554" s="2" t="s">
        <v>884</v>
      </c>
      <c r="H554" s="2" t="s">
        <v>122</v>
      </c>
      <c r="I554" s="2" t="s">
        <v>380</v>
      </c>
      <c r="J554" s="2" t="s">
        <v>381</v>
      </c>
      <c r="K554" s="9">
        <v>45701</v>
      </c>
      <c r="L554" s="9">
        <v>45704</v>
      </c>
      <c r="M554" s="9">
        <v>45703</v>
      </c>
      <c r="N554" s="2" t="s">
        <v>696</v>
      </c>
      <c r="O554" s="2" t="s">
        <v>58</v>
      </c>
      <c r="P554" s="2" t="s">
        <v>142</v>
      </c>
      <c r="Q554" s="2" t="s">
        <v>224</v>
      </c>
      <c r="R554" s="2" t="s">
        <v>128</v>
      </c>
      <c r="S554" s="2" t="s">
        <v>383</v>
      </c>
      <c r="T554" s="10">
        <v>26.93</v>
      </c>
      <c r="U554" s="11">
        <v>1</v>
      </c>
      <c r="V554" s="12">
        <f>T554*U554</f>
        <v>26.93</v>
      </c>
      <c r="W554" s="13">
        <v>0</v>
      </c>
      <c r="X554" s="12">
        <f>V554-(V554/(1+W554))</f>
        <v>0</v>
      </c>
      <c r="Y554" s="12">
        <f>V554-X554</f>
        <v>26.93</v>
      </c>
      <c r="Z554" s="14">
        <v>60</v>
      </c>
      <c r="AA554" s="2" t="str">
        <f>IF(V554&gt;Z554,"Yes","No")</f>
        <v>No</v>
      </c>
      <c r="AB554" s="12">
        <f>V554-Z554</f>
        <v>-33.07</v>
      </c>
      <c r="AC554" s="15" t="s">
        <v>130</v>
      </c>
      <c r="AD554" s="15" t="s">
        <v>131</v>
      </c>
      <c r="AE554" s="15" t="s">
        <v>437</v>
      </c>
      <c r="AF554" s="12">
        <f>IF(AG554="Rejected",0,IF(R554="Corporate Card",0,V554))</f>
        <v>0</v>
      </c>
      <c r="AG554" s="15" t="s">
        <v>133</v>
      </c>
      <c r="AH554" s="16">
        <v>45708</v>
      </c>
      <c r="AI554" s="16">
        <v>45711</v>
      </c>
      <c r="AJ554" s="16">
        <v>45724</v>
      </c>
      <c r="AK554" s="17">
        <f>IF(AJ554="","",AJ554-AH554)</f>
        <v>16</v>
      </c>
    </row>
    <row r="555" spans="1:37">
      <c r="A555" s="2" t="s">
        <v>923</v>
      </c>
      <c r="B555" s="2" t="s">
        <v>882</v>
      </c>
      <c r="C555" s="2" t="s">
        <v>446</v>
      </c>
      <c r="D555" s="2" t="s">
        <v>444</v>
      </c>
      <c r="E555" s="2" t="s">
        <v>883</v>
      </c>
      <c r="F555" s="2" t="s">
        <v>313</v>
      </c>
      <c r="G555" s="2" t="s">
        <v>884</v>
      </c>
      <c r="H555" s="2" t="s">
        <v>122</v>
      </c>
      <c r="I555" s="2" t="s">
        <v>380</v>
      </c>
      <c r="J555" s="2" t="s">
        <v>381</v>
      </c>
      <c r="K555" s="9">
        <v>45701</v>
      </c>
      <c r="L555" s="9">
        <v>45704</v>
      </c>
      <c r="M555" s="9">
        <v>45703</v>
      </c>
      <c r="N555" s="2" t="s">
        <v>696</v>
      </c>
      <c r="O555" s="2" t="s">
        <v>56</v>
      </c>
      <c r="P555" s="2" t="s">
        <v>151</v>
      </c>
      <c r="Q555" s="2" t="s">
        <v>152</v>
      </c>
      <c r="R555" s="2" t="s">
        <v>128</v>
      </c>
      <c r="S555" s="2" t="s">
        <v>383</v>
      </c>
      <c r="T555" s="10">
        <v>55.43</v>
      </c>
      <c r="U555" s="11">
        <v>1</v>
      </c>
      <c r="V555" s="12">
        <f>T555*U555</f>
        <v>55.43</v>
      </c>
      <c r="W555" s="13">
        <v>0</v>
      </c>
      <c r="X555" s="12">
        <f>V555-(V555/(1+W555))</f>
        <v>0</v>
      </c>
      <c r="Y555" s="12">
        <f>V555-X555</f>
        <v>55.43</v>
      </c>
      <c r="Z555" s="14">
        <v>75</v>
      </c>
      <c r="AA555" s="2" t="str">
        <f>IF(V555&gt;Z555,"Yes","No")</f>
        <v>No</v>
      </c>
      <c r="AB555" s="12">
        <f>V555-Z555</f>
        <v>-19.57</v>
      </c>
      <c r="AC555" s="15" t="s">
        <v>130</v>
      </c>
      <c r="AD555" s="15" t="s">
        <v>131</v>
      </c>
      <c r="AE555" s="15" t="s">
        <v>437</v>
      </c>
      <c r="AF555" s="12">
        <f>IF(AG555="Rejected",0,IF(R555="Corporate Card",0,V555))</f>
        <v>0</v>
      </c>
      <c r="AG555" s="15" t="s">
        <v>133</v>
      </c>
      <c r="AH555" s="16">
        <v>45708</v>
      </c>
      <c r="AI555" s="16">
        <v>45711</v>
      </c>
      <c r="AJ555" s="16">
        <v>45724</v>
      </c>
      <c r="AK555" s="17">
        <f>IF(AJ555="","",AJ555-AH555)</f>
        <v>16</v>
      </c>
    </row>
    <row r="556" spans="1:37">
      <c r="A556" s="2" t="s">
        <v>924</v>
      </c>
      <c r="B556" s="2" t="s">
        <v>882</v>
      </c>
      <c r="C556" s="2" t="s">
        <v>446</v>
      </c>
      <c r="D556" s="2" t="s">
        <v>444</v>
      </c>
      <c r="E556" s="2" t="s">
        <v>883</v>
      </c>
      <c r="F556" s="2" t="s">
        <v>313</v>
      </c>
      <c r="G556" s="2" t="s">
        <v>884</v>
      </c>
      <c r="H556" s="2" t="s">
        <v>122</v>
      </c>
      <c r="I556" s="2" t="s">
        <v>380</v>
      </c>
      <c r="J556" s="2" t="s">
        <v>381</v>
      </c>
      <c r="K556" s="9">
        <v>45701</v>
      </c>
      <c r="L556" s="9">
        <v>45704</v>
      </c>
      <c r="M556" s="9">
        <v>45703</v>
      </c>
      <c r="N556" s="2" t="s">
        <v>696</v>
      </c>
      <c r="O556" s="2" t="s">
        <v>55</v>
      </c>
      <c r="P556" s="2" t="s">
        <v>139</v>
      </c>
      <c r="Q556" s="2" t="s">
        <v>187</v>
      </c>
      <c r="R556" s="2" t="s">
        <v>128</v>
      </c>
      <c r="S556" s="2" t="s">
        <v>383</v>
      </c>
      <c r="T556" s="10">
        <v>15.51</v>
      </c>
      <c r="U556" s="11">
        <v>1</v>
      </c>
      <c r="V556" s="12">
        <f>T556*U556</f>
        <v>15.51</v>
      </c>
      <c r="W556" s="13">
        <v>0</v>
      </c>
      <c r="X556" s="12">
        <f>V556-(V556/(1+W556))</f>
        <v>0</v>
      </c>
      <c r="Y556" s="12">
        <f>V556-X556</f>
        <v>15.51</v>
      </c>
      <c r="Z556" s="14">
        <v>35</v>
      </c>
      <c r="AA556" s="2" t="str">
        <f>IF(V556&gt;Z556,"Yes","No")</f>
        <v>No</v>
      </c>
      <c r="AB556" s="12">
        <f>V556-Z556</f>
        <v>-19.490000000000002</v>
      </c>
      <c r="AC556" s="15" t="s">
        <v>130</v>
      </c>
      <c r="AD556" s="15" t="s">
        <v>131</v>
      </c>
      <c r="AE556" s="15" t="s">
        <v>437</v>
      </c>
      <c r="AF556" s="12">
        <f>IF(AG556="Rejected",0,IF(R556="Corporate Card",0,V556))</f>
        <v>0</v>
      </c>
      <c r="AG556" s="15" t="s">
        <v>133</v>
      </c>
      <c r="AH556" s="16">
        <v>45708</v>
      </c>
      <c r="AI556" s="16">
        <v>45711</v>
      </c>
      <c r="AJ556" s="16">
        <v>45724</v>
      </c>
      <c r="AK556" s="17">
        <f>IF(AJ556="","",AJ556-AH556)</f>
        <v>16</v>
      </c>
    </row>
    <row r="557" spans="1:37">
      <c r="A557" s="2" t="s">
        <v>925</v>
      </c>
      <c r="B557" s="2" t="s">
        <v>616</v>
      </c>
      <c r="C557" s="2" t="s">
        <v>252</v>
      </c>
      <c r="D557" s="2" t="s">
        <v>250</v>
      </c>
      <c r="E557" s="2" t="s">
        <v>617</v>
      </c>
      <c r="F557" s="2" t="s">
        <v>510</v>
      </c>
      <c r="G557" s="2" t="s">
        <v>857</v>
      </c>
      <c r="H557" s="2" t="s">
        <v>291</v>
      </c>
      <c r="I557" s="2" t="s">
        <v>601</v>
      </c>
      <c r="J557" s="2" t="s">
        <v>381</v>
      </c>
      <c r="K557" s="9">
        <v>45700</v>
      </c>
      <c r="L557" s="9">
        <v>45704</v>
      </c>
      <c r="M557" s="9">
        <v>45703</v>
      </c>
      <c r="N557" s="2" t="s">
        <v>696</v>
      </c>
      <c r="O557" s="2" t="s">
        <v>58</v>
      </c>
      <c r="P557" s="2" t="s">
        <v>142</v>
      </c>
      <c r="Q557" s="2" t="s">
        <v>203</v>
      </c>
      <c r="R557" s="2" t="s">
        <v>128</v>
      </c>
      <c r="S557" s="2" t="s">
        <v>383</v>
      </c>
      <c r="T557" s="10">
        <v>32.61</v>
      </c>
      <c r="U557" s="11">
        <v>1</v>
      </c>
      <c r="V557" s="12">
        <f>T557*U557</f>
        <v>32.61</v>
      </c>
      <c r="W557" s="13">
        <v>0</v>
      </c>
      <c r="X557" s="12">
        <f>V557-(V557/(1+W557))</f>
        <v>0</v>
      </c>
      <c r="Y557" s="12">
        <f>V557-X557</f>
        <v>32.61</v>
      </c>
      <c r="Z557" s="14">
        <v>60</v>
      </c>
      <c r="AA557" s="2" t="str">
        <f>IF(V557&gt;Z557,"Yes","No")</f>
        <v>No</v>
      </c>
      <c r="AB557" s="12">
        <f>V557-Z557</f>
        <v>-27.39</v>
      </c>
      <c r="AC557" s="15" t="s">
        <v>130</v>
      </c>
      <c r="AD557" s="15" t="s">
        <v>130</v>
      </c>
      <c r="AE557" s="15" t="s">
        <v>858</v>
      </c>
      <c r="AF557" s="12">
        <f>IF(AG557="Rejected",0,IF(R557="Corporate Card",0,V557))</f>
        <v>0</v>
      </c>
      <c r="AG557" s="15" t="s">
        <v>133</v>
      </c>
      <c r="AH557" s="16">
        <v>45712</v>
      </c>
      <c r="AI557" s="16">
        <v>45717</v>
      </c>
      <c r="AJ557" s="16">
        <v>45721</v>
      </c>
      <c r="AK557" s="17">
        <f>IF(AJ557="","",AJ557-AH557)</f>
        <v>9</v>
      </c>
    </row>
    <row r="558" spans="1:37">
      <c r="A558" s="2" t="s">
        <v>926</v>
      </c>
      <c r="B558" s="2" t="s">
        <v>616</v>
      </c>
      <c r="C558" s="2" t="s">
        <v>252</v>
      </c>
      <c r="D558" s="2" t="s">
        <v>250</v>
      </c>
      <c r="E558" s="2" t="s">
        <v>617</v>
      </c>
      <c r="F558" s="2" t="s">
        <v>510</v>
      </c>
      <c r="G558" s="2" t="s">
        <v>857</v>
      </c>
      <c r="H558" s="2" t="s">
        <v>291</v>
      </c>
      <c r="I558" s="2" t="s">
        <v>601</v>
      </c>
      <c r="J558" s="2" t="s">
        <v>381</v>
      </c>
      <c r="K558" s="9">
        <v>45700</v>
      </c>
      <c r="L558" s="9">
        <v>45704</v>
      </c>
      <c r="M558" s="9">
        <v>45703</v>
      </c>
      <c r="N558" s="2" t="s">
        <v>696</v>
      </c>
      <c r="O558" s="2" t="s">
        <v>54</v>
      </c>
      <c r="P558" s="2" t="s">
        <v>139</v>
      </c>
      <c r="Q558" s="2" t="s">
        <v>214</v>
      </c>
      <c r="R558" s="2" t="s">
        <v>128</v>
      </c>
      <c r="S558" s="2" t="s">
        <v>383</v>
      </c>
      <c r="T558" s="10">
        <v>16.82</v>
      </c>
      <c r="U558" s="11">
        <v>1</v>
      </c>
      <c r="V558" s="12">
        <f>T558*U558</f>
        <v>16.82</v>
      </c>
      <c r="W558" s="13">
        <v>0</v>
      </c>
      <c r="X558" s="12">
        <f>V558-(V558/(1+W558))</f>
        <v>0</v>
      </c>
      <c r="Y558" s="12">
        <f>V558-X558</f>
        <v>16.82</v>
      </c>
      <c r="Z558" s="14">
        <v>25</v>
      </c>
      <c r="AA558" s="2" t="str">
        <f>IF(V558&gt;Z558,"Yes","No")</f>
        <v>No</v>
      </c>
      <c r="AB558" s="12">
        <f>V558-Z558</f>
        <v>-8.18</v>
      </c>
      <c r="AC558" s="15" t="s">
        <v>130</v>
      </c>
      <c r="AD558" s="15" t="s">
        <v>130</v>
      </c>
      <c r="AE558" s="15" t="s">
        <v>858</v>
      </c>
      <c r="AF558" s="12">
        <f>IF(AG558="Rejected",0,IF(R558="Corporate Card",0,V558))</f>
        <v>0</v>
      </c>
      <c r="AG558" s="15" t="s">
        <v>133</v>
      </c>
      <c r="AH558" s="16">
        <v>45712</v>
      </c>
      <c r="AI558" s="16">
        <v>45717</v>
      </c>
      <c r="AJ558" s="16">
        <v>45721</v>
      </c>
      <c r="AK558" s="17">
        <f>IF(AJ558="","",AJ558-AH558)</f>
        <v>9</v>
      </c>
    </row>
    <row r="559" spans="1:37">
      <c r="A559" s="2" t="s">
        <v>927</v>
      </c>
      <c r="B559" s="2" t="s">
        <v>616</v>
      </c>
      <c r="C559" s="2" t="s">
        <v>252</v>
      </c>
      <c r="D559" s="2" t="s">
        <v>250</v>
      </c>
      <c r="E559" s="2" t="s">
        <v>617</v>
      </c>
      <c r="F559" s="2" t="s">
        <v>510</v>
      </c>
      <c r="G559" s="2" t="s">
        <v>857</v>
      </c>
      <c r="H559" s="2" t="s">
        <v>291</v>
      </c>
      <c r="I559" s="2" t="s">
        <v>601</v>
      </c>
      <c r="J559" s="2" t="s">
        <v>381</v>
      </c>
      <c r="K559" s="9">
        <v>45700</v>
      </c>
      <c r="L559" s="9">
        <v>45704</v>
      </c>
      <c r="M559" s="9">
        <v>45703</v>
      </c>
      <c r="N559" s="2" t="s">
        <v>696</v>
      </c>
      <c r="O559" s="2" t="s">
        <v>55</v>
      </c>
      <c r="P559" s="2" t="s">
        <v>139</v>
      </c>
      <c r="Q559" s="2" t="s">
        <v>161</v>
      </c>
      <c r="R559" s="2" t="s">
        <v>128</v>
      </c>
      <c r="S559" s="2" t="s">
        <v>383</v>
      </c>
      <c r="T559" s="10">
        <v>31.98</v>
      </c>
      <c r="U559" s="11">
        <v>1</v>
      </c>
      <c r="V559" s="12">
        <f>T559*U559</f>
        <v>31.98</v>
      </c>
      <c r="W559" s="13">
        <v>0</v>
      </c>
      <c r="X559" s="12">
        <f>V559-(V559/(1+W559))</f>
        <v>0</v>
      </c>
      <c r="Y559" s="12">
        <f>V559-X559</f>
        <v>31.98</v>
      </c>
      <c r="Z559" s="14">
        <v>35</v>
      </c>
      <c r="AA559" s="2" t="str">
        <f>IF(V559&gt;Z559,"Yes","No")</f>
        <v>No</v>
      </c>
      <c r="AB559" s="12">
        <f>V559-Z559</f>
        <v>-3.0199999999999996</v>
      </c>
      <c r="AC559" s="15" t="s">
        <v>130</v>
      </c>
      <c r="AD559" s="15" t="s">
        <v>130</v>
      </c>
      <c r="AE559" s="15" t="s">
        <v>858</v>
      </c>
      <c r="AF559" s="12">
        <f>IF(AG559="Rejected",0,IF(R559="Corporate Card",0,V559))</f>
        <v>0</v>
      </c>
      <c r="AG559" s="15" t="s">
        <v>133</v>
      </c>
      <c r="AH559" s="16">
        <v>45712</v>
      </c>
      <c r="AI559" s="16">
        <v>45717</v>
      </c>
      <c r="AJ559" s="16">
        <v>45721</v>
      </c>
      <c r="AK559" s="17">
        <f>IF(AJ559="","",AJ559-AH559)</f>
        <v>9</v>
      </c>
    </row>
    <row r="560" spans="1:37">
      <c r="A560" s="2" t="s">
        <v>928</v>
      </c>
      <c r="B560" s="2" t="s">
        <v>863</v>
      </c>
      <c r="C560" s="2" t="s">
        <v>864</v>
      </c>
      <c r="D560" s="2" t="s">
        <v>865</v>
      </c>
      <c r="E560" s="2" t="s">
        <v>866</v>
      </c>
      <c r="F560" s="2" t="s">
        <v>867</v>
      </c>
      <c r="G560" s="2" t="s">
        <v>868</v>
      </c>
      <c r="H560" s="2" t="s">
        <v>448</v>
      </c>
      <c r="I560" s="2" t="s">
        <v>123</v>
      </c>
      <c r="J560" s="2" t="s">
        <v>124</v>
      </c>
      <c r="K560" s="9">
        <v>45700</v>
      </c>
      <c r="L560" s="9">
        <v>45707</v>
      </c>
      <c r="M560" s="9">
        <v>45703</v>
      </c>
      <c r="N560" s="2" t="s">
        <v>696</v>
      </c>
      <c r="O560" s="2" t="s">
        <v>54</v>
      </c>
      <c r="P560" s="2" t="s">
        <v>139</v>
      </c>
      <c r="Q560" s="2" t="s">
        <v>163</v>
      </c>
      <c r="R560" s="2" t="s">
        <v>137</v>
      </c>
      <c r="S560" s="2" t="s">
        <v>129</v>
      </c>
      <c r="T560" s="10">
        <v>18.79</v>
      </c>
      <c r="U560" s="11">
        <v>1.272</v>
      </c>
      <c r="V560" s="12">
        <f>T560*U560</f>
        <v>23.900880000000001</v>
      </c>
      <c r="W560" s="13">
        <v>0.2</v>
      </c>
      <c r="X560" s="12">
        <f>V560-(V560/(1+W560))</f>
        <v>3.9834800000000001</v>
      </c>
      <c r="Y560" s="12">
        <f>V560-X560</f>
        <v>19.917400000000001</v>
      </c>
      <c r="Z560" s="14">
        <v>25</v>
      </c>
      <c r="AA560" s="2" t="str">
        <f>IF(V560&gt;Z560,"Yes","No")</f>
        <v>No</v>
      </c>
      <c r="AB560" s="12">
        <f>V560-Z560</f>
        <v>-1.0991199999999992</v>
      </c>
      <c r="AC560" s="15" t="s">
        <v>130</v>
      </c>
      <c r="AD560" s="15" t="s">
        <v>130</v>
      </c>
      <c r="AE560" s="15" t="s">
        <v>180</v>
      </c>
      <c r="AF560" s="12">
        <f>IF(AG560="Rejected",0,IF(R560="Corporate Card",0,V560))</f>
        <v>23.900880000000001</v>
      </c>
      <c r="AG560" s="15" t="s">
        <v>181</v>
      </c>
      <c r="AH560" s="16">
        <v>45709</v>
      </c>
      <c r="AI560" s="16"/>
      <c r="AJ560" s="16"/>
      <c r="AK560" s="17" t="str">
        <f>IF(AJ560="","",AJ560-AH560)</f>
        <v/>
      </c>
    </row>
    <row r="561" spans="1:37">
      <c r="A561" s="2" t="s">
        <v>929</v>
      </c>
      <c r="B561" s="2" t="s">
        <v>863</v>
      </c>
      <c r="C561" s="2" t="s">
        <v>864</v>
      </c>
      <c r="D561" s="2" t="s">
        <v>865</v>
      </c>
      <c r="E561" s="2" t="s">
        <v>866</v>
      </c>
      <c r="F561" s="2" t="s">
        <v>867</v>
      </c>
      <c r="G561" s="2" t="s">
        <v>868</v>
      </c>
      <c r="H561" s="2" t="s">
        <v>448</v>
      </c>
      <c r="I561" s="2" t="s">
        <v>123</v>
      </c>
      <c r="J561" s="2" t="s">
        <v>124</v>
      </c>
      <c r="K561" s="9">
        <v>45700</v>
      </c>
      <c r="L561" s="9">
        <v>45707</v>
      </c>
      <c r="M561" s="9">
        <v>45703</v>
      </c>
      <c r="N561" s="2" t="s">
        <v>696</v>
      </c>
      <c r="O561" s="2" t="s">
        <v>56</v>
      </c>
      <c r="P561" s="2" t="s">
        <v>151</v>
      </c>
      <c r="Q561" s="2" t="s">
        <v>152</v>
      </c>
      <c r="R561" s="2" t="s">
        <v>128</v>
      </c>
      <c r="S561" s="2" t="s">
        <v>129</v>
      </c>
      <c r="T561" s="10">
        <v>42</v>
      </c>
      <c r="U561" s="11">
        <v>1.272</v>
      </c>
      <c r="V561" s="12">
        <f>T561*U561</f>
        <v>53.423999999999999</v>
      </c>
      <c r="W561" s="13">
        <v>0.2</v>
      </c>
      <c r="X561" s="12">
        <f>V561-(V561/(1+W561))</f>
        <v>8.9039999999999964</v>
      </c>
      <c r="Y561" s="12">
        <f>V561-X561</f>
        <v>44.52</v>
      </c>
      <c r="Z561" s="14">
        <v>75</v>
      </c>
      <c r="AA561" s="2" t="str">
        <f>IF(V561&gt;Z561,"Yes","No")</f>
        <v>No</v>
      </c>
      <c r="AB561" s="12">
        <f>V561-Z561</f>
        <v>-21.576000000000001</v>
      </c>
      <c r="AC561" s="15" t="s">
        <v>130</v>
      </c>
      <c r="AD561" s="15" t="s">
        <v>130</v>
      </c>
      <c r="AE561" s="15" t="s">
        <v>180</v>
      </c>
      <c r="AF561" s="12">
        <f>IF(AG561="Rejected",0,IF(R561="Corporate Card",0,V561))</f>
        <v>0</v>
      </c>
      <c r="AG561" s="15" t="s">
        <v>181</v>
      </c>
      <c r="AH561" s="16">
        <v>45709</v>
      </c>
      <c r="AI561" s="16"/>
      <c r="AJ561" s="16"/>
      <c r="AK561" s="17" t="str">
        <f>IF(AJ561="","",AJ561-AH561)</f>
        <v/>
      </c>
    </row>
    <row r="562" spans="1:37">
      <c r="A562" s="2" t="s">
        <v>930</v>
      </c>
      <c r="B562" s="2" t="s">
        <v>863</v>
      </c>
      <c r="C562" s="2" t="s">
        <v>864</v>
      </c>
      <c r="D562" s="2" t="s">
        <v>865</v>
      </c>
      <c r="E562" s="2" t="s">
        <v>866</v>
      </c>
      <c r="F562" s="2" t="s">
        <v>867</v>
      </c>
      <c r="G562" s="2" t="s">
        <v>868</v>
      </c>
      <c r="H562" s="2" t="s">
        <v>448</v>
      </c>
      <c r="I562" s="2" t="s">
        <v>123</v>
      </c>
      <c r="J562" s="2" t="s">
        <v>124</v>
      </c>
      <c r="K562" s="9">
        <v>45700</v>
      </c>
      <c r="L562" s="9">
        <v>45707</v>
      </c>
      <c r="M562" s="9">
        <v>45703</v>
      </c>
      <c r="N562" s="2" t="s">
        <v>696</v>
      </c>
      <c r="O562" s="2" t="s">
        <v>55</v>
      </c>
      <c r="P562" s="2" t="s">
        <v>139</v>
      </c>
      <c r="Q562" s="2" t="s">
        <v>154</v>
      </c>
      <c r="R562" s="2" t="s">
        <v>149</v>
      </c>
      <c r="S562" s="2" t="s">
        <v>129</v>
      </c>
      <c r="T562" s="10">
        <v>17.59</v>
      </c>
      <c r="U562" s="11">
        <v>1.272</v>
      </c>
      <c r="V562" s="12">
        <f>T562*U562</f>
        <v>22.374480000000002</v>
      </c>
      <c r="W562" s="13">
        <v>0.2</v>
      </c>
      <c r="X562" s="12">
        <f>V562-(V562/(1+W562))</f>
        <v>3.7290799999999997</v>
      </c>
      <c r="Y562" s="12">
        <f>V562-X562</f>
        <v>18.645400000000002</v>
      </c>
      <c r="Z562" s="14">
        <v>35</v>
      </c>
      <c r="AA562" s="2" t="str">
        <f>IF(V562&gt;Z562,"Yes","No")</f>
        <v>No</v>
      </c>
      <c r="AB562" s="12">
        <f>V562-Z562</f>
        <v>-12.625519999999998</v>
      </c>
      <c r="AC562" s="15" t="s">
        <v>130</v>
      </c>
      <c r="AD562" s="15" t="s">
        <v>130</v>
      </c>
      <c r="AE562" s="15" t="s">
        <v>180</v>
      </c>
      <c r="AF562" s="12">
        <f>IF(AG562="Rejected",0,IF(R562="Corporate Card",0,V562))</f>
        <v>22.374480000000002</v>
      </c>
      <c r="AG562" s="15" t="s">
        <v>181</v>
      </c>
      <c r="AH562" s="16">
        <v>45709</v>
      </c>
      <c r="AI562" s="16"/>
      <c r="AJ562" s="16"/>
      <c r="AK562" s="17" t="str">
        <f>IF(AJ562="","",AJ562-AH562)</f>
        <v/>
      </c>
    </row>
    <row r="563" spans="1:37">
      <c r="A563" s="2" t="s">
        <v>931</v>
      </c>
      <c r="B563" s="2" t="s">
        <v>248</v>
      </c>
      <c r="C563" s="2" t="s">
        <v>249</v>
      </c>
      <c r="D563" s="2" t="s">
        <v>250</v>
      </c>
      <c r="E563" s="2" t="s">
        <v>251</v>
      </c>
      <c r="F563" s="2" t="s">
        <v>252</v>
      </c>
      <c r="G563" s="2" t="s">
        <v>830</v>
      </c>
      <c r="H563" s="2" t="s">
        <v>291</v>
      </c>
      <c r="I563" s="2" t="s">
        <v>175</v>
      </c>
      <c r="J563" s="2" t="s">
        <v>176</v>
      </c>
      <c r="K563" s="9">
        <v>45698</v>
      </c>
      <c r="L563" s="9">
        <v>45706</v>
      </c>
      <c r="M563" s="9">
        <v>45704</v>
      </c>
      <c r="N563" s="2" t="s">
        <v>696</v>
      </c>
      <c r="O563" s="2" t="s">
        <v>54</v>
      </c>
      <c r="P563" s="2" t="s">
        <v>139</v>
      </c>
      <c r="Q563" s="2" t="s">
        <v>148</v>
      </c>
      <c r="R563" s="2" t="s">
        <v>149</v>
      </c>
      <c r="S563" s="2" t="s">
        <v>179</v>
      </c>
      <c r="T563" s="10">
        <v>111.54</v>
      </c>
      <c r="U563" s="11">
        <v>0.18099999999999999</v>
      </c>
      <c r="V563" s="12">
        <f>T563*U563</f>
        <v>20.188739999999999</v>
      </c>
      <c r="W563" s="13">
        <v>0.17</v>
      </c>
      <c r="X563" s="12">
        <f>V563-(V563/(1+W563))</f>
        <v>2.9334066666666665</v>
      </c>
      <c r="Y563" s="12">
        <f>V563-X563</f>
        <v>17.255333333333333</v>
      </c>
      <c r="Z563" s="14">
        <v>25</v>
      </c>
      <c r="AA563" s="2" t="str">
        <f>IF(V563&gt;Z563,"Yes","No")</f>
        <v>No</v>
      </c>
      <c r="AB563" s="12">
        <f>V563-Z563</f>
        <v>-4.8112600000000008</v>
      </c>
      <c r="AC563" s="15" t="s">
        <v>130</v>
      </c>
      <c r="AD563" s="15" t="s">
        <v>130</v>
      </c>
      <c r="AE563" s="15" t="s">
        <v>350</v>
      </c>
      <c r="AF563" s="12">
        <f>IF(AG563="Rejected",0,IF(R563="Corporate Card",0,V563))</f>
        <v>20.188739999999999</v>
      </c>
      <c r="AG563" s="15" t="s">
        <v>133</v>
      </c>
      <c r="AH563" s="16">
        <v>45712</v>
      </c>
      <c r="AI563" s="16">
        <v>45714</v>
      </c>
      <c r="AJ563" s="16">
        <v>45720</v>
      </c>
      <c r="AK563" s="17">
        <f>IF(AJ563="","",AJ563-AH563)</f>
        <v>8</v>
      </c>
    </row>
    <row r="564" spans="1:37">
      <c r="A564" s="2" t="s">
        <v>932</v>
      </c>
      <c r="B564" s="2" t="s">
        <v>248</v>
      </c>
      <c r="C564" s="2" t="s">
        <v>249</v>
      </c>
      <c r="D564" s="2" t="s">
        <v>250</v>
      </c>
      <c r="E564" s="2" t="s">
        <v>251</v>
      </c>
      <c r="F564" s="2" t="s">
        <v>252</v>
      </c>
      <c r="G564" s="2" t="s">
        <v>830</v>
      </c>
      <c r="H564" s="2" t="s">
        <v>291</v>
      </c>
      <c r="I564" s="2" t="s">
        <v>175</v>
      </c>
      <c r="J564" s="2" t="s">
        <v>176</v>
      </c>
      <c r="K564" s="9">
        <v>45698</v>
      </c>
      <c r="L564" s="9">
        <v>45706</v>
      </c>
      <c r="M564" s="9">
        <v>45704</v>
      </c>
      <c r="N564" s="2" t="s">
        <v>696</v>
      </c>
      <c r="O564" s="2" t="s">
        <v>55</v>
      </c>
      <c r="P564" s="2" t="s">
        <v>139</v>
      </c>
      <c r="Q564" s="2" t="s">
        <v>154</v>
      </c>
      <c r="R564" s="2" t="s">
        <v>149</v>
      </c>
      <c r="S564" s="2" t="s">
        <v>179</v>
      </c>
      <c r="T564" s="10">
        <v>289.49</v>
      </c>
      <c r="U564" s="11">
        <v>0.18099999999999999</v>
      </c>
      <c r="V564" s="12">
        <f>T564*U564</f>
        <v>52.397689999999997</v>
      </c>
      <c r="W564" s="13">
        <v>0.17</v>
      </c>
      <c r="X564" s="12">
        <f>V564-(V564/(1+W564))</f>
        <v>7.6133395726495721</v>
      </c>
      <c r="Y564" s="12">
        <f>V564-X564</f>
        <v>44.784350427350425</v>
      </c>
      <c r="Z564" s="14">
        <v>35</v>
      </c>
      <c r="AA564" s="2" t="str">
        <f>IF(V564&gt;Z564,"Yes","No")</f>
        <v>Yes</v>
      </c>
      <c r="AB564" s="12">
        <f>V564-Z564</f>
        <v>17.397689999999997</v>
      </c>
      <c r="AC564" s="15" t="s">
        <v>130</v>
      </c>
      <c r="AD564" s="15" t="s">
        <v>130</v>
      </c>
      <c r="AE564" s="15" t="s">
        <v>350</v>
      </c>
      <c r="AF564" s="12">
        <f>IF(AG564="Rejected",0,IF(R564="Corporate Card",0,V564))</f>
        <v>52.397689999999997</v>
      </c>
      <c r="AG564" s="15" t="s">
        <v>133</v>
      </c>
      <c r="AH564" s="16">
        <v>45712</v>
      </c>
      <c r="AI564" s="16">
        <v>45714</v>
      </c>
      <c r="AJ564" s="16">
        <v>45720</v>
      </c>
      <c r="AK564" s="17">
        <f>IF(AJ564="","",AJ564-AH564)</f>
        <v>8</v>
      </c>
    </row>
    <row r="565" spans="1:37">
      <c r="A565" s="2" t="s">
        <v>933</v>
      </c>
      <c r="B565" s="2" t="s">
        <v>882</v>
      </c>
      <c r="C565" s="2" t="s">
        <v>446</v>
      </c>
      <c r="D565" s="2" t="s">
        <v>444</v>
      </c>
      <c r="E565" s="2" t="s">
        <v>883</v>
      </c>
      <c r="F565" s="2" t="s">
        <v>313</v>
      </c>
      <c r="G565" s="2" t="s">
        <v>884</v>
      </c>
      <c r="H565" s="2" t="s">
        <v>122</v>
      </c>
      <c r="I565" s="2" t="s">
        <v>380</v>
      </c>
      <c r="J565" s="2" t="s">
        <v>381</v>
      </c>
      <c r="K565" s="9">
        <v>45701</v>
      </c>
      <c r="L565" s="9">
        <v>45704</v>
      </c>
      <c r="M565" s="9">
        <v>45704</v>
      </c>
      <c r="N565" s="2" t="s">
        <v>696</v>
      </c>
      <c r="O565" s="2" t="s">
        <v>54</v>
      </c>
      <c r="P565" s="2" t="s">
        <v>139</v>
      </c>
      <c r="Q565" s="2" t="s">
        <v>214</v>
      </c>
      <c r="R565" s="2" t="s">
        <v>137</v>
      </c>
      <c r="S565" s="2" t="s">
        <v>383</v>
      </c>
      <c r="T565" s="10">
        <v>21.28</v>
      </c>
      <c r="U565" s="11">
        <v>1</v>
      </c>
      <c r="V565" s="12">
        <f>T565*U565</f>
        <v>21.28</v>
      </c>
      <c r="W565" s="13">
        <v>0</v>
      </c>
      <c r="X565" s="12">
        <f>V565-(V565/(1+W565))</f>
        <v>0</v>
      </c>
      <c r="Y565" s="12">
        <f>V565-X565</f>
        <v>21.28</v>
      </c>
      <c r="Z565" s="14">
        <v>25</v>
      </c>
      <c r="AA565" s="2" t="str">
        <f>IF(V565&gt;Z565,"Yes","No")</f>
        <v>No</v>
      </c>
      <c r="AB565" s="12">
        <f>V565-Z565</f>
        <v>-3.7199999999999989</v>
      </c>
      <c r="AC565" s="15" t="s">
        <v>130</v>
      </c>
      <c r="AD565" s="15" t="s">
        <v>131</v>
      </c>
      <c r="AE565" s="15" t="s">
        <v>437</v>
      </c>
      <c r="AF565" s="12">
        <f>IF(AG565="Rejected",0,IF(R565="Corporate Card",0,V565))</f>
        <v>21.28</v>
      </c>
      <c r="AG565" s="15" t="s">
        <v>133</v>
      </c>
      <c r="AH565" s="16">
        <v>45708</v>
      </c>
      <c r="AI565" s="16">
        <v>45711</v>
      </c>
      <c r="AJ565" s="16">
        <v>45724</v>
      </c>
      <c r="AK565" s="17">
        <f>IF(AJ565="","",AJ565-AH565)</f>
        <v>16</v>
      </c>
    </row>
    <row r="566" spans="1:37">
      <c r="A566" s="2" t="s">
        <v>934</v>
      </c>
      <c r="B566" s="2" t="s">
        <v>882</v>
      </c>
      <c r="C566" s="2" t="s">
        <v>446</v>
      </c>
      <c r="D566" s="2" t="s">
        <v>444</v>
      </c>
      <c r="E566" s="2" t="s">
        <v>883</v>
      </c>
      <c r="F566" s="2" t="s">
        <v>313</v>
      </c>
      <c r="G566" s="2" t="s">
        <v>884</v>
      </c>
      <c r="H566" s="2" t="s">
        <v>122</v>
      </c>
      <c r="I566" s="2" t="s">
        <v>380</v>
      </c>
      <c r="J566" s="2" t="s">
        <v>381</v>
      </c>
      <c r="K566" s="9">
        <v>45701</v>
      </c>
      <c r="L566" s="9">
        <v>45704</v>
      </c>
      <c r="M566" s="9">
        <v>45704</v>
      </c>
      <c r="N566" s="2" t="s">
        <v>696</v>
      </c>
      <c r="O566" s="2" t="s">
        <v>56</v>
      </c>
      <c r="P566" s="2" t="s">
        <v>245</v>
      </c>
      <c r="Q566" s="2" t="s">
        <v>166</v>
      </c>
      <c r="R566" s="2" t="s">
        <v>137</v>
      </c>
      <c r="S566" s="2" t="s">
        <v>383</v>
      </c>
      <c r="T566" s="10">
        <v>60.36</v>
      </c>
      <c r="U566" s="11">
        <v>1</v>
      </c>
      <c r="V566" s="12">
        <f>T566*U566</f>
        <v>60.36</v>
      </c>
      <c r="W566" s="13">
        <v>0</v>
      </c>
      <c r="X566" s="12">
        <f>V566-(V566/(1+W566))</f>
        <v>0</v>
      </c>
      <c r="Y566" s="12">
        <f>V566-X566</f>
        <v>60.36</v>
      </c>
      <c r="Z566" s="14">
        <v>75</v>
      </c>
      <c r="AA566" s="2" t="str">
        <f>IF(V566&gt;Z566,"Yes","No")</f>
        <v>No</v>
      </c>
      <c r="AB566" s="12">
        <f>V566-Z566</f>
        <v>-14.64</v>
      </c>
      <c r="AC566" s="15" t="s">
        <v>130</v>
      </c>
      <c r="AD566" s="15" t="s">
        <v>131</v>
      </c>
      <c r="AE566" s="15" t="s">
        <v>437</v>
      </c>
      <c r="AF566" s="12">
        <f>IF(AG566="Rejected",0,IF(R566="Corporate Card",0,V566))</f>
        <v>60.36</v>
      </c>
      <c r="AG566" s="15" t="s">
        <v>133</v>
      </c>
      <c r="AH566" s="16">
        <v>45708</v>
      </c>
      <c r="AI566" s="16">
        <v>45711</v>
      </c>
      <c r="AJ566" s="16">
        <v>45724</v>
      </c>
      <c r="AK566" s="17">
        <f>IF(AJ566="","",AJ566-AH566)</f>
        <v>16</v>
      </c>
    </row>
    <row r="567" spans="1:37">
      <c r="A567" s="2" t="s">
        <v>935</v>
      </c>
      <c r="B567" s="2" t="s">
        <v>616</v>
      </c>
      <c r="C567" s="2" t="s">
        <v>252</v>
      </c>
      <c r="D567" s="2" t="s">
        <v>250</v>
      </c>
      <c r="E567" s="2" t="s">
        <v>617</v>
      </c>
      <c r="F567" s="2" t="s">
        <v>510</v>
      </c>
      <c r="G567" s="2" t="s">
        <v>857</v>
      </c>
      <c r="H567" s="2" t="s">
        <v>291</v>
      </c>
      <c r="I567" s="2" t="s">
        <v>601</v>
      </c>
      <c r="J567" s="2" t="s">
        <v>381</v>
      </c>
      <c r="K567" s="9">
        <v>45700</v>
      </c>
      <c r="L567" s="9">
        <v>45704</v>
      </c>
      <c r="M567" s="9">
        <v>45704</v>
      </c>
      <c r="N567" s="2" t="s">
        <v>696</v>
      </c>
      <c r="O567" s="2" t="s">
        <v>58</v>
      </c>
      <c r="P567" s="2" t="s">
        <v>142</v>
      </c>
      <c r="Q567" s="2" t="s">
        <v>203</v>
      </c>
      <c r="R567" s="2" t="s">
        <v>128</v>
      </c>
      <c r="S567" s="2" t="s">
        <v>383</v>
      </c>
      <c r="T567" s="10">
        <v>50.61</v>
      </c>
      <c r="U567" s="11">
        <v>1</v>
      </c>
      <c r="V567" s="12">
        <f>T567*U567</f>
        <v>50.61</v>
      </c>
      <c r="W567" s="13">
        <v>0</v>
      </c>
      <c r="X567" s="12">
        <f>V567-(V567/(1+W567))</f>
        <v>0</v>
      </c>
      <c r="Y567" s="12">
        <f>V567-X567</f>
        <v>50.61</v>
      </c>
      <c r="Z567" s="14">
        <v>60</v>
      </c>
      <c r="AA567" s="2" t="str">
        <f>IF(V567&gt;Z567,"Yes","No")</f>
        <v>No</v>
      </c>
      <c r="AB567" s="12">
        <f>V567-Z567</f>
        <v>-9.39</v>
      </c>
      <c r="AC567" s="15" t="s">
        <v>130</v>
      </c>
      <c r="AD567" s="15" t="s">
        <v>130</v>
      </c>
      <c r="AE567" s="15" t="s">
        <v>858</v>
      </c>
      <c r="AF567" s="12">
        <f>IF(AG567="Rejected",0,IF(R567="Corporate Card",0,V567))</f>
        <v>0</v>
      </c>
      <c r="AG567" s="15" t="s">
        <v>133</v>
      </c>
      <c r="AH567" s="16">
        <v>45712</v>
      </c>
      <c r="AI567" s="16">
        <v>45717</v>
      </c>
      <c r="AJ567" s="16">
        <v>45721</v>
      </c>
      <c r="AK567" s="17">
        <f>IF(AJ567="","",AJ567-AH567)</f>
        <v>9</v>
      </c>
    </row>
    <row r="568" spans="1:37">
      <c r="A568" s="2" t="s">
        <v>936</v>
      </c>
      <c r="B568" s="2" t="s">
        <v>616</v>
      </c>
      <c r="C568" s="2" t="s">
        <v>252</v>
      </c>
      <c r="D568" s="2" t="s">
        <v>250</v>
      </c>
      <c r="E568" s="2" t="s">
        <v>617</v>
      </c>
      <c r="F568" s="2" t="s">
        <v>510</v>
      </c>
      <c r="G568" s="2" t="s">
        <v>857</v>
      </c>
      <c r="H568" s="2" t="s">
        <v>291</v>
      </c>
      <c r="I568" s="2" t="s">
        <v>601</v>
      </c>
      <c r="J568" s="2" t="s">
        <v>381</v>
      </c>
      <c r="K568" s="9">
        <v>45700</v>
      </c>
      <c r="L568" s="9">
        <v>45704</v>
      </c>
      <c r="M568" s="9">
        <v>45704</v>
      </c>
      <c r="N568" s="2" t="s">
        <v>696</v>
      </c>
      <c r="O568" s="2" t="s">
        <v>56</v>
      </c>
      <c r="P568" s="2" t="s">
        <v>165</v>
      </c>
      <c r="Q568" s="2" t="s">
        <v>166</v>
      </c>
      <c r="R568" s="2" t="s">
        <v>137</v>
      </c>
      <c r="S568" s="2" t="s">
        <v>383</v>
      </c>
      <c r="T568" s="10">
        <v>44.7</v>
      </c>
      <c r="U568" s="11">
        <v>1</v>
      </c>
      <c r="V568" s="12">
        <f>T568*U568</f>
        <v>44.7</v>
      </c>
      <c r="W568" s="13">
        <v>0</v>
      </c>
      <c r="X568" s="12">
        <f>V568-(V568/(1+W568))</f>
        <v>0</v>
      </c>
      <c r="Y568" s="12">
        <f>V568-X568</f>
        <v>44.7</v>
      </c>
      <c r="Z568" s="14">
        <v>75</v>
      </c>
      <c r="AA568" s="2" t="str">
        <f>IF(V568&gt;Z568,"Yes","No")</f>
        <v>No</v>
      </c>
      <c r="AB568" s="12">
        <f>V568-Z568</f>
        <v>-30.299999999999997</v>
      </c>
      <c r="AC568" s="15" t="s">
        <v>130</v>
      </c>
      <c r="AD568" s="15" t="s">
        <v>130</v>
      </c>
      <c r="AE568" s="15" t="s">
        <v>858</v>
      </c>
      <c r="AF568" s="12">
        <f>IF(AG568="Rejected",0,IF(R568="Corporate Card",0,V568))</f>
        <v>44.7</v>
      </c>
      <c r="AG568" s="15" t="s">
        <v>133</v>
      </c>
      <c r="AH568" s="16">
        <v>45712</v>
      </c>
      <c r="AI568" s="16">
        <v>45717</v>
      </c>
      <c r="AJ568" s="16">
        <v>45721</v>
      </c>
      <c r="AK568" s="17">
        <f>IF(AJ568="","",AJ568-AH568)</f>
        <v>9</v>
      </c>
    </row>
    <row r="569" spans="1:37">
      <c r="A569" s="2" t="s">
        <v>937</v>
      </c>
      <c r="B569" s="2" t="s">
        <v>616</v>
      </c>
      <c r="C569" s="2" t="s">
        <v>252</v>
      </c>
      <c r="D569" s="2" t="s">
        <v>250</v>
      </c>
      <c r="E569" s="2" t="s">
        <v>617</v>
      </c>
      <c r="F569" s="2" t="s">
        <v>510</v>
      </c>
      <c r="G569" s="2" t="s">
        <v>857</v>
      </c>
      <c r="H569" s="2" t="s">
        <v>291</v>
      </c>
      <c r="I569" s="2" t="s">
        <v>601</v>
      </c>
      <c r="J569" s="2" t="s">
        <v>381</v>
      </c>
      <c r="K569" s="9">
        <v>45700</v>
      </c>
      <c r="L569" s="9">
        <v>45704</v>
      </c>
      <c r="M569" s="9">
        <v>45704</v>
      </c>
      <c r="N569" s="2" t="s">
        <v>696</v>
      </c>
      <c r="O569" s="2" t="s">
        <v>55</v>
      </c>
      <c r="P569" s="2" t="s">
        <v>139</v>
      </c>
      <c r="Q569" s="2" t="s">
        <v>161</v>
      </c>
      <c r="R569" s="2" t="s">
        <v>137</v>
      </c>
      <c r="S569" s="2" t="s">
        <v>383</v>
      </c>
      <c r="T569" s="10">
        <v>24.8</v>
      </c>
      <c r="U569" s="11">
        <v>1</v>
      </c>
      <c r="V569" s="12">
        <f>T569*U569</f>
        <v>24.8</v>
      </c>
      <c r="W569" s="13">
        <v>0</v>
      </c>
      <c r="X569" s="12">
        <f>V569-(V569/(1+W569))</f>
        <v>0</v>
      </c>
      <c r="Y569" s="12">
        <f>V569-X569</f>
        <v>24.8</v>
      </c>
      <c r="Z569" s="14">
        <v>35</v>
      </c>
      <c r="AA569" s="2" t="str">
        <f>IF(V569&gt;Z569,"Yes","No")</f>
        <v>No</v>
      </c>
      <c r="AB569" s="12">
        <f>V569-Z569</f>
        <v>-10.199999999999999</v>
      </c>
      <c r="AC569" s="15" t="s">
        <v>130</v>
      </c>
      <c r="AD569" s="15" t="s">
        <v>130</v>
      </c>
      <c r="AE569" s="15" t="s">
        <v>858</v>
      </c>
      <c r="AF569" s="12">
        <f>IF(AG569="Rejected",0,IF(R569="Corporate Card",0,V569))</f>
        <v>24.8</v>
      </c>
      <c r="AG569" s="15" t="s">
        <v>133</v>
      </c>
      <c r="AH569" s="16">
        <v>45712</v>
      </c>
      <c r="AI569" s="16">
        <v>45717</v>
      </c>
      <c r="AJ569" s="16">
        <v>45721</v>
      </c>
      <c r="AK569" s="17">
        <f>IF(AJ569="","",AJ569-AH569)</f>
        <v>9</v>
      </c>
    </row>
    <row r="570" spans="1:37">
      <c r="A570" s="2" t="s">
        <v>938</v>
      </c>
      <c r="B570" s="2" t="s">
        <v>863</v>
      </c>
      <c r="C570" s="2" t="s">
        <v>864</v>
      </c>
      <c r="D570" s="2" t="s">
        <v>865</v>
      </c>
      <c r="E570" s="2" t="s">
        <v>866</v>
      </c>
      <c r="F570" s="2" t="s">
        <v>867</v>
      </c>
      <c r="G570" s="2" t="s">
        <v>868</v>
      </c>
      <c r="H570" s="2" t="s">
        <v>448</v>
      </c>
      <c r="I570" s="2" t="s">
        <v>123</v>
      </c>
      <c r="J570" s="2" t="s">
        <v>124</v>
      </c>
      <c r="K570" s="9">
        <v>45700</v>
      </c>
      <c r="L570" s="9">
        <v>45707</v>
      </c>
      <c r="M570" s="9">
        <v>45704</v>
      </c>
      <c r="N570" s="2" t="s">
        <v>696</v>
      </c>
      <c r="O570" s="2" t="s">
        <v>58</v>
      </c>
      <c r="P570" s="2" t="s">
        <v>142</v>
      </c>
      <c r="Q570" s="2" t="s">
        <v>224</v>
      </c>
      <c r="R570" s="2" t="s">
        <v>128</v>
      </c>
      <c r="S570" s="2" t="s">
        <v>129</v>
      </c>
      <c r="T570" s="10">
        <v>34.770000000000003</v>
      </c>
      <c r="U570" s="11">
        <v>1.272</v>
      </c>
      <c r="V570" s="12">
        <f>T570*U570</f>
        <v>44.227440000000001</v>
      </c>
      <c r="W570" s="13">
        <v>0.2</v>
      </c>
      <c r="X570" s="12">
        <f>V570-(V570/(1+W570))</f>
        <v>7.3712400000000002</v>
      </c>
      <c r="Y570" s="12">
        <f>V570-X570</f>
        <v>36.856200000000001</v>
      </c>
      <c r="Z570" s="14">
        <v>60</v>
      </c>
      <c r="AA570" s="2" t="str">
        <f>IF(V570&gt;Z570,"Yes","No")</f>
        <v>No</v>
      </c>
      <c r="AB570" s="12">
        <f>V570-Z570</f>
        <v>-15.772559999999999</v>
      </c>
      <c r="AC570" s="15" t="s">
        <v>131</v>
      </c>
      <c r="AD570" s="15" t="s">
        <v>130</v>
      </c>
      <c r="AE570" s="15" t="s">
        <v>180</v>
      </c>
      <c r="AF570" s="12">
        <f>IF(AG570="Rejected",0,IF(R570="Corporate Card",0,V570))</f>
        <v>0</v>
      </c>
      <c r="AG570" s="15" t="s">
        <v>181</v>
      </c>
      <c r="AH570" s="16">
        <v>45709</v>
      </c>
      <c r="AI570" s="16"/>
      <c r="AJ570" s="16"/>
      <c r="AK570" s="17" t="str">
        <f>IF(AJ570="","",AJ570-AH570)</f>
        <v/>
      </c>
    </row>
    <row r="571" spans="1:37">
      <c r="A571" s="2" t="s">
        <v>939</v>
      </c>
      <c r="B571" s="2" t="s">
        <v>863</v>
      </c>
      <c r="C571" s="2" t="s">
        <v>864</v>
      </c>
      <c r="D571" s="2" t="s">
        <v>865</v>
      </c>
      <c r="E571" s="2" t="s">
        <v>866</v>
      </c>
      <c r="F571" s="2" t="s">
        <v>867</v>
      </c>
      <c r="G571" s="2" t="s">
        <v>868</v>
      </c>
      <c r="H571" s="2" t="s">
        <v>448</v>
      </c>
      <c r="I571" s="2" t="s">
        <v>123</v>
      </c>
      <c r="J571" s="2" t="s">
        <v>124</v>
      </c>
      <c r="K571" s="9">
        <v>45700</v>
      </c>
      <c r="L571" s="9">
        <v>45707</v>
      </c>
      <c r="M571" s="9">
        <v>45704</v>
      </c>
      <c r="N571" s="2" t="s">
        <v>696</v>
      </c>
      <c r="O571" s="2" t="s">
        <v>56</v>
      </c>
      <c r="P571" s="2" t="s">
        <v>231</v>
      </c>
      <c r="Q571" s="2" t="s">
        <v>152</v>
      </c>
      <c r="R571" s="2" t="s">
        <v>149</v>
      </c>
      <c r="S571" s="2" t="s">
        <v>129</v>
      </c>
      <c r="T571" s="10">
        <v>27.45</v>
      </c>
      <c r="U571" s="11">
        <v>1.272</v>
      </c>
      <c r="V571" s="12">
        <f>T571*U571</f>
        <v>34.916400000000003</v>
      </c>
      <c r="W571" s="13">
        <v>0.2</v>
      </c>
      <c r="X571" s="12">
        <f>V571-(V571/(1+W571))</f>
        <v>5.8193999999999981</v>
      </c>
      <c r="Y571" s="12">
        <f>V571-X571</f>
        <v>29.097000000000005</v>
      </c>
      <c r="Z571" s="14">
        <v>75</v>
      </c>
      <c r="AA571" s="2" t="str">
        <f>IF(V571&gt;Z571,"Yes","No")</f>
        <v>No</v>
      </c>
      <c r="AB571" s="12">
        <f>V571-Z571</f>
        <v>-40.083599999999997</v>
      </c>
      <c r="AC571" s="15" t="s">
        <v>130</v>
      </c>
      <c r="AD571" s="15" t="s">
        <v>130</v>
      </c>
      <c r="AE571" s="15" t="s">
        <v>180</v>
      </c>
      <c r="AF571" s="12">
        <f>IF(AG571="Rejected",0,IF(R571="Corporate Card",0,V571))</f>
        <v>34.916400000000003</v>
      </c>
      <c r="AG571" s="15" t="s">
        <v>181</v>
      </c>
      <c r="AH571" s="16">
        <v>45709</v>
      </c>
      <c r="AI571" s="16"/>
      <c r="AJ571" s="16"/>
      <c r="AK571" s="17" t="str">
        <f>IF(AJ571="","",AJ571-AH571)</f>
        <v/>
      </c>
    </row>
    <row r="572" spans="1:37">
      <c r="A572" s="2" t="s">
        <v>940</v>
      </c>
      <c r="B572" s="2" t="s">
        <v>375</v>
      </c>
      <c r="C572" s="2" t="s">
        <v>376</v>
      </c>
      <c r="D572" s="2" t="s">
        <v>344</v>
      </c>
      <c r="E572" s="2" t="s">
        <v>377</v>
      </c>
      <c r="F572" s="2" t="s">
        <v>346</v>
      </c>
      <c r="G572" s="2" t="s">
        <v>941</v>
      </c>
      <c r="H572" s="2" t="s">
        <v>803</v>
      </c>
      <c r="I572" s="2" t="s">
        <v>175</v>
      </c>
      <c r="J572" s="2" t="s">
        <v>176</v>
      </c>
      <c r="K572" s="9">
        <v>45704</v>
      </c>
      <c r="L572" s="9">
        <v>45705</v>
      </c>
      <c r="M572" s="9">
        <v>45704</v>
      </c>
      <c r="N572" s="2" t="s">
        <v>696</v>
      </c>
      <c r="O572" s="2" t="s">
        <v>52</v>
      </c>
      <c r="P572" s="2" t="s">
        <v>177</v>
      </c>
      <c r="Q572" s="2" t="s">
        <v>127</v>
      </c>
      <c r="R572" s="2" t="s">
        <v>149</v>
      </c>
      <c r="S572" s="2" t="s">
        <v>179</v>
      </c>
      <c r="T572" s="10">
        <v>13808.38</v>
      </c>
      <c r="U572" s="11">
        <v>0.18099999999999999</v>
      </c>
      <c r="V572" s="12">
        <f>T572*U572</f>
        <v>2499.3167799999997</v>
      </c>
      <c r="W572" s="13">
        <v>0</v>
      </c>
      <c r="X572" s="12">
        <f>V572-(V572/(1+W572))</f>
        <v>0</v>
      </c>
      <c r="Y572" s="12">
        <f>V572-X572</f>
        <v>2499.3167799999997</v>
      </c>
      <c r="Z572" s="14">
        <v>1400</v>
      </c>
      <c r="AA572" s="2" t="str">
        <f>IF(V572&gt;Z572,"Yes","No")</f>
        <v>Yes</v>
      </c>
      <c r="AB572" s="12">
        <f>V572-Z572</f>
        <v>1099.3167799999997</v>
      </c>
      <c r="AC572" s="15" t="s">
        <v>130</v>
      </c>
      <c r="AD572" s="15" t="s">
        <v>130</v>
      </c>
      <c r="AE572" s="15" t="s">
        <v>180</v>
      </c>
      <c r="AF572" s="12">
        <f>IF(AG572="Rejected",0,IF(R572="Corporate Card",0,V572))</f>
        <v>2499.3167799999997</v>
      </c>
      <c r="AG572" s="15" t="s">
        <v>133</v>
      </c>
      <c r="AH572" s="16">
        <v>45708</v>
      </c>
      <c r="AI572" s="16">
        <v>45712</v>
      </c>
      <c r="AJ572" s="16">
        <v>45724</v>
      </c>
      <c r="AK572" s="17">
        <f>IF(AJ572="","",AJ572-AH572)</f>
        <v>16</v>
      </c>
    </row>
    <row r="573" spans="1:37">
      <c r="A573" s="2" t="s">
        <v>942</v>
      </c>
      <c r="B573" s="2" t="s">
        <v>375</v>
      </c>
      <c r="C573" s="2" t="s">
        <v>376</v>
      </c>
      <c r="D573" s="2" t="s">
        <v>344</v>
      </c>
      <c r="E573" s="2" t="s">
        <v>377</v>
      </c>
      <c r="F573" s="2" t="s">
        <v>346</v>
      </c>
      <c r="G573" s="2" t="s">
        <v>941</v>
      </c>
      <c r="H573" s="2" t="s">
        <v>803</v>
      </c>
      <c r="I573" s="2" t="s">
        <v>175</v>
      </c>
      <c r="J573" s="2" t="s">
        <v>176</v>
      </c>
      <c r="K573" s="9">
        <v>45704</v>
      </c>
      <c r="L573" s="9">
        <v>45705</v>
      </c>
      <c r="M573" s="9">
        <v>45704</v>
      </c>
      <c r="N573" s="2" t="s">
        <v>696</v>
      </c>
      <c r="O573" s="2" t="s">
        <v>58</v>
      </c>
      <c r="P573" s="2" t="s">
        <v>142</v>
      </c>
      <c r="Q573" s="2" t="s">
        <v>143</v>
      </c>
      <c r="R573" s="2" t="s">
        <v>149</v>
      </c>
      <c r="S573" s="2" t="s">
        <v>179</v>
      </c>
      <c r="T573" s="10">
        <v>128.86000000000001</v>
      </c>
      <c r="U573" s="11">
        <v>0.18099999999999999</v>
      </c>
      <c r="V573" s="12">
        <f>T573*U573</f>
        <v>23.32366</v>
      </c>
      <c r="W573" s="13">
        <v>0.17</v>
      </c>
      <c r="X573" s="12">
        <f>V573-(V573/(1+W573))</f>
        <v>3.3889078632478622</v>
      </c>
      <c r="Y573" s="12">
        <f>V573-X573</f>
        <v>19.934752136752138</v>
      </c>
      <c r="Z573" s="14">
        <v>60</v>
      </c>
      <c r="AA573" s="2" t="str">
        <f>IF(V573&gt;Z573,"Yes","No")</f>
        <v>No</v>
      </c>
      <c r="AB573" s="12">
        <f>V573-Z573</f>
        <v>-36.676339999999996</v>
      </c>
      <c r="AC573" s="15" t="s">
        <v>130</v>
      </c>
      <c r="AD573" s="15" t="s">
        <v>130</v>
      </c>
      <c r="AE573" s="15" t="s">
        <v>180</v>
      </c>
      <c r="AF573" s="12">
        <f>IF(AG573="Rejected",0,IF(R573="Corporate Card",0,V573))</f>
        <v>23.32366</v>
      </c>
      <c r="AG573" s="15" t="s">
        <v>133</v>
      </c>
      <c r="AH573" s="16">
        <v>45708</v>
      </c>
      <c r="AI573" s="16">
        <v>45712</v>
      </c>
      <c r="AJ573" s="16">
        <v>45724</v>
      </c>
      <c r="AK573" s="17">
        <f>IF(AJ573="","",AJ573-AH573)</f>
        <v>16</v>
      </c>
    </row>
    <row r="574" spans="1:37">
      <c r="A574" s="2" t="s">
        <v>943</v>
      </c>
      <c r="B574" s="2" t="s">
        <v>375</v>
      </c>
      <c r="C574" s="2" t="s">
        <v>376</v>
      </c>
      <c r="D574" s="2" t="s">
        <v>344</v>
      </c>
      <c r="E574" s="2" t="s">
        <v>377</v>
      </c>
      <c r="F574" s="2" t="s">
        <v>346</v>
      </c>
      <c r="G574" s="2" t="s">
        <v>941</v>
      </c>
      <c r="H574" s="2" t="s">
        <v>803</v>
      </c>
      <c r="I574" s="2" t="s">
        <v>175</v>
      </c>
      <c r="J574" s="2" t="s">
        <v>176</v>
      </c>
      <c r="K574" s="9">
        <v>45704</v>
      </c>
      <c r="L574" s="9">
        <v>45705</v>
      </c>
      <c r="M574" s="9">
        <v>45704</v>
      </c>
      <c r="N574" s="2" t="s">
        <v>696</v>
      </c>
      <c r="O574" s="2" t="s">
        <v>54</v>
      </c>
      <c r="P574" s="2" t="s">
        <v>139</v>
      </c>
      <c r="Q574" s="2" t="s">
        <v>148</v>
      </c>
      <c r="R574" s="2" t="s">
        <v>149</v>
      </c>
      <c r="S574" s="2" t="s">
        <v>179</v>
      </c>
      <c r="T574" s="10">
        <v>62.8</v>
      </c>
      <c r="U574" s="11">
        <v>0.18099999999999999</v>
      </c>
      <c r="V574" s="12">
        <f>T574*U574</f>
        <v>11.3668</v>
      </c>
      <c r="W574" s="13">
        <v>0.17</v>
      </c>
      <c r="X574" s="12">
        <f>V574-(V574/(1+W574))</f>
        <v>1.6515863247863241</v>
      </c>
      <c r="Y574" s="12">
        <f>V574-X574</f>
        <v>9.7152136752136755</v>
      </c>
      <c r="Z574" s="14">
        <v>25</v>
      </c>
      <c r="AA574" s="2" t="str">
        <f>IF(V574&gt;Z574,"Yes","No")</f>
        <v>No</v>
      </c>
      <c r="AB574" s="12">
        <f>V574-Z574</f>
        <v>-13.6332</v>
      </c>
      <c r="AC574" s="15" t="s">
        <v>130</v>
      </c>
      <c r="AD574" s="15" t="s">
        <v>130</v>
      </c>
      <c r="AE574" s="15" t="s">
        <v>180</v>
      </c>
      <c r="AF574" s="12">
        <f>IF(AG574="Rejected",0,IF(R574="Corporate Card",0,V574))</f>
        <v>11.3668</v>
      </c>
      <c r="AG574" s="15" t="s">
        <v>133</v>
      </c>
      <c r="AH574" s="16">
        <v>45708</v>
      </c>
      <c r="AI574" s="16">
        <v>45712</v>
      </c>
      <c r="AJ574" s="16">
        <v>45724</v>
      </c>
      <c r="AK574" s="17">
        <f>IF(AJ574="","",AJ574-AH574)</f>
        <v>16</v>
      </c>
    </row>
    <row r="575" spans="1:37">
      <c r="A575" s="2" t="s">
        <v>944</v>
      </c>
      <c r="B575" s="2" t="s">
        <v>375</v>
      </c>
      <c r="C575" s="2" t="s">
        <v>376</v>
      </c>
      <c r="D575" s="2" t="s">
        <v>344</v>
      </c>
      <c r="E575" s="2" t="s">
        <v>377</v>
      </c>
      <c r="F575" s="2" t="s">
        <v>346</v>
      </c>
      <c r="G575" s="2" t="s">
        <v>941</v>
      </c>
      <c r="H575" s="2" t="s">
        <v>803</v>
      </c>
      <c r="I575" s="2" t="s">
        <v>175</v>
      </c>
      <c r="J575" s="2" t="s">
        <v>176</v>
      </c>
      <c r="K575" s="9">
        <v>45704</v>
      </c>
      <c r="L575" s="9">
        <v>45705</v>
      </c>
      <c r="M575" s="9">
        <v>45704</v>
      </c>
      <c r="N575" s="2" t="s">
        <v>696</v>
      </c>
      <c r="O575" s="2" t="s">
        <v>56</v>
      </c>
      <c r="P575" s="2" t="s">
        <v>151</v>
      </c>
      <c r="Q575" s="2" t="s">
        <v>227</v>
      </c>
      <c r="R575" s="2" t="s">
        <v>128</v>
      </c>
      <c r="S575" s="2" t="s">
        <v>179</v>
      </c>
      <c r="T575" s="10">
        <v>475.76</v>
      </c>
      <c r="U575" s="11">
        <v>0.18099999999999999</v>
      </c>
      <c r="V575" s="12">
        <f>T575*U575</f>
        <v>86.112560000000002</v>
      </c>
      <c r="W575" s="13">
        <v>0.17</v>
      </c>
      <c r="X575" s="12">
        <f>V575-(V575/(1+W575))</f>
        <v>12.512081367521361</v>
      </c>
      <c r="Y575" s="12">
        <f>V575-X575</f>
        <v>73.600478632478641</v>
      </c>
      <c r="Z575" s="14">
        <v>75</v>
      </c>
      <c r="AA575" s="2" t="str">
        <f>IF(V575&gt;Z575,"Yes","No")</f>
        <v>Yes</v>
      </c>
      <c r="AB575" s="12">
        <f>V575-Z575</f>
        <v>11.112560000000002</v>
      </c>
      <c r="AC575" s="15" t="s">
        <v>130</v>
      </c>
      <c r="AD575" s="15" t="s">
        <v>130</v>
      </c>
      <c r="AE575" s="15" t="s">
        <v>180</v>
      </c>
      <c r="AF575" s="12">
        <f>IF(AG575="Rejected",0,IF(R575="Corporate Card",0,V575))</f>
        <v>0</v>
      </c>
      <c r="AG575" s="15" t="s">
        <v>133</v>
      </c>
      <c r="AH575" s="16">
        <v>45708</v>
      </c>
      <c r="AI575" s="16">
        <v>45712</v>
      </c>
      <c r="AJ575" s="16">
        <v>45724</v>
      </c>
      <c r="AK575" s="17">
        <f>IF(AJ575="","",AJ575-AH575)</f>
        <v>16</v>
      </c>
    </row>
    <row r="576" spans="1:37">
      <c r="A576" s="2" t="s">
        <v>945</v>
      </c>
      <c r="B576" s="2" t="s">
        <v>375</v>
      </c>
      <c r="C576" s="2" t="s">
        <v>376</v>
      </c>
      <c r="D576" s="2" t="s">
        <v>344</v>
      </c>
      <c r="E576" s="2" t="s">
        <v>377</v>
      </c>
      <c r="F576" s="2" t="s">
        <v>346</v>
      </c>
      <c r="G576" s="2" t="s">
        <v>941</v>
      </c>
      <c r="H576" s="2" t="s">
        <v>803</v>
      </c>
      <c r="I576" s="2" t="s">
        <v>175</v>
      </c>
      <c r="J576" s="2" t="s">
        <v>176</v>
      </c>
      <c r="K576" s="9">
        <v>45704</v>
      </c>
      <c r="L576" s="9">
        <v>45705</v>
      </c>
      <c r="M576" s="9">
        <v>45704</v>
      </c>
      <c r="N576" s="2" t="s">
        <v>696</v>
      </c>
      <c r="O576" s="2" t="s">
        <v>55</v>
      </c>
      <c r="P576" s="2" t="s">
        <v>139</v>
      </c>
      <c r="Q576" s="2" t="s">
        <v>217</v>
      </c>
      <c r="R576" s="2" t="s">
        <v>149</v>
      </c>
      <c r="S576" s="2" t="s">
        <v>179</v>
      </c>
      <c r="T576" s="10">
        <v>176.19</v>
      </c>
      <c r="U576" s="11">
        <v>0.18099999999999999</v>
      </c>
      <c r="V576" s="12">
        <f>T576*U576</f>
        <v>31.89039</v>
      </c>
      <c r="W576" s="13">
        <v>0.17</v>
      </c>
      <c r="X576" s="12">
        <f>V576-(V576/(1+W576))</f>
        <v>4.6336464102564072</v>
      </c>
      <c r="Y576" s="12">
        <f>V576-X576</f>
        <v>27.256743589743593</v>
      </c>
      <c r="Z576" s="14">
        <v>35</v>
      </c>
      <c r="AA576" s="2" t="str">
        <f>IF(V576&gt;Z576,"Yes","No")</f>
        <v>No</v>
      </c>
      <c r="AB576" s="12">
        <f>V576-Z576</f>
        <v>-3.10961</v>
      </c>
      <c r="AC576" s="15" t="s">
        <v>130</v>
      </c>
      <c r="AD576" s="15" t="s">
        <v>130</v>
      </c>
      <c r="AE576" s="15" t="s">
        <v>180</v>
      </c>
      <c r="AF576" s="12">
        <f>IF(AG576="Rejected",0,IF(R576="Corporate Card",0,V576))</f>
        <v>31.89039</v>
      </c>
      <c r="AG576" s="15" t="s">
        <v>133</v>
      </c>
      <c r="AH576" s="16">
        <v>45708</v>
      </c>
      <c r="AI576" s="16">
        <v>45712</v>
      </c>
      <c r="AJ576" s="16">
        <v>45724</v>
      </c>
      <c r="AK576" s="17">
        <f>IF(AJ576="","",AJ576-AH576)</f>
        <v>16</v>
      </c>
    </row>
    <row r="577" spans="1:37">
      <c r="A577" s="2" t="s">
        <v>946</v>
      </c>
      <c r="B577" s="2" t="s">
        <v>375</v>
      </c>
      <c r="C577" s="2" t="s">
        <v>376</v>
      </c>
      <c r="D577" s="2" t="s">
        <v>344</v>
      </c>
      <c r="E577" s="2" t="s">
        <v>377</v>
      </c>
      <c r="F577" s="2" t="s">
        <v>346</v>
      </c>
      <c r="G577" s="2" t="s">
        <v>941</v>
      </c>
      <c r="H577" s="2" t="s">
        <v>803</v>
      </c>
      <c r="I577" s="2" t="s">
        <v>175</v>
      </c>
      <c r="J577" s="2" t="s">
        <v>176</v>
      </c>
      <c r="K577" s="9">
        <v>45704</v>
      </c>
      <c r="L577" s="9">
        <v>45705</v>
      </c>
      <c r="M577" s="9">
        <v>45704</v>
      </c>
      <c r="N577" s="2" t="s">
        <v>696</v>
      </c>
      <c r="O577" s="2" t="s">
        <v>66</v>
      </c>
      <c r="P577" s="2" t="s">
        <v>489</v>
      </c>
      <c r="Q577" s="2" t="s">
        <v>947</v>
      </c>
      <c r="R577" s="2" t="s">
        <v>128</v>
      </c>
      <c r="S577" s="2" t="s">
        <v>179</v>
      </c>
      <c r="T577" s="10">
        <v>763.58</v>
      </c>
      <c r="U577" s="11">
        <v>0.18099999999999999</v>
      </c>
      <c r="V577" s="12">
        <f>T577*U577</f>
        <v>138.20797999999999</v>
      </c>
      <c r="W577" s="13">
        <v>0</v>
      </c>
      <c r="X577" s="12">
        <f>V577-(V577/(1+W577))</f>
        <v>0</v>
      </c>
      <c r="Y577" s="12">
        <f>V577-X577</f>
        <v>138.20797999999999</v>
      </c>
      <c r="Z577" s="14">
        <v>250</v>
      </c>
      <c r="AA577" s="2" t="str">
        <f>IF(V577&gt;Z577,"Yes","No")</f>
        <v>No</v>
      </c>
      <c r="AB577" s="12">
        <f>V577-Z577</f>
        <v>-111.79202000000001</v>
      </c>
      <c r="AC577" s="15" t="s">
        <v>130</v>
      </c>
      <c r="AD577" s="15" t="s">
        <v>130</v>
      </c>
      <c r="AE577" s="15" t="s">
        <v>180</v>
      </c>
      <c r="AF577" s="12">
        <f>IF(AG577="Rejected",0,IF(R577="Corporate Card",0,V577))</f>
        <v>0</v>
      </c>
      <c r="AG577" s="15" t="s">
        <v>133</v>
      </c>
      <c r="AH577" s="16">
        <v>45708</v>
      </c>
      <c r="AI577" s="16">
        <v>45712</v>
      </c>
      <c r="AJ577" s="16">
        <v>45724</v>
      </c>
      <c r="AK577" s="17">
        <f>IF(AJ577="","",AJ577-AH577)</f>
        <v>16</v>
      </c>
    </row>
    <row r="578" spans="1:37">
      <c r="A578" s="2" t="s">
        <v>948</v>
      </c>
      <c r="B578" s="2" t="s">
        <v>248</v>
      </c>
      <c r="C578" s="2" t="s">
        <v>249</v>
      </c>
      <c r="D578" s="2" t="s">
        <v>250</v>
      </c>
      <c r="E578" s="2" t="s">
        <v>251</v>
      </c>
      <c r="F578" s="2" t="s">
        <v>252</v>
      </c>
      <c r="G578" s="2" t="s">
        <v>830</v>
      </c>
      <c r="H578" s="2" t="s">
        <v>291</v>
      </c>
      <c r="I578" s="2" t="s">
        <v>175</v>
      </c>
      <c r="J578" s="2" t="s">
        <v>176</v>
      </c>
      <c r="K578" s="9">
        <v>45698</v>
      </c>
      <c r="L578" s="9">
        <v>45706</v>
      </c>
      <c r="M578" s="9">
        <v>45705</v>
      </c>
      <c r="N578" s="2" t="s">
        <v>696</v>
      </c>
      <c r="O578" s="2" t="s">
        <v>58</v>
      </c>
      <c r="P578" s="2" t="s">
        <v>142</v>
      </c>
      <c r="Q578" s="2" t="s">
        <v>224</v>
      </c>
      <c r="R578" s="2" t="s">
        <v>149</v>
      </c>
      <c r="S578" s="2" t="s">
        <v>179</v>
      </c>
      <c r="T578" s="10">
        <v>309.10000000000002</v>
      </c>
      <c r="U578" s="11">
        <v>0.18099999999999999</v>
      </c>
      <c r="V578" s="12">
        <f>T578*U578</f>
        <v>55.947099999999999</v>
      </c>
      <c r="W578" s="13">
        <v>0.17</v>
      </c>
      <c r="X578" s="12">
        <f>V578-(V578/(1+W578))</f>
        <v>8.129065811965809</v>
      </c>
      <c r="Y578" s="12">
        <f>V578-X578</f>
        <v>47.81803418803419</v>
      </c>
      <c r="Z578" s="14">
        <v>60</v>
      </c>
      <c r="AA578" s="2" t="str">
        <f>IF(V578&gt;Z578,"Yes","No")</f>
        <v>No</v>
      </c>
      <c r="AB578" s="12">
        <f>V578-Z578</f>
        <v>-4.0529000000000011</v>
      </c>
      <c r="AC578" s="15" t="s">
        <v>130</v>
      </c>
      <c r="AD578" s="15" t="s">
        <v>130</v>
      </c>
      <c r="AE578" s="15" t="s">
        <v>350</v>
      </c>
      <c r="AF578" s="12">
        <f>IF(AG578="Rejected",0,IF(R578="Corporate Card",0,V578))</f>
        <v>55.947099999999999</v>
      </c>
      <c r="AG578" s="15" t="s">
        <v>133</v>
      </c>
      <c r="AH578" s="16">
        <v>45712</v>
      </c>
      <c r="AI578" s="16">
        <v>45714</v>
      </c>
      <c r="AJ578" s="16">
        <v>45720</v>
      </c>
      <c r="AK578" s="17">
        <f>IF(AJ578="","",AJ578-AH578)</f>
        <v>8</v>
      </c>
    </row>
    <row r="579" spans="1:37">
      <c r="A579" s="2" t="s">
        <v>949</v>
      </c>
      <c r="B579" s="2" t="s">
        <v>248</v>
      </c>
      <c r="C579" s="2" t="s">
        <v>249</v>
      </c>
      <c r="D579" s="2" t="s">
        <v>250</v>
      </c>
      <c r="E579" s="2" t="s">
        <v>251</v>
      </c>
      <c r="F579" s="2" t="s">
        <v>252</v>
      </c>
      <c r="G579" s="2" t="s">
        <v>830</v>
      </c>
      <c r="H579" s="2" t="s">
        <v>291</v>
      </c>
      <c r="I579" s="2" t="s">
        <v>175</v>
      </c>
      <c r="J579" s="2" t="s">
        <v>176</v>
      </c>
      <c r="K579" s="9">
        <v>45698</v>
      </c>
      <c r="L579" s="9">
        <v>45706</v>
      </c>
      <c r="M579" s="9">
        <v>45705</v>
      </c>
      <c r="N579" s="2" t="s">
        <v>696</v>
      </c>
      <c r="O579" s="2" t="s">
        <v>54</v>
      </c>
      <c r="P579" s="2" t="s">
        <v>139</v>
      </c>
      <c r="Q579" s="2" t="s">
        <v>140</v>
      </c>
      <c r="R579" s="2" t="s">
        <v>128</v>
      </c>
      <c r="S579" s="2" t="s">
        <v>179</v>
      </c>
      <c r="T579" s="10">
        <v>119.49</v>
      </c>
      <c r="U579" s="11">
        <v>0.18099999999999999</v>
      </c>
      <c r="V579" s="12">
        <f>T579*U579</f>
        <v>21.627689999999998</v>
      </c>
      <c r="W579" s="13">
        <v>0.17</v>
      </c>
      <c r="X579" s="12">
        <f>V579-(V579/(1+W579))</f>
        <v>3.1424848717948706</v>
      </c>
      <c r="Y579" s="12">
        <f>V579-X579</f>
        <v>18.485205128205127</v>
      </c>
      <c r="Z579" s="14">
        <v>25</v>
      </c>
      <c r="AA579" s="2" t="str">
        <f>IF(V579&gt;Z579,"Yes","No")</f>
        <v>No</v>
      </c>
      <c r="AB579" s="12">
        <f>V579-Z579</f>
        <v>-3.3723100000000024</v>
      </c>
      <c r="AC579" s="15" t="s">
        <v>130</v>
      </c>
      <c r="AD579" s="15" t="s">
        <v>130</v>
      </c>
      <c r="AE579" s="15" t="s">
        <v>350</v>
      </c>
      <c r="AF579" s="12">
        <f>IF(AG579="Rejected",0,IF(R579="Corporate Card",0,V579))</f>
        <v>0</v>
      </c>
      <c r="AG579" s="15" t="s">
        <v>133</v>
      </c>
      <c r="AH579" s="16">
        <v>45712</v>
      </c>
      <c r="AI579" s="16">
        <v>45714</v>
      </c>
      <c r="AJ579" s="16">
        <v>45720</v>
      </c>
      <c r="AK579" s="17">
        <f>IF(AJ579="","",AJ579-AH579)</f>
        <v>8</v>
      </c>
    </row>
    <row r="580" spans="1:37">
      <c r="A580" s="2" t="s">
        <v>950</v>
      </c>
      <c r="B580" s="2" t="s">
        <v>248</v>
      </c>
      <c r="C580" s="2" t="s">
        <v>249</v>
      </c>
      <c r="D580" s="2" t="s">
        <v>250</v>
      </c>
      <c r="E580" s="2" t="s">
        <v>251</v>
      </c>
      <c r="F580" s="2" t="s">
        <v>252</v>
      </c>
      <c r="G580" s="2" t="s">
        <v>830</v>
      </c>
      <c r="H580" s="2" t="s">
        <v>291</v>
      </c>
      <c r="I580" s="2" t="s">
        <v>175</v>
      </c>
      <c r="J580" s="2" t="s">
        <v>176</v>
      </c>
      <c r="K580" s="9">
        <v>45698</v>
      </c>
      <c r="L580" s="9">
        <v>45706</v>
      </c>
      <c r="M580" s="9">
        <v>45705</v>
      </c>
      <c r="N580" s="2" t="s">
        <v>696</v>
      </c>
      <c r="O580" s="2" t="s">
        <v>55</v>
      </c>
      <c r="P580" s="2" t="s">
        <v>139</v>
      </c>
      <c r="Q580" s="2" t="s">
        <v>161</v>
      </c>
      <c r="R580" s="2" t="s">
        <v>149</v>
      </c>
      <c r="S580" s="2" t="s">
        <v>179</v>
      </c>
      <c r="T580" s="10">
        <v>176.33</v>
      </c>
      <c r="U580" s="11">
        <v>0.18099999999999999</v>
      </c>
      <c r="V580" s="12">
        <f>T580*U580</f>
        <v>31.91573</v>
      </c>
      <c r="W580" s="13">
        <v>0.17</v>
      </c>
      <c r="X580" s="12">
        <f>V580-(V580/(1+W580))</f>
        <v>4.6373282905982904</v>
      </c>
      <c r="Y580" s="12">
        <f>V580-X580</f>
        <v>27.278401709401709</v>
      </c>
      <c r="Z580" s="14">
        <v>35</v>
      </c>
      <c r="AA580" s="2" t="str">
        <f>IF(V580&gt;Z580,"Yes","No")</f>
        <v>No</v>
      </c>
      <c r="AB580" s="12">
        <f>V580-Z580</f>
        <v>-3.0842700000000001</v>
      </c>
      <c r="AC580" s="15" t="s">
        <v>130</v>
      </c>
      <c r="AD580" s="15" t="s">
        <v>130</v>
      </c>
      <c r="AE580" s="15" t="s">
        <v>350</v>
      </c>
      <c r="AF580" s="12">
        <f>IF(AG580="Rejected",0,IF(R580="Corporate Card",0,V580))</f>
        <v>31.91573</v>
      </c>
      <c r="AG580" s="15" t="s">
        <v>133</v>
      </c>
      <c r="AH580" s="16">
        <v>45712</v>
      </c>
      <c r="AI580" s="16">
        <v>45714</v>
      </c>
      <c r="AJ580" s="16">
        <v>45720</v>
      </c>
      <c r="AK580" s="17">
        <f>IF(AJ580="","",AJ580-AH580)</f>
        <v>8</v>
      </c>
    </row>
    <row r="581" spans="1:37">
      <c r="A581" s="2" t="s">
        <v>951</v>
      </c>
      <c r="B581" s="2" t="s">
        <v>863</v>
      </c>
      <c r="C581" s="2" t="s">
        <v>864</v>
      </c>
      <c r="D581" s="2" t="s">
        <v>865</v>
      </c>
      <c r="E581" s="2" t="s">
        <v>866</v>
      </c>
      <c r="F581" s="2" t="s">
        <v>867</v>
      </c>
      <c r="G581" s="2" t="s">
        <v>868</v>
      </c>
      <c r="H581" s="2" t="s">
        <v>448</v>
      </c>
      <c r="I581" s="2" t="s">
        <v>123</v>
      </c>
      <c r="J581" s="2" t="s">
        <v>124</v>
      </c>
      <c r="K581" s="9">
        <v>45700</v>
      </c>
      <c r="L581" s="9">
        <v>45707</v>
      </c>
      <c r="M581" s="9">
        <v>45705</v>
      </c>
      <c r="N581" s="2" t="s">
        <v>696</v>
      </c>
      <c r="O581" s="2" t="s">
        <v>58</v>
      </c>
      <c r="P581" s="2" t="s">
        <v>142</v>
      </c>
      <c r="Q581" s="2" t="s">
        <v>296</v>
      </c>
      <c r="R581" s="2" t="s">
        <v>128</v>
      </c>
      <c r="S581" s="2" t="s">
        <v>129</v>
      </c>
      <c r="T581" s="10">
        <v>18.87</v>
      </c>
      <c r="U581" s="11">
        <v>1.272</v>
      </c>
      <c r="V581" s="12">
        <f>T581*U581</f>
        <v>24.002640000000003</v>
      </c>
      <c r="W581" s="13">
        <v>0.2</v>
      </c>
      <c r="X581" s="12">
        <f>V581-(V581/(1+W581))</f>
        <v>4.0004400000000011</v>
      </c>
      <c r="Y581" s="12">
        <f>V581-X581</f>
        <v>20.002200000000002</v>
      </c>
      <c r="Z581" s="14">
        <v>60</v>
      </c>
      <c r="AA581" s="2" t="str">
        <f>IF(V581&gt;Z581,"Yes","No")</f>
        <v>No</v>
      </c>
      <c r="AB581" s="12">
        <f>V581-Z581</f>
        <v>-35.99736</v>
      </c>
      <c r="AC581" s="15" t="s">
        <v>130</v>
      </c>
      <c r="AD581" s="15" t="s">
        <v>130</v>
      </c>
      <c r="AE581" s="15" t="s">
        <v>180</v>
      </c>
      <c r="AF581" s="12">
        <f>IF(AG581="Rejected",0,IF(R581="Corporate Card",0,V581))</f>
        <v>0</v>
      </c>
      <c r="AG581" s="15" t="s">
        <v>181</v>
      </c>
      <c r="AH581" s="16">
        <v>45709</v>
      </c>
      <c r="AI581" s="16"/>
      <c r="AJ581" s="16"/>
      <c r="AK581" s="17" t="str">
        <f>IF(AJ581="","",AJ581-AH581)</f>
        <v/>
      </c>
    </row>
    <row r="582" spans="1:37">
      <c r="A582" s="2" t="s">
        <v>952</v>
      </c>
      <c r="B582" s="2" t="s">
        <v>863</v>
      </c>
      <c r="C582" s="2" t="s">
        <v>864</v>
      </c>
      <c r="D582" s="2" t="s">
        <v>865</v>
      </c>
      <c r="E582" s="2" t="s">
        <v>866</v>
      </c>
      <c r="F582" s="2" t="s">
        <v>867</v>
      </c>
      <c r="G582" s="2" t="s">
        <v>868</v>
      </c>
      <c r="H582" s="2" t="s">
        <v>448</v>
      </c>
      <c r="I582" s="2" t="s">
        <v>123</v>
      </c>
      <c r="J582" s="2" t="s">
        <v>124</v>
      </c>
      <c r="K582" s="9">
        <v>45700</v>
      </c>
      <c r="L582" s="9">
        <v>45707</v>
      </c>
      <c r="M582" s="9">
        <v>45705</v>
      </c>
      <c r="N582" s="2" t="s">
        <v>696</v>
      </c>
      <c r="O582" s="2" t="s">
        <v>56</v>
      </c>
      <c r="P582" s="2" t="s">
        <v>231</v>
      </c>
      <c r="Q582" s="2" t="s">
        <v>159</v>
      </c>
      <c r="R582" s="2" t="s">
        <v>137</v>
      </c>
      <c r="S582" s="2" t="s">
        <v>129</v>
      </c>
      <c r="T582" s="10">
        <v>22</v>
      </c>
      <c r="U582" s="11">
        <v>1.272</v>
      </c>
      <c r="V582" s="12">
        <f>T582*U582</f>
        <v>27.984000000000002</v>
      </c>
      <c r="W582" s="13">
        <v>0.2</v>
      </c>
      <c r="X582" s="12">
        <f>V582-(V582/(1+W582))</f>
        <v>4.6639999999999979</v>
      </c>
      <c r="Y582" s="12">
        <f>V582-X582</f>
        <v>23.320000000000004</v>
      </c>
      <c r="Z582" s="14">
        <v>75</v>
      </c>
      <c r="AA582" s="2" t="str">
        <f>IF(V582&gt;Z582,"Yes","No")</f>
        <v>No</v>
      </c>
      <c r="AB582" s="12">
        <f>V582-Z582</f>
        <v>-47.015999999999998</v>
      </c>
      <c r="AC582" s="15" t="s">
        <v>130</v>
      </c>
      <c r="AD582" s="15" t="s">
        <v>130</v>
      </c>
      <c r="AE582" s="15" t="s">
        <v>180</v>
      </c>
      <c r="AF582" s="12">
        <f>IF(AG582="Rejected",0,IF(R582="Corporate Card",0,V582))</f>
        <v>27.984000000000002</v>
      </c>
      <c r="AG582" s="15" t="s">
        <v>181</v>
      </c>
      <c r="AH582" s="16">
        <v>45709</v>
      </c>
      <c r="AI582" s="16"/>
      <c r="AJ582" s="16"/>
      <c r="AK582" s="17" t="str">
        <f>IF(AJ582="","",AJ582-AH582)</f>
        <v/>
      </c>
    </row>
    <row r="583" spans="1:37">
      <c r="A583" s="2" t="s">
        <v>953</v>
      </c>
      <c r="B583" s="2" t="s">
        <v>863</v>
      </c>
      <c r="C583" s="2" t="s">
        <v>864</v>
      </c>
      <c r="D583" s="2" t="s">
        <v>865</v>
      </c>
      <c r="E583" s="2" t="s">
        <v>866</v>
      </c>
      <c r="F583" s="2" t="s">
        <v>867</v>
      </c>
      <c r="G583" s="2" t="s">
        <v>868</v>
      </c>
      <c r="H583" s="2" t="s">
        <v>448</v>
      </c>
      <c r="I583" s="2" t="s">
        <v>123</v>
      </c>
      <c r="J583" s="2" t="s">
        <v>124</v>
      </c>
      <c r="K583" s="9">
        <v>45700</v>
      </c>
      <c r="L583" s="9">
        <v>45707</v>
      </c>
      <c r="M583" s="9">
        <v>45705</v>
      </c>
      <c r="N583" s="2" t="s">
        <v>696</v>
      </c>
      <c r="O583" s="2" t="s">
        <v>55</v>
      </c>
      <c r="P583" s="2" t="s">
        <v>139</v>
      </c>
      <c r="Q583" s="2" t="s">
        <v>154</v>
      </c>
      <c r="R583" s="2" t="s">
        <v>128</v>
      </c>
      <c r="S583" s="2" t="s">
        <v>129</v>
      </c>
      <c r="T583" s="10">
        <v>12.43</v>
      </c>
      <c r="U583" s="11">
        <v>1.272</v>
      </c>
      <c r="V583" s="12">
        <f>T583*U583</f>
        <v>15.81096</v>
      </c>
      <c r="W583" s="13">
        <v>0.2</v>
      </c>
      <c r="X583" s="12">
        <f>V583-(V583/(1+W583))</f>
        <v>2.6351599999999991</v>
      </c>
      <c r="Y583" s="12">
        <f>V583-X583</f>
        <v>13.175800000000001</v>
      </c>
      <c r="Z583" s="14">
        <v>35</v>
      </c>
      <c r="AA583" s="2" t="str">
        <f>IF(V583&gt;Z583,"Yes","No")</f>
        <v>No</v>
      </c>
      <c r="AB583" s="12">
        <f>V583-Z583</f>
        <v>-19.189039999999999</v>
      </c>
      <c r="AC583" s="15" t="s">
        <v>130</v>
      </c>
      <c r="AD583" s="15" t="s">
        <v>130</v>
      </c>
      <c r="AE583" s="15" t="s">
        <v>180</v>
      </c>
      <c r="AF583" s="12">
        <f>IF(AG583="Rejected",0,IF(R583="Corporate Card",0,V583))</f>
        <v>0</v>
      </c>
      <c r="AG583" s="15" t="s">
        <v>181</v>
      </c>
      <c r="AH583" s="16">
        <v>45709</v>
      </c>
      <c r="AI583" s="16"/>
      <c r="AJ583" s="16"/>
      <c r="AK583" s="17" t="str">
        <f>IF(AJ583="","",AJ583-AH583)</f>
        <v/>
      </c>
    </row>
    <row r="584" spans="1:37">
      <c r="A584" s="2" t="s">
        <v>954</v>
      </c>
      <c r="B584" s="2" t="s">
        <v>375</v>
      </c>
      <c r="C584" s="2" t="s">
        <v>376</v>
      </c>
      <c r="D584" s="2" t="s">
        <v>344</v>
      </c>
      <c r="E584" s="2" t="s">
        <v>377</v>
      </c>
      <c r="F584" s="2" t="s">
        <v>346</v>
      </c>
      <c r="G584" s="2" t="s">
        <v>941</v>
      </c>
      <c r="H584" s="2" t="s">
        <v>803</v>
      </c>
      <c r="I584" s="2" t="s">
        <v>175</v>
      </c>
      <c r="J584" s="2" t="s">
        <v>176</v>
      </c>
      <c r="K584" s="9">
        <v>45704</v>
      </c>
      <c r="L584" s="9">
        <v>45705</v>
      </c>
      <c r="M584" s="9">
        <v>45705</v>
      </c>
      <c r="N584" s="2" t="s">
        <v>696</v>
      </c>
      <c r="O584" s="2" t="s">
        <v>60</v>
      </c>
      <c r="P584" s="2" t="s">
        <v>536</v>
      </c>
      <c r="Q584" s="2" t="s">
        <v>955</v>
      </c>
      <c r="R584" s="2" t="s">
        <v>137</v>
      </c>
      <c r="S584" s="2" t="s">
        <v>179</v>
      </c>
      <c r="T584" s="10">
        <v>344.34</v>
      </c>
      <c r="U584" s="11">
        <v>0.18099999999999999</v>
      </c>
      <c r="V584" s="12">
        <f>T584*U584</f>
        <v>62.325539999999997</v>
      </c>
      <c r="W584" s="13">
        <v>0.17</v>
      </c>
      <c r="X584" s="12">
        <f>V584-(V584/(1+W584))</f>
        <v>9.0558476923076867</v>
      </c>
      <c r="Y584" s="12">
        <f>V584-X584</f>
        <v>53.26969230769231</v>
      </c>
      <c r="Z584" s="14">
        <v>120</v>
      </c>
      <c r="AA584" s="2" t="str">
        <f>IF(V584&gt;Z584,"Yes","No")</f>
        <v>No</v>
      </c>
      <c r="AB584" s="12">
        <f>V584-Z584</f>
        <v>-57.674460000000003</v>
      </c>
      <c r="AC584" s="15" t="s">
        <v>130</v>
      </c>
      <c r="AD584" s="15" t="s">
        <v>130</v>
      </c>
      <c r="AE584" s="15" t="s">
        <v>180</v>
      </c>
      <c r="AF584" s="12">
        <f>IF(AG584="Rejected",0,IF(R584="Corporate Card",0,V584))</f>
        <v>62.325539999999997</v>
      </c>
      <c r="AG584" s="15" t="s">
        <v>133</v>
      </c>
      <c r="AH584" s="16">
        <v>45708</v>
      </c>
      <c r="AI584" s="16">
        <v>45712</v>
      </c>
      <c r="AJ584" s="16">
        <v>45724</v>
      </c>
      <c r="AK584" s="17">
        <f>IF(AJ584="","",AJ584-AH584)</f>
        <v>16</v>
      </c>
    </row>
    <row r="585" spans="1:37">
      <c r="A585" s="2" t="s">
        <v>956</v>
      </c>
      <c r="B585" s="2" t="s">
        <v>375</v>
      </c>
      <c r="C585" s="2" t="s">
        <v>376</v>
      </c>
      <c r="D585" s="2" t="s">
        <v>344</v>
      </c>
      <c r="E585" s="2" t="s">
        <v>377</v>
      </c>
      <c r="F585" s="2" t="s">
        <v>346</v>
      </c>
      <c r="G585" s="2" t="s">
        <v>941</v>
      </c>
      <c r="H585" s="2" t="s">
        <v>803</v>
      </c>
      <c r="I585" s="2" t="s">
        <v>175</v>
      </c>
      <c r="J585" s="2" t="s">
        <v>176</v>
      </c>
      <c r="K585" s="9">
        <v>45704</v>
      </c>
      <c r="L585" s="9">
        <v>45705</v>
      </c>
      <c r="M585" s="9">
        <v>45705</v>
      </c>
      <c r="N585" s="2" t="s">
        <v>696</v>
      </c>
      <c r="O585" s="2" t="s">
        <v>61</v>
      </c>
      <c r="P585" s="2" t="s">
        <v>528</v>
      </c>
      <c r="Q585" s="2" t="s">
        <v>540</v>
      </c>
      <c r="R585" s="2" t="s">
        <v>128</v>
      </c>
      <c r="S585" s="2" t="s">
        <v>179</v>
      </c>
      <c r="T585" s="10">
        <v>259.23</v>
      </c>
      <c r="U585" s="11">
        <v>0.18099999999999999</v>
      </c>
      <c r="V585" s="12">
        <f>T585*U585</f>
        <v>46.920630000000003</v>
      </c>
      <c r="W585" s="13">
        <v>0</v>
      </c>
      <c r="X585" s="12">
        <f>V585-(V585/(1+W585))</f>
        <v>0</v>
      </c>
      <c r="Y585" s="12">
        <f>V585-X585</f>
        <v>46.920630000000003</v>
      </c>
      <c r="Z585" s="14">
        <v>90</v>
      </c>
      <c r="AA585" s="2" t="str">
        <f>IF(V585&gt;Z585,"Yes","No")</f>
        <v>No</v>
      </c>
      <c r="AB585" s="12">
        <f>V585-Z585</f>
        <v>-43.079369999999997</v>
      </c>
      <c r="AC585" s="15" t="s">
        <v>130</v>
      </c>
      <c r="AD585" s="15" t="s">
        <v>130</v>
      </c>
      <c r="AE585" s="15" t="s">
        <v>180</v>
      </c>
      <c r="AF585" s="12">
        <f>IF(AG585="Rejected",0,IF(R585="Corporate Card",0,V585))</f>
        <v>0</v>
      </c>
      <c r="AG585" s="15" t="s">
        <v>133</v>
      </c>
      <c r="AH585" s="16">
        <v>45708</v>
      </c>
      <c r="AI585" s="16">
        <v>45712</v>
      </c>
      <c r="AJ585" s="16">
        <v>45724</v>
      </c>
      <c r="AK585" s="17">
        <f>IF(AJ585="","",AJ585-AH585)</f>
        <v>16</v>
      </c>
    </row>
    <row r="586" spans="1:37">
      <c r="A586" s="2" t="s">
        <v>957</v>
      </c>
      <c r="B586" s="2" t="s">
        <v>375</v>
      </c>
      <c r="C586" s="2" t="s">
        <v>376</v>
      </c>
      <c r="D586" s="2" t="s">
        <v>344</v>
      </c>
      <c r="E586" s="2" t="s">
        <v>377</v>
      </c>
      <c r="F586" s="2" t="s">
        <v>346</v>
      </c>
      <c r="G586" s="2" t="s">
        <v>941</v>
      </c>
      <c r="H586" s="2" t="s">
        <v>803</v>
      </c>
      <c r="I586" s="2" t="s">
        <v>175</v>
      </c>
      <c r="J586" s="2" t="s">
        <v>176</v>
      </c>
      <c r="K586" s="9">
        <v>45704</v>
      </c>
      <c r="L586" s="9">
        <v>45705</v>
      </c>
      <c r="M586" s="9">
        <v>45705</v>
      </c>
      <c r="N586" s="2" t="s">
        <v>696</v>
      </c>
      <c r="O586" s="2" t="s">
        <v>53</v>
      </c>
      <c r="P586" s="2" t="s">
        <v>405</v>
      </c>
      <c r="Q586" s="2" t="s">
        <v>458</v>
      </c>
      <c r="R586" s="2" t="s">
        <v>137</v>
      </c>
      <c r="S586" s="2" t="s">
        <v>179</v>
      </c>
      <c r="T586" s="10">
        <v>2160.29</v>
      </c>
      <c r="U586" s="11">
        <v>0.18099999999999999</v>
      </c>
      <c r="V586" s="12">
        <f>T586*U586</f>
        <v>391.01248999999996</v>
      </c>
      <c r="W586" s="13">
        <v>0.17</v>
      </c>
      <c r="X586" s="12">
        <f>V586-(V586/(1+W586))</f>
        <v>56.813780598290577</v>
      </c>
      <c r="Y586" s="12">
        <f>V586-X586</f>
        <v>334.19870940170938</v>
      </c>
      <c r="Z586" s="14">
        <v>280</v>
      </c>
      <c r="AA586" s="2" t="str">
        <f>IF(V586&gt;Z586,"Yes","No")</f>
        <v>Yes</v>
      </c>
      <c r="AB586" s="12">
        <f>V586-Z586</f>
        <v>111.01248999999996</v>
      </c>
      <c r="AC586" s="15" t="s">
        <v>130</v>
      </c>
      <c r="AD586" s="15" t="s">
        <v>130</v>
      </c>
      <c r="AE586" s="15" t="s">
        <v>180</v>
      </c>
      <c r="AF586" s="12">
        <f>IF(AG586="Rejected",0,IF(R586="Corporate Card",0,V586))</f>
        <v>391.01248999999996</v>
      </c>
      <c r="AG586" s="15" t="s">
        <v>133</v>
      </c>
      <c r="AH586" s="16">
        <v>45708</v>
      </c>
      <c r="AI586" s="16">
        <v>45712</v>
      </c>
      <c r="AJ586" s="16">
        <v>45724</v>
      </c>
      <c r="AK586" s="17">
        <f>IF(AJ586="","",AJ586-AH586)</f>
        <v>16</v>
      </c>
    </row>
    <row r="587" spans="1:37">
      <c r="A587" s="2" t="s">
        <v>958</v>
      </c>
      <c r="B587" s="2" t="s">
        <v>375</v>
      </c>
      <c r="C587" s="2" t="s">
        <v>376</v>
      </c>
      <c r="D587" s="2" t="s">
        <v>344</v>
      </c>
      <c r="E587" s="2" t="s">
        <v>377</v>
      </c>
      <c r="F587" s="2" t="s">
        <v>346</v>
      </c>
      <c r="G587" s="2" t="s">
        <v>941</v>
      </c>
      <c r="H587" s="2" t="s">
        <v>803</v>
      </c>
      <c r="I587" s="2" t="s">
        <v>175</v>
      </c>
      <c r="J587" s="2" t="s">
        <v>176</v>
      </c>
      <c r="K587" s="9">
        <v>45704</v>
      </c>
      <c r="L587" s="9">
        <v>45705</v>
      </c>
      <c r="M587" s="9">
        <v>45705</v>
      </c>
      <c r="N587" s="2" t="s">
        <v>696</v>
      </c>
      <c r="O587" s="2" t="s">
        <v>54</v>
      </c>
      <c r="P587" s="2" t="s">
        <v>139</v>
      </c>
      <c r="Q587" s="2" t="s">
        <v>140</v>
      </c>
      <c r="R587" s="2" t="s">
        <v>128</v>
      </c>
      <c r="S587" s="2" t="s">
        <v>179</v>
      </c>
      <c r="T587" s="10">
        <v>71.98</v>
      </c>
      <c r="U587" s="11">
        <v>0.18099999999999999</v>
      </c>
      <c r="V587" s="12">
        <f>T587*U587</f>
        <v>13.02838</v>
      </c>
      <c r="W587" s="13">
        <v>0.17</v>
      </c>
      <c r="X587" s="12">
        <f>V587-(V587/(1+W587))</f>
        <v>1.8930124786324782</v>
      </c>
      <c r="Y587" s="12">
        <f>V587-X587</f>
        <v>11.135367521367522</v>
      </c>
      <c r="Z587" s="14">
        <v>25</v>
      </c>
      <c r="AA587" s="2" t="str">
        <f>IF(V587&gt;Z587,"Yes","No")</f>
        <v>No</v>
      </c>
      <c r="AB587" s="12">
        <f>V587-Z587</f>
        <v>-11.97162</v>
      </c>
      <c r="AC587" s="15" t="s">
        <v>130</v>
      </c>
      <c r="AD587" s="15" t="s">
        <v>130</v>
      </c>
      <c r="AE587" s="15" t="s">
        <v>180</v>
      </c>
      <c r="AF587" s="12">
        <f>IF(AG587="Rejected",0,IF(R587="Corporate Card",0,V587))</f>
        <v>0</v>
      </c>
      <c r="AG587" s="15" t="s">
        <v>133</v>
      </c>
      <c r="AH587" s="16">
        <v>45708</v>
      </c>
      <c r="AI587" s="16">
        <v>45712</v>
      </c>
      <c r="AJ587" s="16">
        <v>45724</v>
      </c>
      <c r="AK587" s="17">
        <f>IF(AJ587="","",AJ587-AH587)</f>
        <v>16</v>
      </c>
    </row>
    <row r="588" spans="1:37">
      <c r="A588" s="2" t="s">
        <v>959</v>
      </c>
      <c r="B588" s="2" t="s">
        <v>375</v>
      </c>
      <c r="C588" s="2" t="s">
        <v>376</v>
      </c>
      <c r="D588" s="2" t="s">
        <v>344</v>
      </c>
      <c r="E588" s="2" t="s">
        <v>377</v>
      </c>
      <c r="F588" s="2" t="s">
        <v>346</v>
      </c>
      <c r="G588" s="2" t="s">
        <v>941</v>
      </c>
      <c r="H588" s="2" t="s">
        <v>803</v>
      </c>
      <c r="I588" s="2" t="s">
        <v>175</v>
      </c>
      <c r="J588" s="2" t="s">
        <v>176</v>
      </c>
      <c r="K588" s="9">
        <v>45704</v>
      </c>
      <c r="L588" s="9">
        <v>45705</v>
      </c>
      <c r="M588" s="9">
        <v>45705</v>
      </c>
      <c r="N588" s="2" t="s">
        <v>696</v>
      </c>
      <c r="O588" s="2" t="s">
        <v>56</v>
      </c>
      <c r="P588" s="2" t="s">
        <v>245</v>
      </c>
      <c r="Q588" s="2" t="s">
        <v>159</v>
      </c>
      <c r="R588" s="2" t="s">
        <v>137</v>
      </c>
      <c r="S588" s="2" t="s">
        <v>179</v>
      </c>
      <c r="T588" s="10">
        <v>204.53</v>
      </c>
      <c r="U588" s="11">
        <v>0.18099999999999999</v>
      </c>
      <c r="V588" s="12">
        <f>T588*U588</f>
        <v>37.019930000000002</v>
      </c>
      <c r="W588" s="13">
        <v>0.17</v>
      </c>
      <c r="X588" s="12">
        <f>V588-(V588/(1+W588))</f>
        <v>5.3789641880341854</v>
      </c>
      <c r="Y588" s="12">
        <f>V588-X588</f>
        <v>31.640965811965817</v>
      </c>
      <c r="Z588" s="14">
        <v>75</v>
      </c>
      <c r="AA588" s="2" t="str">
        <f>IF(V588&gt;Z588,"Yes","No")</f>
        <v>No</v>
      </c>
      <c r="AB588" s="12">
        <f>V588-Z588</f>
        <v>-37.980069999999998</v>
      </c>
      <c r="AC588" s="15" t="s">
        <v>130</v>
      </c>
      <c r="AD588" s="15" t="s">
        <v>130</v>
      </c>
      <c r="AE588" s="15" t="s">
        <v>180</v>
      </c>
      <c r="AF588" s="12">
        <f>IF(AG588="Rejected",0,IF(R588="Corporate Card",0,V588))</f>
        <v>37.019930000000002</v>
      </c>
      <c r="AG588" s="15" t="s">
        <v>133</v>
      </c>
      <c r="AH588" s="16">
        <v>45708</v>
      </c>
      <c r="AI588" s="16">
        <v>45712</v>
      </c>
      <c r="AJ588" s="16">
        <v>45724</v>
      </c>
      <c r="AK588" s="17">
        <f>IF(AJ588="","",AJ588-AH588)</f>
        <v>16</v>
      </c>
    </row>
    <row r="589" spans="1:37">
      <c r="A589" s="2" t="s">
        <v>960</v>
      </c>
      <c r="B589" s="2" t="s">
        <v>375</v>
      </c>
      <c r="C589" s="2" t="s">
        <v>376</v>
      </c>
      <c r="D589" s="2" t="s">
        <v>344</v>
      </c>
      <c r="E589" s="2" t="s">
        <v>377</v>
      </c>
      <c r="F589" s="2" t="s">
        <v>346</v>
      </c>
      <c r="G589" s="2" t="s">
        <v>941</v>
      </c>
      <c r="H589" s="2" t="s">
        <v>803</v>
      </c>
      <c r="I589" s="2" t="s">
        <v>175</v>
      </c>
      <c r="J589" s="2" t="s">
        <v>176</v>
      </c>
      <c r="K589" s="9">
        <v>45704</v>
      </c>
      <c r="L589" s="9">
        <v>45705</v>
      </c>
      <c r="M589" s="9">
        <v>45705</v>
      </c>
      <c r="N589" s="2" t="s">
        <v>696</v>
      </c>
      <c r="O589" s="2" t="s">
        <v>55</v>
      </c>
      <c r="P589" s="2" t="s">
        <v>139</v>
      </c>
      <c r="Q589" s="2" t="s">
        <v>217</v>
      </c>
      <c r="R589" s="2" t="s">
        <v>128</v>
      </c>
      <c r="S589" s="2" t="s">
        <v>179</v>
      </c>
      <c r="T589" s="10">
        <v>137.53</v>
      </c>
      <c r="U589" s="11">
        <v>0.18099999999999999</v>
      </c>
      <c r="V589" s="12">
        <f>T589*U589</f>
        <v>24.89293</v>
      </c>
      <c r="W589" s="13">
        <v>0.17</v>
      </c>
      <c r="X589" s="12">
        <f>V589-(V589/(1+W589))</f>
        <v>3.616921452991452</v>
      </c>
      <c r="Y589" s="12">
        <f>V589-X589</f>
        <v>21.276008547008548</v>
      </c>
      <c r="Z589" s="14">
        <v>35</v>
      </c>
      <c r="AA589" s="2" t="str">
        <f>IF(V589&gt;Z589,"Yes","No")</f>
        <v>No</v>
      </c>
      <c r="AB589" s="12">
        <f>V589-Z589</f>
        <v>-10.10707</v>
      </c>
      <c r="AC589" s="15" t="s">
        <v>130</v>
      </c>
      <c r="AD589" s="15" t="s">
        <v>130</v>
      </c>
      <c r="AE589" s="15" t="s">
        <v>180</v>
      </c>
      <c r="AF589" s="12">
        <f>IF(AG589="Rejected",0,IF(R589="Corporate Card",0,V589))</f>
        <v>0</v>
      </c>
      <c r="AG589" s="15" t="s">
        <v>133</v>
      </c>
      <c r="AH589" s="16">
        <v>45708</v>
      </c>
      <c r="AI589" s="16">
        <v>45712</v>
      </c>
      <c r="AJ589" s="16">
        <v>45724</v>
      </c>
      <c r="AK589" s="17">
        <f>IF(AJ589="","",AJ589-AH589)</f>
        <v>16</v>
      </c>
    </row>
    <row r="590" spans="1:37">
      <c r="A590" s="2" t="s">
        <v>961</v>
      </c>
      <c r="B590" s="2" t="s">
        <v>248</v>
      </c>
      <c r="C590" s="2" t="s">
        <v>249</v>
      </c>
      <c r="D590" s="2" t="s">
        <v>250</v>
      </c>
      <c r="E590" s="2" t="s">
        <v>251</v>
      </c>
      <c r="F590" s="2" t="s">
        <v>252</v>
      </c>
      <c r="G590" s="2" t="s">
        <v>830</v>
      </c>
      <c r="H590" s="2" t="s">
        <v>291</v>
      </c>
      <c r="I590" s="2" t="s">
        <v>175</v>
      </c>
      <c r="J590" s="2" t="s">
        <v>176</v>
      </c>
      <c r="K590" s="9">
        <v>45698</v>
      </c>
      <c r="L590" s="9">
        <v>45706</v>
      </c>
      <c r="M590" s="9">
        <v>45706</v>
      </c>
      <c r="N590" s="2" t="s">
        <v>696</v>
      </c>
      <c r="O590" s="2" t="s">
        <v>58</v>
      </c>
      <c r="P590" s="2" t="s">
        <v>142</v>
      </c>
      <c r="Q590" s="2" t="s">
        <v>296</v>
      </c>
      <c r="R590" s="2" t="s">
        <v>128</v>
      </c>
      <c r="S590" s="2" t="s">
        <v>179</v>
      </c>
      <c r="T590" s="10">
        <v>198.23</v>
      </c>
      <c r="U590" s="11">
        <v>0.18099999999999999</v>
      </c>
      <c r="V590" s="12">
        <f>T590*U590</f>
        <v>35.879629999999999</v>
      </c>
      <c r="W590" s="13">
        <v>0.17</v>
      </c>
      <c r="X590" s="12">
        <f>V590-(V590/(1+W590))</f>
        <v>5.2132795726495722</v>
      </c>
      <c r="Y590" s="12">
        <f>V590-X590</f>
        <v>30.666350427350427</v>
      </c>
      <c r="Z590" s="14">
        <v>60</v>
      </c>
      <c r="AA590" s="2" t="str">
        <f>IF(V590&gt;Z590,"Yes","No")</f>
        <v>No</v>
      </c>
      <c r="AB590" s="12">
        <f>V590-Z590</f>
        <v>-24.120370000000001</v>
      </c>
      <c r="AC590" s="15" t="s">
        <v>130</v>
      </c>
      <c r="AD590" s="15" t="s">
        <v>130</v>
      </c>
      <c r="AE590" s="15" t="s">
        <v>350</v>
      </c>
      <c r="AF590" s="12">
        <f>IF(AG590="Rejected",0,IF(R590="Corporate Card",0,V590))</f>
        <v>0</v>
      </c>
      <c r="AG590" s="15" t="s">
        <v>133</v>
      </c>
      <c r="AH590" s="16">
        <v>45712</v>
      </c>
      <c r="AI590" s="16">
        <v>45714</v>
      </c>
      <c r="AJ590" s="16">
        <v>45720</v>
      </c>
      <c r="AK590" s="17">
        <f>IF(AJ590="","",AJ590-AH590)</f>
        <v>8</v>
      </c>
    </row>
    <row r="591" spans="1:37">
      <c r="A591" s="2" t="s">
        <v>962</v>
      </c>
      <c r="B591" s="2" t="s">
        <v>248</v>
      </c>
      <c r="C591" s="2" t="s">
        <v>249</v>
      </c>
      <c r="D591" s="2" t="s">
        <v>250</v>
      </c>
      <c r="E591" s="2" t="s">
        <v>251</v>
      </c>
      <c r="F591" s="2" t="s">
        <v>252</v>
      </c>
      <c r="G591" s="2" t="s">
        <v>830</v>
      </c>
      <c r="H591" s="2" t="s">
        <v>291</v>
      </c>
      <c r="I591" s="2" t="s">
        <v>175</v>
      </c>
      <c r="J591" s="2" t="s">
        <v>176</v>
      </c>
      <c r="K591" s="9">
        <v>45698</v>
      </c>
      <c r="L591" s="9">
        <v>45706</v>
      </c>
      <c r="M591" s="9">
        <v>45706</v>
      </c>
      <c r="N591" s="2" t="s">
        <v>696</v>
      </c>
      <c r="O591" s="2" t="s">
        <v>54</v>
      </c>
      <c r="P591" s="2" t="s">
        <v>139</v>
      </c>
      <c r="Q591" s="2" t="s">
        <v>140</v>
      </c>
      <c r="R591" s="2" t="s">
        <v>128</v>
      </c>
      <c r="S591" s="2" t="s">
        <v>179</v>
      </c>
      <c r="T591" s="10">
        <v>62.15</v>
      </c>
      <c r="U591" s="11">
        <v>0.18099999999999999</v>
      </c>
      <c r="V591" s="12">
        <f>T591*U591</f>
        <v>11.24915</v>
      </c>
      <c r="W591" s="13">
        <v>0.17</v>
      </c>
      <c r="X591" s="12">
        <f>V591-(V591/(1+W591))</f>
        <v>1.63449188034188</v>
      </c>
      <c r="Y591" s="12">
        <f>V591-X591</f>
        <v>9.6146581196581202</v>
      </c>
      <c r="Z591" s="14">
        <v>25</v>
      </c>
      <c r="AA591" s="2" t="str">
        <f>IF(V591&gt;Z591,"Yes","No")</f>
        <v>No</v>
      </c>
      <c r="AB591" s="12">
        <f>V591-Z591</f>
        <v>-13.75085</v>
      </c>
      <c r="AC591" s="15" t="s">
        <v>130</v>
      </c>
      <c r="AD591" s="15" t="s">
        <v>130</v>
      </c>
      <c r="AE591" s="15" t="s">
        <v>350</v>
      </c>
      <c r="AF591" s="12">
        <f>IF(AG591="Rejected",0,IF(R591="Corporate Card",0,V591))</f>
        <v>0</v>
      </c>
      <c r="AG591" s="15" t="s">
        <v>133</v>
      </c>
      <c r="AH591" s="16">
        <v>45712</v>
      </c>
      <c r="AI591" s="16">
        <v>45714</v>
      </c>
      <c r="AJ591" s="16">
        <v>45720</v>
      </c>
      <c r="AK591" s="17">
        <f>IF(AJ591="","",AJ591-AH591)</f>
        <v>8</v>
      </c>
    </row>
    <row r="592" spans="1:37">
      <c r="A592" s="2" t="s">
        <v>963</v>
      </c>
      <c r="B592" s="2" t="s">
        <v>248</v>
      </c>
      <c r="C592" s="2" t="s">
        <v>249</v>
      </c>
      <c r="D592" s="2" t="s">
        <v>250</v>
      </c>
      <c r="E592" s="2" t="s">
        <v>251</v>
      </c>
      <c r="F592" s="2" t="s">
        <v>252</v>
      </c>
      <c r="G592" s="2" t="s">
        <v>830</v>
      </c>
      <c r="H592" s="2" t="s">
        <v>291</v>
      </c>
      <c r="I592" s="2" t="s">
        <v>175</v>
      </c>
      <c r="J592" s="2" t="s">
        <v>176</v>
      </c>
      <c r="K592" s="9">
        <v>45698</v>
      </c>
      <c r="L592" s="9">
        <v>45706</v>
      </c>
      <c r="M592" s="9">
        <v>45706</v>
      </c>
      <c r="N592" s="2" t="s">
        <v>696</v>
      </c>
      <c r="O592" s="2" t="s">
        <v>56</v>
      </c>
      <c r="P592" s="2" t="s">
        <v>231</v>
      </c>
      <c r="Q592" s="2" t="s">
        <v>152</v>
      </c>
      <c r="R592" s="2" t="s">
        <v>137</v>
      </c>
      <c r="S592" s="2" t="s">
        <v>179</v>
      </c>
      <c r="T592" s="10">
        <v>220.06</v>
      </c>
      <c r="U592" s="11">
        <v>0.18099999999999999</v>
      </c>
      <c r="V592" s="12">
        <f>T592*U592</f>
        <v>39.830860000000001</v>
      </c>
      <c r="W592" s="13">
        <v>0.17</v>
      </c>
      <c r="X592" s="12">
        <f>V592-(V592/(1+W592))</f>
        <v>5.7873899145299106</v>
      </c>
      <c r="Y592" s="12">
        <f>V592-X592</f>
        <v>34.043470085470091</v>
      </c>
      <c r="Z592" s="14">
        <v>75</v>
      </c>
      <c r="AA592" s="2" t="str">
        <f>IF(V592&gt;Z592,"Yes","No")</f>
        <v>No</v>
      </c>
      <c r="AB592" s="12">
        <f>V592-Z592</f>
        <v>-35.169139999999999</v>
      </c>
      <c r="AC592" s="15" t="s">
        <v>130</v>
      </c>
      <c r="AD592" s="15" t="s">
        <v>130</v>
      </c>
      <c r="AE592" s="15" t="s">
        <v>350</v>
      </c>
      <c r="AF592" s="12">
        <f>IF(AG592="Rejected",0,IF(R592="Corporate Card",0,V592))</f>
        <v>39.830860000000001</v>
      </c>
      <c r="AG592" s="15" t="s">
        <v>133</v>
      </c>
      <c r="AH592" s="16">
        <v>45712</v>
      </c>
      <c r="AI592" s="16">
        <v>45714</v>
      </c>
      <c r="AJ592" s="16">
        <v>45720</v>
      </c>
      <c r="AK592" s="17">
        <f>IF(AJ592="","",AJ592-AH592)</f>
        <v>8</v>
      </c>
    </row>
    <row r="593" spans="1:37">
      <c r="A593" s="2" t="s">
        <v>964</v>
      </c>
      <c r="B593" s="2" t="s">
        <v>248</v>
      </c>
      <c r="C593" s="2" t="s">
        <v>249</v>
      </c>
      <c r="D593" s="2" t="s">
        <v>250</v>
      </c>
      <c r="E593" s="2" t="s">
        <v>251</v>
      </c>
      <c r="F593" s="2" t="s">
        <v>252</v>
      </c>
      <c r="G593" s="2" t="s">
        <v>830</v>
      </c>
      <c r="H593" s="2" t="s">
        <v>291</v>
      </c>
      <c r="I593" s="2" t="s">
        <v>175</v>
      </c>
      <c r="J593" s="2" t="s">
        <v>176</v>
      </c>
      <c r="K593" s="9">
        <v>45698</v>
      </c>
      <c r="L593" s="9">
        <v>45706</v>
      </c>
      <c r="M593" s="9">
        <v>45706</v>
      </c>
      <c r="N593" s="2" t="s">
        <v>696</v>
      </c>
      <c r="O593" s="2" t="s">
        <v>55</v>
      </c>
      <c r="P593" s="2" t="s">
        <v>139</v>
      </c>
      <c r="Q593" s="2" t="s">
        <v>187</v>
      </c>
      <c r="R593" s="2" t="s">
        <v>149</v>
      </c>
      <c r="S593" s="2" t="s">
        <v>179</v>
      </c>
      <c r="T593" s="10">
        <v>178.57</v>
      </c>
      <c r="U593" s="11">
        <v>0.18099999999999999</v>
      </c>
      <c r="V593" s="12">
        <f>T593*U593</f>
        <v>32.321169999999995</v>
      </c>
      <c r="W593" s="13">
        <v>0.17</v>
      </c>
      <c r="X593" s="12">
        <f>V593-(V593/(1+W593))</f>
        <v>4.6962383760683721</v>
      </c>
      <c r="Y593" s="12">
        <f>V593-X593</f>
        <v>27.624931623931623</v>
      </c>
      <c r="Z593" s="14">
        <v>35</v>
      </c>
      <c r="AA593" s="2" t="str">
        <f>IF(V593&gt;Z593,"Yes","No")</f>
        <v>No</v>
      </c>
      <c r="AB593" s="12">
        <f>V593-Z593</f>
        <v>-2.6788300000000049</v>
      </c>
      <c r="AC593" s="15" t="s">
        <v>130</v>
      </c>
      <c r="AD593" s="15" t="s">
        <v>130</v>
      </c>
      <c r="AE593" s="15" t="s">
        <v>350</v>
      </c>
      <c r="AF593" s="12">
        <f>IF(AG593="Rejected",0,IF(R593="Corporate Card",0,V593))</f>
        <v>32.321169999999995</v>
      </c>
      <c r="AG593" s="15" t="s">
        <v>133</v>
      </c>
      <c r="AH593" s="16">
        <v>45712</v>
      </c>
      <c r="AI593" s="16">
        <v>45714</v>
      </c>
      <c r="AJ593" s="16">
        <v>45720</v>
      </c>
      <c r="AK593" s="17">
        <f>IF(AJ593="","",AJ593-AH593)</f>
        <v>8</v>
      </c>
    </row>
    <row r="594" spans="1:37">
      <c r="A594" s="2" t="s">
        <v>965</v>
      </c>
      <c r="B594" s="2" t="s">
        <v>863</v>
      </c>
      <c r="C594" s="2" t="s">
        <v>864</v>
      </c>
      <c r="D594" s="2" t="s">
        <v>865</v>
      </c>
      <c r="E594" s="2" t="s">
        <v>866</v>
      </c>
      <c r="F594" s="2" t="s">
        <v>867</v>
      </c>
      <c r="G594" s="2" t="s">
        <v>868</v>
      </c>
      <c r="H594" s="2" t="s">
        <v>448</v>
      </c>
      <c r="I594" s="2" t="s">
        <v>123</v>
      </c>
      <c r="J594" s="2" t="s">
        <v>124</v>
      </c>
      <c r="K594" s="9">
        <v>45700</v>
      </c>
      <c r="L594" s="9">
        <v>45707</v>
      </c>
      <c r="M594" s="9">
        <v>45706</v>
      </c>
      <c r="N594" s="2" t="s">
        <v>696</v>
      </c>
      <c r="O594" s="2" t="s">
        <v>54</v>
      </c>
      <c r="P594" s="2" t="s">
        <v>139</v>
      </c>
      <c r="Q594" s="2" t="s">
        <v>148</v>
      </c>
      <c r="R594" s="2" t="s">
        <v>128</v>
      </c>
      <c r="S594" s="2" t="s">
        <v>129</v>
      </c>
      <c r="T594" s="10">
        <v>14.73</v>
      </c>
      <c r="U594" s="11">
        <v>1.272</v>
      </c>
      <c r="V594" s="12">
        <f>T594*U594</f>
        <v>18.736560000000001</v>
      </c>
      <c r="W594" s="13">
        <v>0.2</v>
      </c>
      <c r="X594" s="12">
        <f>V594-(V594/(1+W594))</f>
        <v>3.1227599999999995</v>
      </c>
      <c r="Y594" s="12">
        <f>V594-X594</f>
        <v>15.613800000000001</v>
      </c>
      <c r="Z594" s="14">
        <v>25</v>
      </c>
      <c r="AA594" s="2" t="str">
        <f>IF(V594&gt;Z594,"Yes","No")</f>
        <v>No</v>
      </c>
      <c r="AB594" s="12">
        <f>V594-Z594</f>
        <v>-6.2634399999999992</v>
      </c>
      <c r="AC594" s="15" t="s">
        <v>130</v>
      </c>
      <c r="AD594" s="15" t="s">
        <v>130</v>
      </c>
      <c r="AE594" s="15" t="s">
        <v>180</v>
      </c>
      <c r="AF594" s="12">
        <f>IF(AG594="Rejected",0,IF(R594="Corporate Card",0,V594))</f>
        <v>0</v>
      </c>
      <c r="AG594" s="15" t="s">
        <v>181</v>
      </c>
      <c r="AH594" s="16">
        <v>45709</v>
      </c>
      <c r="AI594" s="16"/>
      <c r="AJ594" s="16"/>
      <c r="AK594" s="17" t="str">
        <f>IF(AJ594="","",AJ594-AH594)</f>
        <v/>
      </c>
    </row>
    <row r="595" spans="1:37">
      <c r="A595" s="2" t="s">
        <v>966</v>
      </c>
      <c r="B595" s="2" t="s">
        <v>863</v>
      </c>
      <c r="C595" s="2" t="s">
        <v>864</v>
      </c>
      <c r="D595" s="2" t="s">
        <v>865</v>
      </c>
      <c r="E595" s="2" t="s">
        <v>866</v>
      </c>
      <c r="F595" s="2" t="s">
        <v>867</v>
      </c>
      <c r="G595" s="2" t="s">
        <v>868</v>
      </c>
      <c r="H595" s="2" t="s">
        <v>448</v>
      </c>
      <c r="I595" s="2" t="s">
        <v>123</v>
      </c>
      <c r="J595" s="2" t="s">
        <v>124</v>
      </c>
      <c r="K595" s="9">
        <v>45700</v>
      </c>
      <c r="L595" s="9">
        <v>45707</v>
      </c>
      <c r="M595" s="9">
        <v>45706</v>
      </c>
      <c r="N595" s="2" t="s">
        <v>696</v>
      </c>
      <c r="O595" s="2" t="s">
        <v>56</v>
      </c>
      <c r="P595" s="2" t="s">
        <v>151</v>
      </c>
      <c r="Q595" s="2" t="s">
        <v>166</v>
      </c>
      <c r="R595" s="2" t="s">
        <v>128</v>
      </c>
      <c r="S595" s="2" t="s">
        <v>129</v>
      </c>
      <c r="T595" s="10">
        <v>73.52</v>
      </c>
      <c r="U595" s="11">
        <v>1.272</v>
      </c>
      <c r="V595" s="12">
        <f>T595*U595</f>
        <v>93.517439999999993</v>
      </c>
      <c r="W595" s="13">
        <v>0.2</v>
      </c>
      <c r="X595" s="12">
        <f>V595-(V595/(1+W595))</f>
        <v>15.586239999999989</v>
      </c>
      <c r="Y595" s="12">
        <f>V595-X595</f>
        <v>77.931200000000004</v>
      </c>
      <c r="Z595" s="14">
        <v>75</v>
      </c>
      <c r="AA595" s="2" t="str">
        <f>IF(V595&gt;Z595,"Yes","No")</f>
        <v>Yes</v>
      </c>
      <c r="AB595" s="12">
        <f>V595-Z595</f>
        <v>18.517439999999993</v>
      </c>
      <c r="AC595" s="15" t="s">
        <v>130</v>
      </c>
      <c r="AD595" s="15" t="s">
        <v>130</v>
      </c>
      <c r="AE595" s="15" t="s">
        <v>180</v>
      </c>
      <c r="AF595" s="12">
        <f>IF(AG595="Rejected",0,IF(R595="Corporate Card",0,V595))</f>
        <v>0</v>
      </c>
      <c r="AG595" s="15" t="s">
        <v>181</v>
      </c>
      <c r="AH595" s="16">
        <v>45709</v>
      </c>
      <c r="AI595" s="16"/>
      <c r="AJ595" s="16"/>
      <c r="AK595" s="17" t="str">
        <f>IF(AJ595="","",AJ595-AH595)</f>
        <v/>
      </c>
    </row>
    <row r="596" spans="1:37">
      <c r="A596" s="2" t="s">
        <v>967</v>
      </c>
      <c r="B596" s="2" t="s">
        <v>863</v>
      </c>
      <c r="C596" s="2" t="s">
        <v>864</v>
      </c>
      <c r="D596" s="2" t="s">
        <v>865</v>
      </c>
      <c r="E596" s="2" t="s">
        <v>866</v>
      </c>
      <c r="F596" s="2" t="s">
        <v>867</v>
      </c>
      <c r="G596" s="2" t="s">
        <v>868</v>
      </c>
      <c r="H596" s="2" t="s">
        <v>448</v>
      </c>
      <c r="I596" s="2" t="s">
        <v>123</v>
      </c>
      <c r="J596" s="2" t="s">
        <v>124</v>
      </c>
      <c r="K596" s="9">
        <v>45700</v>
      </c>
      <c r="L596" s="9">
        <v>45707</v>
      </c>
      <c r="M596" s="9">
        <v>45706</v>
      </c>
      <c r="N596" s="2" t="s">
        <v>696</v>
      </c>
      <c r="O596" s="2" t="s">
        <v>55</v>
      </c>
      <c r="P596" s="2" t="s">
        <v>139</v>
      </c>
      <c r="Q596" s="2" t="s">
        <v>187</v>
      </c>
      <c r="R596" s="2" t="s">
        <v>128</v>
      </c>
      <c r="S596" s="2" t="s">
        <v>129</v>
      </c>
      <c r="T596" s="10">
        <v>22.13</v>
      </c>
      <c r="U596" s="11">
        <v>1.272</v>
      </c>
      <c r="V596" s="12">
        <f>T596*U596</f>
        <v>28.149359999999998</v>
      </c>
      <c r="W596" s="13">
        <v>0.2</v>
      </c>
      <c r="X596" s="12">
        <f>V596-(V596/(1+W596))</f>
        <v>4.6915599999999991</v>
      </c>
      <c r="Y596" s="12">
        <f>V596-X596</f>
        <v>23.457799999999999</v>
      </c>
      <c r="Z596" s="14">
        <v>35</v>
      </c>
      <c r="AA596" s="2" t="str">
        <f>IF(V596&gt;Z596,"Yes","No")</f>
        <v>No</v>
      </c>
      <c r="AB596" s="12">
        <f>V596-Z596</f>
        <v>-6.8506400000000021</v>
      </c>
      <c r="AC596" s="15" t="s">
        <v>130</v>
      </c>
      <c r="AD596" s="15" t="s">
        <v>130</v>
      </c>
      <c r="AE596" s="15" t="s">
        <v>180</v>
      </c>
      <c r="AF596" s="12">
        <f>IF(AG596="Rejected",0,IF(R596="Corporate Card",0,V596))</f>
        <v>0</v>
      </c>
      <c r="AG596" s="15" t="s">
        <v>181</v>
      </c>
      <c r="AH596" s="16">
        <v>45709</v>
      </c>
      <c r="AI596" s="16"/>
      <c r="AJ596" s="16"/>
      <c r="AK596" s="17" t="str">
        <f>IF(AJ596="","",AJ596-AH596)</f>
        <v/>
      </c>
    </row>
    <row r="597" spans="1:37">
      <c r="A597" s="2" t="s">
        <v>968</v>
      </c>
      <c r="B597" s="2" t="s">
        <v>863</v>
      </c>
      <c r="C597" s="2" t="s">
        <v>864</v>
      </c>
      <c r="D597" s="2" t="s">
        <v>865</v>
      </c>
      <c r="E597" s="2" t="s">
        <v>866</v>
      </c>
      <c r="F597" s="2" t="s">
        <v>867</v>
      </c>
      <c r="G597" s="2" t="s">
        <v>868</v>
      </c>
      <c r="H597" s="2" t="s">
        <v>448</v>
      </c>
      <c r="I597" s="2" t="s">
        <v>123</v>
      </c>
      <c r="J597" s="2" t="s">
        <v>124</v>
      </c>
      <c r="K597" s="9">
        <v>45700</v>
      </c>
      <c r="L597" s="9">
        <v>45707</v>
      </c>
      <c r="M597" s="9">
        <v>45707</v>
      </c>
      <c r="N597" s="2" t="s">
        <v>696</v>
      </c>
      <c r="O597" s="2" t="s">
        <v>58</v>
      </c>
      <c r="P597" s="2" t="s">
        <v>142</v>
      </c>
      <c r="Q597" s="2" t="s">
        <v>156</v>
      </c>
      <c r="R597" s="2" t="s">
        <v>128</v>
      </c>
      <c r="S597" s="2" t="s">
        <v>129</v>
      </c>
      <c r="T597" s="10">
        <v>35.799999999999997</v>
      </c>
      <c r="U597" s="11">
        <v>1.272</v>
      </c>
      <c r="V597" s="12">
        <f>T597*U597</f>
        <v>45.537599999999998</v>
      </c>
      <c r="W597" s="13">
        <v>0.2</v>
      </c>
      <c r="X597" s="12">
        <f>V597-(V597/(1+W597))</f>
        <v>7.5895999999999972</v>
      </c>
      <c r="Y597" s="12">
        <f>V597-X597</f>
        <v>37.948</v>
      </c>
      <c r="Z597" s="14">
        <v>60</v>
      </c>
      <c r="AA597" s="2" t="str">
        <f>IF(V597&gt;Z597,"Yes","No")</f>
        <v>No</v>
      </c>
      <c r="AB597" s="12">
        <f>V597-Z597</f>
        <v>-14.462400000000002</v>
      </c>
      <c r="AC597" s="15" t="s">
        <v>130</v>
      </c>
      <c r="AD597" s="15" t="s">
        <v>130</v>
      </c>
      <c r="AE597" s="15" t="s">
        <v>180</v>
      </c>
      <c r="AF597" s="12">
        <f>IF(AG597="Rejected",0,IF(R597="Corporate Card",0,V597))</f>
        <v>0</v>
      </c>
      <c r="AG597" s="15" t="s">
        <v>181</v>
      </c>
      <c r="AH597" s="16">
        <v>45709</v>
      </c>
      <c r="AI597" s="16"/>
      <c r="AJ597" s="16"/>
      <c r="AK597" s="17" t="str">
        <f>IF(AJ597="","",AJ597-AH597)</f>
        <v/>
      </c>
    </row>
    <row r="598" spans="1:37">
      <c r="A598" s="2" t="s">
        <v>969</v>
      </c>
      <c r="B598" s="2" t="s">
        <v>863</v>
      </c>
      <c r="C598" s="2" t="s">
        <v>864</v>
      </c>
      <c r="D598" s="2" t="s">
        <v>865</v>
      </c>
      <c r="E598" s="2" t="s">
        <v>866</v>
      </c>
      <c r="F598" s="2" t="s">
        <v>867</v>
      </c>
      <c r="G598" s="2" t="s">
        <v>868</v>
      </c>
      <c r="H598" s="2" t="s">
        <v>448</v>
      </c>
      <c r="I598" s="2" t="s">
        <v>123</v>
      </c>
      <c r="J598" s="2" t="s">
        <v>124</v>
      </c>
      <c r="K598" s="9">
        <v>45700</v>
      </c>
      <c r="L598" s="9">
        <v>45707</v>
      </c>
      <c r="M598" s="9">
        <v>45707</v>
      </c>
      <c r="N598" s="2" t="s">
        <v>696</v>
      </c>
      <c r="O598" s="2" t="s">
        <v>54</v>
      </c>
      <c r="P598" s="2" t="s">
        <v>139</v>
      </c>
      <c r="Q598" s="2" t="s">
        <v>214</v>
      </c>
      <c r="R598" s="2" t="s">
        <v>128</v>
      </c>
      <c r="S598" s="2" t="s">
        <v>129</v>
      </c>
      <c r="T598" s="10">
        <v>12.78</v>
      </c>
      <c r="U598" s="11">
        <v>1.272</v>
      </c>
      <c r="V598" s="12">
        <f>T598*U598</f>
        <v>16.256159999999998</v>
      </c>
      <c r="W598" s="13">
        <v>0.2</v>
      </c>
      <c r="X598" s="12">
        <f>V598-(V598/(1+W598))</f>
        <v>2.7093599999999984</v>
      </c>
      <c r="Y598" s="12">
        <f>V598-X598</f>
        <v>13.546799999999999</v>
      </c>
      <c r="Z598" s="14">
        <v>25</v>
      </c>
      <c r="AA598" s="2" t="str">
        <f>IF(V598&gt;Z598,"Yes","No")</f>
        <v>No</v>
      </c>
      <c r="AB598" s="12">
        <f>V598-Z598</f>
        <v>-8.7438400000000023</v>
      </c>
      <c r="AC598" s="15" t="s">
        <v>130</v>
      </c>
      <c r="AD598" s="15" t="s">
        <v>130</v>
      </c>
      <c r="AE598" s="15" t="s">
        <v>180</v>
      </c>
      <c r="AF598" s="12">
        <f>IF(AG598="Rejected",0,IF(R598="Corporate Card",0,V598))</f>
        <v>0</v>
      </c>
      <c r="AG598" s="15" t="s">
        <v>181</v>
      </c>
      <c r="AH598" s="16">
        <v>45709</v>
      </c>
      <c r="AI598" s="16"/>
      <c r="AJ598" s="16"/>
      <c r="AK598" s="17" t="str">
        <f>IF(AJ598="","",AJ598-AH598)</f>
        <v/>
      </c>
    </row>
    <row r="599" spans="1:37">
      <c r="A599" s="2" t="s">
        <v>970</v>
      </c>
      <c r="B599" s="2" t="s">
        <v>863</v>
      </c>
      <c r="C599" s="2" t="s">
        <v>864</v>
      </c>
      <c r="D599" s="2" t="s">
        <v>865</v>
      </c>
      <c r="E599" s="2" t="s">
        <v>866</v>
      </c>
      <c r="F599" s="2" t="s">
        <v>867</v>
      </c>
      <c r="G599" s="2" t="s">
        <v>868</v>
      </c>
      <c r="H599" s="2" t="s">
        <v>448</v>
      </c>
      <c r="I599" s="2" t="s">
        <v>123</v>
      </c>
      <c r="J599" s="2" t="s">
        <v>124</v>
      </c>
      <c r="K599" s="9">
        <v>45700</v>
      </c>
      <c r="L599" s="9">
        <v>45707</v>
      </c>
      <c r="M599" s="9">
        <v>45707</v>
      </c>
      <c r="N599" s="2" t="s">
        <v>696</v>
      </c>
      <c r="O599" s="2" t="s">
        <v>56</v>
      </c>
      <c r="P599" s="2" t="s">
        <v>231</v>
      </c>
      <c r="Q599" s="2" t="s">
        <v>227</v>
      </c>
      <c r="R599" s="2" t="s">
        <v>137</v>
      </c>
      <c r="S599" s="2" t="s">
        <v>129</v>
      </c>
      <c r="T599" s="10">
        <v>23.8</v>
      </c>
      <c r="U599" s="11">
        <v>1.272</v>
      </c>
      <c r="V599" s="12">
        <f>T599*U599</f>
        <v>30.273600000000002</v>
      </c>
      <c r="W599" s="13">
        <v>0.2</v>
      </c>
      <c r="X599" s="12">
        <f>V599-(V599/(1+W599))</f>
        <v>5.0456000000000003</v>
      </c>
      <c r="Y599" s="12">
        <f>V599-X599</f>
        <v>25.228000000000002</v>
      </c>
      <c r="Z599" s="14">
        <v>75</v>
      </c>
      <c r="AA599" s="2" t="str">
        <f>IF(V599&gt;Z599,"Yes","No")</f>
        <v>No</v>
      </c>
      <c r="AB599" s="12">
        <f>V599-Z599</f>
        <v>-44.726399999999998</v>
      </c>
      <c r="AC599" s="15" t="s">
        <v>130</v>
      </c>
      <c r="AD599" s="15" t="s">
        <v>130</v>
      </c>
      <c r="AE599" s="15" t="s">
        <v>180</v>
      </c>
      <c r="AF599" s="12">
        <f>IF(AG599="Rejected",0,IF(R599="Corporate Card",0,V599))</f>
        <v>30.273600000000002</v>
      </c>
      <c r="AG599" s="15" t="s">
        <v>181</v>
      </c>
      <c r="AH599" s="16">
        <v>45709</v>
      </c>
      <c r="AI599" s="16"/>
      <c r="AJ599" s="16"/>
      <c r="AK599" s="17" t="str">
        <f>IF(AJ599="","",AJ599-AH599)</f>
        <v/>
      </c>
    </row>
    <row r="600" spans="1:37">
      <c r="A600" s="2" t="s">
        <v>971</v>
      </c>
      <c r="B600" s="2" t="s">
        <v>863</v>
      </c>
      <c r="C600" s="2" t="s">
        <v>864</v>
      </c>
      <c r="D600" s="2" t="s">
        <v>865</v>
      </c>
      <c r="E600" s="2" t="s">
        <v>866</v>
      </c>
      <c r="F600" s="2" t="s">
        <v>867</v>
      </c>
      <c r="G600" s="2" t="s">
        <v>868</v>
      </c>
      <c r="H600" s="2" t="s">
        <v>448</v>
      </c>
      <c r="I600" s="2" t="s">
        <v>123</v>
      </c>
      <c r="J600" s="2" t="s">
        <v>124</v>
      </c>
      <c r="K600" s="9">
        <v>45700</v>
      </c>
      <c r="L600" s="9">
        <v>45707</v>
      </c>
      <c r="M600" s="9">
        <v>45707</v>
      </c>
      <c r="N600" s="2" t="s">
        <v>696</v>
      </c>
      <c r="O600" s="2" t="s">
        <v>55</v>
      </c>
      <c r="P600" s="2" t="s">
        <v>139</v>
      </c>
      <c r="Q600" s="2" t="s">
        <v>217</v>
      </c>
      <c r="R600" s="2" t="s">
        <v>128</v>
      </c>
      <c r="S600" s="2" t="s">
        <v>129</v>
      </c>
      <c r="T600" s="10">
        <v>38.229999999999997</v>
      </c>
      <c r="U600" s="11">
        <v>1.272</v>
      </c>
      <c r="V600" s="12">
        <f>T600*U600</f>
        <v>48.62856</v>
      </c>
      <c r="W600" s="13">
        <v>0.2</v>
      </c>
      <c r="X600" s="12">
        <f>V600-(V600/(1+W600))</f>
        <v>8.1047599999999989</v>
      </c>
      <c r="Y600" s="12">
        <f>V600-X600</f>
        <v>40.523800000000001</v>
      </c>
      <c r="Z600" s="14">
        <v>35</v>
      </c>
      <c r="AA600" s="2" t="str">
        <f>IF(V600&gt;Z600,"Yes","No")</f>
        <v>Yes</v>
      </c>
      <c r="AB600" s="12">
        <f>V600-Z600</f>
        <v>13.62856</v>
      </c>
      <c r="AC600" s="15" t="s">
        <v>131</v>
      </c>
      <c r="AD600" s="15" t="s">
        <v>130</v>
      </c>
      <c r="AE600" s="15" t="s">
        <v>180</v>
      </c>
      <c r="AF600" s="12">
        <f>IF(AG600="Rejected",0,IF(R600="Corporate Card",0,V600))</f>
        <v>0</v>
      </c>
      <c r="AG600" s="15" t="s">
        <v>181</v>
      </c>
      <c r="AH600" s="16">
        <v>45709</v>
      </c>
      <c r="AI600" s="16"/>
      <c r="AJ600" s="16"/>
      <c r="AK600" s="17" t="str">
        <f>IF(AJ600="","",AJ600-AH600)</f>
        <v/>
      </c>
    </row>
    <row r="601" spans="1:37">
      <c r="A601" s="2" t="s">
        <v>972</v>
      </c>
      <c r="B601" s="2" t="s">
        <v>442</v>
      </c>
      <c r="C601" s="2" t="s">
        <v>443</v>
      </c>
      <c r="D601" s="2" t="s">
        <v>444</v>
      </c>
      <c r="E601" s="2" t="s">
        <v>445</v>
      </c>
      <c r="F601" s="2" t="s">
        <v>446</v>
      </c>
      <c r="G601" s="2" t="s">
        <v>973</v>
      </c>
      <c r="H601" s="2" t="s">
        <v>417</v>
      </c>
      <c r="I601" s="2" t="s">
        <v>433</v>
      </c>
      <c r="J601" s="2" t="s">
        <v>434</v>
      </c>
      <c r="K601" s="9">
        <v>45708</v>
      </c>
      <c r="L601" s="9">
        <v>45709</v>
      </c>
      <c r="M601" s="9">
        <v>45708</v>
      </c>
      <c r="N601" s="2" t="s">
        <v>696</v>
      </c>
      <c r="O601" s="2" t="s">
        <v>52</v>
      </c>
      <c r="P601" s="2" t="s">
        <v>435</v>
      </c>
      <c r="Q601" s="2" t="s">
        <v>513</v>
      </c>
      <c r="R601" s="2" t="s">
        <v>128</v>
      </c>
      <c r="S601" s="2" t="s">
        <v>436</v>
      </c>
      <c r="T601" s="10">
        <v>146078</v>
      </c>
      <c r="U601" s="11">
        <v>1.1780000000000001E-2</v>
      </c>
      <c r="V601" s="12">
        <f>T601*U601</f>
        <v>1720.7988400000002</v>
      </c>
      <c r="W601" s="13">
        <v>0</v>
      </c>
      <c r="X601" s="12">
        <f>V601-(V601/(1+W601))</f>
        <v>0</v>
      </c>
      <c r="Y601" s="12">
        <f>V601-X601</f>
        <v>1720.7988400000002</v>
      </c>
      <c r="Z601" s="14">
        <v>1400</v>
      </c>
      <c r="AA601" s="2" t="str">
        <f>IF(V601&gt;Z601,"Yes","No")</f>
        <v>Yes</v>
      </c>
      <c r="AB601" s="12">
        <f>V601-Z601</f>
        <v>320.79884000000015</v>
      </c>
      <c r="AC601" s="15" t="s">
        <v>130</v>
      </c>
      <c r="AD601" s="15" t="s">
        <v>130</v>
      </c>
      <c r="AE601" s="15" t="s">
        <v>514</v>
      </c>
      <c r="AF601" s="12">
        <f>IF(AG601="Rejected",0,IF(R601="Corporate Card",0,V601))</f>
        <v>0</v>
      </c>
      <c r="AG601" s="15" t="s">
        <v>133</v>
      </c>
      <c r="AH601" s="16">
        <v>45721</v>
      </c>
      <c r="AI601" s="16">
        <v>45727</v>
      </c>
      <c r="AJ601" s="16">
        <v>45741</v>
      </c>
      <c r="AK601" s="17">
        <f>IF(AJ601="","",AJ601-AH601)</f>
        <v>20</v>
      </c>
    </row>
    <row r="602" spans="1:37">
      <c r="A602" s="2" t="s">
        <v>974</v>
      </c>
      <c r="B602" s="2" t="s">
        <v>442</v>
      </c>
      <c r="C602" s="2" t="s">
        <v>443</v>
      </c>
      <c r="D602" s="2" t="s">
        <v>444</v>
      </c>
      <c r="E602" s="2" t="s">
        <v>445</v>
      </c>
      <c r="F602" s="2" t="s">
        <v>446</v>
      </c>
      <c r="G602" s="2" t="s">
        <v>973</v>
      </c>
      <c r="H602" s="2" t="s">
        <v>417</v>
      </c>
      <c r="I602" s="2" t="s">
        <v>433</v>
      </c>
      <c r="J602" s="2" t="s">
        <v>434</v>
      </c>
      <c r="K602" s="9">
        <v>45708</v>
      </c>
      <c r="L602" s="9">
        <v>45709</v>
      </c>
      <c r="M602" s="9">
        <v>45708</v>
      </c>
      <c r="N602" s="2" t="s">
        <v>696</v>
      </c>
      <c r="O602" s="2" t="s">
        <v>64</v>
      </c>
      <c r="P602" s="2" t="s">
        <v>135</v>
      </c>
      <c r="Q602" s="2" t="s">
        <v>420</v>
      </c>
      <c r="R602" s="2" t="s">
        <v>149</v>
      </c>
      <c r="S602" s="2" t="s">
        <v>436</v>
      </c>
      <c r="T602" s="10">
        <v>15765</v>
      </c>
      <c r="U602" s="11">
        <v>1.1780000000000001E-2</v>
      </c>
      <c r="V602" s="12">
        <f>T602*U602</f>
        <v>185.71170000000001</v>
      </c>
      <c r="W602" s="13">
        <v>0</v>
      </c>
      <c r="X602" s="12">
        <f>V602-(V602/(1+W602))</f>
        <v>0</v>
      </c>
      <c r="Y602" s="12">
        <f>V602-X602</f>
        <v>185.71170000000001</v>
      </c>
      <c r="Z602" s="14">
        <v>120</v>
      </c>
      <c r="AA602" s="2" t="str">
        <f>IF(V602&gt;Z602,"Yes","No")</f>
        <v>Yes</v>
      </c>
      <c r="AB602" s="12">
        <f>V602-Z602</f>
        <v>65.711700000000008</v>
      </c>
      <c r="AC602" s="15" t="s">
        <v>130</v>
      </c>
      <c r="AD602" s="15" t="s">
        <v>130</v>
      </c>
      <c r="AE602" s="15" t="s">
        <v>514</v>
      </c>
      <c r="AF602" s="12">
        <f>IF(AG602="Rejected",0,IF(R602="Corporate Card",0,V602))</f>
        <v>185.71170000000001</v>
      </c>
      <c r="AG602" s="15" t="s">
        <v>133</v>
      </c>
      <c r="AH602" s="16">
        <v>45721</v>
      </c>
      <c r="AI602" s="16">
        <v>45727</v>
      </c>
      <c r="AJ602" s="16">
        <v>45741</v>
      </c>
      <c r="AK602" s="17">
        <f>IF(AJ602="","",AJ602-AH602)</f>
        <v>20</v>
      </c>
    </row>
    <row r="603" spans="1:37">
      <c r="A603" s="2" t="s">
        <v>975</v>
      </c>
      <c r="B603" s="2" t="s">
        <v>442</v>
      </c>
      <c r="C603" s="2" t="s">
        <v>443</v>
      </c>
      <c r="D603" s="2" t="s">
        <v>444</v>
      </c>
      <c r="E603" s="2" t="s">
        <v>445</v>
      </c>
      <c r="F603" s="2" t="s">
        <v>446</v>
      </c>
      <c r="G603" s="2" t="s">
        <v>973</v>
      </c>
      <c r="H603" s="2" t="s">
        <v>417</v>
      </c>
      <c r="I603" s="2" t="s">
        <v>433</v>
      </c>
      <c r="J603" s="2" t="s">
        <v>434</v>
      </c>
      <c r="K603" s="9">
        <v>45708</v>
      </c>
      <c r="L603" s="9">
        <v>45709</v>
      </c>
      <c r="M603" s="9">
        <v>45708</v>
      </c>
      <c r="N603" s="2" t="s">
        <v>696</v>
      </c>
      <c r="O603" s="2" t="s">
        <v>55</v>
      </c>
      <c r="P603" s="2" t="s">
        <v>139</v>
      </c>
      <c r="Q603" s="2" t="s">
        <v>161</v>
      </c>
      <c r="R603" s="2" t="s">
        <v>149</v>
      </c>
      <c r="S603" s="2" t="s">
        <v>436</v>
      </c>
      <c r="T603" s="10">
        <v>2284</v>
      </c>
      <c r="U603" s="11">
        <v>1.1780000000000001E-2</v>
      </c>
      <c r="V603" s="12">
        <f>T603*U603</f>
        <v>26.905520000000003</v>
      </c>
      <c r="W603" s="13">
        <v>0.18</v>
      </c>
      <c r="X603" s="12">
        <f>V603-(V603/(1+W603))</f>
        <v>4.1042318644067777</v>
      </c>
      <c r="Y603" s="12">
        <f>V603-X603</f>
        <v>22.801288135593225</v>
      </c>
      <c r="Z603" s="14">
        <v>35</v>
      </c>
      <c r="AA603" s="2" t="str">
        <f>IF(V603&gt;Z603,"Yes","No")</f>
        <v>No</v>
      </c>
      <c r="AB603" s="12">
        <f>V603-Z603</f>
        <v>-8.0944799999999972</v>
      </c>
      <c r="AC603" s="15" t="s">
        <v>130</v>
      </c>
      <c r="AD603" s="15" t="s">
        <v>130</v>
      </c>
      <c r="AE603" s="15" t="s">
        <v>514</v>
      </c>
      <c r="AF603" s="12">
        <f>IF(AG603="Rejected",0,IF(R603="Corporate Card",0,V603))</f>
        <v>26.905520000000003</v>
      </c>
      <c r="AG603" s="15" t="s">
        <v>133</v>
      </c>
      <c r="AH603" s="16">
        <v>45721</v>
      </c>
      <c r="AI603" s="16">
        <v>45727</v>
      </c>
      <c r="AJ603" s="16">
        <v>45741</v>
      </c>
      <c r="AK603" s="17">
        <f>IF(AJ603="","",AJ603-AH603)</f>
        <v>20</v>
      </c>
    </row>
    <row r="604" spans="1:37">
      <c r="A604" s="2" t="s">
        <v>976</v>
      </c>
      <c r="B604" s="2" t="s">
        <v>442</v>
      </c>
      <c r="C604" s="2" t="s">
        <v>443</v>
      </c>
      <c r="D604" s="2" t="s">
        <v>444</v>
      </c>
      <c r="E604" s="2" t="s">
        <v>445</v>
      </c>
      <c r="F604" s="2" t="s">
        <v>446</v>
      </c>
      <c r="G604" s="2" t="s">
        <v>973</v>
      </c>
      <c r="H604" s="2" t="s">
        <v>417</v>
      </c>
      <c r="I604" s="2" t="s">
        <v>433</v>
      </c>
      <c r="J604" s="2" t="s">
        <v>434</v>
      </c>
      <c r="K604" s="9">
        <v>45708</v>
      </c>
      <c r="L604" s="9">
        <v>45709</v>
      </c>
      <c r="M604" s="9">
        <v>45709</v>
      </c>
      <c r="N604" s="2" t="s">
        <v>696</v>
      </c>
      <c r="O604" s="2" t="s">
        <v>60</v>
      </c>
      <c r="P604" s="2" t="s">
        <v>536</v>
      </c>
      <c r="Q604" s="2" t="s">
        <v>503</v>
      </c>
      <c r="R604" s="2" t="s">
        <v>137</v>
      </c>
      <c r="S604" s="2" t="s">
        <v>436</v>
      </c>
      <c r="T604" s="10">
        <v>4739</v>
      </c>
      <c r="U604" s="11">
        <v>1.1780000000000001E-2</v>
      </c>
      <c r="V604" s="12">
        <f>T604*U604</f>
        <v>55.825420000000001</v>
      </c>
      <c r="W604" s="13">
        <v>0.18</v>
      </c>
      <c r="X604" s="12">
        <f>V604-(V604/(1+W604))</f>
        <v>8.5157420338983059</v>
      </c>
      <c r="Y604" s="12">
        <f>V604-X604</f>
        <v>47.309677966101695</v>
      </c>
      <c r="Z604" s="14">
        <v>120</v>
      </c>
      <c r="AA604" s="2" t="str">
        <f>IF(V604&gt;Z604,"Yes","No")</f>
        <v>No</v>
      </c>
      <c r="AB604" s="12">
        <f>V604-Z604</f>
        <v>-64.174579999999992</v>
      </c>
      <c r="AC604" s="15" t="s">
        <v>130</v>
      </c>
      <c r="AD604" s="15" t="s">
        <v>130</v>
      </c>
      <c r="AE604" s="15" t="s">
        <v>514</v>
      </c>
      <c r="AF604" s="12">
        <f>IF(AG604="Rejected",0,IF(R604="Corporate Card",0,V604))</f>
        <v>55.825420000000001</v>
      </c>
      <c r="AG604" s="15" t="s">
        <v>133</v>
      </c>
      <c r="AH604" s="16">
        <v>45721</v>
      </c>
      <c r="AI604" s="16">
        <v>45727</v>
      </c>
      <c r="AJ604" s="16">
        <v>45741</v>
      </c>
      <c r="AK604" s="17">
        <f>IF(AJ604="","",AJ604-AH604)</f>
        <v>20</v>
      </c>
    </row>
    <row r="605" spans="1:37">
      <c r="A605" s="2" t="s">
        <v>977</v>
      </c>
      <c r="B605" s="2" t="s">
        <v>442</v>
      </c>
      <c r="C605" s="2" t="s">
        <v>443</v>
      </c>
      <c r="D605" s="2" t="s">
        <v>444</v>
      </c>
      <c r="E605" s="2" t="s">
        <v>445</v>
      </c>
      <c r="F605" s="2" t="s">
        <v>446</v>
      </c>
      <c r="G605" s="2" t="s">
        <v>973</v>
      </c>
      <c r="H605" s="2" t="s">
        <v>417</v>
      </c>
      <c r="I605" s="2" t="s">
        <v>433</v>
      </c>
      <c r="J605" s="2" t="s">
        <v>434</v>
      </c>
      <c r="K605" s="9">
        <v>45708</v>
      </c>
      <c r="L605" s="9">
        <v>45709</v>
      </c>
      <c r="M605" s="9">
        <v>45709</v>
      </c>
      <c r="N605" s="2" t="s">
        <v>696</v>
      </c>
      <c r="O605" s="2" t="s">
        <v>53</v>
      </c>
      <c r="P605" s="2" t="s">
        <v>405</v>
      </c>
      <c r="Q605" s="2" t="s">
        <v>209</v>
      </c>
      <c r="R605" s="2" t="s">
        <v>128</v>
      </c>
      <c r="S605" s="2" t="s">
        <v>436</v>
      </c>
      <c r="T605" s="10">
        <v>22388</v>
      </c>
      <c r="U605" s="11">
        <v>1.1780000000000001E-2</v>
      </c>
      <c r="V605" s="12">
        <f>T605*U605</f>
        <v>263.73063999999999</v>
      </c>
      <c r="W605" s="13">
        <v>0.18</v>
      </c>
      <c r="X605" s="12">
        <f>V605-(V605/(1+W605))</f>
        <v>40.230097627118624</v>
      </c>
      <c r="Y605" s="12">
        <f>V605-X605</f>
        <v>223.50054237288137</v>
      </c>
      <c r="Z605" s="14">
        <v>280</v>
      </c>
      <c r="AA605" s="2" t="str">
        <f>IF(V605&gt;Z605,"Yes","No")</f>
        <v>No</v>
      </c>
      <c r="AB605" s="12">
        <f>V605-Z605</f>
        <v>-16.269360000000006</v>
      </c>
      <c r="AC605" s="15" t="s">
        <v>130</v>
      </c>
      <c r="AD605" s="15" t="s">
        <v>130</v>
      </c>
      <c r="AE605" s="15" t="s">
        <v>514</v>
      </c>
      <c r="AF605" s="12">
        <f>IF(AG605="Rejected",0,IF(R605="Corporate Card",0,V605))</f>
        <v>0</v>
      </c>
      <c r="AG605" s="15" t="s">
        <v>133</v>
      </c>
      <c r="AH605" s="16">
        <v>45721</v>
      </c>
      <c r="AI605" s="16">
        <v>45727</v>
      </c>
      <c r="AJ605" s="16">
        <v>45741</v>
      </c>
      <c r="AK605" s="17">
        <f>IF(AJ605="","",AJ605-AH605)</f>
        <v>20</v>
      </c>
    </row>
    <row r="606" spans="1:37">
      <c r="A606" s="2" t="s">
        <v>978</v>
      </c>
      <c r="B606" s="2" t="s">
        <v>442</v>
      </c>
      <c r="C606" s="2" t="s">
        <v>443</v>
      </c>
      <c r="D606" s="2" t="s">
        <v>444</v>
      </c>
      <c r="E606" s="2" t="s">
        <v>445</v>
      </c>
      <c r="F606" s="2" t="s">
        <v>446</v>
      </c>
      <c r="G606" s="2" t="s">
        <v>973</v>
      </c>
      <c r="H606" s="2" t="s">
        <v>417</v>
      </c>
      <c r="I606" s="2" t="s">
        <v>433</v>
      </c>
      <c r="J606" s="2" t="s">
        <v>434</v>
      </c>
      <c r="K606" s="9">
        <v>45708</v>
      </c>
      <c r="L606" s="9">
        <v>45709</v>
      </c>
      <c r="M606" s="9">
        <v>45709</v>
      </c>
      <c r="N606" s="2" t="s">
        <v>696</v>
      </c>
      <c r="O606" s="2" t="s">
        <v>65</v>
      </c>
      <c r="P606" s="2" t="s">
        <v>211</v>
      </c>
      <c r="Q606" s="2" t="s">
        <v>460</v>
      </c>
      <c r="R606" s="2" t="s">
        <v>137</v>
      </c>
      <c r="S606" s="2" t="s">
        <v>436</v>
      </c>
      <c r="T606" s="10">
        <v>2984</v>
      </c>
      <c r="U606" s="11">
        <v>1.1780000000000001E-2</v>
      </c>
      <c r="V606" s="12">
        <f>T606*U606</f>
        <v>35.151520000000005</v>
      </c>
      <c r="W606" s="13">
        <v>0.18</v>
      </c>
      <c r="X606" s="12">
        <f>V606-(V606/(1+W606))</f>
        <v>5.3620962711864415</v>
      </c>
      <c r="Y606" s="12">
        <f>V606-X606</f>
        <v>29.789423728813563</v>
      </c>
      <c r="Z606" s="14">
        <v>55</v>
      </c>
      <c r="AA606" s="2" t="str">
        <f>IF(V606&gt;Z606,"Yes","No")</f>
        <v>No</v>
      </c>
      <c r="AB606" s="12">
        <f>V606-Z606</f>
        <v>-19.848479999999995</v>
      </c>
      <c r="AC606" s="15" t="s">
        <v>130</v>
      </c>
      <c r="AD606" s="15" t="s">
        <v>130</v>
      </c>
      <c r="AE606" s="15" t="s">
        <v>514</v>
      </c>
      <c r="AF606" s="12">
        <f>IF(AG606="Rejected",0,IF(R606="Corporate Card",0,V606))</f>
        <v>35.151520000000005</v>
      </c>
      <c r="AG606" s="15" t="s">
        <v>133</v>
      </c>
      <c r="AH606" s="16">
        <v>45721</v>
      </c>
      <c r="AI606" s="16">
        <v>45727</v>
      </c>
      <c r="AJ606" s="16">
        <v>45741</v>
      </c>
      <c r="AK606" s="17">
        <f>IF(AJ606="","",AJ606-AH606)</f>
        <v>20</v>
      </c>
    </row>
    <row r="607" spans="1:37">
      <c r="A607" s="2" t="s">
        <v>979</v>
      </c>
      <c r="B607" s="2" t="s">
        <v>442</v>
      </c>
      <c r="C607" s="2" t="s">
        <v>443</v>
      </c>
      <c r="D607" s="2" t="s">
        <v>444</v>
      </c>
      <c r="E607" s="2" t="s">
        <v>445</v>
      </c>
      <c r="F607" s="2" t="s">
        <v>446</v>
      </c>
      <c r="G607" s="2" t="s">
        <v>973</v>
      </c>
      <c r="H607" s="2" t="s">
        <v>417</v>
      </c>
      <c r="I607" s="2" t="s">
        <v>433</v>
      </c>
      <c r="J607" s="2" t="s">
        <v>434</v>
      </c>
      <c r="K607" s="9">
        <v>45708</v>
      </c>
      <c r="L607" s="9">
        <v>45709</v>
      </c>
      <c r="M607" s="9">
        <v>45709</v>
      </c>
      <c r="N607" s="2" t="s">
        <v>696</v>
      </c>
      <c r="O607" s="2" t="s">
        <v>54</v>
      </c>
      <c r="P607" s="2" t="s">
        <v>139</v>
      </c>
      <c r="Q607" s="2" t="s">
        <v>140</v>
      </c>
      <c r="R607" s="2" t="s">
        <v>149</v>
      </c>
      <c r="S607" s="2" t="s">
        <v>436</v>
      </c>
      <c r="T607" s="10">
        <v>1234</v>
      </c>
      <c r="U607" s="11">
        <v>1.1780000000000001E-2</v>
      </c>
      <c r="V607" s="12">
        <f>T607*U607</f>
        <v>14.536520000000001</v>
      </c>
      <c r="W607" s="13">
        <v>0.18</v>
      </c>
      <c r="X607" s="12">
        <f>V607-(V607/(1+W607))</f>
        <v>2.2174352542372873</v>
      </c>
      <c r="Y607" s="12">
        <f>V607-X607</f>
        <v>12.319084745762714</v>
      </c>
      <c r="Z607" s="14">
        <v>25</v>
      </c>
      <c r="AA607" s="2" t="str">
        <f>IF(V607&gt;Z607,"Yes","No")</f>
        <v>No</v>
      </c>
      <c r="AB607" s="12">
        <f>V607-Z607</f>
        <v>-10.463479999999999</v>
      </c>
      <c r="AC607" s="15" t="s">
        <v>130</v>
      </c>
      <c r="AD607" s="15" t="s">
        <v>130</v>
      </c>
      <c r="AE607" s="15" t="s">
        <v>514</v>
      </c>
      <c r="AF607" s="12">
        <f>IF(AG607="Rejected",0,IF(R607="Corporate Card",0,V607))</f>
        <v>14.536520000000001</v>
      </c>
      <c r="AG607" s="15" t="s">
        <v>133</v>
      </c>
      <c r="AH607" s="16">
        <v>45721</v>
      </c>
      <c r="AI607" s="16">
        <v>45727</v>
      </c>
      <c r="AJ607" s="16">
        <v>45741</v>
      </c>
      <c r="AK607" s="17">
        <f>IF(AJ607="","",AJ607-AH607)</f>
        <v>20</v>
      </c>
    </row>
    <row r="608" spans="1:37">
      <c r="A608" s="2" t="s">
        <v>980</v>
      </c>
      <c r="B608" s="2" t="s">
        <v>442</v>
      </c>
      <c r="C608" s="2" t="s">
        <v>443</v>
      </c>
      <c r="D608" s="2" t="s">
        <v>444</v>
      </c>
      <c r="E608" s="2" t="s">
        <v>445</v>
      </c>
      <c r="F608" s="2" t="s">
        <v>446</v>
      </c>
      <c r="G608" s="2" t="s">
        <v>973</v>
      </c>
      <c r="H608" s="2" t="s">
        <v>417</v>
      </c>
      <c r="I608" s="2" t="s">
        <v>433</v>
      </c>
      <c r="J608" s="2" t="s">
        <v>434</v>
      </c>
      <c r="K608" s="9">
        <v>45708</v>
      </c>
      <c r="L608" s="9">
        <v>45709</v>
      </c>
      <c r="M608" s="9">
        <v>45709</v>
      </c>
      <c r="N608" s="2" t="s">
        <v>696</v>
      </c>
      <c r="O608" s="2" t="s">
        <v>56</v>
      </c>
      <c r="P608" s="2" t="s">
        <v>165</v>
      </c>
      <c r="Q608" s="2" t="s">
        <v>166</v>
      </c>
      <c r="R608" s="2" t="s">
        <v>149</v>
      </c>
      <c r="S608" s="2" t="s">
        <v>436</v>
      </c>
      <c r="T608" s="10">
        <v>9310</v>
      </c>
      <c r="U608" s="11">
        <v>1.1780000000000001E-2</v>
      </c>
      <c r="V608" s="12">
        <f>T608*U608</f>
        <v>109.6718</v>
      </c>
      <c r="W608" s="13">
        <v>0.18</v>
      </c>
      <c r="X608" s="12">
        <f>V608-(V608/(1+W608))</f>
        <v>16.729596610169494</v>
      </c>
      <c r="Y608" s="12">
        <f>V608-X608</f>
        <v>92.94220338983051</v>
      </c>
      <c r="Z608" s="14">
        <v>75</v>
      </c>
      <c r="AA608" s="2" t="str">
        <f>IF(V608&gt;Z608,"Yes","No")</f>
        <v>Yes</v>
      </c>
      <c r="AB608" s="12">
        <f>V608-Z608</f>
        <v>34.671800000000005</v>
      </c>
      <c r="AC608" s="15" t="s">
        <v>130</v>
      </c>
      <c r="AD608" s="15" t="s">
        <v>130</v>
      </c>
      <c r="AE608" s="15" t="s">
        <v>514</v>
      </c>
      <c r="AF608" s="12">
        <f>IF(AG608="Rejected",0,IF(R608="Corporate Card",0,V608))</f>
        <v>109.6718</v>
      </c>
      <c r="AG608" s="15" t="s">
        <v>133</v>
      </c>
      <c r="AH608" s="16">
        <v>45721</v>
      </c>
      <c r="AI608" s="16">
        <v>45727</v>
      </c>
      <c r="AJ608" s="16">
        <v>45741</v>
      </c>
      <c r="AK608" s="17">
        <f>IF(AJ608="","",AJ608-AH608)</f>
        <v>20</v>
      </c>
    </row>
    <row r="609" spans="1:37">
      <c r="A609" s="2" t="s">
        <v>981</v>
      </c>
      <c r="B609" s="2" t="s">
        <v>442</v>
      </c>
      <c r="C609" s="2" t="s">
        <v>443</v>
      </c>
      <c r="D609" s="2" t="s">
        <v>444</v>
      </c>
      <c r="E609" s="2" t="s">
        <v>445</v>
      </c>
      <c r="F609" s="2" t="s">
        <v>446</v>
      </c>
      <c r="G609" s="2" t="s">
        <v>973</v>
      </c>
      <c r="H609" s="2" t="s">
        <v>417</v>
      </c>
      <c r="I609" s="2" t="s">
        <v>433</v>
      </c>
      <c r="J609" s="2" t="s">
        <v>434</v>
      </c>
      <c r="K609" s="9">
        <v>45708</v>
      </c>
      <c r="L609" s="9">
        <v>45709</v>
      </c>
      <c r="M609" s="9">
        <v>45709</v>
      </c>
      <c r="N609" s="2" t="s">
        <v>696</v>
      </c>
      <c r="O609" s="2" t="s">
        <v>55</v>
      </c>
      <c r="P609" s="2" t="s">
        <v>139</v>
      </c>
      <c r="Q609" s="2" t="s">
        <v>154</v>
      </c>
      <c r="R609" s="2" t="s">
        <v>137</v>
      </c>
      <c r="S609" s="2" t="s">
        <v>436</v>
      </c>
      <c r="T609" s="10">
        <v>1405</v>
      </c>
      <c r="U609" s="11">
        <v>1.1780000000000001E-2</v>
      </c>
      <c r="V609" s="12">
        <f>T609*U609</f>
        <v>16.550900000000002</v>
      </c>
      <c r="W609" s="13">
        <v>0.18</v>
      </c>
      <c r="X609" s="12">
        <f>V609-(V609/(1+W609))</f>
        <v>2.5247135593220342</v>
      </c>
      <c r="Y609" s="12">
        <f>V609-X609</f>
        <v>14.026186440677968</v>
      </c>
      <c r="Z609" s="14">
        <v>35</v>
      </c>
      <c r="AA609" s="2" t="str">
        <f>IF(V609&gt;Z609,"Yes","No")</f>
        <v>No</v>
      </c>
      <c r="AB609" s="12">
        <f>V609-Z609</f>
        <v>-18.449099999999998</v>
      </c>
      <c r="AC609" s="15" t="s">
        <v>130</v>
      </c>
      <c r="AD609" s="15" t="s">
        <v>130</v>
      </c>
      <c r="AE609" s="15" t="s">
        <v>514</v>
      </c>
      <c r="AF609" s="12">
        <f>IF(AG609="Rejected",0,IF(R609="Corporate Card",0,V609))</f>
        <v>16.550900000000002</v>
      </c>
      <c r="AG609" s="15" t="s">
        <v>133</v>
      </c>
      <c r="AH609" s="16">
        <v>45721</v>
      </c>
      <c r="AI609" s="16">
        <v>45727</v>
      </c>
      <c r="AJ609" s="16">
        <v>45741</v>
      </c>
      <c r="AK609" s="17">
        <f>IF(AJ609="","",AJ609-AH609)</f>
        <v>20</v>
      </c>
    </row>
    <row r="610" spans="1:37">
      <c r="A610" s="2" t="s">
        <v>982</v>
      </c>
      <c r="B610" s="2" t="s">
        <v>442</v>
      </c>
      <c r="C610" s="2" t="s">
        <v>443</v>
      </c>
      <c r="D610" s="2" t="s">
        <v>444</v>
      </c>
      <c r="E610" s="2" t="s">
        <v>445</v>
      </c>
      <c r="F610" s="2" t="s">
        <v>446</v>
      </c>
      <c r="G610" s="2" t="s">
        <v>973</v>
      </c>
      <c r="H610" s="2" t="s">
        <v>417</v>
      </c>
      <c r="I610" s="2" t="s">
        <v>433</v>
      </c>
      <c r="J610" s="2" t="s">
        <v>434</v>
      </c>
      <c r="K610" s="9">
        <v>45708</v>
      </c>
      <c r="L610" s="9">
        <v>45709</v>
      </c>
      <c r="M610" s="9">
        <v>45709</v>
      </c>
      <c r="N610" s="2" t="s">
        <v>696</v>
      </c>
      <c r="O610" s="2" t="s">
        <v>69</v>
      </c>
      <c r="P610" s="2" t="s">
        <v>409</v>
      </c>
      <c r="Q610" s="2" t="s">
        <v>410</v>
      </c>
      <c r="R610" s="2" t="s">
        <v>149</v>
      </c>
      <c r="S610" s="2" t="s">
        <v>436</v>
      </c>
      <c r="T610" s="10">
        <v>6286</v>
      </c>
      <c r="U610" s="11">
        <v>1.1780000000000001E-2</v>
      </c>
      <c r="V610" s="12">
        <f>T610*U610</f>
        <v>74.049080000000004</v>
      </c>
      <c r="W610" s="13">
        <v>0.18</v>
      </c>
      <c r="X610" s="12">
        <f>V610-(V610/(1+W610))</f>
        <v>11.295622372881354</v>
      </c>
      <c r="Y610" s="12">
        <f>V610-X610</f>
        <v>62.753457627118649</v>
      </c>
      <c r="Z610" s="14">
        <v>60</v>
      </c>
      <c r="AA610" s="2" t="str">
        <f>IF(V610&gt;Z610,"Yes","No")</f>
        <v>Yes</v>
      </c>
      <c r="AB610" s="12">
        <f>V610-Z610</f>
        <v>14.049080000000004</v>
      </c>
      <c r="AC610" s="15" t="s">
        <v>130</v>
      </c>
      <c r="AD610" s="15" t="s">
        <v>130</v>
      </c>
      <c r="AE610" s="15" t="s">
        <v>514</v>
      </c>
      <c r="AF610" s="12">
        <f>IF(AG610="Rejected",0,IF(R610="Corporate Card",0,V610))</f>
        <v>74.049080000000004</v>
      </c>
      <c r="AG610" s="15" t="s">
        <v>133</v>
      </c>
      <c r="AH610" s="16">
        <v>45721</v>
      </c>
      <c r="AI610" s="16">
        <v>45727</v>
      </c>
      <c r="AJ610" s="16">
        <v>45741</v>
      </c>
      <c r="AK610" s="17">
        <f>IF(AJ610="","",AJ610-AH610)</f>
        <v>20</v>
      </c>
    </row>
    <row r="611" spans="1:37">
      <c r="A611" s="2" t="s">
        <v>983</v>
      </c>
      <c r="B611" s="2" t="s">
        <v>616</v>
      </c>
      <c r="C611" s="2" t="s">
        <v>252</v>
      </c>
      <c r="D611" s="2" t="s">
        <v>250</v>
      </c>
      <c r="E611" s="2" t="s">
        <v>617</v>
      </c>
      <c r="F611" s="2" t="s">
        <v>510</v>
      </c>
      <c r="G611" s="2" t="s">
        <v>984</v>
      </c>
      <c r="H611" s="2" t="s">
        <v>748</v>
      </c>
      <c r="I611" s="2" t="s">
        <v>749</v>
      </c>
      <c r="J611" s="2" t="s">
        <v>750</v>
      </c>
      <c r="K611" s="9">
        <v>45712</v>
      </c>
      <c r="L611" s="9">
        <v>45717</v>
      </c>
      <c r="M611" s="9">
        <v>45712</v>
      </c>
      <c r="N611" s="2" t="s">
        <v>696</v>
      </c>
      <c r="O611" s="2" t="s">
        <v>52</v>
      </c>
      <c r="P611" s="2" t="s">
        <v>751</v>
      </c>
      <c r="Q611" s="2" t="s">
        <v>178</v>
      </c>
      <c r="R611" s="2" t="s">
        <v>137</v>
      </c>
      <c r="S611" s="2" t="s">
        <v>198</v>
      </c>
      <c r="T611" s="10">
        <v>1268.9000000000001</v>
      </c>
      <c r="U611" s="11">
        <v>1.085</v>
      </c>
      <c r="V611" s="12">
        <f>T611*U611</f>
        <v>1376.7565</v>
      </c>
      <c r="W611" s="13">
        <v>0</v>
      </c>
      <c r="X611" s="12">
        <f>V611-(V611/(1+W611))</f>
        <v>0</v>
      </c>
      <c r="Y611" s="12">
        <f>V611-X611</f>
        <v>1376.7565</v>
      </c>
      <c r="Z611" s="14">
        <v>1400</v>
      </c>
      <c r="AA611" s="2" t="str">
        <f>IF(V611&gt;Z611,"Yes","No")</f>
        <v>No</v>
      </c>
      <c r="AB611" s="12">
        <f>V611-Z611</f>
        <v>-23.24350000000004</v>
      </c>
      <c r="AC611" s="15" t="s">
        <v>130</v>
      </c>
      <c r="AD611" s="15" t="s">
        <v>131</v>
      </c>
      <c r="AE611" s="15" t="s">
        <v>437</v>
      </c>
      <c r="AF611" s="12">
        <f>IF(AG611="Rejected",0,IF(R611="Corporate Card",0,V611))</f>
        <v>1376.7565</v>
      </c>
      <c r="AG611" s="15" t="s">
        <v>133</v>
      </c>
      <c r="AH611" s="16">
        <v>45729</v>
      </c>
      <c r="AI611" s="16">
        <v>45737</v>
      </c>
      <c r="AJ611" s="16">
        <v>45739</v>
      </c>
      <c r="AK611" s="17">
        <f>IF(AJ611="","",AJ611-AH611)</f>
        <v>10</v>
      </c>
    </row>
    <row r="612" spans="1:37">
      <c r="A612" s="2" t="s">
        <v>985</v>
      </c>
      <c r="B612" s="2" t="s">
        <v>616</v>
      </c>
      <c r="C612" s="2" t="s">
        <v>252</v>
      </c>
      <c r="D612" s="2" t="s">
        <v>250</v>
      </c>
      <c r="E612" s="2" t="s">
        <v>617</v>
      </c>
      <c r="F612" s="2" t="s">
        <v>510</v>
      </c>
      <c r="G612" s="2" t="s">
        <v>984</v>
      </c>
      <c r="H612" s="2" t="s">
        <v>748</v>
      </c>
      <c r="I612" s="2" t="s">
        <v>749</v>
      </c>
      <c r="J612" s="2" t="s">
        <v>750</v>
      </c>
      <c r="K612" s="9">
        <v>45712</v>
      </c>
      <c r="L612" s="9">
        <v>45717</v>
      </c>
      <c r="M612" s="9">
        <v>45712</v>
      </c>
      <c r="N612" s="2" t="s">
        <v>696</v>
      </c>
      <c r="O612" s="2" t="s">
        <v>58</v>
      </c>
      <c r="P612" s="2" t="s">
        <v>142</v>
      </c>
      <c r="Q612" s="2" t="s">
        <v>156</v>
      </c>
      <c r="R612" s="2" t="s">
        <v>137</v>
      </c>
      <c r="S612" s="2" t="s">
        <v>198</v>
      </c>
      <c r="T612" s="10">
        <v>53.63</v>
      </c>
      <c r="U612" s="11">
        <v>1.085</v>
      </c>
      <c r="V612" s="12">
        <f>T612*U612</f>
        <v>58.188549999999999</v>
      </c>
      <c r="W612" s="13">
        <v>0.19</v>
      </c>
      <c r="X612" s="12">
        <f>V612-(V612/(1+W612))</f>
        <v>9.2906088235294106</v>
      </c>
      <c r="Y612" s="12">
        <f>V612-X612</f>
        <v>48.897941176470589</v>
      </c>
      <c r="Z612" s="14">
        <v>60</v>
      </c>
      <c r="AA612" s="2" t="str">
        <f>IF(V612&gt;Z612,"Yes","No")</f>
        <v>No</v>
      </c>
      <c r="AB612" s="12">
        <f>V612-Z612</f>
        <v>-1.8114500000000007</v>
      </c>
      <c r="AC612" s="15" t="s">
        <v>130</v>
      </c>
      <c r="AD612" s="15" t="s">
        <v>131</v>
      </c>
      <c r="AE612" s="15" t="s">
        <v>437</v>
      </c>
      <c r="AF612" s="12">
        <f>IF(AG612="Rejected",0,IF(R612="Corporate Card",0,V612))</f>
        <v>58.188549999999999</v>
      </c>
      <c r="AG612" s="15" t="s">
        <v>133</v>
      </c>
      <c r="AH612" s="16">
        <v>45729</v>
      </c>
      <c r="AI612" s="16">
        <v>45737</v>
      </c>
      <c r="AJ612" s="16">
        <v>45739</v>
      </c>
      <c r="AK612" s="17">
        <f>IF(AJ612="","",AJ612-AH612)</f>
        <v>10</v>
      </c>
    </row>
    <row r="613" spans="1:37">
      <c r="A613" s="2" t="s">
        <v>986</v>
      </c>
      <c r="B613" s="2" t="s">
        <v>616</v>
      </c>
      <c r="C613" s="2" t="s">
        <v>252</v>
      </c>
      <c r="D613" s="2" t="s">
        <v>250</v>
      </c>
      <c r="E613" s="2" t="s">
        <v>617</v>
      </c>
      <c r="F613" s="2" t="s">
        <v>510</v>
      </c>
      <c r="G613" s="2" t="s">
        <v>984</v>
      </c>
      <c r="H613" s="2" t="s">
        <v>748</v>
      </c>
      <c r="I613" s="2" t="s">
        <v>749</v>
      </c>
      <c r="J613" s="2" t="s">
        <v>750</v>
      </c>
      <c r="K613" s="9">
        <v>45712</v>
      </c>
      <c r="L613" s="9">
        <v>45717</v>
      </c>
      <c r="M613" s="9">
        <v>45712</v>
      </c>
      <c r="N613" s="2" t="s">
        <v>696</v>
      </c>
      <c r="O613" s="2" t="s">
        <v>54</v>
      </c>
      <c r="P613" s="2" t="s">
        <v>139</v>
      </c>
      <c r="Q613" s="2" t="s">
        <v>140</v>
      </c>
      <c r="R613" s="2" t="s">
        <v>128</v>
      </c>
      <c r="S613" s="2" t="s">
        <v>198</v>
      </c>
      <c r="T613" s="10">
        <v>21.62</v>
      </c>
      <c r="U613" s="11">
        <v>1.085</v>
      </c>
      <c r="V613" s="12">
        <f>T613*U613</f>
        <v>23.457699999999999</v>
      </c>
      <c r="W613" s="13">
        <v>0.19</v>
      </c>
      <c r="X613" s="12">
        <f>V613-(V613/(1+W613))</f>
        <v>3.7453470588235298</v>
      </c>
      <c r="Y613" s="12">
        <f>V613-X613</f>
        <v>19.712352941176469</v>
      </c>
      <c r="Z613" s="14">
        <v>25</v>
      </c>
      <c r="AA613" s="2" t="str">
        <f>IF(V613&gt;Z613,"Yes","No")</f>
        <v>No</v>
      </c>
      <c r="AB613" s="12">
        <f>V613-Z613</f>
        <v>-1.5423000000000009</v>
      </c>
      <c r="AC613" s="15" t="s">
        <v>130</v>
      </c>
      <c r="AD613" s="15" t="s">
        <v>131</v>
      </c>
      <c r="AE613" s="15" t="s">
        <v>437</v>
      </c>
      <c r="AF613" s="12">
        <f>IF(AG613="Rejected",0,IF(R613="Corporate Card",0,V613))</f>
        <v>0</v>
      </c>
      <c r="AG613" s="15" t="s">
        <v>133</v>
      </c>
      <c r="AH613" s="16">
        <v>45729</v>
      </c>
      <c r="AI613" s="16">
        <v>45737</v>
      </c>
      <c r="AJ613" s="16">
        <v>45739</v>
      </c>
      <c r="AK613" s="17">
        <f>IF(AJ613="","",AJ613-AH613)</f>
        <v>10</v>
      </c>
    </row>
    <row r="614" spans="1:37">
      <c r="A614" s="2" t="s">
        <v>987</v>
      </c>
      <c r="B614" s="2" t="s">
        <v>616</v>
      </c>
      <c r="C614" s="2" t="s">
        <v>252</v>
      </c>
      <c r="D614" s="2" t="s">
        <v>250</v>
      </c>
      <c r="E614" s="2" t="s">
        <v>617</v>
      </c>
      <c r="F614" s="2" t="s">
        <v>510</v>
      </c>
      <c r="G614" s="2" t="s">
        <v>984</v>
      </c>
      <c r="H614" s="2" t="s">
        <v>748</v>
      </c>
      <c r="I614" s="2" t="s">
        <v>749</v>
      </c>
      <c r="J614" s="2" t="s">
        <v>750</v>
      </c>
      <c r="K614" s="9">
        <v>45712</v>
      </c>
      <c r="L614" s="9">
        <v>45717</v>
      </c>
      <c r="M614" s="9">
        <v>45712</v>
      </c>
      <c r="N614" s="2" t="s">
        <v>696</v>
      </c>
      <c r="O614" s="2" t="s">
        <v>55</v>
      </c>
      <c r="P614" s="2" t="s">
        <v>139</v>
      </c>
      <c r="Q614" s="2" t="s">
        <v>187</v>
      </c>
      <c r="R614" s="2" t="s">
        <v>128</v>
      </c>
      <c r="S614" s="2" t="s">
        <v>198</v>
      </c>
      <c r="T614" s="10">
        <v>27.31</v>
      </c>
      <c r="U614" s="11">
        <v>1.085</v>
      </c>
      <c r="V614" s="12">
        <f>T614*U614</f>
        <v>29.631349999999998</v>
      </c>
      <c r="W614" s="13">
        <v>0.19</v>
      </c>
      <c r="X614" s="12">
        <f>V614-(V614/(1+W614))</f>
        <v>4.7310558823529405</v>
      </c>
      <c r="Y614" s="12">
        <f>V614-X614</f>
        <v>24.900294117647057</v>
      </c>
      <c r="Z614" s="14">
        <v>35</v>
      </c>
      <c r="AA614" s="2" t="str">
        <f>IF(V614&gt;Z614,"Yes","No")</f>
        <v>No</v>
      </c>
      <c r="AB614" s="12">
        <f>V614-Z614</f>
        <v>-5.3686500000000024</v>
      </c>
      <c r="AC614" s="15" t="s">
        <v>130</v>
      </c>
      <c r="AD614" s="15" t="s">
        <v>131</v>
      </c>
      <c r="AE614" s="15" t="s">
        <v>437</v>
      </c>
      <c r="AF614" s="12">
        <f>IF(AG614="Rejected",0,IF(R614="Corporate Card",0,V614))</f>
        <v>0</v>
      </c>
      <c r="AG614" s="15" t="s">
        <v>133</v>
      </c>
      <c r="AH614" s="16">
        <v>45729</v>
      </c>
      <c r="AI614" s="16">
        <v>45737</v>
      </c>
      <c r="AJ614" s="16">
        <v>45739</v>
      </c>
      <c r="AK614" s="17">
        <f>IF(AJ614="","",AJ614-AH614)</f>
        <v>10</v>
      </c>
    </row>
    <row r="615" spans="1:37">
      <c r="A615" s="2" t="s">
        <v>988</v>
      </c>
      <c r="B615" s="2" t="s">
        <v>442</v>
      </c>
      <c r="C615" s="2" t="s">
        <v>443</v>
      </c>
      <c r="D615" s="2" t="s">
        <v>444</v>
      </c>
      <c r="E615" s="2" t="s">
        <v>445</v>
      </c>
      <c r="F615" s="2" t="s">
        <v>446</v>
      </c>
      <c r="G615" s="2" t="s">
        <v>989</v>
      </c>
      <c r="H615" s="2" t="s">
        <v>379</v>
      </c>
      <c r="I615" s="2" t="s">
        <v>175</v>
      </c>
      <c r="J615" s="2" t="s">
        <v>176</v>
      </c>
      <c r="K615" s="9">
        <v>45713</v>
      </c>
      <c r="L615" s="9">
        <v>45714</v>
      </c>
      <c r="M615" s="9">
        <v>45713</v>
      </c>
      <c r="N615" s="2" t="s">
        <v>696</v>
      </c>
      <c r="O615" s="2" t="s">
        <v>52</v>
      </c>
      <c r="P615" s="2" t="s">
        <v>177</v>
      </c>
      <c r="Q615" s="2" t="s">
        <v>258</v>
      </c>
      <c r="R615" s="2" t="s">
        <v>128</v>
      </c>
      <c r="S615" s="2" t="s">
        <v>179</v>
      </c>
      <c r="T615" s="10">
        <v>15397.36</v>
      </c>
      <c r="U615" s="11">
        <v>0.18099999999999999</v>
      </c>
      <c r="V615" s="12">
        <f>T615*U615</f>
        <v>2786.9221600000001</v>
      </c>
      <c r="W615" s="13">
        <v>0</v>
      </c>
      <c r="X615" s="12">
        <f>V615-(V615/(1+W615))</f>
        <v>0</v>
      </c>
      <c r="Y615" s="12">
        <f>V615-X615</f>
        <v>2786.9221600000001</v>
      </c>
      <c r="Z615" s="14">
        <v>1400</v>
      </c>
      <c r="AA615" s="2" t="str">
        <f>IF(V615&gt;Z615,"Yes","No")</f>
        <v>Yes</v>
      </c>
      <c r="AB615" s="12">
        <f>V615-Z615</f>
        <v>1386.9221600000001</v>
      </c>
      <c r="AC615" s="15" t="s">
        <v>131</v>
      </c>
      <c r="AD615" s="15" t="s">
        <v>130</v>
      </c>
      <c r="AE615" s="15" t="s">
        <v>858</v>
      </c>
      <c r="AF615" s="12">
        <f>IF(AG615="Rejected",0,IF(R615="Corporate Card",0,V615))</f>
        <v>0</v>
      </c>
      <c r="AG615" s="15" t="s">
        <v>133</v>
      </c>
      <c r="AH615" s="16">
        <v>45726</v>
      </c>
      <c r="AI615" s="16">
        <v>45731</v>
      </c>
      <c r="AJ615" s="16">
        <v>45738</v>
      </c>
      <c r="AK615" s="17">
        <f>IF(AJ615="","",AJ615-AH615)</f>
        <v>12</v>
      </c>
    </row>
    <row r="616" spans="1:37">
      <c r="A616" s="2" t="s">
        <v>990</v>
      </c>
      <c r="B616" s="2" t="s">
        <v>442</v>
      </c>
      <c r="C616" s="2" t="s">
        <v>443</v>
      </c>
      <c r="D616" s="2" t="s">
        <v>444</v>
      </c>
      <c r="E616" s="2" t="s">
        <v>445</v>
      </c>
      <c r="F616" s="2" t="s">
        <v>446</v>
      </c>
      <c r="G616" s="2" t="s">
        <v>989</v>
      </c>
      <c r="H616" s="2" t="s">
        <v>379</v>
      </c>
      <c r="I616" s="2" t="s">
        <v>175</v>
      </c>
      <c r="J616" s="2" t="s">
        <v>176</v>
      </c>
      <c r="K616" s="9">
        <v>45713</v>
      </c>
      <c r="L616" s="9">
        <v>45714</v>
      </c>
      <c r="M616" s="9">
        <v>45713</v>
      </c>
      <c r="N616" s="2" t="s">
        <v>696</v>
      </c>
      <c r="O616" s="2" t="s">
        <v>58</v>
      </c>
      <c r="P616" s="2" t="s">
        <v>142</v>
      </c>
      <c r="Q616" s="2" t="s">
        <v>296</v>
      </c>
      <c r="R616" s="2" t="s">
        <v>128</v>
      </c>
      <c r="S616" s="2" t="s">
        <v>179</v>
      </c>
      <c r="T616" s="10">
        <v>304.29000000000002</v>
      </c>
      <c r="U616" s="11">
        <v>0.18099999999999999</v>
      </c>
      <c r="V616" s="12">
        <f>T616*U616</f>
        <v>55.07649</v>
      </c>
      <c r="W616" s="13">
        <v>0.17</v>
      </c>
      <c r="X616" s="12">
        <f>V616-(V616/(1+W616))</f>
        <v>8.0025669230769196</v>
      </c>
      <c r="Y616" s="12">
        <f>V616-X616</f>
        <v>47.07392307692308</v>
      </c>
      <c r="Z616" s="14">
        <v>60</v>
      </c>
      <c r="AA616" s="2" t="str">
        <f>IF(V616&gt;Z616,"Yes","No")</f>
        <v>No</v>
      </c>
      <c r="AB616" s="12">
        <f>V616-Z616</f>
        <v>-4.9235100000000003</v>
      </c>
      <c r="AC616" s="15" t="s">
        <v>130</v>
      </c>
      <c r="AD616" s="15" t="s">
        <v>130</v>
      </c>
      <c r="AE616" s="15" t="s">
        <v>858</v>
      </c>
      <c r="AF616" s="12">
        <f>IF(AG616="Rejected",0,IF(R616="Corporate Card",0,V616))</f>
        <v>0</v>
      </c>
      <c r="AG616" s="15" t="s">
        <v>133</v>
      </c>
      <c r="AH616" s="16">
        <v>45726</v>
      </c>
      <c r="AI616" s="16">
        <v>45731</v>
      </c>
      <c r="AJ616" s="16">
        <v>45738</v>
      </c>
      <c r="AK616" s="17">
        <f>IF(AJ616="","",AJ616-AH616)</f>
        <v>12</v>
      </c>
    </row>
    <row r="617" spans="1:37">
      <c r="A617" s="2" t="s">
        <v>991</v>
      </c>
      <c r="B617" s="2" t="s">
        <v>442</v>
      </c>
      <c r="C617" s="2" t="s">
        <v>443</v>
      </c>
      <c r="D617" s="2" t="s">
        <v>444</v>
      </c>
      <c r="E617" s="2" t="s">
        <v>445</v>
      </c>
      <c r="F617" s="2" t="s">
        <v>446</v>
      </c>
      <c r="G617" s="2" t="s">
        <v>989</v>
      </c>
      <c r="H617" s="2" t="s">
        <v>379</v>
      </c>
      <c r="I617" s="2" t="s">
        <v>175</v>
      </c>
      <c r="J617" s="2" t="s">
        <v>176</v>
      </c>
      <c r="K617" s="9">
        <v>45713</v>
      </c>
      <c r="L617" s="9">
        <v>45714</v>
      </c>
      <c r="M617" s="9">
        <v>45713</v>
      </c>
      <c r="N617" s="2" t="s">
        <v>696</v>
      </c>
      <c r="O617" s="2" t="s">
        <v>56</v>
      </c>
      <c r="P617" s="2" t="s">
        <v>165</v>
      </c>
      <c r="Q617" s="2" t="s">
        <v>185</v>
      </c>
      <c r="R617" s="2" t="s">
        <v>128</v>
      </c>
      <c r="S617" s="2" t="s">
        <v>179</v>
      </c>
      <c r="T617" s="10">
        <v>490.62</v>
      </c>
      <c r="U617" s="11">
        <v>0.18099999999999999</v>
      </c>
      <c r="V617" s="12">
        <f>T617*U617</f>
        <v>88.802219999999991</v>
      </c>
      <c r="W617" s="13">
        <v>0.17</v>
      </c>
      <c r="X617" s="12">
        <f>V617-(V617/(1+W617))</f>
        <v>12.90288666666666</v>
      </c>
      <c r="Y617" s="12">
        <f>V617-X617</f>
        <v>75.899333333333331</v>
      </c>
      <c r="Z617" s="14">
        <v>75</v>
      </c>
      <c r="AA617" s="2" t="str">
        <f>IF(V617&gt;Z617,"Yes","No")</f>
        <v>Yes</v>
      </c>
      <c r="AB617" s="12">
        <f>V617-Z617</f>
        <v>13.802219999999991</v>
      </c>
      <c r="AC617" s="15" t="s">
        <v>130</v>
      </c>
      <c r="AD617" s="15" t="s">
        <v>130</v>
      </c>
      <c r="AE617" s="15" t="s">
        <v>858</v>
      </c>
      <c r="AF617" s="12">
        <f>IF(AG617="Rejected",0,IF(R617="Corporate Card",0,V617))</f>
        <v>0</v>
      </c>
      <c r="AG617" s="15" t="s">
        <v>133</v>
      </c>
      <c r="AH617" s="16">
        <v>45726</v>
      </c>
      <c r="AI617" s="16">
        <v>45731</v>
      </c>
      <c r="AJ617" s="16">
        <v>45738</v>
      </c>
      <c r="AK617" s="17">
        <f>IF(AJ617="","",AJ617-AH617)</f>
        <v>12</v>
      </c>
    </row>
    <row r="618" spans="1:37">
      <c r="A618" s="2" t="s">
        <v>992</v>
      </c>
      <c r="B618" s="2" t="s">
        <v>442</v>
      </c>
      <c r="C618" s="2" t="s">
        <v>443</v>
      </c>
      <c r="D618" s="2" t="s">
        <v>444</v>
      </c>
      <c r="E618" s="2" t="s">
        <v>445</v>
      </c>
      <c r="F618" s="2" t="s">
        <v>446</v>
      </c>
      <c r="G618" s="2" t="s">
        <v>989</v>
      </c>
      <c r="H618" s="2" t="s">
        <v>379</v>
      </c>
      <c r="I618" s="2" t="s">
        <v>175</v>
      </c>
      <c r="J618" s="2" t="s">
        <v>176</v>
      </c>
      <c r="K618" s="9">
        <v>45713</v>
      </c>
      <c r="L618" s="9">
        <v>45714</v>
      </c>
      <c r="M618" s="9">
        <v>45713</v>
      </c>
      <c r="N618" s="2" t="s">
        <v>696</v>
      </c>
      <c r="O618" s="2" t="s">
        <v>55</v>
      </c>
      <c r="P618" s="2" t="s">
        <v>139</v>
      </c>
      <c r="Q618" s="2" t="s">
        <v>154</v>
      </c>
      <c r="R618" s="2" t="s">
        <v>137</v>
      </c>
      <c r="S618" s="2" t="s">
        <v>179</v>
      </c>
      <c r="T618" s="10">
        <v>216.05</v>
      </c>
      <c r="U618" s="11">
        <v>0.18099999999999999</v>
      </c>
      <c r="V618" s="12">
        <f>T618*U618</f>
        <v>39.105049999999999</v>
      </c>
      <c r="W618" s="13">
        <v>0.17</v>
      </c>
      <c r="X618" s="12">
        <f>V618-(V618/(1+W618))</f>
        <v>5.6819303418803386</v>
      </c>
      <c r="Y618" s="12">
        <f>V618-X618</f>
        <v>33.42311965811966</v>
      </c>
      <c r="Z618" s="14">
        <v>35</v>
      </c>
      <c r="AA618" s="2" t="str">
        <f>IF(V618&gt;Z618,"Yes","No")</f>
        <v>Yes</v>
      </c>
      <c r="AB618" s="12">
        <f>V618-Z618</f>
        <v>4.1050499999999985</v>
      </c>
      <c r="AC618" s="15" t="s">
        <v>130</v>
      </c>
      <c r="AD618" s="15" t="s">
        <v>130</v>
      </c>
      <c r="AE618" s="15" t="s">
        <v>858</v>
      </c>
      <c r="AF618" s="12">
        <f>IF(AG618="Rejected",0,IF(R618="Corporate Card",0,V618))</f>
        <v>39.105049999999999</v>
      </c>
      <c r="AG618" s="15" t="s">
        <v>133</v>
      </c>
      <c r="AH618" s="16">
        <v>45726</v>
      </c>
      <c r="AI618" s="16">
        <v>45731</v>
      </c>
      <c r="AJ618" s="16">
        <v>45738</v>
      </c>
      <c r="AK618" s="17">
        <f>IF(AJ618="","",AJ618-AH618)</f>
        <v>12</v>
      </c>
    </row>
    <row r="619" spans="1:37">
      <c r="A619" s="2" t="s">
        <v>993</v>
      </c>
      <c r="B619" s="2" t="s">
        <v>616</v>
      </c>
      <c r="C619" s="2" t="s">
        <v>252</v>
      </c>
      <c r="D619" s="2" t="s">
        <v>250</v>
      </c>
      <c r="E619" s="2" t="s">
        <v>617</v>
      </c>
      <c r="F619" s="2" t="s">
        <v>510</v>
      </c>
      <c r="G619" s="2" t="s">
        <v>994</v>
      </c>
      <c r="H619" s="2" t="s">
        <v>254</v>
      </c>
      <c r="I619" s="2" t="s">
        <v>567</v>
      </c>
      <c r="J619" s="2" t="s">
        <v>434</v>
      </c>
      <c r="K619" s="9">
        <v>45713</v>
      </c>
      <c r="L619" s="9">
        <v>45718</v>
      </c>
      <c r="M619" s="9">
        <v>45713</v>
      </c>
      <c r="N619" s="2" t="s">
        <v>696</v>
      </c>
      <c r="O619" s="2" t="s">
        <v>52</v>
      </c>
      <c r="P619" s="2" t="s">
        <v>568</v>
      </c>
      <c r="Q619" s="2" t="s">
        <v>197</v>
      </c>
      <c r="R619" s="2" t="s">
        <v>128</v>
      </c>
      <c r="S619" s="2" t="s">
        <v>436</v>
      </c>
      <c r="T619" s="10">
        <v>133843</v>
      </c>
      <c r="U619" s="11">
        <v>1.1780000000000001E-2</v>
      </c>
      <c r="V619" s="12">
        <f>T619*U619</f>
        <v>1576.6705400000001</v>
      </c>
      <c r="W619" s="13">
        <v>0</v>
      </c>
      <c r="X619" s="12">
        <f>V619-(V619/(1+W619))</f>
        <v>0</v>
      </c>
      <c r="Y619" s="12">
        <f>V619-X619</f>
        <v>1576.6705400000001</v>
      </c>
      <c r="Z619" s="14">
        <v>1400</v>
      </c>
      <c r="AA619" s="2" t="str">
        <f>IF(V619&gt;Z619,"Yes","No")</f>
        <v>Yes</v>
      </c>
      <c r="AB619" s="12">
        <f>V619-Z619</f>
        <v>176.67054000000007</v>
      </c>
      <c r="AC619" s="15" t="s">
        <v>130</v>
      </c>
      <c r="AD619" s="15" t="s">
        <v>130</v>
      </c>
      <c r="AE619" s="15" t="s">
        <v>350</v>
      </c>
      <c r="AF619" s="12">
        <f>IF(AG619="Rejected",0,IF(R619="Corporate Card",0,V619))</f>
        <v>0</v>
      </c>
      <c r="AG619" s="15" t="s">
        <v>133</v>
      </c>
      <c r="AH619" s="16">
        <v>45726</v>
      </c>
      <c r="AI619" s="16">
        <v>45731</v>
      </c>
      <c r="AJ619" s="16">
        <v>45742</v>
      </c>
      <c r="AK619" s="17">
        <f>IF(AJ619="","",AJ619-AH619)</f>
        <v>16</v>
      </c>
    </row>
    <row r="620" spans="1:37">
      <c r="A620" s="2" t="s">
        <v>995</v>
      </c>
      <c r="B620" s="2" t="s">
        <v>616</v>
      </c>
      <c r="C620" s="2" t="s">
        <v>252</v>
      </c>
      <c r="D620" s="2" t="s">
        <v>250</v>
      </c>
      <c r="E620" s="2" t="s">
        <v>617</v>
      </c>
      <c r="F620" s="2" t="s">
        <v>510</v>
      </c>
      <c r="G620" s="2" t="s">
        <v>994</v>
      </c>
      <c r="H620" s="2" t="s">
        <v>254</v>
      </c>
      <c r="I620" s="2" t="s">
        <v>567</v>
      </c>
      <c r="J620" s="2" t="s">
        <v>434</v>
      </c>
      <c r="K620" s="9">
        <v>45713</v>
      </c>
      <c r="L620" s="9">
        <v>45718</v>
      </c>
      <c r="M620" s="9">
        <v>45713</v>
      </c>
      <c r="N620" s="2" t="s">
        <v>696</v>
      </c>
      <c r="O620" s="2" t="s">
        <v>64</v>
      </c>
      <c r="P620" s="2" t="s">
        <v>135</v>
      </c>
      <c r="Q620" s="2" t="s">
        <v>513</v>
      </c>
      <c r="R620" s="2" t="s">
        <v>137</v>
      </c>
      <c r="S620" s="2" t="s">
        <v>436</v>
      </c>
      <c r="T620" s="10">
        <v>7392</v>
      </c>
      <c r="U620" s="11">
        <v>1.1780000000000001E-2</v>
      </c>
      <c r="V620" s="12">
        <f>T620*U620</f>
        <v>87.077759999999998</v>
      </c>
      <c r="W620" s="13">
        <v>0</v>
      </c>
      <c r="X620" s="12">
        <f>V620-(V620/(1+W620))</f>
        <v>0</v>
      </c>
      <c r="Y620" s="12">
        <f>V620-X620</f>
        <v>87.077759999999998</v>
      </c>
      <c r="Z620" s="14">
        <v>120</v>
      </c>
      <c r="AA620" s="2" t="str">
        <f>IF(V620&gt;Z620,"Yes","No")</f>
        <v>No</v>
      </c>
      <c r="AB620" s="12">
        <f>V620-Z620</f>
        <v>-32.922240000000002</v>
      </c>
      <c r="AC620" s="15" t="s">
        <v>130</v>
      </c>
      <c r="AD620" s="15" t="s">
        <v>130</v>
      </c>
      <c r="AE620" s="15" t="s">
        <v>350</v>
      </c>
      <c r="AF620" s="12">
        <f>IF(AG620="Rejected",0,IF(R620="Corporate Card",0,V620))</f>
        <v>87.077759999999998</v>
      </c>
      <c r="AG620" s="15" t="s">
        <v>133</v>
      </c>
      <c r="AH620" s="16">
        <v>45726</v>
      </c>
      <c r="AI620" s="16">
        <v>45731</v>
      </c>
      <c r="AJ620" s="16">
        <v>45742</v>
      </c>
      <c r="AK620" s="17">
        <f>IF(AJ620="","",AJ620-AH620)</f>
        <v>16</v>
      </c>
    </row>
    <row r="621" spans="1:37">
      <c r="A621" s="2" t="s">
        <v>996</v>
      </c>
      <c r="B621" s="2" t="s">
        <v>616</v>
      </c>
      <c r="C621" s="2" t="s">
        <v>252</v>
      </c>
      <c r="D621" s="2" t="s">
        <v>250</v>
      </c>
      <c r="E621" s="2" t="s">
        <v>617</v>
      </c>
      <c r="F621" s="2" t="s">
        <v>510</v>
      </c>
      <c r="G621" s="2" t="s">
        <v>994</v>
      </c>
      <c r="H621" s="2" t="s">
        <v>254</v>
      </c>
      <c r="I621" s="2" t="s">
        <v>567</v>
      </c>
      <c r="J621" s="2" t="s">
        <v>434</v>
      </c>
      <c r="K621" s="9">
        <v>45713</v>
      </c>
      <c r="L621" s="9">
        <v>45718</v>
      </c>
      <c r="M621" s="9">
        <v>45713</v>
      </c>
      <c r="N621" s="2" t="s">
        <v>696</v>
      </c>
      <c r="O621" s="2" t="s">
        <v>63</v>
      </c>
      <c r="P621" s="2" t="s">
        <v>200</v>
      </c>
      <c r="Q621" s="2" t="s">
        <v>201</v>
      </c>
      <c r="R621" s="2" t="s">
        <v>128</v>
      </c>
      <c r="S621" s="2" t="s">
        <v>436</v>
      </c>
      <c r="T621" s="10">
        <v>95479</v>
      </c>
      <c r="U621" s="11">
        <v>1.1780000000000001E-2</v>
      </c>
      <c r="V621" s="12">
        <f>T621*U621</f>
        <v>1124.74262</v>
      </c>
      <c r="W621" s="13">
        <v>0</v>
      </c>
      <c r="X621" s="12">
        <f>V621-(V621/(1+W621))</f>
        <v>0</v>
      </c>
      <c r="Y621" s="12">
        <f>V621-X621</f>
        <v>1124.74262</v>
      </c>
      <c r="Z621" s="14">
        <v>1200</v>
      </c>
      <c r="AA621" s="2" t="str">
        <f>IF(V621&gt;Z621,"Yes","No")</f>
        <v>No</v>
      </c>
      <c r="AB621" s="12">
        <f>V621-Z621</f>
        <v>-75.257380000000012</v>
      </c>
      <c r="AC621" s="15" t="s">
        <v>130</v>
      </c>
      <c r="AD621" s="15" t="s">
        <v>130</v>
      </c>
      <c r="AE621" s="15" t="s">
        <v>350</v>
      </c>
      <c r="AF621" s="12">
        <f>IF(AG621="Rejected",0,IF(R621="Corporate Card",0,V621))</f>
        <v>0</v>
      </c>
      <c r="AG621" s="15" t="s">
        <v>133</v>
      </c>
      <c r="AH621" s="16">
        <v>45726</v>
      </c>
      <c r="AI621" s="16">
        <v>45731</v>
      </c>
      <c r="AJ621" s="16">
        <v>45742</v>
      </c>
      <c r="AK621" s="17">
        <f>IF(AJ621="","",AJ621-AH621)</f>
        <v>16</v>
      </c>
    </row>
    <row r="622" spans="1:37">
      <c r="A622" s="2" t="s">
        <v>997</v>
      </c>
      <c r="B622" s="2" t="s">
        <v>616</v>
      </c>
      <c r="C622" s="2" t="s">
        <v>252</v>
      </c>
      <c r="D622" s="2" t="s">
        <v>250</v>
      </c>
      <c r="E622" s="2" t="s">
        <v>617</v>
      </c>
      <c r="F622" s="2" t="s">
        <v>510</v>
      </c>
      <c r="G622" s="2" t="s">
        <v>994</v>
      </c>
      <c r="H622" s="2" t="s">
        <v>254</v>
      </c>
      <c r="I622" s="2" t="s">
        <v>567</v>
      </c>
      <c r="J622" s="2" t="s">
        <v>434</v>
      </c>
      <c r="K622" s="9">
        <v>45713</v>
      </c>
      <c r="L622" s="9">
        <v>45718</v>
      </c>
      <c r="M622" s="9">
        <v>45713</v>
      </c>
      <c r="N622" s="2" t="s">
        <v>696</v>
      </c>
      <c r="O622" s="2" t="s">
        <v>54</v>
      </c>
      <c r="P622" s="2" t="s">
        <v>139</v>
      </c>
      <c r="Q622" s="2" t="s">
        <v>140</v>
      </c>
      <c r="R622" s="2" t="s">
        <v>128</v>
      </c>
      <c r="S622" s="2" t="s">
        <v>436</v>
      </c>
      <c r="T622" s="10">
        <v>788</v>
      </c>
      <c r="U622" s="11">
        <v>1.1780000000000001E-2</v>
      </c>
      <c r="V622" s="12">
        <f>T622*U622</f>
        <v>9.2826400000000007</v>
      </c>
      <c r="W622" s="13">
        <v>0.18</v>
      </c>
      <c r="X622" s="12">
        <f>V622-(V622/(1+W622))</f>
        <v>1.4159959322033897</v>
      </c>
      <c r="Y622" s="12">
        <f>V622-X622</f>
        <v>7.866644067796611</v>
      </c>
      <c r="Z622" s="14">
        <v>25</v>
      </c>
      <c r="AA622" s="2" t="str">
        <f>IF(V622&gt;Z622,"Yes","No")</f>
        <v>No</v>
      </c>
      <c r="AB622" s="12">
        <f>V622-Z622</f>
        <v>-15.717359999999999</v>
      </c>
      <c r="AC622" s="15" t="s">
        <v>130</v>
      </c>
      <c r="AD622" s="15" t="s">
        <v>130</v>
      </c>
      <c r="AE622" s="15" t="s">
        <v>350</v>
      </c>
      <c r="AF622" s="12">
        <f>IF(AG622="Rejected",0,IF(R622="Corporate Card",0,V622))</f>
        <v>0</v>
      </c>
      <c r="AG622" s="15" t="s">
        <v>133</v>
      </c>
      <c r="AH622" s="16">
        <v>45726</v>
      </c>
      <c r="AI622" s="16">
        <v>45731</v>
      </c>
      <c r="AJ622" s="16">
        <v>45742</v>
      </c>
      <c r="AK622" s="17">
        <f>IF(AJ622="","",AJ622-AH622)</f>
        <v>16</v>
      </c>
    </row>
    <row r="623" spans="1:37">
      <c r="A623" s="2" t="s">
        <v>998</v>
      </c>
      <c r="B623" s="2" t="s">
        <v>616</v>
      </c>
      <c r="C623" s="2" t="s">
        <v>252</v>
      </c>
      <c r="D623" s="2" t="s">
        <v>250</v>
      </c>
      <c r="E623" s="2" t="s">
        <v>617</v>
      </c>
      <c r="F623" s="2" t="s">
        <v>510</v>
      </c>
      <c r="G623" s="2" t="s">
        <v>994</v>
      </c>
      <c r="H623" s="2" t="s">
        <v>254</v>
      </c>
      <c r="I623" s="2" t="s">
        <v>567</v>
      </c>
      <c r="J623" s="2" t="s">
        <v>434</v>
      </c>
      <c r="K623" s="9">
        <v>45713</v>
      </c>
      <c r="L623" s="9">
        <v>45718</v>
      </c>
      <c r="M623" s="9">
        <v>45713</v>
      </c>
      <c r="N623" s="2" t="s">
        <v>696</v>
      </c>
      <c r="O623" s="2" t="s">
        <v>56</v>
      </c>
      <c r="P623" s="2" t="s">
        <v>231</v>
      </c>
      <c r="Q623" s="2" t="s">
        <v>159</v>
      </c>
      <c r="R623" s="2" t="s">
        <v>128</v>
      </c>
      <c r="S623" s="2" t="s">
        <v>436</v>
      </c>
      <c r="T623" s="10">
        <v>4763</v>
      </c>
      <c r="U623" s="11">
        <v>1.1780000000000001E-2</v>
      </c>
      <c r="V623" s="12">
        <f>T623*U623</f>
        <v>56.108140000000006</v>
      </c>
      <c r="W623" s="13">
        <v>0.18</v>
      </c>
      <c r="X623" s="12">
        <f>V623-(V623/(1+W623))</f>
        <v>8.5588688135593216</v>
      </c>
      <c r="Y623" s="12">
        <f>V623-X623</f>
        <v>47.549271186440684</v>
      </c>
      <c r="Z623" s="14">
        <v>75</v>
      </c>
      <c r="AA623" s="2" t="str">
        <f>IF(V623&gt;Z623,"Yes","No")</f>
        <v>No</v>
      </c>
      <c r="AB623" s="12">
        <f>V623-Z623</f>
        <v>-18.891859999999994</v>
      </c>
      <c r="AC623" s="15" t="s">
        <v>130</v>
      </c>
      <c r="AD623" s="15" t="s">
        <v>130</v>
      </c>
      <c r="AE623" s="15" t="s">
        <v>350</v>
      </c>
      <c r="AF623" s="12">
        <f>IF(AG623="Rejected",0,IF(R623="Corporate Card",0,V623))</f>
        <v>0</v>
      </c>
      <c r="AG623" s="15" t="s">
        <v>133</v>
      </c>
      <c r="AH623" s="16">
        <v>45726</v>
      </c>
      <c r="AI623" s="16">
        <v>45731</v>
      </c>
      <c r="AJ623" s="16">
        <v>45742</v>
      </c>
      <c r="AK623" s="17">
        <f>IF(AJ623="","",AJ623-AH623)</f>
        <v>16</v>
      </c>
    </row>
    <row r="624" spans="1:37">
      <c r="A624" s="2" t="s">
        <v>999</v>
      </c>
      <c r="B624" s="2" t="s">
        <v>616</v>
      </c>
      <c r="C624" s="2" t="s">
        <v>252</v>
      </c>
      <c r="D624" s="2" t="s">
        <v>250</v>
      </c>
      <c r="E624" s="2" t="s">
        <v>617</v>
      </c>
      <c r="F624" s="2" t="s">
        <v>510</v>
      </c>
      <c r="G624" s="2" t="s">
        <v>984</v>
      </c>
      <c r="H624" s="2" t="s">
        <v>748</v>
      </c>
      <c r="I624" s="2" t="s">
        <v>749</v>
      </c>
      <c r="J624" s="2" t="s">
        <v>750</v>
      </c>
      <c r="K624" s="9">
        <v>45712</v>
      </c>
      <c r="L624" s="9">
        <v>45717</v>
      </c>
      <c r="M624" s="9">
        <v>45713</v>
      </c>
      <c r="N624" s="2" t="s">
        <v>696</v>
      </c>
      <c r="O624" s="2" t="s">
        <v>59</v>
      </c>
      <c r="P624" s="2" t="s">
        <v>301</v>
      </c>
      <c r="Q624" s="2" t="s">
        <v>1000</v>
      </c>
      <c r="R624" s="2" t="s">
        <v>128</v>
      </c>
      <c r="S624" s="2" t="s">
        <v>198</v>
      </c>
      <c r="T624" s="10">
        <v>95.16</v>
      </c>
      <c r="U624" s="11">
        <v>1.085</v>
      </c>
      <c r="V624" s="12">
        <f>T624*U624</f>
        <v>103.2486</v>
      </c>
      <c r="W624" s="13">
        <v>0.19</v>
      </c>
      <c r="X624" s="12">
        <f>V624-(V624/(1+W624))</f>
        <v>16.485070588235288</v>
      </c>
      <c r="Y624" s="12">
        <f>V624-X624</f>
        <v>86.763529411764708</v>
      </c>
      <c r="Z624" s="14">
        <v>150</v>
      </c>
      <c r="AA624" s="2" t="str">
        <f>IF(V624&gt;Z624,"Yes","No")</f>
        <v>No</v>
      </c>
      <c r="AB624" s="12">
        <f>V624-Z624</f>
        <v>-46.751400000000004</v>
      </c>
      <c r="AC624" s="15" t="s">
        <v>130</v>
      </c>
      <c r="AD624" s="15" t="s">
        <v>131</v>
      </c>
      <c r="AE624" s="15" t="s">
        <v>437</v>
      </c>
      <c r="AF624" s="12">
        <f>IF(AG624="Rejected",0,IF(R624="Corporate Card",0,V624))</f>
        <v>0</v>
      </c>
      <c r="AG624" s="15" t="s">
        <v>133</v>
      </c>
      <c r="AH624" s="16">
        <v>45729</v>
      </c>
      <c r="AI624" s="16">
        <v>45737</v>
      </c>
      <c r="AJ624" s="16">
        <v>45739</v>
      </c>
      <c r="AK624" s="17">
        <f>IF(AJ624="","",AJ624-AH624)</f>
        <v>10</v>
      </c>
    </row>
    <row r="625" spans="1:37">
      <c r="A625" s="2" t="s">
        <v>1001</v>
      </c>
      <c r="B625" s="2" t="s">
        <v>616</v>
      </c>
      <c r="C625" s="2" t="s">
        <v>252</v>
      </c>
      <c r="D625" s="2" t="s">
        <v>250</v>
      </c>
      <c r="E625" s="2" t="s">
        <v>617</v>
      </c>
      <c r="F625" s="2" t="s">
        <v>510</v>
      </c>
      <c r="G625" s="2" t="s">
        <v>984</v>
      </c>
      <c r="H625" s="2" t="s">
        <v>748</v>
      </c>
      <c r="I625" s="2" t="s">
        <v>749</v>
      </c>
      <c r="J625" s="2" t="s">
        <v>750</v>
      </c>
      <c r="K625" s="9">
        <v>45712</v>
      </c>
      <c r="L625" s="9">
        <v>45717</v>
      </c>
      <c r="M625" s="9">
        <v>45713</v>
      </c>
      <c r="N625" s="2" t="s">
        <v>696</v>
      </c>
      <c r="O625" s="2" t="s">
        <v>58</v>
      </c>
      <c r="P625" s="2" t="s">
        <v>142</v>
      </c>
      <c r="Q625" s="2" t="s">
        <v>156</v>
      </c>
      <c r="R625" s="2" t="s">
        <v>128</v>
      </c>
      <c r="S625" s="2" t="s">
        <v>198</v>
      </c>
      <c r="T625" s="10">
        <v>44.59</v>
      </c>
      <c r="U625" s="11">
        <v>1.085</v>
      </c>
      <c r="V625" s="12">
        <f>T625*U625</f>
        <v>48.38015</v>
      </c>
      <c r="W625" s="13">
        <v>0.19</v>
      </c>
      <c r="X625" s="12">
        <f>V625-(V625/(1+W625))</f>
        <v>7.7245617647058822</v>
      </c>
      <c r="Y625" s="12">
        <f>V625-X625</f>
        <v>40.655588235294118</v>
      </c>
      <c r="Z625" s="14">
        <v>60</v>
      </c>
      <c r="AA625" s="2" t="str">
        <f>IF(V625&gt;Z625,"Yes","No")</f>
        <v>No</v>
      </c>
      <c r="AB625" s="12">
        <f>V625-Z625</f>
        <v>-11.61985</v>
      </c>
      <c r="AC625" s="15" t="s">
        <v>130</v>
      </c>
      <c r="AD625" s="15" t="s">
        <v>131</v>
      </c>
      <c r="AE625" s="15" t="s">
        <v>437</v>
      </c>
      <c r="AF625" s="12">
        <f>IF(AG625="Rejected",0,IF(R625="Corporate Card",0,V625))</f>
        <v>0</v>
      </c>
      <c r="AG625" s="15" t="s">
        <v>133</v>
      </c>
      <c r="AH625" s="16">
        <v>45729</v>
      </c>
      <c r="AI625" s="16">
        <v>45737</v>
      </c>
      <c r="AJ625" s="16">
        <v>45739</v>
      </c>
      <c r="AK625" s="17">
        <f>IF(AJ625="","",AJ625-AH625)</f>
        <v>10</v>
      </c>
    </row>
    <row r="626" spans="1:37">
      <c r="A626" s="2" t="s">
        <v>1002</v>
      </c>
      <c r="B626" s="2" t="s">
        <v>616</v>
      </c>
      <c r="C626" s="2" t="s">
        <v>252</v>
      </c>
      <c r="D626" s="2" t="s">
        <v>250</v>
      </c>
      <c r="E626" s="2" t="s">
        <v>617</v>
      </c>
      <c r="F626" s="2" t="s">
        <v>510</v>
      </c>
      <c r="G626" s="2" t="s">
        <v>984</v>
      </c>
      <c r="H626" s="2" t="s">
        <v>748</v>
      </c>
      <c r="I626" s="2" t="s">
        <v>749</v>
      </c>
      <c r="J626" s="2" t="s">
        <v>750</v>
      </c>
      <c r="K626" s="9">
        <v>45712</v>
      </c>
      <c r="L626" s="9">
        <v>45717</v>
      </c>
      <c r="M626" s="9">
        <v>45713</v>
      </c>
      <c r="N626" s="2" t="s">
        <v>696</v>
      </c>
      <c r="O626" s="2" t="s">
        <v>53</v>
      </c>
      <c r="P626" s="2" t="s">
        <v>271</v>
      </c>
      <c r="Q626" s="2" t="s">
        <v>468</v>
      </c>
      <c r="R626" s="2" t="s">
        <v>128</v>
      </c>
      <c r="S626" s="2" t="s">
        <v>198</v>
      </c>
      <c r="T626" s="10">
        <v>890.36</v>
      </c>
      <c r="U626" s="11">
        <v>1.085</v>
      </c>
      <c r="V626" s="12">
        <f>T626*U626</f>
        <v>966.04059999999993</v>
      </c>
      <c r="W626" s="13">
        <v>0.19</v>
      </c>
      <c r="X626" s="12">
        <f>V626-(V626/(1+W626))</f>
        <v>154.24177647058821</v>
      </c>
      <c r="Y626" s="12">
        <f>V626-X626</f>
        <v>811.79882352941172</v>
      </c>
      <c r="Z626" s="14">
        <v>1400</v>
      </c>
      <c r="AA626" s="2" t="str">
        <f>IF(V626&gt;Z626,"Yes","No")</f>
        <v>No</v>
      </c>
      <c r="AB626" s="12">
        <f>V626-Z626</f>
        <v>-433.95940000000007</v>
      </c>
      <c r="AC626" s="15" t="s">
        <v>130</v>
      </c>
      <c r="AD626" s="15" t="s">
        <v>131</v>
      </c>
      <c r="AE626" s="15" t="s">
        <v>437</v>
      </c>
      <c r="AF626" s="12">
        <f>IF(AG626="Rejected",0,IF(R626="Corporate Card",0,V626))</f>
        <v>0</v>
      </c>
      <c r="AG626" s="15" t="s">
        <v>133</v>
      </c>
      <c r="AH626" s="16">
        <v>45729</v>
      </c>
      <c r="AI626" s="16">
        <v>45737</v>
      </c>
      <c r="AJ626" s="16">
        <v>45739</v>
      </c>
      <c r="AK626" s="17">
        <f>IF(AJ626="","",AJ626-AH626)</f>
        <v>10</v>
      </c>
    </row>
    <row r="627" spans="1:37">
      <c r="A627" s="2" t="s">
        <v>1003</v>
      </c>
      <c r="B627" s="2" t="s">
        <v>616</v>
      </c>
      <c r="C627" s="2" t="s">
        <v>252</v>
      </c>
      <c r="D627" s="2" t="s">
        <v>250</v>
      </c>
      <c r="E627" s="2" t="s">
        <v>617</v>
      </c>
      <c r="F627" s="2" t="s">
        <v>510</v>
      </c>
      <c r="G627" s="2" t="s">
        <v>984</v>
      </c>
      <c r="H627" s="2" t="s">
        <v>748</v>
      </c>
      <c r="I627" s="2" t="s">
        <v>749</v>
      </c>
      <c r="J627" s="2" t="s">
        <v>750</v>
      </c>
      <c r="K627" s="9">
        <v>45712</v>
      </c>
      <c r="L627" s="9">
        <v>45717</v>
      </c>
      <c r="M627" s="9">
        <v>45713</v>
      </c>
      <c r="N627" s="2" t="s">
        <v>696</v>
      </c>
      <c r="O627" s="2" t="s">
        <v>65</v>
      </c>
      <c r="P627" s="2" t="s">
        <v>211</v>
      </c>
      <c r="Q627" s="2" t="s">
        <v>212</v>
      </c>
      <c r="R627" s="2" t="s">
        <v>137</v>
      </c>
      <c r="S627" s="2" t="s">
        <v>198</v>
      </c>
      <c r="T627" s="10">
        <v>19.98</v>
      </c>
      <c r="U627" s="11">
        <v>1.085</v>
      </c>
      <c r="V627" s="12">
        <f>T627*U627</f>
        <v>21.6783</v>
      </c>
      <c r="W627" s="13">
        <v>0.19</v>
      </c>
      <c r="X627" s="12">
        <f>V627-(V627/(1+W627))</f>
        <v>3.4612411764705868</v>
      </c>
      <c r="Y627" s="12">
        <f>V627-X627</f>
        <v>18.217058823529413</v>
      </c>
      <c r="Z627" s="14">
        <v>55</v>
      </c>
      <c r="AA627" s="2" t="str">
        <f>IF(V627&gt;Z627,"Yes","No")</f>
        <v>No</v>
      </c>
      <c r="AB627" s="12">
        <f>V627-Z627</f>
        <v>-33.3217</v>
      </c>
      <c r="AC627" s="15" t="s">
        <v>130</v>
      </c>
      <c r="AD627" s="15" t="s">
        <v>131</v>
      </c>
      <c r="AE627" s="15" t="s">
        <v>437</v>
      </c>
      <c r="AF627" s="12">
        <f>IF(AG627="Rejected",0,IF(R627="Corporate Card",0,V627))</f>
        <v>21.6783</v>
      </c>
      <c r="AG627" s="15" t="s">
        <v>133</v>
      </c>
      <c r="AH627" s="16">
        <v>45729</v>
      </c>
      <c r="AI627" s="16">
        <v>45737</v>
      </c>
      <c r="AJ627" s="16">
        <v>45739</v>
      </c>
      <c r="AK627" s="17">
        <f>IF(AJ627="","",AJ627-AH627)</f>
        <v>10</v>
      </c>
    </row>
    <row r="628" spans="1:37">
      <c r="A628" s="2" t="s">
        <v>1004</v>
      </c>
      <c r="B628" s="2" t="s">
        <v>616</v>
      </c>
      <c r="C628" s="2" t="s">
        <v>252</v>
      </c>
      <c r="D628" s="2" t="s">
        <v>250</v>
      </c>
      <c r="E628" s="2" t="s">
        <v>617</v>
      </c>
      <c r="F628" s="2" t="s">
        <v>510</v>
      </c>
      <c r="G628" s="2" t="s">
        <v>984</v>
      </c>
      <c r="H628" s="2" t="s">
        <v>748</v>
      </c>
      <c r="I628" s="2" t="s">
        <v>749</v>
      </c>
      <c r="J628" s="2" t="s">
        <v>750</v>
      </c>
      <c r="K628" s="9">
        <v>45712</v>
      </c>
      <c r="L628" s="9">
        <v>45717</v>
      </c>
      <c r="M628" s="9">
        <v>45713</v>
      </c>
      <c r="N628" s="2" t="s">
        <v>696</v>
      </c>
      <c r="O628" s="2" t="s">
        <v>56</v>
      </c>
      <c r="P628" s="2" t="s">
        <v>151</v>
      </c>
      <c r="Q628" s="2" t="s">
        <v>227</v>
      </c>
      <c r="R628" s="2" t="s">
        <v>128</v>
      </c>
      <c r="S628" s="2" t="s">
        <v>198</v>
      </c>
      <c r="T628" s="10">
        <v>39.68</v>
      </c>
      <c r="U628" s="11">
        <v>1.085</v>
      </c>
      <c r="V628" s="12">
        <f>T628*U628</f>
        <v>43.052799999999998</v>
      </c>
      <c r="W628" s="13">
        <v>0.19</v>
      </c>
      <c r="X628" s="12">
        <f>V628-(V628/(1+W628))</f>
        <v>6.8739764705882322</v>
      </c>
      <c r="Y628" s="12">
        <f>V628-X628</f>
        <v>36.178823529411765</v>
      </c>
      <c r="Z628" s="14">
        <v>75</v>
      </c>
      <c r="AA628" s="2" t="str">
        <f>IF(V628&gt;Z628,"Yes","No")</f>
        <v>No</v>
      </c>
      <c r="AB628" s="12">
        <f>V628-Z628</f>
        <v>-31.947200000000002</v>
      </c>
      <c r="AC628" s="15" t="s">
        <v>130</v>
      </c>
      <c r="AD628" s="15" t="s">
        <v>131</v>
      </c>
      <c r="AE628" s="15" t="s">
        <v>437</v>
      </c>
      <c r="AF628" s="12">
        <f>IF(AG628="Rejected",0,IF(R628="Corporate Card",0,V628))</f>
        <v>0</v>
      </c>
      <c r="AG628" s="15" t="s">
        <v>133</v>
      </c>
      <c r="AH628" s="16">
        <v>45729</v>
      </c>
      <c r="AI628" s="16">
        <v>45737</v>
      </c>
      <c r="AJ628" s="16">
        <v>45739</v>
      </c>
      <c r="AK628" s="17">
        <f>IF(AJ628="","",AJ628-AH628)</f>
        <v>10</v>
      </c>
    </row>
    <row r="629" spans="1:37">
      <c r="A629" s="2" t="s">
        <v>1005</v>
      </c>
      <c r="B629" s="2" t="s">
        <v>616</v>
      </c>
      <c r="C629" s="2" t="s">
        <v>252</v>
      </c>
      <c r="D629" s="2" t="s">
        <v>250</v>
      </c>
      <c r="E629" s="2" t="s">
        <v>617</v>
      </c>
      <c r="F629" s="2" t="s">
        <v>510</v>
      </c>
      <c r="G629" s="2" t="s">
        <v>984</v>
      </c>
      <c r="H629" s="2" t="s">
        <v>748</v>
      </c>
      <c r="I629" s="2" t="s">
        <v>749</v>
      </c>
      <c r="J629" s="2" t="s">
        <v>750</v>
      </c>
      <c r="K629" s="9">
        <v>45712</v>
      </c>
      <c r="L629" s="9">
        <v>45717</v>
      </c>
      <c r="M629" s="9">
        <v>45713</v>
      </c>
      <c r="N629" s="2" t="s">
        <v>696</v>
      </c>
      <c r="O629" s="2" t="s">
        <v>55</v>
      </c>
      <c r="P629" s="2" t="s">
        <v>139</v>
      </c>
      <c r="Q629" s="2" t="s">
        <v>161</v>
      </c>
      <c r="R629" s="2" t="s">
        <v>149</v>
      </c>
      <c r="S629" s="2" t="s">
        <v>198</v>
      </c>
      <c r="T629" s="10">
        <v>11.78</v>
      </c>
      <c r="U629" s="11">
        <v>1.085</v>
      </c>
      <c r="V629" s="12">
        <f>T629*U629</f>
        <v>12.781299999999998</v>
      </c>
      <c r="W629" s="13">
        <v>0.19</v>
      </c>
      <c r="X629" s="12">
        <f>V629-(V629/(1+W629))</f>
        <v>2.0407117647058808</v>
      </c>
      <c r="Y629" s="12">
        <f>V629-X629</f>
        <v>10.740588235294117</v>
      </c>
      <c r="Z629" s="14">
        <v>35</v>
      </c>
      <c r="AA629" s="2" t="str">
        <f>IF(V629&gt;Z629,"Yes","No")</f>
        <v>No</v>
      </c>
      <c r="AB629" s="12">
        <f>V629-Z629</f>
        <v>-22.218700000000002</v>
      </c>
      <c r="AC629" s="15" t="s">
        <v>130</v>
      </c>
      <c r="AD629" s="15" t="s">
        <v>131</v>
      </c>
      <c r="AE629" s="15" t="s">
        <v>437</v>
      </c>
      <c r="AF629" s="12">
        <f>IF(AG629="Rejected",0,IF(R629="Corporate Card",0,V629))</f>
        <v>12.781299999999998</v>
      </c>
      <c r="AG629" s="15" t="s">
        <v>133</v>
      </c>
      <c r="AH629" s="16">
        <v>45729</v>
      </c>
      <c r="AI629" s="16">
        <v>45737</v>
      </c>
      <c r="AJ629" s="16">
        <v>45739</v>
      </c>
      <c r="AK629" s="17">
        <f>IF(AJ629="","",AJ629-AH629)</f>
        <v>10</v>
      </c>
    </row>
    <row r="630" spans="1:37">
      <c r="A630" s="2" t="s">
        <v>1006</v>
      </c>
      <c r="B630" s="2" t="s">
        <v>442</v>
      </c>
      <c r="C630" s="2" t="s">
        <v>443</v>
      </c>
      <c r="D630" s="2" t="s">
        <v>444</v>
      </c>
      <c r="E630" s="2" t="s">
        <v>445</v>
      </c>
      <c r="F630" s="2" t="s">
        <v>446</v>
      </c>
      <c r="G630" s="2" t="s">
        <v>989</v>
      </c>
      <c r="H630" s="2" t="s">
        <v>379</v>
      </c>
      <c r="I630" s="2" t="s">
        <v>175</v>
      </c>
      <c r="J630" s="2" t="s">
        <v>176</v>
      </c>
      <c r="K630" s="9">
        <v>45713</v>
      </c>
      <c r="L630" s="9">
        <v>45714</v>
      </c>
      <c r="M630" s="9">
        <v>45714</v>
      </c>
      <c r="N630" s="2" t="s">
        <v>696</v>
      </c>
      <c r="O630" s="2" t="s">
        <v>67</v>
      </c>
      <c r="P630" s="2" t="s">
        <v>401</v>
      </c>
      <c r="Q630" s="2" t="s">
        <v>402</v>
      </c>
      <c r="R630" s="2" t="s">
        <v>137</v>
      </c>
      <c r="S630" s="2" t="s">
        <v>179</v>
      </c>
      <c r="T630" s="10">
        <v>255.18</v>
      </c>
      <c r="U630" s="11">
        <v>0.18099999999999999</v>
      </c>
      <c r="V630" s="12">
        <f>T630*U630</f>
        <v>46.187579999999997</v>
      </c>
      <c r="W630" s="13">
        <v>0.17</v>
      </c>
      <c r="X630" s="12">
        <f>V630-(V630/(1+W630))</f>
        <v>6.7110158974358924</v>
      </c>
      <c r="Y630" s="12">
        <f>V630-X630</f>
        <v>39.476564102564105</v>
      </c>
      <c r="Z630" s="14">
        <v>100</v>
      </c>
      <c r="AA630" s="2" t="str">
        <f>IF(V630&gt;Z630,"Yes","No")</f>
        <v>No</v>
      </c>
      <c r="AB630" s="12">
        <f>V630-Z630</f>
        <v>-53.812420000000003</v>
      </c>
      <c r="AC630" s="15" t="s">
        <v>130</v>
      </c>
      <c r="AD630" s="15" t="s">
        <v>130</v>
      </c>
      <c r="AE630" s="15" t="s">
        <v>858</v>
      </c>
      <c r="AF630" s="12">
        <f>IF(AG630="Rejected",0,IF(R630="Corporate Card",0,V630))</f>
        <v>46.187579999999997</v>
      </c>
      <c r="AG630" s="15" t="s">
        <v>133</v>
      </c>
      <c r="AH630" s="16">
        <v>45726</v>
      </c>
      <c r="AI630" s="16">
        <v>45731</v>
      </c>
      <c r="AJ630" s="16">
        <v>45738</v>
      </c>
      <c r="AK630" s="17">
        <f>IF(AJ630="","",AJ630-AH630)</f>
        <v>12</v>
      </c>
    </row>
    <row r="631" spans="1:37">
      <c r="A631" s="2" t="s">
        <v>1007</v>
      </c>
      <c r="B631" s="2" t="s">
        <v>442</v>
      </c>
      <c r="C631" s="2" t="s">
        <v>443</v>
      </c>
      <c r="D631" s="2" t="s">
        <v>444</v>
      </c>
      <c r="E631" s="2" t="s">
        <v>445</v>
      </c>
      <c r="F631" s="2" t="s">
        <v>446</v>
      </c>
      <c r="G631" s="2" t="s">
        <v>989</v>
      </c>
      <c r="H631" s="2" t="s">
        <v>379</v>
      </c>
      <c r="I631" s="2" t="s">
        <v>175</v>
      </c>
      <c r="J631" s="2" t="s">
        <v>176</v>
      </c>
      <c r="K631" s="9">
        <v>45713</v>
      </c>
      <c r="L631" s="9">
        <v>45714</v>
      </c>
      <c r="M631" s="9">
        <v>45714</v>
      </c>
      <c r="N631" s="2" t="s">
        <v>696</v>
      </c>
      <c r="O631" s="2" t="s">
        <v>59</v>
      </c>
      <c r="P631" s="2" t="s">
        <v>301</v>
      </c>
      <c r="Q631" s="2" t="s">
        <v>302</v>
      </c>
      <c r="R631" s="2" t="s">
        <v>128</v>
      </c>
      <c r="S631" s="2" t="s">
        <v>179</v>
      </c>
      <c r="T631" s="10">
        <v>583.12</v>
      </c>
      <c r="U631" s="11">
        <v>0.18099999999999999</v>
      </c>
      <c r="V631" s="12">
        <f>T631*U631</f>
        <v>105.54472</v>
      </c>
      <c r="W631" s="13">
        <v>0.17</v>
      </c>
      <c r="X631" s="12">
        <f>V631-(V631/(1+W631))</f>
        <v>15.335557606837597</v>
      </c>
      <c r="Y631" s="12">
        <f>V631-X631</f>
        <v>90.209162393162401</v>
      </c>
      <c r="Z631" s="14">
        <v>150</v>
      </c>
      <c r="AA631" s="2" t="str">
        <f>IF(V631&gt;Z631,"Yes","No")</f>
        <v>No</v>
      </c>
      <c r="AB631" s="12">
        <f>V631-Z631</f>
        <v>-44.455280000000002</v>
      </c>
      <c r="AC631" s="15" t="s">
        <v>130</v>
      </c>
      <c r="AD631" s="15" t="s">
        <v>130</v>
      </c>
      <c r="AE631" s="15" t="s">
        <v>858</v>
      </c>
      <c r="AF631" s="12">
        <f>IF(AG631="Rejected",0,IF(R631="Corporate Card",0,V631))</f>
        <v>0</v>
      </c>
      <c r="AG631" s="15" t="s">
        <v>133</v>
      </c>
      <c r="AH631" s="16">
        <v>45726</v>
      </c>
      <c r="AI631" s="16">
        <v>45731</v>
      </c>
      <c r="AJ631" s="16">
        <v>45738</v>
      </c>
      <c r="AK631" s="17">
        <f>IF(AJ631="","",AJ631-AH631)</f>
        <v>12</v>
      </c>
    </row>
    <row r="632" spans="1:37">
      <c r="A632" s="2" t="s">
        <v>1008</v>
      </c>
      <c r="B632" s="2" t="s">
        <v>442</v>
      </c>
      <c r="C632" s="2" t="s">
        <v>443</v>
      </c>
      <c r="D632" s="2" t="s">
        <v>444</v>
      </c>
      <c r="E632" s="2" t="s">
        <v>445</v>
      </c>
      <c r="F632" s="2" t="s">
        <v>446</v>
      </c>
      <c r="G632" s="2" t="s">
        <v>989</v>
      </c>
      <c r="H632" s="2" t="s">
        <v>379</v>
      </c>
      <c r="I632" s="2" t="s">
        <v>175</v>
      </c>
      <c r="J632" s="2" t="s">
        <v>176</v>
      </c>
      <c r="K632" s="9">
        <v>45713</v>
      </c>
      <c r="L632" s="9">
        <v>45714</v>
      </c>
      <c r="M632" s="9">
        <v>45714</v>
      </c>
      <c r="N632" s="2" t="s">
        <v>696</v>
      </c>
      <c r="O632" s="2" t="s">
        <v>58</v>
      </c>
      <c r="P632" s="2" t="s">
        <v>142</v>
      </c>
      <c r="Q632" s="2" t="s">
        <v>296</v>
      </c>
      <c r="R632" s="2" t="s">
        <v>128</v>
      </c>
      <c r="S632" s="2" t="s">
        <v>179</v>
      </c>
      <c r="T632" s="10">
        <v>240.43</v>
      </c>
      <c r="U632" s="11">
        <v>0.18099999999999999</v>
      </c>
      <c r="V632" s="12">
        <f>T632*U632</f>
        <v>43.517829999999996</v>
      </c>
      <c r="W632" s="13">
        <v>0.17</v>
      </c>
      <c r="X632" s="12">
        <f>V632-(V632/(1+W632))</f>
        <v>6.3231035042735044</v>
      </c>
      <c r="Y632" s="12">
        <f>V632-X632</f>
        <v>37.194726495726492</v>
      </c>
      <c r="Z632" s="14">
        <v>60</v>
      </c>
      <c r="AA632" s="2" t="str">
        <f>IF(V632&gt;Z632,"Yes","No")</f>
        <v>No</v>
      </c>
      <c r="AB632" s="12">
        <f>V632-Z632</f>
        <v>-16.482170000000004</v>
      </c>
      <c r="AC632" s="15" t="s">
        <v>130</v>
      </c>
      <c r="AD632" s="15" t="s">
        <v>130</v>
      </c>
      <c r="AE632" s="15" t="s">
        <v>858</v>
      </c>
      <c r="AF632" s="12">
        <f>IF(AG632="Rejected",0,IF(R632="Corporate Card",0,V632))</f>
        <v>0</v>
      </c>
      <c r="AG632" s="15" t="s">
        <v>133</v>
      </c>
      <c r="AH632" s="16">
        <v>45726</v>
      </c>
      <c r="AI632" s="16">
        <v>45731</v>
      </c>
      <c r="AJ632" s="16">
        <v>45738</v>
      </c>
      <c r="AK632" s="17">
        <f>IF(AJ632="","",AJ632-AH632)</f>
        <v>12</v>
      </c>
    </row>
    <row r="633" spans="1:37">
      <c r="A633" s="2" t="s">
        <v>1009</v>
      </c>
      <c r="B633" s="2" t="s">
        <v>442</v>
      </c>
      <c r="C633" s="2" t="s">
        <v>443</v>
      </c>
      <c r="D633" s="2" t="s">
        <v>444</v>
      </c>
      <c r="E633" s="2" t="s">
        <v>445</v>
      </c>
      <c r="F633" s="2" t="s">
        <v>446</v>
      </c>
      <c r="G633" s="2" t="s">
        <v>989</v>
      </c>
      <c r="H633" s="2" t="s">
        <v>379</v>
      </c>
      <c r="I633" s="2" t="s">
        <v>175</v>
      </c>
      <c r="J633" s="2" t="s">
        <v>176</v>
      </c>
      <c r="K633" s="9">
        <v>45713</v>
      </c>
      <c r="L633" s="9">
        <v>45714</v>
      </c>
      <c r="M633" s="9">
        <v>45714</v>
      </c>
      <c r="N633" s="2" t="s">
        <v>696</v>
      </c>
      <c r="O633" s="2" t="s">
        <v>53</v>
      </c>
      <c r="P633" s="2" t="s">
        <v>405</v>
      </c>
      <c r="Q633" s="2" t="s">
        <v>272</v>
      </c>
      <c r="R633" s="2" t="s">
        <v>128</v>
      </c>
      <c r="S633" s="2" t="s">
        <v>179</v>
      </c>
      <c r="T633" s="10">
        <v>1140.95</v>
      </c>
      <c r="U633" s="11">
        <v>0.18099999999999999</v>
      </c>
      <c r="V633" s="12">
        <f>T633*U633</f>
        <v>206.51195000000001</v>
      </c>
      <c r="W633" s="13">
        <v>0.17</v>
      </c>
      <c r="X633" s="12">
        <f>V633-(V633/(1+W633))</f>
        <v>30.006009829059821</v>
      </c>
      <c r="Y633" s="12">
        <f>V633-X633</f>
        <v>176.50594017094019</v>
      </c>
      <c r="Z633" s="14">
        <v>280</v>
      </c>
      <c r="AA633" s="2" t="str">
        <f>IF(V633&gt;Z633,"Yes","No")</f>
        <v>No</v>
      </c>
      <c r="AB633" s="12">
        <f>V633-Z633</f>
        <v>-73.488049999999987</v>
      </c>
      <c r="AC633" s="15" t="s">
        <v>130</v>
      </c>
      <c r="AD633" s="15" t="s">
        <v>130</v>
      </c>
      <c r="AE633" s="15" t="s">
        <v>858</v>
      </c>
      <c r="AF633" s="12">
        <f>IF(AG633="Rejected",0,IF(R633="Corporate Card",0,V633))</f>
        <v>0</v>
      </c>
      <c r="AG633" s="15" t="s">
        <v>133</v>
      </c>
      <c r="AH633" s="16">
        <v>45726</v>
      </c>
      <c r="AI633" s="16">
        <v>45731</v>
      </c>
      <c r="AJ633" s="16">
        <v>45738</v>
      </c>
      <c r="AK633" s="17">
        <f>IF(AJ633="","",AJ633-AH633)</f>
        <v>12</v>
      </c>
    </row>
    <row r="634" spans="1:37">
      <c r="A634" s="2" t="s">
        <v>1010</v>
      </c>
      <c r="B634" s="2" t="s">
        <v>442</v>
      </c>
      <c r="C634" s="2" t="s">
        <v>443</v>
      </c>
      <c r="D634" s="2" t="s">
        <v>444</v>
      </c>
      <c r="E634" s="2" t="s">
        <v>445</v>
      </c>
      <c r="F634" s="2" t="s">
        <v>446</v>
      </c>
      <c r="G634" s="2" t="s">
        <v>989</v>
      </c>
      <c r="H634" s="2" t="s">
        <v>379</v>
      </c>
      <c r="I634" s="2" t="s">
        <v>175</v>
      </c>
      <c r="J634" s="2" t="s">
        <v>176</v>
      </c>
      <c r="K634" s="9">
        <v>45713</v>
      </c>
      <c r="L634" s="9">
        <v>45714</v>
      </c>
      <c r="M634" s="9">
        <v>45714</v>
      </c>
      <c r="N634" s="2" t="s">
        <v>696</v>
      </c>
      <c r="O634" s="2" t="s">
        <v>65</v>
      </c>
      <c r="P634" s="2" t="s">
        <v>211</v>
      </c>
      <c r="Q634" s="2" t="s">
        <v>212</v>
      </c>
      <c r="R634" s="2" t="s">
        <v>128</v>
      </c>
      <c r="S634" s="2" t="s">
        <v>179</v>
      </c>
      <c r="T634" s="10">
        <v>397.24</v>
      </c>
      <c r="U634" s="11">
        <v>0.18099999999999999</v>
      </c>
      <c r="V634" s="12">
        <f>T634*U634</f>
        <v>71.900440000000003</v>
      </c>
      <c r="W634" s="13">
        <v>0.17</v>
      </c>
      <c r="X634" s="12">
        <f>V634-(V634/(1+W634))</f>
        <v>10.447072478632478</v>
      </c>
      <c r="Y634" s="12">
        <f>V634-X634</f>
        <v>61.453367521367525</v>
      </c>
      <c r="Z634" s="14">
        <v>55</v>
      </c>
      <c r="AA634" s="2" t="str">
        <f>IF(V634&gt;Z634,"Yes","No")</f>
        <v>Yes</v>
      </c>
      <c r="AB634" s="12">
        <f>V634-Z634</f>
        <v>16.900440000000003</v>
      </c>
      <c r="AC634" s="15" t="s">
        <v>130</v>
      </c>
      <c r="AD634" s="15" t="s">
        <v>130</v>
      </c>
      <c r="AE634" s="15" t="s">
        <v>858</v>
      </c>
      <c r="AF634" s="12">
        <f>IF(AG634="Rejected",0,IF(R634="Corporate Card",0,V634))</f>
        <v>0</v>
      </c>
      <c r="AG634" s="15" t="s">
        <v>133</v>
      </c>
      <c r="AH634" s="16">
        <v>45726</v>
      </c>
      <c r="AI634" s="16">
        <v>45731</v>
      </c>
      <c r="AJ634" s="16">
        <v>45738</v>
      </c>
      <c r="AK634" s="17">
        <f>IF(AJ634="","",AJ634-AH634)</f>
        <v>12</v>
      </c>
    </row>
    <row r="635" spans="1:37">
      <c r="A635" s="2" t="s">
        <v>1011</v>
      </c>
      <c r="B635" s="2" t="s">
        <v>442</v>
      </c>
      <c r="C635" s="2" t="s">
        <v>443</v>
      </c>
      <c r="D635" s="2" t="s">
        <v>444</v>
      </c>
      <c r="E635" s="2" t="s">
        <v>445</v>
      </c>
      <c r="F635" s="2" t="s">
        <v>446</v>
      </c>
      <c r="G635" s="2" t="s">
        <v>989</v>
      </c>
      <c r="H635" s="2" t="s">
        <v>379</v>
      </c>
      <c r="I635" s="2" t="s">
        <v>175</v>
      </c>
      <c r="J635" s="2" t="s">
        <v>176</v>
      </c>
      <c r="K635" s="9">
        <v>45713</v>
      </c>
      <c r="L635" s="9">
        <v>45714</v>
      </c>
      <c r="M635" s="9">
        <v>45714</v>
      </c>
      <c r="N635" s="2" t="s">
        <v>696</v>
      </c>
      <c r="O635" s="2" t="s">
        <v>55</v>
      </c>
      <c r="P635" s="2" t="s">
        <v>139</v>
      </c>
      <c r="Q635" s="2" t="s">
        <v>154</v>
      </c>
      <c r="R635" s="2" t="s">
        <v>128</v>
      </c>
      <c r="S635" s="2" t="s">
        <v>179</v>
      </c>
      <c r="T635" s="10">
        <v>262.11</v>
      </c>
      <c r="U635" s="11">
        <v>0.18099999999999999</v>
      </c>
      <c r="V635" s="12">
        <f>T635*U635</f>
        <v>47.44191</v>
      </c>
      <c r="W635" s="13">
        <v>0.17</v>
      </c>
      <c r="X635" s="12">
        <f>V635-(V635/(1+W635))</f>
        <v>6.8932689743589748</v>
      </c>
      <c r="Y635" s="12">
        <f>V635-X635</f>
        <v>40.548641025641025</v>
      </c>
      <c r="Z635" s="14">
        <v>35</v>
      </c>
      <c r="AA635" s="2" t="str">
        <f>IF(V635&gt;Z635,"Yes","No")</f>
        <v>Yes</v>
      </c>
      <c r="AB635" s="12">
        <f>V635-Z635</f>
        <v>12.44191</v>
      </c>
      <c r="AC635" s="15" t="s">
        <v>130</v>
      </c>
      <c r="AD635" s="15" t="s">
        <v>130</v>
      </c>
      <c r="AE635" s="15" t="s">
        <v>858</v>
      </c>
      <c r="AF635" s="12">
        <f>IF(AG635="Rejected",0,IF(R635="Corporate Card",0,V635))</f>
        <v>0</v>
      </c>
      <c r="AG635" s="15" t="s">
        <v>133</v>
      </c>
      <c r="AH635" s="16">
        <v>45726</v>
      </c>
      <c r="AI635" s="16">
        <v>45731</v>
      </c>
      <c r="AJ635" s="16">
        <v>45738</v>
      </c>
      <c r="AK635" s="17">
        <f>IF(AJ635="","",AJ635-AH635)</f>
        <v>12</v>
      </c>
    </row>
    <row r="636" spans="1:37">
      <c r="A636" s="2" t="s">
        <v>1012</v>
      </c>
      <c r="B636" s="2" t="s">
        <v>616</v>
      </c>
      <c r="C636" s="2" t="s">
        <v>252</v>
      </c>
      <c r="D636" s="2" t="s">
        <v>250</v>
      </c>
      <c r="E636" s="2" t="s">
        <v>617</v>
      </c>
      <c r="F636" s="2" t="s">
        <v>510</v>
      </c>
      <c r="G636" s="2" t="s">
        <v>994</v>
      </c>
      <c r="H636" s="2" t="s">
        <v>254</v>
      </c>
      <c r="I636" s="2" t="s">
        <v>567</v>
      </c>
      <c r="J636" s="2" t="s">
        <v>434</v>
      </c>
      <c r="K636" s="9">
        <v>45713</v>
      </c>
      <c r="L636" s="9">
        <v>45718</v>
      </c>
      <c r="M636" s="9">
        <v>45714</v>
      </c>
      <c r="N636" s="2" t="s">
        <v>696</v>
      </c>
      <c r="O636" s="2" t="s">
        <v>58</v>
      </c>
      <c r="P636" s="2" t="s">
        <v>142</v>
      </c>
      <c r="Q636" s="2" t="s">
        <v>143</v>
      </c>
      <c r="R636" s="2" t="s">
        <v>128</v>
      </c>
      <c r="S636" s="2" t="s">
        <v>436</v>
      </c>
      <c r="T636" s="10">
        <v>2255</v>
      </c>
      <c r="U636" s="11">
        <v>1.1780000000000001E-2</v>
      </c>
      <c r="V636" s="12">
        <f>T636*U636</f>
        <v>26.5639</v>
      </c>
      <c r="W636" s="13">
        <v>0.18</v>
      </c>
      <c r="X636" s="12">
        <f>V636-(V636/(1+W636))</f>
        <v>4.0521203389830482</v>
      </c>
      <c r="Y636" s="12">
        <f>V636-X636</f>
        <v>22.511779661016952</v>
      </c>
      <c r="Z636" s="14">
        <v>60</v>
      </c>
      <c r="AA636" s="2" t="str">
        <f>IF(V636&gt;Z636,"Yes","No")</f>
        <v>No</v>
      </c>
      <c r="AB636" s="12">
        <f>V636-Z636</f>
        <v>-33.436099999999996</v>
      </c>
      <c r="AC636" s="15" t="s">
        <v>130</v>
      </c>
      <c r="AD636" s="15" t="s">
        <v>130</v>
      </c>
      <c r="AE636" s="15" t="s">
        <v>350</v>
      </c>
      <c r="AF636" s="12">
        <f>IF(AG636="Rejected",0,IF(R636="Corporate Card",0,V636))</f>
        <v>0</v>
      </c>
      <c r="AG636" s="15" t="s">
        <v>133</v>
      </c>
      <c r="AH636" s="16">
        <v>45726</v>
      </c>
      <c r="AI636" s="16">
        <v>45731</v>
      </c>
      <c r="AJ636" s="16">
        <v>45742</v>
      </c>
      <c r="AK636" s="17">
        <f>IF(AJ636="","",AJ636-AH636)</f>
        <v>16</v>
      </c>
    </row>
    <row r="637" spans="1:37">
      <c r="A637" s="2" t="s">
        <v>1013</v>
      </c>
      <c r="B637" s="2" t="s">
        <v>616</v>
      </c>
      <c r="C637" s="2" t="s">
        <v>252</v>
      </c>
      <c r="D637" s="2" t="s">
        <v>250</v>
      </c>
      <c r="E637" s="2" t="s">
        <v>617</v>
      </c>
      <c r="F637" s="2" t="s">
        <v>510</v>
      </c>
      <c r="G637" s="2" t="s">
        <v>994</v>
      </c>
      <c r="H637" s="2" t="s">
        <v>254</v>
      </c>
      <c r="I637" s="2" t="s">
        <v>567</v>
      </c>
      <c r="J637" s="2" t="s">
        <v>434</v>
      </c>
      <c r="K637" s="9">
        <v>45713</v>
      </c>
      <c r="L637" s="9">
        <v>45718</v>
      </c>
      <c r="M637" s="9">
        <v>45714</v>
      </c>
      <c r="N637" s="2" t="s">
        <v>696</v>
      </c>
      <c r="O637" s="2" t="s">
        <v>53</v>
      </c>
      <c r="P637" s="2" t="s">
        <v>271</v>
      </c>
      <c r="Q637" s="2" t="s">
        <v>220</v>
      </c>
      <c r="R637" s="2" t="s">
        <v>128</v>
      </c>
      <c r="S637" s="2" t="s">
        <v>436</v>
      </c>
      <c r="T637" s="10">
        <v>78397</v>
      </c>
      <c r="U637" s="11">
        <v>1.1780000000000001E-2</v>
      </c>
      <c r="V637" s="12">
        <f>T637*U637</f>
        <v>923.51666</v>
      </c>
      <c r="W637" s="13">
        <v>0.18</v>
      </c>
      <c r="X637" s="12">
        <f>V637-(V637/(1+W637))</f>
        <v>140.87542271186442</v>
      </c>
      <c r="Y637" s="12">
        <f>V637-X637</f>
        <v>782.64123728813559</v>
      </c>
      <c r="Z637" s="14">
        <v>1400</v>
      </c>
      <c r="AA637" s="2" t="str">
        <f>IF(V637&gt;Z637,"Yes","No")</f>
        <v>No</v>
      </c>
      <c r="AB637" s="12">
        <f>V637-Z637</f>
        <v>-476.48334</v>
      </c>
      <c r="AC637" s="15" t="s">
        <v>130</v>
      </c>
      <c r="AD637" s="15" t="s">
        <v>130</v>
      </c>
      <c r="AE637" s="15" t="s">
        <v>350</v>
      </c>
      <c r="AF637" s="12">
        <f>IF(AG637="Rejected",0,IF(R637="Corporate Card",0,V637))</f>
        <v>0</v>
      </c>
      <c r="AG637" s="15" t="s">
        <v>133</v>
      </c>
      <c r="AH637" s="16">
        <v>45726</v>
      </c>
      <c r="AI637" s="16">
        <v>45731</v>
      </c>
      <c r="AJ637" s="16">
        <v>45742</v>
      </c>
      <c r="AK637" s="17">
        <f>IF(AJ637="","",AJ637-AH637)</f>
        <v>16</v>
      </c>
    </row>
    <row r="638" spans="1:37">
      <c r="A638" s="2" t="s">
        <v>1014</v>
      </c>
      <c r="B638" s="2" t="s">
        <v>616</v>
      </c>
      <c r="C638" s="2" t="s">
        <v>252</v>
      </c>
      <c r="D638" s="2" t="s">
        <v>250</v>
      </c>
      <c r="E638" s="2" t="s">
        <v>617</v>
      </c>
      <c r="F638" s="2" t="s">
        <v>510</v>
      </c>
      <c r="G638" s="2" t="s">
        <v>994</v>
      </c>
      <c r="H638" s="2" t="s">
        <v>254</v>
      </c>
      <c r="I638" s="2" t="s">
        <v>567</v>
      </c>
      <c r="J638" s="2" t="s">
        <v>434</v>
      </c>
      <c r="K638" s="9">
        <v>45713</v>
      </c>
      <c r="L638" s="9">
        <v>45718</v>
      </c>
      <c r="M638" s="9">
        <v>45714</v>
      </c>
      <c r="N638" s="2" t="s">
        <v>696</v>
      </c>
      <c r="O638" s="2" t="s">
        <v>54</v>
      </c>
      <c r="P638" s="2" t="s">
        <v>139</v>
      </c>
      <c r="Q638" s="2" t="s">
        <v>214</v>
      </c>
      <c r="R638" s="2" t="s">
        <v>128</v>
      </c>
      <c r="S638" s="2" t="s">
        <v>436</v>
      </c>
      <c r="T638" s="10">
        <v>1858</v>
      </c>
      <c r="U638" s="11">
        <v>1.1780000000000001E-2</v>
      </c>
      <c r="V638" s="12">
        <f>T638*U638</f>
        <v>21.887240000000002</v>
      </c>
      <c r="W638" s="13">
        <v>0.18</v>
      </c>
      <c r="X638" s="12">
        <f>V638-(V638/(1+W638))</f>
        <v>3.3387315254237286</v>
      </c>
      <c r="Y638" s="12">
        <f>V638-X638</f>
        <v>18.548508474576273</v>
      </c>
      <c r="Z638" s="14">
        <v>25</v>
      </c>
      <c r="AA638" s="2" t="str">
        <f>IF(V638&gt;Z638,"Yes","No")</f>
        <v>No</v>
      </c>
      <c r="AB638" s="12">
        <f>V638-Z638</f>
        <v>-3.112759999999998</v>
      </c>
      <c r="AC638" s="15" t="s">
        <v>130</v>
      </c>
      <c r="AD638" s="15" t="s">
        <v>130</v>
      </c>
      <c r="AE638" s="15" t="s">
        <v>350</v>
      </c>
      <c r="AF638" s="12">
        <f>IF(AG638="Rejected",0,IF(R638="Corporate Card",0,V638))</f>
        <v>0</v>
      </c>
      <c r="AG638" s="15" t="s">
        <v>133</v>
      </c>
      <c r="AH638" s="16">
        <v>45726</v>
      </c>
      <c r="AI638" s="16">
        <v>45731</v>
      </c>
      <c r="AJ638" s="16">
        <v>45742</v>
      </c>
      <c r="AK638" s="17">
        <f>IF(AJ638="","",AJ638-AH638)</f>
        <v>16</v>
      </c>
    </row>
    <row r="639" spans="1:37">
      <c r="A639" s="2" t="s">
        <v>1015</v>
      </c>
      <c r="B639" s="2" t="s">
        <v>616</v>
      </c>
      <c r="C639" s="2" t="s">
        <v>252</v>
      </c>
      <c r="D639" s="2" t="s">
        <v>250</v>
      </c>
      <c r="E639" s="2" t="s">
        <v>617</v>
      </c>
      <c r="F639" s="2" t="s">
        <v>510</v>
      </c>
      <c r="G639" s="2" t="s">
        <v>994</v>
      </c>
      <c r="H639" s="2" t="s">
        <v>254</v>
      </c>
      <c r="I639" s="2" t="s">
        <v>567</v>
      </c>
      <c r="J639" s="2" t="s">
        <v>434</v>
      </c>
      <c r="K639" s="9">
        <v>45713</v>
      </c>
      <c r="L639" s="9">
        <v>45718</v>
      </c>
      <c r="M639" s="9">
        <v>45714</v>
      </c>
      <c r="N639" s="2" t="s">
        <v>696</v>
      </c>
      <c r="O639" s="2" t="s">
        <v>56</v>
      </c>
      <c r="P639" s="2" t="s">
        <v>165</v>
      </c>
      <c r="Q639" s="2" t="s">
        <v>152</v>
      </c>
      <c r="R639" s="2" t="s">
        <v>128</v>
      </c>
      <c r="S639" s="2" t="s">
        <v>436</v>
      </c>
      <c r="T639" s="10">
        <v>3455</v>
      </c>
      <c r="U639" s="11">
        <v>1.1780000000000001E-2</v>
      </c>
      <c r="V639" s="12">
        <f>T639*U639</f>
        <v>40.6999</v>
      </c>
      <c r="W639" s="13">
        <v>0.18</v>
      </c>
      <c r="X639" s="12">
        <f>V639-(V639/(1+W639))</f>
        <v>6.2084593220338959</v>
      </c>
      <c r="Y639" s="12">
        <f>V639-X639</f>
        <v>34.491440677966104</v>
      </c>
      <c r="Z639" s="14">
        <v>75</v>
      </c>
      <c r="AA639" s="2" t="str">
        <f>IF(V639&gt;Z639,"Yes","No")</f>
        <v>No</v>
      </c>
      <c r="AB639" s="12">
        <f>V639-Z639</f>
        <v>-34.3001</v>
      </c>
      <c r="AC639" s="15" t="s">
        <v>130</v>
      </c>
      <c r="AD639" s="15" t="s">
        <v>130</v>
      </c>
      <c r="AE639" s="15" t="s">
        <v>350</v>
      </c>
      <c r="AF639" s="12">
        <f>IF(AG639="Rejected",0,IF(R639="Corporate Card",0,V639))</f>
        <v>0</v>
      </c>
      <c r="AG639" s="15" t="s">
        <v>133</v>
      </c>
      <c r="AH639" s="16">
        <v>45726</v>
      </c>
      <c r="AI639" s="16">
        <v>45731</v>
      </c>
      <c r="AJ639" s="16">
        <v>45742</v>
      </c>
      <c r="AK639" s="17">
        <f>IF(AJ639="","",AJ639-AH639)</f>
        <v>16</v>
      </c>
    </row>
    <row r="640" spans="1:37">
      <c r="A640" s="2" t="s">
        <v>1016</v>
      </c>
      <c r="B640" s="2" t="s">
        <v>616</v>
      </c>
      <c r="C640" s="2" t="s">
        <v>252</v>
      </c>
      <c r="D640" s="2" t="s">
        <v>250</v>
      </c>
      <c r="E640" s="2" t="s">
        <v>617</v>
      </c>
      <c r="F640" s="2" t="s">
        <v>510</v>
      </c>
      <c r="G640" s="2" t="s">
        <v>994</v>
      </c>
      <c r="H640" s="2" t="s">
        <v>254</v>
      </c>
      <c r="I640" s="2" t="s">
        <v>567</v>
      </c>
      <c r="J640" s="2" t="s">
        <v>434</v>
      </c>
      <c r="K640" s="9">
        <v>45713</v>
      </c>
      <c r="L640" s="9">
        <v>45718</v>
      </c>
      <c r="M640" s="9">
        <v>45714</v>
      </c>
      <c r="N640" s="2" t="s">
        <v>696</v>
      </c>
      <c r="O640" s="2" t="s">
        <v>55</v>
      </c>
      <c r="P640" s="2" t="s">
        <v>139</v>
      </c>
      <c r="Q640" s="2" t="s">
        <v>217</v>
      </c>
      <c r="R640" s="2" t="s">
        <v>128</v>
      </c>
      <c r="S640" s="2" t="s">
        <v>436</v>
      </c>
      <c r="T640" s="10">
        <v>1115</v>
      </c>
      <c r="U640" s="11">
        <v>1.1780000000000001E-2</v>
      </c>
      <c r="V640" s="12">
        <f>T640*U640</f>
        <v>13.1347</v>
      </c>
      <c r="W640" s="13">
        <v>0.18</v>
      </c>
      <c r="X640" s="12">
        <f>V640-(V640/(1+W640))</f>
        <v>2.0035983050847452</v>
      </c>
      <c r="Y640" s="12">
        <f>V640-X640</f>
        <v>11.131101694915255</v>
      </c>
      <c r="Z640" s="14">
        <v>35</v>
      </c>
      <c r="AA640" s="2" t="str">
        <f>IF(V640&gt;Z640,"Yes","No")</f>
        <v>No</v>
      </c>
      <c r="AB640" s="12">
        <f>V640-Z640</f>
        <v>-21.865299999999998</v>
      </c>
      <c r="AC640" s="15" t="s">
        <v>130</v>
      </c>
      <c r="AD640" s="15" t="s">
        <v>130</v>
      </c>
      <c r="AE640" s="15" t="s">
        <v>350</v>
      </c>
      <c r="AF640" s="12">
        <f>IF(AG640="Rejected",0,IF(R640="Corporate Card",0,V640))</f>
        <v>0</v>
      </c>
      <c r="AG640" s="15" t="s">
        <v>133</v>
      </c>
      <c r="AH640" s="16">
        <v>45726</v>
      </c>
      <c r="AI640" s="16">
        <v>45731</v>
      </c>
      <c r="AJ640" s="16">
        <v>45742</v>
      </c>
      <c r="AK640" s="17">
        <f>IF(AJ640="","",AJ640-AH640)</f>
        <v>16</v>
      </c>
    </row>
    <row r="641" spans="1:37">
      <c r="A641" s="2" t="s">
        <v>1017</v>
      </c>
      <c r="B641" s="2" t="s">
        <v>616</v>
      </c>
      <c r="C641" s="2" t="s">
        <v>252</v>
      </c>
      <c r="D641" s="2" t="s">
        <v>250</v>
      </c>
      <c r="E641" s="2" t="s">
        <v>617</v>
      </c>
      <c r="F641" s="2" t="s">
        <v>510</v>
      </c>
      <c r="G641" s="2" t="s">
        <v>984</v>
      </c>
      <c r="H641" s="2" t="s">
        <v>748</v>
      </c>
      <c r="I641" s="2" t="s">
        <v>749</v>
      </c>
      <c r="J641" s="2" t="s">
        <v>750</v>
      </c>
      <c r="K641" s="9">
        <v>45712</v>
      </c>
      <c r="L641" s="9">
        <v>45717</v>
      </c>
      <c r="M641" s="9">
        <v>45714</v>
      </c>
      <c r="N641" s="2" t="s">
        <v>696</v>
      </c>
      <c r="O641" s="2" t="s">
        <v>54</v>
      </c>
      <c r="P641" s="2" t="s">
        <v>139</v>
      </c>
      <c r="Q641" s="2" t="s">
        <v>214</v>
      </c>
      <c r="R641" s="2" t="s">
        <v>128</v>
      </c>
      <c r="S641" s="2" t="s">
        <v>198</v>
      </c>
      <c r="T641" s="10">
        <v>20.27</v>
      </c>
      <c r="U641" s="11">
        <v>1.085</v>
      </c>
      <c r="V641" s="12">
        <f>T641*U641</f>
        <v>21.99295</v>
      </c>
      <c r="W641" s="13">
        <v>0.19</v>
      </c>
      <c r="X641" s="12">
        <f>V641-(V641/(1+W641))</f>
        <v>3.5114794117647037</v>
      </c>
      <c r="Y641" s="12">
        <f>V641-X641</f>
        <v>18.481470588235297</v>
      </c>
      <c r="Z641" s="14">
        <v>25</v>
      </c>
      <c r="AA641" s="2" t="str">
        <f>IF(V641&gt;Z641,"Yes","No")</f>
        <v>No</v>
      </c>
      <c r="AB641" s="12">
        <f>V641-Z641</f>
        <v>-3.0070499999999996</v>
      </c>
      <c r="AC641" s="15" t="s">
        <v>130</v>
      </c>
      <c r="AD641" s="15" t="s">
        <v>131</v>
      </c>
      <c r="AE641" s="15" t="s">
        <v>437</v>
      </c>
      <c r="AF641" s="12">
        <f>IF(AG641="Rejected",0,IF(R641="Corporate Card",0,V641))</f>
        <v>0</v>
      </c>
      <c r="AG641" s="15" t="s">
        <v>133</v>
      </c>
      <c r="AH641" s="16">
        <v>45729</v>
      </c>
      <c r="AI641" s="16">
        <v>45737</v>
      </c>
      <c r="AJ641" s="16">
        <v>45739</v>
      </c>
      <c r="AK641" s="17">
        <f>IF(AJ641="","",AJ641-AH641)</f>
        <v>10</v>
      </c>
    </row>
    <row r="642" spans="1:37">
      <c r="A642" s="2" t="s">
        <v>1018</v>
      </c>
      <c r="B642" s="2" t="s">
        <v>616</v>
      </c>
      <c r="C642" s="2" t="s">
        <v>252</v>
      </c>
      <c r="D642" s="2" t="s">
        <v>250</v>
      </c>
      <c r="E642" s="2" t="s">
        <v>617</v>
      </c>
      <c r="F642" s="2" t="s">
        <v>510</v>
      </c>
      <c r="G642" s="2" t="s">
        <v>984</v>
      </c>
      <c r="H642" s="2" t="s">
        <v>748</v>
      </c>
      <c r="I642" s="2" t="s">
        <v>749</v>
      </c>
      <c r="J642" s="2" t="s">
        <v>750</v>
      </c>
      <c r="K642" s="9">
        <v>45712</v>
      </c>
      <c r="L642" s="9">
        <v>45717</v>
      </c>
      <c r="M642" s="9">
        <v>45714</v>
      </c>
      <c r="N642" s="2" t="s">
        <v>696</v>
      </c>
      <c r="O642" s="2" t="s">
        <v>55</v>
      </c>
      <c r="P642" s="2" t="s">
        <v>139</v>
      </c>
      <c r="Q642" s="2" t="s">
        <v>161</v>
      </c>
      <c r="R642" s="2" t="s">
        <v>128</v>
      </c>
      <c r="S642" s="2" t="s">
        <v>198</v>
      </c>
      <c r="T642" s="10">
        <v>18.059999999999999</v>
      </c>
      <c r="U642" s="11">
        <v>1.085</v>
      </c>
      <c r="V642" s="12">
        <f>T642*U642</f>
        <v>19.595099999999999</v>
      </c>
      <c r="W642" s="13">
        <v>0.19</v>
      </c>
      <c r="X642" s="12">
        <f>V642-(V642/(1+W642))</f>
        <v>3.128629411764706</v>
      </c>
      <c r="Y642" s="12">
        <f>V642-X642</f>
        <v>16.466470588235293</v>
      </c>
      <c r="Z642" s="14">
        <v>35</v>
      </c>
      <c r="AA642" s="2" t="str">
        <f>IF(V642&gt;Z642,"Yes","No")</f>
        <v>No</v>
      </c>
      <c r="AB642" s="12">
        <f>V642-Z642</f>
        <v>-15.404900000000001</v>
      </c>
      <c r="AC642" s="15" t="s">
        <v>131</v>
      </c>
      <c r="AD642" s="15" t="s">
        <v>131</v>
      </c>
      <c r="AE642" s="15" t="s">
        <v>437</v>
      </c>
      <c r="AF642" s="12">
        <f>IF(AG642="Rejected",0,IF(R642="Corporate Card",0,V642))</f>
        <v>0</v>
      </c>
      <c r="AG642" s="15" t="s">
        <v>133</v>
      </c>
      <c r="AH642" s="16">
        <v>45729</v>
      </c>
      <c r="AI642" s="16">
        <v>45737</v>
      </c>
      <c r="AJ642" s="16">
        <v>45739</v>
      </c>
      <c r="AK642" s="17">
        <f>IF(AJ642="","",AJ642-AH642)</f>
        <v>10</v>
      </c>
    </row>
    <row r="643" spans="1:37">
      <c r="A643" s="2" t="s">
        <v>1019</v>
      </c>
      <c r="B643" s="2" t="s">
        <v>287</v>
      </c>
      <c r="C643" s="2" t="s">
        <v>288</v>
      </c>
      <c r="D643" s="2" t="s">
        <v>171</v>
      </c>
      <c r="E643" s="2" t="s">
        <v>289</v>
      </c>
      <c r="F643" s="2" t="s">
        <v>173</v>
      </c>
      <c r="G643" s="2" t="s">
        <v>1020</v>
      </c>
      <c r="H643" s="2" t="s">
        <v>291</v>
      </c>
      <c r="I643" s="2" t="s">
        <v>315</v>
      </c>
      <c r="J643" s="2" t="s">
        <v>316</v>
      </c>
      <c r="K643" s="9">
        <v>45714</v>
      </c>
      <c r="L643" s="9">
        <v>45720</v>
      </c>
      <c r="M643" s="9">
        <v>45714</v>
      </c>
      <c r="N643" s="2" t="s">
        <v>696</v>
      </c>
      <c r="O643" s="2" t="s">
        <v>52</v>
      </c>
      <c r="P643" s="2" t="s">
        <v>317</v>
      </c>
      <c r="Q643" s="2" t="s">
        <v>127</v>
      </c>
      <c r="R643" s="2" t="s">
        <v>137</v>
      </c>
      <c r="S643" s="2" t="s">
        <v>318</v>
      </c>
      <c r="T643" s="10">
        <v>2703.46</v>
      </c>
      <c r="U643" s="11">
        <v>0.27229999999999999</v>
      </c>
      <c r="V643" s="12">
        <f>T643*U643</f>
        <v>736.15215799999999</v>
      </c>
      <c r="W643" s="13">
        <v>0</v>
      </c>
      <c r="X643" s="12">
        <f>V643-(V643/(1+W643))</f>
        <v>0</v>
      </c>
      <c r="Y643" s="12">
        <f>V643-X643</f>
        <v>736.15215799999999</v>
      </c>
      <c r="Z643" s="14">
        <v>1400</v>
      </c>
      <c r="AA643" s="2" t="str">
        <f>IF(V643&gt;Z643,"Yes","No")</f>
        <v>No</v>
      </c>
      <c r="AB643" s="12">
        <f>V643-Z643</f>
        <v>-663.84784200000001</v>
      </c>
      <c r="AC643" s="15" t="s">
        <v>130</v>
      </c>
      <c r="AD643" s="15" t="s">
        <v>130</v>
      </c>
      <c r="AE643" s="15" t="s">
        <v>514</v>
      </c>
      <c r="AF643" s="12">
        <f>IF(AG643="Rejected",0,IF(R643="Corporate Card",0,V643))</f>
        <v>736.15215799999999</v>
      </c>
      <c r="AG643" s="15" t="s">
        <v>133</v>
      </c>
      <c r="AH643" s="16">
        <v>45727</v>
      </c>
      <c r="AI643" s="16">
        <v>45728</v>
      </c>
      <c r="AJ643" s="16">
        <v>45740</v>
      </c>
      <c r="AK643" s="17">
        <f>IF(AJ643="","",AJ643-AH643)</f>
        <v>13</v>
      </c>
    </row>
    <row r="644" spans="1:37">
      <c r="A644" s="2" t="s">
        <v>1021</v>
      </c>
      <c r="B644" s="2" t="s">
        <v>287</v>
      </c>
      <c r="C644" s="2" t="s">
        <v>288</v>
      </c>
      <c r="D644" s="2" t="s">
        <v>171</v>
      </c>
      <c r="E644" s="2" t="s">
        <v>289</v>
      </c>
      <c r="F644" s="2" t="s">
        <v>173</v>
      </c>
      <c r="G644" s="2" t="s">
        <v>1020</v>
      </c>
      <c r="H644" s="2" t="s">
        <v>291</v>
      </c>
      <c r="I644" s="2" t="s">
        <v>315</v>
      </c>
      <c r="J644" s="2" t="s">
        <v>316</v>
      </c>
      <c r="K644" s="9">
        <v>45714</v>
      </c>
      <c r="L644" s="9">
        <v>45720</v>
      </c>
      <c r="M644" s="9">
        <v>45714</v>
      </c>
      <c r="N644" s="2" t="s">
        <v>696</v>
      </c>
      <c r="O644" s="2" t="s">
        <v>58</v>
      </c>
      <c r="P644" s="2" t="s">
        <v>142</v>
      </c>
      <c r="Q644" s="2" t="s">
        <v>203</v>
      </c>
      <c r="R644" s="2" t="s">
        <v>128</v>
      </c>
      <c r="S644" s="2" t="s">
        <v>318</v>
      </c>
      <c r="T644" s="10">
        <v>202.99</v>
      </c>
      <c r="U644" s="11">
        <v>0.27229999999999999</v>
      </c>
      <c r="V644" s="12">
        <f>T644*U644</f>
        <v>55.274177000000002</v>
      </c>
      <c r="W644" s="13">
        <v>0.05</v>
      </c>
      <c r="X644" s="12">
        <f>V644-(V644/(1+W644))</f>
        <v>2.6321036666666657</v>
      </c>
      <c r="Y644" s="12">
        <f>V644-X644</f>
        <v>52.642073333333336</v>
      </c>
      <c r="Z644" s="14">
        <v>60</v>
      </c>
      <c r="AA644" s="2" t="str">
        <f>IF(V644&gt;Z644,"Yes","No")</f>
        <v>No</v>
      </c>
      <c r="AB644" s="12">
        <f>V644-Z644</f>
        <v>-4.7258229999999983</v>
      </c>
      <c r="AC644" s="15" t="s">
        <v>130</v>
      </c>
      <c r="AD644" s="15" t="s">
        <v>130</v>
      </c>
      <c r="AE644" s="15" t="s">
        <v>514</v>
      </c>
      <c r="AF644" s="12">
        <f>IF(AG644="Rejected",0,IF(R644="Corporate Card",0,V644))</f>
        <v>0</v>
      </c>
      <c r="AG644" s="15" t="s">
        <v>133</v>
      </c>
      <c r="AH644" s="16">
        <v>45727</v>
      </c>
      <c r="AI644" s="16">
        <v>45728</v>
      </c>
      <c r="AJ644" s="16">
        <v>45740</v>
      </c>
      <c r="AK644" s="17">
        <f>IF(AJ644="","",AJ644-AH644)</f>
        <v>13</v>
      </c>
    </row>
    <row r="645" spans="1:37">
      <c r="A645" s="2" t="s">
        <v>1022</v>
      </c>
      <c r="B645" s="2" t="s">
        <v>287</v>
      </c>
      <c r="C645" s="2" t="s">
        <v>288</v>
      </c>
      <c r="D645" s="2" t="s">
        <v>171</v>
      </c>
      <c r="E645" s="2" t="s">
        <v>289</v>
      </c>
      <c r="F645" s="2" t="s">
        <v>173</v>
      </c>
      <c r="G645" s="2" t="s">
        <v>1020</v>
      </c>
      <c r="H645" s="2" t="s">
        <v>291</v>
      </c>
      <c r="I645" s="2" t="s">
        <v>315</v>
      </c>
      <c r="J645" s="2" t="s">
        <v>316</v>
      </c>
      <c r="K645" s="9">
        <v>45714</v>
      </c>
      <c r="L645" s="9">
        <v>45720</v>
      </c>
      <c r="M645" s="9">
        <v>45714</v>
      </c>
      <c r="N645" s="2" t="s">
        <v>696</v>
      </c>
      <c r="O645" s="2" t="s">
        <v>54</v>
      </c>
      <c r="P645" s="2" t="s">
        <v>139</v>
      </c>
      <c r="Q645" s="2" t="s">
        <v>140</v>
      </c>
      <c r="R645" s="2" t="s">
        <v>137</v>
      </c>
      <c r="S645" s="2" t="s">
        <v>318</v>
      </c>
      <c r="T645" s="10">
        <v>52.25</v>
      </c>
      <c r="U645" s="11">
        <v>0.27229999999999999</v>
      </c>
      <c r="V645" s="12">
        <f>T645*U645</f>
        <v>14.227675</v>
      </c>
      <c r="W645" s="13">
        <v>0.05</v>
      </c>
      <c r="X645" s="12">
        <f>V645-(V645/(1+W645))</f>
        <v>0.67750833333333382</v>
      </c>
      <c r="Y645" s="12">
        <f>V645-X645</f>
        <v>13.550166666666666</v>
      </c>
      <c r="Z645" s="14">
        <v>25</v>
      </c>
      <c r="AA645" s="2" t="str">
        <f>IF(V645&gt;Z645,"Yes","No")</f>
        <v>No</v>
      </c>
      <c r="AB645" s="12">
        <f>V645-Z645</f>
        <v>-10.772325</v>
      </c>
      <c r="AC645" s="15" t="s">
        <v>130</v>
      </c>
      <c r="AD645" s="15" t="s">
        <v>130</v>
      </c>
      <c r="AE645" s="15" t="s">
        <v>514</v>
      </c>
      <c r="AF645" s="12">
        <f>IF(AG645="Rejected",0,IF(R645="Corporate Card",0,V645))</f>
        <v>14.227675</v>
      </c>
      <c r="AG645" s="15" t="s">
        <v>133</v>
      </c>
      <c r="AH645" s="16">
        <v>45727</v>
      </c>
      <c r="AI645" s="16">
        <v>45728</v>
      </c>
      <c r="AJ645" s="16">
        <v>45740</v>
      </c>
      <c r="AK645" s="17">
        <f>IF(AJ645="","",AJ645-AH645)</f>
        <v>13</v>
      </c>
    </row>
    <row r="646" spans="1:37">
      <c r="A646" s="2" t="s">
        <v>1023</v>
      </c>
      <c r="B646" s="2" t="s">
        <v>287</v>
      </c>
      <c r="C646" s="2" t="s">
        <v>288</v>
      </c>
      <c r="D646" s="2" t="s">
        <v>171</v>
      </c>
      <c r="E646" s="2" t="s">
        <v>289</v>
      </c>
      <c r="F646" s="2" t="s">
        <v>173</v>
      </c>
      <c r="G646" s="2" t="s">
        <v>1020</v>
      </c>
      <c r="H646" s="2" t="s">
        <v>291</v>
      </c>
      <c r="I646" s="2" t="s">
        <v>315</v>
      </c>
      <c r="J646" s="2" t="s">
        <v>316</v>
      </c>
      <c r="K646" s="9">
        <v>45714</v>
      </c>
      <c r="L646" s="9">
        <v>45720</v>
      </c>
      <c r="M646" s="9">
        <v>45714</v>
      </c>
      <c r="N646" s="2" t="s">
        <v>696</v>
      </c>
      <c r="O646" s="2" t="s">
        <v>56</v>
      </c>
      <c r="P646" s="2" t="s">
        <v>151</v>
      </c>
      <c r="Q646" s="2" t="s">
        <v>152</v>
      </c>
      <c r="R646" s="2" t="s">
        <v>137</v>
      </c>
      <c r="S646" s="2" t="s">
        <v>318</v>
      </c>
      <c r="T646" s="10">
        <v>164.08</v>
      </c>
      <c r="U646" s="11">
        <v>0.27229999999999999</v>
      </c>
      <c r="V646" s="12">
        <f>T646*U646</f>
        <v>44.678984</v>
      </c>
      <c r="W646" s="13">
        <v>0.05</v>
      </c>
      <c r="X646" s="12">
        <f>V646-(V646/(1+W646))</f>
        <v>2.1275706666666707</v>
      </c>
      <c r="Y646" s="12">
        <f>V646-X646</f>
        <v>42.551413333333329</v>
      </c>
      <c r="Z646" s="14">
        <v>75</v>
      </c>
      <c r="AA646" s="2" t="str">
        <f>IF(V646&gt;Z646,"Yes","No")</f>
        <v>No</v>
      </c>
      <c r="AB646" s="12">
        <f>V646-Z646</f>
        <v>-30.321016</v>
      </c>
      <c r="AC646" s="15" t="s">
        <v>130</v>
      </c>
      <c r="AD646" s="15" t="s">
        <v>130</v>
      </c>
      <c r="AE646" s="15" t="s">
        <v>514</v>
      </c>
      <c r="AF646" s="12">
        <f>IF(AG646="Rejected",0,IF(R646="Corporate Card",0,V646))</f>
        <v>44.678984</v>
      </c>
      <c r="AG646" s="15" t="s">
        <v>133</v>
      </c>
      <c r="AH646" s="16">
        <v>45727</v>
      </c>
      <c r="AI646" s="16">
        <v>45728</v>
      </c>
      <c r="AJ646" s="16">
        <v>45740</v>
      </c>
      <c r="AK646" s="17">
        <f>IF(AJ646="","",AJ646-AH646)</f>
        <v>13</v>
      </c>
    </row>
    <row r="647" spans="1:37">
      <c r="A647" s="2" t="s">
        <v>1024</v>
      </c>
      <c r="B647" s="2" t="s">
        <v>287</v>
      </c>
      <c r="C647" s="2" t="s">
        <v>288</v>
      </c>
      <c r="D647" s="2" t="s">
        <v>171</v>
      </c>
      <c r="E647" s="2" t="s">
        <v>289</v>
      </c>
      <c r="F647" s="2" t="s">
        <v>173</v>
      </c>
      <c r="G647" s="2" t="s">
        <v>1020</v>
      </c>
      <c r="H647" s="2" t="s">
        <v>291</v>
      </c>
      <c r="I647" s="2" t="s">
        <v>315</v>
      </c>
      <c r="J647" s="2" t="s">
        <v>316</v>
      </c>
      <c r="K647" s="9">
        <v>45714</v>
      </c>
      <c r="L647" s="9">
        <v>45720</v>
      </c>
      <c r="M647" s="9">
        <v>45714</v>
      </c>
      <c r="N647" s="2" t="s">
        <v>696</v>
      </c>
      <c r="O647" s="2" t="s">
        <v>55</v>
      </c>
      <c r="P647" s="2" t="s">
        <v>139</v>
      </c>
      <c r="Q647" s="2" t="s">
        <v>217</v>
      </c>
      <c r="R647" s="2" t="s">
        <v>128</v>
      </c>
      <c r="S647" s="2" t="s">
        <v>318</v>
      </c>
      <c r="T647" s="10">
        <v>106.48</v>
      </c>
      <c r="U647" s="11">
        <v>0.27229999999999999</v>
      </c>
      <c r="V647" s="12">
        <f>T647*U647</f>
        <v>28.994503999999999</v>
      </c>
      <c r="W647" s="13">
        <v>0.05</v>
      </c>
      <c r="X647" s="12">
        <f>V647-(V647/(1+W647))</f>
        <v>1.3806906666666663</v>
      </c>
      <c r="Y647" s="12">
        <f>V647-X647</f>
        <v>27.613813333333333</v>
      </c>
      <c r="Z647" s="14">
        <v>35</v>
      </c>
      <c r="AA647" s="2" t="str">
        <f>IF(V647&gt;Z647,"Yes","No")</f>
        <v>No</v>
      </c>
      <c r="AB647" s="12">
        <f>V647-Z647</f>
        <v>-6.0054960000000008</v>
      </c>
      <c r="AC647" s="15" t="s">
        <v>130</v>
      </c>
      <c r="AD647" s="15" t="s">
        <v>130</v>
      </c>
      <c r="AE647" s="15" t="s">
        <v>514</v>
      </c>
      <c r="AF647" s="12">
        <f>IF(AG647="Rejected",0,IF(R647="Corporate Card",0,V647))</f>
        <v>0</v>
      </c>
      <c r="AG647" s="15" t="s">
        <v>133</v>
      </c>
      <c r="AH647" s="16">
        <v>45727</v>
      </c>
      <c r="AI647" s="16">
        <v>45728</v>
      </c>
      <c r="AJ647" s="16">
        <v>45740</v>
      </c>
      <c r="AK647" s="17">
        <f>IF(AJ647="","",AJ647-AH647)</f>
        <v>13</v>
      </c>
    </row>
    <row r="648" spans="1:37">
      <c r="A648" s="2" t="s">
        <v>1025</v>
      </c>
      <c r="B648" s="2" t="s">
        <v>616</v>
      </c>
      <c r="C648" s="2" t="s">
        <v>252</v>
      </c>
      <c r="D648" s="2" t="s">
        <v>250</v>
      </c>
      <c r="E648" s="2" t="s">
        <v>617</v>
      </c>
      <c r="F648" s="2" t="s">
        <v>510</v>
      </c>
      <c r="G648" s="2" t="s">
        <v>994</v>
      </c>
      <c r="H648" s="2" t="s">
        <v>254</v>
      </c>
      <c r="I648" s="2" t="s">
        <v>567</v>
      </c>
      <c r="J648" s="2" t="s">
        <v>434</v>
      </c>
      <c r="K648" s="9">
        <v>45713</v>
      </c>
      <c r="L648" s="9">
        <v>45718</v>
      </c>
      <c r="M648" s="9">
        <v>45715</v>
      </c>
      <c r="N648" s="2" t="s">
        <v>696</v>
      </c>
      <c r="O648" s="2" t="s">
        <v>58</v>
      </c>
      <c r="P648" s="2" t="s">
        <v>142</v>
      </c>
      <c r="Q648" s="2" t="s">
        <v>203</v>
      </c>
      <c r="R648" s="2" t="s">
        <v>128</v>
      </c>
      <c r="S648" s="2" t="s">
        <v>436</v>
      </c>
      <c r="T648" s="10">
        <v>4374</v>
      </c>
      <c r="U648" s="11">
        <v>1.1780000000000001E-2</v>
      </c>
      <c r="V648" s="12">
        <f>T648*U648</f>
        <v>51.52572</v>
      </c>
      <c r="W648" s="13">
        <v>0.18</v>
      </c>
      <c r="X648" s="12">
        <f>V648-(V648/(1+W648))</f>
        <v>7.8598555932203382</v>
      </c>
      <c r="Y648" s="12">
        <f>V648-X648</f>
        <v>43.665864406779662</v>
      </c>
      <c r="Z648" s="14">
        <v>60</v>
      </c>
      <c r="AA648" s="2" t="str">
        <f>IF(V648&gt;Z648,"Yes","No")</f>
        <v>No</v>
      </c>
      <c r="AB648" s="12">
        <f>V648-Z648</f>
        <v>-8.4742800000000003</v>
      </c>
      <c r="AC648" s="15" t="s">
        <v>131</v>
      </c>
      <c r="AD648" s="15" t="s">
        <v>130</v>
      </c>
      <c r="AE648" s="15" t="s">
        <v>350</v>
      </c>
      <c r="AF648" s="12">
        <f>IF(AG648="Rejected",0,IF(R648="Corporate Card",0,V648))</f>
        <v>0</v>
      </c>
      <c r="AG648" s="15" t="s">
        <v>133</v>
      </c>
      <c r="AH648" s="16">
        <v>45726</v>
      </c>
      <c r="AI648" s="16">
        <v>45731</v>
      </c>
      <c r="AJ648" s="16">
        <v>45742</v>
      </c>
      <c r="AK648" s="17">
        <f>IF(AJ648="","",AJ648-AH648)</f>
        <v>16</v>
      </c>
    </row>
    <row r="649" spans="1:37">
      <c r="A649" s="2" t="s">
        <v>1026</v>
      </c>
      <c r="B649" s="2" t="s">
        <v>616</v>
      </c>
      <c r="C649" s="2" t="s">
        <v>252</v>
      </c>
      <c r="D649" s="2" t="s">
        <v>250</v>
      </c>
      <c r="E649" s="2" t="s">
        <v>617</v>
      </c>
      <c r="F649" s="2" t="s">
        <v>510</v>
      </c>
      <c r="G649" s="2" t="s">
        <v>994</v>
      </c>
      <c r="H649" s="2" t="s">
        <v>254</v>
      </c>
      <c r="I649" s="2" t="s">
        <v>567</v>
      </c>
      <c r="J649" s="2" t="s">
        <v>434</v>
      </c>
      <c r="K649" s="9">
        <v>45713</v>
      </c>
      <c r="L649" s="9">
        <v>45718</v>
      </c>
      <c r="M649" s="9">
        <v>45715</v>
      </c>
      <c r="N649" s="2" t="s">
        <v>696</v>
      </c>
      <c r="O649" s="2" t="s">
        <v>54</v>
      </c>
      <c r="P649" s="2" t="s">
        <v>139</v>
      </c>
      <c r="Q649" s="2" t="s">
        <v>163</v>
      </c>
      <c r="R649" s="2" t="s">
        <v>128</v>
      </c>
      <c r="S649" s="2" t="s">
        <v>436</v>
      </c>
      <c r="T649" s="10">
        <v>1162</v>
      </c>
      <c r="U649" s="11">
        <v>1.1780000000000001E-2</v>
      </c>
      <c r="V649" s="12">
        <f>T649*U649</f>
        <v>13.688360000000001</v>
      </c>
      <c r="W649" s="13">
        <v>0.18</v>
      </c>
      <c r="X649" s="12">
        <f>V649-(V649/(1+W649))</f>
        <v>2.0880549152542365</v>
      </c>
      <c r="Y649" s="12">
        <f>V649-X649</f>
        <v>11.600305084745765</v>
      </c>
      <c r="Z649" s="14">
        <v>25</v>
      </c>
      <c r="AA649" s="2" t="str">
        <f>IF(V649&gt;Z649,"Yes","No")</f>
        <v>No</v>
      </c>
      <c r="AB649" s="12">
        <f>V649-Z649</f>
        <v>-11.311639999999999</v>
      </c>
      <c r="AC649" s="15" t="s">
        <v>130</v>
      </c>
      <c r="AD649" s="15" t="s">
        <v>130</v>
      </c>
      <c r="AE649" s="15" t="s">
        <v>350</v>
      </c>
      <c r="AF649" s="12">
        <f>IF(AG649="Rejected",0,IF(R649="Corporate Card",0,V649))</f>
        <v>0</v>
      </c>
      <c r="AG649" s="15" t="s">
        <v>133</v>
      </c>
      <c r="AH649" s="16">
        <v>45726</v>
      </c>
      <c r="AI649" s="16">
        <v>45731</v>
      </c>
      <c r="AJ649" s="16">
        <v>45742</v>
      </c>
      <c r="AK649" s="17">
        <f>IF(AJ649="","",AJ649-AH649)</f>
        <v>16</v>
      </c>
    </row>
    <row r="650" spans="1:37">
      <c r="A650" s="2" t="s">
        <v>1027</v>
      </c>
      <c r="B650" s="2" t="s">
        <v>616</v>
      </c>
      <c r="C650" s="2" t="s">
        <v>252</v>
      </c>
      <c r="D650" s="2" t="s">
        <v>250</v>
      </c>
      <c r="E650" s="2" t="s">
        <v>617</v>
      </c>
      <c r="F650" s="2" t="s">
        <v>510</v>
      </c>
      <c r="G650" s="2" t="s">
        <v>994</v>
      </c>
      <c r="H650" s="2" t="s">
        <v>254</v>
      </c>
      <c r="I650" s="2" t="s">
        <v>567</v>
      </c>
      <c r="J650" s="2" t="s">
        <v>434</v>
      </c>
      <c r="K650" s="9">
        <v>45713</v>
      </c>
      <c r="L650" s="9">
        <v>45718</v>
      </c>
      <c r="M650" s="9">
        <v>45715</v>
      </c>
      <c r="N650" s="2" t="s">
        <v>696</v>
      </c>
      <c r="O650" s="2" t="s">
        <v>56</v>
      </c>
      <c r="P650" s="2" t="s">
        <v>165</v>
      </c>
      <c r="Q650" s="2" t="s">
        <v>185</v>
      </c>
      <c r="R650" s="2" t="s">
        <v>128</v>
      </c>
      <c r="S650" s="2" t="s">
        <v>436</v>
      </c>
      <c r="T650" s="10">
        <v>4291</v>
      </c>
      <c r="U650" s="11">
        <v>1.1780000000000001E-2</v>
      </c>
      <c r="V650" s="12">
        <f>T650*U650</f>
        <v>50.547980000000003</v>
      </c>
      <c r="W650" s="13">
        <v>0.18</v>
      </c>
      <c r="X650" s="12">
        <f>V650-(V650/(1+W650))</f>
        <v>7.7107088135593216</v>
      </c>
      <c r="Y650" s="12">
        <f>V650-X650</f>
        <v>42.837271186440681</v>
      </c>
      <c r="Z650" s="14">
        <v>75</v>
      </c>
      <c r="AA650" s="2" t="str">
        <f>IF(V650&gt;Z650,"Yes","No")</f>
        <v>No</v>
      </c>
      <c r="AB650" s="12">
        <f>V650-Z650</f>
        <v>-24.452019999999997</v>
      </c>
      <c r="AC650" s="15" t="s">
        <v>130</v>
      </c>
      <c r="AD650" s="15" t="s">
        <v>130</v>
      </c>
      <c r="AE650" s="15" t="s">
        <v>350</v>
      </c>
      <c r="AF650" s="12">
        <f>IF(AG650="Rejected",0,IF(R650="Corporate Card",0,V650))</f>
        <v>0</v>
      </c>
      <c r="AG650" s="15" t="s">
        <v>133</v>
      </c>
      <c r="AH650" s="16">
        <v>45726</v>
      </c>
      <c r="AI650" s="16">
        <v>45731</v>
      </c>
      <c r="AJ650" s="16">
        <v>45742</v>
      </c>
      <c r="AK650" s="17">
        <f>IF(AJ650="","",AJ650-AH650)</f>
        <v>16</v>
      </c>
    </row>
    <row r="651" spans="1:37">
      <c r="A651" s="2" t="s">
        <v>1028</v>
      </c>
      <c r="B651" s="2" t="s">
        <v>616</v>
      </c>
      <c r="C651" s="2" t="s">
        <v>252</v>
      </c>
      <c r="D651" s="2" t="s">
        <v>250</v>
      </c>
      <c r="E651" s="2" t="s">
        <v>617</v>
      </c>
      <c r="F651" s="2" t="s">
        <v>510</v>
      </c>
      <c r="G651" s="2" t="s">
        <v>994</v>
      </c>
      <c r="H651" s="2" t="s">
        <v>254</v>
      </c>
      <c r="I651" s="2" t="s">
        <v>567</v>
      </c>
      <c r="J651" s="2" t="s">
        <v>434</v>
      </c>
      <c r="K651" s="9">
        <v>45713</v>
      </c>
      <c r="L651" s="9">
        <v>45718</v>
      </c>
      <c r="M651" s="9">
        <v>45715</v>
      </c>
      <c r="N651" s="2" t="s">
        <v>696</v>
      </c>
      <c r="O651" s="2" t="s">
        <v>55</v>
      </c>
      <c r="P651" s="2" t="s">
        <v>139</v>
      </c>
      <c r="Q651" s="2" t="s">
        <v>161</v>
      </c>
      <c r="R651" s="2" t="s">
        <v>128</v>
      </c>
      <c r="S651" s="2" t="s">
        <v>436</v>
      </c>
      <c r="T651" s="10">
        <v>1161</v>
      </c>
      <c r="U651" s="11">
        <v>1.1780000000000001E-2</v>
      </c>
      <c r="V651" s="12">
        <f>T651*U651</f>
        <v>13.676580000000001</v>
      </c>
      <c r="W651" s="13">
        <v>0.18</v>
      </c>
      <c r="X651" s="12">
        <f>V651-(V651/(1+W651))</f>
        <v>2.0862579661016944</v>
      </c>
      <c r="Y651" s="12">
        <f>V651-X651</f>
        <v>11.590322033898307</v>
      </c>
      <c r="Z651" s="14">
        <v>35</v>
      </c>
      <c r="AA651" s="2" t="str">
        <f>IF(V651&gt;Z651,"Yes","No")</f>
        <v>No</v>
      </c>
      <c r="AB651" s="12">
        <f>V651-Z651</f>
        <v>-21.323419999999999</v>
      </c>
      <c r="AC651" s="15" t="s">
        <v>130</v>
      </c>
      <c r="AD651" s="15" t="s">
        <v>130</v>
      </c>
      <c r="AE651" s="15" t="s">
        <v>350</v>
      </c>
      <c r="AF651" s="12">
        <f>IF(AG651="Rejected",0,IF(R651="Corporate Card",0,V651))</f>
        <v>0</v>
      </c>
      <c r="AG651" s="15" t="s">
        <v>133</v>
      </c>
      <c r="AH651" s="16">
        <v>45726</v>
      </c>
      <c r="AI651" s="16">
        <v>45731</v>
      </c>
      <c r="AJ651" s="16">
        <v>45742</v>
      </c>
      <c r="AK651" s="17">
        <f>IF(AJ651="","",AJ651-AH651)</f>
        <v>16</v>
      </c>
    </row>
    <row r="652" spans="1:37">
      <c r="A652" s="2" t="s">
        <v>1029</v>
      </c>
      <c r="B652" s="2" t="s">
        <v>616</v>
      </c>
      <c r="C652" s="2" t="s">
        <v>252</v>
      </c>
      <c r="D652" s="2" t="s">
        <v>250</v>
      </c>
      <c r="E652" s="2" t="s">
        <v>617</v>
      </c>
      <c r="F652" s="2" t="s">
        <v>510</v>
      </c>
      <c r="G652" s="2" t="s">
        <v>984</v>
      </c>
      <c r="H652" s="2" t="s">
        <v>748</v>
      </c>
      <c r="I652" s="2" t="s">
        <v>749</v>
      </c>
      <c r="J652" s="2" t="s">
        <v>750</v>
      </c>
      <c r="K652" s="9">
        <v>45712</v>
      </c>
      <c r="L652" s="9">
        <v>45717</v>
      </c>
      <c r="M652" s="9">
        <v>45715</v>
      </c>
      <c r="N652" s="2" t="s">
        <v>696</v>
      </c>
      <c r="O652" s="2" t="s">
        <v>68</v>
      </c>
      <c r="P652" s="2" t="s">
        <v>282</v>
      </c>
      <c r="Q652" s="2" t="s">
        <v>283</v>
      </c>
      <c r="R652" s="2" t="s">
        <v>149</v>
      </c>
      <c r="S652" s="2" t="s">
        <v>198</v>
      </c>
      <c r="T652" s="10">
        <v>19.07</v>
      </c>
      <c r="U652" s="11">
        <v>1.085</v>
      </c>
      <c r="V652" s="12">
        <f>T652*U652</f>
        <v>20.690950000000001</v>
      </c>
      <c r="W652" s="13">
        <v>0.19</v>
      </c>
      <c r="X652" s="12">
        <f>V652-(V652/(1+W652))</f>
        <v>3.3035970588235273</v>
      </c>
      <c r="Y652" s="12">
        <f>V652-X652</f>
        <v>17.387352941176474</v>
      </c>
      <c r="Z652" s="14">
        <v>30</v>
      </c>
      <c r="AA652" s="2" t="str">
        <f>IF(V652&gt;Z652,"Yes","No")</f>
        <v>No</v>
      </c>
      <c r="AB652" s="12">
        <f>V652-Z652</f>
        <v>-9.3090499999999992</v>
      </c>
      <c r="AC652" s="15" t="s">
        <v>130</v>
      </c>
      <c r="AD652" s="15" t="s">
        <v>131</v>
      </c>
      <c r="AE652" s="15" t="s">
        <v>437</v>
      </c>
      <c r="AF652" s="12">
        <f>IF(AG652="Rejected",0,IF(R652="Corporate Card",0,V652))</f>
        <v>20.690950000000001</v>
      </c>
      <c r="AG652" s="15" t="s">
        <v>133</v>
      </c>
      <c r="AH652" s="16">
        <v>45729</v>
      </c>
      <c r="AI652" s="16">
        <v>45737</v>
      </c>
      <c r="AJ652" s="16">
        <v>45739</v>
      </c>
      <c r="AK652" s="17">
        <f>IF(AJ652="","",AJ652-AH652)</f>
        <v>10</v>
      </c>
    </row>
    <row r="653" spans="1:37">
      <c r="A653" s="2" t="s">
        <v>1030</v>
      </c>
      <c r="B653" s="2" t="s">
        <v>616</v>
      </c>
      <c r="C653" s="2" t="s">
        <v>252</v>
      </c>
      <c r="D653" s="2" t="s">
        <v>250</v>
      </c>
      <c r="E653" s="2" t="s">
        <v>617</v>
      </c>
      <c r="F653" s="2" t="s">
        <v>510</v>
      </c>
      <c r="G653" s="2" t="s">
        <v>984</v>
      </c>
      <c r="H653" s="2" t="s">
        <v>748</v>
      </c>
      <c r="I653" s="2" t="s">
        <v>749</v>
      </c>
      <c r="J653" s="2" t="s">
        <v>750</v>
      </c>
      <c r="K653" s="9">
        <v>45712</v>
      </c>
      <c r="L653" s="9">
        <v>45717</v>
      </c>
      <c r="M653" s="9">
        <v>45715</v>
      </c>
      <c r="N653" s="2" t="s">
        <v>696</v>
      </c>
      <c r="O653" s="2" t="s">
        <v>56</v>
      </c>
      <c r="P653" s="2" t="s">
        <v>245</v>
      </c>
      <c r="Q653" s="2" t="s">
        <v>159</v>
      </c>
      <c r="R653" s="2" t="s">
        <v>128</v>
      </c>
      <c r="S653" s="2" t="s">
        <v>198</v>
      </c>
      <c r="T653" s="10">
        <v>52.57</v>
      </c>
      <c r="U653" s="11">
        <v>1.085</v>
      </c>
      <c r="V653" s="12">
        <f>T653*U653</f>
        <v>57.038449999999997</v>
      </c>
      <c r="W653" s="13">
        <v>0.19</v>
      </c>
      <c r="X653" s="12">
        <f>V653-(V653/(1+W653))</f>
        <v>9.1069794117647049</v>
      </c>
      <c r="Y653" s="12">
        <f>V653-X653</f>
        <v>47.931470588235292</v>
      </c>
      <c r="Z653" s="14">
        <v>75</v>
      </c>
      <c r="AA653" s="2" t="str">
        <f>IF(V653&gt;Z653,"Yes","No")</f>
        <v>No</v>
      </c>
      <c r="AB653" s="12">
        <f>V653-Z653</f>
        <v>-17.961550000000003</v>
      </c>
      <c r="AC653" s="15" t="s">
        <v>130</v>
      </c>
      <c r="AD653" s="15" t="s">
        <v>131</v>
      </c>
      <c r="AE653" s="15" t="s">
        <v>437</v>
      </c>
      <c r="AF653" s="12">
        <f>IF(AG653="Rejected",0,IF(R653="Corporate Card",0,V653))</f>
        <v>0</v>
      </c>
      <c r="AG653" s="15" t="s">
        <v>133</v>
      </c>
      <c r="AH653" s="16">
        <v>45729</v>
      </c>
      <c r="AI653" s="16">
        <v>45737</v>
      </c>
      <c r="AJ653" s="16">
        <v>45739</v>
      </c>
      <c r="AK653" s="17">
        <f>IF(AJ653="","",AJ653-AH653)</f>
        <v>10</v>
      </c>
    </row>
    <row r="654" spans="1:37">
      <c r="A654" s="2" t="s">
        <v>1031</v>
      </c>
      <c r="B654" s="2" t="s">
        <v>616</v>
      </c>
      <c r="C654" s="2" t="s">
        <v>252</v>
      </c>
      <c r="D654" s="2" t="s">
        <v>250</v>
      </c>
      <c r="E654" s="2" t="s">
        <v>617</v>
      </c>
      <c r="F654" s="2" t="s">
        <v>510</v>
      </c>
      <c r="G654" s="2" t="s">
        <v>984</v>
      </c>
      <c r="H654" s="2" t="s">
        <v>748</v>
      </c>
      <c r="I654" s="2" t="s">
        <v>749</v>
      </c>
      <c r="J654" s="2" t="s">
        <v>750</v>
      </c>
      <c r="K654" s="9">
        <v>45712</v>
      </c>
      <c r="L654" s="9">
        <v>45717</v>
      </c>
      <c r="M654" s="9">
        <v>45715</v>
      </c>
      <c r="N654" s="2" t="s">
        <v>696</v>
      </c>
      <c r="O654" s="2" t="s">
        <v>55</v>
      </c>
      <c r="P654" s="2" t="s">
        <v>139</v>
      </c>
      <c r="Q654" s="2" t="s">
        <v>154</v>
      </c>
      <c r="R654" s="2" t="s">
        <v>137</v>
      </c>
      <c r="S654" s="2" t="s">
        <v>198</v>
      </c>
      <c r="T654" s="10">
        <v>14.91</v>
      </c>
      <c r="U654" s="11">
        <v>1.085</v>
      </c>
      <c r="V654" s="12">
        <f>T654*U654</f>
        <v>16.177350000000001</v>
      </c>
      <c r="W654" s="13">
        <v>0.19</v>
      </c>
      <c r="X654" s="12">
        <f>V654-(V654/(1+W654))</f>
        <v>2.582938235294117</v>
      </c>
      <c r="Y654" s="12">
        <f>V654-X654</f>
        <v>13.594411764705884</v>
      </c>
      <c r="Z654" s="14">
        <v>35</v>
      </c>
      <c r="AA654" s="2" t="str">
        <f>IF(V654&gt;Z654,"Yes","No")</f>
        <v>No</v>
      </c>
      <c r="AB654" s="12">
        <f>V654-Z654</f>
        <v>-18.822649999999999</v>
      </c>
      <c r="AC654" s="15" t="s">
        <v>130</v>
      </c>
      <c r="AD654" s="15" t="s">
        <v>131</v>
      </c>
      <c r="AE654" s="15" t="s">
        <v>437</v>
      </c>
      <c r="AF654" s="12">
        <f>IF(AG654="Rejected",0,IF(R654="Corporate Card",0,V654))</f>
        <v>16.177350000000001</v>
      </c>
      <c r="AG654" s="15" t="s">
        <v>133</v>
      </c>
      <c r="AH654" s="16">
        <v>45729</v>
      </c>
      <c r="AI654" s="16">
        <v>45737</v>
      </c>
      <c r="AJ654" s="16">
        <v>45739</v>
      </c>
      <c r="AK654" s="17">
        <f>IF(AJ654="","",AJ654-AH654)</f>
        <v>10</v>
      </c>
    </row>
    <row r="655" spans="1:37">
      <c r="A655" s="2" t="s">
        <v>1032</v>
      </c>
      <c r="B655" s="2" t="s">
        <v>287</v>
      </c>
      <c r="C655" s="2" t="s">
        <v>288</v>
      </c>
      <c r="D655" s="2" t="s">
        <v>171</v>
      </c>
      <c r="E655" s="2" t="s">
        <v>289</v>
      </c>
      <c r="F655" s="2" t="s">
        <v>173</v>
      </c>
      <c r="G655" s="2" t="s">
        <v>1020</v>
      </c>
      <c r="H655" s="2" t="s">
        <v>291</v>
      </c>
      <c r="I655" s="2" t="s">
        <v>315</v>
      </c>
      <c r="J655" s="2" t="s">
        <v>316</v>
      </c>
      <c r="K655" s="9">
        <v>45714</v>
      </c>
      <c r="L655" s="9">
        <v>45720</v>
      </c>
      <c r="M655" s="9">
        <v>45715</v>
      </c>
      <c r="N655" s="2" t="s">
        <v>696</v>
      </c>
      <c r="O655" s="2" t="s">
        <v>53</v>
      </c>
      <c r="P655" s="2" t="s">
        <v>467</v>
      </c>
      <c r="Q655" s="2" t="s">
        <v>220</v>
      </c>
      <c r="R655" s="2" t="s">
        <v>128</v>
      </c>
      <c r="S655" s="2" t="s">
        <v>318</v>
      </c>
      <c r="T655" s="10">
        <v>2704.57</v>
      </c>
      <c r="U655" s="11">
        <v>0.27229999999999999</v>
      </c>
      <c r="V655" s="12">
        <f>T655*U655</f>
        <v>736.45441100000005</v>
      </c>
      <c r="W655" s="13">
        <v>0.05</v>
      </c>
      <c r="X655" s="12">
        <f>V655-(V655/(1+W655))</f>
        <v>35.069257666666658</v>
      </c>
      <c r="Y655" s="12">
        <f>V655-X655</f>
        <v>701.38515333333339</v>
      </c>
      <c r="Z655" s="14">
        <v>1680</v>
      </c>
      <c r="AA655" s="2" t="str">
        <f>IF(V655&gt;Z655,"Yes","No")</f>
        <v>No</v>
      </c>
      <c r="AB655" s="12">
        <f>V655-Z655</f>
        <v>-943.54558899999995</v>
      </c>
      <c r="AC655" s="15" t="s">
        <v>130</v>
      </c>
      <c r="AD655" s="15" t="s">
        <v>130</v>
      </c>
      <c r="AE655" s="15" t="s">
        <v>514</v>
      </c>
      <c r="AF655" s="12">
        <f>IF(AG655="Rejected",0,IF(R655="Corporate Card",0,V655))</f>
        <v>0</v>
      </c>
      <c r="AG655" s="15" t="s">
        <v>133</v>
      </c>
      <c r="AH655" s="16">
        <v>45727</v>
      </c>
      <c r="AI655" s="16">
        <v>45728</v>
      </c>
      <c r="AJ655" s="16">
        <v>45740</v>
      </c>
      <c r="AK655" s="17">
        <f>IF(AJ655="","",AJ655-AH655)</f>
        <v>13</v>
      </c>
    </row>
    <row r="656" spans="1:37">
      <c r="A656" s="2" t="s">
        <v>1033</v>
      </c>
      <c r="B656" s="2" t="s">
        <v>287</v>
      </c>
      <c r="C656" s="2" t="s">
        <v>288</v>
      </c>
      <c r="D656" s="2" t="s">
        <v>171</v>
      </c>
      <c r="E656" s="2" t="s">
        <v>289</v>
      </c>
      <c r="F656" s="2" t="s">
        <v>173</v>
      </c>
      <c r="G656" s="2" t="s">
        <v>1020</v>
      </c>
      <c r="H656" s="2" t="s">
        <v>291</v>
      </c>
      <c r="I656" s="2" t="s">
        <v>315</v>
      </c>
      <c r="J656" s="2" t="s">
        <v>316</v>
      </c>
      <c r="K656" s="9">
        <v>45714</v>
      </c>
      <c r="L656" s="9">
        <v>45720</v>
      </c>
      <c r="M656" s="9">
        <v>45715</v>
      </c>
      <c r="N656" s="2" t="s">
        <v>696</v>
      </c>
      <c r="O656" s="2" t="s">
        <v>65</v>
      </c>
      <c r="P656" s="2" t="s">
        <v>211</v>
      </c>
      <c r="Q656" s="2" t="s">
        <v>364</v>
      </c>
      <c r="R656" s="2" t="s">
        <v>137</v>
      </c>
      <c r="S656" s="2" t="s">
        <v>318</v>
      </c>
      <c r="T656" s="10">
        <v>160.85</v>
      </c>
      <c r="U656" s="11">
        <v>0.27229999999999999</v>
      </c>
      <c r="V656" s="12">
        <f>T656*U656</f>
        <v>43.799454999999995</v>
      </c>
      <c r="W656" s="13">
        <v>0.05</v>
      </c>
      <c r="X656" s="12">
        <f>V656-(V656/(1+W656))</f>
        <v>2.0856883333333371</v>
      </c>
      <c r="Y656" s="12">
        <f>V656-X656</f>
        <v>41.713766666666658</v>
      </c>
      <c r="Z656" s="14">
        <v>55</v>
      </c>
      <c r="AA656" s="2" t="str">
        <f>IF(V656&gt;Z656,"Yes","No")</f>
        <v>No</v>
      </c>
      <c r="AB656" s="12">
        <f>V656-Z656</f>
        <v>-11.200545000000005</v>
      </c>
      <c r="AC656" s="15" t="s">
        <v>130</v>
      </c>
      <c r="AD656" s="15" t="s">
        <v>130</v>
      </c>
      <c r="AE656" s="15" t="s">
        <v>514</v>
      </c>
      <c r="AF656" s="12">
        <f>IF(AG656="Rejected",0,IF(R656="Corporate Card",0,V656))</f>
        <v>43.799454999999995</v>
      </c>
      <c r="AG656" s="15" t="s">
        <v>133</v>
      </c>
      <c r="AH656" s="16">
        <v>45727</v>
      </c>
      <c r="AI656" s="16">
        <v>45728</v>
      </c>
      <c r="AJ656" s="16">
        <v>45740</v>
      </c>
      <c r="AK656" s="17">
        <f>IF(AJ656="","",AJ656-AH656)</f>
        <v>13</v>
      </c>
    </row>
    <row r="657" spans="1:37">
      <c r="A657" s="2" t="s">
        <v>1034</v>
      </c>
      <c r="B657" s="2" t="s">
        <v>287</v>
      </c>
      <c r="C657" s="2" t="s">
        <v>288</v>
      </c>
      <c r="D657" s="2" t="s">
        <v>171</v>
      </c>
      <c r="E657" s="2" t="s">
        <v>289</v>
      </c>
      <c r="F657" s="2" t="s">
        <v>173</v>
      </c>
      <c r="G657" s="2" t="s">
        <v>1020</v>
      </c>
      <c r="H657" s="2" t="s">
        <v>291</v>
      </c>
      <c r="I657" s="2" t="s">
        <v>315</v>
      </c>
      <c r="J657" s="2" t="s">
        <v>316</v>
      </c>
      <c r="K657" s="9">
        <v>45714</v>
      </c>
      <c r="L657" s="9">
        <v>45720</v>
      </c>
      <c r="M657" s="9">
        <v>45715</v>
      </c>
      <c r="N657" s="2" t="s">
        <v>696</v>
      </c>
      <c r="O657" s="2" t="s">
        <v>54</v>
      </c>
      <c r="P657" s="2" t="s">
        <v>139</v>
      </c>
      <c r="Q657" s="2" t="s">
        <v>140</v>
      </c>
      <c r="R657" s="2" t="s">
        <v>137</v>
      </c>
      <c r="S657" s="2" t="s">
        <v>318</v>
      </c>
      <c r="T657" s="10">
        <v>106.35</v>
      </c>
      <c r="U657" s="11">
        <v>0.27229999999999999</v>
      </c>
      <c r="V657" s="12">
        <f>T657*U657</f>
        <v>28.959104999999997</v>
      </c>
      <c r="W657" s="13">
        <v>0.05</v>
      </c>
      <c r="X657" s="12">
        <f>V657-(V657/(1+W657))</f>
        <v>1.3790049999999994</v>
      </c>
      <c r="Y657" s="12">
        <f>V657-X657</f>
        <v>27.580099999999998</v>
      </c>
      <c r="Z657" s="14">
        <v>25</v>
      </c>
      <c r="AA657" s="2" t="str">
        <f>IF(V657&gt;Z657,"Yes","No")</f>
        <v>Yes</v>
      </c>
      <c r="AB657" s="12">
        <f>V657-Z657</f>
        <v>3.9591049999999974</v>
      </c>
      <c r="AC657" s="15" t="s">
        <v>131</v>
      </c>
      <c r="AD657" s="15" t="s">
        <v>130</v>
      </c>
      <c r="AE657" s="15" t="s">
        <v>514</v>
      </c>
      <c r="AF657" s="12">
        <f>IF(AG657="Rejected",0,IF(R657="Corporate Card",0,V657))</f>
        <v>28.959104999999997</v>
      </c>
      <c r="AG657" s="15" t="s">
        <v>133</v>
      </c>
      <c r="AH657" s="16">
        <v>45727</v>
      </c>
      <c r="AI657" s="16">
        <v>45728</v>
      </c>
      <c r="AJ657" s="16">
        <v>45740</v>
      </c>
      <c r="AK657" s="17">
        <f>IF(AJ657="","",AJ657-AH657)</f>
        <v>13</v>
      </c>
    </row>
    <row r="658" spans="1:37">
      <c r="A658" s="2" t="s">
        <v>1035</v>
      </c>
      <c r="B658" s="2" t="s">
        <v>287</v>
      </c>
      <c r="C658" s="2" t="s">
        <v>288</v>
      </c>
      <c r="D658" s="2" t="s">
        <v>171</v>
      </c>
      <c r="E658" s="2" t="s">
        <v>289</v>
      </c>
      <c r="F658" s="2" t="s">
        <v>173</v>
      </c>
      <c r="G658" s="2" t="s">
        <v>1020</v>
      </c>
      <c r="H658" s="2" t="s">
        <v>291</v>
      </c>
      <c r="I658" s="2" t="s">
        <v>315</v>
      </c>
      <c r="J658" s="2" t="s">
        <v>316</v>
      </c>
      <c r="K658" s="9">
        <v>45714</v>
      </c>
      <c r="L658" s="9">
        <v>45720</v>
      </c>
      <c r="M658" s="9">
        <v>45715</v>
      </c>
      <c r="N658" s="2" t="s">
        <v>696</v>
      </c>
      <c r="O658" s="2" t="s">
        <v>56</v>
      </c>
      <c r="P658" s="2" t="s">
        <v>245</v>
      </c>
      <c r="Q658" s="2" t="s">
        <v>227</v>
      </c>
      <c r="R658" s="2" t="s">
        <v>149</v>
      </c>
      <c r="S658" s="2" t="s">
        <v>318</v>
      </c>
      <c r="T658" s="10">
        <v>209.57</v>
      </c>
      <c r="U658" s="11">
        <v>0.27229999999999999</v>
      </c>
      <c r="V658" s="12">
        <f>T658*U658</f>
        <v>57.065910999999993</v>
      </c>
      <c r="W658" s="13">
        <v>0.05</v>
      </c>
      <c r="X658" s="12">
        <f>V658-(V658/(1+W658))</f>
        <v>2.7174243333333337</v>
      </c>
      <c r="Y658" s="12">
        <f>V658-X658</f>
        <v>54.348486666666659</v>
      </c>
      <c r="Z658" s="14">
        <v>75</v>
      </c>
      <c r="AA658" s="2" t="str">
        <f>IF(V658&gt;Z658,"Yes","No")</f>
        <v>No</v>
      </c>
      <c r="AB658" s="12">
        <f>V658-Z658</f>
        <v>-17.934089000000007</v>
      </c>
      <c r="AC658" s="15" t="s">
        <v>130</v>
      </c>
      <c r="AD658" s="15" t="s">
        <v>130</v>
      </c>
      <c r="AE658" s="15" t="s">
        <v>514</v>
      </c>
      <c r="AF658" s="12">
        <f>IF(AG658="Rejected",0,IF(R658="Corporate Card",0,V658))</f>
        <v>57.065910999999993</v>
      </c>
      <c r="AG658" s="15" t="s">
        <v>133</v>
      </c>
      <c r="AH658" s="16">
        <v>45727</v>
      </c>
      <c r="AI658" s="16">
        <v>45728</v>
      </c>
      <c r="AJ658" s="16">
        <v>45740</v>
      </c>
      <c r="AK658" s="17">
        <f>IF(AJ658="","",AJ658-AH658)</f>
        <v>13</v>
      </c>
    </row>
    <row r="659" spans="1:37">
      <c r="A659" s="2" t="s">
        <v>1036</v>
      </c>
      <c r="B659" s="2" t="s">
        <v>189</v>
      </c>
      <c r="C659" s="2" t="s">
        <v>190</v>
      </c>
      <c r="D659" s="2" t="s">
        <v>171</v>
      </c>
      <c r="E659" s="2" t="s">
        <v>191</v>
      </c>
      <c r="F659" s="2" t="s">
        <v>173</v>
      </c>
      <c r="G659" s="2" t="s">
        <v>1037</v>
      </c>
      <c r="H659" s="2" t="s">
        <v>291</v>
      </c>
      <c r="I659" s="2" t="s">
        <v>1038</v>
      </c>
      <c r="J659" s="2" t="s">
        <v>381</v>
      </c>
      <c r="K659" s="9">
        <v>45716</v>
      </c>
      <c r="L659" s="9">
        <v>45724</v>
      </c>
      <c r="M659" s="9">
        <v>45716</v>
      </c>
      <c r="N659" s="2" t="s">
        <v>696</v>
      </c>
      <c r="O659" s="2" t="s">
        <v>52</v>
      </c>
      <c r="P659" s="2" t="s">
        <v>1039</v>
      </c>
      <c r="Q659" s="2" t="s">
        <v>136</v>
      </c>
      <c r="R659" s="2" t="s">
        <v>128</v>
      </c>
      <c r="S659" s="2" t="s">
        <v>383</v>
      </c>
      <c r="T659" s="10">
        <v>777.32</v>
      </c>
      <c r="U659" s="11">
        <v>1</v>
      </c>
      <c r="V659" s="12">
        <f>T659*U659</f>
        <v>777.32</v>
      </c>
      <c r="W659" s="13">
        <v>0</v>
      </c>
      <c r="X659" s="12">
        <f>V659-(V659/(1+W659))</f>
        <v>0</v>
      </c>
      <c r="Y659" s="12">
        <f>V659-X659</f>
        <v>777.32</v>
      </c>
      <c r="Z659" s="14">
        <v>1400</v>
      </c>
      <c r="AA659" s="2" t="str">
        <f>IF(V659&gt;Z659,"Yes","No")</f>
        <v>No</v>
      </c>
      <c r="AB659" s="12">
        <f>V659-Z659</f>
        <v>-622.67999999999995</v>
      </c>
      <c r="AC659" s="15" t="s">
        <v>130</v>
      </c>
      <c r="AD659" s="15" t="s">
        <v>130</v>
      </c>
      <c r="AE659" s="15" t="s">
        <v>514</v>
      </c>
      <c r="AF659" s="12">
        <f>IF(AG659="Rejected",0,IF(R659="Corporate Card",0,V659))</f>
        <v>0</v>
      </c>
      <c r="AG659" s="15" t="s">
        <v>133</v>
      </c>
      <c r="AH659" s="16">
        <v>45727</v>
      </c>
      <c r="AI659" s="16">
        <v>45735</v>
      </c>
      <c r="AJ659" s="16">
        <v>45745</v>
      </c>
      <c r="AK659" s="17">
        <f>IF(AJ659="","",AJ659-AH659)</f>
        <v>18</v>
      </c>
    </row>
    <row r="660" spans="1:37">
      <c r="A660" s="2" t="s">
        <v>1040</v>
      </c>
      <c r="B660" s="2" t="s">
        <v>189</v>
      </c>
      <c r="C660" s="2" t="s">
        <v>190</v>
      </c>
      <c r="D660" s="2" t="s">
        <v>171</v>
      </c>
      <c r="E660" s="2" t="s">
        <v>191</v>
      </c>
      <c r="F660" s="2" t="s">
        <v>173</v>
      </c>
      <c r="G660" s="2" t="s">
        <v>1037</v>
      </c>
      <c r="H660" s="2" t="s">
        <v>291</v>
      </c>
      <c r="I660" s="2" t="s">
        <v>1038</v>
      </c>
      <c r="J660" s="2" t="s">
        <v>381</v>
      </c>
      <c r="K660" s="9">
        <v>45716</v>
      </c>
      <c r="L660" s="9">
        <v>45724</v>
      </c>
      <c r="M660" s="9">
        <v>45716</v>
      </c>
      <c r="N660" s="2" t="s">
        <v>696</v>
      </c>
      <c r="O660" s="2" t="s">
        <v>56</v>
      </c>
      <c r="P660" s="2" t="s">
        <v>165</v>
      </c>
      <c r="Q660" s="2" t="s">
        <v>227</v>
      </c>
      <c r="R660" s="2" t="s">
        <v>149</v>
      </c>
      <c r="S660" s="2" t="s">
        <v>383</v>
      </c>
      <c r="T660" s="10">
        <v>60.93</v>
      </c>
      <c r="U660" s="11">
        <v>1</v>
      </c>
      <c r="V660" s="12">
        <f>T660*U660</f>
        <v>60.93</v>
      </c>
      <c r="W660" s="13">
        <v>0</v>
      </c>
      <c r="X660" s="12">
        <f>V660-(V660/(1+W660))</f>
        <v>0</v>
      </c>
      <c r="Y660" s="12">
        <f>V660-X660</f>
        <v>60.93</v>
      </c>
      <c r="Z660" s="14">
        <v>75</v>
      </c>
      <c r="AA660" s="2" t="str">
        <f>IF(V660&gt;Z660,"Yes","No")</f>
        <v>No</v>
      </c>
      <c r="AB660" s="12">
        <f>V660-Z660</f>
        <v>-14.07</v>
      </c>
      <c r="AC660" s="15" t="s">
        <v>130</v>
      </c>
      <c r="AD660" s="15" t="s">
        <v>130</v>
      </c>
      <c r="AE660" s="15" t="s">
        <v>514</v>
      </c>
      <c r="AF660" s="12">
        <f>IF(AG660="Rejected",0,IF(R660="Corporate Card",0,V660))</f>
        <v>60.93</v>
      </c>
      <c r="AG660" s="15" t="s">
        <v>133</v>
      </c>
      <c r="AH660" s="16">
        <v>45727</v>
      </c>
      <c r="AI660" s="16">
        <v>45735</v>
      </c>
      <c r="AJ660" s="16">
        <v>45745</v>
      </c>
      <c r="AK660" s="17">
        <f>IF(AJ660="","",AJ660-AH660)</f>
        <v>18</v>
      </c>
    </row>
    <row r="661" spans="1:37">
      <c r="A661" s="2" t="s">
        <v>1041</v>
      </c>
      <c r="B661" s="2" t="s">
        <v>189</v>
      </c>
      <c r="C661" s="2" t="s">
        <v>190</v>
      </c>
      <c r="D661" s="2" t="s">
        <v>171</v>
      </c>
      <c r="E661" s="2" t="s">
        <v>191</v>
      </c>
      <c r="F661" s="2" t="s">
        <v>173</v>
      </c>
      <c r="G661" s="2" t="s">
        <v>1037</v>
      </c>
      <c r="H661" s="2" t="s">
        <v>291</v>
      </c>
      <c r="I661" s="2" t="s">
        <v>1038</v>
      </c>
      <c r="J661" s="2" t="s">
        <v>381</v>
      </c>
      <c r="K661" s="9">
        <v>45716</v>
      </c>
      <c r="L661" s="9">
        <v>45724</v>
      </c>
      <c r="M661" s="9">
        <v>45716</v>
      </c>
      <c r="N661" s="2" t="s">
        <v>696</v>
      </c>
      <c r="O661" s="2" t="s">
        <v>55</v>
      </c>
      <c r="P661" s="2" t="s">
        <v>139</v>
      </c>
      <c r="Q661" s="2" t="s">
        <v>161</v>
      </c>
      <c r="R661" s="2" t="s">
        <v>128</v>
      </c>
      <c r="S661" s="2" t="s">
        <v>383</v>
      </c>
      <c r="T661" s="10">
        <v>27.87</v>
      </c>
      <c r="U661" s="11">
        <v>1</v>
      </c>
      <c r="V661" s="12">
        <f>T661*U661</f>
        <v>27.87</v>
      </c>
      <c r="W661" s="13">
        <v>0</v>
      </c>
      <c r="X661" s="12">
        <f>V661-(V661/(1+W661))</f>
        <v>0</v>
      </c>
      <c r="Y661" s="12">
        <f>V661-X661</f>
        <v>27.87</v>
      </c>
      <c r="Z661" s="14">
        <v>35</v>
      </c>
      <c r="AA661" s="2" t="str">
        <f>IF(V661&gt;Z661,"Yes","No")</f>
        <v>No</v>
      </c>
      <c r="AB661" s="12">
        <f>V661-Z661</f>
        <v>-7.129999999999999</v>
      </c>
      <c r="AC661" s="15" t="s">
        <v>130</v>
      </c>
      <c r="AD661" s="15" t="s">
        <v>130</v>
      </c>
      <c r="AE661" s="15" t="s">
        <v>514</v>
      </c>
      <c r="AF661" s="12">
        <f>IF(AG661="Rejected",0,IF(R661="Corporate Card",0,V661))</f>
        <v>0</v>
      </c>
      <c r="AG661" s="15" t="s">
        <v>133</v>
      </c>
      <c r="AH661" s="16">
        <v>45727</v>
      </c>
      <c r="AI661" s="16">
        <v>45735</v>
      </c>
      <c r="AJ661" s="16">
        <v>45745</v>
      </c>
      <c r="AK661" s="17">
        <f>IF(AJ661="","",AJ661-AH661)</f>
        <v>18</v>
      </c>
    </row>
    <row r="662" spans="1:37">
      <c r="A662" s="2" t="s">
        <v>1042</v>
      </c>
      <c r="B662" s="2" t="s">
        <v>616</v>
      </c>
      <c r="C662" s="2" t="s">
        <v>252</v>
      </c>
      <c r="D662" s="2" t="s">
        <v>250</v>
      </c>
      <c r="E662" s="2" t="s">
        <v>617</v>
      </c>
      <c r="F662" s="2" t="s">
        <v>510</v>
      </c>
      <c r="G662" s="2" t="s">
        <v>994</v>
      </c>
      <c r="H662" s="2" t="s">
        <v>254</v>
      </c>
      <c r="I662" s="2" t="s">
        <v>567</v>
      </c>
      <c r="J662" s="2" t="s">
        <v>434</v>
      </c>
      <c r="K662" s="9">
        <v>45713</v>
      </c>
      <c r="L662" s="9">
        <v>45718</v>
      </c>
      <c r="M662" s="9">
        <v>45716</v>
      </c>
      <c r="N662" s="2" t="s">
        <v>696</v>
      </c>
      <c r="O662" s="2" t="s">
        <v>58</v>
      </c>
      <c r="P662" s="2" t="s">
        <v>142</v>
      </c>
      <c r="Q662" s="2" t="s">
        <v>156</v>
      </c>
      <c r="R662" s="2" t="s">
        <v>137</v>
      </c>
      <c r="S662" s="2" t="s">
        <v>436</v>
      </c>
      <c r="T662" s="10">
        <v>3935</v>
      </c>
      <c r="U662" s="11">
        <v>1.1780000000000001E-2</v>
      </c>
      <c r="V662" s="12">
        <f>T662*U662</f>
        <v>46.354300000000002</v>
      </c>
      <c r="W662" s="13">
        <v>0.18</v>
      </c>
      <c r="X662" s="12">
        <f>V662-(V662/(1+W662))</f>
        <v>7.0709949152542322</v>
      </c>
      <c r="Y662" s="12">
        <f>V662-X662</f>
        <v>39.28330508474577</v>
      </c>
      <c r="Z662" s="14">
        <v>60</v>
      </c>
      <c r="AA662" s="2" t="str">
        <f>IF(V662&gt;Z662,"Yes","No")</f>
        <v>No</v>
      </c>
      <c r="AB662" s="12">
        <f>V662-Z662</f>
        <v>-13.645699999999998</v>
      </c>
      <c r="AC662" s="15" t="s">
        <v>130</v>
      </c>
      <c r="AD662" s="15" t="s">
        <v>130</v>
      </c>
      <c r="AE662" s="15" t="s">
        <v>350</v>
      </c>
      <c r="AF662" s="12">
        <f>IF(AG662="Rejected",0,IF(R662="Corporate Card",0,V662))</f>
        <v>46.354300000000002</v>
      </c>
      <c r="AG662" s="15" t="s">
        <v>133</v>
      </c>
      <c r="AH662" s="16">
        <v>45726</v>
      </c>
      <c r="AI662" s="16">
        <v>45731</v>
      </c>
      <c r="AJ662" s="16">
        <v>45742</v>
      </c>
      <c r="AK662" s="17">
        <f>IF(AJ662="","",AJ662-AH662)</f>
        <v>16</v>
      </c>
    </row>
    <row r="663" spans="1:37">
      <c r="A663" s="2" t="s">
        <v>1043</v>
      </c>
      <c r="B663" s="2" t="s">
        <v>616</v>
      </c>
      <c r="C663" s="2" t="s">
        <v>252</v>
      </c>
      <c r="D663" s="2" t="s">
        <v>250</v>
      </c>
      <c r="E663" s="2" t="s">
        <v>617</v>
      </c>
      <c r="F663" s="2" t="s">
        <v>510</v>
      </c>
      <c r="G663" s="2" t="s">
        <v>994</v>
      </c>
      <c r="H663" s="2" t="s">
        <v>254</v>
      </c>
      <c r="I663" s="2" t="s">
        <v>567</v>
      </c>
      <c r="J663" s="2" t="s">
        <v>434</v>
      </c>
      <c r="K663" s="9">
        <v>45713</v>
      </c>
      <c r="L663" s="9">
        <v>45718</v>
      </c>
      <c r="M663" s="9">
        <v>45716</v>
      </c>
      <c r="N663" s="2" t="s">
        <v>696</v>
      </c>
      <c r="O663" s="2" t="s">
        <v>68</v>
      </c>
      <c r="P663" s="2" t="s">
        <v>282</v>
      </c>
      <c r="Q663" s="2" t="s">
        <v>283</v>
      </c>
      <c r="R663" s="2" t="s">
        <v>128</v>
      </c>
      <c r="S663" s="2" t="s">
        <v>436</v>
      </c>
      <c r="T663" s="10">
        <v>2341</v>
      </c>
      <c r="U663" s="11">
        <v>1.1780000000000001E-2</v>
      </c>
      <c r="V663" s="12">
        <f>T663*U663</f>
        <v>27.576980000000002</v>
      </c>
      <c r="W663" s="13">
        <v>0.18</v>
      </c>
      <c r="X663" s="12">
        <f>V663-(V663/(1+W663))</f>
        <v>4.2066579661016945</v>
      </c>
      <c r="Y663" s="12">
        <f>V663-X663</f>
        <v>23.370322033898308</v>
      </c>
      <c r="Z663" s="14">
        <v>30</v>
      </c>
      <c r="AA663" s="2" t="str">
        <f>IF(V663&gt;Z663,"Yes","No")</f>
        <v>No</v>
      </c>
      <c r="AB663" s="12">
        <f>V663-Z663</f>
        <v>-2.4230199999999975</v>
      </c>
      <c r="AC663" s="15" t="s">
        <v>130</v>
      </c>
      <c r="AD663" s="15" t="s">
        <v>130</v>
      </c>
      <c r="AE663" s="15" t="s">
        <v>350</v>
      </c>
      <c r="AF663" s="12">
        <f>IF(AG663="Rejected",0,IF(R663="Corporate Card",0,V663))</f>
        <v>0</v>
      </c>
      <c r="AG663" s="15" t="s">
        <v>133</v>
      </c>
      <c r="AH663" s="16">
        <v>45726</v>
      </c>
      <c r="AI663" s="16">
        <v>45731</v>
      </c>
      <c r="AJ663" s="16">
        <v>45742</v>
      </c>
      <c r="AK663" s="17">
        <f>IF(AJ663="","",AJ663-AH663)</f>
        <v>16</v>
      </c>
    </row>
    <row r="664" spans="1:37">
      <c r="A664" s="2" t="s">
        <v>1044</v>
      </c>
      <c r="B664" s="2" t="s">
        <v>616</v>
      </c>
      <c r="C664" s="2" t="s">
        <v>252</v>
      </c>
      <c r="D664" s="2" t="s">
        <v>250</v>
      </c>
      <c r="E664" s="2" t="s">
        <v>617</v>
      </c>
      <c r="F664" s="2" t="s">
        <v>510</v>
      </c>
      <c r="G664" s="2" t="s">
        <v>994</v>
      </c>
      <c r="H664" s="2" t="s">
        <v>254</v>
      </c>
      <c r="I664" s="2" t="s">
        <v>567</v>
      </c>
      <c r="J664" s="2" t="s">
        <v>434</v>
      </c>
      <c r="K664" s="9">
        <v>45713</v>
      </c>
      <c r="L664" s="9">
        <v>45718</v>
      </c>
      <c r="M664" s="9">
        <v>45716</v>
      </c>
      <c r="N664" s="2" t="s">
        <v>696</v>
      </c>
      <c r="O664" s="2" t="s">
        <v>54</v>
      </c>
      <c r="P664" s="2" t="s">
        <v>139</v>
      </c>
      <c r="Q664" s="2" t="s">
        <v>163</v>
      </c>
      <c r="R664" s="2" t="s">
        <v>128</v>
      </c>
      <c r="S664" s="2" t="s">
        <v>436</v>
      </c>
      <c r="T664" s="10">
        <v>1111</v>
      </c>
      <c r="U664" s="11">
        <v>1.1780000000000001E-2</v>
      </c>
      <c r="V664" s="12">
        <f>T664*U664</f>
        <v>13.087580000000001</v>
      </c>
      <c r="W664" s="13">
        <v>0.18</v>
      </c>
      <c r="X664" s="12">
        <f>V664-(V664/(1+W664))</f>
        <v>1.9964105084745754</v>
      </c>
      <c r="Y664" s="12">
        <f>V664-X664</f>
        <v>11.091169491525426</v>
      </c>
      <c r="Z664" s="14">
        <v>25</v>
      </c>
      <c r="AA664" s="2" t="str">
        <f>IF(V664&gt;Z664,"Yes","No")</f>
        <v>No</v>
      </c>
      <c r="AB664" s="12">
        <f>V664-Z664</f>
        <v>-11.912419999999999</v>
      </c>
      <c r="AC664" s="15" t="s">
        <v>130</v>
      </c>
      <c r="AD664" s="15" t="s">
        <v>130</v>
      </c>
      <c r="AE664" s="15" t="s">
        <v>350</v>
      </c>
      <c r="AF664" s="12">
        <f>IF(AG664="Rejected",0,IF(R664="Corporate Card",0,V664))</f>
        <v>0</v>
      </c>
      <c r="AG664" s="15" t="s">
        <v>133</v>
      </c>
      <c r="AH664" s="16">
        <v>45726</v>
      </c>
      <c r="AI664" s="16">
        <v>45731</v>
      </c>
      <c r="AJ664" s="16">
        <v>45742</v>
      </c>
      <c r="AK664" s="17">
        <f>IF(AJ664="","",AJ664-AH664)</f>
        <v>16</v>
      </c>
    </row>
    <row r="665" spans="1:37">
      <c r="A665" s="2" t="s">
        <v>1045</v>
      </c>
      <c r="B665" s="2" t="s">
        <v>616</v>
      </c>
      <c r="C665" s="2" t="s">
        <v>252</v>
      </c>
      <c r="D665" s="2" t="s">
        <v>250</v>
      </c>
      <c r="E665" s="2" t="s">
        <v>617</v>
      </c>
      <c r="F665" s="2" t="s">
        <v>510</v>
      </c>
      <c r="G665" s="2" t="s">
        <v>994</v>
      </c>
      <c r="H665" s="2" t="s">
        <v>254</v>
      </c>
      <c r="I665" s="2" t="s">
        <v>567</v>
      </c>
      <c r="J665" s="2" t="s">
        <v>434</v>
      </c>
      <c r="K665" s="9">
        <v>45713</v>
      </c>
      <c r="L665" s="9">
        <v>45718</v>
      </c>
      <c r="M665" s="9">
        <v>45716</v>
      </c>
      <c r="N665" s="2" t="s">
        <v>696</v>
      </c>
      <c r="O665" s="2" t="s">
        <v>56</v>
      </c>
      <c r="P665" s="2" t="s">
        <v>245</v>
      </c>
      <c r="Q665" s="2" t="s">
        <v>166</v>
      </c>
      <c r="R665" s="2" t="s">
        <v>137</v>
      </c>
      <c r="S665" s="2" t="s">
        <v>436</v>
      </c>
      <c r="T665" s="10">
        <v>4609</v>
      </c>
      <c r="U665" s="11">
        <v>1.1780000000000001E-2</v>
      </c>
      <c r="V665" s="12">
        <f>T665*U665</f>
        <v>54.294020000000003</v>
      </c>
      <c r="W665" s="13">
        <v>0.18</v>
      </c>
      <c r="X665" s="12">
        <f>V665-(V665/(1+W665))</f>
        <v>8.2821386440677927</v>
      </c>
      <c r="Y665" s="12">
        <f>V665-X665</f>
        <v>46.011881355932211</v>
      </c>
      <c r="Z665" s="14">
        <v>75</v>
      </c>
      <c r="AA665" s="2" t="str">
        <f>IF(V665&gt;Z665,"Yes","No")</f>
        <v>No</v>
      </c>
      <c r="AB665" s="12">
        <f>V665-Z665</f>
        <v>-20.705979999999997</v>
      </c>
      <c r="AC665" s="15" t="s">
        <v>130</v>
      </c>
      <c r="AD665" s="15" t="s">
        <v>130</v>
      </c>
      <c r="AE665" s="15" t="s">
        <v>350</v>
      </c>
      <c r="AF665" s="12">
        <f>IF(AG665="Rejected",0,IF(R665="Corporate Card",0,V665))</f>
        <v>54.294020000000003</v>
      </c>
      <c r="AG665" s="15" t="s">
        <v>133</v>
      </c>
      <c r="AH665" s="16">
        <v>45726</v>
      </c>
      <c r="AI665" s="16">
        <v>45731</v>
      </c>
      <c r="AJ665" s="16">
        <v>45742</v>
      </c>
      <c r="AK665" s="17">
        <f>IF(AJ665="","",AJ665-AH665)</f>
        <v>16</v>
      </c>
    </row>
    <row r="666" spans="1:37">
      <c r="A666" s="2" t="s">
        <v>1046</v>
      </c>
      <c r="B666" s="2" t="s">
        <v>616</v>
      </c>
      <c r="C666" s="2" t="s">
        <v>252</v>
      </c>
      <c r="D666" s="2" t="s">
        <v>250</v>
      </c>
      <c r="E666" s="2" t="s">
        <v>617</v>
      </c>
      <c r="F666" s="2" t="s">
        <v>510</v>
      </c>
      <c r="G666" s="2" t="s">
        <v>984</v>
      </c>
      <c r="H666" s="2" t="s">
        <v>748</v>
      </c>
      <c r="I666" s="2" t="s">
        <v>749</v>
      </c>
      <c r="J666" s="2" t="s">
        <v>750</v>
      </c>
      <c r="K666" s="9">
        <v>45712</v>
      </c>
      <c r="L666" s="9">
        <v>45717</v>
      </c>
      <c r="M666" s="9">
        <v>45716</v>
      </c>
      <c r="N666" s="2" t="s">
        <v>696</v>
      </c>
      <c r="O666" s="2" t="s">
        <v>54</v>
      </c>
      <c r="P666" s="2" t="s">
        <v>139</v>
      </c>
      <c r="Q666" s="2" t="s">
        <v>148</v>
      </c>
      <c r="R666" s="2" t="s">
        <v>128</v>
      </c>
      <c r="S666" s="2" t="s">
        <v>198</v>
      </c>
      <c r="T666" s="10">
        <v>17.55</v>
      </c>
      <c r="U666" s="11">
        <v>1.085</v>
      </c>
      <c r="V666" s="12">
        <f>T666*U666</f>
        <v>19.04175</v>
      </c>
      <c r="W666" s="13">
        <v>0.19</v>
      </c>
      <c r="X666" s="12">
        <f>V666-(V666/(1+W666))</f>
        <v>3.0402794117647041</v>
      </c>
      <c r="Y666" s="12">
        <f>V666-X666</f>
        <v>16.001470588235296</v>
      </c>
      <c r="Z666" s="14">
        <v>25</v>
      </c>
      <c r="AA666" s="2" t="str">
        <f>IF(V666&gt;Z666,"Yes","No")</f>
        <v>No</v>
      </c>
      <c r="AB666" s="12">
        <f>V666-Z666</f>
        <v>-5.9582499999999996</v>
      </c>
      <c r="AC666" s="15" t="s">
        <v>130</v>
      </c>
      <c r="AD666" s="15" t="s">
        <v>131</v>
      </c>
      <c r="AE666" s="15" t="s">
        <v>437</v>
      </c>
      <c r="AF666" s="12">
        <f>IF(AG666="Rejected",0,IF(R666="Corporate Card",0,V666))</f>
        <v>0</v>
      </c>
      <c r="AG666" s="15" t="s">
        <v>133</v>
      </c>
      <c r="AH666" s="16">
        <v>45729</v>
      </c>
      <c r="AI666" s="16">
        <v>45737</v>
      </c>
      <c r="AJ666" s="16">
        <v>45739</v>
      </c>
      <c r="AK666" s="17">
        <f>IF(AJ666="","",AJ666-AH666)</f>
        <v>10</v>
      </c>
    </row>
    <row r="667" spans="1:37">
      <c r="A667" s="2" t="s">
        <v>1047</v>
      </c>
      <c r="B667" s="2" t="s">
        <v>616</v>
      </c>
      <c r="C667" s="2" t="s">
        <v>252</v>
      </c>
      <c r="D667" s="2" t="s">
        <v>250</v>
      </c>
      <c r="E667" s="2" t="s">
        <v>617</v>
      </c>
      <c r="F667" s="2" t="s">
        <v>510</v>
      </c>
      <c r="G667" s="2" t="s">
        <v>984</v>
      </c>
      <c r="H667" s="2" t="s">
        <v>748</v>
      </c>
      <c r="I667" s="2" t="s">
        <v>749</v>
      </c>
      <c r="J667" s="2" t="s">
        <v>750</v>
      </c>
      <c r="K667" s="9">
        <v>45712</v>
      </c>
      <c r="L667" s="9">
        <v>45717</v>
      </c>
      <c r="M667" s="9">
        <v>45716</v>
      </c>
      <c r="N667" s="2" t="s">
        <v>696</v>
      </c>
      <c r="O667" s="2" t="s">
        <v>56</v>
      </c>
      <c r="P667" s="2" t="s">
        <v>231</v>
      </c>
      <c r="Q667" s="2" t="s">
        <v>159</v>
      </c>
      <c r="R667" s="2" t="s">
        <v>128</v>
      </c>
      <c r="S667" s="2" t="s">
        <v>198</v>
      </c>
      <c r="T667" s="10">
        <v>27.94</v>
      </c>
      <c r="U667" s="11">
        <v>1.085</v>
      </c>
      <c r="V667" s="12">
        <f>T667*U667</f>
        <v>30.314900000000002</v>
      </c>
      <c r="W667" s="13">
        <v>0.19</v>
      </c>
      <c r="X667" s="12">
        <f>V667-(V667/(1+W667))</f>
        <v>4.8401941176470586</v>
      </c>
      <c r="Y667" s="12">
        <f>V667-X667</f>
        <v>25.474705882352943</v>
      </c>
      <c r="Z667" s="14">
        <v>75</v>
      </c>
      <c r="AA667" s="2" t="str">
        <f>IF(V667&gt;Z667,"Yes","No")</f>
        <v>No</v>
      </c>
      <c r="AB667" s="12">
        <f>V667-Z667</f>
        <v>-44.685099999999998</v>
      </c>
      <c r="AC667" s="15" t="s">
        <v>130</v>
      </c>
      <c r="AD667" s="15" t="s">
        <v>131</v>
      </c>
      <c r="AE667" s="15" t="s">
        <v>437</v>
      </c>
      <c r="AF667" s="12">
        <f>IF(AG667="Rejected",0,IF(R667="Corporate Card",0,V667))</f>
        <v>0</v>
      </c>
      <c r="AG667" s="15" t="s">
        <v>133</v>
      </c>
      <c r="AH667" s="16">
        <v>45729</v>
      </c>
      <c r="AI667" s="16">
        <v>45737</v>
      </c>
      <c r="AJ667" s="16">
        <v>45739</v>
      </c>
      <c r="AK667" s="17">
        <f>IF(AJ667="","",AJ667-AH667)</f>
        <v>10</v>
      </c>
    </row>
    <row r="668" spans="1:37">
      <c r="A668" s="2" t="s">
        <v>1048</v>
      </c>
      <c r="B668" s="2" t="s">
        <v>616</v>
      </c>
      <c r="C668" s="2" t="s">
        <v>252</v>
      </c>
      <c r="D668" s="2" t="s">
        <v>250</v>
      </c>
      <c r="E668" s="2" t="s">
        <v>617</v>
      </c>
      <c r="F668" s="2" t="s">
        <v>510</v>
      </c>
      <c r="G668" s="2" t="s">
        <v>984</v>
      </c>
      <c r="H668" s="2" t="s">
        <v>748</v>
      </c>
      <c r="I668" s="2" t="s">
        <v>749</v>
      </c>
      <c r="J668" s="2" t="s">
        <v>750</v>
      </c>
      <c r="K668" s="9">
        <v>45712</v>
      </c>
      <c r="L668" s="9">
        <v>45717</v>
      </c>
      <c r="M668" s="9">
        <v>45716</v>
      </c>
      <c r="N668" s="2" t="s">
        <v>696</v>
      </c>
      <c r="O668" s="2" t="s">
        <v>55</v>
      </c>
      <c r="P668" s="2" t="s">
        <v>139</v>
      </c>
      <c r="Q668" s="2" t="s">
        <v>217</v>
      </c>
      <c r="R668" s="2" t="s">
        <v>137</v>
      </c>
      <c r="S668" s="2" t="s">
        <v>198</v>
      </c>
      <c r="T668" s="10">
        <v>25.81</v>
      </c>
      <c r="U668" s="11">
        <v>1.085</v>
      </c>
      <c r="V668" s="12">
        <f>T668*U668</f>
        <v>28.003849999999996</v>
      </c>
      <c r="W668" s="13">
        <v>0.19</v>
      </c>
      <c r="X668" s="12">
        <f>V668-(V668/(1+W668))</f>
        <v>4.4712029411764682</v>
      </c>
      <c r="Y668" s="12">
        <f>V668-X668</f>
        <v>23.532647058823528</v>
      </c>
      <c r="Z668" s="14">
        <v>35</v>
      </c>
      <c r="AA668" s="2" t="str">
        <f>IF(V668&gt;Z668,"Yes","No")</f>
        <v>No</v>
      </c>
      <c r="AB668" s="12">
        <f>V668-Z668</f>
        <v>-6.9961500000000036</v>
      </c>
      <c r="AC668" s="15" t="s">
        <v>130</v>
      </c>
      <c r="AD668" s="15" t="s">
        <v>131</v>
      </c>
      <c r="AE668" s="15" t="s">
        <v>437</v>
      </c>
      <c r="AF668" s="12">
        <f>IF(AG668="Rejected",0,IF(R668="Corporate Card",0,V668))</f>
        <v>28.003849999999996</v>
      </c>
      <c r="AG668" s="15" t="s">
        <v>133</v>
      </c>
      <c r="AH668" s="16">
        <v>45729</v>
      </c>
      <c r="AI668" s="16">
        <v>45737</v>
      </c>
      <c r="AJ668" s="16">
        <v>45739</v>
      </c>
      <c r="AK668" s="17">
        <f>IF(AJ668="","",AJ668-AH668)</f>
        <v>10</v>
      </c>
    </row>
    <row r="669" spans="1:37">
      <c r="A669" s="2" t="s">
        <v>1049</v>
      </c>
      <c r="B669" s="2" t="s">
        <v>287</v>
      </c>
      <c r="C669" s="2" t="s">
        <v>288</v>
      </c>
      <c r="D669" s="2" t="s">
        <v>171</v>
      </c>
      <c r="E669" s="2" t="s">
        <v>289</v>
      </c>
      <c r="F669" s="2" t="s">
        <v>173</v>
      </c>
      <c r="G669" s="2" t="s">
        <v>1020</v>
      </c>
      <c r="H669" s="2" t="s">
        <v>291</v>
      </c>
      <c r="I669" s="2" t="s">
        <v>315</v>
      </c>
      <c r="J669" s="2" t="s">
        <v>316</v>
      </c>
      <c r="K669" s="9">
        <v>45714</v>
      </c>
      <c r="L669" s="9">
        <v>45720</v>
      </c>
      <c r="M669" s="9">
        <v>45716</v>
      </c>
      <c r="N669" s="2" t="s">
        <v>696</v>
      </c>
      <c r="O669" s="2" t="s">
        <v>58</v>
      </c>
      <c r="P669" s="2" t="s">
        <v>142</v>
      </c>
      <c r="Q669" s="2" t="s">
        <v>224</v>
      </c>
      <c r="R669" s="2" t="s">
        <v>128</v>
      </c>
      <c r="S669" s="2" t="s">
        <v>318</v>
      </c>
      <c r="T669" s="10">
        <v>136.41999999999999</v>
      </c>
      <c r="U669" s="11">
        <v>0.27229999999999999</v>
      </c>
      <c r="V669" s="12">
        <f>T669*U669</f>
        <v>37.147165999999991</v>
      </c>
      <c r="W669" s="13">
        <v>0.05</v>
      </c>
      <c r="X669" s="12">
        <f>V669-(V669/(1+W669))</f>
        <v>1.7689126666666652</v>
      </c>
      <c r="Y669" s="12">
        <f>V669-X669</f>
        <v>35.378253333333326</v>
      </c>
      <c r="Z669" s="14">
        <v>60</v>
      </c>
      <c r="AA669" s="2" t="str">
        <f>IF(V669&gt;Z669,"Yes","No")</f>
        <v>No</v>
      </c>
      <c r="AB669" s="12">
        <f>V669-Z669</f>
        <v>-22.852834000000009</v>
      </c>
      <c r="AC669" s="15" t="s">
        <v>130</v>
      </c>
      <c r="AD669" s="15" t="s">
        <v>130</v>
      </c>
      <c r="AE669" s="15" t="s">
        <v>514</v>
      </c>
      <c r="AF669" s="12">
        <f>IF(AG669="Rejected",0,IF(R669="Corporate Card",0,V669))</f>
        <v>0</v>
      </c>
      <c r="AG669" s="15" t="s">
        <v>133</v>
      </c>
      <c r="AH669" s="16">
        <v>45727</v>
      </c>
      <c r="AI669" s="16">
        <v>45728</v>
      </c>
      <c r="AJ669" s="16">
        <v>45740</v>
      </c>
      <c r="AK669" s="17">
        <f>IF(AJ669="","",AJ669-AH669)</f>
        <v>13</v>
      </c>
    </row>
    <row r="670" spans="1:37">
      <c r="A670" s="2" t="s">
        <v>1050</v>
      </c>
      <c r="B670" s="2" t="s">
        <v>287</v>
      </c>
      <c r="C670" s="2" t="s">
        <v>288</v>
      </c>
      <c r="D670" s="2" t="s">
        <v>171</v>
      </c>
      <c r="E670" s="2" t="s">
        <v>289</v>
      </c>
      <c r="F670" s="2" t="s">
        <v>173</v>
      </c>
      <c r="G670" s="2" t="s">
        <v>1020</v>
      </c>
      <c r="H670" s="2" t="s">
        <v>291</v>
      </c>
      <c r="I670" s="2" t="s">
        <v>315</v>
      </c>
      <c r="J670" s="2" t="s">
        <v>316</v>
      </c>
      <c r="K670" s="9">
        <v>45714</v>
      </c>
      <c r="L670" s="9">
        <v>45720</v>
      </c>
      <c r="M670" s="9">
        <v>45716</v>
      </c>
      <c r="N670" s="2" t="s">
        <v>696</v>
      </c>
      <c r="O670" s="2" t="s">
        <v>54</v>
      </c>
      <c r="P670" s="2" t="s">
        <v>139</v>
      </c>
      <c r="Q670" s="2" t="s">
        <v>148</v>
      </c>
      <c r="R670" s="2" t="s">
        <v>128</v>
      </c>
      <c r="S670" s="2" t="s">
        <v>318</v>
      </c>
      <c r="T670" s="10">
        <v>38.32</v>
      </c>
      <c r="U670" s="11">
        <v>0.27229999999999999</v>
      </c>
      <c r="V670" s="12">
        <f>T670*U670</f>
        <v>10.434536</v>
      </c>
      <c r="W670" s="13">
        <v>0.05</v>
      </c>
      <c r="X670" s="12">
        <f>V670-(V670/(1+W670))</f>
        <v>0.49688266666666792</v>
      </c>
      <c r="Y670" s="12">
        <f>V670-X670</f>
        <v>9.9376533333333317</v>
      </c>
      <c r="Z670" s="14">
        <v>25</v>
      </c>
      <c r="AA670" s="2" t="str">
        <f>IF(V670&gt;Z670,"Yes","No")</f>
        <v>No</v>
      </c>
      <c r="AB670" s="12">
        <f>V670-Z670</f>
        <v>-14.565464</v>
      </c>
      <c r="AC670" s="15" t="s">
        <v>130</v>
      </c>
      <c r="AD670" s="15" t="s">
        <v>130</v>
      </c>
      <c r="AE670" s="15" t="s">
        <v>514</v>
      </c>
      <c r="AF670" s="12">
        <f>IF(AG670="Rejected",0,IF(R670="Corporate Card",0,V670))</f>
        <v>0</v>
      </c>
      <c r="AG670" s="15" t="s">
        <v>133</v>
      </c>
      <c r="AH670" s="16">
        <v>45727</v>
      </c>
      <c r="AI670" s="16">
        <v>45728</v>
      </c>
      <c r="AJ670" s="16">
        <v>45740</v>
      </c>
      <c r="AK670" s="17">
        <f>IF(AJ670="","",AJ670-AH670)</f>
        <v>13</v>
      </c>
    </row>
    <row r="671" spans="1:37">
      <c r="A671" s="2" t="s">
        <v>1051</v>
      </c>
      <c r="B671" s="2" t="s">
        <v>287</v>
      </c>
      <c r="C671" s="2" t="s">
        <v>288</v>
      </c>
      <c r="D671" s="2" t="s">
        <v>171</v>
      </c>
      <c r="E671" s="2" t="s">
        <v>289</v>
      </c>
      <c r="F671" s="2" t="s">
        <v>173</v>
      </c>
      <c r="G671" s="2" t="s">
        <v>1020</v>
      </c>
      <c r="H671" s="2" t="s">
        <v>291</v>
      </c>
      <c r="I671" s="2" t="s">
        <v>315</v>
      </c>
      <c r="J671" s="2" t="s">
        <v>316</v>
      </c>
      <c r="K671" s="9">
        <v>45714</v>
      </c>
      <c r="L671" s="9">
        <v>45720</v>
      </c>
      <c r="M671" s="9">
        <v>45716</v>
      </c>
      <c r="N671" s="2" t="s">
        <v>696</v>
      </c>
      <c r="O671" s="2" t="s">
        <v>56</v>
      </c>
      <c r="P671" s="2" t="s">
        <v>245</v>
      </c>
      <c r="Q671" s="2" t="s">
        <v>185</v>
      </c>
      <c r="R671" s="2" t="s">
        <v>128</v>
      </c>
      <c r="S671" s="2" t="s">
        <v>318</v>
      </c>
      <c r="T671" s="10">
        <v>219.14</v>
      </c>
      <c r="U671" s="11">
        <v>0.27229999999999999</v>
      </c>
      <c r="V671" s="12">
        <f>T671*U671</f>
        <v>59.671821999999992</v>
      </c>
      <c r="W671" s="13">
        <v>0.05</v>
      </c>
      <c r="X671" s="12">
        <f>V671-(V671/(1+W671))</f>
        <v>2.8415153333333336</v>
      </c>
      <c r="Y671" s="12">
        <f>V671-X671</f>
        <v>56.830306666666658</v>
      </c>
      <c r="Z671" s="14">
        <v>75</v>
      </c>
      <c r="AA671" s="2" t="str">
        <f>IF(V671&gt;Z671,"Yes","No")</f>
        <v>No</v>
      </c>
      <c r="AB671" s="12">
        <f>V671-Z671</f>
        <v>-15.328178000000008</v>
      </c>
      <c r="AC671" s="15" t="s">
        <v>130</v>
      </c>
      <c r="AD671" s="15" t="s">
        <v>130</v>
      </c>
      <c r="AE671" s="15" t="s">
        <v>514</v>
      </c>
      <c r="AF671" s="12">
        <f>IF(AG671="Rejected",0,IF(R671="Corporate Card",0,V671))</f>
        <v>0</v>
      </c>
      <c r="AG671" s="15" t="s">
        <v>133</v>
      </c>
      <c r="AH671" s="16">
        <v>45727</v>
      </c>
      <c r="AI671" s="16">
        <v>45728</v>
      </c>
      <c r="AJ671" s="16">
        <v>45740</v>
      </c>
      <c r="AK671" s="17">
        <f>IF(AJ671="","",AJ671-AH671)</f>
        <v>13</v>
      </c>
    </row>
    <row r="672" spans="1:37">
      <c r="A672" s="2" t="s">
        <v>1052</v>
      </c>
      <c r="B672" s="2" t="s">
        <v>287</v>
      </c>
      <c r="C672" s="2" t="s">
        <v>288</v>
      </c>
      <c r="D672" s="2" t="s">
        <v>171</v>
      </c>
      <c r="E672" s="2" t="s">
        <v>289</v>
      </c>
      <c r="F672" s="2" t="s">
        <v>173</v>
      </c>
      <c r="G672" s="2" t="s">
        <v>1020</v>
      </c>
      <c r="H672" s="2" t="s">
        <v>291</v>
      </c>
      <c r="I672" s="2" t="s">
        <v>315</v>
      </c>
      <c r="J672" s="2" t="s">
        <v>316</v>
      </c>
      <c r="K672" s="9">
        <v>45714</v>
      </c>
      <c r="L672" s="9">
        <v>45720</v>
      </c>
      <c r="M672" s="9">
        <v>45716</v>
      </c>
      <c r="N672" s="2" t="s">
        <v>696</v>
      </c>
      <c r="O672" s="2" t="s">
        <v>55</v>
      </c>
      <c r="P672" s="2" t="s">
        <v>139</v>
      </c>
      <c r="Q672" s="2" t="s">
        <v>187</v>
      </c>
      <c r="R672" s="2" t="s">
        <v>128</v>
      </c>
      <c r="S672" s="2" t="s">
        <v>318</v>
      </c>
      <c r="T672" s="10">
        <v>111.12</v>
      </c>
      <c r="U672" s="11">
        <v>0.27229999999999999</v>
      </c>
      <c r="V672" s="12">
        <f>T672*U672</f>
        <v>30.257975999999999</v>
      </c>
      <c r="W672" s="13">
        <v>0.05</v>
      </c>
      <c r="X672" s="12">
        <f>V672-(V672/(1+W672))</f>
        <v>1.4408560000000001</v>
      </c>
      <c r="Y672" s="12">
        <f>V672-X672</f>
        <v>28.817119999999999</v>
      </c>
      <c r="Z672" s="14">
        <v>35</v>
      </c>
      <c r="AA672" s="2" t="str">
        <f>IF(V672&gt;Z672,"Yes","No")</f>
        <v>No</v>
      </c>
      <c r="AB672" s="12">
        <f>V672-Z672</f>
        <v>-4.7420240000000007</v>
      </c>
      <c r="AC672" s="15" t="s">
        <v>130</v>
      </c>
      <c r="AD672" s="15" t="s">
        <v>130</v>
      </c>
      <c r="AE672" s="15" t="s">
        <v>514</v>
      </c>
      <c r="AF672" s="12">
        <f>IF(AG672="Rejected",0,IF(R672="Corporate Card",0,V672))</f>
        <v>0</v>
      </c>
      <c r="AG672" s="15" t="s">
        <v>133</v>
      </c>
      <c r="AH672" s="16">
        <v>45727</v>
      </c>
      <c r="AI672" s="16">
        <v>45728</v>
      </c>
      <c r="AJ672" s="16">
        <v>45740</v>
      </c>
      <c r="AK672" s="17">
        <f>IF(AJ672="","",AJ672-AH672)</f>
        <v>13</v>
      </c>
    </row>
    <row r="673" spans="1:37">
      <c r="A673" s="2" t="s">
        <v>1053</v>
      </c>
      <c r="B673" s="2" t="s">
        <v>189</v>
      </c>
      <c r="C673" s="2" t="s">
        <v>190</v>
      </c>
      <c r="D673" s="2" t="s">
        <v>171</v>
      </c>
      <c r="E673" s="2" t="s">
        <v>191</v>
      </c>
      <c r="F673" s="2" t="s">
        <v>173</v>
      </c>
      <c r="G673" s="2" t="s">
        <v>1037</v>
      </c>
      <c r="H673" s="2" t="s">
        <v>291</v>
      </c>
      <c r="I673" s="2" t="s">
        <v>1038</v>
      </c>
      <c r="J673" s="2" t="s">
        <v>381</v>
      </c>
      <c r="K673" s="9">
        <v>45716</v>
      </c>
      <c r="L673" s="9">
        <v>45724</v>
      </c>
      <c r="M673" s="9">
        <v>45717</v>
      </c>
      <c r="N673" s="2" t="s">
        <v>1054</v>
      </c>
      <c r="O673" s="2" t="s">
        <v>60</v>
      </c>
      <c r="P673" s="2" t="s">
        <v>1055</v>
      </c>
      <c r="Q673" s="2" t="s">
        <v>955</v>
      </c>
      <c r="R673" s="2" t="s">
        <v>149</v>
      </c>
      <c r="S673" s="2" t="s">
        <v>383</v>
      </c>
      <c r="T673" s="10">
        <v>502.84</v>
      </c>
      <c r="U673" s="11">
        <v>1</v>
      </c>
      <c r="V673" s="12">
        <f>T673*U673</f>
        <v>502.84</v>
      </c>
      <c r="W673" s="13">
        <v>0</v>
      </c>
      <c r="X673" s="12">
        <f>V673-(V673/(1+W673))</f>
        <v>0</v>
      </c>
      <c r="Y673" s="12">
        <f>V673-X673</f>
        <v>502.84</v>
      </c>
      <c r="Z673" s="14">
        <v>960</v>
      </c>
      <c r="AA673" s="2" t="str">
        <f>IF(V673&gt;Z673,"Yes","No")</f>
        <v>No</v>
      </c>
      <c r="AB673" s="12">
        <f>V673-Z673</f>
        <v>-457.16</v>
      </c>
      <c r="AC673" s="15" t="s">
        <v>130</v>
      </c>
      <c r="AD673" s="15" t="s">
        <v>130</v>
      </c>
      <c r="AE673" s="15" t="s">
        <v>514</v>
      </c>
      <c r="AF673" s="12">
        <f>IF(AG673="Rejected",0,IF(R673="Corporate Card",0,V673))</f>
        <v>502.84</v>
      </c>
      <c r="AG673" s="15" t="s">
        <v>133</v>
      </c>
      <c r="AH673" s="16">
        <v>45727</v>
      </c>
      <c r="AI673" s="16">
        <v>45735</v>
      </c>
      <c r="AJ673" s="16">
        <v>45745</v>
      </c>
      <c r="AK673" s="17">
        <f>IF(AJ673="","",AJ673-AH673)</f>
        <v>18</v>
      </c>
    </row>
    <row r="674" spans="1:37">
      <c r="A674" s="2" t="s">
        <v>1056</v>
      </c>
      <c r="B674" s="2" t="s">
        <v>189</v>
      </c>
      <c r="C674" s="2" t="s">
        <v>190</v>
      </c>
      <c r="D674" s="2" t="s">
        <v>171</v>
      </c>
      <c r="E674" s="2" t="s">
        <v>191</v>
      </c>
      <c r="F674" s="2" t="s">
        <v>173</v>
      </c>
      <c r="G674" s="2" t="s">
        <v>1037</v>
      </c>
      <c r="H674" s="2" t="s">
        <v>291</v>
      </c>
      <c r="I674" s="2" t="s">
        <v>1038</v>
      </c>
      <c r="J674" s="2" t="s">
        <v>381</v>
      </c>
      <c r="K674" s="9">
        <v>45716</v>
      </c>
      <c r="L674" s="9">
        <v>45724</v>
      </c>
      <c r="M674" s="9">
        <v>45717</v>
      </c>
      <c r="N674" s="2" t="s">
        <v>1054</v>
      </c>
      <c r="O674" s="2" t="s">
        <v>53</v>
      </c>
      <c r="P674" s="2" t="s">
        <v>669</v>
      </c>
      <c r="Q674" s="2" t="s">
        <v>209</v>
      </c>
      <c r="R674" s="2" t="s">
        <v>149</v>
      </c>
      <c r="S674" s="2" t="s">
        <v>383</v>
      </c>
      <c r="T674" s="10">
        <v>1376.43</v>
      </c>
      <c r="U674" s="11">
        <v>1</v>
      </c>
      <c r="V674" s="12">
        <f>T674*U674</f>
        <v>1376.43</v>
      </c>
      <c r="W674" s="13">
        <v>0</v>
      </c>
      <c r="X674" s="12">
        <f>V674-(V674/(1+W674))</f>
        <v>0</v>
      </c>
      <c r="Y674" s="12">
        <f>V674-X674</f>
        <v>1376.43</v>
      </c>
      <c r="Z674" s="14">
        <v>2240</v>
      </c>
      <c r="AA674" s="2" t="str">
        <f>IF(V674&gt;Z674,"Yes","No")</f>
        <v>No</v>
      </c>
      <c r="AB674" s="12">
        <f>V674-Z674</f>
        <v>-863.56999999999994</v>
      </c>
      <c r="AC674" s="15" t="s">
        <v>130</v>
      </c>
      <c r="AD674" s="15" t="s">
        <v>130</v>
      </c>
      <c r="AE674" s="15" t="s">
        <v>514</v>
      </c>
      <c r="AF674" s="12">
        <f>IF(AG674="Rejected",0,IF(R674="Corporate Card",0,V674))</f>
        <v>1376.43</v>
      </c>
      <c r="AG674" s="15" t="s">
        <v>133</v>
      </c>
      <c r="AH674" s="16">
        <v>45727</v>
      </c>
      <c r="AI674" s="16">
        <v>45735</v>
      </c>
      <c r="AJ674" s="16">
        <v>45745</v>
      </c>
      <c r="AK674" s="17">
        <f>IF(AJ674="","",AJ674-AH674)</f>
        <v>18</v>
      </c>
    </row>
    <row r="675" spans="1:37">
      <c r="A675" s="2" t="s">
        <v>1057</v>
      </c>
      <c r="B675" s="2" t="s">
        <v>189</v>
      </c>
      <c r="C675" s="2" t="s">
        <v>190</v>
      </c>
      <c r="D675" s="2" t="s">
        <v>171</v>
      </c>
      <c r="E675" s="2" t="s">
        <v>191</v>
      </c>
      <c r="F675" s="2" t="s">
        <v>173</v>
      </c>
      <c r="G675" s="2" t="s">
        <v>1037</v>
      </c>
      <c r="H675" s="2" t="s">
        <v>291</v>
      </c>
      <c r="I675" s="2" t="s">
        <v>1038</v>
      </c>
      <c r="J675" s="2" t="s">
        <v>381</v>
      </c>
      <c r="K675" s="9">
        <v>45716</v>
      </c>
      <c r="L675" s="9">
        <v>45724</v>
      </c>
      <c r="M675" s="9">
        <v>45717</v>
      </c>
      <c r="N675" s="2" t="s">
        <v>1054</v>
      </c>
      <c r="O675" s="2" t="s">
        <v>54</v>
      </c>
      <c r="P675" s="2" t="s">
        <v>139</v>
      </c>
      <c r="Q675" s="2" t="s">
        <v>214</v>
      </c>
      <c r="R675" s="2" t="s">
        <v>149</v>
      </c>
      <c r="S675" s="2" t="s">
        <v>383</v>
      </c>
      <c r="T675" s="10">
        <v>13.57</v>
      </c>
      <c r="U675" s="11">
        <v>1</v>
      </c>
      <c r="V675" s="12">
        <f>T675*U675</f>
        <v>13.57</v>
      </c>
      <c r="W675" s="13">
        <v>0</v>
      </c>
      <c r="X675" s="12">
        <f>V675-(V675/(1+W675))</f>
        <v>0</v>
      </c>
      <c r="Y675" s="12">
        <f>V675-X675</f>
        <v>13.57</v>
      </c>
      <c r="Z675" s="14">
        <v>25</v>
      </c>
      <c r="AA675" s="2" t="str">
        <f>IF(V675&gt;Z675,"Yes","No")</f>
        <v>No</v>
      </c>
      <c r="AB675" s="12">
        <f>V675-Z675</f>
        <v>-11.43</v>
      </c>
      <c r="AC675" s="15" t="s">
        <v>130</v>
      </c>
      <c r="AD675" s="15" t="s">
        <v>130</v>
      </c>
      <c r="AE675" s="15" t="s">
        <v>514</v>
      </c>
      <c r="AF675" s="12">
        <f>IF(AG675="Rejected",0,IF(R675="Corporate Card",0,V675))</f>
        <v>13.57</v>
      </c>
      <c r="AG675" s="15" t="s">
        <v>133</v>
      </c>
      <c r="AH675" s="16">
        <v>45727</v>
      </c>
      <c r="AI675" s="16">
        <v>45735</v>
      </c>
      <c r="AJ675" s="16">
        <v>45745</v>
      </c>
      <c r="AK675" s="17">
        <f>IF(AJ675="","",AJ675-AH675)</f>
        <v>18</v>
      </c>
    </row>
    <row r="676" spans="1:37">
      <c r="A676" s="2" t="s">
        <v>1058</v>
      </c>
      <c r="B676" s="2" t="s">
        <v>189</v>
      </c>
      <c r="C676" s="2" t="s">
        <v>190</v>
      </c>
      <c r="D676" s="2" t="s">
        <v>171</v>
      </c>
      <c r="E676" s="2" t="s">
        <v>191</v>
      </c>
      <c r="F676" s="2" t="s">
        <v>173</v>
      </c>
      <c r="G676" s="2" t="s">
        <v>1037</v>
      </c>
      <c r="H676" s="2" t="s">
        <v>291</v>
      </c>
      <c r="I676" s="2" t="s">
        <v>1038</v>
      </c>
      <c r="J676" s="2" t="s">
        <v>381</v>
      </c>
      <c r="K676" s="9">
        <v>45716</v>
      </c>
      <c r="L676" s="9">
        <v>45724</v>
      </c>
      <c r="M676" s="9">
        <v>45717</v>
      </c>
      <c r="N676" s="2" t="s">
        <v>1054</v>
      </c>
      <c r="O676" s="2" t="s">
        <v>56</v>
      </c>
      <c r="P676" s="2" t="s">
        <v>231</v>
      </c>
      <c r="Q676" s="2" t="s">
        <v>185</v>
      </c>
      <c r="R676" s="2" t="s">
        <v>149</v>
      </c>
      <c r="S676" s="2" t="s">
        <v>383</v>
      </c>
      <c r="T676" s="10">
        <v>59.25</v>
      </c>
      <c r="U676" s="11">
        <v>1</v>
      </c>
      <c r="V676" s="12">
        <f>T676*U676</f>
        <v>59.25</v>
      </c>
      <c r="W676" s="13">
        <v>0</v>
      </c>
      <c r="X676" s="12">
        <f>V676-(V676/(1+W676))</f>
        <v>0</v>
      </c>
      <c r="Y676" s="12">
        <f>V676-X676</f>
        <v>59.25</v>
      </c>
      <c r="Z676" s="14">
        <v>75</v>
      </c>
      <c r="AA676" s="2" t="str">
        <f>IF(V676&gt;Z676,"Yes","No")</f>
        <v>No</v>
      </c>
      <c r="AB676" s="12">
        <f>V676-Z676</f>
        <v>-15.75</v>
      </c>
      <c r="AC676" s="15" t="s">
        <v>130</v>
      </c>
      <c r="AD676" s="15" t="s">
        <v>130</v>
      </c>
      <c r="AE676" s="15" t="s">
        <v>514</v>
      </c>
      <c r="AF676" s="12">
        <f>IF(AG676="Rejected",0,IF(R676="Corporate Card",0,V676))</f>
        <v>59.25</v>
      </c>
      <c r="AG676" s="15" t="s">
        <v>133</v>
      </c>
      <c r="AH676" s="16">
        <v>45727</v>
      </c>
      <c r="AI676" s="16">
        <v>45735</v>
      </c>
      <c r="AJ676" s="16">
        <v>45745</v>
      </c>
      <c r="AK676" s="17">
        <f>IF(AJ676="","",AJ676-AH676)</f>
        <v>18</v>
      </c>
    </row>
    <row r="677" spans="1:37">
      <c r="A677" s="2" t="s">
        <v>1059</v>
      </c>
      <c r="B677" s="2" t="s">
        <v>616</v>
      </c>
      <c r="C677" s="2" t="s">
        <v>252</v>
      </c>
      <c r="D677" s="2" t="s">
        <v>250</v>
      </c>
      <c r="E677" s="2" t="s">
        <v>617</v>
      </c>
      <c r="F677" s="2" t="s">
        <v>510</v>
      </c>
      <c r="G677" s="2" t="s">
        <v>994</v>
      </c>
      <c r="H677" s="2" t="s">
        <v>254</v>
      </c>
      <c r="I677" s="2" t="s">
        <v>567</v>
      </c>
      <c r="J677" s="2" t="s">
        <v>434</v>
      </c>
      <c r="K677" s="9">
        <v>45713</v>
      </c>
      <c r="L677" s="9">
        <v>45718</v>
      </c>
      <c r="M677" s="9">
        <v>45717</v>
      </c>
      <c r="N677" s="2" t="s">
        <v>1054</v>
      </c>
      <c r="O677" s="2" t="s">
        <v>58</v>
      </c>
      <c r="P677" s="2" t="s">
        <v>142</v>
      </c>
      <c r="Q677" s="2" t="s">
        <v>203</v>
      </c>
      <c r="R677" s="2" t="s">
        <v>128</v>
      </c>
      <c r="S677" s="2" t="s">
        <v>436</v>
      </c>
      <c r="T677" s="10">
        <v>3326</v>
      </c>
      <c r="U677" s="11">
        <v>1.1780000000000001E-2</v>
      </c>
      <c r="V677" s="12">
        <f>T677*U677</f>
        <v>39.180280000000003</v>
      </c>
      <c r="W677" s="13">
        <v>0.18</v>
      </c>
      <c r="X677" s="12">
        <f>V677-(V677/(1+W677))</f>
        <v>5.9766528813559319</v>
      </c>
      <c r="Y677" s="12">
        <f>V677-X677</f>
        <v>33.203627118644071</v>
      </c>
      <c r="Z677" s="14">
        <v>60</v>
      </c>
      <c r="AA677" s="2" t="str">
        <f>IF(V677&gt;Z677,"Yes","No")</f>
        <v>No</v>
      </c>
      <c r="AB677" s="12">
        <f>V677-Z677</f>
        <v>-20.819719999999997</v>
      </c>
      <c r="AC677" s="15" t="s">
        <v>130</v>
      </c>
      <c r="AD677" s="15" t="s">
        <v>130</v>
      </c>
      <c r="AE677" s="15" t="s">
        <v>350</v>
      </c>
      <c r="AF677" s="12">
        <f>IF(AG677="Rejected",0,IF(R677="Corporate Card",0,V677))</f>
        <v>0</v>
      </c>
      <c r="AG677" s="15" t="s">
        <v>133</v>
      </c>
      <c r="AH677" s="16">
        <v>45726</v>
      </c>
      <c r="AI677" s="16">
        <v>45731</v>
      </c>
      <c r="AJ677" s="16">
        <v>45742</v>
      </c>
      <c r="AK677" s="17">
        <f>IF(AJ677="","",AJ677-AH677)</f>
        <v>16</v>
      </c>
    </row>
    <row r="678" spans="1:37">
      <c r="A678" s="2" t="s">
        <v>1060</v>
      </c>
      <c r="B678" s="2" t="s">
        <v>616</v>
      </c>
      <c r="C678" s="2" t="s">
        <v>252</v>
      </c>
      <c r="D678" s="2" t="s">
        <v>250</v>
      </c>
      <c r="E678" s="2" t="s">
        <v>617</v>
      </c>
      <c r="F678" s="2" t="s">
        <v>510</v>
      </c>
      <c r="G678" s="2" t="s">
        <v>994</v>
      </c>
      <c r="H678" s="2" t="s">
        <v>254</v>
      </c>
      <c r="I678" s="2" t="s">
        <v>567</v>
      </c>
      <c r="J678" s="2" t="s">
        <v>434</v>
      </c>
      <c r="K678" s="9">
        <v>45713</v>
      </c>
      <c r="L678" s="9">
        <v>45718</v>
      </c>
      <c r="M678" s="9">
        <v>45717</v>
      </c>
      <c r="N678" s="2" t="s">
        <v>1054</v>
      </c>
      <c r="O678" s="2" t="s">
        <v>54</v>
      </c>
      <c r="P678" s="2" t="s">
        <v>139</v>
      </c>
      <c r="Q678" s="2" t="s">
        <v>140</v>
      </c>
      <c r="R678" s="2" t="s">
        <v>128</v>
      </c>
      <c r="S678" s="2" t="s">
        <v>436</v>
      </c>
      <c r="T678" s="10">
        <v>1220</v>
      </c>
      <c r="U678" s="11">
        <v>1.1780000000000001E-2</v>
      </c>
      <c r="V678" s="12">
        <f>T678*U678</f>
        <v>14.371600000000001</v>
      </c>
      <c r="W678" s="13">
        <v>0.18</v>
      </c>
      <c r="X678" s="12">
        <f>V678-(V678/(1+W678))</f>
        <v>2.1922779661016936</v>
      </c>
      <c r="Y678" s="12">
        <f>V678-X678</f>
        <v>12.179322033898307</v>
      </c>
      <c r="Z678" s="14">
        <v>25</v>
      </c>
      <c r="AA678" s="2" t="str">
        <f>IF(V678&gt;Z678,"Yes","No")</f>
        <v>No</v>
      </c>
      <c r="AB678" s="12">
        <f>V678-Z678</f>
        <v>-10.628399999999999</v>
      </c>
      <c r="AC678" s="15" t="s">
        <v>130</v>
      </c>
      <c r="AD678" s="15" t="s">
        <v>130</v>
      </c>
      <c r="AE678" s="15" t="s">
        <v>350</v>
      </c>
      <c r="AF678" s="12">
        <f>IF(AG678="Rejected",0,IF(R678="Corporate Card",0,V678))</f>
        <v>0</v>
      </c>
      <c r="AG678" s="15" t="s">
        <v>133</v>
      </c>
      <c r="AH678" s="16">
        <v>45726</v>
      </c>
      <c r="AI678" s="16">
        <v>45731</v>
      </c>
      <c r="AJ678" s="16">
        <v>45742</v>
      </c>
      <c r="AK678" s="17">
        <f>IF(AJ678="","",AJ678-AH678)</f>
        <v>16</v>
      </c>
    </row>
    <row r="679" spans="1:37">
      <c r="A679" s="2" t="s">
        <v>1061</v>
      </c>
      <c r="B679" s="2" t="s">
        <v>616</v>
      </c>
      <c r="C679" s="2" t="s">
        <v>252</v>
      </c>
      <c r="D679" s="2" t="s">
        <v>250</v>
      </c>
      <c r="E679" s="2" t="s">
        <v>617</v>
      </c>
      <c r="F679" s="2" t="s">
        <v>510</v>
      </c>
      <c r="G679" s="2" t="s">
        <v>994</v>
      </c>
      <c r="H679" s="2" t="s">
        <v>254</v>
      </c>
      <c r="I679" s="2" t="s">
        <v>567</v>
      </c>
      <c r="J679" s="2" t="s">
        <v>434</v>
      </c>
      <c r="K679" s="9">
        <v>45713</v>
      </c>
      <c r="L679" s="9">
        <v>45718</v>
      </c>
      <c r="M679" s="9">
        <v>45717</v>
      </c>
      <c r="N679" s="2" t="s">
        <v>1054</v>
      </c>
      <c r="O679" s="2" t="s">
        <v>55</v>
      </c>
      <c r="P679" s="2" t="s">
        <v>139</v>
      </c>
      <c r="Q679" s="2" t="s">
        <v>154</v>
      </c>
      <c r="R679" s="2" t="s">
        <v>128</v>
      </c>
      <c r="S679" s="2" t="s">
        <v>436</v>
      </c>
      <c r="T679" s="10">
        <v>2911</v>
      </c>
      <c r="U679" s="11">
        <v>1.1780000000000001E-2</v>
      </c>
      <c r="V679" s="12">
        <f>T679*U679</f>
        <v>34.291580000000003</v>
      </c>
      <c r="W679" s="13">
        <v>0.18</v>
      </c>
      <c r="X679" s="12">
        <f>V679-(V679/(1+W679))</f>
        <v>5.2309189830508451</v>
      </c>
      <c r="Y679" s="12">
        <f>V679-X679</f>
        <v>29.060661016949158</v>
      </c>
      <c r="Z679" s="14">
        <v>35</v>
      </c>
      <c r="AA679" s="2" t="str">
        <f>IF(V679&gt;Z679,"Yes","No")</f>
        <v>No</v>
      </c>
      <c r="AB679" s="12">
        <f>V679-Z679</f>
        <v>-0.70841999999999672</v>
      </c>
      <c r="AC679" s="15" t="s">
        <v>130</v>
      </c>
      <c r="AD679" s="15" t="s">
        <v>130</v>
      </c>
      <c r="AE679" s="15" t="s">
        <v>350</v>
      </c>
      <c r="AF679" s="12">
        <f>IF(AG679="Rejected",0,IF(R679="Corporate Card",0,V679))</f>
        <v>0</v>
      </c>
      <c r="AG679" s="15" t="s">
        <v>133</v>
      </c>
      <c r="AH679" s="16">
        <v>45726</v>
      </c>
      <c r="AI679" s="16">
        <v>45731</v>
      </c>
      <c r="AJ679" s="16">
        <v>45742</v>
      </c>
      <c r="AK679" s="17">
        <f>IF(AJ679="","",AJ679-AH679)</f>
        <v>16</v>
      </c>
    </row>
    <row r="680" spans="1:37">
      <c r="A680" s="2" t="s">
        <v>1062</v>
      </c>
      <c r="B680" s="2" t="s">
        <v>616</v>
      </c>
      <c r="C680" s="2" t="s">
        <v>252</v>
      </c>
      <c r="D680" s="2" t="s">
        <v>250</v>
      </c>
      <c r="E680" s="2" t="s">
        <v>617</v>
      </c>
      <c r="F680" s="2" t="s">
        <v>510</v>
      </c>
      <c r="G680" s="2" t="s">
        <v>984</v>
      </c>
      <c r="H680" s="2" t="s">
        <v>748</v>
      </c>
      <c r="I680" s="2" t="s">
        <v>749</v>
      </c>
      <c r="J680" s="2" t="s">
        <v>750</v>
      </c>
      <c r="K680" s="9">
        <v>45712</v>
      </c>
      <c r="L680" s="9">
        <v>45717</v>
      </c>
      <c r="M680" s="9">
        <v>45717</v>
      </c>
      <c r="N680" s="2" t="s">
        <v>1054</v>
      </c>
      <c r="O680" s="2" t="s">
        <v>54</v>
      </c>
      <c r="P680" s="2" t="s">
        <v>139</v>
      </c>
      <c r="Q680" s="2" t="s">
        <v>140</v>
      </c>
      <c r="R680" s="2" t="s">
        <v>128</v>
      </c>
      <c r="S680" s="2" t="s">
        <v>198</v>
      </c>
      <c r="T680" s="10">
        <v>12.86</v>
      </c>
      <c r="U680" s="11">
        <v>1.085</v>
      </c>
      <c r="V680" s="12">
        <f>T680*U680</f>
        <v>13.953099999999999</v>
      </c>
      <c r="W680" s="13">
        <v>0.19</v>
      </c>
      <c r="X680" s="12">
        <f>V680-(V680/(1+W680))</f>
        <v>2.227805882352941</v>
      </c>
      <c r="Y680" s="12">
        <f>V680-X680</f>
        <v>11.725294117647058</v>
      </c>
      <c r="Z680" s="14">
        <v>25</v>
      </c>
      <c r="AA680" s="2" t="str">
        <f>IF(V680&gt;Z680,"Yes","No")</f>
        <v>No</v>
      </c>
      <c r="AB680" s="12">
        <f>V680-Z680</f>
        <v>-11.046900000000001</v>
      </c>
      <c r="AC680" s="15" t="s">
        <v>130</v>
      </c>
      <c r="AD680" s="15" t="s">
        <v>131</v>
      </c>
      <c r="AE680" s="15" t="s">
        <v>437</v>
      </c>
      <c r="AF680" s="12">
        <f>IF(AG680="Rejected",0,IF(R680="Corporate Card",0,V680))</f>
        <v>0</v>
      </c>
      <c r="AG680" s="15" t="s">
        <v>133</v>
      </c>
      <c r="AH680" s="16">
        <v>45729</v>
      </c>
      <c r="AI680" s="16">
        <v>45737</v>
      </c>
      <c r="AJ680" s="16">
        <v>45739</v>
      </c>
      <c r="AK680" s="17">
        <f>IF(AJ680="","",AJ680-AH680)</f>
        <v>10</v>
      </c>
    </row>
    <row r="681" spans="1:37">
      <c r="A681" s="2" t="s">
        <v>1063</v>
      </c>
      <c r="B681" s="2" t="s">
        <v>616</v>
      </c>
      <c r="C681" s="2" t="s">
        <v>252</v>
      </c>
      <c r="D681" s="2" t="s">
        <v>250</v>
      </c>
      <c r="E681" s="2" t="s">
        <v>617</v>
      </c>
      <c r="F681" s="2" t="s">
        <v>510</v>
      </c>
      <c r="G681" s="2" t="s">
        <v>984</v>
      </c>
      <c r="H681" s="2" t="s">
        <v>748</v>
      </c>
      <c r="I681" s="2" t="s">
        <v>749</v>
      </c>
      <c r="J681" s="2" t="s">
        <v>750</v>
      </c>
      <c r="K681" s="9">
        <v>45712</v>
      </c>
      <c r="L681" s="9">
        <v>45717</v>
      </c>
      <c r="M681" s="9">
        <v>45717</v>
      </c>
      <c r="N681" s="2" t="s">
        <v>1054</v>
      </c>
      <c r="O681" s="2" t="s">
        <v>56</v>
      </c>
      <c r="P681" s="2" t="s">
        <v>165</v>
      </c>
      <c r="Q681" s="2" t="s">
        <v>159</v>
      </c>
      <c r="R681" s="2" t="s">
        <v>137</v>
      </c>
      <c r="S681" s="2" t="s">
        <v>198</v>
      </c>
      <c r="T681" s="10">
        <v>43.27</v>
      </c>
      <c r="U681" s="11">
        <v>1.085</v>
      </c>
      <c r="V681" s="12">
        <f>T681*U681</f>
        <v>46.947949999999999</v>
      </c>
      <c r="W681" s="13">
        <v>0.19</v>
      </c>
      <c r="X681" s="12">
        <f>V681-(V681/(1+W681))</f>
        <v>7.495891176470586</v>
      </c>
      <c r="Y681" s="12">
        <f>V681-X681</f>
        <v>39.452058823529413</v>
      </c>
      <c r="Z681" s="14">
        <v>75</v>
      </c>
      <c r="AA681" s="2" t="str">
        <f>IF(V681&gt;Z681,"Yes","No")</f>
        <v>No</v>
      </c>
      <c r="AB681" s="12">
        <f>V681-Z681</f>
        <v>-28.052050000000001</v>
      </c>
      <c r="AC681" s="15" t="s">
        <v>130</v>
      </c>
      <c r="AD681" s="15" t="s">
        <v>131</v>
      </c>
      <c r="AE681" s="15" t="s">
        <v>437</v>
      </c>
      <c r="AF681" s="12">
        <f>IF(AG681="Rejected",0,IF(R681="Corporate Card",0,V681))</f>
        <v>46.947949999999999</v>
      </c>
      <c r="AG681" s="15" t="s">
        <v>133</v>
      </c>
      <c r="AH681" s="16">
        <v>45729</v>
      </c>
      <c r="AI681" s="16">
        <v>45737</v>
      </c>
      <c r="AJ681" s="16">
        <v>45739</v>
      </c>
      <c r="AK681" s="17">
        <f>IF(AJ681="","",AJ681-AH681)</f>
        <v>10</v>
      </c>
    </row>
    <row r="682" spans="1:37">
      <c r="A682" s="2" t="s">
        <v>1064</v>
      </c>
      <c r="B682" s="2" t="s">
        <v>616</v>
      </c>
      <c r="C682" s="2" t="s">
        <v>252</v>
      </c>
      <c r="D682" s="2" t="s">
        <v>250</v>
      </c>
      <c r="E682" s="2" t="s">
        <v>617</v>
      </c>
      <c r="F682" s="2" t="s">
        <v>510</v>
      </c>
      <c r="G682" s="2" t="s">
        <v>984</v>
      </c>
      <c r="H682" s="2" t="s">
        <v>748</v>
      </c>
      <c r="I682" s="2" t="s">
        <v>749</v>
      </c>
      <c r="J682" s="2" t="s">
        <v>750</v>
      </c>
      <c r="K682" s="9">
        <v>45712</v>
      </c>
      <c r="L682" s="9">
        <v>45717</v>
      </c>
      <c r="M682" s="9">
        <v>45717</v>
      </c>
      <c r="N682" s="2" t="s">
        <v>1054</v>
      </c>
      <c r="O682" s="2" t="s">
        <v>55</v>
      </c>
      <c r="P682" s="2" t="s">
        <v>139</v>
      </c>
      <c r="Q682" s="2" t="s">
        <v>154</v>
      </c>
      <c r="R682" s="2" t="s">
        <v>128</v>
      </c>
      <c r="S682" s="2" t="s">
        <v>198</v>
      </c>
      <c r="T682" s="10">
        <v>12.65</v>
      </c>
      <c r="U682" s="11">
        <v>1.085</v>
      </c>
      <c r="V682" s="12">
        <f>T682*U682</f>
        <v>13.725249999999999</v>
      </c>
      <c r="W682" s="13">
        <v>0.19</v>
      </c>
      <c r="X682" s="12">
        <f>V682-(V682/(1+W682))</f>
        <v>2.1914264705882349</v>
      </c>
      <c r="Y682" s="12">
        <f>V682-X682</f>
        <v>11.533823529411764</v>
      </c>
      <c r="Z682" s="14">
        <v>35</v>
      </c>
      <c r="AA682" s="2" t="str">
        <f>IF(V682&gt;Z682,"Yes","No")</f>
        <v>No</v>
      </c>
      <c r="AB682" s="12">
        <f>V682-Z682</f>
        <v>-21.274750000000001</v>
      </c>
      <c r="AC682" s="15" t="s">
        <v>130</v>
      </c>
      <c r="AD682" s="15" t="s">
        <v>131</v>
      </c>
      <c r="AE682" s="15" t="s">
        <v>437</v>
      </c>
      <c r="AF682" s="12">
        <f>IF(AG682="Rejected",0,IF(R682="Corporate Card",0,V682))</f>
        <v>0</v>
      </c>
      <c r="AG682" s="15" t="s">
        <v>133</v>
      </c>
      <c r="AH682" s="16">
        <v>45729</v>
      </c>
      <c r="AI682" s="16">
        <v>45737</v>
      </c>
      <c r="AJ682" s="16">
        <v>45739</v>
      </c>
      <c r="AK682" s="17">
        <f>IF(AJ682="","",AJ682-AH682)</f>
        <v>10</v>
      </c>
    </row>
    <row r="683" spans="1:37">
      <c r="A683" s="2" t="s">
        <v>1065</v>
      </c>
      <c r="B683" s="2" t="s">
        <v>287</v>
      </c>
      <c r="C683" s="2" t="s">
        <v>288</v>
      </c>
      <c r="D683" s="2" t="s">
        <v>171</v>
      </c>
      <c r="E683" s="2" t="s">
        <v>289</v>
      </c>
      <c r="F683" s="2" t="s">
        <v>173</v>
      </c>
      <c r="G683" s="2" t="s">
        <v>1020</v>
      </c>
      <c r="H683" s="2" t="s">
        <v>291</v>
      </c>
      <c r="I683" s="2" t="s">
        <v>315</v>
      </c>
      <c r="J683" s="2" t="s">
        <v>316</v>
      </c>
      <c r="K683" s="9">
        <v>45714</v>
      </c>
      <c r="L683" s="9">
        <v>45720</v>
      </c>
      <c r="M683" s="9">
        <v>45717</v>
      </c>
      <c r="N683" s="2" t="s">
        <v>1054</v>
      </c>
      <c r="O683" s="2" t="s">
        <v>58</v>
      </c>
      <c r="P683" s="2" t="s">
        <v>142</v>
      </c>
      <c r="Q683" s="2" t="s">
        <v>296</v>
      </c>
      <c r="R683" s="2" t="s">
        <v>149</v>
      </c>
      <c r="S683" s="2" t="s">
        <v>318</v>
      </c>
      <c r="T683" s="10">
        <v>150.63999999999999</v>
      </c>
      <c r="U683" s="11">
        <v>0.27229999999999999</v>
      </c>
      <c r="V683" s="12">
        <f>T683*U683</f>
        <v>41.019271999999994</v>
      </c>
      <c r="W683" s="13">
        <v>0.05</v>
      </c>
      <c r="X683" s="12">
        <f>V683-(V683/(1+W683))</f>
        <v>1.9532986666666687</v>
      </c>
      <c r="Y683" s="12">
        <f>V683-X683</f>
        <v>39.065973333333325</v>
      </c>
      <c r="Z683" s="14">
        <v>60</v>
      </c>
      <c r="AA683" s="2" t="str">
        <f>IF(V683&gt;Z683,"Yes","No")</f>
        <v>No</v>
      </c>
      <c r="AB683" s="12">
        <f>V683-Z683</f>
        <v>-18.980728000000006</v>
      </c>
      <c r="AC683" s="15" t="s">
        <v>130</v>
      </c>
      <c r="AD683" s="15" t="s">
        <v>130</v>
      </c>
      <c r="AE683" s="15" t="s">
        <v>514</v>
      </c>
      <c r="AF683" s="12">
        <f>IF(AG683="Rejected",0,IF(R683="Corporate Card",0,V683))</f>
        <v>41.019271999999994</v>
      </c>
      <c r="AG683" s="15" t="s">
        <v>133</v>
      </c>
      <c r="AH683" s="16">
        <v>45727</v>
      </c>
      <c r="AI683" s="16">
        <v>45728</v>
      </c>
      <c r="AJ683" s="16">
        <v>45740</v>
      </c>
      <c r="AK683" s="17">
        <f>IF(AJ683="","",AJ683-AH683)</f>
        <v>13</v>
      </c>
    </row>
    <row r="684" spans="1:37">
      <c r="A684" s="2" t="s">
        <v>1066</v>
      </c>
      <c r="B684" s="2" t="s">
        <v>287</v>
      </c>
      <c r="C684" s="2" t="s">
        <v>288</v>
      </c>
      <c r="D684" s="2" t="s">
        <v>171</v>
      </c>
      <c r="E684" s="2" t="s">
        <v>289</v>
      </c>
      <c r="F684" s="2" t="s">
        <v>173</v>
      </c>
      <c r="G684" s="2" t="s">
        <v>1020</v>
      </c>
      <c r="H684" s="2" t="s">
        <v>291</v>
      </c>
      <c r="I684" s="2" t="s">
        <v>315</v>
      </c>
      <c r="J684" s="2" t="s">
        <v>316</v>
      </c>
      <c r="K684" s="9">
        <v>45714</v>
      </c>
      <c r="L684" s="9">
        <v>45720</v>
      </c>
      <c r="M684" s="9">
        <v>45717</v>
      </c>
      <c r="N684" s="2" t="s">
        <v>1054</v>
      </c>
      <c r="O684" s="2" t="s">
        <v>68</v>
      </c>
      <c r="P684" s="2" t="s">
        <v>282</v>
      </c>
      <c r="Q684" s="2" t="s">
        <v>283</v>
      </c>
      <c r="R684" s="2" t="s">
        <v>149</v>
      </c>
      <c r="S684" s="2" t="s">
        <v>318</v>
      </c>
      <c r="T684" s="10">
        <v>60.02</v>
      </c>
      <c r="U684" s="11">
        <v>0.27229999999999999</v>
      </c>
      <c r="V684" s="12">
        <f>T684*U684</f>
        <v>16.343446</v>
      </c>
      <c r="W684" s="13">
        <v>0.05</v>
      </c>
      <c r="X684" s="12">
        <f>V684-(V684/(1+W684))</f>
        <v>0.77825933333333452</v>
      </c>
      <c r="Y684" s="12">
        <f>V684-X684</f>
        <v>15.565186666666666</v>
      </c>
      <c r="Z684" s="14">
        <v>30</v>
      </c>
      <c r="AA684" s="2" t="str">
        <f>IF(V684&gt;Z684,"Yes","No")</f>
        <v>No</v>
      </c>
      <c r="AB684" s="12">
        <f>V684-Z684</f>
        <v>-13.656554</v>
      </c>
      <c r="AC684" s="15" t="s">
        <v>130</v>
      </c>
      <c r="AD684" s="15" t="s">
        <v>130</v>
      </c>
      <c r="AE684" s="15" t="s">
        <v>514</v>
      </c>
      <c r="AF684" s="12">
        <f>IF(AG684="Rejected",0,IF(R684="Corporate Card",0,V684))</f>
        <v>16.343446</v>
      </c>
      <c r="AG684" s="15" t="s">
        <v>133</v>
      </c>
      <c r="AH684" s="16">
        <v>45727</v>
      </c>
      <c r="AI684" s="16">
        <v>45728</v>
      </c>
      <c r="AJ684" s="16">
        <v>45740</v>
      </c>
      <c r="AK684" s="17">
        <f>IF(AJ684="","",AJ684-AH684)</f>
        <v>13</v>
      </c>
    </row>
    <row r="685" spans="1:37">
      <c r="A685" s="2" t="s">
        <v>1067</v>
      </c>
      <c r="B685" s="2" t="s">
        <v>287</v>
      </c>
      <c r="C685" s="2" t="s">
        <v>288</v>
      </c>
      <c r="D685" s="2" t="s">
        <v>171</v>
      </c>
      <c r="E685" s="2" t="s">
        <v>289</v>
      </c>
      <c r="F685" s="2" t="s">
        <v>173</v>
      </c>
      <c r="G685" s="2" t="s">
        <v>1020</v>
      </c>
      <c r="H685" s="2" t="s">
        <v>291</v>
      </c>
      <c r="I685" s="2" t="s">
        <v>315</v>
      </c>
      <c r="J685" s="2" t="s">
        <v>316</v>
      </c>
      <c r="K685" s="9">
        <v>45714</v>
      </c>
      <c r="L685" s="9">
        <v>45720</v>
      </c>
      <c r="M685" s="9">
        <v>45717</v>
      </c>
      <c r="N685" s="2" t="s">
        <v>1054</v>
      </c>
      <c r="O685" s="2" t="s">
        <v>54</v>
      </c>
      <c r="P685" s="2" t="s">
        <v>139</v>
      </c>
      <c r="Q685" s="2" t="s">
        <v>214</v>
      </c>
      <c r="R685" s="2" t="s">
        <v>149</v>
      </c>
      <c r="S685" s="2" t="s">
        <v>318</v>
      </c>
      <c r="T685" s="10">
        <v>82.86</v>
      </c>
      <c r="U685" s="11">
        <v>0.27229999999999999</v>
      </c>
      <c r="V685" s="12">
        <f>T685*U685</f>
        <v>22.562777999999998</v>
      </c>
      <c r="W685" s="13">
        <v>0.05</v>
      </c>
      <c r="X685" s="12">
        <f>V685-(V685/(1+W685))</f>
        <v>1.0744180000000014</v>
      </c>
      <c r="Y685" s="12">
        <f>V685-X685</f>
        <v>21.488359999999997</v>
      </c>
      <c r="Z685" s="14">
        <v>25</v>
      </c>
      <c r="AA685" s="2" t="str">
        <f>IF(V685&gt;Z685,"Yes","No")</f>
        <v>No</v>
      </c>
      <c r="AB685" s="12">
        <f>V685-Z685</f>
        <v>-2.437222000000002</v>
      </c>
      <c r="AC685" s="15" t="s">
        <v>130</v>
      </c>
      <c r="AD685" s="15" t="s">
        <v>130</v>
      </c>
      <c r="AE685" s="15" t="s">
        <v>514</v>
      </c>
      <c r="AF685" s="12">
        <f>IF(AG685="Rejected",0,IF(R685="Corporate Card",0,V685))</f>
        <v>22.562777999999998</v>
      </c>
      <c r="AG685" s="15" t="s">
        <v>133</v>
      </c>
      <c r="AH685" s="16">
        <v>45727</v>
      </c>
      <c r="AI685" s="16">
        <v>45728</v>
      </c>
      <c r="AJ685" s="16">
        <v>45740</v>
      </c>
      <c r="AK685" s="17">
        <f>IF(AJ685="","",AJ685-AH685)</f>
        <v>13</v>
      </c>
    </row>
    <row r="686" spans="1:37">
      <c r="A686" s="2" t="s">
        <v>1068</v>
      </c>
      <c r="B686" s="2" t="s">
        <v>287</v>
      </c>
      <c r="C686" s="2" t="s">
        <v>288</v>
      </c>
      <c r="D686" s="2" t="s">
        <v>171</v>
      </c>
      <c r="E686" s="2" t="s">
        <v>289</v>
      </c>
      <c r="F686" s="2" t="s">
        <v>173</v>
      </c>
      <c r="G686" s="2" t="s">
        <v>1020</v>
      </c>
      <c r="H686" s="2" t="s">
        <v>291</v>
      </c>
      <c r="I686" s="2" t="s">
        <v>315</v>
      </c>
      <c r="J686" s="2" t="s">
        <v>316</v>
      </c>
      <c r="K686" s="9">
        <v>45714</v>
      </c>
      <c r="L686" s="9">
        <v>45720</v>
      </c>
      <c r="M686" s="9">
        <v>45717</v>
      </c>
      <c r="N686" s="2" t="s">
        <v>1054</v>
      </c>
      <c r="O686" s="2" t="s">
        <v>56</v>
      </c>
      <c r="P686" s="2" t="s">
        <v>245</v>
      </c>
      <c r="Q686" s="2" t="s">
        <v>152</v>
      </c>
      <c r="R686" s="2" t="s">
        <v>137</v>
      </c>
      <c r="S686" s="2" t="s">
        <v>318</v>
      </c>
      <c r="T686" s="10">
        <v>139.94</v>
      </c>
      <c r="U686" s="11">
        <v>0.27229999999999999</v>
      </c>
      <c r="V686" s="12">
        <f>T686*U686</f>
        <v>38.105661999999995</v>
      </c>
      <c r="W686" s="13">
        <v>0.05</v>
      </c>
      <c r="X686" s="12">
        <f>V686-(V686/(1+W686))</f>
        <v>1.8145553333333382</v>
      </c>
      <c r="Y686" s="12">
        <f>V686-X686</f>
        <v>36.291106666666657</v>
      </c>
      <c r="Z686" s="14">
        <v>75</v>
      </c>
      <c r="AA686" s="2" t="str">
        <f>IF(V686&gt;Z686,"Yes","No")</f>
        <v>No</v>
      </c>
      <c r="AB686" s="12">
        <f>V686-Z686</f>
        <v>-36.894338000000005</v>
      </c>
      <c r="AC686" s="15" t="s">
        <v>130</v>
      </c>
      <c r="AD686" s="15" t="s">
        <v>130</v>
      </c>
      <c r="AE686" s="15" t="s">
        <v>514</v>
      </c>
      <c r="AF686" s="12">
        <f>IF(AG686="Rejected",0,IF(R686="Corporate Card",0,V686))</f>
        <v>38.105661999999995</v>
      </c>
      <c r="AG686" s="15" t="s">
        <v>133</v>
      </c>
      <c r="AH686" s="16">
        <v>45727</v>
      </c>
      <c r="AI686" s="16">
        <v>45728</v>
      </c>
      <c r="AJ686" s="16">
        <v>45740</v>
      </c>
      <c r="AK686" s="17">
        <f>IF(AJ686="","",AJ686-AH686)</f>
        <v>13</v>
      </c>
    </row>
    <row r="687" spans="1:37">
      <c r="A687" s="2" t="s">
        <v>1069</v>
      </c>
      <c r="B687" s="2" t="s">
        <v>287</v>
      </c>
      <c r="C687" s="2" t="s">
        <v>288</v>
      </c>
      <c r="D687" s="2" t="s">
        <v>171</v>
      </c>
      <c r="E687" s="2" t="s">
        <v>289</v>
      </c>
      <c r="F687" s="2" t="s">
        <v>173</v>
      </c>
      <c r="G687" s="2" t="s">
        <v>1020</v>
      </c>
      <c r="H687" s="2" t="s">
        <v>291</v>
      </c>
      <c r="I687" s="2" t="s">
        <v>315</v>
      </c>
      <c r="J687" s="2" t="s">
        <v>316</v>
      </c>
      <c r="K687" s="9">
        <v>45714</v>
      </c>
      <c r="L687" s="9">
        <v>45720</v>
      </c>
      <c r="M687" s="9">
        <v>45717</v>
      </c>
      <c r="N687" s="2" t="s">
        <v>1054</v>
      </c>
      <c r="O687" s="2" t="s">
        <v>55</v>
      </c>
      <c r="P687" s="2" t="s">
        <v>139</v>
      </c>
      <c r="Q687" s="2" t="s">
        <v>187</v>
      </c>
      <c r="R687" s="2" t="s">
        <v>128</v>
      </c>
      <c r="S687" s="2" t="s">
        <v>318</v>
      </c>
      <c r="T687" s="10">
        <v>83.88</v>
      </c>
      <c r="U687" s="11">
        <v>0.27229999999999999</v>
      </c>
      <c r="V687" s="12">
        <f>T687*U687</f>
        <v>22.840523999999998</v>
      </c>
      <c r="W687" s="13">
        <v>0.05</v>
      </c>
      <c r="X687" s="12">
        <f>V687-(V687/(1+W687))</f>
        <v>1.0876440000000009</v>
      </c>
      <c r="Y687" s="12">
        <f>V687-X687</f>
        <v>21.752879999999998</v>
      </c>
      <c r="Z687" s="14">
        <v>35</v>
      </c>
      <c r="AA687" s="2" t="str">
        <f>IF(V687&gt;Z687,"Yes","No")</f>
        <v>No</v>
      </c>
      <c r="AB687" s="12">
        <f>V687-Z687</f>
        <v>-12.159476000000002</v>
      </c>
      <c r="AC687" s="15" t="s">
        <v>130</v>
      </c>
      <c r="AD687" s="15" t="s">
        <v>130</v>
      </c>
      <c r="AE687" s="15" t="s">
        <v>514</v>
      </c>
      <c r="AF687" s="12">
        <f>IF(AG687="Rejected",0,IF(R687="Corporate Card",0,V687))</f>
        <v>0</v>
      </c>
      <c r="AG687" s="15" t="s">
        <v>133</v>
      </c>
      <c r="AH687" s="16">
        <v>45727</v>
      </c>
      <c r="AI687" s="16">
        <v>45728</v>
      </c>
      <c r="AJ687" s="16">
        <v>45740</v>
      </c>
      <c r="AK687" s="17">
        <f>IF(AJ687="","",AJ687-AH687)</f>
        <v>13</v>
      </c>
    </row>
    <row r="688" spans="1:37">
      <c r="A688" s="2" t="s">
        <v>1070</v>
      </c>
      <c r="B688" s="2" t="s">
        <v>189</v>
      </c>
      <c r="C688" s="2" t="s">
        <v>190</v>
      </c>
      <c r="D688" s="2" t="s">
        <v>171</v>
      </c>
      <c r="E688" s="2" t="s">
        <v>191</v>
      </c>
      <c r="F688" s="2" t="s">
        <v>173</v>
      </c>
      <c r="G688" s="2" t="s">
        <v>1037</v>
      </c>
      <c r="H688" s="2" t="s">
        <v>291</v>
      </c>
      <c r="I688" s="2" t="s">
        <v>1038</v>
      </c>
      <c r="J688" s="2" t="s">
        <v>381</v>
      </c>
      <c r="K688" s="9">
        <v>45716</v>
      </c>
      <c r="L688" s="9">
        <v>45724</v>
      </c>
      <c r="M688" s="9">
        <v>45718</v>
      </c>
      <c r="N688" s="2" t="s">
        <v>1054</v>
      </c>
      <c r="O688" s="2" t="s">
        <v>61</v>
      </c>
      <c r="P688" s="2" t="s">
        <v>528</v>
      </c>
      <c r="Q688" s="2" t="s">
        <v>529</v>
      </c>
      <c r="R688" s="2" t="s">
        <v>128</v>
      </c>
      <c r="S688" s="2" t="s">
        <v>383</v>
      </c>
      <c r="T688" s="10">
        <v>53.49</v>
      </c>
      <c r="U688" s="11">
        <v>1</v>
      </c>
      <c r="V688" s="12">
        <f>T688*U688</f>
        <v>53.49</v>
      </c>
      <c r="W688" s="13">
        <v>0</v>
      </c>
      <c r="X688" s="12">
        <f>V688-(V688/(1+W688))</f>
        <v>0</v>
      </c>
      <c r="Y688" s="12">
        <f>V688-X688</f>
        <v>53.49</v>
      </c>
      <c r="Z688" s="14">
        <v>90</v>
      </c>
      <c r="AA688" s="2" t="str">
        <f>IF(V688&gt;Z688,"Yes","No")</f>
        <v>No</v>
      </c>
      <c r="AB688" s="12">
        <f>V688-Z688</f>
        <v>-36.51</v>
      </c>
      <c r="AC688" s="15" t="s">
        <v>130</v>
      </c>
      <c r="AD688" s="15" t="s">
        <v>130</v>
      </c>
      <c r="AE688" s="15" t="s">
        <v>514</v>
      </c>
      <c r="AF688" s="12">
        <f>IF(AG688="Rejected",0,IF(R688="Corporate Card",0,V688))</f>
        <v>0</v>
      </c>
      <c r="AG688" s="15" t="s">
        <v>133</v>
      </c>
      <c r="AH688" s="16">
        <v>45727</v>
      </c>
      <c r="AI688" s="16">
        <v>45735</v>
      </c>
      <c r="AJ688" s="16">
        <v>45745</v>
      </c>
      <c r="AK688" s="17">
        <f>IF(AJ688="","",AJ688-AH688)</f>
        <v>18</v>
      </c>
    </row>
    <row r="689" spans="1:37">
      <c r="A689" s="2" t="s">
        <v>1071</v>
      </c>
      <c r="B689" s="2" t="s">
        <v>189</v>
      </c>
      <c r="C689" s="2" t="s">
        <v>190</v>
      </c>
      <c r="D689" s="2" t="s">
        <v>171</v>
      </c>
      <c r="E689" s="2" t="s">
        <v>191</v>
      </c>
      <c r="F689" s="2" t="s">
        <v>173</v>
      </c>
      <c r="G689" s="2" t="s">
        <v>1037</v>
      </c>
      <c r="H689" s="2" t="s">
        <v>291</v>
      </c>
      <c r="I689" s="2" t="s">
        <v>1038</v>
      </c>
      <c r="J689" s="2" t="s">
        <v>381</v>
      </c>
      <c r="K689" s="9">
        <v>45716</v>
      </c>
      <c r="L689" s="9">
        <v>45724</v>
      </c>
      <c r="M689" s="9">
        <v>45718</v>
      </c>
      <c r="N689" s="2" t="s">
        <v>1054</v>
      </c>
      <c r="O689" s="2" t="s">
        <v>54</v>
      </c>
      <c r="P689" s="2" t="s">
        <v>139</v>
      </c>
      <c r="Q689" s="2" t="s">
        <v>140</v>
      </c>
      <c r="R689" s="2" t="s">
        <v>149</v>
      </c>
      <c r="S689" s="2" t="s">
        <v>383</v>
      </c>
      <c r="T689" s="10">
        <v>12.32</v>
      </c>
      <c r="U689" s="11">
        <v>1</v>
      </c>
      <c r="V689" s="12">
        <f>T689*U689</f>
        <v>12.32</v>
      </c>
      <c r="W689" s="13">
        <v>0</v>
      </c>
      <c r="X689" s="12">
        <f>V689-(V689/(1+W689))</f>
        <v>0</v>
      </c>
      <c r="Y689" s="12">
        <f>V689-X689</f>
        <v>12.32</v>
      </c>
      <c r="Z689" s="14">
        <v>25</v>
      </c>
      <c r="AA689" s="2" t="str">
        <f>IF(V689&gt;Z689,"Yes","No")</f>
        <v>No</v>
      </c>
      <c r="AB689" s="12">
        <f>V689-Z689</f>
        <v>-12.68</v>
      </c>
      <c r="AC689" s="15" t="s">
        <v>130</v>
      </c>
      <c r="AD689" s="15" t="s">
        <v>130</v>
      </c>
      <c r="AE689" s="15" t="s">
        <v>514</v>
      </c>
      <c r="AF689" s="12">
        <f>IF(AG689="Rejected",0,IF(R689="Corporate Card",0,V689))</f>
        <v>12.32</v>
      </c>
      <c r="AG689" s="15" t="s">
        <v>133</v>
      </c>
      <c r="AH689" s="16">
        <v>45727</v>
      </c>
      <c r="AI689" s="16">
        <v>45735</v>
      </c>
      <c r="AJ689" s="16">
        <v>45745</v>
      </c>
      <c r="AK689" s="17">
        <f>IF(AJ689="","",AJ689-AH689)</f>
        <v>18</v>
      </c>
    </row>
    <row r="690" spans="1:37">
      <c r="A690" s="2" t="s">
        <v>1072</v>
      </c>
      <c r="B690" s="2" t="s">
        <v>189</v>
      </c>
      <c r="C690" s="2" t="s">
        <v>190</v>
      </c>
      <c r="D690" s="2" t="s">
        <v>171</v>
      </c>
      <c r="E690" s="2" t="s">
        <v>191</v>
      </c>
      <c r="F690" s="2" t="s">
        <v>173</v>
      </c>
      <c r="G690" s="2" t="s">
        <v>1037</v>
      </c>
      <c r="H690" s="2" t="s">
        <v>291</v>
      </c>
      <c r="I690" s="2" t="s">
        <v>1038</v>
      </c>
      <c r="J690" s="2" t="s">
        <v>381</v>
      </c>
      <c r="K690" s="9">
        <v>45716</v>
      </c>
      <c r="L690" s="9">
        <v>45724</v>
      </c>
      <c r="M690" s="9">
        <v>45718</v>
      </c>
      <c r="N690" s="2" t="s">
        <v>1054</v>
      </c>
      <c r="O690" s="2" t="s">
        <v>56</v>
      </c>
      <c r="P690" s="2" t="s">
        <v>165</v>
      </c>
      <c r="Q690" s="2" t="s">
        <v>159</v>
      </c>
      <c r="R690" s="2" t="s">
        <v>128</v>
      </c>
      <c r="S690" s="2" t="s">
        <v>383</v>
      </c>
      <c r="T690" s="10">
        <v>31.58</v>
      </c>
      <c r="U690" s="11">
        <v>1</v>
      </c>
      <c r="V690" s="12">
        <f>T690*U690</f>
        <v>31.58</v>
      </c>
      <c r="W690" s="13">
        <v>0</v>
      </c>
      <c r="X690" s="12">
        <f>V690-(V690/(1+W690))</f>
        <v>0</v>
      </c>
      <c r="Y690" s="12">
        <f>V690-X690</f>
        <v>31.58</v>
      </c>
      <c r="Z690" s="14">
        <v>75</v>
      </c>
      <c r="AA690" s="2" t="str">
        <f>IF(V690&gt;Z690,"Yes","No")</f>
        <v>No</v>
      </c>
      <c r="AB690" s="12">
        <f>V690-Z690</f>
        <v>-43.42</v>
      </c>
      <c r="AC690" s="15" t="s">
        <v>130</v>
      </c>
      <c r="AD690" s="15" t="s">
        <v>130</v>
      </c>
      <c r="AE690" s="15" t="s">
        <v>514</v>
      </c>
      <c r="AF690" s="12">
        <f>IF(AG690="Rejected",0,IF(R690="Corporate Card",0,V690))</f>
        <v>0</v>
      </c>
      <c r="AG690" s="15" t="s">
        <v>133</v>
      </c>
      <c r="AH690" s="16">
        <v>45727</v>
      </c>
      <c r="AI690" s="16">
        <v>45735</v>
      </c>
      <c r="AJ690" s="16">
        <v>45745</v>
      </c>
      <c r="AK690" s="17">
        <f>IF(AJ690="","",AJ690-AH690)</f>
        <v>18</v>
      </c>
    </row>
    <row r="691" spans="1:37">
      <c r="A691" s="2" t="s">
        <v>1073</v>
      </c>
      <c r="B691" s="2" t="s">
        <v>189</v>
      </c>
      <c r="C691" s="2" t="s">
        <v>190</v>
      </c>
      <c r="D691" s="2" t="s">
        <v>171</v>
      </c>
      <c r="E691" s="2" t="s">
        <v>191</v>
      </c>
      <c r="F691" s="2" t="s">
        <v>173</v>
      </c>
      <c r="G691" s="2" t="s">
        <v>1037</v>
      </c>
      <c r="H691" s="2" t="s">
        <v>291</v>
      </c>
      <c r="I691" s="2" t="s">
        <v>1038</v>
      </c>
      <c r="J691" s="2" t="s">
        <v>381</v>
      </c>
      <c r="K691" s="9">
        <v>45716</v>
      </c>
      <c r="L691" s="9">
        <v>45724</v>
      </c>
      <c r="M691" s="9">
        <v>45718</v>
      </c>
      <c r="N691" s="2" t="s">
        <v>1054</v>
      </c>
      <c r="O691" s="2" t="s">
        <v>55</v>
      </c>
      <c r="P691" s="2" t="s">
        <v>139</v>
      </c>
      <c r="Q691" s="2" t="s">
        <v>187</v>
      </c>
      <c r="R691" s="2" t="s">
        <v>149</v>
      </c>
      <c r="S691" s="2" t="s">
        <v>383</v>
      </c>
      <c r="T691" s="10">
        <v>32.26</v>
      </c>
      <c r="U691" s="11">
        <v>1</v>
      </c>
      <c r="V691" s="12">
        <f>T691*U691</f>
        <v>32.26</v>
      </c>
      <c r="W691" s="13">
        <v>0</v>
      </c>
      <c r="X691" s="12">
        <f>V691-(V691/(1+W691))</f>
        <v>0</v>
      </c>
      <c r="Y691" s="12">
        <f>V691-X691</f>
        <v>32.26</v>
      </c>
      <c r="Z691" s="14">
        <v>35</v>
      </c>
      <c r="AA691" s="2" t="str">
        <f>IF(V691&gt;Z691,"Yes","No")</f>
        <v>No</v>
      </c>
      <c r="AB691" s="12">
        <f>V691-Z691</f>
        <v>-2.740000000000002</v>
      </c>
      <c r="AC691" s="15" t="s">
        <v>130</v>
      </c>
      <c r="AD691" s="15" t="s">
        <v>130</v>
      </c>
      <c r="AE691" s="15" t="s">
        <v>514</v>
      </c>
      <c r="AF691" s="12">
        <f>IF(AG691="Rejected",0,IF(R691="Corporate Card",0,V691))</f>
        <v>32.26</v>
      </c>
      <c r="AG691" s="15" t="s">
        <v>133</v>
      </c>
      <c r="AH691" s="16">
        <v>45727</v>
      </c>
      <c r="AI691" s="16">
        <v>45735</v>
      </c>
      <c r="AJ691" s="16">
        <v>45745</v>
      </c>
      <c r="AK691" s="17">
        <f>IF(AJ691="","",AJ691-AH691)</f>
        <v>18</v>
      </c>
    </row>
    <row r="692" spans="1:37">
      <c r="A692" s="2" t="s">
        <v>1074</v>
      </c>
      <c r="B692" s="2" t="s">
        <v>616</v>
      </c>
      <c r="C692" s="2" t="s">
        <v>252</v>
      </c>
      <c r="D692" s="2" t="s">
        <v>250</v>
      </c>
      <c r="E692" s="2" t="s">
        <v>617</v>
      </c>
      <c r="F692" s="2" t="s">
        <v>510</v>
      </c>
      <c r="G692" s="2" t="s">
        <v>994</v>
      </c>
      <c r="H692" s="2" t="s">
        <v>254</v>
      </c>
      <c r="I692" s="2" t="s">
        <v>567</v>
      </c>
      <c r="J692" s="2" t="s">
        <v>434</v>
      </c>
      <c r="K692" s="9">
        <v>45713</v>
      </c>
      <c r="L692" s="9">
        <v>45718</v>
      </c>
      <c r="M692" s="9">
        <v>45718</v>
      </c>
      <c r="N692" s="2" t="s">
        <v>1054</v>
      </c>
      <c r="O692" s="2" t="s">
        <v>58</v>
      </c>
      <c r="P692" s="2" t="s">
        <v>142</v>
      </c>
      <c r="Q692" s="2" t="s">
        <v>224</v>
      </c>
      <c r="R692" s="2" t="s">
        <v>137</v>
      </c>
      <c r="S692" s="2" t="s">
        <v>436</v>
      </c>
      <c r="T692" s="10">
        <v>3490</v>
      </c>
      <c r="U692" s="11">
        <v>1.1780000000000001E-2</v>
      </c>
      <c r="V692" s="12">
        <f>T692*U692</f>
        <v>41.112200000000001</v>
      </c>
      <c r="W692" s="13">
        <v>0.18</v>
      </c>
      <c r="X692" s="12">
        <f>V692-(V692/(1+W692))</f>
        <v>6.2713525423728811</v>
      </c>
      <c r="Y692" s="12">
        <f>V692-X692</f>
        <v>34.84084745762712</v>
      </c>
      <c r="Z692" s="14">
        <v>60</v>
      </c>
      <c r="AA692" s="2" t="str">
        <f>IF(V692&gt;Z692,"Yes","No")</f>
        <v>No</v>
      </c>
      <c r="AB692" s="12">
        <f>V692-Z692</f>
        <v>-18.887799999999999</v>
      </c>
      <c r="AC692" s="15" t="s">
        <v>131</v>
      </c>
      <c r="AD692" s="15" t="s">
        <v>130</v>
      </c>
      <c r="AE692" s="15" t="s">
        <v>350</v>
      </c>
      <c r="AF692" s="12">
        <f>IF(AG692="Rejected",0,IF(R692="Corporate Card",0,V692))</f>
        <v>41.112200000000001</v>
      </c>
      <c r="AG692" s="15" t="s">
        <v>133</v>
      </c>
      <c r="AH692" s="16">
        <v>45726</v>
      </c>
      <c r="AI692" s="16">
        <v>45731</v>
      </c>
      <c r="AJ692" s="16">
        <v>45742</v>
      </c>
      <c r="AK692" s="17">
        <f>IF(AJ692="","",AJ692-AH692)</f>
        <v>16</v>
      </c>
    </row>
    <row r="693" spans="1:37">
      <c r="A693" s="2" t="s">
        <v>1075</v>
      </c>
      <c r="B693" s="2" t="s">
        <v>616</v>
      </c>
      <c r="C693" s="2" t="s">
        <v>252</v>
      </c>
      <c r="D693" s="2" t="s">
        <v>250</v>
      </c>
      <c r="E693" s="2" t="s">
        <v>617</v>
      </c>
      <c r="F693" s="2" t="s">
        <v>510</v>
      </c>
      <c r="G693" s="2" t="s">
        <v>994</v>
      </c>
      <c r="H693" s="2" t="s">
        <v>254</v>
      </c>
      <c r="I693" s="2" t="s">
        <v>567</v>
      </c>
      <c r="J693" s="2" t="s">
        <v>434</v>
      </c>
      <c r="K693" s="9">
        <v>45713</v>
      </c>
      <c r="L693" s="9">
        <v>45718</v>
      </c>
      <c r="M693" s="9">
        <v>45718</v>
      </c>
      <c r="N693" s="2" t="s">
        <v>1054</v>
      </c>
      <c r="O693" s="2" t="s">
        <v>54</v>
      </c>
      <c r="P693" s="2" t="s">
        <v>139</v>
      </c>
      <c r="Q693" s="2" t="s">
        <v>163</v>
      </c>
      <c r="R693" s="2" t="s">
        <v>128</v>
      </c>
      <c r="S693" s="2" t="s">
        <v>436</v>
      </c>
      <c r="T693" s="10">
        <v>1546</v>
      </c>
      <c r="U693" s="11">
        <v>1.1780000000000001E-2</v>
      </c>
      <c r="V693" s="12">
        <f>T693*U693</f>
        <v>18.211880000000001</v>
      </c>
      <c r="W693" s="13">
        <v>0.18</v>
      </c>
      <c r="X693" s="12">
        <f>V693-(V693/(1+W693))</f>
        <v>2.778083389830508</v>
      </c>
      <c r="Y693" s="12">
        <f>V693-X693</f>
        <v>15.433796610169493</v>
      </c>
      <c r="Z693" s="14">
        <v>25</v>
      </c>
      <c r="AA693" s="2" t="str">
        <f>IF(V693&gt;Z693,"Yes","No")</f>
        <v>No</v>
      </c>
      <c r="AB693" s="12">
        <f>V693-Z693</f>
        <v>-6.7881199999999993</v>
      </c>
      <c r="AC693" s="15" t="s">
        <v>131</v>
      </c>
      <c r="AD693" s="15" t="s">
        <v>130</v>
      </c>
      <c r="AE693" s="15" t="s">
        <v>350</v>
      </c>
      <c r="AF693" s="12">
        <f>IF(AG693="Rejected",0,IF(R693="Corporate Card",0,V693))</f>
        <v>0</v>
      </c>
      <c r="AG693" s="15" t="s">
        <v>133</v>
      </c>
      <c r="AH693" s="16">
        <v>45726</v>
      </c>
      <c r="AI693" s="16">
        <v>45731</v>
      </c>
      <c r="AJ693" s="16">
        <v>45742</v>
      </c>
      <c r="AK693" s="17">
        <f>IF(AJ693="","",AJ693-AH693)</f>
        <v>16</v>
      </c>
    </row>
    <row r="694" spans="1:37">
      <c r="A694" s="2" t="s">
        <v>1076</v>
      </c>
      <c r="B694" s="2" t="s">
        <v>616</v>
      </c>
      <c r="C694" s="2" t="s">
        <v>252</v>
      </c>
      <c r="D694" s="2" t="s">
        <v>250</v>
      </c>
      <c r="E694" s="2" t="s">
        <v>617</v>
      </c>
      <c r="F694" s="2" t="s">
        <v>510</v>
      </c>
      <c r="G694" s="2" t="s">
        <v>994</v>
      </c>
      <c r="H694" s="2" t="s">
        <v>254</v>
      </c>
      <c r="I694" s="2" t="s">
        <v>567</v>
      </c>
      <c r="J694" s="2" t="s">
        <v>434</v>
      </c>
      <c r="K694" s="9">
        <v>45713</v>
      </c>
      <c r="L694" s="9">
        <v>45718</v>
      </c>
      <c r="M694" s="9">
        <v>45718</v>
      </c>
      <c r="N694" s="2" t="s">
        <v>1054</v>
      </c>
      <c r="O694" s="2" t="s">
        <v>56</v>
      </c>
      <c r="P694" s="2" t="s">
        <v>231</v>
      </c>
      <c r="Q694" s="2" t="s">
        <v>152</v>
      </c>
      <c r="R694" s="2" t="s">
        <v>128</v>
      </c>
      <c r="S694" s="2" t="s">
        <v>436</v>
      </c>
      <c r="T694" s="10">
        <v>3536</v>
      </c>
      <c r="U694" s="11">
        <v>1.1780000000000001E-2</v>
      </c>
      <c r="V694" s="12">
        <f>T694*U694</f>
        <v>41.65408</v>
      </c>
      <c r="W694" s="13">
        <v>0.18</v>
      </c>
      <c r="X694" s="12">
        <f>V694-(V694/(1+W694))</f>
        <v>6.3540122033898285</v>
      </c>
      <c r="Y694" s="12">
        <f>V694-X694</f>
        <v>35.300067796610172</v>
      </c>
      <c r="Z694" s="14">
        <v>75</v>
      </c>
      <c r="AA694" s="2" t="str">
        <f>IF(V694&gt;Z694,"Yes","No")</f>
        <v>No</v>
      </c>
      <c r="AB694" s="12">
        <f>V694-Z694</f>
        <v>-33.34592</v>
      </c>
      <c r="AC694" s="15" t="s">
        <v>130</v>
      </c>
      <c r="AD694" s="15" t="s">
        <v>130</v>
      </c>
      <c r="AE694" s="15" t="s">
        <v>350</v>
      </c>
      <c r="AF694" s="12">
        <f>IF(AG694="Rejected",0,IF(R694="Corporate Card",0,V694))</f>
        <v>0</v>
      </c>
      <c r="AG694" s="15" t="s">
        <v>133</v>
      </c>
      <c r="AH694" s="16">
        <v>45726</v>
      </c>
      <c r="AI694" s="16">
        <v>45731</v>
      </c>
      <c r="AJ694" s="16">
        <v>45742</v>
      </c>
      <c r="AK694" s="17">
        <f>IF(AJ694="","",AJ694-AH694)</f>
        <v>16</v>
      </c>
    </row>
    <row r="695" spans="1:37">
      <c r="A695" s="2" t="s">
        <v>1077</v>
      </c>
      <c r="B695" s="2" t="s">
        <v>616</v>
      </c>
      <c r="C695" s="2" t="s">
        <v>252</v>
      </c>
      <c r="D695" s="2" t="s">
        <v>250</v>
      </c>
      <c r="E695" s="2" t="s">
        <v>617</v>
      </c>
      <c r="F695" s="2" t="s">
        <v>510</v>
      </c>
      <c r="G695" s="2" t="s">
        <v>994</v>
      </c>
      <c r="H695" s="2" t="s">
        <v>254</v>
      </c>
      <c r="I695" s="2" t="s">
        <v>567</v>
      </c>
      <c r="J695" s="2" t="s">
        <v>434</v>
      </c>
      <c r="K695" s="9">
        <v>45713</v>
      </c>
      <c r="L695" s="9">
        <v>45718</v>
      </c>
      <c r="M695" s="9">
        <v>45718</v>
      </c>
      <c r="N695" s="2" t="s">
        <v>1054</v>
      </c>
      <c r="O695" s="2" t="s">
        <v>55</v>
      </c>
      <c r="P695" s="2" t="s">
        <v>139</v>
      </c>
      <c r="Q695" s="2" t="s">
        <v>187</v>
      </c>
      <c r="R695" s="2" t="s">
        <v>149</v>
      </c>
      <c r="S695" s="2" t="s">
        <v>436</v>
      </c>
      <c r="T695" s="10">
        <v>1251</v>
      </c>
      <c r="U695" s="11">
        <v>1.1780000000000001E-2</v>
      </c>
      <c r="V695" s="12">
        <f>T695*U695</f>
        <v>14.736780000000001</v>
      </c>
      <c r="W695" s="13">
        <v>0.18</v>
      </c>
      <c r="X695" s="12">
        <f>V695-(V695/(1+W695))</f>
        <v>2.2479833898305088</v>
      </c>
      <c r="Y695" s="12">
        <f>V695-X695</f>
        <v>12.488796610169492</v>
      </c>
      <c r="Z695" s="14">
        <v>35</v>
      </c>
      <c r="AA695" s="2" t="str">
        <f>IF(V695&gt;Z695,"Yes","No")</f>
        <v>No</v>
      </c>
      <c r="AB695" s="12">
        <f>V695-Z695</f>
        <v>-20.263219999999997</v>
      </c>
      <c r="AC695" s="15" t="s">
        <v>130</v>
      </c>
      <c r="AD695" s="15" t="s">
        <v>130</v>
      </c>
      <c r="AE695" s="15" t="s">
        <v>350</v>
      </c>
      <c r="AF695" s="12">
        <f>IF(AG695="Rejected",0,IF(R695="Corporate Card",0,V695))</f>
        <v>14.736780000000001</v>
      </c>
      <c r="AG695" s="15" t="s">
        <v>133</v>
      </c>
      <c r="AH695" s="16">
        <v>45726</v>
      </c>
      <c r="AI695" s="16">
        <v>45731</v>
      </c>
      <c r="AJ695" s="16">
        <v>45742</v>
      </c>
      <c r="AK695" s="17">
        <f>IF(AJ695="","",AJ695-AH695)</f>
        <v>16</v>
      </c>
    </row>
    <row r="696" spans="1:37">
      <c r="A696" s="2" t="s">
        <v>1078</v>
      </c>
      <c r="B696" s="2" t="s">
        <v>287</v>
      </c>
      <c r="C696" s="2" t="s">
        <v>288</v>
      </c>
      <c r="D696" s="2" t="s">
        <v>171</v>
      </c>
      <c r="E696" s="2" t="s">
        <v>289</v>
      </c>
      <c r="F696" s="2" t="s">
        <v>173</v>
      </c>
      <c r="G696" s="2" t="s">
        <v>1020</v>
      </c>
      <c r="H696" s="2" t="s">
        <v>291</v>
      </c>
      <c r="I696" s="2" t="s">
        <v>315</v>
      </c>
      <c r="J696" s="2" t="s">
        <v>316</v>
      </c>
      <c r="K696" s="9">
        <v>45714</v>
      </c>
      <c r="L696" s="9">
        <v>45720</v>
      </c>
      <c r="M696" s="9">
        <v>45718</v>
      </c>
      <c r="N696" s="2" t="s">
        <v>1054</v>
      </c>
      <c r="O696" s="2" t="s">
        <v>56</v>
      </c>
      <c r="P696" s="2" t="s">
        <v>151</v>
      </c>
      <c r="Q696" s="2" t="s">
        <v>166</v>
      </c>
      <c r="R696" s="2" t="s">
        <v>128</v>
      </c>
      <c r="S696" s="2" t="s">
        <v>318</v>
      </c>
      <c r="T696" s="10">
        <v>107.98</v>
      </c>
      <c r="U696" s="11">
        <v>0.27229999999999999</v>
      </c>
      <c r="V696" s="12">
        <f>T696*U696</f>
        <v>29.402954000000001</v>
      </c>
      <c r="W696" s="13">
        <v>0.05</v>
      </c>
      <c r="X696" s="12">
        <f>V696-(V696/(1+W696))</f>
        <v>1.4001406666666689</v>
      </c>
      <c r="Y696" s="12">
        <f>V696-X696</f>
        <v>28.002813333333332</v>
      </c>
      <c r="Z696" s="14">
        <v>75</v>
      </c>
      <c r="AA696" s="2" t="str">
        <f>IF(V696&gt;Z696,"Yes","No")</f>
        <v>No</v>
      </c>
      <c r="AB696" s="12">
        <f>V696-Z696</f>
        <v>-45.597045999999999</v>
      </c>
      <c r="AC696" s="15" t="s">
        <v>130</v>
      </c>
      <c r="AD696" s="15" t="s">
        <v>130</v>
      </c>
      <c r="AE696" s="15" t="s">
        <v>514</v>
      </c>
      <c r="AF696" s="12">
        <f>IF(AG696="Rejected",0,IF(R696="Corporate Card",0,V696))</f>
        <v>0</v>
      </c>
      <c r="AG696" s="15" t="s">
        <v>133</v>
      </c>
      <c r="AH696" s="16">
        <v>45727</v>
      </c>
      <c r="AI696" s="16">
        <v>45728</v>
      </c>
      <c r="AJ696" s="16">
        <v>45740</v>
      </c>
      <c r="AK696" s="17">
        <f>IF(AJ696="","",AJ696-AH696)</f>
        <v>13</v>
      </c>
    </row>
    <row r="697" spans="1:37">
      <c r="A697" s="2" t="s">
        <v>1079</v>
      </c>
      <c r="B697" s="2" t="s">
        <v>287</v>
      </c>
      <c r="C697" s="2" t="s">
        <v>288</v>
      </c>
      <c r="D697" s="2" t="s">
        <v>171</v>
      </c>
      <c r="E697" s="2" t="s">
        <v>289</v>
      </c>
      <c r="F697" s="2" t="s">
        <v>173</v>
      </c>
      <c r="G697" s="2" t="s">
        <v>1020</v>
      </c>
      <c r="H697" s="2" t="s">
        <v>291</v>
      </c>
      <c r="I697" s="2" t="s">
        <v>315</v>
      </c>
      <c r="J697" s="2" t="s">
        <v>316</v>
      </c>
      <c r="K697" s="9">
        <v>45714</v>
      </c>
      <c r="L697" s="9">
        <v>45720</v>
      </c>
      <c r="M697" s="9">
        <v>45718</v>
      </c>
      <c r="N697" s="2" t="s">
        <v>1054</v>
      </c>
      <c r="O697" s="2" t="s">
        <v>55</v>
      </c>
      <c r="P697" s="2" t="s">
        <v>139</v>
      </c>
      <c r="Q697" s="2" t="s">
        <v>154</v>
      </c>
      <c r="R697" s="2" t="s">
        <v>149</v>
      </c>
      <c r="S697" s="2" t="s">
        <v>318</v>
      </c>
      <c r="T697" s="10">
        <v>56.71</v>
      </c>
      <c r="U697" s="11">
        <v>0.27229999999999999</v>
      </c>
      <c r="V697" s="12">
        <f>T697*U697</f>
        <v>15.442133</v>
      </c>
      <c r="W697" s="13">
        <v>0.05</v>
      </c>
      <c r="X697" s="12">
        <f>V697-(V697/(1+W697))</f>
        <v>0.7353396666666665</v>
      </c>
      <c r="Y697" s="12">
        <f>V697-X697</f>
        <v>14.706793333333334</v>
      </c>
      <c r="Z697" s="14">
        <v>35</v>
      </c>
      <c r="AA697" s="2" t="str">
        <f>IF(V697&gt;Z697,"Yes","No")</f>
        <v>No</v>
      </c>
      <c r="AB697" s="12">
        <f>V697-Z697</f>
        <v>-19.557867000000002</v>
      </c>
      <c r="AC697" s="15" t="s">
        <v>130</v>
      </c>
      <c r="AD697" s="15" t="s">
        <v>130</v>
      </c>
      <c r="AE697" s="15" t="s">
        <v>514</v>
      </c>
      <c r="AF697" s="12">
        <f>IF(AG697="Rejected",0,IF(R697="Corporate Card",0,V697))</f>
        <v>15.442133</v>
      </c>
      <c r="AG697" s="15" t="s">
        <v>133</v>
      </c>
      <c r="AH697" s="16">
        <v>45727</v>
      </c>
      <c r="AI697" s="16">
        <v>45728</v>
      </c>
      <c r="AJ697" s="16">
        <v>45740</v>
      </c>
      <c r="AK697" s="17">
        <f>IF(AJ697="","",AJ697-AH697)</f>
        <v>13</v>
      </c>
    </row>
    <row r="698" spans="1:37">
      <c r="A698" s="2" t="s">
        <v>1080</v>
      </c>
      <c r="B698" s="2" t="s">
        <v>189</v>
      </c>
      <c r="C698" s="2" t="s">
        <v>190</v>
      </c>
      <c r="D698" s="2" t="s">
        <v>171</v>
      </c>
      <c r="E698" s="2" t="s">
        <v>191</v>
      </c>
      <c r="F698" s="2" t="s">
        <v>173</v>
      </c>
      <c r="G698" s="2" t="s">
        <v>1037</v>
      </c>
      <c r="H698" s="2" t="s">
        <v>291</v>
      </c>
      <c r="I698" s="2" t="s">
        <v>1038</v>
      </c>
      <c r="J698" s="2" t="s">
        <v>381</v>
      </c>
      <c r="K698" s="9">
        <v>45716</v>
      </c>
      <c r="L698" s="9">
        <v>45724</v>
      </c>
      <c r="M698" s="9">
        <v>45719</v>
      </c>
      <c r="N698" s="2" t="s">
        <v>1054</v>
      </c>
      <c r="O698" s="2" t="s">
        <v>58</v>
      </c>
      <c r="P698" s="2" t="s">
        <v>142</v>
      </c>
      <c r="Q698" s="2" t="s">
        <v>296</v>
      </c>
      <c r="R698" s="2" t="s">
        <v>128</v>
      </c>
      <c r="S698" s="2" t="s">
        <v>383</v>
      </c>
      <c r="T698" s="10">
        <v>39.82</v>
      </c>
      <c r="U698" s="11">
        <v>1</v>
      </c>
      <c r="V698" s="12">
        <f>T698*U698</f>
        <v>39.82</v>
      </c>
      <c r="W698" s="13">
        <v>0</v>
      </c>
      <c r="X698" s="12">
        <f>V698-(V698/(1+W698))</f>
        <v>0</v>
      </c>
      <c r="Y698" s="12">
        <f>V698-X698</f>
        <v>39.82</v>
      </c>
      <c r="Z698" s="14">
        <v>60</v>
      </c>
      <c r="AA698" s="2" t="str">
        <f>IF(V698&gt;Z698,"Yes","No")</f>
        <v>No</v>
      </c>
      <c r="AB698" s="12">
        <f>V698-Z698</f>
        <v>-20.18</v>
      </c>
      <c r="AC698" s="15" t="s">
        <v>130</v>
      </c>
      <c r="AD698" s="15" t="s">
        <v>130</v>
      </c>
      <c r="AE698" s="15" t="s">
        <v>514</v>
      </c>
      <c r="AF698" s="12">
        <f>IF(AG698="Rejected",0,IF(R698="Corporate Card",0,V698))</f>
        <v>0</v>
      </c>
      <c r="AG698" s="15" t="s">
        <v>133</v>
      </c>
      <c r="AH698" s="16">
        <v>45727</v>
      </c>
      <c r="AI698" s="16">
        <v>45735</v>
      </c>
      <c r="AJ698" s="16">
        <v>45745</v>
      </c>
      <c r="AK698" s="17">
        <f>IF(AJ698="","",AJ698-AH698)</f>
        <v>18</v>
      </c>
    </row>
    <row r="699" spans="1:37">
      <c r="A699" s="2" t="s">
        <v>1081</v>
      </c>
      <c r="B699" s="2" t="s">
        <v>189</v>
      </c>
      <c r="C699" s="2" t="s">
        <v>190</v>
      </c>
      <c r="D699" s="2" t="s">
        <v>171</v>
      </c>
      <c r="E699" s="2" t="s">
        <v>191</v>
      </c>
      <c r="F699" s="2" t="s">
        <v>173</v>
      </c>
      <c r="G699" s="2" t="s">
        <v>1037</v>
      </c>
      <c r="H699" s="2" t="s">
        <v>291</v>
      </c>
      <c r="I699" s="2" t="s">
        <v>1038</v>
      </c>
      <c r="J699" s="2" t="s">
        <v>381</v>
      </c>
      <c r="K699" s="9">
        <v>45716</v>
      </c>
      <c r="L699" s="9">
        <v>45724</v>
      </c>
      <c r="M699" s="9">
        <v>45719</v>
      </c>
      <c r="N699" s="2" t="s">
        <v>1054</v>
      </c>
      <c r="O699" s="2" t="s">
        <v>68</v>
      </c>
      <c r="P699" s="2" t="s">
        <v>282</v>
      </c>
      <c r="Q699" s="2" t="s">
        <v>283</v>
      </c>
      <c r="R699" s="2" t="s">
        <v>137</v>
      </c>
      <c r="S699" s="2" t="s">
        <v>383</v>
      </c>
      <c r="T699" s="10">
        <v>27.66</v>
      </c>
      <c r="U699" s="11">
        <v>1</v>
      </c>
      <c r="V699" s="12">
        <f>T699*U699</f>
        <v>27.66</v>
      </c>
      <c r="W699" s="13">
        <v>0</v>
      </c>
      <c r="X699" s="12">
        <f>V699-(V699/(1+W699))</f>
        <v>0</v>
      </c>
      <c r="Y699" s="12">
        <f>V699-X699</f>
        <v>27.66</v>
      </c>
      <c r="Z699" s="14">
        <v>30</v>
      </c>
      <c r="AA699" s="2" t="str">
        <f>IF(V699&gt;Z699,"Yes","No")</f>
        <v>No</v>
      </c>
      <c r="AB699" s="12">
        <f>V699-Z699</f>
        <v>-2.34</v>
      </c>
      <c r="AC699" s="15" t="s">
        <v>130</v>
      </c>
      <c r="AD699" s="15" t="s">
        <v>130</v>
      </c>
      <c r="AE699" s="15" t="s">
        <v>514</v>
      </c>
      <c r="AF699" s="12">
        <f>IF(AG699="Rejected",0,IF(R699="Corporate Card",0,V699))</f>
        <v>27.66</v>
      </c>
      <c r="AG699" s="15" t="s">
        <v>133</v>
      </c>
      <c r="AH699" s="16">
        <v>45727</v>
      </c>
      <c r="AI699" s="16">
        <v>45735</v>
      </c>
      <c r="AJ699" s="16">
        <v>45745</v>
      </c>
      <c r="AK699" s="17">
        <f>IF(AJ699="","",AJ699-AH699)</f>
        <v>18</v>
      </c>
    </row>
    <row r="700" spans="1:37">
      <c r="A700" s="2" t="s">
        <v>1082</v>
      </c>
      <c r="B700" s="2" t="s">
        <v>189</v>
      </c>
      <c r="C700" s="2" t="s">
        <v>190</v>
      </c>
      <c r="D700" s="2" t="s">
        <v>171</v>
      </c>
      <c r="E700" s="2" t="s">
        <v>191</v>
      </c>
      <c r="F700" s="2" t="s">
        <v>173</v>
      </c>
      <c r="G700" s="2" t="s">
        <v>1037</v>
      </c>
      <c r="H700" s="2" t="s">
        <v>291</v>
      </c>
      <c r="I700" s="2" t="s">
        <v>1038</v>
      </c>
      <c r="J700" s="2" t="s">
        <v>381</v>
      </c>
      <c r="K700" s="9">
        <v>45716</v>
      </c>
      <c r="L700" s="9">
        <v>45724</v>
      </c>
      <c r="M700" s="9">
        <v>45719</v>
      </c>
      <c r="N700" s="2" t="s">
        <v>1054</v>
      </c>
      <c r="O700" s="2" t="s">
        <v>54</v>
      </c>
      <c r="P700" s="2" t="s">
        <v>139</v>
      </c>
      <c r="Q700" s="2" t="s">
        <v>148</v>
      </c>
      <c r="R700" s="2" t="s">
        <v>128</v>
      </c>
      <c r="S700" s="2" t="s">
        <v>383</v>
      </c>
      <c r="T700" s="10">
        <v>11.88</v>
      </c>
      <c r="U700" s="11">
        <v>1</v>
      </c>
      <c r="V700" s="12">
        <f>T700*U700</f>
        <v>11.88</v>
      </c>
      <c r="W700" s="13">
        <v>0</v>
      </c>
      <c r="X700" s="12">
        <f>V700-(V700/(1+W700))</f>
        <v>0</v>
      </c>
      <c r="Y700" s="12">
        <f>V700-X700</f>
        <v>11.88</v>
      </c>
      <c r="Z700" s="14">
        <v>25</v>
      </c>
      <c r="AA700" s="2" t="str">
        <f>IF(V700&gt;Z700,"Yes","No")</f>
        <v>No</v>
      </c>
      <c r="AB700" s="12">
        <f>V700-Z700</f>
        <v>-13.12</v>
      </c>
      <c r="AC700" s="15" t="s">
        <v>130</v>
      </c>
      <c r="AD700" s="15" t="s">
        <v>130</v>
      </c>
      <c r="AE700" s="15" t="s">
        <v>514</v>
      </c>
      <c r="AF700" s="12">
        <f>IF(AG700="Rejected",0,IF(R700="Corporate Card",0,V700))</f>
        <v>0</v>
      </c>
      <c r="AG700" s="15" t="s">
        <v>133</v>
      </c>
      <c r="AH700" s="16">
        <v>45727</v>
      </c>
      <c r="AI700" s="16">
        <v>45735</v>
      </c>
      <c r="AJ700" s="16">
        <v>45745</v>
      </c>
      <c r="AK700" s="17">
        <f>IF(AJ700="","",AJ700-AH700)</f>
        <v>18</v>
      </c>
    </row>
    <row r="701" spans="1:37">
      <c r="A701" s="2" t="s">
        <v>1083</v>
      </c>
      <c r="B701" s="2" t="s">
        <v>189</v>
      </c>
      <c r="C701" s="2" t="s">
        <v>190</v>
      </c>
      <c r="D701" s="2" t="s">
        <v>171</v>
      </c>
      <c r="E701" s="2" t="s">
        <v>191</v>
      </c>
      <c r="F701" s="2" t="s">
        <v>173</v>
      </c>
      <c r="G701" s="2" t="s">
        <v>1037</v>
      </c>
      <c r="H701" s="2" t="s">
        <v>291</v>
      </c>
      <c r="I701" s="2" t="s">
        <v>1038</v>
      </c>
      <c r="J701" s="2" t="s">
        <v>381</v>
      </c>
      <c r="K701" s="9">
        <v>45716</v>
      </c>
      <c r="L701" s="9">
        <v>45724</v>
      </c>
      <c r="M701" s="9">
        <v>45719</v>
      </c>
      <c r="N701" s="2" t="s">
        <v>1054</v>
      </c>
      <c r="O701" s="2" t="s">
        <v>56</v>
      </c>
      <c r="P701" s="2" t="s">
        <v>165</v>
      </c>
      <c r="Q701" s="2" t="s">
        <v>159</v>
      </c>
      <c r="R701" s="2" t="s">
        <v>137</v>
      </c>
      <c r="S701" s="2" t="s">
        <v>383</v>
      </c>
      <c r="T701" s="10">
        <v>49.85</v>
      </c>
      <c r="U701" s="11">
        <v>1</v>
      </c>
      <c r="V701" s="12">
        <f>T701*U701</f>
        <v>49.85</v>
      </c>
      <c r="W701" s="13">
        <v>0</v>
      </c>
      <c r="X701" s="12">
        <f>V701-(V701/(1+W701))</f>
        <v>0</v>
      </c>
      <c r="Y701" s="12">
        <f>V701-X701</f>
        <v>49.85</v>
      </c>
      <c r="Z701" s="14">
        <v>75</v>
      </c>
      <c r="AA701" s="2" t="str">
        <f>IF(V701&gt;Z701,"Yes","No")</f>
        <v>No</v>
      </c>
      <c r="AB701" s="12">
        <f>V701-Z701</f>
        <v>-25.15</v>
      </c>
      <c r="AC701" s="15" t="s">
        <v>130</v>
      </c>
      <c r="AD701" s="15" t="s">
        <v>130</v>
      </c>
      <c r="AE701" s="15" t="s">
        <v>514</v>
      </c>
      <c r="AF701" s="12">
        <f>IF(AG701="Rejected",0,IF(R701="Corporate Card",0,V701))</f>
        <v>49.85</v>
      </c>
      <c r="AG701" s="15" t="s">
        <v>133</v>
      </c>
      <c r="AH701" s="16">
        <v>45727</v>
      </c>
      <c r="AI701" s="16">
        <v>45735</v>
      </c>
      <c r="AJ701" s="16">
        <v>45745</v>
      </c>
      <c r="AK701" s="17">
        <f>IF(AJ701="","",AJ701-AH701)</f>
        <v>18</v>
      </c>
    </row>
    <row r="702" spans="1:37">
      <c r="A702" s="2" t="s">
        <v>1084</v>
      </c>
      <c r="B702" s="2" t="s">
        <v>189</v>
      </c>
      <c r="C702" s="2" t="s">
        <v>190</v>
      </c>
      <c r="D702" s="2" t="s">
        <v>171</v>
      </c>
      <c r="E702" s="2" t="s">
        <v>191</v>
      </c>
      <c r="F702" s="2" t="s">
        <v>173</v>
      </c>
      <c r="G702" s="2" t="s">
        <v>1037</v>
      </c>
      <c r="H702" s="2" t="s">
        <v>291</v>
      </c>
      <c r="I702" s="2" t="s">
        <v>1038</v>
      </c>
      <c r="J702" s="2" t="s">
        <v>381</v>
      </c>
      <c r="K702" s="9">
        <v>45716</v>
      </c>
      <c r="L702" s="9">
        <v>45724</v>
      </c>
      <c r="M702" s="9">
        <v>45719</v>
      </c>
      <c r="N702" s="2" t="s">
        <v>1054</v>
      </c>
      <c r="O702" s="2" t="s">
        <v>55</v>
      </c>
      <c r="P702" s="2" t="s">
        <v>139</v>
      </c>
      <c r="Q702" s="2" t="s">
        <v>217</v>
      </c>
      <c r="R702" s="2" t="s">
        <v>128</v>
      </c>
      <c r="S702" s="2" t="s">
        <v>383</v>
      </c>
      <c r="T702" s="10">
        <v>16.97</v>
      </c>
      <c r="U702" s="11">
        <v>1</v>
      </c>
      <c r="V702" s="12">
        <f>T702*U702</f>
        <v>16.97</v>
      </c>
      <c r="W702" s="13">
        <v>0</v>
      </c>
      <c r="X702" s="12">
        <f>V702-(V702/(1+W702))</f>
        <v>0</v>
      </c>
      <c r="Y702" s="12">
        <f>V702-X702</f>
        <v>16.97</v>
      </c>
      <c r="Z702" s="14">
        <v>35</v>
      </c>
      <c r="AA702" s="2" t="str">
        <f>IF(V702&gt;Z702,"Yes","No")</f>
        <v>No</v>
      </c>
      <c r="AB702" s="12">
        <f>V702-Z702</f>
        <v>-18.03</v>
      </c>
      <c r="AC702" s="15" t="s">
        <v>130</v>
      </c>
      <c r="AD702" s="15" t="s">
        <v>130</v>
      </c>
      <c r="AE702" s="15" t="s">
        <v>514</v>
      </c>
      <c r="AF702" s="12">
        <f>IF(AG702="Rejected",0,IF(R702="Corporate Card",0,V702))</f>
        <v>0</v>
      </c>
      <c r="AG702" s="15" t="s">
        <v>133</v>
      </c>
      <c r="AH702" s="16">
        <v>45727</v>
      </c>
      <c r="AI702" s="16">
        <v>45735</v>
      </c>
      <c r="AJ702" s="16">
        <v>45745</v>
      </c>
      <c r="AK702" s="17">
        <f>IF(AJ702="","",AJ702-AH702)</f>
        <v>18</v>
      </c>
    </row>
    <row r="703" spans="1:37">
      <c r="A703" s="2" t="s">
        <v>1085</v>
      </c>
      <c r="B703" s="2" t="s">
        <v>342</v>
      </c>
      <c r="C703" s="2" t="s">
        <v>343</v>
      </c>
      <c r="D703" s="2" t="s">
        <v>344</v>
      </c>
      <c r="E703" s="2" t="s">
        <v>345</v>
      </c>
      <c r="F703" s="2" t="s">
        <v>346</v>
      </c>
      <c r="G703" s="2" t="s">
        <v>1086</v>
      </c>
      <c r="H703" s="2" t="s">
        <v>448</v>
      </c>
      <c r="I703" s="2" t="s">
        <v>619</v>
      </c>
      <c r="J703" s="2" t="s">
        <v>381</v>
      </c>
      <c r="K703" s="9">
        <v>45719</v>
      </c>
      <c r="L703" s="9">
        <v>45727</v>
      </c>
      <c r="M703" s="9">
        <v>45719</v>
      </c>
      <c r="N703" s="2" t="s">
        <v>1054</v>
      </c>
      <c r="O703" s="2" t="s">
        <v>52</v>
      </c>
      <c r="P703" s="2" t="s">
        <v>620</v>
      </c>
      <c r="Q703" s="2" t="s">
        <v>178</v>
      </c>
      <c r="R703" s="2" t="s">
        <v>149</v>
      </c>
      <c r="S703" s="2" t="s">
        <v>383</v>
      </c>
      <c r="T703" s="10">
        <v>1183.8900000000001</v>
      </c>
      <c r="U703" s="11">
        <v>1</v>
      </c>
      <c r="V703" s="12">
        <f>T703*U703</f>
        <v>1183.8900000000001</v>
      </c>
      <c r="W703" s="13">
        <v>0</v>
      </c>
      <c r="X703" s="12">
        <f>V703-(V703/(1+W703))</f>
        <v>0</v>
      </c>
      <c r="Y703" s="12">
        <f>V703-X703</f>
        <v>1183.8900000000001</v>
      </c>
      <c r="Z703" s="14">
        <v>1400</v>
      </c>
      <c r="AA703" s="2" t="str">
        <f>IF(V703&gt;Z703,"Yes","No")</f>
        <v>No</v>
      </c>
      <c r="AB703" s="12">
        <f>V703-Z703</f>
        <v>-216.1099999999999</v>
      </c>
      <c r="AC703" s="15" t="s">
        <v>130</v>
      </c>
      <c r="AD703" s="15" t="s">
        <v>130</v>
      </c>
      <c r="AE703" s="15" t="s">
        <v>350</v>
      </c>
      <c r="AF703" s="12">
        <f>IF(AG703="Rejected",0,IF(R703="Corporate Card",0,V703))</f>
        <v>1183.8900000000001</v>
      </c>
      <c r="AG703" s="15" t="s">
        <v>133</v>
      </c>
      <c r="AH703" s="16">
        <v>45734</v>
      </c>
      <c r="AI703" s="16">
        <v>45740</v>
      </c>
      <c r="AJ703" s="16">
        <v>45743</v>
      </c>
      <c r="AK703" s="17">
        <f>IF(AJ703="","",AJ703-AH703)</f>
        <v>9</v>
      </c>
    </row>
    <row r="704" spans="1:37">
      <c r="A704" s="2" t="s">
        <v>1087</v>
      </c>
      <c r="B704" s="2" t="s">
        <v>342</v>
      </c>
      <c r="C704" s="2" t="s">
        <v>343</v>
      </c>
      <c r="D704" s="2" t="s">
        <v>344</v>
      </c>
      <c r="E704" s="2" t="s">
        <v>345</v>
      </c>
      <c r="F704" s="2" t="s">
        <v>346</v>
      </c>
      <c r="G704" s="2" t="s">
        <v>1086</v>
      </c>
      <c r="H704" s="2" t="s">
        <v>448</v>
      </c>
      <c r="I704" s="2" t="s">
        <v>619</v>
      </c>
      <c r="J704" s="2" t="s">
        <v>381</v>
      </c>
      <c r="K704" s="9">
        <v>45719</v>
      </c>
      <c r="L704" s="9">
        <v>45727</v>
      </c>
      <c r="M704" s="9">
        <v>45719</v>
      </c>
      <c r="N704" s="2" t="s">
        <v>1054</v>
      </c>
      <c r="O704" s="2" t="s">
        <v>54</v>
      </c>
      <c r="P704" s="2" t="s">
        <v>139</v>
      </c>
      <c r="Q704" s="2" t="s">
        <v>140</v>
      </c>
      <c r="R704" s="2" t="s">
        <v>137</v>
      </c>
      <c r="S704" s="2" t="s">
        <v>383</v>
      </c>
      <c r="T704" s="10">
        <v>15.37</v>
      </c>
      <c r="U704" s="11">
        <v>1</v>
      </c>
      <c r="V704" s="12">
        <f>T704*U704</f>
        <v>15.37</v>
      </c>
      <c r="W704" s="13">
        <v>0</v>
      </c>
      <c r="X704" s="12">
        <f>V704-(V704/(1+W704))</f>
        <v>0</v>
      </c>
      <c r="Y704" s="12">
        <f>V704-X704</f>
        <v>15.37</v>
      </c>
      <c r="Z704" s="14">
        <v>25</v>
      </c>
      <c r="AA704" s="2" t="str">
        <f>IF(V704&gt;Z704,"Yes","No")</f>
        <v>No</v>
      </c>
      <c r="AB704" s="12">
        <f>V704-Z704</f>
        <v>-9.6300000000000008</v>
      </c>
      <c r="AC704" s="15" t="s">
        <v>130</v>
      </c>
      <c r="AD704" s="15" t="s">
        <v>130</v>
      </c>
      <c r="AE704" s="15" t="s">
        <v>350</v>
      </c>
      <c r="AF704" s="12">
        <f>IF(AG704="Rejected",0,IF(R704="Corporate Card",0,V704))</f>
        <v>15.37</v>
      </c>
      <c r="AG704" s="15" t="s">
        <v>133</v>
      </c>
      <c r="AH704" s="16">
        <v>45734</v>
      </c>
      <c r="AI704" s="16">
        <v>45740</v>
      </c>
      <c r="AJ704" s="16">
        <v>45743</v>
      </c>
      <c r="AK704" s="17">
        <f>IF(AJ704="","",AJ704-AH704)</f>
        <v>9</v>
      </c>
    </row>
    <row r="705" spans="1:37">
      <c r="A705" s="2" t="s">
        <v>1088</v>
      </c>
      <c r="B705" s="2" t="s">
        <v>342</v>
      </c>
      <c r="C705" s="2" t="s">
        <v>343</v>
      </c>
      <c r="D705" s="2" t="s">
        <v>344</v>
      </c>
      <c r="E705" s="2" t="s">
        <v>345</v>
      </c>
      <c r="F705" s="2" t="s">
        <v>346</v>
      </c>
      <c r="G705" s="2" t="s">
        <v>1086</v>
      </c>
      <c r="H705" s="2" t="s">
        <v>448</v>
      </c>
      <c r="I705" s="2" t="s">
        <v>619</v>
      </c>
      <c r="J705" s="2" t="s">
        <v>381</v>
      </c>
      <c r="K705" s="9">
        <v>45719</v>
      </c>
      <c r="L705" s="9">
        <v>45727</v>
      </c>
      <c r="M705" s="9">
        <v>45719</v>
      </c>
      <c r="N705" s="2" t="s">
        <v>1054</v>
      </c>
      <c r="O705" s="2" t="s">
        <v>56</v>
      </c>
      <c r="P705" s="2" t="s">
        <v>165</v>
      </c>
      <c r="Q705" s="2" t="s">
        <v>166</v>
      </c>
      <c r="R705" s="2" t="s">
        <v>128</v>
      </c>
      <c r="S705" s="2" t="s">
        <v>383</v>
      </c>
      <c r="T705" s="10">
        <v>31.03</v>
      </c>
      <c r="U705" s="11">
        <v>1</v>
      </c>
      <c r="V705" s="12">
        <f>T705*U705</f>
        <v>31.03</v>
      </c>
      <c r="W705" s="13">
        <v>0</v>
      </c>
      <c r="X705" s="12">
        <f>V705-(V705/(1+W705))</f>
        <v>0</v>
      </c>
      <c r="Y705" s="12">
        <f>V705-X705</f>
        <v>31.03</v>
      </c>
      <c r="Z705" s="14">
        <v>75</v>
      </c>
      <c r="AA705" s="2" t="str">
        <f>IF(V705&gt;Z705,"Yes","No")</f>
        <v>No</v>
      </c>
      <c r="AB705" s="12">
        <f>V705-Z705</f>
        <v>-43.97</v>
      </c>
      <c r="AC705" s="15" t="s">
        <v>130</v>
      </c>
      <c r="AD705" s="15" t="s">
        <v>130</v>
      </c>
      <c r="AE705" s="15" t="s">
        <v>350</v>
      </c>
      <c r="AF705" s="12">
        <f>IF(AG705="Rejected",0,IF(R705="Corporate Card",0,V705))</f>
        <v>0</v>
      </c>
      <c r="AG705" s="15" t="s">
        <v>133</v>
      </c>
      <c r="AH705" s="16">
        <v>45734</v>
      </c>
      <c r="AI705" s="16">
        <v>45740</v>
      </c>
      <c r="AJ705" s="16">
        <v>45743</v>
      </c>
      <c r="AK705" s="17">
        <f>IF(AJ705="","",AJ705-AH705)</f>
        <v>9</v>
      </c>
    </row>
    <row r="706" spans="1:37">
      <c r="A706" s="2" t="s">
        <v>1089</v>
      </c>
      <c r="B706" s="2" t="s">
        <v>342</v>
      </c>
      <c r="C706" s="2" t="s">
        <v>343</v>
      </c>
      <c r="D706" s="2" t="s">
        <v>344</v>
      </c>
      <c r="E706" s="2" t="s">
        <v>345</v>
      </c>
      <c r="F706" s="2" t="s">
        <v>346</v>
      </c>
      <c r="G706" s="2" t="s">
        <v>1086</v>
      </c>
      <c r="H706" s="2" t="s">
        <v>448</v>
      </c>
      <c r="I706" s="2" t="s">
        <v>619</v>
      </c>
      <c r="J706" s="2" t="s">
        <v>381</v>
      </c>
      <c r="K706" s="9">
        <v>45719</v>
      </c>
      <c r="L706" s="9">
        <v>45727</v>
      </c>
      <c r="M706" s="9">
        <v>45719</v>
      </c>
      <c r="N706" s="2" t="s">
        <v>1054</v>
      </c>
      <c r="O706" s="2" t="s">
        <v>55</v>
      </c>
      <c r="P706" s="2" t="s">
        <v>139</v>
      </c>
      <c r="Q706" s="2" t="s">
        <v>187</v>
      </c>
      <c r="R706" s="2" t="s">
        <v>128</v>
      </c>
      <c r="S706" s="2" t="s">
        <v>383</v>
      </c>
      <c r="T706" s="10">
        <v>12.98</v>
      </c>
      <c r="U706" s="11">
        <v>1</v>
      </c>
      <c r="V706" s="12">
        <f>T706*U706</f>
        <v>12.98</v>
      </c>
      <c r="W706" s="13">
        <v>0</v>
      </c>
      <c r="X706" s="12">
        <f>V706-(V706/(1+W706))</f>
        <v>0</v>
      </c>
      <c r="Y706" s="12">
        <f>V706-X706</f>
        <v>12.98</v>
      </c>
      <c r="Z706" s="14">
        <v>35</v>
      </c>
      <c r="AA706" s="2" t="str">
        <f>IF(V706&gt;Z706,"Yes","No")</f>
        <v>No</v>
      </c>
      <c r="AB706" s="12">
        <f>V706-Z706</f>
        <v>-22.02</v>
      </c>
      <c r="AC706" s="15" t="s">
        <v>130</v>
      </c>
      <c r="AD706" s="15" t="s">
        <v>130</v>
      </c>
      <c r="AE706" s="15" t="s">
        <v>350</v>
      </c>
      <c r="AF706" s="12">
        <f>IF(AG706="Rejected",0,IF(R706="Corporate Card",0,V706))</f>
        <v>0</v>
      </c>
      <c r="AG706" s="15" t="s">
        <v>133</v>
      </c>
      <c r="AH706" s="16">
        <v>45734</v>
      </c>
      <c r="AI706" s="16">
        <v>45740</v>
      </c>
      <c r="AJ706" s="16">
        <v>45743</v>
      </c>
      <c r="AK706" s="17">
        <f>IF(AJ706="","",AJ706-AH706)</f>
        <v>9</v>
      </c>
    </row>
    <row r="707" spans="1:37">
      <c r="A707" s="2" t="s">
        <v>1090</v>
      </c>
      <c r="B707" s="2" t="s">
        <v>287</v>
      </c>
      <c r="C707" s="2" t="s">
        <v>288</v>
      </c>
      <c r="D707" s="2" t="s">
        <v>171</v>
      </c>
      <c r="E707" s="2" t="s">
        <v>289</v>
      </c>
      <c r="F707" s="2" t="s">
        <v>173</v>
      </c>
      <c r="G707" s="2" t="s">
        <v>1020</v>
      </c>
      <c r="H707" s="2" t="s">
        <v>291</v>
      </c>
      <c r="I707" s="2" t="s">
        <v>315</v>
      </c>
      <c r="J707" s="2" t="s">
        <v>316</v>
      </c>
      <c r="K707" s="9">
        <v>45714</v>
      </c>
      <c r="L707" s="9">
        <v>45720</v>
      </c>
      <c r="M707" s="9">
        <v>45719</v>
      </c>
      <c r="N707" s="2" t="s">
        <v>1054</v>
      </c>
      <c r="O707" s="2" t="s">
        <v>58</v>
      </c>
      <c r="P707" s="2" t="s">
        <v>142</v>
      </c>
      <c r="Q707" s="2" t="s">
        <v>296</v>
      </c>
      <c r="R707" s="2" t="s">
        <v>128</v>
      </c>
      <c r="S707" s="2" t="s">
        <v>318</v>
      </c>
      <c r="T707" s="10">
        <v>122.71</v>
      </c>
      <c r="U707" s="11">
        <v>0.27229999999999999</v>
      </c>
      <c r="V707" s="12">
        <f>T707*U707</f>
        <v>33.413933</v>
      </c>
      <c r="W707" s="13">
        <v>0.05</v>
      </c>
      <c r="X707" s="12">
        <f>V707-(V707/(1+W707))</f>
        <v>1.5911396666666668</v>
      </c>
      <c r="Y707" s="12">
        <f>V707-X707</f>
        <v>31.822793333333333</v>
      </c>
      <c r="Z707" s="14">
        <v>60</v>
      </c>
      <c r="AA707" s="2" t="str">
        <f>IF(V707&gt;Z707,"Yes","No")</f>
        <v>No</v>
      </c>
      <c r="AB707" s="12">
        <f>V707-Z707</f>
        <v>-26.586067</v>
      </c>
      <c r="AC707" s="15" t="s">
        <v>131</v>
      </c>
      <c r="AD707" s="15" t="s">
        <v>130</v>
      </c>
      <c r="AE707" s="15" t="s">
        <v>514</v>
      </c>
      <c r="AF707" s="12">
        <f>IF(AG707="Rejected",0,IF(R707="Corporate Card",0,V707))</f>
        <v>0</v>
      </c>
      <c r="AG707" s="15" t="s">
        <v>133</v>
      </c>
      <c r="AH707" s="16">
        <v>45727</v>
      </c>
      <c r="AI707" s="16">
        <v>45728</v>
      </c>
      <c r="AJ707" s="16">
        <v>45740</v>
      </c>
      <c r="AK707" s="17">
        <f>IF(AJ707="","",AJ707-AH707)</f>
        <v>13</v>
      </c>
    </row>
    <row r="708" spans="1:37">
      <c r="A708" s="2" t="s">
        <v>1091</v>
      </c>
      <c r="B708" s="2" t="s">
        <v>287</v>
      </c>
      <c r="C708" s="2" t="s">
        <v>288</v>
      </c>
      <c r="D708" s="2" t="s">
        <v>171</v>
      </c>
      <c r="E708" s="2" t="s">
        <v>289</v>
      </c>
      <c r="F708" s="2" t="s">
        <v>173</v>
      </c>
      <c r="G708" s="2" t="s">
        <v>1020</v>
      </c>
      <c r="H708" s="2" t="s">
        <v>291</v>
      </c>
      <c r="I708" s="2" t="s">
        <v>315</v>
      </c>
      <c r="J708" s="2" t="s">
        <v>316</v>
      </c>
      <c r="K708" s="9">
        <v>45714</v>
      </c>
      <c r="L708" s="9">
        <v>45720</v>
      </c>
      <c r="M708" s="9">
        <v>45719</v>
      </c>
      <c r="N708" s="2" t="s">
        <v>1054</v>
      </c>
      <c r="O708" s="2" t="s">
        <v>54</v>
      </c>
      <c r="P708" s="2" t="s">
        <v>139</v>
      </c>
      <c r="Q708" s="2" t="s">
        <v>163</v>
      </c>
      <c r="R708" s="2" t="s">
        <v>137</v>
      </c>
      <c r="S708" s="2" t="s">
        <v>318</v>
      </c>
      <c r="T708" s="10">
        <v>68.91</v>
      </c>
      <c r="U708" s="11">
        <v>0.27229999999999999</v>
      </c>
      <c r="V708" s="12">
        <f>T708*U708</f>
        <v>18.764192999999999</v>
      </c>
      <c r="W708" s="13">
        <v>0.05</v>
      </c>
      <c r="X708" s="12">
        <f>V708-(V708/(1+W708))</f>
        <v>0.89353300000000146</v>
      </c>
      <c r="Y708" s="12">
        <f>V708-X708</f>
        <v>17.870659999999997</v>
      </c>
      <c r="Z708" s="14">
        <v>25</v>
      </c>
      <c r="AA708" s="2" t="str">
        <f>IF(V708&gt;Z708,"Yes","No")</f>
        <v>No</v>
      </c>
      <c r="AB708" s="12">
        <f>V708-Z708</f>
        <v>-6.2358070000000012</v>
      </c>
      <c r="AC708" s="15" t="s">
        <v>130</v>
      </c>
      <c r="AD708" s="15" t="s">
        <v>130</v>
      </c>
      <c r="AE708" s="15" t="s">
        <v>514</v>
      </c>
      <c r="AF708" s="12">
        <f>IF(AG708="Rejected",0,IF(R708="Corporate Card",0,V708))</f>
        <v>18.764192999999999</v>
      </c>
      <c r="AG708" s="15" t="s">
        <v>133</v>
      </c>
      <c r="AH708" s="16">
        <v>45727</v>
      </c>
      <c r="AI708" s="16">
        <v>45728</v>
      </c>
      <c r="AJ708" s="16">
        <v>45740</v>
      </c>
      <c r="AK708" s="17">
        <f>IF(AJ708="","",AJ708-AH708)</f>
        <v>13</v>
      </c>
    </row>
    <row r="709" spans="1:37">
      <c r="A709" s="2" t="s">
        <v>1092</v>
      </c>
      <c r="B709" s="2" t="s">
        <v>287</v>
      </c>
      <c r="C709" s="2" t="s">
        <v>288</v>
      </c>
      <c r="D709" s="2" t="s">
        <v>171</v>
      </c>
      <c r="E709" s="2" t="s">
        <v>289</v>
      </c>
      <c r="F709" s="2" t="s">
        <v>173</v>
      </c>
      <c r="G709" s="2" t="s">
        <v>1020</v>
      </c>
      <c r="H709" s="2" t="s">
        <v>291</v>
      </c>
      <c r="I709" s="2" t="s">
        <v>315</v>
      </c>
      <c r="J709" s="2" t="s">
        <v>316</v>
      </c>
      <c r="K709" s="9">
        <v>45714</v>
      </c>
      <c r="L709" s="9">
        <v>45720</v>
      </c>
      <c r="M709" s="9">
        <v>45719</v>
      </c>
      <c r="N709" s="2" t="s">
        <v>1054</v>
      </c>
      <c r="O709" s="2" t="s">
        <v>56</v>
      </c>
      <c r="P709" s="2" t="s">
        <v>151</v>
      </c>
      <c r="Q709" s="2" t="s">
        <v>166</v>
      </c>
      <c r="R709" s="2" t="s">
        <v>137</v>
      </c>
      <c r="S709" s="2" t="s">
        <v>318</v>
      </c>
      <c r="T709" s="10">
        <v>180.54</v>
      </c>
      <c r="U709" s="11">
        <v>0.27229999999999999</v>
      </c>
      <c r="V709" s="12">
        <f>T709*U709</f>
        <v>49.161041999999995</v>
      </c>
      <c r="W709" s="13">
        <v>0.05</v>
      </c>
      <c r="X709" s="12">
        <f>V709-(V709/(1+W709))</f>
        <v>2.3410020000000031</v>
      </c>
      <c r="Y709" s="12">
        <f>V709-X709</f>
        <v>46.820039999999992</v>
      </c>
      <c r="Z709" s="14">
        <v>75</v>
      </c>
      <c r="AA709" s="2" t="str">
        <f>IF(V709&gt;Z709,"Yes","No")</f>
        <v>No</v>
      </c>
      <c r="AB709" s="12">
        <f>V709-Z709</f>
        <v>-25.838958000000005</v>
      </c>
      <c r="AC709" s="15" t="s">
        <v>130</v>
      </c>
      <c r="AD709" s="15" t="s">
        <v>130</v>
      </c>
      <c r="AE709" s="15" t="s">
        <v>514</v>
      </c>
      <c r="AF709" s="12">
        <f>IF(AG709="Rejected",0,IF(R709="Corporate Card",0,V709))</f>
        <v>49.161041999999995</v>
      </c>
      <c r="AG709" s="15" t="s">
        <v>133</v>
      </c>
      <c r="AH709" s="16">
        <v>45727</v>
      </c>
      <c r="AI709" s="16">
        <v>45728</v>
      </c>
      <c r="AJ709" s="16">
        <v>45740</v>
      </c>
      <c r="AK709" s="17">
        <f>IF(AJ709="","",AJ709-AH709)</f>
        <v>13</v>
      </c>
    </row>
    <row r="710" spans="1:37">
      <c r="A710" s="2" t="s">
        <v>1093</v>
      </c>
      <c r="B710" s="2" t="s">
        <v>287</v>
      </c>
      <c r="C710" s="2" t="s">
        <v>288</v>
      </c>
      <c r="D710" s="2" t="s">
        <v>171</v>
      </c>
      <c r="E710" s="2" t="s">
        <v>289</v>
      </c>
      <c r="F710" s="2" t="s">
        <v>173</v>
      </c>
      <c r="G710" s="2" t="s">
        <v>1020</v>
      </c>
      <c r="H710" s="2" t="s">
        <v>291</v>
      </c>
      <c r="I710" s="2" t="s">
        <v>315</v>
      </c>
      <c r="J710" s="2" t="s">
        <v>316</v>
      </c>
      <c r="K710" s="9">
        <v>45714</v>
      </c>
      <c r="L710" s="9">
        <v>45720</v>
      </c>
      <c r="M710" s="9">
        <v>45719</v>
      </c>
      <c r="N710" s="2" t="s">
        <v>1054</v>
      </c>
      <c r="O710" s="2" t="s">
        <v>55</v>
      </c>
      <c r="P710" s="2" t="s">
        <v>139</v>
      </c>
      <c r="Q710" s="2" t="s">
        <v>161</v>
      </c>
      <c r="R710" s="2" t="s">
        <v>128</v>
      </c>
      <c r="S710" s="2" t="s">
        <v>318</v>
      </c>
      <c r="T710" s="10">
        <v>112.47</v>
      </c>
      <c r="U710" s="11">
        <v>0.27229999999999999</v>
      </c>
      <c r="V710" s="12">
        <f>T710*U710</f>
        <v>30.625580999999997</v>
      </c>
      <c r="W710" s="13">
        <v>0.05</v>
      </c>
      <c r="X710" s="12">
        <f>V710-(V710/(1+W710))</f>
        <v>1.458361</v>
      </c>
      <c r="Y710" s="12">
        <f>V710-X710</f>
        <v>29.167219999999997</v>
      </c>
      <c r="Z710" s="14">
        <v>35</v>
      </c>
      <c r="AA710" s="2" t="str">
        <f>IF(V710&gt;Z710,"Yes","No")</f>
        <v>No</v>
      </c>
      <c r="AB710" s="12">
        <f>V710-Z710</f>
        <v>-4.3744190000000032</v>
      </c>
      <c r="AC710" s="15" t="s">
        <v>130</v>
      </c>
      <c r="AD710" s="15" t="s">
        <v>130</v>
      </c>
      <c r="AE710" s="15" t="s">
        <v>514</v>
      </c>
      <c r="AF710" s="12">
        <f>IF(AG710="Rejected",0,IF(R710="Corporate Card",0,V710))</f>
        <v>0</v>
      </c>
      <c r="AG710" s="15" t="s">
        <v>133</v>
      </c>
      <c r="AH710" s="16">
        <v>45727</v>
      </c>
      <c r="AI710" s="16">
        <v>45728</v>
      </c>
      <c r="AJ710" s="16">
        <v>45740</v>
      </c>
      <c r="AK710" s="17">
        <f>IF(AJ710="","",AJ710-AH710)</f>
        <v>13</v>
      </c>
    </row>
    <row r="711" spans="1:37">
      <c r="A711" s="2" t="s">
        <v>1094</v>
      </c>
      <c r="B711" s="2" t="s">
        <v>189</v>
      </c>
      <c r="C711" s="2" t="s">
        <v>190</v>
      </c>
      <c r="D711" s="2" t="s">
        <v>171</v>
      </c>
      <c r="E711" s="2" t="s">
        <v>191</v>
      </c>
      <c r="F711" s="2" t="s">
        <v>173</v>
      </c>
      <c r="G711" s="2" t="s">
        <v>1037</v>
      </c>
      <c r="H711" s="2" t="s">
        <v>291</v>
      </c>
      <c r="I711" s="2" t="s">
        <v>1038</v>
      </c>
      <c r="J711" s="2" t="s">
        <v>381</v>
      </c>
      <c r="K711" s="9">
        <v>45716</v>
      </c>
      <c r="L711" s="9">
        <v>45724</v>
      </c>
      <c r="M711" s="9">
        <v>45720</v>
      </c>
      <c r="N711" s="2" t="s">
        <v>1054</v>
      </c>
      <c r="O711" s="2" t="s">
        <v>58</v>
      </c>
      <c r="P711" s="2" t="s">
        <v>142</v>
      </c>
      <c r="Q711" s="2" t="s">
        <v>143</v>
      </c>
      <c r="R711" s="2" t="s">
        <v>128</v>
      </c>
      <c r="S711" s="2" t="s">
        <v>383</v>
      </c>
      <c r="T711" s="10">
        <v>36.04</v>
      </c>
      <c r="U711" s="11">
        <v>1</v>
      </c>
      <c r="V711" s="12">
        <f>T711*U711</f>
        <v>36.04</v>
      </c>
      <c r="W711" s="13">
        <v>0</v>
      </c>
      <c r="X711" s="12">
        <f>V711-(V711/(1+W711))</f>
        <v>0</v>
      </c>
      <c r="Y711" s="12">
        <f>V711-X711</f>
        <v>36.04</v>
      </c>
      <c r="Z711" s="14">
        <v>60</v>
      </c>
      <c r="AA711" s="2" t="str">
        <f>IF(V711&gt;Z711,"Yes","No")</f>
        <v>No</v>
      </c>
      <c r="AB711" s="12">
        <f>V711-Z711</f>
        <v>-23.96</v>
      </c>
      <c r="AC711" s="15" t="s">
        <v>130</v>
      </c>
      <c r="AD711" s="15" t="s">
        <v>130</v>
      </c>
      <c r="AE711" s="15" t="s">
        <v>514</v>
      </c>
      <c r="AF711" s="12">
        <f>IF(AG711="Rejected",0,IF(R711="Corporate Card",0,V711))</f>
        <v>0</v>
      </c>
      <c r="AG711" s="15" t="s">
        <v>133</v>
      </c>
      <c r="AH711" s="16">
        <v>45727</v>
      </c>
      <c r="AI711" s="16">
        <v>45735</v>
      </c>
      <c r="AJ711" s="16">
        <v>45745</v>
      </c>
      <c r="AK711" s="17">
        <f>IF(AJ711="","",AJ711-AH711)</f>
        <v>18</v>
      </c>
    </row>
    <row r="712" spans="1:37">
      <c r="A712" s="2" t="s">
        <v>1095</v>
      </c>
      <c r="B712" s="2" t="s">
        <v>189</v>
      </c>
      <c r="C712" s="2" t="s">
        <v>190</v>
      </c>
      <c r="D712" s="2" t="s">
        <v>171</v>
      </c>
      <c r="E712" s="2" t="s">
        <v>191</v>
      </c>
      <c r="F712" s="2" t="s">
        <v>173</v>
      </c>
      <c r="G712" s="2" t="s">
        <v>1037</v>
      </c>
      <c r="H712" s="2" t="s">
        <v>291</v>
      </c>
      <c r="I712" s="2" t="s">
        <v>1038</v>
      </c>
      <c r="J712" s="2" t="s">
        <v>381</v>
      </c>
      <c r="K712" s="9">
        <v>45716</v>
      </c>
      <c r="L712" s="9">
        <v>45724</v>
      </c>
      <c r="M712" s="9">
        <v>45720</v>
      </c>
      <c r="N712" s="2" t="s">
        <v>1054</v>
      </c>
      <c r="O712" s="2" t="s">
        <v>54</v>
      </c>
      <c r="P712" s="2" t="s">
        <v>139</v>
      </c>
      <c r="Q712" s="2" t="s">
        <v>214</v>
      </c>
      <c r="R712" s="2" t="s">
        <v>128</v>
      </c>
      <c r="S712" s="2" t="s">
        <v>383</v>
      </c>
      <c r="T712" s="10">
        <v>14.36</v>
      </c>
      <c r="U712" s="11">
        <v>1</v>
      </c>
      <c r="V712" s="12">
        <f>T712*U712</f>
        <v>14.36</v>
      </c>
      <c r="W712" s="13">
        <v>0</v>
      </c>
      <c r="X712" s="12">
        <f>V712-(V712/(1+W712))</f>
        <v>0</v>
      </c>
      <c r="Y712" s="12">
        <f>V712-X712</f>
        <v>14.36</v>
      </c>
      <c r="Z712" s="14">
        <v>25</v>
      </c>
      <c r="AA712" s="2" t="str">
        <f>IF(V712&gt;Z712,"Yes","No")</f>
        <v>No</v>
      </c>
      <c r="AB712" s="12">
        <f>V712-Z712</f>
        <v>-10.64</v>
      </c>
      <c r="AC712" s="15" t="s">
        <v>130</v>
      </c>
      <c r="AD712" s="15" t="s">
        <v>130</v>
      </c>
      <c r="AE712" s="15" t="s">
        <v>514</v>
      </c>
      <c r="AF712" s="12">
        <f>IF(AG712="Rejected",0,IF(R712="Corporate Card",0,V712))</f>
        <v>0</v>
      </c>
      <c r="AG712" s="15" t="s">
        <v>133</v>
      </c>
      <c r="AH712" s="16">
        <v>45727</v>
      </c>
      <c r="AI712" s="16">
        <v>45735</v>
      </c>
      <c r="AJ712" s="16">
        <v>45745</v>
      </c>
      <c r="AK712" s="17">
        <f>IF(AJ712="","",AJ712-AH712)</f>
        <v>18</v>
      </c>
    </row>
    <row r="713" spans="1:37">
      <c r="A713" s="2" t="s">
        <v>1096</v>
      </c>
      <c r="B713" s="2" t="s">
        <v>189</v>
      </c>
      <c r="C713" s="2" t="s">
        <v>190</v>
      </c>
      <c r="D713" s="2" t="s">
        <v>171</v>
      </c>
      <c r="E713" s="2" t="s">
        <v>191</v>
      </c>
      <c r="F713" s="2" t="s">
        <v>173</v>
      </c>
      <c r="G713" s="2" t="s">
        <v>1037</v>
      </c>
      <c r="H713" s="2" t="s">
        <v>291</v>
      </c>
      <c r="I713" s="2" t="s">
        <v>1038</v>
      </c>
      <c r="J713" s="2" t="s">
        <v>381</v>
      </c>
      <c r="K713" s="9">
        <v>45716</v>
      </c>
      <c r="L713" s="9">
        <v>45724</v>
      </c>
      <c r="M713" s="9">
        <v>45720</v>
      </c>
      <c r="N713" s="2" t="s">
        <v>1054</v>
      </c>
      <c r="O713" s="2" t="s">
        <v>56</v>
      </c>
      <c r="P713" s="2" t="s">
        <v>151</v>
      </c>
      <c r="Q713" s="2" t="s">
        <v>159</v>
      </c>
      <c r="R713" s="2" t="s">
        <v>128</v>
      </c>
      <c r="S713" s="2" t="s">
        <v>383</v>
      </c>
      <c r="T713" s="10">
        <v>46.94</v>
      </c>
      <c r="U713" s="11">
        <v>1</v>
      </c>
      <c r="V713" s="12">
        <f>T713*U713</f>
        <v>46.94</v>
      </c>
      <c r="W713" s="13">
        <v>0</v>
      </c>
      <c r="X713" s="12">
        <f>V713-(V713/(1+W713))</f>
        <v>0</v>
      </c>
      <c r="Y713" s="12">
        <f>V713-X713</f>
        <v>46.94</v>
      </c>
      <c r="Z713" s="14">
        <v>75</v>
      </c>
      <c r="AA713" s="2" t="str">
        <f>IF(V713&gt;Z713,"Yes","No")</f>
        <v>No</v>
      </c>
      <c r="AB713" s="12">
        <f>V713-Z713</f>
        <v>-28.060000000000002</v>
      </c>
      <c r="AC713" s="15" t="s">
        <v>130</v>
      </c>
      <c r="AD713" s="15" t="s">
        <v>130</v>
      </c>
      <c r="AE713" s="15" t="s">
        <v>514</v>
      </c>
      <c r="AF713" s="12">
        <f>IF(AG713="Rejected",0,IF(R713="Corporate Card",0,V713))</f>
        <v>0</v>
      </c>
      <c r="AG713" s="15" t="s">
        <v>133</v>
      </c>
      <c r="AH713" s="16">
        <v>45727</v>
      </c>
      <c r="AI713" s="16">
        <v>45735</v>
      </c>
      <c r="AJ713" s="16">
        <v>45745</v>
      </c>
      <c r="AK713" s="17">
        <f>IF(AJ713="","",AJ713-AH713)</f>
        <v>18</v>
      </c>
    </row>
    <row r="714" spans="1:37">
      <c r="A714" s="2" t="s">
        <v>1097</v>
      </c>
      <c r="B714" s="2" t="s">
        <v>342</v>
      </c>
      <c r="C714" s="2" t="s">
        <v>343</v>
      </c>
      <c r="D714" s="2" t="s">
        <v>344</v>
      </c>
      <c r="E714" s="2" t="s">
        <v>345</v>
      </c>
      <c r="F714" s="2" t="s">
        <v>346</v>
      </c>
      <c r="G714" s="2" t="s">
        <v>1086</v>
      </c>
      <c r="H714" s="2" t="s">
        <v>448</v>
      </c>
      <c r="I714" s="2" t="s">
        <v>619</v>
      </c>
      <c r="J714" s="2" t="s">
        <v>381</v>
      </c>
      <c r="K714" s="9">
        <v>45719</v>
      </c>
      <c r="L714" s="9">
        <v>45727</v>
      </c>
      <c r="M714" s="9">
        <v>45720</v>
      </c>
      <c r="N714" s="2" t="s">
        <v>1054</v>
      </c>
      <c r="O714" s="2" t="s">
        <v>58</v>
      </c>
      <c r="P714" s="2" t="s">
        <v>142</v>
      </c>
      <c r="Q714" s="2" t="s">
        <v>156</v>
      </c>
      <c r="R714" s="2" t="s">
        <v>149</v>
      </c>
      <c r="S714" s="2" t="s">
        <v>383</v>
      </c>
      <c r="T714" s="10">
        <v>26.81</v>
      </c>
      <c r="U714" s="11">
        <v>1</v>
      </c>
      <c r="V714" s="12">
        <f>T714*U714</f>
        <v>26.81</v>
      </c>
      <c r="W714" s="13">
        <v>0</v>
      </c>
      <c r="X714" s="12">
        <f>V714-(V714/(1+W714))</f>
        <v>0</v>
      </c>
      <c r="Y714" s="12">
        <f>V714-X714</f>
        <v>26.81</v>
      </c>
      <c r="Z714" s="14">
        <v>60</v>
      </c>
      <c r="AA714" s="2" t="str">
        <f>IF(V714&gt;Z714,"Yes","No")</f>
        <v>No</v>
      </c>
      <c r="AB714" s="12">
        <f>V714-Z714</f>
        <v>-33.19</v>
      </c>
      <c r="AC714" s="15" t="s">
        <v>130</v>
      </c>
      <c r="AD714" s="15" t="s">
        <v>130</v>
      </c>
      <c r="AE714" s="15" t="s">
        <v>350</v>
      </c>
      <c r="AF714" s="12">
        <f>IF(AG714="Rejected",0,IF(R714="Corporate Card",0,V714))</f>
        <v>26.81</v>
      </c>
      <c r="AG714" s="15" t="s">
        <v>133</v>
      </c>
      <c r="AH714" s="16">
        <v>45734</v>
      </c>
      <c r="AI714" s="16">
        <v>45740</v>
      </c>
      <c r="AJ714" s="16">
        <v>45743</v>
      </c>
      <c r="AK714" s="17">
        <f>IF(AJ714="","",AJ714-AH714)</f>
        <v>9</v>
      </c>
    </row>
    <row r="715" spans="1:37">
      <c r="A715" s="2" t="s">
        <v>1098</v>
      </c>
      <c r="B715" s="2" t="s">
        <v>342</v>
      </c>
      <c r="C715" s="2" t="s">
        <v>343</v>
      </c>
      <c r="D715" s="2" t="s">
        <v>344</v>
      </c>
      <c r="E715" s="2" t="s">
        <v>345</v>
      </c>
      <c r="F715" s="2" t="s">
        <v>346</v>
      </c>
      <c r="G715" s="2" t="s">
        <v>1086</v>
      </c>
      <c r="H715" s="2" t="s">
        <v>448</v>
      </c>
      <c r="I715" s="2" t="s">
        <v>619</v>
      </c>
      <c r="J715" s="2" t="s">
        <v>381</v>
      </c>
      <c r="K715" s="9">
        <v>45719</v>
      </c>
      <c r="L715" s="9">
        <v>45727</v>
      </c>
      <c r="M715" s="9">
        <v>45720</v>
      </c>
      <c r="N715" s="2" t="s">
        <v>1054</v>
      </c>
      <c r="O715" s="2" t="s">
        <v>53</v>
      </c>
      <c r="P715" s="2" t="s">
        <v>669</v>
      </c>
      <c r="Q715" s="2" t="s">
        <v>146</v>
      </c>
      <c r="R715" s="2" t="s">
        <v>137</v>
      </c>
      <c r="S715" s="2" t="s">
        <v>383</v>
      </c>
      <c r="T715" s="10">
        <v>1656.47</v>
      </c>
      <c r="U715" s="11">
        <v>1</v>
      </c>
      <c r="V715" s="12">
        <f>T715*U715</f>
        <v>1656.47</v>
      </c>
      <c r="W715" s="13">
        <v>0</v>
      </c>
      <c r="X715" s="12">
        <f>V715-(V715/(1+W715))</f>
        <v>0</v>
      </c>
      <c r="Y715" s="12">
        <f>V715-X715</f>
        <v>1656.47</v>
      </c>
      <c r="Z715" s="14">
        <v>2240</v>
      </c>
      <c r="AA715" s="2" t="str">
        <f>IF(V715&gt;Z715,"Yes","No")</f>
        <v>No</v>
      </c>
      <c r="AB715" s="12">
        <f>V715-Z715</f>
        <v>-583.53</v>
      </c>
      <c r="AC715" s="15" t="s">
        <v>130</v>
      </c>
      <c r="AD715" s="15" t="s">
        <v>130</v>
      </c>
      <c r="AE715" s="15" t="s">
        <v>350</v>
      </c>
      <c r="AF715" s="12">
        <f>IF(AG715="Rejected",0,IF(R715="Corporate Card",0,V715))</f>
        <v>1656.47</v>
      </c>
      <c r="AG715" s="15" t="s">
        <v>133</v>
      </c>
      <c r="AH715" s="16">
        <v>45734</v>
      </c>
      <c r="AI715" s="16">
        <v>45740</v>
      </c>
      <c r="AJ715" s="16">
        <v>45743</v>
      </c>
      <c r="AK715" s="17">
        <f>IF(AJ715="","",AJ715-AH715)</f>
        <v>9</v>
      </c>
    </row>
    <row r="716" spans="1:37">
      <c r="A716" s="2" t="s">
        <v>1099</v>
      </c>
      <c r="B716" s="2" t="s">
        <v>342</v>
      </c>
      <c r="C716" s="2" t="s">
        <v>343</v>
      </c>
      <c r="D716" s="2" t="s">
        <v>344</v>
      </c>
      <c r="E716" s="2" t="s">
        <v>345</v>
      </c>
      <c r="F716" s="2" t="s">
        <v>346</v>
      </c>
      <c r="G716" s="2" t="s">
        <v>1086</v>
      </c>
      <c r="H716" s="2" t="s">
        <v>448</v>
      </c>
      <c r="I716" s="2" t="s">
        <v>619</v>
      </c>
      <c r="J716" s="2" t="s">
        <v>381</v>
      </c>
      <c r="K716" s="9">
        <v>45719</v>
      </c>
      <c r="L716" s="9">
        <v>45727</v>
      </c>
      <c r="M716" s="9">
        <v>45720</v>
      </c>
      <c r="N716" s="2" t="s">
        <v>1054</v>
      </c>
      <c r="O716" s="2" t="s">
        <v>54</v>
      </c>
      <c r="P716" s="2" t="s">
        <v>139</v>
      </c>
      <c r="Q716" s="2" t="s">
        <v>214</v>
      </c>
      <c r="R716" s="2" t="s">
        <v>128</v>
      </c>
      <c r="S716" s="2" t="s">
        <v>383</v>
      </c>
      <c r="T716" s="10">
        <v>19.399999999999999</v>
      </c>
      <c r="U716" s="11">
        <v>1</v>
      </c>
      <c r="V716" s="12">
        <f>T716*U716</f>
        <v>19.399999999999999</v>
      </c>
      <c r="W716" s="13">
        <v>0</v>
      </c>
      <c r="X716" s="12">
        <f>V716-(V716/(1+W716))</f>
        <v>0</v>
      </c>
      <c r="Y716" s="12">
        <f>V716-X716</f>
        <v>19.399999999999999</v>
      </c>
      <c r="Z716" s="14">
        <v>25</v>
      </c>
      <c r="AA716" s="2" t="str">
        <f>IF(V716&gt;Z716,"Yes","No")</f>
        <v>No</v>
      </c>
      <c r="AB716" s="12">
        <f>V716-Z716</f>
        <v>-5.6000000000000014</v>
      </c>
      <c r="AC716" s="15" t="s">
        <v>131</v>
      </c>
      <c r="AD716" s="15" t="s">
        <v>130</v>
      </c>
      <c r="AE716" s="15" t="s">
        <v>350</v>
      </c>
      <c r="AF716" s="12">
        <f>IF(AG716="Rejected",0,IF(R716="Corporate Card",0,V716))</f>
        <v>0</v>
      </c>
      <c r="AG716" s="15" t="s">
        <v>133</v>
      </c>
      <c r="AH716" s="16">
        <v>45734</v>
      </c>
      <c r="AI716" s="16">
        <v>45740</v>
      </c>
      <c r="AJ716" s="16">
        <v>45743</v>
      </c>
      <c r="AK716" s="17">
        <f>IF(AJ716="","",AJ716-AH716)</f>
        <v>9</v>
      </c>
    </row>
    <row r="717" spans="1:37">
      <c r="A717" s="2" t="s">
        <v>1100</v>
      </c>
      <c r="B717" s="2" t="s">
        <v>342</v>
      </c>
      <c r="C717" s="2" t="s">
        <v>343</v>
      </c>
      <c r="D717" s="2" t="s">
        <v>344</v>
      </c>
      <c r="E717" s="2" t="s">
        <v>345</v>
      </c>
      <c r="F717" s="2" t="s">
        <v>346</v>
      </c>
      <c r="G717" s="2" t="s">
        <v>1086</v>
      </c>
      <c r="H717" s="2" t="s">
        <v>448</v>
      </c>
      <c r="I717" s="2" t="s">
        <v>619</v>
      </c>
      <c r="J717" s="2" t="s">
        <v>381</v>
      </c>
      <c r="K717" s="9">
        <v>45719</v>
      </c>
      <c r="L717" s="9">
        <v>45727</v>
      </c>
      <c r="M717" s="9">
        <v>45720</v>
      </c>
      <c r="N717" s="2" t="s">
        <v>1054</v>
      </c>
      <c r="O717" s="2" t="s">
        <v>56</v>
      </c>
      <c r="P717" s="2" t="s">
        <v>231</v>
      </c>
      <c r="Q717" s="2" t="s">
        <v>159</v>
      </c>
      <c r="R717" s="2" t="s">
        <v>128</v>
      </c>
      <c r="S717" s="2" t="s">
        <v>383</v>
      </c>
      <c r="T717" s="10">
        <v>49.05</v>
      </c>
      <c r="U717" s="11">
        <v>1</v>
      </c>
      <c r="V717" s="12">
        <f>T717*U717</f>
        <v>49.05</v>
      </c>
      <c r="W717" s="13">
        <v>0</v>
      </c>
      <c r="X717" s="12">
        <f>V717-(V717/(1+W717))</f>
        <v>0</v>
      </c>
      <c r="Y717" s="12">
        <f>V717-X717</f>
        <v>49.05</v>
      </c>
      <c r="Z717" s="14">
        <v>75</v>
      </c>
      <c r="AA717" s="2" t="str">
        <f>IF(V717&gt;Z717,"Yes","No")</f>
        <v>No</v>
      </c>
      <c r="AB717" s="12">
        <f>V717-Z717</f>
        <v>-25.950000000000003</v>
      </c>
      <c r="AC717" s="15" t="s">
        <v>130</v>
      </c>
      <c r="AD717" s="15" t="s">
        <v>130</v>
      </c>
      <c r="AE717" s="15" t="s">
        <v>350</v>
      </c>
      <c r="AF717" s="12">
        <f>IF(AG717="Rejected",0,IF(R717="Corporate Card",0,V717))</f>
        <v>0</v>
      </c>
      <c r="AG717" s="15" t="s">
        <v>133</v>
      </c>
      <c r="AH717" s="16">
        <v>45734</v>
      </c>
      <c r="AI717" s="16">
        <v>45740</v>
      </c>
      <c r="AJ717" s="16">
        <v>45743</v>
      </c>
      <c r="AK717" s="17">
        <f>IF(AJ717="","",AJ717-AH717)</f>
        <v>9</v>
      </c>
    </row>
    <row r="718" spans="1:37">
      <c r="A718" s="2" t="s">
        <v>1101</v>
      </c>
      <c r="B718" s="2" t="s">
        <v>342</v>
      </c>
      <c r="C718" s="2" t="s">
        <v>343</v>
      </c>
      <c r="D718" s="2" t="s">
        <v>344</v>
      </c>
      <c r="E718" s="2" t="s">
        <v>345</v>
      </c>
      <c r="F718" s="2" t="s">
        <v>346</v>
      </c>
      <c r="G718" s="2" t="s">
        <v>1086</v>
      </c>
      <c r="H718" s="2" t="s">
        <v>448</v>
      </c>
      <c r="I718" s="2" t="s">
        <v>619</v>
      </c>
      <c r="J718" s="2" t="s">
        <v>381</v>
      </c>
      <c r="K718" s="9">
        <v>45719</v>
      </c>
      <c r="L718" s="9">
        <v>45727</v>
      </c>
      <c r="M718" s="9">
        <v>45720</v>
      </c>
      <c r="N718" s="2" t="s">
        <v>1054</v>
      </c>
      <c r="O718" s="2" t="s">
        <v>55</v>
      </c>
      <c r="P718" s="2" t="s">
        <v>139</v>
      </c>
      <c r="Q718" s="2" t="s">
        <v>154</v>
      </c>
      <c r="R718" s="2" t="s">
        <v>137</v>
      </c>
      <c r="S718" s="2" t="s">
        <v>383</v>
      </c>
      <c r="T718" s="10">
        <v>28.63</v>
      </c>
      <c r="U718" s="11">
        <v>1</v>
      </c>
      <c r="V718" s="12">
        <f>T718*U718</f>
        <v>28.63</v>
      </c>
      <c r="W718" s="13">
        <v>0</v>
      </c>
      <c r="X718" s="12">
        <f>V718-(V718/(1+W718))</f>
        <v>0</v>
      </c>
      <c r="Y718" s="12">
        <f>V718-X718</f>
        <v>28.63</v>
      </c>
      <c r="Z718" s="14">
        <v>35</v>
      </c>
      <c r="AA718" s="2" t="str">
        <f>IF(V718&gt;Z718,"Yes","No")</f>
        <v>No</v>
      </c>
      <c r="AB718" s="12">
        <f>V718-Z718</f>
        <v>-6.370000000000001</v>
      </c>
      <c r="AC718" s="15" t="s">
        <v>130</v>
      </c>
      <c r="AD718" s="15" t="s">
        <v>130</v>
      </c>
      <c r="AE718" s="15" t="s">
        <v>350</v>
      </c>
      <c r="AF718" s="12">
        <f>IF(AG718="Rejected",0,IF(R718="Corporate Card",0,V718))</f>
        <v>28.63</v>
      </c>
      <c r="AG718" s="15" t="s">
        <v>133</v>
      </c>
      <c r="AH718" s="16">
        <v>45734</v>
      </c>
      <c r="AI718" s="16">
        <v>45740</v>
      </c>
      <c r="AJ718" s="16">
        <v>45743</v>
      </c>
      <c r="AK718" s="17">
        <f>IF(AJ718="","",AJ718-AH718)</f>
        <v>9</v>
      </c>
    </row>
    <row r="719" spans="1:37">
      <c r="A719" s="2" t="s">
        <v>1102</v>
      </c>
      <c r="B719" s="2" t="s">
        <v>550</v>
      </c>
      <c r="C719" s="2" t="s">
        <v>551</v>
      </c>
      <c r="D719" s="2" t="s">
        <v>171</v>
      </c>
      <c r="E719" s="2" t="s">
        <v>172</v>
      </c>
      <c r="F719" s="2" t="s">
        <v>173</v>
      </c>
      <c r="G719" s="2" t="s">
        <v>1103</v>
      </c>
      <c r="H719" s="2" t="s">
        <v>448</v>
      </c>
      <c r="I719" s="2" t="s">
        <v>255</v>
      </c>
      <c r="J719" s="2" t="s">
        <v>256</v>
      </c>
      <c r="K719" s="9">
        <v>45720</v>
      </c>
      <c r="L719" s="9">
        <v>45727</v>
      </c>
      <c r="M719" s="9">
        <v>45720</v>
      </c>
      <c r="N719" s="2" t="s">
        <v>1054</v>
      </c>
      <c r="O719" s="2" t="s">
        <v>52</v>
      </c>
      <c r="P719" s="2" t="s">
        <v>257</v>
      </c>
      <c r="Q719" s="2" t="s">
        <v>127</v>
      </c>
      <c r="R719" s="2" t="s">
        <v>128</v>
      </c>
      <c r="S719" s="2" t="s">
        <v>259</v>
      </c>
      <c r="T719" s="10">
        <v>283547</v>
      </c>
      <c r="U719" s="11">
        <v>6.5500000000000003E-3</v>
      </c>
      <c r="V719" s="12">
        <f>T719*U719</f>
        <v>1857.2328500000001</v>
      </c>
      <c r="W719" s="13">
        <v>0</v>
      </c>
      <c r="X719" s="12">
        <f>V719-(V719/(1+W719))</f>
        <v>0</v>
      </c>
      <c r="Y719" s="12">
        <f>V719-X719</f>
        <v>1857.2328500000001</v>
      </c>
      <c r="Z719" s="14">
        <v>1400</v>
      </c>
      <c r="AA719" s="2" t="str">
        <f>IF(V719&gt;Z719,"Yes","No")</f>
        <v>Yes</v>
      </c>
      <c r="AB719" s="12">
        <f>V719-Z719</f>
        <v>457.2328500000001</v>
      </c>
      <c r="AC719" s="15" t="s">
        <v>130</v>
      </c>
      <c r="AD719" s="15" t="s">
        <v>131</v>
      </c>
      <c r="AE719" s="15" t="s">
        <v>421</v>
      </c>
      <c r="AF719" s="12">
        <f>IF(AG719="Rejected",0,IF(R719="Corporate Card",0,V719))</f>
        <v>0</v>
      </c>
      <c r="AG719" s="15" t="s">
        <v>133</v>
      </c>
      <c r="AH719" s="16">
        <v>45736</v>
      </c>
      <c r="AI719" s="16">
        <v>45737</v>
      </c>
      <c r="AJ719" s="16">
        <v>45745</v>
      </c>
      <c r="AK719" s="17">
        <f>IF(AJ719="","",AJ719-AH719)</f>
        <v>9</v>
      </c>
    </row>
    <row r="720" spans="1:37">
      <c r="A720" s="2" t="s">
        <v>1104</v>
      </c>
      <c r="B720" s="2" t="s">
        <v>550</v>
      </c>
      <c r="C720" s="2" t="s">
        <v>551</v>
      </c>
      <c r="D720" s="2" t="s">
        <v>171</v>
      </c>
      <c r="E720" s="2" t="s">
        <v>172</v>
      </c>
      <c r="F720" s="2" t="s">
        <v>173</v>
      </c>
      <c r="G720" s="2" t="s">
        <v>1103</v>
      </c>
      <c r="H720" s="2" t="s">
        <v>448</v>
      </c>
      <c r="I720" s="2" t="s">
        <v>255</v>
      </c>
      <c r="J720" s="2" t="s">
        <v>256</v>
      </c>
      <c r="K720" s="9">
        <v>45720</v>
      </c>
      <c r="L720" s="9">
        <v>45727</v>
      </c>
      <c r="M720" s="9">
        <v>45720</v>
      </c>
      <c r="N720" s="2" t="s">
        <v>1054</v>
      </c>
      <c r="O720" s="2" t="s">
        <v>56</v>
      </c>
      <c r="P720" s="2" t="s">
        <v>151</v>
      </c>
      <c r="Q720" s="2" t="s">
        <v>227</v>
      </c>
      <c r="R720" s="2" t="s">
        <v>128</v>
      </c>
      <c r="S720" s="2" t="s">
        <v>259</v>
      </c>
      <c r="T720" s="10">
        <v>17565</v>
      </c>
      <c r="U720" s="11">
        <v>6.5500000000000003E-3</v>
      </c>
      <c r="V720" s="12">
        <f>T720*U720</f>
        <v>115.05075000000001</v>
      </c>
      <c r="W720" s="13">
        <v>0.1</v>
      </c>
      <c r="X720" s="12">
        <f>V720-(V720/(1+W720))</f>
        <v>10.459159090909097</v>
      </c>
      <c r="Y720" s="12">
        <f>V720-X720</f>
        <v>104.59159090909091</v>
      </c>
      <c r="Z720" s="14">
        <v>75</v>
      </c>
      <c r="AA720" s="2" t="str">
        <f>IF(V720&gt;Z720,"Yes","No")</f>
        <v>Yes</v>
      </c>
      <c r="AB720" s="12">
        <f>V720-Z720</f>
        <v>40.050750000000008</v>
      </c>
      <c r="AC720" s="15" t="s">
        <v>130</v>
      </c>
      <c r="AD720" s="15" t="s">
        <v>131</v>
      </c>
      <c r="AE720" s="15" t="s">
        <v>421</v>
      </c>
      <c r="AF720" s="12">
        <f>IF(AG720="Rejected",0,IF(R720="Corporate Card",0,V720))</f>
        <v>0</v>
      </c>
      <c r="AG720" s="15" t="s">
        <v>133</v>
      </c>
      <c r="AH720" s="16">
        <v>45736</v>
      </c>
      <c r="AI720" s="16">
        <v>45737</v>
      </c>
      <c r="AJ720" s="16">
        <v>45745</v>
      </c>
      <c r="AK720" s="17">
        <f>IF(AJ720="","",AJ720-AH720)</f>
        <v>9</v>
      </c>
    </row>
    <row r="721" spans="1:37">
      <c r="A721" s="2" t="s">
        <v>1105</v>
      </c>
      <c r="B721" s="2" t="s">
        <v>550</v>
      </c>
      <c r="C721" s="2" t="s">
        <v>551</v>
      </c>
      <c r="D721" s="2" t="s">
        <v>171</v>
      </c>
      <c r="E721" s="2" t="s">
        <v>172</v>
      </c>
      <c r="F721" s="2" t="s">
        <v>173</v>
      </c>
      <c r="G721" s="2" t="s">
        <v>1103</v>
      </c>
      <c r="H721" s="2" t="s">
        <v>448</v>
      </c>
      <c r="I721" s="2" t="s">
        <v>255</v>
      </c>
      <c r="J721" s="2" t="s">
        <v>256</v>
      </c>
      <c r="K721" s="9">
        <v>45720</v>
      </c>
      <c r="L721" s="9">
        <v>45727</v>
      </c>
      <c r="M721" s="9">
        <v>45720</v>
      </c>
      <c r="N721" s="2" t="s">
        <v>1054</v>
      </c>
      <c r="O721" s="2" t="s">
        <v>55</v>
      </c>
      <c r="P721" s="2" t="s">
        <v>139</v>
      </c>
      <c r="Q721" s="2" t="s">
        <v>161</v>
      </c>
      <c r="R721" s="2" t="s">
        <v>149</v>
      </c>
      <c r="S721" s="2" t="s">
        <v>259</v>
      </c>
      <c r="T721" s="10">
        <v>2845</v>
      </c>
      <c r="U721" s="11">
        <v>6.5500000000000003E-3</v>
      </c>
      <c r="V721" s="12">
        <f>T721*U721</f>
        <v>18.63475</v>
      </c>
      <c r="W721" s="13">
        <v>0.1</v>
      </c>
      <c r="X721" s="12">
        <f>V721-(V721/(1+W721))</f>
        <v>1.6940681818181815</v>
      </c>
      <c r="Y721" s="12">
        <f>V721-X721</f>
        <v>16.940681818181819</v>
      </c>
      <c r="Z721" s="14">
        <v>35</v>
      </c>
      <c r="AA721" s="2" t="str">
        <f>IF(V721&gt;Z721,"Yes","No")</f>
        <v>No</v>
      </c>
      <c r="AB721" s="12">
        <f>V721-Z721</f>
        <v>-16.36525</v>
      </c>
      <c r="AC721" s="15" t="s">
        <v>131</v>
      </c>
      <c r="AD721" s="15" t="s">
        <v>131</v>
      </c>
      <c r="AE721" s="15" t="s">
        <v>421</v>
      </c>
      <c r="AF721" s="12">
        <f>IF(AG721="Rejected",0,IF(R721="Corporate Card",0,V721))</f>
        <v>18.63475</v>
      </c>
      <c r="AG721" s="15" t="s">
        <v>133</v>
      </c>
      <c r="AH721" s="16">
        <v>45736</v>
      </c>
      <c r="AI721" s="16">
        <v>45737</v>
      </c>
      <c r="AJ721" s="16">
        <v>45745</v>
      </c>
      <c r="AK721" s="17">
        <f>IF(AJ721="","",AJ721-AH721)</f>
        <v>9</v>
      </c>
    </row>
    <row r="722" spans="1:37">
      <c r="A722" s="2" t="s">
        <v>1106</v>
      </c>
      <c r="B722" s="2" t="s">
        <v>287</v>
      </c>
      <c r="C722" s="2" t="s">
        <v>288</v>
      </c>
      <c r="D722" s="2" t="s">
        <v>171</v>
      </c>
      <c r="E722" s="2" t="s">
        <v>289</v>
      </c>
      <c r="F722" s="2" t="s">
        <v>173</v>
      </c>
      <c r="G722" s="2" t="s">
        <v>1020</v>
      </c>
      <c r="H722" s="2" t="s">
        <v>291</v>
      </c>
      <c r="I722" s="2" t="s">
        <v>315</v>
      </c>
      <c r="J722" s="2" t="s">
        <v>316</v>
      </c>
      <c r="K722" s="9">
        <v>45714</v>
      </c>
      <c r="L722" s="9">
        <v>45720</v>
      </c>
      <c r="M722" s="9">
        <v>45720</v>
      </c>
      <c r="N722" s="2" t="s">
        <v>1054</v>
      </c>
      <c r="O722" s="2" t="s">
        <v>58</v>
      </c>
      <c r="P722" s="2" t="s">
        <v>142</v>
      </c>
      <c r="Q722" s="2" t="s">
        <v>296</v>
      </c>
      <c r="R722" s="2" t="s">
        <v>137</v>
      </c>
      <c r="S722" s="2" t="s">
        <v>318</v>
      </c>
      <c r="T722" s="10">
        <v>201.08</v>
      </c>
      <c r="U722" s="11">
        <v>0.27229999999999999</v>
      </c>
      <c r="V722" s="12">
        <f>T722*U722</f>
        <v>54.754083999999999</v>
      </c>
      <c r="W722" s="13">
        <v>0.05</v>
      </c>
      <c r="X722" s="12">
        <f>V722-(V722/(1+W722))</f>
        <v>2.6073373333333336</v>
      </c>
      <c r="Y722" s="12">
        <f>V722-X722</f>
        <v>52.146746666666665</v>
      </c>
      <c r="Z722" s="14">
        <v>60</v>
      </c>
      <c r="AA722" s="2" t="str">
        <f>IF(V722&gt;Z722,"Yes","No")</f>
        <v>No</v>
      </c>
      <c r="AB722" s="12">
        <f>V722-Z722</f>
        <v>-5.2459160000000011</v>
      </c>
      <c r="AC722" s="15" t="s">
        <v>130</v>
      </c>
      <c r="AD722" s="15" t="s">
        <v>130</v>
      </c>
      <c r="AE722" s="15" t="s">
        <v>514</v>
      </c>
      <c r="AF722" s="12">
        <f>IF(AG722="Rejected",0,IF(R722="Corporate Card",0,V722))</f>
        <v>54.754083999999999</v>
      </c>
      <c r="AG722" s="15" t="s">
        <v>133</v>
      </c>
      <c r="AH722" s="16">
        <v>45727</v>
      </c>
      <c r="AI722" s="16">
        <v>45728</v>
      </c>
      <c r="AJ722" s="16">
        <v>45740</v>
      </c>
      <c r="AK722" s="17">
        <f>IF(AJ722="","",AJ722-AH722)</f>
        <v>13</v>
      </c>
    </row>
    <row r="723" spans="1:37">
      <c r="A723" s="2" t="s">
        <v>1107</v>
      </c>
      <c r="B723" s="2" t="s">
        <v>287</v>
      </c>
      <c r="C723" s="2" t="s">
        <v>288</v>
      </c>
      <c r="D723" s="2" t="s">
        <v>171</v>
      </c>
      <c r="E723" s="2" t="s">
        <v>289</v>
      </c>
      <c r="F723" s="2" t="s">
        <v>173</v>
      </c>
      <c r="G723" s="2" t="s">
        <v>1020</v>
      </c>
      <c r="H723" s="2" t="s">
        <v>291</v>
      </c>
      <c r="I723" s="2" t="s">
        <v>315</v>
      </c>
      <c r="J723" s="2" t="s">
        <v>316</v>
      </c>
      <c r="K723" s="9">
        <v>45714</v>
      </c>
      <c r="L723" s="9">
        <v>45720</v>
      </c>
      <c r="M723" s="9">
        <v>45720</v>
      </c>
      <c r="N723" s="2" t="s">
        <v>1054</v>
      </c>
      <c r="O723" s="2" t="s">
        <v>54</v>
      </c>
      <c r="P723" s="2" t="s">
        <v>139</v>
      </c>
      <c r="Q723" s="2" t="s">
        <v>214</v>
      </c>
      <c r="R723" s="2" t="s">
        <v>149</v>
      </c>
      <c r="S723" s="2" t="s">
        <v>318</v>
      </c>
      <c r="T723" s="10">
        <v>37.9</v>
      </c>
      <c r="U723" s="11">
        <v>0.27229999999999999</v>
      </c>
      <c r="V723" s="12">
        <f>T723*U723</f>
        <v>10.320169999999999</v>
      </c>
      <c r="W723" s="13">
        <v>0.05</v>
      </c>
      <c r="X723" s="12">
        <f>V723-(V723/(1+W723))</f>
        <v>0.49143666666666697</v>
      </c>
      <c r="Y723" s="12">
        <f>V723-X723</f>
        <v>9.8287333333333322</v>
      </c>
      <c r="Z723" s="14">
        <v>25</v>
      </c>
      <c r="AA723" s="2" t="str">
        <f>IF(V723&gt;Z723,"Yes","No")</f>
        <v>No</v>
      </c>
      <c r="AB723" s="12">
        <f>V723-Z723</f>
        <v>-14.679830000000001</v>
      </c>
      <c r="AC723" s="15" t="s">
        <v>130</v>
      </c>
      <c r="AD723" s="15" t="s">
        <v>130</v>
      </c>
      <c r="AE723" s="15" t="s">
        <v>514</v>
      </c>
      <c r="AF723" s="12">
        <f>IF(AG723="Rejected",0,IF(R723="Corporate Card",0,V723))</f>
        <v>10.320169999999999</v>
      </c>
      <c r="AG723" s="15" t="s">
        <v>133</v>
      </c>
      <c r="AH723" s="16">
        <v>45727</v>
      </c>
      <c r="AI723" s="16">
        <v>45728</v>
      </c>
      <c r="AJ723" s="16">
        <v>45740</v>
      </c>
      <c r="AK723" s="17">
        <f>IF(AJ723="","",AJ723-AH723)</f>
        <v>13</v>
      </c>
    </row>
    <row r="724" spans="1:37">
      <c r="A724" s="2" t="s">
        <v>1108</v>
      </c>
      <c r="B724" s="2" t="s">
        <v>287</v>
      </c>
      <c r="C724" s="2" t="s">
        <v>288</v>
      </c>
      <c r="D724" s="2" t="s">
        <v>171</v>
      </c>
      <c r="E724" s="2" t="s">
        <v>289</v>
      </c>
      <c r="F724" s="2" t="s">
        <v>173</v>
      </c>
      <c r="G724" s="2" t="s">
        <v>1020</v>
      </c>
      <c r="H724" s="2" t="s">
        <v>291</v>
      </c>
      <c r="I724" s="2" t="s">
        <v>315</v>
      </c>
      <c r="J724" s="2" t="s">
        <v>316</v>
      </c>
      <c r="K724" s="9">
        <v>45714</v>
      </c>
      <c r="L724" s="9">
        <v>45720</v>
      </c>
      <c r="M724" s="9">
        <v>45720</v>
      </c>
      <c r="N724" s="2" t="s">
        <v>1054</v>
      </c>
      <c r="O724" s="2" t="s">
        <v>55</v>
      </c>
      <c r="P724" s="2" t="s">
        <v>139</v>
      </c>
      <c r="Q724" s="2" t="s">
        <v>154</v>
      </c>
      <c r="R724" s="2" t="s">
        <v>128</v>
      </c>
      <c r="S724" s="2" t="s">
        <v>318</v>
      </c>
      <c r="T724" s="10">
        <v>125.21</v>
      </c>
      <c r="U724" s="11">
        <v>0.27229999999999999</v>
      </c>
      <c r="V724" s="12">
        <f>T724*U724</f>
        <v>34.094682999999996</v>
      </c>
      <c r="W724" s="13">
        <v>0.05</v>
      </c>
      <c r="X724" s="12">
        <f>V724-(V724/(1+W724))</f>
        <v>1.6235563333333332</v>
      </c>
      <c r="Y724" s="12">
        <f>V724-X724</f>
        <v>32.471126666666663</v>
      </c>
      <c r="Z724" s="14">
        <v>35</v>
      </c>
      <c r="AA724" s="2" t="str">
        <f>IF(V724&gt;Z724,"Yes","No")</f>
        <v>No</v>
      </c>
      <c r="AB724" s="12">
        <f>V724-Z724</f>
        <v>-0.9053170000000037</v>
      </c>
      <c r="AC724" s="15" t="s">
        <v>130</v>
      </c>
      <c r="AD724" s="15" t="s">
        <v>130</v>
      </c>
      <c r="AE724" s="15" t="s">
        <v>514</v>
      </c>
      <c r="AF724" s="12">
        <f>IF(AG724="Rejected",0,IF(R724="Corporate Card",0,V724))</f>
        <v>0</v>
      </c>
      <c r="AG724" s="15" t="s">
        <v>133</v>
      </c>
      <c r="AH724" s="16">
        <v>45727</v>
      </c>
      <c r="AI724" s="16">
        <v>45728</v>
      </c>
      <c r="AJ724" s="16">
        <v>45740</v>
      </c>
      <c r="AK724" s="17">
        <f>IF(AJ724="","",AJ724-AH724)</f>
        <v>13</v>
      </c>
    </row>
    <row r="725" spans="1:37">
      <c r="A725" s="2" t="s">
        <v>1109</v>
      </c>
      <c r="B725" s="2" t="s">
        <v>189</v>
      </c>
      <c r="C725" s="2" t="s">
        <v>190</v>
      </c>
      <c r="D725" s="2" t="s">
        <v>171</v>
      </c>
      <c r="E725" s="2" t="s">
        <v>191</v>
      </c>
      <c r="F725" s="2" t="s">
        <v>173</v>
      </c>
      <c r="G725" s="2" t="s">
        <v>1037</v>
      </c>
      <c r="H725" s="2" t="s">
        <v>291</v>
      </c>
      <c r="I725" s="2" t="s">
        <v>1038</v>
      </c>
      <c r="J725" s="2" t="s">
        <v>381</v>
      </c>
      <c r="K725" s="9">
        <v>45716</v>
      </c>
      <c r="L725" s="9">
        <v>45724</v>
      </c>
      <c r="M725" s="9">
        <v>45721</v>
      </c>
      <c r="N725" s="2" t="s">
        <v>1054</v>
      </c>
      <c r="O725" s="2" t="s">
        <v>54</v>
      </c>
      <c r="P725" s="2" t="s">
        <v>139</v>
      </c>
      <c r="Q725" s="2" t="s">
        <v>140</v>
      </c>
      <c r="R725" s="2" t="s">
        <v>128</v>
      </c>
      <c r="S725" s="2" t="s">
        <v>383</v>
      </c>
      <c r="T725" s="10">
        <v>19.48</v>
      </c>
      <c r="U725" s="11">
        <v>1</v>
      </c>
      <c r="V725" s="12">
        <f>T725*U725</f>
        <v>19.48</v>
      </c>
      <c r="W725" s="13">
        <v>0</v>
      </c>
      <c r="X725" s="12">
        <f>V725-(V725/(1+W725))</f>
        <v>0</v>
      </c>
      <c r="Y725" s="12">
        <f>V725-X725</f>
        <v>19.48</v>
      </c>
      <c r="Z725" s="14">
        <v>25</v>
      </c>
      <c r="AA725" s="2" t="str">
        <f>IF(V725&gt;Z725,"Yes","No")</f>
        <v>No</v>
      </c>
      <c r="AB725" s="12">
        <f>V725-Z725</f>
        <v>-5.52</v>
      </c>
      <c r="AC725" s="15" t="s">
        <v>130</v>
      </c>
      <c r="AD725" s="15" t="s">
        <v>130</v>
      </c>
      <c r="AE725" s="15" t="s">
        <v>514</v>
      </c>
      <c r="AF725" s="12">
        <f>IF(AG725="Rejected",0,IF(R725="Corporate Card",0,V725))</f>
        <v>0</v>
      </c>
      <c r="AG725" s="15" t="s">
        <v>133</v>
      </c>
      <c r="AH725" s="16">
        <v>45727</v>
      </c>
      <c r="AI725" s="16">
        <v>45735</v>
      </c>
      <c r="AJ725" s="16">
        <v>45745</v>
      </c>
      <c r="AK725" s="17">
        <f>IF(AJ725="","",AJ725-AH725)</f>
        <v>18</v>
      </c>
    </row>
    <row r="726" spans="1:37">
      <c r="A726" s="2" t="s">
        <v>1110</v>
      </c>
      <c r="B726" s="2" t="s">
        <v>189</v>
      </c>
      <c r="C726" s="2" t="s">
        <v>190</v>
      </c>
      <c r="D726" s="2" t="s">
        <v>171</v>
      </c>
      <c r="E726" s="2" t="s">
        <v>191</v>
      </c>
      <c r="F726" s="2" t="s">
        <v>173</v>
      </c>
      <c r="G726" s="2" t="s">
        <v>1037</v>
      </c>
      <c r="H726" s="2" t="s">
        <v>291</v>
      </c>
      <c r="I726" s="2" t="s">
        <v>1038</v>
      </c>
      <c r="J726" s="2" t="s">
        <v>381</v>
      </c>
      <c r="K726" s="9">
        <v>45716</v>
      </c>
      <c r="L726" s="9">
        <v>45724</v>
      </c>
      <c r="M726" s="9">
        <v>45721</v>
      </c>
      <c r="N726" s="2" t="s">
        <v>1054</v>
      </c>
      <c r="O726" s="2" t="s">
        <v>55</v>
      </c>
      <c r="P726" s="2" t="s">
        <v>139</v>
      </c>
      <c r="Q726" s="2" t="s">
        <v>161</v>
      </c>
      <c r="R726" s="2" t="s">
        <v>149</v>
      </c>
      <c r="S726" s="2" t="s">
        <v>383</v>
      </c>
      <c r="T726" s="10">
        <v>25.65</v>
      </c>
      <c r="U726" s="11">
        <v>1</v>
      </c>
      <c r="V726" s="12">
        <f>T726*U726</f>
        <v>25.65</v>
      </c>
      <c r="W726" s="13">
        <v>0</v>
      </c>
      <c r="X726" s="12">
        <f>V726-(V726/(1+W726))</f>
        <v>0</v>
      </c>
      <c r="Y726" s="12">
        <f>V726-X726</f>
        <v>25.65</v>
      </c>
      <c r="Z726" s="14">
        <v>35</v>
      </c>
      <c r="AA726" s="2" t="str">
        <f>IF(V726&gt;Z726,"Yes","No")</f>
        <v>No</v>
      </c>
      <c r="AB726" s="12">
        <f>V726-Z726</f>
        <v>-9.3500000000000014</v>
      </c>
      <c r="AC726" s="15" t="s">
        <v>131</v>
      </c>
      <c r="AD726" s="15" t="s">
        <v>130</v>
      </c>
      <c r="AE726" s="15" t="s">
        <v>514</v>
      </c>
      <c r="AF726" s="12">
        <f>IF(AG726="Rejected",0,IF(R726="Corporate Card",0,V726))</f>
        <v>25.65</v>
      </c>
      <c r="AG726" s="15" t="s">
        <v>133</v>
      </c>
      <c r="AH726" s="16">
        <v>45727</v>
      </c>
      <c r="AI726" s="16">
        <v>45735</v>
      </c>
      <c r="AJ726" s="16">
        <v>45745</v>
      </c>
      <c r="AK726" s="17">
        <f>IF(AJ726="","",AJ726-AH726)</f>
        <v>18</v>
      </c>
    </row>
    <row r="727" spans="1:37">
      <c r="A727" s="2" t="s">
        <v>1111</v>
      </c>
      <c r="B727" s="2" t="s">
        <v>342</v>
      </c>
      <c r="C727" s="2" t="s">
        <v>343</v>
      </c>
      <c r="D727" s="2" t="s">
        <v>344</v>
      </c>
      <c r="E727" s="2" t="s">
        <v>345</v>
      </c>
      <c r="F727" s="2" t="s">
        <v>346</v>
      </c>
      <c r="G727" s="2" t="s">
        <v>1086</v>
      </c>
      <c r="H727" s="2" t="s">
        <v>448</v>
      </c>
      <c r="I727" s="2" t="s">
        <v>619</v>
      </c>
      <c r="J727" s="2" t="s">
        <v>381</v>
      </c>
      <c r="K727" s="9">
        <v>45719</v>
      </c>
      <c r="L727" s="9">
        <v>45727</v>
      </c>
      <c r="M727" s="9">
        <v>45721</v>
      </c>
      <c r="N727" s="2" t="s">
        <v>1054</v>
      </c>
      <c r="O727" s="2" t="s">
        <v>58</v>
      </c>
      <c r="P727" s="2" t="s">
        <v>142</v>
      </c>
      <c r="Q727" s="2" t="s">
        <v>296</v>
      </c>
      <c r="R727" s="2" t="s">
        <v>128</v>
      </c>
      <c r="S727" s="2" t="s">
        <v>383</v>
      </c>
      <c r="T727" s="10">
        <v>56.82</v>
      </c>
      <c r="U727" s="11">
        <v>1</v>
      </c>
      <c r="V727" s="12">
        <f>T727*U727</f>
        <v>56.82</v>
      </c>
      <c r="W727" s="13">
        <v>0</v>
      </c>
      <c r="X727" s="12">
        <f>V727-(V727/(1+W727))</f>
        <v>0</v>
      </c>
      <c r="Y727" s="12">
        <f>V727-X727</f>
        <v>56.82</v>
      </c>
      <c r="Z727" s="14">
        <v>60</v>
      </c>
      <c r="AA727" s="2" t="str">
        <f>IF(V727&gt;Z727,"Yes","No")</f>
        <v>No</v>
      </c>
      <c r="AB727" s="12">
        <f>V727-Z727</f>
        <v>-3.1799999999999997</v>
      </c>
      <c r="AC727" s="15" t="s">
        <v>130</v>
      </c>
      <c r="AD727" s="15" t="s">
        <v>130</v>
      </c>
      <c r="AE727" s="15" t="s">
        <v>350</v>
      </c>
      <c r="AF727" s="12">
        <f>IF(AG727="Rejected",0,IF(R727="Corporate Card",0,V727))</f>
        <v>0</v>
      </c>
      <c r="AG727" s="15" t="s">
        <v>133</v>
      </c>
      <c r="AH727" s="16">
        <v>45734</v>
      </c>
      <c r="AI727" s="16">
        <v>45740</v>
      </c>
      <c r="AJ727" s="16">
        <v>45743</v>
      </c>
      <c r="AK727" s="17">
        <f>IF(AJ727="","",AJ727-AH727)</f>
        <v>9</v>
      </c>
    </row>
    <row r="728" spans="1:37">
      <c r="A728" s="2" t="s">
        <v>1112</v>
      </c>
      <c r="B728" s="2" t="s">
        <v>342</v>
      </c>
      <c r="C728" s="2" t="s">
        <v>343</v>
      </c>
      <c r="D728" s="2" t="s">
        <v>344</v>
      </c>
      <c r="E728" s="2" t="s">
        <v>345</v>
      </c>
      <c r="F728" s="2" t="s">
        <v>346</v>
      </c>
      <c r="G728" s="2" t="s">
        <v>1086</v>
      </c>
      <c r="H728" s="2" t="s">
        <v>448</v>
      </c>
      <c r="I728" s="2" t="s">
        <v>619</v>
      </c>
      <c r="J728" s="2" t="s">
        <v>381</v>
      </c>
      <c r="K728" s="9">
        <v>45719</v>
      </c>
      <c r="L728" s="9">
        <v>45727</v>
      </c>
      <c r="M728" s="9">
        <v>45721</v>
      </c>
      <c r="N728" s="2" t="s">
        <v>1054</v>
      </c>
      <c r="O728" s="2" t="s">
        <v>54</v>
      </c>
      <c r="P728" s="2" t="s">
        <v>139</v>
      </c>
      <c r="Q728" s="2" t="s">
        <v>140</v>
      </c>
      <c r="R728" s="2" t="s">
        <v>128</v>
      </c>
      <c r="S728" s="2" t="s">
        <v>383</v>
      </c>
      <c r="T728" s="10">
        <v>18.95</v>
      </c>
      <c r="U728" s="11">
        <v>1</v>
      </c>
      <c r="V728" s="12">
        <f>T728*U728</f>
        <v>18.95</v>
      </c>
      <c r="W728" s="13">
        <v>0</v>
      </c>
      <c r="X728" s="12">
        <f>V728-(V728/(1+W728))</f>
        <v>0</v>
      </c>
      <c r="Y728" s="12">
        <f>V728-X728</f>
        <v>18.95</v>
      </c>
      <c r="Z728" s="14">
        <v>25</v>
      </c>
      <c r="AA728" s="2" t="str">
        <f>IF(V728&gt;Z728,"Yes","No")</f>
        <v>No</v>
      </c>
      <c r="AB728" s="12">
        <f>V728-Z728</f>
        <v>-6.0500000000000007</v>
      </c>
      <c r="AC728" s="15" t="s">
        <v>130</v>
      </c>
      <c r="AD728" s="15" t="s">
        <v>130</v>
      </c>
      <c r="AE728" s="15" t="s">
        <v>350</v>
      </c>
      <c r="AF728" s="12">
        <f>IF(AG728="Rejected",0,IF(R728="Corporate Card",0,V728))</f>
        <v>0</v>
      </c>
      <c r="AG728" s="15" t="s">
        <v>133</v>
      </c>
      <c r="AH728" s="16">
        <v>45734</v>
      </c>
      <c r="AI728" s="16">
        <v>45740</v>
      </c>
      <c r="AJ728" s="16">
        <v>45743</v>
      </c>
      <c r="AK728" s="17">
        <f>IF(AJ728="","",AJ728-AH728)</f>
        <v>9</v>
      </c>
    </row>
    <row r="729" spans="1:37">
      <c r="A729" s="2" t="s">
        <v>1113</v>
      </c>
      <c r="B729" s="2" t="s">
        <v>342</v>
      </c>
      <c r="C729" s="2" t="s">
        <v>343</v>
      </c>
      <c r="D729" s="2" t="s">
        <v>344</v>
      </c>
      <c r="E729" s="2" t="s">
        <v>345</v>
      </c>
      <c r="F729" s="2" t="s">
        <v>346</v>
      </c>
      <c r="G729" s="2" t="s">
        <v>1086</v>
      </c>
      <c r="H729" s="2" t="s">
        <v>448</v>
      </c>
      <c r="I729" s="2" t="s">
        <v>619</v>
      </c>
      <c r="J729" s="2" t="s">
        <v>381</v>
      </c>
      <c r="K729" s="9">
        <v>45719</v>
      </c>
      <c r="L729" s="9">
        <v>45727</v>
      </c>
      <c r="M729" s="9">
        <v>45721</v>
      </c>
      <c r="N729" s="2" t="s">
        <v>1054</v>
      </c>
      <c r="O729" s="2" t="s">
        <v>56</v>
      </c>
      <c r="P729" s="2" t="s">
        <v>245</v>
      </c>
      <c r="Q729" s="2" t="s">
        <v>227</v>
      </c>
      <c r="R729" s="2" t="s">
        <v>149</v>
      </c>
      <c r="S729" s="2" t="s">
        <v>383</v>
      </c>
      <c r="T729" s="10">
        <v>46.02</v>
      </c>
      <c r="U729" s="11">
        <v>1</v>
      </c>
      <c r="V729" s="12">
        <f>T729*U729</f>
        <v>46.02</v>
      </c>
      <c r="W729" s="13">
        <v>0</v>
      </c>
      <c r="X729" s="12">
        <f>V729-(V729/(1+W729))</f>
        <v>0</v>
      </c>
      <c r="Y729" s="12">
        <f>V729-X729</f>
        <v>46.02</v>
      </c>
      <c r="Z729" s="14">
        <v>75</v>
      </c>
      <c r="AA729" s="2" t="str">
        <f>IF(V729&gt;Z729,"Yes","No")</f>
        <v>No</v>
      </c>
      <c r="AB729" s="12">
        <f>V729-Z729</f>
        <v>-28.979999999999997</v>
      </c>
      <c r="AC729" s="15" t="s">
        <v>130</v>
      </c>
      <c r="AD729" s="15" t="s">
        <v>130</v>
      </c>
      <c r="AE729" s="15" t="s">
        <v>350</v>
      </c>
      <c r="AF729" s="12">
        <f>IF(AG729="Rejected",0,IF(R729="Corporate Card",0,V729))</f>
        <v>46.02</v>
      </c>
      <c r="AG729" s="15" t="s">
        <v>133</v>
      </c>
      <c r="AH729" s="16">
        <v>45734</v>
      </c>
      <c r="AI729" s="16">
        <v>45740</v>
      </c>
      <c r="AJ729" s="16">
        <v>45743</v>
      </c>
      <c r="AK729" s="17">
        <f>IF(AJ729="","",AJ729-AH729)</f>
        <v>9</v>
      </c>
    </row>
    <row r="730" spans="1:37">
      <c r="A730" s="2" t="s">
        <v>1114</v>
      </c>
      <c r="B730" s="2" t="s">
        <v>342</v>
      </c>
      <c r="C730" s="2" t="s">
        <v>343</v>
      </c>
      <c r="D730" s="2" t="s">
        <v>344</v>
      </c>
      <c r="E730" s="2" t="s">
        <v>345</v>
      </c>
      <c r="F730" s="2" t="s">
        <v>346</v>
      </c>
      <c r="G730" s="2" t="s">
        <v>1086</v>
      </c>
      <c r="H730" s="2" t="s">
        <v>448</v>
      </c>
      <c r="I730" s="2" t="s">
        <v>619</v>
      </c>
      <c r="J730" s="2" t="s">
        <v>381</v>
      </c>
      <c r="K730" s="9">
        <v>45719</v>
      </c>
      <c r="L730" s="9">
        <v>45727</v>
      </c>
      <c r="M730" s="9">
        <v>45721</v>
      </c>
      <c r="N730" s="2" t="s">
        <v>1054</v>
      </c>
      <c r="O730" s="2" t="s">
        <v>55</v>
      </c>
      <c r="P730" s="2" t="s">
        <v>139</v>
      </c>
      <c r="Q730" s="2" t="s">
        <v>187</v>
      </c>
      <c r="R730" s="2" t="s">
        <v>128</v>
      </c>
      <c r="S730" s="2" t="s">
        <v>383</v>
      </c>
      <c r="T730" s="10">
        <v>13.16</v>
      </c>
      <c r="U730" s="11">
        <v>1</v>
      </c>
      <c r="V730" s="12">
        <f>T730*U730</f>
        <v>13.16</v>
      </c>
      <c r="W730" s="13">
        <v>0</v>
      </c>
      <c r="X730" s="12">
        <f>V730-(V730/(1+W730))</f>
        <v>0</v>
      </c>
      <c r="Y730" s="12">
        <f>V730-X730</f>
        <v>13.16</v>
      </c>
      <c r="Z730" s="14">
        <v>35</v>
      </c>
      <c r="AA730" s="2" t="str">
        <f>IF(V730&gt;Z730,"Yes","No")</f>
        <v>No</v>
      </c>
      <c r="AB730" s="12">
        <f>V730-Z730</f>
        <v>-21.84</v>
      </c>
      <c r="AC730" s="15" t="s">
        <v>130</v>
      </c>
      <c r="AD730" s="15" t="s">
        <v>130</v>
      </c>
      <c r="AE730" s="15" t="s">
        <v>350</v>
      </c>
      <c r="AF730" s="12">
        <f>IF(AG730="Rejected",0,IF(R730="Corporate Card",0,V730))</f>
        <v>0</v>
      </c>
      <c r="AG730" s="15" t="s">
        <v>133</v>
      </c>
      <c r="AH730" s="16">
        <v>45734</v>
      </c>
      <c r="AI730" s="16">
        <v>45740</v>
      </c>
      <c r="AJ730" s="16">
        <v>45743</v>
      </c>
      <c r="AK730" s="17">
        <f>IF(AJ730="","",AJ730-AH730)</f>
        <v>9</v>
      </c>
    </row>
    <row r="731" spans="1:37">
      <c r="A731" s="2" t="s">
        <v>1115</v>
      </c>
      <c r="B731" s="2" t="s">
        <v>550</v>
      </c>
      <c r="C731" s="2" t="s">
        <v>551</v>
      </c>
      <c r="D731" s="2" t="s">
        <v>171</v>
      </c>
      <c r="E731" s="2" t="s">
        <v>172</v>
      </c>
      <c r="F731" s="2" t="s">
        <v>173</v>
      </c>
      <c r="G731" s="2" t="s">
        <v>1103</v>
      </c>
      <c r="H731" s="2" t="s">
        <v>448</v>
      </c>
      <c r="I731" s="2" t="s">
        <v>255</v>
      </c>
      <c r="J731" s="2" t="s">
        <v>256</v>
      </c>
      <c r="K731" s="9">
        <v>45720</v>
      </c>
      <c r="L731" s="9">
        <v>45727</v>
      </c>
      <c r="M731" s="9">
        <v>45721</v>
      </c>
      <c r="N731" s="2" t="s">
        <v>1054</v>
      </c>
      <c r="O731" s="2" t="s">
        <v>60</v>
      </c>
      <c r="P731" s="2" t="s">
        <v>701</v>
      </c>
      <c r="Q731" s="2" t="s">
        <v>702</v>
      </c>
      <c r="R731" s="2" t="s">
        <v>128</v>
      </c>
      <c r="S731" s="2" t="s">
        <v>259</v>
      </c>
      <c r="T731" s="10">
        <v>83354</v>
      </c>
      <c r="U731" s="11">
        <v>6.5500000000000003E-3</v>
      </c>
      <c r="V731" s="12">
        <f>T731*U731</f>
        <v>545.96870000000001</v>
      </c>
      <c r="W731" s="13">
        <v>0.1</v>
      </c>
      <c r="X731" s="12">
        <f>V731-(V731/(1+W731))</f>
        <v>49.633518181818204</v>
      </c>
      <c r="Y731" s="12">
        <f>V731-X731</f>
        <v>496.33518181818181</v>
      </c>
      <c r="Z731" s="14">
        <v>840</v>
      </c>
      <c r="AA731" s="2" t="str">
        <f>IF(V731&gt;Z731,"Yes","No")</f>
        <v>No</v>
      </c>
      <c r="AB731" s="12">
        <f>V731-Z731</f>
        <v>-294.03129999999999</v>
      </c>
      <c r="AC731" s="15" t="s">
        <v>130</v>
      </c>
      <c r="AD731" s="15" t="s">
        <v>131</v>
      </c>
      <c r="AE731" s="15" t="s">
        <v>421</v>
      </c>
      <c r="AF731" s="12">
        <f>IF(AG731="Rejected",0,IF(R731="Corporate Card",0,V731))</f>
        <v>0</v>
      </c>
      <c r="AG731" s="15" t="s">
        <v>133</v>
      </c>
      <c r="AH731" s="16">
        <v>45736</v>
      </c>
      <c r="AI731" s="16">
        <v>45737</v>
      </c>
      <c r="AJ731" s="16">
        <v>45745</v>
      </c>
      <c r="AK731" s="17">
        <f>IF(AJ731="","",AJ731-AH731)</f>
        <v>9</v>
      </c>
    </row>
    <row r="732" spans="1:37">
      <c r="A732" s="2" t="s">
        <v>1116</v>
      </c>
      <c r="B732" s="2" t="s">
        <v>550</v>
      </c>
      <c r="C732" s="2" t="s">
        <v>551</v>
      </c>
      <c r="D732" s="2" t="s">
        <v>171</v>
      </c>
      <c r="E732" s="2" t="s">
        <v>172</v>
      </c>
      <c r="F732" s="2" t="s">
        <v>173</v>
      </c>
      <c r="G732" s="2" t="s">
        <v>1103</v>
      </c>
      <c r="H732" s="2" t="s">
        <v>448</v>
      </c>
      <c r="I732" s="2" t="s">
        <v>255</v>
      </c>
      <c r="J732" s="2" t="s">
        <v>256</v>
      </c>
      <c r="K732" s="9">
        <v>45720</v>
      </c>
      <c r="L732" s="9">
        <v>45727</v>
      </c>
      <c r="M732" s="9">
        <v>45721</v>
      </c>
      <c r="N732" s="2" t="s">
        <v>1054</v>
      </c>
      <c r="O732" s="2" t="s">
        <v>58</v>
      </c>
      <c r="P732" s="2" t="s">
        <v>142</v>
      </c>
      <c r="Q732" s="2" t="s">
        <v>143</v>
      </c>
      <c r="R732" s="2" t="s">
        <v>137</v>
      </c>
      <c r="S732" s="2" t="s">
        <v>259</v>
      </c>
      <c r="T732" s="10">
        <v>7642</v>
      </c>
      <c r="U732" s="11">
        <v>6.5500000000000003E-3</v>
      </c>
      <c r="V732" s="12">
        <f>T732*U732</f>
        <v>50.055100000000003</v>
      </c>
      <c r="W732" s="13">
        <v>0.1</v>
      </c>
      <c r="X732" s="12">
        <f>V732-(V732/(1+W732))</f>
        <v>4.5504636363636379</v>
      </c>
      <c r="Y732" s="12">
        <f>V732-X732</f>
        <v>45.504636363636365</v>
      </c>
      <c r="Z732" s="14">
        <v>60</v>
      </c>
      <c r="AA732" s="2" t="str">
        <f>IF(V732&gt;Z732,"Yes","No")</f>
        <v>No</v>
      </c>
      <c r="AB732" s="12">
        <f>V732-Z732</f>
        <v>-9.944899999999997</v>
      </c>
      <c r="AC732" s="15" t="s">
        <v>130</v>
      </c>
      <c r="AD732" s="15" t="s">
        <v>131</v>
      </c>
      <c r="AE732" s="15" t="s">
        <v>421</v>
      </c>
      <c r="AF732" s="12">
        <f>IF(AG732="Rejected",0,IF(R732="Corporate Card",0,V732))</f>
        <v>50.055100000000003</v>
      </c>
      <c r="AG732" s="15" t="s">
        <v>133</v>
      </c>
      <c r="AH732" s="16">
        <v>45736</v>
      </c>
      <c r="AI732" s="16">
        <v>45737</v>
      </c>
      <c r="AJ732" s="16">
        <v>45745</v>
      </c>
      <c r="AK732" s="17">
        <f>IF(AJ732="","",AJ732-AH732)</f>
        <v>9</v>
      </c>
    </row>
    <row r="733" spans="1:37">
      <c r="A733" s="2" t="s">
        <v>1117</v>
      </c>
      <c r="B733" s="2" t="s">
        <v>550</v>
      </c>
      <c r="C733" s="2" t="s">
        <v>551</v>
      </c>
      <c r="D733" s="2" t="s">
        <v>171</v>
      </c>
      <c r="E733" s="2" t="s">
        <v>172</v>
      </c>
      <c r="F733" s="2" t="s">
        <v>173</v>
      </c>
      <c r="G733" s="2" t="s">
        <v>1103</v>
      </c>
      <c r="H733" s="2" t="s">
        <v>448</v>
      </c>
      <c r="I733" s="2" t="s">
        <v>255</v>
      </c>
      <c r="J733" s="2" t="s">
        <v>256</v>
      </c>
      <c r="K733" s="9">
        <v>45720</v>
      </c>
      <c r="L733" s="9">
        <v>45727</v>
      </c>
      <c r="M733" s="9">
        <v>45721</v>
      </c>
      <c r="N733" s="2" t="s">
        <v>1054</v>
      </c>
      <c r="O733" s="2" t="s">
        <v>53</v>
      </c>
      <c r="P733" s="2" t="s">
        <v>208</v>
      </c>
      <c r="Q733" s="2" t="s">
        <v>458</v>
      </c>
      <c r="R733" s="2" t="s">
        <v>128</v>
      </c>
      <c r="S733" s="2" t="s">
        <v>259</v>
      </c>
      <c r="T733" s="10">
        <v>235461</v>
      </c>
      <c r="U733" s="11">
        <v>6.5500000000000003E-3</v>
      </c>
      <c r="V733" s="12">
        <f>T733*U733</f>
        <v>1542.26955</v>
      </c>
      <c r="W733" s="13">
        <v>0.1</v>
      </c>
      <c r="X733" s="12">
        <f>V733-(V733/(1+W733))</f>
        <v>140.20632272727289</v>
      </c>
      <c r="Y733" s="12">
        <f>V733-X733</f>
        <v>1402.0632272727271</v>
      </c>
      <c r="Z733" s="14">
        <v>1960</v>
      </c>
      <c r="AA733" s="2" t="str">
        <f>IF(V733&gt;Z733,"Yes","No")</f>
        <v>No</v>
      </c>
      <c r="AB733" s="12">
        <f>V733-Z733</f>
        <v>-417.73045000000002</v>
      </c>
      <c r="AC733" s="15" t="s">
        <v>130</v>
      </c>
      <c r="AD733" s="15" t="s">
        <v>131</v>
      </c>
      <c r="AE733" s="15" t="s">
        <v>421</v>
      </c>
      <c r="AF733" s="12">
        <f>IF(AG733="Rejected",0,IF(R733="Corporate Card",0,V733))</f>
        <v>0</v>
      </c>
      <c r="AG733" s="15" t="s">
        <v>133</v>
      </c>
      <c r="AH733" s="16">
        <v>45736</v>
      </c>
      <c r="AI733" s="16">
        <v>45737</v>
      </c>
      <c r="AJ733" s="16">
        <v>45745</v>
      </c>
      <c r="AK733" s="17">
        <f>IF(AJ733="","",AJ733-AH733)</f>
        <v>9</v>
      </c>
    </row>
    <row r="734" spans="1:37">
      <c r="A734" s="2" t="s">
        <v>1118</v>
      </c>
      <c r="B734" s="2" t="s">
        <v>550</v>
      </c>
      <c r="C734" s="2" t="s">
        <v>551</v>
      </c>
      <c r="D734" s="2" t="s">
        <v>171</v>
      </c>
      <c r="E734" s="2" t="s">
        <v>172</v>
      </c>
      <c r="F734" s="2" t="s">
        <v>173</v>
      </c>
      <c r="G734" s="2" t="s">
        <v>1103</v>
      </c>
      <c r="H734" s="2" t="s">
        <v>448</v>
      </c>
      <c r="I734" s="2" t="s">
        <v>255</v>
      </c>
      <c r="J734" s="2" t="s">
        <v>256</v>
      </c>
      <c r="K734" s="9">
        <v>45720</v>
      </c>
      <c r="L734" s="9">
        <v>45727</v>
      </c>
      <c r="M734" s="9">
        <v>45721</v>
      </c>
      <c r="N734" s="2" t="s">
        <v>1054</v>
      </c>
      <c r="O734" s="2" t="s">
        <v>54</v>
      </c>
      <c r="P734" s="2" t="s">
        <v>139</v>
      </c>
      <c r="Q734" s="2" t="s">
        <v>148</v>
      </c>
      <c r="R734" s="2" t="s">
        <v>128</v>
      </c>
      <c r="S734" s="2" t="s">
        <v>259</v>
      </c>
      <c r="T734" s="10">
        <v>1575</v>
      </c>
      <c r="U734" s="11">
        <v>6.5500000000000003E-3</v>
      </c>
      <c r="V734" s="12">
        <f>T734*U734</f>
        <v>10.31625</v>
      </c>
      <c r="W734" s="13">
        <v>0.1</v>
      </c>
      <c r="X734" s="12">
        <f>V734-(V734/(1+W734))</f>
        <v>0.93784090909091056</v>
      </c>
      <c r="Y734" s="12">
        <f>V734-X734</f>
        <v>9.3784090909090896</v>
      </c>
      <c r="Z734" s="14">
        <v>25</v>
      </c>
      <c r="AA734" s="2" t="str">
        <f>IF(V734&gt;Z734,"Yes","No")</f>
        <v>No</v>
      </c>
      <c r="AB734" s="12">
        <f>V734-Z734</f>
        <v>-14.68375</v>
      </c>
      <c r="AC734" s="15" t="s">
        <v>130</v>
      </c>
      <c r="AD734" s="15" t="s">
        <v>131</v>
      </c>
      <c r="AE734" s="15" t="s">
        <v>421</v>
      </c>
      <c r="AF734" s="12">
        <f>IF(AG734="Rejected",0,IF(R734="Corporate Card",0,V734))</f>
        <v>0</v>
      </c>
      <c r="AG734" s="15" t="s">
        <v>133</v>
      </c>
      <c r="AH734" s="16">
        <v>45736</v>
      </c>
      <c r="AI734" s="16">
        <v>45737</v>
      </c>
      <c r="AJ734" s="16">
        <v>45745</v>
      </c>
      <c r="AK734" s="17">
        <f>IF(AJ734="","",AJ734-AH734)</f>
        <v>9</v>
      </c>
    </row>
    <row r="735" spans="1:37">
      <c r="A735" s="2" t="s">
        <v>1119</v>
      </c>
      <c r="B735" s="2" t="s">
        <v>550</v>
      </c>
      <c r="C735" s="2" t="s">
        <v>551</v>
      </c>
      <c r="D735" s="2" t="s">
        <v>171</v>
      </c>
      <c r="E735" s="2" t="s">
        <v>172</v>
      </c>
      <c r="F735" s="2" t="s">
        <v>173</v>
      </c>
      <c r="G735" s="2" t="s">
        <v>1103</v>
      </c>
      <c r="H735" s="2" t="s">
        <v>448</v>
      </c>
      <c r="I735" s="2" t="s">
        <v>255</v>
      </c>
      <c r="J735" s="2" t="s">
        <v>256</v>
      </c>
      <c r="K735" s="9">
        <v>45720</v>
      </c>
      <c r="L735" s="9">
        <v>45727</v>
      </c>
      <c r="M735" s="9">
        <v>45721</v>
      </c>
      <c r="N735" s="2" t="s">
        <v>1054</v>
      </c>
      <c r="O735" s="2" t="s">
        <v>56</v>
      </c>
      <c r="P735" s="2" t="s">
        <v>231</v>
      </c>
      <c r="Q735" s="2" t="s">
        <v>159</v>
      </c>
      <c r="R735" s="2" t="s">
        <v>128</v>
      </c>
      <c r="S735" s="2" t="s">
        <v>259</v>
      </c>
      <c r="T735" s="10">
        <v>8111</v>
      </c>
      <c r="U735" s="11">
        <v>6.5500000000000003E-3</v>
      </c>
      <c r="V735" s="12">
        <f>T735*U735</f>
        <v>53.127050000000004</v>
      </c>
      <c r="W735" s="13">
        <v>0.1</v>
      </c>
      <c r="X735" s="12">
        <f>V735-(V735/(1+W735))</f>
        <v>4.8297318181818198</v>
      </c>
      <c r="Y735" s="12">
        <f>V735-X735</f>
        <v>48.297318181818184</v>
      </c>
      <c r="Z735" s="14">
        <v>75</v>
      </c>
      <c r="AA735" s="2" t="str">
        <f>IF(V735&gt;Z735,"Yes","No")</f>
        <v>No</v>
      </c>
      <c r="AB735" s="12">
        <f>V735-Z735</f>
        <v>-21.872949999999996</v>
      </c>
      <c r="AC735" s="15" t="s">
        <v>130</v>
      </c>
      <c r="AD735" s="15" t="s">
        <v>131</v>
      </c>
      <c r="AE735" s="15" t="s">
        <v>421</v>
      </c>
      <c r="AF735" s="12">
        <f>IF(AG735="Rejected",0,IF(R735="Corporate Card",0,V735))</f>
        <v>0</v>
      </c>
      <c r="AG735" s="15" t="s">
        <v>133</v>
      </c>
      <c r="AH735" s="16">
        <v>45736</v>
      </c>
      <c r="AI735" s="16">
        <v>45737</v>
      </c>
      <c r="AJ735" s="16">
        <v>45745</v>
      </c>
      <c r="AK735" s="17">
        <f>IF(AJ735="","",AJ735-AH735)</f>
        <v>9</v>
      </c>
    </row>
    <row r="736" spans="1:37">
      <c r="A736" s="2" t="s">
        <v>1120</v>
      </c>
      <c r="B736" s="2" t="s">
        <v>550</v>
      </c>
      <c r="C736" s="2" t="s">
        <v>551</v>
      </c>
      <c r="D736" s="2" t="s">
        <v>171</v>
      </c>
      <c r="E736" s="2" t="s">
        <v>172</v>
      </c>
      <c r="F736" s="2" t="s">
        <v>173</v>
      </c>
      <c r="G736" s="2" t="s">
        <v>1103</v>
      </c>
      <c r="H736" s="2" t="s">
        <v>448</v>
      </c>
      <c r="I736" s="2" t="s">
        <v>255</v>
      </c>
      <c r="J736" s="2" t="s">
        <v>256</v>
      </c>
      <c r="K736" s="9">
        <v>45720</v>
      </c>
      <c r="L736" s="9">
        <v>45727</v>
      </c>
      <c r="M736" s="9">
        <v>45721</v>
      </c>
      <c r="N736" s="2" t="s">
        <v>1054</v>
      </c>
      <c r="O736" s="2" t="s">
        <v>55</v>
      </c>
      <c r="P736" s="2" t="s">
        <v>139</v>
      </c>
      <c r="Q736" s="2" t="s">
        <v>161</v>
      </c>
      <c r="R736" s="2" t="s">
        <v>149</v>
      </c>
      <c r="S736" s="2" t="s">
        <v>259</v>
      </c>
      <c r="T736" s="10">
        <v>3025</v>
      </c>
      <c r="U736" s="11">
        <v>6.5500000000000003E-3</v>
      </c>
      <c r="V736" s="12">
        <f>T736*U736</f>
        <v>19.813750000000002</v>
      </c>
      <c r="W736" s="13">
        <v>0.1</v>
      </c>
      <c r="X736" s="12">
        <f>V736-(V736/(1+W736))</f>
        <v>1.8012500000000031</v>
      </c>
      <c r="Y736" s="12">
        <f>V736-X736</f>
        <v>18.012499999999999</v>
      </c>
      <c r="Z736" s="14">
        <v>35</v>
      </c>
      <c r="AA736" s="2" t="str">
        <f>IF(V736&gt;Z736,"Yes","No")</f>
        <v>No</v>
      </c>
      <c r="AB736" s="12">
        <f>V736-Z736</f>
        <v>-15.186249999999998</v>
      </c>
      <c r="AC736" s="15" t="s">
        <v>130</v>
      </c>
      <c r="AD736" s="15" t="s">
        <v>131</v>
      </c>
      <c r="AE736" s="15" t="s">
        <v>421</v>
      </c>
      <c r="AF736" s="12">
        <f>IF(AG736="Rejected",0,IF(R736="Corporate Card",0,V736))</f>
        <v>19.813750000000002</v>
      </c>
      <c r="AG736" s="15" t="s">
        <v>133</v>
      </c>
      <c r="AH736" s="16">
        <v>45736</v>
      </c>
      <c r="AI736" s="16">
        <v>45737</v>
      </c>
      <c r="AJ736" s="16">
        <v>45745</v>
      </c>
      <c r="AK736" s="17">
        <f>IF(AJ736="","",AJ736-AH736)</f>
        <v>9</v>
      </c>
    </row>
    <row r="737" spans="1:37">
      <c r="A737" s="2" t="s">
        <v>1121</v>
      </c>
      <c r="B737" s="2" t="s">
        <v>189</v>
      </c>
      <c r="C737" s="2" t="s">
        <v>190</v>
      </c>
      <c r="D737" s="2" t="s">
        <v>171</v>
      </c>
      <c r="E737" s="2" t="s">
        <v>191</v>
      </c>
      <c r="F737" s="2" t="s">
        <v>173</v>
      </c>
      <c r="G737" s="2" t="s">
        <v>1037</v>
      </c>
      <c r="H737" s="2" t="s">
        <v>291</v>
      </c>
      <c r="I737" s="2" t="s">
        <v>1038</v>
      </c>
      <c r="J737" s="2" t="s">
        <v>381</v>
      </c>
      <c r="K737" s="9">
        <v>45716</v>
      </c>
      <c r="L737" s="9">
        <v>45724</v>
      </c>
      <c r="M737" s="9">
        <v>45722</v>
      </c>
      <c r="N737" s="2" t="s">
        <v>1054</v>
      </c>
      <c r="O737" s="2" t="s">
        <v>54</v>
      </c>
      <c r="P737" s="2" t="s">
        <v>139</v>
      </c>
      <c r="Q737" s="2" t="s">
        <v>148</v>
      </c>
      <c r="R737" s="2" t="s">
        <v>149</v>
      </c>
      <c r="S737" s="2" t="s">
        <v>383</v>
      </c>
      <c r="T737" s="10">
        <v>18.100000000000001</v>
      </c>
      <c r="U737" s="11">
        <v>1</v>
      </c>
      <c r="V737" s="12">
        <f>T737*U737</f>
        <v>18.100000000000001</v>
      </c>
      <c r="W737" s="13">
        <v>0</v>
      </c>
      <c r="X737" s="12">
        <f>V737-(V737/(1+W737))</f>
        <v>0</v>
      </c>
      <c r="Y737" s="12">
        <f>V737-X737</f>
        <v>18.100000000000001</v>
      </c>
      <c r="Z737" s="14">
        <v>25</v>
      </c>
      <c r="AA737" s="2" t="str">
        <f>IF(V737&gt;Z737,"Yes","No")</f>
        <v>No</v>
      </c>
      <c r="AB737" s="12">
        <f>V737-Z737</f>
        <v>-6.8999999999999986</v>
      </c>
      <c r="AC737" s="15" t="s">
        <v>130</v>
      </c>
      <c r="AD737" s="15" t="s">
        <v>130</v>
      </c>
      <c r="AE737" s="15" t="s">
        <v>514</v>
      </c>
      <c r="AF737" s="12">
        <f>IF(AG737="Rejected",0,IF(R737="Corporate Card",0,V737))</f>
        <v>18.100000000000001</v>
      </c>
      <c r="AG737" s="15" t="s">
        <v>133</v>
      </c>
      <c r="AH737" s="16">
        <v>45727</v>
      </c>
      <c r="AI737" s="16">
        <v>45735</v>
      </c>
      <c r="AJ737" s="16">
        <v>45745</v>
      </c>
      <c r="AK737" s="17">
        <f>IF(AJ737="","",AJ737-AH737)</f>
        <v>18</v>
      </c>
    </row>
    <row r="738" spans="1:37">
      <c r="A738" s="2" t="s">
        <v>1122</v>
      </c>
      <c r="B738" s="2" t="s">
        <v>189</v>
      </c>
      <c r="C738" s="2" t="s">
        <v>190</v>
      </c>
      <c r="D738" s="2" t="s">
        <v>171</v>
      </c>
      <c r="E738" s="2" t="s">
        <v>191</v>
      </c>
      <c r="F738" s="2" t="s">
        <v>173</v>
      </c>
      <c r="G738" s="2" t="s">
        <v>1037</v>
      </c>
      <c r="H738" s="2" t="s">
        <v>291</v>
      </c>
      <c r="I738" s="2" t="s">
        <v>1038</v>
      </c>
      <c r="J738" s="2" t="s">
        <v>381</v>
      </c>
      <c r="K738" s="9">
        <v>45716</v>
      </c>
      <c r="L738" s="9">
        <v>45724</v>
      </c>
      <c r="M738" s="9">
        <v>45722</v>
      </c>
      <c r="N738" s="2" t="s">
        <v>1054</v>
      </c>
      <c r="O738" s="2" t="s">
        <v>56</v>
      </c>
      <c r="P738" s="2" t="s">
        <v>231</v>
      </c>
      <c r="Q738" s="2" t="s">
        <v>166</v>
      </c>
      <c r="R738" s="2" t="s">
        <v>137</v>
      </c>
      <c r="S738" s="2" t="s">
        <v>383</v>
      </c>
      <c r="T738" s="10">
        <v>28.33</v>
      </c>
      <c r="U738" s="11">
        <v>1</v>
      </c>
      <c r="V738" s="12">
        <f>T738*U738</f>
        <v>28.33</v>
      </c>
      <c r="W738" s="13">
        <v>0</v>
      </c>
      <c r="X738" s="12">
        <f>V738-(V738/(1+W738))</f>
        <v>0</v>
      </c>
      <c r="Y738" s="12">
        <f>V738-X738</f>
        <v>28.33</v>
      </c>
      <c r="Z738" s="14">
        <v>75</v>
      </c>
      <c r="AA738" s="2" t="str">
        <f>IF(V738&gt;Z738,"Yes","No")</f>
        <v>No</v>
      </c>
      <c r="AB738" s="12">
        <f>V738-Z738</f>
        <v>-46.67</v>
      </c>
      <c r="AC738" s="15" t="s">
        <v>130</v>
      </c>
      <c r="AD738" s="15" t="s">
        <v>130</v>
      </c>
      <c r="AE738" s="15" t="s">
        <v>514</v>
      </c>
      <c r="AF738" s="12">
        <f>IF(AG738="Rejected",0,IF(R738="Corporate Card",0,V738))</f>
        <v>28.33</v>
      </c>
      <c r="AG738" s="15" t="s">
        <v>133</v>
      </c>
      <c r="AH738" s="16">
        <v>45727</v>
      </c>
      <c r="AI738" s="16">
        <v>45735</v>
      </c>
      <c r="AJ738" s="16">
        <v>45745</v>
      </c>
      <c r="AK738" s="17">
        <f>IF(AJ738="","",AJ738-AH738)</f>
        <v>18</v>
      </c>
    </row>
    <row r="739" spans="1:37">
      <c r="A739" s="2" t="s">
        <v>1123</v>
      </c>
      <c r="B739" s="2" t="s">
        <v>189</v>
      </c>
      <c r="C739" s="2" t="s">
        <v>190</v>
      </c>
      <c r="D739" s="2" t="s">
        <v>171</v>
      </c>
      <c r="E739" s="2" t="s">
        <v>191</v>
      </c>
      <c r="F739" s="2" t="s">
        <v>173</v>
      </c>
      <c r="G739" s="2" t="s">
        <v>1037</v>
      </c>
      <c r="H739" s="2" t="s">
        <v>291</v>
      </c>
      <c r="I739" s="2" t="s">
        <v>1038</v>
      </c>
      <c r="J739" s="2" t="s">
        <v>381</v>
      </c>
      <c r="K739" s="9">
        <v>45716</v>
      </c>
      <c r="L739" s="9">
        <v>45724</v>
      </c>
      <c r="M739" s="9">
        <v>45722</v>
      </c>
      <c r="N739" s="2" t="s">
        <v>1054</v>
      </c>
      <c r="O739" s="2" t="s">
        <v>55</v>
      </c>
      <c r="P739" s="2" t="s">
        <v>139</v>
      </c>
      <c r="Q739" s="2" t="s">
        <v>187</v>
      </c>
      <c r="R739" s="2" t="s">
        <v>137</v>
      </c>
      <c r="S739" s="2" t="s">
        <v>383</v>
      </c>
      <c r="T739" s="10">
        <v>25.89</v>
      </c>
      <c r="U739" s="11">
        <v>1</v>
      </c>
      <c r="V739" s="12">
        <f>T739*U739</f>
        <v>25.89</v>
      </c>
      <c r="W739" s="13">
        <v>0</v>
      </c>
      <c r="X739" s="12">
        <f>V739-(V739/(1+W739))</f>
        <v>0</v>
      </c>
      <c r="Y739" s="12">
        <f>V739-X739</f>
        <v>25.89</v>
      </c>
      <c r="Z739" s="14">
        <v>35</v>
      </c>
      <c r="AA739" s="2" t="str">
        <f>IF(V739&gt;Z739,"Yes","No")</f>
        <v>No</v>
      </c>
      <c r="AB739" s="12">
        <f>V739-Z739</f>
        <v>-9.11</v>
      </c>
      <c r="AC739" s="15" t="s">
        <v>131</v>
      </c>
      <c r="AD739" s="15" t="s">
        <v>130</v>
      </c>
      <c r="AE739" s="15" t="s">
        <v>514</v>
      </c>
      <c r="AF739" s="12">
        <f>IF(AG739="Rejected",0,IF(R739="Corporate Card",0,V739))</f>
        <v>25.89</v>
      </c>
      <c r="AG739" s="15" t="s">
        <v>133</v>
      </c>
      <c r="AH739" s="16">
        <v>45727</v>
      </c>
      <c r="AI739" s="16">
        <v>45735</v>
      </c>
      <c r="AJ739" s="16">
        <v>45745</v>
      </c>
      <c r="AK739" s="17">
        <f>IF(AJ739="","",AJ739-AH739)</f>
        <v>18</v>
      </c>
    </row>
    <row r="740" spans="1:37">
      <c r="A740" s="2" t="s">
        <v>1124</v>
      </c>
      <c r="B740" s="2" t="s">
        <v>342</v>
      </c>
      <c r="C740" s="2" t="s">
        <v>343</v>
      </c>
      <c r="D740" s="2" t="s">
        <v>344</v>
      </c>
      <c r="E740" s="2" t="s">
        <v>345</v>
      </c>
      <c r="F740" s="2" t="s">
        <v>346</v>
      </c>
      <c r="G740" s="2" t="s">
        <v>1086</v>
      </c>
      <c r="H740" s="2" t="s">
        <v>448</v>
      </c>
      <c r="I740" s="2" t="s">
        <v>619</v>
      </c>
      <c r="J740" s="2" t="s">
        <v>381</v>
      </c>
      <c r="K740" s="9">
        <v>45719</v>
      </c>
      <c r="L740" s="9">
        <v>45727</v>
      </c>
      <c r="M740" s="9">
        <v>45722</v>
      </c>
      <c r="N740" s="2" t="s">
        <v>1054</v>
      </c>
      <c r="O740" s="2" t="s">
        <v>58</v>
      </c>
      <c r="P740" s="2" t="s">
        <v>142</v>
      </c>
      <c r="Q740" s="2" t="s">
        <v>203</v>
      </c>
      <c r="R740" s="2" t="s">
        <v>128</v>
      </c>
      <c r="S740" s="2" t="s">
        <v>383</v>
      </c>
      <c r="T740" s="10">
        <v>26.45</v>
      </c>
      <c r="U740" s="11">
        <v>1</v>
      </c>
      <c r="V740" s="12">
        <f>T740*U740</f>
        <v>26.45</v>
      </c>
      <c r="W740" s="13">
        <v>0</v>
      </c>
      <c r="X740" s="12">
        <f>V740-(V740/(1+W740))</f>
        <v>0</v>
      </c>
      <c r="Y740" s="12">
        <f>V740-X740</f>
        <v>26.45</v>
      </c>
      <c r="Z740" s="14">
        <v>60</v>
      </c>
      <c r="AA740" s="2" t="str">
        <f>IF(V740&gt;Z740,"Yes","No")</f>
        <v>No</v>
      </c>
      <c r="AB740" s="12">
        <f>V740-Z740</f>
        <v>-33.549999999999997</v>
      </c>
      <c r="AC740" s="15" t="s">
        <v>130</v>
      </c>
      <c r="AD740" s="15" t="s">
        <v>130</v>
      </c>
      <c r="AE740" s="15" t="s">
        <v>350</v>
      </c>
      <c r="AF740" s="12">
        <f>IF(AG740="Rejected",0,IF(R740="Corporate Card",0,V740))</f>
        <v>0</v>
      </c>
      <c r="AG740" s="15" t="s">
        <v>133</v>
      </c>
      <c r="AH740" s="16">
        <v>45734</v>
      </c>
      <c r="AI740" s="16">
        <v>45740</v>
      </c>
      <c r="AJ740" s="16">
        <v>45743</v>
      </c>
      <c r="AK740" s="17">
        <f>IF(AJ740="","",AJ740-AH740)</f>
        <v>9</v>
      </c>
    </row>
    <row r="741" spans="1:37">
      <c r="A741" s="2" t="s">
        <v>1125</v>
      </c>
      <c r="B741" s="2" t="s">
        <v>342</v>
      </c>
      <c r="C741" s="2" t="s">
        <v>343</v>
      </c>
      <c r="D741" s="2" t="s">
        <v>344</v>
      </c>
      <c r="E741" s="2" t="s">
        <v>345</v>
      </c>
      <c r="F741" s="2" t="s">
        <v>346</v>
      </c>
      <c r="G741" s="2" t="s">
        <v>1086</v>
      </c>
      <c r="H741" s="2" t="s">
        <v>448</v>
      </c>
      <c r="I741" s="2" t="s">
        <v>619</v>
      </c>
      <c r="J741" s="2" t="s">
        <v>381</v>
      </c>
      <c r="K741" s="9">
        <v>45719</v>
      </c>
      <c r="L741" s="9">
        <v>45727</v>
      </c>
      <c r="M741" s="9">
        <v>45722</v>
      </c>
      <c r="N741" s="2" t="s">
        <v>1054</v>
      </c>
      <c r="O741" s="2" t="s">
        <v>54</v>
      </c>
      <c r="P741" s="2" t="s">
        <v>139</v>
      </c>
      <c r="Q741" s="2" t="s">
        <v>140</v>
      </c>
      <c r="R741" s="2" t="s">
        <v>128</v>
      </c>
      <c r="S741" s="2" t="s">
        <v>383</v>
      </c>
      <c r="T741" s="10">
        <v>26.99</v>
      </c>
      <c r="U741" s="11">
        <v>1</v>
      </c>
      <c r="V741" s="12">
        <f>T741*U741</f>
        <v>26.99</v>
      </c>
      <c r="W741" s="13">
        <v>0</v>
      </c>
      <c r="X741" s="12">
        <f>V741-(V741/(1+W741))</f>
        <v>0</v>
      </c>
      <c r="Y741" s="12">
        <f>V741-X741</f>
        <v>26.99</v>
      </c>
      <c r="Z741" s="14">
        <v>25</v>
      </c>
      <c r="AA741" s="2" t="str">
        <f>IF(V741&gt;Z741,"Yes","No")</f>
        <v>Yes</v>
      </c>
      <c r="AB741" s="12">
        <f>V741-Z741</f>
        <v>1.9899999999999984</v>
      </c>
      <c r="AC741" s="15" t="s">
        <v>130</v>
      </c>
      <c r="AD741" s="15" t="s">
        <v>130</v>
      </c>
      <c r="AE741" s="15" t="s">
        <v>350</v>
      </c>
      <c r="AF741" s="12">
        <f>IF(AG741="Rejected",0,IF(R741="Corporate Card",0,V741))</f>
        <v>0</v>
      </c>
      <c r="AG741" s="15" t="s">
        <v>133</v>
      </c>
      <c r="AH741" s="16">
        <v>45734</v>
      </c>
      <c r="AI741" s="16">
        <v>45740</v>
      </c>
      <c r="AJ741" s="16">
        <v>45743</v>
      </c>
      <c r="AK741" s="17">
        <f>IF(AJ741="","",AJ741-AH741)</f>
        <v>9</v>
      </c>
    </row>
    <row r="742" spans="1:37">
      <c r="A742" s="2" t="s">
        <v>1126</v>
      </c>
      <c r="B742" s="2" t="s">
        <v>342</v>
      </c>
      <c r="C742" s="2" t="s">
        <v>343</v>
      </c>
      <c r="D742" s="2" t="s">
        <v>344</v>
      </c>
      <c r="E742" s="2" t="s">
        <v>345</v>
      </c>
      <c r="F742" s="2" t="s">
        <v>346</v>
      </c>
      <c r="G742" s="2" t="s">
        <v>1086</v>
      </c>
      <c r="H742" s="2" t="s">
        <v>448</v>
      </c>
      <c r="I742" s="2" t="s">
        <v>619</v>
      </c>
      <c r="J742" s="2" t="s">
        <v>381</v>
      </c>
      <c r="K742" s="9">
        <v>45719</v>
      </c>
      <c r="L742" s="9">
        <v>45727</v>
      </c>
      <c r="M742" s="9">
        <v>45722</v>
      </c>
      <c r="N742" s="2" t="s">
        <v>1054</v>
      </c>
      <c r="O742" s="2" t="s">
        <v>56</v>
      </c>
      <c r="P742" s="2" t="s">
        <v>245</v>
      </c>
      <c r="Q742" s="2" t="s">
        <v>227</v>
      </c>
      <c r="R742" s="2" t="s">
        <v>149</v>
      </c>
      <c r="S742" s="2" t="s">
        <v>383</v>
      </c>
      <c r="T742" s="10">
        <v>34.68</v>
      </c>
      <c r="U742" s="11">
        <v>1</v>
      </c>
      <c r="V742" s="12">
        <f>T742*U742</f>
        <v>34.68</v>
      </c>
      <c r="W742" s="13">
        <v>0</v>
      </c>
      <c r="X742" s="12">
        <f>V742-(V742/(1+W742))</f>
        <v>0</v>
      </c>
      <c r="Y742" s="12">
        <f>V742-X742</f>
        <v>34.68</v>
      </c>
      <c r="Z742" s="14">
        <v>75</v>
      </c>
      <c r="AA742" s="2" t="str">
        <f>IF(V742&gt;Z742,"Yes","No")</f>
        <v>No</v>
      </c>
      <c r="AB742" s="12">
        <f>V742-Z742</f>
        <v>-40.32</v>
      </c>
      <c r="AC742" s="15" t="s">
        <v>131</v>
      </c>
      <c r="AD742" s="15" t="s">
        <v>130</v>
      </c>
      <c r="AE742" s="15" t="s">
        <v>350</v>
      </c>
      <c r="AF742" s="12">
        <f>IF(AG742="Rejected",0,IF(R742="Corporate Card",0,V742))</f>
        <v>34.68</v>
      </c>
      <c r="AG742" s="15" t="s">
        <v>133</v>
      </c>
      <c r="AH742" s="16">
        <v>45734</v>
      </c>
      <c r="AI742" s="16">
        <v>45740</v>
      </c>
      <c r="AJ742" s="16">
        <v>45743</v>
      </c>
      <c r="AK742" s="17">
        <f>IF(AJ742="","",AJ742-AH742)</f>
        <v>9</v>
      </c>
    </row>
    <row r="743" spans="1:37">
      <c r="A743" s="2" t="s">
        <v>1127</v>
      </c>
      <c r="B743" s="2" t="s">
        <v>550</v>
      </c>
      <c r="C743" s="2" t="s">
        <v>551</v>
      </c>
      <c r="D743" s="2" t="s">
        <v>171</v>
      </c>
      <c r="E743" s="2" t="s">
        <v>172</v>
      </c>
      <c r="F743" s="2" t="s">
        <v>173</v>
      </c>
      <c r="G743" s="2" t="s">
        <v>1103</v>
      </c>
      <c r="H743" s="2" t="s">
        <v>448</v>
      </c>
      <c r="I743" s="2" t="s">
        <v>255</v>
      </c>
      <c r="J743" s="2" t="s">
        <v>256</v>
      </c>
      <c r="K743" s="9">
        <v>45720</v>
      </c>
      <c r="L743" s="9">
        <v>45727</v>
      </c>
      <c r="M743" s="9">
        <v>45722</v>
      </c>
      <c r="N743" s="2" t="s">
        <v>1054</v>
      </c>
      <c r="O743" s="2" t="s">
        <v>61</v>
      </c>
      <c r="P743" s="2" t="s">
        <v>528</v>
      </c>
      <c r="Q743" s="2" t="s">
        <v>1128</v>
      </c>
      <c r="R743" s="2" t="s">
        <v>149</v>
      </c>
      <c r="S743" s="2" t="s">
        <v>259</v>
      </c>
      <c r="T743" s="10">
        <v>7125</v>
      </c>
      <c r="U743" s="11">
        <v>6.5500000000000003E-3</v>
      </c>
      <c r="V743" s="12">
        <f>T743*U743</f>
        <v>46.668750000000003</v>
      </c>
      <c r="W743" s="13">
        <v>0</v>
      </c>
      <c r="X743" s="12">
        <f>V743-(V743/(1+W743))</f>
        <v>0</v>
      </c>
      <c r="Y743" s="12">
        <f>V743-X743</f>
        <v>46.668750000000003</v>
      </c>
      <c r="Z743" s="14">
        <v>90</v>
      </c>
      <c r="AA743" s="2" t="str">
        <f>IF(V743&gt;Z743,"Yes","No")</f>
        <v>No</v>
      </c>
      <c r="AB743" s="12">
        <f>V743-Z743</f>
        <v>-43.331249999999997</v>
      </c>
      <c r="AC743" s="15" t="s">
        <v>130</v>
      </c>
      <c r="AD743" s="15" t="s">
        <v>131</v>
      </c>
      <c r="AE743" s="15" t="s">
        <v>421</v>
      </c>
      <c r="AF743" s="12">
        <f>IF(AG743="Rejected",0,IF(R743="Corporate Card",0,V743))</f>
        <v>46.668750000000003</v>
      </c>
      <c r="AG743" s="15" t="s">
        <v>133</v>
      </c>
      <c r="AH743" s="16">
        <v>45736</v>
      </c>
      <c r="AI743" s="16">
        <v>45737</v>
      </c>
      <c r="AJ743" s="16">
        <v>45745</v>
      </c>
      <c r="AK743" s="17">
        <f>IF(AJ743="","",AJ743-AH743)</f>
        <v>9</v>
      </c>
    </row>
    <row r="744" spans="1:37">
      <c r="A744" s="2" t="s">
        <v>1129</v>
      </c>
      <c r="B744" s="2" t="s">
        <v>550</v>
      </c>
      <c r="C744" s="2" t="s">
        <v>551</v>
      </c>
      <c r="D744" s="2" t="s">
        <v>171</v>
      </c>
      <c r="E744" s="2" t="s">
        <v>172</v>
      </c>
      <c r="F744" s="2" t="s">
        <v>173</v>
      </c>
      <c r="G744" s="2" t="s">
        <v>1103</v>
      </c>
      <c r="H744" s="2" t="s">
        <v>448</v>
      </c>
      <c r="I744" s="2" t="s">
        <v>255</v>
      </c>
      <c r="J744" s="2" t="s">
        <v>256</v>
      </c>
      <c r="K744" s="9">
        <v>45720</v>
      </c>
      <c r="L744" s="9">
        <v>45727</v>
      </c>
      <c r="M744" s="9">
        <v>45722</v>
      </c>
      <c r="N744" s="2" t="s">
        <v>1054</v>
      </c>
      <c r="O744" s="2" t="s">
        <v>54</v>
      </c>
      <c r="P744" s="2" t="s">
        <v>139</v>
      </c>
      <c r="Q744" s="2" t="s">
        <v>148</v>
      </c>
      <c r="R744" s="2" t="s">
        <v>128</v>
      </c>
      <c r="S744" s="2" t="s">
        <v>259</v>
      </c>
      <c r="T744" s="10">
        <v>2881</v>
      </c>
      <c r="U744" s="11">
        <v>6.5500000000000003E-3</v>
      </c>
      <c r="V744" s="12">
        <f>T744*U744</f>
        <v>18.870550000000001</v>
      </c>
      <c r="W744" s="13">
        <v>0.1</v>
      </c>
      <c r="X744" s="12">
        <f>V744-(V744/(1+W744))</f>
        <v>1.7155045454545466</v>
      </c>
      <c r="Y744" s="12">
        <f>V744-X744</f>
        <v>17.155045454545455</v>
      </c>
      <c r="Z744" s="14">
        <v>25</v>
      </c>
      <c r="AA744" s="2" t="str">
        <f>IF(V744&gt;Z744,"Yes","No")</f>
        <v>No</v>
      </c>
      <c r="AB744" s="12">
        <f>V744-Z744</f>
        <v>-6.1294499999999985</v>
      </c>
      <c r="AC744" s="15" t="s">
        <v>130</v>
      </c>
      <c r="AD744" s="15" t="s">
        <v>131</v>
      </c>
      <c r="AE744" s="15" t="s">
        <v>421</v>
      </c>
      <c r="AF744" s="12">
        <f>IF(AG744="Rejected",0,IF(R744="Corporate Card",0,V744))</f>
        <v>0</v>
      </c>
      <c r="AG744" s="15" t="s">
        <v>133</v>
      </c>
      <c r="AH744" s="16">
        <v>45736</v>
      </c>
      <c r="AI744" s="16">
        <v>45737</v>
      </c>
      <c r="AJ744" s="16">
        <v>45745</v>
      </c>
      <c r="AK744" s="17">
        <f>IF(AJ744="","",AJ744-AH744)</f>
        <v>9</v>
      </c>
    </row>
    <row r="745" spans="1:37">
      <c r="A745" s="2" t="s">
        <v>1130</v>
      </c>
      <c r="B745" s="2" t="s">
        <v>550</v>
      </c>
      <c r="C745" s="2" t="s">
        <v>551</v>
      </c>
      <c r="D745" s="2" t="s">
        <v>171</v>
      </c>
      <c r="E745" s="2" t="s">
        <v>172</v>
      </c>
      <c r="F745" s="2" t="s">
        <v>173</v>
      </c>
      <c r="G745" s="2" t="s">
        <v>1103</v>
      </c>
      <c r="H745" s="2" t="s">
        <v>448</v>
      </c>
      <c r="I745" s="2" t="s">
        <v>255</v>
      </c>
      <c r="J745" s="2" t="s">
        <v>256</v>
      </c>
      <c r="K745" s="9">
        <v>45720</v>
      </c>
      <c r="L745" s="9">
        <v>45727</v>
      </c>
      <c r="M745" s="9">
        <v>45722</v>
      </c>
      <c r="N745" s="2" t="s">
        <v>1054</v>
      </c>
      <c r="O745" s="2" t="s">
        <v>56</v>
      </c>
      <c r="P745" s="2" t="s">
        <v>245</v>
      </c>
      <c r="Q745" s="2" t="s">
        <v>152</v>
      </c>
      <c r="R745" s="2" t="s">
        <v>137</v>
      </c>
      <c r="S745" s="2" t="s">
        <v>259</v>
      </c>
      <c r="T745" s="10">
        <v>5935</v>
      </c>
      <c r="U745" s="11">
        <v>6.5500000000000003E-3</v>
      </c>
      <c r="V745" s="12">
        <f>T745*U745</f>
        <v>38.874250000000004</v>
      </c>
      <c r="W745" s="13">
        <v>0.1</v>
      </c>
      <c r="X745" s="12">
        <f>V745-(V745/(1+W745))</f>
        <v>3.5340227272727276</v>
      </c>
      <c r="Y745" s="12">
        <f>V745-X745</f>
        <v>35.340227272727276</v>
      </c>
      <c r="Z745" s="14">
        <v>75</v>
      </c>
      <c r="AA745" s="2" t="str">
        <f>IF(V745&gt;Z745,"Yes","No")</f>
        <v>No</v>
      </c>
      <c r="AB745" s="12">
        <f>V745-Z745</f>
        <v>-36.125749999999996</v>
      </c>
      <c r="AC745" s="15" t="s">
        <v>130</v>
      </c>
      <c r="AD745" s="15" t="s">
        <v>131</v>
      </c>
      <c r="AE745" s="15" t="s">
        <v>421</v>
      </c>
      <c r="AF745" s="12">
        <f>IF(AG745="Rejected",0,IF(R745="Corporate Card",0,V745))</f>
        <v>38.874250000000004</v>
      </c>
      <c r="AG745" s="15" t="s">
        <v>133</v>
      </c>
      <c r="AH745" s="16">
        <v>45736</v>
      </c>
      <c r="AI745" s="16">
        <v>45737</v>
      </c>
      <c r="AJ745" s="16">
        <v>45745</v>
      </c>
      <c r="AK745" s="17">
        <f>IF(AJ745="","",AJ745-AH745)</f>
        <v>9</v>
      </c>
    </row>
    <row r="746" spans="1:37">
      <c r="A746" s="2" t="s">
        <v>1131</v>
      </c>
      <c r="B746" s="2" t="s">
        <v>550</v>
      </c>
      <c r="C746" s="2" t="s">
        <v>551</v>
      </c>
      <c r="D746" s="2" t="s">
        <v>171</v>
      </c>
      <c r="E746" s="2" t="s">
        <v>172</v>
      </c>
      <c r="F746" s="2" t="s">
        <v>173</v>
      </c>
      <c r="G746" s="2" t="s">
        <v>1103</v>
      </c>
      <c r="H746" s="2" t="s">
        <v>448</v>
      </c>
      <c r="I746" s="2" t="s">
        <v>255</v>
      </c>
      <c r="J746" s="2" t="s">
        <v>256</v>
      </c>
      <c r="K746" s="9">
        <v>45720</v>
      </c>
      <c r="L746" s="9">
        <v>45727</v>
      </c>
      <c r="M746" s="9">
        <v>45722</v>
      </c>
      <c r="N746" s="2" t="s">
        <v>1054</v>
      </c>
      <c r="O746" s="2" t="s">
        <v>55</v>
      </c>
      <c r="P746" s="2" t="s">
        <v>139</v>
      </c>
      <c r="Q746" s="2" t="s">
        <v>161</v>
      </c>
      <c r="R746" s="2" t="s">
        <v>149</v>
      </c>
      <c r="S746" s="2" t="s">
        <v>259</v>
      </c>
      <c r="T746" s="10">
        <v>3309</v>
      </c>
      <c r="U746" s="11">
        <v>6.5500000000000003E-3</v>
      </c>
      <c r="V746" s="12">
        <f>T746*U746</f>
        <v>21.673950000000001</v>
      </c>
      <c r="W746" s="13">
        <v>0.1</v>
      </c>
      <c r="X746" s="12">
        <f>V746-(V746/(1+W746))</f>
        <v>1.970359090909092</v>
      </c>
      <c r="Y746" s="12">
        <f>V746-X746</f>
        <v>19.703590909090909</v>
      </c>
      <c r="Z746" s="14">
        <v>35</v>
      </c>
      <c r="AA746" s="2" t="str">
        <f>IF(V746&gt;Z746,"Yes","No")</f>
        <v>No</v>
      </c>
      <c r="AB746" s="12">
        <f>V746-Z746</f>
        <v>-13.326049999999999</v>
      </c>
      <c r="AC746" s="15" t="s">
        <v>130</v>
      </c>
      <c r="AD746" s="15" t="s">
        <v>131</v>
      </c>
      <c r="AE746" s="15" t="s">
        <v>421</v>
      </c>
      <c r="AF746" s="12">
        <f>IF(AG746="Rejected",0,IF(R746="Corporate Card",0,V746))</f>
        <v>21.673950000000001</v>
      </c>
      <c r="AG746" s="15" t="s">
        <v>133</v>
      </c>
      <c r="AH746" s="16">
        <v>45736</v>
      </c>
      <c r="AI746" s="16">
        <v>45737</v>
      </c>
      <c r="AJ746" s="16">
        <v>45745</v>
      </c>
      <c r="AK746" s="17">
        <f>IF(AJ746="","",AJ746-AH746)</f>
        <v>9</v>
      </c>
    </row>
    <row r="747" spans="1:37">
      <c r="A747" s="2" t="s">
        <v>1132</v>
      </c>
      <c r="B747" s="2" t="s">
        <v>550</v>
      </c>
      <c r="C747" s="2" t="s">
        <v>551</v>
      </c>
      <c r="D747" s="2" t="s">
        <v>171</v>
      </c>
      <c r="E747" s="2" t="s">
        <v>172</v>
      </c>
      <c r="F747" s="2" t="s">
        <v>173</v>
      </c>
      <c r="G747" s="2" t="s">
        <v>1103</v>
      </c>
      <c r="H747" s="2" t="s">
        <v>448</v>
      </c>
      <c r="I747" s="2" t="s">
        <v>255</v>
      </c>
      <c r="J747" s="2" t="s">
        <v>256</v>
      </c>
      <c r="K747" s="9">
        <v>45720</v>
      </c>
      <c r="L747" s="9">
        <v>45727</v>
      </c>
      <c r="M747" s="9">
        <v>45722</v>
      </c>
      <c r="N747" s="2" t="s">
        <v>1054</v>
      </c>
      <c r="O747" s="2" t="s">
        <v>62</v>
      </c>
      <c r="P747" s="2" t="s">
        <v>533</v>
      </c>
      <c r="Q747" s="2" t="s">
        <v>1133</v>
      </c>
      <c r="R747" s="2" t="s">
        <v>128</v>
      </c>
      <c r="S747" s="2" t="s">
        <v>259</v>
      </c>
      <c r="T747" s="10">
        <v>10619</v>
      </c>
      <c r="U747" s="11">
        <v>6.5500000000000003E-3</v>
      </c>
      <c r="V747" s="12">
        <f>T747*U747</f>
        <v>69.554450000000003</v>
      </c>
      <c r="W747" s="13">
        <v>0.1</v>
      </c>
      <c r="X747" s="12">
        <f>V747-(V747/(1+W747))</f>
        <v>6.323131818181821</v>
      </c>
      <c r="Y747" s="12">
        <f>V747-X747</f>
        <v>63.231318181818182</v>
      </c>
      <c r="Z747" s="14">
        <v>45</v>
      </c>
      <c r="AA747" s="2" t="str">
        <f>IF(V747&gt;Z747,"Yes","No")</f>
        <v>Yes</v>
      </c>
      <c r="AB747" s="12">
        <f>V747-Z747</f>
        <v>24.554450000000003</v>
      </c>
      <c r="AC747" s="15" t="s">
        <v>130</v>
      </c>
      <c r="AD747" s="15" t="s">
        <v>131</v>
      </c>
      <c r="AE747" s="15" t="s">
        <v>421</v>
      </c>
      <c r="AF747" s="12">
        <f>IF(AG747="Rejected",0,IF(R747="Corporate Card",0,V747))</f>
        <v>0</v>
      </c>
      <c r="AG747" s="15" t="s">
        <v>133</v>
      </c>
      <c r="AH747" s="16">
        <v>45736</v>
      </c>
      <c r="AI747" s="16">
        <v>45737</v>
      </c>
      <c r="AJ747" s="16">
        <v>45745</v>
      </c>
      <c r="AK747" s="17">
        <f>IF(AJ747="","",AJ747-AH747)</f>
        <v>9</v>
      </c>
    </row>
    <row r="748" spans="1:37">
      <c r="A748" s="2" t="s">
        <v>1134</v>
      </c>
      <c r="B748" s="2" t="s">
        <v>189</v>
      </c>
      <c r="C748" s="2" t="s">
        <v>190</v>
      </c>
      <c r="D748" s="2" t="s">
        <v>171</v>
      </c>
      <c r="E748" s="2" t="s">
        <v>191</v>
      </c>
      <c r="F748" s="2" t="s">
        <v>173</v>
      </c>
      <c r="G748" s="2" t="s">
        <v>1037</v>
      </c>
      <c r="H748" s="2" t="s">
        <v>291</v>
      </c>
      <c r="I748" s="2" t="s">
        <v>1038</v>
      </c>
      <c r="J748" s="2" t="s">
        <v>381</v>
      </c>
      <c r="K748" s="9">
        <v>45716</v>
      </c>
      <c r="L748" s="9">
        <v>45724</v>
      </c>
      <c r="M748" s="9">
        <v>45723</v>
      </c>
      <c r="N748" s="2" t="s">
        <v>1054</v>
      </c>
      <c r="O748" s="2" t="s">
        <v>58</v>
      </c>
      <c r="P748" s="2" t="s">
        <v>142</v>
      </c>
      <c r="Q748" s="2" t="s">
        <v>143</v>
      </c>
      <c r="R748" s="2" t="s">
        <v>128</v>
      </c>
      <c r="S748" s="2" t="s">
        <v>383</v>
      </c>
      <c r="T748" s="10">
        <v>55.51</v>
      </c>
      <c r="U748" s="11">
        <v>1</v>
      </c>
      <c r="V748" s="12">
        <f>T748*U748</f>
        <v>55.51</v>
      </c>
      <c r="W748" s="13">
        <v>0</v>
      </c>
      <c r="X748" s="12">
        <f>V748-(V748/(1+W748))</f>
        <v>0</v>
      </c>
      <c r="Y748" s="12">
        <f>V748-X748</f>
        <v>55.51</v>
      </c>
      <c r="Z748" s="14">
        <v>60</v>
      </c>
      <c r="AA748" s="2" t="str">
        <f>IF(V748&gt;Z748,"Yes","No")</f>
        <v>No</v>
      </c>
      <c r="AB748" s="12">
        <f>V748-Z748</f>
        <v>-4.490000000000002</v>
      </c>
      <c r="AC748" s="15" t="s">
        <v>131</v>
      </c>
      <c r="AD748" s="15" t="s">
        <v>130</v>
      </c>
      <c r="AE748" s="15" t="s">
        <v>514</v>
      </c>
      <c r="AF748" s="12">
        <f>IF(AG748="Rejected",0,IF(R748="Corporate Card",0,V748))</f>
        <v>0</v>
      </c>
      <c r="AG748" s="15" t="s">
        <v>133</v>
      </c>
      <c r="AH748" s="16">
        <v>45727</v>
      </c>
      <c r="AI748" s="16">
        <v>45735</v>
      </c>
      <c r="AJ748" s="16">
        <v>45745</v>
      </c>
      <c r="AK748" s="17">
        <f>IF(AJ748="","",AJ748-AH748)</f>
        <v>18</v>
      </c>
    </row>
    <row r="749" spans="1:37">
      <c r="A749" s="2" t="s">
        <v>1135</v>
      </c>
      <c r="B749" s="2" t="s">
        <v>189</v>
      </c>
      <c r="C749" s="2" t="s">
        <v>190</v>
      </c>
      <c r="D749" s="2" t="s">
        <v>171</v>
      </c>
      <c r="E749" s="2" t="s">
        <v>191</v>
      </c>
      <c r="F749" s="2" t="s">
        <v>173</v>
      </c>
      <c r="G749" s="2" t="s">
        <v>1037</v>
      </c>
      <c r="H749" s="2" t="s">
        <v>291</v>
      </c>
      <c r="I749" s="2" t="s">
        <v>1038</v>
      </c>
      <c r="J749" s="2" t="s">
        <v>381</v>
      </c>
      <c r="K749" s="9">
        <v>45716</v>
      </c>
      <c r="L749" s="9">
        <v>45724</v>
      </c>
      <c r="M749" s="9">
        <v>45723</v>
      </c>
      <c r="N749" s="2" t="s">
        <v>1054</v>
      </c>
      <c r="O749" s="2" t="s">
        <v>54</v>
      </c>
      <c r="P749" s="2" t="s">
        <v>139</v>
      </c>
      <c r="Q749" s="2" t="s">
        <v>163</v>
      </c>
      <c r="R749" s="2" t="s">
        <v>149</v>
      </c>
      <c r="S749" s="2" t="s">
        <v>383</v>
      </c>
      <c r="T749" s="10">
        <v>20.420000000000002</v>
      </c>
      <c r="U749" s="11">
        <v>1</v>
      </c>
      <c r="V749" s="12">
        <f>T749*U749</f>
        <v>20.420000000000002</v>
      </c>
      <c r="W749" s="13">
        <v>0</v>
      </c>
      <c r="X749" s="12">
        <f>V749-(V749/(1+W749))</f>
        <v>0</v>
      </c>
      <c r="Y749" s="12">
        <f>V749-X749</f>
        <v>20.420000000000002</v>
      </c>
      <c r="Z749" s="14">
        <v>25</v>
      </c>
      <c r="AA749" s="2" t="str">
        <f>IF(V749&gt;Z749,"Yes","No")</f>
        <v>No</v>
      </c>
      <c r="AB749" s="12">
        <f>V749-Z749</f>
        <v>-4.5799999999999983</v>
      </c>
      <c r="AC749" s="15" t="s">
        <v>130</v>
      </c>
      <c r="AD749" s="15" t="s">
        <v>130</v>
      </c>
      <c r="AE749" s="15" t="s">
        <v>514</v>
      </c>
      <c r="AF749" s="12">
        <f>IF(AG749="Rejected",0,IF(R749="Corporate Card",0,V749))</f>
        <v>20.420000000000002</v>
      </c>
      <c r="AG749" s="15" t="s">
        <v>133</v>
      </c>
      <c r="AH749" s="16">
        <v>45727</v>
      </c>
      <c r="AI749" s="16">
        <v>45735</v>
      </c>
      <c r="AJ749" s="16">
        <v>45745</v>
      </c>
      <c r="AK749" s="17">
        <f>IF(AJ749="","",AJ749-AH749)</f>
        <v>18</v>
      </c>
    </row>
    <row r="750" spans="1:37">
      <c r="A750" s="2" t="s">
        <v>1136</v>
      </c>
      <c r="B750" s="2" t="s">
        <v>189</v>
      </c>
      <c r="C750" s="2" t="s">
        <v>190</v>
      </c>
      <c r="D750" s="2" t="s">
        <v>171</v>
      </c>
      <c r="E750" s="2" t="s">
        <v>191</v>
      </c>
      <c r="F750" s="2" t="s">
        <v>173</v>
      </c>
      <c r="G750" s="2" t="s">
        <v>1037</v>
      </c>
      <c r="H750" s="2" t="s">
        <v>291</v>
      </c>
      <c r="I750" s="2" t="s">
        <v>1038</v>
      </c>
      <c r="J750" s="2" t="s">
        <v>381</v>
      </c>
      <c r="K750" s="9">
        <v>45716</v>
      </c>
      <c r="L750" s="9">
        <v>45724</v>
      </c>
      <c r="M750" s="9">
        <v>45723</v>
      </c>
      <c r="N750" s="2" t="s">
        <v>1054</v>
      </c>
      <c r="O750" s="2" t="s">
        <v>56</v>
      </c>
      <c r="P750" s="2" t="s">
        <v>245</v>
      </c>
      <c r="Q750" s="2" t="s">
        <v>166</v>
      </c>
      <c r="R750" s="2" t="s">
        <v>149</v>
      </c>
      <c r="S750" s="2" t="s">
        <v>383</v>
      </c>
      <c r="T750" s="10">
        <v>49.91</v>
      </c>
      <c r="U750" s="11">
        <v>1</v>
      </c>
      <c r="V750" s="12">
        <f>T750*U750</f>
        <v>49.91</v>
      </c>
      <c r="W750" s="13">
        <v>0</v>
      </c>
      <c r="X750" s="12">
        <f>V750-(V750/(1+W750))</f>
        <v>0</v>
      </c>
      <c r="Y750" s="12">
        <f>V750-X750</f>
        <v>49.91</v>
      </c>
      <c r="Z750" s="14">
        <v>75</v>
      </c>
      <c r="AA750" s="2" t="str">
        <f>IF(V750&gt;Z750,"Yes","No")</f>
        <v>No</v>
      </c>
      <c r="AB750" s="12">
        <f>V750-Z750</f>
        <v>-25.090000000000003</v>
      </c>
      <c r="AC750" s="15" t="s">
        <v>130</v>
      </c>
      <c r="AD750" s="15" t="s">
        <v>130</v>
      </c>
      <c r="AE750" s="15" t="s">
        <v>514</v>
      </c>
      <c r="AF750" s="12">
        <f>IF(AG750="Rejected",0,IF(R750="Corporate Card",0,V750))</f>
        <v>49.91</v>
      </c>
      <c r="AG750" s="15" t="s">
        <v>133</v>
      </c>
      <c r="AH750" s="16">
        <v>45727</v>
      </c>
      <c r="AI750" s="16">
        <v>45735</v>
      </c>
      <c r="AJ750" s="16">
        <v>45745</v>
      </c>
      <c r="AK750" s="17">
        <f>IF(AJ750="","",AJ750-AH750)</f>
        <v>18</v>
      </c>
    </row>
    <row r="751" spans="1:37">
      <c r="A751" s="2" t="s">
        <v>1137</v>
      </c>
      <c r="B751" s="2" t="s">
        <v>189</v>
      </c>
      <c r="C751" s="2" t="s">
        <v>190</v>
      </c>
      <c r="D751" s="2" t="s">
        <v>171</v>
      </c>
      <c r="E751" s="2" t="s">
        <v>191</v>
      </c>
      <c r="F751" s="2" t="s">
        <v>173</v>
      </c>
      <c r="G751" s="2" t="s">
        <v>1037</v>
      </c>
      <c r="H751" s="2" t="s">
        <v>291</v>
      </c>
      <c r="I751" s="2" t="s">
        <v>1038</v>
      </c>
      <c r="J751" s="2" t="s">
        <v>381</v>
      </c>
      <c r="K751" s="9">
        <v>45716</v>
      </c>
      <c r="L751" s="9">
        <v>45724</v>
      </c>
      <c r="M751" s="9">
        <v>45723</v>
      </c>
      <c r="N751" s="2" t="s">
        <v>1054</v>
      </c>
      <c r="O751" s="2" t="s">
        <v>55</v>
      </c>
      <c r="P751" s="2" t="s">
        <v>139</v>
      </c>
      <c r="Q751" s="2" t="s">
        <v>161</v>
      </c>
      <c r="R751" s="2" t="s">
        <v>128</v>
      </c>
      <c r="S751" s="2" t="s">
        <v>383</v>
      </c>
      <c r="T751" s="10">
        <v>23.03</v>
      </c>
      <c r="U751" s="11">
        <v>1</v>
      </c>
      <c r="V751" s="12">
        <f>T751*U751</f>
        <v>23.03</v>
      </c>
      <c r="W751" s="13">
        <v>0</v>
      </c>
      <c r="X751" s="12">
        <f>V751-(V751/(1+W751))</f>
        <v>0</v>
      </c>
      <c r="Y751" s="12">
        <f>V751-X751</f>
        <v>23.03</v>
      </c>
      <c r="Z751" s="14">
        <v>35</v>
      </c>
      <c r="AA751" s="2" t="str">
        <f>IF(V751&gt;Z751,"Yes","No")</f>
        <v>No</v>
      </c>
      <c r="AB751" s="12">
        <f>V751-Z751</f>
        <v>-11.969999999999999</v>
      </c>
      <c r="AC751" s="15" t="s">
        <v>130</v>
      </c>
      <c r="AD751" s="15" t="s">
        <v>130</v>
      </c>
      <c r="AE751" s="15" t="s">
        <v>514</v>
      </c>
      <c r="AF751" s="12">
        <f>IF(AG751="Rejected",0,IF(R751="Corporate Card",0,V751))</f>
        <v>0</v>
      </c>
      <c r="AG751" s="15" t="s">
        <v>133</v>
      </c>
      <c r="AH751" s="16">
        <v>45727</v>
      </c>
      <c r="AI751" s="16">
        <v>45735</v>
      </c>
      <c r="AJ751" s="16">
        <v>45745</v>
      </c>
      <c r="AK751" s="17">
        <f>IF(AJ751="","",AJ751-AH751)</f>
        <v>18</v>
      </c>
    </row>
    <row r="752" spans="1:37">
      <c r="A752" s="2" t="s">
        <v>1138</v>
      </c>
      <c r="B752" s="2" t="s">
        <v>342</v>
      </c>
      <c r="C752" s="2" t="s">
        <v>343</v>
      </c>
      <c r="D752" s="2" t="s">
        <v>344</v>
      </c>
      <c r="E752" s="2" t="s">
        <v>345</v>
      </c>
      <c r="F752" s="2" t="s">
        <v>346</v>
      </c>
      <c r="G752" s="2" t="s">
        <v>1086</v>
      </c>
      <c r="H752" s="2" t="s">
        <v>448</v>
      </c>
      <c r="I752" s="2" t="s">
        <v>619</v>
      </c>
      <c r="J752" s="2" t="s">
        <v>381</v>
      </c>
      <c r="K752" s="9">
        <v>45719</v>
      </c>
      <c r="L752" s="9">
        <v>45727</v>
      </c>
      <c r="M752" s="9">
        <v>45723</v>
      </c>
      <c r="N752" s="2" t="s">
        <v>1054</v>
      </c>
      <c r="O752" s="2" t="s">
        <v>56</v>
      </c>
      <c r="P752" s="2" t="s">
        <v>151</v>
      </c>
      <c r="Q752" s="2" t="s">
        <v>185</v>
      </c>
      <c r="R752" s="2" t="s">
        <v>137</v>
      </c>
      <c r="S752" s="2" t="s">
        <v>383</v>
      </c>
      <c r="T752" s="10">
        <v>51.62</v>
      </c>
      <c r="U752" s="11">
        <v>1</v>
      </c>
      <c r="V752" s="12">
        <f>T752*U752</f>
        <v>51.62</v>
      </c>
      <c r="W752" s="13">
        <v>0</v>
      </c>
      <c r="X752" s="12">
        <f>V752-(V752/(1+W752))</f>
        <v>0</v>
      </c>
      <c r="Y752" s="12">
        <f>V752-X752</f>
        <v>51.62</v>
      </c>
      <c r="Z752" s="14">
        <v>75</v>
      </c>
      <c r="AA752" s="2" t="str">
        <f>IF(V752&gt;Z752,"Yes","No")</f>
        <v>No</v>
      </c>
      <c r="AB752" s="12">
        <f>V752-Z752</f>
        <v>-23.380000000000003</v>
      </c>
      <c r="AC752" s="15" t="s">
        <v>130</v>
      </c>
      <c r="AD752" s="15" t="s">
        <v>130</v>
      </c>
      <c r="AE752" s="15" t="s">
        <v>350</v>
      </c>
      <c r="AF752" s="12">
        <f>IF(AG752="Rejected",0,IF(R752="Corporate Card",0,V752))</f>
        <v>51.62</v>
      </c>
      <c r="AG752" s="15" t="s">
        <v>133</v>
      </c>
      <c r="AH752" s="16">
        <v>45734</v>
      </c>
      <c r="AI752" s="16">
        <v>45740</v>
      </c>
      <c r="AJ752" s="16">
        <v>45743</v>
      </c>
      <c r="AK752" s="17">
        <f>IF(AJ752="","",AJ752-AH752)</f>
        <v>9</v>
      </c>
    </row>
    <row r="753" spans="1:37">
      <c r="A753" s="2" t="s">
        <v>1139</v>
      </c>
      <c r="B753" s="2" t="s">
        <v>342</v>
      </c>
      <c r="C753" s="2" t="s">
        <v>343</v>
      </c>
      <c r="D753" s="2" t="s">
        <v>344</v>
      </c>
      <c r="E753" s="2" t="s">
        <v>345</v>
      </c>
      <c r="F753" s="2" t="s">
        <v>346</v>
      </c>
      <c r="G753" s="2" t="s">
        <v>1086</v>
      </c>
      <c r="H753" s="2" t="s">
        <v>448</v>
      </c>
      <c r="I753" s="2" t="s">
        <v>619</v>
      </c>
      <c r="J753" s="2" t="s">
        <v>381</v>
      </c>
      <c r="K753" s="9">
        <v>45719</v>
      </c>
      <c r="L753" s="9">
        <v>45727</v>
      </c>
      <c r="M753" s="9">
        <v>45723</v>
      </c>
      <c r="N753" s="2" t="s">
        <v>1054</v>
      </c>
      <c r="O753" s="2" t="s">
        <v>55</v>
      </c>
      <c r="P753" s="2" t="s">
        <v>139</v>
      </c>
      <c r="Q753" s="2" t="s">
        <v>161</v>
      </c>
      <c r="R753" s="2" t="s">
        <v>149</v>
      </c>
      <c r="S753" s="2" t="s">
        <v>383</v>
      </c>
      <c r="T753" s="10">
        <v>21.82</v>
      </c>
      <c r="U753" s="11">
        <v>1</v>
      </c>
      <c r="V753" s="12">
        <f>T753*U753</f>
        <v>21.82</v>
      </c>
      <c r="W753" s="13">
        <v>0</v>
      </c>
      <c r="X753" s="12">
        <f>V753-(V753/(1+W753))</f>
        <v>0</v>
      </c>
      <c r="Y753" s="12">
        <f>V753-X753</f>
        <v>21.82</v>
      </c>
      <c r="Z753" s="14">
        <v>35</v>
      </c>
      <c r="AA753" s="2" t="str">
        <f>IF(V753&gt;Z753,"Yes","No")</f>
        <v>No</v>
      </c>
      <c r="AB753" s="12">
        <f>V753-Z753</f>
        <v>-13.18</v>
      </c>
      <c r="AC753" s="15" t="s">
        <v>130</v>
      </c>
      <c r="AD753" s="15" t="s">
        <v>130</v>
      </c>
      <c r="AE753" s="15" t="s">
        <v>350</v>
      </c>
      <c r="AF753" s="12">
        <f>IF(AG753="Rejected",0,IF(R753="Corporate Card",0,V753))</f>
        <v>21.82</v>
      </c>
      <c r="AG753" s="15" t="s">
        <v>133</v>
      </c>
      <c r="AH753" s="16">
        <v>45734</v>
      </c>
      <c r="AI753" s="16">
        <v>45740</v>
      </c>
      <c r="AJ753" s="16">
        <v>45743</v>
      </c>
      <c r="AK753" s="17">
        <f>IF(AJ753="","",AJ753-AH753)</f>
        <v>9</v>
      </c>
    </row>
    <row r="754" spans="1:37">
      <c r="A754" s="2" t="s">
        <v>1140</v>
      </c>
      <c r="B754" s="2" t="s">
        <v>550</v>
      </c>
      <c r="C754" s="2" t="s">
        <v>551</v>
      </c>
      <c r="D754" s="2" t="s">
        <v>171</v>
      </c>
      <c r="E754" s="2" t="s">
        <v>172</v>
      </c>
      <c r="F754" s="2" t="s">
        <v>173</v>
      </c>
      <c r="G754" s="2" t="s">
        <v>1103</v>
      </c>
      <c r="H754" s="2" t="s">
        <v>448</v>
      </c>
      <c r="I754" s="2" t="s">
        <v>255</v>
      </c>
      <c r="J754" s="2" t="s">
        <v>256</v>
      </c>
      <c r="K754" s="9">
        <v>45720</v>
      </c>
      <c r="L754" s="9">
        <v>45727</v>
      </c>
      <c r="M754" s="9">
        <v>45723</v>
      </c>
      <c r="N754" s="2" t="s">
        <v>1054</v>
      </c>
      <c r="O754" s="2" t="s">
        <v>58</v>
      </c>
      <c r="P754" s="2" t="s">
        <v>142</v>
      </c>
      <c r="Q754" s="2" t="s">
        <v>224</v>
      </c>
      <c r="R754" s="2" t="s">
        <v>128</v>
      </c>
      <c r="S754" s="2" t="s">
        <v>259</v>
      </c>
      <c r="T754" s="10">
        <v>3629</v>
      </c>
      <c r="U754" s="11">
        <v>6.5500000000000003E-3</v>
      </c>
      <c r="V754" s="12">
        <f>T754*U754</f>
        <v>23.769950000000001</v>
      </c>
      <c r="W754" s="13">
        <v>0.1</v>
      </c>
      <c r="X754" s="12">
        <f>V754-(V754/(1+W754))</f>
        <v>2.1609045454545459</v>
      </c>
      <c r="Y754" s="12">
        <f>V754-X754</f>
        <v>21.609045454545456</v>
      </c>
      <c r="Z754" s="14">
        <v>60</v>
      </c>
      <c r="AA754" s="2" t="str">
        <f>IF(V754&gt;Z754,"Yes","No")</f>
        <v>No</v>
      </c>
      <c r="AB754" s="12">
        <f>V754-Z754</f>
        <v>-36.230049999999999</v>
      </c>
      <c r="AC754" s="15" t="s">
        <v>130</v>
      </c>
      <c r="AD754" s="15" t="s">
        <v>131</v>
      </c>
      <c r="AE754" s="15" t="s">
        <v>421</v>
      </c>
      <c r="AF754" s="12">
        <f>IF(AG754="Rejected",0,IF(R754="Corporate Card",0,V754))</f>
        <v>0</v>
      </c>
      <c r="AG754" s="15" t="s">
        <v>133</v>
      </c>
      <c r="AH754" s="16">
        <v>45736</v>
      </c>
      <c r="AI754" s="16">
        <v>45737</v>
      </c>
      <c r="AJ754" s="16">
        <v>45745</v>
      </c>
      <c r="AK754" s="17">
        <f>IF(AJ754="","",AJ754-AH754)</f>
        <v>9</v>
      </c>
    </row>
    <row r="755" spans="1:37">
      <c r="A755" s="2" t="s">
        <v>1141</v>
      </c>
      <c r="B755" s="2" t="s">
        <v>550</v>
      </c>
      <c r="C755" s="2" t="s">
        <v>551</v>
      </c>
      <c r="D755" s="2" t="s">
        <v>171</v>
      </c>
      <c r="E755" s="2" t="s">
        <v>172</v>
      </c>
      <c r="F755" s="2" t="s">
        <v>173</v>
      </c>
      <c r="G755" s="2" t="s">
        <v>1103</v>
      </c>
      <c r="H755" s="2" t="s">
        <v>448</v>
      </c>
      <c r="I755" s="2" t="s">
        <v>255</v>
      </c>
      <c r="J755" s="2" t="s">
        <v>256</v>
      </c>
      <c r="K755" s="9">
        <v>45720</v>
      </c>
      <c r="L755" s="9">
        <v>45727</v>
      </c>
      <c r="M755" s="9">
        <v>45723</v>
      </c>
      <c r="N755" s="2" t="s">
        <v>1054</v>
      </c>
      <c r="O755" s="2" t="s">
        <v>68</v>
      </c>
      <c r="P755" s="2" t="s">
        <v>282</v>
      </c>
      <c r="Q755" s="2" t="s">
        <v>283</v>
      </c>
      <c r="R755" s="2" t="s">
        <v>128</v>
      </c>
      <c r="S755" s="2" t="s">
        <v>259</v>
      </c>
      <c r="T755" s="10">
        <v>5295</v>
      </c>
      <c r="U755" s="11">
        <v>6.5500000000000003E-3</v>
      </c>
      <c r="V755" s="12">
        <f>T755*U755</f>
        <v>34.682250000000003</v>
      </c>
      <c r="W755" s="13">
        <v>0.1</v>
      </c>
      <c r="X755" s="12">
        <f>V755-(V755/(1+W755))</f>
        <v>3.1529318181818198</v>
      </c>
      <c r="Y755" s="12">
        <f>V755-X755</f>
        <v>31.529318181818184</v>
      </c>
      <c r="Z755" s="14">
        <v>30</v>
      </c>
      <c r="AA755" s="2" t="str">
        <f>IF(V755&gt;Z755,"Yes","No")</f>
        <v>Yes</v>
      </c>
      <c r="AB755" s="12">
        <f>V755-Z755</f>
        <v>4.6822500000000034</v>
      </c>
      <c r="AC755" s="15" t="s">
        <v>130</v>
      </c>
      <c r="AD755" s="15" t="s">
        <v>131</v>
      </c>
      <c r="AE755" s="15" t="s">
        <v>421</v>
      </c>
      <c r="AF755" s="12">
        <f>IF(AG755="Rejected",0,IF(R755="Corporate Card",0,V755))</f>
        <v>0</v>
      </c>
      <c r="AG755" s="15" t="s">
        <v>133</v>
      </c>
      <c r="AH755" s="16">
        <v>45736</v>
      </c>
      <c r="AI755" s="16">
        <v>45737</v>
      </c>
      <c r="AJ755" s="16">
        <v>45745</v>
      </c>
      <c r="AK755" s="17">
        <f>IF(AJ755="","",AJ755-AH755)</f>
        <v>9</v>
      </c>
    </row>
    <row r="756" spans="1:37">
      <c r="A756" s="2" t="s">
        <v>1142</v>
      </c>
      <c r="B756" s="2" t="s">
        <v>550</v>
      </c>
      <c r="C756" s="2" t="s">
        <v>551</v>
      </c>
      <c r="D756" s="2" t="s">
        <v>171</v>
      </c>
      <c r="E756" s="2" t="s">
        <v>172</v>
      </c>
      <c r="F756" s="2" t="s">
        <v>173</v>
      </c>
      <c r="G756" s="2" t="s">
        <v>1103</v>
      </c>
      <c r="H756" s="2" t="s">
        <v>448</v>
      </c>
      <c r="I756" s="2" t="s">
        <v>255</v>
      </c>
      <c r="J756" s="2" t="s">
        <v>256</v>
      </c>
      <c r="K756" s="9">
        <v>45720</v>
      </c>
      <c r="L756" s="9">
        <v>45727</v>
      </c>
      <c r="M756" s="9">
        <v>45723</v>
      </c>
      <c r="N756" s="2" t="s">
        <v>1054</v>
      </c>
      <c r="O756" s="2" t="s">
        <v>54</v>
      </c>
      <c r="P756" s="2" t="s">
        <v>139</v>
      </c>
      <c r="Q756" s="2" t="s">
        <v>140</v>
      </c>
      <c r="R756" s="2" t="s">
        <v>149</v>
      </c>
      <c r="S756" s="2" t="s">
        <v>259</v>
      </c>
      <c r="T756" s="10">
        <v>5530</v>
      </c>
      <c r="U756" s="11">
        <v>6.5500000000000003E-3</v>
      </c>
      <c r="V756" s="12">
        <f>T756*U756</f>
        <v>36.221499999999999</v>
      </c>
      <c r="W756" s="13">
        <v>0.1</v>
      </c>
      <c r="X756" s="12">
        <f>V756-(V756/(1+W756))</f>
        <v>3.2928636363636414</v>
      </c>
      <c r="Y756" s="12">
        <f>V756-X756</f>
        <v>32.928636363636357</v>
      </c>
      <c r="Z756" s="14">
        <v>25</v>
      </c>
      <c r="AA756" s="2" t="str">
        <f>IF(V756&gt;Z756,"Yes","No")</f>
        <v>Yes</v>
      </c>
      <c r="AB756" s="12">
        <f>V756-Z756</f>
        <v>11.221499999999999</v>
      </c>
      <c r="AC756" s="15" t="s">
        <v>130</v>
      </c>
      <c r="AD756" s="15" t="s">
        <v>131</v>
      </c>
      <c r="AE756" s="15" t="s">
        <v>421</v>
      </c>
      <c r="AF756" s="12">
        <f>IF(AG756="Rejected",0,IF(R756="Corporate Card",0,V756))</f>
        <v>36.221499999999999</v>
      </c>
      <c r="AG756" s="15" t="s">
        <v>133</v>
      </c>
      <c r="AH756" s="16">
        <v>45736</v>
      </c>
      <c r="AI756" s="16">
        <v>45737</v>
      </c>
      <c r="AJ756" s="16">
        <v>45745</v>
      </c>
      <c r="AK756" s="17">
        <f>IF(AJ756="","",AJ756-AH756)</f>
        <v>9</v>
      </c>
    </row>
    <row r="757" spans="1:37">
      <c r="A757" s="2" t="s">
        <v>1143</v>
      </c>
      <c r="B757" s="2" t="s">
        <v>550</v>
      </c>
      <c r="C757" s="2" t="s">
        <v>551</v>
      </c>
      <c r="D757" s="2" t="s">
        <v>171</v>
      </c>
      <c r="E757" s="2" t="s">
        <v>172</v>
      </c>
      <c r="F757" s="2" t="s">
        <v>173</v>
      </c>
      <c r="G757" s="2" t="s">
        <v>1103</v>
      </c>
      <c r="H757" s="2" t="s">
        <v>448</v>
      </c>
      <c r="I757" s="2" t="s">
        <v>255</v>
      </c>
      <c r="J757" s="2" t="s">
        <v>256</v>
      </c>
      <c r="K757" s="9">
        <v>45720</v>
      </c>
      <c r="L757" s="9">
        <v>45727</v>
      </c>
      <c r="M757" s="9">
        <v>45723</v>
      </c>
      <c r="N757" s="2" t="s">
        <v>1054</v>
      </c>
      <c r="O757" s="2" t="s">
        <v>56</v>
      </c>
      <c r="P757" s="2" t="s">
        <v>165</v>
      </c>
      <c r="Q757" s="2" t="s">
        <v>227</v>
      </c>
      <c r="R757" s="2" t="s">
        <v>128</v>
      </c>
      <c r="S757" s="2" t="s">
        <v>259</v>
      </c>
      <c r="T757" s="10">
        <v>15519</v>
      </c>
      <c r="U757" s="11">
        <v>6.5500000000000003E-3</v>
      </c>
      <c r="V757" s="12">
        <f>T757*U757</f>
        <v>101.64945</v>
      </c>
      <c r="W757" s="13">
        <v>0.1</v>
      </c>
      <c r="X757" s="12">
        <f>V757-(V757/(1+W757))</f>
        <v>9.2408590909090975</v>
      </c>
      <c r="Y757" s="12">
        <f>V757-X757</f>
        <v>92.408590909090904</v>
      </c>
      <c r="Z757" s="14">
        <v>75</v>
      </c>
      <c r="AA757" s="2" t="str">
        <f>IF(V757&gt;Z757,"Yes","No")</f>
        <v>Yes</v>
      </c>
      <c r="AB757" s="12">
        <f>V757-Z757</f>
        <v>26.649450000000002</v>
      </c>
      <c r="AC757" s="15" t="s">
        <v>130</v>
      </c>
      <c r="AD757" s="15" t="s">
        <v>131</v>
      </c>
      <c r="AE757" s="15" t="s">
        <v>421</v>
      </c>
      <c r="AF757" s="12">
        <f>IF(AG757="Rejected",0,IF(R757="Corporate Card",0,V757))</f>
        <v>0</v>
      </c>
      <c r="AG757" s="15" t="s">
        <v>133</v>
      </c>
      <c r="AH757" s="16">
        <v>45736</v>
      </c>
      <c r="AI757" s="16">
        <v>45737</v>
      </c>
      <c r="AJ757" s="16">
        <v>45745</v>
      </c>
      <c r="AK757" s="17">
        <f>IF(AJ757="","",AJ757-AH757)</f>
        <v>9</v>
      </c>
    </row>
    <row r="758" spans="1:37">
      <c r="A758" s="2" t="s">
        <v>1144</v>
      </c>
      <c r="B758" s="2" t="s">
        <v>550</v>
      </c>
      <c r="C758" s="2" t="s">
        <v>551</v>
      </c>
      <c r="D758" s="2" t="s">
        <v>171</v>
      </c>
      <c r="E758" s="2" t="s">
        <v>172</v>
      </c>
      <c r="F758" s="2" t="s">
        <v>173</v>
      </c>
      <c r="G758" s="2" t="s">
        <v>1103</v>
      </c>
      <c r="H758" s="2" t="s">
        <v>448</v>
      </c>
      <c r="I758" s="2" t="s">
        <v>255</v>
      </c>
      <c r="J758" s="2" t="s">
        <v>256</v>
      </c>
      <c r="K758" s="9">
        <v>45720</v>
      </c>
      <c r="L758" s="9">
        <v>45727</v>
      </c>
      <c r="M758" s="9">
        <v>45723</v>
      </c>
      <c r="N758" s="2" t="s">
        <v>1054</v>
      </c>
      <c r="O758" s="2" t="s">
        <v>55</v>
      </c>
      <c r="P758" s="2" t="s">
        <v>139</v>
      </c>
      <c r="Q758" s="2" t="s">
        <v>217</v>
      </c>
      <c r="R758" s="2" t="s">
        <v>128</v>
      </c>
      <c r="S758" s="2" t="s">
        <v>259</v>
      </c>
      <c r="T758" s="10">
        <v>6502</v>
      </c>
      <c r="U758" s="11">
        <v>6.5500000000000003E-3</v>
      </c>
      <c r="V758" s="12">
        <f>T758*U758</f>
        <v>42.588100000000004</v>
      </c>
      <c r="W758" s="13">
        <v>0.1</v>
      </c>
      <c r="X758" s="12">
        <f>V758-(V758/(1+W758))</f>
        <v>3.8716454545454582</v>
      </c>
      <c r="Y758" s="12">
        <f>V758-X758</f>
        <v>38.716454545454546</v>
      </c>
      <c r="Z758" s="14">
        <v>35</v>
      </c>
      <c r="AA758" s="2" t="str">
        <f>IF(V758&gt;Z758,"Yes","No")</f>
        <v>Yes</v>
      </c>
      <c r="AB758" s="12">
        <f>V758-Z758</f>
        <v>7.5881000000000043</v>
      </c>
      <c r="AC758" s="15" t="s">
        <v>130</v>
      </c>
      <c r="AD758" s="15" t="s">
        <v>131</v>
      </c>
      <c r="AE758" s="15" t="s">
        <v>421</v>
      </c>
      <c r="AF758" s="12">
        <f>IF(AG758="Rejected",0,IF(R758="Corporate Card",0,V758))</f>
        <v>0</v>
      </c>
      <c r="AG758" s="15" t="s">
        <v>133</v>
      </c>
      <c r="AH758" s="16">
        <v>45736</v>
      </c>
      <c r="AI758" s="16">
        <v>45737</v>
      </c>
      <c r="AJ758" s="16">
        <v>45745</v>
      </c>
      <c r="AK758" s="17">
        <f>IF(AJ758="","",AJ758-AH758)</f>
        <v>9</v>
      </c>
    </row>
    <row r="759" spans="1:37">
      <c r="A759" s="2" t="s">
        <v>1145</v>
      </c>
      <c r="B759" s="2" t="s">
        <v>189</v>
      </c>
      <c r="C759" s="2" t="s">
        <v>190</v>
      </c>
      <c r="D759" s="2" t="s">
        <v>171</v>
      </c>
      <c r="E759" s="2" t="s">
        <v>191</v>
      </c>
      <c r="F759" s="2" t="s">
        <v>173</v>
      </c>
      <c r="G759" s="2" t="s">
        <v>1037</v>
      </c>
      <c r="H759" s="2" t="s">
        <v>291</v>
      </c>
      <c r="I759" s="2" t="s">
        <v>1038</v>
      </c>
      <c r="J759" s="2" t="s">
        <v>381</v>
      </c>
      <c r="K759" s="9">
        <v>45716</v>
      </c>
      <c r="L759" s="9">
        <v>45724</v>
      </c>
      <c r="M759" s="9">
        <v>45724</v>
      </c>
      <c r="N759" s="2" t="s">
        <v>1054</v>
      </c>
      <c r="O759" s="2" t="s">
        <v>54</v>
      </c>
      <c r="P759" s="2" t="s">
        <v>139</v>
      </c>
      <c r="Q759" s="2" t="s">
        <v>214</v>
      </c>
      <c r="R759" s="2" t="s">
        <v>149</v>
      </c>
      <c r="S759" s="2" t="s">
        <v>383</v>
      </c>
      <c r="T759" s="10">
        <v>9.4600000000000009</v>
      </c>
      <c r="U759" s="11">
        <v>1</v>
      </c>
      <c r="V759" s="12">
        <f>T759*U759</f>
        <v>9.4600000000000009</v>
      </c>
      <c r="W759" s="13">
        <v>0</v>
      </c>
      <c r="X759" s="12">
        <f>V759-(V759/(1+W759))</f>
        <v>0</v>
      </c>
      <c r="Y759" s="12">
        <f>V759-X759</f>
        <v>9.4600000000000009</v>
      </c>
      <c r="Z759" s="14">
        <v>25</v>
      </c>
      <c r="AA759" s="2" t="str">
        <f>IF(V759&gt;Z759,"Yes","No")</f>
        <v>No</v>
      </c>
      <c r="AB759" s="12">
        <f>V759-Z759</f>
        <v>-15.54</v>
      </c>
      <c r="AC759" s="15" t="s">
        <v>130</v>
      </c>
      <c r="AD759" s="15" t="s">
        <v>130</v>
      </c>
      <c r="AE759" s="15" t="s">
        <v>514</v>
      </c>
      <c r="AF759" s="12">
        <f>IF(AG759="Rejected",0,IF(R759="Corporate Card",0,V759))</f>
        <v>9.4600000000000009</v>
      </c>
      <c r="AG759" s="15" t="s">
        <v>133</v>
      </c>
      <c r="AH759" s="16">
        <v>45727</v>
      </c>
      <c r="AI759" s="16">
        <v>45735</v>
      </c>
      <c r="AJ759" s="16">
        <v>45745</v>
      </c>
      <c r="AK759" s="17">
        <f>IF(AJ759="","",AJ759-AH759)</f>
        <v>18</v>
      </c>
    </row>
    <row r="760" spans="1:37">
      <c r="A760" s="2" t="s">
        <v>1146</v>
      </c>
      <c r="B760" s="2" t="s">
        <v>189</v>
      </c>
      <c r="C760" s="2" t="s">
        <v>190</v>
      </c>
      <c r="D760" s="2" t="s">
        <v>171</v>
      </c>
      <c r="E760" s="2" t="s">
        <v>191</v>
      </c>
      <c r="F760" s="2" t="s">
        <v>173</v>
      </c>
      <c r="G760" s="2" t="s">
        <v>1037</v>
      </c>
      <c r="H760" s="2" t="s">
        <v>291</v>
      </c>
      <c r="I760" s="2" t="s">
        <v>1038</v>
      </c>
      <c r="J760" s="2" t="s">
        <v>381</v>
      </c>
      <c r="K760" s="9">
        <v>45716</v>
      </c>
      <c r="L760" s="9">
        <v>45724</v>
      </c>
      <c r="M760" s="9">
        <v>45724</v>
      </c>
      <c r="N760" s="2" t="s">
        <v>1054</v>
      </c>
      <c r="O760" s="2" t="s">
        <v>55</v>
      </c>
      <c r="P760" s="2" t="s">
        <v>139</v>
      </c>
      <c r="Q760" s="2" t="s">
        <v>217</v>
      </c>
      <c r="R760" s="2" t="s">
        <v>128</v>
      </c>
      <c r="S760" s="2" t="s">
        <v>383</v>
      </c>
      <c r="T760" s="10">
        <v>24.56</v>
      </c>
      <c r="U760" s="11">
        <v>1</v>
      </c>
      <c r="V760" s="12">
        <f>T760*U760</f>
        <v>24.56</v>
      </c>
      <c r="W760" s="13">
        <v>0</v>
      </c>
      <c r="X760" s="12">
        <f>V760-(V760/(1+W760))</f>
        <v>0</v>
      </c>
      <c r="Y760" s="12">
        <f>V760-X760</f>
        <v>24.56</v>
      </c>
      <c r="Z760" s="14">
        <v>35</v>
      </c>
      <c r="AA760" s="2" t="str">
        <f>IF(V760&gt;Z760,"Yes","No")</f>
        <v>No</v>
      </c>
      <c r="AB760" s="12">
        <f>V760-Z760</f>
        <v>-10.440000000000001</v>
      </c>
      <c r="AC760" s="15" t="s">
        <v>130</v>
      </c>
      <c r="AD760" s="15" t="s">
        <v>130</v>
      </c>
      <c r="AE760" s="15" t="s">
        <v>514</v>
      </c>
      <c r="AF760" s="12">
        <f>IF(AG760="Rejected",0,IF(R760="Corporate Card",0,V760))</f>
        <v>0</v>
      </c>
      <c r="AG760" s="15" t="s">
        <v>133</v>
      </c>
      <c r="AH760" s="16">
        <v>45727</v>
      </c>
      <c r="AI760" s="16">
        <v>45735</v>
      </c>
      <c r="AJ760" s="16">
        <v>45745</v>
      </c>
      <c r="AK760" s="17">
        <f>IF(AJ760="","",AJ760-AH760)</f>
        <v>18</v>
      </c>
    </row>
    <row r="761" spans="1:37">
      <c r="A761" s="2" t="s">
        <v>1147</v>
      </c>
      <c r="B761" s="2" t="s">
        <v>342</v>
      </c>
      <c r="C761" s="2" t="s">
        <v>343</v>
      </c>
      <c r="D761" s="2" t="s">
        <v>344</v>
      </c>
      <c r="E761" s="2" t="s">
        <v>345</v>
      </c>
      <c r="F761" s="2" t="s">
        <v>346</v>
      </c>
      <c r="G761" s="2" t="s">
        <v>1086</v>
      </c>
      <c r="H761" s="2" t="s">
        <v>448</v>
      </c>
      <c r="I761" s="2" t="s">
        <v>619</v>
      </c>
      <c r="J761" s="2" t="s">
        <v>381</v>
      </c>
      <c r="K761" s="9">
        <v>45719</v>
      </c>
      <c r="L761" s="9">
        <v>45727</v>
      </c>
      <c r="M761" s="9">
        <v>45724</v>
      </c>
      <c r="N761" s="2" t="s">
        <v>1054</v>
      </c>
      <c r="O761" s="2" t="s">
        <v>54</v>
      </c>
      <c r="P761" s="2" t="s">
        <v>139</v>
      </c>
      <c r="Q761" s="2" t="s">
        <v>148</v>
      </c>
      <c r="R761" s="2" t="s">
        <v>128</v>
      </c>
      <c r="S761" s="2" t="s">
        <v>383</v>
      </c>
      <c r="T761" s="10">
        <v>23.89</v>
      </c>
      <c r="U761" s="11">
        <v>1</v>
      </c>
      <c r="V761" s="12">
        <f>T761*U761</f>
        <v>23.89</v>
      </c>
      <c r="W761" s="13">
        <v>0</v>
      </c>
      <c r="X761" s="12">
        <f>V761-(V761/(1+W761))</f>
        <v>0</v>
      </c>
      <c r="Y761" s="12">
        <f>V761-X761</f>
        <v>23.89</v>
      </c>
      <c r="Z761" s="14">
        <v>25</v>
      </c>
      <c r="AA761" s="2" t="str">
        <f>IF(V761&gt;Z761,"Yes","No")</f>
        <v>No</v>
      </c>
      <c r="AB761" s="12">
        <f>V761-Z761</f>
        <v>-1.1099999999999994</v>
      </c>
      <c r="AC761" s="15" t="s">
        <v>130</v>
      </c>
      <c r="AD761" s="15" t="s">
        <v>130</v>
      </c>
      <c r="AE761" s="15" t="s">
        <v>350</v>
      </c>
      <c r="AF761" s="12">
        <f>IF(AG761="Rejected",0,IF(R761="Corporate Card",0,V761))</f>
        <v>0</v>
      </c>
      <c r="AG761" s="15" t="s">
        <v>133</v>
      </c>
      <c r="AH761" s="16">
        <v>45734</v>
      </c>
      <c r="AI761" s="16">
        <v>45740</v>
      </c>
      <c r="AJ761" s="16">
        <v>45743</v>
      </c>
      <c r="AK761" s="17">
        <f>IF(AJ761="","",AJ761-AH761)</f>
        <v>9</v>
      </c>
    </row>
    <row r="762" spans="1:37">
      <c r="A762" s="2" t="s">
        <v>1148</v>
      </c>
      <c r="B762" s="2" t="s">
        <v>342</v>
      </c>
      <c r="C762" s="2" t="s">
        <v>343</v>
      </c>
      <c r="D762" s="2" t="s">
        <v>344</v>
      </c>
      <c r="E762" s="2" t="s">
        <v>345</v>
      </c>
      <c r="F762" s="2" t="s">
        <v>346</v>
      </c>
      <c r="G762" s="2" t="s">
        <v>1086</v>
      </c>
      <c r="H762" s="2" t="s">
        <v>448</v>
      </c>
      <c r="I762" s="2" t="s">
        <v>619</v>
      </c>
      <c r="J762" s="2" t="s">
        <v>381</v>
      </c>
      <c r="K762" s="9">
        <v>45719</v>
      </c>
      <c r="L762" s="9">
        <v>45727</v>
      </c>
      <c r="M762" s="9">
        <v>45724</v>
      </c>
      <c r="N762" s="2" t="s">
        <v>1054</v>
      </c>
      <c r="O762" s="2" t="s">
        <v>56</v>
      </c>
      <c r="P762" s="2" t="s">
        <v>151</v>
      </c>
      <c r="Q762" s="2" t="s">
        <v>166</v>
      </c>
      <c r="R762" s="2" t="s">
        <v>128</v>
      </c>
      <c r="S762" s="2" t="s">
        <v>383</v>
      </c>
      <c r="T762" s="10">
        <v>109.9</v>
      </c>
      <c r="U762" s="11">
        <v>1</v>
      </c>
      <c r="V762" s="12">
        <f>T762*U762</f>
        <v>109.9</v>
      </c>
      <c r="W762" s="13">
        <v>0</v>
      </c>
      <c r="X762" s="12">
        <f>V762-(V762/(1+W762))</f>
        <v>0</v>
      </c>
      <c r="Y762" s="12">
        <f>V762-X762</f>
        <v>109.9</v>
      </c>
      <c r="Z762" s="14">
        <v>75</v>
      </c>
      <c r="AA762" s="2" t="str">
        <f>IF(V762&gt;Z762,"Yes","No")</f>
        <v>Yes</v>
      </c>
      <c r="AB762" s="12">
        <f>V762-Z762</f>
        <v>34.900000000000006</v>
      </c>
      <c r="AC762" s="15" t="s">
        <v>130</v>
      </c>
      <c r="AD762" s="15" t="s">
        <v>130</v>
      </c>
      <c r="AE762" s="15" t="s">
        <v>350</v>
      </c>
      <c r="AF762" s="12">
        <f>IF(AG762="Rejected",0,IF(R762="Corporate Card",0,V762))</f>
        <v>0</v>
      </c>
      <c r="AG762" s="15" t="s">
        <v>133</v>
      </c>
      <c r="AH762" s="16">
        <v>45734</v>
      </c>
      <c r="AI762" s="16">
        <v>45740</v>
      </c>
      <c r="AJ762" s="16">
        <v>45743</v>
      </c>
      <c r="AK762" s="17">
        <f>IF(AJ762="","",AJ762-AH762)</f>
        <v>9</v>
      </c>
    </row>
    <row r="763" spans="1:37">
      <c r="A763" s="2" t="s">
        <v>1149</v>
      </c>
      <c r="B763" s="2" t="s">
        <v>342</v>
      </c>
      <c r="C763" s="2" t="s">
        <v>343</v>
      </c>
      <c r="D763" s="2" t="s">
        <v>344</v>
      </c>
      <c r="E763" s="2" t="s">
        <v>345</v>
      </c>
      <c r="F763" s="2" t="s">
        <v>346</v>
      </c>
      <c r="G763" s="2" t="s">
        <v>1086</v>
      </c>
      <c r="H763" s="2" t="s">
        <v>448</v>
      </c>
      <c r="I763" s="2" t="s">
        <v>619</v>
      </c>
      <c r="J763" s="2" t="s">
        <v>381</v>
      </c>
      <c r="K763" s="9">
        <v>45719</v>
      </c>
      <c r="L763" s="9">
        <v>45727</v>
      </c>
      <c r="M763" s="9">
        <v>45724</v>
      </c>
      <c r="N763" s="2" t="s">
        <v>1054</v>
      </c>
      <c r="O763" s="2" t="s">
        <v>55</v>
      </c>
      <c r="P763" s="2" t="s">
        <v>139</v>
      </c>
      <c r="Q763" s="2" t="s">
        <v>161</v>
      </c>
      <c r="R763" s="2" t="s">
        <v>149</v>
      </c>
      <c r="S763" s="2" t="s">
        <v>383</v>
      </c>
      <c r="T763" s="10">
        <v>30.32</v>
      </c>
      <c r="U763" s="11">
        <v>1</v>
      </c>
      <c r="V763" s="12">
        <f>T763*U763</f>
        <v>30.32</v>
      </c>
      <c r="W763" s="13">
        <v>0</v>
      </c>
      <c r="X763" s="12">
        <f>V763-(V763/(1+W763))</f>
        <v>0</v>
      </c>
      <c r="Y763" s="12">
        <f>V763-X763</f>
        <v>30.32</v>
      </c>
      <c r="Z763" s="14">
        <v>35</v>
      </c>
      <c r="AA763" s="2" t="str">
        <f>IF(V763&gt;Z763,"Yes","No")</f>
        <v>No</v>
      </c>
      <c r="AB763" s="12">
        <f>V763-Z763</f>
        <v>-4.68</v>
      </c>
      <c r="AC763" s="15" t="s">
        <v>130</v>
      </c>
      <c r="AD763" s="15" t="s">
        <v>130</v>
      </c>
      <c r="AE763" s="15" t="s">
        <v>350</v>
      </c>
      <c r="AF763" s="12">
        <f>IF(AG763="Rejected",0,IF(R763="Corporate Card",0,V763))</f>
        <v>30.32</v>
      </c>
      <c r="AG763" s="15" t="s">
        <v>133</v>
      </c>
      <c r="AH763" s="16">
        <v>45734</v>
      </c>
      <c r="AI763" s="16">
        <v>45740</v>
      </c>
      <c r="AJ763" s="16">
        <v>45743</v>
      </c>
      <c r="AK763" s="17">
        <f>IF(AJ763="","",AJ763-AH763)</f>
        <v>9</v>
      </c>
    </row>
    <row r="764" spans="1:37">
      <c r="A764" s="2" t="s">
        <v>1150</v>
      </c>
      <c r="B764" s="2" t="s">
        <v>550</v>
      </c>
      <c r="C764" s="2" t="s">
        <v>551</v>
      </c>
      <c r="D764" s="2" t="s">
        <v>171</v>
      </c>
      <c r="E764" s="2" t="s">
        <v>172</v>
      </c>
      <c r="F764" s="2" t="s">
        <v>173</v>
      </c>
      <c r="G764" s="2" t="s">
        <v>1103</v>
      </c>
      <c r="H764" s="2" t="s">
        <v>448</v>
      </c>
      <c r="I764" s="2" t="s">
        <v>255</v>
      </c>
      <c r="J764" s="2" t="s">
        <v>256</v>
      </c>
      <c r="K764" s="9">
        <v>45720</v>
      </c>
      <c r="L764" s="9">
        <v>45727</v>
      </c>
      <c r="M764" s="9">
        <v>45724</v>
      </c>
      <c r="N764" s="2" t="s">
        <v>1054</v>
      </c>
      <c r="O764" s="2" t="s">
        <v>58</v>
      </c>
      <c r="P764" s="2" t="s">
        <v>142</v>
      </c>
      <c r="Q764" s="2" t="s">
        <v>203</v>
      </c>
      <c r="R764" s="2" t="s">
        <v>137</v>
      </c>
      <c r="S764" s="2" t="s">
        <v>259</v>
      </c>
      <c r="T764" s="10">
        <v>7083</v>
      </c>
      <c r="U764" s="11">
        <v>6.5500000000000003E-3</v>
      </c>
      <c r="V764" s="12">
        <f>T764*U764</f>
        <v>46.393650000000001</v>
      </c>
      <c r="W764" s="13">
        <v>0.1</v>
      </c>
      <c r="X764" s="12">
        <f>V764-(V764/(1+W764))</f>
        <v>4.2176045454545488</v>
      </c>
      <c r="Y764" s="12">
        <f>V764-X764</f>
        <v>42.176045454545452</v>
      </c>
      <c r="Z764" s="14">
        <v>60</v>
      </c>
      <c r="AA764" s="2" t="str">
        <f>IF(V764&gt;Z764,"Yes","No")</f>
        <v>No</v>
      </c>
      <c r="AB764" s="12">
        <f>V764-Z764</f>
        <v>-13.606349999999999</v>
      </c>
      <c r="AC764" s="15" t="s">
        <v>130</v>
      </c>
      <c r="AD764" s="15" t="s">
        <v>131</v>
      </c>
      <c r="AE764" s="15" t="s">
        <v>421</v>
      </c>
      <c r="AF764" s="12">
        <f>IF(AG764="Rejected",0,IF(R764="Corporate Card",0,V764))</f>
        <v>46.393650000000001</v>
      </c>
      <c r="AG764" s="15" t="s">
        <v>133</v>
      </c>
      <c r="AH764" s="16">
        <v>45736</v>
      </c>
      <c r="AI764" s="16">
        <v>45737</v>
      </c>
      <c r="AJ764" s="16">
        <v>45745</v>
      </c>
      <c r="AK764" s="17">
        <f>IF(AJ764="","",AJ764-AH764)</f>
        <v>9</v>
      </c>
    </row>
    <row r="765" spans="1:37">
      <c r="A765" s="2" t="s">
        <v>1151</v>
      </c>
      <c r="B765" s="2" t="s">
        <v>550</v>
      </c>
      <c r="C765" s="2" t="s">
        <v>551</v>
      </c>
      <c r="D765" s="2" t="s">
        <v>171</v>
      </c>
      <c r="E765" s="2" t="s">
        <v>172</v>
      </c>
      <c r="F765" s="2" t="s">
        <v>173</v>
      </c>
      <c r="G765" s="2" t="s">
        <v>1103</v>
      </c>
      <c r="H765" s="2" t="s">
        <v>448</v>
      </c>
      <c r="I765" s="2" t="s">
        <v>255</v>
      </c>
      <c r="J765" s="2" t="s">
        <v>256</v>
      </c>
      <c r="K765" s="9">
        <v>45720</v>
      </c>
      <c r="L765" s="9">
        <v>45727</v>
      </c>
      <c r="M765" s="9">
        <v>45724</v>
      </c>
      <c r="N765" s="2" t="s">
        <v>1054</v>
      </c>
      <c r="O765" s="2" t="s">
        <v>54</v>
      </c>
      <c r="P765" s="2" t="s">
        <v>139</v>
      </c>
      <c r="Q765" s="2" t="s">
        <v>214</v>
      </c>
      <c r="R765" s="2" t="s">
        <v>128</v>
      </c>
      <c r="S765" s="2" t="s">
        <v>259</v>
      </c>
      <c r="T765" s="10">
        <v>2219</v>
      </c>
      <c r="U765" s="11">
        <v>6.5500000000000003E-3</v>
      </c>
      <c r="V765" s="12">
        <f>T765*U765</f>
        <v>14.534450000000001</v>
      </c>
      <c r="W765" s="13">
        <v>0.1</v>
      </c>
      <c r="X765" s="12">
        <f>V765-(V765/(1+W765))</f>
        <v>1.3213136363636373</v>
      </c>
      <c r="Y765" s="12">
        <f>V765-X765</f>
        <v>13.213136363636364</v>
      </c>
      <c r="Z765" s="14">
        <v>25</v>
      </c>
      <c r="AA765" s="2" t="str">
        <f>IF(V765&gt;Z765,"Yes","No")</f>
        <v>No</v>
      </c>
      <c r="AB765" s="12">
        <f>V765-Z765</f>
        <v>-10.465549999999999</v>
      </c>
      <c r="AC765" s="15" t="s">
        <v>130</v>
      </c>
      <c r="AD765" s="15" t="s">
        <v>131</v>
      </c>
      <c r="AE765" s="15" t="s">
        <v>421</v>
      </c>
      <c r="AF765" s="12">
        <f>IF(AG765="Rejected",0,IF(R765="Corporate Card",0,V765))</f>
        <v>0</v>
      </c>
      <c r="AG765" s="15" t="s">
        <v>133</v>
      </c>
      <c r="AH765" s="16">
        <v>45736</v>
      </c>
      <c r="AI765" s="16">
        <v>45737</v>
      </c>
      <c r="AJ765" s="16">
        <v>45745</v>
      </c>
      <c r="AK765" s="17">
        <f>IF(AJ765="","",AJ765-AH765)</f>
        <v>9</v>
      </c>
    </row>
    <row r="766" spans="1:37">
      <c r="A766" s="2" t="s">
        <v>1152</v>
      </c>
      <c r="B766" s="2" t="s">
        <v>550</v>
      </c>
      <c r="C766" s="2" t="s">
        <v>551</v>
      </c>
      <c r="D766" s="2" t="s">
        <v>171</v>
      </c>
      <c r="E766" s="2" t="s">
        <v>172</v>
      </c>
      <c r="F766" s="2" t="s">
        <v>173</v>
      </c>
      <c r="G766" s="2" t="s">
        <v>1103</v>
      </c>
      <c r="H766" s="2" t="s">
        <v>448</v>
      </c>
      <c r="I766" s="2" t="s">
        <v>255</v>
      </c>
      <c r="J766" s="2" t="s">
        <v>256</v>
      </c>
      <c r="K766" s="9">
        <v>45720</v>
      </c>
      <c r="L766" s="9">
        <v>45727</v>
      </c>
      <c r="M766" s="9">
        <v>45724</v>
      </c>
      <c r="N766" s="2" t="s">
        <v>1054</v>
      </c>
      <c r="O766" s="2" t="s">
        <v>56</v>
      </c>
      <c r="P766" s="2" t="s">
        <v>231</v>
      </c>
      <c r="Q766" s="2" t="s">
        <v>227</v>
      </c>
      <c r="R766" s="2" t="s">
        <v>128</v>
      </c>
      <c r="S766" s="2" t="s">
        <v>259</v>
      </c>
      <c r="T766" s="10">
        <v>11403</v>
      </c>
      <c r="U766" s="11">
        <v>6.5500000000000003E-3</v>
      </c>
      <c r="V766" s="12">
        <f>T766*U766</f>
        <v>74.68965</v>
      </c>
      <c r="W766" s="13">
        <v>0.1</v>
      </c>
      <c r="X766" s="12">
        <f>V766-(V766/(1+W766))</f>
        <v>6.7899681818181818</v>
      </c>
      <c r="Y766" s="12">
        <f>V766-X766</f>
        <v>67.899681818181818</v>
      </c>
      <c r="Z766" s="14">
        <v>75</v>
      </c>
      <c r="AA766" s="2" t="str">
        <f>IF(V766&gt;Z766,"Yes","No")</f>
        <v>No</v>
      </c>
      <c r="AB766" s="12">
        <f>V766-Z766</f>
        <v>-0.31034999999999968</v>
      </c>
      <c r="AC766" s="15" t="s">
        <v>130</v>
      </c>
      <c r="AD766" s="15" t="s">
        <v>131</v>
      </c>
      <c r="AE766" s="15" t="s">
        <v>421</v>
      </c>
      <c r="AF766" s="12">
        <f>IF(AG766="Rejected",0,IF(R766="Corporate Card",0,V766))</f>
        <v>0</v>
      </c>
      <c r="AG766" s="15" t="s">
        <v>133</v>
      </c>
      <c r="AH766" s="16">
        <v>45736</v>
      </c>
      <c r="AI766" s="16">
        <v>45737</v>
      </c>
      <c r="AJ766" s="16">
        <v>45745</v>
      </c>
      <c r="AK766" s="17">
        <f>IF(AJ766="","",AJ766-AH766)</f>
        <v>9</v>
      </c>
    </row>
    <row r="767" spans="1:37">
      <c r="A767" s="2" t="s">
        <v>1153</v>
      </c>
      <c r="B767" s="2" t="s">
        <v>550</v>
      </c>
      <c r="C767" s="2" t="s">
        <v>551</v>
      </c>
      <c r="D767" s="2" t="s">
        <v>171</v>
      </c>
      <c r="E767" s="2" t="s">
        <v>172</v>
      </c>
      <c r="F767" s="2" t="s">
        <v>173</v>
      </c>
      <c r="G767" s="2" t="s">
        <v>1103</v>
      </c>
      <c r="H767" s="2" t="s">
        <v>448</v>
      </c>
      <c r="I767" s="2" t="s">
        <v>255</v>
      </c>
      <c r="J767" s="2" t="s">
        <v>256</v>
      </c>
      <c r="K767" s="9">
        <v>45720</v>
      </c>
      <c r="L767" s="9">
        <v>45727</v>
      </c>
      <c r="M767" s="9">
        <v>45724</v>
      </c>
      <c r="N767" s="2" t="s">
        <v>1054</v>
      </c>
      <c r="O767" s="2" t="s">
        <v>55</v>
      </c>
      <c r="P767" s="2" t="s">
        <v>139</v>
      </c>
      <c r="Q767" s="2" t="s">
        <v>154</v>
      </c>
      <c r="R767" s="2" t="s">
        <v>128</v>
      </c>
      <c r="S767" s="2" t="s">
        <v>259</v>
      </c>
      <c r="T767" s="10">
        <v>4305</v>
      </c>
      <c r="U767" s="11">
        <v>6.5500000000000003E-3</v>
      </c>
      <c r="V767" s="12">
        <f>T767*U767</f>
        <v>28.197750000000003</v>
      </c>
      <c r="W767" s="13">
        <v>0.1</v>
      </c>
      <c r="X767" s="12">
        <f>V767-(V767/(1+W767))</f>
        <v>2.5634318181818188</v>
      </c>
      <c r="Y767" s="12">
        <f>V767-X767</f>
        <v>25.634318181818184</v>
      </c>
      <c r="Z767" s="14">
        <v>35</v>
      </c>
      <c r="AA767" s="2" t="str">
        <f>IF(V767&gt;Z767,"Yes","No")</f>
        <v>No</v>
      </c>
      <c r="AB767" s="12">
        <f>V767-Z767</f>
        <v>-6.8022499999999972</v>
      </c>
      <c r="AC767" s="15" t="s">
        <v>130</v>
      </c>
      <c r="AD767" s="15" t="s">
        <v>131</v>
      </c>
      <c r="AE767" s="15" t="s">
        <v>421</v>
      </c>
      <c r="AF767" s="12">
        <f>IF(AG767="Rejected",0,IF(R767="Corporate Card",0,V767))</f>
        <v>0</v>
      </c>
      <c r="AG767" s="15" t="s">
        <v>133</v>
      </c>
      <c r="AH767" s="16">
        <v>45736</v>
      </c>
      <c r="AI767" s="16">
        <v>45737</v>
      </c>
      <c r="AJ767" s="16">
        <v>45745</v>
      </c>
      <c r="AK767" s="17">
        <f>IF(AJ767="","",AJ767-AH767)</f>
        <v>9</v>
      </c>
    </row>
    <row r="768" spans="1:37">
      <c r="A768" s="2" t="s">
        <v>1154</v>
      </c>
      <c r="B768" s="2" t="s">
        <v>1155</v>
      </c>
      <c r="C768" s="2" t="s">
        <v>1156</v>
      </c>
      <c r="D768" s="2" t="s">
        <v>118</v>
      </c>
      <c r="E768" s="2" t="s">
        <v>119</v>
      </c>
      <c r="F768" s="2" t="s">
        <v>311</v>
      </c>
      <c r="G768" s="2" t="s">
        <v>1157</v>
      </c>
      <c r="H768" s="2" t="s">
        <v>379</v>
      </c>
      <c r="I768" s="2" t="s">
        <v>175</v>
      </c>
      <c r="J768" s="2" t="s">
        <v>176</v>
      </c>
      <c r="K768" s="9">
        <v>45725</v>
      </c>
      <c r="L768" s="9">
        <v>45728</v>
      </c>
      <c r="M768" s="9">
        <v>45725</v>
      </c>
      <c r="N768" s="2" t="s">
        <v>1054</v>
      </c>
      <c r="O768" s="2" t="s">
        <v>52</v>
      </c>
      <c r="P768" s="2" t="s">
        <v>177</v>
      </c>
      <c r="Q768" s="2" t="s">
        <v>197</v>
      </c>
      <c r="R768" s="2" t="s">
        <v>128</v>
      </c>
      <c r="S768" s="2" t="s">
        <v>179</v>
      </c>
      <c r="T768" s="10">
        <v>5356.56</v>
      </c>
      <c r="U768" s="11">
        <v>0.18099999999999999</v>
      </c>
      <c r="V768" s="12">
        <f>T768*U768</f>
        <v>969.53736000000004</v>
      </c>
      <c r="W768" s="13">
        <v>0</v>
      </c>
      <c r="X768" s="12">
        <f>V768-(V768/(1+W768))</f>
        <v>0</v>
      </c>
      <c r="Y768" s="12">
        <f>V768-X768</f>
        <v>969.53736000000004</v>
      </c>
      <c r="Z768" s="14">
        <v>1400</v>
      </c>
      <c r="AA768" s="2" t="str">
        <f>IF(V768&gt;Z768,"Yes","No")</f>
        <v>No</v>
      </c>
      <c r="AB768" s="12">
        <f>V768-Z768</f>
        <v>-430.46263999999996</v>
      </c>
      <c r="AC768" s="15" t="s">
        <v>130</v>
      </c>
      <c r="AD768" s="15" t="s">
        <v>130</v>
      </c>
      <c r="AE768" s="15" t="s">
        <v>514</v>
      </c>
      <c r="AF768" s="12">
        <f>IF(AG768="Rejected",0,IF(R768="Corporate Card",0,V768))</f>
        <v>0</v>
      </c>
      <c r="AG768" s="15" t="s">
        <v>133</v>
      </c>
      <c r="AH768" s="16">
        <v>45735</v>
      </c>
      <c r="AI768" s="16">
        <v>45736</v>
      </c>
      <c r="AJ768" s="16">
        <v>45742</v>
      </c>
      <c r="AK768" s="17">
        <f>IF(AJ768="","",AJ768-AH768)</f>
        <v>7</v>
      </c>
    </row>
    <row r="769" spans="1:37">
      <c r="A769" s="2" t="s">
        <v>1158</v>
      </c>
      <c r="B769" s="2" t="s">
        <v>1155</v>
      </c>
      <c r="C769" s="2" t="s">
        <v>1156</v>
      </c>
      <c r="D769" s="2" t="s">
        <v>118</v>
      </c>
      <c r="E769" s="2" t="s">
        <v>119</v>
      </c>
      <c r="F769" s="2" t="s">
        <v>311</v>
      </c>
      <c r="G769" s="2" t="s">
        <v>1157</v>
      </c>
      <c r="H769" s="2" t="s">
        <v>379</v>
      </c>
      <c r="I769" s="2" t="s">
        <v>175</v>
      </c>
      <c r="J769" s="2" t="s">
        <v>176</v>
      </c>
      <c r="K769" s="9">
        <v>45725</v>
      </c>
      <c r="L769" s="9">
        <v>45728</v>
      </c>
      <c r="M769" s="9">
        <v>45725</v>
      </c>
      <c r="N769" s="2" t="s">
        <v>1054</v>
      </c>
      <c r="O769" s="2" t="s">
        <v>58</v>
      </c>
      <c r="P769" s="2" t="s">
        <v>142</v>
      </c>
      <c r="Q769" s="2" t="s">
        <v>224</v>
      </c>
      <c r="R769" s="2" t="s">
        <v>128</v>
      </c>
      <c r="S769" s="2" t="s">
        <v>179</v>
      </c>
      <c r="T769" s="10">
        <v>304.44</v>
      </c>
      <c r="U769" s="11">
        <v>0.18099999999999999</v>
      </c>
      <c r="V769" s="12">
        <f>T769*U769</f>
        <v>55.103639999999999</v>
      </c>
      <c r="W769" s="13">
        <v>0.17</v>
      </c>
      <c r="X769" s="12">
        <f>V769-(V769/(1+W769))</f>
        <v>8.0065117948717912</v>
      </c>
      <c r="Y769" s="12">
        <f>V769-X769</f>
        <v>47.097128205128207</v>
      </c>
      <c r="Z769" s="14">
        <v>60</v>
      </c>
      <c r="AA769" s="2" t="str">
        <f>IF(V769&gt;Z769,"Yes","No")</f>
        <v>No</v>
      </c>
      <c r="AB769" s="12">
        <f>V769-Z769</f>
        <v>-4.8963600000000014</v>
      </c>
      <c r="AC769" s="15" t="s">
        <v>130</v>
      </c>
      <c r="AD769" s="15" t="s">
        <v>130</v>
      </c>
      <c r="AE769" s="15" t="s">
        <v>514</v>
      </c>
      <c r="AF769" s="12">
        <f>IF(AG769="Rejected",0,IF(R769="Corporate Card",0,V769))</f>
        <v>0</v>
      </c>
      <c r="AG769" s="15" t="s">
        <v>133</v>
      </c>
      <c r="AH769" s="16">
        <v>45735</v>
      </c>
      <c r="AI769" s="16">
        <v>45736</v>
      </c>
      <c r="AJ769" s="16">
        <v>45742</v>
      </c>
      <c r="AK769" s="17">
        <f>IF(AJ769="","",AJ769-AH769)</f>
        <v>7</v>
      </c>
    </row>
    <row r="770" spans="1:37">
      <c r="A770" s="2" t="s">
        <v>1159</v>
      </c>
      <c r="B770" s="2" t="s">
        <v>1155</v>
      </c>
      <c r="C770" s="2" t="s">
        <v>1156</v>
      </c>
      <c r="D770" s="2" t="s">
        <v>118</v>
      </c>
      <c r="E770" s="2" t="s">
        <v>119</v>
      </c>
      <c r="F770" s="2" t="s">
        <v>311</v>
      </c>
      <c r="G770" s="2" t="s">
        <v>1157</v>
      </c>
      <c r="H770" s="2" t="s">
        <v>379</v>
      </c>
      <c r="I770" s="2" t="s">
        <v>175</v>
      </c>
      <c r="J770" s="2" t="s">
        <v>176</v>
      </c>
      <c r="K770" s="9">
        <v>45725</v>
      </c>
      <c r="L770" s="9">
        <v>45728</v>
      </c>
      <c r="M770" s="9">
        <v>45725</v>
      </c>
      <c r="N770" s="2" t="s">
        <v>1054</v>
      </c>
      <c r="O770" s="2" t="s">
        <v>54</v>
      </c>
      <c r="P770" s="2" t="s">
        <v>139</v>
      </c>
      <c r="Q770" s="2" t="s">
        <v>140</v>
      </c>
      <c r="R770" s="2" t="s">
        <v>128</v>
      </c>
      <c r="S770" s="2" t="s">
        <v>179</v>
      </c>
      <c r="T770" s="10">
        <v>81.66</v>
      </c>
      <c r="U770" s="11">
        <v>0.18099999999999999</v>
      </c>
      <c r="V770" s="12">
        <f>T770*U770</f>
        <v>14.78046</v>
      </c>
      <c r="W770" s="13">
        <v>0.17</v>
      </c>
      <c r="X770" s="12">
        <f>V770-(V770/(1+W770))</f>
        <v>2.1475882051282049</v>
      </c>
      <c r="Y770" s="12">
        <f>V770-X770</f>
        <v>12.632871794871795</v>
      </c>
      <c r="Z770" s="14">
        <v>25</v>
      </c>
      <c r="AA770" s="2" t="str">
        <f>IF(V770&gt;Z770,"Yes","No")</f>
        <v>No</v>
      </c>
      <c r="AB770" s="12">
        <f>V770-Z770</f>
        <v>-10.21954</v>
      </c>
      <c r="AC770" s="15" t="s">
        <v>130</v>
      </c>
      <c r="AD770" s="15" t="s">
        <v>130</v>
      </c>
      <c r="AE770" s="15" t="s">
        <v>514</v>
      </c>
      <c r="AF770" s="12">
        <f>IF(AG770="Rejected",0,IF(R770="Corporate Card",0,V770))</f>
        <v>0</v>
      </c>
      <c r="AG770" s="15" t="s">
        <v>133</v>
      </c>
      <c r="AH770" s="16">
        <v>45735</v>
      </c>
      <c r="AI770" s="16">
        <v>45736</v>
      </c>
      <c r="AJ770" s="16">
        <v>45742</v>
      </c>
      <c r="AK770" s="17">
        <f>IF(AJ770="","",AJ770-AH770)</f>
        <v>7</v>
      </c>
    </row>
    <row r="771" spans="1:37">
      <c r="A771" s="2" t="s">
        <v>1160</v>
      </c>
      <c r="B771" s="2" t="s">
        <v>1155</v>
      </c>
      <c r="C771" s="2" t="s">
        <v>1156</v>
      </c>
      <c r="D771" s="2" t="s">
        <v>118</v>
      </c>
      <c r="E771" s="2" t="s">
        <v>119</v>
      </c>
      <c r="F771" s="2" t="s">
        <v>311</v>
      </c>
      <c r="G771" s="2" t="s">
        <v>1157</v>
      </c>
      <c r="H771" s="2" t="s">
        <v>379</v>
      </c>
      <c r="I771" s="2" t="s">
        <v>175</v>
      </c>
      <c r="J771" s="2" t="s">
        <v>176</v>
      </c>
      <c r="K771" s="9">
        <v>45725</v>
      </c>
      <c r="L771" s="9">
        <v>45728</v>
      </c>
      <c r="M771" s="9">
        <v>45725</v>
      </c>
      <c r="N771" s="2" t="s">
        <v>1054</v>
      </c>
      <c r="O771" s="2" t="s">
        <v>56</v>
      </c>
      <c r="P771" s="2" t="s">
        <v>151</v>
      </c>
      <c r="Q771" s="2" t="s">
        <v>152</v>
      </c>
      <c r="R771" s="2" t="s">
        <v>128</v>
      </c>
      <c r="S771" s="2" t="s">
        <v>179</v>
      </c>
      <c r="T771" s="10">
        <v>314.49</v>
      </c>
      <c r="U771" s="11">
        <v>0.18099999999999999</v>
      </c>
      <c r="V771" s="12">
        <f>T771*U771</f>
        <v>56.922690000000003</v>
      </c>
      <c r="W771" s="13">
        <v>0.17</v>
      </c>
      <c r="X771" s="12">
        <f>V771-(V771/(1+W771))</f>
        <v>8.2708182051282009</v>
      </c>
      <c r="Y771" s="12">
        <f>V771-X771</f>
        <v>48.651871794871802</v>
      </c>
      <c r="Z771" s="14">
        <v>75</v>
      </c>
      <c r="AA771" s="2" t="str">
        <f>IF(V771&gt;Z771,"Yes","No")</f>
        <v>No</v>
      </c>
      <c r="AB771" s="12">
        <f>V771-Z771</f>
        <v>-18.077309999999997</v>
      </c>
      <c r="AC771" s="15" t="s">
        <v>130</v>
      </c>
      <c r="AD771" s="15" t="s">
        <v>130</v>
      </c>
      <c r="AE771" s="15" t="s">
        <v>514</v>
      </c>
      <c r="AF771" s="12">
        <f>IF(AG771="Rejected",0,IF(R771="Corporate Card",0,V771))</f>
        <v>0</v>
      </c>
      <c r="AG771" s="15" t="s">
        <v>133</v>
      </c>
      <c r="AH771" s="16">
        <v>45735</v>
      </c>
      <c r="AI771" s="16">
        <v>45736</v>
      </c>
      <c r="AJ771" s="16">
        <v>45742</v>
      </c>
      <c r="AK771" s="17">
        <f>IF(AJ771="","",AJ771-AH771)</f>
        <v>7</v>
      </c>
    </row>
    <row r="772" spans="1:37">
      <c r="A772" s="2" t="s">
        <v>1161</v>
      </c>
      <c r="B772" s="2" t="s">
        <v>1155</v>
      </c>
      <c r="C772" s="2" t="s">
        <v>1156</v>
      </c>
      <c r="D772" s="2" t="s">
        <v>118</v>
      </c>
      <c r="E772" s="2" t="s">
        <v>119</v>
      </c>
      <c r="F772" s="2" t="s">
        <v>311</v>
      </c>
      <c r="G772" s="2" t="s">
        <v>1157</v>
      </c>
      <c r="H772" s="2" t="s">
        <v>379</v>
      </c>
      <c r="I772" s="2" t="s">
        <v>175</v>
      </c>
      <c r="J772" s="2" t="s">
        <v>176</v>
      </c>
      <c r="K772" s="9">
        <v>45725</v>
      </c>
      <c r="L772" s="9">
        <v>45728</v>
      </c>
      <c r="M772" s="9">
        <v>45725</v>
      </c>
      <c r="N772" s="2" t="s">
        <v>1054</v>
      </c>
      <c r="O772" s="2" t="s">
        <v>55</v>
      </c>
      <c r="P772" s="2" t="s">
        <v>139</v>
      </c>
      <c r="Q772" s="2" t="s">
        <v>187</v>
      </c>
      <c r="R772" s="2" t="s">
        <v>137</v>
      </c>
      <c r="S772" s="2" t="s">
        <v>179</v>
      </c>
      <c r="T772" s="10">
        <v>124.83</v>
      </c>
      <c r="U772" s="11">
        <v>0.18099999999999999</v>
      </c>
      <c r="V772" s="12">
        <f>T772*U772</f>
        <v>22.59423</v>
      </c>
      <c r="W772" s="13">
        <v>0.17</v>
      </c>
      <c r="X772" s="12">
        <f>V772-(V772/(1+W772))</f>
        <v>3.2829223076923064</v>
      </c>
      <c r="Y772" s="12">
        <f>V772-X772</f>
        <v>19.311307692307693</v>
      </c>
      <c r="Z772" s="14">
        <v>35</v>
      </c>
      <c r="AA772" s="2" t="str">
        <f>IF(V772&gt;Z772,"Yes","No")</f>
        <v>No</v>
      </c>
      <c r="AB772" s="12">
        <f>V772-Z772</f>
        <v>-12.40577</v>
      </c>
      <c r="AC772" s="15" t="s">
        <v>130</v>
      </c>
      <c r="AD772" s="15" t="s">
        <v>130</v>
      </c>
      <c r="AE772" s="15" t="s">
        <v>514</v>
      </c>
      <c r="AF772" s="12">
        <f>IF(AG772="Rejected",0,IF(R772="Corporate Card",0,V772))</f>
        <v>22.59423</v>
      </c>
      <c r="AG772" s="15" t="s">
        <v>133</v>
      </c>
      <c r="AH772" s="16">
        <v>45735</v>
      </c>
      <c r="AI772" s="16">
        <v>45736</v>
      </c>
      <c r="AJ772" s="16">
        <v>45742</v>
      </c>
      <c r="AK772" s="17">
        <f>IF(AJ772="","",AJ772-AH772)</f>
        <v>7</v>
      </c>
    </row>
    <row r="773" spans="1:37">
      <c r="A773" s="2" t="s">
        <v>1162</v>
      </c>
      <c r="B773" s="2" t="s">
        <v>287</v>
      </c>
      <c r="C773" s="2" t="s">
        <v>288</v>
      </c>
      <c r="D773" s="2" t="s">
        <v>171</v>
      </c>
      <c r="E773" s="2" t="s">
        <v>289</v>
      </c>
      <c r="F773" s="2" t="s">
        <v>173</v>
      </c>
      <c r="G773" s="2" t="s">
        <v>1163</v>
      </c>
      <c r="H773" s="2" t="s">
        <v>379</v>
      </c>
      <c r="I773" s="2" t="s">
        <v>380</v>
      </c>
      <c r="J773" s="2" t="s">
        <v>381</v>
      </c>
      <c r="K773" s="9">
        <v>45725</v>
      </c>
      <c r="L773" s="9">
        <v>45731</v>
      </c>
      <c r="M773" s="9">
        <v>45725</v>
      </c>
      <c r="N773" s="2" t="s">
        <v>1054</v>
      </c>
      <c r="O773" s="2" t="s">
        <v>52</v>
      </c>
      <c r="P773" s="2" t="s">
        <v>382</v>
      </c>
      <c r="Q773" s="2" t="s">
        <v>258</v>
      </c>
      <c r="R773" s="2" t="s">
        <v>137</v>
      </c>
      <c r="S773" s="2" t="s">
        <v>383</v>
      </c>
      <c r="T773" s="10">
        <v>684.43</v>
      </c>
      <c r="U773" s="11">
        <v>1</v>
      </c>
      <c r="V773" s="12">
        <f>T773*U773</f>
        <v>684.43</v>
      </c>
      <c r="W773" s="13">
        <v>0</v>
      </c>
      <c r="X773" s="12">
        <f>V773-(V773/(1+W773))</f>
        <v>0</v>
      </c>
      <c r="Y773" s="12">
        <f>V773-X773</f>
        <v>684.43</v>
      </c>
      <c r="Z773" s="14">
        <v>1400</v>
      </c>
      <c r="AA773" s="2" t="str">
        <f>IF(V773&gt;Z773,"Yes","No")</f>
        <v>No</v>
      </c>
      <c r="AB773" s="12">
        <f>V773-Z773</f>
        <v>-715.57</v>
      </c>
      <c r="AC773" s="15" t="s">
        <v>130</v>
      </c>
      <c r="AD773" s="15" t="s">
        <v>130</v>
      </c>
      <c r="AE773" s="15" t="s">
        <v>421</v>
      </c>
      <c r="AF773" s="12">
        <f>IF(AG773="Rejected",0,IF(R773="Corporate Card",0,V773))</f>
        <v>684.43</v>
      </c>
      <c r="AG773" s="15" t="s">
        <v>133</v>
      </c>
      <c r="AH773" s="16">
        <v>45732</v>
      </c>
      <c r="AI773" s="16">
        <v>45735</v>
      </c>
      <c r="AJ773" s="16">
        <v>45741</v>
      </c>
      <c r="AK773" s="17">
        <f>IF(AJ773="","",AJ773-AH773)</f>
        <v>9</v>
      </c>
    </row>
    <row r="774" spans="1:37">
      <c r="A774" s="2" t="s">
        <v>1164</v>
      </c>
      <c r="B774" s="2" t="s">
        <v>287</v>
      </c>
      <c r="C774" s="2" t="s">
        <v>288</v>
      </c>
      <c r="D774" s="2" t="s">
        <v>171</v>
      </c>
      <c r="E774" s="2" t="s">
        <v>289</v>
      </c>
      <c r="F774" s="2" t="s">
        <v>173</v>
      </c>
      <c r="G774" s="2" t="s">
        <v>1163</v>
      </c>
      <c r="H774" s="2" t="s">
        <v>379</v>
      </c>
      <c r="I774" s="2" t="s">
        <v>380</v>
      </c>
      <c r="J774" s="2" t="s">
        <v>381</v>
      </c>
      <c r="K774" s="9">
        <v>45725</v>
      </c>
      <c r="L774" s="9">
        <v>45731</v>
      </c>
      <c r="M774" s="9">
        <v>45725</v>
      </c>
      <c r="N774" s="2" t="s">
        <v>1054</v>
      </c>
      <c r="O774" s="2" t="s">
        <v>58</v>
      </c>
      <c r="P774" s="2" t="s">
        <v>142</v>
      </c>
      <c r="Q774" s="2" t="s">
        <v>224</v>
      </c>
      <c r="R774" s="2" t="s">
        <v>128</v>
      </c>
      <c r="S774" s="2" t="s">
        <v>383</v>
      </c>
      <c r="T774" s="10">
        <v>26.66</v>
      </c>
      <c r="U774" s="11">
        <v>1</v>
      </c>
      <c r="V774" s="12">
        <f>T774*U774</f>
        <v>26.66</v>
      </c>
      <c r="W774" s="13">
        <v>0</v>
      </c>
      <c r="X774" s="12">
        <f>V774-(V774/(1+W774))</f>
        <v>0</v>
      </c>
      <c r="Y774" s="12">
        <f>V774-X774</f>
        <v>26.66</v>
      </c>
      <c r="Z774" s="14">
        <v>60</v>
      </c>
      <c r="AA774" s="2" t="str">
        <f>IF(V774&gt;Z774,"Yes","No")</f>
        <v>No</v>
      </c>
      <c r="AB774" s="12">
        <f>V774-Z774</f>
        <v>-33.340000000000003</v>
      </c>
      <c r="AC774" s="15" t="s">
        <v>130</v>
      </c>
      <c r="AD774" s="15" t="s">
        <v>130</v>
      </c>
      <c r="AE774" s="15" t="s">
        <v>421</v>
      </c>
      <c r="AF774" s="12">
        <f>IF(AG774="Rejected",0,IF(R774="Corporate Card",0,V774))</f>
        <v>0</v>
      </c>
      <c r="AG774" s="15" t="s">
        <v>133</v>
      </c>
      <c r="AH774" s="16">
        <v>45732</v>
      </c>
      <c r="AI774" s="16">
        <v>45735</v>
      </c>
      <c r="AJ774" s="16">
        <v>45741</v>
      </c>
      <c r="AK774" s="17">
        <f>IF(AJ774="","",AJ774-AH774)</f>
        <v>9</v>
      </c>
    </row>
    <row r="775" spans="1:37">
      <c r="A775" s="2" t="s">
        <v>1165</v>
      </c>
      <c r="B775" s="2" t="s">
        <v>287</v>
      </c>
      <c r="C775" s="2" t="s">
        <v>288</v>
      </c>
      <c r="D775" s="2" t="s">
        <v>171</v>
      </c>
      <c r="E775" s="2" t="s">
        <v>289</v>
      </c>
      <c r="F775" s="2" t="s">
        <v>173</v>
      </c>
      <c r="G775" s="2" t="s">
        <v>1163</v>
      </c>
      <c r="H775" s="2" t="s">
        <v>379</v>
      </c>
      <c r="I775" s="2" t="s">
        <v>380</v>
      </c>
      <c r="J775" s="2" t="s">
        <v>381</v>
      </c>
      <c r="K775" s="9">
        <v>45725</v>
      </c>
      <c r="L775" s="9">
        <v>45731</v>
      </c>
      <c r="M775" s="9">
        <v>45725</v>
      </c>
      <c r="N775" s="2" t="s">
        <v>1054</v>
      </c>
      <c r="O775" s="2" t="s">
        <v>54</v>
      </c>
      <c r="P775" s="2" t="s">
        <v>139</v>
      </c>
      <c r="Q775" s="2" t="s">
        <v>148</v>
      </c>
      <c r="R775" s="2" t="s">
        <v>137</v>
      </c>
      <c r="S775" s="2" t="s">
        <v>383</v>
      </c>
      <c r="T775" s="10">
        <v>17.22</v>
      </c>
      <c r="U775" s="11">
        <v>1</v>
      </c>
      <c r="V775" s="12">
        <f>T775*U775</f>
        <v>17.22</v>
      </c>
      <c r="W775" s="13">
        <v>0</v>
      </c>
      <c r="X775" s="12">
        <f>V775-(V775/(1+W775))</f>
        <v>0</v>
      </c>
      <c r="Y775" s="12">
        <f>V775-X775</f>
        <v>17.22</v>
      </c>
      <c r="Z775" s="14">
        <v>25</v>
      </c>
      <c r="AA775" s="2" t="str">
        <f>IF(V775&gt;Z775,"Yes","No")</f>
        <v>No</v>
      </c>
      <c r="AB775" s="12">
        <f>V775-Z775</f>
        <v>-7.7800000000000011</v>
      </c>
      <c r="AC775" s="15" t="s">
        <v>130</v>
      </c>
      <c r="AD775" s="15" t="s">
        <v>130</v>
      </c>
      <c r="AE775" s="15" t="s">
        <v>421</v>
      </c>
      <c r="AF775" s="12">
        <f>IF(AG775="Rejected",0,IF(R775="Corporate Card",0,V775))</f>
        <v>17.22</v>
      </c>
      <c r="AG775" s="15" t="s">
        <v>133</v>
      </c>
      <c r="AH775" s="16">
        <v>45732</v>
      </c>
      <c r="AI775" s="16">
        <v>45735</v>
      </c>
      <c r="AJ775" s="16">
        <v>45741</v>
      </c>
      <c r="AK775" s="17">
        <f>IF(AJ775="","",AJ775-AH775)</f>
        <v>9</v>
      </c>
    </row>
    <row r="776" spans="1:37">
      <c r="A776" s="2" t="s">
        <v>1166</v>
      </c>
      <c r="B776" s="2" t="s">
        <v>287</v>
      </c>
      <c r="C776" s="2" t="s">
        <v>288</v>
      </c>
      <c r="D776" s="2" t="s">
        <v>171</v>
      </c>
      <c r="E776" s="2" t="s">
        <v>289</v>
      </c>
      <c r="F776" s="2" t="s">
        <v>173</v>
      </c>
      <c r="G776" s="2" t="s">
        <v>1163</v>
      </c>
      <c r="H776" s="2" t="s">
        <v>379</v>
      </c>
      <c r="I776" s="2" t="s">
        <v>380</v>
      </c>
      <c r="J776" s="2" t="s">
        <v>381</v>
      </c>
      <c r="K776" s="9">
        <v>45725</v>
      </c>
      <c r="L776" s="9">
        <v>45731</v>
      </c>
      <c r="M776" s="9">
        <v>45725</v>
      </c>
      <c r="N776" s="2" t="s">
        <v>1054</v>
      </c>
      <c r="O776" s="2" t="s">
        <v>56</v>
      </c>
      <c r="P776" s="2" t="s">
        <v>231</v>
      </c>
      <c r="Q776" s="2" t="s">
        <v>166</v>
      </c>
      <c r="R776" s="2" t="s">
        <v>149</v>
      </c>
      <c r="S776" s="2" t="s">
        <v>383</v>
      </c>
      <c r="T776" s="10">
        <v>33.869999999999997</v>
      </c>
      <c r="U776" s="11">
        <v>1</v>
      </c>
      <c r="V776" s="12">
        <f>T776*U776</f>
        <v>33.869999999999997</v>
      </c>
      <c r="W776" s="13">
        <v>0</v>
      </c>
      <c r="X776" s="12">
        <f>V776-(V776/(1+W776))</f>
        <v>0</v>
      </c>
      <c r="Y776" s="12">
        <f>V776-X776</f>
        <v>33.869999999999997</v>
      </c>
      <c r="Z776" s="14">
        <v>75</v>
      </c>
      <c r="AA776" s="2" t="str">
        <f>IF(V776&gt;Z776,"Yes","No")</f>
        <v>No</v>
      </c>
      <c r="AB776" s="12">
        <f>V776-Z776</f>
        <v>-41.13</v>
      </c>
      <c r="AC776" s="15" t="s">
        <v>131</v>
      </c>
      <c r="AD776" s="15" t="s">
        <v>130</v>
      </c>
      <c r="AE776" s="15" t="s">
        <v>421</v>
      </c>
      <c r="AF776" s="12">
        <f>IF(AG776="Rejected",0,IF(R776="Corporate Card",0,V776))</f>
        <v>33.869999999999997</v>
      </c>
      <c r="AG776" s="15" t="s">
        <v>133</v>
      </c>
      <c r="AH776" s="16">
        <v>45732</v>
      </c>
      <c r="AI776" s="16">
        <v>45735</v>
      </c>
      <c r="AJ776" s="16">
        <v>45741</v>
      </c>
      <c r="AK776" s="17">
        <f>IF(AJ776="","",AJ776-AH776)</f>
        <v>9</v>
      </c>
    </row>
    <row r="777" spans="1:37">
      <c r="A777" s="2" t="s">
        <v>1167</v>
      </c>
      <c r="B777" s="2" t="s">
        <v>287</v>
      </c>
      <c r="C777" s="2" t="s">
        <v>288</v>
      </c>
      <c r="D777" s="2" t="s">
        <v>171</v>
      </c>
      <c r="E777" s="2" t="s">
        <v>289</v>
      </c>
      <c r="F777" s="2" t="s">
        <v>173</v>
      </c>
      <c r="G777" s="2" t="s">
        <v>1163</v>
      </c>
      <c r="H777" s="2" t="s">
        <v>379</v>
      </c>
      <c r="I777" s="2" t="s">
        <v>380</v>
      </c>
      <c r="J777" s="2" t="s">
        <v>381</v>
      </c>
      <c r="K777" s="9">
        <v>45725</v>
      </c>
      <c r="L777" s="9">
        <v>45731</v>
      </c>
      <c r="M777" s="9">
        <v>45725</v>
      </c>
      <c r="N777" s="2" t="s">
        <v>1054</v>
      </c>
      <c r="O777" s="2" t="s">
        <v>55</v>
      </c>
      <c r="P777" s="2" t="s">
        <v>139</v>
      </c>
      <c r="Q777" s="2" t="s">
        <v>161</v>
      </c>
      <c r="R777" s="2" t="s">
        <v>128</v>
      </c>
      <c r="S777" s="2" t="s">
        <v>383</v>
      </c>
      <c r="T777" s="10">
        <v>38.380000000000003</v>
      </c>
      <c r="U777" s="11">
        <v>1</v>
      </c>
      <c r="V777" s="12">
        <f>T777*U777</f>
        <v>38.380000000000003</v>
      </c>
      <c r="W777" s="13">
        <v>0</v>
      </c>
      <c r="X777" s="12">
        <f>V777-(V777/(1+W777))</f>
        <v>0</v>
      </c>
      <c r="Y777" s="12">
        <f>V777-X777</f>
        <v>38.380000000000003</v>
      </c>
      <c r="Z777" s="14">
        <v>35</v>
      </c>
      <c r="AA777" s="2" t="str">
        <f>IF(V777&gt;Z777,"Yes","No")</f>
        <v>Yes</v>
      </c>
      <c r="AB777" s="12">
        <f>V777-Z777</f>
        <v>3.3800000000000026</v>
      </c>
      <c r="AC777" s="15" t="s">
        <v>130</v>
      </c>
      <c r="AD777" s="15" t="s">
        <v>130</v>
      </c>
      <c r="AE777" s="15" t="s">
        <v>421</v>
      </c>
      <c r="AF777" s="12">
        <f>IF(AG777="Rejected",0,IF(R777="Corporate Card",0,V777))</f>
        <v>0</v>
      </c>
      <c r="AG777" s="15" t="s">
        <v>133</v>
      </c>
      <c r="AH777" s="16">
        <v>45732</v>
      </c>
      <c r="AI777" s="16">
        <v>45735</v>
      </c>
      <c r="AJ777" s="16">
        <v>45741</v>
      </c>
      <c r="AK777" s="17">
        <f>IF(AJ777="","",AJ777-AH777)</f>
        <v>9</v>
      </c>
    </row>
    <row r="778" spans="1:37">
      <c r="A778" s="2" t="s">
        <v>1168</v>
      </c>
      <c r="B778" s="2" t="s">
        <v>342</v>
      </c>
      <c r="C778" s="2" t="s">
        <v>343</v>
      </c>
      <c r="D778" s="2" t="s">
        <v>344</v>
      </c>
      <c r="E778" s="2" t="s">
        <v>345</v>
      </c>
      <c r="F778" s="2" t="s">
        <v>346</v>
      </c>
      <c r="G778" s="2" t="s">
        <v>1086</v>
      </c>
      <c r="H778" s="2" t="s">
        <v>448</v>
      </c>
      <c r="I778" s="2" t="s">
        <v>619</v>
      </c>
      <c r="J778" s="2" t="s">
        <v>381</v>
      </c>
      <c r="K778" s="9">
        <v>45719</v>
      </c>
      <c r="L778" s="9">
        <v>45727</v>
      </c>
      <c r="M778" s="9">
        <v>45725</v>
      </c>
      <c r="N778" s="2" t="s">
        <v>1054</v>
      </c>
      <c r="O778" s="2" t="s">
        <v>54</v>
      </c>
      <c r="P778" s="2" t="s">
        <v>139</v>
      </c>
      <c r="Q778" s="2" t="s">
        <v>140</v>
      </c>
      <c r="R778" s="2" t="s">
        <v>128</v>
      </c>
      <c r="S778" s="2" t="s">
        <v>383</v>
      </c>
      <c r="T778" s="10">
        <v>13.84</v>
      </c>
      <c r="U778" s="11">
        <v>1</v>
      </c>
      <c r="V778" s="12">
        <f>T778*U778</f>
        <v>13.84</v>
      </c>
      <c r="W778" s="13">
        <v>0</v>
      </c>
      <c r="X778" s="12">
        <f>V778-(V778/(1+W778))</f>
        <v>0</v>
      </c>
      <c r="Y778" s="12">
        <f>V778-X778</f>
        <v>13.84</v>
      </c>
      <c r="Z778" s="14">
        <v>25</v>
      </c>
      <c r="AA778" s="2" t="str">
        <f>IF(V778&gt;Z778,"Yes","No")</f>
        <v>No</v>
      </c>
      <c r="AB778" s="12">
        <f>V778-Z778</f>
        <v>-11.16</v>
      </c>
      <c r="AC778" s="15" t="s">
        <v>131</v>
      </c>
      <c r="AD778" s="15" t="s">
        <v>130</v>
      </c>
      <c r="AE778" s="15" t="s">
        <v>350</v>
      </c>
      <c r="AF778" s="12">
        <f>IF(AG778="Rejected",0,IF(R778="Corporate Card",0,V778))</f>
        <v>0</v>
      </c>
      <c r="AG778" s="15" t="s">
        <v>133</v>
      </c>
      <c r="AH778" s="16">
        <v>45734</v>
      </c>
      <c r="AI778" s="16">
        <v>45740</v>
      </c>
      <c r="AJ778" s="16">
        <v>45743</v>
      </c>
      <c r="AK778" s="17">
        <f>IF(AJ778="","",AJ778-AH778)</f>
        <v>9</v>
      </c>
    </row>
    <row r="779" spans="1:37">
      <c r="A779" s="2" t="s">
        <v>1169</v>
      </c>
      <c r="B779" s="2" t="s">
        <v>342</v>
      </c>
      <c r="C779" s="2" t="s">
        <v>343</v>
      </c>
      <c r="D779" s="2" t="s">
        <v>344</v>
      </c>
      <c r="E779" s="2" t="s">
        <v>345</v>
      </c>
      <c r="F779" s="2" t="s">
        <v>346</v>
      </c>
      <c r="G779" s="2" t="s">
        <v>1086</v>
      </c>
      <c r="H779" s="2" t="s">
        <v>448</v>
      </c>
      <c r="I779" s="2" t="s">
        <v>619</v>
      </c>
      <c r="J779" s="2" t="s">
        <v>381</v>
      </c>
      <c r="K779" s="9">
        <v>45719</v>
      </c>
      <c r="L779" s="9">
        <v>45727</v>
      </c>
      <c r="M779" s="9">
        <v>45725</v>
      </c>
      <c r="N779" s="2" t="s">
        <v>1054</v>
      </c>
      <c r="O779" s="2" t="s">
        <v>56</v>
      </c>
      <c r="P779" s="2" t="s">
        <v>245</v>
      </c>
      <c r="Q779" s="2" t="s">
        <v>159</v>
      </c>
      <c r="R779" s="2" t="s">
        <v>137</v>
      </c>
      <c r="S779" s="2" t="s">
        <v>383</v>
      </c>
      <c r="T779" s="10">
        <v>45.49</v>
      </c>
      <c r="U779" s="11">
        <v>1</v>
      </c>
      <c r="V779" s="12">
        <f>T779*U779</f>
        <v>45.49</v>
      </c>
      <c r="W779" s="13">
        <v>0</v>
      </c>
      <c r="X779" s="12">
        <f>V779-(V779/(1+W779))</f>
        <v>0</v>
      </c>
      <c r="Y779" s="12">
        <f>V779-X779</f>
        <v>45.49</v>
      </c>
      <c r="Z779" s="14">
        <v>75</v>
      </c>
      <c r="AA779" s="2" t="str">
        <f>IF(V779&gt;Z779,"Yes","No")</f>
        <v>No</v>
      </c>
      <c r="AB779" s="12">
        <f>V779-Z779</f>
        <v>-29.509999999999998</v>
      </c>
      <c r="AC779" s="15" t="s">
        <v>130</v>
      </c>
      <c r="AD779" s="15" t="s">
        <v>130</v>
      </c>
      <c r="AE779" s="15" t="s">
        <v>350</v>
      </c>
      <c r="AF779" s="12">
        <f>IF(AG779="Rejected",0,IF(R779="Corporate Card",0,V779))</f>
        <v>45.49</v>
      </c>
      <c r="AG779" s="15" t="s">
        <v>133</v>
      </c>
      <c r="AH779" s="16">
        <v>45734</v>
      </c>
      <c r="AI779" s="16">
        <v>45740</v>
      </c>
      <c r="AJ779" s="16">
        <v>45743</v>
      </c>
      <c r="AK779" s="17">
        <f>IF(AJ779="","",AJ779-AH779)</f>
        <v>9</v>
      </c>
    </row>
    <row r="780" spans="1:37">
      <c r="A780" s="2" t="s">
        <v>1170</v>
      </c>
      <c r="B780" s="2" t="s">
        <v>342</v>
      </c>
      <c r="C780" s="2" t="s">
        <v>343</v>
      </c>
      <c r="D780" s="2" t="s">
        <v>344</v>
      </c>
      <c r="E780" s="2" t="s">
        <v>345</v>
      </c>
      <c r="F780" s="2" t="s">
        <v>346</v>
      </c>
      <c r="G780" s="2" t="s">
        <v>1086</v>
      </c>
      <c r="H780" s="2" t="s">
        <v>448</v>
      </c>
      <c r="I780" s="2" t="s">
        <v>619</v>
      </c>
      <c r="J780" s="2" t="s">
        <v>381</v>
      </c>
      <c r="K780" s="9">
        <v>45719</v>
      </c>
      <c r="L780" s="9">
        <v>45727</v>
      </c>
      <c r="M780" s="9">
        <v>45725</v>
      </c>
      <c r="N780" s="2" t="s">
        <v>1054</v>
      </c>
      <c r="O780" s="2" t="s">
        <v>55</v>
      </c>
      <c r="P780" s="2" t="s">
        <v>139</v>
      </c>
      <c r="Q780" s="2" t="s">
        <v>154</v>
      </c>
      <c r="R780" s="2" t="s">
        <v>128</v>
      </c>
      <c r="S780" s="2" t="s">
        <v>383</v>
      </c>
      <c r="T780" s="10">
        <v>26.3</v>
      </c>
      <c r="U780" s="11">
        <v>1</v>
      </c>
      <c r="V780" s="12">
        <f>T780*U780</f>
        <v>26.3</v>
      </c>
      <c r="W780" s="13">
        <v>0</v>
      </c>
      <c r="X780" s="12">
        <f>V780-(V780/(1+W780))</f>
        <v>0</v>
      </c>
      <c r="Y780" s="12">
        <f>V780-X780</f>
        <v>26.3</v>
      </c>
      <c r="Z780" s="14">
        <v>35</v>
      </c>
      <c r="AA780" s="2" t="str">
        <f>IF(V780&gt;Z780,"Yes","No")</f>
        <v>No</v>
      </c>
      <c r="AB780" s="12">
        <f>V780-Z780</f>
        <v>-8.6999999999999993</v>
      </c>
      <c r="AC780" s="15" t="s">
        <v>130</v>
      </c>
      <c r="AD780" s="15" t="s">
        <v>130</v>
      </c>
      <c r="AE780" s="15" t="s">
        <v>350</v>
      </c>
      <c r="AF780" s="12">
        <f>IF(AG780="Rejected",0,IF(R780="Corporate Card",0,V780))</f>
        <v>0</v>
      </c>
      <c r="AG780" s="15" t="s">
        <v>133</v>
      </c>
      <c r="AH780" s="16">
        <v>45734</v>
      </c>
      <c r="AI780" s="16">
        <v>45740</v>
      </c>
      <c r="AJ780" s="16">
        <v>45743</v>
      </c>
      <c r="AK780" s="17">
        <f>IF(AJ780="","",AJ780-AH780)</f>
        <v>9</v>
      </c>
    </row>
    <row r="781" spans="1:37">
      <c r="A781" s="2" t="s">
        <v>1171</v>
      </c>
      <c r="B781" s="2" t="s">
        <v>550</v>
      </c>
      <c r="C781" s="2" t="s">
        <v>551</v>
      </c>
      <c r="D781" s="2" t="s">
        <v>171</v>
      </c>
      <c r="E781" s="2" t="s">
        <v>172</v>
      </c>
      <c r="F781" s="2" t="s">
        <v>173</v>
      </c>
      <c r="G781" s="2" t="s">
        <v>1103</v>
      </c>
      <c r="H781" s="2" t="s">
        <v>448</v>
      </c>
      <c r="I781" s="2" t="s">
        <v>255</v>
      </c>
      <c r="J781" s="2" t="s">
        <v>256</v>
      </c>
      <c r="K781" s="9">
        <v>45720</v>
      </c>
      <c r="L781" s="9">
        <v>45727</v>
      </c>
      <c r="M781" s="9">
        <v>45725</v>
      </c>
      <c r="N781" s="2" t="s">
        <v>1054</v>
      </c>
      <c r="O781" s="2" t="s">
        <v>58</v>
      </c>
      <c r="P781" s="2" t="s">
        <v>142</v>
      </c>
      <c r="Q781" s="2" t="s">
        <v>224</v>
      </c>
      <c r="R781" s="2" t="s">
        <v>128</v>
      </c>
      <c r="S781" s="2" t="s">
        <v>259</v>
      </c>
      <c r="T781" s="10">
        <v>5470</v>
      </c>
      <c r="U781" s="11">
        <v>6.5500000000000003E-3</v>
      </c>
      <c r="V781" s="12">
        <f>T781*U781</f>
        <v>35.828499999999998</v>
      </c>
      <c r="W781" s="13">
        <v>0.1</v>
      </c>
      <c r="X781" s="12">
        <f>V781-(V781/(1+W781))</f>
        <v>3.2571363636363628</v>
      </c>
      <c r="Y781" s="12">
        <f>V781-X781</f>
        <v>32.571363636363635</v>
      </c>
      <c r="Z781" s="14">
        <v>60</v>
      </c>
      <c r="AA781" s="2" t="str">
        <f>IF(V781&gt;Z781,"Yes","No")</f>
        <v>No</v>
      </c>
      <c r="AB781" s="12">
        <f>V781-Z781</f>
        <v>-24.171500000000002</v>
      </c>
      <c r="AC781" s="15" t="s">
        <v>130</v>
      </c>
      <c r="AD781" s="15" t="s">
        <v>131</v>
      </c>
      <c r="AE781" s="15" t="s">
        <v>421</v>
      </c>
      <c r="AF781" s="12">
        <f>IF(AG781="Rejected",0,IF(R781="Corporate Card",0,V781))</f>
        <v>0</v>
      </c>
      <c r="AG781" s="15" t="s">
        <v>133</v>
      </c>
      <c r="AH781" s="16">
        <v>45736</v>
      </c>
      <c r="AI781" s="16">
        <v>45737</v>
      </c>
      <c r="AJ781" s="16">
        <v>45745</v>
      </c>
      <c r="AK781" s="17">
        <f>IF(AJ781="","",AJ781-AH781)</f>
        <v>9</v>
      </c>
    </row>
    <row r="782" spans="1:37">
      <c r="A782" s="2" t="s">
        <v>1172</v>
      </c>
      <c r="B782" s="2" t="s">
        <v>550</v>
      </c>
      <c r="C782" s="2" t="s">
        <v>551</v>
      </c>
      <c r="D782" s="2" t="s">
        <v>171</v>
      </c>
      <c r="E782" s="2" t="s">
        <v>172</v>
      </c>
      <c r="F782" s="2" t="s">
        <v>173</v>
      </c>
      <c r="G782" s="2" t="s">
        <v>1103</v>
      </c>
      <c r="H782" s="2" t="s">
        <v>448</v>
      </c>
      <c r="I782" s="2" t="s">
        <v>255</v>
      </c>
      <c r="J782" s="2" t="s">
        <v>256</v>
      </c>
      <c r="K782" s="9">
        <v>45720</v>
      </c>
      <c r="L782" s="9">
        <v>45727</v>
      </c>
      <c r="M782" s="9">
        <v>45725</v>
      </c>
      <c r="N782" s="2" t="s">
        <v>1054</v>
      </c>
      <c r="O782" s="2" t="s">
        <v>54</v>
      </c>
      <c r="P782" s="2" t="s">
        <v>139</v>
      </c>
      <c r="Q782" s="2" t="s">
        <v>214</v>
      </c>
      <c r="R782" s="2" t="s">
        <v>149</v>
      </c>
      <c r="S782" s="2" t="s">
        <v>259</v>
      </c>
      <c r="T782" s="10">
        <v>2739</v>
      </c>
      <c r="U782" s="11">
        <v>6.5500000000000003E-3</v>
      </c>
      <c r="V782" s="12">
        <f>T782*U782</f>
        <v>17.940450000000002</v>
      </c>
      <c r="W782" s="13">
        <v>0.1</v>
      </c>
      <c r="X782" s="12">
        <f>V782-(V782/(1+W782))</f>
        <v>1.6309500000000021</v>
      </c>
      <c r="Y782" s="12">
        <f>V782-X782</f>
        <v>16.3095</v>
      </c>
      <c r="Z782" s="14">
        <v>25</v>
      </c>
      <c r="AA782" s="2" t="str">
        <f>IF(V782&gt;Z782,"Yes","No")</f>
        <v>No</v>
      </c>
      <c r="AB782" s="12">
        <f>V782-Z782</f>
        <v>-7.059549999999998</v>
      </c>
      <c r="AC782" s="15" t="s">
        <v>130</v>
      </c>
      <c r="AD782" s="15" t="s">
        <v>131</v>
      </c>
      <c r="AE782" s="15" t="s">
        <v>421</v>
      </c>
      <c r="AF782" s="12">
        <f>IF(AG782="Rejected",0,IF(R782="Corporate Card",0,V782))</f>
        <v>17.940450000000002</v>
      </c>
      <c r="AG782" s="15" t="s">
        <v>133</v>
      </c>
      <c r="AH782" s="16">
        <v>45736</v>
      </c>
      <c r="AI782" s="16">
        <v>45737</v>
      </c>
      <c r="AJ782" s="16">
        <v>45745</v>
      </c>
      <c r="AK782" s="17">
        <f>IF(AJ782="","",AJ782-AH782)</f>
        <v>9</v>
      </c>
    </row>
    <row r="783" spans="1:37">
      <c r="A783" s="2" t="s">
        <v>1173</v>
      </c>
      <c r="B783" s="2" t="s">
        <v>550</v>
      </c>
      <c r="C783" s="2" t="s">
        <v>551</v>
      </c>
      <c r="D783" s="2" t="s">
        <v>171</v>
      </c>
      <c r="E783" s="2" t="s">
        <v>172</v>
      </c>
      <c r="F783" s="2" t="s">
        <v>173</v>
      </c>
      <c r="G783" s="2" t="s">
        <v>1103</v>
      </c>
      <c r="H783" s="2" t="s">
        <v>448</v>
      </c>
      <c r="I783" s="2" t="s">
        <v>255</v>
      </c>
      <c r="J783" s="2" t="s">
        <v>256</v>
      </c>
      <c r="K783" s="9">
        <v>45720</v>
      </c>
      <c r="L783" s="9">
        <v>45727</v>
      </c>
      <c r="M783" s="9">
        <v>45725</v>
      </c>
      <c r="N783" s="2" t="s">
        <v>1054</v>
      </c>
      <c r="O783" s="2" t="s">
        <v>56</v>
      </c>
      <c r="P783" s="2" t="s">
        <v>151</v>
      </c>
      <c r="Q783" s="2" t="s">
        <v>152</v>
      </c>
      <c r="R783" s="2" t="s">
        <v>128</v>
      </c>
      <c r="S783" s="2" t="s">
        <v>259</v>
      </c>
      <c r="T783" s="10">
        <v>4506</v>
      </c>
      <c r="U783" s="11">
        <v>6.5500000000000003E-3</v>
      </c>
      <c r="V783" s="12">
        <f>T783*U783</f>
        <v>29.514300000000002</v>
      </c>
      <c r="W783" s="13">
        <v>0.1</v>
      </c>
      <c r="X783" s="12">
        <f>V783-(V783/(1+W783))</f>
        <v>2.683118181818184</v>
      </c>
      <c r="Y783" s="12">
        <f>V783-X783</f>
        <v>26.831181818181818</v>
      </c>
      <c r="Z783" s="14">
        <v>75</v>
      </c>
      <c r="AA783" s="2" t="str">
        <f>IF(V783&gt;Z783,"Yes","No")</f>
        <v>No</v>
      </c>
      <c r="AB783" s="12">
        <f>V783-Z783</f>
        <v>-45.485699999999994</v>
      </c>
      <c r="AC783" s="15" t="s">
        <v>130</v>
      </c>
      <c r="AD783" s="15" t="s">
        <v>131</v>
      </c>
      <c r="AE783" s="15" t="s">
        <v>421</v>
      </c>
      <c r="AF783" s="12">
        <f>IF(AG783="Rejected",0,IF(R783="Corporate Card",0,V783))</f>
        <v>0</v>
      </c>
      <c r="AG783" s="15" t="s">
        <v>133</v>
      </c>
      <c r="AH783" s="16">
        <v>45736</v>
      </c>
      <c r="AI783" s="16">
        <v>45737</v>
      </c>
      <c r="AJ783" s="16">
        <v>45745</v>
      </c>
      <c r="AK783" s="17">
        <f>IF(AJ783="","",AJ783-AH783)</f>
        <v>9</v>
      </c>
    </row>
    <row r="784" spans="1:37">
      <c r="A784" s="2" t="s">
        <v>1174</v>
      </c>
      <c r="B784" s="2" t="s">
        <v>550</v>
      </c>
      <c r="C784" s="2" t="s">
        <v>551</v>
      </c>
      <c r="D784" s="2" t="s">
        <v>171</v>
      </c>
      <c r="E784" s="2" t="s">
        <v>172</v>
      </c>
      <c r="F784" s="2" t="s">
        <v>173</v>
      </c>
      <c r="G784" s="2" t="s">
        <v>1103</v>
      </c>
      <c r="H784" s="2" t="s">
        <v>448</v>
      </c>
      <c r="I784" s="2" t="s">
        <v>255</v>
      </c>
      <c r="J784" s="2" t="s">
        <v>256</v>
      </c>
      <c r="K784" s="9">
        <v>45720</v>
      </c>
      <c r="L784" s="9">
        <v>45727</v>
      </c>
      <c r="M784" s="9">
        <v>45725</v>
      </c>
      <c r="N784" s="2" t="s">
        <v>1054</v>
      </c>
      <c r="O784" s="2" t="s">
        <v>55</v>
      </c>
      <c r="P784" s="2" t="s">
        <v>139</v>
      </c>
      <c r="Q784" s="2" t="s">
        <v>154</v>
      </c>
      <c r="R784" s="2" t="s">
        <v>128</v>
      </c>
      <c r="S784" s="2" t="s">
        <v>259</v>
      </c>
      <c r="T784" s="10">
        <v>3042</v>
      </c>
      <c r="U784" s="11">
        <v>6.5500000000000003E-3</v>
      </c>
      <c r="V784" s="12">
        <f>T784*U784</f>
        <v>19.9251</v>
      </c>
      <c r="W784" s="13">
        <v>0.1</v>
      </c>
      <c r="X784" s="12">
        <f>V784-(V784/(1+W784))</f>
        <v>1.8113727272727296</v>
      </c>
      <c r="Y784" s="12">
        <f>V784-X784</f>
        <v>18.113727272727271</v>
      </c>
      <c r="Z784" s="14">
        <v>35</v>
      </c>
      <c r="AA784" s="2" t="str">
        <f>IF(V784&gt;Z784,"Yes","No")</f>
        <v>No</v>
      </c>
      <c r="AB784" s="12">
        <f>V784-Z784</f>
        <v>-15.0749</v>
      </c>
      <c r="AC784" s="15" t="s">
        <v>130</v>
      </c>
      <c r="AD784" s="15" t="s">
        <v>131</v>
      </c>
      <c r="AE784" s="15" t="s">
        <v>421</v>
      </c>
      <c r="AF784" s="12">
        <f>IF(AG784="Rejected",0,IF(R784="Corporate Card",0,V784))</f>
        <v>0</v>
      </c>
      <c r="AG784" s="15" t="s">
        <v>133</v>
      </c>
      <c r="AH784" s="16">
        <v>45736</v>
      </c>
      <c r="AI784" s="16">
        <v>45737</v>
      </c>
      <c r="AJ784" s="16">
        <v>45745</v>
      </c>
      <c r="AK784" s="17">
        <f>IF(AJ784="","",AJ784-AH784)</f>
        <v>9</v>
      </c>
    </row>
    <row r="785" spans="1:37">
      <c r="A785" s="2" t="s">
        <v>1175</v>
      </c>
      <c r="B785" s="2" t="s">
        <v>863</v>
      </c>
      <c r="C785" s="2" t="s">
        <v>864</v>
      </c>
      <c r="D785" s="2" t="s">
        <v>865</v>
      </c>
      <c r="E785" s="2" t="s">
        <v>866</v>
      </c>
      <c r="F785" s="2" t="s">
        <v>867</v>
      </c>
      <c r="G785" s="2" t="s">
        <v>1176</v>
      </c>
      <c r="H785" s="2" t="s">
        <v>348</v>
      </c>
      <c r="I785" s="2" t="s">
        <v>1038</v>
      </c>
      <c r="J785" s="2" t="s">
        <v>381</v>
      </c>
      <c r="K785" s="9">
        <v>45726</v>
      </c>
      <c r="L785" s="9">
        <v>45728</v>
      </c>
      <c r="M785" s="9">
        <v>45726</v>
      </c>
      <c r="N785" s="2" t="s">
        <v>1054</v>
      </c>
      <c r="O785" s="2" t="s">
        <v>52</v>
      </c>
      <c r="P785" s="2" t="s">
        <v>1039</v>
      </c>
      <c r="Q785" s="2" t="s">
        <v>197</v>
      </c>
      <c r="R785" s="2" t="s">
        <v>128</v>
      </c>
      <c r="S785" s="2" t="s">
        <v>383</v>
      </c>
      <c r="T785" s="10">
        <v>1520.85</v>
      </c>
      <c r="U785" s="11">
        <v>1</v>
      </c>
      <c r="V785" s="12">
        <f>T785*U785</f>
        <v>1520.85</v>
      </c>
      <c r="W785" s="13">
        <v>0</v>
      </c>
      <c r="X785" s="12">
        <f>V785-(V785/(1+W785))</f>
        <v>0</v>
      </c>
      <c r="Y785" s="12">
        <f>V785-X785</f>
        <v>1520.85</v>
      </c>
      <c r="Z785" s="14">
        <v>1400</v>
      </c>
      <c r="AA785" s="2" t="str">
        <f>IF(V785&gt;Z785,"Yes","No")</f>
        <v>Yes</v>
      </c>
      <c r="AB785" s="12">
        <f>V785-Z785</f>
        <v>120.84999999999991</v>
      </c>
      <c r="AC785" s="15" t="s">
        <v>130</v>
      </c>
      <c r="AD785" s="15" t="s">
        <v>130</v>
      </c>
      <c r="AE785" s="15" t="s">
        <v>260</v>
      </c>
      <c r="AF785" s="12">
        <f>IF(AG785="Rejected",0,IF(R785="Corporate Card",0,V785))</f>
        <v>0</v>
      </c>
      <c r="AG785" s="15" t="s">
        <v>133</v>
      </c>
      <c r="AH785" s="16">
        <v>45730</v>
      </c>
      <c r="AI785" s="16">
        <v>45731</v>
      </c>
      <c r="AJ785" s="16">
        <v>45736</v>
      </c>
      <c r="AK785" s="17">
        <f>IF(AJ785="","",AJ785-AH785)</f>
        <v>6</v>
      </c>
    </row>
    <row r="786" spans="1:37">
      <c r="A786" s="2" t="s">
        <v>1177</v>
      </c>
      <c r="B786" s="2" t="s">
        <v>863</v>
      </c>
      <c r="C786" s="2" t="s">
        <v>864</v>
      </c>
      <c r="D786" s="2" t="s">
        <v>865</v>
      </c>
      <c r="E786" s="2" t="s">
        <v>866</v>
      </c>
      <c r="F786" s="2" t="s">
        <v>867</v>
      </c>
      <c r="G786" s="2" t="s">
        <v>1176</v>
      </c>
      <c r="H786" s="2" t="s">
        <v>348</v>
      </c>
      <c r="I786" s="2" t="s">
        <v>1038</v>
      </c>
      <c r="J786" s="2" t="s">
        <v>381</v>
      </c>
      <c r="K786" s="9">
        <v>45726</v>
      </c>
      <c r="L786" s="9">
        <v>45728</v>
      </c>
      <c r="M786" s="9">
        <v>45726</v>
      </c>
      <c r="N786" s="2" t="s">
        <v>1054</v>
      </c>
      <c r="O786" s="2" t="s">
        <v>58</v>
      </c>
      <c r="P786" s="2" t="s">
        <v>142</v>
      </c>
      <c r="Q786" s="2" t="s">
        <v>224</v>
      </c>
      <c r="R786" s="2" t="s">
        <v>128</v>
      </c>
      <c r="S786" s="2" t="s">
        <v>383</v>
      </c>
      <c r="T786" s="10">
        <v>31.48</v>
      </c>
      <c r="U786" s="11">
        <v>1</v>
      </c>
      <c r="V786" s="12">
        <f>T786*U786</f>
        <v>31.48</v>
      </c>
      <c r="W786" s="13">
        <v>0</v>
      </c>
      <c r="X786" s="12">
        <f>V786-(V786/(1+W786))</f>
        <v>0</v>
      </c>
      <c r="Y786" s="12">
        <f>V786-X786</f>
        <v>31.48</v>
      </c>
      <c r="Z786" s="14">
        <v>60</v>
      </c>
      <c r="AA786" s="2" t="str">
        <f>IF(V786&gt;Z786,"Yes","No")</f>
        <v>No</v>
      </c>
      <c r="AB786" s="12">
        <f>V786-Z786</f>
        <v>-28.52</v>
      </c>
      <c r="AC786" s="15" t="s">
        <v>130</v>
      </c>
      <c r="AD786" s="15" t="s">
        <v>130</v>
      </c>
      <c r="AE786" s="15" t="s">
        <v>260</v>
      </c>
      <c r="AF786" s="12">
        <f>IF(AG786="Rejected",0,IF(R786="Corporate Card",0,V786))</f>
        <v>0</v>
      </c>
      <c r="AG786" s="15" t="s">
        <v>133</v>
      </c>
      <c r="AH786" s="16">
        <v>45730</v>
      </c>
      <c r="AI786" s="16">
        <v>45731</v>
      </c>
      <c r="AJ786" s="16">
        <v>45736</v>
      </c>
      <c r="AK786" s="17">
        <f>IF(AJ786="","",AJ786-AH786)</f>
        <v>6</v>
      </c>
    </row>
    <row r="787" spans="1:37">
      <c r="A787" s="2" t="s">
        <v>1178</v>
      </c>
      <c r="B787" s="2" t="s">
        <v>863</v>
      </c>
      <c r="C787" s="2" t="s">
        <v>864</v>
      </c>
      <c r="D787" s="2" t="s">
        <v>865</v>
      </c>
      <c r="E787" s="2" t="s">
        <v>866</v>
      </c>
      <c r="F787" s="2" t="s">
        <v>867</v>
      </c>
      <c r="G787" s="2" t="s">
        <v>1176</v>
      </c>
      <c r="H787" s="2" t="s">
        <v>348</v>
      </c>
      <c r="I787" s="2" t="s">
        <v>1038</v>
      </c>
      <c r="J787" s="2" t="s">
        <v>381</v>
      </c>
      <c r="K787" s="9">
        <v>45726</v>
      </c>
      <c r="L787" s="9">
        <v>45728</v>
      </c>
      <c r="M787" s="9">
        <v>45726</v>
      </c>
      <c r="N787" s="2" t="s">
        <v>1054</v>
      </c>
      <c r="O787" s="2" t="s">
        <v>56</v>
      </c>
      <c r="P787" s="2" t="s">
        <v>231</v>
      </c>
      <c r="Q787" s="2" t="s">
        <v>166</v>
      </c>
      <c r="R787" s="2" t="s">
        <v>128</v>
      </c>
      <c r="S787" s="2" t="s">
        <v>383</v>
      </c>
      <c r="T787" s="10">
        <v>40.39</v>
      </c>
      <c r="U787" s="11">
        <v>1</v>
      </c>
      <c r="V787" s="12">
        <f>T787*U787</f>
        <v>40.39</v>
      </c>
      <c r="W787" s="13">
        <v>0</v>
      </c>
      <c r="X787" s="12">
        <f>V787-(V787/(1+W787))</f>
        <v>0</v>
      </c>
      <c r="Y787" s="12">
        <f>V787-X787</f>
        <v>40.39</v>
      </c>
      <c r="Z787" s="14">
        <v>75</v>
      </c>
      <c r="AA787" s="2" t="str">
        <f>IF(V787&gt;Z787,"Yes","No")</f>
        <v>No</v>
      </c>
      <c r="AB787" s="12">
        <f>V787-Z787</f>
        <v>-34.61</v>
      </c>
      <c r="AC787" s="15" t="s">
        <v>130</v>
      </c>
      <c r="AD787" s="15" t="s">
        <v>130</v>
      </c>
      <c r="AE787" s="15" t="s">
        <v>260</v>
      </c>
      <c r="AF787" s="12">
        <f>IF(AG787="Rejected",0,IF(R787="Corporate Card",0,V787))</f>
        <v>0</v>
      </c>
      <c r="AG787" s="15" t="s">
        <v>133</v>
      </c>
      <c r="AH787" s="16">
        <v>45730</v>
      </c>
      <c r="AI787" s="16">
        <v>45731</v>
      </c>
      <c r="AJ787" s="16">
        <v>45736</v>
      </c>
      <c r="AK787" s="17">
        <f>IF(AJ787="","",AJ787-AH787)</f>
        <v>6</v>
      </c>
    </row>
    <row r="788" spans="1:37">
      <c r="A788" s="2" t="s">
        <v>1179</v>
      </c>
      <c r="B788" s="2" t="s">
        <v>863</v>
      </c>
      <c r="C788" s="2" t="s">
        <v>864</v>
      </c>
      <c r="D788" s="2" t="s">
        <v>865</v>
      </c>
      <c r="E788" s="2" t="s">
        <v>866</v>
      </c>
      <c r="F788" s="2" t="s">
        <v>867</v>
      </c>
      <c r="G788" s="2" t="s">
        <v>1176</v>
      </c>
      <c r="H788" s="2" t="s">
        <v>348</v>
      </c>
      <c r="I788" s="2" t="s">
        <v>1038</v>
      </c>
      <c r="J788" s="2" t="s">
        <v>381</v>
      </c>
      <c r="K788" s="9">
        <v>45726</v>
      </c>
      <c r="L788" s="9">
        <v>45728</v>
      </c>
      <c r="M788" s="9">
        <v>45726</v>
      </c>
      <c r="N788" s="2" t="s">
        <v>1054</v>
      </c>
      <c r="O788" s="2" t="s">
        <v>55</v>
      </c>
      <c r="P788" s="2" t="s">
        <v>139</v>
      </c>
      <c r="Q788" s="2" t="s">
        <v>187</v>
      </c>
      <c r="R788" s="2" t="s">
        <v>128</v>
      </c>
      <c r="S788" s="2" t="s">
        <v>383</v>
      </c>
      <c r="T788" s="10">
        <v>25.16</v>
      </c>
      <c r="U788" s="11">
        <v>1</v>
      </c>
      <c r="V788" s="12">
        <f>T788*U788</f>
        <v>25.16</v>
      </c>
      <c r="W788" s="13">
        <v>0</v>
      </c>
      <c r="X788" s="12">
        <f>V788-(V788/(1+W788))</f>
        <v>0</v>
      </c>
      <c r="Y788" s="12">
        <f>V788-X788</f>
        <v>25.16</v>
      </c>
      <c r="Z788" s="14">
        <v>35</v>
      </c>
      <c r="AA788" s="2" t="str">
        <f>IF(V788&gt;Z788,"Yes","No")</f>
        <v>No</v>
      </c>
      <c r="AB788" s="12">
        <f>V788-Z788</f>
        <v>-9.84</v>
      </c>
      <c r="AC788" s="15" t="s">
        <v>130</v>
      </c>
      <c r="AD788" s="15" t="s">
        <v>130</v>
      </c>
      <c r="AE788" s="15" t="s">
        <v>260</v>
      </c>
      <c r="AF788" s="12">
        <f>IF(AG788="Rejected",0,IF(R788="Corporate Card",0,V788))</f>
        <v>0</v>
      </c>
      <c r="AG788" s="15" t="s">
        <v>133</v>
      </c>
      <c r="AH788" s="16">
        <v>45730</v>
      </c>
      <c r="AI788" s="16">
        <v>45731</v>
      </c>
      <c r="AJ788" s="16">
        <v>45736</v>
      </c>
      <c r="AK788" s="17">
        <f>IF(AJ788="","",AJ788-AH788)</f>
        <v>6</v>
      </c>
    </row>
    <row r="789" spans="1:37">
      <c r="A789" s="2" t="s">
        <v>1180</v>
      </c>
      <c r="B789" s="2" t="s">
        <v>1155</v>
      </c>
      <c r="C789" s="2" t="s">
        <v>1156</v>
      </c>
      <c r="D789" s="2" t="s">
        <v>118</v>
      </c>
      <c r="E789" s="2" t="s">
        <v>119</v>
      </c>
      <c r="F789" s="2" t="s">
        <v>311</v>
      </c>
      <c r="G789" s="2" t="s">
        <v>1157</v>
      </c>
      <c r="H789" s="2" t="s">
        <v>379</v>
      </c>
      <c r="I789" s="2" t="s">
        <v>175</v>
      </c>
      <c r="J789" s="2" t="s">
        <v>176</v>
      </c>
      <c r="K789" s="9">
        <v>45725</v>
      </c>
      <c r="L789" s="9">
        <v>45728</v>
      </c>
      <c r="M789" s="9">
        <v>45726</v>
      </c>
      <c r="N789" s="2" t="s">
        <v>1054</v>
      </c>
      <c r="O789" s="2" t="s">
        <v>58</v>
      </c>
      <c r="P789" s="2" t="s">
        <v>142</v>
      </c>
      <c r="Q789" s="2" t="s">
        <v>296</v>
      </c>
      <c r="R789" s="2" t="s">
        <v>128</v>
      </c>
      <c r="S789" s="2" t="s">
        <v>179</v>
      </c>
      <c r="T789" s="10">
        <v>395.89</v>
      </c>
      <c r="U789" s="11">
        <v>0.18099999999999999</v>
      </c>
      <c r="V789" s="12">
        <f>T789*U789</f>
        <v>71.656089999999992</v>
      </c>
      <c r="W789" s="13">
        <v>0.17</v>
      </c>
      <c r="X789" s="12">
        <f>V789-(V789/(1+W789))</f>
        <v>10.411568632478627</v>
      </c>
      <c r="Y789" s="12">
        <f>V789-X789</f>
        <v>61.244521367521365</v>
      </c>
      <c r="Z789" s="14">
        <v>60</v>
      </c>
      <c r="AA789" s="2" t="str">
        <f>IF(V789&gt;Z789,"Yes","No")</f>
        <v>Yes</v>
      </c>
      <c r="AB789" s="12">
        <f>V789-Z789</f>
        <v>11.656089999999992</v>
      </c>
      <c r="AC789" s="15" t="s">
        <v>130</v>
      </c>
      <c r="AD789" s="15" t="s">
        <v>130</v>
      </c>
      <c r="AE789" s="15" t="s">
        <v>514</v>
      </c>
      <c r="AF789" s="12">
        <f>IF(AG789="Rejected",0,IF(R789="Corporate Card",0,V789))</f>
        <v>0</v>
      </c>
      <c r="AG789" s="15" t="s">
        <v>133</v>
      </c>
      <c r="AH789" s="16">
        <v>45735</v>
      </c>
      <c r="AI789" s="16">
        <v>45736</v>
      </c>
      <c r="AJ789" s="16">
        <v>45742</v>
      </c>
      <c r="AK789" s="17">
        <f>IF(AJ789="","",AJ789-AH789)</f>
        <v>7</v>
      </c>
    </row>
    <row r="790" spans="1:37">
      <c r="A790" s="2" t="s">
        <v>1181</v>
      </c>
      <c r="B790" s="2" t="s">
        <v>1155</v>
      </c>
      <c r="C790" s="2" t="s">
        <v>1156</v>
      </c>
      <c r="D790" s="2" t="s">
        <v>118</v>
      </c>
      <c r="E790" s="2" t="s">
        <v>119</v>
      </c>
      <c r="F790" s="2" t="s">
        <v>311</v>
      </c>
      <c r="G790" s="2" t="s">
        <v>1157</v>
      </c>
      <c r="H790" s="2" t="s">
        <v>379</v>
      </c>
      <c r="I790" s="2" t="s">
        <v>175</v>
      </c>
      <c r="J790" s="2" t="s">
        <v>176</v>
      </c>
      <c r="K790" s="9">
        <v>45725</v>
      </c>
      <c r="L790" s="9">
        <v>45728</v>
      </c>
      <c r="M790" s="9">
        <v>45726</v>
      </c>
      <c r="N790" s="2" t="s">
        <v>1054</v>
      </c>
      <c r="O790" s="2" t="s">
        <v>53</v>
      </c>
      <c r="P790" s="2" t="s">
        <v>145</v>
      </c>
      <c r="Q790" s="2" t="s">
        <v>146</v>
      </c>
      <c r="R790" s="2" t="s">
        <v>128</v>
      </c>
      <c r="S790" s="2" t="s">
        <v>179</v>
      </c>
      <c r="T790" s="10">
        <v>1938.9</v>
      </c>
      <c r="U790" s="11">
        <v>0.18099999999999999</v>
      </c>
      <c r="V790" s="12">
        <f>T790*U790</f>
        <v>350.9409</v>
      </c>
      <c r="W790" s="13">
        <v>0.17</v>
      </c>
      <c r="X790" s="12">
        <f>V790-(V790/(1+W790))</f>
        <v>50.991412820512778</v>
      </c>
      <c r="Y790" s="12">
        <f>V790-X790</f>
        <v>299.94948717948722</v>
      </c>
      <c r="Z790" s="14">
        <v>840</v>
      </c>
      <c r="AA790" s="2" t="str">
        <f>IF(V790&gt;Z790,"Yes","No")</f>
        <v>No</v>
      </c>
      <c r="AB790" s="12">
        <f>V790-Z790</f>
        <v>-489.0591</v>
      </c>
      <c r="AC790" s="15" t="s">
        <v>130</v>
      </c>
      <c r="AD790" s="15" t="s">
        <v>130</v>
      </c>
      <c r="AE790" s="15" t="s">
        <v>514</v>
      </c>
      <c r="AF790" s="12">
        <f>IF(AG790="Rejected",0,IF(R790="Corporate Card",0,V790))</f>
        <v>0</v>
      </c>
      <c r="AG790" s="15" t="s">
        <v>133</v>
      </c>
      <c r="AH790" s="16">
        <v>45735</v>
      </c>
      <c r="AI790" s="16">
        <v>45736</v>
      </c>
      <c r="AJ790" s="16">
        <v>45742</v>
      </c>
      <c r="AK790" s="17">
        <f>IF(AJ790="","",AJ790-AH790)</f>
        <v>7</v>
      </c>
    </row>
    <row r="791" spans="1:37">
      <c r="A791" s="2" t="s">
        <v>1182</v>
      </c>
      <c r="B791" s="2" t="s">
        <v>1155</v>
      </c>
      <c r="C791" s="2" t="s">
        <v>1156</v>
      </c>
      <c r="D791" s="2" t="s">
        <v>118</v>
      </c>
      <c r="E791" s="2" t="s">
        <v>119</v>
      </c>
      <c r="F791" s="2" t="s">
        <v>311</v>
      </c>
      <c r="G791" s="2" t="s">
        <v>1157</v>
      </c>
      <c r="H791" s="2" t="s">
        <v>379</v>
      </c>
      <c r="I791" s="2" t="s">
        <v>175</v>
      </c>
      <c r="J791" s="2" t="s">
        <v>176</v>
      </c>
      <c r="K791" s="9">
        <v>45725</v>
      </c>
      <c r="L791" s="9">
        <v>45728</v>
      </c>
      <c r="M791" s="9">
        <v>45726</v>
      </c>
      <c r="N791" s="2" t="s">
        <v>1054</v>
      </c>
      <c r="O791" s="2" t="s">
        <v>65</v>
      </c>
      <c r="P791" s="2" t="s">
        <v>211</v>
      </c>
      <c r="Q791" s="2" t="s">
        <v>212</v>
      </c>
      <c r="R791" s="2" t="s">
        <v>128</v>
      </c>
      <c r="S791" s="2" t="s">
        <v>179</v>
      </c>
      <c r="T791" s="10">
        <v>264.04000000000002</v>
      </c>
      <c r="U791" s="11">
        <v>0.18099999999999999</v>
      </c>
      <c r="V791" s="12">
        <f>T791*U791</f>
        <v>47.791240000000002</v>
      </c>
      <c r="W791" s="13">
        <v>0.17</v>
      </c>
      <c r="X791" s="12">
        <f>V791-(V791/(1+W791))</f>
        <v>6.9440263247863214</v>
      </c>
      <c r="Y791" s="12">
        <f>V791-X791</f>
        <v>40.847213675213681</v>
      </c>
      <c r="Z791" s="14">
        <v>55</v>
      </c>
      <c r="AA791" s="2" t="str">
        <f>IF(V791&gt;Z791,"Yes","No")</f>
        <v>No</v>
      </c>
      <c r="AB791" s="12">
        <f>V791-Z791</f>
        <v>-7.2087599999999981</v>
      </c>
      <c r="AC791" s="15" t="s">
        <v>130</v>
      </c>
      <c r="AD791" s="15" t="s">
        <v>130</v>
      </c>
      <c r="AE791" s="15" t="s">
        <v>514</v>
      </c>
      <c r="AF791" s="12">
        <f>IF(AG791="Rejected",0,IF(R791="Corporate Card",0,V791))</f>
        <v>0</v>
      </c>
      <c r="AG791" s="15" t="s">
        <v>133</v>
      </c>
      <c r="AH791" s="16">
        <v>45735</v>
      </c>
      <c r="AI791" s="16">
        <v>45736</v>
      </c>
      <c r="AJ791" s="16">
        <v>45742</v>
      </c>
      <c r="AK791" s="17">
        <f>IF(AJ791="","",AJ791-AH791)</f>
        <v>7</v>
      </c>
    </row>
    <row r="792" spans="1:37">
      <c r="A792" s="2" t="s">
        <v>1183</v>
      </c>
      <c r="B792" s="2" t="s">
        <v>1155</v>
      </c>
      <c r="C792" s="2" t="s">
        <v>1156</v>
      </c>
      <c r="D792" s="2" t="s">
        <v>118</v>
      </c>
      <c r="E792" s="2" t="s">
        <v>119</v>
      </c>
      <c r="F792" s="2" t="s">
        <v>311</v>
      </c>
      <c r="G792" s="2" t="s">
        <v>1157</v>
      </c>
      <c r="H792" s="2" t="s">
        <v>379</v>
      </c>
      <c r="I792" s="2" t="s">
        <v>175</v>
      </c>
      <c r="J792" s="2" t="s">
        <v>176</v>
      </c>
      <c r="K792" s="9">
        <v>45725</v>
      </c>
      <c r="L792" s="9">
        <v>45728</v>
      </c>
      <c r="M792" s="9">
        <v>45726</v>
      </c>
      <c r="N792" s="2" t="s">
        <v>1054</v>
      </c>
      <c r="O792" s="2" t="s">
        <v>54</v>
      </c>
      <c r="P792" s="2" t="s">
        <v>139</v>
      </c>
      <c r="Q792" s="2" t="s">
        <v>163</v>
      </c>
      <c r="R792" s="2" t="s">
        <v>128</v>
      </c>
      <c r="S792" s="2" t="s">
        <v>179</v>
      </c>
      <c r="T792" s="10">
        <v>207.59</v>
      </c>
      <c r="U792" s="11">
        <v>0.18099999999999999</v>
      </c>
      <c r="V792" s="12">
        <f>T792*U792</f>
        <v>37.573790000000002</v>
      </c>
      <c r="W792" s="13">
        <v>0.17</v>
      </c>
      <c r="X792" s="12">
        <f>V792-(V792/(1+W792))</f>
        <v>5.4594395726495719</v>
      </c>
      <c r="Y792" s="12">
        <f>V792-X792</f>
        <v>32.114350427350431</v>
      </c>
      <c r="Z792" s="14">
        <v>25</v>
      </c>
      <c r="AA792" s="2" t="str">
        <f>IF(V792&gt;Z792,"Yes","No")</f>
        <v>Yes</v>
      </c>
      <c r="AB792" s="12">
        <f>V792-Z792</f>
        <v>12.573790000000002</v>
      </c>
      <c r="AC792" s="15" t="s">
        <v>130</v>
      </c>
      <c r="AD792" s="15" t="s">
        <v>130</v>
      </c>
      <c r="AE792" s="15" t="s">
        <v>514</v>
      </c>
      <c r="AF792" s="12">
        <f>IF(AG792="Rejected",0,IF(R792="Corporate Card",0,V792))</f>
        <v>0</v>
      </c>
      <c r="AG792" s="15" t="s">
        <v>133</v>
      </c>
      <c r="AH792" s="16">
        <v>45735</v>
      </c>
      <c r="AI792" s="16">
        <v>45736</v>
      </c>
      <c r="AJ792" s="16">
        <v>45742</v>
      </c>
      <c r="AK792" s="17">
        <f>IF(AJ792="","",AJ792-AH792)</f>
        <v>7</v>
      </c>
    </row>
    <row r="793" spans="1:37">
      <c r="A793" s="2" t="s">
        <v>1184</v>
      </c>
      <c r="B793" s="2" t="s">
        <v>1155</v>
      </c>
      <c r="C793" s="2" t="s">
        <v>1156</v>
      </c>
      <c r="D793" s="2" t="s">
        <v>118</v>
      </c>
      <c r="E793" s="2" t="s">
        <v>119</v>
      </c>
      <c r="F793" s="2" t="s">
        <v>311</v>
      </c>
      <c r="G793" s="2" t="s">
        <v>1157</v>
      </c>
      <c r="H793" s="2" t="s">
        <v>379</v>
      </c>
      <c r="I793" s="2" t="s">
        <v>175</v>
      </c>
      <c r="J793" s="2" t="s">
        <v>176</v>
      </c>
      <c r="K793" s="9">
        <v>45725</v>
      </c>
      <c r="L793" s="9">
        <v>45728</v>
      </c>
      <c r="M793" s="9">
        <v>45726</v>
      </c>
      <c r="N793" s="2" t="s">
        <v>1054</v>
      </c>
      <c r="O793" s="2" t="s">
        <v>56</v>
      </c>
      <c r="P793" s="2" t="s">
        <v>151</v>
      </c>
      <c r="Q793" s="2" t="s">
        <v>185</v>
      </c>
      <c r="R793" s="2" t="s">
        <v>137</v>
      </c>
      <c r="S793" s="2" t="s">
        <v>179</v>
      </c>
      <c r="T793" s="10">
        <v>219.91</v>
      </c>
      <c r="U793" s="11">
        <v>0.18099999999999999</v>
      </c>
      <c r="V793" s="12">
        <f>T793*U793</f>
        <v>39.803709999999995</v>
      </c>
      <c r="W793" s="13">
        <v>0.17</v>
      </c>
      <c r="X793" s="12">
        <f>V793-(V793/(1+W793))</f>
        <v>5.783445042735039</v>
      </c>
      <c r="Y793" s="12">
        <f>V793-X793</f>
        <v>34.020264957264956</v>
      </c>
      <c r="Z793" s="14">
        <v>75</v>
      </c>
      <c r="AA793" s="2" t="str">
        <f>IF(V793&gt;Z793,"Yes","No")</f>
        <v>No</v>
      </c>
      <c r="AB793" s="12">
        <f>V793-Z793</f>
        <v>-35.196290000000005</v>
      </c>
      <c r="AC793" s="15" t="s">
        <v>130</v>
      </c>
      <c r="AD793" s="15" t="s">
        <v>130</v>
      </c>
      <c r="AE793" s="15" t="s">
        <v>514</v>
      </c>
      <c r="AF793" s="12">
        <f>IF(AG793="Rejected",0,IF(R793="Corporate Card",0,V793))</f>
        <v>39.803709999999995</v>
      </c>
      <c r="AG793" s="15" t="s">
        <v>133</v>
      </c>
      <c r="AH793" s="16">
        <v>45735</v>
      </c>
      <c r="AI793" s="16">
        <v>45736</v>
      </c>
      <c r="AJ793" s="16">
        <v>45742</v>
      </c>
      <c r="AK793" s="17">
        <f>IF(AJ793="","",AJ793-AH793)</f>
        <v>7</v>
      </c>
    </row>
    <row r="794" spans="1:37">
      <c r="A794" s="2" t="s">
        <v>1185</v>
      </c>
      <c r="B794" s="2" t="s">
        <v>1155</v>
      </c>
      <c r="C794" s="2" t="s">
        <v>1156</v>
      </c>
      <c r="D794" s="2" t="s">
        <v>118</v>
      </c>
      <c r="E794" s="2" t="s">
        <v>119</v>
      </c>
      <c r="F794" s="2" t="s">
        <v>311</v>
      </c>
      <c r="G794" s="2" t="s">
        <v>1157</v>
      </c>
      <c r="H794" s="2" t="s">
        <v>379</v>
      </c>
      <c r="I794" s="2" t="s">
        <v>175</v>
      </c>
      <c r="J794" s="2" t="s">
        <v>176</v>
      </c>
      <c r="K794" s="9">
        <v>45725</v>
      </c>
      <c r="L794" s="9">
        <v>45728</v>
      </c>
      <c r="M794" s="9">
        <v>45726</v>
      </c>
      <c r="N794" s="2" t="s">
        <v>1054</v>
      </c>
      <c r="O794" s="2" t="s">
        <v>55</v>
      </c>
      <c r="P794" s="2" t="s">
        <v>139</v>
      </c>
      <c r="Q794" s="2" t="s">
        <v>187</v>
      </c>
      <c r="R794" s="2" t="s">
        <v>137</v>
      </c>
      <c r="S794" s="2" t="s">
        <v>179</v>
      </c>
      <c r="T794" s="10">
        <v>149.32</v>
      </c>
      <c r="U794" s="11">
        <v>0.18099999999999999</v>
      </c>
      <c r="V794" s="12">
        <f>T794*U794</f>
        <v>27.026919999999997</v>
      </c>
      <c r="W794" s="13">
        <v>0.17</v>
      </c>
      <c r="X794" s="12">
        <f>V794-(V794/(1+W794))</f>
        <v>3.9269883760683726</v>
      </c>
      <c r="Y794" s="12">
        <f>V794-X794</f>
        <v>23.099931623931624</v>
      </c>
      <c r="Z794" s="14">
        <v>35</v>
      </c>
      <c r="AA794" s="2" t="str">
        <f>IF(V794&gt;Z794,"Yes","No")</f>
        <v>No</v>
      </c>
      <c r="AB794" s="12">
        <f>V794-Z794</f>
        <v>-7.9730800000000031</v>
      </c>
      <c r="AC794" s="15" t="s">
        <v>130</v>
      </c>
      <c r="AD794" s="15" t="s">
        <v>130</v>
      </c>
      <c r="AE794" s="15" t="s">
        <v>514</v>
      </c>
      <c r="AF794" s="12">
        <f>IF(AG794="Rejected",0,IF(R794="Corporate Card",0,V794))</f>
        <v>27.026919999999997</v>
      </c>
      <c r="AG794" s="15" t="s">
        <v>133</v>
      </c>
      <c r="AH794" s="16">
        <v>45735</v>
      </c>
      <c r="AI794" s="16">
        <v>45736</v>
      </c>
      <c r="AJ794" s="16">
        <v>45742</v>
      </c>
      <c r="AK794" s="17">
        <f>IF(AJ794="","",AJ794-AH794)</f>
        <v>7</v>
      </c>
    </row>
    <row r="795" spans="1:37">
      <c r="A795" s="2" t="s">
        <v>1186</v>
      </c>
      <c r="B795" s="2" t="s">
        <v>287</v>
      </c>
      <c r="C795" s="2" t="s">
        <v>288</v>
      </c>
      <c r="D795" s="2" t="s">
        <v>171</v>
      </c>
      <c r="E795" s="2" t="s">
        <v>289</v>
      </c>
      <c r="F795" s="2" t="s">
        <v>173</v>
      </c>
      <c r="G795" s="2" t="s">
        <v>1163</v>
      </c>
      <c r="H795" s="2" t="s">
        <v>379</v>
      </c>
      <c r="I795" s="2" t="s">
        <v>380</v>
      </c>
      <c r="J795" s="2" t="s">
        <v>381</v>
      </c>
      <c r="K795" s="9">
        <v>45725</v>
      </c>
      <c r="L795" s="9">
        <v>45731</v>
      </c>
      <c r="M795" s="9">
        <v>45726</v>
      </c>
      <c r="N795" s="2" t="s">
        <v>1054</v>
      </c>
      <c r="O795" s="2" t="s">
        <v>53</v>
      </c>
      <c r="P795" s="2" t="s">
        <v>467</v>
      </c>
      <c r="Q795" s="2" t="s">
        <v>272</v>
      </c>
      <c r="R795" s="2" t="s">
        <v>137</v>
      </c>
      <c r="S795" s="2" t="s">
        <v>383</v>
      </c>
      <c r="T795" s="10">
        <v>1176.04</v>
      </c>
      <c r="U795" s="11">
        <v>1</v>
      </c>
      <c r="V795" s="12">
        <f>T795*U795</f>
        <v>1176.04</v>
      </c>
      <c r="W795" s="13">
        <v>0</v>
      </c>
      <c r="X795" s="12">
        <f>V795-(V795/(1+W795))</f>
        <v>0</v>
      </c>
      <c r="Y795" s="12">
        <f>V795-X795</f>
        <v>1176.04</v>
      </c>
      <c r="Z795" s="14">
        <v>1680</v>
      </c>
      <c r="AA795" s="2" t="str">
        <f>IF(V795&gt;Z795,"Yes","No")</f>
        <v>No</v>
      </c>
      <c r="AB795" s="12">
        <f>V795-Z795</f>
        <v>-503.96000000000004</v>
      </c>
      <c r="AC795" s="15" t="s">
        <v>130</v>
      </c>
      <c r="AD795" s="15" t="s">
        <v>130</v>
      </c>
      <c r="AE795" s="15" t="s">
        <v>421</v>
      </c>
      <c r="AF795" s="12">
        <f>IF(AG795="Rejected",0,IF(R795="Corporate Card",0,V795))</f>
        <v>1176.04</v>
      </c>
      <c r="AG795" s="15" t="s">
        <v>133</v>
      </c>
      <c r="AH795" s="16">
        <v>45732</v>
      </c>
      <c r="AI795" s="16">
        <v>45735</v>
      </c>
      <c r="AJ795" s="16">
        <v>45741</v>
      </c>
      <c r="AK795" s="17">
        <f>IF(AJ795="","",AJ795-AH795)</f>
        <v>9</v>
      </c>
    </row>
    <row r="796" spans="1:37">
      <c r="A796" s="2" t="s">
        <v>1187</v>
      </c>
      <c r="B796" s="2" t="s">
        <v>287</v>
      </c>
      <c r="C796" s="2" t="s">
        <v>288</v>
      </c>
      <c r="D796" s="2" t="s">
        <v>171</v>
      </c>
      <c r="E796" s="2" t="s">
        <v>289</v>
      </c>
      <c r="F796" s="2" t="s">
        <v>173</v>
      </c>
      <c r="G796" s="2" t="s">
        <v>1163</v>
      </c>
      <c r="H796" s="2" t="s">
        <v>379</v>
      </c>
      <c r="I796" s="2" t="s">
        <v>380</v>
      </c>
      <c r="J796" s="2" t="s">
        <v>381</v>
      </c>
      <c r="K796" s="9">
        <v>45725</v>
      </c>
      <c r="L796" s="9">
        <v>45731</v>
      </c>
      <c r="M796" s="9">
        <v>45726</v>
      </c>
      <c r="N796" s="2" t="s">
        <v>1054</v>
      </c>
      <c r="O796" s="2" t="s">
        <v>54</v>
      </c>
      <c r="P796" s="2" t="s">
        <v>139</v>
      </c>
      <c r="Q796" s="2" t="s">
        <v>148</v>
      </c>
      <c r="R796" s="2" t="s">
        <v>128</v>
      </c>
      <c r="S796" s="2" t="s">
        <v>383</v>
      </c>
      <c r="T796" s="10">
        <v>16.45</v>
      </c>
      <c r="U796" s="11">
        <v>1</v>
      </c>
      <c r="V796" s="12">
        <f>T796*U796</f>
        <v>16.45</v>
      </c>
      <c r="W796" s="13">
        <v>0</v>
      </c>
      <c r="X796" s="12">
        <f>V796-(V796/(1+W796))</f>
        <v>0</v>
      </c>
      <c r="Y796" s="12">
        <f>V796-X796</f>
        <v>16.45</v>
      </c>
      <c r="Z796" s="14">
        <v>25</v>
      </c>
      <c r="AA796" s="2" t="str">
        <f>IF(V796&gt;Z796,"Yes","No")</f>
        <v>No</v>
      </c>
      <c r="AB796" s="12">
        <f>V796-Z796</f>
        <v>-8.5500000000000007</v>
      </c>
      <c r="AC796" s="15" t="s">
        <v>130</v>
      </c>
      <c r="AD796" s="15" t="s">
        <v>130</v>
      </c>
      <c r="AE796" s="15" t="s">
        <v>421</v>
      </c>
      <c r="AF796" s="12">
        <f>IF(AG796="Rejected",0,IF(R796="Corporate Card",0,V796))</f>
        <v>0</v>
      </c>
      <c r="AG796" s="15" t="s">
        <v>133</v>
      </c>
      <c r="AH796" s="16">
        <v>45732</v>
      </c>
      <c r="AI796" s="16">
        <v>45735</v>
      </c>
      <c r="AJ796" s="16">
        <v>45741</v>
      </c>
      <c r="AK796" s="17">
        <f>IF(AJ796="","",AJ796-AH796)</f>
        <v>9</v>
      </c>
    </row>
    <row r="797" spans="1:37">
      <c r="A797" s="2" t="s">
        <v>1188</v>
      </c>
      <c r="B797" s="2" t="s">
        <v>287</v>
      </c>
      <c r="C797" s="2" t="s">
        <v>288</v>
      </c>
      <c r="D797" s="2" t="s">
        <v>171</v>
      </c>
      <c r="E797" s="2" t="s">
        <v>289</v>
      </c>
      <c r="F797" s="2" t="s">
        <v>173</v>
      </c>
      <c r="G797" s="2" t="s">
        <v>1163</v>
      </c>
      <c r="H797" s="2" t="s">
        <v>379</v>
      </c>
      <c r="I797" s="2" t="s">
        <v>380</v>
      </c>
      <c r="J797" s="2" t="s">
        <v>381</v>
      </c>
      <c r="K797" s="9">
        <v>45725</v>
      </c>
      <c r="L797" s="9">
        <v>45731</v>
      </c>
      <c r="M797" s="9">
        <v>45726</v>
      </c>
      <c r="N797" s="2" t="s">
        <v>1054</v>
      </c>
      <c r="O797" s="2" t="s">
        <v>56</v>
      </c>
      <c r="P797" s="2" t="s">
        <v>231</v>
      </c>
      <c r="Q797" s="2" t="s">
        <v>166</v>
      </c>
      <c r="R797" s="2" t="s">
        <v>128</v>
      </c>
      <c r="S797" s="2" t="s">
        <v>383</v>
      </c>
      <c r="T797" s="10">
        <v>56.66</v>
      </c>
      <c r="U797" s="11">
        <v>1</v>
      </c>
      <c r="V797" s="12">
        <f>T797*U797</f>
        <v>56.66</v>
      </c>
      <c r="W797" s="13">
        <v>0</v>
      </c>
      <c r="X797" s="12">
        <f>V797-(V797/(1+W797))</f>
        <v>0</v>
      </c>
      <c r="Y797" s="12">
        <f>V797-X797</f>
        <v>56.66</v>
      </c>
      <c r="Z797" s="14">
        <v>75</v>
      </c>
      <c r="AA797" s="2" t="str">
        <f>IF(V797&gt;Z797,"Yes","No")</f>
        <v>No</v>
      </c>
      <c r="AB797" s="12">
        <f>V797-Z797</f>
        <v>-18.340000000000003</v>
      </c>
      <c r="AC797" s="15" t="s">
        <v>130</v>
      </c>
      <c r="AD797" s="15" t="s">
        <v>130</v>
      </c>
      <c r="AE797" s="15" t="s">
        <v>421</v>
      </c>
      <c r="AF797" s="12">
        <f>IF(AG797="Rejected",0,IF(R797="Corporate Card",0,V797))</f>
        <v>0</v>
      </c>
      <c r="AG797" s="15" t="s">
        <v>133</v>
      </c>
      <c r="AH797" s="16">
        <v>45732</v>
      </c>
      <c r="AI797" s="16">
        <v>45735</v>
      </c>
      <c r="AJ797" s="16">
        <v>45741</v>
      </c>
      <c r="AK797" s="17">
        <f>IF(AJ797="","",AJ797-AH797)</f>
        <v>9</v>
      </c>
    </row>
    <row r="798" spans="1:37">
      <c r="A798" s="2" t="s">
        <v>1189</v>
      </c>
      <c r="B798" s="2" t="s">
        <v>287</v>
      </c>
      <c r="C798" s="2" t="s">
        <v>288</v>
      </c>
      <c r="D798" s="2" t="s">
        <v>171</v>
      </c>
      <c r="E798" s="2" t="s">
        <v>289</v>
      </c>
      <c r="F798" s="2" t="s">
        <v>173</v>
      </c>
      <c r="G798" s="2" t="s">
        <v>1163</v>
      </c>
      <c r="H798" s="2" t="s">
        <v>379</v>
      </c>
      <c r="I798" s="2" t="s">
        <v>380</v>
      </c>
      <c r="J798" s="2" t="s">
        <v>381</v>
      </c>
      <c r="K798" s="9">
        <v>45725</v>
      </c>
      <c r="L798" s="9">
        <v>45731</v>
      </c>
      <c r="M798" s="9">
        <v>45726</v>
      </c>
      <c r="N798" s="2" t="s">
        <v>1054</v>
      </c>
      <c r="O798" s="2" t="s">
        <v>55</v>
      </c>
      <c r="P798" s="2" t="s">
        <v>139</v>
      </c>
      <c r="Q798" s="2" t="s">
        <v>187</v>
      </c>
      <c r="R798" s="2" t="s">
        <v>128</v>
      </c>
      <c r="S798" s="2" t="s">
        <v>383</v>
      </c>
      <c r="T798" s="10">
        <v>16.55</v>
      </c>
      <c r="U798" s="11">
        <v>1</v>
      </c>
      <c r="V798" s="12">
        <f>T798*U798</f>
        <v>16.55</v>
      </c>
      <c r="W798" s="13">
        <v>0</v>
      </c>
      <c r="X798" s="12">
        <f>V798-(V798/(1+W798))</f>
        <v>0</v>
      </c>
      <c r="Y798" s="12">
        <f>V798-X798</f>
        <v>16.55</v>
      </c>
      <c r="Z798" s="14">
        <v>35</v>
      </c>
      <c r="AA798" s="2" t="str">
        <f>IF(V798&gt;Z798,"Yes","No")</f>
        <v>No</v>
      </c>
      <c r="AB798" s="12">
        <f>V798-Z798</f>
        <v>-18.45</v>
      </c>
      <c r="AC798" s="15" t="s">
        <v>130</v>
      </c>
      <c r="AD798" s="15" t="s">
        <v>130</v>
      </c>
      <c r="AE798" s="15" t="s">
        <v>421</v>
      </c>
      <c r="AF798" s="12">
        <f>IF(AG798="Rejected",0,IF(R798="Corporate Card",0,V798))</f>
        <v>0</v>
      </c>
      <c r="AG798" s="15" t="s">
        <v>133</v>
      </c>
      <c r="AH798" s="16">
        <v>45732</v>
      </c>
      <c r="AI798" s="16">
        <v>45735</v>
      </c>
      <c r="AJ798" s="16">
        <v>45741</v>
      </c>
      <c r="AK798" s="17">
        <f>IF(AJ798="","",AJ798-AH798)</f>
        <v>9</v>
      </c>
    </row>
    <row r="799" spans="1:37">
      <c r="A799" s="2" t="s">
        <v>1190</v>
      </c>
      <c r="B799" s="2" t="s">
        <v>287</v>
      </c>
      <c r="C799" s="2" t="s">
        <v>288</v>
      </c>
      <c r="D799" s="2" t="s">
        <v>171</v>
      </c>
      <c r="E799" s="2" t="s">
        <v>289</v>
      </c>
      <c r="F799" s="2" t="s">
        <v>173</v>
      </c>
      <c r="G799" s="2" t="s">
        <v>1163</v>
      </c>
      <c r="H799" s="2" t="s">
        <v>379</v>
      </c>
      <c r="I799" s="2" t="s">
        <v>380</v>
      </c>
      <c r="J799" s="2" t="s">
        <v>381</v>
      </c>
      <c r="K799" s="9">
        <v>45725</v>
      </c>
      <c r="L799" s="9">
        <v>45731</v>
      </c>
      <c r="M799" s="9">
        <v>45726</v>
      </c>
      <c r="N799" s="2" t="s">
        <v>1054</v>
      </c>
      <c r="O799" s="2" t="s">
        <v>69</v>
      </c>
      <c r="P799" s="2" t="s">
        <v>409</v>
      </c>
      <c r="Q799" s="2" t="s">
        <v>1191</v>
      </c>
      <c r="R799" s="2" t="s">
        <v>128</v>
      </c>
      <c r="S799" s="2" t="s">
        <v>383</v>
      </c>
      <c r="T799" s="10">
        <v>50.96</v>
      </c>
      <c r="U799" s="11">
        <v>1</v>
      </c>
      <c r="V799" s="12">
        <f>T799*U799</f>
        <v>50.96</v>
      </c>
      <c r="W799" s="13">
        <v>0</v>
      </c>
      <c r="X799" s="12">
        <f>V799-(V799/(1+W799))</f>
        <v>0</v>
      </c>
      <c r="Y799" s="12">
        <f>V799-X799</f>
        <v>50.96</v>
      </c>
      <c r="Z799" s="14">
        <v>60</v>
      </c>
      <c r="AA799" s="2" t="str">
        <f>IF(V799&gt;Z799,"Yes","No")</f>
        <v>No</v>
      </c>
      <c r="AB799" s="12">
        <f>V799-Z799</f>
        <v>-9.0399999999999991</v>
      </c>
      <c r="AC799" s="15" t="s">
        <v>131</v>
      </c>
      <c r="AD799" s="15" t="s">
        <v>130</v>
      </c>
      <c r="AE799" s="15" t="s">
        <v>421</v>
      </c>
      <c r="AF799" s="12">
        <f>IF(AG799="Rejected",0,IF(R799="Corporate Card",0,V799))</f>
        <v>0</v>
      </c>
      <c r="AG799" s="15" t="s">
        <v>133</v>
      </c>
      <c r="AH799" s="16">
        <v>45732</v>
      </c>
      <c r="AI799" s="16">
        <v>45735</v>
      </c>
      <c r="AJ799" s="16">
        <v>45741</v>
      </c>
      <c r="AK799" s="17">
        <f>IF(AJ799="","",AJ799-AH799)</f>
        <v>9</v>
      </c>
    </row>
    <row r="800" spans="1:37">
      <c r="A800" s="2" t="s">
        <v>1192</v>
      </c>
      <c r="B800" s="2" t="s">
        <v>342</v>
      </c>
      <c r="C800" s="2" t="s">
        <v>343</v>
      </c>
      <c r="D800" s="2" t="s">
        <v>344</v>
      </c>
      <c r="E800" s="2" t="s">
        <v>345</v>
      </c>
      <c r="F800" s="2" t="s">
        <v>346</v>
      </c>
      <c r="G800" s="2" t="s">
        <v>1086</v>
      </c>
      <c r="H800" s="2" t="s">
        <v>448</v>
      </c>
      <c r="I800" s="2" t="s">
        <v>619</v>
      </c>
      <c r="J800" s="2" t="s">
        <v>381</v>
      </c>
      <c r="K800" s="9">
        <v>45719</v>
      </c>
      <c r="L800" s="9">
        <v>45727</v>
      </c>
      <c r="M800" s="9">
        <v>45726</v>
      </c>
      <c r="N800" s="2" t="s">
        <v>1054</v>
      </c>
      <c r="O800" s="2" t="s">
        <v>54</v>
      </c>
      <c r="P800" s="2" t="s">
        <v>139</v>
      </c>
      <c r="Q800" s="2" t="s">
        <v>140</v>
      </c>
      <c r="R800" s="2" t="s">
        <v>128</v>
      </c>
      <c r="S800" s="2" t="s">
        <v>383</v>
      </c>
      <c r="T800" s="10">
        <v>19.809999999999999</v>
      </c>
      <c r="U800" s="11">
        <v>1</v>
      </c>
      <c r="V800" s="12">
        <f>T800*U800</f>
        <v>19.809999999999999</v>
      </c>
      <c r="W800" s="13">
        <v>0</v>
      </c>
      <c r="X800" s="12">
        <f>V800-(V800/(1+W800))</f>
        <v>0</v>
      </c>
      <c r="Y800" s="12">
        <f>V800-X800</f>
        <v>19.809999999999999</v>
      </c>
      <c r="Z800" s="14">
        <v>25</v>
      </c>
      <c r="AA800" s="2" t="str">
        <f>IF(V800&gt;Z800,"Yes","No")</f>
        <v>No</v>
      </c>
      <c r="AB800" s="12">
        <f>V800-Z800</f>
        <v>-5.1900000000000013</v>
      </c>
      <c r="AC800" s="15" t="s">
        <v>130</v>
      </c>
      <c r="AD800" s="15" t="s">
        <v>130</v>
      </c>
      <c r="AE800" s="15" t="s">
        <v>350</v>
      </c>
      <c r="AF800" s="12">
        <f>IF(AG800="Rejected",0,IF(R800="Corporate Card",0,V800))</f>
        <v>0</v>
      </c>
      <c r="AG800" s="15" t="s">
        <v>133</v>
      </c>
      <c r="AH800" s="16">
        <v>45734</v>
      </c>
      <c r="AI800" s="16">
        <v>45740</v>
      </c>
      <c r="AJ800" s="16">
        <v>45743</v>
      </c>
      <c r="AK800" s="17">
        <f>IF(AJ800="","",AJ800-AH800)</f>
        <v>9</v>
      </c>
    </row>
    <row r="801" spans="1:37">
      <c r="A801" s="2" t="s">
        <v>1193</v>
      </c>
      <c r="B801" s="2" t="s">
        <v>342</v>
      </c>
      <c r="C801" s="2" t="s">
        <v>343</v>
      </c>
      <c r="D801" s="2" t="s">
        <v>344</v>
      </c>
      <c r="E801" s="2" t="s">
        <v>345</v>
      </c>
      <c r="F801" s="2" t="s">
        <v>346</v>
      </c>
      <c r="G801" s="2" t="s">
        <v>1086</v>
      </c>
      <c r="H801" s="2" t="s">
        <v>448</v>
      </c>
      <c r="I801" s="2" t="s">
        <v>619</v>
      </c>
      <c r="J801" s="2" t="s">
        <v>381</v>
      </c>
      <c r="K801" s="9">
        <v>45719</v>
      </c>
      <c r="L801" s="9">
        <v>45727</v>
      </c>
      <c r="M801" s="9">
        <v>45726</v>
      </c>
      <c r="N801" s="2" t="s">
        <v>1054</v>
      </c>
      <c r="O801" s="2" t="s">
        <v>55</v>
      </c>
      <c r="P801" s="2" t="s">
        <v>139</v>
      </c>
      <c r="Q801" s="2" t="s">
        <v>187</v>
      </c>
      <c r="R801" s="2" t="s">
        <v>137</v>
      </c>
      <c r="S801" s="2" t="s">
        <v>383</v>
      </c>
      <c r="T801" s="10">
        <v>13.64</v>
      </c>
      <c r="U801" s="11">
        <v>1</v>
      </c>
      <c r="V801" s="12">
        <f>T801*U801</f>
        <v>13.64</v>
      </c>
      <c r="W801" s="13">
        <v>0</v>
      </c>
      <c r="X801" s="12">
        <f>V801-(V801/(1+W801))</f>
        <v>0</v>
      </c>
      <c r="Y801" s="12">
        <f>V801-X801</f>
        <v>13.64</v>
      </c>
      <c r="Z801" s="14">
        <v>35</v>
      </c>
      <c r="AA801" s="2" t="str">
        <f>IF(V801&gt;Z801,"Yes","No")</f>
        <v>No</v>
      </c>
      <c r="AB801" s="12">
        <f>V801-Z801</f>
        <v>-21.36</v>
      </c>
      <c r="AC801" s="15" t="s">
        <v>130</v>
      </c>
      <c r="AD801" s="15" t="s">
        <v>130</v>
      </c>
      <c r="AE801" s="15" t="s">
        <v>350</v>
      </c>
      <c r="AF801" s="12">
        <f>IF(AG801="Rejected",0,IF(R801="Corporate Card",0,V801))</f>
        <v>13.64</v>
      </c>
      <c r="AG801" s="15" t="s">
        <v>133</v>
      </c>
      <c r="AH801" s="16">
        <v>45734</v>
      </c>
      <c r="AI801" s="16">
        <v>45740</v>
      </c>
      <c r="AJ801" s="16">
        <v>45743</v>
      </c>
      <c r="AK801" s="17">
        <f>IF(AJ801="","",AJ801-AH801)</f>
        <v>9</v>
      </c>
    </row>
    <row r="802" spans="1:37">
      <c r="A802" s="2" t="s">
        <v>1194</v>
      </c>
      <c r="B802" s="2" t="s">
        <v>550</v>
      </c>
      <c r="C802" s="2" t="s">
        <v>551</v>
      </c>
      <c r="D802" s="2" t="s">
        <v>171</v>
      </c>
      <c r="E802" s="2" t="s">
        <v>172</v>
      </c>
      <c r="F802" s="2" t="s">
        <v>173</v>
      </c>
      <c r="G802" s="2" t="s">
        <v>1103</v>
      </c>
      <c r="H802" s="2" t="s">
        <v>448</v>
      </c>
      <c r="I802" s="2" t="s">
        <v>255</v>
      </c>
      <c r="J802" s="2" t="s">
        <v>256</v>
      </c>
      <c r="K802" s="9">
        <v>45720</v>
      </c>
      <c r="L802" s="9">
        <v>45727</v>
      </c>
      <c r="M802" s="9">
        <v>45726</v>
      </c>
      <c r="N802" s="2" t="s">
        <v>1054</v>
      </c>
      <c r="O802" s="2" t="s">
        <v>58</v>
      </c>
      <c r="P802" s="2" t="s">
        <v>142</v>
      </c>
      <c r="Q802" s="2" t="s">
        <v>296</v>
      </c>
      <c r="R802" s="2" t="s">
        <v>137</v>
      </c>
      <c r="S802" s="2" t="s">
        <v>259</v>
      </c>
      <c r="T802" s="10">
        <v>6541</v>
      </c>
      <c r="U802" s="11">
        <v>6.5500000000000003E-3</v>
      </c>
      <c r="V802" s="12">
        <f>T802*U802</f>
        <v>42.84355</v>
      </c>
      <c r="W802" s="13">
        <v>0.1</v>
      </c>
      <c r="X802" s="12">
        <f>V802-(V802/(1+W802))</f>
        <v>3.8948681818181825</v>
      </c>
      <c r="Y802" s="12">
        <f>V802-X802</f>
        <v>38.948681818181818</v>
      </c>
      <c r="Z802" s="14">
        <v>60</v>
      </c>
      <c r="AA802" s="2" t="str">
        <f>IF(V802&gt;Z802,"Yes","No")</f>
        <v>No</v>
      </c>
      <c r="AB802" s="12">
        <f>V802-Z802</f>
        <v>-17.15645</v>
      </c>
      <c r="AC802" s="15" t="s">
        <v>130</v>
      </c>
      <c r="AD802" s="15" t="s">
        <v>131</v>
      </c>
      <c r="AE802" s="15" t="s">
        <v>421</v>
      </c>
      <c r="AF802" s="12">
        <f>IF(AG802="Rejected",0,IF(R802="Corporate Card",0,V802))</f>
        <v>42.84355</v>
      </c>
      <c r="AG802" s="15" t="s">
        <v>133</v>
      </c>
      <c r="AH802" s="16">
        <v>45736</v>
      </c>
      <c r="AI802" s="16">
        <v>45737</v>
      </c>
      <c r="AJ802" s="16">
        <v>45745</v>
      </c>
      <c r="AK802" s="17">
        <f>IF(AJ802="","",AJ802-AH802)</f>
        <v>9</v>
      </c>
    </row>
    <row r="803" spans="1:37">
      <c r="A803" s="2" t="s">
        <v>1195</v>
      </c>
      <c r="B803" s="2" t="s">
        <v>550</v>
      </c>
      <c r="C803" s="2" t="s">
        <v>551</v>
      </c>
      <c r="D803" s="2" t="s">
        <v>171</v>
      </c>
      <c r="E803" s="2" t="s">
        <v>172</v>
      </c>
      <c r="F803" s="2" t="s">
        <v>173</v>
      </c>
      <c r="G803" s="2" t="s">
        <v>1103</v>
      </c>
      <c r="H803" s="2" t="s">
        <v>448</v>
      </c>
      <c r="I803" s="2" t="s">
        <v>255</v>
      </c>
      <c r="J803" s="2" t="s">
        <v>256</v>
      </c>
      <c r="K803" s="9">
        <v>45720</v>
      </c>
      <c r="L803" s="9">
        <v>45727</v>
      </c>
      <c r="M803" s="9">
        <v>45726</v>
      </c>
      <c r="N803" s="2" t="s">
        <v>1054</v>
      </c>
      <c r="O803" s="2" t="s">
        <v>54</v>
      </c>
      <c r="P803" s="2" t="s">
        <v>139</v>
      </c>
      <c r="Q803" s="2" t="s">
        <v>214</v>
      </c>
      <c r="R803" s="2" t="s">
        <v>128</v>
      </c>
      <c r="S803" s="2" t="s">
        <v>259</v>
      </c>
      <c r="T803" s="10">
        <v>1750</v>
      </c>
      <c r="U803" s="11">
        <v>6.5500000000000003E-3</v>
      </c>
      <c r="V803" s="12">
        <f>T803*U803</f>
        <v>11.4625</v>
      </c>
      <c r="W803" s="13">
        <v>0.1</v>
      </c>
      <c r="X803" s="12">
        <f>V803-(V803/(1+W803))</f>
        <v>1.0420454545454554</v>
      </c>
      <c r="Y803" s="12">
        <f>V803-X803</f>
        <v>10.420454545454545</v>
      </c>
      <c r="Z803" s="14">
        <v>25</v>
      </c>
      <c r="AA803" s="2" t="str">
        <f>IF(V803&gt;Z803,"Yes","No")</f>
        <v>No</v>
      </c>
      <c r="AB803" s="12">
        <f>V803-Z803</f>
        <v>-13.5375</v>
      </c>
      <c r="AC803" s="15" t="s">
        <v>130</v>
      </c>
      <c r="AD803" s="15" t="s">
        <v>131</v>
      </c>
      <c r="AE803" s="15" t="s">
        <v>421</v>
      </c>
      <c r="AF803" s="12">
        <f>IF(AG803="Rejected",0,IF(R803="Corporate Card",0,V803))</f>
        <v>0</v>
      </c>
      <c r="AG803" s="15" t="s">
        <v>133</v>
      </c>
      <c r="AH803" s="16">
        <v>45736</v>
      </c>
      <c r="AI803" s="16">
        <v>45737</v>
      </c>
      <c r="AJ803" s="16">
        <v>45745</v>
      </c>
      <c r="AK803" s="17">
        <f>IF(AJ803="","",AJ803-AH803)</f>
        <v>9</v>
      </c>
    </row>
    <row r="804" spans="1:37">
      <c r="A804" s="2" t="s">
        <v>1196</v>
      </c>
      <c r="B804" s="2" t="s">
        <v>550</v>
      </c>
      <c r="C804" s="2" t="s">
        <v>551</v>
      </c>
      <c r="D804" s="2" t="s">
        <v>171</v>
      </c>
      <c r="E804" s="2" t="s">
        <v>172</v>
      </c>
      <c r="F804" s="2" t="s">
        <v>173</v>
      </c>
      <c r="G804" s="2" t="s">
        <v>1103</v>
      </c>
      <c r="H804" s="2" t="s">
        <v>448</v>
      </c>
      <c r="I804" s="2" t="s">
        <v>255</v>
      </c>
      <c r="J804" s="2" t="s">
        <v>256</v>
      </c>
      <c r="K804" s="9">
        <v>45720</v>
      </c>
      <c r="L804" s="9">
        <v>45727</v>
      </c>
      <c r="M804" s="9">
        <v>45726</v>
      </c>
      <c r="N804" s="2" t="s">
        <v>1054</v>
      </c>
      <c r="O804" s="2" t="s">
        <v>56</v>
      </c>
      <c r="P804" s="2" t="s">
        <v>151</v>
      </c>
      <c r="Q804" s="2" t="s">
        <v>166</v>
      </c>
      <c r="R804" s="2" t="s">
        <v>137</v>
      </c>
      <c r="S804" s="2" t="s">
        <v>259</v>
      </c>
      <c r="T804" s="10">
        <v>6915</v>
      </c>
      <c r="U804" s="11">
        <v>6.5500000000000003E-3</v>
      </c>
      <c r="V804" s="12">
        <f>T804*U804</f>
        <v>45.29325</v>
      </c>
      <c r="W804" s="13">
        <v>0.1</v>
      </c>
      <c r="X804" s="12">
        <f>V804-(V804/(1+W804))</f>
        <v>4.1175681818181857</v>
      </c>
      <c r="Y804" s="12">
        <f>V804-X804</f>
        <v>41.175681818181815</v>
      </c>
      <c r="Z804" s="14">
        <v>75</v>
      </c>
      <c r="AA804" s="2" t="str">
        <f>IF(V804&gt;Z804,"Yes","No")</f>
        <v>No</v>
      </c>
      <c r="AB804" s="12">
        <f>V804-Z804</f>
        <v>-29.70675</v>
      </c>
      <c r="AC804" s="15" t="s">
        <v>130</v>
      </c>
      <c r="AD804" s="15" t="s">
        <v>131</v>
      </c>
      <c r="AE804" s="15" t="s">
        <v>421</v>
      </c>
      <c r="AF804" s="12">
        <f>IF(AG804="Rejected",0,IF(R804="Corporate Card",0,V804))</f>
        <v>45.29325</v>
      </c>
      <c r="AG804" s="15" t="s">
        <v>133</v>
      </c>
      <c r="AH804" s="16">
        <v>45736</v>
      </c>
      <c r="AI804" s="16">
        <v>45737</v>
      </c>
      <c r="AJ804" s="16">
        <v>45745</v>
      </c>
      <c r="AK804" s="17">
        <f>IF(AJ804="","",AJ804-AH804)</f>
        <v>9</v>
      </c>
    </row>
    <row r="805" spans="1:37">
      <c r="A805" s="2" t="s">
        <v>1197</v>
      </c>
      <c r="B805" s="2" t="s">
        <v>550</v>
      </c>
      <c r="C805" s="2" t="s">
        <v>551</v>
      </c>
      <c r="D805" s="2" t="s">
        <v>171</v>
      </c>
      <c r="E805" s="2" t="s">
        <v>172</v>
      </c>
      <c r="F805" s="2" t="s">
        <v>173</v>
      </c>
      <c r="G805" s="2" t="s">
        <v>1103</v>
      </c>
      <c r="H805" s="2" t="s">
        <v>448</v>
      </c>
      <c r="I805" s="2" t="s">
        <v>255</v>
      </c>
      <c r="J805" s="2" t="s">
        <v>256</v>
      </c>
      <c r="K805" s="9">
        <v>45720</v>
      </c>
      <c r="L805" s="9">
        <v>45727</v>
      </c>
      <c r="M805" s="9">
        <v>45726</v>
      </c>
      <c r="N805" s="2" t="s">
        <v>1054</v>
      </c>
      <c r="O805" s="2" t="s">
        <v>55</v>
      </c>
      <c r="P805" s="2" t="s">
        <v>139</v>
      </c>
      <c r="Q805" s="2" t="s">
        <v>154</v>
      </c>
      <c r="R805" s="2" t="s">
        <v>128</v>
      </c>
      <c r="S805" s="2" t="s">
        <v>259</v>
      </c>
      <c r="T805" s="10">
        <v>4309</v>
      </c>
      <c r="U805" s="11">
        <v>6.5500000000000003E-3</v>
      </c>
      <c r="V805" s="12">
        <f>T805*U805</f>
        <v>28.223950000000002</v>
      </c>
      <c r="W805" s="13">
        <v>0.1</v>
      </c>
      <c r="X805" s="12">
        <f>V805-(V805/(1+W805))</f>
        <v>2.5658136363636395</v>
      </c>
      <c r="Y805" s="12">
        <f>V805-X805</f>
        <v>25.658136363636363</v>
      </c>
      <c r="Z805" s="14">
        <v>35</v>
      </c>
      <c r="AA805" s="2" t="str">
        <f>IF(V805&gt;Z805,"Yes","No")</f>
        <v>No</v>
      </c>
      <c r="AB805" s="12">
        <f>V805-Z805</f>
        <v>-6.7760499999999979</v>
      </c>
      <c r="AC805" s="15" t="s">
        <v>130</v>
      </c>
      <c r="AD805" s="15" t="s">
        <v>131</v>
      </c>
      <c r="AE805" s="15" t="s">
        <v>421</v>
      </c>
      <c r="AF805" s="12">
        <f>IF(AG805="Rejected",0,IF(R805="Corporate Card",0,V805))</f>
        <v>0</v>
      </c>
      <c r="AG805" s="15" t="s">
        <v>133</v>
      </c>
      <c r="AH805" s="16">
        <v>45736</v>
      </c>
      <c r="AI805" s="16">
        <v>45737</v>
      </c>
      <c r="AJ805" s="16">
        <v>45745</v>
      </c>
      <c r="AK805" s="17">
        <f>IF(AJ805="","",AJ805-AH805)</f>
        <v>9</v>
      </c>
    </row>
    <row r="806" spans="1:37">
      <c r="A806" s="2" t="s">
        <v>1198</v>
      </c>
      <c r="B806" s="2" t="s">
        <v>863</v>
      </c>
      <c r="C806" s="2" t="s">
        <v>864</v>
      </c>
      <c r="D806" s="2" t="s">
        <v>865</v>
      </c>
      <c r="E806" s="2" t="s">
        <v>866</v>
      </c>
      <c r="F806" s="2" t="s">
        <v>867</v>
      </c>
      <c r="G806" s="2" t="s">
        <v>1176</v>
      </c>
      <c r="H806" s="2" t="s">
        <v>348</v>
      </c>
      <c r="I806" s="2" t="s">
        <v>1038</v>
      </c>
      <c r="J806" s="2" t="s">
        <v>381</v>
      </c>
      <c r="K806" s="9">
        <v>45726</v>
      </c>
      <c r="L806" s="9">
        <v>45728</v>
      </c>
      <c r="M806" s="9">
        <v>45727</v>
      </c>
      <c r="N806" s="2" t="s">
        <v>1054</v>
      </c>
      <c r="O806" s="2" t="s">
        <v>58</v>
      </c>
      <c r="P806" s="2" t="s">
        <v>142</v>
      </c>
      <c r="Q806" s="2" t="s">
        <v>143</v>
      </c>
      <c r="R806" s="2" t="s">
        <v>149</v>
      </c>
      <c r="S806" s="2" t="s">
        <v>383</v>
      </c>
      <c r="T806" s="10">
        <v>49.98</v>
      </c>
      <c r="U806" s="11">
        <v>1</v>
      </c>
      <c r="V806" s="12">
        <f>T806*U806</f>
        <v>49.98</v>
      </c>
      <c r="W806" s="13">
        <v>0</v>
      </c>
      <c r="X806" s="12">
        <f>V806-(V806/(1+W806))</f>
        <v>0</v>
      </c>
      <c r="Y806" s="12">
        <f>V806-X806</f>
        <v>49.98</v>
      </c>
      <c r="Z806" s="14">
        <v>60</v>
      </c>
      <c r="AA806" s="2" t="str">
        <f>IF(V806&gt;Z806,"Yes","No")</f>
        <v>No</v>
      </c>
      <c r="AB806" s="12">
        <f>V806-Z806</f>
        <v>-10.020000000000003</v>
      </c>
      <c r="AC806" s="15" t="s">
        <v>130</v>
      </c>
      <c r="AD806" s="15" t="s">
        <v>130</v>
      </c>
      <c r="AE806" s="15" t="s">
        <v>260</v>
      </c>
      <c r="AF806" s="12">
        <f>IF(AG806="Rejected",0,IF(R806="Corporate Card",0,V806))</f>
        <v>49.98</v>
      </c>
      <c r="AG806" s="15" t="s">
        <v>133</v>
      </c>
      <c r="AH806" s="16">
        <v>45730</v>
      </c>
      <c r="AI806" s="16">
        <v>45731</v>
      </c>
      <c r="AJ806" s="16">
        <v>45736</v>
      </c>
      <c r="AK806" s="17">
        <f>IF(AJ806="","",AJ806-AH806)</f>
        <v>6</v>
      </c>
    </row>
    <row r="807" spans="1:37">
      <c r="A807" s="2" t="s">
        <v>1199</v>
      </c>
      <c r="B807" s="2" t="s">
        <v>863</v>
      </c>
      <c r="C807" s="2" t="s">
        <v>864</v>
      </c>
      <c r="D807" s="2" t="s">
        <v>865</v>
      </c>
      <c r="E807" s="2" t="s">
        <v>866</v>
      </c>
      <c r="F807" s="2" t="s">
        <v>867</v>
      </c>
      <c r="G807" s="2" t="s">
        <v>1176</v>
      </c>
      <c r="H807" s="2" t="s">
        <v>348</v>
      </c>
      <c r="I807" s="2" t="s">
        <v>1038</v>
      </c>
      <c r="J807" s="2" t="s">
        <v>381</v>
      </c>
      <c r="K807" s="9">
        <v>45726</v>
      </c>
      <c r="L807" s="9">
        <v>45728</v>
      </c>
      <c r="M807" s="9">
        <v>45727</v>
      </c>
      <c r="N807" s="2" t="s">
        <v>1054</v>
      </c>
      <c r="O807" s="2" t="s">
        <v>53</v>
      </c>
      <c r="P807" s="2" t="s">
        <v>362</v>
      </c>
      <c r="Q807" s="2" t="s">
        <v>305</v>
      </c>
      <c r="R807" s="2" t="s">
        <v>128</v>
      </c>
      <c r="S807" s="2" t="s">
        <v>383</v>
      </c>
      <c r="T807" s="10">
        <v>301.51</v>
      </c>
      <c r="U807" s="11">
        <v>1</v>
      </c>
      <c r="V807" s="12">
        <f>T807*U807</f>
        <v>301.51</v>
      </c>
      <c r="W807" s="13">
        <v>0</v>
      </c>
      <c r="X807" s="12">
        <f>V807-(V807/(1+W807))</f>
        <v>0</v>
      </c>
      <c r="Y807" s="12">
        <f>V807-X807</f>
        <v>301.51</v>
      </c>
      <c r="Z807" s="14">
        <v>560</v>
      </c>
      <c r="AA807" s="2" t="str">
        <f>IF(V807&gt;Z807,"Yes","No")</f>
        <v>No</v>
      </c>
      <c r="AB807" s="12">
        <f>V807-Z807</f>
        <v>-258.49</v>
      </c>
      <c r="AC807" s="15" t="s">
        <v>130</v>
      </c>
      <c r="AD807" s="15" t="s">
        <v>130</v>
      </c>
      <c r="AE807" s="15" t="s">
        <v>260</v>
      </c>
      <c r="AF807" s="12">
        <f>IF(AG807="Rejected",0,IF(R807="Corporate Card",0,V807))</f>
        <v>0</v>
      </c>
      <c r="AG807" s="15" t="s">
        <v>133</v>
      </c>
      <c r="AH807" s="16">
        <v>45730</v>
      </c>
      <c r="AI807" s="16">
        <v>45731</v>
      </c>
      <c r="AJ807" s="16">
        <v>45736</v>
      </c>
      <c r="AK807" s="17">
        <f>IF(AJ807="","",AJ807-AH807)</f>
        <v>6</v>
      </c>
    </row>
    <row r="808" spans="1:37">
      <c r="A808" s="2" t="s">
        <v>1200</v>
      </c>
      <c r="B808" s="2" t="s">
        <v>863</v>
      </c>
      <c r="C808" s="2" t="s">
        <v>864</v>
      </c>
      <c r="D808" s="2" t="s">
        <v>865</v>
      </c>
      <c r="E808" s="2" t="s">
        <v>866</v>
      </c>
      <c r="F808" s="2" t="s">
        <v>867</v>
      </c>
      <c r="G808" s="2" t="s">
        <v>1176</v>
      </c>
      <c r="H808" s="2" t="s">
        <v>348</v>
      </c>
      <c r="I808" s="2" t="s">
        <v>1038</v>
      </c>
      <c r="J808" s="2" t="s">
        <v>381</v>
      </c>
      <c r="K808" s="9">
        <v>45726</v>
      </c>
      <c r="L808" s="9">
        <v>45728</v>
      </c>
      <c r="M808" s="9">
        <v>45727</v>
      </c>
      <c r="N808" s="2" t="s">
        <v>1054</v>
      </c>
      <c r="O808" s="2" t="s">
        <v>54</v>
      </c>
      <c r="P808" s="2" t="s">
        <v>139</v>
      </c>
      <c r="Q808" s="2" t="s">
        <v>148</v>
      </c>
      <c r="R808" s="2" t="s">
        <v>128</v>
      </c>
      <c r="S808" s="2" t="s">
        <v>383</v>
      </c>
      <c r="T808" s="10">
        <v>17.07</v>
      </c>
      <c r="U808" s="11">
        <v>1</v>
      </c>
      <c r="V808" s="12">
        <f>T808*U808</f>
        <v>17.07</v>
      </c>
      <c r="W808" s="13">
        <v>0</v>
      </c>
      <c r="X808" s="12">
        <f>V808-(V808/(1+W808))</f>
        <v>0</v>
      </c>
      <c r="Y808" s="12">
        <f>V808-X808</f>
        <v>17.07</v>
      </c>
      <c r="Z808" s="14">
        <v>25</v>
      </c>
      <c r="AA808" s="2" t="str">
        <f>IF(V808&gt;Z808,"Yes","No")</f>
        <v>No</v>
      </c>
      <c r="AB808" s="12">
        <f>V808-Z808</f>
        <v>-7.93</v>
      </c>
      <c r="AC808" s="15" t="s">
        <v>130</v>
      </c>
      <c r="AD808" s="15" t="s">
        <v>130</v>
      </c>
      <c r="AE808" s="15" t="s">
        <v>260</v>
      </c>
      <c r="AF808" s="12">
        <f>IF(AG808="Rejected",0,IF(R808="Corporate Card",0,V808))</f>
        <v>0</v>
      </c>
      <c r="AG808" s="15" t="s">
        <v>133</v>
      </c>
      <c r="AH808" s="16">
        <v>45730</v>
      </c>
      <c r="AI808" s="16">
        <v>45731</v>
      </c>
      <c r="AJ808" s="16">
        <v>45736</v>
      </c>
      <c r="AK808" s="17">
        <f>IF(AJ808="","",AJ808-AH808)</f>
        <v>6</v>
      </c>
    </row>
    <row r="809" spans="1:37">
      <c r="A809" s="2" t="s">
        <v>1201</v>
      </c>
      <c r="B809" s="2" t="s">
        <v>863</v>
      </c>
      <c r="C809" s="2" t="s">
        <v>864</v>
      </c>
      <c r="D809" s="2" t="s">
        <v>865</v>
      </c>
      <c r="E809" s="2" t="s">
        <v>866</v>
      </c>
      <c r="F809" s="2" t="s">
        <v>867</v>
      </c>
      <c r="G809" s="2" t="s">
        <v>1176</v>
      </c>
      <c r="H809" s="2" t="s">
        <v>348</v>
      </c>
      <c r="I809" s="2" t="s">
        <v>1038</v>
      </c>
      <c r="J809" s="2" t="s">
        <v>381</v>
      </c>
      <c r="K809" s="9">
        <v>45726</v>
      </c>
      <c r="L809" s="9">
        <v>45728</v>
      </c>
      <c r="M809" s="9">
        <v>45727</v>
      </c>
      <c r="N809" s="2" t="s">
        <v>1054</v>
      </c>
      <c r="O809" s="2" t="s">
        <v>56</v>
      </c>
      <c r="P809" s="2" t="s">
        <v>151</v>
      </c>
      <c r="Q809" s="2" t="s">
        <v>185</v>
      </c>
      <c r="R809" s="2" t="s">
        <v>128</v>
      </c>
      <c r="S809" s="2" t="s">
        <v>383</v>
      </c>
      <c r="T809" s="10">
        <v>35.159999999999997</v>
      </c>
      <c r="U809" s="11">
        <v>1</v>
      </c>
      <c r="V809" s="12">
        <f>T809*U809</f>
        <v>35.159999999999997</v>
      </c>
      <c r="W809" s="13">
        <v>0</v>
      </c>
      <c r="X809" s="12">
        <f>V809-(V809/(1+W809))</f>
        <v>0</v>
      </c>
      <c r="Y809" s="12">
        <f>V809-X809</f>
        <v>35.159999999999997</v>
      </c>
      <c r="Z809" s="14">
        <v>75</v>
      </c>
      <c r="AA809" s="2" t="str">
        <f>IF(V809&gt;Z809,"Yes","No")</f>
        <v>No</v>
      </c>
      <c r="AB809" s="12">
        <f>V809-Z809</f>
        <v>-39.840000000000003</v>
      </c>
      <c r="AC809" s="15" t="s">
        <v>130</v>
      </c>
      <c r="AD809" s="15" t="s">
        <v>130</v>
      </c>
      <c r="AE809" s="15" t="s">
        <v>260</v>
      </c>
      <c r="AF809" s="12">
        <f>IF(AG809="Rejected",0,IF(R809="Corporate Card",0,V809))</f>
        <v>0</v>
      </c>
      <c r="AG809" s="15" t="s">
        <v>133</v>
      </c>
      <c r="AH809" s="16">
        <v>45730</v>
      </c>
      <c r="AI809" s="16">
        <v>45731</v>
      </c>
      <c r="AJ809" s="16">
        <v>45736</v>
      </c>
      <c r="AK809" s="17">
        <f>IF(AJ809="","",AJ809-AH809)</f>
        <v>6</v>
      </c>
    </row>
    <row r="810" spans="1:37">
      <c r="A810" s="2" t="s">
        <v>1202</v>
      </c>
      <c r="B810" s="2" t="s">
        <v>863</v>
      </c>
      <c r="C810" s="2" t="s">
        <v>864</v>
      </c>
      <c r="D810" s="2" t="s">
        <v>865</v>
      </c>
      <c r="E810" s="2" t="s">
        <v>866</v>
      </c>
      <c r="F810" s="2" t="s">
        <v>867</v>
      </c>
      <c r="G810" s="2" t="s">
        <v>1176</v>
      </c>
      <c r="H810" s="2" t="s">
        <v>348</v>
      </c>
      <c r="I810" s="2" t="s">
        <v>1038</v>
      </c>
      <c r="J810" s="2" t="s">
        <v>381</v>
      </c>
      <c r="K810" s="9">
        <v>45726</v>
      </c>
      <c r="L810" s="9">
        <v>45728</v>
      </c>
      <c r="M810" s="9">
        <v>45727</v>
      </c>
      <c r="N810" s="2" t="s">
        <v>1054</v>
      </c>
      <c r="O810" s="2" t="s">
        <v>69</v>
      </c>
      <c r="P810" s="2" t="s">
        <v>409</v>
      </c>
      <c r="Q810" s="2" t="s">
        <v>410</v>
      </c>
      <c r="R810" s="2" t="s">
        <v>149</v>
      </c>
      <c r="S810" s="2" t="s">
        <v>383</v>
      </c>
      <c r="T810" s="10">
        <v>23.48</v>
      </c>
      <c r="U810" s="11">
        <v>1</v>
      </c>
      <c r="V810" s="12">
        <f>T810*U810</f>
        <v>23.48</v>
      </c>
      <c r="W810" s="13">
        <v>0</v>
      </c>
      <c r="X810" s="12">
        <f>V810-(V810/(1+W810))</f>
        <v>0</v>
      </c>
      <c r="Y810" s="12">
        <f>V810-X810</f>
        <v>23.48</v>
      </c>
      <c r="Z810" s="14">
        <v>60</v>
      </c>
      <c r="AA810" s="2" t="str">
        <f>IF(V810&gt;Z810,"Yes","No")</f>
        <v>No</v>
      </c>
      <c r="AB810" s="12">
        <f>V810-Z810</f>
        <v>-36.519999999999996</v>
      </c>
      <c r="AC810" s="15" t="s">
        <v>130</v>
      </c>
      <c r="AD810" s="15" t="s">
        <v>130</v>
      </c>
      <c r="AE810" s="15" t="s">
        <v>260</v>
      </c>
      <c r="AF810" s="12">
        <f>IF(AG810="Rejected",0,IF(R810="Corporate Card",0,V810))</f>
        <v>23.48</v>
      </c>
      <c r="AG810" s="15" t="s">
        <v>133</v>
      </c>
      <c r="AH810" s="16">
        <v>45730</v>
      </c>
      <c r="AI810" s="16">
        <v>45731</v>
      </c>
      <c r="AJ810" s="16">
        <v>45736</v>
      </c>
      <c r="AK810" s="17">
        <f>IF(AJ810="","",AJ810-AH810)</f>
        <v>6</v>
      </c>
    </row>
    <row r="811" spans="1:37">
      <c r="A811" s="2" t="s">
        <v>1203</v>
      </c>
      <c r="B811" s="2" t="s">
        <v>1155</v>
      </c>
      <c r="C811" s="2" t="s">
        <v>1156</v>
      </c>
      <c r="D811" s="2" t="s">
        <v>118</v>
      </c>
      <c r="E811" s="2" t="s">
        <v>119</v>
      </c>
      <c r="F811" s="2" t="s">
        <v>311</v>
      </c>
      <c r="G811" s="2" t="s">
        <v>1157</v>
      </c>
      <c r="H811" s="2" t="s">
        <v>379</v>
      </c>
      <c r="I811" s="2" t="s">
        <v>175</v>
      </c>
      <c r="J811" s="2" t="s">
        <v>176</v>
      </c>
      <c r="K811" s="9">
        <v>45725</v>
      </c>
      <c r="L811" s="9">
        <v>45728</v>
      </c>
      <c r="M811" s="9">
        <v>45727</v>
      </c>
      <c r="N811" s="2" t="s">
        <v>1054</v>
      </c>
      <c r="O811" s="2" t="s">
        <v>57</v>
      </c>
      <c r="P811" s="2" t="s">
        <v>398</v>
      </c>
      <c r="Q811" s="2" t="s">
        <v>1204</v>
      </c>
      <c r="R811" s="2" t="s">
        <v>149</v>
      </c>
      <c r="S811" s="2" t="s">
        <v>179</v>
      </c>
      <c r="T811" s="10">
        <v>526.12</v>
      </c>
      <c r="U811" s="11">
        <v>0.18099999999999999</v>
      </c>
      <c r="V811" s="12">
        <f>T811*U811</f>
        <v>95.227719999999991</v>
      </c>
      <c r="W811" s="13">
        <v>0.17</v>
      </c>
      <c r="X811" s="12">
        <f>V811-(V811/(1+W811))</f>
        <v>13.836506324786313</v>
      </c>
      <c r="Y811" s="12">
        <f>V811-X811</f>
        <v>81.391213675213677</v>
      </c>
      <c r="Z811" s="14">
        <v>200</v>
      </c>
      <c r="AA811" s="2" t="str">
        <f>IF(V811&gt;Z811,"Yes","No")</f>
        <v>No</v>
      </c>
      <c r="AB811" s="12">
        <f>V811-Z811</f>
        <v>-104.77228000000001</v>
      </c>
      <c r="AC811" s="15" t="s">
        <v>130</v>
      </c>
      <c r="AD811" s="15" t="s">
        <v>130</v>
      </c>
      <c r="AE811" s="15" t="s">
        <v>514</v>
      </c>
      <c r="AF811" s="12">
        <f>IF(AG811="Rejected",0,IF(R811="Corporate Card",0,V811))</f>
        <v>95.227719999999991</v>
      </c>
      <c r="AG811" s="15" t="s">
        <v>133</v>
      </c>
      <c r="AH811" s="16">
        <v>45735</v>
      </c>
      <c r="AI811" s="16">
        <v>45736</v>
      </c>
      <c r="AJ811" s="16">
        <v>45742</v>
      </c>
      <c r="AK811" s="17">
        <f>IF(AJ811="","",AJ811-AH811)</f>
        <v>7</v>
      </c>
    </row>
    <row r="812" spans="1:37">
      <c r="A812" s="2" t="s">
        <v>1205</v>
      </c>
      <c r="B812" s="2" t="s">
        <v>1155</v>
      </c>
      <c r="C812" s="2" t="s">
        <v>1156</v>
      </c>
      <c r="D812" s="2" t="s">
        <v>118</v>
      </c>
      <c r="E812" s="2" t="s">
        <v>119</v>
      </c>
      <c r="F812" s="2" t="s">
        <v>311</v>
      </c>
      <c r="G812" s="2" t="s">
        <v>1157</v>
      </c>
      <c r="H812" s="2" t="s">
        <v>379</v>
      </c>
      <c r="I812" s="2" t="s">
        <v>175</v>
      </c>
      <c r="J812" s="2" t="s">
        <v>176</v>
      </c>
      <c r="K812" s="9">
        <v>45725</v>
      </c>
      <c r="L812" s="9">
        <v>45728</v>
      </c>
      <c r="M812" s="9">
        <v>45727</v>
      </c>
      <c r="N812" s="2" t="s">
        <v>1054</v>
      </c>
      <c r="O812" s="2" t="s">
        <v>58</v>
      </c>
      <c r="P812" s="2" t="s">
        <v>142</v>
      </c>
      <c r="Q812" s="2" t="s">
        <v>203</v>
      </c>
      <c r="R812" s="2" t="s">
        <v>149</v>
      </c>
      <c r="S812" s="2" t="s">
        <v>179</v>
      </c>
      <c r="T812" s="10">
        <v>204.05</v>
      </c>
      <c r="U812" s="11">
        <v>0.18099999999999999</v>
      </c>
      <c r="V812" s="12">
        <f>T812*U812</f>
        <v>36.933050000000001</v>
      </c>
      <c r="W812" s="13">
        <v>0.17</v>
      </c>
      <c r="X812" s="12">
        <f>V812-(V812/(1+W812))</f>
        <v>5.366340598290595</v>
      </c>
      <c r="Y812" s="12">
        <f>V812-X812</f>
        <v>31.566709401709407</v>
      </c>
      <c r="Z812" s="14">
        <v>60</v>
      </c>
      <c r="AA812" s="2" t="str">
        <f>IF(V812&gt;Z812,"Yes","No")</f>
        <v>No</v>
      </c>
      <c r="AB812" s="12">
        <f>V812-Z812</f>
        <v>-23.066949999999999</v>
      </c>
      <c r="AC812" s="15" t="s">
        <v>131</v>
      </c>
      <c r="AD812" s="15" t="s">
        <v>130</v>
      </c>
      <c r="AE812" s="15" t="s">
        <v>514</v>
      </c>
      <c r="AF812" s="12">
        <f>IF(AG812="Rejected",0,IF(R812="Corporate Card",0,V812))</f>
        <v>36.933050000000001</v>
      </c>
      <c r="AG812" s="15" t="s">
        <v>133</v>
      </c>
      <c r="AH812" s="16">
        <v>45735</v>
      </c>
      <c r="AI812" s="16">
        <v>45736</v>
      </c>
      <c r="AJ812" s="16">
        <v>45742</v>
      </c>
      <c r="AK812" s="17">
        <f>IF(AJ812="","",AJ812-AH812)</f>
        <v>7</v>
      </c>
    </row>
    <row r="813" spans="1:37">
      <c r="A813" s="2" t="s">
        <v>1206</v>
      </c>
      <c r="B813" s="2" t="s">
        <v>1155</v>
      </c>
      <c r="C813" s="2" t="s">
        <v>1156</v>
      </c>
      <c r="D813" s="2" t="s">
        <v>118</v>
      </c>
      <c r="E813" s="2" t="s">
        <v>119</v>
      </c>
      <c r="F813" s="2" t="s">
        <v>311</v>
      </c>
      <c r="G813" s="2" t="s">
        <v>1157</v>
      </c>
      <c r="H813" s="2" t="s">
        <v>379</v>
      </c>
      <c r="I813" s="2" t="s">
        <v>175</v>
      </c>
      <c r="J813" s="2" t="s">
        <v>176</v>
      </c>
      <c r="K813" s="9">
        <v>45725</v>
      </c>
      <c r="L813" s="9">
        <v>45728</v>
      </c>
      <c r="M813" s="9">
        <v>45727</v>
      </c>
      <c r="N813" s="2" t="s">
        <v>1054</v>
      </c>
      <c r="O813" s="2" t="s">
        <v>56</v>
      </c>
      <c r="P813" s="2" t="s">
        <v>151</v>
      </c>
      <c r="Q813" s="2" t="s">
        <v>166</v>
      </c>
      <c r="R813" s="2" t="s">
        <v>149</v>
      </c>
      <c r="S813" s="2" t="s">
        <v>179</v>
      </c>
      <c r="T813" s="10">
        <v>158.19999999999999</v>
      </c>
      <c r="U813" s="11">
        <v>0.18099999999999999</v>
      </c>
      <c r="V813" s="12">
        <f>T813*U813</f>
        <v>28.634199999999996</v>
      </c>
      <c r="W813" s="13">
        <v>0.17</v>
      </c>
      <c r="X813" s="12">
        <f>V813-(V813/(1+W813))</f>
        <v>4.1605247863247854</v>
      </c>
      <c r="Y813" s="12">
        <f>V813-X813</f>
        <v>24.473675213675211</v>
      </c>
      <c r="Z813" s="14">
        <v>75</v>
      </c>
      <c r="AA813" s="2" t="str">
        <f>IF(V813&gt;Z813,"Yes","No")</f>
        <v>No</v>
      </c>
      <c r="AB813" s="12">
        <f>V813-Z813</f>
        <v>-46.365800000000007</v>
      </c>
      <c r="AC813" s="15" t="s">
        <v>130</v>
      </c>
      <c r="AD813" s="15" t="s">
        <v>130</v>
      </c>
      <c r="AE813" s="15" t="s">
        <v>514</v>
      </c>
      <c r="AF813" s="12">
        <f>IF(AG813="Rejected",0,IF(R813="Corporate Card",0,V813))</f>
        <v>28.634199999999996</v>
      </c>
      <c r="AG813" s="15" t="s">
        <v>133</v>
      </c>
      <c r="AH813" s="16">
        <v>45735</v>
      </c>
      <c r="AI813" s="16">
        <v>45736</v>
      </c>
      <c r="AJ813" s="16">
        <v>45742</v>
      </c>
      <c r="AK813" s="17">
        <f>IF(AJ813="","",AJ813-AH813)</f>
        <v>7</v>
      </c>
    </row>
    <row r="814" spans="1:37">
      <c r="A814" s="2" t="s">
        <v>1207</v>
      </c>
      <c r="B814" s="2" t="s">
        <v>1155</v>
      </c>
      <c r="C814" s="2" t="s">
        <v>1156</v>
      </c>
      <c r="D814" s="2" t="s">
        <v>118</v>
      </c>
      <c r="E814" s="2" t="s">
        <v>119</v>
      </c>
      <c r="F814" s="2" t="s">
        <v>311</v>
      </c>
      <c r="G814" s="2" t="s">
        <v>1157</v>
      </c>
      <c r="H814" s="2" t="s">
        <v>379</v>
      </c>
      <c r="I814" s="2" t="s">
        <v>175</v>
      </c>
      <c r="J814" s="2" t="s">
        <v>176</v>
      </c>
      <c r="K814" s="9">
        <v>45725</v>
      </c>
      <c r="L814" s="9">
        <v>45728</v>
      </c>
      <c r="M814" s="9">
        <v>45727</v>
      </c>
      <c r="N814" s="2" t="s">
        <v>1054</v>
      </c>
      <c r="O814" s="2" t="s">
        <v>55</v>
      </c>
      <c r="P814" s="2" t="s">
        <v>139</v>
      </c>
      <c r="Q814" s="2" t="s">
        <v>217</v>
      </c>
      <c r="R814" s="2" t="s">
        <v>128</v>
      </c>
      <c r="S814" s="2" t="s">
        <v>179</v>
      </c>
      <c r="T814" s="10">
        <v>193.04</v>
      </c>
      <c r="U814" s="11">
        <v>0.18099999999999999</v>
      </c>
      <c r="V814" s="12">
        <f>T814*U814</f>
        <v>34.940239999999996</v>
      </c>
      <c r="W814" s="13">
        <v>0.17</v>
      </c>
      <c r="X814" s="12">
        <f>V814-(V814/(1+W814))</f>
        <v>5.0767870085470044</v>
      </c>
      <c r="Y814" s="12">
        <f>V814-X814</f>
        <v>29.863452991452991</v>
      </c>
      <c r="Z814" s="14">
        <v>35</v>
      </c>
      <c r="AA814" s="2" t="str">
        <f>IF(V814&gt;Z814,"Yes","No")</f>
        <v>No</v>
      </c>
      <c r="AB814" s="12">
        <f>V814-Z814</f>
        <v>-5.9760000000004254E-2</v>
      </c>
      <c r="AC814" s="15" t="s">
        <v>130</v>
      </c>
      <c r="AD814" s="15" t="s">
        <v>130</v>
      </c>
      <c r="AE814" s="15" t="s">
        <v>514</v>
      </c>
      <c r="AF814" s="12">
        <f>IF(AG814="Rejected",0,IF(R814="Corporate Card",0,V814))</f>
        <v>0</v>
      </c>
      <c r="AG814" s="15" t="s">
        <v>133</v>
      </c>
      <c r="AH814" s="16">
        <v>45735</v>
      </c>
      <c r="AI814" s="16">
        <v>45736</v>
      </c>
      <c r="AJ814" s="16">
        <v>45742</v>
      </c>
      <c r="AK814" s="17">
        <f>IF(AJ814="","",AJ814-AH814)</f>
        <v>7</v>
      </c>
    </row>
    <row r="815" spans="1:37">
      <c r="A815" s="2" t="s">
        <v>1208</v>
      </c>
      <c r="B815" s="2" t="s">
        <v>287</v>
      </c>
      <c r="C815" s="2" t="s">
        <v>288</v>
      </c>
      <c r="D815" s="2" t="s">
        <v>171</v>
      </c>
      <c r="E815" s="2" t="s">
        <v>289</v>
      </c>
      <c r="F815" s="2" t="s">
        <v>173</v>
      </c>
      <c r="G815" s="2" t="s">
        <v>1163</v>
      </c>
      <c r="H815" s="2" t="s">
        <v>379</v>
      </c>
      <c r="I815" s="2" t="s">
        <v>380</v>
      </c>
      <c r="J815" s="2" t="s">
        <v>381</v>
      </c>
      <c r="K815" s="9">
        <v>45725</v>
      </c>
      <c r="L815" s="9">
        <v>45731</v>
      </c>
      <c r="M815" s="9">
        <v>45727</v>
      </c>
      <c r="N815" s="2" t="s">
        <v>1054</v>
      </c>
      <c r="O815" s="2" t="s">
        <v>58</v>
      </c>
      <c r="P815" s="2" t="s">
        <v>142</v>
      </c>
      <c r="Q815" s="2" t="s">
        <v>224</v>
      </c>
      <c r="R815" s="2" t="s">
        <v>137</v>
      </c>
      <c r="S815" s="2" t="s">
        <v>383</v>
      </c>
      <c r="T815" s="10">
        <v>39.380000000000003</v>
      </c>
      <c r="U815" s="11">
        <v>1</v>
      </c>
      <c r="V815" s="12">
        <f>T815*U815</f>
        <v>39.380000000000003</v>
      </c>
      <c r="W815" s="13">
        <v>0</v>
      </c>
      <c r="X815" s="12">
        <f>V815-(V815/(1+W815))</f>
        <v>0</v>
      </c>
      <c r="Y815" s="12">
        <f>V815-X815</f>
        <v>39.380000000000003</v>
      </c>
      <c r="Z815" s="14">
        <v>60</v>
      </c>
      <c r="AA815" s="2" t="str">
        <f>IF(V815&gt;Z815,"Yes","No")</f>
        <v>No</v>
      </c>
      <c r="AB815" s="12">
        <f>V815-Z815</f>
        <v>-20.619999999999997</v>
      </c>
      <c r="AC815" s="15" t="s">
        <v>130</v>
      </c>
      <c r="AD815" s="15" t="s">
        <v>130</v>
      </c>
      <c r="AE815" s="15" t="s">
        <v>421</v>
      </c>
      <c r="AF815" s="12">
        <f>IF(AG815="Rejected",0,IF(R815="Corporate Card",0,V815))</f>
        <v>39.380000000000003</v>
      </c>
      <c r="AG815" s="15" t="s">
        <v>133</v>
      </c>
      <c r="AH815" s="16">
        <v>45732</v>
      </c>
      <c r="AI815" s="16">
        <v>45735</v>
      </c>
      <c r="AJ815" s="16">
        <v>45741</v>
      </c>
      <c r="AK815" s="17">
        <f>IF(AJ815="","",AJ815-AH815)</f>
        <v>9</v>
      </c>
    </row>
    <row r="816" spans="1:37">
      <c r="A816" s="2" t="s">
        <v>1209</v>
      </c>
      <c r="B816" s="2" t="s">
        <v>287</v>
      </c>
      <c r="C816" s="2" t="s">
        <v>288</v>
      </c>
      <c r="D816" s="2" t="s">
        <v>171</v>
      </c>
      <c r="E816" s="2" t="s">
        <v>289</v>
      </c>
      <c r="F816" s="2" t="s">
        <v>173</v>
      </c>
      <c r="G816" s="2" t="s">
        <v>1163</v>
      </c>
      <c r="H816" s="2" t="s">
        <v>379</v>
      </c>
      <c r="I816" s="2" t="s">
        <v>380</v>
      </c>
      <c r="J816" s="2" t="s">
        <v>381</v>
      </c>
      <c r="K816" s="9">
        <v>45725</v>
      </c>
      <c r="L816" s="9">
        <v>45731</v>
      </c>
      <c r="M816" s="9">
        <v>45727</v>
      </c>
      <c r="N816" s="2" t="s">
        <v>1054</v>
      </c>
      <c r="O816" s="2" t="s">
        <v>56</v>
      </c>
      <c r="P816" s="2" t="s">
        <v>245</v>
      </c>
      <c r="Q816" s="2" t="s">
        <v>152</v>
      </c>
      <c r="R816" s="2" t="s">
        <v>128</v>
      </c>
      <c r="S816" s="2" t="s">
        <v>383</v>
      </c>
      <c r="T816" s="10">
        <v>65.52</v>
      </c>
      <c r="U816" s="11">
        <v>1</v>
      </c>
      <c r="V816" s="12">
        <f>T816*U816</f>
        <v>65.52</v>
      </c>
      <c r="W816" s="13">
        <v>0</v>
      </c>
      <c r="X816" s="12">
        <f>V816-(V816/(1+W816))</f>
        <v>0</v>
      </c>
      <c r="Y816" s="12">
        <f>V816-X816</f>
        <v>65.52</v>
      </c>
      <c r="Z816" s="14">
        <v>75</v>
      </c>
      <c r="AA816" s="2" t="str">
        <f>IF(V816&gt;Z816,"Yes","No")</f>
        <v>No</v>
      </c>
      <c r="AB816" s="12">
        <f>V816-Z816</f>
        <v>-9.480000000000004</v>
      </c>
      <c r="AC816" s="15" t="s">
        <v>130</v>
      </c>
      <c r="AD816" s="15" t="s">
        <v>130</v>
      </c>
      <c r="AE816" s="15" t="s">
        <v>421</v>
      </c>
      <c r="AF816" s="12">
        <f>IF(AG816="Rejected",0,IF(R816="Corporate Card",0,V816))</f>
        <v>0</v>
      </c>
      <c r="AG816" s="15" t="s">
        <v>133</v>
      </c>
      <c r="AH816" s="16">
        <v>45732</v>
      </c>
      <c r="AI816" s="16">
        <v>45735</v>
      </c>
      <c r="AJ816" s="16">
        <v>45741</v>
      </c>
      <c r="AK816" s="17">
        <f>IF(AJ816="","",AJ816-AH816)</f>
        <v>9</v>
      </c>
    </row>
    <row r="817" spans="1:37">
      <c r="A817" s="2" t="s">
        <v>1210</v>
      </c>
      <c r="B817" s="2" t="s">
        <v>287</v>
      </c>
      <c r="C817" s="2" t="s">
        <v>288</v>
      </c>
      <c r="D817" s="2" t="s">
        <v>171</v>
      </c>
      <c r="E817" s="2" t="s">
        <v>289</v>
      </c>
      <c r="F817" s="2" t="s">
        <v>173</v>
      </c>
      <c r="G817" s="2" t="s">
        <v>1163</v>
      </c>
      <c r="H817" s="2" t="s">
        <v>379</v>
      </c>
      <c r="I817" s="2" t="s">
        <v>380</v>
      </c>
      <c r="J817" s="2" t="s">
        <v>381</v>
      </c>
      <c r="K817" s="9">
        <v>45725</v>
      </c>
      <c r="L817" s="9">
        <v>45731</v>
      </c>
      <c r="M817" s="9">
        <v>45727</v>
      </c>
      <c r="N817" s="2" t="s">
        <v>1054</v>
      </c>
      <c r="O817" s="2" t="s">
        <v>55</v>
      </c>
      <c r="P817" s="2" t="s">
        <v>139</v>
      </c>
      <c r="Q817" s="2" t="s">
        <v>217</v>
      </c>
      <c r="R817" s="2" t="s">
        <v>128</v>
      </c>
      <c r="S817" s="2" t="s">
        <v>383</v>
      </c>
      <c r="T817" s="10">
        <v>30.13</v>
      </c>
      <c r="U817" s="11">
        <v>1</v>
      </c>
      <c r="V817" s="12">
        <f>T817*U817</f>
        <v>30.13</v>
      </c>
      <c r="W817" s="13">
        <v>0</v>
      </c>
      <c r="X817" s="12">
        <f>V817-(V817/(1+W817))</f>
        <v>0</v>
      </c>
      <c r="Y817" s="12">
        <f>V817-X817</f>
        <v>30.13</v>
      </c>
      <c r="Z817" s="14">
        <v>35</v>
      </c>
      <c r="AA817" s="2" t="str">
        <f>IF(V817&gt;Z817,"Yes","No")</f>
        <v>No</v>
      </c>
      <c r="AB817" s="12">
        <f>V817-Z817</f>
        <v>-4.870000000000001</v>
      </c>
      <c r="AC817" s="15" t="s">
        <v>130</v>
      </c>
      <c r="AD817" s="15" t="s">
        <v>130</v>
      </c>
      <c r="AE817" s="15" t="s">
        <v>421</v>
      </c>
      <c r="AF817" s="12">
        <f>IF(AG817="Rejected",0,IF(R817="Corporate Card",0,V817))</f>
        <v>0</v>
      </c>
      <c r="AG817" s="15" t="s">
        <v>133</v>
      </c>
      <c r="AH817" s="16">
        <v>45732</v>
      </c>
      <c r="AI817" s="16">
        <v>45735</v>
      </c>
      <c r="AJ817" s="16">
        <v>45741</v>
      </c>
      <c r="AK817" s="17">
        <f>IF(AJ817="","",AJ817-AH817)</f>
        <v>9</v>
      </c>
    </row>
    <row r="818" spans="1:37">
      <c r="A818" s="2" t="s">
        <v>1211</v>
      </c>
      <c r="B818" s="2" t="s">
        <v>342</v>
      </c>
      <c r="C818" s="2" t="s">
        <v>343</v>
      </c>
      <c r="D818" s="2" t="s">
        <v>344</v>
      </c>
      <c r="E818" s="2" t="s">
        <v>345</v>
      </c>
      <c r="F818" s="2" t="s">
        <v>346</v>
      </c>
      <c r="G818" s="2" t="s">
        <v>1086</v>
      </c>
      <c r="H818" s="2" t="s">
        <v>448</v>
      </c>
      <c r="I818" s="2" t="s">
        <v>619</v>
      </c>
      <c r="J818" s="2" t="s">
        <v>381</v>
      </c>
      <c r="K818" s="9">
        <v>45719</v>
      </c>
      <c r="L818" s="9">
        <v>45727</v>
      </c>
      <c r="M818" s="9">
        <v>45727</v>
      </c>
      <c r="N818" s="2" t="s">
        <v>1054</v>
      </c>
      <c r="O818" s="2" t="s">
        <v>58</v>
      </c>
      <c r="P818" s="2" t="s">
        <v>142</v>
      </c>
      <c r="Q818" s="2" t="s">
        <v>224</v>
      </c>
      <c r="R818" s="2" t="s">
        <v>128</v>
      </c>
      <c r="S818" s="2" t="s">
        <v>383</v>
      </c>
      <c r="T818" s="10">
        <v>34.630000000000003</v>
      </c>
      <c r="U818" s="11">
        <v>1</v>
      </c>
      <c r="V818" s="12">
        <f>T818*U818</f>
        <v>34.630000000000003</v>
      </c>
      <c r="W818" s="13">
        <v>0</v>
      </c>
      <c r="X818" s="12">
        <f>V818-(V818/(1+W818))</f>
        <v>0</v>
      </c>
      <c r="Y818" s="12">
        <f>V818-X818</f>
        <v>34.630000000000003</v>
      </c>
      <c r="Z818" s="14">
        <v>60</v>
      </c>
      <c r="AA818" s="2" t="str">
        <f>IF(V818&gt;Z818,"Yes","No")</f>
        <v>No</v>
      </c>
      <c r="AB818" s="12">
        <f>V818-Z818</f>
        <v>-25.369999999999997</v>
      </c>
      <c r="AC818" s="15" t="s">
        <v>130</v>
      </c>
      <c r="AD818" s="15" t="s">
        <v>130</v>
      </c>
      <c r="AE818" s="15" t="s">
        <v>350</v>
      </c>
      <c r="AF818" s="12">
        <f>IF(AG818="Rejected",0,IF(R818="Corporate Card",0,V818))</f>
        <v>0</v>
      </c>
      <c r="AG818" s="15" t="s">
        <v>133</v>
      </c>
      <c r="AH818" s="16">
        <v>45734</v>
      </c>
      <c r="AI818" s="16">
        <v>45740</v>
      </c>
      <c r="AJ818" s="16">
        <v>45743</v>
      </c>
      <c r="AK818" s="17">
        <f>IF(AJ818="","",AJ818-AH818)</f>
        <v>9</v>
      </c>
    </row>
    <row r="819" spans="1:37">
      <c r="A819" s="2" t="s">
        <v>1212</v>
      </c>
      <c r="B819" s="2" t="s">
        <v>550</v>
      </c>
      <c r="C819" s="2" t="s">
        <v>551</v>
      </c>
      <c r="D819" s="2" t="s">
        <v>171</v>
      </c>
      <c r="E819" s="2" t="s">
        <v>172</v>
      </c>
      <c r="F819" s="2" t="s">
        <v>173</v>
      </c>
      <c r="G819" s="2" t="s">
        <v>1103</v>
      </c>
      <c r="H819" s="2" t="s">
        <v>448</v>
      </c>
      <c r="I819" s="2" t="s">
        <v>255</v>
      </c>
      <c r="J819" s="2" t="s">
        <v>256</v>
      </c>
      <c r="K819" s="9">
        <v>45720</v>
      </c>
      <c r="L819" s="9">
        <v>45727</v>
      </c>
      <c r="M819" s="9">
        <v>45727</v>
      </c>
      <c r="N819" s="2" t="s">
        <v>1054</v>
      </c>
      <c r="O819" s="2" t="s">
        <v>58</v>
      </c>
      <c r="P819" s="2" t="s">
        <v>142</v>
      </c>
      <c r="Q819" s="2" t="s">
        <v>296</v>
      </c>
      <c r="R819" s="2" t="s">
        <v>128</v>
      </c>
      <c r="S819" s="2" t="s">
        <v>259</v>
      </c>
      <c r="T819" s="10">
        <v>3875</v>
      </c>
      <c r="U819" s="11">
        <v>6.5500000000000003E-3</v>
      </c>
      <c r="V819" s="12">
        <f>T819*U819</f>
        <v>25.381250000000001</v>
      </c>
      <c r="W819" s="13">
        <v>0.1</v>
      </c>
      <c r="X819" s="12">
        <f>V819-(V819/(1+W819))</f>
        <v>2.3073863636363647</v>
      </c>
      <c r="Y819" s="12">
        <f>V819-X819</f>
        <v>23.073863636363637</v>
      </c>
      <c r="Z819" s="14">
        <v>60</v>
      </c>
      <c r="AA819" s="2" t="str">
        <f>IF(V819&gt;Z819,"Yes","No")</f>
        <v>No</v>
      </c>
      <c r="AB819" s="12">
        <f>V819-Z819</f>
        <v>-34.618749999999999</v>
      </c>
      <c r="AC819" s="15" t="s">
        <v>130</v>
      </c>
      <c r="AD819" s="15" t="s">
        <v>131</v>
      </c>
      <c r="AE819" s="15" t="s">
        <v>421</v>
      </c>
      <c r="AF819" s="12">
        <f>IF(AG819="Rejected",0,IF(R819="Corporate Card",0,V819))</f>
        <v>0</v>
      </c>
      <c r="AG819" s="15" t="s">
        <v>133</v>
      </c>
      <c r="AH819" s="16">
        <v>45736</v>
      </c>
      <c r="AI819" s="16">
        <v>45737</v>
      </c>
      <c r="AJ819" s="16">
        <v>45745</v>
      </c>
      <c r="AK819" s="17">
        <f>IF(AJ819="","",AJ819-AH819)</f>
        <v>9</v>
      </c>
    </row>
    <row r="820" spans="1:37">
      <c r="A820" s="2" t="s">
        <v>1213</v>
      </c>
      <c r="B820" s="2" t="s">
        <v>550</v>
      </c>
      <c r="C820" s="2" t="s">
        <v>551</v>
      </c>
      <c r="D820" s="2" t="s">
        <v>171</v>
      </c>
      <c r="E820" s="2" t="s">
        <v>172</v>
      </c>
      <c r="F820" s="2" t="s">
        <v>173</v>
      </c>
      <c r="G820" s="2" t="s">
        <v>1103</v>
      </c>
      <c r="H820" s="2" t="s">
        <v>448</v>
      </c>
      <c r="I820" s="2" t="s">
        <v>255</v>
      </c>
      <c r="J820" s="2" t="s">
        <v>256</v>
      </c>
      <c r="K820" s="9">
        <v>45720</v>
      </c>
      <c r="L820" s="9">
        <v>45727</v>
      </c>
      <c r="M820" s="9">
        <v>45727</v>
      </c>
      <c r="N820" s="2" t="s">
        <v>1054</v>
      </c>
      <c r="O820" s="2" t="s">
        <v>56</v>
      </c>
      <c r="P820" s="2" t="s">
        <v>151</v>
      </c>
      <c r="Q820" s="2" t="s">
        <v>159</v>
      </c>
      <c r="R820" s="2" t="s">
        <v>128</v>
      </c>
      <c r="S820" s="2" t="s">
        <v>259</v>
      </c>
      <c r="T820" s="10">
        <v>10647</v>
      </c>
      <c r="U820" s="11">
        <v>6.5500000000000003E-3</v>
      </c>
      <c r="V820" s="12">
        <f>T820*U820</f>
        <v>69.737850000000009</v>
      </c>
      <c r="W820" s="13">
        <v>0.1</v>
      </c>
      <c r="X820" s="12">
        <f>V820-(V820/(1+W820))</f>
        <v>6.3398045454545482</v>
      </c>
      <c r="Y820" s="12">
        <f>V820-X820</f>
        <v>63.398045454545461</v>
      </c>
      <c r="Z820" s="14">
        <v>75</v>
      </c>
      <c r="AA820" s="2" t="str">
        <f>IF(V820&gt;Z820,"Yes","No")</f>
        <v>No</v>
      </c>
      <c r="AB820" s="12">
        <f>V820-Z820</f>
        <v>-5.2621499999999912</v>
      </c>
      <c r="AC820" s="15" t="s">
        <v>130</v>
      </c>
      <c r="AD820" s="15" t="s">
        <v>131</v>
      </c>
      <c r="AE820" s="15" t="s">
        <v>421</v>
      </c>
      <c r="AF820" s="12">
        <f>IF(AG820="Rejected",0,IF(R820="Corporate Card",0,V820))</f>
        <v>0</v>
      </c>
      <c r="AG820" s="15" t="s">
        <v>133</v>
      </c>
      <c r="AH820" s="16">
        <v>45736</v>
      </c>
      <c r="AI820" s="16">
        <v>45737</v>
      </c>
      <c r="AJ820" s="16">
        <v>45745</v>
      </c>
      <c r="AK820" s="17">
        <f>IF(AJ820="","",AJ820-AH820)</f>
        <v>9</v>
      </c>
    </row>
    <row r="821" spans="1:37">
      <c r="A821" s="2" t="s">
        <v>1214</v>
      </c>
      <c r="B821" s="2" t="s">
        <v>550</v>
      </c>
      <c r="C821" s="2" t="s">
        <v>551</v>
      </c>
      <c r="D821" s="2" t="s">
        <v>171</v>
      </c>
      <c r="E821" s="2" t="s">
        <v>172</v>
      </c>
      <c r="F821" s="2" t="s">
        <v>173</v>
      </c>
      <c r="G821" s="2" t="s">
        <v>1103</v>
      </c>
      <c r="H821" s="2" t="s">
        <v>448</v>
      </c>
      <c r="I821" s="2" t="s">
        <v>255</v>
      </c>
      <c r="J821" s="2" t="s">
        <v>256</v>
      </c>
      <c r="K821" s="9">
        <v>45720</v>
      </c>
      <c r="L821" s="9">
        <v>45727</v>
      </c>
      <c r="M821" s="9">
        <v>45727</v>
      </c>
      <c r="N821" s="2" t="s">
        <v>1054</v>
      </c>
      <c r="O821" s="2" t="s">
        <v>55</v>
      </c>
      <c r="P821" s="2" t="s">
        <v>139</v>
      </c>
      <c r="Q821" s="2" t="s">
        <v>217</v>
      </c>
      <c r="R821" s="2" t="s">
        <v>137</v>
      </c>
      <c r="S821" s="2" t="s">
        <v>259</v>
      </c>
      <c r="T821" s="10">
        <v>3903</v>
      </c>
      <c r="U821" s="11">
        <v>6.5500000000000003E-3</v>
      </c>
      <c r="V821" s="12">
        <f>T821*U821</f>
        <v>25.56465</v>
      </c>
      <c r="W821" s="13">
        <v>0.1</v>
      </c>
      <c r="X821" s="12">
        <f>V821-(V821/(1+W821))</f>
        <v>2.3240590909090919</v>
      </c>
      <c r="Y821" s="12">
        <f>V821-X821</f>
        <v>23.240590909090908</v>
      </c>
      <c r="Z821" s="14">
        <v>35</v>
      </c>
      <c r="AA821" s="2" t="str">
        <f>IF(V821&gt;Z821,"Yes","No")</f>
        <v>No</v>
      </c>
      <c r="AB821" s="12">
        <f>V821-Z821</f>
        <v>-9.4353499999999997</v>
      </c>
      <c r="AC821" s="15" t="s">
        <v>130</v>
      </c>
      <c r="AD821" s="15" t="s">
        <v>131</v>
      </c>
      <c r="AE821" s="15" t="s">
        <v>421</v>
      </c>
      <c r="AF821" s="12">
        <f>IF(AG821="Rejected",0,IF(R821="Corporate Card",0,V821))</f>
        <v>25.56465</v>
      </c>
      <c r="AG821" s="15" t="s">
        <v>133</v>
      </c>
      <c r="AH821" s="16">
        <v>45736</v>
      </c>
      <c r="AI821" s="16">
        <v>45737</v>
      </c>
      <c r="AJ821" s="16">
        <v>45745</v>
      </c>
      <c r="AK821" s="17">
        <f>IF(AJ821="","",AJ821-AH821)</f>
        <v>9</v>
      </c>
    </row>
    <row r="822" spans="1:37">
      <c r="A822" s="2" t="s">
        <v>1215</v>
      </c>
      <c r="B822" s="2" t="s">
        <v>863</v>
      </c>
      <c r="C822" s="2" t="s">
        <v>864</v>
      </c>
      <c r="D822" s="2" t="s">
        <v>865</v>
      </c>
      <c r="E822" s="2" t="s">
        <v>866</v>
      </c>
      <c r="F822" s="2" t="s">
        <v>867</v>
      </c>
      <c r="G822" s="2" t="s">
        <v>1176</v>
      </c>
      <c r="H822" s="2" t="s">
        <v>348</v>
      </c>
      <c r="I822" s="2" t="s">
        <v>1038</v>
      </c>
      <c r="J822" s="2" t="s">
        <v>381</v>
      </c>
      <c r="K822" s="9">
        <v>45726</v>
      </c>
      <c r="L822" s="9">
        <v>45728</v>
      </c>
      <c r="M822" s="9">
        <v>45728</v>
      </c>
      <c r="N822" s="2" t="s">
        <v>1054</v>
      </c>
      <c r="O822" s="2" t="s">
        <v>54</v>
      </c>
      <c r="P822" s="2" t="s">
        <v>139</v>
      </c>
      <c r="Q822" s="2" t="s">
        <v>140</v>
      </c>
      <c r="R822" s="2" t="s">
        <v>149</v>
      </c>
      <c r="S822" s="2" t="s">
        <v>383</v>
      </c>
      <c r="T822" s="10">
        <v>18.87</v>
      </c>
      <c r="U822" s="11">
        <v>1</v>
      </c>
      <c r="V822" s="12">
        <f>T822*U822</f>
        <v>18.87</v>
      </c>
      <c r="W822" s="13">
        <v>0</v>
      </c>
      <c r="X822" s="12">
        <f>V822-(V822/(1+W822))</f>
        <v>0</v>
      </c>
      <c r="Y822" s="12">
        <f>V822-X822</f>
        <v>18.87</v>
      </c>
      <c r="Z822" s="14">
        <v>25</v>
      </c>
      <c r="AA822" s="2" t="str">
        <f>IF(V822&gt;Z822,"Yes","No")</f>
        <v>No</v>
      </c>
      <c r="AB822" s="12">
        <f>V822-Z822</f>
        <v>-6.129999999999999</v>
      </c>
      <c r="AC822" s="15" t="s">
        <v>130</v>
      </c>
      <c r="AD822" s="15" t="s">
        <v>130</v>
      </c>
      <c r="AE822" s="15" t="s">
        <v>260</v>
      </c>
      <c r="AF822" s="12">
        <f>IF(AG822="Rejected",0,IF(R822="Corporate Card",0,V822))</f>
        <v>18.87</v>
      </c>
      <c r="AG822" s="15" t="s">
        <v>133</v>
      </c>
      <c r="AH822" s="16">
        <v>45730</v>
      </c>
      <c r="AI822" s="16">
        <v>45731</v>
      </c>
      <c r="AJ822" s="16">
        <v>45736</v>
      </c>
      <c r="AK822" s="17">
        <f>IF(AJ822="","",AJ822-AH822)</f>
        <v>6</v>
      </c>
    </row>
    <row r="823" spans="1:37">
      <c r="A823" s="2" t="s">
        <v>1216</v>
      </c>
      <c r="B823" s="2" t="s">
        <v>863</v>
      </c>
      <c r="C823" s="2" t="s">
        <v>864</v>
      </c>
      <c r="D823" s="2" t="s">
        <v>865</v>
      </c>
      <c r="E823" s="2" t="s">
        <v>866</v>
      </c>
      <c r="F823" s="2" t="s">
        <v>867</v>
      </c>
      <c r="G823" s="2" t="s">
        <v>1176</v>
      </c>
      <c r="H823" s="2" t="s">
        <v>348</v>
      </c>
      <c r="I823" s="2" t="s">
        <v>1038</v>
      </c>
      <c r="J823" s="2" t="s">
        <v>381</v>
      </c>
      <c r="K823" s="9">
        <v>45726</v>
      </c>
      <c r="L823" s="9">
        <v>45728</v>
      </c>
      <c r="M823" s="9">
        <v>45728</v>
      </c>
      <c r="N823" s="2" t="s">
        <v>1054</v>
      </c>
      <c r="O823" s="2" t="s">
        <v>56</v>
      </c>
      <c r="P823" s="2" t="s">
        <v>151</v>
      </c>
      <c r="Q823" s="2" t="s">
        <v>152</v>
      </c>
      <c r="R823" s="2" t="s">
        <v>128</v>
      </c>
      <c r="S823" s="2" t="s">
        <v>383</v>
      </c>
      <c r="T823" s="10">
        <v>28.38</v>
      </c>
      <c r="U823" s="11">
        <v>1</v>
      </c>
      <c r="V823" s="12">
        <f>T823*U823</f>
        <v>28.38</v>
      </c>
      <c r="W823" s="13">
        <v>0</v>
      </c>
      <c r="X823" s="12">
        <f>V823-(V823/(1+W823))</f>
        <v>0</v>
      </c>
      <c r="Y823" s="12">
        <f>V823-X823</f>
        <v>28.38</v>
      </c>
      <c r="Z823" s="14">
        <v>75</v>
      </c>
      <c r="AA823" s="2" t="str">
        <f>IF(V823&gt;Z823,"Yes","No")</f>
        <v>No</v>
      </c>
      <c r="AB823" s="12">
        <f>V823-Z823</f>
        <v>-46.620000000000005</v>
      </c>
      <c r="AC823" s="15" t="s">
        <v>131</v>
      </c>
      <c r="AD823" s="15" t="s">
        <v>130</v>
      </c>
      <c r="AE823" s="15" t="s">
        <v>260</v>
      </c>
      <c r="AF823" s="12">
        <f>IF(AG823="Rejected",0,IF(R823="Corporate Card",0,V823))</f>
        <v>0</v>
      </c>
      <c r="AG823" s="15" t="s">
        <v>133</v>
      </c>
      <c r="AH823" s="16">
        <v>45730</v>
      </c>
      <c r="AI823" s="16">
        <v>45731</v>
      </c>
      <c r="AJ823" s="16">
        <v>45736</v>
      </c>
      <c r="AK823" s="17">
        <f>IF(AJ823="","",AJ823-AH823)</f>
        <v>6</v>
      </c>
    </row>
    <row r="824" spans="1:37">
      <c r="A824" s="2" t="s">
        <v>1217</v>
      </c>
      <c r="B824" s="2" t="s">
        <v>863</v>
      </c>
      <c r="C824" s="2" t="s">
        <v>864</v>
      </c>
      <c r="D824" s="2" t="s">
        <v>865</v>
      </c>
      <c r="E824" s="2" t="s">
        <v>866</v>
      </c>
      <c r="F824" s="2" t="s">
        <v>867</v>
      </c>
      <c r="G824" s="2" t="s">
        <v>1176</v>
      </c>
      <c r="H824" s="2" t="s">
        <v>348</v>
      </c>
      <c r="I824" s="2" t="s">
        <v>1038</v>
      </c>
      <c r="J824" s="2" t="s">
        <v>381</v>
      </c>
      <c r="K824" s="9">
        <v>45726</v>
      </c>
      <c r="L824" s="9">
        <v>45728</v>
      </c>
      <c r="M824" s="9">
        <v>45728</v>
      </c>
      <c r="N824" s="2" t="s">
        <v>1054</v>
      </c>
      <c r="O824" s="2" t="s">
        <v>55</v>
      </c>
      <c r="P824" s="2" t="s">
        <v>139</v>
      </c>
      <c r="Q824" s="2" t="s">
        <v>154</v>
      </c>
      <c r="R824" s="2" t="s">
        <v>149</v>
      </c>
      <c r="S824" s="2" t="s">
        <v>383</v>
      </c>
      <c r="T824" s="10">
        <v>27.33</v>
      </c>
      <c r="U824" s="11">
        <v>1</v>
      </c>
      <c r="V824" s="12">
        <f>T824*U824</f>
        <v>27.33</v>
      </c>
      <c r="W824" s="13">
        <v>0</v>
      </c>
      <c r="X824" s="12">
        <f>V824-(V824/(1+W824))</f>
        <v>0</v>
      </c>
      <c r="Y824" s="12">
        <f>V824-X824</f>
        <v>27.33</v>
      </c>
      <c r="Z824" s="14">
        <v>35</v>
      </c>
      <c r="AA824" s="2" t="str">
        <f>IF(V824&gt;Z824,"Yes","No")</f>
        <v>No</v>
      </c>
      <c r="AB824" s="12">
        <f>V824-Z824</f>
        <v>-7.6700000000000017</v>
      </c>
      <c r="AC824" s="15" t="s">
        <v>130</v>
      </c>
      <c r="AD824" s="15" t="s">
        <v>130</v>
      </c>
      <c r="AE824" s="15" t="s">
        <v>260</v>
      </c>
      <c r="AF824" s="12">
        <f>IF(AG824="Rejected",0,IF(R824="Corporate Card",0,V824))</f>
        <v>27.33</v>
      </c>
      <c r="AG824" s="15" t="s">
        <v>133</v>
      </c>
      <c r="AH824" s="16">
        <v>45730</v>
      </c>
      <c r="AI824" s="16">
        <v>45731</v>
      </c>
      <c r="AJ824" s="16">
        <v>45736</v>
      </c>
      <c r="AK824" s="17">
        <f>IF(AJ824="","",AJ824-AH824)</f>
        <v>6</v>
      </c>
    </row>
    <row r="825" spans="1:37">
      <c r="A825" s="2" t="s">
        <v>1218</v>
      </c>
      <c r="B825" s="2" t="s">
        <v>1155</v>
      </c>
      <c r="C825" s="2" t="s">
        <v>1156</v>
      </c>
      <c r="D825" s="2" t="s">
        <v>118</v>
      </c>
      <c r="E825" s="2" t="s">
        <v>119</v>
      </c>
      <c r="F825" s="2" t="s">
        <v>311</v>
      </c>
      <c r="G825" s="2" t="s">
        <v>1157</v>
      </c>
      <c r="H825" s="2" t="s">
        <v>379</v>
      </c>
      <c r="I825" s="2" t="s">
        <v>175</v>
      </c>
      <c r="J825" s="2" t="s">
        <v>176</v>
      </c>
      <c r="K825" s="9">
        <v>45725</v>
      </c>
      <c r="L825" s="9">
        <v>45728</v>
      </c>
      <c r="M825" s="9">
        <v>45728</v>
      </c>
      <c r="N825" s="2" t="s">
        <v>1054</v>
      </c>
      <c r="O825" s="2" t="s">
        <v>56</v>
      </c>
      <c r="P825" s="2" t="s">
        <v>151</v>
      </c>
      <c r="Q825" s="2" t="s">
        <v>185</v>
      </c>
      <c r="R825" s="2" t="s">
        <v>128</v>
      </c>
      <c r="S825" s="2" t="s">
        <v>179</v>
      </c>
      <c r="T825" s="10">
        <v>561.76</v>
      </c>
      <c r="U825" s="11">
        <v>0.18099999999999999</v>
      </c>
      <c r="V825" s="12">
        <f>T825*U825</f>
        <v>101.67855999999999</v>
      </c>
      <c r="W825" s="13">
        <v>0.17</v>
      </c>
      <c r="X825" s="12">
        <f>V825-(V825/(1+W825))</f>
        <v>14.773807863247853</v>
      </c>
      <c r="Y825" s="12">
        <f>V825-X825</f>
        <v>86.904752136752137</v>
      </c>
      <c r="Z825" s="14">
        <v>75</v>
      </c>
      <c r="AA825" s="2" t="str">
        <f>IF(V825&gt;Z825,"Yes","No")</f>
        <v>Yes</v>
      </c>
      <c r="AB825" s="12">
        <f>V825-Z825</f>
        <v>26.67855999999999</v>
      </c>
      <c r="AC825" s="15" t="s">
        <v>130</v>
      </c>
      <c r="AD825" s="15" t="s">
        <v>130</v>
      </c>
      <c r="AE825" s="15" t="s">
        <v>514</v>
      </c>
      <c r="AF825" s="12">
        <f>IF(AG825="Rejected",0,IF(R825="Corporate Card",0,V825))</f>
        <v>0</v>
      </c>
      <c r="AG825" s="15" t="s">
        <v>133</v>
      </c>
      <c r="AH825" s="16">
        <v>45735</v>
      </c>
      <c r="AI825" s="16">
        <v>45736</v>
      </c>
      <c r="AJ825" s="16">
        <v>45742</v>
      </c>
      <c r="AK825" s="17">
        <f>IF(AJ825="","",AJ825-AH825)</f>
        <v>7</v>
      </c>
    </row>
    <row r="826" spans="1:37">
      <c r="A826" s="2" t="s">
        <v>1219</v>
      </c>
      <c r="B826" s="2" t="s">
        <v>1155</v>
      </c>
      <c r="C826" s="2" t="s">
        <v>1156</v>
      </c>
      <c r="D826" s="2" t="s">
        <v>118</v>
      </c>
      <c r="E826" s="2" t="s">
        <v>119</v>
      </c>
      <c r="F826" s="2" t="s">
        <v>311</v>
      </c>
      <c r="G826" s="2" t="s">
        <v>1157</v>
      </c>
      <c r="H826" s="2" t="s">
        <v>379</v>
      </c>
      <c r="I826" s="2" t="s">
        <v>175</v>
      </c>
      <c r="J826" s="2" t="s">
        <v>176</v>
      </c>
      <c r="K826" s="9">
        <v>45725</v>
      </c>
      <c r="L826" s="9">
        <v>45728</v>
      </c>
      <c r="M826" s="9">
        <v>45728</v>
      </c>
      <c r="N826" s="2" t="s">
        <v>1054</v>
      </c>
      <c r="O826" s="2" t="s">
        <v>55</v>
      </c>
      <c r="P826" s="2" t="s">
        <v>139</v>
      </c>
      <c r="Q826" s="2" t="s">
        <v>154</v>
      </c>
      <c r="R826" s="2" t="s">
        <v>128</v>
      </c>
      <c r="S826" s="2" t="s">
        <v>179</v>
      </c>
      <c r="T826" s="10">
        <v>119.11</v>
      </c>
      <c r="U826" s="11">
        <v>0.18099999999999999</v>
      </c>
      <c r="V826" s="12">
        <f>T826*U826</f>
        <v>21.558910000000001</v>
      </c>
      <c r="W826" s="13">
        <v>0.17</v>
      </c>
      <c r="X826" s="12">
        <f>V826-(V826/(1+W826))</f>
        <v>3.1324911965811957</v>
      </c>
      <c r="Y826" s="12">
        <f>V826-X826</f>
        <v>18.426418803418805</v>
      </c>
      <c r="Z826" s="14">
        <v>35</v>
      </c>
      <c r="AA826" s="2" t="str">
        <f>IF(V826&gt;Z826,"Yes","No")</f>
        <v>No</v>
      </c>
      <c r="AB826" s="12">
        <f>V826-Z826</f>
        <v>-13.441089999999999</v>
      </c>
      <c r="AC826" s="15" t="s">
        <v>130</v>
      </c>
      <c r="AD826" s="15" t="s">
        <v>130</v>
      </c>
      <c r="AE826" s="15" t="s">
        <v>514</v>
      </c>
      <c r="AF826" s="12">
        <f>IF(AG826="Rejected",0,IF(R826="Corporate Card",0,V826))</f>
        <v>0</v>
      </c>
      <c r="AG826" s="15" t="s">
        <v>133</v>
      </c>
      <c r="AH826" s="16">
        <v>45735</v>
      </c>
      <c r="AI826" s="16">
        <v>45736</v>
      </c>
      <c r="AJ826" s="16">
        <v>45742</v>
      </c>
      <c r="AK826" s="17">
        <f>IF(AJ826="","",AJ826-AH826)</f>
        <v>7</v>
      </c>
    </row>
    <row r="827" spans="1:37">
      <c r="A827" s="2" t="s">
        <v>1220</v>
      </c>
      <c r="B827" s="2" t="s">
        <v>287</v>
      </c>
      <c r="C827" s="2" t="s">
        <v>288</v>
      </c>
      <c r="D827" s="2" t="s">
        <v>171</v>
      </c>
      <c r="E827" s="2" t="s">
        <v>289</v>
      </c>
      <c r="F827" s="2" t="s">
        <v>173</v>
      </c>
      <c r="G827" s="2" t="s">
        <v>1163</v>
      </c>
      <c r="H827" s="2" t="s">
        <v>379</v>
      </c>
      <c r="I827" s="2" t="s">
        <v>380</v>
      </c>
      <c r="J827" s="2" t="s">
        <v>381</v>
      </c>
      <c r="K827" s="9">
        <v>45725</v>
      </c>
      <c r="L827" s="9">
        <v>45731</v>
      </c>
      <c r="M827" s="9">
        <v>45728</v>
      </c>
      <c r="N827" s="2" t="s">
        <v>1054</v>
      </c>
      <c r="O827" s="2" t="s">
        <v>58</v>
      </c>
      <c r="P827" s="2" t="s">
        <v>142</v>
      </c>
      <c r="Q827" s="2" t="s">
        <v>143</v>
      </c>
      <c r="R827" s="2" t="s">
        <v>128</v>
      </c>
      <c r="S827" s="2" t="s">
        <v>383</v>
      </c>
      <c r="T827" s="10">
        <v>46.89</v>
      </c>
      <c r="U827" s="11">
        <v>1</v>
      </c>
      <c r="V827" s="12">
        <f>T827*U827</f>
        <v>46.89</v>
      </c>
      <c r="W827" s="13">
        <v>0</v>
      </c>
      <c r="X827" s="12">
        <f>V827-(V827/(1+W827))</f>
        <v>0</v>
      </c>
      <c r="Y827" s="12">
        <f>V827-X827</f>
        <v>46.89</v>
      </c>
      <c r="Z827" s="14">
        <v>60</v>
      </c>
      <c r="AA827" s="2" t="str">
        <f>IF(V827&gt;Z827,"Yes","No")</f>
        <v>No</v>
      </c>
      <c r="AB827" s="12">
        <f>V827-Z827</f>
        <v>-13.11</v>
      </c>
      <c r="AC827" s="15" t="s">
        <v>131</v>
      </c>
      <c r="AD827" s="15" t="s">
        <v>130</v>
      </c>
      <c r="AE827" s="15" t="s">
        <v>421</v>
      </c>
      <c r="AF827" s="12">
        <f>IF(AG827="Rejected",0,IF(R827="Corporate Card",0,V827))</f>
        <v>0</v>
      </c>
      <c r="AG827" s="15" t="s">
        <v>133</v>
      </c>
      <c r="AH827" s="16">
        <v>45732</v>
      </c>
      <c r="AI827" s="16">
        <v>45735</v>
      </c>
      <c r="AJ827" s="16">
        <v>45741</v>
      </c>
      <c r="AK827" s="17">
        <f>IF(AJ827="","",AJ827-AH827)</f>
        <v>9</v>
      </c>
    </row>
    <row r="828" spans="1:37">
      <c r="A828" s="2" t="s">
        <v>1221</v>
      </c>
      <c r="B828" s="2" t="s">
        <v>287</v>
      </c>
      <c r="C828" s="2" t="s">
        <v>288</v>
      </c>
      <c r="D828" s="2" t="s">
        <v>171</v>
      </c>
      <c r="E828" s="2" t="s">
        <v>289</v>
      </c>
      <c r="F828" s="2" t="s">
        <v>173</v>
      </c>
      <c r="G828" s="2" t="s">
        <v>1163</v>
      </c>
      <c r="H828" s="2" t="s">
        <v>379</v>
      </c>
      <c r="I828" s="2" t="s">
        <v>380</v>
      </c>
      <c r="J828" s="2" t="s">
        <v>381</v>
      </c>
      <c r="K828" s="9">
        <v>45725</v>
      </c>
      <c r="L828" s="9">
        <v>45731</v>
      </c>
      <c r="M828" s="9">
        <v>45728</v>
      </c>
      <c r="N828" s="2" t="s">
        <v>1054</v>
      </c>
      <c r="O828" s="2" t="s">
        <v>55</v>
      </c>
      <c r="P828" s="2" t="s">
        <v>139</v>
      </c>
      <c r="Q828" s="2" t="s">
        <v>161</v>
      </c>
      <c r="R828" s="2" t="s">
        <v>128</v>
      </c>
      <c r="S828" s="2" t="s">
        <v>383</v>
      </c>
      <c r="T828" s="10">
        <v>17.829999999999998</v>
      </c>
      <c r="U828" s="11">
        <v>1</v>
      </c>
      <c r="V828" s="12">
        <f>T828*U828</f>
        <v>17.829999999999998</v>
      </c>
      <c r="W828" s="13">
        <v>0</v>
      </c>
      <c r="X828" s="12">
        <f>V828-(V828/(1+W828))</f>
        <v>0</v>
      </c>
      <c r="Y828" s="12">
        <f>V828-X828</f>
        <v>17.829999999999998</v>
      </c>
      <c r="Z828" s="14">
        <v>35</v>
      </c>
      <c r="AA828" s="2" t="str">
        <f>IF(V828&gt;Z828,"Yes","No")</f>
        <v>No</v>
      </c>
      <c r="AB828" s="12">
        <f>V828-Z828</f>
        <v>-17.170000000000002</v>
      </c>
      <c r="AC828" s="15" t="s">
        <v>130</v>
      </c>
      <c r="AD828" s="15" t="s">
        <v>130</v>
      </c>
      <c r="AE828" s="15" t="s">
        <v>421</v>
      </c>
      <c r="AF828" s="12">
        <f>IF(AG828="Rejected",0,IF(R828="Corporate Card",0,V828))</f>
        <v>0</v>
      </c>
      <c r="AG828" s="15" t="s">
        <v>133</v>
      </c>
      <c r="AH828" s="16">
        <v>45732</v>
      </c>
      <c r="AI828" s="16">
        <v>45735</v>
      </c>
      <c r="AJ828" s="16">
        <v>45741</v>
      </c>
      <c r="AK828" s="17">
        <f>IF(AJ828="","",AJ828-AH828)</f>
        <v>9</v>
      </c>
    </row>
    <row r="829" spans="1:37">
      <c r="A829" s="2" t="s">
        <v>1222</v>
      </c>
      <c r="B829" s="2" t="s">
        <v>287</v>
      </c>
      <c r="C829" s="2" t="s">
        <v>288</v>
      </c>
      <c r="D829" s="2" t="s">
        <v>171</v>
      </c>
      <c r="E829" s="2" t="s">
        <v>289</v>
      </c>
      <c r="F829" s="2" t="s">
        <v>173</v>
      </c>
      <c r="G829" s="2" t="s">
        <v>1163</v>
      </c>
      <c r="H829" s="2" t="s">
        <v>379</v>
      </c>
      <c r="I829" s="2" t="s">
        <v>380</v>
      </c>
      <c r="J829" s="2" t="s">
        <v>381</v>
      </c>
      <c r="K829" s="9">
        <v>45725</v>
      </c>
      <c r="L829" s="9">
        <v>45731</v>
      </c>
      <c r="M829" s="9">
        <v>45729</v>
      </c>
      <c r="N829" s="2" t="s">
        <v>1054</v>
      </c>
      <c r="O829" s="2" t="s">
        <v>58</v>
      </c>
      <c r="P829" s="2" t="s">
        <v>142</v>
      </c>
      <c r="Q829" s="2" t="s">
        <v>143</v>
      </c>
      <c r="R829" s="2" t="s">
        <v>137</v>
      </c>
      <c r="S829" s="2" t="s">
        <v>383</v>
      </c>
      <c r="T829" s="10">
        <v>43.95</v>
      </c>
      <c r="U829" s="11">
        <v>1</v>
      </c>
      <c r="V829" s="12">
        <f>T829*U829</f>
        <v>43.95</v>
      </c>
      <c r="W829" s="13">
        <v>0</v>
      </c>
      <c r="X829" s="12">
        <f>V829-(V829/(1+W829))</f>
        <v>0</v>
      </c>
      <c r="Y829" s="12">
        <f>V829-X829</f>
        <v>43.95</v>
      </c>
      <c r="Z829" s="14">
        <v>60</v>
      </c>
      <c r="AA829" s="2" t="str">
        <f>IF(V829&gt;Z829,"Yes","No")</f>
        <v>No</v>
      </c>
      <c r="AB829" s="12">
        <f>V829-Z829</f>
        <v>-16.049999999999997</v>
      </c>
      <c r="AC829" s="15" t="s">
        <v>130</v>
      </c>
      <c r="AD829" s="15" t="s">
        <v>130</v>
      </c>
      <c r="AE829" s="15" t="s">
        <v>421</v>
      </c>
      <c r="AF829" s="12">
        <f>IF(AG829="Rejected",0,IF(R829="Corporate Card",0,V829))</f>
        <v>43.95</v>
      </c>
      <c r="AG829" s="15" t="s">
        <v>133</v>
      </c>
      <c r="AH829" s="16">
        <v>45732</v>
      </c>
      <c r="AI829" s="16">
        <v>45735</v>
      </c>
      <c r="AJ829" s="16">
        <v>45741</v>
      </c>
      <c r="AK829" s="17">
        <f>IF(AJ829="","",AJ829-AH829)</f>
        <v>9</v>
      </c>
    </row>
    <row r="830" spans="1:37">
      <c r="A830" s="2" t="s">
        <v>1223</v>
      </c>
      <c r="B830" s="2" t="s">
        <v>287</v>
      </c>
      <c r="C830" s="2" t="s">
        <v>288</v>
      </c>
      <c r="D830" s="2" t="s">
        <v>171</v>
      </c>
      <c r="E830" s="2" t="s">
        <v>289</v>
      </c>
      <c r="F830" s="2" t="s">
        <v>173</v>
      </c>
      <c r="G830" s="2" t="s">
        <v>1163</v>
      </c>
      <c r="H830" s="2" t="s">
        <v>379</v>
      </c>
      <c r="I830" s="2" t="s">
        <v>380</v>
      </c>
      <c r="J830" s="2" t="s">
        <v>381</v>
      </c>
      <c r="K830" s="9">
        <v>45725</v>
      </c>
      <c r="L830" s="9">
        <v>45731</v>
      </c>
      <c r="M830" s="9">
        <v>45729</v>
      </c>
      <c r="N830" s="2" t="s">
        <v>1054</v>
      </c>
      <c r="O830" s="2" t="s">
        <v>54</v>
      </c>
      <c r="P830" s="2" t="s">
        <v>139</v>
      </c>
      <c r="Q830" s="2" t="s">
        <v>163</v>
      </c>
      <c r="R830" s="2" t="s">
        <v>128</v>
      </c>
      <c r="S830" s="2" t="s">
        <v>383</v>
      </c>
      <c r="T830" s="10">
        <v>19.260000000000002</v>
      </c>
      <c r="U830" s="11">
        <v>1</v>
      </c>
      <c r="V830" s="12">
        <f>T830*U830</f>
        <v>19.260000000000002</v>
      </c>
      <c r="W830" s="13">
        <v>0</v>
      </c>
      <c r="X830" s="12">
        <f>V830-(V830/(1+W830))</f>
        <v>0</v>
      </c>
      <c r="Y830" s="12">
        <f>V830-X830</f>
        <v>19.260000000000002</v>
      </c>
      <c r="Z830" s="14">
        <v>25</v>
      </c>
      <c r="AA830" s="2" t="str">
        <f>IF(V830&gt;Z830,"Yes","No")</f>
        <v>No</v>
      </c>
      <c r="AB830" s="12">
        <f>V830-Z830</f>
        <v>-5.7399999999999984</v>
      </c>
      <c r="AC830" s="15" t="s">
        <v>130</v>
      </c>
      <c r="AD830" s="15" t="s">
        <v>130</v>
      </c>
      <c r="AE830" s="15" t="s">
        <v>421</v>
      </c>
      <c r="AF830" s="12">
        <f>IF(AG830="Rejected",0,IF(R830="Corporate Card",0,V830))</f>
        <v>0</v>
      </c>
      <c r="AG830" s="15" t="s">
        <v>133</v>
      </c>
      <c r="AH830" s="16">
        <v>45732</v>
      </c>
      <c r="AI830" s="16">
        <v>45735</v>
      </c>
      <c r="AJ830" s="16">
        <v>45741</v>
      </c>
      <c r="AK830" s="17">
        <f>IF(AJ830="","",AJ830-AH830)</f>
        <v>9</v>
      </c>
    </row>
    <row r="831" spans="1:37">
      <c r="A831" s="2" t="s">
        <v>1224</v>
      </c>
      <c r="B831" s="2" t="s">
        <v>287</v>
      </c>
      <c r="C831" s="2" t="s">
        <v>288</v>
      </c>
      <c r="D831" s="2" t="s">
        <v>171</v>
      </c>
      <c r="E831" s="2" t="s">
        <v>289</v>
      </c>
      <c r="F831" s="2" t="s">
        <v>173</v>
      </c>
      <c r="G831" s="2" t="s">
        <v>1163</v>
      </c>
      <c r="H831" s="2" t="s">
        <v>379</v>
      </c>
      <c r="I831" s="2" t="s">
        <v>380</v>
      </c>
      <c r="J831" s="2" t="s">
        <v>381</v>
      </c>
      <c r="K831" s="9">
        <v>45725</v>
      </c>
      <c r="L831" s="9">
        <v>45731</v>
      </c>
      <c r="M831" s="9">
        <v>45729</v>
      </c>
      <c r="N831" s="2" t="s">
        <v>1054</v>
      </c>
      <c r="O831" s="2" t="s">
        <v>56</v>
      </c>
      <c r="P831" s="2" t="s">
        <v>151</v>
      </c>
      <c r="Q831" s="2" t="s">
        <v>159</v>
      </c>
      <c r="R831" s="2" t="s">
        <v>128</v>
      </c>
      <c r="S831" s="2" t="s">
        <v>383</v>
      </c>
      <c r="T831" s="10">
        <v>39.380000000000003</v>
      </c>
      <c r="U831" s="11">
        <v>1</v>
      </c>
      <c r="V831" s="12">
        <f>T831*U831</f>
        <v>39.380000000000003</v>
      </c>
      <c r="W831" s="13">
        <v>0</v>
      </c>
      <c r="X831" s="12">
        <f>V831-(V831/(1+W831))</f>
        <v>0</v>
      </c>
      <c r="Y831" s="12">
        <f>V831-X831</f>
        <v>39.380000000000003</v>
      </c>
      <c r="Z831" s="14">
        <v>75</v>
      </c>
      <c r="AA831" s="2" t="str">
        <f>IF(V831&gt;Z831,"Yes","No")</f>
        <v>No</v>
      </c>
      <c r="AB831" s="12">
        <f>V831-Z831</f>
        <v>-35.619999999999997</v>
      </c>
      <c r="AC831" s="15" t="s">
        <v>130</v>
      </c>
      <c r="AD831" s="15" t="s">
        <v>130</v>
      </c>
      <c r="AE831" s="15" t="s">
        <v>421</v>
      </c>
      <c r="AF831" s="12">
        <f>IF(AG831="Rejected",0,IF(R831="Corporate Card",0,V831))</f>
        <v>0</v>
      </c>
      <c r="AG831" s="15" t="s">
        <v>133</v>
      </c>
      <c r="AH831" s="16">
        <v>45732</v>
      </c>
      <c r="AI831" s="16">
        <v>45735</v>
      </c>
      <c r="AJ831" s="16">
        <v>45741</v>
      </c>
      <c r="AK831" s="17">
        <f>IF(AJ831="","",AJ831-AH831)</f>
        <v>9</v>
      </c>
    </row>
    <row r="832" spans="1:37">
      <c r="A832" s="2" t="s">
        <v>1225</v>
      </c>
      <c r="B832" s="2" t="s">
        <v>287</v>
      </c>
      <c r="C832" s="2" t="s">
        <v>288</v>
      </c>
      <c r="D832" s="2" t="s">
        <v>171</v>
      </c>
      <c r="E832" s="2" t="s">
        <v>289</v>
      </c>
      <c r="F832" s="2" t="s">
        <v>173</v>
      </c>
      <c r="G832" s="2" t="s">
        <v>1163</v>
      </c>
      <c r="H832" s="2" t="s">
        <v>379</v>
      </c>
      <c r="I832" s="2" t="s">
        <v>380</v>
      </c>
      <c r="J832" s="2" t="s">
        <v>381</v>
      </c>
      <c r="K832" s="9">
        <v>45725</v>
      </c>
      <c r="L832" s="9">
        <v>45731</v>
      </c>
      <c r="M832" s="9">
        <v>45729</v>
      </c>
      <c r="N832" s="2" t="s">
        <v>1054</v>
      </c>
      <c r="O832" s="2" t="s">
        <v>55</v>
      </c>
      <c r="P832" s="2" t="s">
        <v>139</v>
      </c>
      <c r="Q832" s="2" t="s">
        <v>187</v>
      </c>
      <c r="R832" s="2" t="s">
        <v>128</v>
      </c>
      <c r="S832" s="2" t="s">
        <v>383</v>
      </c>
      <c r="T832" s="10">
        <v>14.41</v>
      </c>
      <c r="U832" s="11">
        <v>1</v>
      </c>
      <c r="V832" s="12">
        <f>T832*U832</f>
        <v>14.41</v>
      </c>
      <c r="W832" s="13">
        <v>0</v>
      </c>
      <c r="X832" s="12">
        <f>V832-(V832/(1+W832))</f>
        <v>0</v>
      </c>
      <c r="Y832" s="12">
        <f>V832-X832</f>
        <v>14.41</v>
      </c>
      <c r="Z832" s="14">
        <v>35</v>
      </c>
      <c r="AA832" s="2" t="str">
        <f>IF(V832&gt;Z832,"Yes","No")</f>
        <v>No</v>
      </c>
      <c r="AB832" s="12">
        <f>V832-Z832</f>
        <v>-20.59</v>
      </c>
      <c r="AC832" s="15" t="s">
        <v>130</v>
      </c>
      <c r="AD832" s="15" t="s">
        <v>130</v>
      </c>
      <c r="AE832" s="15" t="s">
        <v>421</v>
      </c>
      <c r="AF832" s="12">
        <f>IF(AG832="Rejected",0,IF(R832="Corporate Card",0,V832))</f>
        <v>0</v>
      </c>
      <c r="AG832" s="15" t="s">
        <v>133</v>
      </c>
      <c r="AH832" s="16">
        <v>45732</v>
      </c>
      <c r="AI832" s="16">
        <v>45735</v>
      </c>
      <c r="AJ832" s="16">
        <v>45741</v>
      </c>
      <c r="AK832" s="17">
        <f>IF(AJ832="","",AJ832-AH832)</f>
        <v>9</v>
      </c>
    </row>
    <row r="833" spans="1:37">
      <c r="A833" s="2" t="s">
        <v>1226</v>
      </c>
      <c r="B833" s="2" t="s">
        <v>287</v>
      </c>
      <c r="C833" s="2" t="s">
        <v>288</v>
      </c>
      <c r="D833" s="2" t="s">
        <v>171</v>
      </c>
      <c r="E833" s="2" t="s">
        <v>289</v>
      </c>
      <c r="F833" s="2" t="s">
        <v>173</v>
      </c>
      <c r="G833" s="2" t="s">
        <v>1163</v>
      </c>
      <c r="H833" s="2" t="s">
        <v>379</v>
      </c>
      <c r="I833" s="2" t="s">
        <v>380</v>
      </c>
      <c r="J833" s="2" t="s">
        <v>381</v>
      </c>
      <c r="K833" s="9">
        <v>45725</v>
      </c>
      <c r="L833" s="9">
        <v>45731</v>
      </c>
      <c r="M833" s="9">
        <v>45730</v>
      </c>
      <c r="N833" s="2" t="s">
        <v>1054</v>
      </c>
      <c r="O833" s="2" t="s">
        <v>57</v>
      </c>
      <c r="P833" s="2" t="s">
        <v>398</v>
      </c>
      <c r="Q833" s="2" t="s">
        <v>1204</v>
      </c>
      <c r="R833" s="2" t="s">
        <v>128</v>
      </c>
      <c r="S833" s="2" t="s">
        <v>383</v>
      </c>
      <c r="T833" s="10">
        <v>192.95</v>
      </c>
      <c r="U833" s="11">
        <v>1</v>
      </c>
      <c r="V833" s="12">
        <f>T833*U833</f>
        <v>192.95</v>
      </c>
      <c r="W833" s="13">
        <v>0</v>
      </c>
      <c r="X833" s="12">
        <f>V833-(V833/(1+W833))</f>
        <v>0</v>
      </c>
      <c r="Y833" s="12">
        <f>V833-X833</f>
        <v>192.95</v>
      </c>
      <c r="Z833" s="14">
        <v>200</v>
      </c>
      <c r="AA833" s="2" t="str">
        <f>IF(V833&gt;Z833,"Yes","No")</f>
        <v>No</v>
      </c>
      <c r="AB833" s="12">
        <f>V833-Z833</f>
        <v>-7.0500000000000114</v>
      </c>
      <c r="AC833" s="15" t="s">
        <v>130</v>
      </c>
      <c r="AD833" s="15" t="s">
        <v>130</v>
      </c>
      <c r="AE833" s="15" t="s">
        <v>421</v>
      </c>
      <c r="AF833" s="12">
        <f>IF(AG833="Rejected",0,IF(R833="Corporate Card",0,V833))</f>
        <v>0</v>
      </c>
      <c r="AG833" s="15" t="s">
        <v>133</v>
      </c>
      <c r="AH833" s="16">
        <v>45732</v>
      </c>
      <c r="AI833" s="16">
        <v>45735</v>
      </c>
      <c r="AJ833" s="16">
        <v>45741</v>
      </c>
      <c r="AK833" s="17">
        <f>IF(AJ833="","",AJ833-AH833)</f>
        <v>9</v>
      </c>
    </row>
    <row r="834" spans="1:37">
      <c r="A834" s="2" t="s">
        <v>1227</v>
      </c>
      <c r="B834" s="2" t="s">
        <v>287</v>
      </c>
      <c r="C834" s="2" t="s">
        <v>288</v>
      </c>
      <c r="D834" s="2" t="s">
        <v>171</v>
      </c>
      <c r="E834" s="2" t="s">
        <v>289</v>
      </c>
      <c r="F834" s="2" t="s">
        <v>173</v>
      </c>
      <c r="G834" s="2" t="s">
        <v>1163</v>
      </c>
      <c r="H834" s="2" t="s">
        <v>379</v>
      </c>
      <c r="I834" s="2" t="s">
        <v>380</v>
      </c>
      <c r="J834" s="2" t="s">
        <v>381</v>
      </c>
      <c r="K834" s="9">
        <v>45725</v>
      </c>
      <c r="L834" s="9">
        <v>45731</v>
      </c>
      <c r="M834" s="9">
        <v>45730</v>
      </c>
      <c r="N834" s="2" t="s">
        <v>1054</v>
      </c>
      <c r="O834" s="2" t="s">
        <v>67</v>
      </c>
      <c r="P834" s="2" t="s">
        <v>401</v>
      </c>
      <c r="Q834" s="2" t="s">
        <v>402</v>
      </c>
      <c r="R834" s="2" t="s">
        <v>128</v>
      </c>
      <c r="S834" s="2" t="s">
        <v>383</v>
      </c>
      <c r="T834" s="10">
        <v>93.69</v>
      </c>
      <c r="U834" s="11">
        <v>1</v>
      </c>
      <c r="V834" s="12">
        <f>T834*U834</f>
        <v>93.69</v>
      </c>
      <c r="W834" s="13">
        <v>0</v>
      </c>
      <c r="X834" s="12">
        <f>V834-(V834/(1+W834))</f>
        <v>0</v>
      </c>
      <c r="Y834" s="12">
        <f>V834-X834</f>
        <v>93.69</v>
      </c>
      <c r="Z834" s="14">
        <v>100</v>
      </c>
      <c r="AA834" s="2" t="str">
        <f>IF(V834&gt;Z834,"Yes","No")</f>
        <v>No</v>
      </c>
      <c r="AB834" s="12">
        <f>V834-Z834</f>
        <v>-6.3100000000000023</v>
      </c>
      <c r="AC834" s="15" t="s">
        <v>130</v>
      </c>
      <c r="AD834" s="15" t="s">
        <v>130</v>
      </c>
      <c r="AE834" s="15" t="s">
        <v>421</v>
      </c>
      <c r="AF834" s="12">
        <f>IF(AG834="Rejected",0,IF(R834="Corporate Card",0,V834))</f>
        <v>0</v>
      </c>
      <c r="AG834" s="15" t="s">
        <v>133</v>
      </c>
      <c r="AH834" s="16">
        <v>45732</v>
      </c>
      <c r="AI834" s="16">
        <v>45735</v>
      </c>
      <c r="AJ834" s="16">
        <v>45741</v>
      </c>
      <c r="AK834" s="17">
        <f>IF(AJ834="","",AJ834-AH834)</f>
        <v>9</v>
      </c>
    </row>
    <row r="835" spans="1:37">
      <c r="A835" s="2" t="s">
        <v>1228</v>
      </c>
      <c r="B835" s="2" t="s">
        <v>287</v>
      </c>
      <c r="C835" s="2" t="s">
        <v>288</v>
      </c>
      <c r="D835" s="2" t="s">
        <v>171</v>
      </c>
      <c r="E835" s="2" t="s">
        <v>289</v>
      </c>
      <c r="F835" s="2" t="s">
        <v>173</v>
      </c>
      <c r="G835" s="2" t="s">
        <v>1163</v>
      </c>
      <c r="H835" s="2" t="s">
        <v>379</v>
      </c>
      <c r="I835" s="2" t="s">
        <v>380</v>
      </c>
      <c r="J835" s="2" t="s">
        <v>381</v>
      </c>
      <c r="K835" s="9">
        <v>45725</v>
      </c>
      <c r="L835" s="9">
        <v>45731</v>
      </c>
      <c r="M835" s="9">
        <v>45730</v>
      </c>
      <c r="N835" s="2" t="s">
        <v>1054</v>
      </c>
      <c r="O835" s="2" t="s">
        <v>58</v>
      </c>
      <c r="P835" s="2" t="s">
        <v>142</v>
      </c>
      <c r="Q835" s="2" t="s">
        <v>156</v>
      </c>
      <c r="R835" s="2" t="s">
        <v>149</v>
      </c>
      <c r="S835" s="2" t="s">
        <v>383</v>
      </c>
      <c r="T835" s="10">
        <v>46.78</v>
      </c>
      <c r="U835" s="11">
        <v>1</v>
      </c>
      <c r="V835" s="12">
        <f>T835*U835</f>
        <v>46.78</v>
      </c>
      <c r="W835" s="13">
        <v>0</v>
      </c>
      <c r="X835" s="12">
        <f>V835-(V835/(1+W835))</f>
        <v>0</v>
      </c>
      <c r="Y835" s="12">
        <f>V835-X835</f>
        <v>46.78</v>
      </c>
      <c r="Z835" s="14">
        <v>60</v>
      </c>
      <c r="AA835" s="2" t="str">
        <f>IF(V835&gt;Z835,"Yes","No")</f>
        <v>No</v>
      </c>
      <c r="AB835" s="12">
        <f>V835-Z835</f>
        <v>-13.219999999999999</v>
      </c>
      <c r="AC835" s="15" t="s">
        <v>130</v>
      </c>
      <c r="AD835" s="15" t="s">
        <v>130</v>
      </c>
      <c r="AE835" s="15" t="s">
        <v>421</v>
      </c>
      <c r="AF835" s="12">
        <f>IF(AG835="Rejected",0,IF(R835="Corporate Card",0,V835))</f>
        <v>46.78</v>
      </c>
      <c r="AG835" s="15" t="s">
        <v>133</v>
      </c>
      <c r="AH835" s="16">
        <v>45732</v>
      </c>
      <c r="AI835" s="16">
        <v>45735</v>
      </c>
      <c r="AJ835" s="16">
        <v>45741</v>
      </c>
      <c r="AK835" s="17">
        <f>IF(AJ835="","",AJ835-AH835)</f>
        <v>9</v>
      </c>
    </row>
    <row r="836" spans="1:37">
      <c r="A836" s="2" t="s">
        <v>1229</v>
      </c>
      <c r="B836" s="2" t="s">
        <v>287</v>
      </c>
      <c r="C836" s="2" t="s">
        <v>288</v>
      </c>
      <c r="D836" s="2" t="s">
        <v>171</v>
      </c>
      <c r="E836" s="2" t="s">
        <v>289</v>
      </c>
      <c r="F836" s="2" t="s">
        <v>173</v>
      </c>
      <c r="G836" s="2" t="s">
        <v>1163</v>
      </c>
      <c r="H836" s="2" t="s">
        <v>379</v>
      </c>
      <c r="I836" s="2" t="s">
        <v>380</v>
      </c>
      <c r="J836" s="2" t="s">
        <v>381</v>
      </c>
      <c r="K836" s="9">
        <v>45725</v>
      </c>
      <c r="L836" s="9">
        <v>45731</v>
      </c>
      <c r="M836" s="9">
        <v>45730</v>
      </c>
      <c r="N836" s="2" t="s">
        <v>1054</v>
      </c>
      <c r="O836" s="2" t="s">
        <v>54</v>
      </c>
      <c r="P836" s="2" t="s">
        <v>139</v>
      </c>
      <c r="Q836" s="2" t="s">
        <v>163</v>
      </c>
      <c r="R836" s="2" t="s">
        <v>137</v>
      </c>
      <c r="S836" s="2" t="s">
        <v>383</v>
      </c>
      <c r="T836" s="10">
        <v>15.55</v>
      </c>
      <c r="U836" s="11">
        <v>1</v>
      </c>
      <c r="V836" s="12">
        <f>T836*U836</f>
        <v>15.55</v>
      </c>
      <c r="W836" s="13">
        <v>0</v>
      </c>
      <c r="X836" s="12">
        <f>V836-(V836/(1+W836))</f>
        <v>0</v>
      </c>
      <c r="Y836" s="12">
        <f>V836-X836</f>
        <v>15.55</v>
      </c>
      <c r="Z836" s="14">
        <v>25</v>
      </c>
      <c r="AA836" s="2" t="str">
        <f>IF(V836&gt;Z836,"Yes","No")</f>
        <v>No</v>
      </c>
      <c r="AB836" s="12">
        <f>V836-Z836</f>
        <v>-9.4499999999999993</v>
      </c>
      <c r="AC836" s="15" t="s">
        <v>130</v>
      </c>
      <c r="AD836" s="15" t="s">
        <v>130</v>
      </c>
      <c r="AE836" s="15" t="s">
        <v>421</v>
      </c>
      <c r="AF836" s="12">
        <f>IF(AG836="Rejected",0,IF(R836="Corporate Card",0,V836))</f>
        <v>15.55</v>
      </c>
      <c r="AG836" s="15" t="s">
        <v>133</v>
      </c>
      <c r="AH836" s="16">
        <v>45732</v>
      </c>
      <c r="AI836" s="16">
        <v>45735</v>
      </c>
      <c r="AJ836" s="16">
        <v>45741</v>
      </c>
      <c r="AK836" s="17">
        <f>IF(AJ836="","",AJ836-AH836)</f>
        <v>9</v>
      </c>
    </row>
    <row r="837" spans="1:37">
      <c r="A837" s="2" t="s">
        <v>1230</v>
      </c>
      <c r="B837" s="2" t="s">
        <v>287</v>
      </c>
      <c r="C837" s="2" t="s">
        <v>288</v>
      </c>
      <c r="D837" s="2" t="s">
        <v>171</v>
      </c>
      <c r="E837" s="2" t="s">
        <v>289</v>
      </c>
      <c r="F837" s="2" t="s">
        <v>173</v>
      </c>
      <c r="G837" s="2" t="s">
        <v>1163</v>
      </c>
      <c r="H837" s="2" t="s">
        <v>379</v>
      </c>
      <c r="I837" s="2" t="s">
        <v>380</v>
      </c>
      <c r="J837" s="2" t="s">
        <v>381</v>
      </c>
      <c r="K837" s="9">
        <v>45725</v>
      </c>
      <c r="L837" s="9">
        <v>45731</v>
      </c>
      <c r="M837" s="9">
        <v>45730</v>
      </c>
      <c r="N837" s="2" t="s">
        <v>1054</v>
      </c>
      <c r="O837" s="2" t="s">
        <v>56</v>
      </c>
      <c r="P837" s="2" t="s">
        <v>245</v>
      </c>
      <c r="Q837" s="2" t="s">
        <v>152</v>
      </c>
      <c r="R837" s="2" t="s">
        <v>128</v>
      </c>
      <c r="S837" s="2" t="s">
        <v>383</v>
      </c>
      <c r="T837" s="10">
        <v>69.33</v>
      </c>
      <c r="U837" s="11">
        <v>1</v>
      </c>
      <c r="V837" s="12">
        <f>T837*U837</f>
        <v>69.33</v>
      </c>
      <c r="W837" s="13">
        <v>0</v>
      </c>
      <c r="X837" s="12">
        <f>V837-(V837/(1+W837))</f>
        <v>0</v>
      </c>
      <c r="Y837" s="12">
        <f>V837-X837</f>
        <v>69.33</v>
      </c>
      <c r="Z837" s="14">
        <v>75</v>
      </c>
      <c r="AA837" s="2" t="str">
        <f>IF(V837&gt;Z837,"Yes","No")</f>
        <v>No</v>
      </c>
      <c r="AB837" s="12">
        <f>V837-Z837</f>
        <v>-5.6700000000000017</v>
      </c>
      <c r="AC837" s="15" t="s">
        <v>130</v>
      </c>
      <c r="AD837" s="15" t="s">
        <v>130</v>
      </c>
      <c r="AE837" s="15" t="s">
        <v>421</v>
      </c>
      <c r="AF837" s="12">
        <f>IF(AG837="Rejected",0,IF(R837="Corporate Card",0,V837))</f>
        <v>0</v>
      </c>
      <c r="AG837" s="15" t="s">
        <v>133</v>
      </c>
      <c r="AH837" s="16">
        <v>45732</v>
      </c>
      <c r="AI837" s="16">
        <v>45735</v>
      </c>
      <c r="AJ837" s="16">
        <v>45741</v>
      </c>
      <c r="AK837" s="17">
        <f>IF(AJ837="","",AJ837-AH837)</f>
        <v>9</v>
      </c>
    </row>
    <row r="838" spans="1:37">
      <c r="A838" s="2" t="s">
        <v>1231</v>
      </c>
      <c r="B838" s="2" t="s">
        <v>287</v>
      </c>
      <c r="C838" s="2" t="s">
        <v>288</v>
      </c>
      <c r="D838" s="2" t="s">
        <v>171</v>
      </c>
      <c r="E838" s="2" t="s">
        <v>289</v>
      </c>
      <c r="F838" s="2" t="s">
        <v>173</v>
      </c>
      <c r="G838" s="2" t="s">
        <v>1163</v>
      </c>
      <c r="H838" s="2" t="s">
        <v>379</v>
      </c>
      <c r="I838" s="2" t="s">
        <v>380</v>
      </c>
      <c r="J838" s="2" t="s">
        <v>381</v>
      </c>
      <c r="K838" s="9">
        <v>45725</v>
      </c>
      <c r="L838" s="9">
        <v>45731</v>
      </c>
      <c r="M838" s="9">
        <v>45730</v>
      </c>
      <c r="N838" s="2" t="s">
        <v>1054</v>
      </c>
      <c r="O838" s="2" t="s">
        <v>55</v>
      </c>
      <c r="P838" s="2" t="s">
        <v>139</v>
      </c>
      <c r="Q838" s="2" t="s">
        <v>217</v>
      </c>
      <c r="R838" s="2" t="s">
        <v>128</v>
      </c>
      <c r="S838" s="2" t="s">
        <v>383</v>
      </c>
      <c r="T838" s="10">
        <v>49.74</v>
      </c>
      <c r="U838" s="11">
        <v>1</v>
      </c>
      <c r="V838" s="12">
        <f>T838*U838</f>
        <v>49.74</v>
      </c>
      <c r="W838" s="13">
        <v>0</v>
      </c>
      <c r="X838" s="12">
        <f>V838-(V838/(1+W838))</f>
        <v>0</v>
      </c>
      <c r="Y838" s="12">
        <f>V838-X838</f>
        <v>49.74</v>
      </c>
      <c r="Z838" s="14">
        <v>35</v>
      </c>
      <c r="AA838" s="2" t="str">
        <f>IF(V838&gt;Z838,"Yes","No")</f>
        <v>Yes</v>
      </c>
      <c r="AB838" s="12">
        <f>V838-Z838</f>
        <v>14.740000000000002</v>
      </c>
      <c r="AC838" s="15" t="s">
        <v>130</v>
      </c>
      <c r="AD838" s="15" t="s">
        <v>130</v>
      </c>
      <c r="AE838" s="15" t="s">
        <v>421</v>
      </c>
      <c r="AF838" s="12">
        <f>IF(AG838="Rejected",0,IF(R838="Corporate Card",0,V838))</f>
        <v>0</v>
      </c>
      <c r="AG838" s="15" t="s">
        <v>133</v>
      </c>
      <c r="AH838" s="16">
        <v>45732</v>
      </c>
      <c r="AI838" s="16">
        <v>45735</v>
      </c>
      <c r="AJ838" s="16">
        <v>45741</v>
      </c>
      <c r="AK838" s="17">
        <f>IF(AJ838="","",AJ838-AH838)</f>
        <v>9</v>
      </c>
    </row>
    <row r="839" spans="1:37">
      <c r="A839" s="2" t="s">
        <v>1232</v>
      </c>
      <c r="B839" s="2" t="s">
        <v>287</v>
      </c>
      <c r="C839" s="2" t="s">
        <v>288</v>
      </c>
      <c r="D839" s="2" t="s">
        <v>171</v>
      </c>
      <c r="E839" s="2" t="s">
        <v>289</v>
      </c>
      <c r="F839" s="2" t="s">
        <v>173</v>
      </c>
      <c r="G839" s="2" t="s">
        <v>1163</v>
      </c>
      <c r="H839" s="2" t="s">
        <v>379</v>
      </c>
      <c r="I839" s="2" t="s">
        <v>380</v>
      </c>
      <c r="J839" s="2" t="s">
        <v>381</v>
      </c>
      <c r="K839" s="9">
        <v>45725</v>
      </c>
      <c r="L839" s="9">
        <v>45731</v>
      </c>
      <c r="M839" s="9">
        <v>45731</v>
      </c>
      <c r="N839" s="2" t="s">
        <v>1054</v>
      </c>
      <c r="O839" s="2" t="s">
        <v>56</v>
      </c>
      <c r="P839" s="2" t="s">
        <v>151</v>
      </c>
      <c r="Q839" s="2" t="s">
        <v>152</v>
      </c>
      <c r="R839" s="2" t="s">
        <v>128</v>
      </c>
      <c r="S839" s="2" t="s">
        <v>383</v>
      </c>
      <c r="T839" s="10">
        <v>49.75</v>
      </c>
      <c r="U839" s="11">
        <v>1</v>
      </c>
      <c r="V839" s="12">
        <f>T839*U839</f>
        <v>49.75</v>
      </c>
      <c r="W839" s="13">
        <v>0</v>
      </c>
      <c r="X839" s="12">
        <f>V839-(V839/(1+W839))</f>
        <v>0</v>
      </c>
      <c r="Y839" s="12">
        <f>V839-X839</f>
        <v>49.75</v>
      </c>
      <c r="Z839" s="14">
        <v>75</v>
      </c>
      <c r="AA839" s="2" t="str">
        <f>IF(V839&gt;Z839,"Yes","No")</f>
        <v>No</v>
      </c>
      <c r="AB839" s="12">
        <f>V839-Z839</f>
        <v>-25.25</v>
      </c>
      <c r="AC839" s="15" t="s">
        <v>130</v>
      </c>
      <c r="AD839" s="15" t="s">
        <v>130</v>
      </c>
      <c r="AE839" s="15" t="s">
        <v>421</v>
      </c>
      <c r="AF839" s="12">
        <f>IF(AG839="Rejected",0,IF(R839="Corporate Card",0,V839))</f>
        <v>0</v>
      </c>
      <c r="AG839" s="15" t="s">
        <v>133</v>
      </c>
      <c r="AH839" s="16">
        <v>45732</v>
      </c>
      <c r="AI839" s="16">
        <v>45735</v>
      </c>
      <c r="AJ839" s="16">
        <v>45741</v>
      </c>
      <c r="AK839" s="17">
        <f>IF(AJ839="","",AJ839-AH839)</f>
        <v>9</v>
      </c>
    </row>
    <row r="840" spans="1:37">
      <c r="A840" s="2" t="s">
        <v>1233</v>
      </c>
      <c r="B840" s="2" t="s">
        <v>287</v>
      </c>
      <c r="C840" s="2" t="s">
        <v>288</v>
      </c>
      <c r="D840" s="2" t="s">
        <v>171</v>
      </c>
      <c r="E840" s="2" t="s">
        <v>289</v>
      </c>
      <c r="F840" s="2" t="s">
        <v>173</v>
      </c>
      <c r="G840" s="2" t="s">
        <v>1163</v>
      </c>
      <c r="H840" s="2" t="s">
        <v>379</v>
      </c>
      <c r="I840" s="2" t="s">
        <v>380</v>
      </c>
      <c r="J840" s="2" t="s">
        <v>381</v>
      </c>
      <c r="K840" s="9">
        <v>45725</v>
      </c>
      <c r="L840" s="9">
        <v>45731</v>
      </c>
      <c r="M840" s="9">
        <v>45731</v>
      </c>
      <c r="N840" s="2" t="s">
        <v>1054</v>
      </c>
      <c r="O840" s="2" t="s">
        <v>55</v>
      </c>
      <c r="P840" s="2" t="s">
        <v>139</v>
      </c>
      <c r="Q840" s="2" t="s">
        <v>154</v>
      </c>
      <c r="R840" s="2" t="s">
        <v>137</v>
      </c>
      <c r="S840" s="2" t="s">
        <v>383</v>
      </c>
      <c r="T840" s="10">
        <v>33.090000000000003</v>
      </c>
      <c r="U840" s="11">
        <v>1</v>
      </c>
      <c r="V840" s="12">
        <f>T840*U840</f>
        <v>33.090000000000003</v>
      </c>
      <c r="W840" s="13">
        <v>0</v>
      </c>
      <c r="X840" s="12">
        <f>V840-(V840/(1+W840))</f>
        <v>0</v>
      </c>
      <c r="Y840" s="12">
        <f>V840-X840</f>
        <v>33.090000000000003</v>
      </c>
      <c r="Z840" s="14">
        <v>35</v>
      </c>
      <c r="AA840" s="2" t="str">
        <f>IF(V840&gt;Z840,"Yes","No")</f>
        <v>No</v>
      </c>
      <c r="AB840" s="12">
        <f>V840-Z840</f>
        <v>-1.9099999999999966</v>
      </c>
      <c r="AC840" s="15" t="s">
        <v>130</v>
      </c>
      <c r="AD840" s="15" t="s">
        <v>130</v>
      </c>
      <c r="AE840" s="15" t="s">
        <v>421</v>
      </c>
      <c r="AF840" s="12">
        <f>IF(AG840="Rejected",0,IF(R840="Corporate Card",0,V840))</f>
        <v>33.090000000000003</v>
      </c>
      <c r="AG840" s="15" t="s">
        <v>133</v>
      </c>
      <c r="AH840" s="16">
        <v>45732</v>
      </c>
      <c r="AI840" s="16">
        <v>45735</v>
      </c>
      <c r="AJ840" s="16">
        <v>45741</v>
      </c>
      <c r="AK840" s="17">
        <f>IF(AJ840="","",AJ840-AH840)</f>
        <v>9</v>
      </c>
    </row>
    <row r="841" spans="1:37">
      <c r="A841" s="2" t="s">
        <v>1234</v>
      </c>
      <c r="B841" s="2" t="s">
        <v>1235</v>
      </c>
      <c r="C841" s="2" t="s">
        <v>867</v>
      </c>
      <c r="D841" s="2" t="s">
        <v>865</v>
      </c>
      <c r="E841" s="2" t="s">
        <v>1236</v>
      </c>
      <c r="F841" s="2" t="s">
        <v>313</v>
      </c>
      <c r="G841" s="2" t="s">
        <v>1237</v>
      </c>
      <c r="H841" s="2" t="s">
        <v>193</v>
      </c>
      <c r="I841" s="2" t="s">
        <v>175</v>
      </c>
      <c r="J841" s="2" t="s">
        <v>176</v>
      </c>
      <c r="K841" s="9">
        <v>45732</v>
      </c>
      <c r="L841" s="9">
        <v>45733</v>
      </c>
      <c r="M841" s="9">
        <v>45732</v>
      </c>
      <c r="N841" s="2" t="s">
        <v>1054</v>
      </c>
      <c r="O841" s="2" t="s">
        <v>52</v>
      </c>
      <c r="P841" s="2" t="s">
        <v>177</v>
      </c>
      <c r="Q841" s="2" t="s">
        <v>127</v>
      </c>
      <c r="R841" s="2" t="s">
        <v>128</v>
      </c>
      <c r="S841" s="2" t="s">
        <v>179</v>
      </c>
      <c r="T841" s="10">
        <v>19567.97</v>
      </c>
      <c r="U841" s="11">
        <v>0.18099999999999999</v>
      </c>
      <c r="V841" s="12">
        <f>T841*U841</f>
        <v>3541.8025700000003</v>
      </c>
      <c r="W841" s="13">
        <v>0</v>
      </c>
      <c r="X841" s="12">
        <f>V841-(V841/(1+W841))</f>
        <v>0</v>
      </c>
      <c r="Y841" s="12">
        <f>V841-X841</f>
        <v>3541.8025700000003</v>
      </c>
      <c r="Z841" s="14">
        <v>1400</v>
      </c>
      <c r="AA841" s="2" t="str">
        <f>IF(V841&gt;Z841,"Yes","No")</f>
        <v>Yes</v>
      </c>
      <c r="AB841" s="12">
        <f>V841-Z841</f>
        <v>2141.8025700000003</v>
      </c>
      <c r="AC841" s="15" t="s">
        <v>130</v>
      </c>
      <c r="AD841" s="15" t="s">
        <v>130</v>
      </c>
      <c r="AE841" s="15" t="s">
        <v>437</v>
      </c>
      <c r="AF841" s="12">
        <f>IF(AG841="Rejected",0,IF(R841="Corporate Card",0,V841))</f>
        <v>0</v>
      </c>
      <c r="AG841" s="15" t="s">
        <v>133</v>
      </c>
      <c r="AH841" s="16">
        <v>45740</v>
      </c>
      <c r="AI841" s="16">
        <v>45749</v>
      </c>
      <c r="AJ841" s="16">
        <v>45756</v>
      </c>
      <c r="AK841" s="17">
        <f>IF(AJ841="","",AJ841-AH841)</f>
        <v>16</v>
      </c>
    </row>
    <row r="842" spans="1:37">
      <c r="A842" s="2" t="s">
        <v>1238</v>
      </c>
      <c r="B842" s="2" t="s">
        <v>1235</v>
      </c>
      <c r="C842" s="2" t="s">
        <v>867</v>
      </c>
      <c r="D842" s="2" t="s">
        <v>865</v>
      </c>
      <c r="E842" s="2" t="s">
        <v>1236</v>
      </c>
      <c r="F842" s="2" t="s">
        <v>313</v>
      </c>
      <c r="G842" s="2" t="s">
        <v>1237</v>
      </c>
      <c r="H842" s="2" t="s">
        <v>193</v>
      </c>
      <c r="I842" s="2" t="s">
        <v>175</v>
      </c>
      <c r="J842" s="2" t="s">
        <v>176</v>
      </c>
      <c r="K842" s="9">
        <v>45732</v>
      </c>
      <c r="L842" s="9">
        <v>45733</v>
      </c>
      <c r="M842" s="9">
        <v>45732</v>
      </c>
      <c r="N842" s="2" t="s">
        <v>1054</v>
      </c>
      <c r="O842" s="2" t="s">
        <v>64</v>
      </c>
      <c r="P842" s="2" t="s">
        <v>135</v>
      </c>
      <c r="Q842" s="2" t="s">
        <v>127</v>
      </c>
      <c r="R842" s="2" t="s">
        <v>137</v>
      </c>
      <c r="S842" s="2" t="s">
        <v>179</v>
      </c>
      <c r="T842" s="10">
        <v>403.3</v>
      </c>
      <c r="U842" s="11">
        <v>0.18099999999999999</v>
      </c>
      <c r="V842" s="12">
        <f>T842*U842</f>
        <v>72.997299999999996</v>
      </c>
      <c r="W842" s="13">
        <v>0</v>
      </c>
      <c r="X842" s="12">
        <f>V842-(V842/(1+W842))</f>
        <v>0</v>
      </c>
      <c r="Y842" s="12">
        <f>V842-X842</f>
        <v>72.997299999999996</v>
      </c>
      <c r="Z842" s="14">
        <v>120</v>
      </c>
      <c r="AA842" s="2" t="str">
        <f>IF(V842&gt;Z842,"Yes","No")</f>
        <v>No</v>
      </c>
      <c r="AB842" s="12">
        <f>V842-Z842</f>
        <v>-47.002700000000004</v>
      </c>
      <c r="AC842" s="15" t="s">
        <v>131</v>
      </c>
      <c r="AD842" s="15" t="s">
        <v>130</v>
      </c>
      <c r="AE842" s="15" t="s">
        <v>437</v>
      </c>
      <c r="AF842" s="12">
        <f>IF(AG842="Rejected",0,IF(R842="Corporate Card",0,V842))</f>
        <v>72.997299999999996</v>
      </c>
      <c r="AG842" s="15" t="s">
        <v>133</v>
      </c>
      <c r="AH842" s="16">
        <v>45740</v>
      </c>
      <c r="AI842" s="16">
        <v>45749</v>
      </c>
      <c r="AJ842" s="16">
        <v>45756</v>
      </c>
      <c r="AK842" s="17">
        <f>IF(AJ842="","",AJ842-AH842)</f>
        <v>16</v>
      </c>
    </row>
    <row r="843" spans="1:37">
      <c r="A843" s="2" t="s">
        <v>1239</v>
      </c>
      <c r="B843" s="2" t="s">
        <v>1235</v>
      </c>
      <c r="C843" s="2" t="s">
        <v>867</v>
      </c>
      <c r="D843" s="2" t="s">
        <v>865</v>
      </c>
      <c r="E843" s="2" t="s">
        <v>1236</v>
      </c>
      <c r="F843" s="2" t="s">
        <v>313</v>
      </c>
      <c r="G843" s="2" t="s">
        <v>1237</v>
      </c>
      <c r="H843" s="2" t="s">
        <v>193</v>
      </c>
      <c r="I843" s="2" t="s">
        <v>175</v>
      </c>
      <c r="J843" s="2" t="s">
        <v>176</v>
      </c>
      <c r="K843" s="9">
        <v>45732</v>
      </c>
      <c r="L843" s="9">
        <v>45733</v>
      </c>
      <c r="M843" s="9">
        <v>45732</v>
      </c>
      <c r="N843" s="2" t="s">
        <v>1054</v>
      </c>
      <c r="O843" s="2" t="s">
        <v>63</v>
      </c>
      <c r="P843" s="2" t="s">
        <v>200</v>
      </c>
      <c r="Q843" s="2" t="s">
        <v>557</v>
      </c>
      <c r="R843" s="2" t="s">
        <v>128</v>
      </c>
      <c r="S843" s="2" t="s">
        <v>179</v>
      </c>
      <c r="T843" s="10">
        <v>3807.67</v>
      </c>
      <c r="U843" s="11">
        <v>0.18099999999999999</v>
      </c>
      <c r="V843" s="12">
        <f>T843*U843</f>
        <v>689.18826999999999</v>
      </c>
      <c r="W843" s="13">
        <v>0</v>
      </c>
      <c r="X843" s="12">
        <f>V843-(V843/(1+W843))</f>
        <v>0</v>
      </c>
      <c r="Y843" s="12">
        <f>V843-X843</f>
        <v>689.18826999999999</v>
      </c>
      <c r="Z843" s="14">
        <v>1200</v>
      </c>
      <c r="AA843" s="2" t="str">
        <f>IF(V843&gt;Z843,"Yes","No")</f>
        <v>No</v>
      </c>
      <c r="AB843" s="12">
        <f>V843-Z843</f>
        <v>-510.81173000000001</v>
      </c>
      <c r="AC843" s="15" t="s">
        <v>130</v>
      </c>
      <c r="AD843" s="15" t="s">
        <v>130</v>
      </c>
      <c r="AE843" s="15" t="s">
        <v>437</v>
      </c>
      <c r="AF843" s="12">
        <f>IF(AG843="Rejected",0,IF(R843="Corporate Card",0,V843))</f>
        <v>0</v>
      </c>
      <c r="AG843" s="15" t="s">
        <v>133</v>
      </c>
      <c r="AH843" s="16">
        <v>45740</v>
      </c>
      <c r="AI843" s="16">
        <v>45749</v>
      </c>
      <c r="AJ843" s="16">
        <v>45756</v>
      </c>
      <c r="AK843" s="17">
        <f>IF(AJ843="","",AJ843-AH843)</f>
        <v>16</v>
      </c>
    </row>
    <row r="844" spans="1:37">
      <c r="A844" s="2" t="s">
        <v>1240</v>
      </c>
      <c r="B844" s="2" t="s">
        <v>1235</v>
      </c>
      <c r="C844" s="2" t="s">
        <v>867</v>
      </c>
      <c r="D844" s="2" t="s">
        <v>865</v>
      </c>
      <c r="E844" s="2" t="s">
        <v>1236</v>
      </c>
      <c r="F844" s="2" t="s">
        <v>313</v>
      </c>
      <c r="G844" s="2" t="s">
        <v>1237</v>
      </c>
      <c r="H844" s="2" t="s">
        <v>193</v>
      </c>
      <c r="I844" s="2" t="s">
        <v>175</v>
      </c>
      <c r="J844" s="2" t="s">
        <v>176</v>
      </c>
      <c r="K844" s="9">
        <v>45732</v>
      </c>
      <c r="L844" s="9">
        <v>45733</v>
      </c>
      <c r="M844" s="9">
        <v>45732</v>
      </c>
      <c r="N844" s="2" t="s">
        <v>1054</v>
      </c>
      <c r="O844" s="2" t="s">
        <v>58</v>
      </c>
      <c r="P844" s="2" t="s">
        <v>142</v>
      </c>
      <c r="Q844" s="2" t="s">
        <v>156</v>
      </c>
      <c r="R844" s="2" t="s">
        <v>149</v>
      </c>
      <c r="S844" s="2" t="s">
        <v>179</v>
      </c>
      <c r="T844" s="10">
        <v>250.88</v>
      </c>
      <c r="U844" s="11">
        <v>0.18099999999999999</v>
      </c>
      <c r="V844" s="12">
        <f>T844*U844</f>
        <v>45.409279999999995</v>
      </c>
      <c r="W844" s="13">
        <v>0.17</v>
      </c>
      <c r="X844" s="12">
        <f>V844-(V844/(1+W844))</f>
        <v>6.5979295726495693</v>
      </c>
      <c r="Y844" s="12">
        <f>V844-X844</f>
        <v>38.811350427350426</v>
      </c>
      <c r="Z844" s="14">
        <v>60</v>
      </c>
      <c r="AA844" s="2" t="str">
        <f>IF(V844&gt;Z844,"Yes","No")</f>
        <v>No</v>
      </c>
      <c r="AB844" s="12">
        <f>V844-Z844</f>
        <v>-14.590720000000005</v>
      </c>
      <c r="AC844" s="15" t="s">
        <v>130</v>
      </c>
      <c r="AD844" s="15" t="s">
        <v>130</v>
      </c>
      <c r="AE844" s="15" t="s">
        <v>437</v>
      </c>
      <c r="AF844" s="12">
        <f>IF(AG844="Rejected",0,IF(R844="Corporate Card",0,V844))</f>
        <v>45.409279999999995</v>
      </c>
      <c r="AG844" s="15" t="s">
        <v>133</v>
      </c>
      <c r="AH844" s="16">
        <v>45740</v>
      </c>
      <c r="AI844" s="16">
        <v>45749</v>
      </c>
      <c r="AJ844" s="16">
        <v>45756</v>
      </c>
      <c r="AK844" s="17">
        <f>IF(AJ844="","",AJ844-AH844)</f>
        <v>16</v>
      </c>
    </row>
    <row r="845" spans="1:37">
      <c r="A845" s="2" t="s">
        <v>1241</v>
      </c>
      <c r="B845" s="2" t="s">
        <v>1235</v>
      </c>
      <c r="C845" s="2" t="s">
        <v>867</v>
      </c>
      <c r="D845" s="2" t="s">
        <v>865</v>
      </c>
      <c r="E845" s="2" t="s">
        <v>1236</v>
      </c>
      <c r="F845" s="2" t="s">
        <v>313</v>
      </c>
      <c r="G845" s="2" t="s">
        <v>1237</v>
      </c>
      <c r="H845" s="2" t="s">
        <v>193</v>
      </c>
      <c r="I845" s="2" t="s">
        <v>175</v>
      </c>
      <c r="J845" s="2" t="s">
        <v>176</v>
      </c>
      <c r="K845" s="9">
        <v>45732</v>
      </c>
      <c r="L845" s="9">
        <v>45733</v>
      </c>
      <c r="M845" s="9">
        <v>45732</v>
      </c>
      <c r="N845" s="2" t="s">
        <v>1054</v>
      </c>
      <c r="O845" s="2" t="s">
        <v>54</v>
      </c>
      <c r="P845" s="2" t="s">
        <v>139</v>
      </c>
      <c r="Q845" s="2" t="s">
        <v>148</v>
      </c>
      <c r="R845" s="2" t="s">
        <v>149</v>
      </c>
      <c r="S845" s="2" t="s">
        <v>179</v>
      </c>
      <c r="T845" s="10">
        <v>112.24</v>
      </c>
      <c r="U845" s="11">
        <v>0.18099999999999999</v>
      </c>
      <c r="V845" s="12">
        <f>T845*U845</f>
        <v>20.315439999999999</v>
      </c>
      <c r="W845" s="13">
        <v>0.17</v>
      </c>
      <c r="X845" s="12">
        <f>V845-(V845/(1+W845))</f>
        <v>2.9518160683760684</v>
      </c>
      <c r="Y845" s="12">
        <f>V845-X845</f>
        <v>17.36362393162393</v>
      </c>
      <c r="Z845" s="14">
        <v>25</v>
      </c>
      <c r="AA845" s="2" t="str">
        <f>IF(V845&gt;Z845,"Yes","No")</f>
        <v>No</v>
      </c>
      <c r="AB845" s="12">
        <f>V845-Z845</f>
        <v>-4.6845600000000012</v>
      </c>
      <c r="AC845" s="15" t="s">
        <v>130</v>
      </c>
      <c r="AD845" s="15" t="s">
        <v>130</v>
      </c>
      <c r="AE845" s="15" t="s">
        <v>437</v>
      </c>
      <c r="AF845" s="12">
        <f>IF(AG845="Rejected",0,IF(R845="Corporate Card",0,V845))</f>
        <v>20.315439999999999</v>
      </c>
      <c r="AG845" s="15" t="s">
        <v>133</v>
      </c>
      <c r="AH845" s="16">
        <v>45740</v>
      </c>
      <c r="AI845" s="16">
        <v>45749</v>
      </c>
      <c r="AJ845" s="16">
        <v>45756</v>
      </c>
      <c r="AK845" s="17">
        <f>IF(AJ845="","",AJ845-AH845)</f>
        <v>16</v>
      </c>
    </row>
    <row r="846" spans="1:37">
      <c r="A846" s="2" t="s">
        <v>1242</v>
      </c>
      <c r="B846" s="2" t="s">
        <v>1235</v>
      </c>
      <c r="C846" s="2" t="s">
        <v>867</v>
      </c>
      <c r="D846" s="2" t="s">
        <v>865</v>
      </c>
      <c r="E846" s="2" t="s">
        <v>1236</v>
      </c>
      <c r="F846" s="2" t="s">
        <v>313</v>
      </c>
      <c r="G846" s="2" t="s">
        <v>1237</v>
      </c>
      <c r="H846" s="2" t="s">
        <v>193</v>
      </c>
      <c r="I846" s="2" t="s">
        <v>175</v>
      </c>
      <c r="J846" s="2" t="s">
        <v>176</v>
      </c>
      <c r="K846" s="9">
        <v>45732</v>
      </c>
      <c r="L846" s="9">
        <v>45733</v>
      </c>
      <c r="M846" s="9">
        <v>45732</v>
      </c>
      <c r="N846" s="2" t="s">
        <v>1054</v>
      </c>
      <c r="O846" s="2" t="s">
        <v>56</v>
      </c>
      <c r="P846" s="2" t="s">
        <v>151</v>
      </c>
      <c r="Q846" s="2" t="s">
        <v>166</v>
      </c>
      <c r="R846" s="2" t="s">
        <v>137</v>
      </c>
      <c r="S846" s="2" t="s">
        <v>179</v>
      </c>
      <c r="T846" s="10">
        <v>343.28</v>
      </c>
      <c r="U846" s="11">
        <v>0.18099999999999999</v>
      </c>
      <c r="V846" s="12">
        <f>T846*U846</f>
        <v>62.133679999999991</v>
      </c>
      <c r="W846" s="13">
        <v>0.17</v>
      </c>
      <c r="X846" s="12">
        <f>V846-(V846/(1+W846))</f>
        <v>9.0279705982905938</v>
      </c>
      <c r="Y846" s="12">
        <f>V846-X846</f>
        <v>53.105709401709397</v>
      </c>
      <c r="Z846" s="14">
        <v>75</v>
      </c>
      <c r="AA846" s="2" t="str">
        <f>IF(V846&gt;Z846,"Yes","No")</f>
        <v>No</v>
      </c>
      <c r="AB846" s="12">
        <f>V846-Z846</f>
        <v>-12.866320000000009</v>
      </c>
      <c r="AC846" s="15" t="s">
        <v>131</v>
      </c>
      <c r="AD846" s="15" t="s">
        <v>130</v>
      </c>
      <c r="AE846" s="15" t="s">
        <v>437</v>
      </c>
      <c r="AF846" s="12">
        <f>IF(AG846="Rejected",0,IF(R846="Corporate Card",0,V846))</f>
        <v>62.133679999999991</v>
      </c>
      <c r="AG846" s="15" t="s">
        <v>133</v>
      </c>
      <c r="AH846" s="16">
        <v>45740</v>
      </c>
      <c r="AI846" s="16">
        <v>45749</v>
      </c>
      <c r="AJ846" s="16">
        <v>45756</v>
      </c>
      <c r="AK846" s="17">
        <f>IF(AJ846="","",AJ846-AH846)</f>
        <v>16</v>
      </c>
    </row>
    <row r="847" spans="1:37">
      <c r="A847" s="2" t="s">
        <v>1243</v>
      </c>
      <c r="B847" s="2" t="s">
        <v>1235</v>
      </c>
      <c r="C847" s="2" t="s">
        <v>867</v>
      </c>
      <c r="D847" s="2" t="s">
        <v>865</v>
      </c>
      <c r="E847" s="2" t="s">
        <v>1236</v>
      </c>
      <c r="F847" s="2" t="s">
        <v>313</v>
      </c>
      <c r="G847" s="2" t="s">
        <v>1237</v>
      </c>
      <c r="H847" s="2" t="s">
        <v>193</v>
      </c>
      <c r="I847" s="2" t="s">
        <v>175</v>
      </c>
      <c r="J847" s="2" t="s">
        <v>176</v>
      </c>
      <c r="K847" s="9">
        <v>45732</v>
      </c>
      <c r="L847" s="9">
        <v>45733</v>
      </c>
      <c r="M847" s="9">
        <v>45732</v>
      </c>
      <c r="N847" s="2" t="s">
        <v>1054</v>
      </c>
      <c r="O847" s="2" t="s">
        <v>55</v>
      </c>
      <c r="P847" s="2" t="s">
        <v>139</v>
      </c>
      <c r="Q847" s="2" t="s">
        <v>187</v>
      </c>
      <c r="R847" s="2" t="s">
        <v>149</v>
      </c>
      <c r="S847" s="2" t="s">
        <v>179</v>
      </c>
      <c r="T847" s="10">
        <v>119.19</v>
      </c>
      <c r="U847" s="11">
        <v>0.18099999999999999</v>
      </c>
      <c r="V847" s="12">
        <f>T847*U847</f>
        <v>21.57339</v>
      </c>
      <c r="W847" s="13">
        <v>0.17</v>
      </c>
      <c r="X847" s="12">
        <f>V847-(V847/(1+W847))</f>
        <v>3.1345951282051274</v>
      </c>
      <c r="Y847" s="12">
        <f>V847-X847</f>
        <v>18.438794871794872</v>
      </c>
      <c r="Z847" s="14">
        <v>35</v>
      </c>
      <c r="AA847" s="2" t="str">
        <f>IF(V847&gt;Z847,"Yes","No")</f>
        <v>No</v>
      </c>
      <c r="AB847" s="12">
        <f>V847-Z847</f>
        <v>-13.42661</v>
      </c>
      <c r="AC847" s="15" t="s">
        <v>131</v>
      </c>
      <c r="AD847" s="15" t="s">
        <v>130</v>
      </c>
      <c r="AE847" s="15" t="s">
        <v>437</v>
      </c>
      <c r="AF847" s="12">
        <f>IF(AG847="Rejected",0,IF(R847="Corporate Card",0,V847))</f>
        <v>21.57339</v>
      </c>
      <c r="AG847" s="15" t="s">
        <v>133</v>
      </c>
      <c r="AH847" s="16">
        <v>45740</v>
      </c>
      <c r="AI847" s="16">
        <v>45749</v>
      </c>
      <c r="AJ847" s="16">
        <v>45756</v>
      </c>
      <c r="AK847" s="17">
        <f>IF(AJ847="","",AJ847-AH847)</f>
        <v>16</v>
      </c>
    </row>
    <row r="848" spans="1:37">
      <c r="A848" s="2" t="s">
        <v>1244</v>
      </c>
      <c r="B848" s="2" t="s">
        <v>1235</v>
      </c>
      <c r="C848" s="2" t="s">
        <v>867</v>
      </c>
      <c r="D848" s="2" t="s">
        <v>865</v>
      </c>
      <c r="E848" s="2" t="s">
        <v>1236</v>
      </c>
      <c r="F848" s="2" t="s">
        <v>313</v>
      </c>
      <c r="G848" s="2" t="s">
        <v>1237</v>
      </c>
      <c r="H848" s="2" t="s">
        <v>193</v>
      </c>
      <c r="I848" s="2" t="s">
        <v>175</v>
      </c>
      <c r="J848" s="2" t="s">
        <v>176</v>
      </c>
      <c r="K848" s="9">
        <v>45732</v>
      </c>
      <c r="L848" s="9">
        <v>45733</v>
      </c>
      <c r="M848" s="9">
        <v>45733</v>
      </c>
      <c r="N848" s="2" t="s">
        <v>1054</v>
      </c>
      <c r="O848" s="2" t="s">
        <v>59</v>
      </c>
      <c r="P848" s="2" t="s">
        <v>301</v>
      </c>
      <c r="Q848" s="2" t="s">
        <v>452</v>
      </c>
      <c r="R848" s="2" t="s">
        <v>128</v>
      </c>
      <c r="S848" s="2" t="s">
        <v>179</v>
      </c>
      <c r="T848" s="10">
        <v>318.58</v>
      </c>
      <c r="U848" s="11">
        <v>0.18099999999999999</v>
      </c>
      <c r="V848" s="12">
        <f>T848*U848</f>
        <v>57.662979999999997</v>
      </c>
      <c r="W848" s="13">
        <v>0.17</v>
      </c>
      <c r="X848" s="12">
        <f>V848-(V848/(1+W848))</f>
        <v>8.3783817094017081</v>
      </c>
      <c r="Y848" s="12">
        <f>V848-X848</f>
        <v>49.284598290598289</v>
      </c>
      <c r="Z848" s="14">
        <v>150</v>
      </c>
      <c r="AA848" s="2" t="str">
        <f>IF(V848&gt;Z848,"Yes","No")</f>
        <v>No</v>
      </c>
      <c r="AB848" s="12">
        <f>V848-Z848</f>
        <v>-92.337019999999995</v>
      </c>
      <c r="AC848" s="15" t="s">
        <v>130</v>
      </c>
      <c r="AD848" s="15" t="s">
        <v>130</v>
      </c>
      <c r="AE848" s="15" t="s">
        <v>437</v>
      </c>
      <c r="AF848" s="12">
        <f>IF(AG848="Rejected",0,IF(R848="Corporate Card",0,V848))</f>
        <v>0</v>
      </c>
      <c r="AG848" s="15" t="s">
        <v>133</v>
      </c>
      <c r="AH848" s="16">
        <v>45740</v>
      </c>
      <c r="AI848" s="16">
        <v>45749</v>
      </c>
      <c r="AJ848" s="16">
        <v>45756</v>
      </c>
      <c r="AK848" s="17">
        <f>IF(AJ848="","",AJ848-AH848)</f>
        <v>16</v>
      </c>
    </row>
    <row r="849" spans="1:37">
      <c r="A849" s="2" t="s">
        <v>1245</v>
      </c>
      <c r="B849" s="2" t="s">
        <v>1235</v>
      </c>
      <c r="C849" s="2" t="s">
        <v>867</v>
      </c>
      <c r="D849" s="2" t="s">
        <v>865</v>
      </c>
      <c r="E849" s="2" t="s">
        <v>1236</v>
      </c>
      <c r="F849" s="2" t="s">
        <v>313</v>
      </c>
      <c r="G849" s="2" t="s">
        <v>1237</v>
      </c>
      <c r="H849" s="2" t="s">
        <v>193</v>
      </c>
      <c r="I849" s="2" t="s">
        <v>175</v>
      </c>
      <c r="J849" s="2" t="s">
        <v>176</v>
      </c>
      <c r="K849" s="9">
        <v>45732</v>
      </c>
      <c r="L849" s="9">
        <v>45733</v>
      </c>
      <c r="M849" s="9">
        <v>45733</v>
      </c>
      <c r="N849" s="2" t="s">
        <v>1054</v>
      </c>
      <c r="O849" s="2" t="s">
        <v>53</v>
      </c>
      <c r="P849" s="2" t="s">
        <v>405</v>
      </c>
      <c r="Q849" s="2" t="s">
        <v>305</v>
      </c>
      <c r="R849" s="2" t="s">
        <v>128</v>
      </c>
      <c r="S849" s="2" t="s">
        <v>179</v>
      </c>
      <c r="T849" s="10">
        <v>1022.23</v>
      </c>
      <c r="U849" s="11">
        <v>0.18099999999999999</v>
      </c>
      <c r="V849" s="12">
        <f>T849*U849</f>
        <v>185.02363</v>
      </c>
      <c r="W849" s="13">
        <v>0.17</v>
      </c>
      <c r="X849" s="12">
        <f>V849-(V849/(1+W849))</f>
        <v>26.883775299145299</v>
      </c>
      <c r="Y849" s="12">
        <f>V849-X849</f>
        <v>158.1398547008547</v>
      </c>
      <c r="Z849" s="14">
        <v>280</v>
      </c>
      <c r="AA849" s="2" t="str">
        <f>IF(V849&gt;Z849,"Yes","No")</f>
        <v>No</v>
      </c>
      <c r="AB849" s="12">
        <f>V849-Z849</f>
        <v>-94.976370000000003</v>
      </c>
      <c r="AC849" s="15" t="s">
        <v>130</v>
      </c>
      <c r="AD849" s="15" t="s">
        <v>130</v>
      </c>
      <c r="AE849" s="15" t="s">
        <v>437</v>
      </c>
      <c r="AF849" s="12">
        <f>IF(AG849="Rejected",0,IF(R849="Corporate Card",0,V849))</f>
        <v>0</v>
      </c>
      <c r="AG849" s="15" t="s">
        <v>133</v>
      </c>
      <c r="AH849" s="16">
        <v>45740</v>
      </c>
      <c r="AI849" s="16">
        <v>45749</v>
      </c>
      <c r="AJ849" s="16">
        <v>45756</v>
      </c>
      <c r="AK849" s="17">
        <f>IF(AJ849="","",AJ849-AH849)</f>
        <v>16</v>
      </c>
    </row>
    <row r="850" spans="1:37">
      <c r="A850" s="2" t="s">
        <v>1246</v>
      </c>
      <c r="B850" s="2" t="s">
        <v>1235</v>
      </c>
      <c r="C850" s="2" t="s">
        <v>867</v>
      </c>
      <c r="D850" s="2" t="s">
        <v>865</v>
      </c>
      <c r="E850" s="2" t="s">
        <v>1236</v>
      </c>
      <c r="F850" s="2" t="s">
        <v>313</v>
      </c>
      <c r="G850" s="2" t="s">
        <v>1237</v>
      </c>
      <c r="H850" s="2" t="s">
        <v>193</v>
      </c>
      <c r="I850" s="2" t="s">
        <v>175</v>
      </c>
      <c r="J850" s="2" t="s">
        <v>176</v>
      </c>
      <c r="K850" s="9">
        <v>45732</v>
      </c>
      <c r="L850" s="9">
        <v>45733</v>
      </c>
      <c r="M850" s="9">
        <v>45733</v>
      </c>
      <c r="N850" s="2" t="s">
        <v>1054</v>
      </c>
      <c r="O850" s="2" t="s">
        <v>65</v>
      </c>
      <c r="P850" s="2" t="s">
        <v>211</v>
      </c>
      <c r="Q850" s="2" t="s">
        <v>460</v>
      </c>
      <c r="R850" s="2" t="s">
        <v>128</v>
      </c>
      <c r="S850" s="2" t="s">
        <v>179</v>
      </c>
      <c r="T850" s="10">
        <v>172.62</v>
      </c>
      <c r="U850" s="11">
        <v>0.18099999999999999</v>
      </c>
      <c r="V850" s="12">
        <f>T850*U850</f>
        <v>31.244219999999999</v>
      </c>
      <c r="W850" s="13">
        <v>0.17</v>
      </c>
      <c r="X850" s="12">
        <f>V850-(V850/(1+W850))</f>
        <v>4.5397584615384581</v>
      </c>
      <c r="Y850" s="12">
        <f>V850-X850</f>
        <v>26.70446153846154</v>
      </c>
      <c r="Z850" s="14">
        <v>55</v>
      </c>
      <c r="AA850" s="2" t="str">
        <f>IF(V850&gt;Z850,"Yes","No")</f>
        <v>No</v>
      </c>
      <c r="AB850" s="12">
        <f>V850-Z850</f>
        <v>-23.755780000000001</v>
      </c>
      <c r="AC850" s="15" t="s">
        <v>130</v>
      </c>
      <c r="AD850" s="15" t="s">
        <v>130</v>
      </c>
      <c r="AE850" s="15" t="s">
        <v>437</v>
      </c>
      <c r="AF850" s="12">
        <f>IF(AG850="Rejected",0,IF(R850="Corporate Card",0,V850))</f>
        <v>0</v>
      </c>
      <c r="AG850" s="15" t="s">
        <v>133</v>
      </c>
      <c r="AH850" s="16">
        <v>45740</v>
      </c>
      <c r="AI850" s="16">
        <v>45749</v>
      </c>
      <c r="AJ850" s="16">
        <v>45756</v>
      </c>
      <c r="AK850" s="17">
        <f>IF(AJ850="","",AJ850-AH850)</f>
        <v>16</v>
      </c>
    </row>
    <row r="851" spans="1:37">
      <c r="A851" s="2" t="s">
        <v>1247</v>
      </c>
      <c r="B851" s="2" t="s">
        <v>1235</v>
      </c>
      <c r="C851" s="2" t="s">
        <v>867</v>
      </c>
      <c r="D851" s="2" t="s">
        <v>865</v>
      </c>
      <c r="E851" s="2" t="s">
        <v>1236</v>
      </c>
      <c r="F851" s="2" t="s">
        <v>313</v>
      </c>
      <c r="G851" s="2" t="s">
        <v>1237</v>
      </c>
      <c r="H851" s="2" t="s">
        <v>193</v>
      </c>
      <c r="I851" s="2" t="s">
        <v>175</v>
      </c>
      <c r="J851" s="2" t="s">
        <v>176</v>
      </c>
      <c r="K851" s="9">
        <v>45732</v>
      </c>
      <c r="L851" s="9">
        <v>45733</v>
      </c>
      <c r="M851" s="9">
        <v>45733</v>
      </c>
      <c r="N851" s="2" t="s">
        <v>1054</v>
      </c>
      <c r="O851" s="2" t="s">
        <v>54</v>
      </c>
      <c r="P851" s="2" t="s">
        <v>139</v>
      </c>
      <c r="Q851" s="2" t="s">
        <v>163</v>
      </c>
      <c r="R851" s="2" t="s">
        <v>137</v>
      </c>
      <c r="S851" s="2" t="s">
        <v>179</v>
      </c>
      <c r="T851" s="10">
        <v>72.45</v>
      </c>
      <c r="U851" s="11">
        <v>0.18099999999999999</v>
      </c>
      <c r="V851" s="12">
        <f>T851*U851</f>
        <v>13.11345</v>
      </c>
      <c r="W851" s="13">
        <v>0.17</v>
      </c>
      <c r="X851" s="12">
        <f>V851-(V851/(1+W851))</f>
        <v>1.9053730769230768</v>
      </c>
      <c r="Y851" s="12">
        <f>V851-X851</f>
        <v>11.208076923076923</v>
      </c>
      <c r="Z851" s="14">
        <v>25</v>
      </c>
      <c r="AA851" s="2" t="str">
        <f>IF(V851&gt;Z851,"Yes","No")</f>
        <v>No</v>
      </c>
      <c r="AB851" s="12">
        <f>V851-Z851</f>
        <v>-11.88655</v>
      </c>
      <c r="AC851" s="15" t="s">
        <v>130</v>
      </c>
      <c r="AD851" s="15" t="s">
        <v>130</v>
      </c>
      <c r="AE851" s="15" t="s">
        <v>437</v>
      </c>
      <c r="AF851" s="12">
        <f>IF(AG851="Rejected",0,IF(R851="Corporate Card",0,V851))</f>
        <v>13.11345</v>
      </c>
      <c r="AG851" s="15" t="s">
        <v>133</v>
      </c>
      <c r="AH851" s="16">
        <v>45740</v>
      </c>
      <c r="AI851" s="16">
        <v>45749</v>
      </c>
      <c r="AJ851" s="16">
        <v>45756</v>
      </c>
      <c r="AK851" s="17">
        <f>IF(AJ851="","",AJ851-AH851)</f>
        <v>16</v>
      </c>
    </row>
    <row r="852" spans="1:37">
      <c r="A852" s="2" t="s">
        <v>1248</v>
      </c>
      <c r="B852" s="2" t="s">
        <v>1235</v>
      </c>
      <c r="C852" s="2" t="s">
        <v>867</v>
      </c>
      <c r="D852" s="2" t="s">
        <v>865</v>
      </c>
      <c r="E852" s="2" t="s">
        <v>1236</v>
      </c>
      <c r="F852" s="2" t="s">
        <v>313</v>
      </c>
      <c r="G852" s="2" t="s">
        <v>1237</v>
      </c>
      <c r="H852" s="2" t="s">
        <v>193</v>
      </c>
      <c r="I852" s="2" t="s">
        <v>175</v>
      </c>
      <c r="J852" s="2" t="s">
        <v>176</v>
      </c>
      <c r="K852" s="9">
        <v>45732</v>
      </c>
      <c r="L852" s="9">
        <v>45733</v>
      </c>
      <c r="M852" s="9">
        <v>45733</v>
      </c>
      <c r="N852" s="2" t="s">
        <v>1054</v>
      </c>
      <c r="O852" s="2" t="s">
        <v>55</v>
      </c>
      <c r="P852" s="2" t="s">
        <v>139</v>
      </c>
      <c r="Q852" s="2" t="s">
        <v>217</v>
      </c>
      <c r="R852" s="2" t="s">
        <v>137</v>
      </c>
      <c r="S852" s="2" t="s">
        <v>179</v>
      </c>
      <c r="T852" s="10">
        <v>96.13</v>
      </c>
      <c r="U852" s="11">
        <v>0.18099999999999999</v>
      </c>
      <c r="V852" s="12">
        <f>T852*U852</f>
        <v>17.399529999999999</v>
      </c>
      <c r="W852" s="13">
        <v>0.17</v>
      </c>
      <c r="X852" s="12">
        <f>V852-(V852/(1+W852))</f>
        <v>2.5281368376068372</v>
      </c>
      <c r="Y852" s="12">
        <f>V852-X852</f>
        <v>14.871393162393161</v>
      </c>
      <c r="Z852" s="14">
        <v>35</v>
      </c>
      <c r="AA852" s="2" t="str">
        <f>IF(V852&gt;Z852,"Yes","No")</f>
        <v>No</v>
      </c>
      <c r="AB852" s="12">
        <f>V852-Z852</f>
        <v>-17.600470000000001</v>
      </c>
      <c r="AC852" s="15" t="s">
        <v>130</v>
      </c>
      <c r="AD852" s="15" t="s">
        <v>130</v>
      </c>
      <c r="AE852" s="15" t="s">
        <v>437</v>
      </c>
      <c r="AF852" s="12">
        <f>IF(AG852="Rejected",0,IF(R852="Corporate Card",0,V852))</f>
        <v>17.399529999999999</v>
      </c>
      <c r="AG852" s="15" t="s">
        <v>133</v>
      </c>
      <c r="AH852" s="16">
        <v>45740</v>
      </c>
      <c r="AI852" s="16">
        <v>45749</v>
      </c>
      <c r="AJ852" s="16">
        <v>45756</v>
      </c>
      <c r="AK852" s="17">
        <f>IF(AJ852="","",AJ852-AH852)</f>
        <v>16</v>
      </c>
    </row>
    <row r="853" spans="1:37">
      <c r="A853" s="2" t="s">
        <v>1249</v>
      </c>
      <c r="B853" s="2" t="s">
        <v>169</v>
      </c>
      <c r="C853" s="2" t="s">
        <v>170</v>
      </c>
      <c r="D853" s="2" t="s">
        <v>171</v>
      </c>
      <c r="E853" s="2" t="s">
        <v>172</v>
      </c>
      <c r="F853" s="2" t="s">
        <v>173</v>
      </c>
      <c r="G853" s="2" t="s">
        <v>1250</v>
      </c>
      <c r="H853" s="2" t="s">
        <v>379</v>
      </c>
      <c r="I853" s="2" t="s">
        <v>1251</v>
      </c>
      <c r="J853" s="2" t="s">
        <v>750</v>
      </c>
      <c r="K853" s="9">
        <v>45735</v>
      </c>
      <c r="L853" s="9">
        <v>45742</v>
      </c>
      <c r="M853" s="9">
        <v>45735</v>
      </c>
      <c r="N853" s="2" t="s">
        <v>1054</v>
      </c>
      <c r="O853" s="2" t="s">
        <v>52</v>
      </c>
      <c r="P853" s="2" t="s">
        <v>1252</v>
      </c>
      <c r="Q853" s="2" t="s">
        <v>197</v>
      </c>
      <c r="R853" s="2" t="s">
        <v>128</v>
      </c>
      <c r="S853" s="2" t="s">
        <v>198</v>
      </c>
      <c r="T853" s="10">
        <v>3778.54</v>
      </c>
      <c r="U853" s="11">
        <v>1.085</v>
      </c>
      <c r="V853" s="12">
        <f>T853*U853</f>
        <v>4099.7159000000001</v>
      </c>
      <c r="W853" s="13">
        <v>0</v>
      </c>
      <c r="X853" s="12">
        <f>V853-(V853/(1+W853))</f>
        <v>0</v>
      </c>
      <c r="Y853" s="12">
        <f>V853-X853</f>
        <v>4099.7159000000001</v>
      </c>
      <c r="Z853" s="14">
        <v>1400</v>
      </c>
      <c r="AA853" s="2" t="str">
        <f>IF(V853&gt;Z853,"Yes","No")</f>
        <v>Yes</v>
      </c>
      <c r="AB853" s="12">
        <f>V853-Z853</f>
        <v>2699.7159000000001</v>
      </c>
      <c r="AC853" s="15" t="s">
        <v>130</v>
      </c>
      <c r="AD853" s="15" t="s">
        <v>130</v>
      </c>
      <c r="AE853" s="15" t="s">
        <v>421</v>
      </c>
      <c r="AF853" s="12">
        <f>IF(AG853="Rejected",0,IF(R853="Corporate Card",0,V853))</f>
        <v>0</v>
      </c>
      <c r="AG853" s="15" t="s">
        <v>181</v>
      </c>
      <c r="AH853" s="16">
        <v>45744</v>
      </c>
      <c r="AI853" s="16"/>
      <c r="AJ853" s="16"/>
      <c r="AK853" s="17" t="str">
        <f>IF(AJ853="","",AJ853-AH853)</f>
        <v/>
      </c>
    </row>
    <row r="854" spans="1:37">
      <c r="A854" s="2" t="s">
        <v>1253</v>
      </c>
      <c r="B854" s="2" t="s">
        <v>169</v>
      </c>
      <c r="C854" s="2" t="s">
        <v>170</v>
      </c>
      <c r="D854" s="2" t="s">
        <v>171</v>
      </c>
      <c r="E854" s="2" t="s">
        <v>172</v>
      </c>
      <c r="F854" s="2" t="s">
        <v>173</v>
      </c>
      <c r="G854" s="2" t="s">
        <v>1250</v>
      </c>
      <c r="H854" s="2" t="s">
        <v>379</v>
      </c>
      <c r="I854" s="2" t="s">
        <v>1251</v>
      </c>
      <c r="J854" s="2" t="s">
        <v>750</v>
      </c>
      <c r="K854" s="9">
        <v>45735</v>
      </c>
      <c r="L854" s="9">
        <v>45742</v>
      </c>
      <c r="M854" s="9">
        <v>45735</v>
      </c>
      <c r="N854" s="2" t="s">
        <v>1054</v>
      </c>
      <c r="O854" s="2" t="s">
        <v>64</v>
      </c>
      <c r="P854" s="2" t="s">
        <v>135</v>
      </c>
      <c r="Q854" s="2" t="s">
        <v>127</v>
      </c>
      <c r="R854" s="2" t="s">
        <v>128</v>
      </c>
      <c r="S854" s="2" t="s">
        <v>198</v>
      </c>
      <c r="T854" s="10">
        <v>60.66</v>
      </c>
      <c r="U854" s="11">
        <v>1.085</v>
      </c>
      <c r="V854" s="12">
        <f>T854*U854</f>
        <v>65.816099999999992</v>
      </c>
      <c r="W854" s="13">
        <v>0</v>
      </c>
      <c r="X854" s="12">
        <f>V854-(V854/(1+W854))</f>
        <v>0</v>
      </c>
      <c r="Y854" s="12">
        <f>V854-X854</f>
        <v>65.816099999999992</v>
      </c>
      <c r="Z854" s="14">
        <v>120</v>
      </c>
      <c r="AA854" s="2" t="str">
        <f>IF(V854&gt;Z854,"Yes","No")</f>
        <v>No</v>
      </c>
      <c r="AB854" s="12">
        <f>V854-Z854</f>
        <v>-54.183900000000008</v>
      </c>
      <c r="AC854" s="15" t="s">
        <v>130</v>
      </c>
      <c r="AD854" s="15" t="s">
        <v>130</v>
      </c>
      <c r="AE854" s="15" t="s">
        <v>421</v>
      </c>
      <c r="AF854" s="12">
        <f>IF(AG854="Rejected",0,IF(R854="Corporate Card",0,V854))</f>
        <v>0</v>
      </c>
      <c r="AG854" s="15" t="s">
        <v>181</v>
      </c>
      <c r="AH854" s="16">
        <v>45744</v>
      </c>
      <c r="AI854" s="16"/>
      <c r="AJ854" s="16"/>
      <c r="AK854" s="17" t="str">
        <f>IF(AJ854="","",AJ854-AH854)</f>
        <v/>
      </c>
    </row>
    <row r="855" spans="1:37">
      <c r="A855" s="2" t="s">
        <v>1254</v>
      </c>
      <c r="B855" s="2" t="s">
        <v>169</v>
      </c>
      <c r="C855" s="2" t="s">
        <v>170</v>
      </c>
      <c r="D855" s="2" t="s">
        <v>171</v>
      </c>
      <c r="E855" s="2" t="s">
        <v>172</v>
      </c>
      <c r="F855" s="2" t="s">
        <v>173</v>
      </c>
      <c r="G855" s="2" t="s">
        <v>1250</v>
      </c>
      <c r="H855" s="2" t="s">
        <v>379</v>
      </c>
      <c r="I855" s="2" t="s">
        <v>1251</v>
      </c>
      <c r="J855" s="2" t="s">
        <v>750</v>
      </c>
      <c r="K855" s="9">
        <v>45735</v>
      </c>
      <c r="L855" s="9">
        <v>45742</v>
      </c>
      <c r="M855" s="9">
        <v>45735</v>
      </c>
      <c r="N855" s="2" t="s">
        <v>1054</v>
      </c>
      <c r="O855" s="2" t="s">
        <v>58</v>
      </c>
      <c r="P855" s="2" t="s">
        <v>142</v>
      </c>
      <c r="Q855" s="2" t="s">
        <v>203</v>
      </c>
      <c r="R855" s="2" t="s">
        <v>128</v>
      </c>
      <c r="S855" s="2" t="s">
        <v>198</v>
      </c>
      <c r="T855" s="10">
        <v>31.84</v>
      </c>
      <c r="U855" s="11">
        <v>1.085</v>
      </c>
      <c r="V855" s="12">
        <f>T855*U855</f>
        <v>34.546399999999998</v>
      </c>
      <c r="W855" s="13">
        <v>0.19</v>
      </c>
      <c r="X855" s="12">
        <f>V855-(V855/(1+W855))</f>
        <v>5.5158117647058802</v>
      </c>
      <c r="Y855" s="12">
        <f>V855-X855</f>
        <v>29.030588235294118</v>
      </c>
      <c r="Z855" s="14">
        <v>60</v>
      </c>
      <c r="AA855" s="2" t="str">
        <f>IF(V855&gt;Z855,"Yes","No")</f>
        <v>No</v>
      </c>
      <c r="AB855" s="12">
        <f>V855-Z855</f>
        <v>-25.453600000000002</v>
      </c>
      <c r="AC855" s="15" t="s">
        <v>130</v>
      </c>
      <c r="AD855" s="15" t="s">
        <v>130</v>
      </c>
      <c r="AE855" s="15" t="s">
        <v>421</v>
      </c>
      <c r="AF855" s="12">
        <f>IF(AG855="Rejected",0,IF(R855="Corporate Card",0,V855))</f>
        <v>0</v>
      </c>
      <c r="AG855" s="15" t="s">
        <v>181</v>
      </c>
      <c r="AH855" s="16">
        <v>45744</v>
      </c>
      <c r="AI855" s="16"/>
      <c r="AJ855" s="16"/>
      <c r="AK855" s="17" t="str">
        <f>IF(AJ855="","",AJ855-AH855)</f>
        <v/>
      </c>
    </row>
    <row r="856" spans="1:37">
      <c r="A856" s="2" t="s">
        <v>1255</v>
      </c>
      <c r="B856" s="2" t="s">
        <v>169</v>
      </c>
      <c r="C856" s="2" t="s">
        <v>170</v>
      </c>
      <c r="D856" s="2" t="s">
        <v>171</v>
      </c>
      <c r="E856" s="2" t="s">
        <v>172</v>
      </c>
      <c r="F856" s="2" t="s">
        <v>173</v>
      </c>
      <c r="G856" s="2" t="s">
        <v>1250</v>
      </c>
      <c r="H856" s="2" t="s">
        <v>379</v>
      </c>
      <c r="I856" s="2" t="s">
        <v>1251</v>
      </c>
      <c r="J856" s="2" t="s">
        <v>750</v>
      </c>
      <c r="K856" s="9">
        <v>45735</v>
      </c>
      <c r="L856" s="9">
        <v>45742</v>
      </c>
      <c r="M856" s="9">
        <v>45735</v>
      </c>
      <c r="N856" s="2" t="s">
        <v>1054</v>
      </c>
      <c r="O856" s="2" t="s">
        <v>54</v>
      </c>
      <c r="P856" s="2" t="s">
        <v>139</v>
      </c>
      <c r="Q856" s="2" t="s">
        <v>140</v>
      </c>
      <c r="R856" s="2" t="s">
        <v>137</v>
      </c>
      <c r="S856" s="2" t="s">
        <v>198</v>
      </c>
      <c r="T856" s="10">
        <v>12.94</v>
      </c>
      <c r="U856" s="11">
        <v>1.085</v>
      </c>
      <c r="V856" s="12">
        <f>T856*U856</f>
        <v>14.039899999999999</v>
      </c>
      <c r="W856" s="13">
        <v>0.19</v>
      </c>
      <c r="X856" s="12">
        <f>V856-(V856/(1+W856))</f>
        <v>2.2416647058823518</v>
      </c>
      <c r="Y856" s="12">
        <f>V856-X856</f>
        <v>11.798235294117648</v>
      </c>
      <c r="Z856" s="14">
        <v>25</v>
      </c>
      <c r="AA856" s="2" t="str">
        <f>IF(V856&gt;Z856,"Yes","No")</f>
        <v>No</v>
      </c>
      <c r="AB856" s="12">
        <f>V856-Z856</f>
        <v>-10.960100000000001</v>
      </c>
      <c r="AC856" s="15" t="s">
        <v>130</v>
      </c>
      <c r="AD856" s="15" t="s">
        <v>130</v>
      </c>
      <c r="AE856" s="15" t="s">
        <v>421</v>
      </c>
      <c r="AF856" s="12">
        <f>IF(AG856="Rejected",0,IF(R856="Corporate Card",0,V856))</f>
        <v>14.039899999999999</v>
      </c>
      <c r="AG856" s="15" t="s">
        <v>181</v>
      </c>
      <c r="AH856" s="16">
        <v>45744</v>
      </c>
      <c r="AI856" s="16"/>
      <c r="AJ856" s="16"/>
      <c r="AK856" s="17" t="str">
        <f>IF(AJ856="","",AJ856-AH856)</f>
        <v/>
      </c>
    </row>
    <row r="857" spans="1:37">
      <c r="A857" s="2" t="s">
        <v>1256</v>
      </c>
      <c r="B857" s="2" t="s">
        <v>169</v>
      </c>
      <c r="C857" s="2" t="s">
        <v>170</v>
      </c>
      <c r="D857" s="2" t="s">
        <v>171</v>
      </c>
      <c r="E857" s="2" t="s">
        <v>172</v>
      </c>
      <c r="F857" s="2" t="s">
        <v>173</v>
      </c>
      <c r="G857" s="2" t="s">
        <v>1250</v>
      </c>
      <c r="H857" s="2" t="s">
        <v>379</v>
      </c>
      <c r="I857" s="2" t="s">
        <v>1251</v>
      </c>
      <c r="J857" s="2" t="s">
        <v>750</v>
      </c>
      <c r="K857" s="9">
        <v>45735</v>
      </c>
      <c r="L857" s="9">
        <v>45742</v>
      </c>
      <c r="M857" s="9">
        <v>45735</v>
      </c>
      <c r="N857" s="2" t="s">
        <v>1054</v>
      </c>
      <c r="O857" s="2" t="s">
        <v>56</v>
      </c>
      <c r="P857" s="2" t="s">
        <v>165</v>
      </c>
      <c r="Q857" s="2" t="s">
        <v>166</v>
      </c>
      <c r="R857" s="2" t="s">
        <v>128</v>
      </c>
      <c r="S857" s="2" t="s">
        <v>198</v>
      </c>
      <c r="T857" s="10">
        <v>43.1</v>
      </c>
      <c r="U857" s="11">
        <v>1.085</v>
      </c>
      <c r="V857" s="12">
        <f>T857*U857</f>
        <v>46.763500000000001</v>
      </c>
      <c r="W857" s="13">
        <v>0.19</v>
      </c>
      <c r="X857" s="12">
        <f>V857-(V857/(1+W857))</f>
        <v>7.4664411764705889</v>
      </c>
      <c r="Y857" s="12">
        <f>V857-X857</f>
        <v>39.297058823529412</v>
      </c>
      <c r="Z857" s="14">
        <v>75</v>
      </c>
      <c r="AA857" s="2" t="str">
        <f>IF(V857&gt;Z857,"Yes","No")</f>
        <v>No</v>
      </c>
      <c r="AB857" s="12">
        <f>V857-Z857</f>
        <v>-28.236499999999999</v>
      </c>
      <c r="AC857" s="15" t="s">
        <v>130</v>
      </c>
      <c r="AD857" s="15" t="s">
        <v>130</v>
      </c>
      <c r="AE857" s="15" t="s">
        <v>421</v>
      </c>
      <c r="AF857" s="12">
        <f>IF(AG857="Rejected",0,IF(R857="Corporate Card",0,V857))</f>
        <v>0</v>
      </c>
      <c r="AG857" s="15" t="s">
        <v>181</v>
      </c>
      <c r="AH857" s="16">
        <v>45744</v>
      </c>
      <c r="AI857" s="16"/>
      <c r="AJ857" s="16"/>
      <c r="AK857" s="17" t="str">
        <f>IF(AJ857="","",AJ857-AH857)</f>
        <v/>
      </c>
    </row>
    <row r="858" spans="1:37">
      <c r="A858" s="2" t="s">
        <v>1257</v>
      </c>
      <c r="B858" s="2" t="s">
        <v>169</v>
      </c>
      <c r="C858" s="2" t="s">
        <v>170</v>
      </c>
      <c r="D858" s="2" t="s">
        <v>171</v>
      </c>
      <c r="E858" s="2" t="s">
        <v>172</v>
      </c>
      <c r="F858" s="2" t="s">
        <v>173</v>
      </c>
      <c r="G858" s="2" t="s">
        <v>1250</v>
      </c>
      <c r="H858" s="2" t="s">
        <v>379</v>
      </c>
      <c r="I858" s="2" t="s">
        <v>1251</v>
      </c>
      <c r="J858" s="2" t="s">
        <v>750</v>
      </c>
      <c r="K858" s="9">
        <v>45735</v>
      </c>
      <c r="L858" s="9">
        <v>45742</v>
      </c>
      <c r="M858" s="9">
        <v>45735</v>
      </c>
      <c r="N858" s="2" t="s">
        <v>1054</v>
      </c>
      <c r="O858" s="2" t="s">
        <v>55</v>
      </c>
      <c r="P858" s="2" t="s">
        <v>139</v>
      </c>
      <c r="Q858" s="2" t="s">
        <v>187</v>
      </c>
      <c r="R858" s="2" t="s">
        <v>137</v>
      </c>
      <c r="S858" s="2" t="s">
        <v>198</v>
      </c>
      <c r="T858" s="10">
        <v>12.63</v>
      </c>
      <c r="U858" s="11">
        <v>1.085</v>
      </c>
      <c r="V858" s="12">
        <f>T858*U858</f>
        <v>13.70355</v>
      </c>
      <c r="W858" s="13">
        <v>0.19</v>
      </c>
      <c r="X858" s="12">
        <f>V858-(V858/(1+W858))</f>
        <v>2.1879617647058822</v>
      </c>
      <c r="Y858" s="12">
        <f>V858-X858</f>
        <v>11.515588235294118</v>
      </c>
      <c r="Z858" s="14">
        <v>35</v>
      </c>
      <c r="AA858" s="2" t="str">
        <f>IF(V858&gt;Z858,"Yes","No")</f>
        <v>No</v>
      </c>
      <c r="AB858" s="12">
        <f>V858-Z858</f>
        <v>-21.29645</v>
      </c>
      <c r="AC858" s="15" t="s">
        <v>130</v>
      </c>
      <c r="AD858" s="15" t="s">
        <v>130</v>
      </c>
      <c r="AE858" s="15" t="s">
        <v>421</v>
      </c>
      <c r="AF858" s="12">
        <f>IF(AG858="Rejected",0,IF(R858="Corporate Card",0,V858))</f>
        <v>13.70355</v>
      </c>
      <c r="AG858" s="15" t="s">
        <v>181</v>
      </c>
      <c r="AH858" s="16">
        <v>45744</v>
      </c>
      <c r="AI858" s="16"/>
      <c r="AJ858" s="16"/>
      <c r="AK858" s="17" t="str">
        <f>IF(AJ858="","",AJ858-AH858)</f>
        <v/>
      </c>
    </row>
    <row r="859" spans="1:37">
      <c r="A859" s="2" t="s">
        <v>1258</v>
      </c>
      <c r="B859" s="2" t="s">
        <v>169</v>
      </c>
      <c r="C859" s="2" t="s">
        <v>170</v>
      </c>
      <c r="D859" s="2" t="s">
        <v>171</v>
      </c>
      <c r="E859" s="2" t="s">
        <v>172</v>
      </c>
      <c r="F859" s="2" t="s">
        <v>173</v>
      </c>
      <c r="G859" s="2" t="s">
        <v>1250</v>
      </c>
      <c r="H859" s="2" t="s">
        <v>379</v>
      </c>
      <c r="I859" s="2" t="s">
        <v>1251</v>
      </c>
      <c r="J859" s="2" t="s">
        <v>750</v>
      </c>
      <c r="K859" s="9">
        <v>45735</v>
      </c>
      <c r="L859" s="9">
        <v>45742</v>
      </c>
      <c r="M859" s="9">
        <v>45736</v>
      </c>
      <c r="N859" s="2" t="s">
        <v>1054</v>
      </c>
      <c r="O859" s="2" t="s">
        <v>58</v>
      </c>
      <c r="P859" s="2" t="s">
        <v>142</v>
      </c>
      <c r="Q859" s="2" t="s">
        <v>143</v>
      </c>
      <c r="R859" s="2" t="s">
        <v>128</v>
      </c>
      <c r="S859" s="2" t="s">
        <v>198</v>
      </c>
      <c r="T859" s="10">
        <v>29.66</v>
      </c>
      <c r="U859" s="11">
        <v>1.085</v>
      </c>
      <c r="V859" s="12">
        <f>T859*U859</f>
        <v>32.181100000000001</v>
      </c>
      <c r="W859" s="13">
        <v>0.19</v>
      </c>
      <c r="X859" s="12">
        <f>V859-(V859/(1+W859))</f>
        <v>5.1381588235294089</v>
      </c>
      <c r="Y859" s="12">
        <f>V859-X859</f>
        <v>27.042941176470592</v>
      </c>
      <c r="Z859" s="14">
        <v>60</v>
      </c>
      <c r="AA859" s="2" t="str">
        <f>IF(V859&gt;Z859,"Yes","No")</f>
        <v>No</v>
      </c>
      <c r="AB859" s="12">
        <f>V859-Z859</f>
        <v>-27.818899999999999</v>
      </c>
      <c r="AC859" s="15" t="s">
        <v>130</v>
      </c>
      <c r="AD859" s="15" t="s">
        <v>130</v>
      </c>
      <c r="AE859" s="15" t="s">
        <v>421</v>
      </c>
      <c r="AF859" s="12">
        <f>IF(AG859="Rejected",0,IF(R859="Corporate Card",0,V859))</f>
        <v>0</v>
      </c>
      <c r="AG859" s="15" t="s">
        <v>181</v>
      </c>
      <c r="AH859" s="16">
        <v>45744</v>
      </c>
      <c r="AI859" s="16"/>
      <c r="AJ859" s="16"/>
      <c r="AK859" s="17" t="str">
        <f>IF(AJ859="","",AJ859-AH859)</f>
        <v/>
      </c>
    </row>
    <row r="860" spans="1:37">
      <c r="A860" s="2" t="s">
        <v>1259</v>
      </c>
      <c r="B860" s="2" t="s">
        <v>169</v>
      </c>
      <c r="C860" s="2" t="s">
        <v>170</v>
      </c>
      <c r="D860" s="2" t="s">
        <v>171</v>
      </c>
      <c r="E860" s="2" t="s">
        <v>172</v>
      </c>
      <c r="F860" s="2" t="s">
        <v>173</v>
      </c>
      <c r="G860" s="2" t="s">
        <v>1250</v>
      </c>
      <c r="H860" s="2" t="s">
        <v>379</v>
      </c>
      <c r="I860" s="2" t="s">
        <v>1251</v>
      </c>
      <c r="J860" s="2" t="s">
        <v>750</v>
      </c>
      <c r="K860" s="9">
        <v>45735</v>
      </c>
      <c r="L860" s="9">
        <v>45742</v>
      </c>
      <c r="M860" s="9">
        <v>45736</v>
      </c>
      <c r="N860" s="2" t="s">
        <v>1054</v>
      </c>
      <c r="O860" s="2" t="s">
        <v>53</v>
      </c>
      <c r="P860" s="2" t="s">
        <v>208</v>
      </c>
      <c r="Q860" s="2" t="s">
        <v>468</v>
      </c>
      <c r="R860" s="2" t="s">
        <v>128</v>
      </c>
      <c r="S860" s="2" t="s">
        <v>198</v>
      </c>
      <c r="T860" s="10">
        <v>1478.27</v>
      </c>
      <c r="U860" s="11">
        <v>1.085</v>
      </c>
      <c r="V860" s="12">
        <f>T860*U860</f>
        <v>1603.9229499999999</v>
      </c>
      <c r="W860" s="13">
        <v>0.19</v>
      </c>
      <c r="X860" s="12">
        <f>V860-(V860/(1+W860))</f>
        <v>256.08853823529398</v>
      </c>
      <c r="Y860" s="12">
        <f>V860-X860</f>
        <v>1347.8344117647059</v>
      </c>
      <c r="Z860" s="14">
        <v>1960</v>
      </c>
      <c r="AA860" s="2" t="str">
        <f>IF(V860&gt;Z860,"Yes","No")</f>
        <v>No</v>
      </c>
      <c r="AB860" s="12">
        <f>V860-Z860</f>
        <v>-356.0770500000001</v>
      </c>
      <c r="AC860" s="15" t="s">
        <v>130</v>
      </c>
      <c r="AD860" s="15" t="s">
        <v>130</v>
      </c>
      <c r="AE860" s="15" t="s">
        <v>421</v>
      </c>
      <c r="AF860" s="12">
        <f>IF(AG860="Rejected",0,IF(R860="Corporate Card",0,V860))</f>
        <v>0</v>
      </c>
      <c r="AG860" s="15" t="s">
        <v>181</v>
      </c>
      <c r="AH860" s="16">
        <v>45744</v>
      </c>
      <c r="AI860" s="16"/>
      <c r="AJ860" s="16"/>
      <c r="AK860" s="17" t="str">
        <f>IF(AJ860="","",AJ860-AH860)</f>
        <v/>
      </c>
    </row>
    <row r="861" spans="1:37">
      <c r="A861" s="2" t="s">
        <v>1260</v>
      </c>
      <c r="B861" s="2" t="s">
        <v>169</v>
      </c>
      <c r="C861" s="2" t="s">
        <v>170</v>
      </c>
      <c r="D861" s="2" t="s">
        <v>171</v>
      </c>
      <c r="E861" s="2" t="s">
        <v>172</v>
      </c>
      <c r="F861" s="2" t="s">
        <v>173</v>
      </c>
      <c r="G861" s="2" t="s">
        <v>1250</v>
      </c>
      <c r="H861" s="2" t="s">
        <v>379</v>
      </c>
      <c r="I861" s="2" t="s">
        <v>1251</v>
      </c>
      <c r="J861" s="2" t="s">
        <v>750</v>
      </c>
      <c r="K861" s="9">
        <v>45735</v>
      </c>
      <c r="L861" s="9">
        <v>45742</v>
      </c>
      <c r="M861" s="9">
        <v>45736</v>
      </c>
      <c r="N861" s="2" t="s">
        <v>1054</v>
      </c>
      <c r="O861" s="2" t="s">
        <v>54</v>
      </c>
      <c r="P861" s="2" t="s">
        <v>139</v>
      </c>
      <c r="Q861" s="2" t="s">
        <v>214</v>
      </c>
      <c r="R861" s="2" t="s">
        <v>149</v>
      </c>
      <c r="S861" s="2" t="s">
        <v>198</v>
      </c>
      <c r="T861" s="10">
        <v>12.25</v>
      </c>
      <c r="U861" s="11">
        <v>1.085</v>
      </c>
      <c r="V861" s="12">
        <f>T861*U861</f>
        <v>13.29125</v>
      </c>
      <c r="W861" s="13">
        <v>0.19</v>
      </c>
      <c r="X861" s="12">
        <f>V861-(V861/(1+W861))</f>
        <v>2.1221323529411755</v>
      </c>
      <c r="Y861" s="12">
        <f>V861-X861</f>
        <v>11.169117647058824</v>
      </c>
      <c r="Z861" s="14">
        <v>25</v>
      </c>
      <c r="AA861" s="2" t="str">
        <f>IF(V861&gt;Z861,"Yes","No")</f>
        <v>No</v>
      </c>
      <c r="AB861" s="12">
        <f>V861-Z861</f>
        <v>-11.70875</v>
      </c>
      <c r="AC861" s="15" t="s">
        <v>130</v>
      </c>
      <c r="AD861" s="15" t="s">
        <v>130</v>
      </c>
      <c r="AE861" s="15" t="s">
        <v>421</v>
      </c>
      <c r="AF861" s="12">
        <f>IF(AG861="Rejected",0,IF(R861="Corporate Card",0,V861))</f>
        <v>13.29125</v>
      </c>
      <c r="AG861" s="15" t="s">
        <v>181</v>
      </c>
      <c r="AH861" s="16">
        <v>45744</v>
      </c>
      <c r="AI861" s="16"/>
      <c r="AJ861" s="16"/>
      <c r="AK861" s="17" t="str">
        <f>IF(AJ861="","",AJ861-AH861)</f>
        <v/>
      </c>
    </row>
    <row r="862" spans="1:37">
      <c r="A862" s="2" t="s">
        <v>1261</v>
      </c>
      <c r="B862" s="2" t="s">
        <v>169</v>
      </c>
      <c r="C862" s="2" t="s">
        <v>170</v>
      </c>
      <c r="D862" s="2" t="s">
        <v>171</v>
      </c>
      <c r="E862" s="2" t="s">
        <v>172</v>
      </c>
      <c r="F862" s="2" t="s">
        <v>173</v>
      </c>
      <c r="G862" s="2" t="s">
        <v>1250</v>
      </c>
      <c r="H862" s="2" t="s">
        <v>379</v>
      </c>
      <c r="I862" s="2" t="s">
        <v>1251</v>
      </c>
      <c r="J862" s="2" t="s">
        <v>750</v>
      </c>
      <c r="K862" s="9">
        <v>45735</v>
      </c>
      <c r="L862" s="9">
        <v>45742</v>
      </c>
      <c r="M862" s="9">
        <v>45736</v>
      </c>
      <c r="N862" s="2" t="s">
        <v>1054</v>
      </c>
      <c r="O862" s="2" t="s">
        <v>56</v>
      </c>
      <c r="P862" s="2" t="s">
        <v>151</v>
      </c>
      <c r="Q862" s="2" t="s">
        <v>152</v>
      </c>
      <c r="R862" s="2" t="s">
        <v>149</v>
      </c>
      <c r="S862" s="2" t="s">
        <v>198</v>
      </c>
      <c r="T862" s="10">
        <v>33.049999999999997</v>
      </c>
      <c r="U862" s="11">
        <v>1.085</v>
      </c>
      <c r="V862" s="12">
        <f>T862*U862</f>
        <v>35.859249999999996</v>
      </c>
      <c r="W862" s="13">
        <v>0.19</v>
      </c>
      <c r="X862" s="12">
        <f>V862-(V862/(1+W862))</f>
        <v>5.7254264705882321</v>
      </c>
      <c r="Y862" s="12">
        <f>V862-X862</f>
        <v>30.133823529411764</v>
      </c>
      <c r="Z862" s="14">
        <v>75</v>
      </c>
      <c r="AA862" s="2" t="str">
        <f>IF(V862&gt;Z862,"Yes","No")</f>
        <v>No</v>
      </c>
      <c r="AB862" s="12">
        <f>V862-Z862</f>
        <v>-39.140750000000004</v>
      </c>
      <c r="AC862" s="15" t="s">
        <v>130</v>
      </c>
      <c r="AD862" s="15" t="s">
        <v>130</v>
      </c>
      <c r="AE862" s="15" t="s">
        <v>421</v>
      </c>
      <c r="AF862" s="12">
        <f>IF(AG862="Rejected",0,IF(R862="Corporate Card",0,V862))</f>
        <v>35.859249999999996</v>
      </c>
      <c r="AG862" s="15" t="s">
        <v>181</v>
      </c>
      <c r="AH862" s="16">
        <v>45744</v>
      </c>
      <c r="AI862" s="16"/>
      <c r="AJ862" s="16"/>
      <c r="AK862" s="17" t="str">
        <f>IF(AJ862="","",AJ862-AH862)</f>
        <v/>
      </c>
    </row>
    <row r="863" spans="1:37">
      <c r="A863" s="2" t="s">
        <v>1262</v>
      </c>
      <c r="B863" s="2" t="s">
        <v>169</v>
      </c>
      <c r="C863" s="2" t="s">
        <v>170</v>
      </c>
      <c r="D863" s="2" t="s">
        <v>171</v>
      </c>
      <c r="E863" s="2" t="s">
        <v>172</v>
      </c>
      <c r="F863" s="2" t="s">
        <v>173</v>
      </c>
      <c r="G863" s="2" t="s">
        <v>1250</v>
      </c>
      <c r="H863" s="2" t="s">
        <v>379</v>
      </c>
      <c r="I863" s="2" t="s">
        <v>1251</v>
      </c>
      <c r="J863" s="2" t="s">
        <v>750</v>
      </c>
      <c r="K863" s="9">
        <v>45735</v>
      </c>
      <c r="L863" s="9">
        <v>45742</v>
      </c>
      <c r="M863" s="9">
        <v>45736</v>
      </c>
      <c r="N863" s="2" t="s">
        <v>1054</v>
      </c>
      <c r="O863" s="2" t="s">
        <v>55</v>
      </c>
      <c r="P863" s="2" t="s">
        <v>139</v>
      </c>
      <c r="Q863" s="2" t="s">
        <v>217</v>
      </c>
      <c r="R863" s="2" t="s">
        <v>128</v>
      </c>
      <c r="S863" s="2" t="s">
        <v>198</v>
      </c>
      <c r="T863" s="10">
        <v>43.7</v>
      </c>
      <c r="U863" s="11">
        <v>1.085</v>
      </c>
      <c r="V863" s="12">
        <f>T863*U863</f>
        <v>47.414500000000004</v>
      </c>
      <c r="W863" s="13">
        <v>0.19</v>
      </c>
      <c r="X863" s="12">
        <f>V863-(V863/(1+W863))</f>
        <v>7.5703823529411736</v>
      </c>
      <c r="Y863" s="12">
        <f>V863-X863</f>
        <v>39.84411764705883</v>
      </c>
      <c r="Z863" s="14">
        <v>35</v>
      </c>
      <c r="AA863" s="2" t="str">
        <f>IF(V863&gt;Z863,"Yes","No")</f>
        <v>Yes</v>
      </c>
      <c r="AB863" s="12">
        <f>V863-Z863</f>
        <v>12.414500000000004</v>
      </c>
      <c r="AC863" s="15" t="s">
        <v>130</v>
      </c>
      <c r="AD863" s="15" t="s">
        <v>130</v>
      </c>
      <c r="AE863" s="15" t="s">
        <v>421</v>
      </c>
      <c r="AF863" s="12">
        <f>IF(AG863="Rejected",0,IF(R863="Corporate Card",0,V863))</f>
        <v>0</v>
      </c>
      <c r="AG863" s="15" t="s">
        <v>181</v>
      </c>
      <c r="AH863" s="16">
        <v>45744</v>
      </c>
      <c r="AI863" s="16"/>
      <c r="AJ863" s="16"/>
      <c r="AK863" s="17" t="str">
        <f>IF(AJ863="","",AJ863-AH863)</f>
        <v/>
      </c>
    </row>
    <row r="864" spans="1:37">
      <c r="A864" s="2" t="s">
        <v>1263</v>
      </c>
      <c r="B864" s="2" t="s">
        <v>342</v>
      </c>
      <c r="C864" s="2" t="s">
        <v>343</v>
      </c>
      <c r="D864" s="2" t="s">
        <v>344</v>
      </c>
      <c r="E864" s="2" t="s">
        <v>345</v>
      </c>
      <c r="F864" s="2" t="s">
        <v>346</v>
      </c>
      <c r="G864" s="2" t="s">
        <v>1264</v>
      </c>
      <c r="H864" s="2" t="s">
        <v>379</v>
      </c>
      <c r="I864" s="2" t="s">
        <v>315</v>
      </c>
      <c r="J864" s="2" t="s">
        <v>316</v>
      </c>
      <c r="K864" s="9">
        <v>45737</v>
      </c>
      <c r="L864" s="9">
        <v>45744</v>
      </c>
      <c r="M864" s="9">
        <v>45737</v>
      </c>
      <c r="N864" s="2" t="s">
        <v>1054</v>
      </c>
      <c r="O864" s="2" t="s">
        <v>52</v>
      </c>
      <c r="P864" s="2" t="s">
        <v>317</v>
      </c>
      <c r="Q864" s="2" t="s">
        <v>136</v>
      </c>
      <c r="R864" s="2" t="s">
        <v>149</v>
      </c>
      <c r="S864" s="2" t="s">
        <v>318</v>
      </c>
      <c r="T864" s="10">
        <v>2937.77</v>
      </c>
      <c r="U864" s="11">
        <v>0.27229999999999999</v>
      </c>
      <c r="V864" s="12">
        <f>T864*U864</f>
        <v>799.95477099999994</v>
      </c>
      <c r="W864" s="13">
        <v>0</v>
      </c>
      <c r="X864" s="12">
        <f>V864-(V864/(1+W864))</f>
        <v>0</v>
      </c>
      <c r="Y864" s="12">
        <f>V864-X864</f>
        <v>799.95477099999994</v>
      </c>
      <c r="Z864" s="14">
        <v>1400</v>
      </c>
      <c r="AA864" s="2" t="str">
        <f>IF(V864&gt;Z864,"Yes","No")</f>
        <v>No</v>
      </c>
      <c r="AB864" s="12">
        <f>V864-Z864</f>
        <v>-600.04522900000006</v>
      </c>
      <c r="AC864" s="15" t="s">
        <v>130</v>
      </c>
      <c r="AD864" s="15" t="s">
        <v>131</v>
      </c>
      <c r="AE864" s="15" t="s">
        <v>180</v>
      </c>
      <c r="AF864" s="12">
        <f>IF(AG864="Rejected",0,IF(R864="Corporate Card",0,V864))</f>
        <v>799.95477099999994</v>
      </c>
      <c r="AG864" s="15" t="s">
        <v>133</v>
      </c>
      <c r="AH864" s="16">
        <v>45753</v>
      </c>
      <c r="AI864" s="16">
        <v>45754</v>
      </c>
      <c r="AJ864" s="16">
        <v>45761</v>
      </c>
      <c r="AK864" s="17">
        <f>IF(AJ864="","",AJ864-AH864)</f>
        <v>8</v>
      </c>
    </row>
    <row r="865" spans="1:37">
      <c r="A865" s="2" t="s">
        <v>1265</v>
      </c>
      <c r="B865" s="2" t="s">
        <v>342</v>
      </c>
      <c r="C865" s="2" t="s">
        <v>343</v>
      </c>
      <c r="D865" s="2" t="s">
        <v>344</v>
      </c>
      <c r="E865" s="2" t="s">
        <v>345</v>
      </c>
      <c r="F865" s="2" t="s">
        <v>346</v>
      </c>
      <c r="G865" s="2" t="s">
        <v>1264</v>
      </c>
      <c r="H865" s="2" t="s">
        <v>379</v>
      </c>
      <c r="I865" s="2" t="s">
        <v>315</v>
      </c>
      <c r="J865" s="2" t="s">
        <v>316</v>
      </c>
      <c r="K865" s="9">
        <v>45737</v>
      </c>
      <c r="L865" s="9">
        <v>45744</v>
      </c>
      <c r="M865" s="9">
        <v>45737</v>
      </c>
      <c r="N865" s="2" t="s">
        <v>1054</v>
      </c>
      <c r="O865" s="2" t="s">
        <v>58</v>
      </c>
      <c r="P865" s="2" t="s">
        <v>142</v>
      </c>
      <c r="Q865" s="2" t="s">
        <v>224</v>
      </c>
      <c r="R865" s="2" t="s">
        <v>128</v>
      </c>
      <c r="S865" s="2" t="s">
        <v>318</v>
      </c>
      <c r="T865" s="10">
        <v>161.08000000000001</v>
      </c>
      <c r="U865" s="11">
        <v>0.27229999999999999</v>
      </c>
      <c r="V865" s="12">
        <f>T865*U865</f>
        <v>43.862084000000003</v>
      </c>
      <c r="W865" s="13">
        <v>0.05</v>
      </c>
      <c r="X865" s="12">
        <f>V865-(V865/(1+W865))</f>
        <v>2.0886706666666655</v>
      </c>
      <c r="Y865" s="12">
        <f>V865-X865</f>
        <v>41.773413333333338</v>
      </c>
      <c r="Z865" s="14">
        <v>60</v>
      </c>
      <c r="AA865" s="2" t="str">
        <f>IF(V865&gt;Z865,"Yes","No")</f>
        <v>No</v>
      </c>
      <c r="AB865" s="12">
        <f>V865-Z865</f>
        <v>-16.137915999999997</v>
      </c>
      <c r="AC865" s="15" t="s">
        <v>131</v>
      </c>
      <c r="AD865" s="15" t="s">
        <v>131</v>
      </c>
      <c r="AE865" s="15" t="s">
        <v>180</v>
      </c>
      <c r="AF865" s="12">
        <f>IF(AG865="Rejected",0,IF(R865="Corporate Card",0,V865))</f>
        <v>0</v>
      </c>
      <c r="AG865" s="15" t="s">
        <v>133</v>
      </c>
      <c r="AH865" s="16">
        <v>45753</v>
      </c>
      <c r="AI865" s="16">
        <v>45754</v>
      </c>
      <c r="AJ865" s="16">
        <v>45761</v>
      </c>
      <c r="AK865" s="17">
        <f>IF(AJ865="","",AJ865-AH865)</f>
        <v>8</v>
      </c>
    </row>
    <row r="866" spans="1:37">
      <c r="A866" s="2" t="s">
        <v>1266</v>
      </c>
      <c r="B866" s="2" t="s">
        <v>342</v>
      </c>
      <c r="C866" s="2" t="s">
        <v>343</v>
      </c>
      <c r="D866" s="2" t="s">
        <v>344</v>
      </c>
      <c r="E866" s="2" t="s">
        <v>345</v>
      </c>
      <c r="F866" s="2" t="s">
        <v>346</v>
      </c>
      <c r="G866" s="2" t="s">
        <v>1264</v>
      </c>
      <c r="H866" s="2" t="s">
        <v>379</v>
      </c>
      <c r="I866" s="2" t="s">
        <v>315</v>
      </c>
      <c r="J866" s="2" t="s">
        <v>316</v>
      </c>
      <c r="K866" s="9">
        <v>45737</v>
      </c>
      <c r="L866" s="9">
        <v>45744</v>
      </c>
      <c r="M866" s="9">
        <v>45737</v>
      </c>
      <c r="N866" s="2" t="s">
        <v>1054</v>
      </c>
      <c r="O866" s="2" t="s">
        <v>54</v>
      </c>
      <c r="P866" s="2" t="s">
        <v>139</v>
      </c>
      <c r="Q866" s="2" t="s">
        <v>140</v>
      </c>
      <c r="R866" s="2" t="s">
        <v>128</v>
      </c>
      <c r="S866" s="2" t="s">
        <v>318</v>
      </c>
      <c r="T866" s="10">
        <v>75.540000000000006</v>
      </c>
      <c r="U866" s="11">
        <v>0.27229999999999999</v>
      </c>
      <c r="V866" s="12">
        <f>T866*U866</f>
        <v>20.569542000000002</v>
      </c>
      <c r="W866" s="13">
        <v>0.05</v>
      </c>
      <c r="X866" s="12">
        <f>V866-(V866/(1+W866))</f>
        <v>0.97950200000000009</v>
      </c>
      <c r="Y866" s="12">
        <f>V866-X866</f>
        <v>19.590040000000002</v>
      </c>
      <c r="Z866" s="14">
        <v>25</v>
      </c>
      <c r="AA866" s="2" t="str">
        <f>IF(V866&gt;Z866,"Yes","No")</f>
        <v>No</v>
      </c>
      <c r="AB866" s="12">
        <f>V866-Z866</f>
        <v>-4.430457999999998</v>
      </c>
      <c r="AC866" s="15" t="s">
        <v>130</v>
      </c>
      <c r="AD866" s="15" t="s">
        <v>131</v>
      </c>
      <c r="AE866" s="15" t="s">
        <v>180</v>
      </c>
      <c r="AF866" s="12">
        <f>IF(AG866="Rejected",0,IF(R866="Corporate Card",0,V866))</f>
        <v>0</v>
      </c>
      <c r="AG866" s="15" t="s">
        <v>133</v>
      </c>
      <c r="AH866" s="16">
        <v>45753</v>
      </c>
      <c r="AI866" s="16">
        <v>45754</v>
      </c>
      <c r="AJ866" s="16">
        <v>45761</v>
      </c>
      <c r="AK866" s="17">
        <f>IF(AJ866="","",AJ866-AH866)</f>
        <v>8</v>
      </c>
    </row>
    <row r="867" spans="1:37">
      <c r="A867" s="2" t="s">
        <v>1267</v>
      </c>
      <c r="B867" s="2" t="s">
        <v>342</v>
      </c>
      <c r="C867" s="2" t="s">
        <v>343</v>
      </c>
      <c r="D867" s="2" t="s">
        <v>344</v>
      </c>
      <c r="E867" s="2" t="s">
        <v>345</v>
      </c>
      <c r="F867" s="2" t="s">
        <v>346</v>
      </c>
      <c r="G867" s="2" t="s">
        <v>1264</v>
      </c>
      <c r="H867" s="2" t="s">
        <v>379</v>
      </c>
      <c r="I867" s="2" t="s">
        <v>315</v>
      </c>
      <c r="J867" s="2" t="s">
        <v>316</v>
      </c>
      <c r="K867" s="9">
        <v>45737</v>
      </c>
      <c r="L867" s="9">
        <v>45744</v>
      </c>
      <c r="M867" s="9">
        <v>45737</v>
      </c>
      <c r="N867" s="2" t="s">
        <v>1054</v>
      </c>
      <c r="O867" s="2" t="s">
        <v>55</v>
      </c>
      <c r="P867" s="2" t="s">
        <v>139</v>
      </c>
      <c r="Q867" s="2" t="s">
        <v>154</v>
      </c>
      <c r="R867" s="2" t="s">
        <v>128</v>
      </c>
      <c r="S867" s="2" t="s">
        <v>318</v>
      </c>
      <c r="T867" s="10">
        <v>72.180000000000007</v>
      </c>
      <c r="U867" s="11">
        <v>0.27229999999999999</v>
      </c>
      <c r="V867" s="12">
        <f>T867*U867</f>
        <v>19.654614000000002</v>
      </c>
      <c r="W867" s="13">
        <v>0.05</v>
      </c>
      <c r="X867" s="12">
        <f>V867-(V867/(1+W867))</f>
        <v>0.9359339999999996</v>
      </c>
      <c r="Y867" s="12">
        <f>V867-X867</f>
        <v>18.718680000000003</v>
      </c>
      <c r="Z867" s="14">
        <v>35</v>
      </c>
      <c r="AA867" s="2" t="str">
        <f>IF(V867&gt;Z867,"Yes","No")</f>
        <v>No</v>
      </c>
      <c r="AB867" s="12">
        <f>V867-Z867</f>
        <v>-15.345385999999998</v>
      </c>
      <c r="AC867" s="15" t="s">
        <v>130</v>
      </c>
      <c r="AD867" s="15" t="s">
        <v>131</v>
      </c>
      <c r="AE867" s="15" t="s">
        <v>180</v>
      </c>
      <c r="AF867" s="12">
        <f>IF(AG867="Rejected",0,IF(R867="Corporate Card",0,V867))</f>
        <v>0</v>
      </c>
      <c r="AG867" s="15" t="s">
        <v>133</v>
      </c>
      <c r="AH867" s="16">
        <v>45753</v>
      </c>
      <c r="AI867" s="16">
        <v>45754</v>
      </c>
      <c r="AJ867" s="16">
        <v>45761</v>
      </c>
      <c r="AK867" s="17">
        <f>IF(AJ867="","",AJ867-AH867)</f>
        <v>8</v>
      </c>
    </row>
    <row r="868" spans="1:37">
      <c r="A868" s="2" t="s">
        <v>1268</v>
      </c>
      <c r="B868" s="2" t="s">
        <v>169</v>
      </c>
      <c r="C868" s="2" t="s">
        <v>170</v>
      </c>
      <c r="D868" s="2" t="s">
        <v>171</v>
      </c>
      <c r="E868" s="2" t="s">
        <v>172</v>
      </c>
      <c r="F868" s="2" t="s">
        <v>173</v>
      </c>
      <c r="G868" s="2" t="s">
        <v>1250</v>
      </c>
      <c r="H868" s="2" t="s">
        <v>379</v>
      </c>
      <c r="I868" s="2" t="s">
        <v>1251</v>
      </c>
      <c r="J868" s="2" t="s">
        <v>750</v>
      </c>
      <c r="K868" s="9">
        <v>45735</v>
      </c>
      <c r="L868" s="9">
        <v>45742</v>
      </c>
      <c r="M868" s="9">
        <v>45737</v>
      </c>
      <c r="N868" s="2" t="s">
        <v>1054</v>
      </c>
      <c r="O868" s="2" t="s">
        <v>58</v>
      </c>
      <c r="P868" s="2" t="s">
        <v>142</v>
      </c>
      <c r="Q868" s="2" t="s">
        <v>224</v>
      </c>
      <c r="R868" s="2" t="s">
        <v>149</v>
      </c>
      <c r="S868" s="2" t="s">
        <v>198</v>
      </c>
      <c r="T868" s="10">
        <v>28.66</v>
      </c>
      <c r="U868" s="11">
        <v>1.085</v>
      </c>
      <c r="V868" s="12">
        <f>T868*U868</f>
        <v>31.0961</v>
      </c>
      <c r="W868" s="13">
        <v>0.19</v>
      </c>
      <c r="X868" s="12">
        <f>V868-(V868/(1+W868))</f>
        <v>4.9649235294117631</v>
      </c>
      <c r="Y868" s="12">
        <f>V868-X868</f>
        <v>26.131176470588237</v>
      </c>
      <c r="Z868" s="14">
        <v>60</v>
      </c>
      <c r="AA868" s="2" t="str">
        <f>IF(V868&gt;Z868,"Yes","No")</f>
        <v>No</v>
      </c>
      <c r="AB868" s="12">
        <f>V868-Z868</f>
        <v>-28.9039</v>
      </c>
      <c r="AC868" s="15" t="s">
        <v>130</v>
      </c>
      <c r="AD868" s="15" t="s">
        <v>130</v>
      </c>
      <c r="AE868" s="15" t="s">
        <v>421</v>
      </c>
      <c r="AF868" s="12">
        <f>IF(AG868="Rejected",0,IF(R868="Corporate Card",0,V868))</f>
        <v>31.0961</v>
      </c>
      <c r="AG868" s="15" t="s">
        <v>181</v>
      </c>
      <c r="AH868" s="16">
        <v>45744</v>
      </c>
      <c r="AI868" s="16"/>
      <c r="AJ868" s="16"/>
      <c r="AK868" s="17" t="str">
        <f>IF(AJ868="","",AJ868-AH868)</f>
        <v/>
      </c>
    </row>
    <row r="869" spans="1:37">
      <c r="A869" s="2" t="s">
        <v>1269</v>
      </c>
      <c r="B869" s="2" t="s">
        <v>169</v>
      </c>
      <c r="C869" s="2" t="s">
        <v>170</v>
      </c>
      <c r="D869" s="2" t="s">
        <v>171</v>
      </c>
      <c r="E869" s="2" t="s">
        <v>172</v>
      </c>
      <c r="F869" s="2" t="s">
        <v>173</v>
      </c>
      <c r="G869" s="2" t="s">
        <v>1250</v>
      </c>
      <c r="H869" s="2" t="s">
        <v>379</v>
      </c>
      <c r="I869" s="2" t="s">
        <v>1251</v>
      </c>
      <c r="J869" s="2" t="s">
        <v>750</v>
      </c>
      <c r="K869" s="9">
        <v>45735</v>
      </c>
      <c r="L869" s="9">
        <v>45742</v>
      </c>
      <c r="M869" s="9">
        <v>45737</v>
      </c>
      <c r="N869" s="2" t="s">
        <v>1054</v>
      </c>
      <c r="O869" s="2" t="s">
        <v>54</v>
      </c>
      <c r="P869" s="2" t="s">
        <v>139</v>
      </c>
      <c r="Q869" s="2" t="s">
        <v>214</v>
      </c>
      <c r="R869" s="2" t="s">
        <v>128</v>
      </c>
      <c r="S869" s="2" t="s">
        <v>198</v>
      </c>
      <c r="T869" s="10">
        <v>14.13</v>
      </c>
      <c r="U869" s="11">
        <v>1.085</v>
      </c>
      <c r="V869" s="12">
        <f>T869*U869</f>
        <v>15.331050000000001</v>
      </c>
      <c r="W869" s="13">
        <v>0.19</v>
      </c>
      <c r="X869" s="12">
        <f>V869-(V869/(1+W869))</f>
        <v>2.4478147058823527</v>
      </c>
      <c r="Y869" s="12">
        <f>V869-X869</f>
        <v>12.883235294117648</v>
      </c>
      <c r="Z869" s="14">
        <v>25</v>
      </c>
      <c r="AA869" s="2" t="str">
        <f>IF(V869&gt;Z869,"Yes","No")</f>
        <v>No</v>
      </c>
      <c r="AB869" s="12">
        <f>V869-Z869</f>
        <v>-9.6689499999999988</v>
      </c>
      <c r="AC869" s="15" t="s">
        <v>130</v>
      </c>
      <c r="AD869" s="15" t="s">
        <v>130</v>
      </c>
      <c r="AE869" s="15" t="s">
        <v>421</v>
      </c>
      <c r="AF869" s="12">
        <f>IF(AG869="Rejected",0,IF(R869="Corporate Card",0,V869))</f>
        <v>0</v>
      </c>
      <c r="AG869" s="15" t="s">
        <v>181</v>
      </c>
      <c r="AH869" s="16">
        <v>45744</v>
      </c>
      <c r="AI869" s="16"/>
      <c r="AJ869" s="16"/>
      <c r="AK869" s="17" t="str">
        <f>IF(AJ869="","",AJ869-AH869)</f>
        <v/>
      </c>
    </row>
    <row r="870" spans="1:37">
      <c r="A870" s="2" t="s">
        <v>1270</v>
      </c>
      <c r="B870" s="2" t="s">
        <v>169</v>
      </c>
      <c r="C870" s="2" t="s">
        <v>170</v>
      </c>
      <c r="D870" s="2" t="s">
        <v>171</v>
      </c>
      <c r="E870" s="2" t="s">
        <v>172</v>
      </c>
      <c r="F870" s="2" t="s">
        <v>173</v>
      </c>
      <c r="G870" s="2" t="s">
        <v>1250</v>
      </c>
      <c r="H870" s="2" t="s">
        <v>379</v>
      </c>
      <c r="I870" s="2" t="s">
        <v>1251</v>
      </c>
      <c r="J870" s="2" t="s">
        <v>750</v>
      </c>
      <c r="K870" s="9">
        <v>45735</v>
      </c>
      <c r="L870" s="9">
        <v>45742</v>
      </c>
      <c r="M870" s="9">
        <v>45737</v>
      </c>
      <c r="N870" s="2" t="s">
        <v>1054</v>
      </c>
      <c r="O870" s="2" t="s">
        <v>56</v>
      </c>
      <c r="P870" s="2" t="s">
        <v>165</v>
      </c>
      <c r="Q870" s="2" t="s">
        <v>152</v>
      </c>
      <c r="R870" s="2" t="s">
        <v>128</v>
      </c>
      <c r="S870" s="2" t="s">
        <v>198</v>
      </c>
      <c r="T870" s="10">
        <v>41.69</v>
      </c>
      <c r="U870" s="11">
        <v>1.085</v>
      </c>
      <c r="V870" s="12">
        <f>T870*U870</f>
        <v>45.233649999999997</v>
      </c>
      <c r="W870" s="13">
        <v>0.19</v>
      </c>
      <c r="X870" s="12">
        <f>V870-(V870/(1+W870))</f>
        <v>7.2221794117647065</v>
      </c>
      <c r="Y870" s="12">
        <f>V870-X870</f>
        <v>38.011470588235291</v>
      </c>
      <c r="Z870" s="14">
        <v>75</v>
      </c>
      <c r="AA870" s="2" t="str">
        <f>IF(V870&gt;Z870,"Yes","No")</f>
        <v>No</v>
      </c>
      <c r="AB870" s="12">
        <f>V870-Z870</f>
        <v>-29.766350000000003</v>
      </c>
      <c r="AC870" s="15" t="s">
        <v>130</v>
      </c>
      <c r="AD870" s="15" t="s">
        <v>130</v>
      </c>
      <c r="AE870" s="15" t="s">
        <v>421</v>
      </c>
      <c r="AF870" s="12">
        <f>IF(AG870="Rejected",0,IF(R870="Corporate Card",0,V870))</f>
        <v>0</v>
      </c>
      <c r="AG870" s="15" t="s">
        <v>181</v>
      </c>
      <c r="AH870" s="16">
        <v>45744</v>
      </c>
      <c r="AI870" s="16"/>
      <c r="AJ870" s="16"/>
      <c r="AK870" s="17" t="str">
        <f>IF(AJ870="","",AJ870-AH870)</f>
        <v/>
      </c>
    </row>
    <row r="871" spans="1:37">
      <c r="A871" s="2" t="s">
        <v>1271</v>
      </c>
      <c r="B871" s="2" t="s">
        <v>342</v>
      </c>
      <c r="C871" s="2" t="s">
        <v>343</v>
      </c>
      <c r="D871" s="2" t="s">
        <v>344</v>
      </c>
      <c r="E871" s="2" t="s">
        <v>345</v>
      </c>
      <c r="F871" s="2" t="s">
        <v>346</v>
      </c>
      <c r="G871" s="2" t="s">
        <v>1264</v>
      </c>
      <c r="H871" s="2" t="s">
        <v>379</v>
      </c>
      <c r="I871" s="2" t="s">
        <v>315</v>
      </c>
      <c r="J871" s="2" t="s">
        <v>316</v>
      </c>
      <c r="K871" s="9">
        <v>45737</v>
      </c>
      <c r="L871" s="9">
        <v>45744</v>
      </c>
      <c r="M871" s="9">
        <v>45738</v>
      </c>
      <c r="N871" s="2" t="s">
        <v>1054</v>
      </c>
      <c r="O871" s="2" t="s">
        <v>59</v>
      </c>
      <c r="P871" s="2" t="s">
        <v>301</v>
      </c>
      <c r="Q871" s="2" t="s">
        <v>452</v>
      </c>
      <c r="R871" s="2" t="s">
        <v>128</v>
      </c>
      <c r="S871" s="2" t="s">
        <v>318</v>
      </c>
      <c r="T871" s="10">
        <v>813.46</v>
      </c>
      <c r="U871" s="11">
        <v>0.27229999999999999</v>
      </c>
      <c r="V871" s="12">
        <f>T871*U871</f>
        <v>221.50515799999999</v>
      </c>
      <c r="W871" s="13">
        <v>0.05</v>
      </c>
      <c r="X871" s="12">
        <f>V871-(V871/(1+W871))</f>
        <v>10.547864666666669</v>
      </c>
      <c r="Y871" s="12">
        <f>V871-X871</f>
        <v>210.95729333333333</v>
      </c>
      <c r="Z871" s="14">
        <v>150</v>
      </c>
      <c r="AA871" s="2" t="str">
        <f>IF(V871&gt;Z871,"Yes","No")</f>
        <v>Yes</v>
      </c>
      <c r="AB871" s="12">
        <f>V871-Z871</f>
        <v>71.505157999999994</v>
      </c>
      <c r="AC871" s="15" t="s">
        <v>130</v>
      </c>
      <c r="AD871" s="15" t="s">
        <v>131</v>
      </c>
      <c r="AE871" s="15" t="s">
        <v>180</v>
      </c>
      <c r="AF871" s="12">
        <f>IF(AG871="Rejected",0,IF(R871="Corporate Card",0,V871))</f>
        <v>0</v>
      </c>
      <c r="AG871" s="15" t="s">
        <v>133</v>
      </c>
      <c r="AH871" s="16">
        <v>45753</v>
      </c>
      <c r="AI871" s="16">
        <v>45754</v>
      </c>
      <c r="AJ871" s="16">
        <v>45761</v>
      </c>
      <c r="AK871" s="17">
        <f>IF(AJ871="","",AJ871-AH871)</f>
        <v>8</v>
      </c>
    </row>
    <row r="872" spans="1:37">
      <c r="A872" s="2" t="s">
        <v>1272</v>
      </c>
      <c r="B872" s="2" t="s">
        <v>342</v>
      </c>
      <c r="C872" s="2" t="s">
        <v>343</v>
      </c>
      <c r="D872" s="2" t="s">
        <v>344</v>
      </c>
      <c r="E872" s="2" t="s">
        <v>345</v>
      </c>
      <c r="F872" s="2" t="s">
        <v>346</v>
      </c>
      <c r="G872" s="2" t="s">
        <v>1264</v>
      </c>
      <c r="H872" s="2" t="s">
        <v>379</v>
      </c>
      <c r="I872" s="2" t="s">
        <v>315</v>
      </c>
      <c r="J872" s="2" t="s">
        <v>316</v>
      </c>
      <c r="K872" s="9">
        <v>45737</v>
      </c>
      <c r="L872" s="9">
        <v>45744</v>
      </c>
      <c r="M872" s="9">
        <v>45738</v>
      </c>
      <c r="N872" s="2" t="s">
        <v>1054</v>
      </c>
      <c r="O872" s="2" t="s">
        <v>53</v>
      </c>
      <c r="P872" s="2" t="s">
        <v>208</v>
      </c>
      <c r="Q872" s="2" t="s">
        <v>220</v>
      </c>
      <c r="R872" s="2" t="s">
        <v>128</v>
      </c>
      <c r="S872" s="2" t="s">
        <v>318</v>
      </c>
      <c r="T872" s="10">
        <v>8637.0499999999993</v>
      </c>
      <c r="U872" s="11">
        <v>0.27229999999999999</v>
      </c>
      <c r="V872" s="12">
        <f>T872*U872</f>
        <v>2351.8687149999996</v>
      </c>
      <c r="W872" s="13">
        <v>0.05</v>
      </c>
      <c r="X872" s="12">
        <f>V872-(V872/(1+W872))</f>
        <v>111.99374833333331</v>
      </c>
      <c r="Y872" s="12">
        <f>V872-X872</f>
        <v>2239.8749666666663</v>
      </c>
      <c r="Z872" s="14">
        <v>1960</v>
      </c>
      <c r="AA872" s="2" t="str">
        <f>IF(V872&gt;Z872,"Yes","No")</f>
        <v>Yes</v>
      </c>
      <c r="AB872" s="12">
        <f>V872-Z872</f>
        <v>391.86871499999961</v>
      </c>
      <c r="AC872" s="15" t="s">
        <v>130</v>
      </c>
      <c r="AD872" s="15" t="s">
        <v>131</v>
      </c>
      <c r="AE872" s="15" t="s">
        <v>180</v>
      </c>
      <c r="AF872" s="12">
        <f>IF(AG872="Rejected",0,IF(R872="Corporate Card",0,V872))</f>
        <v>0</v>
      </c>
      <c r="AG872" s="15" t="s">
        <v>133</v>
      </c>
      <c r="AH872" s="16">
        <v>45753</v>
      </c>
      <c r="AI872" s="16">
        <v>45754</v>
      </c>
      <c r="AJ872" s="16">
        <v>45761</v>
      </c>
      <c r="AK872" s="17">
        <f>IF(AJ872="","",AJ872-AH872)</f>
        <v>8</v>
      </c>
    </row>
    <row r="873" spans="1:37">
      <c r="A873" s="2" t="s">
        <v>1273</v>
      </c>
      <c r="B873" s="2" t="s">
        <v>342</v>
      </c>
      <c r="C873" s="2" t="s">
        <v>343</v>
      </c>
      <c r="D873" s="2" t="s">
        <v>344</v>
      </c>
      <c r="E873" s="2" t="s">
        <v>345</v>
      </c>
      <c r="F873" s="2" t="s">
        <v>346</v>
      </c>
      <c r="G873" s="2" t="s">
        <v>1264</v>
      </c>
      <c r="H873" s="2" t="s">
        <v>379</v>
      </c>
      <c r="I873" s="2" t="s">
        <v>315</v>
      </c>
      <c r="J873" s="2" t="s">
        <v>316</v>
      </c>
      <c r="K873" s="9">
        <v>45737</v>
      </c>
      <c r="L873" s="9">
        <v>45744</v>
      </c>
      <c r="M873" s="9">
        <v>45738</v>
      </c>
      <c r="N873" s="2" t="s">
        <v>1054</v>
      </c>
      <c r="O873" s="2" t="s">
        <v>54</v>
      </c>
      <c r="P873" s="2" t="s">
        <v>139</v>
      </c>
      <c r="Q873" s="2" t="s">
        <v>163</v>
      </c>
      <c r="R873" s="2" t="s">
        <v>137</v>
      </c>
      <c r="S873" s="2" t="s">
        <v>318</v>
      </c>
      <c r="T873" s="10">
        <v>60.25</v>
      </c>
      <c r="U873" s="11">
        <v>0.27229999999999999</v>
      </c>
      <c r="V873" s="12">
        <f>T873*U873</f>
        <v>16.406074999999998</v>
      </c>
      <c r="W873" s="13">
        <v>0.05</v>
      </c>
      <c r="X873" s="12">
        <f>V873-(V873/(1+W873))</f>
        <v>0.78124166666666639</v>
      </c>
      <c r="Y873" s="12">
        <f>V873-X873</f>
        <v>15.624833333333331</v>
      </c>
      <c r="Z873" s="14">
        <v>25</v>
      </c>
      <c r="AA873" s="2" t="str">
        <f>IF(V873&gt;Z873,"Yes","No")</f>
        <v>No</v>
      </c>
      <c r="AB873" s="12">
        <f>V873-Z873</f>
        <v>-8.5939250000000023</v>
      </c>
      <c r="AC873" s="15" t="s">
        <v>130</v>
      </c>
      <c r="AD873" s="15" t="s">
        <v>131</v>
      </c>
      <c r="AE873" s="15" t="s">
        <v>180</v>
      </c>
      <c r="AF873" s="12">
        <f>IF(AG873="Rejected",0,IF(R873="Corporate Card",0,V873))</f>
        <v>16.406074999999998</v>
      </c>
      <c r="AG873" s="15" t="s">
        <v>133</v>
      </c>
      <c r="AH873" s="16">
        <v>45753</v>
      </c>
      <c r="AI873" s="16">
        <v>45754</v>
      </c>
      <c r="AJ873" s="16">
        <v>45761</v>
      </c>
      <c r="AK873" s="17">
        <f>IF(AJ873="","",AJ873-AH873)</f>
        <v>8</v>
      </c>
    </row>
    <row r="874" spans="1:37">
      <c r="A874" s="2" t="s">
        <v>1274</v>
      </c>
      <c r="B874" s="2" t="s">
        <v>342</v>
      </c>
      <c r="C874" s="2" t="s">
        <v>343</v>
      </c>
      <c r="D874" s="2" t="s">
        <v>344</v>
      </c>
      <c r="E874" s="2" t="s">
        <v>345</v>
      </c>
      <c r="F874" s="2" t="s">
        <v>346</v>
      </c>
      <c r="G874" s="2" t="s">
        <v>1264</v>
      </c>
      <c r="H874" s="2" t="s">
        <v>379</v>
      </c>
      <c r="I874" s="2" t="s">
        <v>315</v>
      </c>
      <c r="J874" s="2" t="s">
        <v>316</v>
      </c>
      <c r="K874" s="9">
        <v>45737</v>
      </c>
      <c r="L874" s="9">
        <v>45744</v>
      </c>
      <c r="M874" s="9">
        <v>45738</v>
      </c>
      <c r="N874" s="2" t="s">
        <v>1054</v>
      </c>
      <c r="O874" s="2" t="s">
        <v>56</v>
      </c>
      <c r="P874" s="2" t="s">
        <v>165</v>
      </c>
      <c r="Q874" s="2" t="s">
        <v>159</v>
      </c>
      <c r="R874" s="2" t="s">
        <v>149</v>
      </c>
      <c r="S874" s="2" t="s">
        <v>318</v>
      </c>
      <c r="T874" s="10">
        <v>130.77000000000001</v>
      </c>
      <c r="U874" s="11">
        <v>0.27229999999999999</v>
      </c>
      <c r="V874" s="12">
        <f>T874*U874</f>
        <v>35.608671000000001</v>
      </c>
      <c r="W874" s="13">
        <v>0.05</v>
      </c>
      <c r="X874" s="12">
        <f>V874-(V874/(1+W874))</f>
        <v>1.695650999999998</v>
      </c>
      <c r="Y874" s="12">
        <f>V874-X874</f>
        <v>33.913020000000003</v>
      </c>
      <c r="Z874" s="14">
        <v>75</v>
      </c>
      <c r="AA874" s="2" t="str">
        <f>IF(V874&gt;Z874,"Yes","No")</f>
        <v>No</v>
      </c>
      <c r="AB874" s="12">
        <f>V874-Z874</f>
        <v>-39.391328999999999</v>
      </c>
      <c r="AC874" s="15" t="s">
        <v>130</v>
      </c>
      <c r="AD874" s="15" t="s">
        <v>131</v>
      </c>
      <c r="AE874" s="15" t="s">
        <v>180</v>
      </c>
      <c r="AF874" s="12">
        <f>IF(AG874="Rejected",0,IF(R874="Corporate Card",0,V874))</f>
        <v>35.608671000000001</v>
      </c>
      <c r="AG874" s="15" t="s">
        <v>133</v>
      </c>
      <c r="AH874" s="16">
        <v>45753</v>
      </c>
      <c r="AI874" s="16">
        <v>45754</v>
      </c>
      <c r="AJ874" s="16">
        <v>45761</v>
      </c>
      <c r="AK874" s="17">
        <f>IF(AJ874="","",AJ874-AH874)</f>
        <v>8</v>
      </c>
    </row>
    <row r="875" spans="1:37">
      <c r="A875" s="2" t="s">
        <v>1275</v>
      </c>
      <c r="B875" s="2" t="s">
        <v>342</v>
      </c>
      <c r="C875" s="2" t="s">
        <v>343</v>
      </c>
      <c r="D875" s="2" t="s">
        <v>344</v>
      </c>
      <c r="E875" s="2" t="s">
        <v>345</v>
      </c>
      <c r="F875" s="2" t="s">
        <v>346</v>
      </c>
      <c r="G875" s="2" t="s">
        <v>1264</v>
      </c>
      <c r="H875" s="2" t="s">
        <v>379</v>
      </c>
      <c r="I875" s="2" t="s">
        <v>315</v>
      </c>
      <c r="J875" s="2" t="s">
        <v>316</v>
      </c>
      <c r="K875" s="9">
        <v>45737</v>
      </c>
      <c r="L875" s="9">
        <v>45744</v>
      </c>
      <c r="M875" s="9">
        <v>45738</v>
      </c>
      <c r="N875" s="2" t="s">
        <v>1054</v>
      </c>
      <c r="O875" s="2" t="s">
        <v>55</v>
      </c>
      <c r="P875" s="2" t="s">
        <v>139</v>
      </c>
      <c r="Q875" s="2" t="s">
        <v>161</v>
      </c>
      <c r="R875" s="2" t="s">
        <v>137</v>
      </c>
      <c r="S875" s="2" t="s">
        <v>318</v>
      </c>
      <c r="T875" s="10">
        <v>68.209999999999994</v>
      </c>
      <c r="U875" s="11">
        <v>0.27229999999999999</v>
      </c>
      <c r="V875" s="12">
        <f>T875*U875</f>
        <v>18.573582999999996</v>
      </c>
      <c r="W875" s="13">
        <v>0.05</v>
      </c>
      <c r="X875" s="12">
        <f>V875-(V875/(1+W875))</f>
        <v>0.88445633333333262</v>
      </c>
      <c r="Y875" s="12">
        <f>V875-X875</f>
        <v>17.689126666666663</v>
      </c>
      <c r="Z875" s="14">
        <v>35</v>
      </c>
      <c r="AA875" s="2" t="str">
        <f>IF(V875&gt;Z875,"Yes","No")</f>
        <v>No</v>
      </c>
      <c r="AB875" s="12">
        <f>V875-Z875</f>
        <v>-16.426417000000004</v>
      </c>
      <c r="AC875" s="15" t="s">
        <v>131</v>
      </c>
      <c r="AD875" s="15" t="s">
        <v>131</v>
      </c>
      <c r="AE875" s="15" t="s">
        <v>180</v>
      </c>
      <c r="AF875" s="12">
        <f>IF(AG875="Rejected",0,IF(R875="Corporate Card",0,V875))</f>
        <v>18.573582999999996</v>
      </c>
      <c r="AG875" s="15" t="s">
        <v>133</v>
      </c>
      <c r="AH875" s="16">
        <v>45753</v>
      </c>
      <c r="AI875" s="16">
        <v>45754</v>
      </c>
      <c r="AJ875" s="16">
        <v>45761</v>
      </c>
      <c r="AK875" s="17">
        <f>IF(AJ875="","",AJ875-AH875)</f>
        <v>8</v>
      </c>
    </row>
    <row r="876" spans="1:37">
      <c r="A876" s="2" t="s">
        <v>1276</v>
      </c>
      <c r="B876" s="2" t="s">
        <v>169</v>
      </c>
      <c r="C876" s="2" t="s">
        <v>170</v>
      </c>
      <c r="D876" s="2" t="s">
        <v>171</v>
      </c>
      <c r="E876" s="2" t="s">
        <v>172</v>
      </c>
      <c r="F876" s="2" t="s">
        <v>173</v>
      </c>
      <c r="G876" s="2" t="s">
        <v>1250</v>
      </c>
      <c r="H876" s="2" t="s">
        <v>379</v>
      </c>
      <c r="I876" s="2" t="s">
        <v>1251</v>
      </c>
      <c r="J876" s="2" t="s">
        <v>750</v>
      </c>
      <c r="K876" s="9">
        <v>45735</v>
      </c>
      <c r="L876" s="9">
        <v>45742</v>
      </c>
      <c r="M876" s="9">
        <v>45738</v>
      </c>
      <c r="N876" s="2" t="s">
        <v>1054</v>
      </c>
      <c r="O876" s="2" t="s">
        <v>68</v>
      </c>
      <c r="P876" s="2" t="s">
        <v>282</v>
      </c>
      <c r="Q876" s="2" t="s">
        <v>283</v>
      </c>
      <c r="R876" s="2" t="s">
        <v>137</v>
      </c>
      <c r="S876" s="2" t="s">
        <v>198</v>
      </c>
      <c r="T876" s="10">
        <v>11.32</v>
      </c>
      <c r="U876" s="11">
        <v>1.085</v>
      </c>
      <c r="V876" s="12">
        <f>T876*U876</f>
        <v>12.2822</v>
      </c>
      <c r="W876" s="13">
        <v>0.19</v>
      </c>
      <c r="X876" s="12">
        <f>V876-(V876/(1+W876))</f>
        <v>1.9610235294117651</v>
      </c>
      <c r="Y876" s="12">
        <f>V876-X876</f>
        <v>10.321176470588235</v>
      </c>
      <c r="Z876" s="14">
        <v>30</v>
      </c>
      <c r="AA876" s="2" t="str">
        <f>IF(V876&gt;Z876,"Yes","No")</f>
        <v>No</v>
      </c>
      <c r="AB876" s="12">
        <f>V876-Z876</f>
        <v>-17.7178</v>
      </c>
      <c r="AC876" s="15" t="s">
        <v>130</v>
      </c>
      <c r="AD876" s="15" t="s">
        <v>130</v>
      </c>
      <c r="AE876" s="15" t="s">
        <v>421</v>
      </c>
      <c r="AF876" s="12">
        <f>IF(AG876="Rejected",0,IF(R876="Corporate Card",0,V876))</f>
        <v>12.2822</v>
      </c>
      <c r="AG876" s="15" t="s">
        <v>181</v>
      </c>
      <c r="AH876" s="16">
        <v>45744</v>
      </c>
      <c r="AI876" s="16"/>
      <c r="AJ876" s="16"/>
      <c r="AK876" s="17" t="str">
        <f>IF(AJ876="","",AJ876-AH876)</f>
        <v/>
      </c>
    </row>
    <row r="877" spans="1:37">
      <c r="A877" s="2" t="s">
        <v>1277</v>
      </c>
      <c r="B877" s="2" t="s">
        <v>169</v>
      </c>
      <c r="C877" s="2" t="s">
        <v>170</v>
      </c>
      <c r="D877" s="2" t="s">
        <v>171</v>
      </c>
      <c r="E877" s="2" t="s">
        <v>172</v>
      </c>
      <c r="F877" s="2" t="s">
        <v>173</v>
      </c>
      <c r="G877" s="2" t="s">
        <v>1250</v>
      </c>
      <c r="H877" s="2" t="s">
        <v>379</v>
      </c>
      <c r="I877" s="2" t="s">
        <v>1251</v>
      </c>
      <c r="J877" s="2" t="s">
        <v>750</v>
      </c>
      <c r="K877" s="9">
        <v>45735</v>
      </c>
      <c r="L877" s="9">
        <v>45742</v>
      </c>
      <c r="M877" s="9">
        <v>45738</v>
      </c>
      <c r="N877" s="2" t="s">
        <v>1054</v>
      </c>
      <c r="O877" s="2" t="s">
        <v>54</v>
      </c>
      <c r="P877" s="2" t="s">
        <v>139</v>
      </c>
      <c r="Q877" s="2" t="s">
        <v>140</v>
      </c>
      <c r="R877" s="2" t="s">
        <v>128</v>
      </c>
      <c r="S877" s="2" t="s">
        <v>198</v>
      </c>
      <c r="T877" s="10">
        <v>12.17</v>
      </c>
      <c r="U877" s="11">
        <v>1.085</v>
      </c>
      <c r="V877" s="12">
        <f>T877*U877</f>
        <v>13.20445</v>
      </c>
      <c r="W877" s="13">
        <v>0.19</v>
      </c>
      <c r="X877" s="12">
        <f>V877-(V877/(1+W877))</f>
        <v>2.1082735294117647</v>
      </c>
      <c r="Y877" s="12">
        <f>V877-X877</f>
        <v>11.096176470588235</v>
      </c>
      <c r="Z877" s="14">
        <v>25</v>
      </c>
      <c r="AA877" s="2" t="str">
        <f>IF(V877&gt;Z877,"Yes","No")</f>
        <v>No</v>
      </c>
      <c r="AB877" s="12">
        <f>V877-Z877</f>
        <v>-11.79555</v>
      </c>
      <c r="AC877" s="15" t="s">
        <v>130</v>
      </c>
      <c r="AD877" s="15" t="s">
        <v>130</v>
      </c>
      <c r="AE877" s="15" t="s">
        <v>421</v>
      </c>
      <c r="AF877" s="12">
        <f>IF(AG877="Rejected",0,IF(R877="Corporate Card",0,V877))</f>
        <v>0</v>
      </c>
      <c r="AG877" s="15" t="s">
        <v>181</v>
      </c>
      <c r="AH877" s="16">
        <v>45744</v>
      </c>
      <c r="AI877" s="16"/>
      <c r="AJ877" s="16"/>
      <c r="AK877" s="17" t="str">
        <f>IF(AJ877="","",AJ877-AH877)</f>
        <v/>
      </c>
    </row>
    <row r="878" spans="1:37">
      <c r="A878" s="2" t="s">
        <v>1278</v>
      </c>
      <c r="B878" s="2" t="s">
        <v>169</v>
      </c>
      <c r="C878" s="2" t="s">
        <v>170</v>
      </c>
      <c r="D878" s="2" t="s">
        <v>171</v>
      </c>
      <c r="E878" s="2" t="s">
        <v>172</v>
      </c>
      <c r="F878" s="2" t="s">
        <v>173</v>
      </c>
      <c r="G878" s="2" t="s">
        <v>1250</v>
      </c>
      <c r="H878" s="2" t="s">
        <v>379</v>
      </c>
      <c r="I878" s="2" t="s">
        <v>1251</v>
      </c>
      <c r="J878" s="2" t="s">
        <v>750</v>
      </c>
      <c r="K878" s="9">
        <v>45735</v>
      </c>
      <c r="L878" s="9">
        <v>45742</v>
      </c>
      <c r="M878" s="9">
        <v>45738</v>
      </c>
      <c r="N878" s="2" t="s">
        <v>1054</v>
      </c>
      <c r="O878" s="2" t="s">
        <v>56</v>
      </c>
      <c r="P878" s="2" t="s">
        <v>231</v>
      </c>
      <c r="Q878" s="2" t="s">
        <v>152</v>
      </c>
      <c r="R878" s="2" t="s">
        <v>149</v>
      </c>
      <c r="S878" s="2" t="s">
        <v>198</v>
      </c>
      <c r="T878" s="10">
        <v>57.4</v>
      </c>
      <c r="U878" s="11">
        <v>1.085</v>
      </c>
      <c r="V878" s="12">
        <f>T878*U878</f>
        <v>62.278999999999996</v>
      </c>
      <c r="W878" s="13">
        <v>0.19</v>
      </c>
      <c r="X878" s="12">
        <f>V878-(V878/(1+W878))</f>
        <v>9.943705882352937</v>
      </c>
      <c r="Y878" s="12">
        <f>V878-X878</f>
        <v>52.335294117647059</v>
      </c>
      <c r="Z878" s="14">
        <v>75</v>
      </c>
      <c r="AA878" s="2" t="str">
        <f>IF(V878&gt;Z878,"Yes","No")</f>
        <v>No</v>
      </c>
      <c r="AB878" s="12">
        <f>V878-Z878</f>
        <v>-12.721000000000004</v>
      </c>
      <c r="AC878" s="15" t="s">
        <v>130</v>
      </c>
      <c r="AD878" s="15" t="s">
        <v>130</v>
      </c>
      <c r="AE878" s="15" t="s">
        <v>421</v>
      </c>
      <c r="AF878" s="12">
        <f>IF(AG878="Rejected",0,IF(R878="Corporate Card",0,V878))</f>
        <v>62.278999999999996</v>
      </c>
      <c r="AG878" s="15" t="s">
        <v>181</v>
      </c>
      <c r="AH878" s="16">
        <v>45744</v>
      </c>
      <c r="AI878" s="16"/>
      <c r="AJ878" s="16"/>
      <c r="AK878" s="17" t="str">
        <f>IF(AJ878="","",AJ878-AH878)</f>
        <v/>
      </c>
    </row>
    <row r="879" spans="1:37">
      <c r="A879" s="2" t="s">
        <v>1279</v>
      </c>
      <c r="B879" s="2" t="s">
        <v>342</v>
      </c>
      <c r="C879" s="2" t="s">
        <v>343</v>
      </c>
      <c r="D879" s="2" t="s">
        <v>344</v>
      </c>
      <c r="E879" s="2" t="s">
        <v>345</v>
      </c>
      <c r="F879" s="2" t="s">
        <v>346</v>
      </c>
      <c r="G879" s="2" t="s">
        <v>1264</v>
      </c>
      <c r="H879" s="2" t="s">
        <v>379</v>
      </c>
      <c r="I879" s="2" t="s">
        <v>315</v>
      </c>
      <c r="J879" s="2" t="s">
        <v>316</v>
      </c>
      <c r="K879" s="9">
        <v>45737</v>
      </c>
      <c r="L879" s="9">
        <v>45744</v>
      </c>
      <c r="M879" s="9">
        <v>45739</v>
      </c>
      <c r="N879" s="2" t="s">
        <v>1054</v>
      </c>
      <c r="O879" s="2" t="s">
        <v>54</v>
      </c>
      <c r="P879" s="2" t="s">
        <v>139</v>
      </c>
      <c r="Q879" s="2" t="s">
        <v>214</v>
      </c>
      <c r="R879" s="2" t="s">
        <v>149</v>
      </c>
      <c r="S879" s="2" t="s">
        <v>318</v>
      </c>
      <c r="T879" s="10">
        <v>59.21</v>
      </c>
      <c r="U879" s="11">
        <v>0.27229999999999999</v>
      </c>
      <c r="V879" s="12">
        <f>T879*U879</f>
        <v>16.122882999999998</v>
      </c>
      <c r="W879" s="13">
        <v>0.05</v>
      </c>
      <c r="X879" s="12">
        <f>V879-(V879/(1+W879))</f>
        <v>0.7677563333333346</v>
      </c>
      <c r="Y879" s="12">
        <f>V879-X879</f>
        <v>15.355126666666663</v>
      </c>
      <c r="Z879" s="14">
        <v>25</v>
      </c>
      <c r="AA879" s="2" t="str">
        <f>IF(V879&gt;Z879,"Yes","No")</f>
        <v>No</v>
      </c>
      <c r="AB879" s="12">
        <f>V879-Z879</f>
        <v>-8.8771170000000019</v>
      </c>
      <c r="AC879" s="15" t="s">
        <v>130</v>
      </c>
      <c r="AD879" s="15" t="s">
        <v>131</v>
      </c>
      <c r="AE879" s="15" t="s">
        <v>180</v>
      </c>
      <c r="AF879" s="12">
        <f>IF(AG879="Rejected",0,IF(R879="Corporate Card",0,V879))</f>
        <v>16.122882999999998</v>
      </c>
      <c r="AG879" s="15" t="s">
        <v>133</v>
      </c>
      <c r="AH879" s="16">
        <v>45753</v>
      </c>
      <c r="AI879" s="16">
        <v>45754</v>
      </c>
      <c r="AJ879" s="16">
        <v>45761</v>
      </c>
      <c r="AK879" s="17">
        <f>IF(AJ879="","",AJ879-AH879)</f>
        <v>8</v>
      </c>
    </row>
    <row r="880" spans="1:37">
      <c r="A880" s="2" t="s">
        <v>1280</v>
      </c>
      <c r="B880" s="2" t="s">
        <v>342</v>
      </c>
      <c r="C880" s="2" t="s">
        <v>343</v>
      </c>
      <c r="D880" s="2" t="s">
        <v>344</v>
      </c>
      <c r="E880" s="2" t="s">
        <v>345</v>
      </c>
      <c r="F880" s="2" t="s">
        <v>346</v>
      </c>
      <c r="G880" s="2" t="s">
        <v>1264</v>
      </c>
      <c r="H880" s="2" t="s">
        <v>379</v>
      </c>
      <c r="I880" s="2" t="s">
        <v>315</v>
      </c>
      <c r="J880" s="2" t="s">
        <v>316</v>
      </c>
      <c r="K880" s="9">
        <v>45737</v>
      </c>
      <c r="L880" s="9">
        <v>45744</v>
      </c>
      <c r="M880" s="9">
        <v>45739</v>
      </c>
      <c r="N880" s="2" t="s">
        <v>1054</v>
      </c>
      <c r="O880" s="2" t="s">
        <v>56</v>
      </c>
      <c r="P880" s="2" t="s">
        <v>151</v>
      </c>
      <c r="Q880" s="2" t="s">
        <v>152</v>
      </c>
      <c r="R880" s="2" t="s">
        <v>128</v>
      </c>
      <c r="S880" s="2" t="s">
        <v>318</v>
      </c>
      <c r="T880" s="10">
        <v>159.37</v>
      </c>
      <c r="U880" s="11">
        <v>0.27229999999999999</v>
      </c>
      <c r="V880" s="12">
        <f>T880*U880</f>
        <v>43.396450999999999</v>
      </c>
      <c r="W880" s="13">
        <v>0.05</v>
      </c>
      <c r="X880" s="12">
        <f>V880-(V880/(1+W880))</f>
        <v>2.0664976666666703</v>
      </c>
      <c r="Y880" s="12">
        <f>V880-X880</f>
        <v>41.329953333333329</v>
      </c>
      <c r="Z880" s="14">
        <v>75</v>
      </c>
      <c r="AA880" s="2" t="str">
        <f>IF(V880&gt;Z880,"Yes","No")</f>
        <v>No</v>
      </c>
      <c r="AB880" s="12">
        <f>V880-Z880</f>
        <v>-31.603549000000001</v>
      </c>
      <c r="AC880" s="15" t="s">
        <v>130</v>
      </c>
      <c r="AD880" s="15" t="s">
        <v>131</v>
      </c>
      <c r="AE880" s="15" t="s">
        <v>180</v>
      </c>
      <c r="AF880" s="12">
        <f>IF(AG880="Rejected",0,IF(R880="Corporate Card",0,V880))</f>
        <v>0</v>
      </c>
      <c r="AG880" s="15" t="s">
        <v>133</v>
      </c>
      <c r="AH880" s="16">
        <v>45753</v>
      </c>
      <c r="AI880" s="16">
        <v>45754</v>
      </c>
      <c r="AJ880" s="16">
        <v>45761</v>
      </c>
      <c r="AK880" s="17">
        <f>IF(AJ880="","",AJ880-AH880)</f>
        <v>8</v>
      </c>
    </row>
    <row r="881" spans="1:37">
      <c r="A881" s="2" t="s">
        <v>1281</v>
      </c>
      <c r="B881" s="2" t="s">
        <v>342</v>
      </c>
      <c r="C881" s="2" t="s">
        <v>343</v>
      </c>
      <c r="D881" s="2" t="s">
        <v>344</v>
      </c>
      <c r="E881" s="2" t="s">
        <v>345</v>
      </c>
      <c r="F881" s="2" t="s">
        <v>346</v>
      </c>
      <c r="G881" s="2" t="s">
        <v>1264</v>
      </c>
      <c r="H881" s="2" t="s">
        <v>379</v>
      </c>
      <c r="I881" s="2" t="s">
        <v>315</v>
      </c>
      <c r="J881" s="2" t="s">
        <v>316</v>
      </c>
      <c r="K881" s="9">
        <v>45737</v>
      </c>
      <c r="L881" s="9">
        <v>45744</v>
      </c>
      <c r="M881" s="9">
        <v>45739</v>
      </c>
      <c r="N881" s="2" t="s">
        <v>1054</v>
      </c>
      <c r="O881" s="2" t="s">
        <v>55</v>
      </c>
      <c r="P881" s="2" t="s">
        <v>139</v>
      </c>
      <c r="Q881" s="2" t="s">
        <v>187</v>
      </c>
      <c r="R881" s="2" t="s">
        <v>128</v>
      </c>
      <c r="S881" s="2" t="s">
        <v>318</v>
      </c>
      <c r="T881" s="10">
        <v>155.44</v>
      </c>
      <c r="U881" s="11">
        <v>0.27229999999999999</v>
      </c>
      <c r="V881" s="12">
        <f>T881*U881</f>
        <v>42.326311999999994</v>
      </c>
      <c r="W881" s="13">
        <v>0.05</v>
      </c>
      <c r="X881" s="12">
        <f>V881-(V881/(1+W881))</f>
        <v>2.0155386666666715</v>
      </c>
      <c r="Y881" s="12">
        <f>V881-X881</f>
        <v>40.310773333333323</v>
      </c>
      <c r="Z881" s="14">
        <v>35</v>
      </c>
      <c r="AA881" s="2" t="str">
        <f>IF(V881&gt;Z881,"Yes","No")</f>
        <v>Yes</v>
      </c>
      <c r="AB881" s="12">
        <f>V881-Z881</f>
        <v>7.3263119999999944</v>
      </c>
      <c r="AC881" s="15" t="s">
        <v>130</v>
      </c>
      <c r="AD881" s="15" t="s">
        <v>131</v>
      </c>
      <c r="AE881" s="15" t="s">
        <v>180</v>
      </c>
      <c r="AF881" s="12">
        <f>IF(AG881="Rejected",0,IF(R881="Corporate Card",0,V881))</f>
        <v>0</v>
      </c>
      <c r="AG881" s="15" t="s">
        <v>133</v>
      </c>
      <c r="AH881" s="16">
        <v>45753</v>
      </c>
      <c r="AI881" s="16">
        <v>45754</v>
      </c>
      <c r="AJ881" s="16">
        <v>45761</v>
      </c>
      <c r="AK881" s="17">
        <f>IF(AJ881="","",AJ881-AH881)</f>
        <v>8</v>
      </c>
    </row>
    <row r="882" spans="1:37">
      <c r="A882" s="2" t="s">
        <v>1282</v>
      </c>
      <c r="B882" s="2" t="s">
        <v>169</v>
      </c>
      <c r="C882" s="2" t="s">
        <v>170</v>
      </c>
      <c r="D882" s="2" t="s">
        <v>171</v>
      </c>
      <c r="E882" s="2" t="s">
        <v>172</v>
      </c>
      <c r="F882" s="2" t="s">
        <v>173</v>
      </c>
      <c r="G882" s="2" t="s">
        <v>1250</v>
      </c>
      <c r="H882" s="2" t="s">
        <v>379</v>
      </c>
      <c r="I882" s="2" t="s">
        <v>1251</v>
      </c>
      <c r="J882" s="2" t="s">
        <v>750</v>
      </c>
      <c r="K882" s="9">
        <v>45735</v>
      </c>
      <c r="L882" s="9">
        <v>45742</v>
      </c>
      <c r="M882" s="9">
        <v>45739</v>
      </c>
      <c r="N882" s="2" t="s">
        <v>1054</v>
      </c>
      <c r="O882" s="2" t="s">
        <v>58</v>
      </c>
      <c r="P882" s="2" t="s">
        <v>142</v>
      </c>
      <c r="Q882" s="2" t="s">
        <v>143</v>
      </c>
      <c r="R882" s="2" t="s">
        <v>128</v>
      </c>
      <c r="S882" s="2" t="s">
        <v>198</v>
      </c>
      <c r="T882" s="10">
        <v>76.89</v>
      </c>
      <c r="U882" s="11">
        <v>1.085</v>
      </c>
      <c r="V882" s="12">
        <f>T882*U882</f>
        <v>83.425650000000005</v>
      </c>
      <c r="W882" s="13">
        <v>0.19</v>
      </c>
      <c r="X882" s="12">
        <f>V882-(V882/(1+W882))</f>
        <v>13.320061764705883</v>
      </c>
      <c r="Y882" s="12">
        <f>V882-X882</f>
        <v>70.105588235294121</v>
      </c>
      <c r="Z882" s="14">
        <v>60</v>
      </c>
      <c r="AA882" s="2" t="str">
        <f>IF(V882&gt;Z882,"Yes","No")</f>
        <v>Yes</v>
      </c>
      <c r="AB882" s="12">
        <f>V882-Z882</f>
        <v>23.425650000000005</v>
      </c>
      <c r="AC882" s="15" t="s">
        <v>130</v>
      </c>
      <c r="AD882" s="15" t="s">
        <v>130</v>
      </c>
      <c r="AE882" s="15" t="s">
        <v>421</v>
      </c>
      <c r="AF882" s="12">
        <f>IF(AG882="Rejected",0,IF(R882="Corporate Card",0,V882))</f>
        <v>0</v>
      </c>
      <c r="AG882" s="15" t="s">
        <v>181</v>
      </c>
      <c r="AH882" s="16">
        <v>45744</v>
      </c>
      <c r="AI882" s="16"/>
      <c r="AJ882" s="16"/>
      <c r="AK882" s="17" t="str">
        <f>IF(AJ882="","",AJ882-AH882)</f>
        <v/>
      </c>
    </row>
    <row r="883" spans="1:37">
      <c r="A883" s="2" t="s">
        <v>1283</v>
      </c>
      <c r="B883" s="2" t="s">
        <v>169</v>
      </c>
      <c r="C883" s="2" t="s">
        <v>170</v>
      </c>
      <c r="D883" s="2" t="s">
        <v>171</v>
      </c>
      <c r="E883" s="2" t="s">
        <v>172</v>
      </c>
      <c r="F883" s="2" t="s">
        <v>173</v>
      </c>
      <c r="G883" s="2" t="s">
        <v>1250</v>
      </c>
      <c r="H883" s="2" t="s">
        <v>379</v>
      </c>
      <c r="I883" s="2" t="s">
        <v>1251</v>
      </c>
      <c r="J883" s="2" t="s">
        <v>750</v>
      </c>
      <c r="K883" s="9">
        <v>45735</v>
      </c>
      <c r="L883" s="9">
        <v>45742</v>
      </c>
      <c r="M883" s="9">
        <v>45739</v>
      </c>
      <c r="N883" s="2" t="s">
        <v>1054</v>
      </c>
      <c r="O883" s="2" t="s">
        <v>54</v>
      </c>
      <c r="P883" s="2" t="s">
        <v>139</v>
      </c>
      <c r="Q883" s="2" t="s">
        <v>214</v>
      </c>
      <c r="R883" s="2" t="s">
        <v>149</v>
      </c>
      <c r="S883" s="2" t="s">
        <v>198</v>
      </c>
      <c r="T883" s="10">
        <v>14.21</v>
      </c>
      <c r="U883" s="11">
        <v>1.085</v>
      </c>
      <c r="V883" s="12">
        <f>T883*U883</f>
        <v>15.41785</v>
      </c>
      <c r="W883" s="13">
        <v>0.19</v>
      </c>
      <c r="X883" s="12">
        <f>V883-(V883/(1+W883))</f>
        <v>2.4616735294117635</v>
      </c>
      <c r="Y883" s="12">
        <f>V883-X883</f>
        <v>12.956176470588236</v>
      </c>
      <c r="Z883" s="14">
        <v>25</v>
      </c>
      <c r="AA883" s="2" t="str">
        <f>IF(V883&gt;Z883,"Yes","No")</f>
        <v>No</v>
      </c>
      <c r="AB883" s="12">
        <f>V883-Z883</f>
        <v>-9.5821500000000004</v>
      </c>
      <c r="AC883" s="15" t="s">
        <v>130</v>
      </c>
      <c r="AD883" s="15" t="s">
        <v>130</v>
      </c>
      <c r="AE883" s="15" t="s">
        <v>421</v>
      </c>
      <c r="AF883" s="12">
        <f>IF(AG883="Rejected",0,IF(R883="Corporate Card",0,V883))</f>
        <v>15.41785</v>
      </c>
      <c r="AG883" s="15" t="s">
        <v>181</v>
      </c>
      <c r="AH883" s="16">
        <v>45744</v>
      </c>
      <c r="AI883" s="16"/>
      <c r="AJ883" s="16"/>
      <c r="AK883" s="17" t="str">
        <f>IF(AJ883="","",AJ883-AH883)</f>
        <v/>
      </c>
    </row>
    <row r="884" spans="1:37">
      <c r="A884" s="2" t="s">
        <v>1284</v>
      </c>
      <c r="B884" s="2" t="s">
        <v>169</v>
      </c>
      <c r="C884" s="2" t="s">
        <v>170</v>
      </c>
      <c r="D884" s="2" t="s">
        <v>171</v>
      </c>
      <c r="E884" s="2" t="s">
        <v>172</v>
      </c>
      <c r="F884" s="2" t="s">
        <v>173</v>
      </c>
      <c r="G884" s="2" t="s">
        <v>1250</v>
      </c>
      <c r="H884" s="2" t="s">
        <v>379</v>
      </c>
      <c r="I884" s="2" t="s">
        <v>1251</v>
      </c>
      <c r="J884" s="2" t="s">
        <v>750</v>
      </c>
      <c r="K884" s="9">
        <v>45735</v>
      </c>
      <c r="L884" s="9">
        <v>45742</v>
      </c>
      <c r="M884" s="9">
        <v>45739</v>
      </c>
      <c r="N884" s="2" t="s">
        <v>1054</v>
      </c>
      <c r="O884" s="2" t="s">
        <v>56</v>
      </c>
      <c r="P884" s="2" t="s">
        <v>165</v>
      </c>
      <c r="Q884" s="2" t="s">
        <v>227</v>
      </c>
      <c r="R884" s="2" t="s">
        <v>128</v>
      </c>
      <c r="S884" s="2" t="s">
        <v>198</v>
      </c>
      <c r="T884" s="10">
        <v>52.65</v>
      </c>
      <c r="U884" s="11">
        <v>1.085</v>
      </c>
      <c r="V884" s="12">
        <f>T884*U884</f>
        <v>57.125249999999994</v>
      </c>
      <c r="W884" s="13">
        <v>0.19</v>
      </c>
      <c r="X884" s="12">
        <f>V884-(V884/(1+W884))</f>
        <v>9.1208382352941157</v>
      </c>
      <c r="Y884" s="12">
        <f>V884-X884</f>
        <v>48.004411764705878</v>
      </c>
      <c r="Z884" s="14">
        <v>75</v>
      </c>
      <c r="AA884" s="2" t="str">
        <f>IF(V884&gt;Z884,"Yes","No")</f>
        <v>No</v>
      </c>
      <c r="AB884" s="12">
        <f>V884-Z884</f>
        <v>-17.874750000000006</v>
      </c>
      <c r="AC884" s="15" t="s">
        <v>130</v>
      </c>
      <c r="AD884" s="15" t="s">
        <v>130</v>
      </c>
      <c r="AE884" s="15" t="s">
        <v>421</v>
      </c>
      <c r="AF884" s="12">
        <f>IF(AG884="Rejected",0,IF(R884="Corporate Card",0,V884))</f>
        <v>0</v>
      </c>
      <c r="AG884" s="15" t="s">
        <v>181</v>
      </c>
      <c r="AH884" s="16">
        <v>45744</v>
      </c>
      <c r="AI884" s="16"/>
      <c r="AJ884" s="16"/>
      <c r="AK884" s="17" t="str">
        <f>IF(AJ884="","",AJ884-AH884)</f>
        <v/>
      </c>
    </row>
    <row r="885" spans="1:37">
      <c r="A885" s="2" t="s">
        <v>1285</v>
      </c>
      <c r="B885" s="2" t="s">
        <v>169</v>
      </c>
      <c r="C885" s="2" t="s">
        <v>170</v>
      </c>
      <c r="D885" s="2" t="s">
        <v>171</v>
      </c>
      <c r="E885" s="2" t="s">
        <v>172</v>
      </c>
      <c r="F885" s="2" t="s">
        <v>173</v>
      </c>
      <c r="G885" s="2" t="s">
        <v>1250</v>
      </c>
      <c r="H885" s="2" t="s">
        <v>379</v>
      </c>
      <c r="I885" s="2" t="s">
        <v>1251</v>
      </c>
      <c r="J885" s="2" t="s">
        <v>750</v>
      </c>
      <c r="K885" s="9">
        <v>45735</v>
      </c>
      <c r="L885" s="9">
        <v>45742</v>
      </c>
      <c r="M885" s="9">
        <v>45739</v>
      </c>
      <c r="N885" s="2" t="s">
        <v>1054</v>
      </c>
      <c r="O885" s="2" t="s">
        <v>55</v>
      </c>
      <c r="P885" s="2" t="s">
        <v>139</v>
      </c>
      <c r="Q885" s="2" t="s">
        <v>217</v>
      </c>
      <c r="R885" s="2" t="s">
        <v>128</v>
      </c>
      <c r="S885" s="2" t="s">
        <v>198</v>
      </c>
      <c r="T885" s="10">
        <v>27.51</v>
      </c>
      <c r="U885" s="11">
        <v>1.085</v>
      </c>
      <c r="V885" s="12">
        <f>T885*U885</f>
        <v>29.84835</v>
      </c>
      <c r="W885" s="13">
        <v>0.19</v>
      </c>
      <c r="X885" s="12">
        <f>V885-(V885/(1+W885))</f>
        <v>4.7657029411764711</v>
      </c>
      <c r="Y885" s="12">
        <f>V885-X885</f>
        <v>25.082647058823529</v>
      </c>
      <c r="Z885" s="14">
        <v>35</v>
      </c>
      <c r="AA885" s="2" t="str">
        <f>IF(V885&gt;Z885,"Yes","No")</f>
        <v>No</v>
      </c>
      <c r="AB885" s="12">
        <f>V885-Z885</f>
        <v>-5.1516500000000001</v>
      </c>
      <c r="AC885" s="15" t="s">
        <v>130</v>
      </c>
      <c r="AD885" s="15" t="s">
        <v>130</v>
      </c>
      <c r="AE885" s="15" t="s">
        <v>421</v>
      </c>
      <c r="AF885" s="12">
        <f>IF(AG885="Rejected",0,IF(R885="Corporate Card",0,V885))</f>
        <v>0</v>
      </c>
      <c r="AG885" s="15" t="s">
        <v>181</v>
      </c>
      <c r="AH885" s="16">
        <v>45744</v>
      </c>
      <c r="AI885" s="16"/>
      <c r="AJ885" s="16"/>
      <c r="AK885" s="17" t="str">
        <f>IF(AJ885="","",AJ885-AH885)</f>
        <v/>
      </c>
    </row>
    <row r="886" spans="1:37">
      <c r="A886" s="2" t="s">
        <v>1286</v>
      </c>
      <c r="B886" s="2" t="s">
        <v>342</v>
      </c>
      <c r="C886" s="2" t="s">
        <v>343</v>
      </c>
      <c r="D886" s="2" t="s">
        <v>344</v>
      </c>
      <c r="E886" s="2" t="s">
        <v>345</v>
      </c>
      <c r="F886" s="2" t="s">
        <v>346</v>
      </c>
      <c r="G886" s="2" t="s">
        <v>1264</v>
      </c>
      <c r="H886" s="2" t="s">
        <v>379</v>
      </c>
      <c r="I886" s="2" t="s">
        <v>315</v>
      </c>
      <c r="J886" s="2" t="s">
        <v>316</v>
      </c>
      <c r="K886" s="9">
        <v>45737</v>
      </c>
      <c r="L886" s="9">
        <v>45744</v>
      </c>
      <c r="M886" s="9">
        <v>45740</v>
      </c>
      <c r="N886" s="2" t="s">
        <v>1054</v>
      </c>
      <c r="O886" s="2" t="s">
        <v>58</v>
      </c>
      <c r="P886" s="2" t="s">
        <v>142</v>
      </c>
      <c r="Q886" s="2" t="s">
        <v>296</v>
      </c>
      <c r="R886" s="2" t="s">
        <v>128</v>
      </c>
      <c r="S886" s="2" t="s">
        <v>318</v>
      </c>
      <c r="T886" s="10">
        <v>135.41999999999999</v>
      </c>
      <c r="U886" s="11">
        <v>0.27229999999999999</v>
      </c>
      <c r="V886" s="12">
        <f>T886*U886</f>
        <v>36.874865999999997</v>
      </c>
      <c r="W886" s="13">
        <v>0.05</v>
      </c>
      <c r="X886" s="12">
        <f>V886-(V886/(1+W886))</f>
        <v>1.7559460000000016</v>
      </c>
      <c r="Y886" s="12">
        <f>V886-X886</f>
        <v>35.118919999999996</v>
      </c>
      <c r="Z886" s="14">
        <v>60</v>
      </c>
      <c r="AA886" s="2" t="str">
        <f>IF(V886&gt;Z886,"Yes","No")</f>
        <v>No</v>
      </c>
      <c r="AB886" s="12">
        <f>V886-Z886</f>
        <v>-23.125134000000003</v>
      </c>
      <c r="AC886" s="15" t="s">
        <v>130</v>
      </c>
      <c r="AD886" s="15" t="s">
        <v>131</v>
      </c>
      <c r="AE886" s="15" t="s">
        <v>180</v>
      </c>
      <c r="AF886" s="12">
        <f>IF(AG886="Rejected",0,IF(R886="Corporate Card",0,V886))</f>
        <v>0</v>
      </c>
      <c r="AG886" s="15" t="s">
        <v>133</v>
      </c>
      <c r="AH886" s="16">
        <v>45753</v>
      </c>
      <c r="AI886" s="16">
        <v>45754</v>
      </c>
      <c r="AJ886" s="16">
        <v>45761</v>
      </c>
      <c r="AK886" s="17">
        <f>IF(AJ886="","",AJ886-AH886)</f>
        <v>8</v>
      </c>
    </row>
    <row r="887" spans="1:37">
      <c r="A887" s="2" t="s">
        <v>1287</v>
      </c>
      <c r="B887" s="2" t="s">
        <v>342</v>
      </c>
      <c r="C887" s="2" t="s">
        <v>343</v>
      </c>
      <c r="D887" s="2" t="s">
        <v>344</v>
      </c>
      <c r="E887" s="2" t="s">
        <v>345</v>
      </c>
      <c r="F887" s="2" t="s">
        <v>346</v>
      </c>
      <c r="G887" s="2" t="s">
        <v>1264</v>
      </c>
      <c r="H887" s="2" t="s">
        <v>379</v>
      </c>
      <c r="I887" s="2" t="s">
        <v>315</v>
      </c>
      <c r="J887" s="2" t="s">
        <v>316</v>
      </c>
      <c r="K887" s="9">
        <v>45737</v>
      </c>
      <c r="L887" s="9">
        <v>45744</v>
      </c>
      <c r="M887" s="9">
        <v>45740</v>
      </c>
      <c r="N887" s="2" t="s">
        <v>1054</v>
      </c>
      <c r="O887" s="2" t="s">
        <v>68</v>
      </c>
      <c r="P887" s="2" t="s">
        <v>282</v>
      </c>
      <c r="Q887" s="2" t="s">
        <v>283</v>
      </c>
      <c r="R887" s="2" t="s">
        <v>128</v>
      </c>
      <c r="S887" s="2" t="s">
        <v>318</v>
      </c>
      <c r="T887" s="10">
        <v>74.64</v>
      </c>
      <c r="U887" s="11">
        <v>0.27229999999999999</v>
      </c>
      <c r="V887" s="12">
        <f>T887*U887</f>
        <v>20.324472</v>
      </c>
      <c r="W887" s="13">
        <v>0.05</v>
      </c>
      <c r="X887" s="12">
        <f>V887-(V887/(1+W887))</f>
        <v>0.96783200000000136</v>
      </c>
      <c r="Y887" s="12">
        <f>V887-X887</f>
        <v>19.356639999999999</v>
      </c>
      <c r="Z887" s="14">
        <v>30</v>
      </c>
      <c r="AA887" s="2" t="str">
        <f>IF(V887&gt;Z887,"Yes","No")</f>
        <v>No</v>
      </c>
      <c r="AB887" s="12">
        <f>V887-Z887</f>
        <v>-9.6755279999999999</v>
      </c>
      <c r="AC887" s="15" t="s">
        <v>130</v>
      </c>
      <c r="AD887" s="15" t="s">
        <v>131</v>
      </c>
      <c r="AE887" s="15" t="s">
        <v>180</v>
      </c>
      <c r="AF887" s="12">
        <f>IF(AG887="Rejected",0,IF(R887="Corporate Card",0,V887))</f>
        <v>0</v>
      </c>
      <c r="AG887" s="15" t="s">
        <v>133</v>
      </c>
      <c r="AH887" s="16">
        <v>45753</v>
      </c>
      <c r="AI887" s="16">
        <v>45754</v>
      </c>
      <c r="AJ887" s="16">
        <v>45761</v>
      </c>
      <c r="AK887" s="17">
        <f>IF(AJ887="","",AJ887-AH887)</f>
        <v>8</v>
      </c>
    </row>
    <row r="888" spans="1:37">
      <c r="A888" s="2" t="s">
        <v>1288</v>
      </c>
      <c r="B888" s="2" t="s">
        <v>342</v>
      </c>
      <c r="C888" s="2" t="s">
        <v>343</v>
      </c>
      <c r="D888" s="2" t="s">
        <v>344</v>
      </c>
      <c r="E888" s="2" t="s">
        <v>345</v>
      </c>
      <c r="F888" s="2" t="s">
        <v>346</v>
      </c>
      <c r="G888" s="2" t="s">
        <v>1264</v>
      </c>
      <c r="H888" s="2" t="s">
        <v>379</v>
      </c>
      <c r="I888" s="2" t="s">
        <v>315</v>
      </c>
      <c r="J888" s="2" t="s">
        <v>316</v>
      </c>
      <c r="K888" s="9">
        <v>45737</v>
      </c>
      <c r="L888" s="9">
        <v>45744</v>
      </c>
      <c r="M888" s="9">
        <v>45740</v>
      </c>
      <c r="N888" s="2" t="s">
        <v>1054</v>
      </c>
      <c r="O888" s="2" t="s">
        <v>54</v>
      </c>
      <c r="P888" s="2" t="s">
        <v>139</v>
      </c>
      <c r="Q888" s="2" t="s">
        <v>148</v>
      </c>
      <c r="R888" s="2" t="s">
        <v>128</v>
      </c>
      <c r="S888" s="2" t="s">
        <v>318</v>
      </c>
      <c r="T888" s="10">
        <v>40.76</v>
      </c>
      <c r="U888" s="11">
        <v>0.27229999999999999</v>
      </c>
      <c r="V888" s="12">
        <f>T888*U888</f>
        <v>11.098947999999998</v>
      </c>
      <c r="W888" s="13">
        <v>0.05</v>
      </c>
      <c r="X888" s="12">
        <f>V888-(V888/(1+W888))</f>
        <v>0.52852133333333384</v>
      </c>
      <c r="Y888" s="12">
        <f>V888-X888</f>
        <v>10.570426666666664</v>
      </c>
      <c r="Z888" s="14">
        <v>25</v>
      </c>
      <c r="AA888" s="2" t="str">
        <f>IF(V888&gt;Z888,"Yes","No")</f>
        <v>No</v>
      </c>
      <c r="AB888" s="12">
        <f>V888-Z888</f>
        <v>-13.901052000000002</v>
      </c>
      <c r="AC888" s="15" t="s">
        <v>130</v>
      </c>
      <c r="AD888" s="15" t="s">
        <v>131</v>
      </c>
      <c r="AE888" s="15" t="s">
        <v>180</v>
      </c>
      <c r="AF888" s="12">
        <f>IF(AG888="Rejected",0,IF(R888="Corporate Card",0,V888))</f>
        <v>0</v>
      </c>
      <c r="AG888" s="15" t="s">
        <v>133</v>
      </c>
      <c r="AH888" s="16">
        <v>45753</v>
      </c>
      <c r="AI888" s="16">
        <v>45754</v>
      </c>
      <c r="AJ888" s="16">
        <v>45761</v>
      </c>
      <c r="AK888" s="17">
        <f>IF(AJ888="","",AJ888-AH888)</f>
        <v>8</v>
      </c>
    </row>
    <row r="889" spans="1:37">
      <c r="A889" s="2" t="s">
        <v>1289</v>
      </c>
      <c r="B889" s="2" t="s">
        <v>342</v>
      </c>
      <c r="C889" s="2" t="s">
        <v>343</v>
      </c>
      <c r="D889" s="2" t="s">
        <v>344</v>
      </c>
      <c r="E889" s="2" t="s">
        <v>345</v>
      </c>
      <c r="F889" s="2" t="s">
        <v>346</v>
      </c>
      <c r="G889" s="2" t="s">
        <v>1264</v>
      </c>
      <c r="H889" s="2" t="s">
        <v>379</v>
      </c>
      <c r="I889" s="2" t="s">
        <v>315</v>
      </c>
      <c r="J889" s="2" t="s">
        <v>316</v>
      </c>
      <c r="K889" s="9">
        <v>45737</v>
      </c>
      <c r="L889" s="9">
        <v>45744</v>
      </c>
      <c r="M889" s="9">
        <v>45740</v>
      </c>
      <c r="N889" s="2" t="s">
        <v>1054</v>
      </c>
      <c r="O889" s="2" t="s">
        <v>56</v>
      </c>
      <c r="P889" s="2" t="s">
        <v>151</v>
      </c>
      <c r="Q889" s="2" t="s">
        <v>152</v>
      </c>
      <c r="R889" s="2" t="s">
        <v>128</v>
      </c>
      <c r="S889" s="2" t="s">
        <v>318</v>
      </c>
      <c r="T889" s="10">
        <v>197.8</v>
      </c>
      <c r="U889" s="11">
        <v>0.27229999999999999</v>
      </c>
      <c r="V889" s="12">
        <f>T889*U889</f>
        <v>53.860939999999999</v>
      </c>
      <c r="W889" s="13">
        <v>0.05</v>
      </c>
      <c r="X889" s="12">
        <f>V889-(V889/(1+W889))</f>
        <v>2.5648066666666693</v>
      </c>
      <c r="Y889" s="12">
        <f>V889-X889</f>
        <v>51.29613333333333</v>
      </c>
      <c r="Z889" s="14">
        <v>75</v>
      </c>
      <c r="AA889" s="2" t="str">
        <f>IF(V889&gt;Z889,"Yes","No")</f>
        <v>No</v>
      </c>
      <c r="AB889" s="12">
        <f>V889-Z889</f>
        <v>-21.139060000000001</v>
      </c>
      <c r="AC889" s="15" t="s">
        <v>131</v>
      </c>
      <c r="AD889" s="15" t="s">
        <v>131</v>
      </c>
      <c r="AE889" s="15" t="s">
        <v>180</v>
      </c>
      <c r="AF889" s="12">
        <f>IF(AG889="Rejected",0,IF(R889="Corporate Card",0,V889))</f>
        <v>0</v>
      </c>
      <c r="AG889" s="15" t="s">
        <v>133</v>
      </c>
      <c r="AH889" s="16">
        <v>45753</v>
      </c>
      <c r="AI889" s="16">
        <v>45754</v>
      </c>
      <c r="AJ889" s="16">
        <v>45761</v>
      </c>
      <c r="AK889" s="17">
        <f>IF(AJ889="","",AJ889-AH889)</f>
        <v>8</v>
      </c>
    </row>
    <row r="890" spans="1:37">
      <c r="A890" s="2" t="s">
        <v>1290</v>
      </c>
      <c r="B890" s="2" t="s">
        <v>342</v>
      </c>
      <c r="C890" s="2" t="s">
        <v>343</v>
      </c>
      <c r="D890" s="2" t="s">
        <v>344</v>
      </c>
      <c r="E890" s="2" t="s">
        <v>345</v>
      </c>
      <c r="F890" s="2" t="s">
        <v>346</v>
      </c>
      <c r="G890" s="2" t="s">
        <v>1264</v>
      </c>
      <c r="H890" s="2" t="s">
        <v>379</v>
      </c>
      <c r="I890" s="2" t="s">
        <v>315</v>
      </c>
      <c r="J890" s="2" t="s">
        <v>316</v>
      </c>
      <c r="K890" s="9">
        <v>45737</v>
      </c>
      <c r="L890" s="9">
        <v>45744</v>
      </c>
      <c r="M890" s="9">
        <v>45740</v>
      </c>
      <c r="N890" s="2" t="s">
        <v>1054</v>
      </c>
      <c r="O890" s="2" t="s">
        <v>55</v>
      </c>
      <c r="P890" s="2" t="s">
        <v>139</v>
      </c>
      <c r="Q890" s="2" t="s">
        <v>154</v>
      </c>
      <c r="R890" s="2" t="s">
        <v>128</v>
      </c>
      <c r="S890" s="2" t="s">
        <v>318</v>
      </c>
      <c r="T890" s="10">
        <v>77.56</v>
      </c>
      <c r="U890" s="11">
        <v>0.27229999999999999</v>
      </c>
      <c r="V890" s="12">
        <f>T890*U890</f>
        <v>21.119588</v>
      </c>
      <c r="W890" s="13">
        <v>0.05</v>
      </c>
      <c r="X890" s="12">
        <f>V890-(V890/(1+W890))</f>
        <v>1.0056946666666668</v>
      </c>
      <c r="Y890" s="12">
        <f>V890-X890</f>
        <v>20.113893333333333</v>
      </c>
      <c r="Z890" s="14">
        <v>35</v>
      </c>
      <c r="AA890" s="2" t="str">
        <f>IF(V890&gt;Z890,"Yes","No")</f>
        <v>No</v>
      </c>
      <c r="AB890" s="12">
        <f>V890-Z890</f>
        <v>-13.880412</v>
      </c>
      <c r="AC890" s="15" t="s">
        <v>130</v>
      </c>
      <c r="AD890" s="15" t="s">
        <v>131</v>
      </c>
      <c r="AE890" s="15" t="s">
        <v>180</v>
      </c>
      <c r="AF890" s="12">
        <f>IF(AG890="Rejected",0,IF(R890="Corporate Card",0,V890))</f>
        <v>0</v>
      </c>
      <c r="AG890" s="15" t="s">
        <v>133</v>
      </c>
      <c r="AH890" s="16">
        <v>45753</v>
      </c>
      <c r="AI890" s="16">
        <v>45754</v>
      </c>
      <c r="AJ890" s="16">
        <v>45761</v>
      </c>
      <c r="AK890" s="17">
        <f>IF(AJ890="","",AJ890-AH890)</f>
        <v>8</v>
      </c>
    </row>
    <row r="891" spans="1:37">
      <c r="A891" s="2" t="s">
        <v>1291</v>
      </c>
      <c r="B891" s="2" t="s">
        <v>169</v>
      </c>
      <c r="C891" s="2" t="s">
        <v>170</v>
      </c>
      <c r="D891" s="2" t="s">
        <v>171</v>
      </c>
      <c r="E891" s="2" t="s">
        <v>172</v>
      </c>
      <c r="F891" s="2" t="s">
        <v>173</v>
      </c>
      <c r="G891" s="2" t="s">
        <v>1250</v>
      </c>
      <c r="H891" s="2" t="s">
        <v>379</v>
      </c>
      <c r="I891" s="2" t="s">
        <v>1251</v>
      </c>
      <c r="J891" s="2" t="s">
        <v>750</v>
      </c>
      <c r="K891" s="9">
        <v>45735</v>
      </c>
      <c r="L891" s="9">
        <v>45742</v>
      </c>
      <c r="M891" s="9">
        <v>45740</v>
      </c>
      <c r="N891" s="2" t="s">
        <v>1054</v>
      </c>
      <c r="O891" s="2" t="s">
        <v>58</v>
      </c>
      <c r="P891" s="2" t="s">
        <v>142</v>
      </c>
      <c r="Q891" s="2" t="s">
        <v>156</v>
      </c>
      <c r="R891" s="2" t="s">
        <v>128</v>
      </c>
      <c r="S891" s="2" t="s">
        <v>198</v>
      </c>
      <c r="T891" s="10">
        <v>28.78</v>
      </c>
      <c r="U891" s="11">
        <v>1.085</v>
      </c>
      <c r="V891" s="12">
        <f>T891*U891</f>
        <v>31.226300000000002</v>
      </c>
      <c r="W891" s="13">
        <v>0.19</v>
      </c>
      <c r="X891" s="12">
        <f>V891-(V891/(1+W891))</f>
        <v>4.9857117647058828</v>
      </c>
      <c r="Y891" s="12">
        <f>V891-X891</f>
        <v>26.240588235294119</v>
      </c>
      <c r="Z891" s="14">
        <v>60</v>
      </c>
      <c r="AA891" s="2" t="str">
        <f>IF(V891&gt;Z891,"Yes","No")</f>
        <v>No</v>
      </c>
      <c r="AB891" s="12">
        <f>V891-Z891</f>
        <v>-28.773699999999998</v>
      </c>
      <c r="AC891" s="15" t="s">
        <v>130</v>
      </c>
      <c r="AD891" s="15" t="s">
        <v>130</v>
      </c>
      <c r="AE891" s="15" t="s">
        <v>421</v>
      </c>
      <c r="AF891" s="12">
        <f>IF(AG891="Rejected",0,IF(R891="Corporate Card",0,V891))</f>
        <v>0</v>
      </c>
      <c r="AG891" s="15" t="s">
        <v>181</v>
      </c>
      <c r="AH891" s="16">
        <v>45744</v>
      </c>
      <c r="AI891" s="16"/>
      <c r="AJ891" s="16"/>
      <c r="AK891" s="17" t="str">
        <f>IF(AJ891="","",AJ891-AH891)</f>
        <v/>
      </c>
    </row>
    <row r="892" spans="1:37">
      <c r="A892" s="2" t="s">
        <v>1292</v>
      </c>
      <c r="B892" s="2" t="s">
        <v>169</v>
      </c>
      <c r="C892" s="2" t="s">
        <v>170</v>
      </c>
      <c r="D892" s="2" t="s">
        <v>171</v>
      </c>
      <c r="E892" s="2" t="s">
        <v>172</v>
      </c>
      <c r="F892" s="2" t="s">
        <v>173</v>
      </c>
      <c r="G892" s="2" t="s">
        <v>1250</v>
      </c>
      <c r="H892" s="2" t="s">
        <v>379</v>
      </c>
      <c r="I892" s="2" t="s">
        <v>1251</v>
      </c>
      <c r="J892" s="2" t="s">
        <v>750</v>
      </c>
      <c r="K892" s="9">
        <v>45735</v>
      </c>
      <c r="L892" s="9">
        <v>45742</v>
      </c>
      <c r="M892" s="9">
        <v>45740</v>
      </c>
      <c r="N892" s="2" t="s">
        <v>1054</v>
      </c>
      <c r="O892" s="2" t="s">
        <v>54</v>
      </c>
      <c r="P892" s="2" t="s">
        <v>139</v>
      </c>
      <c r="Q892" s="2" t="s">
        <v>214</v>
      </c>
      <c r="R892" s="2" t="s">
        <v>137</v>
      </c>
      <c r="S892" s="2" t="s">
        <v>198</v>
      </c>
      <c r="T892" s="10">
        <v>26.15</v>
      </c>
      <c r="U892" s="11">
        <v>1.085</v>
      </c>
      <c r="V892" s="12">
        <f>T892*U892</f>
        <v>28.372749999999996</v>
      </c>
      <c r="W892" s="13">
        <v>0.19</v>
      </c>
      <c r="X892" s="12">
        <f>V892-(V892/(1+W892))</f>
        <v>4.5301029411764695</v>
      </c>
      <c r="Y892" s="12">
        <f>V892-X892</f>
        <v>23.842647058823527</v>
      </c>
      <c r="Z892" s="14">
        <v>25</v>
      </c>
      <c r="AA892" s="2" t="str">
        <f>IF(V892&gt;Z892,"Yes","No")</f>
        <v>Yes</v>
      </c>
      <c r="AB892" s="12">
        <f>V892-Z892</f>
        <v>3.3727499999999964</v>
      </c>
      <c r="AC892" s="15" t="s">
        <v>130</v>
      </c>
      <c r="AD892" s="15" t="s">
        <v>130</v>
      </c>
      <c r="AE892" s="15" t="s">
        <v>421</v>
      </c>
      <c r="AF892" s="12">
        <f>IF(AG892="Rejected",0,IF(R892="Corporate Card",0,V892))</f>
        <v>28.372749999999996</v>
      </c>
      <c r="AG892" s="15" t="s">
        <v>181</v>
      </c>
      <c r="AH892" s="16">
        <v>45744</v>
      </c>
      <c r="AI892" s="16"/>
      <c r="AJ892" s="16"/>
      <c r="AK892" s="17" t="str">
        <f>IF(AJ892="","",AJ892-AH892)</f>
        <v/>
      </c>
    </row>
    <row r="893" spans="1:37">
      <c r="A893" s="2" t="s">
        <v>1293</v>
      </c>
      <c r="B893" s="2" t="s">
        <v>169</v>
      </c>
      <c r="C893" s="2" t="s">
        <v>170</v>
      </c>
      <c r="D893" s="2" t="s">
        <v>171</v>
      </c>
      <c r="E893" s="2" t="s">
        <v>172</v>
      </c>
      <c r="F893" s="2" t="s">
        <v>173</v>
      </c>
      <c r="G893" s="2" t="s">
        <v>1250</v>
      </c>
      <c r="H893" s="2" t="s">
        <v>379</v>
      </c>
      <c r="I893" s="2" t="s">
        <v>1251</v>
      </c>
      <c r="J893" s="2" t="s">
        <v>750</v>
      </c>
      <c r="K893" s="9">
        <v>45735</v>
      </c>
      <c r="L893" s="9">
        <v>45742</v>
      </c>
      <c r="M893" s="9">
        <v>45740</v>
      </c>
      <c r="N893" s="2" t="s">
        <v>1054</v>
      </c>
      <c r="O893" s="2" t="s">
        <v>56</v>
      </c>
      <c r="P893" s="2" t="s">
        <v>151</v>
      </c>
      <c r="Q893" s="2" t="s">
        <v>185</v>
      </c>
      <c r="R893" s="2" t="s">
        <v>137</v>
      </c>
      <c r="S893" s="2" t="s">
        <v>198</v>
      </c>
      <c r="T893" s="10">
        <v>27.2</v>
      </c>
      <c r="U893" s="11">
        <v>1.085</v>
      </c>
      <c r="V893" s="12">
        <f>T893*U893</f>
        <v>29.511999999999997</v>
      </c>
      <c r="W893" s="13">
        <v>0.19</v>
      </c>
      <c r="X893" s="12">
        <f>V893-(V893/(1+W893))</f>
        <v>4.7119999999999997</v>
      </c>
      <c r="Y893" s="12">
        <f>V893-X893</f>
        <v>24.799999999999997</v>
      </c>
      <c r="Z893" s="14">
        <v>75</v>
      </c>
      <c r="AA893" s="2" t="str">
        <f>IF(V893&gt;Z893,"Yes","No")</f>
        <v>No</v>
      </c>
      <c r="AB893" s="12">
        <f>V893-Z893</f>
        <v>-45.488</v>
      </c>
      <c r="AC893" s="15" t="s">
        <v>130</v>
      </c>
      <c r="AD893" s="15" t="s">
        <v>130</v>
      </c>
      <c r="AE893" s="15" t="s">
        <v>421</v>
      </c>
      <c r="AF893" s="12">
        <f>IF(AG893="Rejected",0,IF(R893="Corporate Card",0,V893))</f>
        <v>29.511999999999997</v>
      </c>
      <c r="AG893" s="15" t="s">
        <v>181</v>
      </c>
      <c r="AH893" s="16">
        <v>45744</v>
      </c>
      <c r="AI893" s="16"/>
      <c r="AJ893" s="16"/>
      <c r="AK893" s="17" t="str">
        <f>IF(AJ893="","",AJ893-AH893)</f>
        <v/>
      </c>
    </row>
    <row r="894" spans="1:37">
      <c r="A894" s="2" t="s">
        <v>1294</v>
      </c>
      <c r="B894" s="2" t="s">
        <v>169</v>
      </c>
      <c r="C894" s="2" t="s">
        <v>170</v>
      </c>
      <c r="D894" s="2" t="s">
        <v>171</v>
      </c>
      <c r="E894" s="2" t="s">
        <v>172</v>
      </c>
      <c r="F894" s="2" t="s">
        <v>173</v>
      </c>
      <c r="G894" s="2" t="s">
        <v>1250</v>
      </c>
      <c r="H894" s="2" t="s">
        <v>379</v>
      </c>
      <c r="I894" s="2" t="s">
        <v>1251</v>
      </c>
      <c r="J894" s="2" t="s">
        <v>750</v>
      </c>
      <c r="K894" s="9">
        <v>45735</v>
      </c>
      <c r="L894" s="9">
        <v>45742</v>
      </c>
      <c r="M894" s="9">
        <v>45740</v>
      </c>
      <c r="N894" s="2" t="s">
        <v>1054</v>
      </c>
      <c r="O894" s="2" t="s">
        <v>55</v>
      </c>
      <c r="P894" s="2" t="s">
        <v>139</v>
      </c>
      <c r="Q894" s="2" t="s">
        <v>217</v>
      </c>
      <c r="R894" s="2" t="s">
        <v>149</v>
      </c>
      <c r="S894" s="2" t="s">
        <v>198</v>
      </c>
      <c r="T894" s="10">
        <v>16.87</v>
      </c>
      <c r="U894" s="11">
        <v>1.085</v>
      </c>
      <c r="V894" s="12">
        <f>T894*U894</f>
        <v>18.30395</v>
      </c>
      <c r="W894" s="13">
        <v>0.19</v>
      </c>
      <c r="X894" s="12">
        <f>V894-(V894/(1+W894))</f>
        <v>2.922479411764705</v>
      </c>
      <c r="Y894" s="12">
        <f>V894-X894</f>
        <v>15.381470588235295</v>
      </c>
      <c r="Z894" s="14">
        <v>35</v>
      </c>
      <c r="AA894" s="2" t="str">
        <f>IF(V894&gt;Z894,"Yes","No")</f>
        <v>No</v>
      </c>
      <c r="AB894" s="12">
        <f>V894-Z894</f>
        <v>-16.69605</v>
      </c>
      <c r="AC894" s="15" t="s">
        <v>130</v>
      </c>
      <c r="AD894" s="15" t="s">
        <v>130</v>
      </c>
      <c r="AE894" s="15" t="s">
        <v>421</v>
      </c>
      <c r="AF894" s="12">
        <f>IF(AG894="Rejected",0,IF(R894="Corporate Card",0,V894))</f>
        <v>18.30395</v>
      </c>
      <c r="AG894" s="15" t="s">
        <v>181</v>
      </c>
      <c r="AH894" s="16">
        <v>45744</v>
      </c>
      <c r="AI894" s="16"/>
      <c r="AJ894" s="16"/>
      <c r="AK894" s="17" t="str">
        <f>IF(AJ894="","",AJ894-AH894)</f>
        <v/>
      </c>
    </row>
    <row r="895" spans="1:37">
      <c r="A895" s="2" t="s">
        <v>1295</v>
      </c>
      <c r="B895" s="2" t="s">
        <v>342</v>
      </c>
      <c r="C895" s="2" t="s">
        <v>343</v>
      </c>
      <c r="D895" s="2" t="s">
        <v>344</v>
      </c>
      <c r="E895" s="2" t="s">
        <v>345</v>
      </c>
      <c r="F895" s="2" t="s">
        <v>346</v>
      </c>
      <c r="G895" s="2" t="s">
        <v>1264</v>
      </c>
      <c r="H895" s="2" t="s">
        <v>379</v>
      </c>
      <c r="I895" s="2" t="s">
        <v>315</v>
      </c>
      <c r="J895" s="2" t="s">
        <v>316</v>
      </c>
      <c r="K895" s="9">
        <v>45737</v>
      </c>
      <c r="L895" s="9">
        <v>45744</v>
      </c>
      <c r="M895" s="9">
        <v>45741</v>
      </c>
      <c r="N895" s="2" t="s">
        <v>1054</v>
      </c>
      <c r="O895" s="2" t="s">
        <v>58</v>
      </c>
      <c r="P895" s="2" t="s">
        <v>142</v>
      </c>
      <c r="Q895" s="2" t="s">
        <v>296</v>
      </c>
      <c r="R895" s="2" t="s">
        <v>128</v>
      </c>
      <c r="S895" s="2" t="s">
        <v>318</v>
      </c>
      <c r="T895" s="10">
        <v>144.46</v>
      </c>
      <c r="U895" s="11">
        <v>0.27229999999999999</v>
      </c>
      <c r="V895" s="12">
        <f>T895*U895</f>
        <v>39.336458</v>
      </c>
      <c r="W895" s="13">
        <v>0.05</v>
      </c>
      <c r="X895" s="12">
        <f>V895-(V895/(1+W895))</f>
        <v>1.8731646666666677</v>
      </c>
      <c r="Y895" s="12">
        <f>V895-X895</f>
        <v>37.463293333333333</v>
      </c>
      <c r="Z895" s="14">
        <v>60</v>
      </c>
      <c r="AA895" s="2" t="str">
        <f>IF(V895&gt;Z895,"Yes","No")</f>
        <v>No</v>
      </c>
      <c r="AB895" s="12">
        <f>V895-Z895</f>
        <v>-20.663542</v>
      </c>
      <c r="AC895" s="15" t="s">
        <v>130</v>
      </c>
      <c r="AD895" s="15" t="s">
        <v>131</v>
      </c>
      <c r="AE895" s="15" t="s">
        <v>180</v>
      </c>
      <c r="AF895" s="12">
        <f>IF(AG895="Rejected",0,IF(R895="Corporate Card",0,V895))</f>
        <v>0</v>
      </c>
      <c r="AG895" s="15" t="s">
        <v>133</v>
      </c>
      <c r="AH895" s="16">
        <v>45753</v>
      </c>
      <c r="AI895" s="16">
        <v>45754</v>
      </c>
      <c r="AJ895" s="16">
        <v>45761</v>
      </c>
      <c r="AK895" s="17">
        <f>IF(AJ895="","",AJ895-AH895)</f>
        <v>8</v>
      </c>
    </row>
    <row r="896" spans="1:37">
      <c r="A896" s="2" t="s">
        <v>1296</v>
      </c>
      <c r="B896" s="2" t="s">
        <v>342</v>
      </c>
      <c r="C896" s="2" t="s">
        <v>343</v>
      </c>
      <c r="D896" s="2" t="s">
        <v>344</v>
      </c>
      <c r="E896" s="2" t="s">
        <v>345</v>
      </c>
      <c r="F896" s="2" t="s">
        <v>346</v>
      </c>
      <c r="G896" s="2" t="s">
        <v>1264</v>
      </c>
      <c r="H896" s="2" t="s">
        <v>379</v>
      </c>
      <c r="I896" s="2" t="s">
        <v>315</v>
      </c>
      <c r="J896" s="2" t="s">
        <v>316</v>
      </c>
      <c r="K896" s="9">
        <v>45737</v>
      </c>
      <c r="L896" s="9">
        <v>45744</v>
      </c>
      <c r="M896" s="9">
        <v>45741</v>
      </c>
      <c r="N896" s="2" t="s">
        <v>1054</v>
      </c>
      <c r="O896" s="2" t="s">
        <v>54</v>
      </c>
      <c r="P896" s="2" t="s">
        <v>139</v>
      </c>
      <c r="Q896" s="2" t="s">
        <v>214</v>
      </c>
      <c r="R896" s="2" t="s">
        <v>128</v>
      </c>
      <c r="S896" s="2" t="s">
        <v>318</v>
      </c>
      <c r="T896" s="10">
        <v>127.32</v>
      </c>
      <c r="U896" s="11">
        <v>0.27229999999999999</v>
      </c>
      <c r="V896" s="12">
        <f>T896*U896</f>
        <v>34.669235999999998</v>
      </c>
      <c r="W896" s="13">
        <v>0.05</v>
      </c>
      <c r="X896" s="12">
        <f>V896-(V896/(1+W896))</f>
        <v>1.6509160000000023</v>
      </c>
      <c r="Y896" s="12">
        <f>V896-X896</f>
        <v>33.018319999999996</v>
      </c>
      <c r="Z896" s="14">
        <v>25</v>
      </c>
      <c r="AA896" s="2" t="str">
        <f>IF(V896&gt;Z896,"Yes","No")</f>
        <v>Yes</v>
      </c>
      <c r="AB896" s="12">
        <f>V896-Z896</f>
        <v>9.6692359999999979</v>
      </c>
      <c r="AC896" s="15" t="s">
        <v>131</v>
      </c>
      <c r="AD896" s="15" t="s">
        <v>131</v>
      </c>
      <c r="AE896" s="15" t="s">
        <v>180</v>
      </c>
      <c r="AF896" s="12">
        <f>IF(AG896="Rejected",0,IF(R896="Corporate Card",0,V896))</f>
        <v>0</v>
      </c>
      <c r="AG896" s="15" t="s">
        <v>133</v>
      </c>
      <c r="AH896" s="16">
        <v>45753</v>
      </c>
      <c r="AI896" s="16">
        <v>45754</v>
      </c>
      <c r="AJ896" s="16">
        <v>45761</v>
      </c>
      <c r="AK896" s="17">
        <f>IF(AJ896="","",AJ896-AH896)</f>
        <v>8</v>
      </c>
    </row>
    <row r="897" spans="1:37">
      <c r="A897" s="2" t="s">
        <v>1297</v>
      </c>
      <c r="B897" s="2" t="s">
        <v>342</v>
      </c>
      <c r="C897" s="2" t="s">
        <v>343</v>
      </c>
      <c r="D897" s="2" t="s">
        <v>344</v>
      </c>
      <c r="E897" s="2" t="s">
        <v>345</v>
      </c>
      <c r="F897" s="2" t="s">
        <v>346</v>
      </c>
      <c r="G897" s="2" t="s">
        <v>1264</v>
      </c>
      <c r="H897" s="2" t="s">
        <v>379</v>
      </c>
      <c r="I897" s="2" t="s">
        <v>315</v>
      </c>
      <c r="J897" s="2" t="s">
        <v>316</v>
      </c>
      <c r="K897" s="9">
        <v>45737</v>
      </c>
      <c r="L897" s="9">
        <v>45744</v>
      </c>
      <c r="M897" s="9">
        <v>45741</v>
      </c>
      <c r="N897" s="2" t="s">
        <v>1054</v>
      </c>
      <c r="O897" s="2" t="s">
        <v>56</v>
      </c>
      <c r="P897" s="2" t="s">
        <v>245</v>
      </c>
      <c r="Q897" s="2" t="s">
        <v>166</v>
      </c>
      <c r="R897" s="2" t="s">
        <v>128</v>
      </c>
      <c r="S897" s="2" t="s">
        <v>318</v>
      </c>
      <c r="T897" s="10">
        <v>145.31</v>
      </c>
      <c r="U897" s="11">
        <v>0.27229999999999999</v>
      </c>
      <c r="V897" s="12">
        <f>T897*U897</f>
        <v>39.567912999999997</v>
      </c>
      <c r="W897" s="13">
        <v>0.05</v>
      </c>
      <c r="X897" s="12">
        <f>V897-(V897/(1+W897))</f>
        <v>1.8841863333333322</v>
      </c>
      <c r="Y897" s="12">
        <f>V897-X897</f>
        <v>37.683726666666665</v>
      </c>
      <c r="Z897" s="14">
        <v>75</v>
      </c>
      <c r="AA897" s="2" t="str">
        <f>IF(V897&gt;Z897,"Yes","No")</f>
        <v>No</v>
      </c>
      <c r="AB897" s="12">
        <f>V897-Z897</f>
        <v>-35.432087000000003</v>
      </c>
      <c r="AC897" s="15" t="s">
        <v>130</v>
      </c>
      <c r="AD897" s="15" t="s">
        <v>131</v>
      </c>
      <c r="AE897" s="15" t="s">
        <v>180</v>
      </c>
      <c r="AF897" s="12">
        <f>IF(AG897="Rejected",0,IF(R897="Corporate Card",0,V897))</f>
        <v>0</v>
      </c>
      <c r="AG897" s="15" t="s">
        <v>133</v>
      </c>
      <c r="AH897" s="16">
        <v>45753</v>
      </c>
      <c r="AI897" s="16">
        <v>45754</v>
      </c>
      <c r="AJ897" s="16">
        <v>45761</v>
      </c>
      <c r="AK897" s="17">
        <f>IF(AJ897="","",AJ897-AH897)</f>
        <v>8</v>
      </c>
    </row>
    <row r="898" spans="1:37">
      <c r="A898" s="2" t="s">
        <v>1298</v>
      </c>
      <c r="B898" s="2" t="s">
        <v>342</v>
      </c>
      <c r="C898" s="2" t="s">
        <v>343</v>
      </c>
      <c r="D898" s="2" t="s">
        <v>344</v>
      </c>
      <c r="E898" s="2" t="s">
        <v>345</v>
      </c>
      <c r="F898" s="2" t="s">
        <v>346</v>
      </c>
      <c r="G898" s="2" t="s">
        <v>1264</v>
      </c>
      <c r="H898" s="2" t="s">
        <v>379</v>
      </c>
      <c r="I898" s="2" t="s">
        <v>315</v>
      </c>
      <c r="J898" s="2" t="s">
        <v>316</v>
      </c>
      <c r="K898" s="9">
        <v>45737</v>
      </c>
      <c r="L898" s="9">
        <v>45744</v>
      </c>
      <c r="M898" s="9">
        <v>45741</v>
      </c>
      <c r="N898" s="2" t="s">
        <v>1054</v>
      </c>
      <c r="O898" s="2" t="s">
        <v>55</v>
      </c>
      <c r="P898" s="2" t="s">
        <v>139</v>
      </c>
      <c r="Q898" s="2" t="s">
        <v>154</v>
      </c>
      <c r="R898" s="2" t="s">
        <v>128</v>
      </c>
      <c r="S898" s="2" t="s">
        <v>318</v>
      </c>
      <c r="T898" s="10">
        <v>67.33</v>
      </c>
      <c r="U898" s="11">
        <v>0.27229999999999999</v>
      </c>
      <c r="V898" s="12">
        <f>T898*U898</f>
        <v>18.333959</v>
      </c>
      <c r="W898" s="13">
        <v>0.05</v>
      </c>
      <c r="X898" s="12">
        <f>V898-(V898/(1+W898))</f>
        <v>0.87304566666666616</v>
      </c>
      <c r="Y898" s="12">
        <f>V898-X898</f>
        <v>17.460913333333334</v>
      </c>
      <c r="Z898" s="14">
        <v>35</v>
      </c>
      <c r="AA898" s="2" t="str">
        <f>IF(V898&gt;Z898,"Yes","No")</f>
        <v>No</v>
      </c>
      <c r="AB898" s="12">
        <f>V898-Z898</f>
        <v>-16.666041</v>
      </c>
      <c r="AC898" s="15" t="s">
        <v>130</v>
      </c>
      <c r="AD898" s="15" t="s">
        <v>131</v>
      </c>
      <c r="AE898" s="15" t="s">
        <v>180</v>
      </c>
      <c r="AF898" s="12">
        <f>IF(AG898="Rejected",0,IF(R898="Corporate Card",0,V898))</f>
        <v>0</v>
      </c>
      <c r="AG898" s="15" t="s">
        <v>133</v>
      </c>
      <c r="AH898" s="16">
        <v>45753</v>
      </c>
      <c r="AI898" s="16">
        <v>45754</v>
      </c>
      <c r="AJ898" s="16">
        <v>45761</v>
      </c>
      <c r="AK898" s="17">
        <f>IF(AJ898="","",AJ898-AH898)</f>
        <v>8</v>
      </c>
    </row>
    <row r="899" spans="1:37">
      <c r="A899" s="2" t="s">
        <v>1299</v>
      </c>
      <c r="B899" s="2" t="s">
        <v>169</v>
      </c>
      <c r="C899" s="2" t="s">
        <v>170</v>
      </c>
      <c r="D899" s="2" t="s">
        <v>171</v>
      </c>
      <c r="E899" s="2" t="s">
        <v>172</v>
      </c>
      <c r="F899" s="2" t="s">
        <v>173</v>
      </c>
      <c r="G899" s="2" t="s">
        <v>1250</v>
      </c>
      <c r="H899" s="2" t="s">
        <v>379</v>
      </c>
      <c r="I899" s="2" t="s">
        <v>1251</v>
      </c>
      <c r="J899" s="2" t="s">
        <v>750</v>
      </c>
      <c r="K899" s="9">
        <v>45735</v>
      </c>
      <c r="L899" s="9">
        <v>45742</v>
      </c>
      <c r="M899" s="9">
        <v>45741</v>
      </c>
      <c r="N899" s="2" t="s">
        <v>1054</v>
      </c>
      <c r="O899" s="2" t="s">
        <v>54</v>
      </c>
      <c r="P899" s="2" t="s">
        <v>139</v>
      </c>
      <c r="Q899" s="2" t="s">
        <v>214</v>
      </c>
      <c r="R899" s="2" t="s">
        <v>128</v>
      </c>
      <c r="S899" s="2" t="s">
        <v>198</v>
      </c>
      <c r="T899" s="10">
        <v>10.59</v>
      </c>
      <c r="U899" s="11">
        <v>1.085</v>
      </c>
      <c r="V899" s="12">
        <f>T899*U899</f>
        <v>11.49015</v>
      </c>
      <c r="W899" s="13">
        <v>0.19</v>
      </c>
      <c r="X899" s="12">
        <f>V899-(V899/(1+W899))</f>
        <v>1.8345617647058816</v>
      </c>
      <c r="Y899" s="12">
        <f>V899-X899</f>
        <v>9.6555882352941182</v>
      </c>
      <c r="Z899" s="14">
        <v>25</v>
      </c>
      <c r="AA899" s="2" t="str">
        <f>IF(V899&gt;Z899,"Yes","No")</f>
        <v>No</v>
      </c>
      <c r="AB899" s="12">
        <f>V899-Z899</f>
        <v>-13.50985</v>
      </c>
      <c r="AC899" s="15" t="s">
        <v>130</v>
      </c>
      <c r="AD899" s="15" t="s">
        <v>130</v>
      </c>
      <c r="AE899" s="15" t="s">
        <v>421</v>
      </c>
      <c r="AF899" s="12">
        <f>IF(AG899="Rejected",0,IF(R899="Corporate Card",0,V899))</f>
        <v>0</v>
      </c>
      <c r="AG899" s="15" t="s">
        <v>181</v>
      </c>
      <c r="AH899" s="16">
        <v>45744</v>
      </c>
      <c r="AI899" s="16"/>
      <c r="AJ899" s="16"/>
      <c r="AK899" s="17" t="str">
        <f>IF(AJ899="","",AJ899-AH899)</f>
        <v/>
      </c>
    </row>
    <row r="900" spans="1:37">
      <c r="A900" s="2" t="s">
        <v>1300</v>
      </c>
      <c r="B900" s="2" t="s">
        <v>169</v>
      </c>
      <c r="C900" s="2" t="s">
        <v>170</v>
      </c>
      <c r="D900" s="2" t="s">
        <v>171</v>
      </c>
      <c r="E900" s="2" t="s">
        <v>172</v>
      </c>
      <c r="F900" s="2" t="s">
        <v>173</v>
      </c>
      <c r="G900" s="2" t="s">
        <v>1250</v>
      </c>
      <c r="H900" s="2" t="s">
        <v>379</v>
      </c>
      <c r="I900" s="2" t="s">
        <v>1251</v>
      </c>
      <c r="J900" s="2" t="s">
        <v>750</v>
      </c>
      <c r="K900" s="9">
        <v>45735</v>
      </c>
      <c r="L900" s="9">
        <v>45742</v>
      </c>
      <c r="M900" s="9">
        <v>45741</v>
      </c>
      <c r="N900" s="2" t="s">
        <v>1054</v>
      </c>
      <c r="O900" s="2" t="s">
        <v>56</v>
      </c>
      <c r="P900" s="2" t="s">
        <v>245</v>
      </c>
      <c r="Q900" s="2" t="s">
        <v>185</v>
      </c>
      <c r="R900" s="2" t="s">
        <v>128</v>
      </c>
      <c r="S900" s="2" t="s">
        <v>198</v>
      </c>
      <c r="T900" s="10">
        <v>29.37</v>
      </c>
      <c r="U900" s="11">
        <v>1.085</v>
      </c>
      <c r="V900" s="12">
        <f>T900*U900</f>
        <v>31.86645</v>
      </c>
      <c r="W900" s="13">
        <v>0.19</v>
      </c>
      <c r="X900" s="12">
        <f>V900-(V900/(1+W900))</f>
        <v>5.087920588235292</v>
      </c>
      <c r="Y900" s="12">
        <f>V900-X900</f>
        <v>26.778529411764708</v>
      </c>
      <c r="Z900" s="14">
        <v>75</v>
      </c>
      <c r="AA900" s="2" t="str">
        <f>IF(V900&gt;Z900,"Yes","No")</f>
        <v>No</v>
      </c>
      <c r="AB900" s="12">
        <f>V900-Z900</f>
        <v>-43.13355</v>
      </c>
      <c r="AC900" s="15" t="s">
        <v>130</v>
      </c>
      <c r="AD900" s="15" t="s">
        <v>130</v>
      </c>
      <c r="AE900" s="15" t="s">
        <v>421</v>
      </c>
      <c r="AF900" s="12">
        <f>IF(AG900="Rejected",0,IF(R900="Corporate Card",0,V900))</f>
        <v>0</v>
      </c>
      <c r="AG900" s="15" t="s">
        <v>181</v>
      </c>
      <c r="AH900" s="16">
        <v>45744</v>
      </c>
      <c r="AI900" s="16"/>
      <c r="AJ900" s="16"/>
      <c r="AK900" s="17" t="str">
        <f>IF(AJ900="","",AJ900-AH900)</f>
        <v/>
      </c>
    </row>
    <row r="901" spans="1:37">
      <c r="A901" s="2" t="s">
        <v>1301</v>
      </c>
      <c r="B901" s="2" t="s">
        <v>169</v>
      </c>
      <c r="C901" s="2" t="s">
        <v>170</v>
      </c>
      <c r="D901" s="2" t="s">
        <v>171</v>
      </c>
      <c r="E901" s="2" t="s">
        <v>172</v>
      </c>
      <c r="F901" s="2" t="s">
        <v>173</v>
      </c>
      <c r="G901" s="2" t="s">
        <v>1250</v>
      </c>
      <c r="H901" s="2" t="s">
        <v>379</v>
      </c>
      <c r="I901" s="2" t="s">
        <v>1251</v>
      </c>
      <c r="J901" s="2" t="s">
        <v>750</v>
      </c>
      <c r="K901" s="9">
        <v>45735</v>
      </c>
      <c r="L901" s="9">
        <v>45742</v>
      </c>
      <c r="M901" s="9">
        <v>45741</v>
      </c>
      <c r="N901" s="2" t="s">
        <v>1054</v>
      </c>
      <c r="O901" s="2" t="s">
        <v>55</v>
      </c>
      <c r="P901" s="2" t="s">
        <v>139</v>
      </c>
      <c r="Q901" s="2" t="s">
        <v>187</v>
      </c>
      <c r="R901" s="2" t="s">
        <v>128</v>
      </c>
      <c r="S901" s="2" t="s">
        <v>198</v>
      </c>
      <c r="T901" s="10">
        <v>17.5</v>
      </c>
      <c r="U901" s="11">
        <v>1.085</v>
      </c>
      <c r="V901" s="12">
        <f>T901*U901</f>
        <v>18.987500000000001</v>
      </c>
      <c r="W901" s="13">
        <v>0.19</v>
      </c>
      <c r="X901" s="12">
        <f>V901-(V901/(1+W901))</f>
        <v>3.0316176470588232</v>
      </c>
      <c r="Y901" s="12">
        <f>V901-X901</f>
        <v>15.955882352941178</v>
      </c>
      <c r="Z901" s="14">
        <v>35</v>
      </c>
      <c r="AA901" s="2" t="str">
        <f>IF(V901&gt;Z901,"Yes","No")</f>
        <v>No</v>
      </c>
      <c r="AB901" s="12">
        <f>V901-Z901</f>
        <v>-16.012499999999999</v>
      </c>
      <c r="AC901" s="15" t="s">
        <v>130</v>
      </c>
      <c r="AD901" s="15" t="s">
        <v>130</v>
      </c>
      <c r="AE901" s="15" t="s">
        <v>421</v>
      </c>
      <c r="AF901" s="12">
        <f>IF(AG901="Rejected",0,IF(R901="Corporate Card",0,V901))</f>
        <v>0</v>
      </c>
      <c r="AG901" s="15" t="s">
        <v>181</v>
      </c>
      <c r="AH901" s="16">
        <v>45744</v>
      </c>
      <c r="AI901" s="16"/>
      <c r="AJ901" s="16"/>
      <c r="AK901" s="17" t="str">
        <f>IF(AJ901="","",AJ901-AH901)</f>
        <v/>
      </c>
    </row>
    <row r="902" spans="1:37">
      <c r="A902" s="2" t="s">
        <v>1302</v>
      </c>
      <c r="B902" s="2" t="s">
        <v>342</v>
      </c>
      <c r="C902" s="2" t="s">
        <v>343</v>
      </c>
      <c r="D902" s="2" t="s">
        <v>344</v>
      </c>
      <c r="E902" s="2" t="s">
        <v>345</v>
      </c>
      <c r="F902" s="2" t="s">
        <v>346</v>
      </c>
      <c r="G902" s="2" t="s">
        <v>1264</v>
      </c>
      <c r="H902" s="2" t="s">
        <v>379</v>
      </c>
      <c r="I902" s="2" t="s">
        <v>315</v>
      </c>
      <c r="J902" s="2" t="s">
        <v>316</v>
      </c>
      <c r="K902" s="9">
        <v>45737</v>
      </c>
      <c r="L902" s="9">
        <v>45744</v>
      </c>
      <c r="M902" s="9">
        <v>45742</v>
      </c>
      <c r="N902" s="2" t="s">
        <v>1054</v>
      </c>
      <c r="O902" s="2" t="s">
        <v>58</v>
      </c>
      <c r="P902" s="2" t="s">
        <v>142</v>
      </c>
      <c r="Q902" s="2" t="s">
        <v>156</v>
      </c>
      <c r="R902" s="2" t="s">
        <v>128</v>
      </c>
      <c r="S902" s="2" t="s">
        <v>318</v>
      </c>
      <c r="T902" s="10">
        <v>208.07</v>
      </c>
      <c r="U902" s="11">
        <v>0.27229999999999999</v>
      </c>
      <c r="V902" s="12">
        <f>T902*U902</f>
        <v>56.657460999999998</v>
      </c>
      <c r="W902" s="13">
        <v>0.05</v>
      </c>
      <c r="X902" s="12">
        <f>V902-(V902/(1+W902))</f>
        <v>2.6979743333333346</v>
      </c>
      <c r="Y902" s="12">
        <f>V902-X902</f>
        <v>53.959486666666663</v>
      </c>
      <c r="Z902" s="14">
        <v>60</v>
      </c>
      <c r="AA902" s="2" t="str">
        <f>IF(V902&gt;Z902,"Yes","No")</f>
        <v>No</v>
      </c>
      <c r="AB902" s="12">
        <f>V902-Z902</f>
        <v>-3.3425390000000021</v>
      </c>
      <c r="AC902" s="15" t="s">
        <v>130</v>
      </c>
      <c r="AD902" s="15" t="s">
        <v>131</v>
      </c>
      <c r="AE902" s="15" t="s">
        <v>180</v>
      </c>
      <c r="AF902" s="12">
        <f>IF(AG902="Rejected",0,IF(R902="Corporate Card",0,V902))</f>
        <v>0</v>
      </c>
      <c r="AG902" s="15" t="s">
        <v>133</v>
      </c>
      <c r="AH902" s="16">
        <v>45753</v>
      </c>
      <c r="AI902" s="16">
        <v>45754</v>
      </c>
      <c r="AJ902" s="16">
        <v>45761</v>
      </c>
      <c r="AK902" s="17">
        <f>IF(AJ902="","",AJ902-AH902)</f>
        <v>8</v>
      </c>
    </row>
    <row r="903" spans="1:37">
      <c r="A903" s="2" t="s">
        <v>1303</v>
      </c>
      <c r="B903" s="2" t="s">
        <v>342</v>
      </c>
      <c r="C903" s="2" t="s">
        <v>343</v>
      </c>
      <c r="D903" s="2" t="s">
        <v>344</v>
      </c>
      <c r="E903" s="2" t="s">
        <v>345</v>
      </c>
      <c r="F903" s="2" t="s">
        <v>346</v>
      </c>
      <c r="G903" s="2" t="s">
        <v>1264</v>
      </c>
      <c r="H903" s="2" t="s">
        <v>379</v>
      </c>
      <c r="I903" s="2" t="s">
        <v>315</v>
      </c>
      <c r="J903" s="2" t="s">
        <v>316</v>
      </c>
      <c r="K903" s="9">
        <v>45737</v>
      </c>
      <c r="L903" s="9">
        <v>45744</v>
      </c>
      <c r="M903" s="9">
        <v>45742</v>
      </c>
      <c r="N903" s="2" t="s">
        <v>1054</v>
      </c>
      <c r="O903" s="2" t="s">
        <v>55</v>
      </c>
      <c r="P903" s="2" t="s">
        <v>139</v>
      </c>
      <c r="Q903" s="2" t="s">
        <v>217</v>
      </c>
      <c r="R903" s="2" t="s">
        <v>149</v>
      </c>
      <c r="S903" s="2" t="s">
        <v>318</v>
      </c>
      <c r="T903" s="10">
        <v>103.15</v>
      </c>
      <c r="U903" s="11">
        <v>0.27229999999999999</v>
      </c>
      <c r="V903" s="12">
        <f>T903*U903</f>
        <v>28.087745000000002</v>
      </c>
      <c r="W903" s="13">
        <v>0.05</v>
      </c>
      <c r="X903" s="12">
        <f>V903-(V903/(1+W903))</f>
        <v>1.3375116666666678</v>
      </c>
      <c r="Y903" s="12">
        <f>V903-X903</f>
        <v>26.750233333333334</v>
      </c>
      <c r="Z903" s="14">
        <v>35</v>
      </c>
      <c r="AA903" s="2" t="str">
        <f>IF(V903&gt;Z903,"Yes","No")</f>
        <v>No</v>
      </c>
      <c r="AB903" s="12">
        <f>V903-Z903</f>
        <v>-6.9122549999999983</v>
      </c>
      <c r="AC903" s="15" t="s">
        <v>131</v>
      </c>
      <c r="AD903" s="15" t="s">
        <v>131</v>
      </c>
      <c r="AE903" s="15" t="s">
        <v>180</v>
      </c>
      <c r="AF903" s="12">
        <f>IF(AG903="Rejected",0,IF(R903="Corporate Card",0,V903))</f>
        <v>28.087745000000002</v>
      </c>
      <c r="AG903" s="15" t="s">
        <v>133</v>
      </c>
      <c r="AH903" s="16">
        <v>45753</v>
      </c>
      <c r="AI903" s="16">
        <v>45754</v>
      </c>
      <c r="AJ903" s="16">
        <v>45761</v>
      </c>
      <c r="AK903" s="17">
        <f>IF(AJ903="","",AJ903-AH903)</f>
        <v>8</v>
      </c>
    </row>
    <row r="904" spans="1:37">
      <c r="A904" s="2" t="s">
        <v>1304</v>
      </c>
      <c r="B904" s="2" t="s">
        <v>169</v>
      </c>
      <c r="C904" s="2" t="s">
        <v>170</v>
      </c>
      <c r="D904" s="2" t="s">
        <v>171</v>
      </c>
      <c r="E904" s="2" t="s">
        <v>172</v>
      </c>
      <c r="F904" s="2" t="s">
        <v>173</v>
      </c>
      <c r="G904" s="2" t="s">
        <v>1250</v>
      </c>
      <c r="H904" s="2" t="s">
        <v>379</v>
      </c>
      <c r="I904" s="2" t="s">
        <v>1251</v>
      </c>
      <c r="J904" s="2" t="s">
        <v>750</v>
      </c>
      <c r="K904" s="9">
        <v>45735</v>
      </c>
      <c r="L904" s="9">
        <v>45742</v>
      </c>
      <c r="M904" s="9">
        <v>45742</v>
      </c>
      <c r="N904" s="2" t="s">
        <v>1054</v>
      </c>
      <c r="O904" s="2" t="s">
        <v>58</v>
      </c>
      <c r="P904" s="2" t="s">
        <v>142</v>
      </c>
      <c r="Q904" s="2" t="s">
        <v>224</v>
      </c>
      <c r="R904" s="2" t="s">
        <v>137</v>
      </c>
      <c r="S904" s="2" t="s">
        <v>198</v>
      </c>
      <c r="T904" s="10">
        <v>52.38</v>
      </c>
      <c r="U904" s="11">
        <v>1.085</v>
      </c>
      <c r="V904" s="12">
        <f>T904*U904</f>
        <v>56.832300000000004</v>
      </c>
      <c r="W904" s="13">
        <v>0.19</v>
      </c>
      <c r="X904" s="12">
        <f>V904-(V904/(1+W904))</f>
        <v>9.0740647058823498</v>
      </c>
      <c r="Y904" s="12">
        <f>V904-X904</f>
        <v>47.758235294117654</v>
      </c>
      <c r="Z904" s="14">
        <v>60</v>
      </c>
      <c r="AA904" s="2" t="str">
        <f>IF(V904&gt;Z904,"Yes","No")</f>
        <v>No</v>
      </c>
      <c r="AB904" s="12">
        <f>V904-Z904</f>
        <v>-3.1676999999999964</v>
      </c>
      <c r="AC904" s="15" t="s">
        <v>130</v>
      </c>
      <c r="AD904" s="15" t="s">
        <v>130</v>
      </c>
      <c r="AE904" s="15" t="s">
        <v>421</v>
      </c>
      <c r="AF904" s="12">
        <f>IF(AG904="Rejected",0,IF(R904="Corporate Card",0,V904))</f>
        <v>56.832300000000004</v>
      </c>
      <c r="AG904" s="15" t="s">
        <v>181</v>
      </c>
      <c r="AH904" s="16">
        <v>45744</v>
      </c>
      <c r="AI904" s="16"/>
      <c r="AJ904" s="16"/>
      <c r="AK904" s="17" t="str">
        <f>IF(AJ904="","",AJ904-AH904)</f>
        <v/>
      </c>
    </row>
    <row r="905" spans="1:37">
      <c r="A905" s="2" t="s">
        <v>1305</v>
      </c>
      <c r="B905" s="2" t="s">
        <v>169</v>
      </c>
      <c r="C905" s="2" t="s">
        <v>170</v>
      </c>
      <c r="D905" s="2" t="s">
        <v>171</v>
      </c>
      <c r="E905" s="2" t="s">
        <v>172</v>
      </c>
      <c r="F905" s="2" t="s">
        <v>173</v>
      </c>
      <c r="G905" s="2" t="s">
        <v>1250</v>
      </c>
      <c r="H905" s="2" t="s">
        <v>379</v>
      </c>
      <c r="I905" s="2" t="s">
        <v>1251</v>
      </c>
      <c r="J905" s="2" t="s">
        <v>750</v>
      </c>
      <c r="K905" s="9">
        <v>45735</v>
      </c>
      <c r="L905" s="9">
        <v>45742</v>
      </c>
      <c r="M905" s="9">
        <v>45742</v>
      </c>
      <c r="N905" s="2" t="s">
        <v>1054</v>
      </c>
      <c r="O905" s="2" t="s">
        <v>54</v>
      </c>
      <c r="P905" s="2" t="s">
        <v>139</v>
      </c>
      <c r="Q905" s="2" t="s">
        <v>214</v>
      </c>
      <c r="R905" s="2" t="s">
        <v>137</v>
      </c>
      <c r="S905" s="2" t="s">
        <v>198</v>
      </c>
      <c r="T905" s="10">
        <v>9.9499999999999993</v>
      </c>
      <c r="U905" s="11">
        <v>1.085</v>
      </c>
      <c r="V905" s="12">
        <f>T905*U905</f>
        <v>10.795749999999998</v>
      </c>
      <c r="W905" s="13">
        <v>0.19</v>
      </c>
      <c r="X905" s="12">
        <f>V905-(V905/(1+W905))</f>
        <v>1.723691176470588</v>
      </c>
      <c r="Y905" s="12">
        <f>V905-X905</f>
        <v>9.0720588235294102</v>
      </c>
      <c r="Z905" s="14">
        <v>25</v>
      </c>
      <c r="AA905" s="2" t="str">
        <f>IF(V905&gt;Z905,"Yes","No")</f>
        <v>No</v>
      </c>
      <c r="AB905" s="12">
        <f>V905-Z905</f>
        <v>-14.204250000000002</v>
      </c>
      <c r="AC905" s="15" t="s">
        <v>130</v>
      </c>
      <c r="AD905" s="15" t="s">
        <v>130</v>
      </c>
      <c r="AE905" s="15" t="s">
        <v>421</v>
      </c>
      <c r="AF905" s="12">
        <f>IF(AG905="Rejected",0,IF(R905="Corporate Card",0,V905))</f>
        <v>10.795749999999998</v>
      </c>
      <c r="AG905" s="15" t="s">
        <v>181</v>
      </c>
      <c r="AH905" s="16">
        <v>45744</v>
      </c>
      <c r="AI905" s="16"/>
      <c r="AJ905" s="16"/>
      <c r="AK905" s="17" t="str">
        <f>IF(AJ905="","",AJ905-AH905)</f>
        <v/>
      </c>
    </row>
    <row r="906" spans="1:37">
      <c r="A906" s="2" t="s">
        <v>1306</v>
      </c>
      <c r="B906" s="2" t="s">
        <v>169</v>
      </c>
      <c r="C906" s="2" t="s">
        <v>170</v>
      </c>
      <c r="D906" s="2" t="s">
        <v>171</v>
      </c>
      <c r="E906" s="2" t="s">
        <v>172</v>
      </c>
      <c r="F906" s="2" t="s">
        <v>173</v>
      </c>
      <c r="G906" s="2" t="s">
        <v>1250</v>
      </c>
      <c r="H906" s="2" t="s">
        <v>379</v>
      </c>
      <c r="I906" s="2" t="s">
        <v>1251</v>
      </c>
      <c r="J906" s="2" t="s">
        <v>750</v>
      </c>
      <c r="K906" s="9">
        <v>45735</v>
      </c>
      <c r="L906" s="9">
        <v>45742</v>
      </c>
      <c r="M906" s="9">
        <v>45742</v>
      </c>
      <c r="N906" s="2" t="s">
        <v>1054</v>
      </c>
      <c r="O906" s="2" t="s">
        <v>56</v>
      </c>
      <c r="P906" s="2" t="s">
        <v>245</v>
      </c>
      <c r="Q906" s="2" t="s">
        <v>227</v>
      </c>
      <c r="R906" s="2" t="s">
        <v>128</v>
      </c>
      <c r="S906" s="2" t="s">
        <v>198</v>
      </c>
      <c r="T906" s="10">
        <v>39.44</v>
      </c>
      <c r="U906" s="11">
        <v>1.085</v>
      </c>
      <c r="V906" s="12">
        <f>T906*U906</f>
        <v>42.792399999999994</v>
      </c>
      <c r="W906" s="13">
        <v>0.19</v>
      </c>
      <c r="X906" s="12">
        <f>V906-(V906/(1+W906))</f>
        <v>6.8323999999999998</v>
      </c>
      <c r="Y906" s="12">
        <f>V906-X906</f>
        <v>35.959999999999994</v>
      </c>
      <c r="Z906" s="14">
        <v>75</v>
      </c>
      <c r="AA906" s="2" t="str">
        <f>IF(V906&gt;Z906,"Yes","No")</f>
        <v>No</v>
      </c>
      <c r="AB906" s="12">
        <f>V906-Z906</f>
        <v>-32.207600000000006</v>
      </c>
      <c r="AC906" s="15" t="s">
        <v>130</v>
      </c>
      <c r="AD906" s="15" t="s">
        <v>130</v>
      </c>
      <c r="AE906" s="15" t="s">
        <v>421</v>
      </c>
      <c r="AF906" s="12">
        <f>IF(AG906="Rejected",0,IF(R906="Corporate Card",0,V906))</f>
        <v>0</v>
      </c>
      <c r="AG906" s="15" t="s">
        <v>181</v>
      </c>
      <c r="AH906" s="16">
        <v>45744</v>
      </c>
      <c r="AI906" s="16"/>
      <c r="AJ906" s="16"/>
      <c r="AK906" s="17" t="str">
        <f>IF(AJ906="","",AJ906-AH906)</f>
        <v/>
      </c>
    </row>
    <row r="907" spans="1:37">
      <c r="A907" s="2" t="s">
        <v>1307</v>
      </c>
      <c r="B907" s="2" t="s">
        <v>342</v>
      </c>
      <c r="C907" s="2" t="s">
        <v>343</v>
      </c>
      <c r="D907" s="2" t="s">
        <v>344</v>
      </c>
      <c r="E907" s="2" t="s">
        <v>345</v>
      </c>
      <c r="F907" s="2" t="s">
        <v>346</v>
      </c>
      <c r="G907" s="2" t="s">
        <v>1264</v>
      </c>
      <c r="H907" s="2" t="s">
        <v>379</v>
      </c>
      <c r="I907" s="2" t="s">
        <v>315</v>
      </c>
      <c r="J907" s="2" t="s">
        <v>316</v>
      </c>
      <c r="K907" s="9">
        <v>45737</v>
      </c>
      <c r="L907" s="9">
        <v>45744</v>
      </c>
      <c r="M907" s="9">
        <v>45743</v>
      </c>
      <c r="N907" s="2" t="s">
        <v>1054</v>
      </c>
      <c r="O907" s="2" t="s">
        <v>57</v>
      </c>
      <c r="P907" s="2" t="s">
        <v>398</v>
      </c>
      <c r="Q907" s="2" t="s">
        <v>1204</v>
      </c>
      <c r="R907" s="2" t="s">
        <v>149</v>
      </c>
      <c r="S907" s="2" t="s">
        <v>318</v>
      </c>
      <c r="T907" s="10">
        <v>369.41</v>
      </c>
      <c r="U907" s="11">
        <v>0.27229999999999999</v>
      </c>
      <c r="V907" s="12">
        <f>T907*U907</f>
        <v>100.590343</v>
      </c>
      <c r="W907" s="13">
        <v>0.05</v>
      </c>
      <c r="X907" s="12">
        <f>V907-(V907/(1+W907))</f>
        <v>4.790016333333341</v>
      </c>
      <c r="Y907" s="12">
        <f>V907-X907</f>
        <v>95.800326666666663</v>
      </c>
      <c r="Z907" s="14">
        <v>200</v>
      </c>
      <c r="AA907" s="2" t="str">
        <f>IF(V907&gt;Z907,"Yes","No")</f>
        <v>No</v>
      </c>
      <c r="AB907" s="12">
        <f>V907-Z907</f>
        <v>-99.409656999999996</v>
      </c>
      <c r="AC907" s="15" t="s">
        <v>130</v>
      </c>
      <c r="AD907" s="15" t="s">
        <v>131</v>
      </c>
      <c r="AE907" s="15" t="s">
        <v>180</v>
      </c>
      <c r="AF907" s="12">
        <f>IF(AG907="Rejected",0,IF(R907="Corporate Card",0,V907))</f>
        <v>100.590343</v>
      </c>
      <c r="AG907" s="15" t="s">
        <v>133</v>
      </c>
      <c r="AH907" s="16">
        <v>45753</v>
      </c>
      <c r="AI907" s="16">
        <v>45754</v>
      </c>
      <c r="AJ907" s="16">
        <v>45761</v>
      </c>
      <c r="AK907" s="17">
        <f>IF(AJ907="","",AJ907-AH907)</f>
        <v>8</v>
      </c>
    </row>
    <row r="908" spans="1:37">
      <c r="A908" s="2" t="s">
        <v>1308</v>
      </c>
      <c r="B908" s="2" t="s">
        <v>342</v>
      </c>
      <c r="C908" s="2" t="s">
        <v>343</v>
      </c>
      <c r="D908" s="2" t="s">
        <v>344</v>
      </c>
      <c r="E908" s="2" t="s">
        <v>345</v>
      </c>
      <c r="F908" s="2" t="s">
        <v>346</v>
      </c>
      <c r="G908" s="2" t="s">
        <v>1264</v>
      </c>
      <c r="H908" s="2" t="s">
        <v>379</v>
      </c>
      <c r="I908" s="2" t="s">
        <v>315</v>
      </c>
      <c r="J908" s="2" t="s">
        <v>316</v>
      </c>
      <c r="K908" s="9">
        <v>45737</v>
      </c>
      <c r="L908" s="9">
        <v>45744</v>
      </c>
      <c r="M908" s="9">
        <v>45743</v>
      </c>
      <c r="N908" s="2" t="s">
        <v>1054</v>
      </c>
      <c r="O908" s="2" t="s">
        <v>54</v>
      </c>
      <c r="P908" s="2" t="s">
        <v>139</v>
      </c>
      <c r="Q908" s="2" t="s">
        <v>214</v>
      </c>
      <c r="R908" s="2" t="s">
        <v>128</v>
      </c>
      <c r="S908" s="2" t="s">
        <v>318</v>
      </c>
      <c r="T908" s="10">
        <v>78.56</v>
      </c>
      <c r="U908" s="11">
        <v>0.27229999999999999</v>
      </c>
      <c r="V908" s="12">
        <f>T908*U908</f>
        <v>21.391887999999998</v>
      </c>
      <c r="W908" s="13">
        <v>0.05</v>
      </c>
      <c r="X908" s="12">
        <f>V908-(V908/(1+W908))</f>
        <v>1.0186613333333341</v>
      </c>
      <c r="Y908" s="12">
        <f>V908-X908</f>
        <v>20.373226666666664</v>
      </c>
      <c r="Z908" s="14">
        <v>25</v>
      </c>
      <c r="AA908" s="2" t="str">
        <f>IF(V908&gt;Z908,"Yes","No")</f>
        <v>No</v>
      </c>
      <c r="AB908" s="12">
        <f>V908-Z908</f>
        <v>-3.608112000000002</v>
      </c>
      <c r="AC908" s="15" t="s">
        <v>131</v>
      </c>
      <c r="AD908" s="15" t="s">
        <v>131</v>
      </c>
      <c r="AE908" s="15" t="s">
        <v>180</v>
      </c>
      <c r="AF908" s="12">
        <f>IF(AG908="Rejected",0,IF(R908="Corporate Card",0,V908))</f>
        <v>0</v>
      </c>
      <c r="AG908" s="15" t="s">
        <v>133</v>
      </c>
      <c r="AH908" s="16">
        <v>45753</v>
      </c>
      <c r="AI908" s="16">
        <v>45754</v>
      </c>
      <c r="AJ908" s="16">
        <v>45761</v>
      </c>
      <c r="AK908" s="17">
        <f>IF(AJ908="","",AJ908-AH908)</f>
        <v>8</v>
      </c>
    </row>
    <row r="909" spans="1:37">
      <c r="A909" s="2" t="s">
        <v>1309</v>
      </c>
      <c r="B909" s="2" t="s">
        <v>342</v>
      </c>
      <c r="C909" s="2" t="s">
        <v>343</v>
      </c>
      <c r="D909" s="2" t="s">
        <v>344</v>
      </c>
      <c r="E909" s="2" t="s">
        <v>345</v>
      </c>
      <c r="F909" s="2" t="s">
        <v>346</v>
      </c>
      <c r="G909" s="2" t="s">
        <v>1264</v>
      </c>
      <c r="H909" s="2" t="s">
        <v>379</v>
      </c>
      <c r="I909" s="2" t="s">
        <v>315</v>
      </c>
      <c r="J909" s="2" t="s">
        <v>316</v>
      </c>
      <c r="K909" s="9">
        <v>45737</v>
      </c>
      <c r="L909" s="9">
        <v>45744</v>
      </c>
      <c r="M909" s="9">
        <v>45743</v>
      </c>
      <c r="N909" s="2" t="s">
        <v>1054</v>
      </c>
      <c r="O909" s="2" t="s">
        <v>56</v>
      </c>
      <c r="P909" s="2" t="s">
        <v>245</v>
      </c>
      <c r="Q909" s="2" t="s">
        <v>152</v>
      </c>
      <c r="R909" s="2" t="s">
        <v>149</v>
      </c>
      <c r="S909" s="2" t="s">
        <v>318</v>
      </c>
      <c r="T909" s="10">
        <v>265.64999999999998</v>
      </c>
      <c r="U909" s="11">
        <v>0.27229999999999999</v>
      </c>
      <c r="V909" s="12">
        <f>T909*U909</f>
        <v>72.336494999999985</v>
      </c>
      <c r="W909" s="13">
        <v>0.05</v>
      </c>
      <c r="X909" s="12">
        <f>V909-(V909/(1+W909))</f>
        <v>3.4445950000000067</v>
      </c>
      <c r="Y909" s="12">
        <f>V909-X909</f>
        <v>68.891899999999978</v>
      </c>
      <c r="Z909" s="14">
        <v>75</v>
      </c>
      <c r="AA909" s="2" t="str">
        <f>IF(V909&gt;Z909,"Yes","No")</f>
        <v>No</v>
      </c>
      <c r="AB909" s="12">
        <f>V909-Z909</f>
        <v>-2.6635050000000149</v>
      </c>
      <c r="AC909" s="15" t="s">
        <v>130</v>
      </c>
      <c r="AD909" s="15" t="s">
        <v>131</v>
      </c>
      <c r="AE909" s="15" t="s">
        <v>180</v>
      </c>
      <c r="AF909" s="12">
        <f>IF(AG909="Rejected",0,IF(R909="Corporate Card",0,V909))</f>
        <v>72.336494999999985</v>
      </c>
      <c r="AG909" s="15" t="s">
        <v>133</v>
      </c>
      <c r="AH909" s="16">
        <v>45753</v>
      </c>
      <c r="AI909" s="16">
        <v>45754</v>
      </c>
      <c r="AJ909" s="16">
        <v>45761</v>
      </c>
      <c r="AK909" s="17">
        <f>IF(AJ909="","",AJ909-AH909)</f>
        <v>8</v>
      </c>
    </row>
    <row r="910" spans="1:37">
      <c r="A910" s="2" t="s">
        <v>1310</v>
      </c>
      <c r="B910" s="2" t="s">
        <v>342</v>
      </c>
      <c r="C910" s="2" t="s">
        <v>343</v>
      </c>
      <c r="D910" s="2" t="s">
        <v>344</v>
      </c>
      <c r="E910" s="2" t="s">
        <v>345</v>
      </c>
      <c r="F910" s="2" t="s">
        <v>346</v>
      </c>
      <c r="G910" s="2" t="s">
        <v>1264</v>
      </c>
      <c r="H910" s="2" t="s">
        <v>379</v>
      </c>
      <c r="I910" s="2" t="s">
        <v>315</v>
      </c>
      <c r="J910" s="2" t="s">
        <v>316</v>
      </c>
      <c r="K910" s="9">
        <v>45737</v>
      </c>
      <c r="L910" s="9">
        <v>45744</v>
      </c>
      <c r="M910" s="9">
        <v>45743</v>
      </c>
      <c r="N910" s="2" t="s">
        <v>1054</v>
      </c>
      <c r="O910" s="2" t="s">
        <v>55</v>
      </c>
      <c r="P910" s="2" t="s">
        <v>139</v>
      </c>
      <c r="Q910" s="2" t="s">
        <v>154</v>
      </c>
      <c r="R910" s="2" t="s">
        <v>128</v>
      </c>
      <c r="S910" s="2" t="s">
        <v>318</v>
      </c>
      <c r="T910" s="10">
        <v>107.38</v>
      </c>
      <c r="U910" s="11">
        <v>0.27229999999999999</v>
      </c>
      <c r="V910" s="12">
        <f>T910*U910</f>
        <v>29.239573999999998</v>
      </c>
      <c r="W910" s="13">
        <v>0.05</v>
      </c>
      <c r="X910" s="12">
        <f>V910-(V910/(1+W910))</f>
        <v>1.3923606666666686</v>
      </c>
      <c r="Y910" s="12">
        <f>V910-X910</f>
        <v>27.847213333333329</v>
      </c>
      <c r="Z910" s="14">
        <v>35</v>
      </c>
      <c r="AA910" s="2" t="str">
        <f>IF(V910&gt;Z910,"Yes","No")</f>
        <v>No</v>
      </c>
      <c r="AB910" s="12">
        <f>V910-Z910</f>
        <v>-5.7604260000000025</v>
      </c>
      <c r="AC910" s="15" t="s">
        <v>130</v>
      </c>
      <c r="AD910" s="15" t="s">
        <v>131</v>
      </c>
      <c r="AE910" s="15" t="s">
        <v>180</v>
      </c>
      <c r="AF910" s="12">
        <f>IF(AG910="Rejected",0,IF(R910="Corporate Card",0,V910))</f>
        <v>0</v>
      </c>
      <c r="AG910" s="15" t="s">
        <v>133</v>
      </c>
      <c r="AH910" s="16">
        <v>45753</v>
      </c>
      <c r="AI910" s="16">
        <v>45754</v>
      </c>
      <c r="AJ910" s="16">
        <v>45761</v>
      </c>
      <c r="AK910" s="17">
        <f>IF(AJ910="","",AJ910-AH910)</f>
        <v>8</v>
      </c>
    </row>
    <row r="911" spans="1:37">
      <c r="A911" s="2" t="s">
        <v>1311</v>
      </c>
      <c r="B911" s="2" t="s">
        <v>342</v>
      </c>
      <c r="C911" s="2" t="s">
        <v>343</v>
      </c>
      <c r="D911" s="2" t="s">
        <v>344</v>
      </c>
      <c r="E911" s="2" t="s">
        <v>345</v>
      </c>
      <c r="F911" s="2" t="s">
        <v>346</v>
      </c>
      <c r="G911" s="2" t="s">
        <v>1264</v>
      </c>
      <c r="H911" s="2" t="s">
        <v>379</v>
      </c>
      <c r="I911" s="2" t="s">
        <v>315</v>
      </c>
      <c r="J911" s="2" t="s">
        <v>316</v>
      </c>
      <c r="K911" s="9">
        <v>45737</v>
      </c>
      <c r="L911" s="9">
        <v>45744</v>
      </c>
      <c r="M911" s="9">
        <v>45744</v>
      </c>
      <c r="N911" s="2" t="s">
        <v>1054</v>
      </c>
      <c r="O911" s="2" t="s">
        <v>56</v>
      </c>
      <c r="P911" s="2" t="s">
        <v>151</v>
      </c>
      <c r="Q911" s="2" t="s">
        <v>227</v>
      </c>
      <c r="R911" s="2" t="s">
        <v>128</v>
      </c>
      <c r="S911" s="2" t="s">
        <v>318</v>
      </c>
      <c r="T911" s="10">
        <v>218.11</v>
      </c>
      <c r="U911" s="11">
        <v>0.27229999999999999</v>
      </c>
      <c r="V911" s="12">
        <f>T911*U911</f>
        <v>59.391353000000002</v>
      </c>
      <c r="W911" s="13">
        <v>0.05</v>
      </c>
      <c r="X911" s="12">
        <f>V911-(V911/(1+W911))</f>
        <v>2.8281596666666715</v>
      </c>
      <c r="Y911" s="12">
        <f>V911-X911</f>
        <v>56.563193333333331</v>
      </c>
      <c r="Z911" s="14">
        <v>75</v>
      </c>
      <c r="AA911" s="2" t="str">
        <f>IF(V911&gt;Z911,"Yes","No")</f>
        <v>No</v>
      </c>
      <c r="AB911" s="12">
        <f>V911-Z911</f>
        <v>-15.608646999999998</v>
      </c>
      <c r="AC911" s="15" t="s">
        <v>130</v>
      </c>
      <c r="AD911" s="15" t="s">
        <v>131</v>
      </c>
      <c r="AE911" s="15" t="s">
        <v>180</v>
      </c>
      <c r="AF911" s="12">
        <f>IF(AG911="Rejected",0,IF(R911="Corporate Card",0,V911))</f>
        <v>0</v>
      </c>
      <c r="AG911" s="15" t="s">
        <v>133</v>
      </c>
      <c r="AH911" s="16">
        <v>45753</v>
      </c>
      <c r="AI911" s="16">
        <v>45754</v>
      </c>
      <c r="AJ911" s="16">
        <v>45761</v>
      </c>
      <c r="AK911" s="17">
        <f>IF(AJ911="","",AJ911-AH911)</f>
        <v>8</v>
      </c>
    </row>
    <row r="912" spans="1:37">
      <c r="A912" s="2" t="s">
        <v>1312</v>
      </c>
      <c r="B912" s="2" t="s">
        <v>342</v>
      </c>
      <c r="C912" s="2" t="s">
        <v>343</v>
      </c>
      <c r="D912" s="2" t="s">
        <v>344</v>
      </c>
      <c r="E912" s="2" t="s">
        <v>345</v>
      </c>
      <c r="F912" s="2" t="s">
        <v>346</v>
      </c>
      <c r="G912" s="2" t="s">
        <v>1264</v>
      </c>
      <c r="H912" s="2" t="s">
        <v>379</v>
      </c>
      <c r="I912" s="2" t="s">
        <v>315</v>
      </c>
      <c r="J912" s="2" t="s">
        <v>316</v>
      </c>
      <c r="K912" s="9">
        <v>45737</v>
      </c>
      <c r="L912" s="9">
        <v>45744</v>
      </c>
      <c r="M912" s="9">
        <v>45744</v>
      </c>
      <c r="N912" s="2" t="s">
        <v>1054</v>
      </c>
      <c r="O912" s="2" t="s">
        <v>55</v>
      </c>
      <c r="P912" s="2" t="s">
        <v>139</v>
      </c>
      <c r="Q912" s="2" t="s">
        <v>187</v>
      </c>
      <c r="R912" s="2" t="s">
        <v>128</v>
      </c>
      <c r="S912" s="2" t="s">
        <v>318</v>
      </c>
      <c r="T912" s="10">
        <v>69.900000000000006</v>
      </c>
      <c r="U912" s="11">
        <v>0.27229999999999999</v>
      </c>
      <c r="V912" s="12">
        <f>T912*U912</f>
        <v>19.033770000000001</v>
      </c>
      <c r="W912" s="13">
        <v>0.05</v>
      </c>
      <c r="X912" s="12">
        <f>V912-(V912/(1+W912))</f>
        <v>0.90637000000000256</v>
      </c>
      <c r="Y912" s="12">
        <f>V912-X912</f>
        <v>18.127399999999998</v>
      </c>
      <c r="Z912" s="14">
        <v>35</v>
      </c>
      <c r="AA912" s="2" t="str">
        <f>IF(V912&gt;Z912,"Yes","No")</f>
        <v>No</v>
      </c>
      <c r="AB912" s="12">
        <f>V912-Z912</f>
        <v>-15.966229999999999</v>
      </c>
      <c r="AC912" s="15" t="s">
        <v>131</v>
      </c>
      <c r="AD912" s="15" t="s">
        <v>131</v>
      </c>
      <c r="AE912" s="15" t="s">
        <v>180</v>
      </c>
      <c r="AF912" s="12">
        <f>IF(AG912="Rejected",0,IF(R912="Corporate Card",0,V912))</f>
        <v>0</v>
      </c>
      <c r="AG912" s="15" t="s">
        <v>133</v>
      </c>
      <c r="AH912" s="16">
        <v>45753</v>
      </c>
      <c r="AI912" s="16">
        <v>45754</v>
      </c>
      <c r="AJ912" s="16">
        <v>45761</v>
      </c>
      <c r="AK912" s="17">
        <f>IF(AJ912="","",AJ912-AH912)</f>
        <v>8</v>
      </c>
    </row>
    <row r="913" spans="1:37">
      <c r="A913" s="2" t="s">
        <v>1313</v>
      </c>
      <c r="B913" s="2" t="s">
        <v>1235</v>
      </c>
      <c r="C913" s="2" t="s">
        <v>867</v>
      </c>
      <c r="D913" s="2" t="s">
        <v>865</v>
      </c>
      <c r="E913" s="2" t="s">
        <v>1236</v>
      </c>
      <c r="F913" s="2" t="s">
        <v>313</v>
      </c>
      <c r="G913" s="2" t="s">
        <v>1314</v>
      </c>
      <c r="H913" s="2" t="s">
        <v>803</v>
      </c>
      <c r="I913" s="2" t="s">
        <v>123</v>
      </c>
      <c r="J913" s="2" t="s">
        <v>124</v>
      </c>
      <c r="K913" s="9">
        <v>45746</v>
      </c>
      <c r="L913" s="9">
        <v>45752</v>
      </c>
      <c r="M913" s="9">
        <v>45746</v>
      </c>
      <c r="N913" s="2" t="s">
        <v>1054</v>
      </c>
      <c r="O913" s="2" t="s">
        <v>52</v>
      </c>
      <c r="P913" s="2" t="s">
        <v>126</v>
      </c>
      <c r="Q913" s="2" t="s">
        <v>258</v>
      </c>
      <c r="R913" s="2" t="s">
        <v>149</v>
      </c>
      <c r="S913" s="2" t="s">
        <v>129</v>
      </c>
      <c r="T913" s="10">
        <v>1728.33</v>
      </c>
      <c r="U913" s="11">
        <v>1.272</v>
      </c>
      <c r="V913" s="12">
        <f>T913*U913</f>
        <v>2198.4357599999998</v>
      </c>
      <c r="W913" s="13">
        <v>0</v>
      </c>
      <c r="X913" s="12">
        <f>V913-(V913/(1+W913))</f>
        <v>0</v>
      </c>
      <c r="Y913" s="12">
        <f>V913-X913</f>
        <v>2198.4357599999998</v>
      </c>
      <c r="Z913" s="14">
        <v>1400</v>
      </c>
      <c r="AA913" s="2" t="str">
        <f>IF(V913&gt;Z913,"Yes","No")</f>
        <v>Yes</v>
      </c>
      <c r="AB913" s="12">
        <f>V913-Z913</f>
        <v>798.43575999999985</v>
      </c>
      <c r="AC913" s="15" t="s">
        <v>130</v>
      </c>
      <c r="AD913" s="15" t="s">
        <v>131</v>
      </c>
      <c r="AE913" s="15" t="s">
        <v>132</v>
      </c>
      <c r="AF913" s="12">
        <f>IF(AG913="Rejected",0,IF(R913="Corporate Card",0,V913))</f>
        <v>2198.4357599999998</v>
      </c>
      <c r="AG913" s="15" t="s">
        <v>133</v>
      </c>
      <c r="AH913" s="16">
        <v>45760</v>
      </c>
      <c r="AI913" s="16">
        <v>45767</v>
      </c>
      <c r="AJ913" s="16">
        <v>45776</v>
      </c>
      <c r="AK913" s="17">
        <f>IF(AJ913="","",AJ913-AH913)</f>
        <v>16</v>
      </c>
    </row>
    <row r="914" spans="1:37">
      <c r="A914" s="2" t="s">
        <v>1315</v>
      </c>
      <c r="B914" s="2" t="s">
        <v>1235</v>
      </c>
      <c r="C914" s="2" t="s">
        <v>867</v>
      </c>
      <c r="D914" s="2" t="s">
        <v>865</v>
      </c>
      <c r="E914" s="2" t="s">
        <v>1236</v>
      </c>
      <c r="F914" s="2" t="s">
        <v>313</v>
      </c>
      <c r="G914" s="2" t="s">
        <v>1314</v>
      </c>
      <c r="H914" s="2" t="s">
        <v>803</v>
      </c>
      <c r="I914" s="2" t="s">
        <v>123</v>
      </c>
      <c r="J914" s="2" t="s">
        <v>124</v>
      </c>
      <c r="K914" s="9">
        <v>45746</v>
      </c>
      <c r="L914" s="9">
        <v>45752</v>
      </c>
      <c r="M914" s="9">
        <v>45746</v>
      </c>
      <c r="N914" s="2" t="s">
        <v>1054</v>
      </c>
      <c r="O914" s="2" t="s">
        <v>64</v>
      </c>
      <c r="P914" s="2" t="s">
        <v>135</v>
      </c>
      <c r="Q914" s="2" t="s">
        <v>127</v>
      </c>
      <c r="R914" s="2" t="s">
        <v>128</v>
      </c>
      <c r="S914" s="2" t="s">
        <v>129</v>
      </c>
      <c r="T914" s="10">
        <v>78.16</v>
      </c>
      <c r="U914" s="11">
        <v>1.272</v>
      </c>
      <c r="V914" s="12">
        <f>T914*U914</f>
        <v>99.419519999999991</v>
      </c>
      <c r="W914" s="13">
        <v>0</v>
      </c>
      <c r="X914" s="12">
        <f>V914-(V914/(1+W914))</f>
        <v>0</v>
      </c>
      <c r="Y914" s="12">
        <f>V914-X914</f>
        <v>99.419519999999991</v>
      </c>
      <c r="Z914" s="14">
        <v>120</v>
      </c>
      <c r="AA914" s="2" t="str">
        <f>IF(V914&gt;Z914,"Yes","No")</f>
        <v>No</v>
      </c>
      <c r="AB914" s="12">
        <f>V914-Z914</f>
        <v>-20.580480000000009</v>
      </c>
      <c r="AC914" s="15" t="s">
        <v>130</v>
      </c>
      <c r="AD914" s="15" t="s">
        <v>131</v>
      </c>
      <c r="AE914" s="15" t="s">
        <v>132</v>
      </c>
      <c r="AF914" s="12">
        <f>IF(AG914="Rejected",0,IF(R914="Corporate Card",0,V914))</f>
        <v>0</v>
      </c>
      <c r="AG914" s="15" t="s">
        <v>133</v>
      </c>
      <c r="AH914" s="16">
        <v>45760</v>
      </c>
      <c r="AI914" s="16">
        <v>45767</v>
      </c>
      <c r="AJ914" s="16">
        <v>45776</v>
      </c>
      <c r="AK914" s="17">
        <f>IF(AJ914="","",AJ914-AH914)</f>
        <v>16</v>
      </c>
    </row>
    <row r="915" spans="1:37">
      <c r="A915" s="2" t="s">
        <v>1316</v>
      </c>
      <c r="B915" s="2" t="s">
        <v>1235</v>
      </c>
      <c r="C915" s="2" t="s">
        <v>867</v>
      </c>
      <c r="D915" s="2" t="s">
        <v>865</v>
      </c>
      <c r="E915" s="2" t="s">
        <v>1236</v>
      </c>
      <c r="F915" s="2" t="s">
        <v>313</v>
      </c>
      <c r="G915" s="2" t="s">
        <v>1314</v>
      </c>
      <c r="H915" s="2" t="s">
        <v>803</v>
      </c>
      <c r="I915" s="2" t="s">
        <v>123</v>
      </c>
      <c r="J915" s="2" t="s">
        <v>124</v>
      </c>
      <c r="K915" s="9">
        <v>45746</v>
      </c>
      <c r="L915" s="9">
        <v>45752</v>
      </c>
      <c r="M915" s="9">
        <v>45746</v>
      </c>
      <c r="N915" s="2" t="s">
        <v>1054</v>
      </c>
      <c r="O915" s="2" t="s">
        <v>58</v>
      </c>
      <c r="P915" s="2" t="s">
        <v>142</v>
      </c>
      <c r="Q915" s="2" t="s">
        <v>143</v>
      </c>
      <c r="R915" s="2" t="s">
        <v>128</v>
      </c>
      <c r="S915" s="2" t="s">
        <v>129</v>
      </c>
      <c r="T915" s="10">
        <v>29.64</v>
      </c>
      <c r="U915" s="11">
        <v>1.272</v>
      </c>
      <c r="V915" s="12">
        <f>T915*U915</f>
        <v>37.702080000000002</v>
      </c>
      <c r="W915" s="13">
        <v>0.2</v>
      </c>
      <c r="X915" s="12">
        <f>V915-(V915/(1+W915))</f>
        <v>6.2836800000000004</v>
      </c>
      <c r="Y915" s="12">
        <f>V915-X915</f>
        <v>31.418400000000002</v>
      </c>
      <c r="Z915" s="14">
        <v>60</v>
      </c>
      <c r="AA915" s="2" t="str">
        <f>IF(V915&gt;Z915,"Yes","No")</f>
        <v>No</v>
      </c>
      <c r="AB915" s="12">
        <f>V915-Z915</f>
        <v>-22.297919999999998</v>
      </c>
      <c r="AC915" s="15" t="s">
        <v>130</v>
      </c>
      <c r="AD915" s="15" t="s">
        <v>131</v>
      </c>
      <c r="AE915" s="15" t="s">
        <v>132</v>
      </c>
      <c r="AF915" s="12">
        <f>IF(AG915="Rejected",0,IF(R915="Corporate Card",0,V915))</f>
        <v>0</v>
      </c>
      <c r="AG915" s="15" t="s">
        <v>133</v>
      </c>
      <c r="AH915" s="16">
        <v>45760</v>
      </c>
      <c r="AI915" s="16">
        <v>45767</v>
      </c>
      <c r="AJ915" s="16">
        <v>45776</v>
      </c>
      <c r="AK915" s="17">
        <f>IF(AJ915="","",AJ915-AH915)</f>
        <v>16</v>
      </c>
    </row>
    <row r="916" spans="1:37">
      <c r="A916" s="2" t="s">
        <v>1317</v>
      </c>
      <c r="B916" s="2" t="s">
        <v>1235</v>
      </c>
      <c r="C916" s="2" t="s">
        <v>867</v>
      </c>
      <c r="D916" s="2" t="s">
        <v>865</v>
      </c>
      <c r="E916" s="2" t="s">
        <v>1236</v>
      </c>
      <c r="F916" s="2" t="s">
        <v>313</v>
      </c>
      <c r="G916" s="2" t="s">
        <v>1314</v>
      </c>
      <c r="H916" s="2" t="s">
        <v>803</v>
      </c>
      <c r="I916" s="2" t="s">
        <v>123</v>
      </c>
      <c r="J916" s="2" t="s">
        <v>124</v>
      </c>
      <c r="K916" s="9">
        <v>45746</v>
      </c>
      <c r="L916" s="9">
        <v>45752</v>
      </c>
      <c r="M916" s="9">
        <v>45746</v>
      </c>
      <c r="N916" s="2" t="s">
        <v>1054</v>
      </c>
      <c r="O916" s="2" t="s">
        <v>54</v>
      </c>
      <c r="P916" s="2" t="s">
        <v>139</v>
      </c>
      <c r="Q916" s="2" t="s">
        <v>140</v>
      </c>
      <c r="R916" s="2" t="s">
        <v>137</v>
      </c>
      <c r="S916" s="2" t="s">
        <v>129</v>
      </c>
      <c r="T916" s="10">
        <v>12.11</v>
      </c>
      <c r="U916" s="11">
        <v>1.272</v>
      </c>
      <c r="V916" s="12">
        <f>T916*U916</f>
        <v>15.403919999999999</v>
      </c>
      <c r="W916" s="13">
        <v>0.2</v>
      </c>
      <c r="X916" s="12">
        <f>V916-(V916/(1+W916))</f>
        <v>2.5673199999999987</v>
      </c>
      <c r="Y916" s="12">
        <f>V916-X916</f>
        <v>12.836600000000001</v>
      </c>
      <c r="Z916" s="14">
        <v>25</v>
      </c>
      <c r="AA916" s="2" t="str">
        <f>IF(V916&gt;Z916,"Yes","No")</f>
        <v>No</v>
      </c>
      <c r="AB916" s="12">
        <f>V916-Z916</f>
        <v>-9.5960800000000006</v>
      </c>
      <c r="AC916" s="15" t="s">
        <v>130</v>
      </c>
      <c r="AD916" s="15" t="s">
        <v>131</v>
      </c>
      <c r="AE916" s="15" t="s">
        <v>132</v>
      </c>
      <c r="AF916" s="12">
        <f>IF(AG916="Rejected",0,IF(R916="Corporate Card",0,V916))</f>
        <v>15.403919999999999</v>
      </c>
      <c r="AG916" s="15" t="s">
        <v>133</v>
      </c>
      <c r="AH916" s="16">
        <v>45760</v>
      </c>
      <c r="AI916" s="16">
        <v>45767</v>
      </c>
      <c r="AJ916" s="16">
        <v>45776</v>
      </c>
      <c r="AK916" s="17">
        <f>IF(AJ916="","",AJ916-AH916)</f>
        <v>16</v>
      </c>
    </row>
    <row r="917" spans="1:37">
      <c r="A917" s="2" t="s">
        <v>1318</v>
      </c>
      <c r="B917" s="2" t="s">
        <v>1235</v>
      </c>
      <c r="C917" s="2" t="s">
        <v>867</v>
      </c>
      <c r="D917" s="2" t="s">
        <v>865</v>
      </c>
      <c r="E917" s="2" t="s">
        <v>1236</v>
      </c>
      <c r="F917" s="2" t="s">
        <v>313</v>
      </c>
      <c r="G917" s="2" t="s">
        <v>1314</v>
      </c>
      <c r="H917" s="2" t="s">
        <v>803</v>
      </c>
      <c r="I917" s="2" t="s">
        <v>123</v>
      </c>
      <c r="J917" s="2" t="s">
        <v>124</v>
      </c>
      <c r="K917" s="9">
        <v>45746</v>
      </c>
      <c r="L917" s="9">
        <v>45752</v>
      </c>
      <c r="M917" s="9">
        <v>45746</v>
      </c>
      <c r="N917" s="2" t="s">
        <v>1054</v>
      </c>
      <c r="O917" s="2" t="s">
        <v>56</v>
      </c>
      <c r="P917" s="2" t="s">
        <v>151</v>
      </c>
      <c r="Q917" s="2" t="s">
        <v>185</v>
      </c>
      <c r="R917" s="2" t="s">
        <v>137</v>
      </c>
      <c r="S917" s="2" t="s">
        <v>129</v>
      </c>
      <c r="T917" s="10">
        <v>30.64</v>
      </c>
      <c r="U917" s="11">
        <v>1.272</v>
      </c>
      <c r="V917" s="12">
        <f>T917*U917</f>
        <v>38.974080000000001</v>
      </c>
      <c r="W917" s="13">
        <v>0.2</v>
      </c>
      <c r="X917" s="12">
        <f>V917-(V917/(1+W917))</f>
        <v>6.4956800000000001</v>
      </c>
      <c r="Y917" s="12">
        <f>V917-X917</f>
        <v>32.478400000000001</v>
      </c>
      <c r="Z917" s="14">
        <v>75</v>
      </c>
      <c r="AA917" s="2" t="str">
        <f>IF(V917&gt;Z917,"Yes","No")</f>
        <v>No</v>
      </c>
      <c r="AB917" s="12">
        <f>V917-Z917</f>
        <v>-36.025919999999999</v>
      </c>
      <c r="AC917" s="15" t="s">
        <v>130</v>
      </c>
      <c r="AD917" s="15" t="s">
        <v>131</v>
      </c>
      <c r="AE917" s="15" t="s">
        <v>132</v>
      </c>
      <c r="AF917" s="12">
        <f>IF(AG917="Rejected",0,IF(R917="Corporate Card",0,V917))</f>
        <v>38.974080000000001</v>
      </c>
      <c r="AG917" s="15" t="s">
        <v>133</v>
      </c>
      <c r="AH917" s="16">
        <v>45760</v>
      </c>
      <c r="AI917" s="16">
        <v>45767</v>
      </c>
      <c r="AJ917" s="16">
        <v>45776</v>
      </c>
      <c r="AK917" s="17">
        <f>IF(AJ917="","",AJ917-AH917)</f>
        <v>16</v>
      </c>
    </row>
    <row r="918" spans="1:37">
      <c r="A918" s="2" t="s">
        <v>1319</v>
      </c>
      <c r="B918" s="2" t="s">
        <v>1235</v>
      </c>
      <c r="C918" s="2" t="s">
        <v>867</v>
      </c>
      <c r="D918" s="2" t="s">
        <v>865</v>
      </c>
      <c r="E918" s="2" t="s">
        <v>1236</v>
      </c>
      <c r="F918" s="2" t="s">
        <v>313</v>
      </c>
      <c r="G918" s="2" t="s">
        <v>1314</v>
      </c>
      <c r="H918" s="2" t="s">
        <v>803</v>
      </c>
      <c r="I918" s="2" t="s">
        <v>123</v>
      </c>
      <c r="J918" s="2" t="s">
        <v>124</v>
      </c>
      <c r="K918" s="9">
        <v>45746</v>
      </c>
      <c r="L918" s="9">
        <v>45752</v>
      </c>
      <c r="M918" s="9">
        <v>45746</v>
      </c>
      <c r="N918" s="2" t="s">
        <v>1054</v>
      </c>
      <c r="O918" s="2" t="s">
        <v>55</v>
      </c>
      <c r="P918" s="2" t="s">
        <v>139</v>
      </c>
      <c r="Q918" s="2" t="s">
        <v>154</v>
      </c>
      <c r="R918" s="2" t="s">
        <v>128</v>
      </c>
      <c r="S918" s="2" t="s">
        <v>129</v>
      </c>
      <c r="T918" s="10">
        <v>21.93</v>
      </c>
      <c r="U918" s="11">
        <v>1.272</v>
      </c>
      <c r="V918" s="12">
        <f>T918*U918</f>
        <v>27.894960000000001</v>
      </c>
      <c r="W918" s="13">
        <v>0.2</v>
      </c>
      <c r="X918" s="12">
        <f>V918-(V918/(1+W918))</f>
        <v>4.6491599999999984</v>
      </c>
      <c r="Y918" s="12">
        <f>V918-X918</f>
        <v>23.245800000000003</v>
      </c>
      <c r="Z918" s="14">
        <v>35</v>
      </c>
      <c r="AA918" s="2" t="str">
        <f>IF(V918&gt;Z918,"Yes","No")</f>
        <v>No</v>
      </c>
      <c r="AB918" s="12">
        <f>V918-Z918</f>
        <v>-7.1050399999999989</v>
      </c>
      <c r="AC918" s="15" t="s">
        <v>130</v>
      </c>
      <c r="AD918" s="15" t="s">
        <v>131</v>
      </c>
      <c r="AE918" s="15" t="s">
        <v>132</v>
      </c>
      <c r="AF918" s="12">
        <f>IF(AG918="Rejected",0,IF(R918="Corporate Card",0,V918))</f>
        <v>0</v>
      </c>
      <c r="AG918" s="15" t="s">
        <v>133</v>
      </c>
      <c r="AH918" s="16">
        <v>45760</v>
      </c>
      <c r="AI918" s="16">
        <v>45767</v>
      </c>
      <c r="AJ918" s="16">
        <v>45776</v>
      </c>
      <c r="AK918" s="17">
        <f>IF(AJ918="","",AJ918-AH918)</f>
        <v>16</v>
      </c>
    </row>
    <row r="919" spans="1:37">
      <c r="A919" s="2" t="s">
        <v>1320</v>
      </c>
      <c r="B919" s="2" t="s">
        <v>1235</v>
      </c>
      <c r="C919" s="2" t="s">
        <v>867</v>
      </c>
      <c r="D919" s="2" t="s">
        <v>865</v>
      </c>
      <c r="E919" s="2" t="s">
        <v>1236</v>
      </c>
      <c r="F919" s="2" t="s">
        <v>313</v>
      </c>
      <c r="G919" s="2" t="s">
        <v>1314</v>
      </c>
      <c r="H919" s="2" t="s">
        <v>803</v>
      </c>
      <c r="I919" s="2" t="s">
        <v>123</v>
      </c>
      <c r="J919" s="2" t="s">
        <v>124</v>
      </c>
      <c r="K919" s="9">
        <v>45746</v>
      </c>
      <c r="L919" s="9">
        <v>45752</v>
      </c>
      <c r="M919" s="9">
        <v>45746</v>
      </c>
      <c r="N919" s="2" t="s">
        <v>1054</v>
      </c>
      <c r="O919" s="2" t="s">
        <v>66</v>
      </c>
      <c r="P919" s="2" t="s">
        <v>489</v>
      </c>
      <c r="Q919" s="2" t="s">
        <v>783</v>
      </c>
      <c r="R919" s="2" t="s">
        <v>128</v>
      </c>
      <c r="S919" s="2" t="s">
        <v>129</v>
      </c>
      <c r="T919" s="10">
        <v>131.25</v>
      </c>
      <c r="U919" s="11">
        <v>1.272</v>
      </c>
      <c r="V919" s="12">
        <f>T919*U919</f>
        <v>166.95</v>
      </c>
      <c r="W919" s="13">
        <v>0</v>
      </c>
      <c r="X919" s="12">
        <f>V919-(V919/(1+W919))</f>
        <v>0</v>
      </c>
      <c r="Y919" s="12">
        <f>V919-X919</f>
        <v>166.95</v>
      </c>
      <c r="Z919" s="14">
        <v>250</v>
      </c>
      <c r="AA919" s="2" t="str">
        <f>IF(V919&gt;Z919,"Yes","No")</f>
        <v>No</v>
      </c>
      <c r="AB919" s="12">
        <f>V919-Z919</f>
        <v>-83.050000000000011</v>
      </c>
      <c r="AC919" s="15" t="s">
        <v>130</v>
      </c>
      <c r="AD919" s="15" t="s">
        <v>131</v>
      </c>
      <c r="AE919" s="15" t="s">
        <v>132</v>
      </c>
      <c r="AF919" s="12">
        <f>IF(AG919="Rejected",0,IF(R919="Corporate Card",0,V919))</f>
        <v>0</v>
      </c>
      <c r="AG919" s="15" t="s">
        <v>133</v>
      </c>
      <c r="AH919" s="16">
        <v>45760</v>
      </c>
      <c r="AI919" s="16">
        <v>45767</v>
      </c>
      <c r="AJ919" s="16">
        <v>45776</v>
      </c>
      <c r="AK919" s="17">
        <f>IF(AJ919="","",AJ919-AH919)</f>
        <v>16</v>
      </c>
    </row>
    <row r="920" spans="1:37">
      <c r="A920" s="2" t="s">
        <v>1321</v>
      </c>
      <c r="B920" s="2" t="s">
        <v>863</v>
      </c>
      <c r="C920" s="2" t="s">
        <v>864</v>
      </c>
      <c r="D920" s="2" t="s">
        <v>865</v>
      </c>
      <c r="E920" s="2" t="s">
        <v>866</v>
      </c>
      <c r="F920" s="2" t="s">
        <v>867</v>
      </c>
      <c r="G920" s="2" t="s">
        <v>1322</v>
      </c>
      <c r="H920" s="2" t="s">
        <v>348</v>
      </c>
      <c r="I920" s="2" t="s">
        <v>175</v>
      </c>
      <c r="J920" s="2" t="s">
        <v>176</v>
      </c>
      <c r="K920" s="9">
        <v>45747</v>
      </c>
      <c r="L920" s="9">
        <v>45748</v>
      </c>
      <c r="M920" s="9">
        <v>45747</v>
      </c>
      <c r="N920" s="2" t="s">
        <v>1054</v>
      </c>
      <c r="O920" s="2" t="s">
        <v>52</v>
      </c>
      <c r="P920" s="2" t="s">
        <v>177</v>
      </c>
      <c r="Q920" s="2" t="s">
        <v>197</v>
      </c>
      <c r="R920" s="2" t="s">
        <v>149</v>
      </c>
      <c r="S920" s="2" t="s">
        <v>179</v>
      </c>
      <c r="T920" s="10">
        <v>5077.7</v>
      </c>
      <c r="U920" s="11">
        <v>0.18099999999999999</v>
      </c>
      <c r="V920" s="12">
        <f>T920*U920</f>
        <v>919.06369999999993</v>
      </c>
      <c r="W920" s="13">
        <v>0</v>
      </c>
      <c r="X920" s="12">
        <f>V920-(V920/(1+W920))</f>
        <v>0</v>
      </c>
      <c r="Y920" s="12">
        <f>V920-X920</f>
        <v>919.06369999999993</v>
      </c>
      <c r="Z920" s="14">
        <v>1400</v>
      </c>
      <c r="AA920" s="2" t="str">
        <f>IF(V920&gt;Z920,"Yes","No")</f>
        <v>No</v>
      </c>
      <c r="AB920" s="12">
        <f>V920-Z920</f>
        <v>-480.93630000000007</v>
      </c>
      <c r="AC920" s="15" t="s">
        <v>130</v>
      </c>
      <c r="AD920" s="15" t="s">
        <v>130</v>
      </c>
      <c r="AE920" s="15" t="s">
        <v>350</v>
      </c>
      <c r="AF920" s="12">
        <f>IF(AG920="Rejected",0,IF(R920="Corporate Card",0,V920))</f>
        <v>919.06369999999993</v>
      </c>
      <c r="AG920" s="15" t="s">
        <v>133</v>
      </c>
      <c r="AH920" s="16">
        <v>45750</v>
      </c>
      <c r="AI920" s="16">
        <v>45755</v>
      </c>
      <c r="AJ920" s="16">
        <v>45763</v>
      </c>
      <c r="AK920" s="17">
        <f>IF(AJ920="","",AJ920-AH920)</f>
        <v>13</v>
      </c>
    </row>
    <row r="921" spans="1:37">
      <c r="A921" s="2" t="s">
        <v>1323</v>
      </c>
      <c r="B921" s="2" t="s">
        <v>863</v>
      </c>
      <c r="C921" s="2" t="s">
        <v>864</v>
      </c>
      <c r="D921" s="2" t="s">
        <v>865</v>
      </c>
      <c r="E921" s="2" t="s">
        <v>866</v>
      </c>
      <c r="F921" s="2" t="s">
        <v>867</v>
      </c>
      <c r="G921" s="2" t="s">
        <v>1322</v>
      </c>
      <c r="H921" s="2" t="s">
        <v>348</v>
      </c>
      <c r="I921" s="2" t="s">
        <v>175</v>
      </c>
      <c r="J921" s="2" t="s">
        <v>176</v>
      </c>
      <c r="K921" s="9">
        <v>45747</v>
      </c>
      <c r="L921" s="9">
        <v>45748</v>
      </c>
      <c r="M921" s="9">
        <v>45747</v>
      </c>
      <c r="N921" s="2" t="s">
        <v>1054</v>
      </c>
      <c r="O921" s="2" t="s">
        <v>58</v>
      </c>
      <c r="P921" s="2" t="s">
        <v>142</v>
      </c>
      <c r="Q921" s="2" t="s">
        <v>143</v>
      </c>
      <c r="R921" s="2" t="s">
        <v>137</v>
      </c>
      <c r="S921" s="2" t="s">
        <v>179</v>
      </c>
      <c r="T921" s="10">
        <v>197.55</v>
      </c>
      <c r="U921" s="11">
        <v>0.18099999999999999</v>
      </c>
      <c r="V921" s="12">
        <f>T921*U921</f>
        <v>35.756550000000004</v>
      </c>
      <c r="W921" s="13">
        <v>0.17</v>
      </c>
      <c r="X921" s="12">
        <f>V921-(V921/(1+W921))</f>
        <v>5.1953961538461542</v>
      </c>
      <c r="Y921" s="12">
        <f>V921-X921</f>
        <v>30.56115384615385</v>
      </c>
      <c r="Z921" s="14">
        <v>60</v>
      </c>
      <c r="AA921" s="2" t="str">
        <f>IF(V921&gt;Z921,"Yes","No")</f>
        <v>No</v>
      </c>
      <c r="AB921" s="12">
        <f>V921-Z921</f>
        <v>-24.243449999999996</v>
      </c>
      <c r="AC921" s="15" t="s">
        <v>130</v>
      </c>
      <c r="AD921" s="15" t="s">
        <v>130</v>
      </c>
      <c r="AE921" s="15" t="s">
        <v>350</v>
      </c>
      <c r="AF921" s="12">
        <f>IF(AG921="Rejected",0,IF(R921="Corporate Card",0,V921))</f>
        <v>35.756550000000004</v>
      </c>
      <c r="AG921" s="15" t="s">
        <v>133</v>
      </c>
      <c r="AH921" s="16">
        <v>45750</v>
      </c>
      <c r="AI921" s="16">
        <v>45755</v>
      </c>
      <c r="AJ921" s="16">
        <v>45763</v>
      </c>
      <c r="AK921" s="17">
        <f>IF(AJ921="","",AJ921-AH921)</f>
        <v>13</v>
      </c>
    </row>
    <row r="922" spans="1:37">
      <c r="A922" s="2" t="s">
        <v>1324</v>
      </c>
      <c r="B922" s="2" t="s">
        <v>863</v>
      </c>
      <c r="C922" s="2" t="s">
        <v>864</v>
      </c>
      <c r="D922" s="2" t="s">
        <v>865</v>
      </c>
      <c r="E922" s="2" t="s">
        <v>866</v>
      </c>
      <c r="F922" s="2" t="s">
        <v>867</v>
      </c>
      <c r="G922" s="2" t="s">
        <v>1322</v>
      </c>
      <c r="H922" s="2" t="s">
        <v>348</v>
      </c>
      <c r="I922" s="2" t="s">
        <v>175</v>
      </c>
      <c r="J922" s="2" t="s">
        <v>176</v>
      </c>
      <c r="K922" s="9">
        <v>45747</v>
      </c>
      <c r="L922" s="9">
        <v>45748</v>
      </c>
      <c r="M922" s="9">
        <v>45747</v>
      </c>
      <c r="N922" s="2" t="s">
        <v>1054</v>
      </c>
      <c r="O922" s="2" t="s">
        <v>54</v>
      </c>
      <c r="P922" s="2" t="s">
        <v>139</v>
      </c>
      <c r="Q922" s="2" t="s">
        <v>163</v>
      </c>
      <c r="R922" s="2" t="s">
        <v>128</v>
      </c>
      <c r="S922" s="2" t="s">
        <v>179</v>
      </c>
      <c r="T922" s="10">
        <v>89.66</v>
      </c>
      <c r="U922" s="11">
        <v>0.18099999999999999</v>
      </c>
      <c r="V922" s="12">
        <f>T922*U922</f>
        <v>16.228459999999998</v>
      </c>
      <c r="W922" s="13">
        <v>0.17</v>
      </c>
      <c r="X922" s="12">
        <f>V922-(V922/(1+W922))</f>
        <v>2.3579813675213668</v>
      </c>
      <c r="Y922" s="12">
        <f>V922-X922</f>
        <v>13.870478632478632</v>
      </c>
      <c r="Z922" s="14">
        <v>25</v>
      </c>
      <c r="AA922" s="2" t="str">
        <f>IF(V922&gt;Z922,"Yes","No")</f>
        <v>No</v>
      </c>
      <c r="AB922" s="12">
        <f>V922-Z922</f>
        <v>-8.7715400000000017</v>
      </c>
      <c r="AC922" s="15" t="s">
        <v>130</v>
      </c>
      <c r="AD922" s="15" t="s">
        <v>130</v>
      </c>
      <c r="AE922" s="15" t="s">
        <v>350</v>
      </c>
      <c r="AF922" s="12">
        <f>IF(AG922="Rejected",0,IF(R922="Corporate Card",0,V922))</f>
        <v>0</v>
      </c>
      <c r="AG922" s="15" t="s">
        <v>133</v>
      </c>
      <c r="AH922" s="16">
        <v>45750</v>
      </c>
      <c r="AI922" s="16">
        <v>45755</v>
      </c>
      <c r="AJ922" s="16">
        <v>45763</v>
      </c>
      <c r="AK922" s="17">
        <f>IF(AJ922="","",AJ922-AH922)</f>
        <v>13</v>
      </c>
    </row>
    <row r="923" spans="1:37">
      <c r="A923" s="2" t="s">
        <v>1325</v>
      </c>
      <c r="B923" s="2" t="s">
        <v>863</v>
      </c>
      <c r="C923" s="2" t="s">
        <v>864</v>
      </c>
      <c r="D923" s="2" t="s">
        <v>865</v>
      </c>
      <c r="E923" s="2" t="s">
        <v>866</v>
      </c>
      <c r="F923" s="2" t="s">
        <v>867</v>
      </c>
      <c r="G923" s="2" t="s">
        <v>1322</v>
      </c>
      <c r="H923" s="2" t="s">
        <v>348</v>
      </c>
      <c r="I923" s="2" t="s">
        <v>175</v>
      </c>
      <c r="J923" s="2" t="s">
        <v>176</v>
      </c>
      <c r="K923" s="9">
        <v>45747</v>
      </c>
      <c r="L923" s="9">
        <v>45748</v>
      </c>
      <c r="M923" s="9">
        <v>45747</v>
      </c>
      <c r="N923" s="2" t="s">
        <v>1054</v>
      </c>
      <c r="O923" s="2" t="s">
        <v>56</v>
      </c>
      <c r="P923" s="2" t="s">
        <v>165</v>
      </c>
      <c r="Q923" s="2" t="s">
        <v>227</v>
      </c>
      <c r="R923" s="2" t="s">
        <v>137</v>
      </c>
      <c r="S923" s="2" t="s">
        <v>179</v>
      </c>
      <c r="T923" s="10">
        <v>321.68</v>
      </c>
      <c r="U923" s="11">
        <v>0.18099999999999999</v>
      </c>
      <c r="V923" s="12">
        <f>T923*U923</f>
        <v>58.224080000000001</v>
      </c>
      <c r="W923" s="13">
        <v>0.17</v>
      </c>
      <c r="X923" s="12">
        <f>V923-(V923/(1+W923))</f>
        <v>8.4599090598290587</v>
      </c>
      <c r="Y923" s="12">
        <f>V923-X923</f>
        <v>49.764170940170942</v>
      </c>
      <c r="Z923" s="14">
        <v>75</v>
      </c>
      <c r="AA923" s="2" t="str">
        <f>IF(V923&gt;Z923,"Yes","No")</f>
        <v>No</v>
      </c>
      <c r="AB923" s="12">
        <f>V923-Z923</f>
        <v>-16.775919999999999</v>
      </c>
      <c r="AC923" s="15" t="s">
        <v>130</v>
      </c>
      <c r="AD923" s="15" t="s">
        <v>130</v>
      </c>
      <c r="AE923" s="15" t="s">
        <v>350</v>
      </c>
      <c r="AF923" s="12">
        <f>IF(AG923="Rejected",0,IF(R923="Corporate Card",0,V923))</f>
        <v>58.224080000000001</v>
      </c>
      <c r="AG923" s="15" t="s">
        <v>133</v>
      </c>
      <c r="AH923" s="16">
        <v>45750</v>
      </c>
      <c r="AI923" s="16">
        <v>45755</v>
      </c>
      <c r="AJ923" s="16">
        <v>45763</v>
      </c>
      <c r="AK923" s="17">
        <f>IF(AJ923="","",AJ923-AH923)</f>
        <v>13</v>
      </c>
    </row>
    <row r="924" spans="1:37">
      <c r="A924" s="2" t="s">
        <v>1326</v>
      </c>
      <c r="B924" s="2" t="s">
        <v>863</v>
      </c>
      <c r="C924" s="2" t="s">
        <v>864</v>
      </c>
      <c r="D924" s="2" t="s">
        <v>865</v>
      </c>
      <c r="E924" s="2" t="s">
        <v>866</v>
      </c>
      <c r="F924" s="2" t="s">
        <v>867</v>
      </c>
      <c r="G924" s="2" t="s">
        <v>1322</v>
      </c>
      <c r="H924" s="2" t="s">
        <v>348</v>
      </c>
      <c r="I924" s="2" t="s">
        <v>175</v>
      </c>
      <c r="J924" s="2" t="s">
        <v>176</v>
      </c>
      <c r="K924" s="9">
        <v>45747</v>
      </c>
      <c r="L924" s="9">
        <v>45748</v>
      </c>
      <c r="M924" s="9">
        <v>45747</v>
      </c>
      <c r="N924" s="2" t="s">
        <v>1054</v>
      </c>
      <c r="O924" s="2" t="s">
        <v>55</v>
      </c>
      <c r="P924" s="2" t="s">
        <v>139</v>
      </c>
      <c r="Q924" s="2" t="s">
        <v>187</v>
      </c>
      <c r="R924" s="2" t="s">
        <v>137</v>
      </c>
      <c r="S924" s="2" t="s">
        <v>179</v>
      </c>
      <c r="T924" s="10">
        <v>130.37</v>
      </c>
      <c r="U924" s="11">
        <v>0.18099999999999999</v>
      </c>
      <c r="V924" s="12">
        <f>T924*U924</f>
        <v>23.596969999999999</v>
      </c>
      <c r="W924" s="13">
        <v>0.17</v>
      </c>
      <c r="X924" s="12">
        <f>V924-(V924/(1+W924))</f>
        <v>3.4286195726495698</v>
      </c>
      <c r="Y924" s="12">
        <f>V924-X924</f>
        <v>20.168350427350429</v>
      </c>
      <c r="Z924" s="14">
        <v>35</v>
      </c>
      <c r="AA924" s="2" t="str">
        <f>IF(V924&gt;Z924,"Yes","No")</f>
        <v>No</v>
      </c>
      <c r="AB924" s="12">
        <f>V924-Z924</f>
        <v>-11.403030000000001</v>
      </c>
      <c r="AC924" s="15" t="s">
        <v>130</v>
      </c>
      <c r="AD924" s="15" t="s">
        <v>130</v>
      </c>
      <c r="AE924" s="15" t="s">
        <v>350</v>
      </c>
      <c r="AF924" s="12">
        <f>IF(AG924="Rejected",0,IF(R924="Corporate Card",0,V924))</f>
        <v>23.596969999999999</v>
      </c>
      <c r="AG924" s="15" t="s">
        <v>133</v>
      </c>
      <c r="AH924" s="16">
        <v>45750</v>
      </c>
      <c r="AI924" s="16">
        <v>45755</v>
      </c>
      <c r="AJ924" s="16">
        <v>45763</v>
      </c>
      <c r="AK924" s="17">
        <f>IF(AJ924="","",AJ924-AH924)</f>
        <v>13</v>
      </c>
    </row>
    <row r="925" spans="1:37">
      <c r="A925" s="2" t="s">
        <v>1327</v>
      </c>
      <c r="B925" s="2" t="s">
        <v>863</v>
      </c>
      <c r="C925" s="2" t="s">
        <v>864</v>
      </c>
      <c r="D925" s="2" t="s">
        <v>865</v>
      </c>
      <c r="E925" s="2" t="s">
        <v>866</v>
      </c>
      <c r="F925" s="2" t="s">
        <v>867</v>
      </c>
      <c r="G925" s="2" t="s">
        <v>1322</v>
      </c>
      <c r="H925" s="2" t="s">
        <v>348</v>
      </c>
      <c r="I925" s="2" t="s">
        <v>175</v>
      </c>
      <c r="J925" s="2" t="s">
        <v>176</v>
      </c>
      <c r="K925" s="9">
        <v>45747</v>
      </c>
      <c r="L925" s="9">
        <v>45748</v>
      </c>
      <c r="M925" s="9">
        <v>45747</v>
      </c>
      <c r="N925" s="2" t="s">
        <v>1054</v>
      </c>
      <c r="O925" s="2" t="s">
        <v>66</v>
      </c>
      <c r="P925" s="2" t="s">
        <v>489</v>
      </c>
      <c r="Q925" s="2" t="s">
        <v>783</v>
      </c>
      <c r="R925" s="2" t="s">
        <v>137</v>
      </c>
      <c r="S925" s="2" t="s">
        <v>179</v>
      </c>
      <c r="T925" s="10">
        <v>1355.62</v>
      </c>
      <c r="U925" s="11">
        <v>0.18099999999999999</v>
      </c>
      <c r="V925" s="12">
        <f>T925*U925</f>
        <v>245.36721999999997</v>
      </c>
      <c r="W925" s="13">
        <v>0</v>
      </c>
      <c r="X925" s="12">
        <f>V925-(V925/(1+W925))</f>
        <v>0</v>
      </c>
      <c r="Y925" s="12">
        <f>V925-X925</f>
        <v>245.36721999999997</v>
      </c>
      <c r="Z925" s="14">
        <v>250</v>
      </c>
      <c r="AA925" s="2" t="str">
        <f>IF(V925&gt;Z925,"Yes","No")</f>
        <v>No</v>
      </c>
      <c r="AB925" s="12">
        <f>V925-Z925</f>
        <v>-4.6327800000000252</v>
      </c>
      <c r="AC925" s="15" t="s">
        <v>130</v>
      </c>
      <c r="AD925" s="15" t="s">
        <v>130</v>
      </c>
      <c r="AE925" s="15" t="s">
        <v>350</v>
      </c>
      <c r="AF925" s="12">
        <f>IF(AG925="Rejected",0,IF(R925="Corporate Card",0,V925))</f>
        <v>245.36721999999997</v>
      </c>
      <c r="AG925" s="15" t="s">
        <v>133</v>
      </c>
      <c r="AH925" s="16">
        <v>45750</v>
      </c>
      <c r="AI925" s="16">
        <v>45755</v>
      </c>
      <c r="AJ925" s="16">
        <v>45763</v>
      </c>
      <c r="AK925" s="17">
        <f>IF(AJ925="","",AJ925-AH925)</f>
        <v>13</v>
      </c>
    </row>
    <row r="926" spans="1:37">
      <c r="A926" s="2" t="s">
        <v>1328</v>
      </c>
      <c r="B926" s="2" t="s">
        <v>1235</v>
      </c>
      <c r="C926" s="2" t="s">
        <v>867</v>
      </c>
      <c r="D926" s="2" t="s">
        <v>865</v>
      </c>
      <c r="E926" s="2" t="s">
        <v>1236</v>
      </c>
      <c r="F926" s="2" t="s">
        <v>313</v>
      </c>
      <c r="G926" s="2" t="s">
        <v>1314</v>
      </c>
      <c r="H926" s="2" t="s">
        <v>803</v>
      </c>
      <c r="I926" s="2" t="s">
        <v>123</v>
      </c>
      <c r="J926" s="2" t="s">
        <v>124</v>
      </c>
      <c r="K926" s="9">
        <v>45746</v>
      </c>
      <c r="L926" s="9">
        <v>45752</v>
      </c>
      <c r="M926" s="9">
        <v>45747</v>
      </c>
      <c r="N926" s="2" t="s">
        <v>1054</v>
      </c>
      <c r="O926" s="2" t="s">
        <v>53</v>
      </c>
      <c r="P926" s="2" t="s">
        <v>467</v>
      </c>
      <c r="Q926" s="2" t="s">
        <v>468</v>
      </c>
      <c r="R926" s="2" t="s">
        <v>149</v>
      </c>
      <c r="S926" s="2" t="s">
        <v>129</v>
      </c>
      <c r="T926" s="10">
        <v>511.47</v>
      </c>
      <c r="U926" s="11">
        <v>1.272</v>
      </c>
      <c r="V926" s="12">
        <f>T926*U926</f>
        <v>650.58984000000009</v>
      </c>
      <c r="W926" s="13">
        <v>0.2</v>
      </c>
      <c r="X926" s="12">
        <f>V926-(V926/(1+W926))</f>
        <v>108.43164000000002</v>
      </c>
      <c r="Y926" s="12">
        <f>V926-X926</f>
        <v>542.15820000000008</v>
      </c>
      <c r="Z926" s="14">
        <v>1680</v>
      </c>
      <c r="AA926" s="2" t="str">
        <f>IF(V926&gt;Z926,"Yes","No")</f>
        <v>No</v>
      </c>
      <c r="AB926" s="12">
        <f>V926-Z926</f>
        <v>-1029.4101599999999</v>
      </c>
      <c r="AC926" s="15" t="s">
        <v>130</v>
      </c>
      <c r="AD926" s="15" t="s">
        <v>131</v>
      </c>
      <c r="AE926" s="15" t="s">
        <v>132</v>
      </c>
      <c r="AF926" s="12">
        <f>IF(AG926="Rejected",0,IF(R926="Corporate Card",0,V926))</f>
        <v>650.58984000000009</v>
      </c>
      <c r="AG926" s="15" t="s">
        <v>133</v>
      </c>
      <c r="AH926" s="16">
        <v>45760</v>
      </c>
      <c r="AI926" s="16">
        <v>45767</v>
      </c>
      <c r="AJ926" s="16">
        <v>45776</v>
      </c>
      <c r="AK926" s="17">
        <f>IF(AJ926="","",AJ926-AH926)</f>
        <v>16</v>
      </c>
    </row>
    <row r="927" spans="1:37">
      <c r="A927" s="2" t="s">
        <v>1329</v>
      </c>
      <c r="B927" s="2" t="s">
        <v>1235</v>
      </c>
      <c r="C927" s="2" t="s">
        <v>867</v>
      </c>
      <c r="D927" s="2" t="s">
        <v>865</v>
      </c>
      <c r="E927" s="2" t="s">
        <v>1236</v>
      </c>
      <c r="F927" s="2" t="s">
        <v>313</v>
      </c>
      <c r="G927" s="2" t="s">
        <v>1314</v>
      </c>
      <c r="H927" s="2" t="s">
        <v>803</v>
      </c>
      <c r="I927" s="2" t="s">
        <v>123</v>
      </c>
      <c r="J927" s="2" t="s">
        <v>124</v>
      </c>
      <c r="K927" s="9">
        <v>45746</v>
      </c>
      <c r="L927" s="9">
        <v>45752</v>
      </c>
      <c r="M927" s="9">
        <v>45747</v>
      </c>
      <c r="N927" s="2" t="s">
        <v>1054</v>
      </c>
      <c r="O927" s="2" t="s">
        <v>54</v>
      </c>
      <c r="P927" s="2" t="s">
        <v>139</v>
      </c>
      <c r="Q927" s="2" t="s">
        <v>214</v>
      </c>
      <c r="R927" s="2" t="s">
        <v>137</v>
      </c>
      <c r="S927" s="2" t="s">
        <v>129</v>
      </c>
      <c r="T927" s="10">
        <v>15.85</v>
      </c>
      <c r="U927" s="11">
        <v>1.272</v>
      </c>
      <c r="V927" s="12">
        <f>T927*U927</f>
        <v>20.161200000000001</v>
      </c>
      <c r="W927" s="13">
        <v>0.2</v>
      </c>
      <c r="X927" s="12">
        <f>V927-(V927/(1+W927))</f>
        <v>3.360199999999999</v>
      </c>
      <c r="Y927" s="12">
        <f>V927-X927</f>
        <v>16.801000000000002</v>
      </c>
      <c r="Z927" s="14">
        <v>25</v>
      </c>
      <c r="AA927" s="2" t="str">
        <f>IF(V927&gt;Z927,"Yes","No")</f>
        <v>No</v>
      </c>
      <c r="AB927" s="12">
        <f>V927-Z927</f>
        <v>-4.8387999999999991</v>
      </c>
      <c r="AC927" s="15" t="s">
        <v>131</v>
      </c>
      <c r="AD927" s="15" t="s">
        <v>131</v>
      </c>
      <c r="AE927" s="15" t="s">
        <v>132</v>
      </c>
      <c r="AF927" s="12">
        <f>IF(AG927="Rejected",0,IF(R927="Corporate Card",0,V927))</f>
        <v>20.161200000000001</v>
      </c>
      <c r="AG927" s="15" t="s">
        <v>133</v>
      </c>
      <c r="AH927" s="16">
        <v>45760</v>
      </c>
      <c r="AI927" s="16">
        <v>45767</v>
      </c>
      <c r="AJ927" s="16">
        <v>45776</v>
      </c>
      <c r="AK927" s="17">
        <f>IF(AJ927="","",AJ927-AH927)</f>
        <v>16</v>
      </c>
    </row>
    <row r="928" spans="1:37">
      <c r="A928" s="2" t="s">
        <v>1330</v>
      </c>
      <c r="B928" s="2" t="s">
        <v>1235</v>
      </c>
      <c r="C928" s="2" t="s">
        <v>867</v>
      </c>
      <c r="D928" s="2" t="s">
        <v>865</v>
      </c>
      <c r="E928" s="2" t="s">
        <v>1236</v>
      </c>
      <c r="F928" s="2" t="s">
        <v>313</v>
      </c>
      <c r="G928" s="2" t="s">
        <v>1314</v>
      </c>
      <c r="H928" s="2" t="s">
        <v>803</v>
      </c>
      <c r="I928" s="2" t="s">
        <v>123</v>
      </c>
      <c r="J928" s="2" t="s">
        <v>124</v>
      </c>
      <c r="K928" s="9">
        <v>45746</v>
      </c>
      <c r="L928" s="9">
        <v>45752</v>
      </c>
      <c r="M928" s="9">
        <v>45747</v>
      </c>
      <c r="N928" s="2" t="s">
        <v>1054</v>
      </c>
      <c r="O928" s="2" t="s">
        <v>56</v>
      </c>
      <c r="P928" s="2" t="s">
        <v>165</v>
      </c>
      <c r="Q928" s="2" t="s">
        <v>159</v>
      </c>
      <c r="R928" s="2" t="s">
        <v>128</v>
      </c>
      <c r="S928" s="2" t="s">
        <v>129</v>
      </c>
      <c r="T928" s="10">
        <v>39.92</v>
      </c>
      <c r="U928" s="11">
        <v>1.272</v>
      </c>
      <c r="V928" s="12">
        <f>T928*U928</f>
        <v>50.778240000000004</v>
      </c>
      <c r="W928" s="13">
        <v>0.2</v>
      </c>
      <c r="X928" s="12">
        <f>V928-(V928/(1+W928))</f>
        <v>8.4630399999999995</v>
      </c>
      <c r="Y928" s="12">
        <f>V928-X928</f>
        <v>42.315200000000004</v>
      </c>
      <c r="Z928" s="14">
        <v>75</v>
      </c>
      <c r="AA928" s="2" t="str">
        <f>IF(V928&gt;Z928,"Yes","No")</f>
        <v>No</v>
      </c>
      <c r="AB928" s="12">
        <f>V928-Z928</f>
        <v>-24.221759999999996</v>
      </c>
      <c r="AC928" s="15" t="s">
        <v>130</v>
      </c>
      <c r="AD928" s="15" t="s">
        <v>131</v>
      </c>
      <c r="AE928" s="15" t="s">
        <v>132</v>
      </c>
      <c r="AF928" s="12">
        <f>IF(AG928="Rejected",0,IF(R928="Corporate Card",0,V928))</f>
        <v>0</v>
      </c>
      <c r="AG928" s="15" t="s">
        <v>133</v>
      </c>
      <c r="AH928" s="16">
        <v>45760</v>
      </c>
      <c r="AI928" s="16">
        <v>45767</v>
      </c>
      <c r="AJ928" s="16">
        <v>45776</v>
      </c>
      <c r="AK928" s="17">
        <f>IF(AJ928="","",AJ928-AH928)</f>
        <v>16</v>
      </c>
    </row>
    <row r="929" spans="1:37">
      <c r="A929" s="2" t="s">
        <v>1331</v>
      </c>
      <c r="B929" s="2" t="s">
        <v>1235</v>
      </c>
      <c r="C929" s="2" t="s">
        <v>867</v>
      </c>
      <c r="D929" s="2" t="s">
        <v>865</v>
      </c>
      <c r="E929" s="2" t="s">
        <v>1236</v>
      </c>
      <c r="F929" s="2" t="s">
        <v>313</v>
      </c>
      <c r="G929" s="2" t="s">
        <v>1314</v>
      </c>
      <c r="H929" s="2" t="s">
        <v>803</v>
      </c>
      <c r="I929" s="2" t="s">
        <v>123</v>
      </c>
      <c r="J929" s="2" t="s">
        <v>124</v>
      </c>
      <c r="K929" s="9">
        <v>45746</v>
      </c>
      <c r="L929" s="9">
        <v>45752</v>
      </c>
      <c r="M929" s="9">
        <v>45747</v>
      </c>
      <c r="N929" s="2" t="s">
        <v>1054</v>
      </c>
      <c r="O929" s="2" t="s">
        <v>55</v>
      </c>
      <c r="P929" s="2" t="s">
        <v>139</v>
      </c>
      <c r="Q929" s="2" t="s">
        <v>154</v>
      </c>
      <c r="R929" s="2" t="s">
        <v>128</v>
      </c>
      <c r="S929" s="2" t="s">
        <v>129</v>
      </c>
      <c r="T929" s="10">
        <v>15.59</v>
      </c>
      <c r="U929" s="11">
        <v>1.272</v>
      </c>
      <c r="V929" s="12">
        <f>T929*U929</f>
        <v>19.830480000000001</v>
      </c>
      <c r="W929" s="13">
        <v>0.2</v>
      </c>
      <c r="X929" s="12">
        <f>V929-(V929/(1+W929))</f>
        <v>3.3050800000000002</v>
      </c>
      <c r="Y929" s="12">
        <f>V929-X929</f>
        <v>16.525400000000001</v>
      </c>
      <c r="Z929" s="14">
        <v>35</v>
      </c>
      <c r="AA929" s="2" t="str">
        <f>IF(V929&gt;Z929,"Yes","No")</f>
        <v>No</v>
      </c>
      <c r="AB929" s="12">
        <f>V929-Z929</f>
        <v>-15.169519999999999</v>
      </c>
      <c r="AC929" s="15" t="s">
        <v>130</v>
      </c>
      <c r="AD929" s="15" t="s">
        <v>131</v>
      </c>
      <c r="AE929" s="15" t="s">
        <v>132</v>
      </c>
      <c r="AF929" s="12">
        <f>IF(AG929="Rejected",0,IF(R929="Corporate Card",0,V929))</f>
        <v>0</v>
      </c>
      <c r="AG929" s="15" t="s">
        <v>133</v>
      </c>
      <c r="AH929" s="16">
        <v>45760</v>
      </c>
      <c r="AI929" s="16">
        <v>45767</v>
      </c>
      <c r="AJ929" s="16">
        <v>45776</v>
      </c>
      <c r="AK929" s="17">
        <f>IF(AJ929="","",AJ929-AH929)</f>
        <v>16</v>
      </c>
    </row>
    <row r="930" spans="1:37">
      <c r="A930" s="2" t="s">
        <v>1332</v>
      </c>
      <c r="B930" s="2" t="s">
        <v>863</v>
      </c>
      <c r="C930" s="2" t="s">
        <v>864</v>
      </c>
      <c r="D930" s="2" t="s">
        <v>865</v>
      </c>
      <c r="E930" s="2" t="s">
        <v>866</v>
      </c>
      <c r="F930" s="2" t="s">
        <v>867</v>
      </c>
      <c r="G930" s="2" t="s">
        <v>1322</v>
      </c>
      <c r="H930" s="2" t="s">
        <v>348</v>
      </c>
      <c r="I930" s="2" t="s">
        <v>175</v>
      </c>
      <c r="J930" s="2" t="s">
        <v>176</v>
      </c>
      <c r="K930" s="9">
        <v>45747</v>
      </c>
      <c r="L930" s="9">
        <v>45748</v>
      </c>
      <c r="M930" s="9">
        <v>45748</v>
      </c>
      <c r="N930" s="2" t="s">
        <v>1333</v>
      </c>
      <c r="O930" s="2" t="s">
        <v>57</v>
      </c>
      <c r="P930" s="2" t="s">
        <v>398</v>
      </c>
      <c r="Q930" s="2" t="s">
        <v>399</v>
      </c>
      <c r="R930" s="2" t="s">
        <v>128</v>
      </c>
      <c r="S930" s="2" t="s">
        <v>179</v>
      </c>
      <c r="T930" s="10">
        <v>643.95000000000005</v>
      </c>
      <c r="U930" s="11">
        <v>0.18099999999999999</v>
      </c>
      <c r="V930" s="12">
        <f>T930*U930</f>
        <v>116.55495000000001</v>
      </c>
      <c r="W930" s="13">
        <v>0.17</v>
      </c>
      <c r="X930" s="12">
        <f>V930-(V930/(1+W930))</f>
        <v>16.935334615384605</v>
      </c>
      <c r="Y930" s="12">
        <f>V930-X930</f>
        <v>99.6196153846154</v>
      </c>
      <c r="Z930" s="14">
        <v>200</v>
      </c>
      <c r="AA930" s="2" t="str">
        <f>IF(V930&gt;Z930,"Yes","No")</f>
        <v>No</v>
      </c>
      <c r="AB930" s="12">
        <f>V930-Z930</f>
        <v>-83.445049999999995</v>
      </c>
      <c r="AC930" s="15" t="s">
        <v>130</v>
      </c>
      <c r="AD930" s="15" t="s">
        <v>130</v>
      </c>
      <c r="AE930" s="15" t="s">
        <v>350</v>
      </c>
      <c r="AF930" s="12">
        <f>IF(AG930="Rejected",0,IF(R930="Corporate Card",0,V930))</f>
        <v>0</v>
      </c>
      <c r="AG930" s="15" t="s">
        <v>133</v>
      </c>
      <c r="AH930" s="16">
        <v>45750</v>
      </c>
      <c r="AI930" s="16">
        <v>45755</v>
      </c>
      <c r="AJ930" s="16">
        <v>45763</v>
      </c>
      <c r="AK930" s="17">
        <f>IF(AJ930="","",AJ930-AH930)</f>
        <v>13</v>
      </c>
    </row>
    <row r="931" spans="1:37">
      <c r="A931" s="2" t="s">
        <v>1334</v>
      </c>
      <c r="B931" s="2" t="s">
        <v>863</v>
      </c>
      <c r="C931" s="2" t="s">
        <v>864</v>
      </c>
      <c r="D931" s="2" t="s">
        <v>865</v>
      </c>
      <c r="E931" s="2" t="s">
        <v>866</v>
      </c>
      <c r="F931" s="2" t="s">
        <v>867</v>
      </c>
      <c r="G931" s="2" t="s">
        <v>1322</v>
      </c>
      <c r="H931" s="2" t="s">
        <v>348</v>
      </c>
      <c r="I931" s="2" t="s">
        <v>175</v>
      </c>
      <c r="J931" s="2" t="s">
        <v>176</v>
      </c>
      <c r="K931" s="9">
        <v>45747</v>
      </c>
      <c r="L931" s="9">
        <v>45748</v>
      </c>
      <c r="M931" s="9">
        <v>45748</v>
      </c>
      <c r="N931" s="2" t="s">
        <v>1333</v>
      </c>
      <c r="O931" s="2" t="s">
        <v>58</v>
      </c>
      <c r="P931" s="2" t="s">
        <v>142</v>
      </c>
      <c r="Q931" s="2" t="s">
        <v>156</v>
      </c>
      <c r="R931" s="2" t="s">
        <v>128</v>
      </c>
      <c r="S931" s="2" t="s">
        <v>179</v>
      </c>
      <c r="T931" s="10">
        <v>263.16000000000003</v>
      </c>
      <c r="U931" s="11">
        <v>0.18099999999999999</v>
      </c>
      <c r="V931" s="12">
        <f>T931*U931</f>
        <v>47.631960000000007</v>
      </c>
      <c r="W931" s="13">
        <v>0.17</v>
      </c>
      <c r="X931" s="12">
        <f>V931-(V931/(1+W931))</f>
        <v>6.9208830769230758</v>
      </c>
      <c r="Y931" s="12">
        <f>V931-X931</f>
        <v>40.711076923076931</v>
      </c>
      <c r="Z931" s="14">
        <v>60</v>
      </c>
      <c r="AA931" s="2" t="str">
        <f>IF(V931&gt;Z931,"Yes","No")</f>
        <v>No</v>
      </c>
      <c r="AB931" s="12">
        <f>V931-Z931</f>
        <v>-12.368039999999993</v>
      </c>
      <c r="AC931" s="15" t="s">
        <v>131</v>
      </c>
      <c r="AD931" s="15" t="s">
        <v>130</v>
      </c>
      <c r="AE931" s="15" t="s">
        <v>350</v>
      </c>
      <c r="AF931" s="12">
        <f>IF(AG931="Rejected",0,IF(R931="Corporate Card",0,V931))</f>
        <v>0</v>
      </c>
      <c r="AG931" s="15" t="s">
        <v>133</v>
      </c>
      <c r="AH931" s="16">
        <v>45750</v>
      </c>
      <c r="AI931" s="16">
        <v>45755</v>
      </c>
      <c r="AJ931" s="16">
        <v>45763</v>
      </c>
      <c r="AK931" s="17">
        <f>IF(AJ931="","",AJ931-AH931)</f>
        <v>13</v>
      </c>
    </row>
    <row r="932" spans="1:37">
      <c r="A932" s="2" t="s">
        <v>1335</v>
      </c>
      <c r="B932" s="2" t="s">
        <v>863</v>
      </c>
      <c r="C932" s="2" t="s">
        <v>864</v>
      </c>
      <c r="D932" s="2" t="s">
        <v>865</v>
      </c>
      <c r="E932" s="2" t="s">
        <v>866</v>
      </c>
      <c r="F932" s="2" t="s">
        <v>867</v>
      </c>
      <c r="G932" s="2" t="s">
        <v>1322</v>
      </c>
      <c r="H932" s="2" t="s">
        <v>348</v>
      </c>
      <c r="I932" s="2" t="s">
        <v>175</v>
      </c>
      <c r="J932" s="2" t="s">
        <v>176</v>
      </c>
      <c r="K932" s="9">
        <v>45747</v>
      </c>
      <c r="L932" s="9">
        <v>45748</v>
      </c>
      <c r="M932" s="9">
        <v>45748</v>
      </c>
      <c r="N932" s="2" t="s">
        <v>1333</v>
      </c>
      <c r="O932" s="2" t="s">
        <v>53</v>
      </c>
      <c r="P932" s="2" t="s">
        <v>405</v>
      </c>
      <c r="Q932" s="2" t="s">
        <v>146</v>
      </c>
      <c r="R932" s="2" t="s">
        <v>128</v>
      </c>
      <c r="S932" s="2" t="s">
        <v>179</v>
      </c>
      <c r="T932" s="10">
        <v>588.94000000000005</v>
      </c>
      <c r="U932" s="11">
        <v>0.18099999999999999</v>
      </c>
      <c r="V932" s="12">
        <f>T932*U932</f>
        <v>106.59814</v>
      </c>
      <c r="W932" s="13">
        <v>0.17</v>
      </c>
      <c r="X932" s="12">
        <f>V932-(V932/(1+W932))</f>
        <v>15.488618632478634</v>
      </c>
      <c r="Y932" s="12">
        <f>V932-X932</f>
        <v>91.109521367521367</v>
      </c>
      <c r="Z932" s="14">
        <v>280</v>
      </c>
      <c r="AA932" s="2" t="str">
        <f>IF(V932&gt;Z932,"Yes","No")</f>
        <v>No</v>
      </c>
      <c r="AB932" s="12">
        <f>V932-Z932</f>
        <v>-173.40186</v>
      </c>
      <c r="AC932" s="15" t="s">
        <v>130</v>
      </c>
      <c r="AD932" s="15" t="s">
        <v>130</v>
      </c>
      <c r="AE932" s="15" t="s">
        <v>350</v>
      </c>
      <c r="AF932" s="12">
        <f>IF(AG932="Rejected",0,IF(R932="Corporate Card",0,V932))</f>
        <v>0</v>
      </c>
      <c r="AG932" s="15" t="s">
        <v>133</v>
      </c>
      <c r="AH932" s="16">
        <v>45750</v>
      </c>
      <c r="AI932" s="16">
        <v>45755</v>
      </c>
      <c r="AJ932" s="16">
        <v>45763</v>
      </c>
      <c r="AK932" s="17">
        <f>IF(AJ932="","",AJ932-AH932)</f>
        <v>13</v>
      </c>
    </row>
    <row r="933" spans="1:37">
      <c r="A933" s="2" t="s">
        <v>1336</v>
      </c>
      <c r="B933" s="2" t="s">
        <v>863</v>
      </c>
      <c r="C933" s="2" t="s">
        <v>864</v>
      </c>
      <c r="D933" s="2" t="s">
        <v>865</v>
      </c>
      <c r="E933" s="2" t="s">
        <v>866</v>
      </c>
      <c r="F933" s="2" t="s">
        <v>867</v>
      </c>
      <c r="G933" s="2" t="s">
        <v>1322</v>
      </c>
      <c r="H933" s="2" t="s">
        <v>348</v>
      </c>
      <c r="I933" s="2" t="s">
        <v>175</v>
      </c>
      <c r="J933" s="2" t="s">
        <v>176</v>
      </c>
      <c r="K933" s="9">
        <v>45747</v>
      </c>
      <c r="L933" s="9">
        <v>45748</v>
      </c>
      <c r="M933" s="9">
        <v>45748</v>
      </c>
      <c r="N933" s="2" t="s">
        <v>1333</v>
      </c>
      <c r="O933" s="2" t="s">
        <v>65</v>
      </c>
      <c r="P933" s="2" t="s">
        <v>211</v>
      </c>
      <c r="Q933" s="2" t="s">
        <v>212</v>
      </c>
      <c r="R933" s="2" t="s">
        <v>128</v>
      </c>
      <c r="S933" s="2" t="s">
        <v>179</v>
      </c>
      <c r="T933" s="10">
        <v>225.5</v>
      </c>
      <c r="U933" s="11">
        <v>0.18099999999999999</v>
      </c>
      <c r="V933" s="12">
        <f>T933*U933</f>
        <v>40.8155</v>
      </c>
      <c r="W933" s="13">
        <v>0.17</v>
      </c>
      <c r="X933" s="12">
        <f>V933-(V933/(1+W933))</f>
        <v>5.930457264957262</v>
      </c>
      <c r="Y933" s="12">
        <f>V933-X933</f>
        <v>34.885042735042738</v>
      </c>
      <c r="Z933" s="14">
        <v>55</v>
      </c>
      <c r="AA933" s="2" t="str">
        <f>IF(V933&gt;Z933,"Yes","No")</f>
        <v>No</v>
      </c>
      <c r="AB933" s="12">
        <f>V933-Z933</f>
        <v>-14.1845</v>
      </c>
      <c r="AC933" s="15" t="s">
        <v>130</v>
      </c>
      <c r="AD933" s="15" t="s">
        <v>130</v>
      </c>
      <c r="AE933" s="15" t="s">
        <v>350</v>
      </c>
      <c r="AF933" s="12">
        <f>IF(AG933="Rejected",0,IF(R933="Corporate Card",0,V933))</f>
        <v>0</v>
      </c>
      <c r="AG933" s="15" t="s">
        <v>133</v>
      </c>
      <c r="AH933" s="16">
        <v>45750</v>
      </c>
      <c r="AI933" s="16">
        <v>45755</v>
      </c>
      <c r="AJ933" s="16">
        <v>45763</v>
      </c>
      <c r="AK933" s="17">
        <f>IF(AJ933="","",AJ933-AH933)</f>
        <v>13</v>
      </c>
    </row>
    <row r="934" spans="1:37">
      <c r="A934" s="2" t="s">
        <v>1337</v>
      </c>
      <c r="B934" s="2" t="s">
        <v>863</v>
      </c>
      <c r="C934" s="2" t="s">
        <v>864</v>
      </c>
      <c r="D934" s="2" t="s">
        <v>865</v>
      </c>
      <c r="E934" s="2" t="s">
        <v>866</v>
      </c>
      <c r="F934" s="2" t="s">
        <v>867</v>
      </c>
      <c r="G934" s="2" t="s">
        <v>1322</v>
      </c>
      <c r="H934" s="2" t="s">
        <v>348</v>
      </c>
      <c r="I934" s="2" t="s">
        <v>175</v>
      </c>
      <c r="J934" s="2" t="s">
        <v>176</v>
      </c>
      <c r="K934" s="9">
        <v>45747</v>
      </c>
      <c r="L934" s="9">
        <v>45748</v>
      </c>
      <c r="M934" s="9">
        <v>45748</v>
      </c>
      <c r="N934" s="2" t="s">
        <v>1333</v>
      </c>
      <c r="O934" s="2" t="s">
        <v>54</v>
      </c>
      <c r="P934" s="2" t="s">
        <v>139</v>
      </c>
      <c r="Q934" s="2" t="s">
        <v>148</v>
      </c>
      <c r="R934" s="2" t="s">
        <v>128</v>
      </c>
      <c r="S934" s="2" t="s">
        <v>179</v>
      </c>
      <c r="T934" s="10">
        <v>97.75</v>
      </c>
      <c r="U934" s="11">
        <v>0.18099999999999999</v>
      </c>
      <c r="V934" s="12">
        <f>T934*U934</f>
        <v>17.69275</v>
      </c>
      <c r="W934" s="13">
        <v>0.17</v>
      </c>
      <c r="X934" s="12">
        <f>V934-(V934/(1+W934))</f>
        <v>2.5707414529914523</v>
      </c>
      <c r="Y934" s="12">
        <f>V934-X934</f>
        <v>15.122008547008548</v>
      </c>
      <c r="Z934" s="14">
        <v>25</v>
      </c>
      <c r="AA934" s="2" t="str">
        <f>IF(V934&gt;Z934,"Yes","No")</f>
        <v>No</v>
      </c>
      <c r="AB934" s="12">
        <f>V934-Z934</f>
        <v>-7.3072499999999998</v>
      </c>
      <c r="AC934" s="15" t="s">
        <v>130</v>
      </c>
      <c r="AD934" s="15" t="s">
        <v>130</v>
      </c>
      <c r="AE934" s="15" t="s">
        <v>350</v>
      </c>
      <c r="AF934" s="12">
        <f>IF(AG934="Rejected",0,IF(R934="Corporate Card",0,V934))</f>
        <v>0</v>
      </c>
      <c r="AG934" s="15" t="s">
        <v>133</v>
      </c>
      <c r="AH934" s="16">
        <v>45750</v>
      </c>
      <c r="AI934" s="16">
        <v>45755</v>
      </c>
      <c r="AJ934" s="16">
        <v>45763</v>
      </c>
      <c r="AK934" s="17">
        <f>IF(AJ934="","",AJ934-AH934)</f>
        <v>13</v>
      </c>
    </row>
    <row r="935" spans="1:37">
      <c r="A935" s="2" t="s">
        <v>1338</v>
      </c>
      <c r="B935" s="2" t="s">
        <v>863</v>
      </c>
      <c r="C935" s="2" t="s">
        <v>864</v>
      </c>
      <c r="D935" s="2" t="s">
        <v>865</v>
      </c>
      <c r="E935" s="2" t="s">
        <v>866</v>
      </c>
      <c r="F935" s="2" t="s">
        <v>867</v>
      </c>
      <c r="G935" s="2" t="s">
        <v>1322</v>
      </c>
      <c r="H935" s="2" t="s">
        <v>348</v>
      </c>
      <c r="I935" s="2" t="s">
        <v>175</v>
      </c>
      <c r="J935" s="2" t="s">
        <v>176</v>
      </c>
      <c r="K935" s="9">
        <v>45747</v>
      </c>
      <c r="L935" s="9">
        <v>45748</v>
      </c>
      <c r="M935" s="9">
        <v>45748</v>
      </c>
      <c r="N935" s="2" t="s">
        <v>1333</v>
      </c>
      <c r="O935" s="2" t="s">
        <v>56</v>
      </c>
      <c r="P935" s="2" t="s">
        <v>165</v>
      </c>
      <c r="Q935" s="2" t="s">
        <v>227</v>
      </c>
      <c r="R935" s="2" t="s">
        <v>128</v>
      </c>
      <c r="S935" s="2" t="s">
        <v>179</v>
      </c>
      <c r="T935" s="10">
        <v>309.06</v>
      </c>
      <c r="U935" s="11">
        <v>0.18099999999999999</v>
      </c>
      <c r="V935" s="12">
        <f>T935*U935</f>
        <v>55.939859999999996</v>
      </c>
      <c r="W935" s="13">
        <v>0.17</v>
      </c>
      <c r="X935" s="12">
        <f>V935-(V935/(1+W935))</f>
        <v>8.1280138461538414</v>
      </c>
      <c r="Y935" s="12">
        <f>V935-X935</f>
        <v>47.811846153846155</v>
      </c>
      <c r="Z935" s="14">
        <v>75</v>
      </c>
      <c r="AA935" s="2" t="str">
        <f>IF(V935&gt;Z935,"Yes","No")</f>
        <v>No</v>
      </c>
      <c r="AB935" s="12">
        <f>V935-Z935</f>
        <v>-19.060140000000004</v>
      </c>
      <c r="AC935" s="15" t="s">
        <v>130</v>
      </c>
      <c r="AD935" s="15" t="s">
        <v>130</v>
      </c>
      <c r="AE935" s="15" t="s">
        <v>350</v>
      </c>
      <c r="AF935" s="12">
        <f>IF(AG935="Rejected",0,IF(R935="Corporate Card",0,V935))</f>
        <v>0</v>
      </c>
      <c r="AG935" s="15" t="s">
        <v>133</v>
      </c>
      <c r="AH935" s="16">
        <v>45750</v>
      </c>
      <c r="AI935" s="16">
        <v>45755</v>
      </c>
      <c r="AJ935" s="16">
        <v>45763</v>
      </c>
      <c r="AK935" s="17">
        <f>IF(AJ935="","",AJ935-AH935)</f>
        <v>13</v>
      </c>
    </row>
    <row r="936" spans="1:37">
      <c r="A936" s="2" t="s">
        <v>1339</v>
      </c>
      <c r="B936" s="2" t="s">
        <v>863</v>
      </c>
      <c r="C936" s="2" t="s">
        <v>864</v>
      </c>
      <c r="D936" s="2" t="s">
        <v>865</v>
      </c>
      <c r="E936" s="2" t="s">
        <v>866</v>
      </c>
      <c r="F936" s="2" t="s">
        <v>867</v>
      </c>
      <c r="G936" s="2" t="s">
        <v>1322</v>
      </c>
      <c r="H936" s="2" t="s">
        <v>348</v>
      </c>
      <c r="I936" s="2" t="s">
        <v>175</v>
      </c>
      <c r="J936" s="2" t="s">
        <v>176</v>
      </c>
      <c r="K936" s="9">
        <v>45747</v>
      </c>
      <c r="L936" s="9">
        <v>45748</v>
      </c>
      <c r="M936" s="9">
        <v>45748</v>
      </c>
      <c r="N936" s="2" t="s">
        <v>1333</v>
      </c>
      <c r="O936" s="2" t="s">
        <v>55</v>
      </c>
      <c r="P936" s="2" t="s">
        <v>139</v>
      </c>
      <c r="Q936" s="2" t="s">
        <v>187</v>
      </c>
      <c r="R936" s="2" t="s">
        <v>128</v>
      </c>
      <c r="S936" s="2" t="s">
        <v>179</v>
      </c>
      <c r="T936" s="10">
        <v>77</v>
      </c>
      <c r="U936" s="11">
        <v>0.18099999999999999</v>
      </c>
      <c r="V936" s="12">
        <f>T936*U936</f>
        <v>13.936999999999999</v>
      </c>
      <c r="W936" s="13">
        <v>0.17</v>
      </c>
      <c r="X936" s="12">
        <f>V936-(V936/(1+W936))</f>
        <v>2.0250341880341871</v>
      </c>
      <c r="Y936" s="12">
        <f>V936-X936</f>
        <v>11.911965811965812</v>
      </c>
      <c r="Z936" s="14">
        <v>35</v>
      </c>
      <c r="AA936" s="2" t="str">
        <f>IF(V936&gt;Z936,"Yes","No")</f>
        <v>No</v>
      </c>
      <c r="AB936" s="12">
        <f>V936-Z936</f>
        <v>-21.063000000000002</v>
      </c>
      <c r="AC936" s="15" t="s">
        <v>130</v>
      </c>
      <c r="AD936" s="15" t="s">
        <v>130</v>
      </c>
      <c r="AE936" s="15" t="s">
        <v>350</v>
      </c>
      <c r="AF936" s="12">
        <f>IF(AG936="Rejected",0,IF(R936="Corporate Card",0,V936))</f>
        <v>0</v>
      </c>
      <c r="AG936" s="15" t="s">
        <v>133</v>
      </c>
      <c r="AH936" s="16">
        <v>45750</v>
      </c>
      <c r="AI936" s="16">
        <v>45755</v>
      </c>
      <c r="AJ936" s="16">
        <v>45763</v>
      </c>
      <c r="AK936" s="17">
        <f>IF(AJ936="","",AJ936-AH936)</f>
        <v>13</v>
      </c>
    </row>
    <row r="937" spans="1:37">
      <c r="A937" s="2" t="s">
        <v>1340</v>
      </c>
      <c r="B937" s="2" t="s">
        <v>1235</v>
      </c>
      <c r="C937" s="2" t="s">
        <v>867</v>
      </c>
      <c r="D937" s="2" t="s">
        <v>865</v>
      </c>
      <c r="E937" s="2" t="s">
        <v>1236</v>
      </c>
      <c r="F937" s="2" t="s">
        <v>313</v>
      </c>
      <c r="G937" s="2" t="s">
        <v>1314</v>
      </c>
      <c r="H937" s="2" t="s">
        <v>803</v>
      </c>
      <c r="I937" s="2" t="s">
        <v>123</v>
      </c>
      <c r="J937" s="2" t="s">
        <v>124</v>
      </c>
      <c r="K937" s="9">
        <v>45746</v>
      </c>
      <c r="L937" s="9">
        <v>45752</v>
      </c>
      <c r="M937" s="9">
        <v>45748</v>
      </c>
      <c r="N937" s="2" t="s">
        <v>1333</v>
      </c>
      <c r="O937" s="2" t="s">
        <v>58</v>
      </c>
      <c r="P937" s="2" t="s">
        <v>142</v>
      </c>
      <c r="Q937" s="2" t="s">
        <v>156</v>
      </c>
      <c r="R937" s="2" t="s">
        <v>128</v>
      </c>
      <c r="S937" s="2" t="s">
        <v>129</v>
      </c>
      <c r="T937" s="10">
        <v>18.07</v>
      </c>
      <c r="U937" s="11">
        <v>1.272</v>
      </c>
      <c r="V937" s="12">
        <f>T937*U937</f>
        <v>22.985040000000001</v>
      </c>
      <c r="W937" s="13">
        <v>0.2</v>
      </c>
      <c r="X937" s="12">
        <f>V937-(V937/(1+W937))</f>
        <v>3.8308399999999985</v>
      </c>
      <c r="Y937" s="12">
        <f>V937-X937</f>
        <v>19.154200000000003</v>
      </c>
      <c r="Z937" s="14">
        <v>60</v>
      </c>
      <c r="AA937" s="2" t="str">
        <f>IF(V937&gt;Z937,"Yes","No")</f>
        <v>No</v>
      </c>
      <c r="AB937" s="12">
        <f>V937-Z937</f>
        <v>-37.014960000000002</v>
      </c>
      <c r="AC937" s="15" t="s">
        <v>130</v>
      </c>
      <c r="AD937" s="15" t="s">
        <v>131</v>
      </c>
      <c r="AE937" s="15" t="s">
        <v>132</v>
      </c>
      <c r="AF937" s="12">
        <f>IF(AG937="Rejected",0,IF(R937="Corporate Card",0,V937))</f>
        <v>0</v>
      </c>
      <c r="AG937" s="15" t="s">
        <v>133</v>
      </c>
      <c r="AH937" s="16">
        <v>45760</v>
      </c>
      <c r="AI937" s="16">
        <v>45767</v>
      </c>
      <c r="AJ937" s="16">
        <v>45776</v>
      </c>
      <c r="AK937" s="17">
        <f>IF(AJ937="","",AJ937-AH937)</f>
        <v>16</v>
      </c>
    </row>
    <row r="938" spans="1:37">
      <c r="A938" s="2" t="s">
        <v>1341</v>
      </c>
      <c r="B938" s="2" t="s">
        <v>1235</v>
      </c>
      <c r="C938" s="2" t="s">
        <v>867</v>
      </c>
      <c r="D938" s="2" t="s">
        <v>865</v>
      </c>
      <c r="E938" s="2" t="s">
        <v>1236</v>
      </c>
      <c r="F938" s="2" t="s">
        <v>313</v>
      </c>
      <c r="G938" s="2" t="s">
        <v>1314</v>
      </c>
      <c r="H938" s="2" t="s">
        <v>803</v>
      </c>
      <c r="I938" s="2" t="s">
        <v>123</v>
      </c>
      <c r="J938" s="2" t="s">
        <v>124</v>
      </c>
      <c r="K938" s="9">
        <v>45746</v>
      </c>
      <c r="L938" s="9">
        <v>45752</v>
      </c>
      <c r="M938" s="9">
        <v>45748</v>
      </c>
      <c r="N938" s="2" t="s">
        <v>1333</v>
      </c>
      <c r="O938" s="2" t="s">
        <v>54</v>
      </c>
      <c r="P938" s="2" t="s">
        <v>139</v>
      </c>
      <c r="Q938" s="2" t="s">
        <v>140</v>
      </c>
      <c r="R938" s="2" t="s">
        <v>128</v>
      </c>
      <c r="S938" s="2" t="s">
        <v>129</v>
      </c>
      <c r="T938" s="10">
        <v>11.49</v>
      </c>
      <c r="U938" s="11">
        <v>1.272</v>
      </c>
      <c r="V938" s="12">
        <f>T938*U938</f>
        <v>14.61528</v>
      </c>
      <c r="W938" s="13">
        <v>0.2</v>
      </c>
      <c r="X938" s="12">
        <f>V938-(V938/(1+W938))</f>
        <v>2.4358799999999992</v>
      </c>
      <c r="Y938" s="12">
        <f>V938-X938</f>
        <v>12.179400000000001</v>
      </c>
      <c r="Z938" s="14">
        <v>25</v>
      </c>
      <c r="AA938" s="2" t="str">
        <f>IF(V938&gt;Z938,"Yes","No")</f>
        <v>No</v>
      </c>
      <c r="AB938" s="12">
        <f>V938-Z938</f>
        <v>-10.38472</v>
      </c>
      <c r="AC938" s="15" t="s">
        <v>130</v>
      </c>
      <c r="AD938" s="15" t="s">
        <v>131</v>
      </c>
      <c r="AE938" s="15" t="s">
        <v>132</v>
      </c>
      <c r="AF938" s="12">
        <f>IF(AG938="Rejected",0,IF(R938="Corporate Card",0,V938))</f>
        <v>0</v>
      </c>
      <c r="AG938" s="15" t="s">
        <v>133</v>
      </c>
      <c r="AH938" s="16">
        <v>45760</v>
      </c>
      <c r="AI938" s="16">
        <v>45767</v>
      </c>
      <c r="AJ938" s="16">
        <v>45776</v>
      </c>
      <c r="AK938" s="17">
        <f>IF(AJ938="","",AJ938-AH938)</f>
        <v>16</v>
      </c>
    </row>
    <row r="939" spans="1:37">
      <c r="A939" s="2" t="s">
        <v>1342</v>
      </c>
      <c r="B939" s="2" t="s">
        <v>1235</v>
      </c>
      <c r="C939" s="2" t="s">
        <v>867</v>
      </c>
      <c r="D939" s="2" t="s">
        <v>865</v>
      </c>
      <c r="E939" s="2" t="s">
        <v>1236</v>
      </c>
      <c r="F939" s="2" t="s">
        <v>313</v>
      </c>
      <c r="G939" s="2" t="s">
        <v>1314</v>
      </c>
      <c r="H939" s="2" t="s">
        <v>803</v>
      </c>
      <c r="I939" s="2" t="s">
        <v>123</v>
      </c>
      <c r="J939" s="2" t="s">
        <v>124</v>
      </c>
      <c r="K939" s="9">
        <v>45746</v>
      </c>
      <c r="L939" s="9">
        <v>45752</v>
      </c>
      <c r="M939" s="9">
        <v>45748</v>
      </c>
      <c r="N939" s="2" t="s">
        <v>1333</v>
      </c>
      <c r="O939" s="2" t="s">
        <v>56</v>
      </c>
      <c r="P939" s="2" t="s">
        <v>165</v>
      </c>
      <c r="Q939" s="2" t="s">
        <v>227</v>
      </c>
      <c r="R939" s="2" t="s">
        <v>137</v>
      </c>
      <c r="S939" s="2" t="s">
        <v>129</v>
      </c>
      <c r="T939" s="10">
        <v>46.33</v>
      </c>
      <c r="U939" s="11">
        <v>1.272</v>
      </c>
      <c r="V939" s="12">
        <f>T939*U939</f>
        <v>58.931759999999997</v>
      </c>
      <c r="W939" s="13">
        <v>0.2</v>
      </c>
      <c r="X939" s="12">
        <f>V939-(V939/(1+W939))</f>
        <v>9.8219599999999971</v>
      </c>
      <c r="Y939" s="12">
        <f>V939-X939</f>
        <v>49.1098</v>
      </c>
      <c r="Z939" s="14">
        <v>75</v>
      </c>
      <c r="AA939" s="2" t="str">
        <f>IF(V939&gt;Z939,"Yes","No")</f>
        <v>No</v>
      </c>
      <c r="AB939" s="12">
        <f>V939-Z939</f>
        <v>-16.068240000000003</v>
      </c>
      <c r="AC939" s="15" t="s">
        <v>130</v>
      </c>
      <c r="AD939" s="15" t="s">
        <v>131</v>
      </c>
      <c r="AE939" s="15" t="s">
        <v>132</v>
      </c>
      <c r="AF939" s="12">
        <f>IF(AG939="Rejected",0,IF(R939="Corporate Card",0,V939))</f>
        <v>58.931759999999997</v>
      </c>
      <c r="AG939" s="15" t="s">
        <v>133</v>
      </c>
      <c r="AH939" s="16">
        <v>45760</v>
      </c>
      <c r="AI939" s="16">
        <v>45767</v>
      </c>
      <c r="AJ939" s="16">
        <v>45776</v>
      </c>
      <c r="AK939" s="17">
        <f>IF(AJ939="","",AJ939-AH939)</f>
        <v>16</v>
      </c>
    </row>
    <row r="940" spans="1:37">
      <c r="A940" s="2" t="s">
        <v>1343</v>
      </c>
      <c r="B940" s="2" t="s">
        <v>1235</v>
      </c>
      <c r="C940" s="2" t="s">
        <v>867</v>
      </c>
      <c r="D940" s="2" t="s">
        <v>865</v>
      </c>
      <c r="E940" s="2" t="s">
        <v>1236</v>
      </c>
      <c r="F940" s="2" t="s">
        <v>313</v>
      </c>
      <c r="G940" s="2" t="s">
        <v>1314</v>
      </c>
      <c r="H940" s="2" t="s">
        <v>803</v>
      </c>
      <c r="I940" s="2" t="s">
        <v>123</v>
      </c>
      <c r="J940" s="2" t="s">
        <v>124</v>
      </c>
      <c r="K940" s="9">
        <v>45746</v>
      </c>
      <c r="L940" s="9">
        <v>45752</v>
      </c>
      <c r="M940" s="9">
        <v>45748</v>
      </c>
      <c r="N940" s="2" t="s">
        <v>1333</v>
      </c>
      <c r="O940" s="2" t="s">
        <v>55</v>
      </c>
      <c r="P940" s="2" t="s">
        <v>139</v>
      </c>
      <c r="Q940" s="2" t="s">
        <v>154</v>
      </c>
      <c r="R940" s="2" t="s">
        <v>149</v>
      </c>
      <c r="S940" s="2" t="s">
        <v>129</v>
      </c>
      <c r="T940" s="10">
        <v>12.39</v>
      </c>
      <c r="U940" s="11">
        <v>1.272</v>
      </c>
      <c r="V940" s="12">
        <f>T940*U940</f>
        <v>15.76008</v>
      </c>
      <c r="W940" s="13">
        <v>0.2</v>
      </c>
      <c r="X940" s="12">
        <f>V940-(V940/(1+W940))</f>
        <v>2.6266800000000003</v>
      </c>
      <c r="Y940" s="12">
        <f>V940-X940</f>
        <v>13.1334</v>
      </c>
      <c r="Z940" s="14">
        <v>35</v>
      </c>
      <c r="AA940" s="2" t="str">
        <f>IF(V940&gt;Z940,"Yes","No")</f>
        <v>No</v>
      </c>
      <c r="AB940" s="12">
        <f>V940-Z940</f>
        <v>-19.239919999999998</v>
      </c>
      <c r="AC940" s="15" t="s">
        <v>130</v>
      </c>
      <c r="AD940" s="15" t="s">
        <v>131</v>
      </c>
      <c r="AE940" s="15" t="s">
        <v>132</v>
      </c>
      <c r="AF940" s="12">
        <f>IF(AG940="Rejected",0,IF(R940="Corporate Card",0,V940))</f>
        <v>15.76008</v>
      </c>
      <c r="AG940" s="15" t="s">
        <v>133</v>
      </c>
      <c r="AH940" s="16">
        <v>45760</v>
      </c>
      <c r="AI940" s="16">
        <v>45767</v>
      </c>
      <c r="AJ940" s="16">
        <v>45776</v>
      </c>
      <c r="AK940" s="17">
        <f>IF(AJ940="","",AJ940-AH940)</f>
        <v>16</v>
      </c>
    </row>
    <row r="941" spans="1:37">
      <c r="A941" s="2" t="s">
        <v>1344</v>
      </c>
      <c r="B941" s="2" t="s">
        <v>310</v>
      </c>
      <c r="C941" s="2" t="s">
        <v>311</v>
      </c>
      <c r="D941" s="2" t="s">
        <v>118</v>
      </c>
      <c r="E941" s="2" t="s">
        <v>312</v>
      </c>
      <c r="F941" s="2" t="s">
        <v>313</v>
      </c>
      <c r="G941" s="2" t="s">
        <v>1345</v>
      </c>
      <c r="H941" s="2" t="s">
        <v>254</v>
      </c>
      <c r="I941" s="2" t="s">
        <v>175</v>
      </c>
      <c r="J941" s="2" t="s">
        <v>176</v>
      </c>
      <c r="K941" s="9">
        <v>45749</v>
      </c>
      <c r="L941" s="9">
        <v>45757</v>
      </c>
      <c r="M941" s="9">
        <v>45749</v>
      </c>
      <c r="N941" s="2" t="s">
        <v>1333</v>
      </c>
      <c r="O941" s="2" t="s">
        <v>52</v>
      </c>
      <c r="P941" s="2" t="s">
        <v>177</v>
      </c>
      <c r="Q941" s="2" t="s">
        <v>513</v>
      </c>
      <c r="R941" s="2" t="s">
        <v>128</v>
      </c>
      <c r="S941" s="2" t="s">
        <v>179</v>
      </c>
      <c r="T941" s="10">
        <v>8252.32</v>
      </c>
      <c r="U941" s="11">
        <v>0.18099999999999999</v>
      </c>
      <c r="V941" s="12">
        <f>T941*U941</f>
        <v>1493.6699199999998</v>
      </c>
      <c r="W941" s="13">
        <v>0</v>
      </c>
      <c r="X941" s="12">
        <f>V941-(V941/(1+W941))</f>
        <v>0</v>
      </c>
      <c r="Y941" s="12">
        <f>V941-X941</f>
        <v>1493.6699199999998</v>
      </c>
      <c r="Z941" s="14">
        <v>1400</v>
      </c>
      <c r="AA941" s="2" t="str">
        <f>IF(V941&gt;Z941,"Yes","No")</f>
        <v>Yes</v>
      </c>
      <c r="AB941" s="12">
        <f>V941-Z941</f>
        <v>93.66991999999982</v>
      </c>
      <c r="AC941" s="15" t="s">
        <v>130</v>
      </c>
      <c r="AD941" s="15" t="s">
        <v>130</v>
      </c>
      <c r="AE941" s="15" t="s">
        <v>421</v>
      </c>
      <c r="AF941" s="12">
        <f>IF(AG941="Rejected",0,IF(R941="Corporate Card",0,V941))</f>
        <v>0</v>
      </c>
      <c r="AG941" s="15" t="s">
        <v>133</v>
      </c>
      <c r="AH941" s="16">
        <v>45769</v>
      </c>
      <c r="AI941" s="16">
        <v>45770</v>
      </c>
      <c r="AJ941" s="16">
        <v>45778</v>
      </c>
      <c r="AK941" s="17">
        <f>IF(AJ941="","",AJ941-AH941)</f>
        <v>9</v>
      </c>
    </row>
    <row r="942" spans="1:37">
      <c r="A942" s="2" t="s">
        <v>1346</v>
      </c>
      <c r="B942" s="2" t="s">
        <v>310</v>
      </c>
      <c r="C942" s="2" t="s">
        <v>311</v>
      </c>
      <c r="D942" s="2" t="s">
        <v>118</v>
      </c>
      <c r="E942" s="2" t="s">
        <v>312</v>
      </c>
      <c r="F942" s="2" t="s">
        <v>313</v>
      </c>
      <c r="G942" s="2" t="s">
        <v>1345</v>
      </c>
      <c r="H942" s="2" t="s">
        <v>254</v>
      </c>
      <c r="I942" s="2" t="s">
        <v>175</v>
      </c>
      <c r="J942" s="2" t="s">
        <v>176</v>
      </c>
      <c r="K942" s="9">
        <v>45749</v>
      </c>
      <c r="L942" s="9">
        <v>45757</v>
      </c>
      <c r="M942" s="9">
        <v>45749</v>
      </c>
      <c r="N942" s="2" t="s">
        <v>1333</v>
      </c>
      <c r="O942" s="2" t="s">
        <v>63</v>
      </c>
      <c r="P942" s="2" t="s">
        <v>200</v>
      </c>
      <c r="Q942" s="2" t="s">
        <v>1347</v>
      </c>
      <c r="R942" s="2" t="s">
        <v>128</v>
      </c>
      <c r="S942" s="2" t="s">
        <v>179</v>
      </c>
      <c r="T942" s="10">
        <v>5053.3599999999997</v>
      </c>
      <c r="U942" s="11">
        <v>0.18099999999999999</v>
      </c>
      <c r="V942" s="12">
        <f>T942*U942</f>
        <v>914.65815999999995</v>
      </c>
      <c r="W942" s="13">
        <v>0</v>
      </c>
      <c r="X942" s="12">
        <f>V942-(V942/(1+W942))</f>
        <v>0</v>
      </c>
      <c r="Y942" s="12">
        <f>V942-X942</f>
        <v>914.65815999999995</v>
      </c>
      <c r="Z942" s="14">
        <v>1200</v>
      </c>
      <c r="AA942" s="2" t="str">
        <f>IF(V942&gt;Z942,"Yes","No")</f>
        <v>No</v>
      </c>
      <c r="AB942" s="12">
        <f>V942-Z942</f>
        <v>-285.34184000000005</v>
      </c>
      <c r="AC942" s="15" t="s">
        <v>130</v>
      </c>
      <c r="AD942" s="15" t="s">
        <v>130</v>
      </c>
      <c r="AE942" s="15" t="s">
        <v>421</v>
      </c>
      <c r="AF942" s="12">
        <f>IF(AG942="Rejected",0,IF(R942="Corporate Card",0,V942))</f>
        <v>0</v>
      </c>
      <c r="AG942" s="15" t="s">
        <v>133</v>
      </c>
      <c r="AH942" s="16">
        <v>45769</v>
      </c>
      <c r="AI942" s="16">
        <v>45770</v>
      </c>
      <c r="AJ942" s="16">
        <v>45778</v>
      </c>
      <c r="AK942" s="17">
        <f>IF(AJ942="","",AJ942-AH942)</f>
        <v>9</v>
      </c>
    </row>
    <row r="943" spans="1:37">
      <c r="A943" s="2" t="s">
        <v>1348</v>
      </c>
      <c r="B943" s="2" t="s">
        <v>310</v>
      </c>
      <c r="C943" s="2" t="s">
        <v>311</v>
      </c>
      <c r="D943" s="2" t="s">
        <v>118</v>
      </c>
      <c r="E943" s="2" t="s">
        <v>312</v>
      </c>
      <c r="F943" s="2" t="s">
        <v>313</v>
      </c>
      <c r="G943" s="2" t="s">
        <v>1345</v>
      </c>
      <c r="H943" s="2" t="s">
        <v>254</v>
      </c>
      <c r="I943" s="2" t="s">
        <v>175</v>
      </c>
      <c r="J943" s="2" t="s">
        <v>176</v>
      </c>
      <c r="K943" s="9">
        <v>45749</v>
      </c>
      <c r="L943" s="9">
        <v>45757</v>
      </c>
      <c r="M943" s="9">
        <v>45749</v>
      </c>
      <c r="N943" s="2" t="s">
        <v>1333</v>
      </c>
      <c r="O943" s="2" t="s">
        <v>58</v>
      </c>
      <c r="P943" s="2" t="s">
        <v>142</v>
      </c>
      <c r="Q943" s="2" t="s">
        <v>203</v>
      </c>
      <c r="R943" s="2" t="s">
        <v>137</v>
      </c>
      <c r="S943" s="2" t="s">
        <v>179</v>
      </c>
      <c r="T943" s="10">
        <v>261.14</v>
      </c>
      <c r="U943" s="11">
        <v>0.18099999999999999</v>
      </c>
      <c r="V943" s="12">
        <f>T943*U943</f>
        <v>47.26634</v>
      </c>
      <c r="W943" s="13">
        <v>0.17</v>
      </c>
      <c r="X943" s="12">
        <f>V943-(V943/(1+W943))</f>
        <v>6.867758803418802</v>
      </c>
      <c r="Y943" s="12">
        <f>V943-X943</f>
        <v>40.398581196581198</v>
      </c>
      <c r="Z943" s="14">
        <v>60</v>
      </c>
      <c r="AA943" s="2" t="str">
        <f>IF(V943&gt;Z943,"Yes","No")</f>
        <v>No</v>
      </c>
      <c r="AB943" s="12">
        <f>V943-Z943</f>
        <v>-12.73366</v>
      </c>
      <c r="AC943" s="15" t="s">
        <v>130</v>
      </c>
      <c r="AD943" s="15" t="s">
        <v>130</v>
      </c>
      <c r="AE943" s="15" t="s">
        <v>421</v>
      </c>
      <c r="AF943" s="12">
        <f>IF(AG943="Rejected",0,IF(R943="Corporate Card",0,V943))</f>
        <v>47.26634</v>
      </c>
      <c r="AG943" s="15" t="s">
        <v>133</v>
      </c>
      <c r="AH943" s="16">
        <v>45769</v>
      </c>
      <c r="AI943" s="16">
        <v>45770</v>
      </c>
      <c r="AJ943" s="16">
        <v>45778</v>
      </c>
      <c r="AK943" s="17">
        <f>IF(AJ943="","",AJ943-AH943)</f>
        <v>9</v>
      </c>
    </row>
    <row r="944" spans="1:37">
      <c r="A944" s="2" t="s">
        <v>1349</v>
      </c>
      <c r="B944" s="2" t="s">
        <v>310</v>
      </c>
      <c r="C944" s="2" t="s">
        <v>311</v>
      </c>
      <c r="D944" s="2" t="s">
        <v>118</v>
      </c>
      <c r="E944" s="2" t="s">
        <v>312</v>
      </c>
      <c r="F944" s="2" t="s">
        <v>313</v>
      </c>
      <c r="G944" s="2" t="s">
        <v>1345</v>
      </c>
      <c r="H944" s="2" t="s">
        <v>254</v>
      </c>
      <c r="I944" s="2" t="s">
        <v>175</v>
      </c>
      <c r="J944" s="2" t="s">
        <v>176</v>
      </c>
      <c r="K944" s="9">
        <v>45749</v>
      </c>
      <c r="L944" s="9">
        <v>45757</v>
      </c>
      <c r="M944" s="9">
        <v>45749</v>
      </c>
      <c r="N944" s="2" t="s">
        <v>1333</v>
      </c>
      <c r="O944" s="2" t="s">
        <v>54</v>
      </c>
      <c r="P944" s="2" t="s">
        <v>139</v>
      </c>
      <c r="Q944" s="2" t="s">
        <v>163</v>
      </c>
      <c r="R944" s="2" t="s">
        <v>128</v>
      </c>
      <c r="S944" s="2" t="s">
        <v>179</v>
      </c>
      <c r="T944" s="10">
        <v>87.88</v>
      </c>
      <c r="U944" s="11">
        <v>0.18099999999999999</v>
      </c>
      <c r="V944" s="12">
        <f>T944*U944</f>
        <v>15.906279999999999</v>
      </c>
      <c r="W944" s="13">
        <v>0.17</v>
      </c>
      <c r="X944" s="12">
        <f>V944-(V944/(1+W944))</f>
        <v>2.3111688888888882</v>
      </c>
      <c r="Y944" s="12">
        <f>V944-X944</f>
        <v>13.595111111111111</v>
      </c>
      <c r="Z944" s="14">
        <v>25</v>
      </c>
      <c r="AA944" s="2" t="str">
        <f>IF(V944&gt;Z944,"Yes","No")</f>
        <v>No</v>
      </c>
      <c r="AB944" s="12">
        <f>V944-Z944</f>
        <v>-9.0937200000000011</v>
      </c>
      <c r="AC944" s="15" t="s">
        <v>130</v>
      </c>
      <c r="AD944" s="15" t="s">
        <v>130</v>
      </c>
      <c r="AE944" s="15" t="s">
        <v>421</v>
      </c>
      <c r="AF944" s="12">
        <f>IF(AG944="Rejected",0,IF(R944="Corporate Card",0,V944))</f>
        <v>0</v>
      </c>
      <c r="AG944" s="15" t="s">
        <v>133</v>
      </c>
      <c r="AH944" s="16">
        <v>45769</v>
      </c>
      <c r="AI944" s="16">
        <v>45770</v>
      </c>
      <c r="AJ944" s="16">
        <v>45778</v>
      </c>
      <c r="AK944" s="17">
        <f>IF(AJ944="","",AJ944-AH944)</f>
        <v>9</v>
      </c>
    </row>
    <row r="945" spans="1:37">
      <c r="A945" s="2" t="s">
        <v>1350</v>
      </c>
      <c r="B945" s="2" t="s">
        <v>310</v>
      </c>
      <c r="C945" s="2" t="s">
        <v>311</v>
      </c>
      <c r="D945" s="2" t="s">
        <v>118</v>
      </c>
      <c r="E945" s="2" t="s">
        <v>312</v>
      </c>
      <c r="F945" s="2" t="s">
        <v>313</v>
      </c>
      <c r="G945" s="2" t="s">
        <v>1345</v>
      </c>
      <c r="H945" s="2" t="s">
        <v>254</v>
      </c>
      <c r="I945" s="2" t="s">
        <v>175</v>
      </c>
      <c r="J945" s="2" t="s">
        <v>176</v>
      </c>
      <c r="K945" s="9">
        <v>45749</v>
      </c>
      <c r="L945" s="9">
        <v>45757</v>
      </c>
      <c r="M945" s="9">
        <v>45749</v>
      </c>
      <c r="N945" s="2" t="s">
        <v>1333</v>
      </c>
      <c r="O945" s="2" t="s">
        <v>56</v>
      </c>
      <c r="P945" s="2" t="s">
        <v>231</v>
      </c>
      <c r="Q945" s="2" t="s">
        <v>152</v>
      </c>
      <c r="R945" s="2" t="s">
        <v>128</v>
      </c>
      <c r="S945" s="2" t="s">
        <v>179</v>
      </c>
      <c r="T945" s="10">
        <v>186.33</v>
      </c>
      <c r="U945" s="11">
        <v>0.18099999999999999</v>
      </c>
      <c r="V945" s="12">
        <f>T945*U945</f>
        <v>33.725729999999999</v>
      </c>
      <c r="W945" s="13">
        <v>0.17</v>
      </c>
      <c r="X945" s="12">
        <f>V945-(V945/(1+W945))</f>
        <v>4.9003197435897405</v>
      </c>
      <c r="Y945" s="12">
        <f>V945-X945</f>
        <v>28.825410256410258</v>
      </c>
      <c r="Z945" s="14">
        <v>75</v>
      </c>
      <c r="AA945" s="2" t="str">
        <f>IF(V945&gt;Z945,"Yes","No")</f>
        <v>No</v>
      </c>
      <c r="AB945" s="12">
        <f>V945-Z945</f>
        <v>-41.274270000000001</v>
      </c>
      <c r="AC945" s="15" t="s">
        <v>130</v>
      </c>
      <c r="AD945" s="15" t="s">
        <v>130</v>
      </c>
      <c r="AE945" s="15" t="s">
        <v>421</v>
      </c>
      <c r="AF945" s="12">
        <f>IF(AG945="Rejected",0,IF(R945="Corporate Card",0,V945))</f>
        <v>0</v>
      </c>
      <c r="AG945" s="15" t="s">
        <v>133</v>
      </c>
      <c r="AH945" s="16">
        <v>45769</v>
      </c>
      <c r="AI945" s="16">
        <v>45770</v>
      </c>
      <c r="AJ945" s="16">
        <v>45778</v>
      </c>
      <c r="AK945" s="17">
        <f>IF(AJ945="","",AJ945-AH945)</f>
        <v>9</v>
      </c>
    </row>
    <row r="946" spans="1:37">
      <c r="A946" s="2" t="s">
        <v>1351</v>
      </c>
      <c r="B946" s="2" t="s">
        <v>310</v>
      </c>
      <c r="C946" s="2" t="s">
        <v>311</v>
      </c>
      <c r="D946" s="2" t="s">
        <v>118</v>
      </c>
      <c r="E946" s="2" t="s">
        <v>312</v>
      </c>
      <c r="F946" s="2" t="s">
        <v>313</v>
      </c>
      <c r="G946" s="2" t="s">
        <v>1345</v>
      </c>
      <c r="H946" s="2" t="s">
        <v>254</v>
      </c>
      <c r="I946" s="2" t="s">
        <v>175</v>
      </c>
      <c r="J946" s="2" t="s">
        <v>176</v>
      </c>
      <c r="K946" s="9">
        <v>45749</v>
      </c>
      <c r="L946" s="9">
        <v>45757</v>
      </c>
      <c r="M946" s="9">
        <v>45749</v>
      </c>
      <c r="N946" s="2" t="s">
        <v>1333</v>
      </c>
      <c r="O946" s="2" t="s">
        <v>55</v>
      </c>
      <c r="P946" s="2" t="s">
        <v>139</v>
      </c>
      <c r="Q946" s="2" t="s">
        <v>161</v>
      </c>
      <c r="R946" s="2" t="s">
        <v>149</v>
      </c>
      <c r="S946" s="2" t="s">
        <v>179</v>
      </c>
      <c r="T946" s="10">
        <v>68.790000000000006</v>
      </c>
      <c r="U946" s="11">
        <v>0.18099999999999999</v>
      </c>
      <c r="V946" s="12">
        <f>T946*U946</f>
        <v>12.450990000000001</v>
      </c>
      <c r="W946" s="13">
        <v>0.17</v>
      </c>
      <c r="X946" s="12">
        <f>V946-(V946/(1+W946))</f>
        <v>1.809118205128204</v>
      </c>
      <c r="Y946" s="12">
        <f>V946-X946</f>
        <v>10.641871794871797</v>
      </c>
      <c r="Z946" s="14">
        <v>35</v>
      </c>
      <c r="AA946" s="2" t="str">
        <f>IF(V946&gt;Z946,"Yes","No")</f>
        <v>No</v>
      </c>
      <c r="AB946" s="12">
        <f>V946-Z946</f>
        <v>-22.549009999999999</v>
      </c>
      <c r="AC946" s="15" t="s">
        <v>130</v>
      </c>
      <c r="AD946" s="15" t="s">
        <v>130</v>
      </c>
      <c r="AE946" s="15" t="s">
        <v>421</v>
      </c>
      <c r="AF946" s="12">
        <f>IF(AG946="Rejected",0,IF(R946="Corporate Card",0,V946))</f>
        <v>12.450990000000001</v>
      </c>
      <c r="AG946" s="15" t="s">
        <v>133</v>
      </c>
      <c r="AH946" s="16">
        <v>45769</v>
      </c>
      <c r="AI946" s="16">
        <v>45770</v>
      </c>
      <c r="AJ946" s="16">
        <v>45778</v>
      </c>
      <c r="AK946" s="17">
        <f>IF(AJ946="","",AJ946-AH946)</f>
        <v>9</v>
      </c>
    </row>
    <row r="947" spans="1:37">
      <c r="A947" s="2" t="s">
        <v>1352</v>
      </c>
      <c r="B947" s="2" t="s">
        <v>1235</v>
      </c>
      <c r="C947" s="2" t="s">
        <v>867</v>
      </c>
      <c r="D947" s="2" t="s">
        <v>865</v>
      </c>
      <c r="E947" s="2" t="s">
        <v>1236</v>
      </c>
      <c r="F947" s="2" t="s">
        <v>313</v>
      </c>
      <c r="G947" s="2" t="s">
        <v>1314</v>
      </c>
      <c r="H947" s="2" t="s">
        <v>803</v>
      </c>
      <c r="I947" s="2" t="s">
        <v>123</v>
      </c>
      <c r="J947" s="2" t="s">
        <v>124</v>
      </c>
      <c r="K947" s="9">
        <v>45746</v>
      </c>
      <c r="L947" s="9">
        <v>45752</v>
      </c>
      <c r="M947" s="9">
        <v>45749</v>
      </c>
      <c r="N947" s="2" t="s">
        <v>1333</v>
      </c>
      <c r="O947" s="2" t="s">
        <v>68</v>
      </c>
      <c r="P947" s="2" t="s">
        <v>282</v>
      </c>
      <c r="Q947" s="2" t="s">
        <v>283</v>
      </c>
      <c r="R947" s="2" t="s">
        <v>137</v>
      </c>
      <c r="S947" s="2" t="s">
        <v>129</v>
      </c>
      <c r="T947" s="10">
        <v>15.53</v>
      </c>
      <c r="U947" s="11">
        <v>1.272</v>
      </c>
      <c r="V947" s="12">
        <f>T947*U947</f>
        <v>19.754159999999999</v>
      </c>
      <c r="W947" s="13">
        <v>0.2</v>
      </c>
      <c r="X947" s="12">
        <f>V947-(V947/(1+W947))</f>
        <v>3.2923599999999986</v>
      </c>
      <c r="Y947" s="12">
        <f>V947-X947</f>
        <v>16.4618</v>
      </c>
      <c r="Z947" s="14">
        <v>30</v>
      </c>
      <c r="AA947" s="2" t="str">
        <f>IF(V947&gt;Z947,"Yes","No")</f>
        <v>No</v>
      </c>
      <c r="AB947" s="12">
        <f>V947-Z947</f>
        <v>-10.245840000000001</v>
      </c>
      <c r="AC947" s="15" t="s">
        <v>130</v>
      </c>
      <c r="AD947" s="15" t="s">
        <v>131</v>
      </c>
      <c r="AE947" s="15" t="s">
        <v>132</v>
      </c>
      <c r="AF947" s="12">
        <f>IF(AG947="Rejected",0,IF(R947="Corporate Card",0,V947))</f>
        <v>19.754159999999999</v>
      </c>
      <c r="AG947" s="15" t="s">
        <v>133</v>
      </c>
      <c r="AH947" s="16">
        <v>45760</v>
      </c>
      <c r="AI947" s="16">
        <v>45767</v>
      </c>
      <c r="AJ947" s="16">
        <v>45776</v>
      </c>
      <c r="AK947" s="17">
        <f>IF(AJ947="","",AJ947-AH947)</f>
        <v>16</v>
      </c>
    </row>
    <row r="948" spans="1:37">
      <c r="A948" s="2" t="s">
        <v>1353</v>
      </c>
      <c r="B948" s="2" t="s">
        <v>1235</v>
      </c>
      <c r="C948" s="2" t="s">
        <v>867</v>
      </c>
      <c r="D948" s="2" t="s">
        <v>865</v>
      </c>
      <c r="E948" s="2" t="s">
        <v>1236</v>
      </c>
      <c r="F948" s="2" t="s">
        <v>313</v>
      </c>
      <c r="G948" s="2" t="s">
        <v>1314</v>
      </c>
      <c r="H948" s="2" t="s">
        <v>803</v>
      </c>
      <c r="I948" s="2" t="s">
        <v>123</v>
      </c>
      <c r="J948" s="2" t="s">
        <v>124</v>
      </c>
      <c r="K948" s="9">
        <v>45746</v>
      </c>
      <c r="L948" s="9">
        <v>45752</v>
      </c>
      <c r="M948" s="9">
        <v>45749</v>
      </c>
      <c r="N948" s="2" t="s">
        <v>1333</v>
      </c>
      <c r="O948" s="2" t="s">
        <v>54</v>
      </c>
      <c r="P948" s="2" t="s">
        <v>139</v>
      </c>
      <c r="Q948" s="2" t="s">
        <v>163</v>
      </c>
      <c r="R948" s="2" t="s">
        <v>128</v>
      </c>
      <c r="S948" s="2" t="s">
        <v>129</v>
      </c>
      <c r="T948" s="10">
        <v>18.86</v>
      </c>
      <c r="U948" s="11">
        <v>1.272</v>
      </c>
      <c r="V948" s="12">
        <f>T948*U948</f>
        <v>23.989919999999998</v>
      </c>
      <c r="W948" s="13">
        <v>0.2</v>
      </c>
      <c r="X948" s="12">
        <f>V948-(V948/(1+W948))</f>
        <v>3.9983199999999997</v>
      </c>
      <c r="Y948" s="12">
        <f>V948-X948</f>
        <v>19.991599999999998</v>
      </c>
      <c r="Z948" s="14">
        <v>25</v>
      </c>
      <c r="AA948" s="2" t="str">
        <f>IF(V948&gt;Z948,"Yes","No")</f>
        <v>No</v>
      </c>
      <c r="AB948" s="12">
        <f>V948-Z948</f>
        <v>-1.0100800000000021</v>
      </c>
      <c r="AC948" s="15" t="s">
        <v>130</v>
      </c>
      <c r="AD948" s="15" t="s">
        <v>131</v>
      </c>
      <c r="AE948" s="15" t="s">
        <v>132</v>
      </c>
      <c r="AF948" s="12">
        <f>IF(AG948="Rejected",0,IF(R948="Corporate Card",0,V948))</f>
        <v>0</v>
      </c>
      <c r="AG948" s="15" t="s">
        <v>133</v>
      </c>
      <c r="AH948" s="16">
        <v>45760</v>
      </c>
      <c r="AI948" s="16">
        <v>45767</v>
      </c>
      <c r="AJ948" s="16">
        <v>45776</v>
      </c>
      <c r="AK948" s="17">
        <f>IF(AJ948="","",AJ948-AH948)</f>
        <v>16</v>
      </c>
    </row>
    <row r="949" spans="1:37">
      <c r="A949" s="2" t="s">
        <v>1354</v>
      </c>
      <c r="B949" s="2" t="s">
        <v>1235</v>
      </c>
      <c r="C949" s="2" t="s">
        <v>867</v>
      </c>
      <c r="D949" s="2" t="s">
        <v>865</v>
      </c>
      <c r="E949" s="2" t="s">
        <v>1236</v>
      </c>
      <c r="F949" s="2" t="s">
        <v>313</v>
      </c>
      <c r="G949" s="2" t="s">
        <v>1314</v>
      </c>
      <c r="H949" s="2" t="s">
        <v>803</v>
      </c>
      <c r="I949" s="2" t="s">
        <v>123</v>
      </c>
      <c r="J949" s="2" t="s">
        <v>124</v>
      </c>
      <c r="K949" s="9">
        <v>45746</v>
      </c>
      <c r="L949" s="9">
        <v>45752</v>
      </c>
      <c r="M949" s="9">
        <v>45749</v>
      </c>
      <c r="N949" s="2" t="s">
        <v>1333</v>
      </c>
      <c r="O949" s="2" t="s">
        <v>55</v>
      </c>
      <c r="P949" s="2" t="s">
        <v>139</v>
      </c>
      <c r="Q949" s="2" t="s">
        <v>187</v>
      </c>
      <c r="R949" s="2" t="s">
        <v>128</v>
      </c>
      <c r="S949" s="2" t="s">
        <v>129</v>
      </c>
      <c r="T949" s="10">
        <v>22.64</v>
      </c>
      <c r="U949" s="11">
        <v>1.272</v>
      </c>
      <c r="V949" s="12">
        <f>T949*U949</f>
        <v>28.798080000000002</v>
      </c>
      <c r="W949" s="13">
        <v>0.2</v>
      </c>
      <c r="X949" s="12">
        <f>V949-(V949/(1+W949))</f>
        <v>4.7996799999999986</v>
      </c>
      <c r="Y949" s="12">
        <f>V949-X949</f>
        <v>23.998400000000004</v>
      </c>
      <c r="Z949" s="14">
        <v>35</v>
      </c>
      <c r="AA949" s="2" t="str">
        <f>IF(V949&gt;Z949,"Yes","No")</f>
        <v>No</v>
      </c>
      <c r="AB949" s="12">
        <f>V949-Z949</f>
        <v>-6.2019199999999977</v>
      </c>
      <c r="AC949" s="15" t="s">
        <v>130</v>
      </c>
      <c r="AD949" s="15" t="s">
        <v>131</v>
      </c>
      <c r="AE949" s="15" t="s">
        <v>132</v>
      </c>
      <c r="AF949" s="12">
        <f>IF(AG949="Rejected",0,IF(R949="Corporate Card",0,V949))</f>
        <v>0</v>
      </c>
      <c r="AG949" s="15" t="s">
        <v>133</v>
      </c>
      <c r="AH949" s="16">
        <v>45760</v>
      </c>
      <c r="AI949" s="16">
        <v>45767</v>
      </c>
      <c r="AJ949" s="16">
        <v>45776</v>
      </c>
      <c r="AK949" s="17">
        <f>IF(AJ949="","",AJ949-AH949)</f>
        <v>16</v>
      </c>
    </row>
    <row r="950" spans="1:37">
      <c r="A950" s="2" t="s">
        <v>1355</v>
      </c>
      <c r="B950" s="2" t="s">
        <v>310</v>
      </c>
      <c r="C950" s="2" t="s">
        <v>311</v>
      </c>
      <c r="D950" s="2" t="s">
        <v>118</v>
      </c>
      <c r="E950" s="2" t="s">
        <v>312</v>
      </c>
      <c r="F950" s="2" t="s">
        <v>313</v>
      </c>
      <c r="G950" s="2" t="s">
        <v>1345</v>
      </c>
      <c r="H950" s="2" t="s">
        <v>254</v>
      </c>
      <c r="I950" s="2" t="s">
        <v>175</v>
      </c>
      <c r="J950" s="2" t="s">
        <v>176</v>
      </c>
      <c r="K950" s="9">
        <v>45749</v>
      </c>
      <c r="L950" s="9">
        <v>45757</v>
      </c>
      <c r="M950" s="9">
        <v>45750</v>
      </c>
      <c r="N950" s="2" t="s">
        <v>1333</v>
      </c>
      <c r="O950" s="2" t="s">
        <v>60</v>
      </c>
      <c r="P950" s="2" t="s">
        <v>1055</v>
      </c>
      <c r="Q950" s="2" t="s">
        <v>537</v>
      </c>
      <c r="R950" s="2" t="s">
        <v>128</v>
      </c>
      <c r="S950" s="2" t="s">
        <v>179</v>
      </c>
      <c r="T950" s="10">
        <v>6347.13</v>
      </c>
      <c r="U950" s="11">
        <v>0.18099999999999999</v>
      </c>
      <c r="V950" s="12">
        <f>T950*U950</f>
        <v>1148.83053</v>
      </c>
      <c r="W950" s="13">
        <v>0.17</v>
      </c>
      <c r="X950" s="12">
        <f>V950-(V950/(1+W950))</f>
        <v>166.92409410256403</v>
      </c>
      <c r="Y950" s="12">
        <f>V950-X950</f>
        <v>981.90643589743593</v>
      </c>
      <c r="Z950" s="14">
        <v>960</v>
      </c>
      <c r="AA950" s="2" t="str">
        <f>IF(V950&gt;Z950,"Yes","No")</f>
        <v>Yes</v>
      </c>
      <c r="AB950" s="12">
        <f>V950-Z950</f>
        <v>188.83052999999995</v>
      </c>
      <c r="AC950" s="15" t="s">
        <v>131</v>
      </c>
      <c r="AD950" s="15" t="s">
        <v>130</v>
      </c>
      <c r="AE950" s="15" t="s">
        <v>421</v>
      </c>
      <c r="AF950" s="12">
        <f>IF(AG950="Rejected",0,IF(R950="Corporate Card",0,V950))</f>
        <v>0</v>
      </c>
      <c r="AG950" s="15" t="s">
        <v>133</v>
      </c>
      <c r="AH950" s="16">
        <v>45769</v>
      </c>
      <c r="AI950" s="16">
        <v>45770</v>
      </c>
      <c r="AJ950" s="16">
        <v>45778</v>
      </c>
      <c r="AK950" s="17">
        <f>IF(AJ950="","",AJ950-AH950)</f>
        <v>9</v>
      </c>
    </row>
    <row r="951" spans="1:37">
      <c r="A951" s="2" t="s">
        <v>1356</v>
      </c>
      <c r="B951" s="2" t="s">
        <v>310</v>
      </c>
      <c r="C951" s="2" t="s">
        <v>311</v>
      </c>
      <c r="D951" s="2" t="s">
        <v>118</v>
      </c>
      <c r="E951" s="2" t="s">
        <v>312</v>
      </c>
      <c r="F951" s="2" t="s">
        <v>313</v>
      </c>
      <c r="G951" s="2" t="s">
        <v>1345</v>
      </c>
      <c r="H951" s="2" t="s">
        <v>254</v>
      </c>
      <c r="I951" s="2" t="s">
        <v>175</v>
      </c>
      <c r="J951" s="2" t="s">
        <v>176</v>
      </c>
      <c r="K951" s="9">
        <v>45749</v>
      </c>
      <c r="L951" s="9">
        <v>45757</v>
      </c>
      <c r="M951" s="9">
        <v>45750</v>
      </c>
      <c r="N951" s="2" t="s">
        <v>1333</v>
      </c>
      <c r="O951" s="2" t="s">
        <v>58</v>
      </c>
      <c r="P951" s="2" t="s">
        <v>142</v>
      </c>
      <c r="Q951" s="2" t="s">
        <v>296</v>
      </c>
      <c r="R951" s="2" t="s">
        <v>128</v>
      </c>
      <c r="S951" s="2" t="s">
        <v>179</v>
      </c>
      <c r="T951" s="10">
        <v>183.81</v>
      </c>
      <c r="U951" s="11">
        <v>0.18099999999999999</v>
      </c>
      <c r="V951" s="12">
        <f>T951*U951</f>
        <v>33.26961</v>
      </c>
      <c r="W951" s="13">
        <v>0.17</v>
      </c>
      <c r="X951" s="12">
        <f>V951-(V951/(1+W951))</f>
        <v>4.834045897435896</v>
      </c>
      <c r="Y951" s="12">
        <f>V951-X951</f>
        <v>28.435564102564104</v>
      </c>
      <c r="Z951" s="14">
        <v>60</v>
      </c>
      <c r="AA951" s="2" t="str">
        <f>IF(V951&gt;Z951,"Yes","No")</f>
        <v>No</v>
      </c>
      <c r="AB951" s="12">
        <f>V951-Z951</f>
        <v>-26.73039</v>
      </c>
      <c r="AC951" s="15" t="s">
        <v>130</v>
      </c>
      <c r="AD951" s="15" t="s">
        <v>130</v>
      </c>
      <c r="AE951" s="15" t="s">
        <v>421</v>
      </c>
      <c r="AF951" s="12">
        <f>IF(AG951="Rejected",0,IF(R951="Corporate Card",0,V951))</f>
        <v>0</v>
      </c>
      <c r="AG951" s="15" t="s">
        <v>133</v>
      </c>
      <c r="AH951" s="16">
        <v>45769</v>
      </c>
      <c r="AI951" s="16">
        <v>45770</v>
      </c>
      <c r="AJ951" s="16">
        <v>45778</v>
      </c>
      <c r="AK951" s="17">
        <f>IF(AJ951="","",AJ951-AH951)</f>
        <v>9</v>
      </c>
    </row>
    <row r="952" spans="1:37">
      <c r="A952" s="2" t="s">
        <v>1357</v>
      </c>
      <c r="B952" s="2" t="s">
        <v>310</v>
      </c>
      <c r="C952" s="2" t="s">
        <v>311</v>
      </c>
      <c r="D952" s="2" t="s">
        <v>118</v>
      </c>
      <c r="E952" s="2" t="s">
        <v>312</v>
      </c>
      <c r="F952" s="2" t="s">
        <v>313</v>
      </c>
      <c r="G952" s="2" t="s">
        <v>1345</v>
      </c>
      <c r="H952" s="2" t="s">
        <v>254</v>
      </c>
      <c r="I952" s="2" t="s">
        <v>175</v>
      </c>
      <c r="J952" s="2" t="s">
        <v>176</v>
      </c>
      <c r="K952" s="9">
        <v>45749</v>
      </c>
      <c r="L952" s="9">
        <v>45757</v>
      </c>
      <c r="M952" s="9">
        <v>45750</v>
      </c>
      <c r="N952" s="2" t="s">
        <v>1333</v>
      </c>
      <c r="O952" s="2" t="s">
        <v>53</v>
      </c>
      <c r="P952" s="2" t="s">
        <v>669</v>
      </c>
      <c r="Q952" s="2" t="s">
        <v>209</v>
      </c>
      <c r="R952" s="2" t="s">
        <v>128</v>
      </c>
      <c r="S952" s="2" t="s">
        <v>179</v>
      </c>
      <c r="T952" s="10">
        <v>5340.45</v>
      </c>
      <c r="U952" s="11">
        <v>0.18099999999999999</v>
      </c>
      <c r="V952" s="12">
        <f>T952*U952</f>
        <v>966.62144999999998</v>
      </c>
      <c r="W952" s="13">
        <v>0.17</v>
      </c>
      <c r="X952" s="12">
        <f>V952-(V952/(1+W952))</f>
        <v>140.44927051282048</v>
      </c>
      <c r="Y952" s="12">
        <f>V952-X952</f>
        <v>826.17217948717951</v>
      </c>
      <c r="Z952" s="14">
        <v>2240</v>
      </c>
      <c r="AA952" s="2" t="str">
        <f>IF(V952&gt;Z952,"Yes","No")</f>
        <v>No</v>
      </c>
      <c r="AB952" s="12">
        <f>V952-Z952</f>
        <v>-1273.3785499999999</v>
      </c>
      <c r="AC952" s="15" t="s">
        <v>130</v>
      </c>
      <c r="AD952" s="15" t="s">
        <v>130</v>
      </c>
      <c r="AE952" s="15" t="s">
        <v>421</v>
      </c>
      <c r="AF952" s="12">
        <f>IF(AG952="Rejected",0,IF(R952="Corporate Card",0,V952))</f>
        <v>0</v>
      </c>
      <c r="AG952" s="15" t="s">
        <v>133</v>
      </c>
      <c r="AH952" s="16">
        <v>45769</v>
      </c>
      <c r="AI952" s="16">
        <v>45770</v>
      </c>
      <c r="AJ952" s="16">
        <v>45778</v>
      </c>
      <c r="AK952" s="17">
        <f>IF(AJ952="","",AJ952-AH952)</f>
        <v>9</v>
      </c>
    </row>
    <row r="953" spans="1:37">
      <c r="A953" s="2" t="s">
        <v>1358</v>
      </c>
      <c r="B953" s="2" t="s">
        <v>310</v>
      </c>
      <c r="C953" s="2" t="s">
        <v>311</v>
      </c>
      <c r="D953" s="2" t="s">
        <v>118</v>
      </c>
      <c r="E953" s="2" t="s">
        <v>312</v>
      </c>
      <c r="F953" s="2" t="s">
        <v>313</v>
      </c>
      <c r="G953" s="2" t="s">
        <v>1345</v>
      </c>
      <c r="H953" s="2" t="s">
        <v>254</v>
      </c>
      <c r="I953" s="2" t="s">
        <v>175</v>
      </c>
      <c r="J953" s="2" t="s">
        <v>176</v>
      </c>
      <c r="K953" s="9">
        <v>45749</v>
      </c>
      <c r="L953" s="9">
        <v>45757</v>
      </c>
      <c r="M953" s="9">
        <v>45750</v>
      </c>
      <c r="N953" s="2" t="s">
        <v>1333</v>
      </c>
      <c r="O953" s="2" t="s">
        <v>54</v>
      </c>
      <c r="P953" s="2" t="s">
        <v>139</v>
      </c>
      <c r="Q953" s="2" t="s">
        <v>214</v>
      </c>
      <c r="R953" s="2" t="s">
        <v>128</v>
      </c>
      <c r="S953" s="2" t="s">
        <v>179</v>
      </c>
      <c r="T953" s="10">
        <v>88.64</v>
      </c>
      <c r="U953" s="11">
        <v>0.18099999999999999</v>
      </c>
      <c r="V953" s="12">
        <f>T953*U953</f>
        <v>16.043839999999999</v>
      </c>
      <c r="W953" s="13">
        <v>0.17</v>
      </c>
      <c r="X953" s="12">
        <f>V953-(V953/(1+W953))</f>
        <v>2.3311562393162379</v>
      </c>
      <c r="Y953" s="12">
        <f>V953-X953</f>
        <v>13.712683760683761</v>
      </c>
      <c r="Z953" s="14">
        <v>25</v>
      </c>
      <c r="AA953" s="2" t="str">
        <f>IF(V953&gt;Z953,"Yes","No")</f>
        <v>No</v>
      </c>
      <c r="AB953" s="12">
        <f>V953-Z953</f>
        <v>-8.9561600000000006</v>
      </c>
      <c r="AC953" s="15" t="s">
        <v>130</v>
      </c>
      <c r="AD953" s="15" t="s">
        <v>130</v>
      </c>
      <c r="AE953" s="15" t="s">
        <v>421</v>
      </c>
      <c r="AF953" s="12">
        <f>IF(AG953="Rejected",0,IF(R953="Corporate Card",0,V953))</f>
        <v>0</v>
      </c>
      <c r="AG953" s="15" t="s">
        <v>133</v>
      </c>
      <c r="AH953" s="16">
        <v>45769</v>
      </c>
      <c r="AI953" s="16">
        <v>45770</v>
      </c>
      <c r="AJ953" s="16">
        <v>45778</v>
      </c>
      <c r="AK953" s="17">
        <f>IF(AJ953="","",AJ953-AH953)</f>
        <v>9</v>
      </c>
    </row>
    <row r="954" spans="1:37">
      <c r="A954" s="2" t="s">
        <v>1359</v>
      </c>
      <c r="B954" s="2" t="s">
        <v>310</v>
      </c>
      <c r="C954" s="2" t="s">
        <v>311</v>
      </c>
      <c r="D954" s="2" t="s">
        <v>118</v>
      </c>
      <c r="E954" s="2" t="s">
        <v>312</v>
      </c>
      <c r="F954" s="2" t="s">
        <v>313</v>
      </c>
      <c r="G954" s="2" t="s">
        <v>1345</v>
      </c>
      <c r="H954" s="2" t="s">
        <v>254</v>
      </c>
      <c r="I954" s="2" t="s">
        <v>175</v>
      </c>
      <c r="J954" s="2" t="s">
        <v>176</v>
      </c>
      <c r="K954" s="9">
        <v>45749</v>
      </c>
      <c r="L954" s="9">
        <v>45757</v>
      </c>
      <c r="M954" s="9">
        <v>45750</v>
      </c>
      <c r="N954" s="2" t="s">
        <v>1333</v>
      </c>
      <c r="O954" s="2" t="s">
        <v>56</v>
      </c>
      <c r="P954" s="2" t="s">
        <v>151</v>
      </c>
      <c r="Q954" s="2" t="s">
        <v>227</v>
      </c>
      <c r="R954" s="2" t="s">
        <v>128</v>
      </c>
      <c r="S954" s="2" t="s">
        <v>179</v>
      </c>
      <c r="T954" s="10">
        <v>304.95999999999998</v>
      </c>
      <c r="U954" s="11">
        <v>0.18099999999999999</v>
      </c>
      <c r="V954" s="12">
        <f>T954*U954</f>
        <v>55.197759999999995</v>
      </c>
      <c r="W954" s="13">
        <v>0.17</v>
      </c>
      <c r="X954" s="12">
        <f>V954-(V954/(1+W954))</f>
        <v>8.0201873504273493</v>
      </c>
      <c r="Y954" s="12">
        <f>V954-X954</f>
        <v>47.177572649572646</v>
      </c>
      <c r="Z954" s="14">
        <v>75</v>
      </c>
      <c r="AA954" s="2" t="str">
        <f>IF(V954&gt;Z954,"Yes","No")</f>
        <v>No</v>
      </c>
      <c r="AB954" s="12">
        <f>V954-Z954</f>
        <v>-19.802240000000005</v>
      </c>
      <c r="AC954" s="15" t="s">
        <v>130</v>
      </c>
      <c r="AD954" s="15" t="s">
        <v>130</v>
      </c>
      <c r="AE954" s="15" t="s">
        <v>421</v>
      </c>
      <c r="AF954" s="12">
        <f>IF(AG954="Rejected",0,IF(R954="Corporate Card",0,V954))</f>
        <v>0</v>
      </c>
      <c r="AG954" s="15" t="s">
        <v>133</v>
      </c>
      <c r="AH954" s="16">
        <v>45769</v>
      </c>
      <c r="AI954" s="16">
        <v>45770</v>
      </c>
      <c r="AJ954" s="16">
        <v>45778</v>
      </c>
      <c r="AK954" s="17">
        <f>IF(AJ954="","",AJ954-AH954)</f>
        <v>9</v>
      </c>
    </row>
    <row r="955" spans="1:37">
      <c r="A955" s="2" t="s">
        <v>1360</v>
      </c>
      <c r="B955" s="2" t="s">
        <v>310</v>
      </c>
      <c r="C955" s="2" t="s">
        <v>311</v>
      </c>
      <c r="D955" s="2" t="s">
        <v>118</v>
      </c>
      <c r="E955" s="2" t="s">
        <v>312</v>
      </c>
      <c r="F955" s="2" t="s">
        <v>313</v>
      </c>
      <c r="G955" s="2" t="s">
        <v>1345</v>
      </c>
      <c r="H955" s="2" t="s">
        <v>254</v>
      </c>
      <c r="I955" s="2" t="s">
        <v>175</v>
      </c>
      <c r="J955" s="2" t="s">
        <v>176</v>
      </c>
      <c r="K955" s="9">
        <v>45749</v>
      </c>
      <c r="L955" s="9">
        <v>45757</v>
      </c>
      <c r="M955" s="9">
        <v>45750</v>
      </c>
      <c r="N955" s="2" t="s">
        <v>1333</v>
      </c>
      <c r="O955" s="2" t="s">
        <v>55</v>
      </c>
      <c r="P955" s="2" t="s">
        <v>139</v>
      </c>
      <c r="Q955" s="2" t="s">
        <v>187</v>
      </c>
      <c r="R955" s="2" t="s">
        <v>137</v>
      </c>
      <c r="S955" s="2" t="s">
        <v>179</v>
      </c>
      <c r="T955" s="10">
        <v>141.47999999999999</v>
      </c>
      <c r="U955" s="11">
        <v>0.18099999999999999</v>
      </c>
      <c r="V955" s="12">
        <f>T955*U955</f>
        <v>25.607879999999998</v>
      </c>
      <c r="W955" s="13">
        <v>0.17</v>
      </c>
      <c r="X955" s="12">
        <f>V955-(V955/(1+W955))</f>
        <v>3.720803076923076</v>
      </c>
      <c r="Y955" s="12">
        <f>V955-X955</f>
        <v>21.887076923076922</v>
      </c>
      <c r="Z955" s="14">
        <v>35</v>
      </c>
      <c r="AA955" s="2" t="str">
        <f>IF(V955&gt;Z955,"Yes","No")</f>
        <v>No</v>
      </c>
      <c r="AB955" s="12">
        <f>V955-Z955</f>
        <v>-9.392120000000002</v>
      </c>
      <c r="AC955" s="15" t="s">
        <v>130</v>
      </c>
      <c r="AD955" s="15" t="s">
        <v>130</v>
      </c>
      <c r="AE955" s="15" t="s">
        <v>421</v>
      </c>
      <c r="AF955" s="12">
        <f>IF(AG955="Rejected",0,IF(R955="Corporate Card",0,V955))</f>
        <v>25.607879999999998</v>
      </c>
      <c r="AG955" s="15" t="s">
        <v>133</v>
      </c>
      <c r="AH955" s="16">
        <v>45769</v>
      </c>
      <c r="AI955" s="16">
        <v>45770</v>
      </c>
      <c r="AJ955" s="16">
        <v>45778</v>
      </c>
      <c r="AK955" s="17">
        <f>IF(AJ955="","",AJ955-AH955)</f>
        <v>9</v>
      </c>
    </row>
    <row r="956" spans="1:37">
      <c r="A956" s="2" t="s">
        <v>1361</v>
      </c>
      <c r="B956" s="2" t="s">
        <v>310</v>
      </c>
      <c r="C956" s="2" t="s">
        <v>311</v>
      </c>
      <c r="D956" s="2" t="s">
        <v>118</v>
      </c>
      <c r="E956" s="2" t="s">
        <v>312</v>
      </c>
      <c r="F956" s="2" t="s">
        <v>313</v>
      </c>
      <c r="G956" s="2" t="s">
        <v>1345</v>
      </c>
      <c r="H956" s="2" t="s">
        <v>254</v>
      </c>
      <c r="I956" s="2" t="s">
        <v>175</v>
      </c>
      <c r="J956" s="2" t="s">
        <v>176</v>
      </c>
      <c r="K956" s="9">
        <v>45749</v>
      </c>
      <c r="L956" s="9">
        <v>45757</v>
      </c>
      <c r="M956" s="9">
        <v>45750</v>
      </c>
      <c r="N956" s="2" t="s">
        <v>1333</v>
      </c>
      <c r="O956" s="2" t="s">
        <v>69</v>
      </c>
      <c r="P956" s="2" t="s">
        <v>409</v>
      </c>
      <c r="Q956" s="2" t="s">
        <v>410</v>
      </c>
      <c r="R956" s="2" t="s">
        <v>137</v>
      </c>
      <c r="S956" s="2" t="s">
        <v>179</v>
      </c>
      <c r="T956" s="10">
        <v>140.79</v>
      </c>
      <c r="U956" s="11">
        <v>0.18099999999999999</v>
      </c>
      <c r="V956" s="12">
        <f>T956*U956</f>
        <v>25.482989999999997</v>
      </c>
      <c r="W956" s="13">
        <v>0.17</v>
      </c>
      <c r="X956" s="12">
        <f>V956-(V956/(1+W956))</f>
        <v>3.702656666666666</v>
      </c>
      <c r="Y956" s="12">
        <f>V956-X956</f>
        <v>21.780333333333331</v>
      </c>
      <c r="Z956" s="14">
        <v>60</v>
      </c>
      <c r="AA956" s="2" t="str">
        <f>IF(V956&gt;Z956,"Yes","No")</f>
        <v>No</v>
      </c>
      <c r="AB956" s="12">
        <f>V956-Z956</f>
        <v>-34.517009999999999</v>
      </c>
      <c r="AC956" s="15" t="s">
        <v>130</v>
      </c>
      <c r="AD956" s="15" t="s">
        <v>130</v>
      </c>
      <c r="AE956" s="15" t="s">
        <v>421</v>
      </c>
      <c r="AF956" s="12">
        <f>IF(AG956="Rejected",0,IF(R956="Corporate Card",0,V956))</f>
        <v>25.482989999999997</v>
      </c>
      <c r="AG956" s="15" t="s">
        <v>133</v>
      </c>
      <c r="AH956" s="16">
        <v>45769</v>
      </c>
      <c r="AI956" s="16">
        <v>45770</v>
      </c>
      <c r="AJ956" s="16">
        <v>45778</v>
      </c>
      <c r="AK956" s="17">
        <f>IF(AJ956="","",AJ956-AH956)</f>
        <v>9</v>
      </c>
    </row>
    <row r="957" spans="1:37">
      <c r="A957" s="2" t="s">
        <v>1362</v>
      </c>
      <c r="B957" s="2" t="s">
        <v>1235</v>
      </c>
      <c r="C957" s="2" t="s">
        <v>867</v>
      </c>
      <c r="D957" s="2" t="s">
        <v>865</v>
      </c>
      <c r="E957" s="2" t="s">
        <v>1236</v>
      </c>
      <c r="F957" s="2" t="s">
        <v>313</v>
      </c>
      <c r="G957" s="2" t="s">
        <v>1314</v>
      </c>
      <c r="H957" s="2" t="s">
        <v>803</v>
      </c>
      <c r="I957" s="2" t="s">
        <v>123</v>
      </c>
      <c r="J957" s="2" t="s">
        <v>124</v>
      </c>
      <c r="K957" s="9">
        <v>45746</v>
      </c>
      <c r="L957" s="9">
        <v>45752</v>
      </c>
      <c r="M957" s="9">
        <v>45750</v>
      </c>
      <c r="N957" s="2" t="s">
        <v>1333</v>
      </c>
      <c r="O957" s="2" t="s">
        <v>54</v>
      </c>
      <c r="P957" s="2" t="s">
        <v>139</v>
      </c>
      <c r="Q957" s="2" t="s">
        <v>214</v>
      </c>
      <c r="R957" s="2" t="s">
        <v>149</v>
      </c>
      <c r="S957" s="2" t="s">
        <v>129</v>
      </c>
      <c r="T957" s="10">
        <v>28.11</v>
      </c>
      <c r="U957" s="11">
        <v>1.272</v>
      </c>
      <c r="V957" s="12">
        <f>T957*U957</f>
        <v>35.755920000000003</v>
      </c>
      <c r="W957" s="13">
        <v>0.2</v>
      </c>
      <c r="X957" s="12">
        <f>V957-(V957/(1+W957))</f>
        <v>5.9593199999999982</v>
      </c>
      <c r="Y957" s="12">
        <f>V957-X957</f>
        <v>29.796600000000005</v>
      </c>
      <c r="Z957" s="14">
        <v>25</v>
      </c>
      <c r="AA957" s="2" t="str">
        <f>IF(V957&gt;Z957,"Yes","No")</f>
        <v>Yes</v>
      </c>
      <c r="AB957" s="12">
        <f>V957-Z957</f>
        <v>10.755920000000003</v>
      </c>
      <c r="AC957" s="15" t="s">
        <v>130</v>
      </c>
      <c r="AD957" s="15" t="s">
        <v>131</v>
      </c>
      <c r="AE957" s="15" t="s">
        <v>132</v>
      </c>
      <c r="AF957" s="12">
        <f>IF(AG957="Rejected",0,IF(R957="Corporate Card",0,V957))</f>
        <v>35.755920000000003</v>
      </c>
      <c r="AG957" s="15" t="s">
        <v>133</v>
      </c>
      <c r="AH957" s="16">
        <v>45760</v>
      </c>
      <c r="AI957" s="16">
        <v>45767</v>
      </c>
      <c r="AJ957" s="16">
        <v>45776</v>
      </c>
      <c r="AK957" s="17">
        <f>IF(AJ957="","",AJ957-AH957)</f>
        <v>16</v>
      </c>
    </row>
    <row r="958" spans="1:37">
      <c r="A958" s="2" t="s">
        <v>1363</v>
      </c>
      <c r="B958" s="2" t="s">
        <v>1235</v>
      </c>
      <c r="C958" s="2" t="s">
        <v>867</v>
      </c>
      <c r="D958" s="2" t="s">
        <v>865</v>
      </c>
      <c r="E958" s="2" t="s">
        <v>1236</v>
      </c>
      <c r="F958" s="2" t="s">
        <v>313</v>
      </c>
      <c r="G958" s="2" t="s">
        <v>1314</v>
      </c>
      <c r="H958" s="2" t="s">
        <v>803</v>
      </c>
      <c r="I958" s="2" t="s">
        <v>123</v>
      </c>
      <c r="J958" s="2" t="s">
        <v>124</v>
      </c>
      <c r="K958" s="9">
        <v>45746</v>
      </c>
      <c r="L958" s="9">
        <v>45752</v>
      </c>
      <c r="M958" s="9">
        <v>45750</v>
      </c>
      <c r="N958" s="2" t="s">
        <v>1333</v>
      </c>
      <c r="O958" s="2" t="s">
        <v>56</v>
      </c>
      <c r="P958" s="2" t="s">
        <v>165</v>
      </c>
      <c r="Q958" s="2" t="s">
        <v>152</v>
      </c>
      <c r="R958" s="2" t="s">
        <v>149</v>
      </c>
      <c r="S958" s="2" t="s">
        <v>129</v>
      </c>
      <c r="T958" s="10">
        <v>23.18</v>
      </c>
      <c r="U958" s="11">
        <v>1.272</v>
      </c>
      <c r="V958" s="12">
        <f>T958*U958</f>
        <v>29.484960000000001</v>
      </c>
      <c r="W958" s="13">
        <v>0.2</v>
      </c>
      <c r="X958" s="12">
        <f>V958-(V958/(1+W958))</f>
        <v>4.914159999999999</v>
      </c>
      <c r="Y958" s="12">
        <f>V958-X958</f>
        <v>24.570800000000002</v>
      </c>
      <c r="Z958" s="14">
        <v>75</v>
      </c>
      <c r="AA958" s="2" t="str">
        <f>IF(V958&gt;Z958,"Yes","No")</f>
        <v>No</v>
      </c>
      <c r="AB958" s="12">
        <f>V958-Z958</f>
        <v>-45.515039999999999</v>
      </c>
      <c r="AC958" s="15" t="s">
        <v>130</v>
      </c>
      <c r="AD958" s="15" t="s">
        <v>131</v>
      </c>
      <c r="AE958" s="15" t="s">
        <v>132</v>
      </c>
      <c r="AF958" s="12">
        <f>IF(AG958="Rejected",0,IF(R958="Corporate Card",0,V958))</f>
        <v>29.484960000000001</v>
      </c>
      <c r="AG958" s="15" t="s">
        <v>133</v>
      </c>
      <c r="AH958" s="16">
        <v>45760</v>
      </c>
      <c r="AI958" s="16">
        <v>45767</v>
      </c>
      <c r="AJ958" s="16">
        <v>45776</v>
      </c>
      <c r="AK958" s="17">
        <f>IF(AJ958="","",AJ958-AH958)</f>
        <v>16</v>
      </c>
    </row>
    <row r="959" spans="1:37">
      <c r="A959" s="2" t="s">
        <v>1364</v>
      </c>
      <c r="B959" s="2" t="s">
        <v>1235</v>
      </c>
      <c r="C959" s="2" t="s">
        <v>867</v>
      </c>
      <c r="D959" s="2" t="s">
        <v>865</v>
      </c>
      <c r="E959" s="2" t="s">
        <v>1236</v>
      </c>
      <c r="F959" s="2" t="s">
        <v>313</v>
      </c>
      <c r="G959" s="2" t="s">
        <v>1314</v>
      </c>
      <c r="H959" s="2" t="s">
        <v>803</v>
      </c>
      <c r="I959" s="2" t="s">
        <v>123</v>
      </c>
      <c r="J959" s="2" t="s">
        <v>124</v>
      </c>
      <c r="K959" s="9">
        <v>45746</v>
      </c>
      <c r="L959" s="9">
        <v>45752</v>
      </c>
      <c r="M959" s="9">
        <v>45750</v>
      </c>
      <c r="N959" s="2" t="s">
        <v>1333</v>
      </c>
      <c r="O959" s="2" t="s">
        <v>55</v>
      </c>
      <c r="P959" s="2" t="s">
        <v>139</v>
      </c>
      <c r="Q959" s="2" t="s">
        <v>217</v>
      </c>
      <c r="R959" s="2" t="s">
        <v>128</v>
      </c>
      <c r="S959" s="2" t="s">
        <v>129</v>
      </c>
      <c r="T959" s="10">
        <v>18.68</v>
      </c>
      <c r="U959" s="11">
        <v>1.272</v>
      </c>
      <c r="V959" s="12">
        <f>T959*U959</f>
        <v>23.760960000000001</v>
      </c>
      <c r="W959" s="13">
        <v>0.2</v>
      </c>
      <c r="X959" s="12">
        <f>V959-(V959/(1+W959))</f>
        <v>3.9601599999999983</v>
      </c>
      <c r="Y959" s="12">
        <f>V959-X959</f>
        <v>19.800800000000002</v>
      </c>
      <c r="Z959" s="14">
        <v>35</v>
      </c>
      <c r="AA959" s="2" t="str">
        <f>IF(V959&gt;Z959,"Yes","No")</f>
        <v>No</v>
      </c>
      <c r="AB959" s="12">
        <f>V959-Z959</f>
        <v>-11.239039999999999</v>
      </c>
      <c r="AC959" s="15" t="s">
        <v>130</v>
      </c>
      <c r="AD959" s="15" t="s">
        <v>131</v>
      </c>
      <c r="AE959" s="15" t="s">
        <v>132</v>
      </c>
      <c r="AF959" s="12">
        <f>IF(AG959="Rejected",0,IF(R959="Corporate Card",0,V959))</f>
        <v>0</v>
      </c>
      <c r="AG959" s="15" t="s">
        <v>133</v>
      </c>
      <c r="AH959" s="16">
        <v>45760</v>
      </c>
      <c r="AI959" s="16">
        <v>45767</v>
      </c>
      <c r="AJ959" s="16">
        <v>45776</v>
      </c>
      <c r="AK959" s="17">
        <f>IF(AJ959="","",AJ959-AH959)</f>
        <v>16</v>
      </c>
    </row>
    <row r="960" spans="1:37">
      <c r="A960" s="2" t="s">
        <v>1365</v>
      </c>
      <c r="B960" s="2" t="s">
        <v>310</v>
      </c>
      <c r="C960" s="2" t="s">
        <v>311</v>
      </c>
      <c r="D960" s="2" t="s">
        <v>118</v>
      </c>
      <c r="E960" s="2" t="s">
        <v>312</v>
      </c>
      <c r="F960" s="2" t="s">
        <v>313</v>
      </c>
      <c r="G960" s="2" t="s">
        <v>1345</v>
      </c>
      <c r="H960" s="2" t="s">
        <v>254</v>
      </c>
      <c r="I960" s="2" t="s">
        <v>175</v>
      </c>
      <c r="J960" s="2" t="s">
        <v>176</v>
      </c>
      <c r="K960" s="9">
        <v>45749</v>
      </c>
      <c r="L960" s="9">
        <v>45757</v>
      </c>
      <c r="M960" s="9">
        <v>45751</v>
      </c>
      <c r="N960" s="2" t="s">
        <v>1333</v>
      </c>
      <c r="O960" s="2" t="s">
        <v>61</v>
      </c>
      <c r="P960" s="2" t="s">
        <v>528</v>
      </c>
      <c r="Q960" s="2" t="s">
        <v>529</v>
      </c>
      <c r="R960" s="2" t="s">
        <v>128</v>
      </c>
      <c r="S960" s="2" t="s">
        <v>179</v>
      </c>
      <c r="T960" s="10">
        <v>376.29</v>
      </c>
      <c r="U960" s="11">
        <v>0.18099999999999999</v>
      </c>
      <c r="V960" s="12">
        <f>T960*U960</f>
        <v>68.108490000000003</v>
      </c>
      <c r="W960" s="13">
        <v>0</v>
      </c>
      <c r="X960" s="12">
        <f>V960-(V960/(1+W960))</f>
        <v>0</v>
      </c>
      <c r="Y960" s="12">
        <f>V960-X960</f>
        <v>68.108490000000003</v>
      </c>
      <c r="Z960" s="14">
        <v>90</v>
      </c>
      <c r="AA960" s="2" t="str">
        <f>IF(V960&gt;Z960,"Yes","No")</f>
        <v>No</v>
      </c>
      <c r="AB960" s="12">
        <f>V960-Z960</f>
        <v>-21.891509999999997</v>
      </c>
      <c r="AC960" s="15" t="s">
        <v>131</v>
      </c>
      <c r="AD960" s="15" t="s">
        <v>130</v>
      </c>
      <c r="AE960" s="15" t="s">
        <v>421</v>
      </c>
      <c r="AF960" s="12">
        <f>IF(AG960="Rejected",0,IF(R960="Corporate Card",0,V960))</f>
        <v>0</v>
      </c>
      <c r="AG960" s="15" t="s">
        <v>133</v>
      </c>
      <c r="AH960" s="16">
        <v>45769</v>
      </c>
      <c r="AI960" s="16">
        <v>45770</v>
      </c>
      <c r="AJ960" s="16">
        <v>45778</v>
      </c>
      <c r="AK960" s="17">
        <f>IF(AJ960="","",AJ960-AH960)</f>
        <v>9</v>
      </c>
    </row>
    <row r="961" spans="1:37">
      <c r="A961" s="2" t="s">
        <v>1366</v>
      </c>
      <c r="B961" s="2" t="s">
        <v>310</v>
      </c>
      <c r="C961" s="2" t="s">
        <v>311</v>
      </c>
      <c r="D961" s="2" t="s">
        <v>118</v>
      </c>
      <c r="E961" s="2" t="s">
        <v>312</v>
      </c>
      <c r="F961" s="2" t="s">
        <v>313</v>
      </c>
      <c r="G961" s="2" t="s">
        <v>1345</v>
      </c>
      <c r="H961" s="2" t="s">
        <v>254</v>
      </c>
      <c r="I961" s="2" t="s">
        <v>175</v>
      </c>
      <c r="J961" s="2" t="s">
        <v>176</v>
      </c>
      <c r="K961" s="9">
        <v>45749</v>
      </c>
      <c r="L961" s="9">
        <v>45757</v>
      </c>
      <c r="M961" s="9">
        <v>45751</v>
      </c>
      <c r="N961" s="2" t="s">
        <v>1333</v>
      </c>
      <c r="O961" s="2" t="s">
        <v>58</v>
      </c>
      <c r="P961" s="2" t="s">
        <v>142</v>
      </c>
      <c r="Q961" s="2" t="s">
        <v>203</v>
      </c>
      <c r="R961" s="2" t="s">
        <v>137</v>
      </c>
      <c r="S961" s="2" t="s">
        <v>179</v>
      </c>
      <c r="T961" s="10">
        <v>229.5</v>
      </c>
      <c r="U961" s="11">
        <v>0.18099999999999999</v>
      </c>
      <c r="V961" s="12">
        <f>T961*U961</f>
        <v>41.539499999999997</v>
      </c>
      <c r="W961" s="13">
        <v>0.17</v>
      </c>
      <c r="X961" s="12">
        <f>V961-(V961/(1+W961))</f>
        <v>6.035653846153842</v>
      </c>
      <c r="Y961" s="12">
        <f>V961-X961</f>
        <v>35.503846153846155</v>
      </c>
      <c r="Z961" s="14">
        <v>60</v>
      </c>
      <c r="AA961" s="2" t="str">
        <f>IF(V961&gt;Z961,"Yes","No")</f>
        <v>No</v>
      </c>
      <c r="AB961" s="12">
        <f>V961-Z961</f>
        <v>-18.460500000000003</v>
      </c>
      <c r="AC961" s="15" t="s">
        <v>130</v>
      </c>
      <c r="AD961" s="15" t="s">
        <v>130</v>
      </c>
      <c r="AE961" s="15" t="s">
        <v>421</v>
      </c>
      <c r="AF961" s="12">
        <f>IF(AG961="Rejected",0,IF(R961="Corporate Card",0,V961))</f>
        <v>41.539499999999997</v>
      </c>
      <c r="AG961" s="15" t="s">
        <v>133</v>
      </c>
      <c r="AH961" s="16">
        <v>45769</v>
      </c>
      <c r="AI961" s="16">
        <v>45770</v>
      </c>
      <c r="AJ961" s="16">
        <v>45778</v>
      </c>
      <c r="AK961" s="17">
        <f>IF(AJ961="","",AJ961-AH961)</f>
        <v>9</v>
      </c>
    </row>
    <row r="962" spans="1:37">
      <c r="A962" s="2" t="s">
        <v>1367</v>
      </c>
      <c r="B962" s="2" t="s">
        <v>310</v>
      </c>
      <c r="C962" s="2" t="s">
        <v>311</v>
      </c>
      <c r="D962" s="2" t="s">
        <v>118</v>
      </c>
      <c r="E962" s="2" t="s">
        <v>312</v>
      </c>
      <c r="F962" s="2" t="s">
        <v>313</v>
      </c>
      <c r="G962" s="2" t="s">
        <v>1345</v>
      </c>
      <c r="H962" s="2" t="s">
        <v>254</v>
      </c>
      <c r="I962" s="2" t="s">
        <v>175</v>
      </c>
      <c r="J962" s="2" t="s">
        <v>176</v>
      </c>
      <c r="K962" s="9">
        <v>45749</v>
      </c>
      <c r="L962" s="9">
        <v>45757</v>
      </c>
      <c r="M962" s="9">
        <v>45751</v>
      </c>
      <c r="N962" s="2" t="s">
        <v>1333</v>
      </c>
      <c r="O962" s="2" t="s">
        <v>54</v>
      </c>
      <c r="P962" s="2" t="s">
        <v>139</v>
      </c>
      <c r="Q962" s="2" t="s">
        <v>148</v>
      </c>
      <c r="R962" s="2" t="s">
        <v>128</v>
      </c>
      <c r="S962" s="2" t="s">
        <v>179</v>
      </c>
      <c r="T962" s="10">
        <v>98.04</v>
      </c>
      <c r="U962" s="11">
        <v>0.18099999999999999</v>
      </c>
      <c r="V962" s="12">
        <f>T962*U962</f>
        <v>17.745239999999999</v>
      </c>
      <c r="W962" s="13">
        <v>0.17</v>
      </c>
      <c r="X962" s="12">
        <f>V962-(V962/(1+W962))</f>
        <v>2.5783682051282035</v>
      </c>
      <c r="Y962" s="12">
        <f>V962-X962</f>
        <v>15.166871794871795</v>
      </c>
      <c r="Z962" s="14">
        <v>25</v>
      </c>
      <c r="AA962" s="2" t="str">
        <f>IF(V962&gt;Z962,"Yes","No")</f>
        <v>No</v>
      </c>
      <c r="AB962" s="12">
        <f>V962-Z962</f>
        <v>-7.254760000000001</v>
      </c>
      <c r="AC962" s="15" t="s">
        <v>130</v>
      </c>
      <c r="AD962" s="15" t="s">
        <v>130</v>
      </c>
      <c r="AE962" s="15" t="s">
        <v>421</v>
      </c>
      <c r="AF962" s="12">
        <f>IF(AG962="Rejected",0,IF(R962="Corporate Card",0,V962))</f>
        <v>0</v>
      </c>
      <c r="AG962" s="15" t="s">
        <v>133</v>
      </c>
      <c r="AH962" s="16">
        <v>45769</v>
      </c>
      <c r="AI962" s="16">
        <v>45770</v>
      </c>
      <c r="AJ962" s="16">
        <v>45778</v>
      </c>
      <c r="AK962" s="17">
        <f>IF(AJ962="","",AJ962-AH962)</f>
        <v>9</v>
      </c>
    </row>
    <row r="963" spans="1:37">
      <c r="A963" s="2" t="s">
        <v>1368</v>
      </c>
      <c r="B963" s="2" t="s">
        <v>310</v>
      </c>
      <c r="C963" s="2" t="s">
        <v>311</v>
      </c>
      <c r="D963" s="2" t="s">
        <v>118</v>
      </c>
      <c r="E963" s="2" t="s">
        <v>312</v>
      </c>
      <c r="F963" s="2" t="s">
        <v>313</v>
      </c>
      <c r="G963" s="2" t="s">
        <v>1345</v>
      </c>
      <c r="H963" s="2" t="s">
        <v>254</v>
      </c>
      <c r="I963" s="2" t="s">
        <v>175</v>
      </c>
      <c r="J963" s="2" t="s">
        <v>176</v>
      </c>
      <c r="K963" s="9">
        <v>45749</v>
      </c>
      <c r="L963" s="9">
        <v>45757</v>
      </c>
      <c r="M963" s="9">
        <v>45751</v>
      </c>
      <c r="N963" s="2" t="s">
        <v>1333</v>
      </c>
      <c r="O963" s="2" t="s">
        <v>56</v>
      </c>
      <c r="P963" s="2" t="s">
        <v>165</v>
      </c>
      <c r="Q963" s="2" t="s">
        <v>166</v>
      </c>
      <c r="R963" s="2" t="s">
        <v>128</v>
      </c>
      <c r="S963" s="2" t="s">
        <v>179</v>
      </c>
      <c r="T963" s="10">
        <v>206.49</v>
      </c>
      <c r="U963" s="11">
        <v>0.18099999999999999</v>
      </c>
      <c r="V963" s="12">
        <f>T963*U963</f>
        <v>37.374690000000001</v>
      </c>
      <c r="W963" s="13">
        <v>0.17</v>
      </c>
      <c r="X963" s="12">
        <f>V963-(V963/(1+W963))</f>
        <v>5.4305105128205113</v>
      </c>
      <c r="Y963" s="12">
        <f>V963-X963</f>
        <v>31.94417948717949</v>
      </c>
      <c r="Z963" s="14">
        <v>75</v>
      </c>
      <c r="AA963" s="2" t="str">
        <f>IF(V963&gt;Z963,"Yes","No")</f>
        <v>No</v>
      </c>
      <c r="AB963" s="12">
        <f>V963-Z963</f>
        <v>-37.625309999999999</v>
      </c>
      <c r="AC963" s="15" t="s">
        <v>130</v>
      </c>
      <c r="AD963" s="15" t="s">
        <v>130</v>
      </c>
      <c r="AE963" s="15" t="s">
        <v>421</v>
      </c>
      <c r="AF963" s="12">
        <f>IF(AG963="Rejected",0,IF(R963="Corporate Card",0,V963))</f>
        <v>0</v>
      </c>
      <c r="AG963" s="15" t="s">
        <v>133</v>
      </c>
      <c r="AH963" s="16">
        <v>45769</v>
      </c>
      <c r="AI963" s="16">
        <v>45770</v>
      </c>
      <c r="AJ963" s="16">
        <v>45778</v>
      </c>
      <c r="AK963" s="17">
        <f>IF(AJ963="","",AJ963-AH963)</f>
        <v>9</v>
      </c>
    </row>
    <row r="964" spans="1:37">
      <c r="A964" s="2" t="s">
        <v>1369</v>
      </c>
      <c r="B964" s="2" t="s">
        <v>310</v>
      </c>
      <c r="C964" s="2" t="s">
        <v>311</v>
      </c>
      <c r="D964" s="2" t="s">
        <v>118</v>
      </c>
      <c r="E964" s="2" t="s">
        <v>312</v>
      </c>
      <c r="F964" s="2" t="s">
        <v>313</v>
      </c>
      <c r="G964" s="2" t="s">
        <v>1345</v>
      </c>
      <c r="H964" s="2" t="s">
        <v>254</v>
      </c>
      <c r="I964" s="2" t="s">
        <v>175</v>
      </c>
      <c r="J964" s="2" t="s">
        <v>176</v>
      </c>
      <c r="K964" s="9">
        <v>45749</v>
      </c>
      <c r="L964" s="9">
        <v>45757</v>
      </c>
      <c r="M964" s="9">
        <v>45751</v>
      </c>
      <c r="N964" s="2" t="s">
        <v>1333</v>
      </c>
      <c r="O964" s="2" t="s">
        <v>55</v>
      </c>
      <c r="P964" s="2" t="s">
        <v>139</v>
      </c>
      <c r="Q964" s="2" t="s">
        <v>154</v>
      </c>
      <c r="R964" s="2" t="s">
        <v>149</v>
      </c>
      <c r="S964" s="2" t="s">
        <v>179</v>
      </c>
      <c r="T964" s="10">
        <v>133.44999999999999</v>
      </c>
      <c r="U964" s="11">
        <v>0.18099999999999999</v>
      </c>
      <c r="V964" s="12">
        <f>T964*U964</f>
        <v>24.154449999999997</v>
      </c>
      <c r="W964" s="13">
        <v>0.17</v>
      </c>
      <c r="X964" s="12">
        <f>V964-(V964/(1+W964))</f>
        <v>3.5096209401709402</v>
      </c>
      <c r="Y964" s="12">
        <f>V964-X964</f>
        <v>20.644829059829057</v>
      </c>
      <c r="Z964" s="14">
        <v>35</v>
      </c>
      <c r="AA964" s="2" t="str">
        <f>IF(V964&gt;Z964,"Yes","No")</f>
        <v>No</v>
      </c>
      <c r="AB964" s="12">
        <f>V964-Z964</f>
        <v>-10.845550000000003</v>
      </c>
      <c r="AC964" s="15" t="s">
        <v>130</v>
      </c>
      <c r="AD964" s="15" t="s">
        <v>130</v>
      </c>
      <c r="AE964" s="15" t="s">
        <v>421</v>
      </c>
      <c r="AF964" s="12">
        <f>IF(AG964="Rejected",0,IF(R964="Corporate Card",0,V964))</f>
        <v>24.154449999999997</v>
      </c>
      <c r="AG964" s="15" t="s">
        <v>133</v>
      </c>
      <c r="AH964" s="16">
        <v>45769</v>
      </c>
      <c r="AI964" s="16">
        <v>45770</v>
      </c>
      <c r="AJ964" s="16">
        <v>45778</v>
      </c>
      <c r="AK964" s="17">
        <f>IF(AJ964="","",AJ964-AH964)</f>
        <v>9</v>
      </c>
    </row>
    <row r="965" spans="1:37">
      <c r="A965" s="2" t="s">
        <v>1370</v>
      </c>
      <c r="B965" s="2" t="s">
        <v>1235</v>
      </c>
      <c r="C965" s="2" t="s">
        <v>867</v>
      </c>
      <c r="D965" s="2" t="s">
        <v>865</v>
      </c>
      <c r="E965" s="2" t="s">
        <v>1236</v>
      </c>
      <c r="F965" s="2" t="s">
        <v>313</v>
      </c>
      <c r="G965" s="2" t="s">
        <v>1314</v>
      </c>
      <c r="H965" s="2" t="s">
        <v>803</v>
      </c>
      <c r="I965" s="2" t="s">
        <v>123</v>
      </c>
      <c r="J965" s="2" t="s">
        <v>124</v>
      </c>
      <c r="K965" s="9">
        <v>45746</v>
      </c>
      <c r="L965" s="9">
        <v>45752</v>
      </c>
      <c r="M965" s="9">
        <v>45751</v>
      </c>
      <c r="N965" s="2" t="s">
        <v>1333</v>
      </c>
      <c r="O965" s="2" t="s">
        <v>58</v>
      </c>
      <c r="P965" s="2" t="s">
        <v>142</v>
      </c>
      <c r="Q965" s="2" t="s">
        <v>143</v>
      </c>
      <c r="R965" s="2" t="s">
        <v>137</v>
      </c>
      <c r="S965" s="2" t="s">
        <v>129</v>
      </c>
      <c r="T965" s="10">
        <v>28.87</v>
      </c>
      <c r="U965" s="11">
        <v>1.272</v>
      </c>
      <c r="V965" s="12">
        <f>T965*U965</f>
        <v>36.722639999999998</v>
      </c>
      <c r="W965" s="13">
        <v>0.2</v>
      </c>
      <c r="X965" s="12">
        <f>V965-(V965/(1+W965))</f>
        <v>6.1204399999999985</v>
      </c>
      <c r="Y965" s="12">
        <f>V965-X965</f>
        <v>30.6022</v>
      </c>
      <c r="Z965" s="14">
        <v>60</v>
      </c>
      <c r="AA965" s="2" t="str">
        <f>IF(V965&gt;Z965,"Yes","No")</f>
        <v>No</v>
      </c>
      <c r="AB965" s="12">
        <f>V965-Z965</f>
        <v>-23.277360000000002</v>
      </c>
      <c r="AC965" s="15" t="s">
        <v>130</v>
      </c>
      <c r="AD965" s="15" t="s">
        <v>131</v>
      </c>
      <c r="AE965" s="15" t="s">
        <v>132</v>
      </c>
      <c r="AF965" s="12">
        <f>IF(AG965="Rejected",0,IF(R965="Corporate Card",0,V965))</f>
        <v>36.722639999999998</v>
      </c>
      <c r="AG965" s="15" t="s">
        <v>133</v>
      </c>
      <c r="AH965" s="16">
        <v>45760</v>
      </c>
      <c r="AI965" s="16">
        <v>45767</v>
      </c>
      <c r="AJ965" s="16">
        <v>45776</v>
      </c>
      <c r="AK965" s="17">
        <f>IF(AJ965="","",AJ965-AH965)</f>
        <v>16</v>
      </c>
    </row>
    <row r="966" spans="1:37">
      <c r="A966" s="2" t="s">
        <v>1371</v>
      </c>
      <c r="B966" s="2" t="s">
        <v>1235</v>
      </c>
      <c r="C966" s="2" t="s">
        <v>867</v>
      </c>
      <c r="D966" s="2" t="s">
        <v>865</v>
      </c>
      <c r="E966" s="2" t="s">
        <v>1236</v>
      </c>
      <c r="F966" s="2" t="s">
        <v>313</v>
      </c>
      <c r="G966" s="2" t="s">
        <v>1314</v>
      </c>
      <c r="H966" s="2" t="s">
        <v>803</v>
      </c>
      <c r="I966" s="2" t="s">
        <v>123</v>
      </c>
      <c r="J966" s="2" t="s">
        <v>124</v>
      </c>
      <c r="K966" s="9">
        <v>45746</v>
      </c>
      <c r="L966" s="9">
        <v>45752</v>
      </c>
      <c r="M966" s="9">
        <v>45751</v>
      </c>
      <c r="N966" s="2" t="s">
        <v>1333</v>
      </c>
      <c r="O966" s="2" t="s">
        <v>54</v>
      </c>
      <c r="P966" s="2" t="s">
        <v>139</v>
      </c>
      <c r="Q966" s="2" t="s">
        <v>140</v>
      </c>
      <c r="R966" s="2" t="s">
        <v>128</v>
      </c>
      <c r="S966" s="2" t="s">
        <v>129</v>
      </c>
      <c r="T966" s="10">
        <v>7.26</v>
      </c>
      <c r="U966" s="11">
        <v>1.272</v>
      </c>
      <c r="V966" s="12">
        <f>T966*U966</f>
        <v>9.2347199999999994</v>
      </c>
      <c r="W966" s="13">
        <v>0.2</v>
      </c>
      <c r="X966" s="12">
        <f>V966-(V966/(1+W966))</f>
        <v>1.5391199999999996</v>
      </c>
      <c r="Y966" s="12">
        <f>V966-X966</f>
        <v>7.6955999999999998</v>
      </c>
      <c r="Z966" s="14">
        <v>25</v>
      </c>
      <c r="AA966" s="2" t="str">
        <f>IF(V966&gt;Z966,"Yes","No")</f>
        <v>No</v>
      </c>
      <c r="AB966" s="12">
        <f>V966-Z966</f>
        <v>-15.765280000000001</v>
      </c>
      <c r="AC966" s="15" t="s">
        <v>130</v>
      </c>
      <c r="AD966" s="15" t="s">
        <v>131</v>
      </c>
      <c r="AE966" s="15" t="s">
        <v>132</v>
      </c>
      <c r="AF966" s="12">
        <f>IF(AG966="Rejected",0,IF(R966="Corporate Card",0,V966))</f>
        <v>0</v>
      </c>
      <c r="AG966" s="15" t="s">
        <v>133</v>
      </c>
      <c r="AH966" s="16">
        <v>45760</v>
      </c>
      <c r="AI966" s="16">
        <v>45767</v>
      </c>
      <c r="AJ966" s="16">
        <v>45776</v>
      </c>
      <c r="AK966" s="17">
        <f>IF(AJ966="","",AJ966-AH966)</f>
        <v>16</v>
      </c>
    </row>
    <row r="967" spans="1:37">
      <c r="A967" s="2" t="s">
        <v>1372</v>
      </c>
      <c r="B967" s="2" t="s">
        <v>1235</v>
      </c>
      <c r="C967" s="2" t="s">
        <v>867</v>
      </c>
      <c r="D967" s="2" t="s">
        <v>865</v>
      </c>
      <c r="E967" s="2" t="s">
        <v>1236</v>
      </c>
      <c r="F967" s="2" t="s">
        <v>313</v>
      </c>
      <c r="G967" s="2" t="s">
        <v>1314</v>
      </c>
      <c r="H967" s="2" t="s">
        <v>803</v>
      </c>
      <c r="I967" s="2" t="s">
        <v>123</v>
      </c>
      <c r="J967" s="2" t="s">
        <v>124</v>
      </c>
      <c r="K967" s="9">
        <v>45746</v>
      </c>
      <c r="L967" s="9">
        <v>45752</v>
      </c>
      <c r="M967" s="9">
        <v>45751</v>
      </c>
      <c r="N967" s="2" t="s">
        <v>1333</v>
      </c>
      <c r="O967" s="2" t="s">
        <v>56</v>
      </c>
      <c r="P967" s="2" t="s">
        <v>151</v>
      </c>
      <c r="Q967" s="2" t="s">
        <v>166</v>
      </c>
      <c r="R967" s="2" t="s">
        <v>149</v>
      </c>
      <c r="S967" s="2" t="s">
        <v>129</v>
      </c>
      <c r="T967" s="10">
        <v>31.31</v>
      </c>
      <c r="U967" s="11">
        <v>1.272</v>
      </c>
      <c r="V967" s="12">
        <f>T967*U967</f>
        <v>39.826319999999996</v>
      </c>
      <c r="W967" s="13">
        <v>0.2</v>
      </c>
      <c r="X967" s="12">
        <f>V967-(V967/(1+W967))</f>
        <v>6.6377199999999945</v>
      </c>
      <c r="Y967" s="12">
        <f>V967-X967</f>
        <v>33.188600000000001</v>
      </c>
      <c r="Z967" s="14">
        <v>75</v>
      </c>
      <c r="AA967" s="2" t="str">
        <f>IF(V967&gt;Z967,"Yes","No")</f>
        <v>No</v>
      </c>
      <c r="AB967" s="12">
        <f>V967-Z967</f>
        <v>-35.173680000000004</v>
      </c>
      <c r="AC967" s="15" t="s">
        <v>130</v>
      </c>
      <c r="AD967" s="15" t="s">
        <v>131</v>
      </c>
      <c r="AE967" s="15" t="s">
        <v>132</v>
      </c>
      <c r="AF967" s="12">
        <f>IF(AG967="Rejected",0,IF(R967="Corporate Card",0,V967))</f>
        <v>39.826319999999996</v>
      </c>
      <c r="AG967" s="15" t="s">
        <v>133</v>
      </c>
      <c r="AH967" s="16">
        <v>45760</v>
      </c>
      <c r="AI967" s="16">
        <v>45767</v>
      </c>
      <c r="AJ967" s="16">
        <v>45776</v>
      </c>
      <c r="AK967" s="17">
        <f>IF(AJ967="","",AJ967-AH967)</f>
        <v>16</v>
      </c>
    </row>
    <row r="968" spans="1:37">
      <c r="A968" s="2" t="s">
        <v>1373</v>
      </c>
      <c r="B968" s="2" t="s">
        <v>1235</v>
      </c>
      <c r="C968" s="2" t="s">
        <v>867</v>
      </c>
      <c r="D968" s="2" t="s">
        <v>865</v>
      </c>
      <c r="E968" s="2" t="s">
        <v>1236</v>
      </c>
      <c r="F968" s="2" t="s">
        <v>313</v>
      </c>
      <c r="G968" s="2" t="s">
        <v>1314</v>
      </c>
      <c r="H968" s="2" t="s">
        <v>803</v>
      </c>
      <c r="I968" s="2" t="s">
        <v>123</v>
      </c>
      <c r="J968" s="2" t="s">
        <v>124</v>
      </c>
      <c r="K968" s="9">
        <v>45746</v>
      </c>
      <c r="L968" s="9">
        <v>45752</v>
      </c>
      <c r="M968" s="9">
        <v>45751</v>
      </c>
      <c r="N968" s="2" t="s">
        <v>1333</v>
      </c>
      <c r="O968" s="2" t="s">
        <v>55</v>
      </c>
      <c r="P968" s="2" t="s">
        <v>139</v>
      </c>
      <c r="Q968" s="2" t="s">
        <v>187</v>
      </c>
      <c r="R968" s="2" t="s">
        <v>149</v>
      </c>
      <c r="S968" s="2" t="s">
        <v>129</v>
      </c>
      <c r="T968" s="10">
        <v>14.56</v>
      </c>
      <c r="U968" s="11">
        <v>1.272</v>
      </c>
      <c r="V968" s="12">
        <f>T968*U968</f>
        <v>18.520320000000002</v>
      </c>
      <c r="W968" s="13">
        <v>0.2</v>
      </c>
      <c r="X968" s="12">
        <f>V968-(V968/(1+W968))</f>
        <v>3.0867199999999997</v>
      </c>
      <c r="Y968" s="12">
        <f>V968-X968</f>
        <v>15.433600000000002</v>
      </c>
      <c r="Z968" s="14">
        <v>35</v>
      </c>
      <c r="AA968" s="2" t="str">
        <f>IF(V968&gt;Z968,"Yes","No")</f>
        <v>No</v>
      </c>
      <c r="AB968" s="12">
        <f>V968-Z968</f>
        <v>-16.479679999999998</v>
      </c>
      <c r="AC968" s="15" t="s">
        <v>131</v>
      </c>
      <c r="AD968" s="15" t="s">
        <v>131</v>
      </c>
      <c r="AE968" s="15" t="s">
        <v>132</v>
      </c>
      <c r="AF968" s="12">
        <f>IF(AG968="Rejected",0,IF(R968="Corporate Card",0,V968))</f>
        <v>18.520320000000002</v>
      </c>
      <c r="AG968" s="15" t="s">
        <v>133</v>
      </c>
      <c r="AH968" s="16">
        <v>45760</v>
      </c>
      <c r="AI968" s="16">
        <v>45767</v>
      </c>
      <c r="AJ968" s="16">
        <v>45776</v>
      </c>
      <c r="AK968" s="17">
        <f>IF(AJ968="","",AJ968-AH968)</f>
        <v>16</v>
      </c>
    </row>
    <row r="969" spans="1:37">
      <c r="A969" s="2" t="s">
        <v>1374</v>
      </c>
      <c r="B969" s="2" t="s">
        <v>310</v>
      </c>
      <c r="C969" s="2" t="s">
        <v>311</v>
      </c>
      <c r="D969" s="2" t="s">
        <v>118</v>
      </c>
      <c r="E969" s="2" t="s">
        <v>312</v>
      </c>
      <c r="F969" s="2" t="s">
        <v>313</v>
      </c>
      <c r="G969" s="2" t="s">
        <v>1345</v>
      </c>
      <c r="H969" s="2" t="s">
        <v>254</v>
      </c>
      <c r="I969" s="2" t="s">
        <v>175</v>
      </c>
      <c r="J969" s="2" t="s">
        <v>176</v>
      </c>
      <c r="K969" s="9">
        <v>45749</v>
      </c>
      <c r="L969" s="9">
        <v>45757</v>
      </c>
      <c r="M969" s="9">
        <v>45752</v>
      </c>
      <c r="N969" s="2" t="s">
        <v>1333</v>
      </c>
      <c r="O969" s="2" t="s">
        <v>58</v>
      </c>
      <c r="P969" s="2" t="s">
        <v>142</v>
      </c>
      <c r="Q969" s="2" t="s">
        <v>203</v>
      </c>
      <c r="R969" s="2" t="s">
        <v>149</v>
      </c>
      <c r="S969" s="2" t="s">
        <v>179</v>
      </c>
      <c r="T969" s="10">
        <v>329.33</v>
      </c>
      <c r="U969" s="11">
        <v>0.18099999999999999</v>
      </c>
      <c r="V969" s="12">
        <f>T969*U969</f>
        <v>59.608729999999994</v>
      </c>
      <c r="W969" s="13">
        <v>0.17</v>
      </c>
      <c r="X969" s="12">
        <f>V969-(V969/(1+W969))</f>
        <v>8.6610975213675161</v>
      </c>
      <c r="Y969" s="12">
        <f>V969-X969</f>
        <v>50.947632478632478</v>
      </c>
      <c r="Z969" s="14">
        <v>60</v>
      </c>
      <c r="AA969" s="2" t="str">
        <f>IF(V969&gt;Z969,"Yes","No")</f>
        <v>No</v>
      </c>
      <c r="AB969" s="12">
        <f>V969-Z969</f>
        <v>-0.39127000000000578</v>
      </c>
      <c r="AC969" s="15" t="s">
        <v>130</v>
      </c>
      <c r="AD969" s="15" t="s">
        <v>130</v>
      </c>
      <c r="AE969" s="15" t="s">
        <v>421</v>
      </c>
      <c r="AF969" s="12">
        <f>IF(AG969="Rejected",0,IF(R969="Corporate Card",0,V969))</f>
        <v>59.608729999999994</v>
      </c>
      <c r="AG969" s="15" t="s">
        <v>133</v>
      </c>
      <c r="AH969" s="16">
        <v>45769</v>
      </c>
      <c r="AI969" s="16">
        <v>45770</v>
      </c>
      <c r="AJ969" s="16">
        <v>45778</v>
      </c>
      <c r="AK969" s="17">
        <f>IF(AJ969="","",AJ969-AH969)</f>
        <v>9</v>
      </c>
    </row>
    <row r="970" spans="1:37">
      <c r="A970" s="2" t="s">
        <v>1375</v>
      </c>
      <c r="B970" s="2" t="s">
        <v>310</v>
      </c>
      <c r="C970" s="2" t="s">
        <v>311</v>
      </c>
      <c r="D970" s="2" t="s">
        <v>118</v>
      </c>
      <c r="E970" s="2" t="s">
        <v>312</v>
      </c>
      <c r="F970" s="2" t="s">
        <v>313</v>
      </c>
      <c r="G970" s="2" t="s">
        <v>1345</v>
      </c>
      <c r="H970" s="2" t="s">
        <v>254</v>
      </c>
      <c r="I970" s="2" t="s">
        <v>175</v>
      </c>
      <c r="J970" s="2" t="s">
        <v>176</v>
      </c>
      <c r="K970" s="9">
        <v>45749</v>
      </c>
      <c r="L970" s="9">
        <v>45757</v>
      </c>
      <c r="M970" s="9">
        <v>45752</v>
      </c>
      <c r="N970" s="2" t="s">
        <v>1333</v>
      </c>
      <c r="O970" s="2" t="s">
        <v>68</v>
      </c>
      <c r="P970" s="2" t="s">
        <v>282</v>
      </c>
      <c r="Q970" s="2" t="s">
        <v>283</v>
      </c>
      <c r="R970" s="2" t="s">
        <v>128</v>
      </c>
      <c r="S970" s="2" t="s">
        <v>179</v>
      </c>
      <c r="T970" s="10">
        <v>161.32</v>
      </c>
      <c r="U970" s="11">
        <v>0.18099999999999999</v>
      </c>
      <c r="V970" s="12">
        <f>T970*U970</f>
        <v>29.198919999999998</v>
      </c>
      <c r="W970" s="13">
        <v>0.17</v>
      </c>
      <c r="X970" s="12">
        <f>V970-(V970/(1+W970))</f>
        <v>4.2425781196581163</v>
      </c>
      <c r="Y970" s="12">
        <f>V970-X970</f>
        <v>24.956341880341881</v>
      </c>
      <c r="Z970" s="14">
        <v>30</v>
      </c>
      <c r="AA970" s="2" t="str">
        <f>IF(V970&gt;Z970,"Yes","No")</f>
        <v>No</v>
      </c>
      <c r="AB970" s="12">
        <f>V970-Z970</f>
        <v>-0.80108000000000246</v>
      </c>
      <c r="AC970" s="15" t="s">
        <v>130</v>
      </c>
      <c r="AD970" s="15" t="s">
        <v>130</v>
      </c>
      <c r="AE970" s="15" t="s">
        <v>421</v>
      </c>
      <c r="AF970" s="12">
        <f>IF(AG970="Rejected",0,IF(R970="Corporate Card",0,V970))</f>
        <v>0</v>
      </c>
      <c r="AG970" s="15" t="s">
        <v>133</v>
      </c>
      <c r="AH970" s="16">
        <v>45769</v>
      </c>
      <c r="AI970" s="16">
        <v>45770</v>
      </c>
      <c r="AJ970" s="16">
        <v>45778</v>
      </c>
      <c r="AK970" s="17">
        <f>IF(AJ970="","",AJ970-AH970)</f>
        <v>9</v>
      </c>
    </row>
    <row r="971" spans="1:37">
      <c r="A971" s="2" t="s">
        <v>1376</v>
      </c>
      <c r="B971" s="2" t="s">
        <v>310</v>
      </c>
      <c r="C971" s="2" t="s">
        <v>311</v>
      </c>
      <c r="D971" s="2" t="s">
        <v>118</v>
      </c>
      <c r="E971" s="2" t="s">
        <v>312</v>
      </c>
      <c r="F971" s="2" t="s">
        <v>313</v>
      </c>
      <c r="G971" s="2" t="s">
        <v>1345</v>
      </c>
      <c r="H971" s="2" t="s">
        <v>254</v>
      </c>
      <c r="I971" s="2" t="s">
        <v>175</v>
      </c>
      <c r="J971" s="2" t="s">
        <v>176</v>
      </c>
      <c r="K971" s="9">
        <v>45749</v>
      </c>
      <c r="L971" s="9">
        <v>45757</v>
      </c>
      <c r="M971" s="9">
        <v>45752</v>
      </c>
      <c r="N971" s="2" t="s">
        <v>1333</v>
      </c>
      <c r="O971" s="2" t="s">
        <v>54</v>
      </c>
      <c r="P971" s="2" t="s">
        <v>139</v>
      </c>
      <c r="Q971" s="2" t="s">
        <v>140</v>
      </c>
      <c r="R971" s="2" t="s">
        <v>149</v>
      </c>
      <c r="S971" s="2" t="s">
        <v>179</v>
      </c>
      <c r="T971" s="10">
        <v>118.09</v>
      </c>
      <c r="U971" s="11">
        <v>0.18099999999999999</v>
      </c>
      <c r="V971" s="12">
        <f>T971*U971</f>
        <v>21.374289999999998</v>
      </c>
      <c r="W971" s="13">
        <v>0.17</v>
      </c>
      <c r="X971" s="12">
        <f>V971-(V971/(1+W971))</f>
        <v>3.1056660683760668</v>
      </c>
      <c r="Y971" s="12">
        <f>V971-X971</f>
        <v>18.268623931623932</v>
      </c>
      <c r="Z971" s="14">
        <v>25</v>
      </c>
      <c r="AA971" s="2" t="str">
        <f>IF(V971&gt;Z971,"Yes","No")</f>
        <v>No</v>
      </c>
      <c r="AB971" s="12">
        <f>V971-Z971</f>
        <v>-3.6257100000000015</v>
      </c>
      <c r="AC971" s="15" t="s">
        <v>130</v>
      </c>
      <c r="AD971" s="15" t="s">
        <v>130</v>
      </c>
      <c r="AE971" s="15" t="s">
        <v>421</v>
      </c>
      <c r="AF971" s="12">
        <f>IF(AG971="Rejected",0,IF(R971="Corporate Card",0,V971))</f>
        <v>21.374289999999998</v>
      </c>
      <c r="AG971" s="15" t="s">
        <v>133</v>
      </c>
      <c r="AH971" s="16">
        <v>45769</v>
      </c>
      <c r="AI971" s="16">
        <v>45770</v>
      </c>
      <c r="AJ971" s="16">
        <v>45778</v>
      </c>
      <c r="AK971" s="17">
        <f>IF(AJ971="","",AJ971-AH971)</f>
        <v>9</v>
      </c>
    </row>
    <row r="972" spans="1:37">
      <c r="A972" s="2" t="s">
        <v>1377</v>
      </c>
      <c r="B972" s="2" t="s">
        <v>310</v>
      </c>
      <c r="C972" s="2" t="s">
        <v>311</v>
      </c>
      <c r="D972" s="2" t="s">
        <v>118</v>
      </c>
      <c r="E972" s="2" t="s">
        <v>312</v>
      </c>
      <c r="F972" s="2" t="s">
        <v>313</v>
      </c>
      <c r="G972" s="2" t="s">
        <v>1345</v>
      </c>
      <c r="H972" s="2" t="s">
        <v>254</v>
      </c>
      <c r="I972" s="2" t="s">
        <v>175</v>
      </c>
      <c r="J972" s="2" t="s">
        <v>176</v>
      </c>
      <c r="K972" s="9">
        <v>45749</v>
      </c>
      <c r="L972" s="9">
        <v>45757</v>
      </c>
      <c r="M972" s="9">
        <v>45752</v>
      </c>
      <c r="N972" s="2" t="s">
        <v>1333</v>
      </c>
      <c r="O972" s="2" t="s">
        <v>56</v>
      </c>
      <c r="P972" s="2" t="s">
        <v>231</v>
      </c>
      <c r="Q972" s="2" t="s">
        <v>166</v>
      </c>
      <c r="R972" s="2" t="s">
        <v>128</v>
      </c>
      <c r="S972" s="2" t="s">
        <v>179</v>
      </c>
      <c r="T972" s="10">
        <v>357.41</v>
      </c>
      <c r="U972" s="11">
        <v>0.18099999999999999</v>
      </c>
      <c r="V972" s="12">
        <f>T972*U972</f>
        <v>64.691209999999998</v>
      </c>
      <c r="W972" s="13">
        <v>0.17</v>
      </c>
      <c r="X972" s="12">
        <f>V972-(V972/(1+W972))</f>
        <v>9.3995775213675188</v>
      </c>
      <c r="Y972" s="12">
        <f>V972-X972</f>
        <v>55.291632478632479</v>
      </c>
      <c r="Z972" s="14">
        <v>75</v>
      </c>
      <c r="AA972" s="2" t="str">
        <f>IF(V972&gt;Z972,"Yes","No")</f>
        <v>No</v>
      </c>
      <c r="AB972" s="12">
        <f>V972-Z972</f>
        <v>-10.308790000000002</v>
      </c>
      <c r="AC972" s="15" t="s">
        <v>130</v>
      </c>
      <c r="AD972" s="15" t="s">
        <v>130</v>
      </c>
      <c r="AE972" s="15" t="s">
        <v>421</v>
      </c>
      <c r="AF972" s="12">
        <f>IF(AG972="Rejected",0,IF(R972="Corporate Card",0,V972))</f>
        <v>0</v>
      </c>
      <c r="AG972" s="15" t="s">
        <v>133</v>
      </c>
      <c r="AH972" s="16">
        <v>45769</v>
      </c>
      <c r="AI972" s="16">
        <v>45770</v>
      </c>
      <c r="AJ972" s="16">
        <v>45778</v>
      </c>
      <c r="AK972" s="17">
        <f>IF(AJ972="","",AJ972-AH972)</f>
        <v>9</v>
      </c>
    </row>
    <row r="973" spans="1:37">
      <c r="A973" s="2" t="s">
        <v>1378</v>
      </c>
      <c r="B973" s="2" t="s">
        <v>310</v>
      </c>
      <c r="C973" s="2" t="s">
        <v>311</v>
      </c>
      <c r="D973" s="2" t="s">
        <v>118</v>
      </c>
      <c r="E973" s="2" t="s">
        <v>312</v>
      </c>
      <c r="F973" s="2" t="s">
        <v>313</v>
      </c>
      <c r="G973" s="2" t="s">
        <v>1345</v>
      </c>
      <c r="H973" s="2" t="s">
        <v>254</v>
      </c>
      <c r="I973" s="2" t="s">
        <v>175</v>
      </c>
      <c r="J973" s="2" t="s">
        <v>176</v>
      </c>
      <c r="K973" s="9">
        <v>45749</v>
      </c>
      <c r="L973" s="9">
        <v>45757</v>
      </c>
      <c r="M973" s="9">
        <v>45752</v>
      </c>
      <c r="N973" s="2" t="s">
        <v>1333</v>
      </c>
      <c r="O973" s="2" t="s">
        <v>55</v>
      </c>
      <c r="P973" s="2" t="s">
        <v>139</v>
      </c>
      <c r="Q973" s="2" t="s">
        <v>217</v>
      </c>
      <c r="R973" s="2" t="s">
        <v>137</v>
      </c>
      <c r="S973" s="2" t="s">
        <v>179</v>
      </c>
      <c r="T973" s="10">
        <v>115.33</v>
      </c>
      <c r="U973" s="11">
        <v>0.18099999999999999</v>
      </c>
      <c r="V973" s="12">
        <f>T973*U973</f>
        <v>20.87473</v>
      </c>
      <c r="W973" s="13">
        <v>0.17</v>
      </c>
      <c r="X973" s="12">
        <f>V973-(V973/(1+W973))</f>
        <v>3.033080427350427</v>
      </c>
      <c r="Y973" s="12">
        <f>V973-X973</f>
        <v>17.841649572649573</v>
      </c>
      <c r="Z973" s="14">
        <v>35</v>
      </c>
      <c r="AA973" s="2" t="str">
        <f>IF(V973&gt;Z973,"Yes","No")</f>
        <v>No</v>
      </c>
      <c r="AB973" s="12">
        <f>V973-Z973</f>
        <v>-14.12527</v>
      </c>
      <c r="AC973" s="15" t="s">
        <v>130</v>
      </c>
      <c r="AD973" s="15" t="s">
        <v>130</v>
      </c>
      <c r="AE973" s="15" t="s">
        <v>421</v>
      </c>
      <c r="AF973" s="12">
        <f>IF(AG973="Rejected",0,IF(R973="Corporate Card",0,V973))</f>
        <v>20.87473</v>
      </c>
      <c r="AG973" s="15" t="s">
        <v>133</v>
      </c>
      <c r="AH973" s="16">
        <v>45769</v>
      </c>
      <c r="AI973" s="16">
        <v>45770</v>
      </c>
      <c r="AJ973" s="16">
        <v>45778</v>
      </c>
      <c r="AK973" s="17">
        <f>IF(AJ973="","",AJ973-AH973)</f>
        <v>9</v>
      </c>
    </row>
    <row r="974" spans="1:37">
      <c r="A974" s="2" t="s">
        <v>1379</v>
      </c>
      <c r="B974" s="2" t="s">
        <v>1235</v>
      </c>
      <c r="C974" s="2" t="s">
        <v>867</v>
      </c>
      <c r="D974" s="2" t="s">
        <v>865</v>
      </c>
      <c r="E974" s="2" t="s">
        <v>1236</v>
      </c>
      <c r="F974" s="2" t="s">
        <v>313</v>
      </c>
      <c r="G974" s="2" t="s">
        <v>1314</v>
      </c>
      <c r="H974" s="2" t="s">
        <v>803</v>
      </c>
      <c r="I974" s="2" t="s">
        <v>123</v>
      </c>
      <c r="J974" s="2" t="s">
        <v>124</v>
      </c>
      <c r="K974" s="9">
        <v>45746</v>
      </c>
      <c r="L974" s="9">
        <v>45752</v>
      </c>
      <c r="M974" s="9">
        <v>45752</v>
      </c>
      <c r="N974" s="2" t="s">
        <v>1333</v>
      </c>
      <c r="O974" s="2" t="s">
        <v>58</v>
      </c>
      <c r="P974" s="2" t="s">
        <v>142</v>
      </c>
      <c r="Q974" s="2" t="s">
        <v>224</v>
      </c>
      <c r="R974" s="2" t="s">
        <v>128</v>
      </c>
      <c r="S974" s="2" t="s">
        <v>129</v>
      </c>
      <c r="T974" s="10">
        <v>22.87</v>
      </c>
      <c r="U974" s="11">
        <v>1.272</v>
      </c>
      <c r="V974" s="12">
        <f>T974*U974</f>
        <v>29.09064</v>
      </c>
      <c r="W974" s="13">
        <v>0.2</v>
      </c>
      <c r="X974" s="12">
        <f>V974-(V974/(1+W974))</f>
        <v>4.8484400000000001</v>
      </c>
      <c r="Y974" s="12">
        <f>V974-X974</f>
        <v>24.2422</v>
      </c>
      <c r="Z974" s="14">
        <v>60</v>
      </c>
      <c r="AA974" s="2" t="str">
        <f>IF(V974&gt;Z974,"Yes","No")</f>
        <v>No</v>
      </c>
      <c r="AB974" s="12">
        <f>V974-Z974</f>
        <v>-30.90936</v>
      </c>
      <c r="AC974" s="15" t="s">
        <v>130</v>
      </c>
      <c r="AD974" s="15" t="s">
        <v>131</v>
      </c>
      <c r="AE974" s="15" t="s">
        <v>132</v>
      </c>
      <c r="AF974" s="12">
        <f>IF(AG974="Rejected",0,IF(R974="Corporate Card",0,V974))</f>
        <v>0</v>
      </c>
      <c r="AG974" s="15" t="s">
        <v>133</v>
      </c>
      <c r="AH974" s="16">
        <v>45760</v>
      </c>
      <c r="AI974" s="16">
        <v>45767</v>
      </c>
      <c r="AJ974" s="16">
        <v>45776</v>
      </c>
      <c r="AK974" s="17">
        <f>IF(AJ974="","",AJ974-AH974)</f>
        <v>16</v>
      </c>
    </row>
    <row r="975" spans="1:37">
      <c r="A975" s="2" t="s">
        <v>1380</v>
      </c>
      <c r="B975" s="2" t="s">
        <v>1235</v>
      </c>
      <c r="C975" s="2" t="s">
        <v>867</v>
      </c>
      <c r="D975" s="2" t="s">
        <v>865</v>
      </c>
      <c r="E975" s="2" t="s">
        <v>1236</v>
      </c>
      <c r="F975" s="2" t="s">
        <v>313</v>
      </c>
      <c r="G975" s="2" t="s">
        <v>1314</v>
      </c>
      <c r="H975" s="2" t="s">
        <v>803</v>
      </c>
      <c r="I975" s="2" t="s">
        <v>123</v>
      </c>
      <c r="J975" s="2" t="s">
        <v>124</v>
      </c>
      <c r="K975" s="9">
        <v>45746</v>
      </c>
      <c r="L975" s="9">
        <v>45752</v>
      </c>
      <c r="M975" s="9">
        <v>45752</v>
      </c>
      <c r="N975" s="2" t="s">
        <v>1333</v>
      </c>
      <c r="O975" s="2" t="s">
        <v>54</v>
      </c>
      <c r="P975" s="2" t="s">
        <v>139</v>
      </c>
      <c r="Q975" s="2" t="s">
        <v>214</v>
      </c>
      <c r="R975" s="2" t="s">
        <v>149</v>
      </c>
      <c r="S975" s="2" t="s">
        <v>129</v>
      </c>
      <c r="T975" s="10">
        <v>19.37</v>
      </c>
      <c r="U975" s="11">
        <v>1.272</v>
      </c>
      <c r="V975" s="12">
        <f>T975*U975</f>
        <v>24.638640000000002</v>
      </c>
      <c r="W975" s="13">
        <v>0.2</v>
      </c>
      <c r="X975" s="12">
        <f>V975-(V975/(1+W975))</f>
        <v>4.1064399999999992</v>
      </c>
      <c r="Y975" s="12">
        <f>V975-X975</f>
        <v>20.532200000000003</v>
      </c>
      <c r="Z975" s="14">
        <v>25</v>
      </c>
      <c r="AA975" s="2" t="str">
        <f>IF(V975&gt;Z975,"Yes","No")</f>
        <v>No</v>
      </c>
      <c r="AB975" s="12">
        <f>V975-Z975</f>
        <v>-0.36135999999999768</v>
      </c>
      <c r="AC975" s="15" t="s">
        <v>130</v>
      </c>
      <c r="AD975" s="15" t="s">
        <v>131</v>
      </c>
      <c r="AE975" s="15" t="s">
        <v>132</v>
      </c>
      <c r="AF975" s="12">
        <f>IF(AG975="Rejected",0,IF(R975="Corporate Card",0,V975))</f>
        <v>24.638640000000002</v>
      </c>
      <c r="AG975" s="15" t="s">
        <v>133</v>
      </c>
      <c r="AH975" s="16">
        <v>45760</v>
      </c>
      <c r="AI975" s="16">
        <v>45767</v>
      </c>
      <c r="AJ975" s="16">
        <v>45776</v>
      </c>
      <c r="AK975" s="17">
        <f>IF(AJ975="","",AJ975-AH975)</f>
        <v>16</v>
      </c>
    </row>
    <row r="976" spans="1:37">
      <c r="A976" s="2" t="s">
        <v>1381</v>
      </c>
      <c r="B976" s="2" t="s">
        <v>1235</v>
      </c>
      <c r="C976" s="2" t="s">
        <v>867</v>
      </c>
      <c r="D976" s="2" t="s">
        <v>865</v>
      </c>
      <c r="E976" s="2" t="s">
        <v>1236</v>
      </c>
      <c r="F976" s="2" t="s">
        <v>313</v>
      </c>
      <c r="G976" s="2" t="s">
        <v>1314</v>
      </c>
      <c r="H976" s="2" t="s">
        <v>803</v>
      </c>
      <c r="I976" s="2" t="s">
        <v>123</v>
      </c>
      <c r="J976" s="2" t="s">
        <v>124</v>
      </c>
      <c r="K976" s="9">
        <v>45746</v>
      </c>
      <c r="L976" s="9">
        <v>45752</v>
      </c>
      <c r="M976" s="9">
        <v>45752</v>
      </c>
      <c r="N976" s="2" t="s">
        <v>1333</v>
      </c>
      <c r="O976" s="2" t="s">
        <v>56</v>
      </c>
      <c r="P976" s="2" t="s">
        <v>165</v>
      </c>
      <c r="Q976" s="2" t="s">
        <v>152</v>
      </c>
      <c r="R976" s="2" t="s">
        <v>128</v>
      </c>
      <c r="S976" s="2" t="s">
        <v>129</v>
      </c>
      <c r="T976" s="10">
        <v>26.96</v>
      </c>
      <c r="U976" s="11">
        <v>1.272</v>
      </c>
      <c r="V976" s="12">
        <f>T976*U976</f>
        <v>34.293120000000002</v>
      </c>
      <c r="W976" s="13">
        <v>0.2</v>
      </c>
      <c r="X976" s="12">
        <f>V976-(V976/(1+W976))</f>
        <v>5.7155199999999979</v>
      </c>
      <c r="Y976" s="12">
        <f>V976-X976</f>
        <v>28.577600000000004</v>
      </c>
      <c r="Z976" s="14">
        <v>75</v>
      </c>
      <c r="AA976" s="2" t="str">
        <f>IF(V976&gt;Z976,"Yes","No")</f>
        <v>No</v>
      </c>
      <c r="AB976" s="12">
        <f>V976-Z976</f>
        <v>-40.706879999999998</v>
      </c>
      <c r="AC976" s="15" t="s">
        <v>131</v>
      </c>
      <c r="AD976" s="15" t="s">
        <v>131</v>
      </c>
      <c r="AE976" s="15" t="s">
        <v>132</v>
      </c>
      <c r="AF976" s="12">
        <f>IF(AG976="Rejected",0,IF(R976="Corporate Card",0,V976))</f>
        <v>0</v>
      </c>
      <c r="AG976" s="15" t="s">
        <v>133</v>
      </c>
      <c r="AH976" s="16">
        <v>45760</v>
      </c>
      <c r="AI976" s="16">
        <v>45767</v>
      </c>
      <c r="AJ976" s="16">
        <v>45776</v>
      </c>
      <c r="AK976" s="17">
        <f>IF(AJ976="","",AJ976-AH976)</f>
        <v>16</v>
      </c>
    </row>
    <row r="977" spans="1:37">
      <c r="A977" s="2" t="s">
        <v>1382</v>
      </c>
      <c r="B977" s="2" t="s">
        <v>1235</v>
      </c>
      <c r="C977" s="2" t="s">
        <v>867</v>
      </c>
      <c r="D977" s="2" t="s">
        <v>865</v>
      </c>
      <c r="E977" s="2" t="s">
        <v>1236</v>
      </c>
      <c r="F977" s="2" t="s">
        <v>313</v>
      </c>
      <c r="G977" s="2" t="s">
        <v>1314</v>
      </c>
      <c r="H977" s="2" t="s">
        <v>803</v>
      </c>
      <c r="I977" s="2" t="s">
        <v>123</v>
      </c>
      <c r="J977" s="2" t="s">
        <v>124</v>
      </c>
      <c r="K977" s="9">
        <v>45746</v>
      </c>
      <c r="L977" s="9">
        <v>45752</v>
      </c>
      <c r="M977" s="9">
        <v>45752</v>
      </c>
      <c r="N977" s="2" t="s">
        <v>1333</v>
      </c>
      <c r="O977" s="2" t="s">
        <v>55</v>
      </c>
      <c r="P977" s="2" t="s">
        <v>139</v>
      </c>
      <c r="Q977" s="2" t="s">
        <v>217</v>
      </c>
      <c r="R977" s="2" t="s">
        <v>128</v>
      </c>
      <c r="S977" s="2" t="s">
        <v>129</v>
      </c>
      <c r="T977" s="10">
        <v>28.91</v>
      </c>
      <c r="U977" s="11">
        <v>1.272</v>
      </c>
      <c r="V977" s="12">
        <f>T977*U977</f>
        <v>36.773519999999998</v>
      </c>
      <c r="W977" s="13">
        <v>0.2</v>
      </c>
      <c r="X977" s="12">
        <f>V977-(V977/(1+W977))</f>
        <v>6.1289199999999973</v>
      </c>
      <c r="Y977" s="12">
        <f>V977-X977</f>
        <v>30.644600000000001</v>
      </c>
      <c r="Z977" s="14">
        <v>35</v>
      </c>
      <c r="AA977" s="2" t="str">
        <f>IF(V977&gt;Z977,"Yes","No")</f>
        <v>Yes</v>
      </c>
      <c r="AB977" s="12">
        <f>V977-Z977</f>
        <v>1.7735199999999978</v>
      </c>
      <c r="AC977" s="15" t="s">
        <v>130</v>
      </c>
      <c r="AD977" s="15" t="s">
        <v>131</v>
      </c>
      <c r="AE977" s="15" t="s">
        <v>132</v>
      </c>
      <c r="AF977" s="12">
        <f>IF(AG977="Rejected",0,IF(R977="Corporate Card",0,V977))</f>
        <v>0</v>
      </c>
      <c r="AG977" s="15" t="s">
        <v>133</v>
      </c>
      <c r="AH977" s="16">
        <v>45760</v>
      </c>
      <c r="AI977" s="16">
        <v>45767</v>
      </c>
      <c r="AJ977" s="16">
        <v>45776</v>
      </c>
      <c r="AK977" s="17">
        <f>IF(AJ977="","",AJ977-AH977)</f>
        <v>16</v>
      </c>
    </row>
    <row r="978" spans="1:37">
      <c r="A978" s="2" t="s">
        <v>1383</v>
      </c>
      <c r="B978" s="2" t="s">
        <v>248</v>
      </c>
      <c r="C978" s="2" t="s">
        <v>249</v>
      </c>
      <c r="D978" s="2" t="s">
        <v>250</v>
      </c>
      <c r="E978" s="2" t="s">
        <v>251</v>
      </c>
      <c r="F978" s="2" t="s">
        <v>252</v>
      </c>
      <c r="G978" s="2" t="s">
        <v>1384</v>
      </c>
      <c r="H978" s="2" t="s">
        <v>193</v>
      </c>
      <c r="I978" s="2" t="s">
        <v>1038</v>
      </c>
      <c r="J978" s="2" t="s">
        <v>381</v>
      </c>
      <c r="K978" s="9">
        <v>45753</v>
      </c>
      <c r="L978" s="9">
        <v>45761</v>
      </c>
      <c r="M978" s="9">
        <v>45753</v>
      </c>
      <c r="N978" s="2" t="s">
        <v>1333</v>
      </c>
      <c r="O978" s="2" t="s">
        <v>52</v>
      </c>
      <c r="P978" s="2" t="s">
        <v>1039</v>
      </c>
      <c r="Q978" s="2" t="s">
        <v>258</v>
      </c>
      <c r="R978" s="2" t="s">
        <v>128</v>
      </c>
      <c r="S978" s="2" t="s">
        <v>383</v>
      </c>
      <c r="T978" s="10">
        <v>1098</v>
      </c>
      <c r="U978" s="11">
        <v>1</v>
      </c>
      <c r="V978" s="12">
        <f>T978*U978</f>
        <v>1098</v>
      </c>
      <c r="W978" s="13">
        <v>0</v>
      </c>
      <c r="X978" s="12">
        <f>V978-(V978/(1+W978))</f>
        <v>0</v>
      </c>
      <c r="Y978" s="12">
        <f>V978-X978</f>
        <v>1098</v>
      </c>
      <c r="Z978" s="14">
        <v>1400</v>
      </c>
      <c r="AA978" s="2" t="str">
        <f>IF(V978&gt;Z978,"Yes","No")</f>
        <v>No</v>
      </c>
      <c r="AB978" s="12">
        <f>V978-Z978</f>
        <v>-302</v>
      </c>
      <c r="AC978" s="15" t="s">
        <v>130</v>
      </c>
      <c r="AD978" s="15" t="s">
        <v>130</v>
      </c>
      <c r="AE978" s="15" t="s">
        <v>858</v>
      </c>
      <c r="AF978" s="12">
        <f>IF(AG978="Rejected",0,IF(R978="Corporate Card",0,V978))</f>
        <v>0</v>
      </c>
      <c r="AG978" s="15" t="s">
        <v>133</v>
      </c>
      <c r="AH978" s="16">
        <v>45762</v>
      </c>
      <c r="AI978" s="16">
        <v>45769</v>
      </c>
      <c r="AJ978" s="16">
        <v>45774</v>
      </c>
      <c r="AK978" s="17">
        <f>IF(AJ978="","",AJ978-AH978)</f>
        <v>12</v>
      </c>
    </row>
    <row r="979" spans="1:37">
      <c r="A979" s="2" t="s">
        <v>1385</v>
      </c>
      <c r="B979" s="2" t="s">
        <v>248</v>
      </c>
      <c r="C979" s="2" t="s">
        <v>249</v>
      </c>
      <c r="D979" s="2" t="s">
        <v>250</v>
      </c>
      <c r="E979" s="2" t="s">
        <v>251</v>
      </c>
      <c r="F979" s="2" t="s">
        <v>252</v>
      </c>
      <c r="G979" s="2" t="s">
        <v>1384</v>
      </c>
      <c r="H979" s="2" t="s">
        <v>193</v>
      </c>
      <c r="I979" s="2" t="s">
        <v>1038</v>
      </c>
      <c r="J979" s="2" t="s">
        <v>381</v>
      </c>
      <c r="K979" s="9">
        <v>45753</v>
      </c>
      <c r="L979" s="9">
        <v>45761</v>
      </c>
      <c r="M979" s="9">
        <v>45753</v>
      </c>
      <c r="N979" s="2" t="s">
        <v>1333</v>
      </c>
      <c r="O979" s="2" t="s">
        <v>63</v>
      </c>
      <c r="P979" s="2" t="s">
        <v>200</v>
      </c>
      <c r="Q979" s="2" t="s">
        <v>1347</v>
      </c>
      <c r="R979" s="2" t="s">
        <v>128</v>
      </c>
      <c r="S979" s="2" t="s">
        <v>383</v>
      </c>
      <c r="T979" s="10">
        <v>957.4</v>
      </c>
      <c r="U979" s="11">
        <v>1</v>
      </c>
      <c r="V979" s="12">
        <f>T979*U979</f>
        <v>957.4</v>
      </c>
      <c r="W979" s="13">
        <v>0</v>
      </c>
      <c r="X979" s="12">
        <f>V979-(V979/(1+W979))</f>
        <v>0</v>
      </c>
      <c r="Y979" s="12">
        <f>V979-X979</f>
        <v>957.4</v>
      </c>
      <c r="Z979" s="14">
        <v>1200</v>
      </c>
      <c r="AA979" s="2" t="str">
        <f>IF(V979&gt;Z979,"Yes","No")</f>
        <v>No</v>
      </c>
      <c r="AB979" s="12">
        <f>V979-Z979</f>
        <v>-242.60000000000002</v>
      </c>
      <c r="AC979" s="15" t="s">
        <v>130</v>
      </c>
      <c r="AD979" s="15" t="s">
        <v>130</v>
      </c>
      <c r="AE979" s="15" t="s">
        <v>858</v>
      </c>
      <c r="AF979" s="12">
        <f>IF(AG979="Rejected",0,IF(R979="Corporate Card",0,V979))</f>
        <v>0</v>
      </c>
      <c r="AG979" s="15" t="s">
        <v>133</v>
      </c>
      <c r="AH979" s="16">
        <v>45762</v>
      </c>
      <c r="AI979" s="16">
        <v>45769</v>
      </c>
      <c r="AJ979" s="16">
        <v>45774</v>
      </c>
      <c r="AK979" s="17">
        <f>IF(AJ979="","",AJ979-AH979)</f>
        <v>12</v>
      </c>
    </row>
    <row r="980" spans="1:37">
      <c r="A980" s="2" t="s">
        <v>1386</v>
      </c>
      <c r="B980" s="2" t="s">
        <v>248</v>
      </c>
      <c r="C980" s="2" t="s">
        <v>249</v>
      </c>
      <c r="D980" s="2" t="s">
        <v>250</v>
      </c>
      <c r="E980" s="2" t="s">
        <v>251</v>
      </c>
      <c r="F980" s="2" t="s">
        <v>252</v>
      </c>
      <c r="G980" s="2" t="s">
        <v>1384</v>
      </c>
      <c r="H980" s="2" t="s">
        <v>193</v>
      </c>
      <c r="I980" s="2" t="s">
        <v>1038</v>
      </c>
      <c r="J980" s="2" t="s">
        <v>381</v>
      </c>
      <c r="K980" s="9">
        <v>45753</v>
      </c>
      <c r="L980" s="9">
        <v>45761</v>
      </c>
      <c r="M980" s="9">
        <v>45753</v>
      </c>
      <c r="N980" s="2" t="s">
        <v>1333</v>
      </c>
      <c r="O980" s="2" t="s">
        <v>54</v>
      </c>
      <c r="P980" s="2" t="s">
        <v>139</v>
      </c>
      <c r="Q980" s="2" t="s">
        <v>148</v>
      </c>
      <c r="R980" s="2" t="s">
        <v>149</v>
      </c>
      <c r="S980" s="2" t="s">
        <v>383</v>
      </c>
      <c r="T980" s="10">
        <v>22.6</v>
      </c>
      <c r="U980" s="11">
        <v>1</v>
      </c>
      <c r="V980" s="12">
        <f>T980*U980</f>
        <v>22.6</v>
      </c>
      <c r="W980" s="13">
        <v>0</v>
      </c>
      <c r="X980" s="12">
        <f>V980-(V980/(1+W980))</f>
        <v>0</v>
      </c>
      <c r="Y980" s="12">
        <f>V980-X980</f>
        <v>22.6</v>
      </c>
      <c r="Z980" s="14">
        <v>25</v>
      </c>
      <c r="AA980" s="2" t="str">
        <f>IF(V980&gt;Z980,"Yes","No")</f>
        <v>No</v>
      </c>
      <c r="AB980" s="12">
        <f>V980-Z980</f>
        <v>-2.3999999999999986</v>
      </c>
      <c r="AC980" s="15" t="s">
        <v>130</v>
      </c>
      <c r="AD980" s="15" t="s">
        <v>130</v>
      </c>
      <c r="AE980" s="15" t="s">
        <v>858</v>
      </c>
      <c r="AF980" s="12">
        <f>IF(AG980="Rejected",0,IF(R980="Corporate Card",0,V980))</f>
        <v>22.6</v>
      </c>
      <c r="AG980" s="15" t="s">
        <v>133</v>
      </c>
      <c r="AH980" s="16">
        <v>45762</v>
      </c>
      <c r="AI980" s="16">
        <v>45769</v>
      </c>
      <c r="AJ980" s="16">
        <v>45774</v>
      </c>
      <c r="AK980" s="17">
        <f>IF(AJ980="","",AJ980-AH980)</f>
        <v>12</v>
      </c>
    </row>
    <row r="981" spans="1:37">
      <c r="A981" s="2" t="s">
        <v>1387</v>
      </c>
      <c r="B981" s="2" t="s">
        <v>310</v>
      </c>
      <c r="C981" s="2" t="s">
        <v>311</v>
      </c>
      <c r="D981" s="2" t="s">
        <v>118</v>
      </c>
      <c r="E981" s="2" t="s">
        <v>312</v>
      </c>
      <c r="F981" s="2" t="s">
        <v>313</v>
      </c>
      <c r="G981" s="2" t="s">
        <v>1345</v>
      </c>
      <c r="H981" s="2" t="s">
        <v>254</v>
      </c>
      <c r="I981" s="2" t="s">
        <v>175</v>
      </c>
      <c r="J981" s="2" t="s">
        <v>176</v>
      </c>
      <c r="K981" s="9">
        <v>45749</v>
      </c>
      <c r="L981" s="9">
        <v>45757</v>
      </c>
      <c r="M981" s="9">
        <v>45753</v>
      </c>
      <c r="N981" s="2" t="s">
        <v>1333</v>
      </c>
      <c r="O981" s="2" t="s">
        <v>54</v>
      </c>
      <c r="P981" s="2" t="s">
        <v>139</v>
      </c>
      <c r="Q981" s="2" t="s">
        <v>214</v>
      </c>
      <c r="R981" s="2" t="s">
        <v>128</v>
      </c>
      <c r="S981" s="2" t="s">
        <v>179</v>
      </c>
      <c r="T981" s="10">
        <v>84.16</v>
      </c>
      <c r="U981" s="11">
        <v>0.18099999999999999</v>
      </c>
      <c r="V981" s="12">
        <f>T981*U981</f>
        <v>15.232959999999999</v>
      </c>
      <c r="W981" s="13">
        <v>0.17</v>
      </c>
      <c r="X981" s="12">
        <f>V981-(V981/(1+W981))</f>
        <v>2.2133360683760674</v>
      </c>
      <c r="Y981" s="12">
        <f>V981-X981</f>
        <v>13.019623931623931</v>
      </c>
      <c r="Z981" s="14">
        <v>25</v>
      </c>
      <c r="AA981" s="2" t="str">
        <f>IF(V981&gt;Z981,"Yes","No")</f>
        <v>No</v>
      </c>
      <c r="AB981" s="12">
        <f>V981-Z981</f>
        <v>-9.7670400000000015</v>
      </c>
      <c r="AC981" s="15" t="s">
        <v>130</v>
      </c>
      <c r="AD981" s="15" t="s">
        <v>130</v>
      </c>
      <c r="AE981" s="15" t="s">
        <v>421</v>
      </c>
      <c r="AF981" s="12">
        <f>IF(AG981="Rejected",0,IF(R981="Corporate Card",0,V981))</f>
        <v>0</v>
      </c>
      <c r="AG981" s="15" t="s">
        <v>133</v>
      </c>
      <c r="AH981" s="16">
        <v>45769</v>
      </c>
      <c r="AI981" s="16">
        <v>45770</v>
      </c>
      <c r="AJ981" s="16">
        <v>45778</v>
      </c>
      <c r="AK981" s="17">
        <f>IF(AJ981="","",AJ981-AH981)</f>
        <v>9</v>
      </c>
    </row>
    <row r="982" spans="1:37">
      <c r="A982" s="2" t="s">
        <v>1388</v>
      </c>
      <c r="B982" s="2" t="s">
        <v>310</v>
      </c>
      <c r="C982" s="2" t="s">
        <v>311</v>
      </c>
      <c r="D982" s="2" t="s">
        <v>118</v>
      </c>
      <c r="E982" s="2" t="s">
        <v>312</v>
      </c>
      <c r="F982" s="2" t="s">
        <v>313</v>
      </c>
      <c r="G982" s="2" t="s">
        <v>1345</v>
      </c>
      <c r="H982" s="2" t="s">
        <v>254</v>
      </c>
      <c r="I982" s="2" t="s">
        <v>175</v>
      </c>
      <c r="J982" s="2" t="s">
        <v>176</v>
      </c>
      <c r="K982" s="9">
        <v>45749</v>
      </c>
      <c r="L982" s="9">
        <v>45757</v>
      </c>
      <c r="M982" s="9">
        <v>45753</v>
      </c>
      <c r="N982" s="2" t="s">
        <v>1333</v>
      </c>
      <c r="O982" s="2" t="s">
        <v>55</v>
      </c>
      <c r="P982" s="2" t="s">
        <v>139</v>
      </c>
      <c r="Q982" s="2" t="s">
        <v>187</v>
      </c>
      <c r="R982" s="2" t="s">
        <v>137</v>
      </c>
      <c r="S982" s="2" t="s">
        <v>179</v>
      </c>
      <c r="T982" s="10">
        <v>164.24</v>
      </c>
      <c r="U982" s="11">
        <v>0.18099999999999999</v>
      </c>
      <c r="V982" s="12">
        <f>T982*U982</f>
        <v>29.727440000000001</v>
      </c>
      <c r="W982" s="13">
        <v>0.17</v>
      </c>
      <c r="X982" s="12">
        <f>V982-(V982/(1+W982))</f>
        <v>4.3193716239316231</v>
      </c>
      <c r="Y982" s="12">
        <f>V982-X982</f>
        <v>25.408068376068378</v>
      </c>
      <c r="Z982" s="14">
        <v>35</v>
      </c>
      <c r="AA982" s="2" t="str">
        <f>IF(V982&gt;Z982,"Yes","No")</f>
        <v>No</v>
      </c>
      <c r="AB982" s="12">
        <f>V982-Z982</f>
        <v>-5.2725599999999986</v>
      </c>
      <c r="AC982" s="15" t="s">
        <v>130</v>
      </c>
      <c r="AD982" s="15" t="s">
        <v>130</v>
      </c>
      <c r="AE982" s="15" t="s">
        <v>421</v>
      </c>
      <c r="AF982" s="12">
        <f>IF(AG982="Rejected",0,IF(R982="Corporate Card",0,V982))</f>
        <v>29.727440000000001</v>
      </c>
      <c r="AG982" s="15" t="s">
        <v>133</v>
      </c>
      <c r="AH982" s="16">
        <v>45769</v>
      </c>
      <c r="AI982" s="16">
        <v>45770</v>
      </c>
      <c r="AJ982" s="16">
        <v>45778</v>
      </c>
      <c r="AK982" s="17">
        <f>IF(AJ982="","",AJ982-AH982)</f>
        <v>9</v>
      </c>
    </row>
    <row r="983" spans="1:37">
      <c r="A983" s="2" t="s">
        <v>1389</v>
      </c>
      <c r="B983" s="2" t="s">
        <v>412</v>
      </c>
      <c r="C983" s="2" t="s">
        <v>413</v>
      </c>
      <c r="D983" s="2" t="s">
        <v>414</v>
      </c>
      <c r="E983" s="2" t="s">
        <v>415</v>
      </c>
      <c r="F983" s="2" t="s">
        <v>313</v>
      </c>
      <c r="G983" s="2" t="s">
        <v>1390</v>
      </c>
      <c r="H983" s="2" t="s">
        <v>803</v>
      </c>
      <c r="I983" s="2" t="s">
        <v>194</v>
      </c>
      <c r="J983" s="2" t="s">
        <v>195</v>
      </c>
      <c r="K983" s="9">
        <v>45753</v>
      </c>
      <c r="L983" s="9">
        <v>45754</v>
      </c>
      <c r="M983" s="9">
        <v>45753</v>
      </c>
      <c r="N983" s="2" t="s">
        <v>1333</v>
      </c>
      <c r="O983" s="2" t="s">
        <v>52</v>
      </c>
      <c r="P983" s="2" t="s">
        <v>196</v>
      </c>
      <c r="Q983" s="2" t="s">
        <v>197</v>
      </c>
      <c r="R983" s="2" t="s">
        <v>128</v>
      </c>
      <c r="S983" s="2" t="s">
        <v>198</v>
      </c>
      <c r="T983" s="10">
        <v>1397.72</v>
      </c>
      <c r="U983" s="11">
        <v>1.085</v>
      </c>
      <c r="V983" s="12">
        <f>T983*U983</f>
        <v>1516.5262</v>
      </c>
      <c r="W983" s="13">
        <v>0</v>
      </c>
      <c r="X983" s="12">
        <f>V983-(V983/(1+W983))</f>
        <v>0</v>
      </c>
      <c r="Y983" s="12">
        <f>V983-X983</f>
        <v>1516.5262</v>
      </c>
      <c r="Z983" s="14">
        <v>1400</v>
      </c>
      <c r="AA983" s="2" t="str">
        <f>IF(V983&gt;Z983,"Yes","No")</f>
        <v>Yes</v>
      </c>
      <c r="AB983" s="12">
        <f>V983-Z983</f>
        <v>116.52620000000002</v>
      </c>
      <c r="AC983" s="15" t="s">
        <v>130</v>
      </c>
      <c r="AD983" s="15" t="s">
        <v>131</v>
      </c>
      <c r="AE983" s="15" t="s">
        <v>858</v>
      </c>
      <c r="AF983" s="12">
        <f>IF(AG983="Rejected",0,IF(R983="Corporate Card",0,V983))</f>
        <v>0</v>
      </c>
      <c r="AG983" s="15" t="s">
        <v>133</v>
      </c>
      <c r="AH983" s="16">
        <v>45758</v>
      </c>
      <c r="AI983" s="16">
        <v>45762</v>
      </c>
      <c r="AJ983" s="16">
        <v>45776</v>
      </c>
      <c r="AK983" s="17">
        <f>IF(AJ983="","",AJ983-AH983)</f>
        <v>18</v>
      </c>
    </row>
    <row r="984" spans="1:37">
      <c r="A984" s="2" t="s">
        <v>1391</v>
      </c>
      <c r="B984" s="2" t="s">
        <v>412</v>
      </c>
      <c r="C984" s="2" t="s">
        <v>413</v>
      </c>
      <c r="D984" s="2" t="s">
        <v>414</v>
      </c>
      <c r="E984" s="2" t="s">
        <v>415</v>
      </c>
      <c r="F984" s="2" t="s">
        <v>313</v>
      </c>
      <c r="G984" s="2" t="s">
        <v>1390</v>
      </c>
      <c r="H984" s="2" t="s">
        <v>803</v>
      </c>
      <c r="I984" s="2" t="s">
        <v>194</v>
      </c>
      <c r="J984" s="2" t="s">
        <v>195</v>
      </c>
      <c r="K984" s="9">
        <v>45753</v>
      </c>
      <c r="L984" s="9">
        <v>45754</v>
      </c>
      <c r="M984" s="9">
        <v>45753</v>
      </c>
      <c r="N984" s="2" t="s">
        <v>1333</v>
      </c>
      <c r="O984" s="2" t="s">
        <v>64</v>
      </c>
      <c r="P984" s="2" t="s">
        <v>135</v>
      </c>
      <c r="Q984" s="2" t="s">
        <v>513</v>
      </c>
      <c r="R984" s="2" t="s">
        <v>128</v>
      </c>
      <c r="S984" s="2" t="s">
        <v>198</v>
      </c>
      <c r="T984" s="10">
        <v>87.31</v>
      </c>
      <c r="U984" s="11">
        <v>1.085</v>
      </c>
      <c r="V984" s="12">
        <f>T984*U984</f>
        <v>94.731350000000006</v>
      </c>
      <c r="W984" s="13">
        <v>0</v>
      </c>
      <c r="X984" s="12">
        <f>V984-(V984/(1+W984))</f>
        <v>0</v>
      </c>
      <c r="Y984" s="12">
        <f>V984-X984</f>
        <v>94.731350000000006</v>
      </c>
      <c r="Z984" s="14">
        <v>120</v>
      </c>
      <c r="AA984" s="2" t="str">
        <f>IF(V984&gt;Z984,"Yes","No")</f>
        <v>No</v>
      </c>
      <c r="AB984" s="12">
        <f>V984-Z984</f>
        <v>-25.268649999999994</v>
      </c>
      <c r="AC984" s="15" t="s">
        <v>130</v>
      </c>
      <c r="AD984" s="15" t="s">
        <v>131</v>
      </c>
      <c r="AE984" s="15" t="s">
        <v>858</v>
      </c>
      <c r="AF984" s="12">
        <f>IF(AG984="Rejected",0,IF(R984="Corporate Card",0,V984))</f>
        <v>0</v>
      </c>
      <c r="AG984" s="15" t="s">
        <v>133</v>
      </c>
      <c r="AH984" s="16">
        <v>45758</v>
      </c>
      <c r="AI984" s="16">
        <v>45762</v>
      </c>
      <c r="AJ984" s="16">
        <v>45776</v>
      </c>
      <c r="AK984" s="17">
        <f>IF(AJ984="","",AJ984-AH984)</f>
        <v>18</v>
      </c>
    </row>
    <row r="985" spans="1:37">
      <c r="A985" s="2" t="s">
        <v>1392</v>
      </c>
      <c r="B985" s="2" t="s">
        <v>412</v>
      </c>
      <c r="C985" s="2" t="s">
        <v>413</v>
      </c>
      <c r="D985" s="2" t="s">
        <v>414</v>
      </c>
      <c r="E985" s="2" t="s">
        <v>415</v>
      </c>
      <c r="F985" s="2" t="s">
        <v>313</v>
      </c>
      <c r="G985" s="2" t="s">
        <v>1390</v>
      </c>
      <c r="H985" s="2" t="s">
        <v>803</v>
      </c>
      <c r="I985" s="2" t="s">
        <v>194</v>
      </c>
      <c r="J985" s="2" t="s">
        <v>195</v>
      </c>
      <c r="K985" s="9">
        <v>45753</v>
      </c>
      <c r="L985" s="9">
        <v>45754</v>
      </c>
      <c r="M985" s="9">
        <v>45753</v>
      </c>
      <c r="N985" s="2" t="s">
        <v>1333</v>
      </c>
      <c r="O985" s="2" t="s">
        <v>58</v>
      </c>
      <c r="P985" s="2" t="s">
        <v>142</v>
      </c>
      <c r="Q985" s="2" t="s">
        <v>203</v>
      </c>
      <c r="R985" s="2" t="s">
        <v>137</v>
      </c>
      <c r="S985" s="2" t="s">
        <v>198</v>
      </c>
      <c r="T985" s="10">
        <v>33.630000000000003</v>
      </c>
      <c r="U985" s="11">
        <v>1.085</v>
      </c>
      <c r="V985" s="12">
        <f>T985*U985</f>
        <v>36.488550000000004</v>
      </c>
      <c r="W985" s="13">
        <v>0.19</v>
      </c>
      <c r="X985" s="12">
        <f>V985-(V985/(1+W985))</f>
        <v>5.8259029411764693</v>
      </c>
      <c r="Y985" s="12">
        <f>V985-X985</f>
        <v>30.662647058823534</v>
      </c>
      <c r="Z985" s="14">
        <v>60</v>
      </c>
      <c r="AA985" s="2" t="str">
        <f>IF(V985&gt;Z985,"Yes","No")</f>
        <v>No</v>
      </c>
      <c r="AB985" s="12">
        <f>V985-Z985</f>
        <v>-23.511449999999996</v>
      </c>
      <c r="AC985" s="15" t="s">
        <v>131</v>
      </c>
      <c r="AD985" s="15" t="s">
        <v>131</v>
      </c>
      <c r="AE985" s="15" t="s">
        <v>858</v>
      </c>
      <c r="AF985" s="12">
        <f>IF(AG985="Rejected",0,IF(R985="Corporate Card",0,V985))</f>
        <v>36.488550000000004</v>
      </c>
      <c r="AG985" s="15" t="s">
        <v>133</v>
      </c>
      <c r="AH985" s="16">
        <v>45758</v>
      </c>
      <c r="AI985" s="16">
        <v>45762</v>
      </c>
      <c r="AJ985" s="16">
        <v>45776</v>
      </c>
      <c r="AK985" s="17">
        <f>IF(AJ985="","",AJ985-AH985)</f>
        <v>18</v>
      </c>
    </row>
    <row r="986" spans="1:37">
      <c r="A986" s="2" t="s">
        <v>1393</v>
      </c>
      <c r="B986" s="2" t="s">
        <v>412</v>
      </c>
      <c r="C986" s="2" t="s">
        <v>413</v>
      </c>
      <c r="D986" s="2" t="s">
        <v>414</v>
      </c>
      <c r="E986" s="2" t="s">
        <v>415</v>
      </c>
      <c r="F986" s="2" t="s">
        <v>313</v>
      </c>
      <c r="G986" s="2" t="s">
        <v>1390</v>
      </c>
      <c r="H986" s="2" t="s">
        <v>803</v>
      </c>
      <c r="I986" s="2" t="s">
        <v>194</v>
      </c>
      <c r="J986" s="2" t="s">
        <v>195</v>
      </c>
      <c r="K986" s="9">
        <v>45753</v>
      </c>
      <c r="L986" s="9">
        <v>45754</v>
      </c>
      <c r="M986" s="9">
        <v>45753</v>
      </c>
      <c r="N986" s="2" t="s">
        <v>1333</v>
      </c>
      <c r="O986" s="2" t="s">
        <v>54</v>
      </c>
      <c r="P986" s="2" t="s">
        <v>139</v>
      </c>
      <c r="Q986" s="2" t="s">
        <v>163</v>
      </c>
      <c r="R986" s="2" t="s">
        <v>149</v>
      </c>
      <c r="S986" s="2" t="s">
        <v>198</v>
      </c>
      <c r="T986" s="10">
        <v>18.05</v>
      </c>
      <c r="U986" s="11">
        <v>1.085</v>
      </c>
      <c r="V986" s="12">
        <f>T986*U986</f>
        <v>19.584250000000001</v>
      </c>
      <c r="W986" s="13">
        <v>0.19</v>
      </c>
      <c r="X986" s="12">
        <f>V986-(V986/(1+W986))</f>
        <v>3.1268970588235305</v>
      </c>
      <c r="Y986" s="12">
        <f>V986-X986</f>
        <v>16.45735294117647</v>
      </c>
      <c r="Z986" s="14">
        <v>25</v>
      </c>
      <c r="AA986" s="2" t="str">
        <f>IF(V986&gt;Z986,"Yes","No")</f>
        <v>No</v>
      </c>
      <c r="AB986" s="12">
        <f>V986-Z986</f>
        <v>-5.4157499999999992</v>
      </c>
      <c r="AC986" s="15" t="s">
        <v>130</v>
      </c>
      <c r="AD986" s="15" t="s">
        <v>131</v>
      </c>
      <c r="AE986" s="15" t="s">
        <v>858</v>
      </c>
      <c r="AF986" s="12">
        <f>IF(AG986="Rejected",0,IF(R986="Corporate Card",0,V986))</f>
        <v>19.584250000000001</v>
      </c>
      <c r="AG986" s="15" t="s">
        <v>133</v>
      </c>
      <c r="AH986" s="16">
        <v>45758</v>
      </c>
      <c r="AI986" s="16">
        <v>45762</v>
      </c>
      <c r="AJ986" s="16">
        <v>45776</v>
      </c>
      <c r="AK986" s="17">
        <f>IF(AJ986="","",AJ986-AH986)</f>
        <v>18</v>
      </c>
    </row>
    <row r="987" spans="1:37">
      <c r="A987" s="2" t="s">
        <v>1394</v>
      </c>
      <c r="B987" s="2" t="s">
        <v>412</v>
      </c>
      <c r="C987" s="2" t="s">
        <v>413</v>
      </c>
      <c r="D987" s="2" t="s">
        <v>414</v>
      </c>
      <c r="E987" s="2" t="s">
        <v>415</v>
      </c>
      <c r="F987" s="2" t="s">
        <v>313</v>
      </c>
      <c r="G987" s="2" t="s">
        <v>1390</v>
      </c>
      <c r="H987" s="2" t="s">
        <v>803</v>
      </c>
      <c r="I987" s="2" t="s">
        <v>194</v>
      </c>
      <c r="J987" s="2" t="s">
        <v>195</v>
      </c>
      <c r="K987" s="9">
        <v>45753</v>
      </c>
      <c r="L987" s="9">
        <v>45754</v>
      </c>
      <c r="M987" s="9">
        <v>45753</v>
      </c>
      <c r="N987" s="2" t="s">
        <v>1333</v>
      </c>
      <c r="O987" s="2" t="s">
        <v>56</v>
      </c>
      <c r="P987" s="2" t="s">
        <v>151</v>
      </c>
      <c r="Q987" s="2" t="s">
        <v>227</v>
      </c>
      <c r="R987" s="2" t="s">
        <v>137</v>
      </c>
      <c r="S987" s="2" t="s">
        <v>198</v>
      </c>
      <c r="T987" s="10">
        <v>41.29</v>
      </c>
      <c r="U987" s="11">
        <v>1.085</v>
      </c>
      <c r="V987" s="12">
        <f>T987*U987</f>
        <v>44.79965</v>
      </c>
      <c r="W987" s="13">
        <v>0.19</v>
      </c>
      <c r="X987" s="12">
        <f>V987-(V987/(1+W987))</f>
        <v>7.1528852941176453</v>
      </c>
      <c r="Y987" s="12">
        <f>V987-X987</f>
        <v>37.646764705882354</v>
      </c>
      <c r="Z987" s="14">
        <v>75</v>
      </c>
      <c r="AA987" s="2" t="str">
        <f>IF(V987&gt;Z987,"Yes","No")</f>
        <v>No</v>
      </c>
      <c r="AB987" s="12">
        <f>V987-Z987</f>
        <v>-30.20035</v>
      </c>
      <c r="AC987" s="15" t="s">
        <v>130</v>
      </c>
      <c r="AD987" s="15" t="s">
        <v>131</v>
      </c>
      <c r="AE987" s="15" t="s">
        <v>858</v>
      </c>
      <c r="AF987" s="12">
        <f>IF(AG987="Rejected",0,IF(R987="Corporate Card",0,V987))</f>
        <v>44.79965</v>
      </c>
      <c r="AG987" s="15" t="s">
        <v>133</v>
      </c>
      <c r="AH987" s="16">
        <v>45758</v>
      </c>
      <c r="AI987" s="16">
        <v>45762</v>
      </c>
      <c r="AJ987" s="16">
        <v>45776</v>
      </c>
      <c r="AK987" s="17">
        <f>IF(AJ987="","",AJ987-AH987)</f>
        <v>18</v>
      </c>
    </row>
    <row r="988" spans="1:37">
      <c r="A988" s="2" t="s">
        <v>1395</v>
      </c>
      <c r="B988" s="2" t="s">
        <v>248</v>
      </c>
      <c r="C988" s="2" t="s">
        <v>249</v>
      </c>
      <c r="D988" s="2" t="s">
        <v>250</v>
      </c>
      <c r="E988" s="2" t="s">
        <v>251</v>
      </c>
      <c r="F988" s="2" t="s">
        <v>252</v>
      </c>
      <c r="G988" s="2" t="s">
        <v>1384</v>
      </c>
      <c r="H988" s="2" t="s">
        <v>193</v>
      </c>
      <c r="I988" s="2" t="s">
        <v>1038</v>
      </c>
      <c r="J988" s="2" t="s">
        <v>381</v>
      </c>
      <c r="K988" s="9">
        <v>45753</v>
      </c>
      <c r="L988" s="9">
        <v>45761</v>
      </c>
      <c r="M988" s="9">
        <v>45754</v>
      </c>
      <c r="N988" s="2" t="s">
        <v>1333</v>
      </c>
      <c r="O988" s="2" t="s">
        <v>60</v>
      </c>
      <c r="P988" s="2" t="s">
        <v>1055</v>
      </c>
      <c r="Q988" s="2" t="s">
        <v>955</v>
      </c>
      <c r="R988" s="2" t="s">
        <v>149</v>
      </c>
      <c r="S988" s="2" t="s">
        <v>383</v>
      </c>
      <c r="T988" s="10">
        <v>660.52</v>
      </c>
      <c r="U988" s="11">
        <v>1</v>
      </c>
      <c r="V988" s="12">
        <f>T988*U988</f>
        <v>660.52</v>
      </c>
      <c r="W988" s="13">
        <v>0</v>
      </c>
      <c r="X988" s="12">
        <f>V988-(V988/(1+W988))</f>
        <v>0</v>
      </c>
      <c r="Y988" s="12">
        <f>V988-X988</f>
        <v>660.52</v>
      </c>
      <c r="Z988" s="14">
        <v>960</v>
      </c>
      <c r="AA988" s="2" t="str">
        <f>IF(V988&gt;Z988,"Yes","No")</f>
        <v>No</v>
      </c>
      <c r="AB988" s="12">
        <f>V988-Z988</f>
        <v>-299.48</v>
      </c>
      <c r="AC988" s="15" t="s">
        <v>131</v>
      </c>
      <c r="AD988" s="15" t="s">
        <v>130</v>
      </c>
      <c r="AE988" s="15" t="s">
        <v>858</v>
      </c>
      <c r="AF988" s="12">
        <f>IF(AG988="Rejected",0,IF(R988="Corporate Card",0,V988))</f>
        <v>660.52</v>
      </c>
      <c r="AG988" s="15" t="s">
        <v>133</v>
      </c>
      <c r="AH988" s="16">
        <v>45762</v>
      </c>
      <c r="AI988" s="16">
        <v>45769</v>
      </c>
      <c r="AJ988" s="16">
        <v>45774</v>
      </c>
      <c r="AK988" s="17">
        <f>IF(AJ988="","",AJ988-AH988)</f>
        <v>12</v>
      </c>
    </row>
    <row r="989" spans="1:37">
      <c r="A989" s="2" t="s">
        <v>1396</v>
      </c>
      <c r="B989" s="2" t="s">
        <v>248</v>
      </c>
      <c r="C989" s="2" t="s">
        <v>249</v>
      </c>
      <c r="D989" s="2" t="s">
        <v>250</v>
      </c>
      <c r="E989" s="2" t="s">
        <v>251</v>
      </c>
      <c r="F989" s="2" t="s">
        <v>252</v>
      </c>
      <c r="G989" s="2" t="s">
        <v>1384</v>
      </c>
      <c r="H989" s="2" t="s">
        <v>193</v>
      </c>
      <c r="I989" s="2" t="s">
        <v>1038</v>
      </c>
      <c r="J989" s="2" t="s">
        <v>381</v>
      </c>
      <c r="K989" s="9">
        <v>45753</v>
      </c>
      <c r="L989" s="9">
        <v>45761</v>
      </c>
      <c r="M989" s="9">
        <v>45754</v>
      </c>
      <c r="N989" s="2" t="s">
        <v>1333</v>
      </c>
      <c r="O989" s="2" t="s">
        <v>59</v>
      </c>
      <c r="P989" s="2" t="s">
        <v>301</v>
      </c>
      <c r="Q989" s="2" t="s">
        <v>1000</v>
      </c>
      <c r="R989" s="2" t="s">
        <v>128</v>
      </c>
      <c r="S989" s="2" t="s">
        <v>383</v>
      </c>
      <c r="T989" s="10">
        <v>190.98</v>
      </c>
      <c r="U989" s="11">
        <v>1</v>
      </c>
      <c r="V989" s="12">
        <f>T989*U989</f>
        <v>190.98</v>
      </c>
      <c r="W989" s="13">
        <v>0</v>
      </c>
      <c r="X989" s="12">
        <f>V989-(V989/(1+W989))</f>
        <v>0</v>
      </c>
      <c r="Y989" s="12">
        <f>V989-X989</f>
        <v>190.98</v>
      </c>
      <c r="Z989" s="14">
        <v>150</v>
      </c>
      <c r="AA989" s="2" t="str">
        <f>IF(V989&gt;Z989,"Yes","No")</f>
        <v>Yes</v>
      </c>
      <c r="AB989" s="12">
        <f>V989-Z989</f>
        <v>40.97999999999999</v>
      </c>
      <c r="AC989" s="15" t="s">
        <v>130</v>
      </c>
      <c r="AD989" s="15" t="s">
        <v>130</v>
      </c>
      <c r="AE989" s="15" t="s">
        <v>858</v>
      </c>
      <c r="AF989" s="12">
        <f>IF(AG989="Rejected",0,IF(R989="Corporate Card",0,V989))</f>
        <v>0</v>
      </c>
      <c r="AG989" s="15" t="s">
        <v>133</v>
      </c>
      <c r="AH989" s="16">
        <v>45762</v>
      </c>
      <c r="AI989" s="16">
        <v>45769</v>
      </c>
      <c r="AJ989" s="16">
        <v>45774</v>
      </c>
      <c r="AK989" s="17">
        <f>IF(AJ989="","",AJ989-AH989)</f>
        <v>12</v>
      </c>
    </row>
    <row r="990" spans="1:37">
      <c r="A990" s="2" t="s">
        <v>1397</v>
      </c>
      <c r="B990" s="2" t="s">
        <v>248</v>
      </c>
      <c r="C990" s="2" t="s">
        <v>249</v>
      </c>
      <c r="D990" s="2" t="s">
        <v>250</v>
      </c>
      <c r="E990" s="2" t="s">
        <v>251</v>
      </c>
      <c r="F990" s="2" t="s">
        <v>252</v>
      </c>
      <c r="G990" s="2" t="s">
        <v>1384</v>
      </c>
      <c r="H990" s="2" t="s">
        <v>193</v>
      </c>
      <c r="I990" s="2" t="s">
        <v>1038</v>
      </c>
      <c r="J990" s="2" t="s">
        <v>381</v>
      </c>
      <c r="K990" s="9">
        <v>45753</v>
      </c>
      <c r="L990" s="9">
        <v>45761</v>
      </c>
      <c r="M990" s="9">
        <v>45754</v>
      </c>
      <c r="N990" s="2" t="s">
        <v>1333</v>
      </c>
      <c r="O990" s="2" t="s">
        <v>58</v>
      </c>
      <c r="P990" s="2" t="s">
        <v>142</v>
      </c>
      <c r="Q990" s="2" t="s">
        <v>143</v>
      </c>
      <c r="R990" s="2" t="s">
        <v>128</v>
      </c>
      <c r="S990" s="2" t="s">
        <v>383</v>
      </c>
      <c r="T990" s="10">
        <v>21.71</v>
      </c>
      <c r="U990" s="11">
        <v>1</v>
      </c>
      <c r="V990" s="12">
        <f>T990*U990</f>
        <v>21.71</v>
      </c>
      <c r="W990" s="13">
        <v>0</v>
      </c>
      <c r="X990" s="12">
        <f>V990-(V990/(1+W990))</f>
        <v>0</v>
      </c>
      <c r="Y990" s="12">
        <f>V990-X990</f>
        <v>21.71</v>
      </c>
      <c r="Z990" s="14">
        <v>60</v>
      </c>
      <c r="AA990" s="2" t="str">
        <f>IF(V990&gt;Z990,"Yes","No")</f>
        <v>No</v>
      </c>
      <c r="AB990" s="12">
        <f>V990-Z990</f>
        <v>-38.29</v>
      </c>
      <c r="AC990" s="15" t="s">
        <v>130</v>
      </c>
      <c r="AD990" s="15" t="s">
        <v>130</v>
      </c>
      <c r="AE990" s="15" t="s">
        <v>858</v>
      </c>
      <c r="AF990" s="12">
        <f>IF(AG990="Rejected",0,IF(R990="Corporate Card",0,V990))</f>
        <v>0</v>
      </c>
      <c r="AG990" s="15" t="s">
        <v>133</v>
      </c>
      <c r="AH990" s="16">
        <v>45762</v>
      </c>
      <c r="AI990" s="16">
        <v>45769</v>
      </c>
      <c r="AJ990" s="16">
        <v>45774</v>
      </c>
      <c r="AK990" s="17">
        <f>IF(AJ990="","",AJ990-AH990)</f>
        <v>12</v>
      </c>
    </row>
    <row r="991" spans="1:37">
      <c r="A991" s="2" t="s">
        <v>1398</v>
      </c>
      <c r="B991" s="2" t="s">
        <v>248</v>
      </c>
      <c r="C991" s="2" t="s">
        <v>249</v>
      </c>
      <c r="D991" s="2" t="s">
        <v>250</v>
      </c>
      <c r="E991" s="2" t="s">
        <v>251</v>
      </c>
      <c r="F991" s="2" t="s">
        <v>252</v>
      </c>
      <c r="G991" s="2" t="s">
        <v>1384</v>
      </c>
      <c r="H991" s="2" t="s">
        <v>193</v>
      </c>
      <c r="I991" s="2" t="s">
        <v>1038</v>
      </c>
      <c r="J991" s="2" t="s">
        <v>381</v>
      </c>
      <c r="K991" s="9">
        <v>45753</v>
      </c>
      <c r="L991" s="9">
        <v>45761</v>
      </c>
      <c r="M991" s="9">
        <v>45754</v>
      </c>
      <c r="N991" s="2" t="s">
        <v>1333</v>
      </c>
      <c r="O991" s="2" t="s">
        <v>53</v>
      </c>
      <c r="P991" s="2" t="s">
        <v>669</v>
      </c>
      <c r="Q991" s="2" t="s">
        <v>146</v>
      </c>
      <c r="R991" s="2" t="s">
        <v>128</v>
      </c>
      <c r="S991" s="2" t="s">
        <v>383</v>
      </c>
      <c r="T991" s="10">
        <v>1396.35</v>
      </c>
      <c r="U991" s="11">
        <v>1</v>
      </c>
      <c r="V991" s="12">
        <f>T991*U991</f>
        <v>1396.35</v>
      </c>
      <c r="W991" s="13">
        <v>0</v>
      </c>
      <c r="X991" s="12">
        <f>V991-(V991/(1+W991))</f>
        <v>0</v>
      </c>
      <c r="Y991" s="12">
        <f>V991-X991</f>
        <v>1396.35</v>
      </c>
      <c r="Z991" s="14">
        <v>2240</v>
      </c>
      <c r="AA991" s="2" t="str">
        <f>IF(V991&gt;Z991,"Yes","No")</f>
        <v>No</v>
      </c>
      <c r="AB991" s="12">
        <f>V991-Z991</f>
        <v>-843.65000000000009</v>
      </c>
      <c r="AC991" s="15" t="s">
        <v>130</v>
      </c>
      <c r="AD991" s="15" t="s">
        <v>130</v>
      </c>
      <c r="AE991" s="15" t="s">
        <v>858</v>
      </c>
      <c r="AF991" s="12">
        <f>IF(AG991="Rejected",0,IF(R991="Corporate Card",0,V991))</f>
        <v>0</v>
      </c>
      <c r="AG991" s="15" t="s">
        <v>133</v>
      </c>
      <c r="AH991" s="16">
        <v>45762</v>
      </c>
      <c r="AI991" s="16">
        <v>45769</v>
      </c>
      <c r="AJ991" s="16">
        <v>45774</v>
      </c>
      <c r="AK991" s="17">
        <f>IF(AJ991="","",AJ991-AH991)</f>
        <v>12</v>
      </c>
    </row>
    <row r="992" spans="1:37">
      <c r="A992" s="2" t="s">
        <v>1399</v>
      </c>
      <c r="B992" s="2" t="s">
        <v>248</v>
      </c>
      <c r="C992" s="2" t="s">
        <v>249</v>
      </c>
      <c r="D992" s="2" t="s">
        <v>250</v>
      </c>
      <c r="E992" s="2" t="s">
        <v>251</v>
      </c>
      <c r="F992" s="2" t="s">
        <v>252</v>
      </c>
      <c r="G992" s="2" t="s">
        <v>1384</v>
      </c>
      <c r="H992" s="2" t="s">
        <v>193</v>
      </c>
      <c r="I992" s="2" t="s">
        <v>1038</v>
      </c>
      <c r="J992" s="2" t="s">
        <v>381</v>
      </c>
      <c r="K992" s="9">
        <v>45753</v>
      </c>
      <c r="L992" s="9">
        <v>45761</v>
      </c>
      <c r="M992" s="9">
        <v>45754</v>
      </c>
      <c r="N992" s="2" t="s">
        <v>1333</v>
      </c>
      <c r="O992" s="2" t="s">
        <v>54</v>
      </c>
      <c r="P992" s="2" t="s">
        <v>139</v>
      </c>
      <c r="Q992" s="2" t="s">
        <v>140</v>
      </c>
      <c r="R992" s="2" t="s">
        <v>137</v>
      </c>
      <c r="S992" s="2" t="s">
        <v>383</v>
      </c>
      <c r="T992" s="10">
        <v>32.65</v>
      </c>
      <c r="U992" s="11">
        <v>1</v>
      </c>
      <c r="V992" s="12">
        <f>T992*U992</f>
        <v>32.65</v>
      </c>
      <c r="W992" s="13">
        <v>0</v>
      </c>
      <c r="X992" s="12">
        <f>V992-(V992/(1+W992))</f>
        <v>0</v>
      </c>
      <c r="Y992" s="12">
        <f>V992-X992</f>
        <v>32.65</v>
      </c>
      <c r="Z992" s="14">
        <v>25</v>
      </c>
      <c r="AA992" s="2" t="str">
        <f>IF(V992&gt;Z992,"Yes","No")</f>
        <v>Yes</v>
      </c>
      <c r="AB992" s="12">
        <f>V992-Z992</f>
        <v>7.6499999999999986</v>
      </c>
      <c r="AC992" s="15" t="s">
        <v>130</v>
      </c>
      <c r="AD992" s="15" t="s">
        <v>130</v>
      </c>
      <c r="AE992" s="15" t="s">
        <v>858</v>
      </c>
      <c r="AF992" s="12">
        <f>IF(AG992="Rejected",0,IF(R992="Corporate Card",0,V992))</f>
        <v>32.65</v>
      </c>
      <c r="AG992" s="15" t="s">
        <v>133</v>
      </c>
      <c r="AH992" s="16">
        <v>45762</v>
      </c>
      <c r="AI992" s="16">
        <v>45769</v>
      </c>
      <c r="AJ992" s="16">
        <v>45774</v>
      </c>
      <c r="AK992" s="17">
        <f>IF(AJ992="","",AJ992-AH992)</f>
        <v>12</v>
      </c>
    </row>
    <row r="993" spans="1:37">
      <c r="A993" s="2" t="s">
        <v>1400</v>
      </c>
      <c r="B993" s="2" t="s">
        <v>248</v>
      </c>
      <c r="C993" s="2" t="s">
        <v>249</v>
      </c>
      <c r="D993" s="2" t="s">
        <v>250</v>
      </c>
      <c r="E993" s="2" t="s">
        <v>251</v>
      </c>
      <c r="F993" s="2" t="s">
        <v>252</v>
      </c>
      <c r="G993" s="2" t="s">
        <v>1384</v>
      </c>
      <c r="H993" s="2" t="s">
        <v>193</v>
      </c>
      <c r="I993" s="2" t="s">
        <v>1038</v>
      </c>
      <c r="J993" s="2" t="s">
        <v>381</v>
      </c>
      <c r="K993" s="9">
        <v>45753</v>
      </c>
      <c r="L993" s="9">
        <v>45761</v>
      </c>
      <c r="M993" s="9">
        <v>45754</v>
      </c>
      <c r="N993" s="2" t="s">
        <v>1333</v>
      </c>
      <c r="O993" s="2" t="s">
        <v>55</v>
      </c>
      <c r="P993" s="2" t="s">
        <v>139</v>
      </c>
      <c r="Q993" s="2" t="s">
        <v>154</v>
      </c>
      <c r="R993" s="2" t="s">
        <v>149</v>
      </c>
      <c r="S993" s="2" t="s">
        <v>383</v>
      </c>
      <c r="T993" s="10">
        <v>20.65</v>
      </c>
      <c r="U993" s="11">
        <v>1</v>
      </c>
      <c r="V993" s="12">
        <f>T993*U993</f>
        <v>20.65</v>
      </c>
      <c r="W993" s="13">
        <v>0</v>
      </c>
      <c r="X993" s="12">
        <f>V993-(V993/(1+W993))</f>
        <v>0</v>
      </c>
      <c r="Y993" s="12">
        <f>V993-X993</f>
        <v>20.65</v>
      </c>
      <c r="Z993" s="14">
        <v>35</v>
      </c>
      <c r="AA993" s="2" t="str">
        <f>IF(V993&gt;Z993,"Yes","No")</f>
        <v>No</v>
      </c>
      <c r="AB993" s="12">
        <f>V993-Z993</f>
        <v>-14.350000000000001</v>
      </c>
      <c r="AC993" s="15" t="s">
        <v>130</v>
      </c>
      <c r="AD993" s="15" t="s">
        <v>130</v>
      </c>
      <c r="AE993" s="15" t="s">
        <v>858</v>
      </c>
      <c r="AF993" s="12">
        <f>IF(AG993="Rejected",0,IF(R993="Corporate Card",0,V993))</f>
        <v>20.65</v>
      </c>
      <c r="AG993" s="15" t="s">
        <v>133</v>
      </c>
      <c r="AH993" s="16">
        <v>45762</v>
      </c>
      <c r="AI993" s="16">
        <v>45769</v>
      </c>
      <c r="AJ993" s="16">
        <v>45774</v>
      </c>
      <c r="AK993" s="17">
        <f>IF(AJ993="","",AJ993-AH993)</f>
        <v>12</v>
      </c>
    </row>
    <row r="994" spans="1:37">
      <c r="A994" s="2" t="s">
        <v>1401</v>
      </c>
      <c r="B994" s="2" t="s">
        <v>310</v>
      </c>
      <c r="C994" s="2" t="s">
        <v>311</v>
      </c>
      <c r="D994" s="2" t="s">
        <v>118</v>
      </c>
      <c r="E994" s="2" t="s">
        <v>312</v>
      </c>
      <c r="F994" s="2" t="s">
        <v>313</v>
      </c>
      <c r="G994" s="2" t="s">
        <v>1345</v>
      </c>
      <c r="H994" s="2" t="s">
        <v>254</v>
      </c>
      <c r="I994" s="2" t="s">
        <v>175</v>
      </c>
      <c r="J994" s="2" t="s">
        <v>176</v>
      </c>
      <c r="K994" s="9">
        <v>45749</v>
      </c>
      <c r="L994" s="9">
        <v>45757</v>
      </c>
      <c r="M994" s="9">
        <v>45754</v>
      </c>
      <c r="N994" s="2" t="s">
        <v>1333</v>
      </c>
      <c r="O994" s="2" t="s">
        <v>58</v>
      </c>
      <c r="P994" s="2" t="s">
        <v>142</v>
      </c>
      <c r="Q994" s="2" t="s">
        <v>296</v>
      </c>
      <c r="R994" s="2" t="s">
        <v>137</v>
      </c>
      <c r="S994" s="2" t="s">
        <v>179</v>
      </c>
      <c r="T994" s="10">
        <v>285.63</v>
      </c>
      <c r="U994" s="11">
        <v>0.18099999999999999</v>
      </c>
      <c r="V994" s="12">
        <f>T994*U994</f>
        <v>51.69903</v>
      </c>
      <c r="W994" s="13">
        <v>0.17</v>
      </c>
      <c r="X994" s="12">
        <f>V994-(V994/(1+W994))</f>
        <v>7.5118248717948717</v>
      </c>
      <c r="Y994" s="12">
        <f>V994-X994</f>
        <v>44.187205128205129</v>
      </c>
      <c r="Z994" s="14">
        <v>60</v>
      </c>
      <c r="AA994" s="2" t="str">
        <f>IF(V994&gt;Z994,"Yes","No")</f>
        <v>No</v>
      </c>
      <c r="AB994" s="12">
        <f>V994-Z994</f>
        <v>-8.3009699999999995</v>
      </c>
      <c r="AC994" s="15" t="s">
        <v>130</v>
      </c>
      <c r="AD994" s="15" t="s">
        <v>130</v>
      </c>
      <c r="AE994" s="15" t="s">
        <v>421</v>
      </c>
      <c r="AF994" s="12">
        <f>IF(AG994="Rejected",0,IF(R994="Corporate Card",0,V994))</f>
        <v>51.69903</v>
      </c>
      <c r="AG994" s="15" t="s">
        <v>133</v>
      </c>
      <c r="AH994" s="16">
        <v>45769</v>
      </c>
      <c r="AI994" s="16">
        <v>45770</v>
      </c>
      <c r="AJ994" s="16">
        <v>45778</v>
      </c>
      <c r="AK994" s="17">
        <f>IF(AJ994="","",AJ994-AH994)</f>
        <v>9</v>
      </c>
    </row>
    <row r="995" spans="1:37">
      <c r="A995" s="2" t="s">
        <v>1402</v>
      </c>
      <c r="B995" s="2" t="s">
        <v>310</v>
      </c>
      <c r="C995" s="2" t="s">
        <v>311</v>
      </c>
      <c r="D995" s="2" t="s">
        <v>118</v>
      </c>
      <c r="E995" s="2" t="s">
        <v>312</v>
      </c>
      <c r="F995" s="2" t="s">
        <v>313</v>
      </c>
      <c r="G995" s="2" t="s">
        <v>1345</v>
      </c>
      <c r="H995" s="2" t="s">
        <v>254</v>
      </c>
      <c r="I995" s="2" t="s">
        <v>175</v>
      </c>
      <c r="J995" s="2" t="s">
        <v>176</v>
      </c>
      <c r="K995" s="9">
        <v>45749</v>
      </c>
      <c r="L995" s="9">
        <v>45757</v>
      </c>
      <c r="M995" s="9">
        <v>45754</v>
      </c>
      <c r="N995" s="2" t="s">
        <v>1333</v>
      </c>
      <c r="O995" s="2" t="s">
        <v>54</v>
      </c>
      <c r="P995" s="2" t="s">
        <v>139</v>
      </c>
      <c r="Q995" s="2" t="s">
        <v>148</v>
      </c>
      <c r="R995" s="2" t="s">
        <v>149</v>
      </c>
      <c r="S995" s="2" t="s">
        <v>179</v>
      </c>
      <c r="T995" s="10">
        <v>66.53</v>
      </c>
      <c r="U995" s="11">
        <v>0.18099999999999999</v>
      </c>
      <c r="V995" s="12">
        <f>T995*U995</f>
        <v>12.041930000000001</v>
      </c>
      <c r="W995" s="13">
        <v>0.17</v>
      </c>
      <c r="X995" s="12">
        <f>V995-(V995/(1+W995))</f>
        <v>1.7496821367521367</v>
      </c>
      <c r="Y995" s="12">
        <f>V995-X995</f>
        <v>10.292247863247864</v>
      </c>
      <c r="Z995" s="14">
        <v>25</v>
      </c>
      <c r="AA995" s="2" t="str">
        <f>IF(V995&gt;Z995,"Yes","No")</f>
        <v>No</v>
      </c>
      <c r="AB995" s="12">
        <f>V995-Z995</f>
        <v>-12.958069999999999</v>
      </c>
      <c r="AC995" s="15" t="s">
        <v>130</v>
      </c>
      <c r="AD995" s="15" t="s">
        <v>130</v>
      </c>
      <c r="AE995" s="15" t="s">
        <v>421</v>
      </c>
      <c r="AF995" s="12">
        <f>IF(AG995="Rejected",0,IF(R995="Corporate Card",0,V995))</f>
        <v>12.041930000000001</v>
      </c>
      <c r="AG995" s="15" t="s">
        <v>133</v>
      </c>
      <c r="AH995" s="16">
        <v>45769</v>
      </c>
      <c r="AI995" s="16">
        <v>45770</v>
      </c>
      <c r="AJ995" s="16">
        <v>45778</v>
      </c>
      <c r="AK995" s="17">
        <f>IF(AJ995="","",AJ995-AH995)</f>
        <v>9</v>
      </c>
    </row>
    <row r="996" spans="1:37">
      <c r="A996" s="2" t="s">
        <v>1403</v>
      </c>
      <c r="B996" s="2" t="s">
        <v>310</v>
      </c>
      <c r="C996" s="2" t="s">
        <v>311</v>
      </c>
      <c r="D996" s="2" t="s">
        <v>118</v>
      </c>
      <c r="E996" s="2" t="s">
        <v>312</v>
      </c>
      <c r="F996" s="2" t="s">
        <v>313</v>
      </c>
      <c r="G996" s="2" t="s">
        <v>1345</v>
      </c>
      <c r="H996" s="2" t="s">
        <v>254</v>
      </c>
      <c r="I996" s="2" t="s">
        <v>175</v>
      </c>
      <c r="J996" s="2" t="s">
        <v>176</v>
      </c>
      <c r="K996" s="9">
        <v>45749</v>
      </c>
      <c r="L996" s="9">
        <v>45757</v>
      </c>
      <c r="M996" s="9">
        <v>45754</v>
      </c>
      <c r="N996" s="2" t="s">
        <v>1333</v>
      </c>
      <c r="O996" s="2" t="s">
        <v>56</v>
      </c>
      <c r="P996" s="2" t="s">
        <v>245</v>
      </c>
      <c r="Q996" s="2" t="s">
        <v>166</v>
      </c>
      <c r="R996" s="2" t="s">
        <v>128</v>
      </c>
      <c r="S996" s="2" t="s">
        <v>179</v>
      </c>
      <c r="T996" s="10">
        <v>319.35000000000002</v>
      </c>
      <c r="U996" s="11">
        <v>0.18099999999999999</v>
      </c>
      <c r="V996" s="12">
        <f>T996*U996</f>
        <v>57.802350000000004</v>
      </c>
      <c r="W996" s="13">
        <v>0.17</v>
      </c>
      <c r="X996" s="12">
        <f>V996-(V996/(1+W996))</f>
        <v>8.3986320512820498</v>
      </c>
      <c r="Y996" s="12">
        <f>V996-X996</f>
        <v>49.403717948717954</v>
      </c>
      <c r="Z996" s="14">
        <v>75</v>
      </c>
      <c r="AA996" s="2" t="str">
        <f>IF(V996&gt;Z996,"Yes","No")</f>
        <v>No</v>
      </c>
      <c r="AB996" s="12">
        <f>V996-Z996</f>
        <v>-17.197649999999996</v>
      </c>
      <c r="AC996" s="15" t="s">
        <v>130</v>
      </c>
      <c r="AD996" s="15" t="s">
        <v>130</v>
      </c>
      <c r="AE996" s="15" t="s">
        <v>421</v>
      </c>
      <c r="AF996" s="12">
        <f>IF(AG996="Rejected",0,IF(R996="Corporate Card",0,V996))</f>
        <v>0</v>
      </c>
      <c r="AG996" s="15" t="s">
        <v>133</v>
      </c>
      <c r="AH996" s="16">
        <v>45769</v>
      </c>
      <c r="AI996" s="16">
        <v>45770</v>
      </c>
      <c r="AJ996" s="16">
        <v>45778</v>
      </c>
      <c r="AK996" s="17">
        <f>IF(AJ996="","",AJ996-AH996)</f>
        <v>9</v>
      </c>
    </row>
    <row r="997" spans="1:37">
      <c r="A997" s="2" t="s">
        <v>1404</v>
      </c>
      <c r="B997" s="2" t="s">
        <v>310</v>
      </c>
      <c r="C997" s="2" t="s">
        <v>311</v>
      </c>
      <c r="D997" s="2" t="s">
        <v>118</v>
      </c>
      <c r="E997" s="2" t="s">
        <v>312</v>
      </c>
      <c r="F997" s="2" t="s">
        <v>313</v>
      </c>
      <c r="G997" s="2" t="s">
        <v>1345</v>
      </c>
      <c r="H997" s="2" t="s">
        <v>254</v>
      </c>
      <c r="I997" s="2" t="s">
        <v>175</v>
      </c>
      <c r="J997" s="2" t="s">
        <v>176</v>
      </c>
      <c r="K997" s="9">
        <v>45749</v>
      </c>
      <c r="L997" s="9">
        <v>45757</v>
      </c>
      <c r="M997" s="9">
        <v>45754</v>
      </c>
      <c r="N997" s="2" t="s">
        <v>1333</v>
      </c>
      <c r="O997" s="2" t="s">
        <v>55</v>
      </c>
      <c r="P997" s="2" t="s">
        <v>139</v>
      </c>
      <c r="Q997" s="2" t="s">
        <v>187</v>
      </c>
      <c r="R997" s="2" t="s">
        <v>128</v>
      </c>
      <c r="S997" s="2" t="s">
        <v>179</v>
      </c>
      <c r="T997" s="10">
        <v>117.43</v>
      </c>
      <c r="U997" s="11">
        <v>0.18099999999999999</v>
      </c>
      <c r="V997" s="12">
        <f>T997*U997</f>
        <v>21.254830000000002</v>
      </c>
      <c r="W997" s="13">
        <v>0.17</v>
      </c>
      <c r="X997" s="12">
        <f>V997-(V997/(1+W997))</f>
        <v>3.0883086324786326</v>
      </c>
      <c r="Y997" s="12">
        <f>V997-X997</f>
        <v>18.166521367521369</v>
      </c>
      <c r="Z997" s="14">
        <v>35</v>
      </c>
      <c r="AA997" s="2" t="str">
        <f>IF(V997&gt;Z997,"Yes","No")</f>
        <v>No</v>
      </c>
      <c r="AB997" s="12">
        <f>V997-Z997</f>
        <v>-13.745169999999998</v>
      </c>
      <c r="AC997" s="15" t="s">
        <v>130</v>
      </c>
      <c r="AD997" s="15" t="s">
        <v>130</v>
      </c>
      <c r="AE997" s="15" t="s">
        <v>421</v>
      </c>
      <c r="AF997" s="12">
        <f>IF(AG997="Rejected",0,IF(R997="Corporate Card",0,V997))</f>
        <v>0</v>
      </c>
      <c r="AG997" s="15" t="s">
        <v>133</v>
      </c>
      <c r="AH997" s="16">
        <v>45769</v>
      </c>
      <c r="AI997" s="16">
        <v>45770</v>
      </c>
      <c r="AJ997" s="16">
        <v>45778</v>
      </c>
      <c r="AK997" s="17">
        <f>IF(AJ997="","",AJ997-AH997)</f>
        <v>9</v>
      </c>
    </row>
    <row r="998" spans="1:37">
      <c r="A998" s="2" t="s">
        <v>1405</v>
      </c>
      <c r="B998" s="2" t="s">
        <v>412</v>
      </c>
      <c r="C998" s="2" t="s">
        <v>413</v>
      </c>
      <c r="D998" s="2" t="s">
        <v>414</v>
      </c>
      <c r="E998" s="2" t="s">
        <v>415</v>
      </c>
      <c r="F998" s="2" t="s">
        <v>313</v>
      </c>
      <c r="G998" s="2" t="s">
        <v>1390</v>
      </c>
      <c r="H998" s="2" t="s">
        <v>803</v>
      </c>
      <c r="I998" s="2" t="s">
        <v>194</v>
      </c>
      <c r="J998" s="2" t="s">
        <v>195</v>
      </c>
      <c r="K998" s="9">
        <v>45753</v>
      </c>
      <c r="L998" s="9">
        <v>45754</v>
      </c>
      <c r="M998" s="9">
        <v>45754</v>
      </c>
      <c r="N998" s="2" t="s">
        <v>1333</v>
      </c>
      <c r="O998" s="2" t="s">
        <v>58</v>
      </c>
      <c r="P998" s="2" t="s">
        <v>142</v>
      </c>
      <c r="Q998" s="2" t="s">
        <v>224</v>
      </c>
      <c r="R998" s="2" t="s">
        <v>128</v>
      </c>
      <c r="S998" s="2" t="s">
        <v>198</v>
      </c>
      <c r="T998" s="10">
        <v>26.39</v>
      </c>
      <c r="U998" s="11">
        <v>1.085</v>
      </c>
      <c r="V998" s="12">
        <f>T998*U998</f>
        <v>28.633150000000001</v>
      </c>
      <c r="W998" s="13">
        <v>0.19</v>
      </c>
      <c r="X998" s="12">
        <f>V998-(V998/(1+W998))</f>
        <v>4.5716794117647055</v>
      </c>
      <c r="Y998" s="12">
        <f>V998-X998</f>
        <v>24.061470588235295</v>
      </c>
      <c r="Z998" s="14">
        <v>60</v>
      </c>
      <c r="AA998" s="2" t="str">
        <f>IF(V998&gt;Z998,"Yes","No")</f>
        <v>No</v>
      </c>
      <c r="AB998" s="12">
        <f>V998-Z998</f>
        <v>-31.366849999999999</v>
      </c>
      <c r="AC998" s="15" t="s">
        <v>130</v>
      </c>
      <c r="AD998" s="15" t="s">
        <v>131</v>
      </c>
      <c r="AE998" s="15" t="s">
        <v>858</v>
      </c>
      <c r="AF998" s="12">
        <f>IF(AG998="Rejected",0,IF(R998="Corporate Card",0,V998))</f>
        <v>0</v>
      </c>
      <c r="AG998" s="15" t="s">
        <v>133</v>
      </c>
      <c r="AH998" s="16">
        <v>45758</v>
      </c>
      <c r="AI998" s="16">
        <v>45762</v>
      </c>
      <c r="AJ998" s="16">
        <v>45776</v>
      </c>
      <c r="AK998" s="17">
        <f>IF(AJ998="","",AJ998-AH998)</f>
        <v>18</v>
      </c>
    </row>
    <row r="999" spans="1:37">
      <c r="A999" s="2" t="s">
        <v>1406</v>
      </c>
      <c r="B999" s="2" t="s">
        <v>412</v>
      </c>
      <c r="C999" s="2" t="s">
        <v>413</v>
      </c>
      <c r="D999" s="2" t="s">
        <v>414</v>
      </c>
      <c r="E999" s="2" t="s">
        <v>415</v>
      </c>
      <c r="F999" s="2" t="s">
        <v>313</v>
      </c>
      <c r="G999" s="2" t="s">
        <v>1390</v>
      </c>
      <c r="H999" s="2" t="s">
        <v>803</v>
      </c>
      <c r="I999" s="2" t="s">
        <v>194</v>
      </c>
      <c r="J999" s="2" t="s">
        <v>195</v>
      </c>
      <c r="K999" s="9">
        <v>45753</v>
      </c>
      <c r="L999" s="9">
        <v>45754</v>
      </c>
      <c r="M999" s="9">
        <v>45754</v>
      </c>
      <c r="N999" s="2" t="s">
        <v>1333</v>
      </c>
      <c r="O999" s="2" t="s">
        <v>53</v>
      </c>
      <c r="P999" s="2" t="s">
        <v>405</v>
      </c>
      <c r="Q999" s="2" t="s">
        <v>272</v>
      </c>
      <c r="R999" s="2" t="s">
        <v>128</v>
      </c>
      <c r="S999" s="2" t="s">
        <v>198</v>
      </c>
      <c r="T999" s="10">
        <v>185.86</v>
      </c>
      <c r="U999" s="11">
        <v>1.085</v>
      </c>
      <c r="V999" s="12">
        <f>T999*U999</f>
        <v>201.65810000000002</v>
      </c>
      <c r="W999" s="13">
        <v>0.19</v>
      </c>
      <c r="X999" s="12">
        <f>V999-(V999/(1+W999))</f>
        <v>32.197511764705865</v>
      </c>
      <c r="Y999" s="12">
        <f>V999-X999</f>
        <v>169.46058823529415</v>
      </c>
      <c r="Z999" s="14">
        <v>280</v>
      </c>
      <c r="AA999" s="2" t="str">
        <f>IF(V999&gt;Z999,"Yes","No")</f>
        <v>No</v>
      </c>
      <c r="AB999" s="12">
        <f>V999-Z999</f>
        <v>-78.341899999999981</v>
      </c>
      <c r="AC999" s="15" t="s">
        <v>131</v>
      </c>
      <c r="AD999" s="15" t="s">
        <v>131</v>
      </c>
      <c r="AE999" s="15" t="s">
        <v>858</v>
      </c>
      <c r="AF999" s="12">
        <f>IF(AG999="Rejected",0,IF(R999="Corporate Card",0,V999))</f>
        <v>0</v>
      </c>
      <c r="AG999" s="15" t="s">
        <v>133</v>
      </c>
      <c r="AH999" s="16">
        <v>45758</v>
      </c>
      <c r="AI999" s="16">
        <v>45762</v>
      </c>
      <c r="AJ999" s="16">
        <v>45776</v>
      </c>
      <c r="AK999" s="17">
        <f>IF(AJ999="","",AJ999-AH999)</f>
        <v>18</v>
      </c>
    </row>
    <row r="1000" spans="1:37">
      <c r="A1000" s="2" t="s">
        <v>1407</v>
      </c>
      <c r="B1000" s="2" t="s">
        <v>412</v>
      </c>
      <c r="C1000" s="2" t="s">
        <v>413</v>
      </c>
      <c r="D1000" s="2" t="s">
        <v>414</v>
      </c>
      <c r="E1000" s="2" t="s">
        <v>415</v>
      </c>
      <c r="F1000" s="2" t="s">
        <v>313</v>
      </c>
      <c r="G1000" s="2" t="s">
        <v>1390</v>
      </c>
      <c r="H1000" s="2" t="s">
        <v>803</v>
      </c>
      <c r="I1000" s="2" t="s">
        <v>194</v>
      </c>
      <c r="J1000" s="2" t="s">
        <v>195</v>
      </c>
      <c r="K1000" s="9">
        <v>45753</v>
      </c>
      <c r="L1000" s="9">
        <v>45754</v>
      </c>
      <c r="M1000" s="9">
        <v>45754</v>
      </c>
      <c r="N1000" s="2" t="s">
        <v>1333</v>
      </c>
      <c r="O1000" s="2" t="s">
        <v>54</v>
      </c>
      <c r="P1000" s="2" t="s">
        <v>139</v>
      </c>
      <c r="Q1000" s="2" t="s">
        <v>163</v>
      </c>
      <c r="R1000" s="2" t="s">
        <v>128</v>
      </c>
      <c r="S1000" s="2" t="s">
        <v>198</v>
      </c>
      <c r="T1000" s="10">
        <v>19.68</v>
      </c>
      <c r="U1000" s="11">
        <v>1.085</v>
      </c>
      <c r="V1000" s="12">
        <f>T1000*U1000</f>
        <v>21.352799999999998</v>
      </c>
      <c r="W1000" s="13">
        <v>0.19</v>
      </c>
      <c r="X1000" s="12">
        <f>V1000-(V1000/(1+W1000))</f>
        <v>3.4092705882352945</v>
      </c>
      <c r="Y1000" s="12">
        <f>V1000-X1000</f>
        <v>17.943529411764704</v>
      </c>
      <c r="Z1000" s="14">
        <v>25</v>
      </c>
      <c r="AA1000" s="2" t="str">
        <f>IF(V1000&gt;Z1000,"Yes","No")</f>
        <v>No</v>
      </c>
      <c r="AB1000" s="12">
        <f>V1000-Z1000</f>
        <v>-3.6472000000000016</v>
      </c>
      <c r="AC1000" s="15" t="s">
        <v>130</v>
      </c>
      <c r="AD1000" s="15" t="s">
        <v>131</v>
      </c>
      <c r="AE1000" s="15" t="s">
        <v>858</v>
      </c>
      <c r="AF1000" s="12">
        <f>IF(AG1000="Rejected",0,IF(R1000="Corporate Card",0,V1000))</f>
        <v>0</v>
      </c>
      <c r="AG1000" s="15" t="s">
        <v>133</v>
      </c>
      <c r="AH1000" s="16">
        <v>45758</v>
      </c>
      <c r="AI1000" s="16">
        <v>45762</v>
      </c>
      <c r="AJ1000" s="16">
        <v>45776</v>
      </c>
      <c r="AK1000" s="17">
        <f>IF(AJ1000="","",AJ1000-AH1000)</f>
        <v>18</v>
      </c>
    </row>
    <row r="1001" spans="1:37">
      <c r="A1001" s="2" t="s">
        <v>1408</v>
      </c>
      <c r="B1001" s="2" t="s">
        <v>412</v>
      </c>
      <c r="C1001" s="2" t="s">
        <v>413</v>
      </c>
      <c r="D1001" s="2" t="s">
        <v>414</v>
      </c>
      <c r="E1001" s="2" t="s">
        <v>415</v>
      </c>
      <c r="F1001" s="2" t="s">
        <v>313</v>
      </c>
      <c r="G1001" s="2" t="s">
        <v>1390</v>
      </c>
      <c r="H1001" s="2" t="s">
        <v>803</v>
      </c>
      <c r="I1001" s="2" t="s">
        <v>194</v>
      </c>
      <c r="J1001" s="2" t="s">
        <v>195</v>
      </c>
      <c r="K1001" s="9">
        <v>45753</v>
      </c>
      <c r="L1001" s="9">
        <v>45754</v>
      </c>
      <c r="M1001" s="9">
        <v>45754</v>
      </c>
      <c r="N1001" s="2" t="s">
        <v>1333</v>
      </c>
      <c r="O1001" s="2" t="s">
        <v>55</v>
      </c>
      <c r="P1001" s="2" t="s">
        <v>139</v>
      </c>
      <c r="Q1001" s="2" t="s">
        <v>187</v>
      </c>
      <c r="R1001" s="2" t="s">
        <v>149</v>
      </c>
      <c r="S1001" s="2" t="s">
        <v>198</v>
      </c>
      <c r="T1001" s="10">
        <v>21.95</v>
      </c>
      <c r="U1001" s="11">
        <v>1.085</v>
      </c>
      <c r="V1001" s="12">
        <f>T1001*U1001</f>
        <v>23.815749999999998</v>
      </c>
      <c r="W1001" s="13">
        <v>0.19</v>
      </c>
      <c r="X1001" s="12">
        <f>V1001-(V1001/(1+W1001))</f>
        <v>3.8025147058823521</v>
      </c>
      <c r="Y1001" s="12">
        <f>V1001-X1001</f>
        <v>20.013235294117646</v>
      </c>
      <c r="Z1001" s="14">
        <v>35</v>
      </c>
      <c r="AA1001" s="2" t="str">
        <f>IF(V1001&gt;Z1001,"Yes","No")</f>
        <v>No</v>
      </c>
      <c r="AB1001" s="12">
        <f>V1001-Z1001</f>
        <v>-11.184250000000002</v>
      </c>
      <c r="AC1001" s="15" t="s">
        <v>130</v>
      </c>
      <c r="AD1001" s="15" t="s">
        <v>131</v>
      </c>
      <c r="AE1001" s="15" t="s">
        <v>858</v>
      </c>
      <c r="AF1001" s="12">
        <f>IF(AG1001="Rejected",0,IF(R1001="Corporate Card",0,V1001))</f>
        <v>23.815749999999998</v>
      </c>
      <c r="AG1001" s="15" t="s">
        <v>133</v>
      </c>
      <c r="AH1001" s="16">
        <v>45758</v>
      </c>
      <c r="AI1001" s="16">
        <v>45762</v>
      </c>
      <c r="AJ1001" s="16">
        <v>45776</v>
      </c>
      <c r="AK1001" s="17">
        <f>IF(AJ1001="","",AJ1001-AH1001)</f>
        <v>18</v>
      </c>
    </row>
    <row r="1002" spans="1:37">
      <c r="A1002" s="2" t="s">
        <v>1409</v>
      </c>
      <c r="B1002" s="2" t="s">
        <v>248</v>
      </c>
      <c r="C1002" s="2" t="s">
        <v>249</v>
      </c>
      <c r="D1002" s="2" t="s">
        <v>250</v>
      </c>
      <c r="E1002" s="2" t="s">
        <v>251</v>
      </c>
      <c r="F1002" s="2" t="s">
        <v>252</v>
      </c>
      <c r="G1002" s="2" t="s">
        <v>1384</v>
      </c>
      <c r="H1002" s="2" t="s">
        <v>193</v>
      </c>
      <c r="I1002" s="2" t="s">
        <v>1038</v>
      </c>
      <c r="J1002" s="2" t="s">
        <v>381</v>
      </c>
      <c r="K1002" s="9">
        <v>45753</v>
      </c>
      <c r="L1002" s="9">
        <v>45761</v>
      </c>
      <c r="M1002" s="9">
        <v>45755</v>
      </c>
      <c r="N1002" s="2" t="s">
        <v>1333</v>
      </c>
      <c r="O1002" s="2" t="s">
        <v>61</v>
      </c>
      <c r="P1002" s="2" t="s">
        <v>528</v>
      </c>
      <c r="Q1002" s="2" t="s">
        <v>1128</v>
      </c>
      <c r="R1002" s="2" t="s">
        <v>149</v>
      </c>
      <c r="S1002" s="2" t="s">
        <v>383</v>
      </c>
      <c r="T1002" s="10">
        <v>52.15</v>
      </c>
      <c r="U1002" s="11">
        <v>1</v>
      </c>
      <c r="V1002" s="12">
        <f>T1002*U1002</f>
        <v>52.15</v>
      </c>
      <c r="W1002" s="13">
        <v>0</v>
      </c>
      <c r="X1002" s="12">
        <f>V1002-(V1002/(1+W1002))</f>
        <v>0</v>
      </c>
      <c r="Y1002" s="12">
        <f>V1002-X1002</f>
        <v>52.15</v>
      </c>
      <c r="Z1002" s="14">
        <v>90</v>
      </c>
      <c r="AA1002" s="2" t="str">
        <f>IF(V1002&gt;Z1002,"Yes","No")</f>
        <v>No</v>
      </c>
      <c r="AB1002" s="12">
        <f>V1002-Z1002</f>
        <v>-37.85</v>
      </c>
      <c r="AC1002" s="15" t="s">
        <v>130</v>
      </c>
      <c r="AD1002" s="15" t="s">
        <v>130</v>
      </c>
      <c r="AE1002" s="15" t="s">
        <v>858</v>
      </c>
      <c r="AF1002" s="12">
        <f>IF(AG1002="Rejected",0,IF(R1002="Corporate Card",0,V1002))</f>
        <v>52.15</v>
      </c>
      <c r="AG1002" s="15" t="s">
        <v>133</v>
      </c>
      <c r="AH1002" s="16">
        <v>45762</v>
      </c>
      <c r="AI1002" s="16">
        <v>45769</v>
      </c>
      <c r="AJ1002" s="16">
        <v>45774</v>
      </c>
      <c r="AK1002" s="17">
        <f>IF(AJ1002="","",AJ1002-AH1002)</f>
        <v>12</v>
      </c>
    </row>
    <row r="1003" spans="1:37">
      <c r="A1003" s="2" t="s">
        <v>1410</v>
      </c>
      <c r="B1003" s="2" t="s">
        <v>248</v>
      </c>
      <c r="C1003" s="2" t="s">
        <v>249</v>
      </c>
      <c r="D1003" s="2" t="s">
        <v>250</v>
      </c>
      <c r="E1003" s="2" t="s">
        <v>251</v>
      </c>
      <c r="F1003" s="2" t="s">
        <v>252</v>
      </c>
      <c r="G1003" s="2" t="s">
        <v>1384</v>
      </c>
      <c r="H1003" s="2" t="s">
        <v>193</v>
      </c>
      <c r="I1003" s="2" t="s">
        <v>1038</v>
      </c>
      <c r="J1003" s="2" t="s">
        <v>381</v>
      </c>
      <c r="K1003" s="9">
        <v>45753</v>
      </c>
      <c r="L1003" s="9">
        <v>45761</v>
      </c>
      <c r="M1003" s="9">
        <v>45755</v>
      </c>
      <c r="N1003" s="2" t="s">
        <v>1333</v>
      </c>
      <c r="O1003" s="2" t="s">
        <v>58</v>
      </c>
      <c r="P1003" s="2" t="s">
        <v>142</v>
      </c>
      <c r="Q1003" s="2" t="s">
        <v>143</v>
      </c>
      <c r="R1003" s="2" t="s">
        <v>137</v>
      </c>
      <c r="S1003" s="2" t="s">
        <v>383</v>
      </c>
      <c r="T1003" s="10">
        <v>44.08</v>
      </c>
      <c r="U1003" s="11">
        <v>1</v>
      </c>
      <c r="V1003" s="12">
        <f>T1003*U1003</f>
        <v>44.08</v>
      </c>
      <c r="W1003" s="13">
        <v>0</v>
      </c>
      <c r="X1003" s="12">
        <f>V1003-(V1003/(1+W1003))</f>
        <v>0</v>
      </c>
      <c r="Y1003" s="12">
        <f>V1003-X1003</f>
        <v>44.08</v>
      </c>
      <c r="Z1003" s="14">
        <v>60</v>
      </c>
      <c r="AA1003" s="2" t="str">
        <f>IF(V1003&gt;Z1003,"Yes","No")</f>
        <v>No</v>
      </c>
      <c r="AB1003" s="12">
        <f>V1003-Z1003</f>
        <v>-15.920000000000002</v>
      </c>
      <c r="AC1003" s="15" t="s">
        <v>130</v>
      </c>
      <c r="AD1003" s="15" t="s">
        <v>130</v>
      </c>
      <c r="AE1003" s="15" t="s">
        <v>858</v>
      </c>
      <c r="AF1003" s="12">
        <f>IF(AG1003="Rejected",0,IF(R1003="Corporate Card",0,V1003))</f>
        <v>44.08</v>
      </c>
      <c r="AG1003" s="15" t="s">
        <v>133</v>
      </c>
      <c r="AH1003" s="16">
        <v>45762</v>
      </c>
      <c r="AI1003" s="16">
        <v>45769</v>
      </c>
      <c r="AJ1003" s="16">
        <v>45774</v>
      </c>
      <c r="AK1003" s="17">
        <f>IF(AJ1003="","",AJ1003-AH1003)</f>
        <v>12</v>
      </c>
    </row>
    <row r="1004" spans="1:37">
      <c r="A1004" s="2" t="s">
        <v>1411</v>
      </c>
      <c r="B1004" s="2" t="s">
        <v>248</v>
      </c>
      <c r="C1004" s="2" t="s">
        <v>249</v>
      </c>
      <c r="D1004" s="2" t="s">
        <v>250</v>
      </c>
      <c r="E1004" s="2" t="s">
        <v>251</v>
      </c>
      <c r="F1004" s="2" t="s">
        <v>252</v>
      </c>
      <c r="G1004" s="2" t="s">
        <v>1384</v>
      </c>
      <c r="H1004" s="2" t="s">
        <v>193</v>
      </c>
      <c r="I1004" s="2" t="s">
        <v>1038</v>
      </c>
      <c r="J1004" s="2" t="s">
        <v>381</v>
      </c>
      <c r="K1004" s="9">
        <v>45753</v>
      </c>
      <c r="L1004" s="9">
        <v>45761</v>
      </c>
      <c r="M1004" s="9">
        <v>45755</v>
      </c>
      <c r="N1004" s="2" t="s">
        <v>1333</v>
      </c>
      <c r="O1004" s="2" t="s">
        <v>54</v>
      </c>
      <c r="P1004" s="2" t="s">
        <v>139</v>
      </c>
      <c r="Q1004" s="2" t="s">
        <v>140</v>
      </c>
      <c r="R1004" s="2" t="s">
        <v>137</v>
      </c>
      <c r="S1004" s="2" t="s">
        <v>383</v>
      </c>
      <c r="T1004" s="10">
        <v>23.54</v>
      </c>
      <c r="U1004" s="11">
        <v>1</v>
      </c>
      <c r="V1004" s="12">
        <f>T1004*U1004</f>
        <v>23.54</v>
      </c>
      <c r="W1004" s="13">
        <v>0</v>
      </c>
      <c r="X1004" s="12">
        <f>V1004-(V1004/(1+W1004))</f>
        <v>0</v>
      </c>
      <c r="Y1004" s="12">
        <f>V1004-X1004</f>
        <v>23.54</v>
      </c>
      <c r="Z1004" s="14">
        <v>25</v>
      </c>
      <c r="AA1004" s="2" t="str">
        <f>IF(V1004&gt;Z1004,"Yes","No")</f>
        <v>No</v>
      </c>
      <c r="AB1004" s="12">
        <f>V1004-Z1004</f>
        <v>-1.4600000000000009</v>
      </c>
      <c r="AC1004" s="15" t="s">
        <v>130</v>
      </c>
      <c r="AD1004" s="15" t="s">
        <v>130</v>
      </c>
      <c r="AE1004" s="15" t="s">
        <v>858</v>
      </c>
      <c r="AF1004" s="12">
        <f>IF(AG1004="Rejected",0,IF(R1004="Corporate Card",0,V1004))</f>
        <v>23.54</v>
      </c>
      <c r="AG1004" s="15" t="s">
        <v>133</v>
      </c>
      <c r="AH1004" s="16">
        <v>45762</v>
      </c>
      <c r="AI1004" s="16">
        <v>45769</v>
      </c>
      <c r="AJ1004" s="16">
        <v>45774</v>
      </c>
      <c r="AK1004" s="17">
        <f>IF(AJ1004="","",AJ1004-AH1004)</f>
        <v>12</v>
      </c>
    </row>
    <row r="1005" spans="1:37">
      <c r="A1005" s="2" t="s">
        <v>1412</v>
      </c>
      <c r="B1005" s="2" t="s">
        <v>248</v>
      </c>
      <c r="C1005" s="2" t="s">
        <v>249</v>
      </c>
      <c r="D1005" s="2" t="s">
        <v>250</v>
      </c>
      <c r="E1005" s="2" t="s">
        <v>251</v>
      </c>
      <c r="F1005" s="2" t="s">
        <v>252</v>
      </c>
      <c r="G1005" s="2" t="s">
        <v>1384</v>
      </c>
      <c r="H1005" s="2" t="s">
        <v>193</v>
      </c>
      <c r="I1005" s="2" t="s">
        <v>1038</v>
      </c>
      <c r="J1005" s="2" t="s">
        <v>381</v>
      </c>
      <c r="K1005" s="9">
        <v>45753</v>
      </c>
      <c r="L1005" s="9">
        <v>45761</v>
      </c>
      <c r="M1005" s="9">
        <v>45755</v>
      </c>
      <c r="N1005" s="2" t="s">
        <v>1333</v>
      </c>
      <c r="O1005" s="2" t="s">
        <v>56</v>
      </c>
      <c r="P1005" s="2" t="s">
        <v>151</v>
      </c>
      <c r="Q1005" s="2" t="s">
        <v>152</v>
      </c>
      <c r="R1005" s="2" t="s">
        <v>128</v>
      </c>
      <c r="S1005" s="2" t="s">
        <v>383</v>
      </c>
      <c r="T1005" s="10">
        <v>55.35</v>
      </c>
      <c r="U1005" s="11">
        <v>1</v>
      </c>
      <c r="V1005" s="12">
        <f>T1005*U1005</f>
        <v>55.35</v>
      </c>
      <c r="W1005" s="13">
        <v>0</v>
      </c>
      <c r="X1005" s="12">
        <f>V1005-(V1005/(1+W1005))</f>
        <v>0</v>
      </c>
      <c r="Y1005" s="12">
        <f>V1005-X1005</f>
        <v>55.35</v>
      </c>
      <c r="Z1005" s="14">
        <v>75</v>
      </c>
      <c r="AA1005" s="2" t="str">
        <f>IF(V1005&gt;Z1005,"Yes","No")</f>
        <v>No</v>
      </c>
      <c r="AB1005" s="12">
        <f>V1005-Z1005</f>
        <v>-19.649999999999999</v>
      </c>
      <c r="AC1005" s="15" t="s">
        <v>130</v>
      </c>
      <c r="AD1005" s="15" t="s">
        <v>130</v>
      </c>
      <c r="AE1005" s="15" t="s">
        <v>858</v>
      </c>
      <c r="AF1005" s="12">
        <f>IF(AG1005="Rejected",0,IF(R1005="Corporate Card",0,V1005))</f>
        <v>0</v>
      </c>
      <c r="AG1005" s="15" t="s">
        <v>133</v>
      </c>
      <c r="AH1005" s="16">
        <v>45762</v>
      </c>
      <c r="AI1005" s="16">
        <v>45769</v>
      </c>
      <c r="AJ1005" s="16">
        <v>45774</v>
      </c>
      <c r="AK1005" s="17">
        <f>IF(AJ1005="","",AJ1005-AH1005)</f>
        <v>12</v>
      </c>
    </row>
    <row r="1006" spans="1:37">
      <c r="A1006" s="2" t="s">
        <v>1413</v>
      </c>
      <c r="B1006" s="2" t="s">
        <v>248</v>
      </c>
      <c r="C1006" s="2" t="s">
        <v>249</v>
      </c>
      <c r="D1006" s="2" t="s">
        <v>250</v>
      </c>
      <c r="E1006" s="2" t="s">
        <v>251</v>
      </c>
      <c r="F1006" s="2" t="s">
        <v>252</v>
      </c>
      <c r="G1006" s="2" t="s">
        <v>1384</v>
      </c>
      <c r="H1006" s="2" t="s">
        <v>193</v>
      </c>
      <c r="I1006" s="2" t="s">
        <v>1038</v>
      </c>
      <c r="J1006" s="2" t="s">
        <v>381</v>
      </c>
      <c r="K1006" s="9">
        <v>45753</v>
      </c>
      <c r="L1006" s="9">
        <v>45761</v>
      </c>
      <c r="M1006" s="9">
        <v>45755</v>
      </c>
      <c r="N1006" s="2" t="s">
        <v>1333</v>
      </c>
      <c r="O1006" s="2" t="s">
        <v>55</v>
      </c>
      <c r="P1006" s="2" t="s">
        <v>139</v>
      </c>
      <c r="Q1006" s="2" t="s">
        <v>154</v>
      </c>
      <c r="R1006" s="2" t="s">
        <v>137</v>
      </c>
      <c r="S1006" s="2" t="s">
        <v>383</v>
      </c>
      <c r="T1006" s="10">
        <v>27.05</v>
      </c>
      <c r="U1006" s="11">
        <v>1</v>
      </c>
      <c r="V1006" s="12">
        <f>T1006*U1006</f>
        <v>27.05</v>
      </c>
      <c r="W1006" s="13">
        <v>0</v>
      </c>
      <c r="X1006" s="12">
        <f>V1006-(V1006/(1+W1006))</f>
        <v>0</v>
      </c>
      <c r="Y1006" s="12">
        <f>V1006-X1006</f>
        <v>27.05</v>
      </c>
      <c r="Z1006" s="14">
        <v>35</v>
      </c>
      <c r="AA1006" s="2" t="str">
        <f>IF(V1006&gt;Z1006,"Yes","No")</f>
        <v>No</v>
      </c>
      <c r="AB1006" s="12">
        <f>V1006-Z1006</f>
        <v>-7.9499999999999993</v>
      </c>
      <c r="AC1006" s="15" t="s">
        <v>130</v>
      </c>
      <c r="AD1006" s="15" t="s">
        <v>130</v>
      </c>
      <c r="AE1006" s="15" t="s">
        <v>858</v>
      </c>
      <c r="AF1006" s="12">
        <f>IF(AG1006="Rejected",0,IF(R1006="Corporate Card",0,V1006))</f>
        <v>27.05</v>
      </c>
      <c r="AG1006" s="15" t="s">
        <v>133</v>
      </c>
      <c r="AH1006" s="16">
        <v>45762</v>
      </c>
      <c r="AI1006" s="16">
        <v>45769</v>
      </c>
      <c r="AJ1006" s="16">
        <v>45774</v>
      </c>
      <c r="AK1006" s="17">
        <f>IF(AJ1006="","",AJ1006-AH1006)</f>
        <v>12</v>
      </c>
    </row>
    <row r="1007" spans="1:37">
      <c r="A1007" s="2" t="s">
        <v>1414</v>
      </c>
      <c r="B1007" s="2" t="s">
        <v>248</v>
      </c>
      <c r="C1007" s="2" t="s">
        <v>249</v>
      </c>
      <c r="D1007" s="2" t="s">
        <v>250</v>
      </c>
      <c r="E1007" s="2" t="s">
        <v>251</v>
      </c>
      <c r="F1007" s="2" t="s">
        <v>252</v>
      </c>
      <c r="G1007" s="2" t="s">
        <v>1384</v>
      </c>
      <c r="H1007" s="2" t="s">
        <v>193</v>
      </c>
      <c r="I1007" s="2" t="s">
        <v>1038</v>
      </c>
      <c r="J1007" s="2" t="s">
        <v>381</v>
      </c>
      <c r="K1007" s="9">
        <v>45753</v>
      </c>
      <c r="L1007" s="9">
        <v>45761</v>
      </c>
      <c r="M1007" s="9">
        <v>45755</v>
      </c>
      <c r="N1007" s="2" t="s">
        <v>1333</v>
      </c>
      <c r="O1007" s="2" t="s">
        <v>62</v>
      </c>
      <c r="P1007" s="2" t="s">
        <v>533</v>
      </c>
      <c r="Q1007" s="2" t="s">
        <v>1133</v>
      </c>
      <c r="R1007" s="2" t="s">
        <v>137</v>
      </c>
      <c r="S1007" s="2" t="s">
        <v>383</v>
      </c>
      <c r="T1007" s="10">
        <v>31.6</v>
      </c>
      <c r="U1007" s="11">
        <v>1</v>
      </c>
      <c r="V1007" s="12">
        <f>T1007*U1007</f>
        <v>31.6</v>
      </c>
      <c r="W1007" s="13">
        <v>0</v>
      </c>
      <c r="X1007" s="12">
        <f>V1007-(V1007/(1+W1007))</f>
        <v>0</v>
      </c>
      <c r="Y1007" s="12">
        <f>V1007-X1007</f>
        <v>31.6</v>
      </c>
      <c r="Z1007" s="14">
        <v>45</v>
      </c>
      <c r="AA1007" s="2" t="str">
        <f>IF(V1007&gt;Z1007,"Yes","No")</f>
        <v>No</v>
      </c>
      <c r="AB1007" s="12">
        <f>V1007-Z1007</f>
        <v>-13.399999999999999</v>
      </c>
      <c r="AC1007" s="15" t="s">
        <v>130</v>
      </c>
      <c r="AD1007" s="15" t="s">
        <v>130</v>
      </c>
      <c r="AE1007" s="15" t="s">
        <v>858</v>
      </c>
      <c r="AF1007" s="12">
        <f>IF(AG1007="Rejected",0,IF(R1007="Corporate Card",0,V1007))</f>
        <v>31.6</v>
      </c>
      <c r="AG1007" s="15" t="s">
        <v>133</v>
      </c>
      <c r="AH1007" s="16">
        <v>45762</v>
      </c>
      <c r="AI1007" s="16">
        <v>45769</v>
      </c>
      <c r="AJ1007" s="16">
        <v>45774</v>
      </c>
      <c r="AK1007" s="17">
        <f>IF(AJ1007="","",AJ1007-AH1007)</f>
        <v>12</v>
      </c>
    </row>
    <row r="1008" spans="1:37">
      <c r="A1008" s="2" t="s">
        <v>1415</v>
      </c>
      <c r="B1008" s="2" t="s">
        <v>310</v>
      </c>
      <c r="C1008" s="2" t="s">
        <v>311</v>
      </c>
      <c r="D1008" s="2" t="s">
        <v>118</v>
      </c>
      <c r="E1008" s="2" t="s">
        <v>312</v>
      </c>
      <c r="F1008" s="2" t="s">
        <v>313</v>
      </c>
      <c r="G1008" s="2" t="s">
        <v>1345</v>
      </c>
      <c r="H1008" s="2" t="s">
        <v>254</v>
      </c>
      <c r="I1008" s="2" t="s">
        <v>175</v>
      </c>
      <c r="J1008" s="2" t="s">
        <v>176</v>
      </c>
      <c r="K1008" s="9">
        <v>45749</v>
      </c>
      <c r="L1008" s="9">
        <v>45757</v>
      </c>
      <c r="M1008" s="9">
        <v>45755</v>
      </c>
      <c r="N1008" s="2" t="s">
        <v>1333</v>
      </c>
      <c r="O1008" s="2" t="s">
        <v>58</v>
      </c>
      <c r="P1008" s="2" t="s">
        <v>142</v>
      </c>
      <c r="Q1008" s="2" t="s">
        <v>296</v>
      </c>
      <c r="R1008" s="2" t="s">
        <v>128</v>
      </c>
      <c r="S1008" s="2" t="s">
        <v>179</v>
      </c>
      <c r="T1008" s="10">
        <v>212.44</v>
      </c>
      <c r="U1008" s="11">
        <v>0.18099999999999999</v>
      </c>
      <c r="V1008" s="12">
        <f>T1008*U1008</f>
        <v>38.451639999999998</v>
      </c>
      <c r="W1008" s="13">
        <v>0.17</v>
      </c>
      <c r="X1008" s="12">
        <f>V1008-(V1008/(1+W1008))</f>
        <v>5.5869904273504218</v>
      </c>
      <c r="Y1008" s="12">
        <f>V1008-X1008</f>
        <v>32.864649572649576</v>
      </c>
      <c r="Z1008" s="14">
        <v>60</v>
      </c>
      <c r="AA1008" s="2" t="str">
        <f>IF(V1008&gt;Z1008,"Yes","No")</f>
        <v>No</v>
      </c>
      <c r="AB1008" s="12">
        <f>V1008-Z1008</f>
        <v>-21.548360000000002</v>
      </c>
      <c r="AC1008" s="15" t="s">
        <v>130</v>
      </c>
      <c r="AD1008" s="15" t="s">
        <v>130</v>
      </c>
      <c r="AE1008" s="15" t="s">
        <v>421</v>
      </c>
      <c r="AF1008" s="12">
        <f>IF(AG1008="Rejected",0,IF(R1008="Corporate Card",0,V1008))</f>
        <v>0</v>
      </c>
      <c r="AG1008" s="15" t="s">
        <v>133</v>
      </c>
      <c r="AH1008" s="16">
        <v>45769</v>
      </c>
      <c r="AI1008" s="16">
        <v>45770</v>
      </c>
      <c r="AJ1008" s="16">
        <v>45778</v>
      </c>
      <c r="AK1008" s="17">
        <f>IF(AJ1008="","",AJ1008-AH1008)</f>
        <v>9</v>
      </c>
    </row>
    <row r="1009" spans="1:37">
      <c r="A1009" s="2" t="s">
        <v>1416</v>
      </c>
      <c r="B1009" s="2" t="s">
        <v>310</v>
      </c>
      <c r="C1009" s="2" t="s">
        <v>311</v>
      </c>
      <c r="D1009" s="2" t="s">
        <v>118</v>
      </c>
      <c r="E1009" s="2" t="s">
        <v>312</v>
      </c>
      <c r="F1009" s="2" t="s">
        <v>313</v>
      </c>
      <c r="G1009" s="2" t="s">
        <v>1345</v>
      </c>
      <c r="H1009" s="2" t="s">
        <v>254</v>
      </c>
      <c r="I1009" s="2" t="s">
        <v>175</v>
      </c>
      <c r="J1009" s="2" t="s">
        <v>176</v>
      </c>
      <c r="K1009" s="9">
        <v>45749</v>
      </c>
      <c r="L1009" s="9">
        <v>45757</v>
      </c>
      <c r="M1009" s="9">
        <v>45755</v>
      </c>
      <c r="N1009" s="2" t="s">
        <v>1333</v>
      </c>
      <c r="O1009" s="2" t="s">
        <v>56</v>
      </c>
      <c r="P1009" s="2" t="s">
        <v>231</v>
      </c>
      <c r="Q1009" s="2" t="s">
        <v>159</v>
      </c>
      <c r="R1009" s="2" t="s">
        <v>149</v>
      </c>
      <c r="S1009" s="2" t="s">
        <v>179</v>
      </c>
      <c r="T1009" s="10">
        <v>225.81</v>
      </c>
      <c r="U1009" s="11">
        <v>0.18099999999999999</v>
      </c>
      <c r="V1009" s="12">
        <f>T1009*U1009</f>
        <v>40.871609999999997</v>
      </c>
      <c r="W1009" s="13">
        <v>0.17</v>
      </c>
      <c r="X1009" s="12">
        <f>V1009-(V1009/(1+W1009))</f>
        <v>5.9386099999999971</v>
      </c>
      <c r="Y1009" s="12">
        <f>V1009-X1009</f>
        <v>34.933</v>
      </c>
      <c r="Z1009" s="14">
        <v>75</v>
      </c>
      <c r="AA1009" s="2" t="str">
        <f>IF(V1009&gt;Z1009,"Yes","No")</f>
        <v>No</v>
      </c>
      <c r="AB1009" s="12">
        <f>V1009-Z1009</f>
        <v>-34.128390000000003</v>
      </c>
      <c r="AC1009" s="15" t="s">
        <v>130</v>
      </c>
      <c r="AD1009" s="15" t="s">
        <v>130</v>
      </c>
      <c r="AE1009" s="15" t="s">
        <v>421</v>
      </c>
      <c r="AF1009" s="12">
        <f>IF(AG1009="Rejected",0,IF(R1009="Corporate Card",0,V1009))</f>
        <v>40.871609999999997</v>
      </c>
      <c r="AG1009" s="15" t="s">
        <v>133</v>
      </c>
      <c r="AH1009" s="16">
        <v>45769</v>
      </c>
      <c r="AI1009" s="16">
        <v>45770</v>
      </c>
      <c r="AJ1009" s="16">
        <v>45778</v>
      </c>
      <c r="AK1009" s="17">
        <f>IF(AJ1009="","",AJ1009-AH1009)</f>
        <v>9</v>
      </c>
    </row>
    <row r="1010" spans="1:37">
      <c r="A1010" s="2" t="s">
        <v>1417</v>
      </c>
      <c r="B1010" s="2" t="s">
        <v>310</v>
      </c>
      <c r="C1010" s="2" t="s">
        <v>311</v>
      </c>
      <c r="D1010" s="2" t="s">
        <v>118</v>
      </c>
      <c r="E1010" s="2" t="s">
        <v>312</v>
      </c>
      <c r="F1010" s="2" t="s">
        <v>313</v>
      </c>
      <c r="G1010" s="2" t="s">
        <v>1345</v>
      </c>
      <c r="H1010" s="2" t="s">
        <v>254</v>
      </c>
      <c r="I1010" s="2" t="s">
        <v>175</v>
      </c>
      <c r="J1010" s="2" t="s">
        <v>176</v>
      </c>
      <c r="K1010" s="9">
        <v>45749</v>
      </c>
      <c r="L1010" s="9">
        <v>45757</v>
      </c>
      <c r="M1010" s="9">
        <v>45755</v>
      </c>
      <c r="N1010" s="2" t="s">
        <v>1333</v>
      </c>
      <c r="O1010" s="2" t="s">
        <v>55</v>
      </c>
      <c r="P1010" s="2" t="s">
        <v>139</v>
      </c>
      <c r="Q1010" s="2" t="s">
        <v>154</v>
      </c>
      <c r="R1010" s="2" t="s">
        <v>128</v>
      </c>
      <c r="S1010" s="2" t="s">
        <v>179</v>
      </c>
      <c r="T1010" s="10">
        <v>132.53</v>
      </c>
      <c r="U1010" s="11">
        <v>0.18099999999999999</v>
      </c>
      <c r="V1010" s="12">
        <f>T1010*U1010</f>
        <v>23.987929999999999</v>
      </c>
      <c r="W1010" s="13">
        <v>0.17</v>
      </c>
      <c r="X1010" s="12">
        <f>V1010-(V1010/(1+W1010))</f>
        <v>3.4854257264957234</v>
      </c>
      <c r="Y1010" s="12">
        <f>V1010-X1010</f>
        <v>20.502504273504275</v>
      </c>
      <c r="Z1010" s="14">
        <v>35</v>
      </c>
      <c r="AA1010" s="2" t="str">
        <f>IF(V1010&gt;Z1010,"Yes","No")</f>
        <v>No</v>
      </c>
      <c r="AB1010" s="12">
        <f>V1010-Z1010</f>
        <v>-11.012070000000001</v>
      </c>
      <c r="AC1010" s="15" t="s">
        <v>130</v>
      </c>
      <c r="AD1010" s="15" t="s">
        <v>130</v>
      </c>
      <c r="AE1010" s="15" t="s">
        <v>421</v>
      </c>
      <c r="AF1010" s="12">
        <f>IF(AG1010="Rejected",0,IF(R1010="Corporate Card",0,V1010))</f>
        <v>0</v>
      </c>
      <c r="AG1010" s="15" t="s">
        <v>133</v>
      </c>
      <c r="AH1010" s="16">
        <v>45769</v>
      </c>
      <c r="AI1010" s="16">
        <v>45770</v>
      </c>
      <c r="AJ1010" s="16">
        <v>45778</v>
      </c>
      <c r="AK1010" s="17">
        <f>IF(AJ1010="","",AJ1010-AH1010)</f>
        <v>9</v>
      </c>
    </row>
    <row r="1011" spans="1:37">
      <c r="A1011" s="2" t="s">
        <v>1418</v>
      </c>
      <c r="B1011" s="2" t="s">
        <v>1235</v>
      </c>
      <c r="C1011" s="2" t="s">
        <v>867</v>
      </c>
      <c r="D1011" s="2" t="s">
        <v>865</v>
      </c>
      <c r="E1011" s="2" t="s">
        <v>1236</v>
      </c>
      <c r="F1011" s="2" t="s">
        <v>313</v>
      </c>
      <c r="G1011" s="2" t="s">
        <v>1419</v>
      </c>
      <c r="H1011" s="2" t="s">
        <v>254</v>
      </c>
      <c r="I1011" s="2" t="s">
        <v>255</v>
      </c>
      <c r="J1011" s="2" t="s">
        <v>256</v>
      </c>
      <c r="K1011" s="9">
        <v>45756</v>
      </c>
      <c r="L1011" s="9">
        <v>45762</v>
      </c>
      <c r="M1011" s="9">
        <v>45756</v>
      </c>
      <c r="N1011" s="2" t="s">
        <v>1333</v>
      </c>
      <c r="O1011" s="2" t="s">
        <v>52</v>
      </c>
      <c r="P1011" s="2" t="s">
        <v>257</v>
      </c>
      <c r="Q1011" s="2" t="s">
        <v>127</v>
      </c>
      <c r="R1011" s="2" t="s">
        <v>128</v>
      </c>
      <c r="S1011" s="2" t="s">
        <v>259</v>
      </c>
      <c r="T1011" s="10">
        <v>138271</v>
      </c>
      <c r="U1011" s="11">
        <v>6.5500000000000003E-3</v>
      </c>
      <c r="V1011" s="12">
        <f>T1011*U1011</f>
        <v>905.67505000000006</v>
      </c>
      <c r="W1011" s="13">
        <v>0</v>
      </c>
      <c r="X1011" s="12">
        <f>V1011-(V1011/(1+W1011))</f>
        <v>0</v>
      </c>
      <c r="Y1011" s="12">
        <f>V1011-X1011</f>
        <v>905.67505000000006</v>
      </c>
      <c r="Z1011" s="14">
        <v>1400</v>
      </c>
      <c r="AA1011" s="2" t="str">
        <f>IF(V1011&gt;Z1011,"Yes","No")</f>
        <v>No</v>
      </c>
      <c r="AB1011" s="12">
        <f>V1011-Z1011</f>
        <v>-494.32494999999994</v>
      </c>
      <c r="AC1011" s="15" t="s">
        <v>130</v>
      </c>
      <c r="AD1011" s="15" t="s">
        <v>130</v>
      </c>
      <c r="AE1011" s="15" t="s">
        <v>260</v>
      </c>
      <c r="AF1011" s="12">
        <f>IF(AG1011="Rejected",0,IF(R1011="Corporate Card",0,V1011))</f>
        <v>0</v>
      </c>
      <c r="AG1011" s="15" t="s">
        <v>133</v>
      </c>
      <c r="AH1011" s="16">
        <v>45766</v>
      </c>
      <c r="AI1011" s="16">
        <v>45770</v>
      </c>
      <c r="AJ1011" s="16">
        <v>45779</v>
      </c>
      <c r="AK1011" s="17">
        <f>IF(AJ1011="","",AJ1011-AH1011)</f>
        <v>13</v>
      </c>
    </row>
    <row r="1012" spans="1:37">
      <c r="A1012" s="2" t="s">
        <v>1420</v>
      </c>
      <c r="B1012" s="2" t="s">
        <v>1235</v>
      </c>
      <c r="C1012" s="2" t="s">
        <v>867</v>
      </c>
      <c r="D1012" s="2" t="s">
        <v>865</v>
      </c>
      <c r="E1012" s="2" t="s">
        <v>1236</v>
      </c>
      <c r="F1012" s="2" t="s">
        <v>313</v>
      </c>
      <c r="G1012" s="2" t="s">
        <v>1419</v>
      </c>
      <c r="H1012" s="2" t="s">
        <v>254</v>
      </c>
      <c r="I1012" s="2" t="s">
        <v>255</v>
      </c>
      <c r="J1012" s="2" t="s">
        <v>256</v>
      </c>
      <c r="K1012" s="9">
        <v>45756</v>
      </c>
      <c r="L1012" s="9">
        <v>45762</v>
      </c>
      <c r="M1012" s="9">
        <v>45756</v>
      </c>
      <c r="N1012" s="2" t="s">
        <v>1333</v>
      </c>
      <c r="O1012" s="2" t="s">
        <v>63</v>
      </c>
      <c r="P1012" s="2" t="s">
        <v>200</v>
      </c>
      <c r="Q1012" s="2" t="s">
        <v>557</v>
      </c>
      <c r="R1012" s="2" t="s">
        <v>128</v>
      </c>
      <c r="S1012" s="2" t="s">
        <v>259</v>
      </c>
      <c r="T1012" s="10">
        <v>69242</v>
      </c>
      <c r="U1012" s="11">
        <v>6.5500000000000003E-3</v>
      </c>
      <c r="V1012" s="12">
        <f>T1012*U1012</f>
        <v>453.5351</v>
      </c>
      <c r="W1012" s="13">
        <v>0</v>
      </c>
      <c r="X1012" s="12">
        <f>V1012-(V1012/(1+W1012))</f>
        <v>0</v>
      </c>
      <c r="Y1012" s="12">
        <f>V1012-X1012</f>
        <v>453.5351</v>
      </c>
      <c r="Z1012" s="14">
        <v>1200</v>
      </c>
      <c r="AA1012" s="2" t="str">
        <f>IF(V1012&gt;Z1012,"Yes","No")</f>
        <v>No</v>
      </c>
      <c r="AB1012" s="12">
        <f>V1012-Z1012</f>
        <v>-746.46489999999994</v>
      </c>
      <c r="AC1012" s="15" t="s">
        <v>130</v>
      </c>
      <c r="AD1012" s="15" t="s">
        <v>130</v>
      </c>
      <c r="AE1012" s="15" t="s">
        <v>260</v>
      </c>
      <c r="AF1012" s="12">
        <f>IF(AG1012="Rejected",0,IF(R1012="Corporate Card",0,V1012))</f>
        <v>0</v>
      </c>
      <c r="AG1012" s="15" t="s">
        <v>133</v>
      </c>
      <c r="AH1012" s="16">
        <v>45766</v>
      </c>
      <c r="AI1012" s="16">
        <v>45770</v>
      </c>
      <c r="AJ1012" s="16">
        <v>45779</v>
      </c>
      <c r="AK1012" s="17">
        <f>IF(AJ1012="","",AJ1012-AH1012)</f>
        <v>13</v>
      </c>
    </row>
    <row r="1013" spans="1:37">
      <c r="A1013" s="2" t="s">
        <v>1421</v>
      </c>
      <c r="B1013" s="2" t="s">
        <v>1235</v>
      </c>
      <c r="C1013" s="2" t="s">
        <v>867</v>
      </c>
      <c r="D1013" s="2" t="s">
        <v>865</v>
      </c>
      <c r="E1013" s="2" t="s">
        <v>1236</v>
      </c>
      <c r="F1013" s="2" t="s">
        <v>313</v>
      </c>
      <c r="G1013" s="2" t="s">
        <v>1419</v>
      </c>
      <c r="H1013" s="2" t="s">
        <v>254</v>
      </c>
      <c r="I1013" s="2" t="s">
        <v>255</v>
      </c>
      <c r="J1013" s="2" t="s">
        <v>256</v>
      </c>
      <c r="K1013" s="9">
        <v>45756</v>
      </c>
      <c r="L1013" s="9">
        <v>45762</v>
      </c>
      <c r="M1013" s="9">
        <v>45756</v>
      </c>
      <c r="N1013" s="2" t="s">
        <v>1333</v>
      </c>
      <c r="O1013" s="2" t="s">
        <v>58</v>
      </c>
      <c r="P1013" s="2" t="s">
        <v>142</v>
      </c>
      <c r="Q1013" s="2" t="s">
        <v>156</v>
      </c>
      <c r="R1013" s="2" t="s">
        <v>128</v>
      </c>
      <c r="S1013" s="2" t="s">
        <v>259</v>
      </c>
      <c r="T1013" s="10">
        <v>5408</v>
      </c>
      <c r="U1013" s="11">
        <v>6.5500000000000003E-3</v>
      </c>
      <c r="V1013" s="12">
        <f>T1013*U1013</f>
        <v>35.422400000000003</v>
      </c>
      <c r="W1013" s="13">
        <v>0.1</v>
      </c>
      <c r="X1013" s="12">
        <f>V1013-(V1013/(1+W1013))</f>
        <v>3.2202181818181828</v>
      </c>
      <c r="Y1013" s="12">
        <f>V1013-X1013</f>
        <v>32.20218181818182</v>
      </c>
      <c r="Z1013" s="14">
        <v>60</v>
      </c>
      <c r="AA1013" s="2" t="str">
        <f>IF(V1013&gt;Z1013,"Yes","No")</f>
        <v>No</v>
      </c>
      <c r="AB1013" s="12">
        <f>V1013-Z1013</f>
        <v>-24.577599999999997</v>
      </c>
      <c r="AC1013" s="15" t="s">
        <v>130</v>
      </c>
      <c r="AD1013" s="15" t="s">
        <v>130</v>
      </c>
      <c r="AE1013" s="15" t="s">
        <v>260</v>
      </c>
      <c r="AF1013" s="12">
        <f>IF(AG1013="Rejected",0,IF(R1013="Corporate Card",0,V1013))</f>
        <v>0</v>
      </c>
      <c r="AG1013" s="15" t="s">
        <v>133</v>
      </c>
      <c r="AH1013" s="16">
        <v>45766</v>
      </c>
      <c r="AI1013" s="16">
        <v>45770</v>
      </c>
      <c r="AJ1013" s="16">
        <v>45779</v>
      </c>
      <c r="AK1013" s="17">
        <f>IF(AJ1013="","",AJ1013-AH1013)</f>
        <v>13</v>
      </c>
    </row>
    <row r="1014" spans="1:37">
      <c r="A1014" s="2" t="s">
        <v>1422</v>
      </c>
      <c r="B1014" s="2" t="s">
        <v>1235</v>
      </c>
      <c r="C1014" s="2" t="s">
        <v>867</v>
      </c>
      <c r="D1014" s="2" t="s">
        <v>865</v>
      </c>
      <c r="E1014" s="2" t="s">
        <v>1236</v>
      </c>
      <c r="F1014" s="2" t="s">
        <v>313</v>
      </c>
      <c r="G1014" s="2" t="s">
        <v>1419</v>
      </c>
      <c r="H1014" s="2" t="s">
        <v>254</v>
      </c>
      <c r="I1014" s="2" t="s">
        <v>255</v>
      </c>
      <c r="J1014" s="2" t="s">
        <v>256</v>
      </c>
      <c r="K1014" s="9">
        <v>45756</v>
      </c>
      <c r="L1014" s="9">
        <v>45762</v>
      </c>
      <c r="M1014" s="9">
        <v>45756</v>
      </c>
      <c r="N1014" s="2" t="s">
        <v>1333</v>
      </c>
      <c r="O1014" s="2" t="s">
        <v>54</v>
      </c>
      <c r="P1014" s="2" t="s">
        <v>139</v>
      </c>
      <c r="Q1014" s="2" t="s">
        <v>140</v>
      </c>
      <c r="R1014" s="2" t="s">
        <v>128</v>
      </c>
      <c r="S1014" s="2" t="s">
        <v>259</v>
      </c>
      <c r="T1014" s="10">
        <v>4841</v>
      </c>
      <c r="U1014" s="11">
        <v>6.5500000000000003E-3</v>
      </c>
      <c r="V1014" s="12">
        <f>T1014*U1014</f>
        <v>31.708550000000002</v>
      </c>
      <c r="W1014" s="13">
        <v>0.1</v>
      </c>
      <c r="X1014" s="12">
        <f>V1014-(V1014/(1+W1014))</f>
        <v>2.8825954545454557</v>
      </c>
      <c r="Y1014" s="12">
        <f>V1014-X1014</f>
        <v>28.825954545454547</v>
      </c>
      <c r="Z1014" s="14">
        <v>25</v>
      </c>
      <c r="AA1014" s="2" t="str">
        <f>IF(V1014&gt;Z1014,"Yes","No")</f>
        <v>Yes</v>
      </c>
      <c r="AB1014" s="12">
        <f>V1014-Z1014</f>
        <v>6.7085500000000025</v>
      </c>
      <c r="AC1014" s="15" t="s">
        <v>130</v>
      </c>
      <c r="AD1014" s="15" t="s">
        <v>130</v>
      </c>
      <c r="AE1014" s="15" t="s">
        <v>260</v>
      </c>
      <c r="AF1014" s="12">
        <f>IF(AG1014="Rejected",0,IF(R1014="Corporate Card",0,V1014))</f>
        <v>0</v>
      </c>
      <c r="AG1014" s="15" t="s">
        <v>133</v>
      </c>
      <c r="AH1014" s="16">
        <v>45766</v>
      </c>
      <c r="AI1014" s="16">
        <v>45770</v>
      </c>
      <c r="AJ1014" s="16">
        <v>45779</v>
      </c>
      <c r="AK1014" s="17">
        <f>IF(AJ1014="","",AJ1014-AH1014)</f>
        <v>13</v>
      </c>
    </row>
    <row r="1015" spans="1:37">
      <c r="A1015" s="2" t="s">
        <v>1423</v>
      </c>
      <c r="B1015" s="2" t="s">
        <v>1235</v>
      </c>
      <c r="C1015" s="2" t="s">
        <v>867</v>
      </c>
      <c r="D1015" s="2" t="s">
        <v>865</v>
      </c>
      <c r="E1015" s="2" t="s">
        <v>1236</v>
      </c>
      <c r="F1015" s="2" t="s">
        <v>313</v>
      </c>
      <c r="G1015" s="2" t="s">
        <v>1419</v>
      </c>
      <c r="H1015" s="2" t="s">
        <v>254</v>
      </c>
      <c r="I1015" s="2" t="s">
        <v>255</v>
      </c>
      <c r="J1015" s="2" t="s">
        <v>256</v>
      </c>
      <c r="K1015" s="9">
        <v>45756</v>
      </c>
      <c r="L1015" s="9">
        <v>45762</v>
      </c>
      <c r="M1015" s="9">
        <v>45756</v>
      </c>
      <c r="N1015" s="2" t="s">
        <v>1333</v>
      </c>
      <c r="O1015" s="2" t="s">
        <v>56</v>
      </c>
      <c r="P1015" s="2" t="s">
        <v>245</v>
      </c>
      <c r="Q1015" s="2" t="s">
        <v>185</v>
      </c>
      <c r="R1015" s="2" t="s">
        <v>128</v>
      </c>
      <c r="S1015" s="2" t="s">
        <v>259</v>
      </c>
      <c r="T1015" s="10">
        <v>17553</v>
      </c>
      <c r="U1015" s="11">
        <v>6.5500000000000003E-3</v>
      </c>
      <c r="V1015" s="12">
        <f>T1015*U1015</f>
        <v>114.97215</v>
      </c>
      <c r="W1015" s="13">
        <v>0.1</v>
      </c>
      <c r="X1015" s="12">
        <f>V1015-(V1015/(1+W1015))</f>
        <v>10.452013636363645</v>
      </c>
      <c r="Y1015" s="12">
        <f>V1015-X1015</f>
        <v>104.52013636363635</v>
      </c>
      <c r="Z1015" s="14">
        <v>75</v>
      </c>
      <c r="AA1015" s="2" t="str">
        <f>IF(V1015&gt;Z1015,"Yes","No")</f>
        <v>Yes</v>
      </c>
      <c r="AB1015" s="12">
        <f>V1015-Z1015</f>
        <v>39.972149999999999</v>
      </c>
      <c r="AC1015" s="15" t="s">
        <v>130</v>
      </c>
      <c r="AD1015" s="15" t="s">
        <v>130</v>
      </c>
      <c r="AE1015" s="15" t="s">
        <v>260</v>
      </c>
      <c r="AF1015" s="12">
        <f>IF(AG1015="Rejected",0,IF(R1015="Corporate Card",0,V1015))</f>
        <v>0</v>
      </c>
      <c r="AG1015" s="15" t="s">
        <v>133</v>
      </c>
      <c r="AH1015" s="16">
        <v>45766</v>
      </c>
      <c r="AI1015" s="16">
        <v>45770</v>
      </c>
      <c r="AJ1015" s="16">
        <v>45779</v>
      </c>
      <c r="AK1015" s="17">
        <f>IF(AJ1015="","",AJ1015-AH1015)</f>
        <v>13</v>
      </c>
    </row>
    <row r="1016" spans="1:37">
      <c r="A1016" s="2" t="s">
        <v>1424</v>
      </c>
      <c r="B1016" s="2" t="s">
        <v>1235</v>
      </c>
      <c r="C1016" s="2" t="s">
        <v>867</v>
      </c>
      <c r="D1016" s="2" t="s">
        <v>865</v>
      </c>
      <c r="E1016" s="2" t="s">
        <v>1236</v>
      </c>
      <c r="F1016" s="2" t="s">
        <v>313</v>
      </c>
      <c r="G1016" s="2" t="s">
        <v>1419</v>
      </c>
      <c r="H1016" s="2" t="s">
        <v>254</v>
      </c>
      <c r="I1016" s="2" t="s">
        <v>255</v>
      </c>
      <c r="J1016" s="2" t="s">
        <v>256</v>
      </c>
      <c r="K1016" s="9">
        <v>45756</v>
      </c>
      <c r="L1016" s="9">
        <v>45762</v>
      </c>
      <c r="M1016" s="9">
        <v>45756</v>
      </c>
      <c r="N1016" s="2" t="s">
        <v>1333</v>
      </c>
      <c r="O1016" s="2" t="s">
        <v>55</v>
      </c>
      <c r="P1016" s="2" t="s">
        <v>139</v>
      </c>
      <c r="Q1016" s="2" t="s">
        <v>154</v>
      </c>
      <c r="R1016" s="2" t="s">
        <v>137</v>
      </c>
      <c r="S1016" s="2" t="s">
        <v>259</v>
      </c>
      <c r="T1016" s="10">
        <v>7676</v>
      </c>
      <c r="U1016" s="11">
        <v>6.5500000000000003E-3</v>
      </c>
      <c r="V1016" s="12">
        <f>T1016*U1016</f>
        <v>50.277799999999999</v>
      </c>
      <c r="W1016" s="13">
        <v>0.1</v>
      </c>
      <c r="X1016" s="12">
        <f>V1016-(V1016/(1+W1016))</f>
        <v>4.5707090909090979</v>
      </c>
      <c r="Y1016" s="12">
        <f>V1016-X1016</f>
        <v>45.707090909090901</v>
      </c>
      <c r="Z1016" s="14">
        <v>35</v>
      </c>
      <c r="AA1016" s="2" t="str">
        <f>IF(V1016&gt;Z1016,"Yes","No")</f>
        <v>Yes</v>
      </c>
      <c r="AB1016" s="12">
        <f>V1016-Z1016</f>
        <v>15.277799999999999</v>
      </c>
      <c r="AC1016" s="15" t="s">
        <v>130</v>
      </c>
      <c r="AD1016" s="15" t="s">
        <v>130</v>
      </c>
      <c r="AE1016" s="15" t="s">
        <v>260</v>
      </c>
      <c r="AF1016" s="12">
        <f>IF(AG1016="Rejected",0,IF(R1016="Corporate Card",0,V1016))</f>
        <v>50.277799999999999</v>
      </c>
      <c r="AG1016" s="15" t="s">
        <v>133</v>
      </c>
      <c r="AH1016" s="16">
        <v>45766</v>
      </c>
      <c r="AI1016" s="16">
        <v>45770</v>
      </c>
      <c r="AJ1016" s="16">
        <v>45779</v>
      </c>
      <c r="AK1016" s="17">
        <f>IF(AJ1016="","",AJ1016-AH1016)</f>
        <v>13</v>
      </c>
    </row>
    <row r="1017" spans="1:37">
      <c r="A1017" s="2" t="s">
        <v>1425</v>
      </c>
      <c r="B1017" s="2" t="s">
        <v>248</v>
      </c>
      <c r="C1017" s="2" t="s">
        <v>249</v>
      </c>
      <c r="D1017" s="2" t="s">
        <v>250</v>
      </c>
      <c r="E1017" s="2" t="s">
        <v>251</v>
      </c>
      <c r="F1017" s="2" t="s">
        <v>252</v>
      </c>
      <c r="G1017" s="2" t="s">
        <v>1384</v>
      </c>
      <c r="H1017" s="2" t="s">
        <v>193</v>
      </c>
      <c r="I1017" s="2" t="s">
        <v>1038</v>
      </c>
      <c r="J1017" s="2" t="s">
        <v>381</v>
      </c>
      <c r="K1017" s="9">
        <v>45753</v>
      </c>
      <c r="L1017" s="9">
        <v>45761</v>
      </c>
      <c r="M1017" s="9">
        <v>45756</v>
      </c>
      <c r="N1017" s="2" t="s">
        <v>1333</v>
      </c>
      <c r="O1017" s="2" t="s">
        <v>68</v>
      </c>
      <c r="P1017" s="2" t="s">
        <v>282</v>
      </c>
      <c r="Q1017" s="2" t="s">
        <v>283</v>
      </c>
      <c r="R1017" s="2" t="s">
        <v>149</v>
      </c>
      <c r="S1017" s="2" t="s">
        <v>383</v>
      </c>
      <c r="T1017" s="10">
        <v>15.59</v>
      </c>
      <c r="U1017" s="11">
        <v>1</v>
      </c>
      <c r="V1017" s="12">
        <f>T1017*U1017</f>
        <v>15.59</v>
      </c>
      <c r="W1017" s="13">
        <v>0</v>
      </c>
      <c r="X1017" s="12">
        <f>V1017-(V1017/(1+W1017))</f>
        <v>0</v>
      </c>
      <c r="Y1017" s="12">
        <f>V1017-X1017</f>
        <v>15.59</v>
      </c>
      <c r="Z1017" s="14">
        <v>30</v>
      </c>
      <c r="AA1017" s="2" t="str">
        <f>IF(V1017&gt;Z1017,"Yes","No")</f>
        <v>No</v>
      </c>
      <c r="AB1017" s="12">
        <f>V1017-Z1017</f>
        <v>-14.41</v>
      </c>
      <c r="AC1017" s="15" t="s">
        <v>130</v>
      </c>
      <c r="AD1017" s="15" t="s">
        <v>130</v>
      </c>
      <c r="AE1017" s="15" t="s">
        <v>858</v>
      </c>
      <c r="AF1017" s="12">
        <f>IF(AG1017="Rejected",0,IF(R1017="Corporate Card",0,V1017))</f>
        <v>15.59</v>
      </c>
      <c r="AG1017" s="15" t="s">
        <v>133</v>
      </c>
      <c r="AH1017" s="16">
        <v>45762</v>
      </c>
      <c r="AI1017" s="16">
        <v>45769</v>
      </c>
      <c r="AJ1017" s="16">
        <v>45774</v>
      </c>
      <c r="AK1017" s="17">
        <f>IF(AJ1017="","",AJ1017-AH1017)</f>
        <v>12</v>
      </c>
    </row>
    <row r="1018" spans="1:37">
      <c r="A1018" s="2" t="s">
        <v>1426</v>
      </c>
      <c r="B1018" s="2" t="s">
        <v>248</v>
      </c>
      <c r="C1018" s="2" t="s">
        <v>249</v>
      </c>
      <c r="D1018" s="2" t="s">
        <v>250</v>
      </c>
      <c r="E1018" s="2" t="s">
        <v>251</v>
      </c>
      <c r="F1018" s="2" t="s">
        <v>252</v>
      </c>
      <c r="G1018" s="2" t="s">
        <v>1384</v>
      </c>
      <c r="H1018" s="2" t="s">
        <v>193</v>
      </c>
      <c r="I1018" s="2" t="s">
        <v>1038</v>
      </c>
      <c r="J1018" s="2" t="s">
        <v>381</v>
      </c>
      <c r="K1018" s="9">
        <v>45753</v>
      </c>
      <c r="L1018" s="9">
        <v>45761</v>
      </c>
      <c r="M1018" s="9">
        <v>45756</v>
      </c>
      <c r="N1018" s="2" t="s">
        <v>1333</v>
      </c>
      <c r="O1018" s="2" t="s">
        <v>54</v>
      </c>
      <c r="P1018" s="2" t="s">
        <v>139</v>
      </c>
      <c r="Q1018" s="2" t="s">
        <v>140</v>
      </c>
      <c r="R1018" s="2" t="s">
        <v>149</v>
      </c>
      <c r="S1018" s="2" t="s">
        <v>383</v>
      </c>
      <c r="T1018" s="10">
        <v>15.73</v>
      </c>
      <c r="U1018" s="11">
        <v>1</v>
      </c>
      <c r="V1018" s="12">
        <f>T1018*U1018</f>
        <v>15.73</v>
      </c>
      <c r="W1018" s="13">
        <v>0</v>
      </c>
      <c r="X1018" s="12">
        <f>V1018-(V1018/(1+W1018))</f>
        <v>0</v>
      </c>
      <c r="Y1018" s="12">
        <f>V1018-X1018</f>
        <v>15.73</v>
      </c>
      <c r="Z1018" s="14">
        <v>25</v>
      </c>
      <c r="AA1018" s="2" t="str">
        <f>IF(V1018&gt;Z1018,"Yes","No")</f>
        <v>No</v>
      </c>
      <c r="AB1018" s="12">
        <f>V1018-Z1018</f>
        <v>-9.27</v>
      </c>
      <c r="AC1018" s="15" t="s">
        <v>130</v>
      </c>
      <c r="AD1018" s="15" t="s">
        <v>130</v>
      </c>
      <c r="AE1018" s="15" t="s">
        <v>858</v>
      </c>
      <c r="AF1018" s="12">
        <f>IF(AG1018="Rejected",0,IF(R1018="Corporate Card",0,V1018))</f>
        <v>15.73</v>
      </c>
      <c r="AG1018" s="15" t="s">
        <v>133</v>
      </c>
      <c r="AH1018" s="16">
        <v>45762</v>
      </c>
      <c r="AI1018" s="16">
        <v>45769</v>
      </c>
      <c r="AJ1018" s="16">
        <v>45774</v>
      </c>
      <c r="AK1018" s="17">
        <f>IF(AJ1018="","",AJ1018-AH1018)</f>
        <v>12</v>
      </c>
    </row>
    <row r="1019" spans="1:37">
      <c r="A1019" s="2" t="s">
        <v>1427</v>
      </c>
      <c r="B1019" s="2" t="s">
        <v>248</v>
      </c>
      <c r="C1019" s="2" t="s">
        <v>249</v>
      </c>
      <c r="D1019" s="2" t="s">
        <v>250</v>
      </c>
      <c r="E1019" s="2" t="s">
        <v>251</v>
      </c>
      <c r="F1019" s="2" t="s">
        <v>252</v>
      </c>
      <c r="G1019" s="2" t="s">
        <v>1384</v>
      </c>
      <c r="H1019" s="2" t="s">
        <v>193</v>
      </c>
      <c r="I1019" s="2" t="s">
        <v>1038</v>
      </c>
      <c r="J1019" s="2" t="s">
        <v>381</v>
      </c>
      <c r="K1019" s="9">
        <v>45753</v>
      </c>
      <c r="L1019" s="9">
        <v>45761</v>
      </c>
      <c r="M1019" s="9">
        <v>45756</v>
      </c>
      <c r="N1019" s="2" t="s">
        <v>1333</v>
      </c>
      <c r="O1019" s="2" t="s">
        <v>56</v>
      </c>
      <c r="P1019" s="2" t="s">
        <v>165</v>
      </c>
      <c r="Q1019" s="2" t="s">
        <v>227</v>
      </c>
      <c r="R1019" s="2" t="s">
        <v>149</v>
      </c>
      <c r="S1019" s="2" t="s">
        <v>383</v>
      </c>
      <c r="T1019" s="10">
        <v>30.09</v>
      </c>
      <c r="U1019" s="11">
        <v>1</v>
      </c>
      <c r="V1019" s="12">
        <f>T1019*U1019</f>
        <v>30.09</v>
      </c>
      <c r="W1019" s="13">
        <v>0</v>
      </c>
      <c r="X1019" s="12">
        <f>V1019-(V1019/(1+W1019))</f>
        <v>0</v>
      </c>
      <c r="Y1019" s="12">
        <f>V1019-X1019</f>
        <v>30.09</v>
      </c>
      <c r="Z1019" s="14">
        <v>75</v>
      </c>
      <c r="AA1019" s="2" t="str">
        <f>IF(V1019&gt;Z1019,"Yes","No")</f>
        <v>No</v>
      </c>
      <c r="AB1019" s="12">
        <f>V1019-Z1019</f>
        <v>-44.91</v>
      </c>
      <c r="AC1019" s="15" t="s">
        <v>130</v>
      </c>
      <c r="AD1019" s="15" t="s">
        <v>130</v>
      </c>
      <c r="AE1019" s="15" t="s">
        <v>858</v>
      </c>
      <c r="AF1019" s="12">
        <f>IF(AG1019="Rejected",0,IF(R1019="Corporate Card",0,V1019))</f>
        <v>30.09</v>
      </c>
      <c r="AG1019" s="15" t="s">
        <v>133</v>
      </c>
      <c r="AH1019" s="16">
        <v>45762</v>
      </c>
      <c r="AI1019" s="16">
        <v>45769</v>
      </c>
      <c r="AJ1019" s="16">
        <v>45774</v>
      </c>
      <c r="AK1019" s="17">
        <f>IF(AJ1019="","",AJ1019-AH1019)</f>
        <v>12</v>
      </c>
    </row>
    <row r="1020" spans="1:37">
      <c r="A1020" s="2" t="s">
        <v>1428</v>
      </c>
      <c r="B1020" s="2" t="s">
        <v>248</v>
      </c>
      <c r="C1020" s="2" t="s">
        <v>249</v>
      </c>
      <c r="D1020" s="2" t="s">
        <v>250</v>
      </c>
      <c r="E1020" s="2" t="s">
        <v>251</v>
      </c>
      <c r="F1020" s="2" t="s">
        <v>252</v>
      </c>
      <c r="G1020" s="2" t="s">
        <v>1384</v>
      </c>
      <c r="H1020" s="2" t="s">
        <v>193</v>
      </c>
      <c r="I1020" s="2" t="s">
        <v>1038</v>
      </c>
      <c r="J1020" s="2" t="s">
        <v>381</v>
      </c>
      <c r="K1020" s="9">
        <v>45753</v>
      </c>
      <c r="L1020" s="9">
        <v>45761</v>
      </c>
      <c r="M1020" s="9">
        <v>45756</v>
      </c>
      <c r="N1020" s="2" t="s">
        <v>1333</v>
      </c>
      <c r="O1020" s="2" t="s">
        <v>55</v>
      </c>
      <c r="P1020" s="2" t="s">
        <v>139</v>
      </c>
      <c r="Q1020" s="2" t="s">
        <v>154</v>
      </c>
      <c r="R1020" s="2" t="s">
        <v>128</v>
      </c>
      <c r="S1020" s="2" t="s">
        <v>383</v>
      </c>
      <c r="T1020" s="10">
        <v>14.29</v>
      </c>
      <c r="U1020" s="11">
        <v>1</v>
      </c>
      <c r="V1020" s="12">
        <f>T1020*U1020</f>
        <v>14.29</v>
      </c>
      <c r="W1020" s="13">
        <v>0</v>
      </c>
      <c r="X1020" s="12">
        <f>V1020-(V1020/(1+W1020))</f>
        <v>0</v>
      </c>
      <c r="Y1020" s="12">
        <f>V1020-X1020</f>
        <v>14.29</v>
      </c>
      <c r="Z1020" s="14">
        <v>35</v>
      </c>
      <c r="AA1020" s="2" t="str">
        <f>IF(V1020&gt;Z1020,"Yes","No")</f>
        <v>No</v>
      </c>
      <c r="AB1020" s="12">
        <f>V1020-Z1020</f>
        <v>-20.71</v>
      </c>
      <c r="AC1020" s="15" t="s">
        <v>130</v>
      </c>
      <c r="AD1020" s="15" t="s">
        <v>130</v>
      </c>
      <c r="AE1020" s="15" t="s">
        <v>858</v>
      </c>
      <c r="AF1020" s="12">
        <f>IF(AG1020="Rejected",0,IF(R1020="Corporate Card",0,V1020))</f>
        <v>0</v>
      </c>
      <c r="AG1020" s="15" t="s">
        <v>133</v>
      </c>
      <c r="AH1020" s="16">
        <v>45762</v>
      </c>
      <c r="AI1020" s="16">
        <v>45769</v>
      </c>
      <c r="AJ1020" s="16">
        <v>45774</v>
      </c>
      <c r="AK1020" s="17">
        <f>IF(AJ1020="","",AJ1020-AH1020)</f>
        <v>12</v>
      </c>
    </row>
    <row r="1021" spans="1:37">
      <c r="A1021" s="2" t="s">
        <v>1429</v>
      </c>
      <c r="B1021" s="2" t="s">
        <v>310</v>
      </c>
      <c r="C1021" s="2" t="s">
        <v>311</v>
      </c>
      <c r="D1021" s="2" t="s">
        <v>118</v>
      </c>
      <c r="E1021" s="2" t="s">
        <v>312</v>
      </c>
      <c r="F1021" s="2" t="s">
        <v>313</v>
      </c>
      <c r="G1021" s="2" t="s">
        <v>1345</v>
      </c>
      <c r="H1021" s="2" t="s">
        <v>254</v>
      </c>
      <c r="I1021" s="2" t="s">
        <v>175</v>
      </c>
      <c r="J1021" s="2" t="s">
        <v>176</v>
      </c>
      <c r="K1021" s="9">
        <v>45749</v>
      </c>
      <c r="L1021" s="9">
        <v>45757</v>
      </c>
      <c r="M1021" s="9">
        <v>45756</v>
      </c>
      <c r="N1021" s="2" t="s">
        <v>1333</v>
      </c>
      <c r="O1021" s="2" t="s">
        <v>54</v>
      </c>
      <c r="P1021" s="2" t="s">
        <v>139</v>
      </c>
      <c r="Q1021" s="2" t="s">
        <v>214</v>
      </c>
      <c r="R1021" s="2" t="s">
        <v>149</v>
      </c>
      <c r="S1021" s="2" t="s">
        <v>179</v>
      </c>
      <c r="T1021" s="10">
        <v>151.44</v>
      </c>
      <c r="U1021" s="11">
        <v>0.18099999999999999</v>
      </c>
      <c r="V1021" s="12">
        <f>T1021*U1021</f>
        <v>27.410639999999997</v>
      </c>
      <c r="W1021" s="13">
        <v>0.17</v>
      </c>
      <c r="X1021" s="12">
        <f>V1021-(V1021/(1+W1021))</f>
        <v>3.982742564102562</v>
      </c>
      <c r="Y1021" s="12">
        <f>V1021-X1021</f>
        <v>23.427897435897435</v>
      </c>
      <c r="Z1021" s="14">
        <v>25</v>
      </c>
      <c r="AA1021" s="2" t="str">
        <f>IF(V1021&gt;Z1021,"Yes","No")</f>
        <v>Yes</v>
      </c>
      <c r="AB1021" s="12">
        <f>V1021-Z1021</f>
        <v>2.4106399999999972</v>
      </c>
      <c r="AC1021" s="15" t="s">
        <v>130</v>
      </c>
      <c r="AD1021" s="15" t="s">
        <v>130</v>
      </c>
      <c r="AE1021" s="15" t="s">
        <v>421</v>
      </c>
      <c r="AF1021" s="12">
        <f>IF(AG1021="Rejected",0,IF(R1021="Corporate Card",0,V1021))</f>
        <v>27.410639999999997</v>
      </c>
      <c r="AG1021" s="15" t="s">
        <v>133</v>
      </c>
      <c r="AH1021" s="16">
        <v>45769</v>
      </c>
      <c r="AI1021" s="16">
        <v>45770</v>
      </c>
      <c r="AJ1021" s="16">
        <v>45778</v>
      </c>
      <c r="AK1021" s="17">
        <f>IF(AJ1021="","",AJ1021-AH1021)</f>
        <v>9</v>
      </c>
    </row>
    <row r="1022" spans="1:37">
      <c r="A1022" s="2" t="s">
        <v>1430</v>
      </c>
      <c r="B1022" s="2" t="s">
        <v>310</v>
      </c>
      <c r="C1022" s="2" t="s">
        <v>311</v>
      </c>
      <c r="D1022" s="2" t="s">
        <v>118</v>
      </c>
      <c r="E1022" s="2" t="s">
        <v>312</v>
      </c>
      <c r="F1022" s="2" t="s">
        <v>313</v>
      </c>
      <c r="G1022" s="2" t="s">
        <v>1345</v>
      </c>
      <c r="H1022" s="2" t="s">
        <v>254</v>
      </c>
      <c r="I1022" s="2" t="s">
        <v>175</v>
      </c>
      <c r="J1022" s="2" t="s">
        <v>176</v>
      </c>
      <c r="K1022" s="9">
        <v>45749</v>
      </c>
      <c r="L1022" s="9">
        <v>45757</v>
      </c>
      <c r="M1022" s="9">
        <v>45756</v>
      </c>
      <c r="N1022" s="2" t="s">
        <v>1333</v>
      </c>
      <c r="O1022" s="2" t="s">
        <v>55</v>
      </c>
      <c r="P1022" s="2" t="s">
        <v>139</v>
      </c>
      <c r="Q1022" s="2" t="s">
        <v>161</v>
      </c>
      <c r="R1022" s="2" t="s">
        <v>137</v>
      </c>
      <c r="S1022" s="2" t="s">
        <v>179</v>
      </c>
      <c r="T1022" s="10">
        <v>146.46</v>
      </c>
      <c r="U1022" s="11">
        <v>0.18099999999999999</v>
      </c>
      <c r="V1022" s="12">
        <f>T1022*U1022</f>
        <v>26.509260000000001</v>
      </c>
      <c r="W1022" s="13">
        <v>0.17</v>
      </c>
      <c r="X1022" s="12">
        <f>V1022-(V1022/(1+W1022))</f>
        <v>3.8517728205128208</v>
      </c>
      <c r="Y1022" s="12">
        <f>V1022-X1022</f>
        <v>22.65748717948718</v>
      </c>
      <c r="Z1022" s="14">
        <v>35</v>
      </c>
      <c r="AA1022" s="2" t="str">
        <f>IF(V1022&gt;Z1022,"Yes","No")</f>
        <v>No</v>
      </c>
      <c r="AB1022" s="12">
        <f>V1022-Z1022</f>
        <v>-8.4907399999999988</v>
      </c>
      <c r="AC1022" s="15" t="s">
        <v>130</v>
      </c>
      <c r="AD1022" s="15" t="s">
        <v>130</v>
      </c>
      <c r="AE1022" s="15" t="s">
        <v>421</v>
      </c>
      <c r="AF1022" s="12">
        <f>IF(AG1022="Rejected",0,IF(R1022="Corporate Card",0,V1022))</f>
        <v>26.509260000000001</v>
      </c>
      <c r="AG1022" s="15" t="s">
        <v>133</v>
      </c>
      <c r="AH1022" s="16">
        <v>45769</v>
      </c>
      <c r="AI1022" s="16">
        <v>45770</v>
      </c>
      <c r="AJ1022" s="16">
        <v>45778</v>
      </c>
      <c r="AK1022" s="17">
        <f>IF(AJ1022="","",AJ1022-AH1022)</f>
        <v>9</v>
      </c>
    </row>
    <row r="1023" spans="1:37">
      <c r="A1023" s="2" t="s">
        <v>1431</v>
      </c>
      <c r="B1023" s="2" t="s">
        <v>1235</v>
      </c>
      <c r="C1023" s="2" t="s">
        <v>867</v>
      </c>
      <c r="D1023" s="2" t="s">
        <v>865</v>
      </c>
      <c r="E1023" s="2" t="s">
        <v>1236</v>
      </c>
      <c r="F1023" s="2" t="s">
        <v>313</v>
      </c>
      <c r="G1023" s="2" t="s">
        <v>1419</v>
      </c>
      <c r="H1023" s="2" t="s">
        <v>254</v>
      </c>
      <c r="I1023" s="2" t="s">
        <v>255</v>
      </c>
      <c r="J1023" s="2" t="s">
        <v>256</v>
      </c>
      <c r="K1023" s="9">
        <v>45756</v>
      </c>
      <c r="L1023" s="9">
        <v>45762</v>
      </c>
      <c r="M1023" s="9">
        <v>45757</v>
      </c>
      <c r="N1023" s="2" t="s">
        <v>1333</v>
      </c>
      <c r="O1023" s="2" t="s">
        <v>58</v>
      </c>
      <c r="P1023" s="2" t="s">
        <v>142</v>
      </c>
      <c r="Q1023" s="2" t="s">
        <v>156</v>
      </c>
      <c r="R1023" s="2" t="s">
        <v>128</v>
      </c>
      <c r="S1023" s="2" t="s">
        <v>259</v>
      </c>
      <c r="T1023" s="10">
        <v>9787</v>
      </c>
      <c r="U1023" s="11">
        <v>6.5500000000000003E-3</v>
      </c>
      <c r="V1023" s="12">
        <f>T1023*U1023</f>
        <v>64.104849999999999</v>
      </c>
      <c r="W1023" s="13">
        <v>0.1</v>
      </c>
      <c r="X1023" s="12">
        <f>V1023-(V1023/(1+W1023))</f>
        <v>5.8277136363636401</v>
      </c>
      <c r="Y1023" s="12">
        <f>V1023-X1023</f>
        <v>58.277136363636359</v>
      </c>
      <c r="Z1023" s="14">
        <v>60</v>
      </c>
      <c r="AA1023" s="2" t="str">
        <f>IF(V1023&gt;Z1023,"Yes","No")</f>
        <v>Yes</v>
      </c>
      <c r="AB1023" s="12">
        <f>V1023-Z1023</f>
        <v>4.104849999999999</v>
      </c>
      <c r="AC1023" s="15" t="s">
        <v>130</v>
      </c>
      <c r="AD1023" s="15" t="s">
        <v>130</v>
      </c>
      <c r="AE1023" s="15" t="s">
        <v>260</v>
      </c>
      <c r="AF1023" s="12">
        <f>IF(AG1023="Rejected",0,IF(R1023="Corporate Card",0,V1023))</f>
        <v>0</v>
      </c>
      <c r="AG1023" s="15" t="s">
        <v>133</v>
      </c>
      <c r="AH1023" s="16">
        <v>45766</v>
      </c>
      <c r="AI1023" s="16">
        <v>45770</v>
      </c>
      <c r="AJ1023" s="16">
        <v>45779</v>
      </c>
      <c r="AK1023" s="17">
        <f>IF(AJ1023="","",AJ1023-AH1023)</f>
        <v>13</v>
      </c>
    </row>
    <row r="1024" spans="1:37">
      <c r="A1024" s="2" t="s">
        <v>1432</v>
      </c>
      <c r="B1024" s="2" t="s">
        <v>1235</v>
      </c>
      <c r="C1024" s="2" t="s">
        <v>867</v>
      </c>
      <c r="D1024" s="2" t="s">
        <v>865</v>
      </c>
      <c r="E1024" s="2" t="s">
        <v>1236</v>
      </c>
      <c r="F1024" s="2" t="s">
        <v>313</v>
      </c>
      <c r="G1024" s="2" t="s">
        <v>1419</v>
      </c>
      <c r="H1024" s="2" t="s">
        <v>254</v>
      </c>
      <c r="I1024" s="2" t="s">
        <v>255</v>
      </c>
      <c r="J1024" s="2" t="s">
        <v>256</v>
      </c>
      <c r="K1024" s="9">
        <v>45756</v>
      </c>
      <c r="L1024" s="9">
        <v>45762</v>
      </c>
      <c r="M1024" s="9">
        <v>45757</v>
      </c>
      <c r="N1024" s="2" t="s">
        <v>1333</v>
      </c>
      <c r="O1024" s="2" t="s">
        <v>53</v>
      </c>
      <c r="P1024" s="2" t="s">
        <v>467</v>
      </c>
      <c r="Q1024" s="2" t="s">
        <v>468</v>
      </c>
      <c r="R1024" s="2" t="s">
        <v>149</v>
      </c>
      <c r="S1024" s="2" t="s">
        <v>259</v>
      </c>
      <c r="T1024" s="10">
        <v>208895</v>
      </c>
      <c r="U1024" s="11">
        <v>6.5500000000000003E-3</v>
      </c>
      <c r="V1024" s="12">
        <f>T1024*U1024</f>
        <v>1368.26225</v>
      </c>
      <c r="W1024" s="13">
        <v>0.1</v>
      </c>
      <c r="X1024" s="12">
        <f>V1024-(V1024/(1+W1024))</f>
        <v>124.38747727272744</v>
      </c>
      <c r="Y1024" s="12">
        <f>V1024-X1024</f>
        <v>1243.8747727272726</v>
      </c>
      <c r="Z1024" s="14">
        <v>1680</v>
      </c>
      <c r="AA1024" s="2" t="str">
        <f>IF(V1024&gt;Z1024,"Yes","No")</f>
        <v>No</v>
      </c>
      <c r="AB1024" s="12">
        <f>V1024-Z1024</f>
        <v>-311.73775000000001</v>
      </c>
      <c r="AC1024" s="15" t="s">
        <v>130</v>
      </c>
      <c r="AD1024" s="15" t="s">
        <v>130</v>
      </c>
      <c r="AE1024" s="15" t="s">
        <v>260</v>
      </c>
      <c r="AF1024" s="12">
        <f>IF(AG1024="Rejected",0,IF(R1024="Corporate Card",0,V1024))</f>
        <v>1368.26225</v>
      </c>
      <c r="AG1024" s="15" t="s">
        <v>133</v>
      </c>
      <c r="AH1024" s="16">
        <v>45766</v>
      </c>
      <c r="AI1024" s="16">
        <v>45770</v>
      </c>
      <c r="AJ1024" s="16">
        <v>45779</v>
      </c>
      <c r="AK1024" s="17">
        <f>IF(AJ1024="","",AJ1024-AH1024)</f>
        <v>13</v>
      </c>
    </row>
    <row r="1025" spans="1:37">
      <c r="A1025" s="2" t="s">
        <v>1433</v>
      </c>
      <c r="B1025" s="2" t="s">
        <v>1235</v>
      </c>
      <c r="C1025" s="2" t="s">
        <v>867</v>
      </c>
      <c r="D1025" s="2" t="s">
        <v>865</v>
      </c>
      <c r="E1025" s="2" t="s">
        <v>1236</v>
      </c>
      <c r="F1025" s="2" t="s">
        <v>313</v>
      </c>
      <c r="G1025" s="2" t="s">
        <v>1419</v>
      </c>
      <c r="H1025" s="2" t="s">
        <v>254</v>
      </c>
      <c r="I1025" s="2" t="s">
        <v>255</v>
      </c>
      <c r="J1025" s="2" t="s">
        <v>256</v>
      </c>
      <c r="K1025" s="9">
        <v>45756</v>
      </c>
      <c r="L1025" s="9">
        <v>45762</v>
      </c>
      <c r="M1025" s="9">
        <v>45757</v>
      </c>
      <c r="N1025" s="2" t="s">
        <v>1333</v>
      </c>
      <c r="O1025" s="2" t="s">
        <v>55</v>
      </c>
      <c r="P1025" s="2" t="s">
        <v>139</v>
      </c>
      <c r="Q1025" s="2" t="s">
        <v>154</v>
      </c>
      <c r="R1025" s="2" t="s">
        <v>149</v>
      </c>
      <c r="S1025" s="2" t="s">
        <v>259</v>
      </c>
      <c r="T1025" s="10">
        <v>2934</v>
      </c>
      <c r="U1025" s="11">
        <v>6.5500000000000003E-3</v>
      </c>
      <c r="V1025" s="12">
        <f>T1025*U1025</f>
        <v>19.217700000000001</v>
      </c>
      <c r="W1025" s="13">
        <v>0.1</v>
      </c>
      <c r="X1025" s="12">
        <f>V1025-(V1025/(1+W1025))</f>
        <v>1.747063636363638</v>
      </c>
      <c r="Y1025" s="12">
        <f>V1025-X1025</f>
        <v>17.470636363636363</v>
      </c>
      <c r="Z1025" s="14">
        <v>35</v>
      </c>
      <c r="AA1025" s="2" t="str">
        <f>IF(V1025&gt;Z1025,"Yes","No")</f>
        <v>No</v>
      </c>
      <c r="AB1025" s="12">
        <f>V1025-Z1025</f>
        <v>-15.782299999999999</v>
      </c>
      <c r="AC1025" s="15" t="s">
        <v>130</v>
      </c>
      <c r="AD1025" s="15" t="s">
        <v>130</v>
      </c>
      <c r="AE1025" s="15" t="s">
        <v>260</v>
      </c>
      <c r="AF1025" s="12">
        <f>IF(AG1025="Rejected",0,IF(R1025="Corporate Card",0,V1025))</f>
        <v>19.217700000000001</v>
      </c>
      <c r="AG1025" s="15" t="s">
        <v>133</v>
      </c>
      <c r="AH1025" s="16">
        <v>45766</v>
      </c>
      <c r="AI1025" s="16">
        <v>45770</v>
      </c>
      <c r="AJ1025" s="16">
        <v>45779</v>
      </c>
      <c r="AK1025" s="17">
        <f>IF(AJ1025="","",AJ1025-AH1025)</f>
        <v>13</v>
      </c>
    </row>
    <row r="1026" spans="1:37">
      <c r="A1026" s="2" t="s">
        <v>1434</v>
      </c>
      <c r="B1026" s="2" t="s">
        <v>248</v>
      </c>
      <c r="C1026" s="2" t="s">
        <v>249</v>
      </c>
      <c r="D1026" s="2" t="s">
        <v>250</v>
      </c>
      <c r="E1026" s="2" t="s">
        <v>251</v>
      </c>
      <c r="F1026" s="2" t="s">
        <v>252</v>
      </c>
      <c r="G1026" s="2" t="s">
        <v>1384</v>
      </c>
      <c r="H1026" s="2" t="s">
        <v>193</v>
      </c>
      <c r="I1026" s="2" t="s">
        <v>1038</v>
      </c>
      <c r="J1026" s="2" t="s">
        <v>381</v>
      </c>
      <c r="K1026" s="9">
        <v>45753</v>
      </c>
      <c r="L1026" s="9">
        <v>45761</v>
      </c>
      <c r="M1026" s="9">
        <v>45757</v>
      </c>
      <c r="N1026" s="2" t="s">
        <v>1333</v>
      </c>
      <c r="O1026" s="2" t="s">
        <v>58</v>
      </c>
      <c r="P1026" s="2" t="s">
        <v>142</v>
      </c>
      <c r="Q1026" s="2" t="s">
        <v>296</v>
      </c>
      <c r="R1026" s="2" t="s">
        <v>149</v>
      </c>
      <c r="S1026" s="2" t="s">
        <v>383</v>
      </c>
      <c r="T1026" s="10">
        <v>28.96</v>
      </c>
      <c r="U1026" s="11">
        <v>1</v>
      </c>
      <c r="V1026" s="12">
        <f>T1026*U1026</f>
        <v>28.96</v>
      </c>
      <c r="W1026" s="13">
        <v>0</v>
      </c>
      <c r="X1026" s="12">
        <f>V1026-(V1026/(1+W1026))</f>
        <v>0</v>
      </c>
      <c r="Y1026" s="12">
        <f>V1026-X1026</f>
        <v>28.96</v>
      </c>
      <c r="Z1026" s="14">
        <v>60</v>
      </c>
      <c r="AA1026" s="2" t="str">
        <f>IF(V1026&gt;Z1026,"Yes","No")</f>
        <v>No</v>
      </c>
      <c r="AB1026" s="12">
        <f>V1026-Z1026</f>
        <v>-31.04</v>
      </c>
      <c r="AC1026" s="15" t="s">
        <v>130</v>
      </c>
      <c r="AD1026" s="15" t="s">
        <v>130</v>
      </c>
      <c r="AE1026" s="15" t="s">
        <v>858</v>
      </c>
      <c r="AF1026" s="12">
        <f>IF(AG1026="Rejected",0,IF(R1026="Corporate Card",0,V1026))</f>
        <v>28.96</v>
      </c>
      <c r="AG1026" s="15" t="s">
        <v>133</v>
      </c>
      <c r="AH1026" s="16">
        <v>45762</v>
      </c>
      <c r="AI1026" s="16">
        <v>45769</v>
      </c>
      <c r="AJ1026" s="16">
        <v>45774</v>
      </c>
      <c r="AK1026" s="17">
        <f>IF(AJ1026="","",AJ1026-AH1026)</f>
        <v>12</v>
      </c>
    </row>
    <row r="1027" spans="1:37">
      <c r="A1027" s="2" t="s">
        <v>1435</v>
      </c>
      <c r="B1027" s="2" t="s">
        <v>248</v>
      </c>
      <c r="C1027" s="2" t="s">
        <v>249</v>
      </c>
      <c r="D1027" s="2" t="s">
        <v>250</v>
      </c>
      <c r="E1027" s="2" t="s">
        <v>251</v>
      </c>
      <c r="F1027" s="2" t="s">
        <v>252</v>
      </c>
      <c r="G1027" s="2" t="s">
        <v>1384</v>
      </c>
      <c r="H1027" s="2" t="s">
        <v>193</v>
      </c>
      <c r="I1027" s="2" t="s">
        <v>1038</v>
      </c>
      <c r="J1027" s="2" t="s">
        <v>381</v>
      </c>
      <c r="K1027" s="9">
        <v>45753</v>
      </c>
      <c r="L1027" s="9">
        <v>45761</v>
      </c>
      <c r="M1027" s="9">
        <v>45757</v>
      </c>
      <c r="N1027" s="2" t="s">
        <v>1333</v>
      </c>
      <c r="O1027" s="2" t="s">
        <v>54</v>
      </c>
      <c r="P1027" s="2" t="s">
        <v>139</v>
      </c>
      <c r="Q1027" s="2" t="s">
        <v>148</v>
      </c>
      <c r="R1027" s="2" t="s">
        <v>128</v>
      </c>
      <c r="S1027" s="2" t="s">
        <v>383</v>
      </c>
      <c r="T1027" s="10">
        <v>17.559999999999999</v>
      </c>
      <c r="U1027" s="11">
        <v>1</v>
      </c>
      <c r="V1027" s="12">
        <f>T1027*U1027</f>
        <v>17.559999999999999</v>
      </c>
      <c r="W1027" s="13">
        <v>0</v>
      </c>
      <c r="X1027" s="12">
        <f>V1027-(V1027/(1+W1027))</f>
        <v>0</v>
      </c>
      <c r="Y1027" s="12">
        <f>V1027-X1027</f>
        <v>17.559999999999999</v>
      </c>
      <c r="Z1027" s="14">
        <v>25</v>
      </c>
      <c r="AA1027" s="2" t="str">
        <f>IF(V1027&gt;Z1027,"Yes","No")</f>
        <v>No</v>
      </c>
      <c r="AB1027" s="12">
        <f>V1027-Z1027</f>
        <v>-7.4400000000000013</v>
      </c>
      <c r="AC1027" s="15" t="s">
        <v>130</v>
      </c>
      <c r="AD1027" s="15" t="s">
        <v>130</v>
      </c>
      <c r="AE1027" s="15" t="s">
        <v>858</v>
      </c>
      <c r="AF1027" s="12">
        <f>IF(AG1027="Rejected",0,IF(R1027="Corporate Card",0,V1027))</f>
        <v>0</v>
      </c>
      <c r="AG1027" s="15" t="s">
        <v>133</v>
      </c>
      <c r="AH1027" s="16">
        <v>45762</v>
      </c>
      <c r="AI1027" s="16">
        <v>45769</v>
      </c>
      <c r="AJ1027" s="16">
        <v>45774</v>
      </c>
      <c r="AK1027" s="17">
        <f>IF(AJ1027="","",AJ1027-AH1027)</f>
        <v>12</v>
      </c>
    </row>
    <row r="1028" spans="1:37">
      <c r="A1028" s="2" t="s">
        <v>1436</v>
      </c>
      <c r="B1028" s="2" t="s">
        <v>248</v>
      </c>
      <c r="C1028" s="2" t="s">
        <v>249</v>
      </c>
      <c r="D1028" s="2" t="s">
        <v>250</v>
      </c>
      <c r="E1028" s="2" t="s">
        <v>251</v>
      </c>
      <c r="F1028" s="2" t="s">
        <v>252</v>
      </c>
      <c r="G1028" s="2" t="s">
        <v>1384</v>
      </c>
      <c r="H1028" s="2" t="s">
        <v>193</v>
      </c>
      <c r="I1028" s="2" t="s">
        <v>1038</v>
      </c>
      <c r="J1028" s="2" t="s">
        <v>381</v>
      </c>
      <c r="K1028" s="9">
        <v>45753</v>
      </c>
      <c r="L1028" s="9">
        <v>45761</v>
      </c>
      <c r="M1028" s="9">
        <v>45757</v>
      </c>
      <c r="N1028" s="2" t="s">
        <v>1333</v>
      </c>
      <c r="O1028" s="2" t="s">
        <v>56</v>
      </c>
      <c r="P1028" s="2" t="s">
        <v>165</v>
      </c>
      <c r="Q1028" s="2" t="s">
        <v>185</v>
      </c>
      <c r="R1028" s="2" t="s">
        <v>128</v>
      </c>
      <c r="S1028" s="2" t="s">
        <v>383</v>
      </c>
      <c r="T1028" s="10">
        <v>63.16</v>
      </c>
      <c r="U1028" s="11">
        <v>1</v>
      </c>
      <c r="V1028" s="12">
        <f>T1028*U1028</f>
        <v>63.16</v>
      </c>
      <c r="W1028" s="13">
        <v>0</v>
      </c>
      <c r="X1028" s="12">
        <f>V1028-(V1028/(1+W1028))</f>
        <v>0</v>
      </c>
      <c r="Y1028" s="12">
        <f>V1028-X1028</f>
        <v>63.16</v>
      </c>
      <c r="Z1028" s="14">
        <v>75</v>
      </c>
      <c r="AA1028" s="2" t="str">
        <f>IF(V1028&gt;Z1028,"Yes","No")</f>
        <v>No</v>
      </c>
      <c r="AB1028" s="12">
        <f>V1028-Z1028</f>
        <v>-11.840000000000003</v>
      </c>
      <c r="AC1028" s="15" t="s">
        <v>131</v>
      </c>
      <c r="AD1028" s="15" t="s">
        <v>130</v>
      </c>
      <c r="AE1028" s="15" t="s">
        <v>858</v>
      </c>
      <c r="AF1028" s="12">
        <f>IF(AG1028="Rejected",0,IF(R1028="Corporate Card",0,V1028))</f>
        <v>0</v>
      </c>
      <c r="AG1028" s="15" t="s">
        <v>133</v>
      </c>
      <c r="AH1028" s="16">
        <v>45762</v>
      </c>
      <c r="AI1028" s="16">
        <v>45769</v>
      </c>
      <c r="AJ1028" s="16">
        <v>45774</v>
      </c>
      <c r="AK1028" s="17">
        <f>IF(AJ1028="","",AJ1028-AH1028)</f>
        <v>12</v>
      </c>
    </row>
    <row r="1029" spans="1:37">
      <c r="A1029" s="2" t="s">
        <v>1437</v>
      </c>
      <c r="B1029" s="2" t="s">
        <v>248</v>
      </c>
      <c r="C1029" s="2" t="s">
        <v>249</v>
      </c>
      <c r="D1029" s="2" t="s">
        <v>250</v>
      </c>
      <c r="E1029" s="2" t="s">
        <v>251</v>
      </c>
      <c r="F1029" s="2" t="s">
        <v>252</v>
      </c>
      <c r="G1029" s="2" t="s">
        <v>1384</v>
      </c>
      <c r="H1029" s="2" t="s">
        <v>193</v>
      </c>
      <c r="I1029" s="2" t="s">
        <v>1038</v>
      </c>
      <c r="J1029" s="2" t="s">
        <v>381</v>
      </c>
      <c r="K1029" s="9">
        <v>45753</v>
      </c>
      <c r="L1029" s="9">
        <v>45761</v>
      </c>
      <c r="M1029" s="9">
        <v>45757</v>
      </c>
      <c r="N1029" s="2" t="s">
        <v>1333</v>
      </c>
      <c r="O1029" s="2" t="s">
        <v>55</v>
      </c>
      <c r="P1029" s="2" t="s">
        <v>139</v>
      </c>
      <c r="Q1029" s="2" t="s">
        <v>161</v>
      </c>
      <c r="R1029" s="2" t="s">
        <v>128</v>
      </c>
      <c r="S1029" s="2" t="s">
        <v>383</v>
      </c>
      <c r="T1029" s="10">
        <v>32.14</v>
      </c>
      <c r="U1029" s="11">
        <v>1</v>
      </c>
      <c r="V1029" s="12">
        <f>T1029*U1029</f>
        <v>32.14</v>
      </c>
      <c r="W1029" s="13">
        <v>0</v>
      </c>
      <c r="X1029" s="12">
        <f>V1029-(V1029/(1+W1029))</f>
        <v>0</v>
      </c>
      <c r="Y1029" s="12">
        <f>V1029-X1029</f>
        <v>32.14</v>
      </c>
      <c r="Z1029" s="14">
        <v>35</v>
      </c>
      <c r="AA1029" s="2" t="str">
        <f>IF(V1029&gt;Z1029,"Yes","No")</f>
        <v>No</v>
      </c>
      <c r="AB1029" s="12">
        <f>V1029-Z1029</f>
        <v>-2.8599999999999994</v>
      </c>
      <c r="AC1029" s="15" t="s">
        <v>130</v>
      </c>
      <c r="AD1029" s="15" t="s">
        <v>130</v>
      </c>
      <c r="AE1029" s="15" t="s">
        <v>858</v>
      </c>
      <c r="AF1029" s="12">
        <f>IF(AG1029="Rejected",0,IF(R1029="Corporate Card",0,V1029))</f>
        <v>0</v>
      </c>
      <c r="AG1029" s="15" t="s">
        <v>133</v>
      </c>
      <c r="AH1029" s="16">
        <v>45762</v>
      </c>
      <c r="AI1029" s="16">
        <v>45769</v>
      </c>
      <c r="AJ1029" s="16">
        <v>45774</v>
      </c>
      <c r="AK1029" s="17">
        <f>IF(AJ1029="","",AJ1029-AH1029)</f>
        <v>12</v>
      </c>
    </row>
    <row r="1030" spans="1:37">
      <c r="A1030" s="2" t="s">
        <v>1438</v>
      </c>
      <c r="B1030" s="2" t="s">
        <v>310</v>
      </c>
      <c r="C1030" s="2" t="s">
        <v>311</v>
      </c>
      <c r="D1030" s="2" t="s">
        <v>118</v>
      </c>
      <c r="E1030" s="2" t="s">
        <v>312</v>
      </c>
      <c r="F1030" s="2" t="s">
        <v>313</v>
      </c>
      <c r="G1030" s="2" t="s">
        <v>1345</v>
      </c>
      <c r="H1030" s="2" t="s">
        <v>254</v>
      </c>
      <c r="I1030" s="2" t="s">
        <v>175</v>
      </c>
      <c r="J1030" s="2" t="s">
        <v>176</v>
      </c>
      <c r="K1030" s="9">
        <v>45749</v>
      </c>
      <c r="L1030" s="9">
        <v>45757</v>
      </c>
      <c r="M1030" s="9">
        <v>45757</v>
      </c>
      <c r="N1030" s="2" t="s">
        <v>1333</v>
      </c>
      <c r="O1030" s="2" t="s">
        <v>54</v>
      </c>
      <c r="P1030" s="2" t="s">
        <v>139</v>
      </c>
      <c r="Q1030" s="2" t="s">
        <v>140</v>
      </c>
      <c r="R1030" s="2" t="s">
        <v>128</v>
      </c>
      <c r="S1030" s="2" t="s">
        <v>179</v>
      </c>
      <c r="T1030" s="10">
        <v>75.7</v>
      </c>
      <c r="U1030" s="11">
        <v>0.18099999999999999</v>
      </c>
      <c r="V1030" s="12">
        <f>T1030*U1030</f>
        <v>13.701700000000001</v>
      </c>
      <c r="W1030" s="13">
        <v>0.17</v>
      </c>
      <c r="X1030" s="12">
        <f>V1030-(V1030/(1+W1030))</f>
        <v>1.990845299145299</v>
      </c>
      <c r="Y1030" s="12">
        <f>V1030-X1030</f>
        <v>11.710854700854702</v>
      </c>
      <c r="Z1030" s="14">
        <v>25</v>
      </c>
      <c r="AA1030" s="2" t="str">
        <f>IF(V1030&gt;Z1030,"Yes","No")</f>
        <v>No</v>
      </c>
      <c r="AB1030" s="12">
        <f>V1030-Z1030</f>
        <v>-11.298299999999999</v>
      </c>
      <c r="AC1030" s="15" t="s">
        <v>130</v>
      </c>
      <c r="AD1030" s="15" t="s">
        <v>130</v>
      </c>
      <c r="AE1030" s="15" t="s">
        <v>421</v>
      </c>
      <c r="AF1030" s="12">
        <f>IF(AG1030="Rejected",0,IF(R1030="Corporate Card",0,V1030))</f>
        <v>0</v>
      </c>
      <c r="AG1030" s="15" t="s">
        <v>133</v>
      </c>
      <c r="AH1030" s="16">
        <v>45769</v>
      </c>
      <c r="AI1030" s="16">
        <v>45770</v>
      </c>
      <c r="AJ1030" s="16">
        <v>45778</v>
      </c>
      <c r="AK1030" s="17">
        <f>IF(AJ1030="","",AJ1030-AH1030)</f>
        <v>9</v>
      </c>
    </row>
    <row r="1031" spans="1:37">
      <c r="A1031" s="2" t="s">
        <v>1439</v>
      </c>
      <c r="B1031" s="2" t="s">
        <v>310</v>
      </c>
      <c r="C1031" s="2" t="s">
        <v>311</v>
      </c>
      <c r="D1031" s="2" t="s">
        <v>118</v>
      </c>
      <c r="E1031" s="2" t="s">
        <v>312</v>
      </c>
      <c r="F1031" s="2" t="s">
        <v>313</v>
      </c>
      <c r="G1031" s="2" t="s">
        <v>1345</v>
      </c>
      <c r="H1031" s="2" t="s">
        <v>254</v>
      </c>
      <c r="I1031" s="2" t="s">
        <v>175</v>
      </c>
      <c r="J1031" s="2" t="s">
        <v>176</v>
      </c>
      <c r="K1031" s="9">
        <v>45749</v>
      </c>
      <c r="L1031" s="9">
        <v>45757</v>
      </c>
      <c r="M1031" s="9">
        <v>45757</v>
      </c>
      <c r="N1031" s="2" t="s">
        <v>1333</v>
      </c>
      <c r="O1031" s="2" t="s">
        <v>56</v>
      </c>
      <c r="P1031" s="2" t="s">
        <v>165</v>
      </c>
      <c r="Q1031" s="2" t="s">
        <v>185</v>
      </c>
      <c r="R1031" s="2" t="s">
        <v>128</v>
      </c>
      <c r="S1031" s="2" t="s">
        <v>179</v>
      </c>
      <c r="T1031" s="10">
        <v>192.51</v>
      </c>
      <c r="U1031" s="11">
        <v>0.18099999999999999</v>
      </c>
      <c r="V1031" s="12">
        <f>T1031*U1031</f>
        <v>34.84431</v>
      </c>
      <c r="W1031" s="13">
        <v>0.17</v>
      </c>
      <c r="X1031" s="12">
        <f>V1031-(V1031/(1+W1031))</f>
        <v>5.0628484615384615</v>
      </c>
      <c r="Y1031" s="12">
        <f>V1031-X1031</f>
        <v>29.781461538461539</v>
      </c>
      <c r="Z1031" s="14">
        <v>75</v>
      </c>
      <c r="AA1031" s="2" t="str">
        <f>IF(V1031&gt;Z1031,"Yes","No")</f>
        <v>No</v>
      </c>
      <c r="AB1031" s="12">
        <f>V1031-Z1031</f>
        <v>-40.15569</v>
      </c>
      <c r="AC1031" s="15" t="s">
        <v>130</v>
      </c>
      <c r="AD1031" s="15" t="s">
        <v>130</v>
      </c>
      <c r="AE1031" s="15" t="s">
        <v>421</v>
      </c>
      <c r="AF1031" s="12">
        <f>IF(AG1031="Rejected",0,IF(R1031="Corporate Card",0,V1031))</f>
        <v>0</v>
      </c>
      <c r="AG1031" s="15" t="s">
        <v>133</v>
      </c>
      <c r="AH1031" s="16">
        <v>45769</v>
      </c>
      <c r="AI1031" s="16">
        <v>45770</v>
      </c>
      <c r="AJ1031" s="16">
        <v>45778</v>
      </c>
      <c r="AK1031" s="17">
        <f>IF(AJ1031="","",AJ1031-AH1031)</f>
        <v>9</v>
      </c>
    </row>
    <row r="1032" spans="1:37">
      <c r="A1032" s="2" t="s">
        <v>1440</v>
      </c>
      <c r="B1032" s="2" t="s">
        <v>310</v>
      </c>
      <c r="C1032" s="2" t="s">
        <v>311</v>
      </c>
      <c r="D1032" s="2" t="s">
        <v>118</v>
      </c>
      <c r="E1032" s="2" t="s">
        <v>312</v>
      </c>
      <c r="F1032" s="2" t="s">
        <v>313</v>
      </c>
      <c r="G1032" s="2" t="s">
        <v>1345</v>
      </c>
      <c r="H1032" s="2" t="s">
        <v>254</v>
      </c>
      <c r="I1032" s="2" t="s">
        <v>175</v>
      </c>
      <c r="J1032" s="2" t="s">
        <v>176</v>
      </c>
      <c r="K1032" s="9">
        <v>45749</v>
      </c>
      <c r="L1032" s="9">
        <v>45757</v>
      </c>
      <c r="M1032" s="9">
        <v>45757</v>
      </c>
      <c r="N1032" s="2" t="s">
        <v>1333</v>
      </c>
      <c r="O1032" s="2" t="s">
        <v>55</v>
      </c>
      <c r="P1032" s="2" t="s">
        <v>139</v>
      </c>
      <c r="Q1032" s="2" t="s">
        <v>187</v>
      </c>
      <c r="R1032" s="2" t="s">
        <v>128</v>
      </c>
      <c r="S1032" s="2" t="s">
        <v>179</v>
      </c>
      <c r="T1032" s="10">
        <v>148.66</v>
      </c>
      <c r="U1032" s="11">
        <v>0.18099999999999999</v>
      </c>
      <c r="V1032" s="12">
        <f>T1032*U1032</f>
        <v>26.907459999999997</v>
      </c>
      <c r="W1032" s="13">
        <v>0.17</v>
      </c>
      <c r="X1032" s="12">
        <f>V1032-(V1032/(1+W1032))</f>
        <v>3.9096309401709384</v>
      </c>
      <c r="Y1032" s="12">
        <f>V1032-X1032</f>
        <v>22.997829059829058</v>
      </c>
      <c r="Z1032" s="14">
        <v>35</v>
      </c>
      <c r="AA1032" s="2" t="str">
        <f>IF(V1032&gt;Z1032,"Yes","No")</f>
        <v>No</v>
      </c>
      <c r="AB1032" s="12">
        <f>V1032-Z1032</f>
        <v>-8.0925400000000032</v>
      </c>
      <c r="AC1032" s="15" t="s">
        <v>130</v>
      </c>
      <c r="AD1032" s="15" t="s">
        <v>130</v>
      </c>
      <c r="AE1032" s="15" t="s">
        <v>421</v>
      </c>
      <c r="AF1032" s="12">
        <f>IF(AG1032="Rejected",0,IF(R1032="Corporate Card",0,V1032))</f>
        <v>0</v>
      </c>
      <c r="AG1032" s="15" t="s">
        <v>133</v>
      </c>
      <c r="AH1032" s="16">
        <v>45769</v>
      </c>
      <c r="AI1032" s="16">
        <v>45770</v>
      </c>
      <c r="AJ1032" s="16">
        <v>45778</v>
      </c>
      <c r="AK1032" s="17">
        <f>IF(AJ1032="","",AJ1032-AH1032)</f>
        <v>9</v>
      </c>
    </row>
    <row r="1033" spans="1:37">
      <c r="A1033" s="2" t="s">
        <v>1441</v>
      </c>
      <c r="B1033" s="2" t="s">
        <v>1235</v>
      </c>
      <c r="C1033" s="2" t="s">
        <v>867</v>
      </c>
      <c r="D1033" s="2" t="s">
        <v>865</v>
      </c>
      <c r="E1033" s="2" t="s">
        <v>1236</v>
      </c>
      <c r="F1033" s="2" t="s">
        <v>313</v>
      </c>
      <c r="G1033" s="2" t="s">
        <v>1419</v>
      </c>
      <c r="H1033" s="2" t="s">
        <v>254</v>
      </c>
      <c r="I1033" s="2" t="s">
        <v>255</v>
      </c>
      <c r="J1033" s="2" t="s">
        <v>256</v>
      </c>
      <c r="K1033" s="9">
        <v>45756</v>
      </c>
      <c r="L1033" s="9">
        <v>45762</v>
      </c>
      <c r="M1033" s="9">
        <v>45758</v>
      </c>
      <c r="N1033" s="2" t="s">
        <v>1333</v>
      </c>
      <c r="O1033" s="2" t="s">
        <v>58</v>
      </c>
      <c r="P1033" s="2" t="s">
        <v>142</v>
      </c>
      <c r="Q1033" s="2" t="s">
        <v>224</v>
      </c>
      <c r="R1033" s="2" t="s">
        <v>128</v>
      </c>
      <c r="S1033" s="2" t="s">
        <v>259</v>
      </c>
      <c r="T1033" s="10">
        <v>7848</v>
      </c>
      <c r="U1033" s="11">
        <v>6.5500000000000003E-3</v>
      </c>
      <c r="V1033" s="12">
        <f>T1033*U1033</f>
        <v>51.404400000000003</v>
      </c>
      <c r="W1033" s="13">
        <v>0.1</v>
      </c>
      <c r="X1033" s="12">
        <f>V1033-(V1033/(1+W1033))</f>
        <v>4.6731272727272781</v>
      </c>
      <c r="Y1033" s="12">
        <f>V1033-X1033</f>
        <v>46.731272727272724</v>
      </c>
      <c r="Z1033" s="14">
        <v>60</v>
      </c>
      <c r="AA1033" s="2" t="str">
        <f>IF(V1033&gt;Z1033,"Yes","No")</f>
        <v>No</v>
      </c>
      <c r="AB1033" s="12">
        <f>V1033-Z1033</f>
        <v>-8.5955999999999975</v>
      </c>
      <c r="AC1033" s="15" t="s">
        <v>130</v>
      </c>
      <c r="AD1033" s="15" t="s">
        <v>130</v>
      </c>
      <c r="AE1033" s="15" t="s">
        <v>260</v>
      </c>
      <c r="AF1033" s="12">
        <f>IF(AG1033="Rejected",0,IF(R1033="Corporate Card",0,V1033))</f>
        <v>0</v>
      </c>
      <c r="AG1033" s="15" t="s">
        <v>133</v>
      </c>
      <c r="AH1033" s="16">
        <v>45766</v>
      </c>
      <c r="AI1033" s="16">
        <v>45770</v>
      </c>
      <c r="AJ1033" s="16">
        <v>45779</v>
      </c>
      <c r="AK1033" s="17">
        <f>IF(AJ1033="","",AJ1033-AH1033)</f>
        <v>13</v>
      </c>
    </row>
    <row r="1034" spans="1:37">
      <c r="A1034" s="2" t="s">
        <v>1442</v>
      </c>
      <c r="B1034" s="2" t="s">
        <v>1235</v>
      </c>
      <c r="C1034" s="2" t="s">
        <v>867</v>
      </c>
      <c r="D1034" s="2" t="s">
        <v>865</v>
      </c>
      <c r="E1034" s="2" t="s">
        <v>1236</v>
      </c>
      <c r="F1034" s="2" t="s">
        <v>313</v>
      </c>
      <c r="G1034" s="2" t="s">
        <v>1419</v>
      </c>
      <c r="H1034" s="2" t="s">
        <v>254</v>
      </c>
      <c r="I1034" s="2" t="s">
        <v>255</v>
      </c>
      <c r="J1034" s="2" t="s">
        <v>256</v>
      </c>
      <c r="K1034" s="9">
        <v>45756</v>
      </c>
      <c r="L1034" s="9">
        <v>45762</v>
      </c>
      <c r="M1034" s="9">
        <v>45758</v>
      </c>
      <c r="N1034" s="2" t="s">
        <v>1333</v>
      </c>
      <c r="O1034" s="2" t="s">
        <v>55</v>
      </c>
      <c r="P1034" s="2" t="s">
        <v>139</v>
      </c>
      <c r="Q1034" s="2" t="s">
        <v>161</v>
      </c>
      <c r="R1034" s="2" t="s">
        <v>128</v>
      </c>
      <c r="S1034" s="2" t="s">
        <v>259</v>
      </c>
      <c r="T1034" s="10">
        <v>2515</v>
      </c>
      <c r="U1034" s="11">
        <v>6.5500000000000003E-3</v>
      </c>
      <c r="V1034" s="12">
        <f>T1034*U1034</f>
        <v>16.47325</v>
      </c>
      <c r="W1034" s="13">
        <v>0.1</v>
      </c>
      <c r="X1034" s="12">
        <f>V1034-(V1034/(1+W1034))</f>
        <v>1.497568181818183</v>
      </c>
      <c r="Y1034" s="12">
        <f>V1034-X1034</f>
        <v>14.975681818181817</v>
      </c>
      <c r="Z1034" s="14">
        <v>35</v>
      </c>
      <c r="AA1034" s="2" t="str">
        <f>IF(V1034&gt;Z1034,"Yes","No")</f>
        <v>No</v>
      </c>
      <c r="AB1034" s="12">
        <f>V1034-Z1034</f>
        <v>-18.52675</v>
      </c>
      <c r="AC1034" s="15" t="s">
        <v>130</v>
      </c>
      <c r="AD1034" s="15" t="s">
        <v>130</v>
      </c>
      <c r="AE1034" s="15" t="s">
        <v>260</v>
      </c>
      <c r="AF1034" s="12">
        <f>IF(AG1034="Rejected",0,IF(R1034="Corporate Card",0,V1034))</f>
        <v>0</v>
      </c>
      <c r="AG1034" s="15" t="s">
        <v>133</v>
      </c>
      <c r="AH1034" s="16">
        <v>45766</v>
      </c>
      <c r="AI1034" s="16">
        <v>45770</v>
      </c>
      <c r="AJ1034" s="16">
        <v>45779</v>
      </c>
      <c r="AK1034" s="17">
        <f>IF(AJ1034="","",AJ1034-AH1034)</f>
        <v>13</v>
      </c>
    </row>
    <row r="1035" spans="1:37">
      <c r="A1035" s="2" t="s">
        <v>1443</v>
      </c>
      <c r="B1035" s="2" t="s">
        <v>248</v>
      </c>
      <c r="C1035" s="2" t="s">
        <v>249</v>
      </c>
      <c r="D1035" s="2" t="s">
        <v>250</v>
      </c>
      <c r="E1035" s="2" t="s">
        <v>251</v>
      </c>
      <c r="F1035" s="2" t="s">
        <v>252</v>
      </c>
      <c r="G1035" s="2" t="s">
        <v>1384</v>
      </c>
      <c r="H1035" s="2" t="s">
        <v>193</v>
      </c>
      <c r="I1035" s="2" t="s">
        <v>1038</v>
      </c>
      <c r="J1035" s="2" t="s">
        <v>381</v>
      </c>
      <c r="K1035" s="9">
        <v>45753</v>
      </c>
      <c r="L1035" s="9">
        <v>45761</v>
      </c>
      <c r="M1035" s="9">
        <v>45758</v>
      </c>
      <c r="N1035" s="2" t="s">
        <v>1333</v>
      </c>
      <c r="O1035" s="2" t="s">
        <v>58</v>
      </c>
      <c r="P1035" s="2" t="s">
        <v>142</v>
      </c>
      <c r="Q1035" s="2" t="s">
        <v>203</v>
      </c>
      <c r="R1035" s="2" t="s">
        <v>128</v>
      </c>
      <c r="S1035" s="2" t="s">
        <v>383</v>
      </c>
      <c r="T1035" s="10">
        <v>24.02</v>
      </c>
      <c r="U1035" s="11">
        <v>1</v>
      </c>
      <c r="V1035" s="12">
        <f>T1035*U1035</f>
        <v>24.02</v>
      </c>
      <c r="W1035" s="13">
        <v>0</v>
      </c>
      <c r="X1035" s="12">
        <f>V1035-(V1035/(1+W1035))</f>
        <v>0</v>
      </c>
      <c r="Y1035" s="12">
        <f>V1035-X1035</f>
        <v>24.02</v>
      </c>
      <c r="Z1035" s="14">
        <v>60</v>
      </c>
      <c r="AA1035" s="2" t="str">
        <f>IF(V1035&gt;Z1035,"Yes","No")</f>
        <v>No</v>
      </c>
      <c r="AB1035" s="12">
        <f>V1035-Z1035</f>
        <v>-35.980000000000004</v>
      </c>
      <c r="AC1035" s="15" t="s">
        <v>131</v>
      </c>
      <c r="AD1035" s="15" t="s">
        <v>130</v>
      </c>
      <c r="AE1035" s="15" t="s">
        <v>858</v>
      </c>
      <c r="AF1035" s="12">
        <f>IF(AG1035="Rejected",0,IF(R1035="Corporate Card",0,V1035))</f>
        <v>0</v>
      </c>
      <c r="AG1035" s="15" t="s">
        <v>133</v>
      </c>
      <c r="AH1035" s="16">
        <v>45762</v>
      </c>
      <c r="AI1035" s="16">
        <v>45769</v>
      </c>
      <c r="AJ1035" s="16">
        <v>45774</v>
      </c>
      <c r="AK1035" s="17">
        <f>IF(AJ1035="","",AJ1035-AH1035)</f>
        <v>12</v>
      </c>
    </row>
    <row r="1036" spans="1:37">
      <c r="A1036" s="2" t="s">
        <v>1444</v>
      </c>
      <c r="B1036" s="2" t="s">
        <v>248</v>
      </c>
      <c r="C1036" s="2" t="s">
        <v>249</v>
      </c>
      <c r="D1036" s="2" t="s">
        <v>250</v>
      </c>
      <c r="E1036" s="2" t="s">
        <v>251</v>
      </c>
      <c r="F1036" s="2" t="s">
        <v>252</v>
      </c>
      <c r="G1036" s="2" t="s">
        <v>1384</v>
      </c>
      <c r="H1036" s="2" t="s">
        <v>193</v>
      </c>
      <c r="I1036" s="2" t="s">
        <v>1038</v>
      </c>
      <c r="J1036" s="2" t="s">
        <v>381</v>
      </c>
      <c r="K1036" s="9">
        <v>45753</v>
      </c>
      <c r="L1036" s="9">
        <v>45761</v>
      </c>
      <c r="M1036" s="9">
        <v>45758</v>
      </c>
      <c r="N1036" s="2" t="s">
        <v>1333</v>
      </c>
      <c r="O1036" s="2" t="s">
        <v>54</v>
      </c>
      <c r="P1036" s="2" t="s">
        <v>139</v>
      </c>
      <c r="Q1036" s="2" t="s">
        <v>214</v>
      </c>
      <c r="R1036" s="2" t="s">
        <v>128</v>
      </c>
      <c r="S1036" s="2" t="s">
        <v>383</v>
      </c>
      <c r="T1036" s="10">
        <v>15.56</v>
      </c>
      <c r="U1036" s="11">
        <v>1</v>
      </c>
      <c r="V1036" s="12">
        <f>T1036*U1036</f>
        <v>15.56</v>
      </c>
      <c r="W1036" s="13">
        <v>0</v>
      </c>
      <c r="X1036" s="12">
        <f>V1036-(V1036/(1+W1036))</f>
        <v>0</v>
      </c>
      <c r="Y1036" s="12">
        <f>V1036-X1036</f>
        <v>15.56</v>
      </c>
      <c r="Z1036" s="14">
        <v>25</v>
      </c>
      <c r="AA1036" s="2" t="str">
        <f>IF(V1036&gt;Z1036,"Yes","No")</f>
        <v>No</v>
      </c>
      <c r="AB1036" s="12">
        <f>V1036-Z1036</f>
        <v>-9.44</v>
      </c>
      <c r="AC1036" s="15" t="s">
        <v>131</v>
      </c>
      <c r="AD1036" s="15" t="s">
        <v>130</v>
      </c>
      <c r="AE1036" s="15" t="s">
        <v>858</v>
      </c>
      <c r="AF1036" s="12">
        <f>IF(AG1036="Rejected",0,IF(R1036="Corporate Card",0,V1036))</f>
        <v>0</v>
      </c>
      <c r="AG1036" s="15" t="s">
        <v>133</v>
      </c>
      <c r="AH1036" s="16">
        <v>45762</v>
      </c>
      <c r="AI1036" s="16">
        <v>45769</v>
      </c>
      <c r="AJ1036" s="16">
        <v>45774</v>
      </c>
      <c r="AK1036" s="17">
        <f>IF(AJ1036="","",AJ1036-AH1036)</f>
        <v>12</v>
      </c>
    </row>
    <row r="1037" spans="1:37">
      <c r="A1037" s="2" t="s">
        <v>1445</v>
      </c>
      <c r="B1037" s="2" t="s">
        <v>248</v>
      </c>
      <c r="C1037" s="2" t="s">
        <v>249</v>
      </c>
      <c r="D1037" s="2" t="s">
        <v>250</v>
      </c>
      <c r="E1037" s="2" t="s">
        <v>251</v>
      </c>
      <c r="F1037" s="2" t="s">
        <v>252</v>
      </c>
      <c r="G1037" s="2" t="s">
        <v>1384</v>
      </c>
      <c r="H1037" s="2" t="s">
        <v>193</v>
      </c>
      <c r="I1037" s="2" t="s">
        <v>1038</v>
      </c>
      <c r="J1037" s="2" t="s">
        <v>381</v>
      </c>
      <c r="K1037" s="9">
        <v>45753</v>
      </c>
      <c r="L1037" s="9">
        <v>45761</v>
      </c>
      <c r="M1037" s="9">
        <v>45758</v>
      </c>
      <c r="N1037" s="2" t="s">
        <v>1333</v>
      </c>
      <c r="O1037" s="2" t="s">
        <v>56</v>
      </c>
      <c r="P1037" s="2" t="s">
        <v>151</v>
      </c>
      <c r="Q1037" s="2" t="s">
        <v>166</v>
      </c>
      <c r="R1037" s="2" t="s">
        <v>128</v>
      </c>
      <c r="S1037" s="2" t="s">
        <v>383</v>
      </c>
      <c r="T1037" s="10">
        <v>28.87</v>
      </c>
      <c r="U1037" s="11">
        <v>1</v>
      </c>
      <c r="V1037" s="12">
        <f>T1037*U1037</f>
        <v>28.87</v>
      </c>
      <c r="W1037" s="13">
        <v>0</v>
      </c>
      <c r="X1037" s="12">
        <f>V1037-(V1037/(1+W1037))</f>
        <v>0</v>
      </c>
      <c r="Y1037" s="12">
        <f>V1037-X1037</f>
        <v>28.87</v>
      </c>
      <c r="Z1037" s="14">
        <v>75</v>
      </c>
      <c r="AA1037" s="2" t="str">
        <f>IF(V1037&gt;Z1037,"Yes","No")</f>
        <v>No</v>
      </c>
      <c r="AB1037" s="12">
        <f>V1037-Z1037</f>
        <v>-46.129999999999995</v>
      </c>
      <c r="AC1037" s="15" t="s">
        <v>130</v>
      </c>
      <c r="AD1037" s="15" t="s">
        <v>130</v>
      </c>
      <c r="AE1037" s="15" t="s">
        <v>858</v>
      </c>
      <c r="AF1037" s="12">
        <f>IF(AG1037="Rejected",0,IF(R1037="Corporate Card",0,V1037))</f>
        <v>0</v>
      </c>
      <c r="AG1037" s="15" t="s">
        <v>133</v>
      </c>
      <c r="AH1037" s="16">
        <v>45762</v>
      </c>
      <c r="AI1037" s="16">
        <v>45769</v>
      </c>
      <c r="AJ1037" s="16">
        <v>45774</v>
      </c>
      <c r="AK1037" s="17">
        <f>IF(AJ1037="","",AJ1037-AH1037)</f>
        <v>12</v>
      </c>
    </row>
    <row r="1038" spans="1:37">
      <c r="A1038" s="2" t="s">
        <v>1446</v>
      </c>
      <c r="B1038" s="2" t="s">
        <v>248</v>
      </c>
      <c r="C1038" s="2" t="s">
        <v>249</v>
      </c>
      <c r="D1038" s="2" t="s">
        <v>250</v>
      </c>
      <c r="E1038" s="2" t="s">
        <v>251</v>
      </c>
      <c r="F1038" s="2" t="s">
        <v>252</v>
      </c>
      <c r="G1038" s="2" t="s">
        <v>1384</v>
      </c>
      <c r="H1038" s="2" t="s">
        <v>193</v>
      </c>
      <c r="I1038" s="2" t="s">
        <v>1038</v>
      </c>
      <c r="J1038" s="2" t="s">
        <v>381</v>
      </c>
      <c r="K1038" s="9">
        <v>45753</v>
      </c>
      <c r="L1038" s="9">
        <v>45761</v>
      </c>
      <c r="M1038" s="9">
        <v>45758</v>
      </c>
      <c r="N1038" s="2" t="s">
        <v>1333</v>
      </c>
      <c r="O1038" s="2" t="s">
        <v>55</v>
      </c>
      <c r="P1038" s="2" t="s">
        <v>139</v>
      </c>
      <c r="Q1038" s="2" t="s">
        <v>217</v>
      </c>
      <c r="R1038" s="2" t="s">
        <v>149</v>
      </c>
      <c r="S1038" s="2" t="s">
        <v>383</v>
      </c>
      <c r="T1038" s="10">
        <v>33.49</v>
      </c>
      <c r="U1038" s="11">
        <v>1</v>
      </c>
      <c r="V1038" s="12">
        <f>T1038*U1038</f>
        <v>33.49</v>
      </c>
      <c r="W1038" s="13">
        <v>0</v>
      </c>
      <c r="X1038" s="12">
        <f>V1038-(V1038/(1+W1038))</f>
        <v>0</v>
      </c>
      <c r="Y1038" s="12">
        <f>V1038-X1038</f>
        <v>33.49</v>
      </c>
      <c r="Z1038" s="14">
        <v>35</v>
      </c>
      <c r="AA1038" s="2" t="str">
        <f>IF(V1038&gt;Z1038,"Yes","No")</f>
        <v>No</v>
      </c>
      <c r="AB1038" s="12">
        <f>V1038-Z1038</f>
        <v>-1.509999999999998</v>
      </c>
      <c r="AC1038" s="15" t="s">
        <v>130</v>
      </c>
      <c r="AD1038" s="15" t="s">
        <v>130</v>
      </c>
      <c r="AE1038" s="15" t="s">
        <v>858</v>
      </c>
      <c r="AF1038" s="12">
        <f>IF(AG1038="Rejected",0,IF(R1038="Corporate Card",0,V1038))</f>
        <v>33.49</v>
      </c>
      <c r="AG1038" s="15" t="s">
        <v>133</v>
      </c>
      <c r="AH1038" s="16">
        <v>45762</v>
      </c>
      <c r="AI1038" s="16">
        <v>45769</v>
      </c>
      <c r="AJ1038" s="16">
        <v>45774</v>
      </c>
      <c r="AK1038" s="17">
        <f>IF(AJ1038="","",AJ1038-AH1038)</f>
        <v>12</v>
      </c>
    </row>
    <row r="1039" spans="1:37">
      <c r="A1039" s="2" t="s">
        <v>1447</v>
      </c>
      <c r="B1039" s="2" t="s">
        <v>1235</v>
      </c>
      <c r="C1039" s="2" t="s">
        <v>867</v>
      </c>
      <c r="D1039" s="2" t="s">
        <v>865</v>
      </c>
      <c r="E1039" s="2" t="s">
        <v>1236</v>
      </c>
      <c r="F1039" s="2" t="s">
        <v>313</v>
      </c>
      <c r="G1039" s="2" t="s">
        <v>1419</v>
      </c>
      <c r="H1039" s="2" t="s">
        <v>254</v>
      </c>
      <c r="I1039" s="2" t="s">
        <v>255</v>
      </c>
      <c r="J1039" s="2" t="s">
        <v>256</v>
      </c>
      <c r="K1039" s="9">
        <v>45756</v>
      </c>
      <c r="L1039" s="9">
        <v>45762</v>
      </c>
      <c r="M1039" s="9">
        <v>45759</v>
      </c>
      <c r="N1039" s="2" t="s">
        <v>1333</v>
      </c>
      <c r="O1039" s="2" t="s">
        <v>58</v>
      </c>
      <c r="P1039" s="2" t="s">
        <v>142</v>
      </c>
      <c r="Q1039" s="2" t="s">
        <v>296</v>
      </c>
      <c r="R1039" s="2" t="s">
        <v>137</v>
      </c>
      <c r="S1039" s="2" t="s">
        <v>259</v>
      </c>
      <c r="T1039" s="10">
        <v>5759</v>
      </c>
      <c r="U1039" s="11">
        <v>6.5500000000000003E-3</v>
      </c>
      <c r="V1039" s="12">
        <f>T1039*U1039</f>
        <v>37.721450000000004</v>
      </c>
      <c r="W1039" s="13">
        <v>0.1</v>
      </c>
      <c r="X1039" s="12">
        <f>V1039-(V1039/(1+W1039))</f>
        <v>3.4292227272727303</v>
      </c>
      <c r="Y1039" s="12">
        <f>V1039-X1039</f>
        <v>34.292227272727274</v>
      </c>
      <c r="Z1039" s="14">
        <v>60</v>
      </c>
      <c r="AA1039" s="2" t="str">
        <f>IF(V1039&gt;Z1039,"Yes","No")</f>
        <v>No</v>
      </c>
      <c r="AB1039" s="12">
        <f>V1039-Z1039</f>
        <v>-22.278549999999996</v>
      </c>
      <c r="AC1039" s="15" t="s">
        <v>130</v>
      </c>
      <c r="AD1039" s="15" t="s">
        <v>130</v>
      </c>
      <c r="AE1039" s="15" t="s">
        <v>260</v>
      </c>
      <c r="AF1039" s="12">
        <f>IF(AG1039="Rejected",0,IF(R1039="Corporate Card",0,V1039))</f>
        <v>37.721450000000004</v>
      </c>
      <c r="AG1039" s="15" t="s">
        <v>133</v>
      </c>
      <c r="AH1039" s="16">
        <v>45766</v>
      </c>
      <c r="AI1039" s="16">
        <v>45770</v>
      </c>
      <c r="AJ1039" s="16">
        <v>45779</v>
      </c>
      <c r="AK1039" s="17">
        <f>IF(AJ1039="","",AJ1039-AH1039)</f>
        <v>13</v>
      </c>
    </row>
    <row r="1040" spans="1:37">
      <c r="A1040" s="2" t="s">
        <v>1448</v>
      </c>
      <c r="B1040" s="2" t="s">
        <v>1235</v>
      </c>
      <c r="C1040" s="2" t="s">
        <v>867</v>
      </c>
      <c r="D1040" s="2" t="s">
        <v>865</v>
      </c>
      <c r="E1040" s="2" t="s">
        <v>1236</v>
      </c>
      <c r="F1040" s="2" t="s">
        <v>313</v>
      </c>
      <c r="G1040" s="2" t="s">
        <v>1419</v>
      </c>
      <c r="H1040" s="2" t="s">
        <v>254</v>
      </c>
      <c r="I1040" s="2" t="s">
        <v>255</v>
      </c>
      <c r="J1040" s="2" t="s">
        <v>256</v>
      </c>
      <c r="K1040" s="9">
        <v>45756</v>
      </c>
      <c r="L1040" s="9">
        <v>45762</v>
      </c>
      <c r="M1040" s="9">
        <v>45759</v>
      </c>
      <c r="N1040" s="2" t="s">
        <v>1333</v>
      </c>
      <c r="O1040" s="2" t="s">
        <v>54</v>
      </c>
      <c r="P1040" s="2" t="s">
        <v>139</v>
      </c>
      <c r="Q1040" s="2" t="s">
        <v>140</v>
      </c>
      <c r="R1040" s="2" t="s">
        <v>128</v>
      </c>
      <c r="S1040" s="2" t="s">
        <v>259</v>
      </c>
      <c r="T1040" s="10">
        <v>3124</v>
      </c>
      <c r="U1040" s="11">
        <v>6.5500000000000003E-3</v>
      </c>
      <c r="V1040" s="12">
        <f>T1040*U1040</f>
        <v>20.462199999999999</v>
      </c>
      <c r="W1040" s="13">
        <v>0.1</v>
      </c>
      <c r="X1040" s="12">
        <f>V1040-(V1040/(1+W1040))</f>
        <v>1.8602000000000025</v>
      </c>
      <c r="Y1040" s="12">
        <f>V1040-X1040</f>
        <v>18.601999999999997</v>
      </c>
      <c r="Z1040" s="14">
        <v>25</v>
      </c>
      <c r="AA1040" s="2" t="str">
        <f>IF(V1040&gt;Z1040,"Yes","No")</f>
        <v>No</v>
      </c>
      <c r="AB1040" s="12">
        <f>V1040-Z1040</f>
        <v>-4.5378000000000007</v>
      </c>
      <c r="AC1040" s="15" t="s">
        <v>130</v>
      </c>
      <c r="AD1040" s="15" t="s">
        <v>130</v>
      </c>
      <c r="AE1040" s="15" t="s">
        <v>260</v>
      </c>
      <c r="AF1040" s="12">
        <f>IF(AG1040="Rejected",0,IF(R1040="Corporate Card",0,V1040))</f>
        <v>0</v>
      </c>
      <c r="AG1040" s="15" t="s">
        <v>133</v>
      </c>
      <c r="AH1040" s="16">
        <v>45766</v>
      </c>
      <c r="AI1040" s="16">
        <v>45770</v>
      </c>
      <c r="AJ1040" s="16">
        <v>45779</v>
      </c>
      <c r="AK1040" s="17">
        <f>IF(AJ1040="","",AJ1040-AH1040)</f>
        <v>13</v>
      </c>
    </row>
    <row r="1041" spans="1:37">
      <c r="A1041" s="2" t="s">
        <v>1449</v>
      </c>
      <c r="B1041" s="2" t="s">
        <v>1235</v>
      </c>
      <c r="C1041" s="2" t="s">
        <v>867</v>
      </c>
      <c r="D1041" s="2" t="s">
        <v>865</v>
      </c>
      <c r="E1041" s="2" t="s">
        <v>1236</v>
      </c>
      <c r="F1041" s="2" t="s">
        <v>313</v>
      </c>
      <c r="G1041" s="2" t="s">
        <v>1419</v>
      </c>
      <c r="H1041" s="2" t="s">
        <v>254</v>
      </c>
      <c r="I1041" s="2" t="s">
        <v>255</v>
      </c>
      <c r="J1041" s="2" t="s">
        <v>256</v>
      </c>
      <c r="K1041" s="9">
        <v>45756</v>
      </c>
      <c r="L1041" s="9">
        <v>45762</v>
      </c>
      <c r="M1041" s="9">
        <v>45759</v>
      </c>
      <c r="N1041" s="2" t="s">
        <v>1333</v>
      </c>
      <c r="O1041" s="2" t="s">
        <v>55</v>
      </c>
      <c r="P1041" s="2" t="s">
        <v>139</v>
      </c>
      <c r="Q1041" s="2" t="s">
        <v>187</v>
      </c>
      <c r="R1041" s="2" t="s">
        <v>149</v>
      </c>
      <c r="S1041" s="2" t="s">
        <v>259</v>
      </c>
      <c r="T1041" s="10">
        <v>2198</v>
      </c>
      <c r="U1041" s="11">
        <v>6.5500000000000003E-3</v>
      </c>
      <c r="V1041" s="12">
        <f>T1041*U1041</f>
        <v>14.3969</v>
      </c>
      <c r="W1041" s="13">
        <v>0.1</v>
      </c>
      <c r="X1041" s="12">
        <f>V1041-(V1041/(1+W1041))</f>
        <v>1.3088090909090919</v>
      </c>
      <c r="Y1041" s="12">
        <f>V1041-X1041</f>
        <v>13.088090909090909</v>
      </c>
      <c r="Z1041" s="14">
        <v>35</v>
      </c>
      <c r="AA1041" s="2" t="str">
        <f>IF(V1041&gt;Z1041,"Yes","No")</f>
        <v>No</v>
      </c>
      <c r="AB1041" s="12">
        <f>V1041-Z1041</f>
        <v>-20.603099999999998</v>
      </c>
      <c r="AC1041" s="15" t="s">
        <v>130</v>
      </c>
      <c r="AD1041" s="15" t="s">
        <v>130</v>
      </c>
      <c r="AE1041" s="15" t="s">
        <v>260</v>
      </c>
      <c r="AF1041" s="12">
        <f>IF(AG1041="Rejected",0,IF(R1041="Corporate Card",0,V1041))</f>
        <v>14.3969</v>
      </c>
      <c r="AG1041" s="15" t="s">
        <v>133</v>
      </c>
      <c r="AH1041" s="16">
        <v>45766</v>
      </c>
      <c r="AI1041" s="16">
        <v>45770</v>
      </c>
      <c r="AJ1041" s="16">
        <v>45779</v>
      </c>
      <c r="AK1041" s="17">
        <f>IF(AJ1041="","",AJ1041-AH1041)</f>
        <v>13</v>
      </c>
    </row>
    <row r="1042" spans="1:37">
      <c r="A1042" s="2" t="s">
        <v>1450</v>
      </c>
      <c r="B1042" s="2" t="s">
        <v>248</v>
      </c>
      <c r="C1042" s="2" t="s">
        <v>249</v>
      </c>
      <c r="D1042" s="2" t="s">
        <v>250</v>
      </c>
      <c r="E1042" s="2" t="s">
        <v>251</v>
      </c>
      <c r="F1042" s="2" t="s">
        <v>252</v>
      </c>
      <c r="G1042" s="2" t="s">
        <v>1384</v>
      </c>
      <c r="H1042" s="2" t="s">
        <v>193</v>
      </c>
      <c r="I1042" s="2" t="s">
        <v>1038</v>
      </c>
      <c r="J1042" s="2" t="s">
        <v>381</v>
      </c>
      <c r="K1042" s="9">
        <v>45753</v>
      </c>
      <c r="L1042" s="9">
        <v>45761</v>
      </c>
      <c r="M1042" s="9">
        <v>45759</v>
      </c>
      <c r="N1042" s="2" t="s">
        <v>1333</v>
      </c>
      <c r="O1042" s="2" t="s">
        <v>58</v>
      </c>
      <c r="P1042" s="2" t="s">
        <v>142</v>
      </c>
      <c r="Q1042" s="2" t="s">
        <v>224</v>
      </c>
      <c r="R1042" s="2" t="s">
        <v>137</v>
      </c>
      <c r="S1042" s="2" t="s">
        <v>383</v>
      </c>
      <c r="T1042" s="10">
        <v>33.43</v>
      </c>
      <c r="U1042" s="11">
        <v>1</v>
      </c>
      <c r="V1042" s="12">
        <f>T1042*U1042</f>
        <v>33.43</v>
      </c>
      <c r="W1042" s="13">
        <v>0</v>
      </c>
      <c r="X1042" s="12">
        <f>V1042-(V1042/(1+W1042))</f>
        <v>0</v>
      </c>
      <c r="Y1042" s="12">
        <f>V1042-X1042</f>
        <v>33.43</v>
      </c>
      <c r="Z1042" s="14">
        <v>60</v>
      </c>
      <c r="AA1042" s="2" t="str">
        <f>IF(V1042&gt;Z1042,"Yes","No")</f>
        <v>No</v>
      </c>
      <c r="AB1042" s="12">
        <f>V1042-Z1042</f>
        <v>-26.57</v>
      </c>
      <c r="AC1042" s="15" t="s">
        <v>130</v>
      </c>
      <c r="AD1042" s="15" t="s">
        <v>130</v>
      </c>
      <c r="AE1042" s="15" t="s">
        <v>858</v>
      </c>
      <c r="AF1042" s="12">
        <f>IF(AG1042="Rejected",0,IF(R1042="Corporate Card",0,V1042))</f>
        <v>33.43</v>
      </c>
      <c r="AG1042" s="15" t="s">
        <v>133</v>
      </c>
      <c r="AH1042" s="16">
        <v>45762</v>
      </c>
      <c r="AI1042" s="16">
        <v>45769</v>
      </c>
      <c r="AJ1042" s="16">
        <v>45774</v>
      </c>
      <c r="AK1042" s="17">
        <f>IF(AJ1042="","",AJ1042-AH1042)</f>
        <v>12</v>
      </c>
    </row>
    <row r="1043" spans="1:37">
      <c r="A1043" s="2" t="s">
        <v>1451</v>
      </c>
      <c r="B1043" s="2" t="s">
        <v>248</v>
      </c>
      <c r="C1043" s="2" t="s">
        <v>249</v>
      </c>
      <c r="D1043" s="2" t="s">
        <v>250</v>
      </c>
      <c r="E1043" s="2" t="s">
        <v>251</v>
      </c>
      <c r="F1043" s="2" t="s">
        <v>252</v>
      </c>
      <c r="G1043" s="2" t="s">
        <v>1384</v>
      </c>
      <c r="H1043" s="2" t="s">
        <v>193</v>
      </c>
      <c r="I1043" s="2" t="s">
        <v>1038</v>
      </c>
      <c r="J1043" s="2" t="s">
        <v>381</v>
      </c>
      <c r="K1043" s="9">
        <v>45753</v>
      </c>
      <c r="L1043" s="9">
        <v>45761</v>
      </c>
      <c r="M1043" s="9">
        <v>45759</v>
      </c>
      <c r="N1043" s="2" t="s">
        <v>1333</v>
      </c>
      <c r="O1043" s="2" t="s">
        <v>54</v>
      </c>
      <c r="P1043" s="2" t="s">
        <v>139</v>
      </c>
      <c r="Q1043" s="2" t="s">
        <v>163</v>
      </c>
      <c r="R1043" s="2" t="s">
        <v>149</v>
      </c>
      <c r="S1043" s="2" t="s">
        <v>383</v>
      </c>
      <c r="T1043" s="10">
        <v>15.32</v>
      </c>
      <c r="U1043" s="11">
        <v>1</v>
      </c>
      <c r="V1043" s="12">
        <f>T1043*U1043</f>
        <v>15.32</v>
      </c>
      <c r="W1043" s="13">
        <v>0</v>
      </c>
      <c r="X1043" s="12">
        <f>V1043-(V1043/(1+W1043))</f>
        <v>0</v>
      </c>
      <c r="Y1043" s="12">
        <f>V1043-X1043</f>
        <v>15.32</v>
      </c>
      <c r="Z1043" s="14">
        <v>25</v>
      </c>
      <c r="AA1043" s="2" t="str">
        <f>IF(V1043&gt;Z1043,"Yes","No")</f>
        <v>No</v>
      </c>
      <c r="AB1043" s="12">
        <f>V1043-Z1043</f>
        <v>-9.68</v>
      </c>
      <c r="AC1043" s="15" t="s">
        <v>130</v>
      </c>
      <c r="AD1043" s="15" t="s">
        <v>130</v>
      </c>
      <c r="AE1043" s="15" t="s">
        <v>858</v>
      </c>
      <c r="AF1043" s="12">
        <f>IF(AG1043="Rejected",0,IF(R1043="Corporate Card",0,V1043))</f>
        <v>15.32</v>
      </c>
      <c r="AG1043" s="15" t="s">
        <v>133</v>
      </c>
      <c r="AH1043" s="16">
        <v>45762</v>
      </c>
      <c r="AI1043" s="16">
        <v>45769</v>
      </c>
      <c r="AJ1043" s="16">
        <v>45774</v>
      </c>
      <c r="AK1043" s="17">
        <f>IF(AJ1043="","",AJ1043-AH1043)</f>
        <v>12</v>
      </c>
    </row>
    <row r="1044" spans="1:37">
      <c r="A1044" s="2" t="s">
        <v>1452</v>
      </c>
      <c r="B1044" s="2" t="s">
        <v>248</v>
      </c>
      <c r="C1044" s="2" t="s">
        <v>249</v>
      </c>
      <c r="D1044" s="2" t="s">
        <v>250</v>
      </c>
      <c r="E1044" s="2" t="s">
        <v>251</v>
      </c>
      <c r="F1044" s="2" t="s">
        <v>252</v>
      </c>
      <c r="G1044" s="2" t="s">
        <v>1384</v>
      </c>
      <c r="H1044" s="2" t="s">
        <v>193</v>
      </c>
      <c r="I1044" s="2" t="s">
        <v>1038</v>
      </c>
      <c r="J1044" s="2" t="s">
        <v>381</v>
      </c>
      <c r="K1044" s="9">
        <v>45753</v>
      </c>
      <c r="L1044" s="9">
        <v>45761</v>
      </c>
      <c r="M1044" s="9">
        <v>45759</v>
      </c>
      <c r="N1044" s="2" t="s">
        <v>1333</v>
      </c>
      <c r="O1044" s="2" t="s">
        <v>56</v>
      </c>
      <c r="P1044" s="2" t="s">
        <v>245</v>
      </c>
      <c r="Q1044" s="2" t="s">
        <v>152</v>
      </c>
      <c r="R1044" s="2" t="s">
        <v>128</v>
      </c>
      <c r="S1044" s="2" t="s">
        <v>383</v>
      </c>
      <c r="T1044" s="10">
        <v>103.59</v>
      </c>
      <c r="U1044" s="11">
        <v>1</v>
      </c>
      <c r="V1044" s="12">
        <f>T1044*U1044</f>
        <v>103.59</v>
      </c>
      <c r="W1044" s="13">
        <v>0</v>
      </c>
      <c r="X1044" s="12">
        <f>V1044-(V1044/(1+W1044))</f>
        <v>0</v>
      </c>
      <c r="Y1044" s="12">
        <f>V1044-X1044</f>
        <v>103.59</v>
      </c>
      <c r="Z1044" s="14">
        <v>75</v>
      </c>
      <c r="AA1044" s="2" t="str">
        <f>IF(V1044&gt;Z1044,"Yes","No")</f>
        <v>Yes</v>
      </c>
      <c r="AB1044" s="12">
        <f>V1044-Z1044</f>
        <v>28.590000000000003</v>
      </c>
      <c r="AC1044" s="15" t="s">
        <v>130</v>
      </c>
      <c r="AD1044" s="15" t="s">
        <v>130</v>
      </c>
      <c r="AE1044" s="15" t="s">
        <v>858</v>
      </c>
      <c r="AF1044" s="12">
        <f>IF(AG1044="Rejected",0,IF(R1044="Corporate Card",0,V1044))</f>
        <v>0</v>
      </c>
      <c r="AG1044" s="15" t="s">
        <v>133</v>
      </c>
      <c r="AH1044" s="16">
        <v>45762</v>
      </c>
      <c r="AI1044" s="16">
        <v>45769</v>
      </c>
      <c r="AJ1044" s="16">
        <v>45774</v>
      </c>
      <c r="AK1044" s="17">
        <f>IF(AJ1044="","",AJ1044-AH1044)</f>
        <v>12</v>
      </c>
    </row>
    <row r="1045" spans="1:37">
      <c r="A1045" s="2" t="s">
        <v>1453</v>
      </c>
      <c r="B1045" s="2" t="s">
        <v>1155</v>
      </c>
      <c r="C1045" s="2" t="s">
        <v>1156</v>
      </c>
      <c r="D1045" s="2" t="s">
        <v>118</v>
      </c>
      <c r="E1045" s="2" t="s">
        <v>119</v>
      </c>
      <c r="F1045" s="2" t="s">
        <v>311</v>
      </c>
      <c r="G1045" s="2" t="s">
        <v>1454</v>
      </c>
      <c r="H1045" s="2" t="s">
        <v>291</v>
      </c>
      <c r="I1045" s="2" t="s">
        <v>315</v>
      </c>
      <c r="J1045" s="2" t="s">
        <v>316</v>
      </c>
      <c r="K1045" s="9">
        <v>45759</v>
      </c>
      <c r="L1045" s="9">
        <v>45761</v>
      </c>
      <c r="M1045" s="9">
        <v>45759</v>
      </c>
      <c r="N1045" s="2" t="s">
        <v>1333</v>
      </c>
      <c r="O1045" s="2" t="s">
        <v>52</v>
      </c>
      <c r="P1045" s="2" t="s">
        <v>317</v>
      </c>
      <c r="Q1045" s="2" t="s">
        <v>420</v>
      </c>
      <c r="R1045" s="2" t="s">
        <v>149</v>
      </c>
      <c r="S1045" s="2" t="s">
        <v>318</v>
      </c>
      <c r="T1045" s="10">
        <v>3227.12</v>
      </c>
      <c r="U1045" s="11">
        <v>0.27229999999999999</v>
      </c>
      <c r="V1045" s="12">
        <f>T1045*U1045</f>
        <v>878.74477599999989</v>
      </c>
      <c r="W1045" s="13">
        <v>0</v>
      </c>
      <c r="X1045" s="12">
        <f>V1045-(V1045/(1+W1045))</f>
        <v>0</v>
      </c>
      <c r="Y1045" s="12">
        <f>V1045-X1045</f>
        <v>878.74477599999989</v>
      </c>
      <c r="Z1045" s="14">
        <v>1400</v>
      </c>
      <c r="AA1045" s="2" t="str">
        <f>IF(V1045&gt;Z1045,"Yes","No")</f>
        <v>No</v>
      </c>
      <c r="AB1045" s="12">
        <f>V1045-Z1045</f>
        <v>-521.25522400000011</v>
      </c>
      <c r="AC1045" s="15" t="s">
        <v>130</v>
      </c>
      <c r="AD1045" s="15" t="s">
        <v>130</v>
      </c>
      <c r="AE1045" s="15" t="s">
        <v>514</v>
      </c>
      <c r="AF1045" s="12">
        <f>IF(AG1045="Rejected",0,IF(R1045="Corporate Card",0,V1045))</f>
        <v>878.74477599999989</v>
      </c>
      <c r="AG1045" s="15" t="s">
        <v>181</v>
      </c>
      <c r="AH1045" s="16">
        <v>45773</v>
      </c>
      <c r="AI1045" s="16"/>
      <c r="AJ1045" s="16"/>
      <c r="AK1045" s="17" t="str">
        <f>IF(AJ1045="","",AJ1045-AH1045)</f>
        <v/>
      </c>
    </row>
    <row r="1046" spans="1:37">
      <c r="A1046" s="2" t="s">
        <v>1455</v>
      </c>
      <c r="B1046" s="2" t="s">
        <v>1155</v>
      </c>
      <c r="C1046" s="2" t="s">
        <v>1156</v>
      </c>
      <c r="D1046" s="2" t="s">
        <v>118</v>
      </c>
      <c r="E1046" s="2" t="s">
        <v>119</v>
      </c>
      <c r="F1046" s="2" t="s">
        <v>311</v>
      </c>
      <c r="G1046" s="2" t="s">
        <v>1454</v>
      </c>
      <c r="H1046" s="2" t="s">
        <v>291</v>
      </c>
      <c r="I1046" s="2" t="s">
        <v>315</v>
      </c>
      <c r="J1046" s="2" t="s">
        <v>316</v>
      </c>
      <c r="K1046" s="9">
        <v>45759</v>
      </c>
      <c r="L1046" s="9">
        <v>45761</v>
      </c>
      <c r="M1046" s="9">
        <v>45759</v>
      </c>
      <c r="N1046" s="2" t="s">
        <v>1333</v>
      </c>
      <c r="O1046" s="2" t="s">
        <v>58</v>
      </c>
      <c r="P1046" s="2" t="s">
        <v>142</v>
      </c>
      <c r="Q1046" s="2" t="s">
        <v>224</v>
      </c>
      <c r="R1046" s="2" t="s">
        <v>149</v>
      </c>
      <c r="S1046" s="2" t="s">
        <v>318</v>
      </c>
      <c r="T1046" s="10">
        <v>116.9</v>
      </c>
      <c r="U1046" s="11">
        <v>0.27229999999999999</v>
      </c>
      <c r="V1046" s="12">
        <f>T1046*U1046</f>
        <v>31.831869999999999</v>
      </c>
      <c r="W1046" s="13">
        <v>0.05</v>
      </c>
      <c r="X1046" s="12">
        <f>V1046-(V1046/(1+W1046))</f>
        <v>1.5158033333333343</v>
      </c>
      <c r="Y1046" s="12">
        <f>V1046-X1046</f>
        <v>30.316066666666664</v>
      </c>
      <c r="Z1046" s="14">
        <v>60</v>
      </c>
      <c r="AA1046" s="2" t="str">
        <f>IF(V1046&gt;Z1046,"Yes","No")</f>
        <v>No</v>
      </c>
      <c r="AB1046" s="12">
        <f>V1046-Z1046</f>
        <v>-28.168130000000001</v>
      </c>
      <c r="AC1046" s="15" t="s">
        <v>130</v>
      </c>
      <c r="AD1046" s="15" t="s">
        <v>130</v>
      </c>
      <c r="AE1046" s="15" t="s">
        <v>514</v>
      </c>
      <c r="AF1046" s="12">
        <f>IF(AG1046="Rejected",0,IF(R1046="Corporate Card",0,V1046))</f>
        <v>31.831869999999999</v>
      </c>
      <c r="AG1046" s="15" t="s">
        <v>181</v>
      </c>
      <c r="AH1046" s="16">
        <v>45773</v>
      </c>
      <c r="AI1046" s="16"/>
      <c r="AJ1046" s="16"/>
      <c r="AK1046" s="17" t="str">
        <f>IF(AJ1046="","",AJ1046-AH1046)</f>
        <v/>
      </c>
    </row>
    <row r="1047" spans="1:37">
      <c r="A1047" s="2" t="s">
        <v>1456</v>
      </c>
      <c r="B1047" s="2" t="s">
        <v>1155</v>
      </c>
      <c r="C1047" s="2" t="s">
        <v>1156</v>
      </c>
      <c r="D1047" s="2" t="s">
        <v>118</v>
      </c>
      <c r="E1047" s="2" t="s">
        <v>119</v>
      </c>
      <c r="F1047" s="2" t="s">
        <v>311</v>
      </c>
      <c r="G1047" s="2" t="s">
        <v>1454</v>
      </c>
      <c r="H1047" s="2" t="s">
        <v>291</v>
      </c>
      <c r="I1047" s="2" t="s">
        <v>315</v>
      </c>
      <c r="J1047" s="2" t="s">
        <v>316</v>
      </c>
      <c r="K1047" s="9">
        <v>45759</v>
      </c>
      <c r="L1047" s="9">
        <v>45761</v>
      </c>
      <c r="M1047" s="9">
        <v>45759</v>
      </c>
      <c r="N1047" s="2" t="s">
        <v>1333</v>
      </c>
      <c r="O1047" s="2" t="s">
        <v>54</v>
      </c>
      <c r="P1047" s="2" t="s">
        <v>139</v>
      </c>
      <c r="Q1047" s="2" t="s">
        <v>163</v>
      </c>
      <c r="R1047" s="2" t="s">
        <v>128</v>
      </c>
      <c r="S1047" s="2" t="s">
        <v>318</v>
      </c>
      <c r="T1047" s="10">
        <v>65.239999999999995</v>
      </c>
      <c r="U1047" s="11">
        <v>0.27229999999999999</v>
      </c>
      <c r="V1047" s="12">
        <f>T1047*U1047</f>
        <v>17.764851999999998</v>
      </c>
      <c r="W1047" s="13">
        <v>0.05</v>
      </c>
      <c r="X1047" s="12">
        <f>V1047-(V1047/(1+W1047))</f>
        <v>0.84594533333333288</v>
      </c>
      <c r="Y1047" s="12">
        <f>V1047-X1047</f>
        <v>16.918906666666665</v>
      </c>
      <c r="Z1047" s="14">
        <v>25</v>
      </c>
      <c r="AA1047" s="2" t="str">
        <f>IF(V1047&gt;Z1047,"Yes","No")</f>
        <v>No</v>
      </c>
      <c r="AB1047" s="12">
        <f>V1047-Z1047</f>
        <v>-7.2351480000000024</v>
      </c>
      <c r="AC1047" s="15" t="s">
        <v>130</v>
      </c>
      <c r="AD1047" s="15" t="s">
        <v>130</v>
      </c>
      <c r="AE1047" s="15" t="s">
        <v>514</v>
      </c>
      <c r="AF1047" s="12">
        <f>IF(AG1047="Rejected",0,IF(R1047="Corporate Card",0,V1047))</f>
        <v>0</v>
      </c>
      <c r="AG1047" s="15" t="s">
        <v>181</v>
      </c>
      <c r="AH1047" s="16">
        <v>45773</v>
      </c>
      <c r="AI1047" s="16"/>
      <c r="AJ1047" s="16"/>
      <c r="AK1047" s="17" t="str">
        <f>IF(AJ1047="","",AJ1047-AH1047)</f>
        <v/>
      </c>
    </row>
    <row r="1048" spans="1:37">
      <c r="A1048" s="2" t="s">
        <v>1457</v>
      </c>
      <c r="B1048" s="2" t="s">
        <v>1155</v>
      </c>
      <c r="C1048" s="2" t="s">
        <v>1156</v>
      </c>
      <c r="D1048" s="2" t="s">
        <v>118</v>
      </c>
      <c r="E1048" s="2" t="s">
        <v>119</v>
      </c>
      <c r="F1048" s="2" t="s">
        <v>311</v>
      </c>
      <c r="G1048" s="2" t="s">
        <v>1454</v>
      </c>
      <c r="H1048" s="2" t="s">
        <v>291</v>
      </c>
      <c r="I1048" s="2" t="s">
        <v>315</v>
      </c>
      <c r="J1048" s="2" t="s">
        <v>316</v>
      </c>
      <c r="K1048" s="9">
        <v>45759</v>
      </c>
      <c r="L1048" s="9">
        <v>45761</v>
      </c>
      <c r="M1048" s="9">
        <v>45759</v>
      </c>
      <c r="N1048" s="2" t="s">
        <v>1333</v>
      </c>
      <c r="O1048" s="2" t="s">
        <v>56</v>
      </c>
      <c r="P1048" s="2" t="s">
        <v>245</v>
      </c>
      <c r="Q1048" s="2" t="s">
        <v>152</v>
      </c>
      <c r="R1048" s="2" t="s">
        <v>149</v>
      </c>
      <c r="S1048" s="2" t="s">
        <v>318</v>
      </c>
      <c r="T1048" s="10">
        <v>205.76</v>
      </c>
      <c r="U1048" s="11">
        <v>0.27229999999999999</v>
      </c>
      <c r="V1048" s="12">
        <f>T1048*U1048</f>
        <v>56.028447999999997</v>
      </c>
      <c r="W1048" s="13">
        <v>0.05</v>
      </c>
      <c r="X1048" s="12">
        <f>V1048-(V1048/(1+W1048))</f>
        <v>2.6680213333333356</v>
      </c>
      <c r="Y1048" s="12">
        <f>V1048-X1048</f>
        <v>53.360426666666662</v>
      </c>
      <c r="Z1048" s="14">
        <v>75</v>
      </c>
      <c r="AA1048" s="2" t="str">
        <f>IF(V1048&gt;Z1048,"Yes","No")</f>
        <v>No</v>
      </c>
      <c r="AB1048" s="12">
        <f>V1048-Z1048</f>
        <v>-18.971552000000003</v>
      </c>
      <c r="AC1048" s="15" t="s">
        <v>130</v>
      </c>
      <c r="AD1048" s="15" t="s">
        <v>130</v>
      </c>
      <c r="AE1048" s="15" t="s">
        <v>514</v>
      </c>
      <c r="AF1048" s="12">
        <f>IF(AG1048="Rejected",0,IF(R1048="Corporate Card",0,V1048))</f>
        <v>56.028447999999997</v>
      </c>
      <c r="AG1048" s="15" t="s">
        <v>181</v>
      </c>
      <c r="AH1048" s="16">
        <v>45773</v>
      </c>
      <c r="AI1048" s="16"/>
      <c r="AJ1048" s="16"/>
      <c r="AK1048" s="17" t="str">
        <f>IF(AJ1048="","",AJ1048-AH1048)</f>
        <v/>
      </c>
    </row>
    <row r="1049" spans="1:37">
      <c r="A1049" s="2" t="s">
        <v>1458</v>
      </c>
      <c r="B1049" s="2" t="s">
        <v>1155</v>
      </c>
      <c r="C1049" s="2" t="s">
        <v>1156</v>
      </c>
      <c r="D1049" s="2" t="s">
        <v>118</v>
      </c>
      <c r="E1049" s="2" t="s">
        <v>119</v>
      </c>
      <c r="F1049" s="2" t="s">
        <v>311</v>
      </c>
      <c r="G1049" s="2" t="s">
        <v>1454</v>
      </c>
      <c r="H1049" s="2" t="s">
        <v>291</v>
      </c>
      <c r="I1049" s="2" t="s">
        <v>315</v>
      </c>
      <c r="J1049" s="2" t="s">
        <v>316</v>
      </c>
      <c r="K1049" s="9">
        <v>45759</v>
      </c>
      <c r="L1049" s="9">
        <v>45761</v>
      </c>
      <c r="M1049" s="9">
        <v>45759</v>
      </c>
      <c r="N1049" s="2" t="s">
        <v>1333</v>
      </c>
      <c r="O1049" s="2" t="s">
        <v>55</v>
      </c>
      <c r="P1049" s="2" t="s">
        <v>139</v>
      </c>
      <c r="Q1049" s="2" t="s">
        <v>161</v>
      </c>
      <c r="R1049" s="2" t="s">
        <v>128</v>
      </c>
      <c r="S1049" s="2" t="s">
        <v>318</v>
      </c>
      <c r="T1049" s="10">
        <v>86.69</v>
      </c>
      <c r="U1049" s="11">
        <v>0.27229999999999999</v>
      </c>
      <c r="V1049" s="12">
        <f>T1049*U1049</f>
        <v>23.605687</v>
      </c>
      <c r="W1049" s="13">
        <v>0.05</v>
      </c>
      <c r="X1049" s="12">
        <f>V1049-(V1049/(1+W1049))</f>
        <v>1.1240803333333353</v>
      </c>
      <c r="Y1049" s="12">
        <f>V1049-X1049</f>
        <v>22.481606666666664</v>
      </c>
      <c r="Z1049" s="14">
        <v>35</v>
      </c>
      <c r="AA1049" s="2" t="str">
        <f>IF(V1049&gt;Z1049,"Yes","No")</f>
        <v>No</v>
      </c>
      <c r="AB1049" s="12">
        <f>V1049-Z1049</f>
        <v>-11.394313</v>
      </c>
      <c r="AC1049" s="15" t="s">
        <v>130</v>
      </c>
      <c r="AD1049" s="15" t="s">
        <v>130</v>
      </c>
      <c r="AE1049" s="15" t="s">
        <v>514</v>
      </c>
      <c r="AF1049" s="12">
        <f>IF(AG1049="Rejected",0,IF(R1049="Corporate Card",0,V1049))</f>
        <v>0</v>
      </c>
      <c r="AG1049" s="15" t="s">
        <v>181</v>
      </c>
      <c r="AH1049" s="16">
        <v>45773</v>
      </c>
      <c r="AI1049" s="16"/>
      <c r="AJ1049" s="16"/>
      <c r="AK1049" s="17" t="str">
        <f>IF(AJ1049="","",AJ1049-AH1049)</f>
        <v/>
      </c>
    </row>
    <row r="1050" spans="1:37">
      <c r="A1050" s="2" t="s">
        <v>1459</v>
      </c>
      <c r="B1050" s="2" t="s">
        <v>1235</v>
      </c>
      <c r="C1050" s="2" t="s">
        <v>867</v>
      </c>
      <c r="D1050" s="2" t="s">
        <v>865</v>
      </c>
      <c r="E1050" s="2" t="s">
        <v>1236</v>
      </c>
      <c r="F1050" s="2" t="s">
        <v>313</v>
      </c>
      <c r="G1050" s="2" t="s">
        <v>1419</v>
      </c>
      <c r="H1050" s="2" t="s">
        <v>254</v>
      </c>
      <c r="I1050" s="2" t="s">
        <v>255</v>
      </c>
      <c r="J1050" s="2" t="s">
        <v>256</v>
      </c>
      <c r="K1050" s="9">
        <v>45756</v>
      </c>
      <c r="L1050" s="9">
        <v>45762</v>
      </c>
      <c r="M1050" s="9">
        <v>45760</v>
      </c>
      <c r="N1050" s="2" t="s">
        <v>1333</v>
      </c>
      <c r="O1050" s="2" t="s">
        <v>58</v>
      </c>
      <c r="P1050" s="2" t="s">
        <v>142</v>
      </c>
      <c r="Q1050" s="2" t="s">
        <v>143</v>
      </c>
      <c r="R1050" s="2" t="s">
        <v>128</v>
      </c>
      <c r="S1050" s="2" t="s">
        <v>259</v>
      </c>
      <c r="T1050" s="10">
        <v>7674</v>
      </c>
      <c r="U1050" s="11">
        <v>6.5500000000000003E-3</v>
      </c>
      <c r="V1050" s="12">
        <f>T1050*U1050</f>
        <v>50.264700000000005</v>
      </c>
      <c r="W1050" s="13">
        <v>0.1</v>
      </c>
      <c r="X1050" s="12">
        <f>V1050-(V1050/(1+W1050))</f>
        <v>4.5695181818181894</v>
      </c>
      <c r="Y1050" s="12">
        <f>V1050-X1050</f>
        <v>45.695181818181815</v>
      </c>
      <c r="Z1050" s="14">
        <v>60</v>
      </c>
      <c r="AA1050" s="2" t="str">
        <f>IF(V1050&gt;Z1050,"Yes","No")</f>
        <v>No</v>
      </c>
      <c r="AB1050" s="12">
        <f>V1050-Z1050</f>
        <v>-9.7352999999999952</v>
      </c>
      <c r="AC1050" s="15" t="s">
        <v>130</v>
      </c>
      <c r="AD1050" s="15" t="s">
        <v>130</v>
      </c>
      <c r="AE1050" s="15" t="s">
        <v>260</v>
      </c>
      <c r="AF1050" s="12">
        <f>IF(AG1050="Rejected",0,IF(R1050="Corporate Card",0,V1050))</f>
        <v>0</v>
      </c>
      <c r="AG1050" s="15" t="s">
        <v>133</v>
      </c>
      <c r="AH1050" s="16">
        <v>45766</v>
      </c>
      <c r="AI1050" s="16">
        <v>45770</v>
      </c>
      <c r="AJ1050" s="16">
        <v>45779</v>
      </c>
      <c r="AK1050" s="17">
        <f>IF(AJ1050="","",AJ1050-AH1050)</f>
        <v>13</v>
      </c>
    </row>
    <row r="1051" spans="1:37">
      <c r="A1051" s="2" t="s">
        <v>1460</v>
      </c>
      <c r="B1051" s="2" t="s">
        <v>1235</v>
      </c>
      <c r="C1051" s="2" t="s">
        <v>867</v>
      </c>
      <c r="D1051" s="2" t="s">
        <v>865</v>
      </c>
      <c r="E1051" s="2" t="s">
        <v>1236</v>
      </c>
      <c r="F1051" s="2" t="s">
        <v>313</v>
      </c>
      <c r="G1051" s="2" t="s">
        <v>1419</v>
      </c>
      <c r="H1051" s="2" t="s">
        <v>254</v>
      </c>
      <c r="I1051" s="2" t="s">
        <v>255</v>
      </c>
      <c r="J1051" s="2" t="s">
        <v>256</v>
      </c>
      <c r="K1051" s="9">
        <v>45756</v>
      </c>
      <c r="L1051" s="9">
        <v>45762</v>
      </c>
      <c r="M1051" s="9">
        <v>45760</v>
      </c>
      <c r="N1051" s="2" t="s">
        <v>1333</v>
      </c>
      <c r="O1051" s="2" t="s">
        <v>54</v>
      </c>
      <c r="P1051" s="2" t="s">
        <v>139</v>
      </c>
      <c r="Q1051" s="2" t="s">
        <v>163</v>
      </c>
      <c r="R1051" s="2" t="s">
        <v>128</v>
      </c>
      <c r="S1051" s="2" t="s">
        <v>259</v>
      </c>
      <c r="T1051" s="10">
        <v>1747</v>
      </c>
      <c r="U1051" s="11">
        <v>6.5500000000000003E-3</v>
      </c>
      <c r="V1051" s="12">
        <f>T1051*U1051</f>
        <v>11.44285</v>
      </c>
      <c r="W1051" s="13">
        <v>0.1</v>
      </c>
      <c r="X1051" s="12">
        <f>V1051-(V1051/(1+W1051))</f>
        <v>1.0402590909090925</v>
      </c>
      <c r="Y1051" s="12">
        <f>V1051-X1051</f>
        <v>10.402590909090907</v>
      </c>
      <c r="Z1051" s="14">
        <v>25</v>
      </c>
      <c r="AA1051" s="2" t="str">
        <f>IF(V1051&gt;Z1051,"Yes","No")</f>
        <v>No</v>
      </c>
      <c r="AB1051" s="12">
        <f>V1051-Z1051</f>
        <v>-13.55715</v>
      </c>
      <c r="AC1051" s="15" t="s">
        <v>130</v>
      </c>
      <c r="AD1051" s="15" t="s">
        <v>130</v>
      </c>
      <c r="AE1051" s="15" t="s">
        <v>260</v>
      </c>
      <c r="AF1051" s="12">
        <f>IF(AG1051="Rejected",0,IF(R1051="Corporate Card",0,V1051))</f>
        <v>0</v>
      </c>
      <c r="AG1051" s="15" t="s">
        <v>133</v>
      </c>
      <c r="AH1051" s="16">
        <v>45766</v>
      </c>
      <c r="AI1051" s="16">
        <v>45770</v>
      </c>
      <c r="AJ1051" s="16">
        <v>45779</v>
      </c>
      <c r="AK1051" s="17">
        <f>IF(AJ1051="","",AJ1051-AH1051)</f>
        <v>13</v>
      </c>
    </row>
    <row r="1052" spans="1:37">
      <c r="A1052" s="2" t="s">
        <v>1461</v>
      </c>
      <c r="B1052" s="2" t="s">
        <v>1235</v>
      </c>
      <c r="C1052" s="2" t="s">
        <v>867</v>
      </c>
      <c r="D1052" s="2" t="s">
        <v>865</v>
      </c>
      <c r="E1052" s="2" t="s">
        <v>1236</v>
      </c>
      <c r="F1052" s="2" t="s">
        <v>313</v>
      </c>
      <c r="G1052" s="2" t="s">
        <v>1419</v>
      </c>
      <c r="H1052" s="2" t="s">
        <v>254</v>
      </c>
      <c r="I1052" s="2" t="s">
        <v>255</v>
      </c>
      <c r="J1052" s="2" t="s">
        <v>256</v>
      </c>
      <c r="K1052" s="9">
        <v>45756</v>
      </c>
      <c r="L1052" s="9">
        <v>45762</v>
      </c>
      <c r="M1052" s="9">
        <v>45760</v>
      </c>
      <c r="N1052" s="2" t="s">
        <v>1333</v>
      </c>
      <c r="O1052" s="2" t="s">
        <v>56</v>
      </c>
      <c r="P1052" s="2" t="s">
        <v>231</v>
      </c>
      <c r="Q1052" s="2" t="s">
        <v>159</v>
      </c>
      <c r="R1052" s="2" t="s">
        <v>128</v>
      </c>
      <c r="S1052" s="2" t="s">
        <v>259</v>
      </c>
      <c r="T1052" s="10">
        <v>5185</v>
      </c>
      <c r="U1052" s="11">
        <v>6.5500000000000003E-3</v>
      </c>
      <c r="V1052" s="12">
        <f>T1052*U1052</f>
        <v>33.961750000000002</v>
      </c>
      <c r="W1052" s="13">
        <v>0.1</v>
      </c>
      <c r="X1052" s="12">
        <f>V1052-(V1052/(1+W1052))</f>
        <v>3.0874318181818197</v>
      </c>
      <c r="Y1052" s="12">
        <f>V1052-X1052</f>
        <v>30.874318181818182</v>
      </c>
      <c r="Z1052" s="14">
        <v>75</v>
      </c>
      <c r="AA1052" s="2" t="str">
        <f>IF(V1052&gt;Z1052,"Yes","No")</f>
        <v>No</v>
      </c>
      <c r="AB1052" s="12">
        <f>V1052-Z1052</f>
        <v>-41.038249999999998</v>
      </c>
      <c r="AC1052" s="15" t="s">
        <v>130</v>
      </c>
      <c r="AD1052" s="15" t="s">
        <v>130</v>
      </c>
      <c r="AE1052" s="15" t="s">
        <v>260</v>
      </c>
      <c r="AF1052" s="12">
        <f>IF(AG1052="Rejected",0,IF(R1052="Corporate Card",0,V1052))</f>
        <v>0</v>
      </c>
      <c r="AG1052" s="15" t="s">
        <v>133</v>
      </c>
      <c r="AH1052" s="16">
        <v>45766</v>
      </c>
      <c r="AI1052" s="16">
        <v>45770</v>
      </c>
      <c r="AJ1052" s="16">
        <v>45779</v>
      </c>
      <c r="AK1052" s="17">
        <f>IF(AJ1052="","",AJ1052-AH1052)</f>
        <v>13</v>
      </c>
    </row>
    <row r="1053" spans="1:37">
      <c r="A1053" s="2" t="s">
        <v>1462</v>
      </c>
      <c r="B1053" s="2" t="s">
        <v>1235</v>
      </c>
      <c r="C1053" s="2" t="s">
        <v>867</v>
      </c>
      <c r="D1053" s="2" t="s">
        <v>865</v>
      </c>
      <c r="E1053" s="2" t="s">
        <v>1236</v>
      </c>
      <c r="F1053" s="2" t="s">
        <v>313</v>
      </c>
      <c r="G1053" s="2" t="s">
        <v>1419</v>
      </c>
      <c r="H1053" s="2" t="s">
        <v>254</v>
      </c>
      <c r="I1053" s="2" t="s">
        <v>255</v>
      </c>
      <c r="J1053" s="2" t="s">
        <v>256</v>
      </c>
      <c r="K1053" s="9">
        <v>45756</v>
      </c>
      <c r="L1053" s="9">
        <v>45762</v>
      </c>
      <c r="M1053" s="9">
        <v>45760</v>
      </c>
      <c r="N1053" s="2" t="s">
        <v>1333</v>
      </c>
      <c r="O1053" s="2" t="s">
        <v>55</v>
      </c>
      <c r="P1053" s="2" t="s">
        <v>139</v>
      </c>
      <c r="Q1053" s="2" t="s">
        <v>154</v>
      </c>
      <c r="R1053" s="2" t="s">
        <v>128</v>
      </c>
      <c r="S1053" s="2" t="s">
        <v>259</v>
      </c>
      <c r="T1053" s="10">
        <v>4095</v>
      </c>
      <c r="U1053" s="11">
        <v>6.5500000000000003E-3</v>
      </c>
      <c r="V1053" s="12">
        <f>T1053*U1053</f>
        <v>26.82225</v>
      </c>
      <c r="W1053" s="13">
        <v>0.1</v>
      </c>
      <c r="X1053" s="12">
        <f>V1053-(V1053/(1+W1053))</f>
        <v>2.438386363636365</v>
      </c>
      <c r="Y1053" s="12">
        <f>V1053-X1053</f>
        <v>24.383863636363635</v>
      </c>
      <c r="Z1053" s="14">
        <v>35</v>
      </c>
      <c r="AA1053" s="2" t="str">
        <f>IF(V1053&gt;Z1053,"Yes","No")</f>
        <v>No</v>
      </c>
      <c r="AB1053" s="12">
        <f>V1053-Z1053</f>
        <v>-8.1777499999999996</v>
      </c>
      <c r="AC1053" s="15" t="s">
        <v>130</v>
      </c>
      <c r="AD1053" s="15" t="s">
        <v>130</v>
      </c>
      <c r="AE1053" s="15" t="s">
        <v>260</v>
      </c>
      <c r="AF1053" s="12">
        <f>IF(AG1053="Rejected",0,IF(R1053="Corporate Card",0,V1053))</f>
        <v>0</v>
      </c>
      <c r="AG1053" s="15" t="s">
        <v>133</v>
      </c>
      <c r="AH1053" s="16">
        <v>45766</v>
      </c>
      <c r="AI1053" s="16">
        <v>45770</v>
      </c>
      <c r="AJ1053" s="16">
        <v>45779</v>
      </c>
      <c r="AK1053" s="17">
        <f>IF(AJ1053="","",AJ1053-AH1053)</f>
        <v>13</v>
      </c>
    </row>
    <row r="1054" spans="1:37">
      <c r="A1054" s="2" t="s">
        <v>1463</v>
      </c>
      <c r="B1054" s="2" t="s">
        <v>248</v>
      </c>
      <c r="C1054" s="2" t="s">
        <v>249</v>
      </c>
      <c r="D1054" s="2" t="s">
        <v>250</v>
      </c>
      <c r="E1054" s="2" t="s">
        <v>251</v>
      </c>
      <c r="F1054" s="2" t="s">
        <v>252</v>
      </c>
      <c r="G1054" s="2" t="s">
        <v>1384</v>
      </c>
      <c r="H1054" s="2" t="s">
        <v>193</v>
      </c>
      <c r="I1054" s="2" t="s">
        <v>1038</v>
      </c>
      <c r="J1054" s="2" t="s">
        <v>381</v>
      </c>
      <c r="K1054" s="9">
        <v>45753</v>
      </c>
      <c r="L1054" s="9">
        <v>45761</v>
      </c>
      <c r="M1054" s="9">
        <v>45760</v>
      </c>
      <c r="N1054" s="2" t="s">
        <v>1333</v>
      </c>
      <c r="O1054" s="2" t="s">
        <v>58</v>
      </c>
      <c r="P1054" s="2" t="s">
        <v>142</v>
      </c>
      <c r="Q1054" s="2" t="s">
        <v>143</v>
      </c>
      <c r="R1054" s="2" t="s">
        <v>128</v>
      </c>
      <c r="S1054" s="2" t="s">
        <v>383</v>
      </c>
      <c r="T1054" s="10">
        <v>65.16</v>
      </c>
      <c r="U1054" s="11">
        <v>1</v>
      </c>
      <c r="V1054" s="12">
        <f>T1054*U1054</f>
        <v>65.16</v>
      </c>
      <c r="W1054" s="13">
        <v>0</v>
      </c>
      <c r="X1054" s="12">
        <f>V1054-(V1054/(1+W1054))</f>
        <v>0</v>
      </c>
      <c r="Y1054" s="12">
        <f>V1054-X1054</f>
        <v>65.16</v>
      </c>
      <c r="Z1054" s="14">
        <v>60</v>
      </c>
      <c r="AA1054" s="2" t="str">
        <f>IF(V1054&gt;Z1054,"Yes","No")</f>
        <v>Yes</v>
      </c>
      <c r="AB1054" s="12">
        <f>V1054-Z1054</f>
        <v>5.1599999999999966</v>
      </c>
      <c r="AC1054" s="15" t="s">
        <v>130</v>
      </c>
      <c r="AD1054" s="15" t="s">
        <v>130</v>
      </c>
      <c r="AE1054" s="15" t="s">
        <v>858</v>
      </c>
      <c r="AF1054" s="12">
        <f>IF(AG1054="Rejected",0,IF(R1054="Corporate Card",0,V1054))</f>
        <v>0</v>
      </c>
      <c r="AG1054" s="15" t="s">
        <v>133</v>
      </c>
      <c r="AH1054" s="16">
        <v>45762</v>
      </c>
      <c r="AI1054" s="16">
        <v>45769</v>
      </c>
      <c r="AJ1054" s="16">
        <v>45774</v>
      </c>
      <c r="AK1054" s="17">
        <f>IF(AJ1054="","",AJ1054-AH1054)</f>
        <v>12</v>
      </c>
    </row>
    <row r="1055" spans="1:37">
      <c r="A1055" s="2" t="s">
        <v>1464</v>
      </c>
      <c r="B1055" s="2" t="s">
        <v>248</v>
      </c>
      <c r="C1055" s="2" t="s">
        <v>249</v>
      </c>
      <c r="D1055" s="2" t="s">
        <v>250</v>
      </c>
      <c r="E1055" s="2" t="s">
        <v>251</v>
      </c>
      <c r="F1055" s="2" t="s">
        <v>252</v>
      </c>
      <c r="G1055" s="2" t="s">
        <v>1384</v>
      </c>
      <c r="H1055" s="2" t="s">
        <v>193</v>
      </c>
      <c r="I1055" s="2" t="s">
        <v>1038</v>
      </c>
      <c r="J1055" s="2" t="s">
        <v>381</v>
      </c>
      <c r="K1055" s="9">
        <v>45753</v>
      </c>
      <c r="L1055" s="9">
        <v>45761</v>
      </c>
      <c r="M1055" s="9">
        <v>45760</v>
      </c>
      <c r="N1055" s="2" t="s">
        <v>1333</v>
      </c>
      <c r="O1055" s="2" t="s">
        <v>54</v>
      </c>
      <c r="P1055" s="2" t="s">
        <v>139</v>
      </c>
      <c r="Q1055" s="2" t="s">
        <v>148</v>
      </c>
      <c r="R1055" s="2" t="s">
        <v>128</v>
      </c>
      <c r="S1055" s="2" t="s">
        <v>383</v>
      </c>
      <c r="T1055" s="10">
        <v>20.39</v>
      </c>
      <c r="U1055" s="11">
        <v>1</v>
      </c>
      <c r="V1055" s="12">
        <f>T1055*U1055</f>
        <v>20.39</v>
      </c>
      <c r="W1055" s="13">
        <v>0</v>
      </c>
      <c r="X1055" s="12">
        <f>V1055-(V1055/(1+W1055))</f>
        <v>0</v>
      </c>
      <c r="Y1055" s="12">
        <f>V1055-X1055</f>
        <v>20.39</v>
      </c>
      <c r="Z1055" s="14">
        <v>25</v>
      </c>
      <c r="AA1055" s="2" t="str">
        <f>IF(V1055&gt;Z1055,"Yes","No")</f>
        <v>No</v>
      </c>
      <c r="AB1055" s="12">
        <f>V1055-Z1055</f>
        <v>-4.6099999999999994</v>
      </c>
      <c r="AC1055" s="15" t="s">
        <v>130</v>
      </c>
      <c r="AD1055" s="15" t="s">
        <v>130</v>
      </c>
      <c r="AE1055" s="15" t="s">
        <v>858</v>
      </c>
      <c r="AF1055" s="12">
        <f>IF(AG1055="Rejected",0,IF(R1055="Corporate Card",0,V1055))</f>
        <v>0</v>
      </c>
      <c r="AG1055" s="15" t="s">
        <v>133</v>
      </c>
      <c r="AH1055" s="16">
        <v>45762</v>
      </c>
      <c r="AI1055" s="16">
        <v>45769</v>
      </c>
      <c r="AJ1055" s="16">
        <v>45774</v>
      </c>
      <c r="AK1055" s="17">
        <f>IF(AJ1055="","",AJ1055-AH1055)</f>
        <v>12</v>
      </c>
    </row>
    <row r="1056" spans="1:37">
      <c r="A1056" s="2" t="s">
        <v>1465</v>
      </c>
      <c r="B1056" s="2" t="s">
        <v>248</v>
      </c>
      <c r="C1056" s="2" t="s">
        <v>249</v>
      </c>
      <c r="D1056" s="2" t="s">
        <v>250</v>
      </c>
      <c r="E1056" s="2" t="s">
        <v>251</v>
      </c>
      <c r="F1056" s="2" t="s">
        <v>252</v>
      </c>
      <c r="G1056" s="2" t="s">
        <v>1384</v>
      </c>
      <c r="H1056" s="2" t="s">
        <v>193</v>
      </c>
      <c r="I1056" s="2" t="s">
        <v>1038</v>
      </c>
      <c r="J1056" s="2" t="s">
        <v>381</v>
      </c>
      <c r="K1056" s="9">
        <v>45753</v>
      </c>
      <c r="L1056" s="9">
        <v>45761</v>
      </c>
      <c r="M1056" s="9">
        <v>45760</v>
      </c>
      <c r="N1056" s="2" t="s">
        <v>1333</v>
      </c>
      <c r="O1056" s="2" t="s">
        <v>56</v>
      </c>
      <c r="P1056" s="2" t="s">
        <v>165</v>
      </c>
      <c r="Q1056" s="2" t="s">
        <v>152</v>
      </c>
      <c r="R1056" s="2" t="s">
        <v>149</v>
      </c>
      <c r="S1056" s="2" t="s">
        <v>383</v>
      </c>
      <c r="T1056" s="10">
        <v>65.33</v>
      </c>
      <c r="U1056" s="11">
        <v>1</v>
      </c>
      <c r="V1056" s="12">
        <f>T1056*U1056</f>
        <v>65.33</v>
      </c>
      <c r="W1056" s="13">
        <v>0</v>
      </c>
      <c r="X1056" s="12">
        <f>V1056-(V1056/(1+W1056))</f>
        <v>0</v>
      </c>
      <c r="Y1056" s="12">
        <f>V1056-X1056</f>
        <v>65.33</v>
      </c>
      <c r="Z1056" s="14">
        <v>75</v>
      </c>
      <c r="AA1056" s="2" t="str">
        <f>IF(V1056&gt;Z1056,"Yes","No")</f>
        <v>No</v>
      </c>
      <c r="AB1056" s="12">
        <f>V1056-Z1056</f>
        <v>-9.6700000000000017</v>
      </c>
      <c r="AC1056" s="15" t="s">
        <v>130</v>
      </c>
      <c r="AD1056" s="15" t="s">
        <v>130</v>
      </c>
      <c r="AE1056" s="15" t="s">
        <v>858</v>
      </c>
      <c r="AF1056" s="12">
        <f>IF(AG1056="Rejected",0,IF(R1056="Corporate Card",0,V1056))</f>
        <v>65.33</v>
      </c>
      <c r="AG1056" s="15" t="s">
        <v>133</v>
      </c>
      <c r="AH1056" s="16">
        <v>45762</v>
      </c>
      <c r="AI1056" s="16">
        <v>45769</v>
      </c>
      <c r="AJ1056" s="16">
        <v>45774</v>
      </c>
      <c r="AK1056" s="17">
        <f>IF(AJ1056="","",AJ1056-AH1056)</f>
        <v>12</v>
      </c>
    </row>
    <row r="1057" spans="1:37">
      <c r="A1057" s="2" t="s">
        <v>1466</v>
      </c>
      <c r="B1057" s="2" t="s">
        <v>248</v>
      </c>
      <c r="C1057" s="2" t="s">
        <v>249</v>
      </c>
      <c r="D1057" s="2" t="s">
        <v>250</v>
      </c>
      <c r="E1057" s="2" t="s">
        <v>251</v>
      </c>
      <c r="F1057" s="2" t="s">
        <v>252</v>
      </c>
      <c r="G1057" s="2" t="s">
        <v>1384</v>
      </c>
      <c r="H1057" s="2" t="s">
        <v>193</v>
      </c>
      <c r="I1057" s="2" t="s">
        <v>1038</v>
      </c>
      <c r="J1057" s="2" t="s">
        <v>381</v>
      </c>
      <c r="K1057" s="9">
        <v>45753</v>
      </c>
      <c r="L1057" s="9">
        <v>45761</v>
      </c>
      <c r="M1057" s="9">
        <v>45760</v>
      </c>
      <c r="N1057" s="2" t="s">
        <v>1333</v>
      </c>
      <c r="O1057" s="2" t="s">
        <v>55</v>
      </c>
      <c r="P1057" s="2" t="s">
        <v>139</v>
      </c>
      <c r="Q1057" s="2" t="s">
        <v>187</v>
      </c>
      <c r="R1057" s="2" t="s">
        <v>137</v>
      </c>
      <c r="S1057" s="2" t="s">
        <v>383</v>
      </c>
      <c r="T1057" s="10">
        <v>19.62</v>
      </c>
      <c r="U1057" s="11">
        <v>1</v>
      </c>
      <c r="V1057" s="12">
        <f>T1057*U1057</f>
        <v>19.62</v>
      </c>
      <c r="W1057" s="13">
        <v>0</v>
      </c>
      <c r="X1057" s="12">
        <f>V1057-(V1057/(1+W1057))</f>
        <v>0</v>
      </c>
      <c r="Y1057" s="12">
        <f>V1057-X1057</f>
        <v>19.62</v>
      </c>
      <c r="Z1057" s="14">
        <v>35</v>
      </c>
      <c r="AA1057" s="2" t="str">
        <f>IF(V1057&gt;Z1057,"Yes","No")</f>
        <v>No</v>
      </c>
      <c r="AB1057" s="12">
        <f>V1057-Z1057</f>
        <v>-15.379999999999999</v>
      </c>
      <c r="AC1057" s="15" t="s">
        <v>130</v>
      </c>
      <c r="AD1057" s="15" t="s">
        <v>130</v>
      </c>
      <c r="AE1057" s="15" t="s">
        <v>858</v>
      </c>
      <c r="AF1057" s="12">
        <f>IF(AG1057="Rejected",0,IF(R1057="Corporate Card",0,V1057))</f>
        <v>19.62</v>
      </c>
      <c r="AG1057" s="15" t="s">
        <v>133</v>
      </c>
      <c r="AH1057" s="16">
        <v>45762</v>
      </c>
      <c r="AI1057" s="16">
        <v>45769</v>
      </c>
      <c r="AJ1057" s="16">
        <v>45774</v>
      </c>
      <c r="AK1057" s="17">
        <f>IF(AJ1057="","",AJ1057-AH1057)</f>
        <v>12</v>
      </c>
    </row>
    <row r="1058" spans="1:37">
      <c r="A1058" s="2" t="s">
        <v>1467</v>
      </c>
      <c r="B1058" s="2" t="s">
        <v>1155</v>
      </c>
      <c r="C1058" s="2" t="s">
        <v>1156</v>
      </c>
      <c r="D1058" s="2" t="s">
        <v>118</v>
      </c>
      <c r="E1058" s="2" t="s">
        <v>119</v>
      </c>
      <c r="F1058" s="2" t="s">
        <v>311</v>
      </c>
      <c r="G1058" s="2" t="s">
        <v>1454</v>
      </c>
      <c r="H1058" s="2" t="s">
        <v>291</v>
      </c>
      <c r="I1058" s="2" t="s">
        <v>315</v>
      </c>
      <c r="J1058" s="2" t="s">
        <v>316</v>
      </c>
      <c r="K1058" s="9">
        <v>45759</v>
      </c>
      <c r="L1058" s="9">
        <v>45761</v>
      </c>
      <c r="M1058" s="9">
        <v>45760</v>
      </c>
      <c r="N1058" s="2" t="s">
        <v>1333</v>
      </c>
      <c r="O1058" s="2" t="s">
        <v>53</v>
      </c>
      <c r="P1058" s="2" t="s">
        <v>362</v>
      </c>
      <c r="Q1058" s="2" t="s">
        <v>468</v>
      </c>
      <c r="R1058" s="2" t="s">
        <v>149</v>
      </c>
      <c r="S1058" s="2" t="s">
        <v>318</v>
      </c>
      <c r="T1058" s="10">
        <v>837.7</v>
      </c>
      <c r="U1058" s="11">
        <v>0.27229999999999999</v>
      </c>
      <c r="V1058" s="12">
        <f>T1058*U1058</f>
        <v>228.10570999999999</v>
      </c>
      <c r="W1058" s="13">
        <v>0.05</v>
      </c>
      <c r="X1058" s="12">
        <f>V1058-(V1058/(1+W1058))</f>
        <v>10.86217666666667</v>
      </c>
      <c r="Y1058" s="12">
        <f>V1058-X1058</f>
        <v>217.24353333333332</v>
      </c>
      <c r="Z1058" s="14">
        <v>560</v>
      </c>
      <c r="AA1058" s="2" t="str">
        <f>IF(V1058&gt;Z1058,"Yes","No")</f>
        <v>No</v>
      </c>
      <c r="AB1058" s="12">
        <f>V1058-Z1058</f>
        <v>-331.89429000000001</v>
      </c>
      <c r="AC1058" s="15" t="s">
        <v>130</v>
      </c>
      <c r="AD1058" s="15" t="s">
        <v>130</v>
      </c>
      <c r="AE1058" s="15" t="s">
        <v>514</v>
      </c>
      <c r="AF1058" s="12">
        <f>IF(AG1058="Rejected",0,IF(R1058="Corporate Card",0,V1058))</f>
        <v>228.10570999999999</v>
      </c>
      <c r="AG1058" s="15" t="s">
        <v>181</v>
      </c>
      <c r="AH1058" s="16">
        <v>45773</v>
      </c>
      <c r="AI1058" s="16"/>
      <c r="AJ1058" s="16"/>
      <c r="AK1058" s="17" t="str">
        <f>IF(AJ1058="","",AJ1058-AH1058)</f>
        <v/>
      </c>
    </row>
    <row r="1059" spans="1:37">
      <c r="A1059" s="2" t="s">
        <v>1468</v>
      </c>
      <c r="B1059" s="2" t="s">
        <v>1155</v>
      </c>
      <c r="C1059" s="2" t="s">
        <v>1156</v>
      </c>
      <c r="D1059" s="2" t="s">
        <v>118</v>
      </c>
      <c r="E1059" s="2" t="s">
        <v>119</v>
      </c>
      <c r="F1059" s="2" t="s">
        <v>311</v>
      </c>
      <c r="G1059" s="2" t="s">
        <v>1454</v>
      </c>
      <c r="H1059" s="2" t="s">
        <v>291</v>
      </c>
      <c r="I1059" s="2" t="s">
        <v>315</v>
      </c>
      <c r="J1059" s="2" t="s">
        <v>316</v>
      </c>
      <c r="K1059" s="9">
        <v>45759</v>
      </c>
      <c r="L1059" s="9">
        <v>45761</v>
      </c>
      <c r="M1059" s="9">
        <v>45760</v>
      </c>
      <c r="N1059" s="2" t="s">
        <v>1333</v>
      </c>
      <c r="O1059" s="2" t="s">
        <v>54</v>
      </c>
      <c r="P1059" s="2" t="s">
        <v>139</v>
      </c>
      <c r="Q1059" s="2" t="s">
        <v>163</v>
      </c>
      <c r="R1059" s="2" t="s">
        <v>128</v>
      </c>
      <c r="S1059" s="2" t="s">
        <v>318</v>
      </c>
      <c r="T1059" s="10">
        <v>49.74</v>
      </c>
      <c r="U1059" s="11">
        <v>0.27229999999999999</v>
      </c>
      <c r="V1059" s="12">
        <f>T1059*U1059</f>
        <v>13.544202</v>
      </c>
      <c r="W1059" s="13">
        <v>0.05</v>
      </c>
      <c r="X1059" s="12">
        <f>V1059-(V1059/(1+W1059))</f>
        <v>0.64496200000000137</v>
      </c>
      <c r="Y1059" s="12">
        <f>V1059-X1059</f>
        <v>12.899239999999999</v>
      </c>
      <c r="Z1059" s="14">
        <v>25</v>
      </c>
      <c r="AA1059" s="2" t="str">
        <f>IF(V1059&gt;Z1059,"Yes","No")</f>
        <v>No</v>
      </c>
      <c r="AB1059" s="12">
        <f>V1059-Z1059</f>
        <v>-11.455798</v>
      </c>
      <c r="AC1059" s="15" t="s">
        <v>130</v>
      </c>
      <c r="AD1059" s="15" t="s">
        <v>130</v>
      </c>
      <c r="AE1059" s="15" t="s">
        <v>514</v>
      </c>
      <c r="AF1059" s="12">
        <f>IF(AG1059="Rejected",0,IF(R1059="Corporate Card",0,V1059))</f>
        <v>0</v>
      </c>
      <c r="AG1059" s="15" t="s">
        <v>181</v>
      </c>
      <c r="AH1059" s="16">
        <v>45773</v>
      </c>
      <c r="AI1059" s="16"/>
      <c r="AJ1059" s="16"/>
      <c r="AK1059" s="17" t="str">
        <f>IF(AJ1059="","",AJ1059-AH1059)</f>
        <v/>
      </c>
    </row>
    <row r="1060" spans="1:37">
      <c r="A1060" s="2" t="s">
        <v>1469</v>
      </c>
      <c r="B1060" s="2" t="s">
        <v>1155</v>
      </c>
      <c r="C1060" s="2" t="s">
        <v>1156</v>
      </c>
      <c r="D1060" s="2" t="s">
        <v>118</v>
      </c>
      <c r="E1060" s="2" t="s">
        <v>119</v>
      </c>
      <c r="F1060" s="2" t="s">
        <v>311</v>
      </c>
      <c r="G1060" s="2" t="s">
        <v>1454</v>
      </c>
      <c r="H1060" s="2" t="s">
        <v>291</v>
      </c>
      <c r="I1060" s="2" t="s">
        <v>315</v>
      </c>
      <c r="J1060" s="2" t="s">
        <v>316</v>
      </c>
      <c r="K1060" s="9">
        <v>45759</v>
      </c>
      <c r="L1060" s="9">
        <v>45761</v>
      </c>
      <c r="M1060" s="9">
        <v>45760</v>
      </c>
      <c r="N1060" s="2" t="s">
        <v>1333</v>
      </c>
      <c r="O1060" s="2" t="s">
        <v>55</v>
      </c>
      <c r="P1060" s="2" t="s">
        <v>139</v>
      </c>
      <c r="Q1060" s="2" t="s">
        <v>161</v>
      </c>
      <c r="R1060" s="2" t="s">
        <v>128</v>
      </c>
      <c r="S1060" s="2" t="s">
        <v>318</v>
      </c>
      <c r="T1060" s="10">
        <v>74.12</v>
      </c>
      <c r="U1060" s="11">
        <v>0.27229999999999999</v>
      </c>
      <c r="V1060" s="12">
        <f>T1060*U1060</f>
        <v>20.182876</v>
      </c>
      <c r="W1060" s="13">
        <v>0.05</v>
      </c>
      <c r="X1060" s="12">
        <f>V1060-(V1060/(1+W1060))</f>
        <v>0.96108933333333368</v>
      </c>
      <c r="Y1060" s="12">
        <f>V1060-X1060</f>
        <v>19.221786666666667</v>
      </c>
      <c r="Z1060" s="14">
        <v>35</v>
      </c>
      <c r="AA1060" s="2" t="str">
        <f>IF(V1060&gt;Z1060,"Yes","No")</f>
        <v>No</v>
      </c>
      <c r="AB1060" s="12">
        <f>V1060-Z1060</f>
        <v>-14.817124</v>
      </c>
      <c r="AC1060" s="15" t="s">
        <v>131</v>
      </c>
      <c r="AD1060" s="15" t="s">
        <v>130</v>
      </c>
      <c r="AE1060" s="15" t="s">
        <v>514</v>
      </c>
      <c r="AF1060" s="12">
        <f>IF(AG1060="Rejected",0,IF(R1060="Corporate Card",0,V1060))</f>
        <v>0</v>
      </c>
      <c r="AG1060" s="15" t="s">
        <v>181</v>
      </c>
      <c r="AH1060" s="16">
        <v>45773</v>
      </c>
      <c r="AI1060" s="16"/>
      <c r="AJ1060" s="16"/>
      <c r="AK1060" s="17" t="str">
        <f>IF(AJ1060="","",AJ1060-AH1060)</f>
        <v/>
      </c>
    </row>
    <row r="1061" spans="1:37">
      <c r="A1061" s="2" t="s">
        <v>1470</v>
      </c>
      <c r="B1061" s="2" t="s">
        <v>1235</v>
      </c>
      <c r="C1061" s="2" t="s">
        <v>867</v>
      </c>
      <c r="D1061" s="2" t="s">
        <v>865</v>
      </c>
      <c r="E1061" s="2" t="s">
        <v>1236</v>
      </c>
      <c r="F1061" s="2" t="s">
        <v>313</v>
      </c>
      <c r="G1061" s="2" t="s">
        <v>1419</v>
      </c>
      <c r="H1061" s="2" t="s">
        <v>254</v>
      </c>
      <c r="I1061" s="2" t="s">
        <v>255</v>
      </c>
      <c r="J1061" s="2" t="s">
        <v>256</v>
      </c>
      <c r="K1061" s="9">
        <v>45756</v>
      </c>
      <c r="L1061" s="9">
        <v>45762</v>
      </c>
      <c r="M1061" s="9">
        <v>45761</v>
      </c>
      <c r="N1061" s="2" t="s">
        <v>1333</v>
      </c>
      <c r="O1061" s="2" t="s">
        <v>57</v>
      </c>
      <c r="P1061" s="2" t="s">
        <v>398</v>
      </c>
      <c r="Q1061" s="2" t="s">
        <v>399</v>
      </c>
      <c r="R1061" s="2" t="s">
        <v>128</v>
      </c>
      <c r="S1061" s="2" t="s">
        <v>259</v>
      </c>
      <c r="T1061" s="10">
        <v>11516</v>
      </c>
      <c r="U1061" s="11">
        <v>6.5500000000000003E-3</v>
      </c>
      <c r="V1061" s="12">
        <f>T1061*U1061</f>
        <v>75.4298</v>
      </c>
      <c r="W1061" s="13">
        <v>0.1</v>
      </c>
      <c r="X1061" s="12">
        <f>V1061-(V1061/(1+W1061))</f>
        <v>6.8572545454545519</v>
      </c>
      <c r="Y1061" s="12">
        <f>V1061-X1061</f>
        <v>68.572545454545448</v>
      </c>
      <c r="Z1061" s="14">
        <v>200</v>
      </c>
      <c r="AA1061" s="2" t="str">
        <f>IF(V1061&gt;Z1061,"Yes","No")</f>
        <v>No</v>
      </c>
      <c r="AB1061" s="12">
        <f>V1061-Z1061</f>
        <v>-124.5702</v>
      </c>
      <c r="AC1061" s="15" t="s">
        <v>130</v>
      </c>
      <c r="AD1061" s="15" t="s">
        <v>130</v>
      </c>
      <c r="AE1061" s="15" t="s">
        <v>260</v>
      </c>
      <c r="AF1061" s="12">
        <f>IF(AG1061="Rejected",0,IF(R1061="Corporate Card",0,V1061))</f>
        <v>0</v>
      </c>
      <c r="AG1061" s="15" t="s">
        <v>133</v>
      </c>
      <c r="AH1061" s="16">
        <v>45766</v>
      </c>
      <c r="AI1061" s="16">
        <v>45770</v>
      </c>
      <c r="AJ1061" s="16">
        <v>45779</v>
      </c>
      <c r="AK1061" s="17">
        <f>IF(AJ1061="","",AJ1061-AH1061)</f>
        <v>13</v>
      </c>
    </row>
    <row r="1062" spans="1:37">
      <c r="A1062" s="2" t="s">
        <v>1471</v>
      </c>
      <c r="B1062" s="2" t="s">
        <v>1235</v>
      </c>
      <c r="C1062" s="2" t="s">
        <v>867</v>
      </c>
      <c r="D1062" s="2" t="s">
        <v>865</v>
      </c>
      <c r="E1062" s="2" t="s">
        <v>1236</v>
      </c>
      <c r="F1062" s="2" t="s">
        <v>313</v>
      </c>
      <c r="G1062" s="2" t="s">
        <v>1419</v>
      </c>
      <c r="H1062" s="2" t="s">
        <v>254</v>
      </c>
      <c r="I1062" s="2" t="s">
        <v>255</v>
      </c>
      <c r="J1062" s="2" t="s">
        <v>256</v>
      </c>
      <c r="K1062" s="9">
        <v>45756</v>
      </c>
      <c r="L1062" s="9">
        <v>45762</v>
      </c>
      <c r="M1062" s="9">
        <v>45761</v>
      </c>
      <c r="N1062" s="2" t="s">
        <v>1333</v>
      </c>
      <c r="O1062" s="2" t="s">
        <v>54</v>
      </c>
      <c r="P1062" s="2" t="s">
        <v>139</v>
      </c>
      <c r="Q1062" s="2" t="s">
        <v>163</v>
      </c>
      <c r="R1062" s="2" t="s">
        <v>137</v>
      </c>
      <c r="S1062" s="2" t="s">
        <v>259</v>
      </c>
      <c r="T1062" s="10">
        <v>3640</v>
      </c>
      <c r="U1062" s="11">
        <v>6.5500000000000003E-3</v>
      </c>
      <c r="V1062" s="12">
        <f>T1062*U1062</f>
        <v>23.842000000000002</v>
      </c>
      <c r="W1062" s="13">
        <v>0.1</v>
      </c>
      <c r="X1062" s="12">
        <f>V1062-(V1062/(1+W1062))</f>
        <v>2.1674545454545466</v>
      </c>
      <c r="Y1062" s="12">
        <f>V1062-X1062</f>
        <v>21.674545454545456</v>
      </c>
      <c r="Z1062" s="14">
        <v>25</v>
      </c>
      <c r="AA1062" s="2" t="str">
        <f>IF(V1062&gt;Z1062,"Yes","No")</f>
        <v>No</v>
      </c>
      <c r="AB1062" s="12">
        <f>V1062-Z1062</f>
        <v>-1.1579999999999977</v>
      </c>
      <c r="AC1062" s="15" t="s">
        <v>131</v>
      </c>
      <c r="AD1062" s="15" t="s">
        <v>130</v>
      </c>
      <c r="AE1062" s="15" t="s">
        <v>260</v>
      </c>
      <c r="AF1062" s="12">
        <f>IF(AG1062="Rejected",0,IF(R1062="Corporate Card",0,V1062))</f>
        <v>23.842000000000002</v>
      </c>
      <c r="AG1062" s="15" t="s">
        <v>133</v>
      </c>
      <c r="AH1062" s="16">
        <v>45766</v>
      </c>
      <c r="AI1062" s="16">
        <v>45770</v>
      </c>
      <c r="AJ1062" s="16">
        <v>45779</v>
      </c>
      <c r="AK1062" s="17">
        <f>IF(AJ1062="","",AJ1062-AH1062)</f>
        <v>13</v>
      </c>
    </row>
    <row r="1063" spans="1:37">
      <c r="A1063" s="2" t="s">
        <v>1472</v>
      </c>
      <c r="B1063" s="2" t="s">
        <v>1235</v>
      </c>
      <c r="C1063" s="2" t="s">
        <v>867</v>
      </c>
      <c r="D1063" s="2" t="s">
        <v>865</v>
      </c>
      <c r="E1063" s="2" t="s">
        <v>1236</v>
      </c>
      <c r="F1063" s="2" t="s">
        <v>313</v>
      </c>
      <c r="G1063" s="2" t="s">
        <v>1419</v>
      </c>
      <c r="H1063" s="2" t="s">
        <v>254</v>
      </c>
      <c r="I1063" s="2" t="s">
        <v>255</v>
      </c>
      <c r="J1063" s="2" t="s">
        <v>256</v>
      </c>
      <c r="K1063" s="9">
        <v>45756</v>
      </c>
      <c r="L1063" s="9">
        <v>45762</v>
      </c>
      <c r="M1063" s="9">
        <v>45761</v>
      </c>
      <c r="N1063" s="2" t="s">
        <v>1333</v>
      </c>
      <c r="O1063" s="2" t="s">
        <v>56</v>
      </c>
      <c r="P1063" s="2" t="s">
        <v>165</v>
      </c>
      <c r="Q1063" s="2" t="s">
        <v>159</v>
      </c>
      <c r="R1063" s="2" t="s">
        <v>128</v>
      </c>
      <c r="S1063" s="2" t="s">
        <v>259</v>
      </c>
      <c r="T1063" s="10">
        <v>7321</v>
      </c>
      <c r="U1063" s="11">
        <v>6.5500000000000003E-3</v>
      </c>
      <c r="V1063" s="12">
        <f>T1063*U1063</f>
        <v>47.952550000000002</v>
      </c>
      <c r="W1063" s="13">
        <v>0.1</v>
      </c>
      <c r="X1063" s="12">
        <f>V1063-(V1063/(1+W1063))</f>
        <v>4.3593227272727333</v>
      </c>
      <c r="Y1063" s="12">
        <f>V1063-X1063</f>
        <v>43.593227272727269</v>
      </c>
      <c r="Z1063" s="14">
        <v>75</v>
      </c>
      <c r="AA1063" s="2" t="str">
        <f>IF(V1063&gt;Z1063,"Yes","No")</f>
        <v>No</v>
      </c>
      <c r="AB1063" s="12">
        <f>V1063-Z1063</f>
        <v>-27.047449999999998</v>
      </c>
      <c r="AC1063" s="15" t="s">
        <v>130</v>
      </c>
      <c r="AD1063" s="15" t="s">
        <v>130</v>
      </c>
      <c r="AE1063" s="15" t="s">
        <v>260</v>
      </c>
      <c r="AF1063" s="12">
        <f>IF(AG1063="Rejected",0,IF(R1063="Corporate Card",0,V1063))</f>
        <v>0</v>
      </c>
      <c r="AG1063" s="15" t="s">
        <v>133</v>
      </c>
      <c r="AH1063" s="16">
        <v>45766</v>
      </c>
      <c r="AI1063" s="16">
        <v>45770</v>
      </c>
      <c r="AJ1063" s="16">
        <v>45779</v>
      </c>
      <c r="AK1063" s="17">
        <f>IF(AJ1063="","",AJ1063-AH1063)</f>
        <v>13</v>
      </c>
    </row>
    <row r="1064" spans="1:37">
      <c r="A1064" s="2" t="s">
        <v>1473</v>
      </c>
      <c r="B1064" s="2" t="s">
        <v>1235</v>
      </c>
      <c r="C1064" s="2" t="s">
        <v>867</v>
      </c>
      <c r="D1064" s="2" t="s">
        <v>865</v>
      </c>
      <c r="E1064" s="2" t="s">
        <v>1236</v>
      </c>
      <c r="F1064" s="2" t="s">
        <v>313</v>
      </c>
      <c r="G1064" s="2" t="s">
        <v>1419</v>
      </c>
      <c r="H1064" s="2" t="s">
        <v>254</v>
      </c>
      <c r="I1064" s="2" t="s">
        <v>255</v>
      </c>
      <c r="J1064" s="2" t="s">
        <v>256</v>
      </c>
      <c r="K1064" s="9">
        <v>45756</v>
      </c>
      <c r="L1064" s="9">
        <v>45762</v>
      </c>
      <c r="M1064" s="9">
        <v>45761</v>
      </c>
      <c r="N1064" s="2" t="s">
        <v>1333</v>
      </c>
      <c r="O1064" s="2" t="s">
        <v>55</v>
      </c>
      <c r="P1064" s="2" t="s">
        <v>139</v>
      </c>
      <c r="Q1064" s="2" t="s">
        <v>187</v>
      </c>
      <c r="R1064" s="2" t="s">
        <v>149</v>
      </c>
      <c r="S1064" s="2" t="s">
        <v>259</v>
      </c>
      <c r="T1064" s="10">
        <v>2663</v>
      </c>
      <c r="U1064" s="11">
        <v>6.5500000000000003E-3</v>
      </c>
      <c r="V1064" s="12">
        <f>T1064*U1064</f>
        <v>17.44265</v>
      </c>
      <c r="W1064" s="13">
        <v>0.1</v>
      </c>
      <c r="X1064" s="12">
        <f>V1064-(V1064/(1+W1064))</f>
        <v>1.5856954545454567</v>
      </c>
      <c r="Y1064" s="12">
        <f>V1064-X1064</f>
        <v>15.856954545454544</v>
      </c>
      <c r="Z1064" s="14">
        <v>35</v>
      </c>
      <c r="AA1064" s="2" t="str">
        <f>IF(V1064&gt;Z1064,"Yes","No")</f>
        <v>No</v>
      </c>
      <c r="AB1064" s="12">
        <f>V1064-Z1064</f>
        <v>-17.55735</v>
      </c>
      <c r="AC1064" s="15" t="s">
        <v>130</v>
      </c>
      <c r="AD1064" s="15" t="s">
        <v>130</v>
      </c>
      <c r="AE1064" s="15" t="s">
        <v>260</v>
      </c>
      <c r="AF1064" s="12">
        <f>IF(AG1064="Rejected",0,IF(R1064="Corporate Card",0,V1064))</f>
        <v>17.44265</v>
      </c>
      <c r="AG1064" s="15" t="s">
        <v>133</v>
      </c>
      <c r="AH1064" s="16">
        <v>45766</v>
      </c>
      <c r="AI1064" s="16">
        <v>45770</v>
      </c>
      <c r="AJ1064" s="16">
        <v>45779</v>
      </c>
      <c r="AK1064" s="17">
        <f>IF(AJ1064="","",AJ1064-AH1064)</f>
        <v>13</v>
      </c>
    </row>
    <row r="1065" spans="1:37">
      <c r="A1065" s="2" t="s">
        <v>1474</v>
      </c>
      <c r="B1065" s="2" t="s">
        <v>248</v>
      </c>
      <c r="C1065" s="2" t="s">
        <v>249</v>
      </c>
      <c r="D1065" s="2" t="s">
        <v>250</v>
      </c>
      <c r="E1065" s="2" t="s">
        <v>251</v>
      </c>
      <c r="F1065" s="2" t="s">
        <v>252</v>
      </c>
      <c r="G1065" s="2" t="s">
        <v>1384</v>
      </c>
      <c r="H1065" s="2" t="s">
        <v>193</v>
      </c>
      <c r="I1065" s="2" t="s">
        <v>1038</v>
      </c>
      <c r="J1065" s="2" t="s">
        <v>381</v>
      </c>
      <c r="K1065" s="9">
        <v>45753</v>
      </c>
      <c r="L1065" s="9">
        <v>45761</v>
      </c>
      <c r="M1065" s="9">
        <v>45761</v>
      </c>
      <c r="N1065" s="2" t="s">
        <v>1333</v>
      </c>
      <c r="O1065" s="2" t="s">
        <v>58</v>
      </c>
      <c r="P1065" s="2" t="s">
        <v>142</v>
      </c>
      <c r="Q1065" s="2" t="s">
        <v>203</v>
      </c>
      <c r="R1065" s="2" t="s">
        <v>128</v>
      </c>
      <c r="S1065" s="2" t="s">
        <v>383</v>
      </c>
      <c r="T1065" s="10">
        <v>52.75</v>
      </c>
      <c r="U1065" s="11">
        <v>1</v>
      </c>
      <c r="V1065" s="12">
        <f>T1065*U1065</f>
        <v>52.75</v>
      </c>
      <c r="W1065" s="13">
        <v>0</v>
      </c>
      <c r="X1065" s="12">
        <f>V1065-(V1065/(1+W1065))</f>
        <v>0</v>
      </c>
      <c r="Y1065" s="12">
        <f>V1065-X1065</f>
        <v>52.75</v>
      </c>
      <c r="Z1065" s="14">
        <v>60</v>
      </c>
      <c r="AA1065" s="2" t="str">
        <f>IF(V1065&gt;Z1065,"Yes","No")</f>
        <v>No</v>
      </c>
      <c r="AB1065" s="12">
        <f>V1065-Z1065</f>
        <v>-7.25</v>
      </c>
      <c r="AC1065" s="15" t="s">
        <v>130</v>
      </c>
      <c r="AD1065" s="15" t="s">
        <v>130</v>
      </c>
      <c r="AE1065" s="15" t="s">
        <v>858</v>
      </c>
      <c r="AF1065" s="12">
        <f>IF(AG1065="Rejected",0,IF(R1065="Corporate Card",0,V1065))</f>
        <v>0</v>
      </c>
      <c r="AG1065" s="15" t="s">
        <v>133</v>
      </c>
      <c r="AH1065" s="16">
        <v>45762</v>
      </c>
      <c r="AI1065" s="16">
        <v>45769</v>
      </c>
      <c r="AJ1065" s="16">
        <v>45774</v>
      </c>
      <c r="AK1065" s="17">
        <f>IF(AJ1065="","",AJ1065-AH1065)</f>
        <v>12</v>
      </c>
    </row>
    <row r="1066" spans="1:37">
      <c r="A1066" s="2" t="s">
        <v>1475</v>
      </c>
      <c r="B1066" s="2" t="s">
        <v>248</v>
      </c>
      <c r="C1066" s="2" t="s">
        <v>249</v>
      </c>
      <c r="D1066" s="2" t="s">
        <v>250</v>
      </c>
      <c r="E1066" s="2" t="s">
        <v>251</v>
      </c>
      <c r="F1066" s="2" t="s">
        <v>252</v>
      </c>
      <c r="G1066" s="2" t="s">
        <v>1384</v>
      </c>
      <c r="H1066" s="2" t="s">
        <v>193</v>
      </c>
      <c r="I1066" s="2" t="s">
        <v>1038</v>
      </c>
      <c r="J1066" s="2" t="s">
        <v>381</v>
      </c>
      <c r="K1066" s="9">
        <v>45753</v>
      </c>
      <c r="L1066" s="9">
        <v>45761</v>
      </c>
      <c r="M1066" s="9">
        <v>45761</v>
      </c>
      <c r="N1066" s="2" t="s">
        <v>1333</v>
      </c>
      <c r="O1066" s="2" t="s">
        <v>54</v>
      </c>
      <c r="P1066" s="2" t="s">
        <v>139</v>
      </c>
      <c r="Q1066" s="2" t="s">
        <v>148</v>
      </c>
      <c r="R1066" s="2" t="s">
        <v>128</v>
      </c>
      <c r="S1066" s="2" t="s">
        <v>383</v>
      </c>
      <c r="T1066" s="10">
        <v>11.45</v>
      </c>
      <c r="U1066" s="11">
        <v>1</v>
      </c>
      <c r="V1066" s="12">
        <f>T1066*U1066</f>
        <v>11.45</v>
      </c>
      <c r="W1066" s="13">
        <v>0</v>
      </c>
      <c r="X1066" s="12">
        <f>V1066-(V1066/(1+W1066))</f>
        <v>0</v>
      </c>
      <c r="Y1066" s="12">
        <f>V1066-X1066</f>
        <v>11.45</v>
      </c>
      <c r="Z1066" s="14">
        <v>25</v>
      </c>
      <c r="AA1066" s="2" t="str">
        <f>IF(V1066&gt;Z1066,"Yes","No")</f>
        <v>No</v>
      </c>
      <c r="AB1066" s="12">
        <f>V1066-Z1066</f>
        <v>-13.55</v>
      </c>
      <c r="AC1066" s="15" t="s">
        <v>130</v>
      </c>
      <c r="AD1066" s="15" t="s">
        <v>130</v>
      </c>
      <c r="AE1066" s="15" t="s">
        <v>858</v>
      </c>
      <c r="AF1066" s="12">
        <f>IF(AG1066="Rejected",0,IF(R1066="Corporate Card",0,V1066))</f>
        <v>0</v>
      </c>
      <c r="AG1066" s="15" t="s">
        <v>133</v>
      </c>
      <c r="AH1066" s="16">
        <v>45762</v>
      </c>
      <c r="AI1066" s="16">
        <v>45769</v>
      </c>
      <c r="AJ1066" s="16">
        <v>45774</v>
      </c>
      <c r="AK1066" s="17">
        <f>IF(AJ1066="","",AJ1066-AH1066)</f>
        <v>12</v>
      </c>
    </row>
    <row r="1067" spans="1:37">
      <c r="A1067" s="2" t="s">
        <v>1476</v>
      </c>
      <c r="B1067" s="2" t="s">
        <v>248</v>
      </c>
      <c r="C1067" s="2" t="s">
        <v>249</v>
      </c>
      <c r="D1067" s="2" t="s">
        <v>250</v>
      </c>
      <c r="E1067" s="2" t="s">
        <v>251</v>
      </c>
      <c r="F1067" s="2" t="s">
        <v>252</v>
      </c>
      <c r="G1067" s="2" t="s">
        <v>1384</v>
      </c>
      <c r="H1067" s="2" t="s">
        <v>193</v>
      </c>
      <c r="I1067" s="2" t="s">
        <v>1038</v>
      </c>
      <c r="J1067" s="2" t="s">
        <v>381</v>
      </c>
      <c r="K1067" s="9">
        <v>45753</v>
      </c>
      <c r="L1067" s="9">
        <v>45761</v>
      </c>
      <c r="M1067" s="9">
        <v>45761</v>
      </c>
      <c r="N1067" s="2" t="s">
        <v>1333</v>
      </c>
      <c r="O1067" s="2" t="s">
        <v>56</v>
      </c>
      <c r="P1067" s="2" t="s">
        <v>245</v>
      </c>
      <c r="Q1067" s="2" t="s">
        <v>152</v>
      </c>
      <c r="R1067" s="2" t="s">
        <v>128</v>
      </c>
      <c r="S1067" s="2" t="s">
        <v>383</v>
      </c>
      <c r="T1067" s="10">
        <v>110.18</v>
      </c>
      <c r="U1067" s="11">
        <v>1</v>
      </c>
      <c r="V1067" s="12">
        <f>T1067*U1067</f>
        <v>110.18</v>
      </c>
      <c r="W1067" s="13">
        <v>0</v>
      </c>
      <c r="X1067" s="12">
        <f>V1067-(V1067/(1+W1067))</f>
        <v>0</v>
      </c>
      <c r="Y1067" s="12">
        <f>V1067-X1067</f>
        <v>110.18</v>
      </c>
      <c r="Z1067" s="14">
        <v>75</v>
      </c>
      <c r="AA1067" s="2" t="str">
        <f>IF(V1067&gt;Z1067,"Yes","No")</f>
        <v>Yes</v>
      </c>
      <c r="AB1067" s="12">
        <f>V1067-Z1067</f>
        <v>35.180000000000007</v>
      </c>
      <c r="AC1067" s="15" t="s">
        <v>130</v>
      </c>
      <c r="AD1067" s="15" t="s">
        <v>130</v>
      </c>
      <c r="AE1067" s="15" t="s">
        <v>858</v>
      </c>
      <c r="AF1067" s="12">
        <f>IF(AG1067="Rejected",0,IF(R1067="Corporate Card",0,V1067))</f>
        <v>0</v>
      </c>
      <c r="AG1067" s="15" t="s">
        <v>133</v>
      </c>
      <c r="AH1067" s="16">
        <v>45762</v>
      </c>
      <c r="AI1067" s="16">
        <v>45769</v>
      </c>
      <c r="AJ1067" s="16">
        <v>45774</v>
      </c>
      <c r="AK1067" s="17">
        <f>IF(AJ1067="","",AJ1067-AH1067)</f>
        <v>12</v>
      </c>
    </row>
    <row r="1068" spans="1:37">
      <c r="A1068" s="2" t="s">
        <v>1477</v>
      </c>
      <c r="B1068" s="2" t="s">
        <v>248</v>
      </c>
      <c r="C1068" s="2" t="s">
        <v>249</v>
      </c>
      <c r="D1068" s="2" t="s">
        <v>250</v>
      </c>
      <c r="E1068" s="2" t="s">
        <v>251</v>
      </c>
      <c r="F1068" s="2" t="s">
        <v>252</v>
      </c>
      <c r="G1068" s="2" t="s">
        <v>1384</v>
      </c>
      <c r="H1068" s="2" t="s">
        <v>193</v>
      </c>
      <c r="I1068" s="2" t="s">
        <v>1038</v>
      </c>
      <c r="J1068" s="2" t="s">
        <v>381</v>
      </c>
      <c r="K1068" s="9">
        <v>45753</v>
      </c>
      <c r="L1068" s="9">
        <v>45761</v>
      </c>
      <c r="M1068" s="9">
        <v>45761</v>
      </c>
      <c r="N1068" s="2" t="s">
        <v>1333</v>
      </c>
      <c r="O1068" s="2" t="s">
        <v>55</v>
      </c>
      <c r="P1068" s="2" t="s">
        <v>139</v>
      </c>
      <c r="Q1068" s="2" t="s">
        <v>161</v>
      </c>
      <c r="R1068" s="2" t="s">
        <v>149</v>
      </c>
      <c r="S1068" s="2" t="s">
        <v>383</v>
      </c>
      <c r="T1068" s="10">
        <v>25.09</v>
      </c>
      <c r="U1068" s="11">
        <v>1</v>
      </c>
      <c r="V1068" s="12">
        <f>T1068*U1068</f>
        <v>25.09</v>
      </c>
      <c r="W1068" s="13">
        <v>0</v>
      </c>
      <c r="X1068" s="12">
        <f>V1068-(V1068/(1+W1068))</f>
        <v>0</v>
      </c>
      <c r="Y1068" s="12">
        <f>V1068-X1068</f>
        <v>25.09</v>
      </c>
      <c r="Z1068" s="14">
        <v>35</v>
      </c>
      <c r="AA1068" s="2" t="str">
        <f>IF(V1068&gt;Z1068,"Yes","No")</f>
        <v>No</v>
      </c>
      <c r="AB1068" s="12">
        <f>V1068-Z1068</f>
        <v>-9.91</v>
      </c>
      <c r="AC1068" s="15" t="s">
        <v>130</v>
      </c>
      <c r="AD1068" s="15" t="s">
        <v>130</v>
      </c>
      <c r="AE1068" s="15" t="s">
        <v>858</v>
      </c>
      <c r="AF1068" s="12">
        <f>IF(AG1068="Rejected",0,IF(R1068="Corporate Card",0,V1068))</f>
        <v>25.09</v>
      </c>
      <c r="AG1068" s="15" t="s">
        <v>133</v>
      </c>
      <c r="AH1068" s="16">
        <v>45762</v>
      </c>
      <c r="AI1068" s="16">
        <v>45769</v>
      </c>
      <c r="AJ1068" s="16">
        <v>45774</v>
      </c>
      <c r="AK1068" s="17">
        <f>IF(AJ1068="","",AJ1068-AH1068)</f>
        <v>12</v>
      </c>
    </row>
    <row r="1069" spans="1:37">
      <c r="A1069" s="2" t="s">
        <v>1478</v>
      </c>
      <c r="B1069" s="2" t="s">
        <v>1155</v>
      </c>
      <c r="C1069" s="2" t="s">
        <v>1156</v>
      </c>
      <c r="D1069" s="2" t="s">
        <v>118</v>
      </c>
      <c r="E1069" s="2" t="s">
        <v>119</v>
      </c>
      <c r="F1069" s="2" t="s">
        <v>311</v>
      </c>
      <c r="G1069" s="2" t="s">
        <v>1454</v>
      </c>
      <c r="H1069" s="2" t="s">
        <v>291</v>
      </c>
      <c r="I1069" s="2" t="s">
        <v>315</v>
      </c>
      <c r="J1069" s="2" t="s">
        <v>316</v>
      </c>
      <c r="K1069" s="9">
        <v>45759</v>
      </c>
      <c r="L1069" s="9">
        <v>45761</v>
      </c>
      <c r="M1069" s="9">
        <v>45761</v>
      </c>
      <c r="N1069" s="2" t="s">
        <v>1333</v>
      </c>
      <c r="O1069" s="2" t="s">
        <v>54</v>
      </c>
      <c r="P1069" s="2" t="s">
        <v>139</v>
      </c>
      <c r="Q1069" s="2" t="s">
        <v>148</v>
      </c>
      <c r="R1069" s="2" t="s">
        <v>137</v>
      </c>
      <c r="S1069" s="2" t="s">
        <v>318</v>
      </c>
      <c r="T1069" s="10">
        <v>80.569999999999993</v>
      </c>
      <c r="U1069" s="11">
        <v>0.27229999999999999</v>
      </c>
      <c r="V1069" s="12">
        <f>T1069*U1069</f>
        <v>21.939210999999997</v>
      </c>
      <c r="W1069" s="13">
        <v>0.05</v>
      </c>
      <c r="X1069" s="12">
        <f>V1069-(V1069/(1+W1069))</f>
        <v>1.0447243333333347</v>
      </c>
      <c r="Y1069" s="12">
        <f>V1069-X1069</f>
        <v>20.894486666666662</v>
      </c>
      <c r="Z1069" s="14">
        <v>25</v>
      </c>
      <c r="AA1069" s="2" t="str">
        <f>IF(V1069&gt;Z1069,"Yes","No")</f>
        <v>No</v>
      </c>
      <c r="AB1069" s="12">
        <f>V1069-Z1069</f>
        <v>-3.0607890000000033</v>
      </c>
      <c r="AC1069" s="15" t="s">
        <v>130</v>
      </c>
      <c r="AD1069" s="15" t="s">
        <v>130</v>
      </c>
      <c r="AE1069" s="15" t="s">
        <v>514</v>
      </c>
      <c r="AF1069" s="12">
        <f>IF(AG1069="Rejected",0,IF(R1069="Corporate Card",0,V1069))</f>
        <v>21.939210999999997</v>
      </c>
      <c r="AG1069" s="15" t="s">
        <v>181</v>
      </c>
      <c r="AH1069" s="16">
        <v>45773</v>
      </c>
      <c r="AI1069" s="16"/>
      <c r="AJ1069" s="16"/>
      <c r="AK1069" s="17" t="str">
        <f>IF(AJ1069="","",AJ1069-AH1069)</f>
        <v/>
      </c>
    </row>
    <row r="1070" spans="1:37">
      <c r="A1070" s="2" t="s">
        <v>1479</v>
      </c>
      <c r="B1070" s="2" t="s">
        <v>1155</v>
      </c>
      <c r="C1070" s="2" t="s">
        <v>1156</v>
      </c>
      <c r="D1070" s="2" t="s">
        <v>118</v>
      </c>
      <c r="E1070" s="2" t="s">
        <v>119</v>
      </c>
      <c r="F1070" s="2" t="s">
        <v>311</v>
      </c>
      <c r="G1070" s="2" t="s">
        <v>1454</v>
      </c>
      <c r="H1070" s="2" t="s">
        <v>291</v>
      </c>
      <c r="I1070" s="2" t="s">
        <v>315</v>
      </c>
      <c r="J1070" s="2" t="s">
        <v>316</v>
      </c>
      <c r="K1070" s="9">
        <v>45759</v>
      </c>
      <c r="L1070" s="9">
        <v>45761</v>
      </c>
      <c r="M1070" s="9">
        <v>45761</v>
      </c>
      <c r="N1070" s="2" t="s">
        <v>1333</v>
      </c>
      <c r="O1070" s="2" t="s">
        <v>56</v>
      </c>
      <c r="P1070" s="2" t="s">
        <v>231</v>
      </c>
      <c r="Q1070" s="2" t="s">
        <v>185</v>
      </c>
      <c r="R1070" s="2" t="s">
        <v>128</v>
      </c>
      <c r="S1070" s="2" t="s">
        <v>318</v>
      </c>
      <c r="T1070" s="10">
        <v>274.18</v>
      </c>
      <c r="U1070" s="11">
        <v>0.27229999999999999</v>
      </c>
      <c r="V1070" s="12">
        <f>T1070*U1070</f>
        <v>74.659213999999992</v>
      </c>
      <c r="W1070" s="13">
        <v>0.05</v>
      </c>
      <c r="X1070" s="12">
        <f>V1070-(V1070/(1+W1070))</f>
        <v>3.5552006666666642</v>
      </c>
      <c r="Y1070" s="12">
        <f>V1070-X1070</f>
        <v>71.104013333333327</v>
      </c>
      <c r="Z1070" s="14">
        <v>75</v>
      </c>
      <c r="AA1070" s="2" t="str">
        <f>IF(V1070&gt;Z1070,"Yes","No")</f>
        <v>No</v>
      </c>
      <c r="AB1070" s="12">
        <f>V1070-Z1070</f>
        <v>-0.34078600000000847</v>
      </c>
      <c r="AC1070" s="15" t="s">
        <v>130</v>
      </c>
      <c r="AD1070" s="15" t="s">
        <v>130</v>
      </c>
      <c r="AE1070" s="15" t="s">
        <v>514</v>
      </c>
      <c r="AF1070" s="12">
        <f>IF(AG1070="Rejected",0,IF(R1070="Corporate Card",0,V1070))</f>
        <v>0</v>
      </c>
      <c r="AG1070" s="15" t="s">
        <v>181</v>
      </c>
      <c r="AH1070" s="16">
        <v>45773</v>
      </c>
      <c r="AI1070" s="16"/>
      <c r="AJ1070" s="16"/>
      <c r="AK1070" s="17" t="str">
        <f>IF(AJ1070="","",AJ1070-AH1070)</f>
        <v/>
      </c>
    </row>
    <row r="1071" spans="1:37">
      <c r="A1071" s="2" t="s">
        <v>1480</v>
      </c>
      <c r="B1071" s="2" t="s">
        <v>1235</v>
      </c>
      <c r="C1071" s="2" t="s">
        <v>867</v>
      </c>
      <c r="D1071" s="2" t="s">
        <v>865</v>
      </c>
      <c r="E1071" s="2" t="s">
        <v>1236</v>
      </c>
      <c r="F1071" s="2" t="s">
        <v>313</v>
      </c>
      <c r="G1071" s="2" t="s">
        <v>1419</v>
      </c>
      <c r="H1071" s="2" t="s">
        <v>254</v>
      </c>
      <c r="I1071" s="2" t="s">
        <v>255</v>
      </c>
      <c r="J1071" s="2" t="s">
        <v>256</v>
      </c>
      <c r="K1071" s="9">
        <v>45756</v>
      </c>
      <c r="L1071" s="9">
        <v>45762</v>
      </c>
      <c r="M1071" s="9">
        <v>45762</v>
      </c>
      <c r="N1071" s="2" t="s">
        <v>1333</v>
      </c>
      <c r="O1071" s="2" t="s">
        <v>54</v>
      </c>
      <c r="P1071" s="2" t="s">
        <v>139</v>
      </c>
      <c r="Q1071" s="2" t="s">
        <v>214</v>
      </c>
      <c r="R1071" s="2" t="s">
        <v>128</v>
      </c>
      <c r="S1071" s="2" t="s">
        <v>259</v>
      </c>
      <c r="T1071" s="10">
        <v>1850</v>
      </c>
      <c r="U1071" s="11">
        <v>6.5500000000000003E-3</v>
      </c>
      <c r="V1071" s="12">
        <f>T1071*U1071</f>
        <v>12.1175</v>
      </c>
      <c r="W1071" s="13">
        <v>0.1</v>
      </c>
      <c r="X1071" s="12">
        <f>V1071-(V1071/(1+W1071))</f>
        <v>1.1015909090909108</v>
      </c>
      <c r="Y1071" s="12">
        <f>V1071-X1071</f>
        <v>11.015909090909089</v>
      </c>
      <c r="Z1071" s="14">
        <v>25</v>
      </c>
      <c r="AA1071" s="2" t="str">
        <f>IF(V1071&gt;Z1071,"Yes","No")</f>
        <v>No</v>
      </c>
      <c r="AB1071" s="12">
        <f>V1071-Z1071</f>
        <v>-12.8825</v>
      </c>
      <c r="AC1071" s="15" t="s">
        <v>130</v>
      </c>
      <c r="AD1071" s="15" t="s">
        <v>130</v>
      </c>
      <c r="AE1071" s="15" t="s">
        <v>260</v>
      </c>
      <c r="AF1071" s="12">
        <f>IF(AG1071="Rejected",0,IF(R1071="Corporate Card",0,V1071))</f>
        <v>0</v>
      </c>
      <c r="AG1071" s="15" t="s">
        <v>133</v>
      </c>
      <c r="AH1071" s="16">
        <v>45766</v>
      </c>
      <c r="AI1071" s="16">
        <v>45770</v>
      </c>
      <c r="AJ1071" s="16">
        <v>45779</v>
      </c>
      <c r="AK1071" s="17">
        <f>IF(AJ1071="","",AJ1071-AH1071)</f>
        <v>13</v>
      </c>
    </row>
    <row r="1072" spans="1:37">
      <c r="A1072" s="2" t="s">
        <v>1481</v>
      </c>
      <c r="B1072" s="2" t="s">
        <v>1235</v>
      </c>
      <c r="C1072" s="2" t="s">
        <v>867</v>
      </c>
      <c r="D1072" s="2" t="s">
        <v>865</v>
      </c>
      <c r="E1072" s="2" t="s">
        <v>1236</v>
      </c>
      <c r="F1072" s="2" t="s">
        <v>313</v>
      </c>
      <c r="G1072" s="2" t="s">
        <v>1419</v>
      </c>
      <c r="H1072" s="2" t="s">
        <v>254</v>
      </c>
      <c r="I1072" s="2" t="s">
        <v>255</v>
      </c>
      <c r="J1072" s="2" t="s">
        <v>256</v>
      </c>
      <c r="K1072" s="9">
        <v>45756</v>
      </c>
      <c r="L1072" s="9">
        <v>45762</v>
      </c>
      <c r="M1072" s="9">
        <v>45762</v>
      </c>
      <c r="N1072" s="2" t="s">
        <v>1333</v>
      </c>
      <c r="O1072" s="2" t="s">
        <v>56</v>
      </c>
      <c r="P1072" s="2" t="s">
        <v>165</v>
      </c>
      <c r="Q1072" s="2" t="s">
        <v>159</v>
      </c>
      <c r="R1072" s="2" t="s">
        <v>137</v>
      </c>
      <c r="S1072" s="2" t="s">
        <v>259</v>
      </c>
      <c r="T1072" s="10">
        <v>9857</v>
      </c>
      <c r="U1072" s="11">
        <v>6.5500000000000003E-3</v>
      </c>
      <c r="V1072" s="12">
        <f>T1072*U1072</f>
        <v>64.56335</v>
      </c>
      <c r="W1072" s="13">
        <v>0.1</v>
      </c>
      <c r="X1072" s="12">
        <f>V1072-(V1072/(1+W1072))</f>
        <v>5.8693954545454616</v>
      </c>
      <c r="Y1072" s="12">
        <f>V1072-X1072</f>
        <v>58.693954545454538</v>
      </c>
      <c r="Z1072" s="14">
        <v>75</v>
      </c>
      <c r="AA1072" s="2" t="str">
        <f>IF(V1072&gt;Z1072,"Yes","No")</f>
        <v>No</v>
      </c>
      <c r="AB1072" s="12">
        <f>V1072-Z1072</f>
        <v>-10.43665</v>
      </c>
      <c r="AC1072" s="15" t="s">
        <v>130</v>
      </c>
      <c r="AD1072" s="15" t="s">
        <v>130</v>
      </c>
      <c r="AE1072" s="15" t="s">
        <v>260</v>
      </c>
      <c r="AF1072" s="12">
        <f>IF(AG1072="Rejected",0,IF(R1072="Corporate Card",0,V1072))</f>
        <v>64.56335</v>
      </c>
      <c r="AG1072" s="15" t="s">
        <v>133</v>
      </c>
      <c r="AH1072" s="16">
        <v>45766</v>
      </c>
      <c r="AI1072" s="16">
        <v>45770</v>
      </c>
      <c r="AJ1072" s="16">
        <v>45779</v>
      </c>
      <c r="AK1072" s="17">
        <f>IF(AJ1072="","",AJ1072-AH1072)</f>
        <v>13</v>
      </c>
    </row>
    <row r="1073" spans="1:37">
      <c r="A1073" s="2" t="s">
        <v>1482</v>
      </c>
      <c r="B1073" s="2" t="s">
        <v>1235</v>
      </c>
      <c r="C1073" s="2" t="s">
        <v>867</v>
      </c>
      <c r="D1073" s="2" t="s">
        <v>865</v>
      </c>
      <c r="E1073" s="2" t="s">
        <v>1236</v>
      </c>
      <c r="F1073" s="2" t="s">
        <v>313</v>
      </c>
      <c r="G1073" s="2" t="s">
        <v>1419</v>
      </c>
      <c r="H1073" s="2" t="s">
        <v>254</v>
      </c>
      <c r="I1073" s="2" t="s">
        <v>255</v>
      </c>
      <c r="J1073" s="2" t="s">
        <v>256</v>
      </c>
      <c r="K1073" s="9">
        <v>45756</v>
      </c>
      <c r="L1073" s="9">
        <v>45762</v>
      </c>
      <c r="M1073" s="9">
        <v>45762</v>
      </c>
      <c r="N1073" s="2" t="s">
        <v>1333</v>
      </c>
      <c r="O1073" s="2" t="s">
        <v>55</v>
      </c>
      <c r="P1073" s="2" t="s">
        <v>139</v>
      </c>
      <c r="Q1073" s="2" t="s">
        <v>187</v>
      </c>
      <c r="R1073" s="2" t="s">
        <v>137</v>
      </c>
      <c r="S1073" s="2" t="s">
        <v>259</v>
      </c>
      <c r="T1073" s="10">
        <v>4497</v>
      </c>
      <c r="U1073" s="11">
        <v>6.5500000000000003E-3</v>
      </c>
      <c r="V1073" s="12">
        <f>T1073*U1073</f>
        <v>29.455350000000003</v>
      </c>
      <c r="W1073" s="13">
        <v>0.1</v>
      </c>
      <c r="X1073" s="12">
        <f>V1073-(V1073/(1+W1073))</f>
        <v>2.6777590909090918</v>
      </c>
      <c r="Y1073" s="12">
        <f>V1073-X1073</f>
        <v>26.777590909090911</v>
      </c>
      <c r="Z1073" s="14">
        <v>35</v>
      </c>
      <c r="AA1073" s="2" t="str">
        <f>IF(V1073&gt;Z1073,"Yes","No")</f>
        <v>No</v>
      </c>
      <c r="AB1073" s="12">
        <f>V1073-Z1073</f>
        <v>-5.5446499999999972</v>
      </c>
      <c r="AC1073" s="15" t="s">
        <v>130</v>
      </c>
      <c r="AD1073" s="15" t="s">
        <v>130</v>
      </c>
      <c r="AE1073" s="15" t="s">
        <v>260</v>
      </c>
      <c r="AF1073" s="12">
        <f>IF(AG1073="Rejected",0,IF(R1073="Corporate Card",0,V1073))</f>
        <v>29.455350000000003</v>
      </c>
      <c r="AG1073" s="15" t="s">
        <v>133</v>
      </c>
      <c r="AH1073" s="16">
        <v>45766</v>
      </c>
      <c r="AI1073" s="16">
        <v>45770</v>
      </c>
      <c r="AJ1073" s="16">
        <v>45779</v>
      </c>
      <c r="AK1073" s="17">
        <f>IF(AJ1073="","",AJ1073-AH1073)</f>
        <v>13</v>
      </c>
    </row>
    <row r="1074" spans="1:37">
      <c r="A1074" s="2" t="s">
        <v>1483</v>
      </c>
      <c r="B1074" s="2" t="s">
        <v>189</v>
      </c>
      <c r="C1074" s="2" t="s">
        <v>190</v>
      </c>
      <c r="D1074" s="2" t="s">
        <v>171</v>
      </c>
      <c r="E1074" s="2" t="s">
        <v>191</v>
      </c>
      <c r="F1074" s="2" t="s">
        <v>173</v>
      </c>
      <c r="G1074" s="2" t="s">
        <v>1484</v>
      </c>
      <c r="H1074" s="2" t="s">
        <v>291</v>
      </c>
      <c r="I1074" s="2" t="s">
        <v>567</v>
      </c>
      <c r="J1074" s="2" t="s">
        <v>434</v>
      </c>
      <c r="K1074" s="9">
        <v>45762</v>
      </c>
      <c r="L1074" s="9">
        <v>45769</v>
      </c>
      <c r="M1074" s="9">
        <v>45762</v>
      </c>
      <c r="N1074" s="2" t="s">
        <v>1333</v>
      </c>
      <c r="O1074" s="2" t="s">
        <v>52</v>
      </c>
      <c r="P1074" s="2" t="s">
        <v>568</v>
      </c>
      <c r="Q1074" s="2" t="s">
        <v>127</v>
      </c>
      <c r="R1074" s="2" t="s">
        <v>128</v>
      </c>
      <c r="S1074" s="2" t="s">
        <v>436</v>
      </c>
      <c r="T1074" s="10">
        <v>99437</v>
      </c>
      <c r="U1074" s="11">
        <v>1.1780000000000001E-2</v>
      </c>
      <c r="V1074" s="12">
        <f>T1074*U1074</f>
        <v>1171.3678600000001</v>
      </c>
      <c r="W1074" s="13">
        <v>0</v>
      </c>
      <c r="X1074" s="12">
        <f>V1074-(V1074/(1+W1074))</f>
        <v>0</v>
      </c>
      <c r="Y1074" s="12">
        <f>V1074-X1074</f>
        <v>1171.3678600000001</v>
      </c>
      <c r="Z1074" s="14">
        <v>1400</v>
      </c>
      <c r="AA1074" s="2" t="str">
        <f>IF(V1074&gt;Z1074,"Yes","No")</f>
        <v>No</v>
      </c>
      <c r="AB1074" s="12">
        <f>V1074-Z1074</f>
        <v>-228.63213999999994</v>
      </c>
      <c r="AC1074" s="15" t="s">
        <v>130</v>
      </c>
      <c r="AD1074" s="15" t="s">
        <v>130</v>
      </c>
      <c r="AE1074" s="15" t="s">
        <v>260</v>
      </c>
      <c r="AF1074" s="12">
        <f>IF(AG1074="Rejected",0,IF(R1074="Corporate Card",0,V1074))</f>
        <v>0</v>
      </c>
      <c r="AG1074" s="15" t="s">
        <v>133</v>
      </c>
      <c r="AH1074" s="16">
        <v>45773</v>
      </c>
      <c r="AI1074" s="16">
        <v>45775</v>
      </c>
      <c r="AJ1074" s="16">
        <v>45777</v>
      </c>
      <c r="AK1074" s="17">
        <f>IF(AJ1074="","",AJ1074-AH1074)</f>
        <v>4</v>
      </c>
    </row>
    <row r="1075" spans="1:37">
      <c r="A1075" s="2" t="s">
        <v>1485</v>
      </c>
      <c r="B1075" s="2" t="s">
        <v>189</v>
      </c>
      <c r="C1075" s="2" t="s">
        <v>190</v>
      </c>
      <c r="D1075" s="2" t="s">
        <v>171</v>
      </c>
      <c r="E1075" s="2" t="s">
        <v>191</v>
      </c>
      <c r="F1075" s="2" t="s">
        <v>173</v>
      </c>
      <c r="G1075" s="2" t="s">
        <v>1484</v>
      </c>
      <c r="H1075" s="2" t="s">
        <v>291</v>
      </c>
      <c r="I1075" s="2" t="s">
        <v>567</v>
      </c>
      <c r="J1075" s="2" t="s">
        <v>434</v>
      </c>
      <c r="K1075" s="9">
        <v>45762</v>
      </c>
      <c r="L1075" s="9">
        <v>45769</v>
      </c>
      <c r="M1075" s="9">
        <v>45762</v>
      </c>
      <c r="N1075" s="2" t="s">
        <v>1333</v>
      </c>
      <c r="O1075" s="2" t="s">
        <v>64</v>
      </c>
      <c r="P1075" s="2" t="s">
        <v>135</v>
      </c>
      <c r="Q1075" s="2" t="s">
        <v>420</v>
      </c>
      <c r="R1075" s="2" t="s">
        <v>128</v>
      </c>
      <c r="S1075" s="2" t="s">
        <v>436</v>
      </c>
      <c r="T1075" s="10">
        <v>5028</v>
      </c>
      <c r="U1075" s="11">
        <v>1.1780000000000001E-2</v>
      </c>
      <c r="V1075" s="12">
        <f>T1075*U1075</f>
        <v>59.229840000000003</v>
      </c>
      <c r="W1075" s="13">
        <v>0</v>
      </c>
      <c r="X1075" s="12">
        <f>V1075-(V1075/(1+W1075))</f>
        <v>0</v>
      </c>
      <c r="Y1075" s="12">
        <f>V1075-X1075</f>
        <v>59.229840000000003</v>
      </c>
      <c r="Z1075" s="14">
        <v>120</v>
      </c>
      <c r="AA1075" s="2" t="str">
        <f>IF(V1075&gt;Z1075,"Yes","No")</f>
        <v>No</v>
      </c>
      <c r="AB1075" s="12">
        <f>V1075-Z1075</f>
        <v>-60.770159999999997</v>
      </c>
      <c r="AC1075" s="15" t="s">
        <v>130</v>
      </c>
      <c r="AD1075" s="15" t="s">
        <v>130</v>
      </c>
      <c r="AE1075" s="15" t="s">
        <v>260</v>
      </c>
      <c r="AF1075" s="12">
        <f>IF(AG1075="Rejected",0,IF(R1075="Corporate Card",0,V1075))</f>
        <v>0</v>
      </c>
      <c r="AG1075" s="15" t="s">
        <v>133</v>
      </c>
      <c r="AH1075" s="16">
        <v>45773</v>
      </c>
      <c r="AI1075" s="16">
        <v>45775</v>
      </c>
      <c r="AJ1075" s="16">
        <v>45777</v>
      </c>
      <c r="AK1075" s="17">
        <f>IF(AJ1075="","",AJ1075-AH1075)</f>
        <v>4</v>
      </c>
    </row>
    <row r="1076" spans="1:37">
      <c r="A1076" s="2" t="s">
        <v>1486</v>
      </c>
      <c r="B1076" s="2" t="s">
        <v>189</v>
      </c>
      <c r="C1076" s="2" t="s">
        <v>190</v>
      </c>
      <c r="D1076" s="2" t="s">
        <v>171</v>
      </c>
      <c r="E1076" s="2" t="s">
        <v>191</v>
      </c>
      <c r="F1076" s="2" t="s">
        <v>173</v>
      </c>
      <c r="G1076" s="2" t="s">
        <v>1484</v>
      </c>
      <c r="H1076" s="2" t="s">
        <v>291</v>
      </c>
      <c r="I1076" s="2" t="s">
        <v>567</v>
      </c>
      <c r="J1076" s="2" t="s">
        <v>434</v>
      </c>
      <c r="K1076" s="9">
        <v>45762</v>
      </c>
      <c r="L1076" s="9">
        <v>45769</v>
      </c>
      <c r="M1076" s="9">
        <v>45762</v>
      </c>
      <c r="N1076" s="2" t="s">
        <v>1333</v>
      </c>
      <c r="O1076" s="2" t="s">
        <v>58</v>
      </c>
      <c r="P1076" s="2" t="s">
        <v>142</v>
      </c>
      <c r="Q1076" s="2" t="s">
        <v>224</v>
      </c>
      <c r="R1076" s="2" t="s">
        <v>137</v>
      </c>
      <c r="S1076" s="2" t="s">
        <v>436</v>
      </c>
      <c r="T1076" s="10">
        <v>4191</v>
      </c>
      <c r="U1076" s="11">
        <v>1.1780000000000001E-2</v>
      </c>
      <c r="V1076" s="12">
        <f>T1076*U1076</f>
        <v>49.369980000000005</v>
      </c>
      <c r="W1076" s="13">
        <v>0.18</v>
      </c>
      <c r="X1076" s="12">
        <f>V1076-(V1076/(1+W1076))</f>
        <v>7.5310138983050834</v>
      </c>
      <c r="Y1076" s="12">
        <f>V1076-X1076</f>
        <v>41.838966101694922</v>
      </c>
      <c r="Z1076" s="14">
        <v>60</v>
      </c>
      <c r="AA1076" s="2" t="str">
        <f>IF(V1076&gt;Z1076,"Yes","No")</f>
        <v>No</v>
      </c>
      <c r="AB1076" s="12">
        <f>V1076-Z1076</f>
        <v>-10.630019999999995</v>
      </c>
      <c r="AC1076" s="15" t="s">
        <v>130</v>
      </c>
      <c r="AD1076" s="15" t="s">
        <v>130</v>
      </c>
      <c r="AE1076" s="15" t="s">
        <v>260</v>
      </c>
      <c r="AF1076" s="12">
        <f>IF(AG1076="Rejected",0,IF(R1076="Corporate Card",0,V1076))</f>
        <v>49.369980000000005</v>
      </c>
      <c r="AG1076" s="15" t="s">
        <v>133</v>
      </c>
      <c r="AH1076" s="16">
        <v>45773</v>
      </c>
      <c r="AI1076" s="16">
        <v>45775</v>
      </c>
      <c r="AJ1076" s="16">
        <v>45777</v>
      </c>
      <c r="AK1076" s="17">
        <f>IF(AJ1076="","",AJ1076-AH1076)</f>
        <v>4</v>
      </c>
    </row>
    <row r="1077" spans="1:37">
      <c r="A1077" s="2" t="s">
        <v>1487</v>
      </c>
      <c r="B1077" s="2" t="s">
        <v>189</v>
      </c>
      <c r="C1077" s="2" t="s">
        <v>190</v>
      </c>
      <c r="D1077" s="2" t="s">
        <v>171</v>
      </c>
      <c r="E1077" s="2" t="s">
        <v>191</v>
      </c>
      <c r="F1077" s="2" t="s">
        <v>173</v>
      </c>
      <c r="G1077" s="2" t="s">
        <v>1484</v>
      </c>
      <c r="H1077" s="2" t="s">
        <v>291</v>
      </c>
      <c r="I1077" s="2" t="s">
        <v>567</v>
      </c>
      <c r="J1077" s="2" t="s">
        <v>434</v>
      </c>
      <c r="K1077" s="9">
        <v>45762</v>
      </c>
      <c r="L1077" s="9">
        <v>45769</v>
      </c>
      <c r="M1077" s="9">
        <v>45762</v>
      </c>
      <c r="N1077" s="2" t="s">
        <v>1333</v>
      </c>
      <c r="O1077" s="2" t="s">
        <v>56</v>
      </c>
      <c r="P1077" s="2" t="s">
        <v>231</v>
      </c>
      <c r="Q1077" s="2" t="s">
        <v>227</v>
      </c>
      <c r="R1077" s="2" t="s">
        <v>128</v>
      </c>
      <c r="S1077" s="2" t="s">
        <v>436</v>
      </c>
      <c r="T1077" s="10">
        <v>4194</v>
      </c>
      <c r="U1077" s="11">
        <v>1.1780000000000001E-2</v>
      </c>
      <c r="V1077" s="12">
        <f>T1077*U1077</f>
        <v>49.405320000000003</v>
      </c>
      <c r="W1077" s="13">
        <v>0.18</v>
      </c>
      <c r="X1077" s="12">
        <f>V1077-(V1077/(1+W1077))</f>
        <v>7.5364047457627095</v>
      </c>
      <c r="Y1077" s="12">
        <f>V1077-X1077</f>
        <v>41.868915254237294</v>
      </c>
      <c r="Z1077" s="14">
        <v>75</v>
      </c>
      <c r="AA1077" s="2" t="str">
        <f>IF(V1077&gt;Z1077,"Yes","No")</f>
        <v>No</v>
      </c>
      <c r="AB1077" s="12">
        <f>V1077-Z1077</f>
        <v>-25.594679999999997</v>
      </c>
      <c r="AC1077" s="15" t="s">
        <v>130</v>
      </c>
      <c r="AD1077" s="15" t="s">
        <v>130</v>
      </c>
      <c r="AE1077" s="15" t="s">
        <v>260</v>
      </c>
      <c r="AF1077" s="12">
        <f>IF(AG1077="Rejected",0,IF(R1077="Corporate Card",0,V1077))</f>
        <v>0</v>
      </c>
      <c r="AG1077" s="15" t="s">
        <v>133</v>
      </c>
      <c r="AH1077" s="16">
        <v>45773</v>
      </c>
      <c r="AI1077" s="16">
        <v>45775</v>
      </c>
      <c r="AJ1077" s="16">
        <v>45777</v>
      </c>
      <c r="AK1077" s="17">
        <f>IF(AJ1077="","",AJ1077-AH1077)</f>
        <v>4</v>
      </c>
    </row>
    <row r="1078" spans="1:37">
      <c r="A1078" s="2" t="s">
        <v>1488</v>
      </c>
      <c r="B1078" s="2" t="s">
        <v>189</v>
      </c>
      <c r="C1078" s="2" t="s">
        <v>190</v>
      </c>
      <c r="D1078" s="2" t="s">
        <v>171</v>
      </c>
      <c r="E1078" s="2" t="s">
        <v>191</v>
      </c>
      <c r="F1078" s="2" t="s">
        <v>173</v>
      </c>
      <c r="G1078" s="2" t="s">
        <v>1484</v>
      </c>
      <c r="H1078" s="2" t="s">
        <v>291</v>
      </c>
      <c r="I1078" s="2" t="s">
        <v>567</v>
      </c>
      <c r="J1078" s="2" t="s">
        <v>434</v>
      </c>
      <c r="K1078" s="9">
        <v>45762</v>
      </c>
      <c r="L1078" s="9">
        <v>45769</v>
      </c>
      <c r="M1078" s="9">
        <v>45762</v>
      </c>
      <c r="N1078" s="2" t="s">
        <v>1333</v>
      </c>
      <c r="O1078" s="2" t="s">
        <v>55</v>
      </c>
      <c r="P1078" s="2" t="s">
        <v>139</v>
      </c>
      <c r="Q1078" s="2" t="s">
        <v>161</v>
      </c>
      <c r="R1078" s="2" t="s">
        <v>128</v>
      </c>
      <c r="S1078" s="2" t="s">
        <v>436</v>
      </c>
      <c r="T1078" s="10">
        <v>2304</v>
      </c>
      <c r="U1078" s="11">
        <v>1.1780000000000001E-2</v>
      </c>
      <c r="V1078" s="12">
        <f>T1078*U1078</f>
        <v>27.141120000000001</v>
      </c>
      <c r="W1078" s="13">
        <v>0.18</v>
      </c>
      <c r="X1078" s="12">
        <f>V1078-(V1078/(1+W1078))</f>
        <v>4.1401708474576253</v>
      </c>
      <c r="Y1078" s="12">
        <f>V1078-X1078</f>
        <v>23.000949152542375</v>
      </c>
      <c r="Z1078" s="14">
        <v>35</v>
      </c>
      <c r="AA1078" s="2" t="str">
        <f>IF(V1078&gt;Z1078,"Yes","No")</f>
        <v>No</v>
      </c>
      <c r="AB1078" s="12">
        <f>V1078-Z1078</f>
        <v>-7.8588799999999992</v>
      </c>
      <c r="AC1078" s="15" t="s">
        <v>130</v>
      </c>
      <c r="AD1078" s="15" t="s">
        <v>130</v>
      </c>
      <c r="AE1078" s="15" t="s">
        <v>260</v>
      </c>
      <c r="AF1078" s="12">
        <f>IF(AG1078="Rejected",0,IF(R1078="Corporate Card",0,V1078))</f>
        <v>0</v>
      </c>
      <c r="AG1078" s="15" t="s">
        <v>133</v>
      </c>
      <c r="AH1078" s="16">
        <v>45773</v>
      </c>
      <c r="AI1078" s="16">
        <v>45775</v>
      </c>
      <c r="AJ1078" s="16">
        <v>45777</v>
      </c>
      <c r="AK1078" s="17">
        <f>IF(AJ1078="","",AJ1078-AH1078)</f>
        <v>4</v>
      </c>
    </row>
    <row r="1079" spans="1:37">
      <c r="A1079" s="2" t="s">
        <v>1489</v>
      </c>
      <c r="B1079" s="2" t="s">
        <v>1235</v>
      </c>
      <c r="C1079" s="2" t="s">
        <v>867</v>
      </c>
      <c r="D1079" s="2" t="s">
        <v>865</v>
      </c>
      <c r="E1079" s="2" t="s">
        <v>1236</v>
      </c>
      <c r="F1079" s="2" t="s">
        <v>313</v>
      </c>
      <c r="G1079" s="2" t="s">
        <v>1490</v>
      </c>
      <c r="H1079" s="2" t="s">
        <v>803</v>
      </c>
      <c r="I1079" s="2" t="s">
        <v>433</v>
      </c>
      <c r="J1079" s="2" t="s">
        <v>434</v>
      </c>
      <c r="K1079" s="9">
        <v>45763</v>
      </c>
      <c r="L1079" s="9">
        <v>45770</v>
      </c>
      <c r="M1079" s="9">
        <v>45763</v>
      </c>
      <c r="N1079" s="2" t="s">
        <v>1333</v>
      </c>
      <c r="O1079" s="2" t="s">
        <v>52</v>
      </c>
      <c r="P1079" s="2" t="s">
        <v>435</v>
      </c>
      <c r="Q1079" s="2" t="s">
        <v>136</v>
      </c>
      <c r="R1079" s="2" t="s">
        <v>149</v>
      </c>
      <c r="S1079" s="2" t="s">
        <v>436</v>
      </c>
      <c r="T1079" s="10">
        <v>84223</v>
      </c>
      <c r="U1079" s="11">
        <v>1.1780000000000001E-2</v>
      </c>
      <c r="V1079" s="12">
        <f>T1079*U1079</f>
        <v>992.14694000000009</v>
      </c>
      <c r="W1079" s="13">
        <v>0</v>
      </c>
      <c r="X1079" s="12">
        <f>V1079-(V1079/(1+W1079))</f>
        <v>0</v>
      </c>
      <c r="Y1079" s="12">
        <f>V1079-X1079</f>
        <v>992.14694000000009</v>
      </c>
      <c r="Z1079" s="14">
        <v>1400</v>
      </c>
      <c r="AA1079" s="2" t="str">
        <f>IF(V1079&gt;Z1079,"Yes","No")</f>
        <v>No</v>
      </c>
      <c r="AB1079" s="12">
        <f>V1079-Z1079</f>
        <v>-407.85305999999991</v>
      </c>
      <c r="AC1079" s="15" t="s">
        <v>130</v>
      </c>
      <c r="AD1079" s="15" t="s">
        <v>130</v>
      </c>
      <c r="AE1079" s="15" t="s">
        <v>514</v>
      </c>
      <c r="AF1079" s="12">
        <f>IF(AG1079="Rejected",0,IF(R1079="Corporate Card",0,V1079))</f>
        <v>0</v>
      </c>
      <c r="AG1079" s="15" t="s">
        <v>804</v>
      </c>
      <c r="AH1079" s="16">
        <v>45773</v>
      </c>
      <c r="AI1079" s="16"/>
      <c r="AJ1079" s="16"/>
      <c r="AK1079" s="17" t="str">
        <f>IF(AJ1079="","",AJ1079-AH1079)</f>
        <v/>
      </c>
    </row>
    <row r="1080" spans="1:37">
      <c r="A1080" s="2" t="s">
        <v>1491</v>
      </c>
      <c r="B1080" s="2" t="s">
        <v>1235</v>
      </c>
      <c r="C1080" s="2" t="s">
        <v>867</v>
      </c>
      <c r="D1080" s="2" t="s">
        <v>865</v>
      </c>
      <c r="E1080" s="2" t="s">
        <v>1236</v>
      </c>
      <c r="F1080" s="2" t="s">
        <v>313</v>
      </c>
      <c r="G1080" s="2" t="s">
        <v>1490</v>
      </c>
      <c r="H1080" s="2" t="s">
        <v>803</v>
      </c>
      <c r="I1080" s="2" t="s">
        <v>433</v>
      </c>
      <c r="J1080" s="2" t="s">
        <v>434</v>
      </c>
      <c r="K1080" s="9">
        <v>45763</v>
      </c>
      <c r="L1080" s="9">
        <v>45770</v>
      </c>
      <c r="M1080" s="9">
        <v>45763</v>
      </c>
      <c r="N1080" s="2" t="s">
        <v>1333</v>
      </c>
      <c r="O1080" s="2" t="s">
        <v>58</v>
      </c>
      <c r="P1080" s="2" t="s">
        <v>142</v>
      </c>
      <c r="Q1080" s="2" t="s">
        <v>143</v>
      </c>
      <c r="R1080" s="2" t="s">
        <v>128</v>
      </c>
      <c r="S1080" s="2" t="s">
        <v>436</v>
      </c>
      <c r="T1080" s="10">
        <v>4241</v>
      </c>
      <c r="U1080" s="11">
        <v>1.1780000000000001E-2</v>
      </c>
      <c r="V1080" s="12">
        <f>T1080*U1080</f>
        <v>49.958980000000004</v>
      </c>
      <c r="W1080" s="13">
        <v>0.18</v>
      </c>
      <c r="X1080" s="12">
        <f>V1080-(V1080/(1+W1080))</f>
        <v>7.6208613559321989</v>
      </c>
      <c r="Y1080" s="12">
        <f>V1080-X1080</f>
        <v>42.338118644067805</v>
      </c>
      <c r="Z1080" s="14">
        <v>60</v>
      </c>
      <c r="AA1080" s="2" t="str">
        <f>IF(V1080&gt;Z1080,"Yes","No")</f>
        <v>No</v>
      </c>
      <c r="AB1080" s="12">
        <f>V1080-Z1080</f>
        <v>-10.041019999999996</v>
      </c>
      <c r="AC1080" s="15" t="s">
        <v>130</v>
      </c>
      <c r="AD1080" s="15" t="s">
        <v>130</v>
      </c>
      <c r="AE1080" s="15" t="s">
        <v>514</v>
      </c>
      <c r="AF1080" s="12">
        <f>IF(AG1080="Rejected",0,IF(R1080="Corporate Card",0,V1080))</f>
        <v>0</v>
      </c>
      <c r="AG1080" s="15" t="s">
        <v>804</v>
      </c>
      <c r="AH1080" s="16">
        <v>45773</v>
      </c>
      <c r="AI1080" s="16"/>
      <c r="AJ1080" s="16"/>
      <c r="AK1080" s="17" t="str">
        <f>IF(AJ1080="","",AJ1080-AH1080)</f>
        <v/>
      </c>
    </row>
    <row r="1081" spans="1:37">
      <c r="A1081" s="2" t="s">
        <v>1492</v>
      </c>
      <c r="B1081" s="2" t="s">
        <v>1235</v>
      </c>
      <c r="C1081" s="2" t="s">
        <v>867</v>
      </c>
      <c r="D1081" s="2" t="s">
        <v>865</v>
      </c>
      <c r="E1081" s="2" t="s">
        <v>1236</v>
      </c>
      <c r="F1081" s="2" t="s">
        <v>313</v>
      </c>
      <c r="G1081" s="2" t="s">
        <v>1490</v>
      </c>
      <c r="H1081" s="2" t="s">
        <v>803</v>
      </c>
      <c r="I1081" s="2" t="s">
        <v>433</v>
      </c>
      <c r="J1081" s="2" t="s">
        <v>434</v>
      </c>
      <c r="K1081" s="9">
        <v>45763</v>
      </c>
      <c r="L1081" s="9">
        <v>45770</v>
      </c>
      <c r="M1081" s="9">
        <v>45763</v>
      </c>
      <c r="N1081" s="2" t="s">
        <v>1333</v>
      </c>
      <c r="O1081" s="2" t="s">
        <v>54</v>
      </c>
      <c r="P1081" s="2" t="s">
        <v>139</v>
      </c>
      <c r="Q1081" s="2" t="s">
        <v>148</v>
      </c>
      <c r="R1081" s="2" t="s">
        <v>149</v>
      </c>
      <c r="S1081" s="2" t="s">
        <v>436</v>
      </c>
      <c r="T1081" s="10">
        <v>3110</v>
      </c>
      <c r="U1081" s="11">
        <v>1.1780000000000001E-2</v>
      </c>
      <c r="V1081" s="12">
        <f>T1081*U1081</f>
        <v>36.635800000000003</v>
      </c>
      <c r="W1081" s="13">
        <v>0.18</v>
      </c>
      <c r="X1081" s="12">
        <f>V1081-(V1081/(1+W1081))</f>
        <v>5.5885118644067795</v>
      </c>
      <c r="Y1081" s="12">
        <f>V1081-X1081</f>
        <v>31.047288135593224</v>
      </c>
      <c r="Z1081" s="14">
        <v>25</v>
      </c>
      <c r="AA1081" s="2" t="str">
        <f>IF(V1081&gt;Z1081,"Yes","No")</f>
        <v>Yes</v>
      </c>
      <c r="AB1081" s="12">
        <f>V1081-Z1081</f>
        <v>11.635800000000003</v>
      </c>
      <c r="AC1081" s="15" t="s">
        <v>131</v>
      </c>
      <c r="AD1081" s="15" t="s">
        <v>130</v>
      </c>
      <c r="AE1081" s="15" t="s">
        <v>514</v>
      </c>
      <c r="AF1081" s="12">
        <f>IF(AG1081="Rejected",0,IF(R1081="Corporate Card",0,V1081))</f>
        <v>0</v>
      </c>
      <c r="AG1081" s="15" t="s">
        <v>804</v>
      </c>
      <c r="AH1081" s="16">
        <v>45773</v>
      </c>
      <c r="AI1081" s="16"/>
      <c r="AJ1081" s="16"/>
      <c r="AK1081" s="17" t="str">
        <f>IF(AJ1081="","",AJ1081-AH1081)</f>
        <v/>
      </c>
    </row>
    <row r="1082" spans="1:37">
      <c r="A1082" s="2" t="s">
        <v>1493</v>
      </c>
      <c r="B1082" s="2" t="s">
        <v>1235</v>
      </c>
      <c r="C1082" s="2" t="s">
        <v>867</v>
      </c>
      <c r="D1082" s="2" t="s">
        <v>865</v>
      </c>
      <c r="E1082" s="2" t="s">
        <v>1236</v>
      </c>
      <c r="F1082" s="2" t="s">
        <v>313</v>
      </c>
      <c r="G1082" s="2" t="s">
        <v>1490</v>
      </c>
      <c r="H1082" s="2" t="s">
        <v>803</v>
      </c>
      <c r="I1082" s="2" t="s">
        <v>433</v>
      </c>
      <c r="J1082" s="2" t="s">
        <v>434</v>
      </c>
      <c r="K1082" s="9">
        <v>45763</v>
      </c>
      <c r="L1082" s="9">
        <v>45770</v>
      </c>
      <c r="M1082" s="9">
        <v>45763</v>
      </c>
      <c r="N1082" s="2" t="s">
        <v>1333</v>
      </c>
      <c r="O1082" s="2" t="s">
        <v>56</v>
      </c>
      <c r="P1082" s="2" t="s">
        <v>165</v>
      </c>
      <c r="Q1082" s="2" t="s">
        <v>152</v>
      </c>
      <c r="R1082" s="2" t="s">
        <v>149</v>
      </c>
      <c r="S1082" s="2" t="s">
        <v>436</v>
      </c>
      <c r="T1082" s="10">
        <v>2561</v>
      </c>
      <c r="U1082" s="11">
        <v>1.1780000000000001E-2</v>
      </c>
      <c r="V1082" s="12">
        <f>T1082*U1082</f>
        <v>30.168580000000002</v>
      </c>
      <c r="W1082" s="13">
        <v>0.18</v>
      </c>
      <c r="X1082" s="12">
        <f>V1082-(V1082/(1+W1082))</f>
        <v>4.601986779661015</v>
      </c>
      <c r="Y1082" s="12">
        <f>V1082-X1082</f>
        <v>25.566593220338987</v>
      </c>
      <c r="Z1082" s="14">
        <v>75</v>
      </c>
      <c r="AA1082" s="2" t="str">
        <f>IF(V1082&gt;Z1082,"Yes","No")</f>
        <v>No</v>
      </c>
      <c r="AB1082" s="12">
        <f>V1082-Z1082</f>
        <v>-44.831419999999994</v>
      </c>
      <c r="AC1082" s="15" t="s">
        <v>130</v>
      </c>
      <c r="AD1082" s="15" t="s">
        <v>130</v>
      </c>
      <c r="AE1082" s="15" t="s">
        <v>514</v>
      </c>
      <c r="AF1082" s="12">
        <f>IF(AG1082="Rejected",0,IF(R1082="Corporate Card",0,V1082))</f>
        <v>0</v>
      </c>
      <c r="AG1082" s="15" t="s">
        <v>804</v>
      </c>
      <c r="AH1082" s="16">
        <v>45773</v>
      </c>
      <c r="AI1082" s="16"/>
      <c r="AJ1082" s="16"/>
      <c r="AK1082" s="17" t="str">
        <f>IF(AJ1082="","",AJ1082-AH1082)</f>
        <v/>
      </c>
    </row>
    <row r="1083" spans="1:37">
      <c r="A1083" s="2" t="s">
        <v>1494</v>
      </c>
      <c r="B1083" s="2" t="s">
        <v>189</v>
      </c>
      <c r="C1083" s="2" t="s">
        <v>190</v>
      </c>
      <c r="D1083" s="2" t="s">
        <v>171</v>
      </c>
      <c r="E1083" s="2" t="s">
        <v>191</v>
      </c>
      <c r="F1083" s="2" t="s">
        <v>173</v>
      </c>
      <c r="G1083" s="2" t="s">
        <v>1484</v>
      </c>
      <c r="H1083" s="2" t="s">
        <v>291</v>
      </c>
      <c r="I1083" s="2" t="s">
        <v>567</v>
      </c>
      <c r="J1083" s="2" t="s">
        <v>434</v>
      </c>
      <c r="K1083" s="9">
        <v>45762</v>
      </c>
      <c r="L1083" s="9">
        <v>45769</v>
      </c>
      <c r="M1083" s="9">
        <v>45763</v>
      </c>
      <c r="N1083" s="2" t="s">
        <v>1333</v>
      </c>
      <c r="O1083" s="2" t="s">
        <v>59</v>
      </c>
      <c r="P1083" s="2" t="s">
        <v>301</v>
      </c>
      <c r="Q1083" s="2" t="s">
        <v>581</v>
      </c>
      <c r="R1083" s="2" t="s">
        <v>149</v>
      </c>
      <c r="S1083" s="2" t="s">
        <v>436</v>
      </c>
      <c r="T1083" s="10">
        <v>11917</v>
      </c>
      <c r="U1083" s="11">
        <v>1.1780000000000001E-2</v>
      </c>
      <c r="V1083" s="12">
        <f>T1083*U1083</f>
        <v>140.38226</v>
      </c>
      <c r="W1083" s="13">
        <v>0.18</v>
      </c>
      <c r="X1083" s="12">
        <f>V1083-(V1083/(1+W1083))</f>
        <v>21.414243050847446</v>
      </c>
      <c r="Y1083" s="12">
        <f>V1083-X1083</f>
        <v>118.96801694915256</v>
      </c>
      <c r="Z1083" s="14">
        <v>150</v>
      </c>
      <c r="AA1083" s="2" t="str">
        <f>IF(V1083&gt;Z1083,"Yes","No")</f>
        <v>No</v>
      </c>
      <c r="AB1083" s="12">
        <f>V1083-Z1083</f>
        <v>-9.6177399999999977</v>
      </c>
      <c r="AC1083" s="15" t="s">
        <v>130</v>
      </c>
      <c r="AD1083" s="15" t="s">
        <v>130</v>
      </c>
      <c r="AE1083" s="15" t="s">
        <v>260</v>
      </c>
      <c r="AF1083" s="12">
        <f>IF(AG1083="Rejected",0,IF(R1083="Corporate Card",0,V1083))</f>
        <v>140.38226</v>
      </c>
      <c r="AG1083" s="15" t="s">
        <v>133</v>
      </c>
      <c r="AH1083" s="16">
        <v>45773</v>
      </c>
      <c r="AI1083" s="16">
        <v>45775</v>
      </c>
      <c r="AJ1083" s="16">
        <v>45777</v>
      </c>
      <c r="AK1083" s="17">
        <f>IF(AJ1083="","",AJ1083-AH1083)</f>
        <v>4</v>
      </c>
    </row>
    <row r="1084" spans="1:37">
      <c r="A1084" s="2" t="s">
        <v>1495</v>
      </c>
      <c r="B1084" s="2" t="s">
        <v>189</v>
      </c>
      <c r="C1084" s="2" t="s">
        <v>190</v>
      </c>
      <c r="D1084" s="2" t="s">
        <v>171</v>
      </c>
      <c r="E1084" s="2" t="s">
        <v>191</v>
      </c>
      <c r="F1084" s="2" t="s">
        <v>173</v>
      </c>
      <c r="G1084" s="2" t="s">
        <v>1484</v>
      </c>
      <c r="H1084" s="2" t="s">
        <v>291</v>
      </c>
      <c r="I1084" s="2" t="s">
        <v>567</v>
      </c>
      <c r="J1084" s="2" t="s">
        <v>434</v>
      </c>
      <c r="K1084" s="9">
        <v>45762</v>
      </c>
      <c r="L1084" s="9">
        <v>45769</v>
      </c>
      <c r="M1084" s="9">
        <v>45763</v>
      </c>
      <c r="N1084" s="2" t="s">
        <v>1333</v>
      </c>
      <c r="O1084" s="2" t="s">
        <v>53</v>
      </c>
      <c r="P1084" s="2" t="s">
        <v>208</v>
      </c>
      <c r="Q1084" s="2" t="s">
        <v>458</v>
      </c>
      <c r="R1084" s="2" t="s">
        <v>137</v>
      </c>
      <c r="S1084" s="2" t="s">
        <v>436</v>
      </c>
      <c r="T1084" s="10">
        <v>110126</v>
      </c>
      <c r="U1084" s="11">
        <v>1.1780000000000001E-2</v>
      </c>
      <c r="V1084" s="12">
        <f>T1084*U1084</f>
        <v>1297.2842800000001</v>
      </c>
      <c r="W1084" s="13">
        <v>0.18</v>
      </c>
      <c r="X1084" s="12">
        <f>V1084-(V1084/(1+W1084))</f>
        <v>197.8908223728813</v>
      </c>
      <c r="Y1084" s="12">
        <f>V1084-X1084</f>
        <v>1099.3934576271188</v>
      </c>
      <c r="Z1084" s="14">
        <v>1960</v>
      </c>
      <c r="AA1084" s="2" t="str">
        <f>IF(V1084&gt;Z1084,"Yes","No")</f>
        <v>No</v>
      </c>
      <c r="AB1084" s="12">
        <f>V1084-Z1084</f>
        <v>-662.71571999999992</v>
      </c>
      <c r="AC1084" s="15" t="s">
        <v>130</v>
      </c>
      <c r="AD1084" s="15" t="s">
        <v>130</v>
      </c>
      <c r="AE1084" s="15" t="s">
        <v>260</v>
      </c>
      <c r="AF1084" s="12">
        <f>IF(AG1084="Rejected",0,IF(R1084="Corporate Card",0,V1084))</f>
        <v>1297.2842800000001</v>
      </c>
      <c r="AG1084" s="15" t="s">
        <v>133</v>
      </c>
      <c r="AH1084" s="16">
        <v>45773</v>
      </c>
      <c r="AI1084" s="16">
        <v>45775</v>
      </c>
      <c r="AJ1084" s="16">
        <v>45777</v>
      </c>
      <c r="AK1084" s="17">
        <f>IF(AJ1084="","",AJ1084-AH1084)</f>
        <v>4</v>
      </c>
    </row>
    <row r="1085" spans="1:37">
      <c r="A1085" s="2" t="s">
        <v>1496</v>
      </c>
      <c r="B1085" s="2" t="s">
        <v>189</v>
      </c>
      <c r="C1085" s="2" t="s">
        <v>190</v>
      </c>
      <c r="D1085" s="2" t="s">
        <v>171</v>
      </c>
      <c r="E1085" s="2" t="s">
        <v>191</v>
      </c>
      <c r="F1085" s="2" t="s">
        <v>173</v>
      </c>
      <c r="G1085" s="2" t="s">
        <v>1484</v>
      </c>
      <c r="H1085" s="2" t="s">
        <v>291</v>
      </c>
      <c r="I1085" s="2" t="s">
        <v>567</v>
      </c>
      <c r="J1085" s="2" t="s">
        <v>434</v>
      </c>
      <c r="K1085" s="9">
        <v>45762</v>
      </c>
      <c r="L1085" s="9">
        <v>45769</v>
      </c>
      <c r="M1085" s="9">
        <v>45763</v>
      </c>
      <c r="N1085" s="2" t="s">
        <v>1333</v>
      </c>
      <c r="O1085" s="2" t="s">
        <v>54</v>
      </c>
      <c r="P1085" s="2" t="s">
        <v>139</v>
      </c>
      <c r="Q1085" s="2" t="s">
        <v>163</v>
      </c>
      <c r="R1085" s="2" t="s">
        <v>149</v>
      </c>
      <c r="S1085" s="2" t="s">
        <v>436</v>
      </c>
      <c r="T1085" s="10">
        <v>1224</v>
      </c>
      <c r="U1085" s="11">
        <v>1.1780000000000001E-2</v>
      </c>
      <c r="V1085" s="12">
        <f>T1085*U1085</f>
        <v>14.41872</v>
      </c>
      <c r="W1085" s="13">
        <v>0.18</v>
      </c>
      <c r="X1085" s="12">
        <f>V1085-(V1085/(1+W1085))</f>
        <v>2.1994657627118634</v>
      </c>
      <c r="Y1085" s="12">
        <f>V1085-X1085</f>
        <v>12.219254237288137</v>
      </c>
      <c r="Z1085" s="14">
        <v>25</v>
      </c>
      <c r="AA1085" s="2" t="str">
        <f>IF(V1085&gt;Z1085,"Yes","No")</f>
        <v>No</v>
      </c>
      <c r="AB1085" s="12">
        <f>V1085-Z1085</f>
        <v>-10.58128</v>
      </c>
      <c r="AC1085" s="15" t="s">
        <v>130</v>
      </c>
      <c r="AD1085" s="15" t="s">
        <v>130</v>
      </c>
      <c r="AE1085" s="15" t="s">
        <v>260</v>
      </c>
      <c r="AF1085" s="12">
        <f>IF(AG1085="Rejected",0,IF(R1085="Corporate Card",0,V1085))</f>
        <v>14.41872</v>
      </c>
      <c r="AG1085" s="15" t="s">
        <v>133</v>
      </c>
      <c r="AH1085" s="16">
        <v>45773</v>
      </c>
      <c r="AI1085" s="16">
        <v>45775</v>
      </c>
      <c r="AJ1085" s="16">
        <v>45777</v>
      </c>
      <c r="AK1085" s="17">
        <f>IF(AJ1085="","",AJ1085-AH1085)</f>
        <v>4</v>
      </c>
    </row>
    <row r="1086" spans="1:37">
      <c r="A1086" s="2" t="s">
        <v>1497</v>
      </c>
      <c r="B1086" s="2" t="s">
        <v>189</v>
      </c>
      <c r="C1086" s="2" t="s">
        <v>190</v>
      </c>
      <c r="D1086" s="2" t="s">
        <v>171</v>
      </c>
      <c r="E1086" s="2" t="s">
        <v>191</v>
      </c>
      <c r="F1086" s="2" t="s">
        <v>173</v>
      </c>
      <c r="G1086" s="2" t="s">
        <v>1484</v>
      </c>
      <c r="H1086" s="2" t="s">
        <v>291</v>
      </c>
      <c r="I1086" s="2" t="s">
        <v>567</v>
      </c>
      <c r="J1086" s="2" t="s">
        <v>434</v>
      </c>
      <c r="K1086" s="9">
        <v>45762</v>
      </c>
      <c r="L1086" s="9">
        <v>45769</v>
      </c>
      <c r="M1086" s="9">
        <v>45763</v>
      </c>
      <c r="N1086" s="2" t="s">
        <v>1333</v>
      </c>
      <c r="O1086" s="2" t="s">
        <v>56</v>
      </c>
      <c r="P1086" s="2" t="s">
        <v>245</v>
      </c>
      <c r="Q1086" s="2" t="s">
        <v>185</v>
      </c>
      <c r="R1086" s="2" t="s">
        <v>128</v>
      </c>
      <c r="S1086" s="2" t="s">
        <v>436</v>
      </c>
      <c r="T1086" s="10">
        <v>2740</v>
      </c>
      <c r="U1086" s="11">
        <v>1.1780000000000001E-2</v>
      </c>
      <c r="V1086" s="12">
        <f>T1086*U1086</f>
        <v>32.277200000000001</v>
      </c>
      <c r="W1086" s="13">
        <v>0.18</v>
      </c>
      <c r="X1086" s="12">
        <f>V1086-(V1086/(1+W1086))</f>
        <v>4.9236406779661017</v>
      </c>
      <c r="Y1086" s="12">
        <f>V1086-X1086</f>
        <v>27.353559322033899</v>
      </c>
      <c r="Z1086" s="14">
        <v>75</v>
      </c>
      <c r="AA1086" s="2" t="str">
        <f>IF(V1086&gt;Z1086,"Yes","No")</f>
        <v>No</v>
      </c>
      <c r="AB1086" s="12">
        <f>V1086-Z1086</f>
        <v>-42.722799999999999</v>
      </c>
      <c r="AC1086" s="15" t="s">
        <v>130</v>
      </c>
      <c r="AD1086" s="15" t="s">
        <v>130</v>
      </c>
      <c r="AE1086" s="15" t="s">
        <v>260</v>
      </c>
      <c r="AF1086" s="12">
        <f>IF(AG1086="Rejected",0,IF(R1086="Corporate Card",0,V1086))</f>
        <v>0</v>
      </c>
      <c r="AG1086" s="15" t="s">
        <v>133</v>
      </c>
      <c r="AH1086" s="16">
        <v>45773</v>
      </c>
      <c r="AI1086" s="16">
        <v>45775</v>
      </c>
      <c r="AJ1086" s="16">
        <v>45777</v>
      </c>
      <c r="AK1086" s="17">
        <f>IF(AJ1086="","",AJ1086-AH1086)</f>
        <v>4</v>
      </c>
    </row>
    <row r="1087" spans="1:37">
      <c r="A1087" s="2" t="s">
        <v>1498</v>
      </c>
      <c r="B1087" s="2" t="s">
        <v>189</v>
      </c>
      <c r="C1087" s="2" t="s">
        <v>190</v>
      </c>
      <c r="D1087" s="2" t="s">
        <v>171</v>
      </c>
      <c r="E1087" s="2" t="s">
        <v>191</v>
      </c>
      <c r="F1087" s="2" t="s">
        <v>173</v>
      </c>
      <c r="G1087" s="2" t="s">
        <v>1484</v>
      </c>
      <c r="H1087" s="2" t="s">
        <v>291</v>
      </c>
      <c r="I1087" s="2" t="s">
        <v>567</v>
      </c>
      <c r="J1087" s="2" t="s">
        <v>434</v>
      </c>
      <c r="K1087" s="9">
        <v>45762</v>
      </c>
      <c r="L1087" s="9">
        <v>45769</v>
      </c>
      <c r="M1087" s="9">
        <v>45763</v>
      </c>
      <c r="N1087" s="2" t="s">
        <v>1333</v>
      </c>
      <c r="O1087" s="2" t="s">
        <v>55</v>
      </c>
      <c r="P1087" s="2" t="s">
        <v>139</v>
      </c>
      <c r="Q1087" s="2" t="s">
        <v>187</v>
      </c>
      <c r="R1087" s="2" t="s">
        <v>128</v>
      </c>
      <c r="S1087" s="2" t="s">
        <v>436</v>
      </c>
      <c r="T1087" s="10">
        <v>4447</v>
      </c>
      <c r="U1087" s="11">
        <v>1.1780000000000001E-2</v>
      </c>
      <c r="V1087" s="12">
        <f>T1087*U1087</f>
        <v>52.385660000000001</v>
      </c>
      <c r="W1087" s="13">
        <v>0.18</v>
      </c>
      <c r="X1087" s="12">
        <f>V1087-(V1087/(1+W1087))</f>
        <v>7.9910328813559275</v>
      </c>
      <c r="Y1087" s="12">
        <f>V1087-X1087</f>
        <v>44.394627118644074</v>
      </c>
      <c r="Z1087" s="14">
        <v>35</v>
      </c>
      <c r="AA1087" s="2" t="str">
        <f>IF(V1087&gt;Z1087,"Yes","No")</f>
        <v>Yes</v>
      </c>
      <c r="AB1087" s="12">
        <f>V1087-Z1087</f>
        <v>17.385660000000001</v>
      </c>
      <c r="AC1087" s="15" t="s">
        <v>130</v>
      </c>
      <c r="AD1087" s="15" t="s">
        <v>130</v>
      </c>
      <c r="AE1087" s="15" t="s">
        <v>260</v>
      </c>
      <c r="AF1087" s="12">
        <f>IF(AG1087="Rejected",0,IF(R1087="Corporate Card",0,V1087))</f>
        <v>0</v>
      </c>
      <c r="AG1087" s="15" t="s">
        <v>133</v>
      </c>
      <c r="AH1087" s="16">
        <v>45773</v>
      </c>
      <c r="AI1087" s="16">
        <v>45775</v>
      </c>
      <c r="AJ1087" s="16">
        <v>45777</v>
      </c>
      <c r="AK1087" s="17">
        <f>IF(AJ1087="","",AJ1087-AH1087)</f>
        <v>4</v>
      </c>
    </row>
    <row r="1088" spans="1:37">
      <c r="A1088" s="2" t="s">
        <v>1499</v>
      </c>
      <c r="B1088" s="2" t="s">
        <v>1235</v>
      </c>
      <c r="C1088" s="2" t="s">
        <v>867</v>
      </c>
      <c r="D1088" s="2" t="s">
        <v>865</v>
      </c>
      <c r="E1088" s="2" t="s">
        <v>1236</v>
      </c>
      <c r="F1088" s="2" t="s">
        <v>313</v>
      </c>
      <c r="G1088" s="2" t="s">
        <v>1490</v>
      </c>
      <c r="H1088" s="2" t="s">
        <v>803</v>
      </c>
      <c r="I1088" s="2" t="s">
        <v>433</v>
      </c>
      <c r="J1088" s="2" t="s">
        <v>434</v>
      </c>
      <c r="K1088" s="9">
        <v>45763</v>
      </c>
      <c r="L1088" s="9">
        <v>45770</v>
      </c>
      <c r="M1088" s="9">
        <v>45764</v>
      </c>
      <c r="N1088" s="2" t="s">
        <v>1333</v>
      </c>
      <c r="O1088" s="2" t="s">
        <v>58</v>
      </c>
      <c r="P1088" s="2" t="s">
        <v>142</v>
      </c>
      <c r="Q1088" s="2" t="s">
        <v>296</v>
      </c>
      <c r="R1088" s="2" t="s">
        <v>128</v>
      </c>
      <c r="S1088" s="2" t="s">
        <v>436</v>
      </c>
      <c r="T1088" s="10">
        <v>4876</v>
      </c>
      <c r="U1088" s="11">
        <v>1.1780000000000001E-2</v>
      </c>
      <c r="V1088" s="12">
        <f>T1088*U1088</f>
        <v>57.439280000000004</v>
      </c>
      <c r="W1088" s="13">
        <v>0.18</v>
      </c>
      <c r="X1088" s="12">
        <f>V1088-(V1088/(1+W1088))</f>
        <v>8.7619240677966062</v>
      </c>
      <c r="Y1088" s="12">
        <f>V1088-X1088</f>
        <v>48.677355932203398</v>
      </c>
      <c r="Z1088" s="14">
        <v>60</v>
      </c>
      <c r="AA1088" s="2" t="str">
        <f>IF(V1088&gt;Z1088,"Yes","No")</f>
        <v>No</v>
      </c>
      <c r="AB1088" s="12">
        <f>V1088-Z1088</f>
        <v>-2.5607199999999963</v>
      </c>
      <c r="AC1088" s="15" t="s">
        <v>130</v>
      </c>
      <c r="AD1088" s="15" t="s">
        <v>130</v>
      </c>
      <c r="AE1088" s="15" t="s">
        <v>514</v>
      </c>
      <c r="AF1088" s="12">
        <f>IF(AG1088="Rejected",0,IF(R1088="Corporate Card",0,V1088))</f>
        <v>0</v>
      </c>
      <c r="AG1088" s="15" t="s">
        <v>804</v>
      </c>
      <c r="AH1088" s="16">
        <v>45773</v>
      </c>
      <c r="AI1088" s="16"/>
      <c r="AJ1088" s="16"/>
      <c r="AK1088" s="17" t="str">
        <f>IF(AJ1088="","",AJ1088-AH1088)</f>
        <v/>
      </c>
    </row>
    <row r="1089" spans="1:37">
      <c r="A1089" s="2" t="s">
        <v>1500</v>
      </c>
      <c r="B1089" s="2" t="s">
        <v>1235</v>
      </c>
      <c r="C1089" s="2" t="s">
        <v>867</v>
      </c>
      <c r="D1089" s="2" t="s">
        <v>865</v>
      </c>
      <c r="E1089" s="2" t="s">
        <v>1236</v>
      </c>
      <c r="F1089" s="2" t="s">
        <v>313</v>
      </c>
      <c r="G1089" s="2" t="s">
        <v>1490</v>
      </c>
      <c r="H1089" s="2" t="s">
        <v>803</v>
      </c>
      <c r="I1089" s="2" t="s">
        <v>433</v>
      </c>
      <c r="J1089" s="2" t="s">
        <v>434</v>
      </c>
      <c r="K1089" s="9">
        <v>45763</v>
      </c>
      <c r="L1089" s="9">
        <v>45770</v>
      </c>
      <c r="M1089" s="9">
        <v>45764</v>
      </c>
      <c r="N1089" s="2" t="s">
        <v>1333</v>
      </c>
      <c r="O1089" s="2" t="s">
        <v>53</v>
      </c>
      <c r="P1089" s="2" t="s">
        <v>208</v>
      </c>
      <c r="Q1089" s="2" t="s">
        <v>468</v>
      </c>
      <c r="R1089" s="2" t="s">
        <v>128</v>
      </c>
      <c r="S1089" s="2" t="s">
        <v>436</v>
      </c>
      <c r="T1089" s="10">
        <v>122254</v>
      </c>
      <c r="U1089" s="11">
        <v>1.1780000000000001E-2</v>
      </c>
      <c r="V1089" s="12">
        <f>T1089*U1089</f>
        <v>1440.15212</v>
      </c>
      <c r="W1089" s="13">
        <v>0.18</v>
      </c>
      <c r="X1089" s="12">
        <f>V1089-(V1089/(1+W1089))</f>
        <v>219.6842216949151</v>
      </c>
      <c r="Y1089" s="12">
        <f>V1089-X1089</f>
        <v>1220.4678983050849</v>
      </c>
      <c r="Z1089" s="14">
        <v>1960</v>
      </c>
      <c r="AA1089" s="2" t="str">
        <f>IF(V1089&gt;Z1089,"Yes","No")</f>
        <v>No</v>
      </c>
      <c r="AB1089" s="12">
        <f>V1089-Z1089</f>
        <v>-519.84788000000003</v>
      </c>
      <c r="AC1089" s="15" t="s">
        <v>130</v>
      </c>
      <c r="AD1089" s="15" t="s">
        <v>130</v>
      </c>
      <c r="AE1089" s="15" t="s">
        <v>514</v>
      </c>
      <c r="AF1089" s="12">
        <f>IF(AG1089="Rejected",0,IF(R1089="Corporate Card",0,V1089))</f>
        <v>0</v>
      </c>
      <c r="AG1089" s="15" t="s">
        <v>804</v>
      </c>
      <c r="AH1089" s="16">
        <v>45773</v>
      </c>
      <c r="AI1089" s="16"/>
      <c r="AJ1089" s="16"/>
      <c r="AK1089" s="17" t="str">
        <f>IF(AJ1089="","",AJ1089-AH1089)</f>
        <v/>
      </c>
    </row>
    <row r="1090" spans="1:37">
      <c r="A1090" s="2" t="s">
        <v>1501</v>
      </c>
      <c r="B1090" s="2" t="s">
        <v>1235</v>
      </c>
      <c r="C1090" s="2" t="s">
        <v>867</v>
      </c>
      <c r="D1090" s="2" t="s">
        <v>865</v>
      </c>
      <c r="E1090" s="2" t="s">
        <v>1236</v>
      </c>
      <c r="F1090" s="2" t="s">
        <v>313</v>
      </c>
      <c r="G1090" s="2" t="s">
        <v>1490</v>
      </c>
      <c r="H1090" s="2" t="s">
        <v>803</v>
      </c>
      <c r="I1090" s="2" t="s">
        <v>433</v>
      </c>
      <c r="J1090" s="2" t="s">
        <v>434</v>
      </c>
      <c r="K1090" s="9">
        <v>45763</v>
      </c>
      <c r="L1090" s="9">
        <v>45770</v>
      </c>
      <c r="M1090" s="9">
        <v>45764</v>
      </c>
      <c r="N1090" s="2" t="s">
        <v>1333</v>
      </c>
      <c r="O1090" s="2" t="s">
        <v>65</v>
      </c>
      <c r="P1090" s="2" t="s">
        <v>211</v>
      </c>
      <c r="Q1090" s="2" t="s">
        <v>460</v>
      </c>
      <c r="R1090" s="2" t="s">
        <v>128</v>
      </c>
      <c r="S1090" s="2" t="s">
        <v>436</v>
      </c>
      <c r="T1090" s="10">
        <v>2478</v>
      </c>
      <c r="U1090" s="11">
        <v>1.1780000000000001E-2</v>
      </c>
      <c r="V1090" s="12">
        <f>T1090*U1090</f>
        <v>29.190840000000001</v>
      </c>
      <c r="W1090" s="13">
        <v>0.18</v>
      </c>
      <c r="X1090" s="12">
        <f>V1090-(V1090/(1+W1090))</f>
        <v>4.4528399999999984</v>
      </c>
      <c r="Y1090" s="12">
        <f>V1090-X1090</f>
        <v>24.738000000000003</v>
      </c>
      <c r="Z1090" s="14">
        <v>55</v>
      </c>
      <c r="AA1090" s="2" t="str">
        <f>IF(V1090&gt;Z1090,"Yes","No")</f>
        <v>No</v>
      </c>
      <c r="AB1090" s="12">
        <f>V1090-Z1090</f>
        <v>-25.809159999999999</v>
      </c>
      <c r="AC1090" s="15" t="s">
        <v>130</v>
      </c>
      <c r="AD1090" s="15" t="s">
        <v>130</v>
      </c>
      <c r="AE1090" s="15" t="s">
        <v>514</v>
      </c>
      <c r="AF1090" s="12">
        <f>IF(AG1090="Rejected",0,IF(R1090="Corporate Card",0,V1090))</f>
        <v>0</v>
      </c>
      <c r="AG1090" s="15" t="s">
        <v>804</v>
      </c>
      <c r="AH1090" s="16">
        <v>45773</v>
      </c>
      <c r="AI1090" s="16"/>
      <c r="AJ1090" s="16"/>
      <c r="AK1090" s="17" t="str">
        <f>IF(AJ1090="","",AJ1090-AH1090)</f>
        <v/>
      </c>
    </row>
    <row r="1091" spans="1:37">
      <c r="A1091" s="2" t="s">
        <v>1502</v>
      </c>
      <c r="B1091" s="2" t="s">
        <v>1235</v>
      </c>
      <c r="C1091" s="2" t="s">
        <v>867</v>
      </c>
      <c r="D1091" s="2" t="s">
        <v>865</v>
      </c>
      <c r="E1091" s="2" t="s">
        <v>1236</v>
      </c>
      <c r="F1091" s="2" t="s">
        <v>313</v>
      </c>
      <c r="G1091" s="2" t="s">
        <v>1490</v>
      </c>
      <c r="H1091" s="2" t="s">
        <v>803</v>
      </c>
      <c r="I1091" s="2" t="s">
        <v>433</v>
      </c>
      <c r="J1091" s="2" t="s">
        <v>434</v>
      </c>
      <c r="K1091" s="9">
        <v>45763</v>
      </c>
      <c r="L1091" s="9">
        <v>45770</v>
      </c>
      <c r="M1091" s="9">
        <v>45764</v>
      </c>
      <c r="N1091" s="2" t="s">
        <v>1333</v>
      </c>
      <c r="O1091" s="2" t="s">
        <v>54</v>
      </c>
      <c r="P1091" s="2" t="s">
        <v>139</v>
      </c>
      <c r="Q1091" s="2" t="s">
        <v>140</v>
      </c>
      <c r="R1091" s="2" t="s">
        <v>128</v>
      </c>
      <c r="S1091" s="2" t="s">
        <v>436</v>
      </c>
      <c r="T1091" s="10">
        <v>1650</v>
      </c>
      <c r="U1091" s="11">
        <v>1.1780000000000001E-2</v>
      </c>
      <c r="V1091" s="12">
        <f>T1091*U1091</f>
        <v>19.437000000000001</v>
      </c>
      <c r="W1091" s="13">
        <v>0.18</v>
      </c>
      <c r="X1091" s="12">
        <f>V1091-(V1091/(1+W1091))</f>
        <v>2.964966101694916</v>
      </c>
      <c r="Y1091" s="12">
        <f>V1091-X1091</f>
        <v>16.472033898305085</v>
      </c>
      <c r="Z1091" s="14">
        <v>25</v>
      </c>
      <c r="AA1091" s="2" t="str">
        <f>IF(V1091&gt;Z1091,"Yes","No")</f>
        <v>No</v>
      </c>
      <c r="AB1091" s="12">
        <f>V1091-Z1091</f>
        <v>-5.5629999999999988</v>
      </c>
      <c r="AC1091" s="15" t="s">
        <v>130</v>
      </c>
      <c r="AD1091" s="15" t="s">
        <v>130</v>
      </c>
      <c r="AE1091" s="15" t="s">
        <v>514</v>
      </c>
      <c r="AF1091" s="12">
        <f>IF(AG1091="Rejected",0,IF(R1091="Corporate Card",0,V1091))</f>
        <v>0</v>
      </c>
      <c r="AG1091" s="15" t="s">
        <v>804</v>
      </c>
      <c r="AH1091" s="16">
        <v>45773</v>
      </c>
      <c r="AI1091" s="16"/>
      <c r="AJ1091" s="16"/>
      <c r="AK1091" s="17" t="str">
        <f>IF(AJ1091="","",AJ1091-AH1091)</f>
        <v/>
      </c>
    </row>
    <row r="1092" spans="1:37">
      <c r="A1092" s="2" t="s">
        <v>1503</v>
      </c>
      <c r="B1092" s="2" t="s">
        <v>1235</v>
      </c>
      <c r="C1092" s="2" t="s">
        <v>867</v>
      </c>
      <c r="D1092" s="2" t="s">
        <v>865</v>
      </c>
      <c r="E1092" s="2" t="s">
        <v>1236</v>
      </c>
      <c r="F1092" s="2" t="s">
        <v>313</v>
      </c>
      <c r="G1092" s="2" t="s">
        <v>1490</v>
      </c>
      <c r="H1092" s="2" t="s">
        <v>803</v>
      </c>
      <c r="I1092" s="2" t="s">
        <v>433</v>
      </c>
      <c r="J1092" s="2" t="s">
        <v>434</v>
      </c>
      <c r="K1092" s="9">
        <v>45763</v>
      </c>
      <c r="L1092" s="9">
        <v>45770</v>
      </c>
      <c r="M1092" s="9">
        <v>45764</v>
      </c>
      <c r="N1092" s="2" t="s">
        <v>1333</v>
      </c>
      <c r="O1092" s="2" t="s">
        <v>56</v>
      </c>
      <c r="P1092" s="2" t="s">
        <v>151</v>
      </c>
      <c r="Q1092" s="2" t="s">
        <v>185</v>
      </c>
      <c r="R1092" s="2" t="s">
        <v>149</v>
      </c>
      <c r="S1092" s="2" t="s">
        <v>436</v>
      </c>
      <c r="T1092" s="10">
        <v>5218</v>
      </c>
      <c r="U1092" s="11">
        <v>1.1780000000000001E-2</v>
      </c>
      <c r="V1092" s="12">
        <f>T1092*U1092</f>
        <v>61.468040000000002</v>
      </c>
      <c r="W1092" s="13">
        <v>0.18</v>
      </c>
      <c r="X1092" s="12">
        <f>V1092-(V1092/(1+W1092))</f>
        <v>9.3764806779661001</v>
      </c>
      <c r="Y1092" s="12">
        <f>V1092-X1092</f>
        <v>52.091559322033902</v>
      </c>
      <c r="Z1092" s="14">
        <v>75</v>
      </c>
      <c r="AA1092" s="2" t="str">
        <f>IF(V1092&gt;Z1092,"Yes","No")</f>
        <v>No</v>
      </c>
      <c r="AB1092" s="12">
        <f>V1092-Z1092</f>
        <v>-13.531959999999998</v>
      </c>
      <c r="AC1092" s="15" t="s">
        <v>131</v>
      </c>
      <c r="AD1092" s="15" t="s">
        <v>130</v>
      </c>
      <c r="AE1092" s="15" t="s">
        <v>514</v>
      </c>
      <c r="AF1092" s="12">
        <f>IF(AG1092="Rejected",0,IF(R1092="Corporate Card",0,V1092))</f>
        <v>0</v>
      </c>
      <c r="AG1092" s="15" t="s">
        <v>804</v>
      </c>
      <c r="AH1092" s="16">
        <v>45773</v>
      </c>
      <c r="AI1092" s="16"/>
      <c r="AJ1092" s="16"/>
      <c r="AK1092" s="17" t="str">
        <f>IF(AJ1092="","",AJ1092-AH1092)</f>
        <v/>
      </c>
    </row>
    <row r="1093" spans="1:37">
      <c r="A1093" s="2" t="s">
        <v>1504</v>
      </c>
      <c r="B1093" s="2" t="s">
        <v>1235</v>
      </c>
      <c r="C1093" s="2" t="s">
        <v>867</v>
      </c>
      <c r="D1093" s="2" t="s">
        <v>865</v>
      </c>
      <c r="E1093" s="2" t="s">
        <v>1236</v>
      </c>
      <c r="F1093" s="2" t="s">
        <v>313</v>
      </c>
      <c r="G1093" s="2" t="s">
        <v>1490</v>
      </c>
      <c r="H1093" s="2" t="s">
        <v>803</v>
      </c>
      <c r="I1093" s="2" t="s">
        <v>433</v>
      </c>
      <c r="J1093" s="2" t="s">
        <v>434</v>
      </c>
      <c r="K1093" s="9">
        <v>45763</v>
      </c>
      <c r="L1093" s="9">
        <v>45770</v>
      </c>
      <c r="M1093" s="9">
        <v>45764</v>
      </c>
      <c r="N1093" s="2" t="s">
        <v>1333</v>
      </c>
      <c r="O1093" s="2" t="s">
        <v>55</v>
      </c>
      <c r="P1093" s="2" t="s">
        <v>139</v>
      </c>
      <c r="Q1093" s="2" t="s">
        <v>217</v>
      </c>
      <c r="R1093" s="2" t="s">
        <v>128</v>
      </c>
      <c r="S1093" s="2" t="s">
        <v>436</v>
      </c>
      <c r="T1093" s="10">
        <v>1567</v>
      </c>
      <c r="U1093" s="11">
        <v>1.1780000000000001E-2</v>
      </c>
      <c r="V1093" s="12">
        <f>T1093*U1093</f>
        <v>18.45926</v>
      </c>
      <c r="W1093" s="13">
        <v>0.18</v>
      </c>
      <c r="X1093" s="12">
        <f>V1093-(V1093/(1+W1093))</f>
        <v>2.8158193220338976</v>
      </c>
      <c r="Y1093" s="12">
        <f>V1093-X1093</f>
        <v>15.643440677966103</v>
      </c>
      <c r="Z1093" s="14">
        <v>35</v>
      </c>
      <c r="AA1093" s="2" t="str">
        <f>IF(V1093&gt;Z1093,"Yes","No")</f>
        <v>No</v>
      </c>
      <c r="AB1093" s="12">
        <f>V1093-Z1093</f>
        <v>-16.54074</v>
      </c>
      <c r="AC1093" s="15" t="s">
        <v>130</v>
      </c>
      <c r="AD1093" s="15" t="s">
        <v>130</v>
      </c>
      <c r="AE1093" s="15" t="s">
        <v>514</v>
      </c>
      <c r="AF1093" s="12">
        <f>IF(AG1093="Rejected",0,IF(R1093="Corporate Card",0,V1093))</f>
        <v>0</v>
      </c>
      <c r="AG1093" s="15" t="s">
        <v>804</v>
      </c>
      <c r="AH1093" s="16">
        <v>45773</v>
      </c>
      <c r="AI1093" s="16"/>
      <c r="AJ1093" s="16"/>
      <c r="AK1093" s="17" t="str">
        <f>IF(AJ1093="","",AJ1093-AH1093)</f>
        <v/>
      </c>
    </row>
    <row r="1094" spans="1:37">
      <c r="A1094" s="2" t="s">
        <v>1505</v>
      </c>
      <c r="B1094" s="2" t="s">
        <v>189</v>
      </c>
      <c r="C1094" s="2" t="s">
        <v>190</v>
      </c>
      <c r="D1094" s="2" t="s">
        <v>171</v>
      </c>
      <c r="E1094" s="2" t="s">
        <v>191</v>
      </c>
      <c r="F1094" s="2" t="s">
        <v>173</v>
      </c>
      <c r="G1094" s="2" t="s">
        <v>1484</v>
      </c>
      <c r="H1094" s="2" t="s">
        <v>291</v>
      </c>
      <c r="I1094" s="2" t="s">
        <v>567</v>
      </c>
      <c r="J1094" s="2" t="s">
        <v>434</v>
      </c>
      <c r="K1094" s="9">
        <v>45762</v>
      </c>
      <c r="L1094" s="9">
        <v>45769</v>
      </c>
      <c r="M1094" s="9">
        <v>45764</v>
      </c>
      <c r="N1094" s="2" t="s">
        <v>1333</v>
      </c>
      <c r="O1094" s="2" t="s">
        <v>58</v>
      </c>
      <c r="P1094" s="2" t="s">
        <v>142</v>
      </c>
      <c r="Q1094" s="2" t="s">
        <v>224</v>
      </c>
      <c r="R1094" s="2" t="s">
        <v>128</v>
      </c>
      <c r="S1094" s="2" t="s">
        <v>436</v>
      </c>
      <c r="T1094" s="10">
        <v>1902</v>
      </c>
      <c r="U1094" s="11">
        <v>1.1780000000000001E-2</v>
      </c>
      <c r="V1094" s="12">
        <f>T1094*U1094</f>
        <v>22.405560000000001</v>
      </c>
      <c r="W1094" s="13">
        <v>0.18</v>
      </c>
      <c r="X1094" s="12">
        <f>V1094-(V1094/(1+W1094))</f>
        <v>3.417797288135592</v>
      </c>
      <c r="Y1094" s="12">
        <f>V1094-X1094</f>
        <v>18.987762711864409</v>
      </c>
      <c r="Z1094" s="14">
        <v>60</v>
      </c>
      <c r="AA1094" s="2" t="str">
        <f>IF(V1094&gt;Z1094,"Yes","No")</f>
        <v>No</v>
      </c>
      <c r="AB1094" s="12">
        <f>V1094-Z1094</f>
        <v>-37.594439999999999</v>
      </c>
      <c r="AC1094" s="15" t="s">
        <v>130</v>
      </c>
      <c r="AD1094" s="15" t="s">
        <v>130</v>
      </c>
      <c r="AE1094" s="15" t="s">
        <v>260</v>
      </c>
      <c r="AF1094" s="12">
        <f>IF(AG1094="Rejected",0,IF(R1094="Corporate Card",0,V1094))</f>
        <v>0</v>
      </c>
      <c r="AG1094" s="15" t="s">
        <v>133</v>
      </c>
      <c r="AH1094" s="16">
        <v>45773</v>
      </c>
      <c r="AI1094" s="16">
        <v>45775</v>
      </c>
      <c r="AJ1094" s="16">
        <v>45777</v>
      </c>
      <c r="AK1094" s="17">
        <f>IF(AJ1094="","",AJ1094-AH1094)</f>
        <v>4</v>
      </c>
    </row>
    <row r="1095" spans="1:37">
      <c r="A1095" s="2" t="s">
        <v>1506</v>
      </c>
      <c r="B1095" s="2" t="s">
        <v>189</v>
      </c>
      <c r="C1095" s="2" t="s">
        <v>190</v>
      </c>
      <c r="D1095" s="2" t="s">
        <v>171</v>
      </c>
      <c r="E1095" s="2" t="s">
        <v>191</v>
      </c>
      <c r="F1095" s="2" t="s">
        <v>173</v>
      </c>
      <c r="G1095" s="2" t="s">
        <v>1484</v>
      </c>
      <c r="H1095" s="2" t="s">
        <v>291</v>
      </c>
      <c r="I1095" s="2" t="s">
        <v>567</v>
      </c>
      <c r="J1095" s="2" t="s">
        <v>434</v>
      </c>
      <c r="K1095" s="9">
        <v>45762</v>
      </c>
      <c r="L1095" s="9">
        <v>45769</v>
      </c>
      <c r="M1095" s="9">
        <v>45764</v>
      </c>
      <c r="N1095" s="2" t="s">
        <v>1333</v>
      </c>
      <c r="O1095" s="2" t="s">
        <v>54</v>
      </c>
      <c r="P1095" s="2" t="s">
        <v>139</v>
      </c>
      <c r="Q1095" s="2" t="s">
        <v>163</v>
      </c>
      <c r="R1095" s="2" t="s">
        <v>128</v>
      </c>
      <c r="S1095" s="2" t="s">
        <v>436</v>
      </c>
      <c r="T1095" s="10">
        <v>1838</v>
      </c>
      <c r="U1095" s="11">
        <v>1.1780000000000001E-2</v>
      </c>
      <c r="V1095" s="12">
        <f>T1095*U1095</f>
        <v>21.65164</v>
      </c>
      <c r="W1095" s="13">
        <v>0.18</v>
      </c>
      <c r="X1095" s="12">
        <f>V1095-(V1095/(1+W1095))</f>
        <v>3.302792542372881</v>
      </c>
      <c r="Y1095" s="12">
        <f>V1095-X1095</f>
        <v>18.348847457627119</v>
      </c>
      <c r="Z1095" s="14">
        <v>25</v>
      </c>
      <c r="AA1095" s="2" t="str">
        <f>IF(V1095&gt;Z1095,"Yes","No")</f>
        <v>No</v>
      </c>
      <c r="AB1095" s="12">
        <f>V1095-Z1095</f>
        <v>-3.3483599999999996</v>
      </c>
      <c r="AC1095" s="15" t="s">
        <v>130</v>
      </c>
      <c r="AD1095" s="15" t="s">
        <v>130</v>
      </c>
      <c r="AE1095" s="15" t="s">
        <v>260</v>
      </c>
      <c r="AF1095" s="12">
        <f>IF(AG1095="Rejected",0,IF(R1095="Corporate Card",0,V1095))</f>
        <v>0</v>
      </c>
      <c r="AG1095" s="15" t="s">
        <v>133</v>
      </c>
      <c r="AH1095" s="16">
        <v>45773</v>
      </c>
      <c r="AI1095" s="16">
        <v>45775</v>
      </c>
      <c r="AJ1095" s="16">
        <v>45777</v>
      </c>
      <c r="AK1095" s="17">
        <f>IF(AJ1095="","",AJ1095-AH1095)</f>
        <v>4</v>
      </c>
    </row>
    <row r="1096" spans="1:37">
      <c r="A1096" s="2" t="s">
        <v>1507</v>
      </c>
      <c r="B1096" s="2" t="s">
        <v>189</v>
      </c>
      <c r="C1096" s="2" t="s">
        <v>190</v>
      </c>
      <c r="D1096" s="2" t="s">
        <v>171</v>
      </c>
      <c r="E1096" s="2" t="s">
        <v>191</v>
      </c>
      <c r="F1096" s="2" t="s">
        <v>173</v>
      </c>
      <c r="G1096" s="2" t="s">
        <v>1484</v>
      </c>
      <c r="H1096" s="2" t="s">
        <v>291</v>
      </c>
      <c r="I1096" s="2" t="s">
        <v>567</v>
      </c>
      <c r="J1096" s="2" t="s">
        <v>434</v>
      </c>
      <c r="K1096" s="9">
        <v>45762</v>
      </c>
      <c r="L1096" s="9">
        <v>45769</v>
      </c>
      <c r="M1096" s="9">
        <v>45764</v>
      </c>
      <c r="N1096" s="2" t="s">
        <v>1333</v>
      </c>
      <c r="O1096" s="2" t="s">
        <v>56</v>
      </c>
      <c r="P1096" s="2" t="s">
        <v>245</v>
      </c>
      <c r="Q1096" s="2" t="s">
        <v>185</v>
      </c>
      <c r="R1096" s="2" t="s">
        <v>128</v>
      </c>
      <c r="S1096" s="2" t="s">
        <v>436</v>
      </c>
      <c r="T1096" s="10">
        <v>4445</v>
      </c>
      <c r="U1096" s="11">
        <v>1.1780000000000001E-2</v>
      </c>
      <c r="V1096" s="12">
        <f>T1096*U1096</f>
        <v>52.362100000000005</v>
      </c>
      <c r="W1096" s="13">
        <v>0.18</v>
      </c>
      <c r="X1096" s="12">
        <f>V1096-(V1096/(1+W1096))</f>
        <v>7.9874389830508434</v>
      </c>
      <c r="Y1096" s="12">
        <f>V1096-X1096</f>
        <v>44.374661016949162</v>
      </c>
      <c r="Z1096" s="14">
        <v>75</v>
      </c>
      <c r="AA1096" s="2" t="str">
        <f>IF(V1096&gt;Z1096,"Yes","No")</f>
        <v>No</v>
      </c>
      <c r="AB1096" s="12">
        <f>V1096-Z1096</f>
        <v>-22.637899999999995</v>
      </c>
      <c r="AC1096" s="15" t="s">
        <v>130</v>
      </c>
      <c r="AD1096" s="15" t="s">
        <v>130</v>
      </c>
      <c r="AE1096" s="15" t="s">
        <v>260</v>
      </c>
      <c r="AF1096" s="12">
        <f>IF(AG1096="Rejected",0,IF(R1096="Corporate Card",0,V1096))</f>
        <v>0</v>
      </c>
      <c r="AG1096" s="15" t="s">
        <v>133</v>
      </c>
      <c r="AH1096" s="16">
        <v>45773</v>
      </c>
      <c r="AI1096" s="16">
        <v>45775</v>
      </c>
      <c r="AJ1096" s="16">
        <v>45777</v>
      </c>
      <c r="AK1096" s="17">
        <f>IF(AJ1096="","",AJ1096-AH1096)</f>
        <v>4</v>
      </c>
    </row>
    <row r="1097" spans="1:37">
      <c r="A1097" s="2" t="s">
        <v>1508</v>
      </c>
      <c r="B1097" s="2" t="s">
        <v>189</v>
      </c>
      <c r="C1097" s="2" t="s">
        <v>190</v>
      </c>
      <c r="D1097" s="2" t="s">
        <v>171</v>
      </c>
      <c r="E1097" s="2" t="s">
        <v>191</v>
      </c>
      <c r="F1097" s="2" t="s">
        <v>173</v>
      </c>
      <c r="G1097" s="2" t="s">
        <v>1484</v>
      </c>
      <c r="H1097" s="2" t="s">
        <v>291</v>
      </c>
      <c r="I1097" s="2" t="s">
        <v>567</v>
      </c>
      <c r="J1097" s="2" t="s">
        <v>434</v>
      </c>
      <c r="K1097" s="9">
        <v>45762</v>
      </c>
      <c r="L1097" s="9">
        <v>45769</v>
      </c>
      <c r="M1097" s="9">
        <v>45764</v>
      </c>
      <c r="N1097" s="2" t="s">
        <v>1333</v>
      </c>
      <c r="O1097" s="2" t="s">
        <v>55</v>
      </c>
      <c r="P1097" s="2" t="s">
        <v>139</v>
      </c>
      <c r="Q1097" s="2" t="s">
        <v>217</v>
      </c>
      <c r="R1097" s="2" t="s">
        <v>128</v>
      </c>
      <c r="S1097" s="2" t="s">
        <v>436</v>
      </c>
      <c r="T1097" s="10">
        <v>2773</v>
      </c>
      <c r="U1097" s="11">
        <v>1.1780000000000001E-2</v>
      </c>
      <c r="V1097" s="12">
        <f>T1097*U1097</f>
        <v>32.665939999999999</v>
      </c>
      <c r="W1097" s="13">
        <v>0.18</v>
      </c>
      <c r="X1097" s="12">
        <f>V1097-(V1097/(1+W1097))</f>
        <v>4.9829399999999993</v>
      </c>
      <c r="Y1097" s="12">
        <f>V1097-X1097</f>
        <v>27.683</v>
      </c>
      <c r="Z1097" s="14">
        <v>35</v>
      </c>
      <c r="AA1097" s="2" t="str">
        <f>IF(V1097&gt;Z1097,"Yes","No")</f>
        <v>No</v>
      </c>
      <c r="AB1097" s="12">
        <f>V1097-Z1097</f>
        <v>-2.3340600000000009</v>
      </c>
      <c r="AC1097" s="15" t="s">
        <v>130</v>
      </c>
      <c r="AD1097" s="15" t="s">
        <v>130</v>
      </c>
      <c r="AE1097" s="15" t="s">
        <v>260</v>
      </c>
      <c r="AF1097" s="12">
        <f>IF(AG1097="Rejected",0,IF(R1097="Corporate Card",0,V1097))</f>
        <v>0</v>
      </c>
      <c r="AG1097" s="15" t="s">
        <v>133</v>
      </c>
      <c r="AH1097" s="16">
        <v>45773</v>
      </c>
      <c r="AI1097" s="16">
        <v>45775</v>
      </c>
      <c r="AJ1097" s="16">
        <v>45777</v>
      </c>
      <c r="AK1097" s="17">
        <f>IF(AJ1097="","",AJ1097-AH1097)</f>
        <v>4</v>
      </c>
    </row>
    <row r="1098" spans="1:37">
      <c r="A1098" s="2" t="s">
        <v>1509</v>
      </c>
      <c r="B1098" s="2" t="s">
        <v>1235</v>
      </c>
      <c r="C1098" s="2" t="s">
        <v>867</v>
      </c>
      <c r="D1098" s="2" t="s">
        <v>865</v>
      </c>
      <c r="E1098" s="2" t="s">
        <v>1236</v>
      </c>
      <c r="F1098" s="2" t="s">
        <v>313</v>
      </c>
      <c r="G1098" s="2" t="s">
        <v>1490</v>
      </c>
      <c r="H1098" s="2" t="s">
        <v>803</v>
      </c>
      <c r="I1098" s="2" t="s">
        <v>433</v>
      </c>
      <c r="J1098" s="2" t="s">
        <v>434</v>
      </c>
      <c r="K1098" s="9">
        <v>45763</v>
      </c>
      <c r="L1098" s="9">
        <v>45770</v>
      </c>
      <c r="M1098" s="9">
        <v>45765</v>
      </c>
      <c r="N1098" s="2" t="s">
        <v>1333</v>
      </c>
      <c r="O1098" s="2" t="s">
        <v>58</v>
      </c>
      <c r="P1098" s="2" t="s">
        <v>142</v>
      </c>
      <c r="Q1098" s="2" t="s">
        <v>296</v>
      </c>
      <c r="R1098" s="2" t="s">
        <v>137</v>
      </c>
      <c r="S1098" s="2" t="s">
        <v>436</v>
      </c>
      <c r="T1098" s="10">
        <v>3225</v>
      </c>
      <c r="U1098" s="11">
        <v>1.1780000000000001E-2</v>
      </c>
      <c r="V1098" s="12">
        <f>T1098*U1098</f>
        <v>37.990500000000004</v>
      </c>
      <c r="W1098" s="13">
        <v>0.18</v>
      </c>
      <c r="X1098" s="12">
        <f>V1098-(V1098/(1+W1098))</f>
        <v>5.7951610169491516</v>
      </c>
      <c r="Y1098" s="12">
        <f>V1098-X1098</f>
        <v>32.195338983050853</v>
      </c>
      <c r="Z1098" s="14">
        <v>60</v>
      </c>
      <c r="AA1098" s="2" t="str">
        <f>IF(V1098&gt;Z1098,"Yes","No")</f>
        <v>No</v>
      </c>
      <c r="AB1098" s="12">
        <f>V1098-Z1098</f>
        <v>-22.009499999999996</v>
      </c>
      <c r="AC1098" s="15" t="s">
        <v>130</v>
      </c>
      <c r="AD1098" s="15" t="s">
        <v>130</v>
      </c>
      <c r="AE1098" s="15" t="s">
        <v>514</v>
      </c>
      <c r="AF1098" s="12">
        <f>IF(AG1098="Rejected",0,IF(R1098="Corporate Card",0,V1098))</f>
        <v>0</v>
      </c>
      <c r="AG1098" s="15" t="s">
        <v>804</v>
      </c>
      <c r="AH1098" s="16">
        <v>45773</v>
      </c>
      <c r="AI1098" s="16"/>
      <c r="AJ1098" s="16"/>
      <c r="AK1098" s="17" t="str">
        <f>IF(AJ1098="","",AJ1098-AH1098)</f>
        <v/>
      </c>
    </row>
    <row r="1099" spans="1:37">
      <c r="A1099" s="2" t="s">
        <v>1510</v>
      </c>
      <c r="B1099" s="2" t="s">
        <v>1235</v>
      </c>
      <c r="C1099" s="2" t="s">
        <v>867</v>
      </c>
      <c r="D1099" s="2" t="s">
        <v>865</v>
      </c>
      <c r="E1099" s="2" t="s">
        <v>1236</v>
      </c>
      <c r="F1099" s="2" t="s">
        <v>313</v>
      </c>
      <c r="G1099" s="2" t="s">
        <v>1490</v>
      </c>
      <c r="H1099" s="2" t="s">
        <v>803</v>
      </c>
      <c r="I1099" s="2" t="s">
        <v>433</v>
      </c>
      <c r="J1099" s="2" t="s">
        <v>434</v>
      </c>
      <c r="K1099" s="9">
        <v>45763</v>
      </c>
      <c r="L1099" s="9">
        <v>45770</v>
      </c>
      <c r="M1099" s="9">
        <v>45765</v>
      </c>
      <c r="N1099" s="2" t="s">
        <v>1333</v>
      </c>
      <c r="O1099" s="2" t="s">
        <v>54</v>
      </c>
      <c r="P1099" s="2" t="s">
        <v>139</v>
      </c>
      <c r="Q1099" s="2" t="s">
        <v>163</v>
      </c>
      <c r="R1099" s="2" t="s">
        <v>128</v>
      </c>
      <c r="S1099" s="2" t="s">
        <v>436</v>
      </c>
      <c r="T1099" s="10">
        <v>1768</v>
      </c>
      <c r="U1099" s="11">
        <v>1.1780000000000001E-2</v>
      </c>
      <c r="V1099" s="12">
        <f>T1099*U1099</f>
        <v>20.82704</v>
      </c>
      <c r="W1099" s="13">
        <v>0.18</v>
      </c>
      <c r="X1099" s="12">
        <f>V1099-(V1099/(1+W1099))</f>
        <v>3.1770061016949143</v>
      </c>
      <c r="Y1099" s="12">
        <f>V1099-X1099</f>
        <v>17.650033898305086</v>
      </c>
      <c r="Z1099" s="14">
        <v>25</v>
      </c>
      <c r="AA1099" s="2" t="str">
        <f>IF(V1099&gt;Z1099,"Yes","No")</f>
        <v>No</v>
      </c>
      <c r="AB1099" s="12">
        <f>V1099-Z1099</f>
        <v>-4.1729599999999998</v>
      </c>
      <c r="AC1099" s="15" t="s">
        <v>130</v>
      </c>
      <c r="AD1099" s="15" t="s">
        <v>130</v>
      </c>
      <c r="AE1099" s="15" t="s">
        <v>514</v>
      </c>
      <c r="AF1099" s="12">
        <f>IF(AG1099="Rejected",0,IF(R1099="Corporate Card",0,V1099))</f>
        <v>0</v>
      </c>
      <c r="AG1099" s="15" t="s">
        <v>804</v>
      </c>
      <c r="AH1099" s="16">
        <v>45773</v>
      </c>
      <c r="AI1099" s="16"/>
      <c r="AJ1099" s="16"/>
      <c r="AK1099" s="17" t="str">
        <f>IF(AJ1099="","",AJ1099-AH1099)</f>
        <v/>
      </c>
    </row>
    <row r="1100" spans="1:37">
      <c r="A1100" s="2" t="s">
        <v>1511</v>
      </c>
      <c r="B1100" s="2" t="s">
        <v>1235</v>
      </c>
      <c r="C1100" s="2" t="s">
        <v>867</v>
      </c>
      <c r="D1100" s="2" t="s">
        <v>865</v>
      </c>
      <c r="E1100" s="2" t="s">
        <v>1236</v>
      </c>
      <c r="F1100" s="2" t="s">
        <v>313</v>
      </c>
      <c r="G1100" s="2" t="s">
        <v>1490</v>
      </c>
      <c r="H1100" s="2" t="s">
        <v>803</v>
      </c>
      <c r="I1100" s="2" t="s">
        <v>433</v>
      </c>
      <c r="J1100" s="2" t="s">
        <v>434</v>
      </c>
      <c r="K1100" s="9">
        <v>45763</v>
      </c>
      <c r="L1100" s="9">
        <v>45770</v>
      </c>
      <c r="M1100" s="9">
        <v>45765</v>
      </c>
      <c r="N1100" s="2" t="s">
        <v>1333</v>
      </c>
      <c r="O1100" s="2" t="s">
        <v>56</v>
      </c>
      <c r="P1100" s="2" t="s">
        <v>151</v>
      </c>
      <c r="Q1100" s="2" t="s">
        <v>227</v>
      </c>
      <c r="R1100" s="2" t="s">
        <v>128</v>
      </c>
      <c r="S1100" s="2" t="s">
        <v>436</v>
      </c>
      <c r="T1100" s="10">
        <v>2574</v>
      </c>
      <c r="U1100" s="11">
        <v>1.1780000000000001E-2</v>
      </c>
      <c r="V1100" s="12">
        <f>T1100*U1100</f>
        <v>30.321720000000003</v>
      </c>
      <c r="W1100" s="13">
        <v>0.18</v>
      </c>
      <c r="X1100" s="12">
        <f>V1100-(V1100/(1+W1100))</f>
        <v>4.6253471186440684</v>
      </c>
      <c r="Y1100" s="12">
        <f>V1100-X1100</f>
        <v>25.696372881355934</v>
      </c>
      <c r="Z1100" s="14">
        <v>75</v>
      </c>
      <c r="AA1100" s="2" t="str">
        <f>IF(V1100&gt;Z1100,"Yes","No")</f>
        <v>No</v>
      </c>
      <c r="AB1100" s="12">
        <f>V1100-Z1100</f>
        <v>-44.678280000000001</v>
      </c>
      <c r="AC1100" s="15" t="s">
        <v>131</v>
      </c>
      <c r="AD1100" s="15" t="s">
        <v>130</v>
      </c>
      <c r="AE1100" s="15" t="s">
        <v>514</v>
      </c>
      <c r="AF1100" s="12">
        <f>IF(AG1100="Rejected",0,IF(R1100="Corporate Card",0,V1100))</f>
        <v>0</v>
      </c>
      <c r="AG1100" s="15" t="s">
        <v>804</v>
      </c>
      <c r="AH1100" s="16">
        <v>45773</v>
      </c>
      <c r="AI1100" s="16"/>
      <c r="AJ1100" s="16"/>
      <c r="AK1100" s="17" t="str">
        <f>IF(AJ1100="","",AJ1100-AH1100)</f>
        <v/>
      </c>
    </row>
    <row r="1101" spans="1:37">
      <c r="A1101" s="2" t="s">
        <v>1512</v>
      </c>
      <c r="B1101" s="2" t="s">
        <v>189</v>
      </c>
      <c r="C1101" s="2" t="s">
        <v>190</v>
      </c>
      <c r="D1101" s="2" t="s">
        <v>171</v>
      </c>
      <c r="E1101" s="2" t="s">
        <v>191</v>
      </c>
      <c r="F1101" s="2" t="s">
        <v>173</v>
      </c>
      <c r="G1101" s="2" t="s">
        <v>1484</v>
      </c>
      <c r="H1101" s="2" t="s">
        <v>291</v>
      </c>
      <c r="I1101" s="2" t="s">
        <v>567</v>
      </c>
      <c r="J1101" s="2" t="s">
        <v>434</v>
      </c>
      <c r="K1101" s="9">
        <v>45762</v>
      </c>
      <c r="L1101" s="9">
        <v>45769</v>
      </c>
      <c r="M1101" s="9">
        <v>45765</v>
      </c>
      <c r="N1101" s="2" t="s">
        <v>1333</v>
      </c>
      <c r="O1101" s="2" t="s">
        <v>58</v>
      </c>
      <c r="P1101" s="2" t="s">
        <v>142</v>
      </c>
      <c r="Q1101" s="2" t="s">
        <v>156</v>
      </c>
      <c r="R1101" s="2" t="s">
        <v>128</v>
      </c>
      <c r="S1101" s="2" t="s">
        <v>436</v>
      </c>
      <c r="T1101" s="10">
        <v>5063</v>
      </c>
      <c r="U1101" s="11">
        <v>1.1780000000000001E-2</v>
      </c>
      <c r="V1101" s="12">
        <f>T1101*U1101</f>
        <v>59.642140000000005</v>
      </c>
      <c r="W1101" s="13">
        <v>0.18</v>
      </c>
      <c r="X1101" s="12">
        <f>V1101-(V1101/(1+W1101))</f>
        <v>9.0979535593220291</v>
      </c>
      <c r="Y1101" s="12">
        <f>V1101-X1101</f>
        <v>50.544186440677976</v>
      </c>
      <c r="Z1101" s="14">
        <v>60</v>
      </c>
      <c r="AA1101" s="2" t="str">
        <f>IF(V1101&gt;Z1101,"Yes","No")</f>
        <v>No</v>
      </c>
      <c r="AB1101" s="12">
        <f>V1101-Z1101</f>
        <v>-0.35785999999999518</v>
      </c>
      <c r="AC1101" s="15" t="s">
        <v>130</v>
      </c>
      <c r="AD1101" s="15" t="s">
        <v>130</v>
      </c>
      <c r="AE1101" s="15" t="s">
        <v>260</v>
      </c>
      <c r="AF1101" s="12">
        <f>IF(AG1101="Rejected",0,IF(R1101="Corporate Card",0,V1101))</f>
        <v>0</v>
      </c>
      <c r="AG1101" s="15" t="s">
        <v>133</v>
      </c>
      <c r="AH1101" s="16">
        <v>45773</v>
      </c>
      <c r="AI1101" s="16">
        <v>45775</v>
      </c>
      <c r="AJ1101" s="16">
        <v>45777</v>
      </c>
      <c r="AK1101" s="17">
        <f>IF(AJ1101="","",AJ1101-AH1101)</f>
        <v>4</v>
      </c>
    </row>
    <row r="1102" spans="1:37">
      <c r="A1102" s="2" t="s">
        <v>1513</v>
      </c>
      <c r="B1102" s="2" t="s">
        <v>189</v>
      </c>
      <c r="C1102" s="2" t="s">
        <v>190</v>
      </c>
      <c r="D1102" s="2" t="s">
        <v>171</v>
      </c>
      <c r="E1102" s="2" t="s">
        <v>191</v>
      </c>
      <c r="F1102" s="2" t="s">
        <v>173</v>
      </c>
      <c r="G1102" s="2" t="s">
        <v>1484</v>
      </c>
      <c r="H1102" s="2" t="s">
        <v>291</v>
      </c>
      <c r="I1102" s="2" t="s">
        <v>567</v>
      </c>
      <c r="J1102" s="2" t="s">
        <v>434</v>
      </c>
      <c r="K1102" s="9">
        <v>45762</v>
      </c>
      <c r="L1102" s="9">
        <v>45769</v>
      </c>
      <c r="M1102" s="9">
        <v>45765</v>
      </c>
      <c r="N1102" s="2" t="s">
        <v>1333</v>
      </c>
      <c r="O1102" s="2" t="s">
        <v>54</v>
      </c>
      <c r="P1102" s="2" t="s">
        <v>139</v>
      </c>
      <c r="Q1102" s="2" t="s">
        <v>148</v>
      </c>
      <c r="R1102" s="2" t="s">
        <v>128</v>
      </c>
      <c r="S1102" s="2" t="s">
        <v>436</v>
      </c>
      <c r="T1102" s="10">
        <v>2463</v>
      </c>
      <c r="U1102" s="11">
        <v>1.1780000000000001E-2</v>
      </c>
      <c r="V1102" s="12">
        <f>T1102*U1102</f>
        <v>29.014140000000001</v>
      </c>
      <c r="W1102" s="13">
        <v>0.18</v>
      </c>
      <c r="X1102" s="12">
        <f>V1102-(V1102/(1+W1102))</f>
        <v>4.4258857627118644</v>
      </c>
      <c r="Y1102" s="12">
        <f>V1102-X1102</f>
        <v>24.588254237288137</v>
      </c>
      <c r="Z1102" s="14">
        <v>25</v>
      </c>
      <c r="AA1102" s="2" t="str">
        <f>IF(V1102&gt;Z1102,"Yes","No")</f>
        <v>Yes</v>
      </c>
      <c r="AB1102" s="12">
        <f>V1102-Z1102</f>
        <v>4.0141400000000012</v>
      </c>
      <c r="AC1102" s="15" t="s">
        <v>131</v>
      </c>
      <c r="AD1102" s="15" t="s">
        <v>130</v>
      </c>
      <c r="AE1102" s="15" t="s">
        <v>260</v>
      </c>
      <c r="AF1102" s="12">
        <f>IF(AG1102="Rejected",0,IF(R1102="Corporate Card",0,V1102))</f>
        <v>0</v>
      </c>
      <c r="AG1102" s="15" t="s">
        <v>133</v>
      </c>
      <c r="AH1102" s="16">
        <v>45773</v>
      </c>
      <c r="AI1102" s="16">
        <v>45775</v>
      </c>
      <c r="AJ1102" s="16">
        <v>45777</v>
      </c>
      <c r="AK1102" s="17">
        <f>IF(AJ1102="","",AJ1102-AH1102)</f>
        <v>4</v>
      </c>
    </row>
    <row r="1103" spans="1:37">
      <c r="A1103" s="2" t="s">
        <v>1514</v>
      </c>
      <c r="B1103" s="2" t="s">
        <v>189</v>
      </c>
      <c r="C1103" s="2" t="s">
        <v>190</v>
      </c>
      <c r="D1103" s="2" t="s">
        <v>171</v>
      </c>
      <c r="E1103" s="2" t="s">
        <v>191</v>
      </c>
      <c r="F1103" s="2" t="s">
        <v>173</v>
      </c>
      <c r="G1103" s="2" t="s">
        <v>1484</v>
      </c>
      <c r="H1103" s="2" t="s">
        <v>291</v>
      </c>
      <c r="I1103" s="2" t="s">
        <v>567</v>
      </c>
      <c r="J1103" s="2" t="s">
        <v>434</v>
      </c>
      <c r="K1103" s="9">
        <v>45762</v>
      </c>
      <c r="L1103" s="9">
        <v>45769</v>
      </c>
      <c r="M1103" s="9">
        <v>45765</v>
      </c>
      <c r="N1103" s="2" t="s">
        <v>1333</v>
      </c>
      <c r="O1103" s="2" t="s">
        <v>56</v>
      </c>
      <c r="P1103" s="2" t="s">
        <v>231</v>
      </c>
      <c r="Q1103" s="2" t="s">
        <v>152</v>
      </c>
      <c r="R1103" s="2" t="s">
        <v>137</v>
      </c>
      <c r="S1103" s="2" t="s">
        <v>436</v>
      </c>
      <c r="T1103" s="10">
        <v>3073</v>
      </c>
      <c r="U1103" s="11">
        <v>1.1780000000000001E-2</v>
      </c>
      <c r="V1103" s="12">
        <f>T1103*U1103</f>
        <v>36.199940000000005</v>
      </c>
      <c r="W1103" s="13">
        <v>0.18</v>
      </c>
      <c r="X1103" s="12">
        <f>V1103-(V1103/(1+W1103))</f>
        <v>5.5220247457627103</v>
      </c>
      <c r="Y1103" s="12">
        <f>V1103-X1103</f>
        <v>30.677915254237295</v>
      </c>
      <c r="Z1103" s="14">
        <v>75</v>
      </c>
      <c r="AA1103" s="2" t="str">
        <f>IF(V1103&gt;Z1103,"Yes","No")</f>
        <v>No</v>
      </c>
      <c r="AB1103" s="12">
        <f>V1103-Z1103</f>
        <v>-38.800059999999995</v>
      </c>
      <c r="AC1103" s="15" t="s">
        <v>130</v>
      </c>
      <c r="AD1103" s="15" t="s">
        <v>130</v>
      </c>
      <c r="AE1103" s="15" t="s">
        <v>260</v>
      </c>
      <c r="AF1103" s="12">
        <f>IF(AG1103="Rejected",0,IF(R1103="Corporate Card",0,V1103))</f>
        <v>36.199940000000005</v>
      </c>
      <c r="AG1103" s="15" t="s">
        <v>133</v>
      </c>
      <c r="AH1103" s="16">
        <v>45773</v>
      </c>
      <c r="AI1103" s="16">
        <v>45775</v>
      </c>
      <c r="AJ1103" s="16">
        <v>45777</v>
      </c>
      <c r="AK1103" s="17">
        <f>IF(AJ1103="","",AJ1103-AH1103)</f>
        <v>4</v>
      </c>
    </row>
    <row r="1104" spans="1:37">
      <c r="A1104" s="2" t="s">
        <v>1515</v>
      </c>
      <c r="B1104" s="2" t="s">
        <v>189</v>
      </c>
      <c r="C1104" s="2" t="s">
        <v>190</v>
      </c>
      <c r="D1104" s="2" t="s">
        <v>171</v>
      </c>
      <c r="E1104" s="2" t="s">
        <v>191</v>
      </c>
      <c r="F1104" s="2" t="s">
        <v>173</v>
      </c>
      <c r="G1104" s="2" t="s">
        <v>1484</v>
      </c>
      <c r="H1104" s="2" t="s">
        <v>291</v>
      </c>
      <c r="I1104" s="2" t="s">
        <v>567</v>
      </c>
      <c r="J1104" s="2" t="s">
        <v>434</v>
      </c>
      <c r="K1104" s="9">
        <v>45762</v>
      </c>
      <c r="L1104" s="9">
        <v>45769</v>
      </c>
      <c r="M1104" s="9">
        <v>45765</v>
      </c>
      <c r="N1104" s="2" t="s">
        <v>1333</v>
      </c>
      <c r="O1104" s="2" t="s">
        <v>55</v>
      </c>
      <c r="P1104" s="2" t="s">
        <v>139</v>
      </c>
      <c r="Q1104" s="2" t="s">
        <v>187</v>
      </c>
      <c r="R1104" s="2" t="s">
        <v>137</v>
      </c>
      <c r="S1104" s="2" t="s">
        <v>436</v>
      </c>
      <c r="T1104" s="10">
        <v>1985</v>
      </c>
      <c r="U1104" s="11">
        <v>1.1780000000000001E-2</v>
      </c>
      <c r="V1104" s="12">
        <f>T1104*U1104</f>
        <v>23.383300000000002</v>
      </c>
      <c r="W1104" s="13">
        <v>0.18</v>
      </c>
      <c r="X1104" s="12">
        <f>V1104-(V1104/(1+W1104))</f>
        <v>3.5669440677966087</v>
      </c>
      <c r="Y1104" s="12">
        <f>V1104-X1104</f>
        <v>19.816355932203393</v>
      </c>
      <c r="Z1104" s="14">
        <v>35</v>
      </c>
      <c r="AA1104" s="2" t="str">
        <f>IF(V1104&gt;Z1104,"Yes","No")</f>
        <v>No</v>
      </c>
      <c r="AB1104" s="12">
        <f>V1104-Z1104</f>
        <v>-11.616699999999998</v>
      </c>
      <c r="AC1104" s="15" t="s">
        <v>130</v>
      </c>
      <c r="AD1104" s="15" t="s">
        <v>130</v>
      </c>
      <c r="AE1104" s="15" t="s">
        <v>260</v>
      </c>
      <c r="AF1104" s="12">
        <f>IF(AG1104="Rejected",0,IF(R1104="Corporate Card",0,V1104))</f>
        <v>23.383300000000002</v>
      </c>
      <c r="AG1104" s="15" t="s">
        <v>133</v>
      </c>
      <c r="AH1104" s="16">
        <v>45773</v>
      </c>
      <c r="AI1104" s="16">
        <v>45775</v>
      </c>
      <c r="AJ1104" s="16">
        <v>45777</v>
      </c>
      <c r="AK1104" s="17">
        <f>IF(AJ1104="","",AJ1104-AH1104)</f>
        <v>4</v>
      </c>
    </row>
    <row r="1105" spans="1:37">
      <c r="A1105" s="2" t="s">
        <v>1516</v>
      </c>
      <c r="B1105" s="2" t="s">
        <v>1235</v>
      </c>
      <c r="C1105" s="2" t="s">
        <v>867</v>
      </c>
      <c r="D1105" s="2" t="s">
        <v>865</v>
      </c>
      <c r="E1105" s="2" t="s">
        <v>1236</v>
      </c>
      <c r="F1105" s="2" t="s">
        <v>313</v>
      </c>
      <c r="G1105" s="2" t="s">
        <v>1490</v>
      </c>
      <c r="H1105" s="2" t="s">
        <v>803</v>
      </c>
      <c r="I1105" s="2" t="s">
        <v>433</v>
      </c>
      <c r="J1105" s="2" t="s">
        <v>434</v>
      </c>
      <c r="K1105" s="9">
        <v>45763</v>
      </c>
      <c r="L1105" s="9">
        <v>45770</v>
      </c>
      <c r="M1105" s="9">
        <v>45766</v>
      </c>
      <c r="N1105" s="2" t="s">
        <v>1333</v>
      </c>
      <c r="O1105" s="2" t="s">
        <v>55</v>
      </c>
      <c r="P1105" s="2" t="s">
        <v>139</v>
      </c>
      <c r="Q1105" s="2" t="s">
        <v>154</v>
      </c>
      <c r="R1105" s="2" t="s">
        <v>128</v>
      </c>
      <c r="S1105" s="2" t="s">
        <v>436</v>
      </c>
      <c r="T1105" s="10">
        <v>1070</v>
      </c>
      <c r="U1105" s="11">
        <v>1.1780000000000001E-2</v>
      </c>
      <c r="V1105" s="12">
        <f>T1105*U1105</f>
        <v>12.604600000000001</v>
      </c>
      <c r="W1105" s="13">
        <v>0.18</v>
      </c>
      <c r="X1105" s="12">
        <f>V1105-(V1105/(1+W1105))</f>
        <v>1.922735593220338</v>
      </c>
      <c r="Y1105" s="12">
        <f>V1105-X1105</f>
        <v>10.681864406779663</v>
      </c>
      <c r="Z1105" s="14">
        <v>35</v>
      </c>
      <c r="AA1105" s="2" t="str">
        <f>IF(V1105&gt;Z1105,"Yes","No")</f>
        <v>No</v>
      </c>
      <c r="AB1105" s="12">
        <f>V1105-Z1105</f>
        <v>-22.395399999999999</v>
      </c>
      <c r="AC1105" s="15" t="s">
        <v>130</v>
      </c>
      <c r="AD1105" s="15" t="s">
        <v>130</v>
      </c>
      <c r="AE1105" s="15" t="s">
        <v>514</v>
      </c>
      <c r="AF1105" s="12">
        <f>IF(AG1105="Rejected",0,IF(R1105="Corporate Card",0,V1105))</f>
        <v>0</v>
      </c>
      <c r="AG1105" s="15" t="s">
        <v>804</v>
      </c>
      <c r="AH1105" s="16">
        <v>45773</v>
      </c>
      <c r="AI1105" s="16"/>
      <c r="AJ1105" s="16"/>
      <c r="AK1105" s="17" t="str">
        <f>IF(AJ1105="","",AJ1105-AH1105)</f>
        <v/>
      </c>
    </row>
    <row r="1106" spans="1:37">
      <c r="A1106" s="2" t="s">
        <v>1517</v>
      </c>
      <c r="B1106" s="2" t="s">
        <v>189</v>
      </c>
      <c r="C1106" s="2" t="s">
        <v>190</v>
      </c>
      <c r="D1106" s="2" t="s">
        <v>171</v>
      </c>
      <c r="E1106" s="2" t="s">
        <v>191</v>
      </c>
      <c r="F1106" s="2" t="s">
        <v>173</v>
      </c>
      <c r="G1106" s="2" t="s">
        <v>1484</v>
      </c>
      <c r="H1106" s="2" t="s">
        <v>291</v>
      </c>
      <c r="I1106" s="2" t="s">
        <v>567</v>
      </c>
      <c r="J1106" s="2" t="s">
        <v>434</v>
      </c>
      <c r="K1106" s="9">
        <v>45762</v>
      </c>
      <c r="L1106" s="9">
        <v>45769</v>
      </c>
      <c r="M1106" s="9">
        <v>45766</v>
      </c>
      <c r="N1106" s="2" t="s">
        <v>1333</v>
      </c>
      <c r="O1106" s="2" t="s">
        <v>58</v>
      </c>
      <c r="P1106" s="2" t="s">
        <v>142</v>
      </c>
      <c r="Q1106" s="2" t="s">
        <v>224</v>
      </c>
      <c r="R1106" s="2" t="s">
        <v>149</v>
      </c>
      <c r="S1106" s="2" t="s">
        <v>436</v>
      </c>
      <c r="T1106" s="10">
        <v>3976</v>
      </c>
      <c r="U1106" s="11">
        <v>1.1780000000000001E-2</v>
      </c>
      <c r="V1106" s="12">
        <f>T1106*U1106</f>
        <v>46.83728</v>
      </c>
      <c r="W1106" s="13">
        <v>0.18</v>
      </c>
      <c r="X1106" s="12">
        <f>V1106-(V1106/(1+W1106))</f>
        <v>7.1446698305084695</v>
      </c>
      <c r="Y1106" s="12">
        <f>V1106-X1106</f>
        <v>39.69261016949153</v>
      </c>
      <c r="Z1106" s="14">
        <v>60</v>
      </c>
      <c r="AA1106" s="2" t="str">
        <f>IF(V1106&gt;Z1106,"Yes","No")</f>
        <v>No</v>
      </c>
      <c r="AB1106" s="12">
        <f>V1106-Z1106</f>
        <v>-13.16272</v>
      </c>
      <c r="AC1106" s="15" t="s">
        <v>130</v>
      </c>
      <c r="AD1106" s="15" t="s">
        <v>130</v>
      </c>
      <c r="AE1106" s="15" t="s">
        <v>260</v>
      </c>
      <c r="AF1106" s="12">
        <f>IF(AG1106="Rejected",0,IF(R1106="Corporate Card",0,V1106))</f>
        <v>46.83728</v>
      </c>
      <c r="AG1106" s="15" t="s">
        <v>133</v>
      </c>
      <c r="AH1106" s="16">
        <v>45773</v>
      </c>
      <c r="AI1106" s="16">
        <v>45775</v>
      </c>
      <c r="AJ1106" s="16">
        <v>45777</v>
      </c>
      <c r="AK1106" s="17">
        <f>IF(AJ1106="","",AJ1106-AH1106)</f>
        <v>4</v>
      </c>
    </row>
    <row r="1107" spans="1:37">
      <c r="A1107" s="2" t="s">
        <v>1518</v>
      </c>
      <c r="B1107" s="2" t="s">
        <v>189</v>
      </c>
      <c r="C1107" s="2" t="s">
        <v>190</v>
      </c>
      <c r="D1107" s="2" t="s">
        <v>171</v>
      </c>
      <c r="E1107" s="2" t="s">
        <v>191</v>
      </c>
      <c r="F1107" s="2" t="s">
        <v>173</v>
      </c>
      <c r="G1107" s="2" t="s">
        <v>1484</v>
      </c>
      <c r="H1107" s="2" t="s">
        <v>291</v>
      </c>
      <c r="I1107" s="2" t="s">
        <v>567</v>
      </c>
      <c r="J1107" s="2" t="s">
        <v>434</v>
      </c>
      <c r="K1107" s="9">
        <v>45762</v>
      </c>
      <c r="L1107" s="9">
        <v>45769</v>
      </c>
      <c r="M1107" s="9">
        <v>45766</v>
      </c>
      <c r="N1107" s="2" t="s">
        <v>1333</v>
      </c>
      <c r="O1107" s="2" t="s">
        <v>54</v>
      </c>
      <c r="P1107" s="2" t="s">
        <v>139</v>
      </c>
      <c r="Q1107" s="2" t="s">
        <v>214</v>
      </c>
      <c r="R1107" s="2" t="s">
        <v>128</v>
      </c>
      <c r="S1107" s="2" t="s">
        <v>436</v>
      </c>
      <c r="T1107" s="10">
        <v>2049</v>
      </c>
      <c r="U1107" s="11">
        <v>1.1780000000000001E-2</v>
      </c>
      <c r="V1107" s="12">
        <f>T1107*U1107</f>
        <v>24.137220000000003</v>
      </c>
      <c r="W1107" s="13">
        <v>0.18</v>
      </c>
      <c r="X1107" s="12">
        <f>V1107-(V1107/(1+W1107))</f>
        <v>3.6819488135593197</v>
      </c>
      <c r="Y1107" s="12">
        <f>V1107-X1107</f>
        <v>20.455271186440683</v>
      </c>
      <c r="Z1107" s="14">
        <v>25</v>
      </c>
      <c r="AA1107" s="2" t="str">
        <f>IF(V1107&gt;Z1107,"Yes","No")</f>
        <v>No</v>
      </c>
      <c r="AB1107" s="12">
        <f>V1107-Z1107</f>
        <v>-0.86277999999999722</v>
      </c>
      <c r="AC1107" s="15" t="s">
        <v>130</v>
      </c>
      <c r="AD1107" s="15" t="s">
        <v>130</v>
      </c>
      <c r="AE1107" s="15" t="s">
        <v>260</v>
      </c>
      <c r="AF1107" s="12">
        <f>IF(AG1107="Rejected",0,IF(R1107="Corporate Card",0,V1107))</f>
        <v>0</v>
      </c>
      <c r="AG1107" s="15" t="s">
        <v>133</v>
      </c>
      <c r="AH1107" s="16">
        <v>45773</v>
      </c>
      <c r="AI1107" s="16">
        <v>45775</v>
      </c>
      <c r="AJ1107" s="16">
        <v>45777</v>
      </c>
      <c r="AK1107" s="17">
        <f>IF(AJ1107="","",AJ1107-AH1107)</f>
        <v>4</v>
      </c>
    </row>
    <row r="1108" spans="1:37">
      <c r="A1108" s="2" t="s">
        <v>1519</v>
      </c>
      <c r="B1108" s="2" t="s">
        <v>189</v>
      </c>
      <c r="C1108" s="2" t="s">
        <v>190</v>
      </c>
      <c r="D1108" s="2" t="s">
        <v>171</v>
      </c>
      <c r="E1108" s="2" t="s">
        <v>191</v>
      </c>
      <c r="F1108" s="2" t="s">
        <v>173</v>
      </c>
      <c r="G1108" s="2" t="s">
        <v>1484</v>
      </c>
      <c r="H1108" s="2" t="s">
        <v>291</v>
      </c>
      <c r="I1108" s="2" t="s">
        <v>567</v>
      </c>
      <c r="J1108" s="2" t="s">
        <v>434</v>
      </c>
      <c r="K1108" s="9">
        <v>45762</v>
      </c>
      <c r="L1108" s="9">
        <v>45769</v>
      </c>
      <c r="M1108" s="9">
        <v>45766</v>
      </c>
      <c r="N1108" s="2" t="s">
        <v>1333</v>
      </c>
      <c r="O1108" s="2" t="s">
        <v>55</v>
      </c>
      <c r="P1108" s="2" t="s">
        <v>139</v>
      </c>
      <c r="Q1108" s="2" t="s">
        <v>154</v>
      </c>
      <c r="R1108" s="2" t="s">
        <v>137</v>
      </c>
      <c r="S1108" s="2" t="s">
        <v>436</v>
      </c>
      <c r="T1108" s="10">
        <v>2728</v>
      </c>
      <c r="U1108" s="11">
        <v>1.1780000000000001E-2</v>
      </c>
      <c r="V1108" s="12">
        <f>T1108*U1108</f>
        <v>32.135840000000002</v>
      </c>
      <c r="W1108" s="13">
        <v>0.18</v>
      </c>
      <c r="X1108" s="12">
        <f>V1108-(V1108/(1+W1108))</f>
        <v>4.9020772881355903</v>
      </c>
      <c r="Y1108" s="12">
        <f>V1108-X1108</f>
        <v>27.233762711864411</v>
      </c>
      <c r="Z1108" s="14">
        <v>35</v>
      </c>
      <c r="AA1108" s="2" t="str">
        <f>IF(V1108&gt;Z1108,"Yes","No")</f>
        <v>No</v>
      </c>
      <c r="AB1108" s="12">
        <f>V1108-Z1108</f>
        <v>-2.8641599999999983</v>
      </c>
      <c r="AC1108" s="15" t="s">
        <v>130</v>
      </c>
      <c r="AD1108" s="15" t="s">
        <v>130</v>
      </c>
      <c r="AE1108" s="15" t="s">
        <v>260</v>
      </c>
      <c r="AF1108" s="12">
        <f>IF(AG1108="Rejected",0,IF(R1108="Corporate Card",0,V1108))</f>
        <v>32.135840000000002</v>
      </c>
      <c r="AG1108" s="15" t="s">
        <v>133</v>
      </c>
      <c r="AH1108" s="16">
        <v>45773</v>
      </c>
      <c r="AI1108" s="16">
        <v>45775</v>
      </c>
      <c r="AJ1108" s="16">
        <v>45777</v>
      </c>
      <c r="AK1108" s="17">
        <f>IF(AJ1108="","",AJ1108-AH1108)</f>
        <v>4</v>
      </c>
    </row>
    <row r="1109" spans="1:37">
      <c r="A1109" s="2" t="s">
        <v>1520</v>
      </c>
      <c r="B1109" s="2" t="s">
        <v>1235</v>
      </c>
      <c r="C1109" s="2" t="s">
        <v>867</v>
      </c>
      <c r="D1109" s="2" t="s">
        <v>865</v>
      </c>
      <c r="E1109" s="2" t="s">
        <v>1236</v>
      </c>
      <c r="F1109" s="2" t="s">
        <v>313</v>
      </c>
      <c r="G1109" s="2" t="s">
        <v>1490</v>
      </c>
      <c r="H1109" s="2" t="s">
        <v>803</v>
      </c>
      <c r="I1109" s="2" t="s">
        <v>433</v>
      </c>
      <c r="J1109" s="2" t="s">
        <v>434</v>
      </c>
      <c r="K1109" s="9">
        <v>45763</v>
      </c>
      <c r="L1109" s="9">
        <v>45770</v>
      </c>
      <c r="M1109" s="9">
        <v>45767</v>
      </c>
      <c r="N1109" s="2" t="s">
        <v>1333</v>
      </c>
      <c r="O1109" s="2" t="s">
        <v>58</v>
      </c>
      <c r="P1109" s="2" t="s">
        <v>142</v>
      </c>
      <c r="Q1109" s="2" t="s">
        <v>224</v>
      </c>
      <c r="R1109" s="2" t="s">
        <v>128</v>
      </c>
      <c r="S1109" s="2" t="s">
        <v>436</v>
      </c>
      <c r="T1109" s="10">
        <v>3723</v>
      </c>
      <c r="U1109" s="11">
        <v>1.1780000000000001E-2</v>
      </c>
      <c r="V1109" s="12">
        <f>T1109*U1109</f>
        <v>43.856940000000002</v>
      </c>
      <c r="W1109" s="13">
        <v>0.18</v>
      </c>
      <c r="X1109" s="12">
        <f>V1109-(V1109/(1+W1109))</f>
        <v>6.6900416949152515</v>
      </c>
      <c r="Y1109" s="12">
        <f>V1109-X1109</f>
        <v>37.16689830508475</v>
      </c>
      <c r="Z1109" s="14">
        <v>60</v>
      </c>
      <c r="AA1109" s="2" t="str">
        <f>IF(V1109&gt;Z1109,"Yes","No")</f>
        <v>No</v>
      </c>
      <c r="AB1109" s="12">
        <f>V1109-Z1109</f>
        <v>-16.143059999999998</v>
      </c>
      <c r="AC1109" s="15" t="s">
        <v>130</v>
      </c>
      <c r="AD1109" s="15" t="s">
        <v>130</v>
      </c>
      <c r="AE1109" s="15" t="s">
        <v>514</v>
      </c>
      <c r="AF1109" s="12">
        <f>IF(AG1109="Rejected",0,IF(R1109="Corporate Card",0,V1109))</f>
        <v>0</v>
      </c>
      <c r="AG1109" s="15" t="s">
        <v>804</v>
      </c>
      <c r="AH1109" s="16">
        <v>45773</v>
      </c>
      <c r="AI1109" s="16"/>
      <c r="AJ1109" s="16"/>
      <c r="AK1109" s="17" t="str">
        <f>IF(AJ1109="","",AJ1109-AH1109)</f>
        <v/>
      </c>
    </row>
    <row r="1110" spans="1:37">
      <c r="A1110" s="2" t="s">
        <v>1521</v>
      </c>
      <c r="B1110" s="2" t="s">
        <v>1235</v>
      </c>
      <c r="C1110" s="2" t="s">
        <v>867</v>
      </c>
      <c r="D1110" s="2" t="s">
        <v>865</v>
      </c>
      <c r="E1110" s="2" t="s">
        <v>1236</v>
      </c>
      <c r="F1110" s="2" t="s">
        <v>313</v>
      </c>
      <c r="G1110" s="2" t="s">
        <v>1490</v>
      </c>
      <c r="H1110" s="2" t="s">
        <v>803</v>
      </c>
      <c r="I1110" s="2" t="s">
        <v>433</v>
      </c>
      <c r="J1110" s="2" t="s">
        <v>434</v>
      </c>
      <c r="K1110" s="9">
        <v>45763</v>
      </c>
      <c r="L1110" s="9">
        <v>45770</v>
      </c>
      <c r="M1110" s="9">
        <v>45767</v>
      </c>
      <c r="N1110" s="2" t="s">
        <v>1333</v>
      </c>
      <c r="O1110" s="2" t="s">
        <v>56</v>
      </c>
      <c r="P1110" s="2" t="s">
        <v>231</v>
      </c>
      <c r="Q1110" s="2" t="s">
        <v>166</v>
      </c>
      <c r="R1110" s="2" t="s">
        <v>149</v>
      </c>
      <c r="S1110" s="2" t="s">
        <v>436</v>
      </c>
      <c r="T1110" s="10">
        <v>5595</v>
      </c>
      <c r="U1110" s="11">
        <v>1.1780000000000001E-2</v>
      </c>
      <c r="V1110" s="12">
        <f>T1110*U1110</f>
        <v>65.909100000000009</v>
      </c>
      <c r="W1110" s="13">
        <v>0.18</v>
      </c>
      <c r="X1110" s="12">
        <f>V1110-(V1110/(1+W1110))</f>
        <v>10.053930508474572</v>
      </c>
      <c r="Y1110" s="12">
        <f>V1110-X1110</f>
        <v>55.855169491525437</v>
      </c>
      <c r="Z1110" s="14">
        <v>75</v>
      </c>
      <c r="AA1110" s="2" t="str">
        <f>IF(V1110&gt;Z1110,"Yes","No")</f>
        <v>No</v>
      </c>
      <c r="AB1110" s="12">
        <f>V1110-Z1110</f>
        <v>-9.0908999999999907</v>
      </c>
      <c r="AC1110" s="15" t="s">
        <v>130</v>
      </c>
      <c r="AD1110" s="15" t="s">
        <v>130</v>
      </c>
      <c r="AE1110" s="15" t="s">
        <v>514</v>
      </c>
      <c r="AF1110" s="12">
        <f>IF(AG1110="Rejected",0,IF(R1110="Corporate Card",0,V1110))</f>
        <v>0</v>
      </c>
      <c r="AG1110" s="15" t="s">
        <v>804</v>
      </c>
      <c r="AH1110" s="16">
        <v>45773</v>
      </c>
      <c r="AI1110" s="16"/>
      <c r="AJ1110" s="16"/>
      <c r="AK1110" s="17" t="str">
        <f>IF(AJ1110="","",AJ1110-AH1110)</f>
        <v/>
      </c>
    </row>
    <row r="1111" spans="1:37">
      <c r="A1111" s="2" t="s">
        <v>1522</v>
      </c>
      <c r="B1111" s="2" t="s">
        <v>1235</v>
      </c>
      <c r="C1111" s="2" t="s">
        <v>867</v>
      </c>
      <c r="D1111" s="2" t="s">
        <v>865</v>
      </c>
      <c r="E1111" s="2" t="s">
        <v>1236</v>
      </c>
      <c r="F1111" s="2" t="s">
        <v>313</v>
      </c>
      <c r="G1111" s="2" t="s">
        <v>1490</v>
      </c>
      <c r="H1111" s="2" t="s">
        <v>803</v>
      </c>
      <c r="I1111" s="2" t="s">
        <v>433</v>
      </c>
      <c r="J1111" s="2" t="s">
        <v>434</v>
      </c>
      <c r="K1111" s="9">
        <v>45763</v>
      </c>
      <c r="L1111" s="9">
        <v>45770</v>
      </c>
      <c r="M1111" s="9">
        <v>45767</v>
      </c>
      <c r="N1111" s="2" t="s">
        <v>1333</v>
      </c>
      <c r="O1111" s="2" t="s">
        <v>55</v>
      </c>
      <c r="P1111" s="2" t="s">
        <v>139</v>
      </c>
      <c r="Q1111" s="2" t="s">
        <v>217</v>
      </c>
      <c r="R1111" s="2" t="s">
        <v>128</v>
      </c>
      <c r="S1111" s="2" t="s">
        <v>436</v>
      </c>
      <c r="T1111" s="10">
        <v>3447</v>
      </c>
      <c r="U1111" s="11">
        <v>1.1780000000000001E-2</v>
      </c>
      <c r="V1111" s="12">
        <f>T1111*U1111</f>
        <v>40.60566</v>
      </c>
      <c r="W1111" s="13">
        <v>0.18</v>
      </c>
      <c r="X1111" s="12">
        <f>V1111-(V1111/(1+W1111))</f>
        <v>6.1940837288135597</v>
      </c>
      <c r="Y1111" s="12">
        <f>V1111-X1111</f>
        <v>34.411576271186441</v>
      </c>
      <c r="Z1111" s="14">
        <v>35</v>
      </c>
      <c r="AA1111" s="2" t="str">
        <f>IF(V1111&gt;Z1111,"Yes","No")</f>
        <v>Yes</v>
      </c>
      <c r="AB1111" s="12">
        <f>V1111-Z1111</f>
        <v>5.6056600000000003</v>
      </c>
      <c r="AC1111" s="15" t="s">
        <v>130</v>
      </c>
      <c r="AD1111" s="15" t="s">
        <v>130</v>
      </c>
      <c r="AE1111" s="15" t="s">
        <v>514</v>
      </c>
      <c r="AF1111" s="12">
        <f>IF(AG1111="Rejected",0,IF(R1111="Corporate Card",0,V1111))</f>
        <v>0</v>
      </c>
      <c r="AG1111" s="15" t="s">
        <v>804</v>
      </c>
      <c r="AH1111" s="16">
        <v>45773</v>
      </c>
      <c r="AI1111" s="16"/>
      <c r="AJ1111" s="16"/>
      <c r="AK1111" s="17" t="str">
        <f>IF(AJ1111="","",AJ1111-AH1111)</f>
        <v/>
      </c>
    </row>
    <row r="1112" spans="1:37">
      <c r="A1112" s="2" t="s">
        <v>1523</v>
      </c>
      <c r="B1112" s="2" t="s">
        <v>189</v>
      </c>
      <c r="C1112" s="2" t="s">
        <v>190</v>
      </c>
      <c r="D1112" s="2" t="s">
        <v>171</v>
      </c>
      <c r="E1112" s="2" t="s">
        <v>191</v>
      </c>
      <c r="F1112" s="2" t="s">
        <v>173</v>
      </c>
      <c r="G1112" s="2" t="s">
        <v>1484</v>
      </c>
      <c r="H1112" s="2" t="s">
        <v>291</v>
      </c>
      <c r="I1112" s="2" t="s">
        <v>567</v>
      </c>
      <c r="J1112" s="2" t="s">
        <v>434</v>
      </c>
      <c r="K1112" s="9">
        <v>45762</v>
      </c>
      <c r="L1112" s="9">
        <v>45769</v>
      </c>
      <c r="M1112" s="9">
        <v>45767</v>
      </c>
      <c r="N1112" s="2" t="s">
        <v>1333</v>
      </c>
      <c r="O1112" s="2" t="s">
        <v>58</v>
      </c>
      <c r="P1112" s="2" t="s">
        <v>142</v>
      </c>
      <c r="Q1112" s="2" t="s">
        <v>224</v>
      </c>
      <c r="R1112" s="2" t="s">
        <v>137</v>
      </c>
      <c r="S1112" s="2" t="s">
        <v>436</v>
      </c>
      <c r="T1112" s="10">
        <v>3677</v>
      </c>
      <c r="U1112" s="11">
        <v>1.1780000000000001E-2</v>
      </c>
      <c r="V1112" s="12">
        <f>T1112*U1112</f>
        <v>43.315060000000003</v>
      </c>
      <c r="W1112" s="13">
        <v>0.18</v>
      </c>
      <c r="X1112" s="12">
        <f>V1112-(V1112/(1+W1112))</f>
        <v>6.607382033898304</v>
      </c>
      <c r="Y1112" s="12">
        <f>V1112-X1112</f>
        <v>36.707677966101699</v>
      </c>
      <c r="Z1112" s="14">
        <v>60</v>
      </c>
      <c r="AA1112" s="2" t="str">
        <f>IF(V1112&gt;Z1112,"Yes","No")</f>
        <v>No</v>
      </c>
      <c r="AB1112" s="12">
        <f>V1112-Z1112</f>
        <v>-16.684939999999997</v>
      </c>
      <c r="AC1112" s="15" t="s">
        <v>130</v>
      </c>
      <c r="AD1112" s="15" t="s">
        <v>130</v>
      </c>
      <c r="AE1112" s="15" t="s">
        <v>260</v>
      </c>
      <c r="AF1112" s="12">
        <f>IF(AG1112="Rejected",0,IF(R1112="Corporate Card",0,V1112))</f>
        <v>43.315060000000003</v>
      </c>
      <c r="AG1112" s="15" t="s">
        <v>133</v>
      </c>
      <c r="AH1112" s="16">
        <v>45773</v>
      </c>
      <c r="AI1112" s="16">
        <v>45775</v>
      </c>
      <c r="AJ1112" s="16">
        <v>45777</v>
      </c>
      <c r="AK1112" s="17">
        <f>IF(AJ1112="","",AJ1112-AH1112)</f>
        <v>4</v>
      </c>
    </row>
    <row r="1113" spans="1:37">
      <c r="A1113" s="2" t="s">
        <v>1524</v>
      </c>
      <c r="B1113" s="2" t="s">
        <v>189</v>
      </c>
      <c r="C1113" s="2" t="s">
        <v>190</v>
      </c>
      <c r="D1113" s="2" t="s">
        <v>171</v>
      </c>
      <c r="E1113" s="2" t="s">
        <v>191</v>
      </c>
      <c r="F1113" s="2" t="s">
        <v>173</v>
      </c>
      <c r="G1113" s="2" t="s">
        <v>1484</v>
      </c>
      <c r="H1113" s="2" t="s">
        <v>291</v>
      </c>
      <c r="I1113" s="2" t="s">
        <v>567</v>
      </c>
      <c r="J1113" s="2" t="s">
        <v>434</v>
      </c>
      <c r="K1113" s="9">
        <v>45762</v>
      </c>
      <c r="L1113" s="9">
        <v>45769</v>
      </c>
      <c r="M1113" s="9">
        <v>45767</v>
      </c>
      <c r="N1113" s="2" t="s">
        <v>1333</v>
      </c>
      <c r="O1113" s="2" t="s">
        <v>54</v>
      </c>
      <c r="P1113" s="2" t="s">
        <v>139</v>
      </c>
      <c r="Q1113" s="2" t="s">
        <v>148</v>
      </c>
      <c r="R1113" s="2" t="s">
        <v>149</v>
      </c>
      <c r="S1113" s="2" t="s">
        <v>436</v>
      </c>
      <c r="T1113" s="10">
        <v>1580</v>
      </c>
      <c r="U1113" s="11">
        <v>1.1780000000000001E-2</v>
      </c>
      <c r="V1113" s="12">
        <f>T1113*U1113</f>
        <v>18.612400000000001</v>
      </c>
      <c r="W1113" s="13">
        <v>0.18</v>
      </c>
      <c r="X1113" s="12">
        <f>V1113-(V1113/(1+W1113))</f>
        <v>2.8391796610169493</v>
      </c>
      <c r="Y1113" s="12">
        <f>V1113-X1113</f>
        <v>15.773220338983052</v>
      </c>
      <c r="Z1113" s="14">
        <v>25</v>
      </c>
      <c r="AA1113" s="2" t="str">
        <f>IF(V1113&gt;Z1113,"Yes","No")</f>
        <v>No</v>
      </c>
      <c r="AB1113" s="12">
        <f>V1113-Z1113</f>
        <v>-6.3875999999999991</v>
      </c>
      <c r="AC1113" s="15" t="s">
        <v>130</v>
      </c>
      <c r="AD1113" s="15" t="s">
        <v>130</v>
      </c>
      <c r="AE1113" s="15" t="s">
        <v>260</v>
      </c>
      <c r="AF1113" s="12">
        <f>IF(AG1113="Rejected",0,IF(R1113="Corporate Card",0,V1113))</f>
        <v>18.612400000000001</v>
      </c>
      <c r="AG1113" s="15" t="s">
        <v>133</v>
      </c>
      <c r="AH1113" s="16">
        <v>45773</v>
      </c>
      <c r="AI1113" s="16">
        <v>45775</v>
      </c>
      <c r="AJ1113" s="16">
        <v>45777</v>
      </c>
      <c r="AK1113" s="17">
        <f>IF(AJ1113="","",AJ1113-AH1113)</f>
        <v>4</v>
      </c>
    </row>
    <row r="1114" spans="1:37">
      <c r="A1114" s="2" t="s">
        <v>1525</v>
      </c>
      <c r="B1114" s="2" t="s">
        <v>1235</v>
      </c>
      <c r="C1114" s="2" t="s">
        <v>867</v>
      </c>
      <c r="D1114" s="2" t="s">
        <v>865</v>
      </c>
      <c r="E1114" s="2" t="s">
        <v>1236</v>
      </c>
      <c r="F1114" s="2" t="s">
        <v>313</v>
      </c>
      <c r="G1114" s="2" t="s">
        <v>1490</v>
      </c>
      <c r="H1114" s="2" t="s">
        <v>803</v>
      </c>
      <c r="I1114" s="2" t="s">
        <v>433</v>
      </c>
      <c r="J1114" s="2" t="s">
        <v>434</v>
      </c>
      <c r="K1114" s="9">
        <v>45763</v>
      </c>
      <c r="L1114" s="9">
        <v>45770</v>
      </c>
      <c r="M1114" s="9">
        <v>45768</v>
      </c>
      <c r="N1114" s="2" t="s">
        <v>1333</v>
      </c>
      <c r="O1114" s="2" t="s">
        <v>58</v>
      </c>
      <c r="P1114" s="2" t="s">
        <v>142</v>
      </c>
      <c r="Q1114" s="2" t="s">
        <v>203</v>
      </c>
      <c r="R1114" s="2" t="s">
        <v>128</v>
      </c>
      <c r="S1114" s="2" t="s">
        <v>436</v>
      </c>
      <c r="T1114" s="10">
        <v>3780</v>
      </c>
      <c r="U1114" s="11">
        <v>1.1780000000000001E-2</v>
      </c>
      <c r="V1114" s="12">
        <f>T1114*U1114</f>
        <v>44.528400000000005</v>
      </c>
      <c r="W1114" s="13">
        <v>0.18</v>
      </c>
      <c r="X1114" s="12">
        <f>V1114-(V1114/(1+W1114))</f>
        <v>6.7924677966101683</v>
      </c>
      <c r="Y1114" s="12">
        <f>V1114-X1114</f>
        <v>37.735932203389837</v>
      </c>
      <c r="Z1114" s="14">
        <v>60</v>
      </c>
      <c r="AA1114" s="2" t="str">
        <f>IF(V1114&gt;Z1114,"Yes","No")</f>
        <v>No</v>
      </c>
      <c r="AB1114" s="12">
        <f>V1114-Z1114</f>
        <v>-15.471599999999995</v>
      </c>
      <c r="AC1114" s="15" t="s">
        <v>131</v>
      </c>
      <c r="AD1114" s="15" t="s">
        <v>130</v>
      </c>
      <c r="AE1114" s="15" t="s">
        <v>514</v>
      </c>
      <c r="AF1114" s="12">
        <f>IF(AG1114="Rejected",0,IF(R1114="Corporate Card",0,V1114))</f>
        <v>0</v>
      </c>
      <c r="AG1114" s="15" t="s">
        <v>804</v>
      </c>
      <c r="AH1114" s="16">
        <v>45773</v>
      </c>
      <c r="AI1114" s="16"/>
      <c r="AJ1114" s="16"/>
      <c r="AK1114" s="17" t="str">
        <f>IF(AJ1114="","",AJ1114-AH1114)</f>
        <v/>
      </c>
    </row>
    <row r="1115" spans="1:37">
      <c r="A1115" s="2" t="s">
        <v>1526</v>
      </c>
      <c r="B1115" s="2" t="s">
        <v>1235</v>
      </c>
      <c r="C1115" s="2" t="s">
        <v>867</v>
      </c>
      <c r="D1115" s="2" t="s">
        <v>865</v>
      </c>
      <c r="E1115" s="2" t="s">
        <v>1236</v>
      </c>
      <c r="F1115" s="2" t="s">
        <v>313</v>
      </c>
      <c r="G1115" s="2" t="s">
        <v>1490</v>
      </c>
      <c r="H1115" s="2" t="s">
        <v>803</v>
      </c>
      <c r="I1115" s="2" t="s">
        <v>433</v>
      </c>
      <c r="J1115" s="2" t="s">
        <v>434</v>
      </c>
      <c r="K1115" s="9">
        <v>45763</v>
      </c>
      <c r="L1115" s="9">
        <v>45770</v>
      </c>
      <c r="M1115" s="9">
        <v>45768</v>
      </c>
      <c r="N1115" s="2" t="s">
        <v>1333</v>
      </c>
      <c r="O1115" s="2" t="s">
        <v>54</v>
      </c>
      <c r="P1115" s="2" t="s">
        <v>139</v>
      </c>
      <c r="Q1115" s="2" t="s">
        <v>163</v>
      </c>
      <c r="R1115" s="2" t="s">
        <v>128</v>
      </c>
      <c r="S1115" s="2" t="s">
        <v>436</v>
      </c>
      <c r="T1115" s="10">
        <v>858</v>
      </c>
      <c r="U1115" s="11">
        <v>1.1780000000000001E-2</v>
      </c>
      <c r="V1115" s="12">
        <f>T1115*U1115</f>
        <v>10.107240000000001</v>
      </c>
      <c r="W1115" s="13">
        <v>0.18</v>
      </c>
      <c r="X1115" s="12">
        <f>V1115-(V1115/(1+W1115))</f>
        <v>1.5417823728813556</v>
      </c>
      <c r="Y1115" s="12">
        <f>V1115-X1115</f>
        <v>8.5654576271186453</v>
      </c>
      <c r="Z1115" s="14">
        <v>25</v>
      </c>
      <c r="AA1115" s="2" t="str">
        <f>IF(V1115&gt;Z1115,"Yes","No")</f>
        <v>No</v>
      </c>
      <c r="AB1115" s="12">
        <f>V1115-Z1115</f>
        <v>-14.892759999999999</v>
      </c>
      <c r="AC1115" s="15" t="s">
        <v>130</v>
      </c>
      <c r="AD1115" s="15" t="s">
        <v>130</v>
      </c>
      <c r="AE1115" s="15" t="s">
        <v>514</v>
      </c>
      <c r="AF1115" s="12">
        <f>IF(AG1115="Rejected",0,IF(R1115="Corporate Card",0,V1115))</f>
        <v>0</v>
      </c>
      <c r="AG1115" s="15" t="s">
        <v>804</v>
      </c>
      <c r="AH1115" s="16">
        <v>45773</v>
      </c>
      <c r="AI1115" s="16"/>
      <c r="AJ1115" s="16"/>
      <c r="AK1115" s="17" t="str">
        <f>IF(AJ1115="","",AJ1115-AH1115)</f>
        <v/>
      </c>
    </row>
    <row r="1116" spans="1:37">
      <c r="A1116" s="2" t="s">
        <v>1527</v>
      </c>
      <c r="B1116" s="2" t="s">
        <v>1235</v>
      </c>
      <c r="C1116" s="2" t="s">
        <v>867</v>
      </c>
      <c r="D1116" s="2" t="s">
        <v>865</v>
      </c>
      <c r="E1116" s="2" t="s">
        <v>1236</v>
      </c>
      <c r="F1116" s="2" t="s">
        <v>313</v>
      </c>
      <c r="G1116" s="2" t="s">
        <v>1490</v>
      </c>
      <c r="H1116" s="2" t="s">
        <v>803</v>
      </c>
      <c r="I1116" s="2" t="s">
        <v>433</v>
      </c>
      <c r="J1116" s="2" t="s">
        <v>434</v>
      </c>
      <c r="K1116" s="9">
        <v>45763</v>
      </c>
      <c r="L1116" s="9">
        <v>45770</v>
      </c>
      <c r="M1116" s="9">
        <v>45768</v>
      </c>
      <c r="N1116" s="2" t="s">
        <v>1333</v>
      </c>
      <c r="O1116" s="2" t="s">
        <v>56</v>
      </c>
      <c r="P1116" s="2" t="s">
        <v>165</v>
      </c>
      <c r="Q1116" s="2" t="s">
        <v>152</v>
      </c>
      <c r="R1116" s="2" t="s">
        <v>128</v>
      </c>
      <c r="S1116" s="2" t="s">
        <v>436</v>
      </c>
      <c r="T1116" s="10">
        <v>2485</v>
      </c>
      <c r="U1116" s="11">
        <v>1.1780000000000001E-2</v>
      </c>
      <c r="V1116" s="12">
        <f>T1116*U1116</f>
        <v>29.273300000000003</v>
      </c>
      <c r="W1116" s="13">
        <v>0.18</v>
      </c>
      <c r="X1116" s="12">
        <f>V1116-(V1116/(1+W1116))</f>
        <v>4.4654186440677961</v>
      </c>
      <c r="Y1116" s="12">
        <f>V1116-X1116</f>
        <v>24.807881355932206</v>
      </c>
      <c r="Z1116" s="14">
        <v>75</v>
      </c>
      <c r="AA1116" s="2" t="str">
        <f>IF(V1116&gt;Z1116,"Yes","No")</f>
        <v>No</v>
      </c>
      <c r="AB1116" s="12">
        <f>V1116-Z1116</f>
        <v>-45.726699999999994</v>
      </c>
      <c r="AC1116" s="15" t="s">
        <v>130</v>
      </c>
      <c r="AD1116" s="15" t="s">
        <v>130</v>
      </c>
      <c r="AE1116" s="15" t="s">
        <v>514</v>
      </c>
      <c r="AF1116" s="12">
        <f>IF(AG1116="Rejected",0,IF(R1116="Corporate Card",0,V1116))</f>
        <v>0</v>
      </c>
      <c r="AG1116" s="15" t="s">
        <v>804</v>
      </c>
      <c r="AH1116" s="16">
        <v>45773</v>
      </c>
      <c r="AI1116" s="16"/>
      <c r="AJ1116" s="16"/>
      <c r="AK1116" s="17" t="str">
        <f>IF(AJ1116="","",AJ1116-AH1116)</f>
        <v/>
      </c>
    </row>
    <row r="1117" spans="1:37">
      <c r="A1117" s="2" t="s">
        <v>1528</v>
      </c>
      <c r="B1117" s="2" t="s">
        <v>1235</v>
      </c>
      <c r="C1117" s="2" t="s">
        <v>867</v>
      </c>
      <c r="D1117" s="2" t="s">
        <v>865</v>
      </c>
      <c r="E1117" s="2" t="s">
        <v>1236</v>
      </c>
      <c r="F1117" s="2" t="s">
        <v>313</v>
      </c>
      <c r="G1117" s="2" t="s">
        <v>1490</v>
      </c>
      <c r="H1117" s="2" t="s">
        <v>803</v>
      </c>
      <c r="I1117" s="2" t="s">
        <v>433</v>
      </c>
      <c r="J1117" s="2" t="s">
        <v>434</v>
      </c>
      <c r="K1117" s="9">
        <v>45763</v>
      </c>
      <c r="L1117" s="9">
        <v>45770</v>
      </c>
      <c r="M1117" s="9">
        <v>45768</v>
      </c>
      <c r="N1117" s="2" t="s">
        <v>1333</v>
      </c>
      <c r="O1117" s="2" t="s">
        <v>55</v>
      </c>
      <c r="P1117" s="2" t="s">
        <v>139</v>
      </c>
      <c r="Q1117" s="2" t="s">
        <v>154</v>
      </c>
      <c r="R1117" s="2" t="s">
        <v>128</v>
      </c>
      <c r="S1117" s="2" t="s">
        <v>436</v>
      </c>
      <c r="T1117" s="10">
        <v>3521</v>
      </c>
      <c r="U1117" s="11">
        <v>1.1780000000000001E-2</v>
      </c>
      <c r="V1117" s="12">
        <f>T1117*U1117</f>
        <v>41.477380000000004</v>
      </c>
      <c r="W1117" s="13">
        <v>0.18</v>
      </c>
      <c r="X1117" s="12">
        <f>V1117-(V1117/(1+W1117))</f>
        <v>6.327057966101691</v>
      </c>
      <c r="Y1117" s="12">
        <f>V1117-X1117</f>
        <v>35.150322033898313</v>
      </c>
      <c r="Z1117" s="14">
        <v>35</v>
      </c>
      <c r="AA1117" s="2" t="str">
        <f>IF(V1117&gt;Z1117,"Yes","No")</f>
        <v>Yes</v>
      </c>
      <c r="AB1117" s="12">
        <f>V1117-Z1117</f>
        <v>6.4773800000000037</v>
      </c>
      <c r="AC1117" s="15" t="s">
        <v>130</v>
      </c>
      <c r="AD1117" s="15" t="s">
        <v>130</v>
      </c>
      <c r="AE1117" s="15" t="s">
        <v>514</v>
      </c>
      <c r="AF1117" s="12">
        <f>IF(AG1117="Rejected",0,IF(R1117="Corporate Card",0,V1117))</f>
        <v>0</v>
      </c>
      <c r="AG1117" s="15" t="s">
        <v>804</v>
      </c>
      <c r="AH1117" s="16">
        <v>45773</v>
      </c>
      <c r="AI1117" s="16"/>
      <c r="AJ1117" s="16"/>
      <c r="AK1117" s="17" t="str">
        <f>IF(AJ1117="","",AJ1117-AH1117)</f>
        <v/>
      </c>
    </row>
    <row r="1118" spans="1:37">
      <c r="A1118" s="2" t="s">
        <v>1529</v>
      </c>
      <c r="B1118" s="2" t="s">
        <v>189</v>
      </c>
      <c r="C1118" s="2" t="s">
        <v>190</v>
      </c>
      <c r="D1118" s="2" t="s">
        <v>171</v>
      </c>
      <c r="E1118" s="2" t="s">
        <v>191</v>
      </c>
      <c r="F1118" s="2" t="s">
        <v>173</v>
      </c>
      <c r="G1118" s="2" t="s">
        <v>1484</v>
      </c>
      <c r="H1118" s="2" t="s">
        <v>291</v>
      </c>
      <c r="I1118" s="2" t="s">
        <v>567</v>
      </c>
      <c r="J1118" s="2" t="s">
        <v>434</v>
      </c>
      <c r="K1118" s="9">
        <v>45762</v>
      </c>
      <c r="L1118" s="9">
        <v>45769</v>
      </c>
      <c r="M1118" s="9">
        <v>45768</v>
      </c>
      <c r="N1118" s="2" t="s">
        <v>1333</v>
      </c>
      <c r="O1118" s="2" t="s">
        <v>58</v>
      </c>
      <c r="P1118" s="2" t="s">
        <v>142</v>
      </c>
      <c r="Q1118" s="2" t="s">
        <v>296</v>
      </c>
      <c r="R1118" s="2" t="s">
        <v>137</v>
      </c>
      <c r="S1118" s="2" t="s">
        <v>436</v>
      </c>
      <c r="T1118" s="10">
        <v>1918</v>
      </c>
      <c r="U1118" s="11">
        <v>1.1780000000000001E-2</v>
      </c>
      <c r="V1118" s="12">
        <f>T1118*U1118</f>
        <v>22.59404</v>
      </c>
      <c r="W1118" s="13">
        <v>0.18</v>
      </c>
      <c r="X1118" s="12">
        <f>V1118-(V1118/(1+W1118))</f>
        <v>3.4465484745762716</v>
      </c>
      <c r="Y1118" s="12">
        <f>V1118-X1118</f>
        <v>19.147491525423728</v>
      </c>
      <c r="Z1118" s="14">
        <v>60</v>
      </c>
      <c r="AA1118" s="2" t="str">
        <f>IF(V1118&gt;Z1118,"Yes","No")</f>
        <v>No</v>
      </c>
      <c r="AB1118" s="12">
        <f>V1118-Z1118</f>
        <v>-37.40596</v>
      </c>
      <c r="AC1118" s="15" t="s">
        <v>130</v>
      </c>
      <c r="AD1118" s="15" t="s">
        <v>130</v>
      </c>
      <c r="AE1118" s="15" t="s">
        <v>260</v>
      </c>
      <c r="AF1118" s="12">
        <f>IF(AG1118="Rejected",0,IF(R1118="Corporate Card",0,V1118))</f>
        <v>22.59404</v>
      </c>
      <c r="AG1118" s="15" t="s">
        <v>133</v>
      </c>
      <c r="AH1118" s="16">
        <v>45773</v>
      </c>
      <c r="AI1118" s="16">
        <v>45775</v>
      </c>
      <c r="AJ1118" s="16">
        <v>45777</v>
      </c>
      <c r="AK1118" s="17">
        <f>IF(AJ1118="","",AJ1118-AH1118)</f>
        <v>4</v>
      </c>
    </row>
    <row r="1119" spans="1:37">
      <c r="A1119" s="2" t="s">
        <v>1530</v>
      </c>
      <c r="B1119" s="2" t="s">
        <v>189</v>
      </c>
      <c r="C1119" s="2" t="s">
        <v>190</v>
      </c>
      <c r="D1119" s="2" t="s">
        <v>171</v>
      </c>
      <c r="E1119" s="2" t="s">
        <v>191</v>
      </c>
      <c r="F1119" s="2" t="s">
        <v>173</v>
      </c>
      <c r="G1119" s="2" t="s">
        <v>1484</v>
      </c>
      <c r="H1119" s="2" t="s">
        <v>291</v>
      </c>
      <c r="I1119" s="2" t="s">
        <v>567</v>
      </c>
      <c r="J1119" s="2" t="s">
        <v>434</v>
      </c>
      <c r="K1119" s="9">
        <v>45762</v>
      </c>
      <c r="L1119" s="9">
        <v>45769</v>
      </c>
      <c r="M1119" s="9">
        <v>45768</v>
      </c>
      <c r="N1119" s="2" t="s">
        <v>1333</v>
      </c>
      <c r="O1119" s="2" t="s">
        <v>54</v>
      </c>
      <c r="P1119" s="2" t="s">
        <v>139</v>
      </c>
      <c r="Q1119" s="2" t="s">
        <v>163</v>
      </c>
      <c r="R1119" s="2" t="s">
        <v>128</v>
      </c>
      <c r="S1119" s="2" t="s">
        <v>436</v>
      </c>
      <c r="T1119" s="10">
        <v>1390</v>
      </c>
      <c r="U1119" s="11">
        <v>1.1780000000000001E-2</v>
      </c>
      <c r="V1119" s="12">
        <f>T1119*U1119</f>
        <v>16.374200000000002</v>
      </c>
      <c r="W1119" s="13">
        <v>0.18</v>
      </c>
      <c r="X1119" s="12">
        <f>V1119-(V1119/(1+W1119))</f>
        <v>2.4977593220338985</v>
      </c>
      <c r="Y1119" s="12">
        <f>V1119-X1119</f>
        <v>13.876440677966103</v>
      </c>
      <c r="Z1119" s="14">
        <v>25</v>
      </c>
      <c r="AA1119" s="2" t="str">
        <f>IF(V1119&gt;Z1119,"Yes","No")</f>
        <v>No</v>
      </c>
      <c r="AB1119" s="12">
        <f>V1119-Z1119</f>
        <v>-8.6257999999999981</v>
      </c>
      <c r="AC1119" s="15" t="s">
        <v>130</v>
      </c>
      <c r="AD1119" s="15" t="s">
        <v>130</v>
      </c>
      <c r="AE1119" s="15" t="s">
        <v>260</v>
      </c>
      <c r="AF1119" s="12">
        <f>IF(AG1119="Rejected",0,IF(R1119="Corporate Card",0,V1119))</f>
        <v>0</v>
      </c>
      <c r="AG1119" s="15" t="s">
        <v>133</v>
      </c>
      <c r="AH1119" s="16">
        <v>45773</v>
      </c>
      <c r="AI1119" s="16">
        <v>45775</v>
      </c>
      <c r="AJ1119" s="16">
        <v>45777</v>
      </c>
      <c r="AK1119" s="17">
        <f>IF(AJ1119="","",AJ1119-AH1119)</f>
        <v>4</v>
      </c>
    </row>
    <row r="1120" spans="1:37">
      <c r="A1120" s="2" t="s">
        <v>1531</v>
      </c>
      <c r="B1120" s="2" t="s">
        <v>189</v>
      </c>
      <c r="C1120" s="2" t="s">
        <v>190</v>
      </c>
      <c r="D1120" s="2" t="s">
        <v>171</v>
      </c>
      <c r="E1120" s="2" t="s">
        <v>191</v>
      </c>
      <c r="F1120" s="2" t="s">
        <v>173</v>
      </c>
      <c r="G1120" s="2" t="s">
        <v>1484</v>
      </c>
      <c r="H1120" s="2" t="s">
        <v>291</v>
      </c>
      <c r="I1120" s="2" t="s">
        <v>567</v>
      </c>
      <c r="J1120" s="2" t="s">
        <v>434</v>
      </c>
      <c r="K1120" s="9">
        <v>45762</v>
      </c>
      <c r="L1120" s="9">
        <v>45769</v>
      </c>
      <c r="M1120" s="9">
        <v>45768</v>
      </c>
      <c r="N1120" s="2" t="s">
        <v>1333</v>
      </c>
      <c r="O1120" s="2" t="s">
        <v>56</v>
      </c>
      <c r="P1120" s="2" t="s">
        <v>245</v>
      </c>
      <c r="Q1120" s="2" t="s">
        <v>152</v>
      </c>
      <c r="R1120" s="2" t="s">
        <v>128</v>
      </c>
      <c r="S1120" s="2" t="s">
        <v>436</v>
      </c>
      <c r="T1120" s="10">
        <v>5204</v>
      </c>
      <c r="U1120" s="11">
        <v>1.1780000000000001E-2</v>
      </c>
      <c r="V1120" s="12">
        <f>T1120*U1120</f>
        <v>61.30312</v>
      </c>
      <c r="W1120" s="13">
        <v>0.18</v>
      </c>
      <c r="X1120" s="12">
        <f>V1120-(V1120/(1+W1120))</f>
        <v>9.3513233898305046</v>
      </c>
      <c r="Y1120" s="12">
        <f>V1120-X1120</f>
        <v>51.951796610169495</v>
      </c>
      <c r="Z1120" s="14">
        <v>75</v>
      </c>
      <c r="AA1120" s="2" t="str">
        <f>IF(V1120&gt;Z1120,"Yes","No")</f>
        <v>No</v>
      </c>
      <c r="AB1120" s="12">
        <f>V1120-Z1120</f>
        <v>-13.69688</v>
      </c>
      <c r="AC1120" s="15" t="s">
        <v>130</v>
      </c>
      <c r="AD1120" s="15" t="s">
        <v>130</v>
      </c>
      <c r="AE1120" s="15" t="s">
        <v>260</v>
      </c>
      <c r="AF1120" s="12">
        <f>IF(AG1120="Rejected",0,IF(R1120="Corporate Card",0,V1120))</f>
        <v>0</v>
      </c>
      <c r="AG1120" s="15" t="s">
        <v>133</v>
      </c>
      <c r="AH1120" s="16">
        <v>45773</v>
      </c>
      <c r="AI1120" s="16">
        <v>45775</v>
      </c>
      <c r="AJ1120" s="16">
        <v>45777</v>
      </c>
      <c r="AK1120" s="17">
        <f>IF(AJ1120="","",AJ1120-AH1120)</f>
        <v>4</v>
      </c>
    </row>
    <row r="1121" spans="1:37">
      <c r="A1121" s="2" t="s">
        <v>1532</v>
      </c>
      <c r="B1121" s="2" t="s">
        <v>189</v>
      </c>
      <c r="C1121" s="2" t="s">
        <v>190</v>
      </c>
      <c r="D1121" s="2" t="s">
        <v>171</v>
      </c>
      <c r="E1121" s="2" t="s">
        <v>191</v>
      </c>
      <c r="F1121" s="2" t="s">
        <v>173</v>
      </c>
      <c r="G1121" s="2" t="s">
        <v>1484</v>
      </c>
      <c r="H1121" s="2" t="s">
        <v>291</v>
      </c>
      <c r="I1121" s="2" t="s">
        <v>567</v>
      </c>
      <c r="J1121" s="2" t="s">
        <v>434</v>
      </c>
      <c r="K1121" s="9">
        <v>45762</v>
      </c>
      <c r="L1121" s="9">
        <v>45769</v>
      </c>
      <c r="M1121" s="9">
        <v>45768</v>
      </c>
      <c r="N1121" s="2" t="s">
        <v>1333</v>
      </c>
      <c r="O1121" s="2" t="s">
        <v>55</v>
      </c>
      <c r="P1121" s="2" t="s">
        <v>139</v>
      </c>
      <c r="Q1121" s="2" t="s">
        <v>154</v>
      </c>
      <c r="R1121" s="2" t="s">
        <v>128</v>
      </c>
      <c r="S1121" s="2" t="s">
        <v>436</v>
      </c>
      <c r="T1121" s="10">
        <v>1217</v>
      </c>
      <c r="U1121" s="11">
        <v>1.1780000000000001E-2</v>
      </c>
      <c r="V1121" s="12">
        <f>T1121*U1121</f>
        <v>14.336260000000001</v>
      </c>
      <c r="W1121" s="13">
        <v>0.18</v>
      </c>
      <c r="X1121" s="12">
        <f>V1121-(V1121/(1+W1121))</f>
        <v>2.1868871186440675</v>
      </c>
      <c r="Y1121" s="12">
        <f>V1121-X1121</f>
        <v>12.149372881355934</v>
      </c>
      <c r="Z1121" s="14">
        <v>35</v>
      </c>
      <c r="AA1121" s="2" t="str">
        <f>IF(V1121&gt;Z1121,"Yes","No")</f>
        <v>No</v>
      </c>
      <c r="AB1121" s="12">
        <f>V1121-Z1121</f>
        <v>-20.663739999999997</v>
      </c>
      <c r="AC1121" s="15" t="s">
        <v>130</v>
      </c>
      <c r="AD1121" s="15" t="s">
        <v>130</v>
      </c>
      <c r="AE1121" s="15" t="s">
        <v>260</v>
      </c>
      <c r="AF1121" s="12">
        <f>IF(AG1121="Rejected",0,IF(R1121="Corporate Card",0,V1121))</f>
        <v>0</v>
      </c>
      <c r="AG1121" s="15" t="s">
        <v>133</v>
      </c>
      <c r="AH1121" s="16">
        <v>45773</v>
      </c>
      <c r="AI1121" s="16">
        <v>45775</v>
      </c>
      <c r="AJ1121" s="16">
        <v>45777</v>
      </c>
      <c r="AK1121" s="17">
        <f>IF(AJ1121="","",AJ1121-AH1121)</f>
        <v>4</v>
      </c>
    </row>
    <row r="1122" spans="1:37">
      <c r="A1122" s="2" t="s">
        <v>1533</v>
      </c>
      <c r="B1122" s="2" t="s">
        <v>1235</v>
      </c>
      <c r="C1122" s="2" t="s">
        <v>867</v>
      </c>
      <c r="D1122" s="2" t="s">
        <v>865</v>
      </c>
      <c r="E1122" s="2" t="s">
        <v>1236</v>
      </c>
      <c r="F1122" s="2" t="s">
        <v>313</v>
      </c>
      <c r="G1122" s="2" t="s">
        <v>1490</v>
      </c>
      <c r="H1122" s="2" t="s">
        <v>803</v>
      </c>
      <c r="I1122" s="2" t="s">
        <v>433</v>
      </c>
      <c r="J1122" s="2" t="s">
        <v>434</v>
      </c>
      <c r="K1122" s="9">
        <v>45763</v>
      </c>
      <c r="L1122" s="9">
        <v>45770</v>
      </c>
      <c r="M1122" s="9">
        <v>45769</v>
      </c>
      <c r="N1122" s="2" t="s">
        <v>1333</v>
      </c>
      <c r="O1122" s="2" t="s">
        <v>58</v>
      </c>
      <c r="P1122" s="2" t="s">
        <v>142</v>
      </c>
      <c r="Q1122" s="2" t="s">
        <v>143</v>
      </c>
      <c r="R1122" s="2" t="s">
        <v>137</v>
      </c>
      <c r="S1122" s="2" t="s">
        <v>436</v>
      </c>
      <c r="T1122" s="10">
        <v>3558</v>
      </c>
      <c r="U1122" s="11">
        <v>1.1780000000000001E-2</v>
      </c>
      <c r="V1122" s="12">
        <f>T1122*U1122</f>
        <v>41.913240000000002</v>
      </c>
      <c r="W1122" s="13">
        <v>0.18</v>
      </c>
      <c r="X1122" s="12">
        <f>V1122-(V1122/(1+W1122))</f>
        <v>6.3935450847457602</v>
      </c>
      <c r="Y1122" s="12">
        <f>V1122-X1122</f>
        <v>35.519694915254242</v>
      </c>
      <c r="Z1122" s="14">
        <v>60</v>
      </c>
      <c r="AA1122" s="2" t="str">
        <f>IF(V1122&gt;Z1122,"Yes","No")</f>
        <v>No</v>
      </c>
      <c r="AB1122" s="12">
        <f>V1122-Z1122</f>
        <v>-18.086759999999998</v>
      </c>
      <c r="AC1122" s="15" t="s">
        <v>130</v>
      </c>
      <c r="AD1122" s="15" t="s">
        <v>130</v>
      </c>
      <c r="AE1122" s="15" t="s">
        <v>514</v>
      </c>
      <c r="AF1122" s="12">
        <f>IF(AG1122="Rejected",0,IF(R1122="Corporate Card",0,V1122))</f>
        <v>0</v>
      </c>
      <c r="AG1122" s="15" t="s">
        <v>804</v>
      </c>
      <c r="AH1122" s="16">
        <v>45773</v>
      </c>
      <c r="AI1122" s="16"/>
      <c r="AJ1122" s="16"/>
      <c r="AK1122" s="17" t="str">
        <f>IF(AJ1122="","",AJ1122-AH1122)</f>
        <v/>
      </c>
    </row>
    <row r="1123" spans="1:37">
      <c r="A1123" s="2" t="s">
        <v>1534</v>
      </c>
      <c r="B1123" s="2" t="s">
        <v>1235</v>
      </c>
      <c r="C1123" s="2" t="s">
        <v>867</v>
      </c>
      <c r="D1123" s="2" t="s">
        <v>865</v>
      </c>
      <c r="E1123" s="2" t="s">
        <v>1236</v>
      </c>
      <c r="F1123" s="2" t="s">
        <v>313</v>
      </c>
      <c r="G1123" s="2" t="s">
        <v>1490</v>
      </c>
      <c r="H1123" s="2" t="s">
        <v>803</v>
      </c>
      <c r="I1123" s="2" t="s">
        <v>433</v>
      </c>
      <c r="J1123" s="2" t="s">
        <v>434</v>
      </c>
      <c r="K1123" s="9">
        <v>45763</v>
      </c>
      <c r="L1123" s="9">
        <v>45770</v>
      </c>
      <c r="M1123" s="9">
        <v>45769</v>
      </c>
      <c r="N1123" s="2" t="s">
        <v>1333</v>
      </c>
      <c r="O1123" s="2" t="s">
        <v>54</v>
      </c>
      <c r="P1123" s="2" t="s">
        <v>139</v>
      </c>
      <c r="Q1123" s="2" t="s">
        <v>140</v>
      </c>
      <c r="R1123" s="2" t="s">
        <v>128</v>
      </c>
      <c r="S1123" s="2" t="s">
        <v>436</v>
      </c>
      <c r="T1123" s="10">
        <v>2771</v>
      </c>
      <c r="U1123" s="11">
        <v>1.1780000000000001E-2</v>
      </c>
      <c r="V1123" s="12">
        <f>T1123*U1123</f>
        <v>32.642380000000003</v>
      </c>
      <c r="W1123" s="13">
        <v>0.18</v>
      </c>
      <c r="X1123" s="12">
        <f>V1123-(V1123/(1+W1123))</f>
        <v>4.9793461016949152</v>
      </c>
      <c r="Y1123" s="12">
        <f>V1123-X1123</f>
        <v>27.663033898305088</v>
      </c>
      <c r="Z1123" s="14">
        <v>25</v>
      </c>
      <c r="AA1123" s="2" t="str">
        <f>IF(V1123&gt;Z1123,"Yes","No")</f>
        <v>Yes</v>
      </c>
      <c r="AB1123" s="12">
        <f>V1123-Z1123</f>
        <v>7.6423800000000028</v>
      </c>
      <c r="AC1123" s="15" t="s">
        <v>130</v>
      </c>
      <c r="AD1123" s="15" t="s">
        <v>130</v>
      </c>
      <c r="AE1123" s="15" t="s">
        <v>514</v>
      </c>
      <c r="AF1123" s="12">
        <f>IF(AG1123="Rejected",0,IF(R1123="Corporate Card",0,V1123))</f>
        <v>0</v>
      </c>
      <c r="AG1123" s="15" t="s">
        <v>804</v>
      </c>
      <c r="AH1123" s="16">
        <v>45773</v>
      </c>
      <c r="AI1123" s="16"/>
      <c r="AJ1123" s="16"/>
      <c r="AK1123" s="17" t="str">
        <f>IF(AJ1123="","",AJ1123-AH1123)</f>
        <v/>
      </c>
    </row>
    <row r="1124" spans="1:37">
      <c r="A1124" s="2" t="s">
        <v>1535</v>
      </c>
      <c r="B1124" s="2" t="s">
        <v>1235</v>
      </c>
      <c r="C1124" s="2" t="s">
        <v>867</v>
      </c>
      <c r="D1124" s="2" t="s">
        <v>865</v>
      </c>
      <c r="E1124" s="2" t="s">
        <v>1236</v>
      </c>
      <c r="F1124" s="2" t="s">
        <v>313</v>
      </c>
      <c r="G1124" s="2" t="s">
        <v>1490</v>
      </c>
      <c r="H1124" s="2" t="s">
        <v>803</v>
      </c>
      <c r="I1124" s="2" t="s">
        <v>433</v>
      </c>
      <c r="J1124" s="2" t="s">
        <v>434</v>
      </c>
      <c r="K1124" s="9">
        <v>45763</v>
      </c>
      <c r="L1124" s="9">
        <v>45770</v>
      </c>
      <c r="M1124" s="9">
        <v>45769</v>
      </c>
      <c r="N1124" s="2" t="s">
        <v>1333</v>
      </c>
      <c r="O1124" s="2" t="s">
        <v>56</v>
      </c>
      <c r="P1124" s="2" t="s">
        <v>151</v>
      </c>
      <c r="Q1124" s="2" t="s">
        <v>185</v>
      </c>
      <c r="R1124" s="2" t="s">
        <v>137</v>
      </c>
      <c r="S1124" s="2" t="s">
        <v>436</v>
      </c>
      <c r="T1124" s="10">
        <v>3077</v>
      </c>
      <c r="U1124" s="11">
        <v>1.1780000000000001E-2</v>
      </c>
      <c r="V1124" s="12">
        <f>T1124*U1124</f>
        <v>36.247060000000005</v>
      </c>
      <c r="W1124" s="13">
        <v>0.18</v>
      </c>
      <c r="X1124" s="12">
        <f>V1124-(V1124/(1+W1124))</f>
        <v>5.529212542372882</v>
      </c>
      <c r="Y1124" s="12">
        <f>V1124-X1124</f>
        <v>30.717847457627123</v>
      </c>
      <c r="Z1124" s="14">
        <v>75</v>
      </c>
      <c r="AA1124" s="2" t="str">
        <f>IF(V1124&gt;Z1124,"Yes","No")</f>
        <v>No</v>
      </c>
      <c r="AB1124" s="12">
        <f>V1124-Z1124</f>
        <v>-38.752939999999995</v>
      </c>
      <c r="AC1124" s="15" t="s">
        <v>130</v>
      </c>
      <c r="AD1124" s="15" t="s">
        <v>130</v>
      </c>
      <c r="AE1124" s="15" t="s">
        <v>514</v>
      </c>
      <c r="AF1124" s="12">
        <f>IF(AG1124="Rejected",0,IF(R1124="Corporate Card",0,V1124))</f>
        <v>0</v>
      </c>
      <c r="AG1124" s="15" t="s">
        <v>804</v>
      </c>
      <c r="AH1124" s="16">
        <v>45773</v>
      </c>
      <c r="AI1124" s="16"/>
      <c r="AJ1124" s="16"/>
      <c r="AK1124" s="17" t="str">
        <f>IF(AJ1124="","",AJ1124-AH1124)</f>
        <v/>
      </c>
    </row>
    <row r="1125" spans="1:37">
      <c r="A1125" s="2" t="s">
        <v>1536</v>
      </c>
      <c r="B1125" s="2" t="s">
        <v>1235</v>
      </c>
      <c r="C1125" s="2" t="s">
        <v>867</v>
      </c>
      <c r="D1125" s="2" t="s">
        <v>865</v>
      </c>
      <c r="E1125" s="2" t="s">
        <v>1236</v>
      </c>
      <c r="F1125" s="2" t="s">
        <v>313</v>
      </c>
      <c r="G1125" s="2" t="s">
        <v>1490</v>
      </c>
      <c r="H1125" s="2" t="s">
        <v>803</v>
      </c>
      <c r="I1125" s="2" t="s">
        <v>433</v>
      </c>
      <c r="J1125" s="2" t="s">
        <v>434</v>
      </c>
      <c r="K1125" s="9">
        <v>45763</v>
      </c>
      <c r="L1125" s="9">
        <v>45770</v>
      </c>
      <c r="M1125" s="9">
        <v>45769</v>
      </c>
      <c r="N1125" s="2" t="s">
        <v>1333</v>
      </c>
      <c r="O1125" s="2" t="s">
        <v>55</v>
      </c>
      <c r="P1125" s="2" t="s">
        <v>139</v>
      </c>
      <c r="Q1125" s="2" t="s">
        <v>217</v>
      </c>
      <c r="R1125" s="2" t="s">
        <v>128</v>
      </c>
      <c r="S1125" s="2" t="s">
        <v>436</v>
      </c>
      <c r="T1125" s="10">
        <v>1358</v>
      </c>
      <c r="U1125" s="11">
        <v>1.1780000000000001E-2</v>
      </c>
      <c r="V1125" s="12">
        <f>T1125*U1125</f>
        <v>15.997240000000001</v>
      </c>
      <c r="W1125" s="13">
        <v>0.18</v>
      </c>
      <c r="X1125" s="12">
        <f>V1125-(V1125/(1+W1125))</f>
        <v>2.4402569491525412</v>
      </c>
      <c r="Y1125" s="12">
        <f>V1125-X1125</f>
        <v>13.55698305084746</v>
      </c>
      <c r="Z1125" s="14">
        <v>35</v>
      </c>
      <c r="AA1125" s="2" t="str">
        <f>IF(V1125&gt;Z1125,"Yes","No")</f>
        <v>No</v>
      </c>
      <c r="AB1125" s="12">
        <f>V1125-Z1125</f>
        <v>-19.002759999999999</v>
      </c>
      <c r="AC1125" s="15" t="s">
        <v>130</v>
      </c>
      <c r="AD1125" s="15" t="s">
        <v>130</v>
      </c>
      <c r="AE1125" s="15" t="s">
        <v>514</v>
      </c>
      <c r="AF1125" s="12">
        <f>IF(AG1125="Rejected",0,IF(R1125="Corporate Card",0,V1125))</f>
        <v>0</v>
      </c>
      <c r="AG1125" s="15" t="s">
        <v>804</v>
      </c>
      <c r="AH1125" s="16">
        <v>45773</v>
      </c>
      <c r="AI1125" s="16"/>
      <c r="AJ1125" s="16"/>
      <c r="AK1125" s="17" t="str">
        <f>IF(AJ1125="","",AJ1125-AH1125)</f>
        <v/>
      </c>
    </row>
    <row r="1126" spans="1:37">
      <c r="A1126" s="2" t="s">
        <v>1537</v>
      </c>
      <c r="B1126" s="2" t="s">
        <v>189</v>
      </c>
      <c r="C1126" s="2" t="s">
        <v>190</v>
      </c>
      <c r="D1126" s="2" t="s">
        <v>171</v>
      </c>
      <c r="E1126" s="2" t="s">
        <v>191</v>
      </c>
      <c r="F1126" s="2" t="s">
        <v>173</v>
      </c>
      <c r="G1126" s="2" t="s">
        <v>1484</v>
      </c>
      <c r="H1126" s="2" t="s">
        <v>291</v>
      </c>
      <c r="I1126" s="2" t="s">
        <v>567</v>
      </c>
      <c r="J1126" s="2" t="s">
        <v>434</v>
      </c>
      <c r="K1126" s="9">
        <v>45762</v>
      </c>
      <c r="L1126" s="9">
        <v>45769</v>
      </c>
      <c r="M1126" s="9">
        <v>45769</v>
      </c>
      <c r="N1126" s="2" t="s">
        <v>1333</v>
      </c>
      <c r="O1126" s="2" t="s">
        <v>54</v>
      </c>
      <c r="P1126" s="2" t="s">
        <v>139</v>
      </c>
      <c r="Q1126" s="2" t="s">
        <v>140</v>
      </c>
      <c r="R1126" s="2" t="s">
        <v>149</v>
      </c>
      <c r="S1126" s="2" t="s">
        <v>436</v>
      </c>
      <c r="T1126" s="10">
        <v>1656</v>
      </c>
      <c r="U1126" s="11">
        <v>1.1780000000000001E-2</v>
      </c>
      <c r="V1126" s="12">
        <f>T1126*U1126</f>
        <v>19.507680000000001</v>
      </c>
      <c r="W1126" s="13">
        <v>0.18</v>
      </c>
      <c r="X1126" s="12">
        <f>V1126-(V1126/(1+W1126))</f>
        <v>2.9757477966101682</v>
      </c>
      <c r="Y1126" s="12">
        <f>V1126-X1126</f>
        <v>16.531932203389832</v>
      </c>
      <c r="Z1126" s="14">
        <v>25</v>
      </c>
      <c r="AA1126" s="2" t="str">
        <f>IF(V1126&gt;Z1126,"Yes","No")</f>
        <v>No</v>
      </c>
      <c r="AB1126" s="12">
        <f>V1126-Z1126</f>
        <v>-5.4923199999999994</v>
      </c>
      <c r="AC1126" s="15" t="s">
        <v>130</v>
      </c>
      <c r="AD1126" s="15" t="s">
        <v>130</v>
      </c>
      <c r="AE1126" s="15" t="s">
        <v>260</v>
      </c>
      <c r="AF1126" s="12">
        <f>IF(AG1126="Rejected",0,IF(R1126="Corporate Card",0,V1126))</f>
        <v>19.507680000000001</v>
      </c>
      <c r="AG1126" s="15" t="s">
        <v>133</v>
      </c>
      <c r="AH1126" s="16">
        <v>45773</v>
      </c>
      <c r="AI1126" s="16">
        <v>45775</v>
      </c>
      <c r="AJ1126" s="16">
        <v>45777</v>
      </c>
      <c r="AK1126" s="17">
        <f>IF(AJ1126="","",AJ1126-AH1126)</f>
        <v>4</v>
      </c>
    </row>
    <row r="1127" spans="1:37">
      <c r="A1127" s="2" t="s">
        <v>1538</v>
      </c>
      <c r="B1127" s="2" t="s">
        <v>189</v>
      </c>
      <c r="C1127" s="2" t="s">
        <v>190</v>
      </c>
      <c r="D1127" s="2" t="s">
        <v>171</v>
      </c>
      <c r="E1127" s="2" t="s">
        <v>191</v>
      </c>
      <c r="F1127" s="2" t="s">
        <v>173</v>
      </c>
      <c r="G1127" s="2" t="s">
        <v>1484</v>
      </c>
      <c r="H1127" s="2" t="s">
        <v>291</v>
      </c>
      <c r="I1127" s="2" t="s">
        <v>567</v>
      </c>
      <c r="J1127" s="2" t="s">
        <v>434</v>
      </c>
      <c r="K1127" s="9">
        <v>45762</v>
      </c>
      <c r="L1127" s="9">
        <v>45769</v>
      </c>
      <c r="M1127" s="9">
        <v>45769</v>
      </c>
      <c r="N1127" s="2" t="s">
        <v>1333</v>
      </c>
      <c r="O1127" s="2" t="s">
        <v>56</v>
      </c>
      <c r="P1127" s="2" t="s">
        <v>245</v>
      </c>
      <c r="Q1127" s="2" t="s">
        <v>159</v>
      </c>
      <c r="R1127" s="2" t="s">
        <v>137</v>
      </c>
      <c r="S1127" s="2" t="s">
        <v>436</v>
      </c>
      <c r="T1127" s="10">
        <v>4871</v>
      </c>
      <c r="U1127" s="11">
        <v>1.1780000000000001E-2</v>
      </c>
      <c r="V1127" s="12">
        <f>T1127*U1127</f>
        <v>57.380380000000002</v>
      </c>
      <c r="W1127" s="13">
        <v>0.18</v>
      </c>
      <c r="X1127" s="12">
        <f>V1127-(V1127/(1+W1127))</f>
        <v>8.752939322033896</v>
      </c>
      <c r="Y1127" s="12">
        <f>V1127-X1127</f>
        <v>48.627440677966106</v>
      </c>
      <c r="Z1127" s="14">
        <v>75</v>
      </c>
      <c r="AA1127" s="2" t="str">
        <f>IF(V1127&gt;Z1127,"Yes","No")</f>
        <v>No</v>
      </c>
      <c r="AB1127" s="12">
        <f>V1127-Z1127</f>
        <v>-17.619619999999998</v>
      </c>
      <c r="AC1127" s="15" t="s">
        <v>130</v>
      </c>
      <c r="AD1127" s="15" t="s">
        <v>130</v>
      </c>
      <c r="AE1127" s="15" t="s">
        <v>260</v>
      </c>
      <c r="AF1127" s="12">
        <f>IF(AG1127="Rejected",0,IF(R1127="Corporate Card",0,V1127))</f>
        <v>57.380380000000002</v>
      </c>
      <c r="AG1127" s="15" t="s">
        <v>133</v>
      </c>
      <c r="AH1127" s="16">
        <v>45773</v>
      </c>
      <c r="AI1127" s="16">
        <v>45775</v>
      </c>
      <c r="AJ1127" s="16">
        <v>45777</v>
      </c>
      <c r="AK1127" s="17">
        <f>IF(AJ1127="","",AJ1127-AH1127)</f>
        <v>4</v>
      </c>
    </row>
    <row r="1128" spans="1:37">
      <c r="A1128" s="2" t="s">
        <v>1539</v>
      </c>
      <c r="B1128" s="2" t="s">
        <v>189</v>
      </c>
      <c r="C1128" s="2" t="s">
        <v>190</v>
      </c>
      <c r="D1128" s="2" t="s">
        <v>171</v>
      </c>
      <c r="E1128" s="2" t="s">
        <v>191</v>
      </c>
      <c r="F1128" s="2" t="s">
        <v>173</v>
      </c>
      <c r="G1128" s="2" t="s">
        <v>1484</v>
      </c>
      <c r="H1128" s="2" t="s">
        <v>291</v>
      </c>
      <c r="I1128" s="2" t="s">
        <v>567</v>
      </c>
      <c r="J1128" s="2" t="s">
        <v>434</v>
      </c>
      <c r="K1128" s="9">
        <v>45762</v>
      </c>
      <c r="L1128" s="9">
        <v>45769</v>
      </c>
      <c r="M1128" s="9">
        <v>45769</v>
      </c>
      <c r="N1128" s="2" t="s">
        <v>1333</v>
      </c>
      <c r="O1128" s="2" t="s">
        <v>55</v>
      </c>
      <c r="P1128" s="2" t="s">
        <v>139</v>
      </c>
      <c r="Q1128" s="2" t="s">
        <v>217</v>
      </c>
      <c r="R1128" s="2" t="s">
        <v>137</v>
      </c>
      <c r="S1128" s="2" t="s">
        <v>436</v>
      </c>
      <c r="T1128" s="10">
        <v>1463</v>
      </c>
      <c r="U1128" s="11">
        <v>1.1780000000000001E-2</v>
      </c>
      <c r="V1128" s="12">
        <f>T1128*U1128</f>
        <v>17.23414</v>
      </c>
      <c r="W1128" s="13">
        <v>0.18</v>
      </c>
      <c r="X1128" s="12">
        <f>V1128-(V1128/(1+W1128))</f>
        <v>2.6289366101694913</v>
      </c>
      <c r="Y1128" s="12">
        <f>V1128-X1128</f>
        <v>14.605203389830509</v>
      </c>
      <c r="Z1128" s="14">
        <v>35</v>
      </c>
      <c r="AA1128" s="2" t="str">
        <f>IF(V1128&gt;Z1128,"Yes","No")</f>
        <v>No</v>
      </c>
      <c r="AB1128" s="12">
        <f>V1128-Z1128</f>
        <v>-17.76586</v>
      </c>
      <c r="AC1128" s="15" t="s">
        <v>130</v>
      </c>
      <c r="AD1128" s="15" t="s">
        <v>130</v>
      </c>
      <c r="AE1128" s="15" t="s">
        <v>260</v>
      </c>
      <c r="AF1128" s="12">
        <f>IF(AG1128="Rejected",0,IF(R1128="Corporate Card",0,V1128))</f>
        <v>17.23414</v>
      </c>
      <c r="AG1128" s="15" t="s">
        <v>133</v>
      </c>
      <c r="AH1128" s="16">
        <v>45773</v>
      </c>
      <c r="AI1128" s="16">
        <v>45775</v>
      </c>
      <c r="AJ1128" s="16">
        <v>45777</v>
      </c>
      <c r="AK1128" s="17">
        <f>IF(AJ1128="","",AJ1128-AH1128)</f>
        <v>4</v>
      </c>
    </row>
    <row r="1129" spans="1:37">
      <c r="A1129" s="2" t="s">
        <v>1540</v>
      </c>
      <c r="B1129" s="2" t="s">
        <v>1235</v>
      </c>
      <c r="C1129" s="2" t="s">
        <v>867</v>
      </c>
      <c r="D1129" s="2" t="s">
        <v>865</v>
      </c>
      <c r="E1129" s="2" t="s">
        <v>1236</v>
      </c>
      <c r="F1129" s="2" t="s">
        <v>313</v>
      </c>
      <c r="G1129" s="2" t="s">
        <v>1490</v>
      </c>
      <c r="H1129" s="2" t="s">
        <v>803</v>
      </c>
      <c r="I1129" s="2" t="s">
        <v>433</v>
      </c>
      <c r="J1129" s="2" t="s">
        <v>434</v>
      </c>
      <c r="K1129" s="9">
        <v>45763</v>
      </c>
      <c r="L1129" s="9">
        <v>45770</v>
      </c>
      <c r="M1129" s="9">
        <v>45770</v>
      </c>
      <c r="N1129" s="2" t="s">
        <v>1333</v>
      </c>
      <c r="O1129" s="2" t="s">
        <v>54</v>
      </c>
      <c r="P1129" s="2" t="s">
        <v>139</v>
      </c>
      <c r="Q1129" s="2" t="s">
        <v>140</v>
      </c>
      <c r="R1129" s="2" t="s">
        <v>128</v>
      </c>
      <c r="S1129" s="2" t="s">
        <v>436</v>
      </c>
      <c r="T1129" s="10">
        <v>1613</v>
      </c>
      <c r="U1129" s="11">
        <v>1.1780000000000001E-2</v>
      </c>
      <c r="V1129" s="12">
        <f>T1129*U1129</f>
        <v>19.001139999999999</v>
      </c>
      <c r="W1129" s="13">
        <v>0.18</v>
      </c>
      <c r="X1129" s="12">
        <f>V1129-(V1129/(1+W1129))</f>
        <v>2.8984789830508468</v>
      </c>
      <c r="Y1129" s="12">
        <f>V1129-X1129</f>
        <v>16.102661016949153</v>
      </c>
      <c r="Z1129" s="14">
        <v>25</v>
      </c>
      <c r="AA1129" s="2" t="str">
        <f>IF(V1129&gt;Z1129,"Yes","No")</f>
        <v>No</v>
      </c>
      <c r="AB1129" s="12">
        <f>V1129-Z1129</f>
        <v>-5.9988600000000005</v>
      </c>
      <c r="AC1129" s="15" t="s">
        <v>130</v>
      </c>
      <c r="AD1129" s="15" t="s">
        <v>130</v>
      </c>
      <c r="AE1129" s="15" t="s">
        <v>514</v>
      </c>
      <c r="AF1129" s="12">
        <f>IF(AG1129="Rejected",0,IF(R1129="Corporate Card",0,V1129))</f>
        <v>0</v>
      </c>
      <c r="AG1129" s="15" t="s">
        <v>804</v>
      </c>
      <c r="AH1129" s="16">
        <v>45773</v>
      </c>
      <c r="AI1129" s="16"/>
      <c r="AJ1129" s="16"/>
      <c r="AK1129" s="17" t="str">
        <f>IF(AJ1129="","",AJ1129-AH1129)</f>
        <v/>
      </c>
    </row>
    <row r="1130" spans="1:37">
      <c r="A1130" s="2" t="s">
        <v>1541</v>
      </c>
      <c r="B1130" s="2" t="s">
        <v>1235</v>
      </c>
      <c r="C1130" s="2" t="s">
        <v>867</v>
      </c>
      <c r="D1130" s="2" t="s">
        <v>865</v>
      </c>
      <c r="E1130" s="2" t="s">
        <v>1236</v>
      </c>
      <c r="F1130" s="2" t="s">
        <v>313</v>
      </c>
      <c r="G1130" s="2" t="s">
        <v>1490</v>
      </c>
      <c r="H1130" s="2" t="s">
        <v>803</v>
      </c>
      <c r="I1130" s="2" t="s">
        <v>433</v>
      </c>
      <c r="J1130" s="2" t="s">
        <v>434</v>
      </c>
      <c r="K1130" s="9">
        <v>45763</v>
      </c>
      <c r="L1130" s="9">
        <v>45770</v>
      </c>
      <c r="M1130" s="9">
        <v>45770</v>
      </c>
      <c r="N1130" s="2" t="s">
        <v>1333</v>
      </c>
      <c r="O1130" s="2" t="s">
        <v>56</v>
      </c>
      <c r="P1130" s="2" t="s">
        <v>151</v>
      </c>
      <c r="Q1130" s="2" t="s">
        <v>185</v>
      </c>
      <c r="R1130" s="2" t="s">
        <v>128</v>
      </c>
      <c r="S1130" s="2" t="s">
        <v>436</v>
      </c>
      <c r="T1130" s="10">
        <v>3740</v>
      </c>
      <c r="U1130" s="11">
        <v>1.1780000000000001E-2</v>
      </c>
      <c r="V1130" s="12">
        <f>T1130*U1130</f>
        <v>44.057200000000002</v>
      </c>
      <c r="W1130" s="13">
        <v>0.18</v>
      </c>
      <c r="X1130" s="12">
        <f>V1130-(V1130/(1+W1130))</f>
        <v>6.720589830508473</v>
      </c>
      <c r="Y1130" s="12">
        <f>V1130-X1130</f>
        <v>37.336610169491529</v>
      </c>
      <c r="Z1130" s="14">
        <v>75</v>
      </c>
      <c r="AA1130" s="2" t="str">
        <f>IF(V1130&gt;Z1130,"Yes","No")</f>
        <v>No</v>
      </c>
      <c r="AB1130" s="12">
        <f>V1130-Z1130</f>
        <v>-30.942799999999998</v>
      </c>
      <c r="AC1130" s="15" t="s">
        <v>130</v>
      </c>
      <c r="AD1130" s="15" t="s">
        <v>130</v>
      </c>
      <c r="AE1130" s="15" t="s">
        <v>514</v>
      </c>
      <c r="AF1130" s="12">
        <f>IF(AG1130="Rejected",0,IF(R1130="Corporate Card",0,V1130))</f>
        <v>0</v>
      </c>
      <c r="AG1130" s="15" t="s">
        <v>804</v>
      </c>
      <c r="AH1130" s="16">
        <v>45773</v>
      </c>
      <c r="AI1130" s="16"/>
      <c r="AJ1130" s="16"/>
      <c r="AK1130" s="17" t="str">
        <f>IF(AJ1130="","",AJ1130-AH1130)</f>
        <v/>
      </c>
    </row>
    <row r="1131" spans="1:37">
      <c r="A1131" s="2" t="s">
        <v>1542</v>
      </c>
      <c r="B1131" s="2" t="s">
        <v>1235</v>
      </c>
      <c r="C1131" s="2" t="s">
        <v>867</v>
      </c>
      <c r="D1131" s="2" t="s">
        <v>865</v>
      </c>
      <c r="E1131" s="2" t="s">
        <v>1236</v>
      </c>
      <c r="F1131" s="2" t="s">
        <v>313</v>
      </c>
      <c r="G1131" s="2" t="s">
        <v>1490</v>
      </c>
      <c r="H1131" s="2" t="s">
        <v>803</v>
      </c>
      <c r="I1131" s="2" t="s">
        <v>433</v>
      </c>
      <c r="J1131" s="2" t="s">
        <v>434</v>
      </c>
      <c r="K1131" s="9">
        <v>45763</v>
      </c>
      <c r="L1131" s="9">
        <v>45770</v>
      </c>
      <c r="M1131" s="9">
        <v>45770</v>
      </c>
      <c r="N1131" s="2" t="s">
        <v>1333</v>
      </c>
      <c r="O1131" s="2" t="s">
        <v>55</v>
      </c>
      <c r="P1131" s="2" t="s">
        <v>139</v>
      </c>
      <c r="Q1131" s="2" t="s">
        <v>187</v>
      </c>
      <c r="R1131" s="2" t="s">
        <v>128</v>
      </c>
      <c r="S1131" s="2" t="s">
        <v>436</v>
      </c>
      <c r="T1131" s="10">
        <v>2592</v>
      </c>
      <c r="U1131" s="11">
        <v>1.1780000000000001E-2</v>
      </c>
      <c r="V1131" s="12">
        <f>T1131*U1131</f>
        <v>30.533760000000001</v>
      </c>
      <c r="W1131" s="13">
        <v>0.18</v>
      </c>
      <c r="X1131" s="12">
        <f>V1131-(V1131/(1+W1131))</f>
        <v>4.6576922033898285</v>
      </c>
      <c r="Y1131" s="12">
        <f>V1131-X1131</f>
        <v>25.876067796610172</v>
      </c>
      <c r="Z1131" s="14">
        <v>35</v>
      </c>
      <c r="AA1131" s="2" t="str">
        <f>IF(V1131&gt;Z1131,"Yes","No")</f>
        <v>No</v>
      </c>
      <c r="AB1131" s="12">
        <f>V1131-Z1131</f>
        <v>-4.4662399999999991</v>
      </c>
      <c r="AC1131" s="15" t="s">
        <v>130</v>
      </c>
      <c r="AD1131" s="15" t="s">
        <v>130</v>
      </c>
      <c r="AE1131" s="15" t="s">
        <v>514</v>
      </c>
      <c r="AF1131" s="12">
        <f>IF(AG1131="Rejected",0,IF(R1131="Corporate Card",0,V1131))</f>
        <v>0</v>
      </c>
      <c r="AG1131" s="15" t="s">
        <v>804</v>
      </c>
      <c r="AH1131" s="16">
        <v>45773</v>
      </c>
      <c r="AI1131" s="16"/>
      <c r="AJ1131" s="16"/>
      <c r="AK1131" s="17" t="str">
        <f>IF(AJ1131="","",AJ1131-AH1131)</f>
        <v/>
      </c>
    </row>
    <row r="1132" spans="1:37">
      <c r="A1132" s="2" t="s">
        <v>1543</v>
      </c>
      <c r="B1132" s="2" t="s">
        <v>375</v>
      </c>
      <c r="C1132" s="2" t="s">
        <v>376</v>
      </c>
      <c r="D1132" s="2" t="s">
        <v>344</v>
      </c>
      <c r="E1132" s="2" t="s">
        <v>377</v>
      </c>
      <c r="F1132" s="2" t="s">
        <v>346</v>
      </c>
      <c r="G1132" s="2" t="s">
        <v>1544</v>
      </c>
      <c r="H1132" s="2" t="s">
        <v>291</v>
      </c>
      <c r="I1132" s="2" t="s">
        <v>380</v>
      </c>
      <c r="J1132" s="2" t="s">
        <v>381</v>
      </c>
      <c r="K1132" s="9">
        <v>45770</v>
      </c>
      <c r="L1132" s="9">
        <v>45777</v>
      </c>
      <c r="M1132" s="9">
        <v>45770</v>
      </c>
      <c r="N1132" s="2" t="s">
        <v>1333</v>
      </c>
      <c r="O1132" s="2" t="s">
        <v>52</v>
      </c>
      <c r="P1132" s="2" t="s">
        <v>382</v>
      </c>
      <c r="Q1132" s="2" t="s">
        <v>513</v>
      </c>
      <c r="R1132" s="2" t="s">
        <v>128</v>
      </c>
      <c r="S1132" s="2" t="s">
        <v>383</v>
      </c>
      <c r="T1132" s="10">
        <v>1294.8399999999999</v>
      </c>
      <c r="U1132" s="11">
        <v>1</v>
      </c>
      <c r="V1132" s="12">
        <f>T1132*U1132</f>
        <v>1294.8399999999999</v>
      </c>
      <c r="W1132" s="13">
        <v>0</v>
      </c>
      <c r="X1132" s="12">
        <f>V1132-(V1132/(1+W1132))</f>
        <v>0</v>
      </c>
      <c r="Y1132" s="12">
        <f>V1132-X1132</f>
        <v>1294.8399999999999</v>
      </c>
      <c r="Z1132" s="14">
        <v>1400</v>
      </c>
      <c r="AA1132" s="2" t="str">
        <f>IF(V1132&gt;Z1132,"Yes","No")</f>
        <v>No</v>
      </c>
      <c r="AB1132" s="12">
        <f>V1132-Z1132</f>
        <v>-105.16000000000008</v>
      </c>
      <c r="AC1132" s="15" t="s">
        <v>130</v>
      </c>
      <c r="AD1132" s="15" t="s">
        <v>130</v>
      </c>
      <c r="AE1132" s="15" t="s">
        <v>180</v>
      </c>
      <c r="AF1132" s="12">
        <f>IF(AG1132="Rejected",0,IF(R1132="Corporate Card",0,V1132))</f>
        <v>0</v>
      </c>
      <c r="AG1132" s="15" t="s">
        <v>133</v>
      </c>
      <c r="AH1132" s="16">
        <v>45789</v>
      </c>
      <c r="AI1132" s="16">
        <v>45794</v>
      </c>
      <c r="AJ1132" s="16">
        <v>45801</v>
      </c>
      <c r="AK1132" s="17">
        <f>IF(AJ1132="","",AJ1132-AH1132)</f>
        <v>12</v>
      </c>
    </row>
    <row r="1133" spans="1:37">
      <c r="A1133" s="2" t="s">
        <v>1545</v>
      </c>
      <c r="B1133" s="2" t="s">
        <v>375</v>
      </c>
      <c r="C1133" s="2" t="s">
        <v>376</v>
      </c>
      <c r="D1133" s="2" t="s">
        <v>344</v>
      </c>
      <c r="E1133" s="2" t="s">
        <v>377</v>
      </c>
      <c r="F1133" s="2" t="s">
        <v>346</v>
      </c>
      <c r="G1133" s="2" t="s">
        <v>1544</v>
      </c>
      <c r="H1133" s="2" t="s">
        <v>291</v>
      </c>
      <c r="I1133" s="2" t="s">
        <v>380</v>
      </c>
      <c r="J1133" s="2" t="s">
        <v>381</v>
      </c>
      <c r="K1133" s="9">
        <v>45770</v>
      </c>
      <c r="L1133" s="9">
        <v>45777</v>
      </c>
      <c r="M1133" s="9">
        <v>45770</v>
      </c>
      <c r="N1133" s="2" t="s">
        <v>1333</v>
      </c>
      <c r="O1133" s="2" t="s">
        <v>58</v>
      </c>
      <c r="P1133" s="2" t="s">
        <v>142</v>
      </c>
      <c r="Q1133" s="2" t="s">
        <v>224</v>
      </c>
      <c r="R1133" s="2" t="s">
        <v>128</v>
      </c>
      <c r="S1133" s="2" t="s">
        <v>383</v>
      </c>
      <c r="T1133" s="10">
        <v>31.74</v>
      </c>
      <c r="U1133" s="11">
        <v>1</v>
      </c>
      <c r="V1133" s="12">
        <f>T1133*U1133</f>
        <v>31.74</v>
      </c>
      <c r="W1133" s="13">
        <v>0</v>
      </c>
      <c r="X1133" s="12">
        <f>V1133-(V1133/(1+W1133))</f>
        <v>0</v>
      </c>
      <c r="Y1133" s="12">
        <f>V1133-X1133</f>
        <v>31.74</v>
      </c>
      <c r="Z1133" s="14">
        <v>60</v>
      </c>
      <c r="AA1133" s="2" t="str">
        <f>IF(V1133&gt;Z1133,"Yes","No")</f>
        <v>No</v>
      </c>
      <c r="AB1133" s="12">
        <f>V1133-Z1133</f>
        <v>-28.26</v>
      </c>
      <c r="AC1133" s="15" t="s">
        <v>130</v>
      </c>
      <c r="AD1133" s="15" t="s">
        <v>130</v>
      </c>
      <c r="AE1133" s="15" t="s">
        <v>180</v>
      </c>
      <c r="AF1133" s="12">
        <f>IF(AG1133="Rejected",0,IF(R1133="Corporate Card",0,V1133))</f>
        <v>0</v>
      </c>
      <c r="AG1133" s="15" t="s">
        <v>133</v>
      </c>
      <c r="AH1133" s="16">
        <v>45789</v>
      </c>
      <c r="AI1133" s="16">
        <v>45794</v>
      </c>
      <c r="AJ1133" s="16">
        <v>45801</v>
      </c>
      <c r="AK1133" s="17">
        <f>IF(AJ1133="","",AJ1133-AH1133)</f>
        <v>12</v>
      </c>
    </row>
    <row r="1134" spans="1:37">
      <c r="A1134" s="2" t="s">
        <v>1546</v>
      </c>
      <c r="B1134" s="2" t="s">
        <v>375</v>
      </c>
      <c r="C1134" s="2" t="s">
        <v>376</v>
      </c>
      <c r="D1134" s="2" t="s">
        <v>344</v>
      </c>
      <c r="E1134" s="2" t="s">
        <v>377</v>
      </c>
      <c r="F1134" s="2" t="s">
        <v>346</v>
      </c>
      <c r="G1134" s="2" t="s">
        <v>1544</v>
      </c>
      <c r="H1134" s="2" t="s">
        <v>291</v>
      </c>
      <c r="I1134" s="2" t="s">
        <v>380</v>
      </c>
      <c r="J1134" s="2" t="s">
        <v>381</v>
      </c>
      <c r="K1134" s="9">
        <v>45770</v>
      </c>
      <c r="L1134" s="9">
        <v>45777</v>
      </c>
      <c r="M1134" s="9">
        <v>45770</v>
      </c>
      <c r="N1134" s="2" t="s">
        <v>1333</v>
      </c>
      <c r="O1134" s="2" t="s">
        <v>54</v>
      </c>
      <c r="P1134" s="2" t="s">
        <v>139</v>
      </c>
      <c r="Q1134" s="2" t="s">
        <v>148</v>
      </c>
      <c r="R1134" s="2" t="s">
        <v>137</v>
      </c>
      <c r="S1134" s="2" t="s">
        <v>383</v>
      </c>
      <c r="T1134" s="10">
        <v>9.0500000000000007</v>
      </c>
      <c r="U1134" s="11">
        <v>1</v>
      </c>
      <c r="V1134" s="12">
        <f>T1134*U1134</f>
        <v>9.0500000000000007</v>
      </c>
      <c r="W1134" s="13">
        <v>0</v>
      </c>
      <c r="X1134" s="12">
        <f>V1134-(V1134/(1+W1134))</f>
        <v>0</v>
      </c>
      <c r="Y1134" s="12">
        <f>V1134-X1134</f>
        <v>9.0500000000000007</v>
      </c>
      <c r="Z1134" s="14">
        <v>25</v>
      </c>
      <c r="AA1134" s="2" t="str">
        <f>IF(V1134&gt;Z1134,"Yes","No")</f>
        <v>No</v>
      </c>
      <c r="AB1134" s="12">
        <f>V1134-Z1134</f>
        <v>-15.95</v>
      </c>
      <c r="AC1134" s="15" t="s">
        <v>130</v>
      </c>
      <c r="AD1134" s="15" t="s">
        <v>130</v>
      </c>
      <c r="AE1134" s="15" t="s">
        <v>180</v>
      </c>
      <c r="AF1134" s="12">
        <f>IF(AG1134="Rejected",0,IF(R1134="Corporate Card",0,V1134))</f>
        <v>9.0500000000000007</v>
      </c>
      <c r="AG1134" s="15" t="s">
        <v>133</v>
      </c>
      <c r="AH1134" s="16">
        <v>45789</v>
      </c>
      <c r="AI1134" s="16">
        <v>45794</v>
      </c>
      <c r="AJ1134" s="16">
        <v>45801</v>
      </c>
      <c r="AK1134" s="17">
        <f>IF(AJ1134="","",AJ1134-AH1134)</f>
        <v>12</v>
      </c>
    </row>
    <row r="1135" spans="1:37">
      <c r="A1135" s="2" t="s">
        <v>1547</v>
      </c>
      <c r="B1135" s="2" t="s">
        <v>375</v>
      </c>
      <c r="C1135" s="2" t="s">
        <v>376</v>
      </c>
      <c r="D1135" s="2" t="s">
        <v>344</v>
      </c>
      <c r="E1135" s="2" t="s">
        <v>377</v>
      </c>
      <c r="F1135" s="2" t="s">
        <v>346</v>
      </c>
      <c r="G1135" s="2" t="s">
        <v>1544</v>
      </c>
      <c r="H1135" s="2" t="s">
        <v>291</v>
      </c>
      <c r="I1135" s="2" t="s">
        <v>380</v>
      </c>
      <c r="J1135" s="2" t="s">
        <v>381</v>
      </c>
      <c r="K1135" s="9">
        <v>45770</v>
      </c>
      <c r="L1135" s="9">
        <v>45777</v>
      </c>
      <c r="M1135" s="9">
        <v>45770</v>
      </c>
      <c r="N1135" s="2" t="s">
        <v>1333</v>
      </c>
      <c r="O1135" s="2" t="s">
        <v>56</v>
      </c>
      <c r="P1135" s="2" t="s">
        <v>245</v>
      </c>
      <c r="Q1135" s="2" t="s">
        <v>152</v>
      </c>
      <c r="R1135" s="2" t="s">
        <v>137</v>
      </c>
      <c r="S1135" s="2" t="s">
        <v>383</v>
      </c>
      <c r="T1135" s="10">
        <v>65.56</v>
      </c>
      <c r="U1135" s="11">
        <v>1</v>
      </c>
      <c r="V1135" s="12">
        <f>T1135*U1135</f>
        <v>65.56</v>
      </c>
      <c r="W1135" s="13">
        <v>0</v>
      </c>
      <c r="X1135" s="12">
        <f>V1135-(V1135/(1+W1135))</f>
        <v>0</v>
      </c>
      <c r="Y1135" s="12">
        <f>V1135-X1135</f>
        <v>65.56</v>
      </c>
      <c r="Z1135" s="14">
        <v>75</v>
      </c>
      <c r="AA1135" s="2" t="str">
        <f>IF(V1135&gt;Z1135,"Yes","No")</f>
        <v>No</v>
      </c>
      <c r="AB1135" s="12">
        <f>V1135-Z1135</f>
        <v>-9.4399999999999977</v>
      </c>
      <c r="AC1135" s="15" t="s">
        <v>130</v>
      </c>
      <c r="AD1135" s="15" t="s">
        <v>130</v>
      </c>
      <c r="AE1135" s="15" t="s">
        <v>180</v>
      </c>
      <c r="AF1135" s="12">
        <f>IF(AG1135="Rejected",0,IF(R1135="Corporate Card",0,V1135))</f>
        <v>65.56</v>
      </c>
      <c r="AG1135" s="15" t="s">
        <v>133</v>
      </c>
      <c r="AH1135" s="16">
        <v>45789</v>
      </c>
      <c r="AI1135" s="16">
        <v>45794</v>
      </c>
      <c r="AJ1135" s="16">
        <v>45801</v>
      </c>
      <c r="AK1135" s="17">
        <f>IF(AJ1135="","",AJ1135-AH1135)</f>
        <v>12</v>
      </c>
    </row>
    <row r="1136" spans="1:37">
      <c r="A1136" s="2" t="s">
        <v>1548</v>
      </c>
      <c r="B1136" s="2" t="s">
        <v>375</v>
      </c>
      <c r="C1136" s="2" t="s">
        <v>376</v>
      </c>
      <c r="D1136" s="2" t="s">
        <v>344</v>
      </c>
      <c r="E1136" s="2" t="s">
        <v>377</v>
      </c>
      <c r="F1136" s="2" t="s">
        <v>346</v>
      </c>
      <c r="G1136" s="2" t="s">
        <v>1544</v>
      </c>
      <c r="H1136" s="2" t="s">
        <v>291</v>
      </c>
      <c r="I1136" s="2" t="s">
        <v>380</v>
      </c>
      <c r="J1136" s="2" t="s">
        <v>381</v>
      </c>
      <c r="K1136" s="9">
        <v>45770</v>
      </c>
      <c r="L1136" s="9">
        <v>45777</v>
      </c>
      <c r="M1136" s="9">
        <v>45770</v>
      </c>
      <c r="N1136" s="2" t="s">
        <v>1333</v>
      </c>
      <c r="O1136" s="2" t="s">
        <v>55</v>
      </c>
      <c r="P1136" s="2" t="s">
        <v>139</v>
      </c>
      <c r="Q1136" s="2" t="s">
        <v>217</v>
      </c>
      <c r="R1136" s="2" t="s">
        <v>128</v>
      </c>
      <c r="S1136" s="2" t="s">
        <v>383</v>
      </c>
      <c r="T1136" s="10">
        <v>24.19</v>
      </c>
      <c r="U1136" s="11">
        <v>1</v>
      </c>
      <c r="V1136" s="12">
        <f>T1136*U1136</f>
        <v>24.19</v>
      </c>
      <c r="W1136" s="13">
        <v>0</v>
      </c>
      <c r="X1136" s="12">
        <f>V1136-(V1136/(1+W1136))</f>
        <v>0</v>
      </c>
      <c r="Y1136" s="12">
        <f>V1136-X1136</f>
        <v>24.19</v>
      </c>
      <c r="Z1136" s="14">
        <v>35</v>
      </c>
      <c r="AA1136" s="2" t="str">
        <f>IF(V1136&gt;Z1136,"Yes","No")</f>
        <v>No</v>
      </c>
      <c r="AB1136" s="12">
        <f>V1136-Z1136</f>
        <v>-10.809999999999999</v>
      </c>
      <c r="AC1136" s="15" t="s">
        <v>130</v>
      </c>
      <c r="AD1136" s="15" t="s">
        <v>130</v>
      </c>
      <c r="AE1136" s="15" t="s">
        <v>180</v>
      </c>
      <c r="AF1136" s="12">
        <f>IF(AG1136="Rejected",0,IF(R1136="Corporate Card",0,V1136))</f>
        <v>0</v>
      </c>
      <c r="AG1136" s="15" t="s">
        <v>133</v>
      </c>
      <c r="AH1136" s="16">
        <v>45789</v>
      </c>
      <c r="AI1136" s="16">
        <v>45794</v>
      </c>
      <c r="AJ1136" s="16">
        <v>45801</v>
      </c>
      <c r="AK1136" s="17">
        <f>IF(AJ1136="","",AJ1136-AH1136)</f>
        <v>12</v>
      </c>
    </row>
    <row r="1137" spans="1:37">
      <c r="A1137" s="2" t="s">
        <v>1549</v>
      </c>
      <c r="B1137" s="2" t="s">
        <v>375</v>
      </c>
      <c r="C1137" s="2" t="s">
        <v>376</v>
      </c>
      <c r="D1137" s="2" t="s">
        <v>344</v>
      </c>
      <c r="E1137" s="2" t="s">
        <v>377</v>
      </c>
      <c r="F1137" s="2" t="s">
        <v>346</v>
      </c>
      <c r="G1137" s="2" t="s">
        <v>1544</v>
      </c>
      <c r="H1137" s="2" t="s">
        <v>291</v>
      </c>
      <c r="I1137" s="2" t="s">
        <v>380</v>
      </c>
      <c r="J1137" s="2" t="s">
        <v>381</v>
      </c>
      <c r="K1137" s="9">
        <v>45770</v>
      </c>
      <c r="L1137" s="9">
        <v>45777</v>
      </c>
      <c r="M1137" s="9">
        <v>45771</v>
      </c>
      <c r="N1137" s="2" t="s">
        <v>1333</v>
      </c>
      <c r="O1137" s="2" t="s">
        <v>53</v>
      </c>
      <c r="P1137" s="2" t="s">
        <v>208</v>
      </c>
      <c r="Q1137" s="2" t="s">
        <v>458</v>
      </c>
      <c r="R1137" s="2" t="s">
        <v>128</v>
      </c>
      <c r="S1137" s="2" t="s">
        <v>383</v>
      </c>
      <c r="T1137" s="10">
        <v>1108.3900000000001</v>
      </c>
      <c r="U1137" s="11">
        <v>1</v>
      </c>
      <c r="V1137" s="12">
        <f>T1137*U1137</f>
        <v>1108.3900000000001</v>
      </c>
      <c r="W1137" s="13">
        <v>0</v>
      </c>
      <c r="X1137" s="12">
        <f>V1137-(V1137/(1+W1137))</f>
        <v>0</v>
      </c>
      <c r="Y1137" s="12">
        <f>V1137-X1137</f>
        <v>1108.3900000000001</v>
      </c>
      <c r="Z1137" s="14">
        <v>1960</v>
      </c>
      <c r="AA1137" s="2" t="str">
        <f>IF(V1137&gt;Z1137,"Yes","No")</f>
        <v>No</v>
      </c>
      <c r="AB1137" s="12">
        <f>V1137-Z1137</f>
        <v>-851.6099999999999</v>
      </c>
      <c r="AC1137" s="15" t="s">
        <v>130</v>
      </c>
      <c r="AD1137" s="15" t="s">
        <v>130</v>
      </c>
      <c r="AE1137" s="15" t="s">
        <v>180</v>
      </c>
      <c r="AF1137" s="12">
        <f>IF(AG1137="Rejected",0,IF(R1137="Corporate Card",0,V1137))</f>
        <v>0</v>
      </c>
      <c r="AG1137" s="15" t="s">
        <v>133</v>
      </c>
      <c r="AH1137" s="16">
        <v>45789</v>
      </c>
      <c r="AI1137" s="16">
        <v>45794</v>
      </c>
      <c r="AJ1137" s="16">
        <v>45801</v>
      </c>
      <c r="AK1137" s="17">
        <f>IF(AJ1137="","",AJ1137-AH1137)</f>
        <v>12</v>
      </c>
    </row>
    <row r="1138" spans="1:37">
      <c r="A1138" s="2" t="s">
        <v>1550</v>
      </c>
      <c r="B1138" s="2" t="s">
        <v>375</v>
      </c>
      <c r="C1138" s="2" t="s">
        <v>376</v>
      </c>
      <c r="D1138" s="2" t="s">
        <v>344</v>
      </c>
      <c r="E1138" s="2" t="s">
        <v>377</v>
      </c>
      <c r="F1138" s="2" t="s">
        <v>346</v>
      </c>
      <c r="G1138" s="2" t="s">
        <v>1544</v>
      </c>
      <c r="H1138" s="2" t="s">
        <v>291</v>
      </c>
      <c r="I1138" s="2" t="s">
        <v>380</v>
      </c>
      <c r="J1138" s="2" t="s">
        <v>381</v>
      </c>
      <c r="K1138" s="9">
        <v>45770</v>
      </c>
      <c r="L1138" s="9">
        <v>45777</v>
      </c>
      <c r="M1138" s="9">
        <v>45771</v>
      </c>
      <c r="N1138" s="2" t="s">
        <v>1333</v>
      </c>
      <c r="O1138" s="2" t="s">
        <v>54</v>
      </c>
      <c r="P1138" s="2" t="s">
        <v>139</v>
      </c>
      <c r="Q1138" s="2" t="s">
        <v>214</v>
      </c>
      <c r="R1138" s="2" t="s">
        <v>128</v>
      </c>
      <c r="S1138" s="2" t="s">
        <v>383</v>
      </c>
      <c r="T1138" s="10">
        <v>24.5</v>
      </c>
      <c r="U1138" s="11">
        <v>1</v>
      </c>
      <c r="V1138" s="12">
        <f>T1138*U1138</f>
        <v>24.5</v>
      </c>
      <c r="W1138" s="13">
        <v>0</v>
      </c>
      <c r="X1138" s="12">
        <f>V1138-(V1138/(1+W1138))</f>
        <v>0</v>
      </c>
      <c r="Y1138" s="12">
        <f>V1138-X1138</f>
        <v>24.5</v>
      </c>
      <c r="Z1138" s="14">
        <v>25</v>
      </c>
      <c r="AA1138" s="2" t="str">
        <f>IF(V1138&gt;Z1138,"Yes","No")</f>
        <v>No</v>
      </c>
      <c r="AB1138" s="12">
        <f>V1138-Z1138</f>
        <v>-0.5</v>
      </c>
      <c r="AC1138" s="15" t="s">
        <v>131</v>
      </c>
      <c r="AD1138" s="15" t="s">
        <v>130</v>
      </c>
      <c r="AE1138" s="15" t="s">
        <v>180</v>
      </c>
      <c r="AF1138" s="12">
        <f>IF(AG1138="Rejected",0,IF(R1138="Corporate Card",0,V1138))</f>
        <v>0</v>
      </c>
      <c r="AG1138" s="15" t="s">
        <v>133</v>
      </c>
      <c r="AH1138" s="16">
        <v>45789</v>
      </c>
      <c r="AI1138" s="16">
        <v>45794</v>
      </c>
      <c r="AJ1138" s="16">
        <v>45801</v>
      </c>
      <c r="AK1138" s="17">
        <f>IF(AJ1138="","",AJ1138-AH1138)</f>
        <v>12</v>
      </c>
    </row>
    <row r="1139" spans="1:37">
      <c r="A1139" s="2" t="s">
        <v>1551</v>
      </c>
      <c r="B1139" s="2" t="s">
        <v>375</v>
      </c>
      <c r="C1139" s="2" t="s">
        <v>376</v>
      </c>
      <c r="D1139" s="2" t="s">
        <v>344</v>
      </c>
      <c r="E1139" s="2" t="s">
        <v>377</v>
      </c>
      <c r="F1139" s="2" t="s">
        <v>346</v>
      </c>
      <c r="G1139" s="2" t="s">
        <v>1544</v>
      </c>
      <c r="H1139" s="2" t="s">
        <v>291</v>
      </c>
      <c r="I1139" s="2" t="s">
        <v>380</v>
      </c>
      <c r="J1139" s="2" t="s">
        <v>381</v>
      </c>
      <c r="K1139" s="9">
        <v>45770</v>
      </c>
      <c r="L1139" s="9">
        <v>45777</v>
      </c>
      <c r="M1139" s="9">
        <v>45771</v>
      </c>
      <c r="N1139" s="2" t="s">
        <v>1333</v>
      </c>
      <c r="O1139" s="2" t="s">
        <v>56</v>
      </c>
      <c r="P1139" s="2" t="s">
        <v>231</v>
      </c>
      <c r="Q1139" s="2" t="s">
        <v>152</v>
      </c>
      <c r="R1139" s="2" t="s">
        <v>149</v>
      </c>
      <c r="S1139" s="2" t="s">
        <v>383</v>
      </c>
      <c r="T1139" s="10">
        <v>39.03</v>
      </c>
      <c r="U1139" s="11">
        <v>1</v>
      </c>
      <c r="V1139" s="12">
        <f>T1139*U1139</f>
        <v>39.03</v>
      </c>
      <c r="W1139" s="13">
        <v>0</v>
      </c>
      <c r="X1139" s="12">
        <f>V1139-(V1139/(1+W1139))</f>
        <v>0</v>
      </c>
      <c r="Y1139" s="12">
        <f>V1139-X1139</f>
        <v>39.03</v>
      </c>
      <c r="Z1139" s="14">
        <v>75</v>
      </c>
      <c r="AA1139" s="2" t="str">
        <f>IF(V1139&gt;Z1139,"Yes","No")</f>
        <v>No</v>
      </c>
      <c r="AB1139" s="12">
        <f>V1139-Z1139</f>
        <v>-35.97</v>
      </c>
      <c r="AC1139" s="15" t="s">
        <v>130</v>
      </c>
      <c r="AD1139" s="15" t="s">
        <v>130</v>
      </c>
      <c r="AE1139" s="15" t="s">
        <v>180</v>
      </c>
      <c r="AF1139" s="12">
        <f>IF(AG1139="Rejected",0,IF(R1139="Corporate Card",0,V1139))</f>
        <v>39.03</v>
      </c>
      <c r="AG1139" s="15" t="s">
        <v>133</v>
      </c>
      <c r="AH1139" s="16">
        <v>45789</v>
      </c>
      <c r="AI1139" s="16">
        <v>45794</v>
      </c>
      <c r="AJ1139" s="16">
        <v>45801</v>
      </c>
      <c r="AK1139" s="17">
        <f>IF(AJ1139="","",AJ1139-AH1139)</f>
        <v>12</v>
      </c>
    </row>
    <row r="1140" spans="1:37">
      <c r="A1140" s="2" t="s">
        <v>1552</v>
      </c>
      <c r="B1140" s="2" t="s">
        <v>375</v>
      </c>
      <c r="C1140" s="2" t="s">
        <v>376</v>
      </c>
      <c r="D1140" s="2" t="s">
        <v>344</v>
      </c>
      <c r="E1140" s="2" t="s">
        <v>377</v>
      </c>
      <c r="F1140" s="2" t="s">
        <v>346</v>
      </c>
      <c r="G1140" s="2" t="s">
        <v>1544</v>
      </c>
      <c r="H1140" s="2" t="s">
        <v>291</v>
      </c>
      <c r="I1140" s="2" t="s">
        <v>380</v>
      </c>
      <c r="J1140" s="2" t="s">
        <v>381</v>
      </c>
      <c r="K1140" s="9">
        <v>45770</v>
      </c>
      <c r="L1140" s="9">
        <v>45777</v>
      </c>
      <c r="M1140" s="9">
        <v>45771</v>
      </c>
      <c r="N1140" s="2" t="s">
        <v>1333</v>
      </c>
      <c r="O1140" s="2" t="s">
        <v>55</v>
      </c>
      <c r="P1140" s="2" t="s">
        <v>139</v>
      </c>
      <c r="Q1140" s="2" t="s">
        <v>187</v>
      </c>
      <c r="R1140" s="2" t="s">
        <v>128</v>
      </c>
      <c r="S1140" s="2" t="s">
        <v>383</v>
      </c>
      <c r="T1140" s="10">
        <v>27.35</v>
      </c>
      <c r="U1140" s="11">
        <v>1</v>
      </c>
      <c r="V1140" s="12">
        <f>T1140*U1140</f>
        <v>27.35</v>
      </c>
      <c r="W1140" s="13">
        <v>0</v>
      </c>
      <c r="X1140" s="12">
        <f>V1140-(V1140/(1+W1140))</f>
        <v>0</v>
      </c>
      <c r="Y1140" s="12">
        <f>V1140-X1140</f>
        <v>27.35</v>
      </c>
      <c r="Z1140" s="14">
        <v>35</v>
      </c>
      <c r="AA1140" s="2" t="str">
        <f>IF(V1140&gt;Z1140,"Yes","No")</f>
        <v>No</v>
      </c>
      <c r="AB1140" s="12">
        <f>V1140-Z1140</f>
        <v>-7.6499999999999986</v>
      </c>
      <c r="AC1140" s="15" t="s">
        <v>130</v>
      </c>
      <c r="AD1140" s="15" t="s">
        <v>130</v>
      </c>
      <c r="AE1140" s="15" t="s">
        <v>180</v>
      </c>
      <c r="AF1140" s="12">
        <f>IF(AG1140="Rejected",0,IF(R1140="Corporate Card",0,V1140))</f>
        <v>0</v>
      </c>
      <c r="AG1140" s="15" t="s">
        <v>133</v>
      </c>
      <c r="AH1140" s="16">
        <v>45789</v>
      </c>
      <c r="AI1140" s="16">
        <v>45794</v>
      </c>
      <c r="AJ1140" s="16">
        <v>45801</v>
      </c>
      <c r="AK1140" s="17">
        <f>IF(AJ1140="","",AJ1140-AH1140)</f>
        <v>12</v>
      </c>
    </row>
    <row r="1141" spans="1:37">
      <c r="A1141" s="2" t="s">
        <v>1553</v>
      </c>
      <c r="B1141" s="2" t="s">
        <v>375</v>
      </c>
      <c r="C1141" s="2" t="s">
        <v>376</v>
      </c>
      <c r="D1141" s="2" t="s">
        <v>344</v>
      </c>
      <c r="E1141" s="2" t="s">
        <v>377</v>
      </c>
      <c r="F1141" s="2" t="s">
        <v>346</v>
      </c>
      <c r="G1141" s="2" t="s">
        <v>1544</v>
      </c>
      <c r="H1141" s="2" t="s">
        <v>291</v>
      </c>
      <c r="I1141" s="2" t="s">
        <v>380</v>
      </c>
      <c r="J1141" s="2" t="s">
        <v>381</v>
      </c>
      <c r="K1141" s="9">
        <v>45770</v>
      </c>
      <c r="L1141" s="9">
        <v>45777</v>
      </c>
      <c r="M1141" s="9">
        <v>45772</v>
      </c>
      <c r="N1141" s="2" t="s">
        <v>1333</v>
      </c>
      <c r="O1141" s="2" t="s">
        <v>58</v>
      </c>
      <c r="P1141" s="2" t="s">
        <v>142</v>
      </c>
      <c r="Q1141" s="2" t="s">
        <v>296</v>
      </c>
      <c r="R1141" s="2" t="s">
        <v>128</v>
      </c>
      <c r="S1141" s="2" t="s">
        <v>383</v>
      </c>
      <c r="T1141" s="10">
        <v>70.86</v>
      </c>
      <c r="U1141" s="11">
        <v>1</v>
      </c>
      <c r="V1141" s="12">
        <f>T1141*U1141</f>
        <v>70.86</v>
      </c>
      <c r="W1141" s="13">
        <v>0</v>
      </c>
      <c r="X1141" s="12">
        <f>V1141-(V1141/(1+W1141))</f>
        <v>0</v>
      </c>
      <c r="Y1141" s="12">
        <f>V1141-X1141</f>
        <v>70.86</v>
      </c>
      <c r="Z1141" s="14">
        <v>60</v>
      </c>
      <c r="AA1141" s="2" t="str">
        <f>IF(V1141&gt;Z1141,"Yes","No")</f>
        <v>Yes</v>
      </c>
      <c r="AB1141" s="12">
        <f>V1141-Z1141</f>
        <v>10.86</v>
      </c>
      <c r="AC1141" s="15" t="s">
        <v>130</v>
      </c>
      <c r="AD1141" s="15" t="s">
        <v>130</v>
      </c>
      <c r="AE1141" s="15" t="s">
        <v>180</v>
      </c>
      <c r="AF1141" s="12">
        <f>IF(AG1141="Rejected",0,IF(R1141="Corporate Card",0,V1141))</f>
        <v>0</v>
      </c>
      <c r="AG1141" s="15" t="s">
        <v>133</v>
      </c>
      <c r="AH1141" s="16">
        <v>45789</v>
      </c>
      <c r="AI1141" s="16">
        <v>45794</v>
      </c>
      <c r="AJ1141" s="16">
        <v>45801</v>
      </c>
      <c r="AK1141" s="17">
        <f>IF(AJ1141="","",AJ1141-AH1141)</f>
        <v>12</v>
      </c>
    </row>
    <row r="1142" spans="1:37">
      <c r="A1142" s="2" t="s">
        <v>1554</v>
      </c>
      <c r="B1142" s="2" t="s">
        <v>375</v>
      </c>
      <c r="C1142" s="2" t="s">
        <v>376</v>
      </c>
      <c r="D1142" s="2" t="s">
        <v>344</v>
      </c>
      <c r="E1142" s="2" t="s">
        <v>377</v>
      </c>
      <c r="F1142" s="2" t="s">
        <v>346</v>
      </c>
      <c r="G1142" s="2" t="s">
        <v>1544</v>
      </c>
      <c r="H1142" s="2" t="s">
        <v>291</v>
      </c>
      <c r="I1142" s="2" t="s">
        <v>380</v>
      </c>
      <c r="J1142" s="2" t="s">
        <v>381</v>
      </c>
      <c r="K1142" s="9">
        <v>45770</v>
      </c>
      <c r="L1142" s="9">
        <v>45777</v>
      </c>
      <c r="M1142" s="9">
        <v>45772</v>
      </c>
      <c r="N1142" s="2" t="s">
        <v>1333</v>
      </c>
      <c r="O1142" s="2" t="s">
        <v>54</v>
      </c>
      <c r="P1142" s="2" t="s">
        <v>139</v>
      </c>
      <c r="Q1142" s="2" t="s">
        <v>148</v>
      </c>
      <c r="R1142" s="2" t="s">
        <v>128</v>
      </c>
      <c r="S1142" s="2" t="s">
        <v>383</v>
      </c>
      <c r="T1142" s="10">
        <v>11.39</v>
      </c>
      <c r="U1142" s="11">
        <v>1</v>
      </c>
      <c r="V1142" s="12">
        <f>T1142*U1142</f>
        <v>11.39</v>
      </c>
      <c r="W1142" s="13">
        <v>0</v>
      </c>
      <c r="X1142" s="12">
        <f>V1142-(V1142/(1+W1142))</f>
        <v>0</v>
      </c>
      <c r="Y1142" s="12">
        <f>V1142-X1142</f>
        <v>11.39</v>
      </c>
      <c r="Z1142" s="14">
        <v>25</v>
      </c>
      <c r="AA1142" s="2" t="str">
        <f>IF(V1142&gt;Z1142,"Yes","No")</f>
        <v>No</v>
      </c>
      <c r="AB1142" s="12">
        <f>V1142-Z1142</f>
        <v>-13.61</v>
      </c>
      <c r="AC1142" s="15" t="s">
        <v>130</v>
      </c>
      <c r="AD1142" s="15" t="s">
        <v>130</v>
      </c>
      <c r="AE1142" s="15" t="s">
        <v>180</v>
      </c>
      <c r="AF1142" s="12">
        <f>IF(AG1142="Rejected",0,IF(R1142="Corporate Card",0,V1142))</f>
        <v>0</v>
      </c>
      <c r="AG1142" s="15" t="s">
        <v>133</v>
      </c>
      <c r="AH1142" s="16">
        <v>45789</v>
      </c>
      <c r="AI1142" s="16">
        <v>45794</v>
      </c>
      <c r="AJ1142" s="16">
        <v>45801</v>
      </c>
      <c r="AK1142" s="17">
        <f>IF(AJ1142="","",AJ1142-AH1142)</f>
        <v>12</v>
      </c>
    </row>
    <row r="1143" spans="1:37">
      <c r="A1143" s="2" t="s">
        <v>1555</v>
      </c>
      <c r="B1143" s="2" t="s">
        <v>375</v>
      </c>
      <c r="C1143" s="2" t="s">
        <v>376</v>
      </c>
      <c r="D1143" s="2" t="s">
        <v>344</v>
      </c>
      <c r="E1143" s="2" t="s">
        <v>377</v>
      </c>
      <c r="F1143" s="2" t="s">
        <v>346</v>
      </c>
      <c r="G1143" s="2" t="s">
        <v>1544</v>
      </c>
      <c r="H1143" s="2" t="s">
        <v>291</v>
      </c>
      <c r="I1143" s="2" t="s">
        <v>380</v>
      </c>
      <c r="J1143" s="2" t="s">
        <v>381</v>
      </c>
      <c r="K1143" s="9">
        <v>45770</v>
      </c>
      <c r="L1143" s="9">
        <v>45777</v>
      </c>
      <c r="M1143" s="9">
        <v>45772</v>
      </c>
      <c r="N1143" s="2" t="s">
        <v>1333</v>
      </c>
      <c r="O1143" s="2" t="s">
        <v>56</v>
      </c>
      <c r="P1143" s="2" t="s">
        <v>245</v>
      </c>
      <c r="Q1143" s="2" t="s">
        <v>185</v>
      </c>
      <c r="R1143" s="2" t="s">
        <v>128</v>
      </c>
      <c r="S1143" s="2" t="s">
        <v>383</v>
      </c>
      <c r="T1143" s="10">
        <v>28.32</v>
      </c>
      <c r="U1143" s="11">
        <v>1</v>
      </c>
      <c r="V1143" s="12">
        <f>T1143*U1143</f>
        <v>28.32</v>
      </c>
      <c r="W1143" s="13">
        <v>0</v>
      </c>
      <c r="X1143" s="12">
        <f>V1143-(V1143/(1+W1143))</f>
        <v>0</v>
      </c>
      <c r="Y1143" s="12">
        <f>V1143-X1143</f>
        <v>28.32</v>
      </c>
      <c r="Z1143" s="14">
        <v>75</v>
      </c>
      <c r="AA1143" s="2" t="str">
        <f>IF(V1143&gt;Z1143,"Yes","No")</f>
        <v>No</v>
      </c>
      <c r="AB1143" s="12">
        <f>V1143-Z1143</f>
        <v>-46.68</v>
      </c>
      <c r="AC1143" s="15" t="s">
        <v>130</v>
      </c>
      <c r="AD1143" s="15" t="s">
        <v>130</v>
      </c>
      <c r="AE1143" s="15" t="s">
        <v>180</v>
      </c>
      <c r="AF1143" s="12">
        <f>IF(AG1143="Rejected",0,IF(R1143="Corporate Card",0,V1143))</f>
        <v>0</v>
      </c>
      <c r="AG1143" s="15" t="s">
        <v>133</v>
      </c>
      <c r="AH1143" s="16">
        <v>45789</v>
      </c>
      <c r="AI1143" s="16">
        <v>45794</v>
      </c>
      <c r="AJ1143" s="16">
        <v>45801</v>
      </c>
      <c r="AK1143" s="17">
        <f>IF(AJ1143="","",AJ1143-AH1143)</f>
        <v>12</v>
      </c>
    </row>
    <row r="1144" spans="1:37">
      <c r="A1144" s="2" t="s">
        <v>1556</v>
      </c>
      <c r="B1144" s="2" t="s">
        <v>375</v>
      </c>
      <c r="C1144" s="2" t="s">
        <v>376</v>
      </c>
      <c r="D1144" s="2" t="s">
        <v>344</v>
      </c>
      <c r="E1144" s="2" t="s">
        <v>377</v>
      </c>
      <c r="F1144" s="2" t="s">
        <v>346</v>
      </c>
      <c r="G1144" s="2" t="s">
        <v>1544</v>
      </c>
      <c r="H1144" s="2" t="s">
        <v>291</v>
      </c>
      <c r="I1144" s="2" t="s">
        <v>380</v>
      </c>
      <c r="J1144" s="2" t="s">
        <v>381</v>
      </c>
      <c r="K1144" s="9">
        <v>45770</v>
      </c>
      <c r="L1144" s="9">
        <v>45777</v>
      </c>
      <c r="M1144" s="9">
        <v>45772</v>
      </c>
      <c r="N1144" s="2" t="s">
        <v>1333</v>
      </c>
      <c r="O1144" s="2" t="s">
        <v>55</v>
      </c>
      <c r="P1144" s="2" t="s">
        <v>139</v>
      </c>
      <c r="Q1144" s="2" t="s">
        <v>154</v>
      </c>
      <c r="R1144" s="2" t="s">
        <v>128</v>
      </c>
      <c r="S1144" s="2" t="s">
        <v>383</v>
      </c>
      <c r="T1144" s="10">
        <v>33.71</v>
      </c>
      <c r="U1144" s="11">
        <v>1</v>
      </c>
      <c r="V1144" s="12">
        <f>T1144*U1144</f>
        <v>33.71</v>
      </c>
      <c r="W1144" s="13">
        <v>0</v>
      </c>
      <c r="X1144" s="12">
        <f>V1144-(V1144/(1+W1144))</f>
        <v>0</v>
      </c>
      <c r="Y1144" s="12">
        <f>V1144-X1144</f>
        <v>33.71</v>
      </c>
      <c r="Z1144" s="14">
        <v>35</v>
      </c>
      <c r="AA1144" s="2" t="str">
        <f>IF(V1144&gt;Z1144,"Yes","No")</f>
        <v>No</v>
      </c>
      <c r="AB1144" s="12">
        <f>V1144-Z1144</f>
        <v>-1.2899999999999991</v>
      </c>
      <c r="AC1144" s="15" t="s">
        <v>130</v>
      </c>
      <c r="AD1144" s="15" t="s">
        <v>130</v>
      </c>
      <c r="AE1144" s="15" t="s">
        <v>180</v>
      </c>
      <c r="AF1144" s="12">
        <f>IF(AG1144="Rejected",0,IF(R1144="Corporate Card",0,V1144))</f>
        <v>0</v>
      </c>
      <c r="AG1144" s="15" t="s">
        <v>133</v>
      </c>
      <c r="AH1144" s="16">
        <v>45789</v>
      </c>
      <c r="AI1144" s="16">
        <v>45794</v>
      </c>
      <c r="AJ1144" s="16">
        <v>45801</v>
      </c>
      <c r="AK1144" s="17">
        <f>IF(AJ1144="","",AJ1144-AH1144)</f>
        <v>12</v>
      </c>
    </row>
    <row r="1145" spans="1:37">
      <c r="A1145" s="2" t="s">
        <v>1557</v>
      </c>
      <c r="B1145" s="2" t="s">
        <v>169</v>
      </c>
      <c r="C1145" s="2" t="s">
        <v>170</v>
      </c>
      <c r="D1145" s="2" t="s">
        <v>171</v>
      </c>
      <c r="E1145" s="2" t="s">
        <v>172</v>
      </c>
      <c r="F1145" s="2" t="s">
        <v>173</v>
      </c>
      <c r="G1145" s="2" t="s">
        <v>1558</v>
      </c>
      <c r="H1145" s="2" t="s">
        <v>748</v>
      </c>
      <c r="I1145" s="2" t="s">
        <v>123</v>
      </c>
      <c r="J1145" s="2" t="s">
        <v>124</v>
      </c>
      <c r="K1145" s="9">
        <v>45773</v>
      </c>
      <c r="L1145" s="9">
        <v>45776</v>
      </c>
      <c r="M1145" s="9">
        <v>45773</v>
      </c>
      <c r="N1145" s="2" t="s">
        <v>1333</v>
      </c>
      <c r="O1145" s="2" t="s">
        <v>52</v>
      </c>
      <c r="P1145" s="2" t="s">
        <v>126</v>
      </c>
      <c r="Q1145" s="2" t="s">
        <v>258</v>
      </c>
      <c r="R1145" s="2" t="s">
        <v>137</v>
      </c>
      <c r="S1145" s="2" t="s">
        <v>129</v>
      </c>
      <c r="T1145" s="10">
        <v>1817.28</v>
      </c>
      <c r="U1145" s="11">
        <v>1.272</v>
      </c>
      <c r="V1145" s="12">
        <f>T1145*U1145</f>
        <v>2311.58016</v>
      </c>
      <c r="W1145" s="13">
        <v>0</v>
      </c>
      <c r="X1145" s="12">
        <f>V1145-(V1145/(1+W1145))</f>
        <v>0</v>
      </c>
      <c r="Y1145" s="12">
        <f>V1145-X1145</f>
        <v>2311.58016</v>
      </c>
      <c r="Z1145" s="14">
        <v>1400</v>
      </c>
      <c r="AA1145" s="2" t="str">
        <f>IF(V1145&gt;Z1145,"Yes","No")</f>
        <v>Yes</v>
      </c>
      <c r="AB1145" s="12">
        <f>V1145-Z1145</f>
        <v>911.58015999999998</v>
      </c>
      <c r="AC1145" s="15" t="s">
        <v>130</v>
      </c>
      <c r="AD1145" s="15" t="s">
        <v>130</v>
      </c>
      <c r="AE1145" s="15" t="s">
        <v>180</v>
      </c>
      <c r="AF1145" s="12">
        <f>IF(AG1145="Rejected",0,IF(R1145="Corporate Card",0,V1145))</f>
        <v>2311.58016</v>
      </c>
      <c r="AG1145" s="15" t="s">
        <v>133</v>
      </c>
      <c r="AH1145" s="16">
        <v>45780</v>
      </c>
      <c r="AI1145" s="16">
        <v>45789</v>
      </c>
      <c r="AJ1145" s="16">
        <v>45793</v>
      </c>
      <c r="AK1145" s="17">
        <f>IF(AJ1145="","",AJ1145-AH1145)</f>
        <v>13</v>
      </c>
    </row>
    <row r="1146" spans="1:37">
      <c r="A1146" s="2" t="s">
        <v>1559</v>
      </c>
      <c r="B1146" s="2" t="s">
        <v>169</v>
      </c>
      <c r="C1146" s="2" t="s">
        <v>170</v>
      </c>
      <c r="D1146" s="2" t="s">
        <v>171</v>
      </c>
      <c r="E1146" s="2" t="s">
        <v>172</v>
      </c>
      <c r="F1146" s="2" t="s">
        <v>173</v>
      </c>
      <c r="G1146" s="2" t="s">
        <v>1558</v>
      </c>
      <c r="H1146" s="2" t="s">
        <v>748</v>
      </c>
      <c r="I1146" s="2" t="s">
        <v>123</v>
      </c>
      <c r="J1146" s="2" t="s">
        <v>124</v>
      </c>
      <c r="K1146" s="9">
        <v>45773</v>
      </c>
      <c r="L1146" s="9">
        <v>45776</v>
      </c>
      <c r="M1146" s="9">
        <v>45773</v>
      </c>
      <c r="N1146" s="2" t="s">
        <v>1333</v>
      </c>
      <c r="O1146" s="2" t="s">
        <v>58</v>
      </c>
      <c r="P1146" s="2" t="s">
        <v>142</v>
      </c>
      <c r="Q1146" s="2" t="s">
        <v>296</v>
      </c>
      <c r="R1146" s="2" t="s">
        <v>137</v>
      </c>
      <c r="S1146" s="2" t="s">
        <v>129</v>
      </c>
      <c r="T1146" s="10">
        <v>16.920000000000002</v>
      </c>
      <c r="U1146" s="11">
        <v>1.272</v>
      </c>
      <c r="V1146" s="12">
        <f>T1146*U1146</f>
        <v>21.522240000000004</v>
      </c>
      <c r="W1146" s="13">
        <v>0.2</v>
      </c>
      <c r="X1146" s="12">
        <f>V1146-(V1146/(1+W1146))</f>
        <v>3.5870399999999982</v>
      </c>
      <c r="Y1146" s="12">
        <f>V1146-X1146</f>
        <v>17.935200000000005</v>
      </c>
      <c r="Z1146" s="14">
        <v>60</v>
      </c>
      <c r="AA1146" s="2" t="str">
        <f>IF(V1146&gt;Z1146,"Yes","No")</f>
        <v>No</v>
      </c>
      <c r="AB1146" s="12">
        <f>V1146-Z1146</f>
        <v>-38.477759999999996</v>
      </c>
      <c r="AC1146" s="15" t="s">
        <v>130</v>
      </c>
      <c r="AD1146" s="15" t="s">
        <v>130</v>
      </c>
      <c r="AE1146" s="15" t="s">
        <v>180</v>
      </c>
      <c r="AF1146" s="12">
        <f>IF(AG1146="Rejected",0,IF(R1146="Corporate Card",0,V1146))</f>
        <v>21.522240000000004</v>
      </c>
      <c r="AG1146" s="15" t="s">
        <v>133</v>
      </c>
      <c r="AH1146" s="16">
        <v>45780</v>
      </c>
      <c r="AI1146" s="16">
        <v>45789</v>
      </c>
      <c r="AJ1146" s="16">
        <v>45793</v>
      </c>
      <c r="AK1146" s="17">
        <f>IF(AJ1146="","",AJ1146-AH1146)</f>
        <v>13</v>
      </c>
    </row>
    <row r="1147" spans="1:37">
      <c r="A1147" s="2" t="s">
        <v>1560</v>
      </c>
      <c r="B1147" s="2" t="s">
        <v>169</v>
      </c>
      <c r="C1147" s="2" t="s">
        <v>170</v>
      </c>
      <c r="D1147" s="2" t="s">
        <v>171</v>
      </c>
      <c r="E1147" s="2" t="s">
        <v>172</v>
      </c>
      <c r="F1147" s="2" t="s">
        <v>173</v>
      </c>
      <c r="G1147" s="2" t="s">
        <v>1558</v>
      </c>
      <c r="H1147" s="2" t="s">
        <v>748</v>
      </c>
      <c r="I1147" s="2" t="s">
        <v>123</v>
      </c>
      <c r="J1147" s="2" t="s">
        <v>124</v>
      </c>
      <c r="K1147" s="9">
        <v>45773</v>
      </c>
      <c r="L1147" s="9">
        <v>45776</v>
      </c>
      <c r="M1147" s="9">
        <v>45773</v>
      </c>
      <c r="N1147" s="2" t="s">
        <v>1333</v>
      </c>
      <c r="O1147" s="2" t="s">
        <v>54</v>
      </c>
      <c r="P1147" s="2" t="s">
        <v>139</v>
      </c>
      <c r="Q1147" s="2" t="s">
        <v>140</v>
      </c>
      <c r="R1147" s="2" t="s">
        <v>128</v>
      </c>
      <c r="S1147" s="2" t="s">
        <v>129</v>
      </c>
      <c r="T1147" s="10">
        <v>13.69</v>
      </c>
      <c r="U1147" s="11">
        <v>1.272</v>
      </c>
      <c r="V1147" s="12">
        <f>T1147*U1147</f>
        <v>17.413679999999999</v>
      </c>
      <c r="W1147" s="13">
        <v>0.2</v>
      </c>
      <c r="X1147" s="12">
        <f>V1147-(V1147/(1+W1147))</f>
        <v>2.9022799999999993</v>
      </c>
      <c r="Y1147" s="12">
        <f>V1147-X1147</f>
        <v>14.5114</v>
      </c>
      <c r="Z1147" s="14">
        <v>25</v>
      </c>
      <c r="AA1147" s="2" t="str">
        <f>IF(V1147&gt;Z1147,"Yes","No")</f>
        <v>No</v>
      </c>
      <c r="AB1147" s="12">
        <f>V1147-Z1147</f>
        <v>-7.5863200000000006</v>
      </c>
      <c r="AC1147" s="15" t="s">
        <v>130</v>
      </c>
      <c r="AD1147" s="15" t="s">
        <v>130</v>
      </c>
      <c r="AE1147" s="15" t="s">
        <v>180</v>
      </c>
      <c r="AF1147" s="12">
        <f>IF(AG1147="Rejected",0,IF(R1147="Corporate Card",0,V1147))</f>
        <v>0</v>
      </c>
      <c r="AG1147" s="15" t="s">
        <v>133</v>
      </c>
      <c r="AH1147" s="16">
        <v>45780</v>
      </c>
      <c r="AI1147" s="16">
        <v>45789</v>
      </c>
      <c r="AJ1147" s="16">
        <v>45793</v>
      </c>
      <c r="AK1147" s="17">
        <f>IF(AJ1147="","",AJ1147-AH1147)</f>
        <v>13</v>
      </c>
    </row>
    <row r="1148" spans="1:37">
      <c r="A1148" s="2" t="s">
        <v>1561</v>
      </c>
      <c r="B1148" s="2" t="s">
        <v>169</v>
      </c>
      <c r="C1148" s="2" t="s">
        <v>170</v>
      </c>
      <c r="D1148" s="2" t="s">
        <v>171</v>
      </c>
      <c r="E1148" s="2" t="s">
        <v>172</v>
      </c>
      <c r="F1148" s="2" t="s">
        <v>173</v>
      </c>
      <c r="G1148" s="2" t="s">
        <v>1558</v>
      </c>
      <c r="H1148" s="2" t="s">
        <v>748</v>
      </c>
      <c r="I1148" s="2" t="s">
        <v>123</v>
      </c>
      <c r="J1148" s="2" t="s">
        <v>124</v>
      </c>
      <c r="K1148" s="9">
        <v>45773</v>
      </c>
      <c r="L1148" s="9">
        <v>45776</v>
      </c>
      <c r="M1148" s="9">
        <v>45773</v>
      </c>
      <c r="N1148" s="2" t="s">
        <v>1333</v>
      </c>
      <c r="O1148" s="2" t="s">
        <v>56</v>
      </c>
      <c r="P1148" s="2" t="s">
        <v>231</v>
      </c>
      <c r="Q1148" s="2" t="s">
        <v>185</v>
      </c>
      <c r="R1148" s="2" t="s">
        <v>128</v>
      </c>
      <c r="S1148" s="2" t="s">
        <v>129</v>
      </c>
      <c r="T1148" s="10">
        <v>37.94</v>
      </c>
      <c r="U1148" s="11">
        <v>1.272</v>
      </c>
      <c r="V1148" s="12">
        <f>T1148*U1148</f>
        <v>48.259679999999996</v>
      </c>
      <c r="W1148" s="13">
        <v>0.2</v>
      </c>
      <c r="X1148" s="12">
        <f>V1148-(V1148/(1+W1148))</f>
        <v>8.0432799999999958</v>
      </c>
      <c r="Y1148" s="12">
        <f>V1148-X1148</f>
        <v>40.2164</v>
      </c>
      <c r="Z1148" s="14">
        <v>75</v>
      </c>
      <c r="AA1148" s="2" t="str">
        <f>IF(V1148&gt;Z1148,"Yes","No")</f>
        <v>No</v>
      </c>
      <c r="AB1148" s="12">
        <f>V1148-Z1148</f>
        <v>-26.740320000000004</v>
      </c>
      <c r="AC1148" s="15" t="s">
        <v>130</v>
      </c>
      <c r="AD1148" s="15" t="s">
        <v>130</v>
      </c>
      <c r="AE1148" s="15" t="s">
        <v>180</v>
      </c>
      <c r="AF1148" s="12">
        <f>IF(AG1148="Rejected",0,IF(R1148="Corporate Card",0,V1148))</f>
        <v>0</v>
      </c>
      <c r="AG1148" s="15" t="s">
        <v>133</v>
      </c>
      <c r="AH1148" s="16">
        <v>45780</v>
      </c>
      <c r="AI1148" s="16">
        <v>45789</v>
      </c>
      <c r="AJ1148" s="16">
        <v>45793</v>
      </c>
      <c r="AK1148" s="17">
        <f>IF(AJ1148="","",AJ1148-AH1148)</f>
        <v>13</v>
      </c>
    </row>
    <row r="1149" spans="1:37">
      <c r="A1149" s="2" t="s">
        <v>1562</v>
      </c>
      <c r="B1149" s="2" t="s">
        <v>375</v>
      </c>
      <c r="C1149" s="2" t="s">
        <v>376</v>
      </c>
      <c r="D1149" s="2" t="s">
        <v>344</v>
      </c>
      <c r="E1149" s="2" t="s">
        <v>377</v>
      </c>
      <c r="F1149" s="2" t="s">
        <v>346</v>
      </c>
      <c r="G1149" s="2" t="s">
        <v>1544</v>
      </c>
      <c r="H1149" s="2" t="s">
        <v>291</v>
      </c>
      <c r="I1149" s="2" t="s">
        <v>380</v>
      </c>
      <c r="J1149" s="2" t="s">
        <v>381</v>
      </c>
      <c r="K1149" s="9">
        <v>45770</v>
      </c>
      <c r="L1149" s="9">
        <v>45777</v>
      </c>
      <c r="M1149" s="9">
        <v>45773</v>
      </c>
      <c r="N1149" s="2" t="s">
        <v>1333</v>
      </c>
      <c r="O1149" s="2" t="s">
        <v>58</v>
      </c>
      <c r="P1149" s="2" t="s">
        <v>142</v>
      </c>
      <c r="Q1149" s="2" t="s">
        <v>296</v>
      </c>
      <c r="R1149" s="2" t="s">
        <v>128</v>
      </c>
      <c r="S1149" s="2" t="s">
        <v>383</v>
      </c>
      <c r="T1149" s="10">
        <v>33.130000000000003</v>
      </c>
      <c r="U1149" s="11">
        <v>1</v>
      </c>
      <c r="V1149" s="12">
        <f>T1149*U1149</f>
        <v>33.130000000000003</v>
      </c>
      <c r="W1149" s="13">
        <v>0</v>
      </c>
      <c r="X1149" s="12">
        <f>V1149-(V1149/(1+W1149))</f>
        <v>0</v>
      </c>
      <c r="Y1149" s="12">
        <f>V1149-X1149</f>
        <v>33.130000000000003</v>
      </c>
      <c r="Z1149" s="14">
        <v>60</v>
      </c>
      <c r="AA1149" s="2" t="str">
        <f>IF(V1149&gt;Z1149,"Yes","No")</f>
        <v>No</v>
      </c>
      <c r="AB1149" s="12">
        <f>V1149-Z1149</f>
        <v>-26.869999999999997</v>
      </c>
      <c r="AC1149" s="15" t="s">
        <v>130</v>
      </c>
      <c r="AD1149" s="15" t="s">
        <v>130</v>
      </c>
      <c r="AE1149" s="15" t="s">
        <v>180</v>
      </c>
      <c r="AF1149" s="12">
        <f>IF(AG1149="Rejected",0,IF(R1149="Corporate Card",0,V1149))</f>
        <v>0</v>
      </c>
      <c r="AG1149" s="15" t="s">
        <v>133</v>
      </c>
      <c r="AH1149" s="16">
        <v>45789</v>
      </c>
      <c r="AI1149" s="16">
        <v>45794</v>
      </c>
      <c r="AJ1149" s="16">
        <v>45801</v>
      </c>
      <c r="AK1149" s="17">
        <f>IF(AJ1149="","",AJ1149-AH1149)</f>
        <v>12</v>
      </c>
    </row>
    <row r="1150" spans="1:37">
      <c r="A1150" s="2" t="s">
        <v>1563</v>
      </c>
      <c r="B1150" s="2" t="s">
        <v>375</v>
      </c>
      <c r="C1150" s="2" t="s">
        <v>376</v>
      </c>
      <c r="D1150" s="2" t="s">
        <v>344</v>
      </c>
      <c r="E1150" s="2" t="s">
        <v>377</v>
      </c>
      <c r="F1150" s="2" t="s">
        <v>346</v>
      </c>
      <c r="G1150" s="2" t="s">
        <v>1544</v>
      </c>
      <c r="H1150" s="2" t="s">
        <v>291</v>
      </c>
      <c r="I1150" s="2" t="s">
        <v>380</v>
      </c>
      <c r="J1150" s="2" t="s">
        <v>381</v>
      </c>
      <c r="K1150" s="9">
        <v>45770</v>
      </c>
      <c r="L1150" s="9">
        <v>45777</v>
      </c>
      <c r="M1150" s="9">
        <v>45773</v>
      </c>
      <c r="N1150" s="2" t="s">
        <v>1333</v>
      </c>
      <c r="O1150" s="2" t="s">
        <v>68</v>
      </c>
      <c r="P1150" s="2" t="s">
        <v>282</v>
      </c>
      <c r="Q1150" s="2" t="s">
        <v>283</v>
      </c>
      <c r="R1150" s="2" t="s">
        <v>128</v>
      </c>
      <c r="S1150" s="2" t="s">
        <v>383</v>
      </c>
      <c r="T1150" s="10">
        <v>26.03</v>
      </c>
      <c r="U1150" s="11">
        <v>1</v>
      </c>
      <c r="V1150" s="12">
        <f>T1150*U1150</f>
        <v>26.03</v>
      </c>
      <c r="W1150" s="13">
        <v>0</v>
      </c>
      <c r="X1150" s="12">
        <f>V1150-(V1150/(1+W1150))</f>
        <v>0</v>
      </c>
      <c r="Y1150" s="12">
        <f>V1150-X1150</f>
        <v>26.03</v>
      </c>
      <c r="Z1150" s="14">
        <v>30</v>
      </c>
      <c r="AA1150" s="2" t="str">
        <f>IF(V1150&gt;Z1150,"Yes","No")</f>
        <v>No</v>
      </c>
      <c r="AB1150" s="12">
        <f>V1150-Z1150</f>
        <v>-3.9699999999999989</v>
      </c>
      <c r="AC1150" s="15" t="s">
        <v>131</v>
      </c>
      <c r="AD1150" s="15" t="s">
        <v>130</v>
      </c>
      <c r="AE1150" s="15" t="s">
        <v>180</v>
      </c>
      <c r="AF1150" s="12">
        <f>IF(AG1150="Rejected",0,IF(R1150="Corporate Card",0,V1150))</f>
        <v>0</v>
      </c>
      <c r="AG1150" s="15" t="s">
        <v>133</v>
      </c>
      <c r="AH1150" s="16">
        <v>45789</v>
      </c>
      <c r="AI1150" s="16">
        <v>45794</v>
      </c>
      <c r="AJ1150" s="16">
        <v>45801</v>
      </c>
      <c r="AK1150" s="17">
        <f>IF(AJ1150="","",AJ1150-AH1150)</f>
        <v>12</v>
      </c>
    </row>
    <row r="1151" spans="1:37">
      <c r="A1151" s="2" t="s">
        <v>1564</v>
      </c>
      <c r="B1151" s="2" t="s">
        <v>375</v>
      </c>
      <c r="C1151" s="2" t="s">
        <v>376</v>
      </c>
      <c r="D1151" s="2" t="s">
        <v>344</v>
      </c>
      <c r="E1151" s="2" t="s">
        <v>377</v>
      </c>
      <c r="F1151" s="2" t="s">
        <v>346</v>
      </c>
      <c r="G1151" s="2" t="s">
        <v>1544</v>
      </c>
      <c r="H1151" s="2" t="s">
        <v>291</v>
      </c>
      <c r="I1151" s="2" t="s">
        <v>380</v>
      </c>
      <c r="J1151" s="2" t="s">
        <v>381</v>
      </c>
      <c r="K1151" s="9">
        <v>45770</v>
      </c>
      <c r="L1151" s="9">
        <v>45777</v>
      </c>
      <c r="M1151" s="9">
        <v>45773</v>
      </c>
      <c r="N1151" s="2" t="s">
        <v>1333</v>
      </c>
      <c r="O1151" s="2" t="s">
        <v>54</v>
      </c>
      <c r="P1151" s="2" t="s">
        <v>139</v>
      </c>
      <c r="Q1151" s="2" t="s">
        <v>163</v>
      </c>
      <c r="R1151" s="2" t="s">
        <v>149</v>
      </c>
      <c r="S1151" s="2" t="s">
        <v>383</v>
      </c>
      <c r="T1151" s="10">
        <v>11.02</v>
      </c>
      <c r="U1151" s="11">
        <v>1</v>
      </c>
      <c r="V1151" s="12">
        <f>T1151*U1151</f>
        <v>11.02</v>
      </c>
      <c r="W1151" s="13">
        <v>0</v>
      </c>
      <c r="X1151" s="12">
        <f>V1151-(V1151/(1+W1151))</f>
        <v>0</v>
      </c>
      <c r="Y1151" s="12">
        <f>V1151-X1151</f>
        <v>11.02</v>
      </c>
      <c r="Z1151" s="14">
        <v>25</v>
      </c>
      <c r="AA1151" s="2" t="str">
        <f>IF(V1151&gt;Z1151,"Yes","No")</f>
        <v>No</v>
      </c>
      <c r="AB1151" s="12">
        <f>V1151-Z1151</f>
        <v>-13.98</v>
      </c>
      <c r="AC1151" s="15" t="s">
        <v>130</v>
      </c>
      <c r="AD1151" s="15" t="s">
        <v>130</v>
      </c>
      <c r="AE1151" s="15" t="s">
        <v>180</v>
      </c>
      <c r="AF1151" s="12">
        <f>IF(AG1151="Rejected",0,IF(R1151="Corporate Card",0,V1151))</f>
        <v>11.02</v>
      </c>
      <c r="AG1151" s="15" t="s">
        <v>133</v>
      </c>
      <c r="AH1151" s="16">
        <v>45789</v>
      </c>
      <c r="AI1151" s="16">
        <v>45794</v>
      </c>
      <c r="AJ1151" s="16">
        <v>45801</v>
      </c>
      <c r="AK1151" s="17">
        <f>IF(AJ1151="","",AJ1151-AH1151)</f>
        <v>12</v>
      </c>
    </row>
    <row r="1152" spans="1:37">
      <c r="A1152" s="2" t="s">
        <v>1565</v>
      </c>
      <c r="B1152" s="2" t="s">
        <v>375</v>
      </c>
      <c r="C1152" s="2" t="s">
        <v>376</v>
      </c>
      <c r="D1152" s="2" t="s">
        <v>344</v>
      </c>
      <c r="E1152" s="2" t="s">
        <v>377</v>
      </c>
      <c r="F1152" s="2" t="s">
        <v>346</v>
      </c>
      <c r="G1152" s="2" t="s">
        <v>1544</v>
      </c>
      <c r="H1152" s="2" t="s">
        <v>291</v>
      </c>
      <c r="I1152" s="2" t="s">
        <v>380</v>
      </c>
      <c r="J1152" s="2" t="s">
        <v>381</v>
      </c>
      <c r="K1152" s="9">
        <v>45770</v>
      </c>
      <c r="L1152" s="9">
        <v>45777</v>
      </c>
      <c r="M1152" s="9">
        <v>45773</v>
      </c>
      <c r="N1152" s="2" t="s">
        <v>1333</v>
      </c>
      <c r="O1152" s="2" t="s">
        <v>55</v>
      </c>
      <c r="P1152" s="2" t="s">
        <v>139</v>
      </c>
      <c r="Q1152" s="2" t="s">
        <v>161</v>
      </c>
      <c r="R1152" s="2" t="s">
        <v>128</v>
      </c>
      <c r="S1152" s="2" t="s">
        <v>383</v>
      </c>
      <c r="T1152" s="10">
        <v>18.350000000000001</v>
      </c>
      <c r="U1152" s="11">
        <v>1</v>
      </c>
      <c r="V1152" s="12">
        <f>T1152*U1152</f>
        <v>18.350000000000001</v>
      </c>
      <c r="W1152" s="13">
        <v>0</v>
      </c>
      <c r="X1152" s="12">
        <f>V1152-(V1152/(1+W1152))</f>
        <v>0</v>
      </c>
      <c r="Y1152" s="12">
        <f>V1152-X1152</f>
        <v>18.350000000000001</v>
      </c>
      <c r="Z1152" s="14">
        <v>35</v>
      </c>
      <c r="AA1152" s="2" t="str">
        <f>IF(V1152&gt;Z1152,"Yes","No")</f>
        <v>No</v>
      </c>
      <c r="AB1152" s="12">
        <f>V1152-Z1152</f>
        <v>-16.649999999999999</v>
      </c>
      <c r="AC1152" s="15" t="s">
        <v>130</v>
      </c>
      <c r="AD1152" s="15" t="s">
        <v>130</v>
      </c>
      <c r="AE1152" s="15" t="s">
        <v>180</v>
      </c>
      <c r="AF1152" s="12">
        <f>IF(AG1152="Rejected",0,IF(R1152="Corporate Card",0,V1152))</f>
        <v>0</v>
      </c>
      <c r="AG1152" s="15" t="s">
        <v>133</v>
      </c>
      <c r="AH1152" s="16">
        <v>45789</v>
      </c>
      <c r="AI1152" s="16">
        <v>45794</v>
      </c>
      <c r="AJ1152" s="16">
        <v>45801</v>
      </c>
      <c r="AK1152" s="17">
        <f>IF(AJ1152="","",AJ1152-AH1152)</f>
        <v>12</v>
      </c>
    </row>
    <row r="1153" spans="1:37">
      <c r="A1153" s="2" t="s">
        <v>1566</v>
      </c>
      <c r="B1153" s="2" t="s">
        <v>169</v>
      </c>
      <c r="C1153" s="2" t="s">
        <v>170</v>
      </c>
      <c r="D1153" s="2" t="s">
        <v>171</v>
      </c>
      <c r="E1153" s="2" t="s">
        <v>172</v>
      </c>
      <c r="F1153" s="2" t="s">
        <v>173</v>
      </c>
      <c r="G1153" s="2" t="s">
        <v>1558</v>
      </c>
      <c r="H1153" s="2" t="s">
        <v>748</v>
      </c>
      <c r="I1153" s="2" t="s">
        <v>123</v>
      </c>
      <c r="J1153" s="2" t="s">
        <v>124</v>
      </c>
      <c r="K1153" s="9">
        <v>45773</v>
      </c>
      <c r="L1153" s="9">
        <v>45776</v>
      </c>
      <c r="M1153" s="9">
        <v>45774</v>
      </c>
      <c r="N1153" s="2" t="s">
        <v>1333</v>
      </c>
      <c r="O1153" s="2" t="s">
        <v>60</v>
      </c>
      <c r="P1153" s="2" t="s">
        <v>1567</v>
      </c>
      <c r="Q1153" s="2" t="s">
        <v>955</v>
      </c>
      <c r="R1153" s="2" t="s">
        <v>149</v>
      </c>
      <c r="S1153" s="2" t="s">
        <v>129</v>
      </c>
      <c r="T1153" s="10">
        <v>201.68</v>
      </c>
      <c r="U1153" s="11">
        <v>1.272</v>
      </c>
      <c r="V1153" s="12">
        <f>T1153*U1153</f>
        <v>256.53696000000002</v>
      </c>
      <c r="W1153" s="13">
        <v>0.2</v>
      </c>
      <c r="X1153" s="12">
        <f>V1153-(V1153/(1+W1153))</f>
        <v>42.756159999999994</v>
      </c>
      <c r="Y1153" s="12">
        <f>V1153-X1153</f>
        <v>213.78080000000003</v>
      </c>
      <c r="Z1153" s="14">
        <v>360</v>
      </c>
      <c r="AA1153" s="2" t="str">
        <f>IF(V1153&gt;Z1153,"Yes","No")</f>
        <v>No</v>
      </c>
      <c r="AB1153" s="12">
        <f>V1153-Z1153</f>
        <v>-103.46303999999998</v>
      </c>
      <c r="AC1153" s="15" t="s">
        <v>130</v>
      </c>
      <c r="AD1153" s="15" t="s">
        <v>130</v>
      </c>
      <c r="AE1153" s="15" t="s">
        <v>180</v>
      </c>
      <c r="AF1153" s="12">
        <f>IF(AG1153="Rejected",0,IF(R1153="Corporate Card",0,V1153))</f>
        <v>256.53696000000002</v>
      </c>
      <c r="AG1153" s="15" t="s">
        <v>133</v>
      </c>
      <c r="AH1153" s="16">
        <v>45780</v>
      </c>
      <c r="AI1153" s="16">
        <v>45789</v>
      </c>
      <c r="AJ1153" s="16">
        <v>45793</v>
      </c>
      <c r="AK1153" s="17">
        <f>IF(AJ1153="","",AJ1153-AH1153)</f>
        <v>13</v>
      </c>
    </row>
    <row r="1154" spans="1:37">
      <c r="A1154" s="2" t="s">
        <v>1568</v>
      </c>
      <c r="B1154" s="2" t="s">
        <v>169</v>
      </c>
      <c r="C1154" s="2" t="s">
        <v>170</v>
      </c>
      <c r="D1154" s="2" t="s">
        <v>171</v>
      </c>
      <c r="E1154" s="2" t="s">
        <v>172</v>
      </c>
      <c r="F1154" s="2" t="s">
        <v>173</v>
      </c>
      <c r="G1154" s="2" t="s">
        <v>1558</v>
      </c>
      <c r="H1154" s="2" t="s">
        <v>748</v>
      </c>
      <c r="I1154" s="2" t="s">
        <v>123</v>
      </c>
      <c r="J1154" s="2" t="s">
        <v>124</v>
      </c>
      <c r="K1154" s="9">
        <v>45773</v>
      </c>
      <c r="L1154" s="9">
        <v>45776</v>
      </c>
      <c r="M1154" s="9">
        <v>45774</v>
      </c>
      <c r="N1154" s="2" t="s">
        <v>1333</v>
      </c>
      <c r="O1154" s="2" t="s">
        <v>53</v>
      </c>
      <c r="P1154" s="2" t="s">
        <v>145</v>
      </c>
      <c r="Q1154" s="2" t="s">
        <v>468</v>
      </c>
      <c r="R1154" s="2" t="s">
        <v>137</v>
      </c>
      <c r="S1154" s="2" t="s">
        <v>129</v>
      </c>
      <c r="T1154" s="10">
        <v>375.66</v>
      </c>
      <c r="U1154" s="11">
        <v>1.272</v>
      </c>
      <c r="V1154" s="12">
        <f>T1154*U1154</f>
        <v>477.83952000000005</v>
      </c>
      <c r="W1154" s="13">
        <v>0.2</v>
      </c>
      <c r="X1154" s="12">
        <f>V1154-(V1154/(1+W1154))</f>
        <v>79.639920000000018</v>
      </c>
      <c r="Y1154" s="12">
        <f>V1154-X1154</f>
        <v>398.19960000000003</v>
      </c>
      <c r="Z1154" s="14">
        <v>840</v>
      </c>
      <c r="AA1154" s="2" t="str">
        <f>IF(V1154&gt;Z1154,"Yes","No")</f>
        <v>No</v>
      </c>
      <c r="AB1154" s="12">
        <f>V1154-Z1154</f>
        <v>-362.16047999999995</v>
      </c>
      <c r="AC1154" s="15" t="s">
        <v>130</v>
      </c>
      <c r="AD1154" s="15" t="s">
        <v>130</v>
      </c>
      <c r="AE1154" s="15" t="s">
        <v>180</v>
      </c>
      <c r="AF1154" s="12">
        <f>IF(AG1154="Rejected",0,IF(R1154="Corporate Card",0,V1154))</f>
        <v>477.83952000000005</v>
      </c>
      <c r="AG1154" s="15" t="s">
        <v>133</v>
      </c>
      <c r="AH1154" s="16">
        <v>45780</v>
      </c>
      <c r="AI1154" s="16">
        <v>45789</v>
      </c>
      <c r="AJ1154" s="16">
        <v>45793</v>
      </c>
      <c r="AK1154" s="17">
        <f>IF(AJ1154="","",AJ1154-AH1154)</f>
        <v>13</v>
      </c>
    </row>
    <row r="1155" spans="1:37">
      <c r="A1155" s="2" t="s">
        <v>1569</v>
      </c>
      <c r="B1155" s="2" t="s">
        <v>169</v>
      </c>
      <c r="C1155" s="2" t="s">
        <v>170</v>
      </c>
      <c r="D1155" s="2" t="s">
        <v>171</v>
      </c>
      <c r="E1155" s="2" t="s">
        <v>172</v>
      </c>
      <c r="F1155" s="2" t="s">
        <v>173</v>
      </c>
      <c r="G1155" s="2" t="s">
        <v>1558</v>
      </c>
      <c r="H1155" s="2" t="s">
        <v>748</v>
      </c>
      <c r="I1155" s="2" t="s">
        <v>123</v>
      </c>
      <c r="J1155" s="2" t="s">
        <v>124</v>
      </c>
      <c r="K1155" s="9">
        <v>45773</v>
      </c>
      <c r="L1155" s="9">
        <v>45776</v>
      </c>
      <c r="M1155" s="9">
        <v>45774</v>
      </c>
      <c r="N1155" s="2" t="s">
        <v>1333</v>
      </c>
      <c r="O1155" s="2" t="s">
        <v>54</v>
      </c>
      <c r="P1155" s="2" t="s">
        <v>139</v>
      </c>
      <c r="Q1155" s="2" t="s">
        <v>163</v>
      </c>
      <c r="R1155" s="2" t="s">
        <v>137</v>
      </c>
      <c r="S1155" s="2" t="s">
        <v>129</v>
      </c>
      <c r="T1155" s="10">
        <v>11.87</v>
      </c>
      <c r="U1155" s="11">
        <v>1.272</v>
      </c>
      <c r="V1155" s="12">
        <f>T1155*U1155</f>
        <v>15.09864</v>
      </c>
      <c r="W1155" s="13">
        <v>0.2</v>
      </c>
      <c r="X1155" s="12">
        <f>V1155-(V1155/(1+W1155))</f>
        <v>2.5164399999999993</v>
      </c>
      <c r="Y1155" s="12">
        <f>V1155-X1155</f>
        <v>12.5822</v>
      </c>
      <c r="Z1155" s="14">
        <v>25</v>
      </c>
      <c r="AA1155" s="2" t="str">
        <f>IF(V1155&gt;Z1155,"Yes","No")</f>
        <v>No</v>
      </c>
      <c r="AB1155" s="12">
        <f>V1155-Z1155</f>
        <v>-9.9013600000000004</v>
      </c>
      <c r="AC1155" s="15" t="s">
        <v>130</v>
      </c>
      <c r="AD1155" s="15" t="s">
        <v>130</v>
      </c>
      <c r="AE1155" s="15" t="s">
        <v>180</v>
      </c>
      <c r="AF1155" s="12">
        <f>IF(AG1155="Rejected",0,IF(R1155="Corporate Card",0,V1155))</f>
        <v>15.09864</v>
      </c>
      <c r="AG1155" s="15" t="s">
        <v>133</v>
      </c>
      <c r="AH1155" s="16">
        <v>45780</v>
      </c>
      <c r="AI1155" s="16">
        <v>45789</v>
      </c>
      <c r="AJ1155" s="16">
        <v>45793</v>
      </c>
      <c r="AK1155" s="17">
        <f>IF(AJ1155="","",AJ1155-AH1155)</f>
        <v>13</v>
      </c>
    </row>
    <row r="1156" spans="1:37">
      <c r="A1156" s="2" t="s">
        <v>1570</v>
      </c>
      <c r="B1156" s="2" t="s">
        <v>169</v>
      </c>
      <c r="C1156" s="2" t="s">
        <v>170</v>
      </c>
      <c r="D1156" s="2" t="s">
        <v>171</v>
      </c>
      <c r="E1156" s="2" t="s">
        <v>172</v>
      </c>
      <c r="F1156" s="2" t="s">
        <v>173</v>
      </c>
      <c r="G1156" s="2" t="s">
        <v>1558</v>
      </c>
      <c r="H1156" s="2" t="s">
        <v>748</v>
      </c>
      <c r="I1156" s="2" t="s">
        <v>123</v>
      </c>
      <c r="J1156" s="2" t="s">
        <v>124</v>
      </c>
      <c r="K1156" s="9">
        <v>45773</v>
      </c>
      <c r="L1156" s="9">
        <v>45776</v>
      </c>
      <c r="M1156" s="9">
        <v>45774</v>
      </c>
      <c r="N1156" s="2" t="s">
        <v>1333</v>
      </c>
      <c r="O1156" s="2" t="s">
        <v>56</v>
      </c>
      <c r="P1156" s="2" t="s">
        <v>231</v>
      </c>
      <c r="Q1156" s="2" t="s">
        <v>227</v>
      </c>
      <c r="R1156" s="2" t="s">
        <v>128</v>
      </c>
      <c r="S1156" s="2" t="s">
        <v>129</v>
      </c>
      <c r="T1156" s="10">
        <v>47.76</v>
      </c>
      <c r="U1156" s="11">
        <v>1.272</v>
      </c>
      <c r="V1156" s="12">
        <f>T1156*U1156</f>
        <v>60.750720000000001</v>
      </c>
      <c r="W1156" s="13">
        <v>0.2</v>
      </c>
      <c r="X1156" s="12">
        <f>V1156-(V1156/(1+W1156))</f>
        <v>10.125119999999995</v>
      </c>
      <c r="Y1156" s="12">
        <f>V1156-X1156</f>
        <v>50.625600000000006</v>
      </c>
      <c r="Z1156" s="14">
        <v>75</v>
      </c>
      <c r="AA1156" s="2" t="str">
        <f>IF(V1156&gt;Z1156,"Yes","No")</f>
        <v>No</v>
      </c>
      <c r="AB1156" s="12">
        <f>V1156-Z1156</f>
        <v>-14.249279999999999</v>
      </c>
      <c r="AC1156" s="15" t="s">
        <v>130</v>
      </c>
      <c r="AD1156" s="15" t="s">
        <v>130</v>
      </c>
      <c r="AE1156" s="15" t="s">
        <v>180</v>
      </c>
      <c r="AF1156" s="12">
        <f>IF(AG1156="Rejected",0,IF(R1156="Corporate Card",0,V1156))</f>
        <v>0</v>
      </c>
      <c r="AG1156" s="15" t="s">
        <v>133</v>
      </c>
      <c r="AH1156" s="16">
        <v>45780</v>
      </c>
      <c r="AI1156" s="16">
        <v>45789</v>
      </c>
      <c r="AJ1156" s="16">
        <v>45793</v>
      </c>
      <c r="AK1156" s="17">
        <f>IF(AJ1156="","",AJ1156-AH1156)</f>
        <v>13</v>
      </c>
    </row>
    <row r="1157" spans="1:37">
      <c r="A1157" s="2" t="s">
        <v>1571</v>
      </c>
      <c r="B1157" s="2" t="s">
        <v>169</v>
      </c>
      <c r="C1157" s="2" t="s">
        <v>170</v>
      </c>
      <c r="D1157" s="2" t="s">
        <v>171</v>
      </c>
      <c r="E1157" s="2" t="s">
        <v>172</v>
      </c>
      <c r="F1157" s="2" t="s">
        <v>173</v>
      </c>
      <c r="G1157" s="2" t="s">
        <v>1558</v>
      </c>
      <c r="H1157" s="2" t="s">
        <v>748</v>
      </c>
      <c r="I1157" s="2" t="s">
        <v>123</v>
      </c>
      <c r="J1157" s="2" t="s">
        <v>124</v>
      </c>
      <c r="K1157" s="9">
        <v>45773</v>
      </c>
      <c r="L1157" s="9">
        <v>45776</v>
      </c>
      <c r="M1157" s="9">
        <v>45774</v>
      </c>
      <c r="N1157" s="2" t="s">
        <v>1333</v>
      </c>
      <c r="O1157" s="2" t="s">
        <v>55</v>
      </c>
      <c r="P1157" s="2" t="s">
        <v>139</v>
      </c>
      <c r="Q1157" s="2" t="s">
        <v>187</v>
      </c>
      <c r="R1157" s="2" t="s">
        <v>128</v>
      </c>
      <c r="S1157" s="2" t="s">
        <v>129</v>
      </c>
      <c r="T1157" s="10">
        <v>21.86</v>
      </c>
      <c r="U1157" s="11">
        <v>1.272</v>
      </c>
      <c r="V1157" s="12">
        <f>T1157*U1157</f>
        <v>27.80592</v>
      </c>
      <c r="W1157" s="13">
        <v>0.2</v>
      </c>
      <c r="X1157" s="12">
        <f>V1157-(V1157/(1+W1157))</f>
        <v>4.6343199999999989</v>
      </c>
      <c r="Y1157" s="12">
        <f>V1157-X1157</f>
        <v>23.171600000000002</v>
      </c>
      <c r="Z1157" s="14">
        <v>35</v>
      </c>
      <c r="AA1157" s="2" t="str">
        <f>IF(V1157&gt;Z1157,"Yes","No")</f>
        <v>No</v>
      </c>
      <c r="AB1157" s="12">
        <f>V1157-Z1157</f>
        <v>-7.1940799999999996</v>
      </c>
      <c r="AC1157" s="15" t="s">
        <v>130</v>
      </c>
      <c r="AD1157" s="15" t="s">
        <v>130</v>
      </c>
      <c r="AE1157" s="15" t="s">
        <v>180</v>
      </c>
      <c r="AF1157" s="12">
        <f>IF(AG1157="Rejected",0,IF(R1157="Corporate Card",0,V1157))</f>
        <v>0</v>
      </c>
      <c r="AG1157" s="15" t="s">
        <v>133</v>
      </c>
      <c r="AH1157" s="16">
        <v>45780</v>
      </c>
      <c r="AI1157" s="16">
        <v>45789</v>
      </c>
      <c r="AJ1157" s="16">
        <v>45793</v>
      </c>
      <c r="AK1157" s="17">
        <f>IF(AJ1157="","",AJ1157-AH1157)</f>
        <v>13</v>
      </c>
    </row>
    <row r="1158" spans="1:37">
      <c r="A1158" s="2" t="s">
        <v>1572</v>
      </c>
      <c r="B1158" s="2" t="s">
        <v>375</v>
      </c>
      <c r="C1158" s="2" t="s">
        <v>376</v>
      </c>
      <c r="D1158" s="2" t="s">
        <v>344</v>
      </c>
      <c r="E1158" s="2" t="s">
        <v>377</v>
      </c>
      <c r="F1158" s="2" t="s">
        <v>346</v>
      </c>
      <c r="G1158" s="2" t="s">
        <v>1544</v>
      </c>
      <c r="H1158" s="2" t="s">
        <v>291</v>
      </c>
      <c r="I1158" s="2" t="s">
        <v>380</v>
      </c>
      <c r="J1158" s="2" t="s">
        <v>381</v>
      </c>
      <c r="K1158" s="9">
        <v>45770</v>
      </c>
      <c r="L1158" s="9">
        <v>45777</v>
      </c>
      <c r="M1158" s="9">
        <v>45774</v>
      </c>
      <c r="N1158" s="2" t="s">
        <v>1333</v>
      </c>
      <c r="O1158" s="2" t="s">
        <v>58</v>
      </c>
      <c r="P1158" s="2" t="s">
        <v>142</v>
      </c>
      <c r="Q1158" s="2" t="s">
        <v>296</v>
      </c>
      <c r="R1158" s="2" t="s">
        <v>128</v>
      </c>
      <c r="S1158" s="2" t="s">
        <v>383</v>
      </c>
      <c r="T1158" s="10">
        <v>25.47</v>
      </c>
      <c r="U1158" s="11">
        <v>1</v>
      </c>
      <c r="V1158" s="12">
        <f>T1158*U1158</f>
        <v>25.47</v>
      </c>
      <c r="W1158" s="13">
        <v>0</v>
      </c>
      <c r="X1158" s="12">
        <f>V1158-(V1158/(1+W1158))</f>
        <v>0</v>
      </c>
      <c r="Y1158" s="12">
        <f>V1158-X1158</f>
        <v>25.47</v>
      </c>
      <c r="Z1158" s="14">
        <v>60</v>
      </c>
      <c r="AA1158" s="2" t="str">
        <f>IF(V1158&gt;Z1158,"Yes","No")</f>
        <v>No</v>
      </c>
      <c r="AB1158" s="12">
        <f>V1158-Z1158</f>
        <v>-34.53</v>
      </c>
      <c r="AC1158" s="15" t="s">
        <v>131</v>
      </c>
      <c r="AD1158" s="15" t="s">
        <v>130</v>
      </c>
      <c r="AE1158" s="15" t="s">
        <v>180</v>
      </c>
      <c r="AF1158" s="12">
        <f>IF(AG1158="Rejected",0,IF(R1158="Corporate Card",0,V1158))</f>
        <v>0</v>
      </c>
      <c r="AG1158" s="15" t="s">
        <v>133</v>
      </c>
      <c r="AH1158" s="16">
        <v>45789</v>
      </c>
      <c r="AI1158" s="16">
        <v>45794</v>
      </c>
      <c r="AJ1158" s="16">
        <v>45801</v>
      </c>
      <c r="AK1158" s="17">
        <f>IF(AJ1158="","",AJ1158-AH1158)</f>
        <v>12</v>
      </c>
    </row>
    <row r="1159" spans="1:37">
      <c r="A1159" s="2" t="s">
        <v>1573</v>
      </c>
      <c r="B1159" s="2" t="s">
        <v>375</v>
      </c>
      <c r="C1159" s="2" t="s">
        <v>376</v>
      </c>
      <c r="D1159" s="2" t="s">
        <v>344</v>
      </c>
      <c r="E1159" s="2" t="s">
        <v>377</v>
      </c>
      <c r="F1159" s="2" t="s">
        <v>346</v>
      </c>
      <c r="G1159" s="2" t="s">
        <v>1544</v>
      </c>
      <c r="H1159" s="2" t="s">
        <v>291</v>
      </c>
      <c r="I1159" s="2" t="s">
        <v>380</v>
      </c>
      <c r="J1159" s="2" t="s">
        <v>381</v>
      </c>
      <c r="K1159" s="9">
        <v>45770</v>
      </c>
      <c r="L1159" s="9">
        <v>45777</v>
      </c>
      <c r="M1159" s="9">
        <v>45774</v>
      </c>
      <c r="N1159" s="2" t="s">
        <v>1333</v>
      </c>
      <c r="O1159" s="2" t="s">
        <v>56</v>
      </c>
      <c r="P1159" s="2" t="s">
        <v>151</v>
      </c>
      <c r="Q1159" s="2" t="s">
        <v>152</v>
      </c>
      <c r="R1159" s="2" t="s">
        <v>128</v>
      </c>
      <c r="S1159" s="2" t="s">
        <v>383</v>
      </c>
      <c r="T1159" s="10">
        <v>55.54</v>
      </c>
      <c r="U1159" s="11">
        <v>1</v>
      </c>
      <c r="V1159" s="12">
        <f>T1159*U1159</f>
        <v>55.54</v>
      </c>
      <c r="W1159" s="13">
        <v>0</v>
      </c>
      <c r="X1159" s="12">
        <f>V1159-(V1159/(1+W1159))</f>
        <v>0</v>
      </c>
      <c r="Y1159" s="12">
        <f>V1159-X1159</f>
        <v>55.54</v>
      </c>
      <c r="Z1159" s="14">
        <v>75</v>
      </c>
      <c r="AA1159" s="2" t="str">
        <f>IF(V1159&gt;Z1159,"Yes","No")</f>
        <v>No</v>
      </c>
      <c r="AB1159" s="12">
        <f>V1159-Z1159</f>
        <v>-19.46</v>
      </c>
      <c r="AC1159" s="15" t="s">
        <v>131</v>
      </c>
      <c r="AD1159" s="15" t="s">
        <v>130</v>
      </c>
      <c r="AE1159" s="15" t="s">
        <v>180</v>
      </c>
      <c r="AF1159" s="12">
        <f>IF(AG1159="Rejected",0,IF(R1159="Corporate Card",0,V1159))</f>
        <v>0</v>
      </c>
      <c r="AG1159" s="15" t="s">
        <v>133</v>
      </c>
      <c r="AH1159" s="16">
        <v>45789</v>
      </c>
      <c r="AI1159" s="16">
        <v>45794</v>
      </c>
      <c r="AJ1159" s="16">
        <v>45801</v>
      </c>
      <c r="AK1159" s="17">
        <f>IF(AJ1159="","",AJ1159-AH1159)</f>
        <v>12</v>
      </c>
    </row>
    <row r="1160" spans="1:37">
      <c r="A1160" s="2" t="s">
        <v>1574</v>
      </c>
      <c r="B1160" s="2" t="s">
        <v>375</v>
      </c>
      <c r="C1160" s="2" t="s">
        <v>376</v>
      </c>
      <c r="D1160" s="2" t="s">
        <v>344</v>
      </c>
      <c r="E1160" s="2" t="s">
        <v>377</v>
      </c>
      <c r="F1160" s="2" t="s">
        <v>346</v>
      </c>
      <c r="G1160" s="2" t="s">
        <v>1544</v>
      </c>
      <c r="H1160" s="2" t="s">
        <v>291</v>
      </c>
      <c r="I1160" s="2" t="s">
        <v>380</v>
      </c>
      <c r="J1160" s="2" t="s">
        <v>381</v>
      </c>
      <c r="K1160" s="9">
        <v>45770</v>
      </c>
      <c r="L1160" s="9">
        <v>45777</v>
      </c>
      <c r="M1160" s="9">
        <v>45774</v>
      </c>
      <c r="N1160" s="2" t="s">
        <v>1333</v>
      </c>
      <c r="O1160" s="2" t="s">
        <v>55</v>
      </c>
      <c r="P1160" s="2" t="s">
        <v>139</v>
      </c>
      <c r="Q1160" s="2" t="s">
        <v>154</v>
      </c>
      <c r="R1160" s="2" t="s">
        <v>149</v>
      </c>
      <c r="S1160" s="2" t="s">
        <v>383</v>
      </c>
      <c r="T1160" s="10">
        <v>26.85</v>
      </c>
      <c r="U1160" s="11">
        <v>1</v>
      </c>
      <c r="V1160" s="12">
        <f>T1160*U1160</f>
        <v>26.85</v>
      </c>
      <c r="W1160" s="13">
        <v>0</v>
      </c>
      <c r="X1160" s="12">
        <f>V1160-(V1160/(1+W1160))</f>
        <v>0</v>
      </c>
      <c r="Y1160" s="12">
        <f>V1160-X1160</f>
        <v>26.85</v>
      </c>
      <c r="Z1160" s="14">
        <v>35</v>
      </c>
      <c r="AA1160" s="2" t="str">
        <f>IF(V1160&gt;Z1160,"Yes","No")</f>
        <v>No</v>
      </c>
      <c r="AB1160" s="12">
        <f>V1160-Z1160</f>
        <v>-8.1499999999999986</v>
      </c>
      <c r="AC1160" s="15" t="s">
        <v>130</v>
      </c>
      <c r="AD1160" s="15" t="s">
        <v>130</v>
      </c>
      <c r="AE1160" s="15" t="s">
        <v>180</v>
      </c>
      <c r="AF1160" s="12">
        <f>IF(AG1160="Rejected",0,IF(R1160="Corporate Card",0,V1160))</f>
        <v>26.85</v>
      </c>
      <c r="AG1160" s="15" t="s">
        <v>133</v>
      </c>
      <c r="AH1160" s="16">
        <v>45789</v>
      </c>
      <c r="AI1160" s="16">
        <v>45794</v>
      </c>
      <c r="AJ1160" s="16">
        <v>45801</v>
      </c>
      <c r="AK1160" s="17">
        <f>IF(AJ1160="","",AJ1160-AH1160)</f>
        <v>12</v>
      </c>
    </row>
    <row r="1161" spans="1:37">
      <c r="A1161" s="2" t="s">
        <v>1575</v>
      </c>
      <c r="B1161" s="2" t="s">
        <v>169</v>
      </c>
      <c r="C1161" s="2" t="s">
        <v>170</v>
      </c>
      <c r="D1161" s="2" t="s">
        <v>171</v>
      </c>
      <c r="E1161" s="2" t="s">
        <v>172</v>
      </c>
      <c r="F1161" s="2" t="s">
        <v>173</v>
      </c>
      <c r="G1161" s="2" t="s">
        <v>1558</v>
      </c>
      <c r="H1161" s="2" t="s">
        <v>748</v>
      </c>
      <c r="I1161" s="2" t="s">
        <v>123</v>
      </c>
      <c r="J1161" s="2" t="s">
        <v>124</v>
      </c>
      <c r="K1161" s="9">
        <v>45773</v>
      </c>
      <c r="L1161" s="9">
        <v>45776</v>
      </c>
      <c r="M1161" s="9">
        <v>45775</v>
      </c>
      <c r="N1161" s="2" t="s">
        <v>1333</v>
      </c>
      <c r="O1161" s="2" t="s">
        <v>61</v>
      </c>
      <c r="P1161" s="2" t="s">
        <v>528</v>
      </c>
      <c r="Q1161" s="2" t="s">
        <v>540</v>
      </c>
      <c r="R1161" s="2" t="s">
        <v>128</v>
      </c>
      <c r="S1161" s="2" t="s">
        <v>129</v>
      </c>
      <c r="T1161" s="10">
        <v>50.98</v>
      </c>
      <c r="U1161" s="11">
        <v>1.272</v>
      </c>
      <c r="V1161" s="12">
        <f>T1161*U1161</f>
        <v>64.846559999999997</v>
      </c>
      <c r="W1161" s="13">
        <v>0</v>
      </c>
      <c r="X1161" s="12">
        <f>V1161-(V1161/(1+W1161))</f>
        <v>0</v>
      </c>
      <c r="Y1161" s="12">
        <f>V1161-X1161</f>
        <v>64.846559999999997</v>
      </c>
      <c r="Z1161" s="14">
        <v>90</v>
      </c>
      <c r="AA1161" s="2" t="str">
        <f>IF(V1161&gt;Z1161,"Yes","No")</f>
        <v>No</v>
      </c>
      <c r="AB1161" s="12">
        <f>V1161-Z1161</f>
        <v>-25.153440000000003</v>
      </c>
      <c r="AC1161" s="15" t="s">
        <v>130</v>
      </c>
      <c r="AD1161" s="15" t="s">
        <v>130</v>
      </c>
      <c r="AE1161" s="15" t="s">
        <v>180</v>
      </c>
      <c r="AF1161" s="12">
        <f>IF(AG1161="Rejected",0,IF(R1161="Corporate Card",0,V1161))</f>
        <v>0</v>
      </c>
      <c r="AG1161" s="15" t="s">
        <v>133</v>
      </c>
      <c r="AH1161" s="16">
        <v>45780</v>
      </c>
      <c r="AI1161" s="16">
        <v>45789</v>
      </c>
      <c r="AJ1161" s="16">
        <v>45793</v>
      </c>
      <c r="AK1161" s="17">
        <f>IF(AJ1161="","",AJ1161-AH1161)</f>
        <v>13</v>
      </c>
    </row>
    <row r="1162" spans="1:37">
      <c r="A1162" s="2" t="s">
        <v>1576</v>
      </c>
      <c r="B1162" s="2" t="s">
        <v>169</v>
      </c>
      <c r="C1162" s="2" t="s">
        <v>170</v>
      </c>
      <c r="D1162" s="2" t="s">
        <v>171</v>
      </c>
      <c r="E1162" s="2" t="s">
        <v>172</v>
      </c>
      <c r="F1162" s="2" t="s">
        <v>173</v>
      </c>
      <c r="G1162" s="2" t="s">
        <v>1558</v>
      </c>
      <c r="H1162" s="2" t="s">
        <v>748</v>
      </c>
      <c r="I1162" s="2" t="s">
        <v>123</v>
      </c>
      <c r="J1162" s="2" t="s">
        <v>124</v>
      </c>
      <c r="K1162" s="9">
        <v>45773</v>
      </c>
      <c r="L1162" s="9">
        <v>45776</v>
      </c>
      <c r="M1162" s="9">
        <v>45775</v>
      </c>
      <c r="N1162" s="2" t="s">
        <v>1333</v>
      </c>
      <c r="O1162" s="2" t="s">
        <v>58</v>
      </c>
      <c r="P1162" s="2" t="s">
        <v>142</v>
      </c>
      <c r="Q1162" s="2" t="s">
        <v>224</v>
      </c>
      <c r="R1162" s="2" t="s">
        <v>137</v>
      </c>
      <c r="S1162" s="2" t="s">
        <v>129</v>
      </c>
      <c r="T1162" s="10">
        <v>43.96</v>
      </c>
      <c r="U1162" s="11">
        <v>1.272</v>
      </c>
      <c r="V1162" s="12">
        <f>T1162*U1162</f>
        <v>55.917120000000004</v>
      </c>
      <c r="W1162" s="13">
        <v>0.2</v>
      </c>
      <c r="X1162" s="12">
        <f>V1162-(V1162/(1+W1162))</f>
        <v>9.3195199999999971</v>
      </c>
      <c r="Y1162" s="12">
        <f>V1162-X1162</f>
        <v>46.597600000000007</v>
      </c>
      <c r="Z1162" s="14">
        <v>60</v>
      </c>
      <c r="AA1162" s="2" t="str">
        <f>IF(V1162&gt;Z1162,"Yes","No")</f>
        <v>No</v>
      </c>
      <c r="AB1162" s="12">
        <f>V1162-Z1162</f>
        <v>-4.0828799999999958</v>
      </c>
      <c r="AC1162" s="15" t="s">
        <v>130</v>
      </c>
      <c r="AD1162" s="15" t="s">
        <v>130</v>
      </c>
      <c r="AE1162" s="15" t="s">
        <v>180</v>
      </c>
      <c r="AF1162" s="12">
        <f>IF(AG1162="Rejected",0,IF(R1162="Corporate Card",0,V1162))</f>
        <v>55.917120000000004</v>
      </c>
      <c r="AG1162" s="15" t="s">
        <v>133</v>
      </c>
      <c r="AH1162" s="16">
        <v>45780</v>
      </c>
      <c r="AI1162" s="16">
        <v>45789</v>
      </c>
      <c r="AJ1162" s="16">
        <v>45793</v>
      </c>
      <c r="AK1162" s="17">
        <f>IF(AJ1162="","",AJ1162-AH1162)</f>
        <v>13</v>
      </c>
    </row>
    <row r="1163" spans="1:37">
      <c r="A1163" s="2" t="s">
        <v>1577</v>
      </c>
      <c r="B1163" s="2" t="s">
        <v>169</v>
      </c>
      <c r="C1163" s="2" t="s">
        <v>170</v>
      </c>
      <c r="D1163" s="2" t="s">
        <v>171</v>
      </c>
      <c r="E1163" s="2" t="s">
        <v>172</v>
      </c>
      <c r="F1163" s="2" t="s">
        <v>173</v>
      </c>
      <c r="G1163" s="2" t="s">
        <v>1558</v>
      </c>
      <c r="H1163" s="2" t="s">
        <v>748</v>
      </c>
      <c r="I1163" s="2" t="s">
        <v>123</v>
      </c>
      <c r="J1163" s="2" t="s">
        <v>124</v>
      </c>
      <c r="K1163" s="9">
        <v>45773</v>
      </c>
      <c r="L1163" s="9">
        <v>45776</v>
      </c>
      <c r="M1163" s="9">
        <v>45775</v>
      </c>
      <c r="N1163" s="2" t="s">
        <v>1333</v>
      </c>
      <c r="O1163" s="2" t="s">
        <v>55</v>
      </c>
      <c r="P1163" s="2" t="s">
        <v>139</v>
      </c>
      <c r="Q1163" s="2" t="s">
        <v>154</v>
      </c>
      <c r="R1163" s="2" t="s">
        <v>128</v>
      </c>
      <c r="S1163" s="2" t="s">
        <v>129</v>
      </c>
      <c r="T1163" s="10">
        <v>27.16</v>
      </c>
      <c r="U1163" s="11">
        <v>1.272</v>
      </c>
      <c r="V1163" s="12">
        <f>T1163*U1163</f>
        <v>34.547519999999999</v>
      </c>
      <c r="W1163" s="13">
        <v>0.2</v>
      </c>
      <c r="X1163" s="12">
        <f>V1163-(V1163/(1+W1163))</f>
        <v>5.7579199999999986</v>
      </c>
      <c r="Y1163" s="12">
        <f>V1163-X1163</f>
        <v>28.7896</v>
      </c>
      <c r="Z1163" s="14">
        <v>35</v>
      </c>
      <c r="AA1163" s="2" t="str">
        <f>IF(V1163&gt;Z1163,"Yes","No")</f>
        <v>No</v>
      </c>
      <c r="AB1163" s="12">
        <f>V1163-Z1163</f>
        <v>-0.45248000000000133</v>
      </c>
      <c r="AC1163" s="15" t="s">
        <v>130</v>
      </c>
      <c r="AD1163" s="15" t="s">
        <v>130</v>
      </c>
      <c r="AE1163" s="15" t="s">
        <v>180</v>
      </c>
      <c r="AF1163" s="12">
        <f>IF(AG1163="Rejected",0,IF(R1163="Corporate Card",0,V1163))</f>
        <v>0</v>
      </c>
      <c r="AG1163" s="15" t="s">
        <v>133</v>
      </c>
      <c r="AH1163" s="16">
        <v>45780</v>
      </c>
      <c r="AI1163" s="16">
        <v>45789</v>
      </c>
      <c r="AJ1163" s="16">
        <v>45793</v>
      </c>
      <c r="AK1163" s="17">
        <f>IF(AJ1163="","",AJ1163-AH1163)</f>
        <v>13</v>
      </c>
    </row>
    <row r="1164" spans="1:37">
      <c r="A1164" s="2" t="s">
        <v>1578</v>
      </c>
      <c r="B1164" s="2" t="s">
        <v>169</v>
      </c>
      <c r="C1164" s="2" t="s">
        <v>170</v>
      </c>
      <c r="D1164" s="2" t="s">
        <v>171</v>
      </c>
      <c r="E1164" s="2" t="s">
        <v>172</v>
      </c>
      <c r="F1164" s="2" t="s">
        <v>173</v>
      </c>
      <c r="G1164" s="2" t="s">
        <v>1558</v>
      </c>
      <c r="H1164" s="2" t="s">
        <v>748</v>
      </c>
      <c r="I1164" s="2" t="s">
        <v>123</v>
      </c>
      <c r="J1164" s="2" t="s">
        <v>124</v>
      </c>
      <c r="K1164" s="9">
        <v>45773</v>
      </c>
      <c r="L1164" s="9">
        <v>45776</v>
      </c>
      <c r="M1164" s="9">
        <v>45775</v>
      </c>
      <c r="N1164" s="2" t="s">
        <v>1333</v>
      </c>
      <c r="O1164" s="2" t="s">
        <v>62</v>
      </c>
      <c r="P1164" s="2" t="s">
        <v>533</v>
      </c>
      <c r="Q1164" s="2" t="s">
        <v>534</v>
      </c>
      <c r="R1164" s="2" t="s">
        <v>128</v>
      </c>
      <c r="S1164" s="2" t="s">
        <v>129</v>
      </c>
      <c r="T1164" s="10">
        <v>25.17</v>
      </c>
      <c r="U1164" s="11">
        <v>1.272</v>
      </c>
      <c r="V1164" s="12">
        <f>T1164*U1164</f>
        <v>32.016240000000003</v>
      </c>
      <c r="W1164" s="13">
        <v>0.2</v>
      </c>
      <c r="X1164" s="12">
        <f>V1164-(V1164/(1+W1164))</f>
        <v>5.3360400000000006</v>
      </c>
      <c r="Y1164" s="12">
        <f>V1164-X1164</f>
        <v>26.680200000000003</v>
      </c>
      <c r="Z1164" s="14">
        <v>45</v>
      </c>
      <c r="AA1164" s="2" t="str">
        <f>IF(V1164&gt;Z1164,"Yes","No")</f>
        <v>No</v>
      </c>
      <c r="AB1164" s="12">
        <f>V1164-Z1164</f>
        <v>-12.983759999999997</v>
      </c>
      <c r="AC1164" s="15" t="s">
        <v>130</v>
      </c>
      <c r="AD1164" s="15" t="s">
        <v>130</v>
      </c>
      <c r="AE1164" s="15" t="s">
        <v>180</v>
      </c>
      <c r="AF1164" s="12">
        <f>IF(AG1164="Rejected",0,IF(R1164="Corporate Card",0,V1164))</f>
        <v>0</v>
      </c>
      <c r="AG1164" s="15" t="s">
        <v>133</v>
      </c>
      <c r="AH1164" s="16">
        <v>45780</v>
      </c>
      <c r="AI1164" s="16">
        <v>45789</v>
      </c>
      <c r="AJ1164" s="16">
        <v>45793</v>
      </c>
      <c r="AK1164" s="17">
        <f>IF(AJ1164="","",AJ1164-AH1164)</f>
        <v>13</v>
      </c>
    </row>
    <row r="1165" spans="1:37">
      <c r="A1165" s="2" t="s">
        <v>1579</v>
      </c>
      <c r="B1165" s="2" t="s">
        <v>375</v>
      </c>
      <c r="C1165" s="2" t="s">
        <v>376</v>
      </c>
      <c r="D1165" s="2" t="s">
        <v>344</v>
      </c>
      <c r="E1165" s="2" t="s">
        <v>377</v>
      </c>
      <c r="F1165" s="2" t="s">
        <v>346</v>
      </c>
      <c r="G1165" s="2" t="s">
        <v>1544</v>
      </c>
      <c r="H1165" s="2" t="s">
        <v>291</v>
      </c>
      <c r="I1165" s="2" t="s">
        <v>380</v>
      </c>
      <c r="J1165" s="2" t="s">
        <v>381</v>
      </c>
      <c r="K1165" s="9">
        <v>45770</v>
      </c>
      <c r="L1165" s="9">
        <v>45777</v>
      </c>
      <c r="M1165" s="9">
        <v>45775</v>
      </c>
      <c r="N1165" s="2" t="s">
        <v>1333</v>
      </c>
      <c r="O1165" s="2" t="s">
        <v>58</v>
      </c>
      <c r="P1165" s="2" t="s">
        <v>142</v>
      </c>
      <c r="Q1165" s="2" t="s">
        <v>296</v>
      </c>
      <c r="R1165" s="2" t="s">
        <v>128</v>
      </c>
      <c r="S1165" s="2" t="s">
        <v>383</v>
      </c>
      <c r="T1165" s="10">
        <v>25.59</v>
      </c>
      <c r="U1165" s="11">
        <v>1</v>
      </c>
      <c r="V1165" s="12">
        <f>T1165*U1165</f>
        <v>25.59</v>
      </c>
      <c r="W1165" s="13">
        <v>0</v>
      </c>
      <c r="X1165" s="12">
        <f>V1165-(V1165/(1+W1165))</f>
        <v>0</v>
      </c>
      <c r="Y1165" s="12">
        <f>V1165-X1165</f>
        <v>25.59</v>
      </c>
      <c r="Z1165" s="14">
        <v>60</v>
      </c>
      <c r="AA1165" s="2" t="str">
        <f>IF(V1165&gt;Z1165,"Yes","No")</f>
        <v>No</v>
      </c>
      <c r="AB1165" s="12">
        <f>V1165-Z1165</f>
        <v>-34.409999999999997</v>
      </c>
      <c r="AC1165" s="15" t="s">
        <v>130</v>
      </c>
      <c r="AD1165" s="15" t="s">
        <v>130</v>
      </c>
      <c r="AE1165" s="15" t="s">
        <v>180</v>
      </c>
      <c r="AF1165" s="12">
        <f>IF(AG1165="Rejected",0,IF(R1165="Corporate Card",0,V1165))</f>
        <v>0</v>
      </c>
      <c r="AG1165" s="15" t="s">
        <v>133</v>
      </c>
      <c r="AH1165" s="16">
        <v>45789</v>
      </c>
      <c r="AI1165" s="16">
        <v>45794</v>
      </c>
      <c r="AJ1165" s="16">
        <v>45801</v>
      </c>
      <c r="AK1165" s="17">
        <f>IF(AJ1165="","",AJ1165-AH1165)</f>
        <v>12</v>
      </c>
    </row>
    <row r="1166" spans="1:37">
      <c r="A1166" s="2" t="s">
        <v>1580</v>
      </c>
      <c r="B1166" s="2" t="s">
        <v>375</v>
      </c>
      <c r="C1166" s="2" t="s">
        <v>376</v>
      </c>
      <c r="D1166" s="2" t="s">
        <v>344</v>
      </c>
      <c r="E1166" s="2" t="s">
        <v>377</v>
      </c>
      <c r="F1166" s="2" t="s">
        <v>346</v>
      </c>
      <c r="G1166" s="2" t="s">
        <v>1544</v>
      </c>
      <c r="H1166" s="2" t="s">
        <v>291</v>
      </c>
      <c r="I1166" s="2" t="s">
        <v>380</v>
      </c>
      <c r="J1166" s="2" t="s">
        <v>381</v>
      </c>
      <c r="K1166" s="9">
        <v>45770</v>
      </c>
      <c r="L1166" s="9">
        <v>45777</v>
      </c>
      <c r="M1166" s="9">
        <v>45775</v>
      </c>
      <c r="N1166" s="2" t="s">
        <v>1333</v>
      </c>
      <c r="O1166" s="2" t="s">
        <v>54</v>
      </c>
      <c r="P1166" s="2" t="s">
        <v>139</v>
      </c>
      <c r="Q1166" s="2" t="s">
        <v>163</v>
      </c>
      <c r="R1166" s="2" t="s">
        <v>128</v>
      </c>
      <c r="S1166" s="2" t="s">
        <v>383</v>
      </c>
      <c r="T1166" s="10">
        <v>13.8</v>
      </c>
      <c r="U1166" s="11">
        <v>1</v>
      </c>
      <c r="V1166" s="12">
        <f>T1166*U1166</f>
        <v>13.8</v>
      </c>
      <c r="W1166" s="13">
        <v>0</v>
      </c>
      <c r="X1166" s="12">
        <f>V1166-(V1166/(1+W1166))</f>
        <v>0</v>
      </c>
      <c r="Y1166" s="12">
        <f>V1166-X1166</f>
        <v>13.8</v>
      </c>
      <c r="Z1166" s="14">
        <v>25</v>
      </c>
      <c r="AA1166" s="2" t="str">
        <f>IF(V1166&gt;Z1166,"Yes","No")</f>
        <v>No</v>
      </c>
      <c r="AB1166" s="12">
        <f>V1166-Z1166</f>
        <v>-11.2</v>
      </c>
      <c r="AC1166" s="15" t="s">
        <v>131</v>
      </c>
      <c r="AD1166" s="15" t="s">
        <v>130</v>
      </c>
      <c r="AE1166" s="15" t="s">
        <v>180</v>
      </c>
      <c r="AF1166" s="12">
        <f>IF(AG1166="Rejected",0,IF(R1166="Corporate Card",0,V1166))</f>
        <v>0</v>
      </c>
      <c r="AG1166" s="15" t="s">
        <v>133</v>
      </c>
      <c r="AH1166" s="16">
        <v>45789</v>
      </c>
      <c r="AI1166" s="16">
        <v>45794</v>
      </c>
      <c r="AJ1166" s="16">
        <v>45801</v>
      </c>
      <c r="AK1166" s="17">
        <f>IF(AJ1166="","",AJ1166-AH1166)</f>
        <v>12</v>
      </c>
    </row>
    <row r="1167" spans="1:37">
      <c r="A1167" s="2" t="s">
        <v>1581</v>
      </c>
      <c r="B1167" s="2" t="s">
        <v>375</v>
      </c>
      <c r="C1167" s="2" t="s">
        <v>376</v>
      </c>
      <c r="D1167" s="2" t="s">
        <v>344</v>
      </c>
      <c r="E1167" s="2" t="s">
        <v>377</v>
      </c>
      <c r="F1167" s="2" t="s">
        <v>346</v>
      </c>
      <c r="G1167" s="2" t="s">
        <v>1544</v>
      </c>
      <c r="H1167" s="2" t="s">
        <v>291</v>
      </c>
      <c r="I1167" s="2" t="s">
        <v>380</v>
      </c>
      <c r="J1167" s="2" t="s">
        <v>381</v>
      </c>
      <c r="K1167" s="9">
        <v>45770</v>
      </c>
      <c r="L1167" s="9">
        <v>45777</v>
      </c>
      <c r="M1167" s="9">
        <v>45775</v>
      </c>
      <c r="N1167" s="2" t="s">
        <v>1333</v>
      </c>
      <c r="O1167" s="2" t="s">
        <v>56</v>
      </c>
      <c r="P1167" s="2" t="s">
        <v>165</v>
      </c>
      <c r="Q1167" s="2" t="s">
        <v>152</v>
      </c>
      <c r="R1167" s="2" t="s">
        <v>137</v>
      </c>
      <c r="S1167" s="2" t="s">
        <v>383</v>
      </c>
      <c r="T1167" s="10">
        <v>38.83</v>
      </c>
      <c r="U1167" s="11">
        <v>1</v>
      </c>
      <c r="V1167" s="12">
        <f>T1167*U1167</f>
        <v>38.83</v>
      </c>
      <c r="W1167" s="13">
        <v>0</v>
      </c>
      <c r="X1167" s="12">
        <f>V1167-(V1167/(1+W1167))</f>
        <v>0</v>
      </c>
      <c r="Y1167" s="12">
        <f>V1167-X1167</f>
        <v>38.83</v>
      </c>
      <c r="Z1167" s="14">
        <v>75</v>
      </c>
      <c r="AA1167" s="2" t="str">
        <f>IF(V1167&gt;Z1167,"Yes","No")</f>
        <v>No</v>
      </c>
      <c r="AB1167" s="12">
        <f>V1167-Z1167</f>
        <v>-36.17</v>
      </c>
      <c r="AC1167" s="15" t="s">
        <v>131</v>
      </c>
      <c r="AD1167" s="15" t="s">
        <v>130</v>
      </c>
      <c r="AE1167" s="15" t="s">
        <v>180</v>
      </c>
      <c r="AF1167" s="12">
        <f>IF(AG1167="Rejected",0,IF(R1167="Corporate Card",0,V1167))</f>
        <v>38.83</v>
      </c>
      <c r="AG1167" s="15" t="s">
        <v>133</v>
      </c>
      <c r="AH1167" s="16">
        <v>45789</v>
      </c>
      <c r="AI1167" s="16">
        <v>45794</v>
      </c>
      <c r="AJ1167" s="16">
        <v>45801</v>
      </c>
      <c r="AK1167" s="17">
        <f>IF(AJ1167="","",AJ1167-AH1167)</f>
        <v>12</v>
      </c>
    </row>
    <row r="1168" spans="1:37">
      <c r="A1168" s="2" t="s">
        <v>1582</v>
      </c>
      <c r="B1168" s="2" t="s">
        <v>375</v>
      </c>
      <c r="C1168" s="2" t="s">
        <v>376</v>
      </c>
      <c r="D1168" s="2" t="s">
        <v>344</v>
      </c>
      <c r="E1168" s="2" t="s">
        <v>377</v>
      </c>
      <c r="F1168" s="2" t="s">
        <v>346</v>
      </c>
      <c r="G1168" s="2" t="s">
        <v>1544</v>
      </c>
      <c r="H1168" s="2" t="s">
        <v>291</v>
      </c>
      <c r="I1168" s="2" t="s">
        <v>380</v>
      </c>
      <c r="J1168" s="2" t="s">
        <v>381</v>
      </c>
      <c r="K1168" s="9">
        <v>45770</v>
      </c>
      <c r="L1168" s="9">
        <v>45777</v>
      </c>
      <c r="M1168" s="9">
        <v>45775</v>
      </c>
      <c r="N1168" s="2" t="s">
        <v>1333</v>
      </c>
      <c r="O1168" s="2" t="s">
        <v>55</v>
      </c>
      <c r="P1168" s="2" t="s">
        <v>139</v>
      </c>
      <c r="Q1168" s="2" t="s">
        <v>161</v>
      </c>
      <c r="R1168" s="2" t="s">
        <v>149</v>
      </c>
      <c r="S1168" s="2" t="s">
        <v>383</v>
      </c>
      <c r="T1168" s="10">
        <v>29.17</v>
      </c>
      <c r="U1168" s="11">
        <v>1</v>
      </c>
      <c r="V1168" s="12">
        <f>T1168*U1168</f>
        <v>29.17</v>
      </c>
      <c r="W1168" s="13">
        <v>0</v>
      </c>
      <c r="X1168" s="12">
        <f>V1168-(V1168/(1+W1168))</f>
        <v>0</v>
      </c>
      <c r="Y1168" s="12">
        <f>V1168-X1168</f>
        <v>29.17</v>
      </c>
      <c r="Z1168" s="14">
        <v>35</v>
      </c>
      <c r="AA1168" s="2" t="str">
        <f>IF(V1168&gt;Z1168,"Yes","No")</f>
        <v>No</v>
      </c>
      <c r="AB1168" s="12">
        <f>V1168-Z1168</f>
        <v>-5.8299999999999983</v>
      </c>
      <c r="AC1168" s="15" t="s">
        <v>131</v>
      </c>
      <c r="AD1168" s="15" t="s">
        <v>130</v>
      </c>
      <c r="AE1168" s="15" t="s">
        <v>180</v>
      </c>
      <c r="AF1168" s="12">
        <f>IF(AG1168="Rejected",0,IF(R1168="Corporate Card",0,V1168))</f>
        <v>29.17</v>
      </c>
      <c r="AG1168" s="15" t="s">
        <v>133</v>
      </c>
      <c r="AH1168" s="16">
        <v>45789</v>
      </c>
      <c r="AI1168" s="16">
        <v>45794</v>
      </c>
      <c r="AJ1168" s="16">
        <v>45801</v>
      </c>
      <c r="AK1168" s="17">
        <f>IF(AJ1168="","",AJ1168-AH1168)</f>
        <v>12</v>
      </c>
    </row>
    <row r="1169" spans="1:37">
      <c r="A1169" s="2" t="s">
        <v>1583</v>
      </c>
      <c r="B1169" s="2" t="s">
        <v>169</v>
      </c>
      <c r="C1169" s="2" t="s">
        <v>170</v>
      </c>
      <c r="D1169" s="2" t="s">
        <v>171</v>
      </c>
      <c r="E1169" s="2" t="s">
        <v>172</v>
      </c>
      <c r="F1169" s="2" t="s">
        <v>173</v>
      </c>
      <c r="G1169" s="2" t="s">
        <v>1558</v>
      </c>
      <c r="H1169" s="2" t="s">
        <v>748</v>
      </c>
      <c r="I1169" s="2" t="s">
        <v>123</v>
      </c>
      <c r="J1169" s="2" t="s">
        <v>124</v>
      </c>
      <c r="K1169" s="9">
        <v>45773</v>
      </c>
      <c r="L1169" s="9">
        <v>45776</v>
      </c>
      <c r="M1169" s="9">
        <v>45776</v>
      </c>
      <c r="N1169" s="2" t="s">
        <v>1333</v>
      </c>
      <c r="O1169" s="2" t="s">
        <v>58</v>
      </c>
      <c r="P1169" s="2" t="s">
        <v>142</v>
      </c>
      <c r="Q1169" s="2" t="s">
        <v>143</v>
      </c>
      <c r="R1169" s="2" t="s">
        <v>128</v>
      </c>
      <c r="S1169" s="2" t="s">
        <v>129</v>
      </c>
      <c r="T1169" s="10">
        <v>28.11</v>
      </c>
      <c r="U1169" s="11">
        <v>1.272</v>
      </c>
      <c r="V1169" s="12">
        <f>T1169*U1169</f>
        <v>35.755920000000003</v>
      </c>
      <c r="W1169" s="13">
        <v>0.2</v>
      </c>
      <c r="X1169" s="12">
        <f>V1169-(V1169/(1+W1169))</f>
        <v>5.9593199999999982</v>
      </c>
      <c r="Y1169" s="12">
        <f>V1169-X1169</f>
        <v>29.796600000000005</v>
      </c>
      <c r="Z1169" s="14">
        <v>60</v>
      </c>
      <c r="AA1169" s="2" t="str">
        <f>IF(V1169&gt;Z1169,"Yes","No")</f>
        <v>No</v>
      </c>
      <c r="AB1169" s="12">
        <f>V1169-Z1169</f>
        <v>-24.244079999999997</v>
      </c>
      <c r="AC1169" s="15" t="s">
        <v>131</v>
      </c>
      <c r="AD1169" s="15" t="s">
        <v>130</v>
      </c>
      <c r="AE1169" s="15" t="s">
        <v>180</v>
      </c>
      <c r="AF1169" s="12">
        <f>IF(AG1169="Rejected",0,IF(R1169="Corporate Card",0,V1169))</f>
        <v>0</v>
      </c>
      <c r="AG1169" s="15" t="s">
        <v>133</v>
      </c>
      <c r="AH1169" s="16">
        <v>45780</v>
      </c>
      <c r="AI1169" s="16">
        <v>45789</v>
      </c>
      <c r="AJ1169" s="16">
        <v>45793</v>
      </c>
      <c r="AK1169" s="17">
        <f>IF(AJ1169="","",AJ1169-AH1169)</f>
        <v>13</v>
      </c>
    </row>
    <row r="1170" spans="1:37">
      <c r="A1170" s="2" t="s">
        <v>1584</v>
      </c>
      <c r="B1170" s="2" t="s">
        <v>169</v>
      </c>
      <c r="C1170" s="2" t="s">
        <v>170</v>
      </c>
      <c r="D1170" s="2" t="s">
        <v>171</v>
      </c>
      <c r="E1170" s="2" t="s">
        <v>172</v>
      </c>
      <c r="F1170" s="2" t="s">
        <v>173</v>
      </c>
      <c r="G1170" s="2" t="s">
        <v>1558</v>
      </c>
      <c r="H1170" s="2" t="s">
        <v>748</v>
      </c>
      <c r="I1170" s="2" t="s">
        <v>123</v>
      </c>
      <c r="J1170" s="2" t="s">
        <v>124</v>
      </c>
      <c r="K1170" s="9">
        <v>45773</v>
      </c>
      <c r="L1170" s="9">
        <v>45776</v>
      </c>
      <c r="M1170" s="9">
        <v>45776</v>
      </c>
      <c r="N1170" s="2" t="s">
        <v>1333</v>
      </c>
      <c r="O1170" s="2" t="s">
        <v>54</v>
      </c>
      <c r="P1170" s="2" t="s">
        <v>139</v>
      </c>
      <c r="Q1170" s="2" t="s">
        <v>163</v>
      </c>
      <c r="R1170" s="2" t="s">
        <v>149</v>
      </c>
      <c r="S1170" s="2" t="s">
        <v>129</v>
      </c>
      <c r="T1170" s="10">
        <v>14.1</v>
      </c>
      <c r="U1170" s="11">
        <v>1.272</v>
      </c>
      <c r="V1170" s="12">
        <f>T1170*U1170</f>
        <v>17.935199999999998</v>
      </c>
      <c r="W1170" s="13">
        <v>0.2</v>
      </c>
      <c r="X1170" s="12">
        <f>V1170-(V1170/(1+W1170))</f>
        <v>2.9891999999999985</v>
      </c>
      <c r="Y1170" s="12">
        <f>V1170-X1170</f>
        <v>14.946</v>
      </c>
      <c r="Z1170" s="14">
        <v>25</v>
      </c>
      <c r="AA1170" s="2" t="str">
        <f>IF(V1170&gt;Z1170,"Yes","No")</f>
        <v>No</v>
      </c>
      <c r="AB1170" s="12">
        <f>V1170-Z1170</f>
        <v>-7.0648000000000017</v>
      </c>
      <c r="AC1170" s="15" t="s">
        <v>130</v>
      </c>
      <c r="AD1170" s="15" t="s">
        <v>130</v>
      </c>
      <c r="AE1170" s="15" t="s">
        <v>180</v>
      </c>
      <c r="AF1170" s="12">
        <f>IF(AG1170="Rejected",0,IF(R1170="Corporate Card",0,V1170))</f>
        <v>17.935199999999998</v>
      </c>
      <c r="AG1170" s="15" t="s">
        <v>133</v>
      </c>
      <c r="AH1170" s="16">
        <v>45780</v>
      </c>
      <c r="AI1170" s="16">
        <v>45789</v>
      </c>
      <c r="AJ1170" s="16">
        <v>45793</v>
      </c>
      <c r="AK1170" s="17">
        <f>IF(AJ1170="","",AJ1170-AH1170)</f>
        <v>13</v>
      </c>
    </row>
    <row r="1171" spans="1:37">
      <c r="A1171" s="2" t="s">
        <v>1585</v>
      </c>
      <c r="B1171" s="2" t="s">
        <v>169</v>
      </c>
      <c r="C1171" s="2" t="s">
        <v>170</v>
      </c>
      <c r="D1171" s="2" t="s">
        <v>171</v>
      </c>
      <c r="E1171" s="2" t="s">
        <v>172</v>
      </c>
      <c r="F1171" s="2" t="s">
        <v>173</v>
      </c>
      <c r="G1171" s="2" t="s">
        <v>1558</v>
      </c>
      <c r="H1171" s="2" t="s">
        <v>748</v>
      </c>
      <c r="I1171" s="2" t="s">
        <v>123</v>
      </c>
      <c r="J1171" s="2" t="s">
        <v>124</v>
      </c>
      <c r="K1171" s="9">
        <v>45773</v>
      </c>
      <c r="L1171" s="9">
        <v>45776</v>
      </c>
      <c r="M1171" s="9">
        <v>45776</v>
      </c>
      <c r="N1171" s="2" t="s">
        <v>1333</v>
      </c>
      <c r="O1171" s="2" t="s">
        <v>56</v>
      </c>
      <c r="P1171" s="2" t="s">
        <v>165</v>
      </c>
      <c r="Q1171" s="2" t="s">
        <v>227</v>
      </c>
      <c r="R1171" s="2" t="s">
        <v>128</v>
      </c>
      <c r="S1171" s="2" t="s">
        <v>129</v>
      </c>
      <c r="T1171" s="10">
        <v>21.33</v>
      </c>
      <c r="U1171" s="11">
        <v>1.272</v>
      </c>
      <c r="V1171" s="12">
        <f>T1171*U1171</f>
        <v>27.13176</v>
      </c>
      <c r="W1171" s="13">
        <v>0.2</v>
      </c>
      <c r="X1171" s="12">
        <f>V1171-(V1171/(1+W1171))</f>
        <v>4.52196</v>
      </c>
      <c r="Y1171" s="12">
        <f>V1171-X1171</f>
        <v>22.6098</v>
      </c>
      <c r="Z1171" s="14">
        <v>75</v>
      </c>
      <c r="AA1171" s="2" t="str">
        <f>IF(V1171&gt;Z1171,"Yes","No")</f>
        <v>No</v>
      </c>
      <c r="AB1171" s="12">
        <f>V1171-Z1171</f>
        <v>-47.86824</v>
      </c>
      <c r="AC1171" s="15" t="s">
        <v>130</v>
      </c>
      <c r="AD1171" s="15" t="s">
        <v>130</v>
      </c>
      <c r="AE1171" s="15" t="s">
        <v>180</v>
      </c>
      <c r="AF1171" s="12">
        <f>IF(AG1171="Rejected",0,IF(R1171="Corporate Card",0,V1171))</f>
        <v>0</v>
      </c>
      <c r="AG1171" s="15" t="s">
        <v>133</v>
      </c>
      <c r="AH1171" s="16">
        <v>45780</v>
      </c>
      <c r="AI1171" s="16">
        <v>45789</v>
      </c>
      <c r="AJ1171" s="16">
        <v>45793</v>
      </c>
      <c r="AK1171" s="17">
        <f>IF(AJ1171="","",AJ1171-AH1171)</f>
        <v>13</v>
      </c>
    </row>
    <row r="1172" spans="1:37">
      <c r="A1172" s="2" t="s">
        <v>1586</v>
      </c>
      <c r="B1172" s="2" t="s">
        <v>169</v>
      </c>
      <c r="C1172" s="2" t="s">
        <v>170</v>
      </c>
      <c r="D1172" s="2" t="s">
        <v>171</v>
      </c>
      <c r="E1172" s="2" t="s">
        <v>172</v>
      </c>
      <c r="F1172" s="2" t="s">
        <v>173</v>
      </c>
      <c r="G1172" s="2" t="s">
        <v>1558</v>
      </c>
      <c r="H1172" s="2" t="s">
        <v>748</v>
      </c>
      <c r="I1172" s="2" t="s">
        <v>123</v>
      </c>
      <c r="J1172" s="2" t="s">
        <v>124</v>
      </c>
      <c r="K1172" s="9">
        <v>45773</v>
      </c>
      <c r="L1172" s="9">
        <v>45776</v>
      </c>
      <c r="M1172" s="9">
        <v>45776</v>
      </c>
      <c r="N1172" s="2" t="s">
        <v>1333</v>
      </c>
      <c r="O1172" s="2" t="s">
        <v>55</v>
      </c>
      <c r="P1172" s="2" t="s">
        <v>139</v>
      </c>
      <c r="Q1172" s="2" t="s">
        <v>217</v>
      </c>
      <c r="R1172" s="2" t="s">
        <v>137</v>
      </c>
      <c r="S1172" s="2" t="s">
        <v>129</v>
      </c>
      <c r="T1172" s="10">
        <v>19.739999999999998</v>
      </c>
      <c r="U1172" s="11">
        <v>1.272</v>
      </c>
      <c r="V1172" s="12">
        <f>T1172*U1172</f>
        <v>25.109279999999998</v>
      </c>
      <c r="W1172" s="13">
        <v>0.2</v>
      </c>
      <c r="X1172" s="12">
        <f>V1172-(V1172/(1+W1172))</f>
        <v>4.1848799999999997</v>
      </c>
      <c r="Y1172" s="12">
        <f>V1172-X1172</f>
        <v>20.924399999999999</v>
      </c>
      <c r="Z1172" s="14">
        <v>35</v>
      </c>
      <c r="AA1172" s="2" t="str">
        <f>IF(V1172&gt;Z1172,"Yes","No")</f>
        <v>No</v>
      </c>
      <c r="AB1172" s="12">
        <f>V1172-Z1172</f>
        <v>-9.8907200000000017</v>
      </c>
      <c r="AC1172" s="15" t="s">
        <v>130</v>
      </c>
      <c r="AD1172" s="15" t="s">
        <v>130</v>
      </c>
      <c r="AE1172" s="15" t="s">
        <v>180</v>
      </c>
      <c r="AF1172" s="12">
        <f>IF(AG1172="Rejected",0,IF(R1172="Corporate Card",0,V1172))</f>
        <v>25.109279999999998</v>
      </c>
      <c r="AG1172" s="15" t="s">
        <v>133</v>
      </c>
      <c r="AH1172" s="16">
        <v>45780</v>
      </c>
      <c r="AI1172" s="16">
        <v>45789</v>
      </c>
      <c r="AJ1172" s="16">
        <v>45793</v>
      </c>
      <c r="AK1172" s="17">
        <f>IF(AJ1172="","",AJ1172-AH1172)</f>
        <v>13</v>
      </c>
    </row>
    <row r="1173" spans="1:37">
      <c r="A1173" s="2" t="s">
        <v>1587</v>
      </c>
      <c r="B1173" s="2" t="s">
        <v>375</v>
      </c>
      <c r="C1173" s="2" t="s">
        <v>376</v>
      </c>
      <c r="D1173" s="2" t="s">
        <v>344</v>
      </c>
      <c r="E1173" s="2" t="s">
        <v>377</v>
      </c>
      <c r="F1173" s="2" t="s">
        <v>346</v>
      </c>
      <c r="G1173" s="2" t="s">
        <v>1544</v>
      </c>
      <c r="H1173" s="2" t="s">
        <v>291</v>
      </c>
      <c r="I1173" s="2" t="s">
        <v>380</v>
      </c>
      <c r="J1173" s="2" t="s">
        <v>381</v>
      </c>
      <c r="K1173" s="9">
        <v>45770</v>
      </c>
      <c r="L1173" s="9">
        <v>45777</v>
      </c>
      <c r="M1173" s="9">
        <v>45776</v>
      </c>
      <c r="N1173" s="2" t="s">
        <v>1333</v>
      </c>
      <c r="O1173" s="2" t="s">
        <v>54</v>
      </c>
      <c r="P1173" s="2" t="s">
        <v>139</v>
      </c>
      <c r="Q1173" s="2" t="s">
        <v>163</v>
      </c>
      <c r="R1173" s="2" t="s">
        <v>128</v>
      </c>
      <c r="S1173" s="2" t="s">
        <v>383</v>
      </c>
      <c r="T1173" s="10">
        <v>22.63</v>
      </c>
      <c r="U1173" s="11">
        <v>1</v>
      </c>
      <c r="V1173" s="12">
        <f>T1173*U1173</f>
        <v>22.63</v>
      </c>
      <c r="W1173" s="13">
        <v>0</v>
      </c>
      <c r="X1173" s="12">
        <f>V1173-(V1173/(1+W1173))</f>
        <v>0</v>
      </c>
      <c r="Y1173" s="12">
        <f>V1173-X1173</f>
        <v>22.63</v>
      </c>
      <c r="Z1173" s="14">
        <v>25</v>
      </c>
      <c r="AA1173" s="2" t="str">
        <f>IF(V1173&gt;Z1173,"Yes","No")</f>
        <v>No</v>
      </c>
      <c r="AB1173" s="12">
        <f>V1173-Z1173</f>
        <v>-2.370000000000001</v>
      </c>
      <c r="AC1173" s="15" t="s">
        <v>130</v>
      </c>
      <c r="AD1173" s="15" t="s">
        <v>130</v>
      </c>
      <c r="AE1173" s="15" t="s">
        <v>180</v>
      </c>
      <c r="AF1173" s="12">
        <f>IF(AG1173="Rejected",0,IF(R1173="Corporate Card",0,V1173))</f>
        <v>0</v>
      </c>
      <c r="AG1173" s="15" t="s">
        <v>133</v>
      </c>
      <c r="AH1173" s="16">
        <v>45789</v>
      </c>
      <c r="AI1173" s="16">
        <v>45794</v>
      </c>
      <c r="AJ1173" s="16">
        <v>45801</v>
      </c>
      <c r="AK1173" s="17">
        <f>IF(AJ1173="","",AJ1173-AH1173)</f>
        <v>12</v>
      </c>
    </row>
    <row r="1174" spans="1:37">
      <c r="A1174" s="2" t="s">
        <v>1588</v>
      </c>
      <c r="B1174" s="2" t="s">
        <v>375</v>
      </c>
      <c r="C1174" s="2" t="s">
        <v>376</v>
      </c>
      <c r="D1174" s="2" t="s">
        <v>344</v>
      </c>
      <c r="E1174" s="2" t="s">
        <v>377</v>
      </c>
      <c r="F1174" s="2" t="s">
        <v>346</v>
      </c>
      <c r="G1174" s="2" t="s">
        <v>1544</v>
      </c>
      <c r="H1174" s="2" t="s">
        <v>291</v>
      </c>
      <c r="I1174" s="2" t="s">
        <v>380</v>
      </c>
      <c r="J1174" s="2" t="s">
        <v>381</v>
      </c>
      <c r="K1174" s="9">
        <v>45770</v>
      </c>
      <c r="L1174" s="9">
        <v>45777</v>
      </c>
      <c r="M1174" s="9">
        <v>45776</v>
      </c>
      <c r="N1174" s="2" t="s">
        <v>1333</v>
      </c>
      <c r="O1174" s="2" t="s">
        <v>56</v>
      </c>
      <c r="P1174" s="2" t="s">
        <v>231</v>
      </c>
      <c r="Q1174" s="2" t="s">
        <v>185</v>
      </c>
      <c r="R1174" s="2" t="s">
        <v>128</v>
      </c>
      <c r="S1174" s="2" t="s">
        <v>383</v>
      </c>
      <c r="T1174" s="10">
        <v>35.799999999999997</v>
      </c>
      <c r="U1174" s="11">
        <v>1</v>
      </c>
      <c r="V1174" s="12">
        <f>T1174*U1174</f>
        <v>35.799999999999997</v>
      </c>
      <c r="W1174" s="13">
        <v>0</v>
      </c>
      <c r="X1174" s="12">
        <f>V1174-(V1174/(1+W1174))</f>
        <v>0</v>
      </c>
      <c r="Y1174" s="12">
        <f>V1174-X1174</f>
        <v>35.799999999999997</v>
      </c>
      <c r="Z1174" s="14">
        <v>75</v>
      </c>
      <c r="AA1174" s="2" t="str">
        <f>IF(V1174&gt;Z1174,"Yes","No")</f>
        <v>No</v>
      </c>
      <c r="AB1174" s="12">
        <f>V1174-Z1174</f>
        <v>-39.200000000000003</v>
      </c>
      <c r="AC1174" s="15" t="s">
        <v>131</v>
      </c>
      <c r="AD1174" s="15" t="s">
        <v>130</v>
      </c>
      <c r="AE1174" s="15" t="s">
        <v>180</v>
      </c>
      <c r="AF1174" s="12">
        <f>IF(AG1174="Rejected",0,IF(R1174="Corporate Card",0,V1174))</f>
        <v>0</v>
      </c>
      <c r="AG1174" s="15" t="s">
        <v>133</v>
      </c>
      <c r="AH1174" s="16">
        <v>45789</v>
      </c>
      <c r="AI1174" s="16">
        <v>45794</v>
      </c>
      <c r="AJ1174" s="16">
        <v>45801</v>
      </c>
      <c r="AK1174" s="17">
        <f>IF(AJ1174="","",AJ1174-AH1174)</f>
        <v>12</v>
      </c>
    </row>
    <row r="1175" spans="1:37">
      <c r="A1175" s="2" t="s">
        <v>1589</v>
      </c>
      <c r="B1175" s="2" t="s">
        <v>375</v>
      </c>
      <c r="C1175" s="2" t="s">
        <v>376</v>
      </c>
      <c r="D1175" s="2" t="s">
        <v>344</v>
      </c>
      <c r="E1175" s="2" t="s">
        <v>377</v>
      </c>
      <c r="F1175" s="2" t="s">
        <v>346</v>
      </c>
      <c r="G1175" s="2" t="s">
        <v>1544</v>
      </c>
      <c r="H1175" s="2" t="s">
        <v>291</v>
      </c>
      <c r="I1175" s="2" t="s">
        <v>380</v>
      </c>
      <c r="J1175" s="2" t="s">
        <v>381</v>
      </c>
      <c r="K1175" s="9">
        <v>45770</v>
      </c>
      <c r="L1175" s="9">
        <v>45777</v>
      </c>
      <c r="M1175" s="9">
        <v>45776</v>
      </c>
      <c r="N1175" s="2" t="s">
        <v>1333</v>
      </c>
      <c r="O1175" s="2" t="s">
        <v>55</v>
      </c>
      <c r="P1175" s="2" t="s">
        <v>139</v>
      </c>
      <c r="Q1175" s="2" t="s">
        <v>154</v>
      </c>
      <c r="R1175" s="2" t="s">
        <v>128</v>
      </c>
      <c r="S1175" s="2" t="s">
        <v>383</v>
      </c>
      <c r="T1175" s="10">
        <v>33.39</v>
      </c>
      <c r="U1175" s="11">
        <v>1</v>
      </c>
      <c r="V1175" s="12">
        <f>T1175*U1175</f>
        <v>33.39</v>
      </c>
      <c r="W1175" s="13">
        <v>0</v>
      </c>
      <c r="X1175" s="12">
        <f>V1175-(V1175/(1+W1175))</f>
        <v>0</v>
      </c>
      <c r="Y1175" s="12">
        <f>V1175-X1175</f>
        <v>33.39</v>
      </c>
      <c r="Z1175" s="14">
        <v>35</v>
      </c>
      <c r="AA1175" s="2" t="str">
        <f>IF(V1175&gt;Z1175,"Yes","No")</f>
        <v>No</v>
      </c>
      <c r="AB1175" s="12">
        <f>V1175-Z1175</f>
        <v>-1.6099999999999994</v>
      </c>
      <c r="AC1175" s="15" t="s">
        <v>130</v>
      </c>
      <c r="AD1175" s="15" t="s">
        <v>130</v>
      </c>
      <c r="AE1175" s="15" t="s">
        <v>180</v>
      </c>
      <c r="AF1175" s="12">
        <f>IF(AG1175="Rejected",0,IF(R1175="Corporate Card",0,V1175))</f>
        <v>0</v>
      </c>
      <c r="AG1175" s="15" t="s">
        <v>133</v>
      </c>
      <c r="AH1175" s="16">
        <v>45789</v>
      </c>
      <c r="AI1175" s="16">
        <v>45794</v>
      </c>
      <c r="AJ1175" s="16">
        <v>45801</v>
      </c>
      <c r="AK1175" s="17">
        <f>IF(AJ1175="","",AJ1175-AH1175)</f>
        <v>12</v>
      </c>
    </row>
    <row r="1176" spans="1:37">
      <c r="A1176" s="2" t="s">
        <v>1590</v>
      </c>
      <c r="B1176" s="2" t="s">
        <v>375</v>
      </c>
      <c r="C1176" s="2" t="s">
        <v>376</v>
      </c>
      <c r="D1176" s="2" t="s">
        <v>344</v>
      </c>
      <c r="E1176" s="2" t="s">
        <v>377</v>
      </c>
      <c r="F1176" s="2" t="s">
        <v>346</v>
      </c>
      <c r="G1176" s="2" t="s">
        <v>1544</v>
      </c>
      <c r="H1176" s="2" t="s">
        <v>291</v>
      </c>
      <c r="I1176" s="2" t="s">
        <v>380</v>
      </c>
      <c r="J1176" s="2" t="s">
        <v>381</v>
      </c>
      <c r="K1176" s="9">
        <v>45770</v>
      </c>
      <c r="L1176" s="9">
        <v>45777</v>
      </c>
      <c r="M1176" s="9">
        <v>45777</v>
      </c>
      <c r="N1176" s="2" t="s">
        <v>1333</v>
      </c>
      <c r="O1176" s="2" t="s">
        <v>58</v>
      </c>
      <c r="P1176" s="2" t="s">
        <v>142</v>
      </c>
      <c r="Q1176" s="2" t="s">
        <v>156</v>
      </c>
      <c r="R1176" s="2" t="s">
        <v>149</v>
      </c>
      <c r="S1176" s="2" t="s">
        <v>383</v>
      </c>
      <c r="T1176" s="10">
        <v>66.28</v>
      </c>
      <c r="U1176" s="11">
        <v>1</v>
      </c>
      <c r="V1176" s="12">
        <f>T1176*U1176</f>
        <v>66.28</v>
      </c>
      <c r="W1176" s="13">
        <v>0</v>
      </c>
      <c r="X1176" s="12">
        <f>V1176-(V1176/(1+W1176))</f>
        <v>0</v>
      </c>
      <c r="Y1176" s="12">
        <f>V1176-X1176</f>
        <v>66.28</v>
      </c>
      <c r="Z1176" s="14">
        <v>60</v>
      </c>
      <c r="AA1176" s="2" t="str">
        <f>IF(V1176&gt;Z1176,"Yes","No")</f>
        <v>Yes</v>
      </c>
      <c r="AB1176" s="12">
        <f>V1176-Z1176</f>
        <v>6.2800000000000011</v>
      </c>
      <c r="AC1176" s="15" t="s">
        <v>130</v>
      </c>
      <c r="AD1176" s="15" t="s">
        <v>130</v>
      </c>
      <c r="AE1176" s="15" t="s">
        <v>180</v>
      </c>
      <c r="AF1176" s="12">
        <f>IF(AG1176="Rejected",0,IF(R1176="Corporate Card",0,V1176))</f>
        <v>66.28</v>
      </c>
      <c r="AG1176" s="15" t="s">
        <v>133</v>
      </c>
      <c r="AH1176" s="16">
        <v>45789</v>
      </c>
      <c r="AI1176" s="16">
        <v>45794</v>
      </c>
      <c r="AJ1176" s="16">
        <v>45801</v>
      </c>
      <c r="AK1176" s="17">
        <f>IF(AJ1176="","",AJ1176-AH1176)</f>
        <v>12</v>
      </c>
    </row>
    <row r="1177" spans="1:37">
      <c r="A1177" s="2" t="s">
        <v>1591</v>
      </c>
      <c r="B1177" s="2" t="s">
        <v>375</v>
      </c>
      <c r="C1177" s="2" t="s">
        <v>376</v>
      </c>
      <c r="D1177" s="2" t="s">
        <v>344</v>
      </c>
      <c r="E1177" s="2" t="s">
        <v>377</v>
      </c>
      <c r="F1177" s="2" t="s">
        <v>346</v>
      </c>
      <c r="G1177" s="2" t="s">
        <v>1544</v>
      </c>
      <c r="H1177" s="2" t="s">
        <v>291</v>
      </c>
      <c r="I1177" s="2" t="s">
        <v>380</v>
      </c>
      <c r="J1177" s="2" t="s">
        <v>381</v>
      </c>
      <c r="K1177" s="9">
        <v>45770</v>
      </c>
      <c r="L1177" s="9">
        <v>45777</v>
      </c>
      <c r="M1177" s="9">
        <v>45777</v>
      </c>
      <c r="N1177" s="2" t="s">
        <v>1333</v>
      </c>
      <c r="O1177" s="2" t="s">
        <v>54</v>
      </c>
      <c r="P1177" s="2" t="s">
        <v>139</v>
      </c>
      <c r="Q1177" s="2" t="s">
        <v>214</v>
      </c>
      <c r="R1177" s="2" t="s">
        <v>128</v>
      </c>
      <c r="S1177" s="2" t="s">
        <v>383</v>
      </c>
      <c r="T1177" s="10">
        <v>11.93</v>
      </c>
      <c r="U1177" s="11">
        <v>1</v>
      </c>
      <c r="V1177" s="12">
        <f>T1177*U1177</f>
        <v>11.93</v>
      </c>
      <c r="W1177" s="13">
        <v>0</v>
      </c>
      <c r="X1177" s="12">
        <f>V1177-(V1177/(1+W1177))</f>
        <v>0</v>
      </c>
      <c r="Y1177" s="12">
        <f>V1177-X1177</f>
        <v>11.93</v>
      </c>
      <c r="Z1177" s="14">
        <v>25</v>
      </c>
      <c r="AA1177" s="2" t="str">
        <f>IF(V1177&gt;Z1177,"Yes","No")</f>
        <v>No</v>
      </c>
      <c r="AB1177" s="12">
        <f>V1177-Z1177</f>
        <v>-13.07</v>
      </c>
      <c r="AC1177" s="15" t="s">
        <v>131</v>
      </c>
      <c r="AD1177" s="15" t="s">
        <v>130</v>
      </c>
      <c r="AE1177" s="15" t="s">
        <v>180</v>
      </c>
      <c r="AF1177" s="12">
        <f>IF(AG1177="Rejected",0,IF(R1177="Corporate Card",0,V1177))</f>
        <v>0</v>
      </c>
      <c r="AG1177" s="15" t="s">
        <v>133</v>
      </c>
      <c r="AH1177" s="16">
        <v>45789</v>
      </c>
      <c r="AI1177" s="16">
        <v>45794</v>
      </c>
      <c r="AJ1177" s="16">
        <v>45801</v>
      </c>
      <c r="AK1177" s="17">
        <f>IF(AJ1177="","",AJ1177-AH1177)</f>
        <v>12</v>
      </c>
    </row>
    <row r="1178" spans="1:37">
      <c r="A1178" s="2" t="s">
        <v>1592</v>
      </c>
      <c r="B1178" s="2" t="s">
        <v>375</v>
      </c>
      <c r="C1178" s="2" t="s">
        <v>376</v>
      </c>
      <c r="D1178" s="2" t="s">
        <v>344</v>
      </c>
      <c r="E1178" s="2" t="s">
        <v>377</v>
      </c>
      <c r="F1178" s="2" t="s">
        <v>346</v>
      </c>
      <c r="G1178" s="2" t="s">
        <v>1544</v>
      </c>
      <c r="H1178" s="2" t="s">
        <v>291</v>
      </c>
      <c r="I1178" s="2" t="s">
        <v>380</v>
      </c>
      <c r="J1178" s="2" t="s">
        <v>381</v>
      </c>
      <c r="K1178" s="9">
        <v>45770</v>
      </c>
      <c r="L1178" s="9">
        <v>45777</v>
      </c>
      <c r="M1178" s="9">
        <v>45777</v>
      </c>
      <c r="N1178" s="2" t="s">
        <v>1333</v>
      </c>
      <c r="O1178" s="2" t="s">
        <v>56</v>
      </c>
      <c r="P1178" s="2" t="s">
        <v>151</v>
      </c>
      <c r="Q1178" s="2" t="s">
        <v>152</v>
      </c>
      <c r="R1178" s="2" t="s">
        <v>128</v>
      </c>
      <c r="S1178" s="2" t="s">
        <v>383</v>
      </c>
      <c r="T1178" s="10">
        <v>50.63</v>
      </c>
      <c r="U1178" s="11">
        <v>1</v>
      </c>
      <c r="V1178" s="12">
        <f>T1178*U1178</f>
        <v>50.63</v>
      </c>
      <c r="W1178" s="13">
        <v>0</v>
      </c>
      <c r="X1178" s="12">
        <f>V1178-(V1178/(1+W1178))</f>
        <v>0</v>
      </c>
      <c r="Y1178" s="12">
        <f>V1178-X1178</f>
        <v>50.63</v>
      </c>
      <c r="Z1178" s="14">
        <v>75</v>
      </c>
      <c r="AA1178" s="2" t="str">
        <f>IF(V1178&gt;Z1178,"Yes","No")</f>
        <v>No</v>
      </c>
      <c r="AB1178" s="12">
        <f>V1178-Z1178</f>
        <v>-24.369999999999997</v>
      </c>
      <c r="AC1178" s="15" t="s">
        <v>130</v>
      </c>
      <c r="AD1178" s="15" t="s">
        <v>130</v>
      </c>
      <c r="AE1178" s="15" t="s">
        <v>180</v>
      </c>
      <c r="AF1178" s="12">
        <f>IF(AG1178="Rejected",0,IF(R1178="Corporate Card",0,V1178))</f>
        <v>0</v>
      </c>
      <c r="AG1178" s="15" t="s">
        <v>133</v>
      </c>
      <c r="AH1178" s="16">
        <v>45789</v>
      </c>
      <c r="AI1178" s="16">
        <v>45794</v>
      </c>
      <c r="AJ1178" s="16">
        <v>45801</v>
      </c>
      <c r="AK1178" s="17">
        <f>IF(AJ1178="","",AJ1178-AH1178)</f>
        <v>12</v>
      </c>
    </row>
    <row r="1179" spans="1:37">
      <c r="A1179" s="2" t="s">
        <v>1593</v>
      </c>
      <c r="B1179" s="2" t="s">
        <v>375</v>
      </c>
      <c r="C1179" s="2" t="s">
        <v>376</v>
      </c>
      <c r="D1179" s="2" t="s">
        <v>344</v>
      </c>
      <c r="E1179" s="2" t="s">
        <v>377</v>
      </c>
      <c r="F1179" s="2" t="s">
        <v>346</v>
      </c>
      <c r="G1179" s="2" t="s">
        <v>1594</v>
      </c>
      <c r="H1179" s="2" t="s">
        <v>348</v>
      </c>
      <c r="I1179" s="2" t="s">
        <v>651</v>
      </c>
      <c r="J1179" s="2" t="s">
        <v>652</v>
      </c>
      <c r="K1179" s="9">
        <v>45780</v>
      </c>
      <c r="L1179" s="9">
        <v>45788</v>
      </c>
      <c r="M1179" s="9">
        <v>45780</v>
      </c>
      <c r="N1179" s="2" t="s">
        <v>1595</v>
      </c>
      <c r="O1179" s="2" t="s">
        <v>52</v>
      </c>
      <c r="P1179" s="2" t="s">
        <v>653</v>
      </c>
      <c r="Q1179" s="2" t="s">
        <v>258</v>
      </c>
      <c r="R1179" s="2" t="s">
        <v>128</v>
      </c>
      <c r="S1179" s="2" t="s">
        <v>654</v>
      </c>
      <c r="T1179" s="10">
        <v>2021.19</v>
      </c>
      <c r="U1179" s="11">
        <v>0.72799999999999998</v>
      </c>
      <c r="V1179" s="12">
        <f>T1179*U1179</f>
        <v>1471.42632</v>
      </c>
      <c r="W1179" s="13">
        <v>0</v>
      </c>
      <c r="X1179" s="12">
        <f>V1179-(V1179/(1+W1179))</f>
        <v>0</v>
      </c>
      <c r="Y1179" s="12">
        <f>V1179-X1179</f>
        <v>1471.42632</v>
      </c>
      <c r="Z1179" s="14">
        <v>1400</v>
      </c>
      <c r="AA1179" s="2" t="str">
        <f>IF(V1179&gt;Z1179,"Yes","No")</f>
        <v>Yes</v>
      </c>
      <c r="AB1179" s="12">
        <f>V1179-Z1179</f>
        <v>71.426320000000032</v>
      </c>
      <c r="AC1179" s="15" t="s">
        <v>130</v>
      </c>
      <c r="AD1179" s="15" t="s">
        <v>131</v>
      </c>
      <c r="AE1179" s="15" t="s">
        <v>350</v>
      </c>
      <c r="AF1179" s="12">
        <f>IF(AG1179="Rejected",0,IF(R1179="Corporate Card",0,V1179))</f>
        <v>0</v>
      </c>
      <c r="AG1179" s="15" t="s">
        <v>133</v>
      </c>
      <c r="AH1179" s="16">
        <v>45794</v>
      </c>
      <c r="AI1179" s="16">
        <v>45803</v>
      </c>
      <c r="AJ1179" s="16">
        <v>45810</v>
      </c>
      <c r="AK1179" s="17">
        <f>IF(AJ1179="","",AJ1179-AH1179)</f>
        <v>16</v>
      </c>
    </row>
    <row r="1180" spans="1:37">
      <c r="A1180" s="2" t="s">
        <v>1596</v>
      </c>
      <c r="B1180" s="2" t="s">
        <v>375</v>
      </c>
      <c r="C1180" s="2" t="s">
        <v>376</v>
      </c>
      <c r="D1180" s="2" t="s">
        <v>344</v>
      </c>
      <c r="E1180" s="2" t="s">
        <v>377</v>
      </c>
      <c r="F1180" s="2" t="s">
        <v>346</v>
      </c>
      <c r="G1180" s="2" t="s">
        <v>1594</v>
      </c>
      <c r="H1180" s="2" t="s">
        <v>348</v>
      </c>
      <c r="I1180" s="2" t="s">
        <v>651</v>
      </c>
      <c r="J1180" s="2" t="s">
        <v>652</v>
      </c>
      <c r="K1180" s="9">
        <v>45780</v>
      </c>
      <c r="L1180" s="9">
        <v>45788</v>
      </c>
      <c r="M1180" s="9">
        <v>45780</v>
      </c>
      <c r="N1180" s="2" t="s">
        <v>1595</v>
      </c>
      <c r="O1180" s="2" t="s">
        <v>54</v>
      </c>
      <c r="P1180" s="2" t="s">
        <v>139</v>
      </c>
      <c r="Q1180" s="2" t="s">
        <v>148</v>
      </c>
      <c r="R1180" s="2" t="s">
        <v>137</v>
      </c>
      <c r="S1180" s="2" t="s">
        <v>654</v>
      </c>
      <c r="T1180" s="10">
        <v>24.04</v>
      </c>
      <c r="U1180" s="11">
        <v>0.72799999999999998</v>
      </c>
      <c r="V1180" s="12">
        <f>T1180*U1180</f>
        <v>17.50112</v>
      </c>
      <c r="W1180" s="13">
        <v>0.13</v>
      </c>
      <c r="X1180" s="12">
        <f>V1180-(V1180/(1+W1180))</f>
        <v>2.0134031858407067</v>
      </c>
      <c r="Y1180" s="12">
        <f>V1180-X1180</f>
        <v>15.487716814159294</v>
      </c>
      <c r="Z1180" s="14">
        <v>25</v>
      </c>
      <c r="AA1180" s="2" t="str">
        <f>IF(V1180&gt;Z1180,"Yes","No")</f>
        <v>No</v>
      </c>
      <c r="AB1180" s="12">
        <f>V1180-Z1180</f>
        <v>-7.4988799999999998</v>
      </c>
      <c r="AC1180" s="15" t="s">
        <v>130</v>
      </c>
      <c r="AD1180" s="15" t="s">
        <v>131</v>
      </c>
      <c r="AE1180" s="15" t="s">
        <v>350</v>
      </c>
      <c r="AF1180" s="12">
        <f>IF(AG1180="Rejected",0,IF(R1180="Corporate Card",0,V1180))</f>
        <v>17.50112</v>
      </c>
      <c r="AG1180" s="15" t="s">
        <v>133</v>
      </c>
      <c r="AH1180" s="16">
        <v>45794</v>
      </c>
      <c r="AI1180" s="16">
        <v>45803</v>
      </c>
      <c r="AJ1180" s="16">
        <v>45810</v>
      </c>
      <c r="AK1180" s="17">
        <f>IF(AJ1180="","",AJ1180-AH1180)</f>
        <v>16</v>
      </c>
    </row>
    <row r="1181" spans="1:37">
      <c r="A1181" s="2" t="s">
        <v>1597</v>
      </c>
      <c r="B1181" s="2" t="s">
        <v>375</v>
      </c>
      <c r="C1181" s="2" t="s">
        <v>376</v>
      </c>
      <c r="D1181" s="2" t="s">
        <v>344</v>
      </c>
      <c r="E1181" s="2" t="s">
        <v>377</v>
      </c>
      <c r="F1181" s="2" t="s">
        <v>346</v>
      </c>
      <c r="G1181" s="2" t="s">
        <v>1594</v>
      </c>
      <c r="H1181" s="2" t="s">
        <v>348</v>
      </c>
      <c r="I1181" s="2" t="s">
        <v>651</v>
      </c>
      <c r="J1181" s="2" t="s">
        <v>652</v>
      </c>
      <c r="K1181" s="9">
        <v>45780</v>
      </c>
      <c r="L1181" s="9">
        <v>45788</v>
      </c>
      <c r="M1181" s="9">
        <v>45780</v>
      </c>
      <c r="N1181" s="2" t="s">
        <v>1595</v>
      </c>
      <c r="O1181" s="2" t="s">
        <v>55</v>
      </c>
      <c r="P1181" s="2" t="s">
        <v>139</v>
      </c>
      <c r="Q1181" s="2" t="s">
        <v>217</v>
      </c>
      <c r="R1181" s="2" t="s">
        <v>128</v>
      </c>
      <c r="S1181" s="2" t="s">
        <v>654</v>
      </c>
      <c r="T1181" s="10">
        <v>26.62</v>
      </c>
      <c r="U1181" s="11">
        <v>0.72799999999999998</v>
      </c>
      <c r="V1181" s="12">
        <f>T1181*U1181</f>
        <v>19.379360000000002</v>
      </c>
      <c r="W1181" s="13">
        <v>0.13</v>
      </c>
      <c r="X1181" s="12">
        <f>V1181-(V1181/(1+W1181))</f>
        <v>2.229483893805309</v>
      </c>
      <c r="Y1181" s="12">
        <f>V1181-X1181</f>
        <v>17.149876106194693</v>
      </c>
      <c r="Z1181" s="14">
        <v>35</v>
      </c>
      <c r="AA1181" s="2" t="str">
        <f>IF(V1181&gt;Z1181,"Yes","No")</f>
        <v>No</v>
      </c>
      <c r="AB1181" s="12">
        <f>V1181-Z1181</f>
        <v>-15.620639999999998</v>
      </c>
      <c r="AC1181" s="15" t="s">
        <v>130</v>
      </c>
      <c r="AD1181" s="15" t="s">
        <v>131</v>
      </c>
      <c r="AE1181" s="15" t="s">
        <v>350</v>
      </c>
      <c r="AF1181" s="12">
        <f>IF(AG1181="Rejected",0,IF(R1181="Corporate Card",0,V1181))</f>
        <v>0</v>
      </c>
      <c r="AG1181" s="15" t="s">
        <v>133</v>
      </c>
      <c r="AH1181" s="16">
        <v>45794</v>
      </c>
      <c r="AI1181" s="16">
        <v>45803</v>
      </c>
      <c r="AJ1181" s="16">
        <v>45810</v>
      </c>
      <c r="AK1181" s="17">
        <f>IF(AJ1181="","",AJ1181-AH1181)</f>
        <v>16</v>
      </c>
    </row>
    <row r="1182" spans="1:37">
      <c r="A1182" s="2" t="s">
        <v>1598</v>
      </c>
      <c r="B1182" s="2" t="s">
        <v>1235</v>
      </c>
      <c r="C1182" s="2" t="s">
        <v>867</v>
      </c>
      <c r="D1182" s="2" t="s">
        <v>865</v>
      </c>
      <c r="E1182" s="2" t="s">
        <v>1236</v>
      </c>
      <c r="F1182" s="2" t="s">
        <v>313</v>
      </c>
      <c r="G1182" s="2" t="s">
        <v>1599</v>
      </c>
      <c r="H1182" s="2" t="s">
        <v>193</v>
      </c>
      <c r="I1182" s="2" t="s">
        <v>749</v>
      </c>
      <c r="J1182" s="2" t="s">
        <v>750</v>
      </c>
      <c r="K1182" s="9">
        <v>45780</v>
      </c>
      <c r="L1182" s="9">
        <v>45781</v>
      </c>
      <c r="M1182" s="9">
        <v>45780</v>
      </c>
      <c r="N1182" s="2" t="s">
        <v>1595</v>
      </c>
      <c r="O1182" s="2" t="s">
        <v>52</v>
      </c>
      <c r="P1182" s="2" t="s">
        <v>751</v>
      </c>
      <c r="Q1182" s="2" t="s">
        <v>258</v>
      </c>
      <c r="R1182" s="2" t="s">
        <v>137</v>
      </c>
      <c r="S1182" s="2" t="s">
        <v>198</v>
      </c>
      <c r="T1182" s="10">
        <v>1422.41</v>
      </c>
      <c r="U1182" s="11">
        <v>1.085</v>
      </c>
      <c r="V1182" s="12">
        <f>T1182*U1182</f>
        <v>1543.31485</v>
      </c>
      <c r="W1182" s="13">
        <v>0</v>
      </c>
      <c r="X1182" s="12">
        <f>V1182-(V1182/(1+W1182))</f>
        <v>0</v>
      </c>
      <c r="Y1182" s="12">
        <f>V1182-X1182</f>
        <v>1543.31485</v>
      </c>
      <c r="Z1182" s="14">
        <v>1400</v>
      </c>
      <c r="AA1182" s="2" t="str">
        <f>IF(V1182&gt;Z1182,"Yes","No")</f>
        <v>Yes</v>
      </c>
      <c r="AB1182" s="12">
        <f>V1182-Z1182</f>
        <v>143.31484999999998</v>
      </c>
      <c r="AC1182" s="15" t="s">
        <v>130</v>
      </c>
      <c r="AD1182" s="15" t="s">
        <v>130</v>
      </c>
      <c r="AE1182" s="15" t="s">
        <v>514</v>
      </c>
      <c r="AF1182" s="12">
        <f>IF(AG1182="Rejected",0,IF(R1182="Corporate Card",0,V1182))</f>
        <v>1543.31485</v>
      </c>
      <c r="AG1182" s="15" t="s">
        <v>133</v>
      </c>
      <c r="AH1182" s="16">
        <v>45791</v>
      </c>
      <c r="AI1182" s="16">
        <v>45793</v>
      </c>
      <c r="AJ1182" s="16">
        <v>45799</v>
      </c>
      <c r="AK1182" s="17">
        <f>IF(AJ1182="","",AJ1182-AH1182)</f>
        <v>8</v>
      </c>
    </row>
    <row r="1183" spans="1:37">
      <c r="A1183" s="2" t="s">
        <v>1600</v>
      </c>
      <c r="B1183" s="2" t="s">
        <v>1235</v>
      </c>
      <c r="C1183" s="2" t="s">
        <v>867</v>
      </c>
      <c r="D1183" s="2" t="s">
        <v>865</v>
      </c>
      <c r="E1183" s="2" t="s">
        <v>1236</v>
      </c>
      <c r="F1183" s="2" t="s">
        <v>313</v>
      </c>
      <c r="G1183" s="2" t="s">
        <v>1599</v>
      </c>
      <c r="H1183" s="2" t="s">
        <v>193</v>
      </c>
      <c r="I1183" s="2" t="s">
        <v>749</v>
      </c>
      <c r="J1183" s="2" t="s">
        <v>750</v>
      </c>
      <c r="K1183" s="9">
        <v>45780</v>
      </c>
      <c r="L1183" s="9">
        <v>45781</v>
      </c>
      <c r="M1183" s="9">
        <v>45780</v>
      </c>
      <c r="N1183" s="2" t="s">
        <v>1595</v>
      </c>
      <c r="O1183" s="2" t="s">
        <v>63</v>
      </c>
      <c r="P1183" s="2" t="s">
        <v>200</v>
      </c>
      <c r="Q1183" s="2" t="s">
        <v>557</v>
      </c>
      <c r="R1183" s="2" t="s">
        <v>149</v>
      </c>
      <c r="S1183" s="2" t="s">
        <v>198</v>
      </c>
      <c r="T1183" s="10">
        <v>640.58000000000004</v>
      </c>
      <c r="U1183" s="11">
        <v>1.085</v>
      </c>
      <c r="V1183" s="12">
        <f>T1183*U1183</f>
        <v>695.02930000000003</v>
      </c>
      <c r="W1183" s="13">
        <v>0</v>
      </c>
      <c r="X1183" s="12">
        <f>V1183-(V1183/(1+W1183))</f>
        <v>0</v>
      </c>
      <c r="Y1183" s="12">
        <f>V1183-X1183</f>
        <v>695.02930000000003</v>
      </c>
      <c r="Z1183" s="14">
        <v>1200</v>
      </c>
      <c r="AA1183" s="2" t="str">
        <f>IF(V1183&gt;Z1183,"Yes","No")</f>
        <v>No</v>
      </c>
      <c r="AB1183" s="12">
        <f>V1183-Z1183</f>
        <v>-504.97069999999997</v>
      </c>
      <c r="AC1183" s="15" t="s">
        <v>130</v>
      </c>
      <c r="AD1183" s="15" t="s">
        <v>130</v>
      </c>
      <c r="AE1183" s="15" t="s">
        <v>514</v>
      </c>
      <c r="AF1183" s="12">
        <f>IF(AG1183="Rejected",0,IF(R1183="Corporate Card",0,V1183))</f>
        <v>695.02930000000003</v>
      </c>
      <c r="AG1183" s="15" t="s">
        <v>133</v>
      </c>
      <c r="AH1183" s="16">
        <v>45791</v>
      </c>
      <c r="AI1183" s="16">
        <v>45793</v>
      </c>
      <c r="AJ1183" s="16">
        <v>45799</v>
      </c>
      <c r="AK1183" s="17">
        <f>IF(AJ1183="","",AJ1183-AH1183)</f>
        <v>8</v>
      </c>
    </row>
    <row r="1184" spans="1:37">
      <c r="A1184" s="2" t="s">
        <v>1601</v>
      </c>
      <c r="B1184" s="2" t="s">
        <v>1235</v>
      </c>
      <c r="C1184" s="2" t="s">
        <v>867</v>
      </c>
      <c r="D1184" s="2" t="s">
        <v>865</v>
      </c>
      <c r="E1184" s="2" t="s">
        <v>1236</v>
      </c>
      <c r="F1184" s="2" t="s">
        <v>313</v>
      </c>
      <c r="G1184" s="2" t="s">
        <v>1599</v>
      </c>
      <c r="H1184" s="2" t="s">
        <v>193</v>
      </c>
      <c r="I1184" s="2" t="s">
        <v>749</v>
      </c>
      <c r="J1184" s="2" t="s">
        <v>750</v>
      </c>
      <c r="K1184" s="9">
        <v>45780</v>
      </c>
      <c r="L1184" s="9">
        <v>45781</v>
      </c>
      <c r="M1184" s="9">
        <v>45780</v>
      </c>
      <c r="N1184" s="2" t="s">
        <v>1595</v>
      </c>
      <c r="O1184" s="2" t="s">
        <v>56</v>
      </c>
      <c r="P1184" s="2" t="s">
        <v>245</v>
      </c>
      <c r="Q1184" s="2" t="s">
        <v>152</v>
      </c>
      <c r="R1184" s="2" t="s">
        <v>149</v>
      </c>
      <c r="S1184" s="2" t="s">
        <v>198</v>
      </c>
      <c r="T1184" s="10">
        <v>42.27</v>
      </c>
      <c r="U1184" s="11">
        <v>1.085</v>
      </c>
      <c r="V1184" s="12">
        <f>T1184*U1184</f>
        <v>45.862950000000005</v>
      </c>
      <c r="W1184" s="13">
        <v>0.19</v>
      </c>
      <c r="X1184" s="12">
        <f>V1184-(V1184/(1+W1184))</f>
        <v>7.3226558823529402</v>
      </c>
      <c r="Y1184" s="12">
        <f>V1184-X1184</f>
        <v>38.540294117647065</v>
      </c>
      <c r="Z1184" s="14">
        <v>75</v>
      </c>
      <c r="AA1184" s="2" t="str">
        <f>IF(V1184&gt;Z1184,"Yes","No")</f>
        <v>No</v>
      </c>
      <c r="AB1184" s="12">
        <f>V1184-Z1184</f>
        <v>-29.137049999999995</v>
      </c>
      <c r="AC1184" s="15" t="s">
        <v>130</v>
      </c>
      <c r="AD1184" s="15" t="s">
        <v>130</v>
      </c>
      <c r="AE1184" s="15" t="s">
        <v>514</v>
      </c>
      <c r="AF1184" s="12">
        <f>IF(AG1184="Rejected",0,IF(R1184="Corporate Card",0,V1184))</f>
        <v>45.862950000000005</v>
      </c>
      <c r="AG1184" s="15" t="s">
        <v>133</v>
      </c>
      <c r="AH1184" s="16">
        <v>45791</v>
      </c>
      <c r="AI1184" s="16">
        <v>45793</v>
      </c>
      <c r="AJ1184" s="16">
        <v>45799</v>
      </c>
      <c r="AK1184" s="17">
        <f>IF(AJ1184="","",AJ1184-AH1184)</f>
        <v>8</v>
      </c>
    </row>
    <row r="1185" spans="1:37">
      <c r="A1185" s="2" t="s">
        <v>1602</v>
      </c>
      <c r="B1185" s="2" t="s">
        <v>1235</v>
      </c>
      <c r="C1185" s="2" t="s">
        <v>867</v>
      </c>
      <c r="D1185" s="2" t="s">
        <v>865</v>
      </c>
      <c r="E1185" s="2" t="s">
        <v>1236</v>
      </c>
      <c r="F1185" s="2" t="s">
        <v>313</v>
      </c>
      <c r="G1185" s="2" t="s">
        <v>1599</v>
      </c>
      <c r="H1185" s="2" t="s">
        <v>193</v>
      </c>
      <c r="I1185" s="2" t="s">
        <v>749</v>
      </c>
      <c r="J1185" s="2" t="s">
        <v>750</v>
      </c>
      <c r="K1185" s="9">
        <v>45780</v>
      </c>
      <c r="L1185" s="9">
        <v>45781</v>
      </c>
      <c r="M1185" s="9">
        <v>45780</v>
      </c>
      <c r="N1185" s="2" t="s">
        <v>1595</v>
      </c>
      <c r="O1185" s="2" t="s">
        <v>55</v>
      </c>
      <c r="P1185" s="2" t="s">
        <v>139</v>
      </c>
      <c r="Q1185" s="2" t="s">
        <v>187</v>
      </c>
      <c r="R1185" s="2" t="s">
        <v>128</v>
      </c>
      <c r="S1185" s="2" t="s">
        <v>198</v>
      </c>
      <c r="T1185" s="10">
        <v>21.74</v>
      </c>
      <c r="U1185" s="11">
        <v>1.085</v>
      </c>
      <c r="V1185" s="12">
        <f>T1185*U1185</f>
        <v>23.587899999999998</v>
      </c>
      <c r="W1185" s="13">
        <v>0.19</v>
      </c>
      <c r="X1185" s="12">
        <f>V1185-(V1185/(1+W1185))</f>
        <v>3.766135294117646</v>
      </c>
      <c r="Y1185" s="12">
        <f>V1185-X1185</f>
        <v>19.821764705882352</v>
      </c>
      <c r="Z1185" s="14">
        <v>35</v>
      </c>
      <c r="AA1185" s="2" t="str">
        <f>IF(V1185&gt;Z1185,"Yes","No")</f>
        <v>No</v>
      </c>
      <c r="AB1185" s="12">
        <f>V1185-Z1185</f>
        <v>-11.412100000000002</v>
      </c>
      <c r="AC1185" s="15" t="s">
        <v>130</v>
      </c>
      <c r="AD1185" s="15" t="s">
        <v>130</v>
      </c>
      <c r="AE1185" s="15" t="s">
        <v>514</v>
      </c>
      <c r="AF1185" s="12">
        <f>IF(AG1185="Rejected",0,IF(R1185="Corporate Card",0,V1185))</f>
        <v>0</v>
      </c>
      <c r="AG1185" s="15" t="s">
        <v>133</v>
      </c>
      <c r="AH1185" s="16">
        <v>45791</v>
      </c>
      <c r="AI1185" s="16">
        <v>45793</v>
      </c>
      <c r="AJ1185" s="16">
        <v>45799</v>
      </c>
      <c r="AK1185" s="17">
        <f>IF(AJ1185="","",AJ1185-AH1185)</f>
        <v>8</v>
      </c>
    </row>
    <row r="1186" spans="1:37">
      <c r="A1186" s="2" t="s">
        <v>1603</v>
      </c>
      <c r="B1186" s="2" t="s">
        <v>375</v>
      </c>
      <c r="C1186" s="2" t="s">
        <v>376</v>
      </c>
      <c r="D1186" s="2" t="s">
        <v>344</v>
      </c>
      <c r="E1186" s="2" t="s">
        <v>377</v>
      </c>
      <c r="F1186" s="2" t="s">
        <v>346</v>
      </c>
      <c r="G1186" s="2" t="s">
        <v>1594</v>
      </c>
      <c r="H1186" s="2" t="s">
        <v>348</v>
      </c>
      <c r="I1186" s="2" t="s">
        <v>651</v>
      </c>
      <c r="J1186" s="2" t="s">
        <v>652</v>
      </c>
      <c r="K1186" s="9">
        <v>45780</v>
      </c>
      <c r="L1186" s="9">
        <v>45788</v>
      </c>
      <c r="M1186" s="9">
        <v>45781</v>
      </c>
      <c r="N1186" s="2" t="s">
        <v>1595</v>
      </c>
      <c r="O1186" s="2" t="s">
        <v>53</v>
      </c>
      <c r="P1186" s="2" t="s">
        <v>669</v>
      </c>
      <c r="Q1186" s="2" t="s">
        <v>272</v>
      </c>
      <c r="R1186" s="2" t="s">
        <v>137</v>
      </c>
      <c r="S1186" s="2" t="s">
        <v>654</v>
      </c>
      <c r="T1186" s="10">
        <v>1548.61</v>
      </c>
      <c r="U1186" s="11">
        <v>0.72799999999999998</v>
      </c>
      <c r="V1186" s="12">
        <f>T1186*U1186</f>
        <v>1127.3880799999999</v>
      </c>
      <c r="W1186" s="13">
        <v>0.13</v>
      </c>
      <c r="X1186" s="12">
        <f>V1186-(V1186/(1+W1186))</f>
        <v>129.69951362831853</v>
      </c>
      <c r="Y1186" s="12">
        <f>V1186-X1186</f>
        <v>997.68856637168142</v>
      </c>
      <c r="Z1186" s="14">
        <v>2240</v>
      </c>
      <c r="AA1186" s="2" t="str">
        <f>IF(V1186&gt;Z1186,"Yes","No")</f>
        <v>No</v>
      </c>
      <c r="AB1186" s="12">
        <f>V1186-Z1186</f>
        <v>-1112.6119200000001</v>
      </c>
      <c r="AC1186" s="15" t="s">
        <v>130</v>
      </c>
      <c r="AD1186" s="15" t="s">
        <v>131</v>
      </c>
      <c r="AE1186" s="15" t="s">
        <v>350</v>
      </c>
      <c r="AF1186" s="12">
        <f>IF(AG1186="Rejected",0,IF(R1186="Corporate Card",0,V1186))</f>
        <v>1127.3880799999999</v>
      </c>
      <c r="AG1186" s="15" t="s">
        <v>133</v>
      </c>
      <c r="AH1186" s="16">
        <v>45794</v>
      </c>
      <c r="AI1186" s="16">
        <v>45803</v>
      </c>
      <c r="AJ1186" s="16">
        <v>45810</v>
      </c>
      <c r="AK1186" s="17">
        <f>IF(AJ1186="","",AJ1186-AH1186)</f>
        <v>16</v>
      </c>
    </row>
    <row r="1187" spans="1:37">
      <c r="A1187" s="2" t="s">
        <v>1604</v>
      </c>
      <c r="B1187" s="2" t="s">
        <v>375</v>
      </c>
      <c r="C1187" s="2" t="s">
        <v>376</v>
      </c>
      <c r="D1187" s="2" t="s">
        <v>344</v>
      </c>
      <c r="E1187" s="2" t="s">
        <v>377</v>
      </c>
      <c r="F1187" s="2" t="s">
        <v>346</v>
      </c>
      <c r="G1187" s="2" t="s">
        <v>1594</v>
      </c>
      <c r="H1187" s="2" t="s">
        <v>348</v>
      </c>
      <c r="I1187" s="2" t="s">
        <v>651</v>
      </c>
      <c r="J1187" s="2" t="s">
        <v>652</v>
      </c>
      <c r="K1187" s="9">
        <v>45780</v>
      </c>
      <c r="L1187" s="9">
        <v>45788</v>
      </c>
      <c r="M1187" s="9">
        <v>45781</v>
      </c>
      <c r="N1187" s="2" t="s">
        <v>1595</v>
      </c>
      <c r="O1187" s="2" t="s">
        <v>54</v>
      </c>
      <c r="P1187" s="2" t="s">
        <v>139</v>
      </c>
      <c r="Q1187" s="2" t="s">
        <v>214</v>
      </c>
      <c r="R1187" s="2" t="s">
        <v>137</v>
      </c>
      <c r="S1187" s="2" t="s">
        <v>654</v>
      </c>
      <c r="T1187" s="10">
        <v>15.88</v>
      </c>
      <c r="U1187" s="11">
        <v>0.72799999999999998</v>
      </c>
      <c r="V1187" s="12">
        <f>T1187*U1187</f>
        <v>11.560640000000001</v>
      </c>
      <c r="W1187" s="13">
        <v>0.13</v>
      </c>
      <c r="X1187" s="12">
        <f>V1187-(V1187/(1+W1187))</f>
        <v>1.3299851327433618</v>
      </c>
      <c r="Y1187" s="12">
        <f>V1187-X1187</f>
        <v>10.230654867256639</v>
      </c>
      <c r="Z1187" s="14">
        <v>25</v>
      </c>
      <c r="AA1187" s="2" t="str">
        <f>IF(V1187&gt;Z1187,"Yes","No")</f>
        <v>No</v>
      </c>
      <c r="AB1187" s="12">
        <f>V1187-Z1187</f>
        <v>-13.439359999999999</v>
      </c>
      <c r="AC1187" s="15" t="s">
        <v>130</v>
      </c>
      <c r="AD1187" s="15" t="s">
        <v>131</v>
      </c>
      <c r="AE1187" s="15" t="s">
        <v>350</v>
      </c>
      <c r="AF1187" s="12">
        <f>IF(AG1187="Rejected",0,IF(R1187="Corporate Card",0,V1187))</f>
        <v>11.560640000000001</v>
      </c>
      <c r="AG1187" s="15" t="s">
        <v>133</v>
      </c>
      <c r="AH1187" s="16">
        <v>45794</v>
      </c>
      <c r="AI1187" s="16">
        <v>45803</v>
      </c>
      <c r="AJ1187" s="16">
        <v>45810</v>
      </c>
      <c r="AK1187" s="17">
        <f>IF(AJ1187="","",AJ1187-AH1187)</f>
        <v>16</v>
      </c>
    </row>
    <row r="1188" spans="1:37">
      <c r="A1188" s="2" t="s">
        <v>1605</v>
      </c>
      <c r="B1188" s="2" t="s">
        <v>375</v>
      </c>
      <c r="C1188" s="2" t="s">
        <v>376</v>
      </c>
      <c r="D1188" s="2" t="s">
        <v>344</v>
      </c>
      <c r="E1188" s="2" t="s">
        <v>377</v>
      </c>
      <c r="F1188" s="2" t="s">
        <v>346</v>
      </c>
      <c r="G1188" s="2" t="s">
        <v>1594</v>
      </c>
      <c r="H1188" s="2" t="s">
        <v>348</v>
      </c>
      <c r="I1188" s="2" t="s">
        <v>651</v>
      </c>
      <c r="J1188" s="2" t="s">
        <v>652</v>
      </c>
      <c r="K1188" s="9">
        <v>45780</v>
      </c>
      <c r="L1188" s="9">
        <v>45788</v>
      </c>
      <c r="M1188" s="9">
        <v>45781</v>
      </c>
      <c r="N1188" s="2" t="s">
        <v>1595</v>
      </c>
      <c r="O1188" s="2" t="s">
        <v>56</v>
      </c>
      <c r="P1188" s="2" t="s">
        <v>151</v>
      </c>
      <c r="Q1188" s="2" t="s">
        <v>227</v>
      </c>
      <c r="R1188" s="2" t="s">
        <v>128</v>
      </c>
      <c r="S1188" s="2" t="s">
        <v>654</v>
      </c>
      <c r="T1188" s="10">
        <v>60.52</v>
      </c>
      <c r="U1188" s="11">
        <v>0.72799999999999998</v>
      </c>
      <c r="V1188" s="12">
        <f>T1188*U1188</f>
        <v>44.05856</v>
      </c>
      <c r="W1188" s="13">
        <v>0.13</v>
      </c>
      <c r="X1188" s="12">
        <f>V1188-(V1188/(1+W1188))</f>
        <v>5.0686838938053072</v>
      </c>
      <c r="Y1188" s="12">
        <f>V1188-X1188</f>
        <v>38.989876106194693</v>
      </c>
      <c r="Z1188" s="14">
        <v>75</v>
      </c>
      <c r="AA1188" s="2" t="str">
        <f>IF(V1188&gt;Z1188,"Yes","No")</f>
        <v>No</v>
      </c>
      <c r="AB1188" s="12">
        <f>V1188-Z1188</f>
        <v>-30.94144</v>
      </c>
      <c r="AC1188" s="15" t="s">
        <v>130</v>
      </c>
      <c r="AD1188" s="15" t="s">
        <v>131</v>
      </c>
      <c r="AE1188" s="15" t="s">
        <v>350</v>
      </c>
      <c r="AF1188" s="12">
        <f>IF(AG1188="Rejected",0,IF(R1188="Corporate Card",0,V1188))</f>
        <v>0</v>
      </c>
      <c r="AG1188" s="15" t="s">
        <v>133</v>
      </c>
      <c r="AH1188" s="16">
        <v>45794</v>
      </c>
      <c r="AI1188" s="16">
        <v>45803</v>
      </c>
      <c r="AJ1188" s="16">
        <v>45810</v>
      </c>
      <c r="AK1188" s="17">
        <f>IF(AJ1188="","",AJ1188-AH1188)</f>
        <v>16</v>
      </c>
    </row>
    <row r="1189" spans="1:37">
      <c r="A1189" s="2" t="s">
        <v>1606</v>
      </c>
      <c r="B1189" s="2" t="s">
        <v>375</v>
      </c>
      <c r="C1189" s="2" t="s">
        <v>376</v>
      </c>
      <c r="D1189" s="2" t="s">
        <v>344</v>
      </c>
      <c r="E1189" s="2" t="s">
        <v>377</v>
      </c>
      <c r="F1189" s="2" t="s">
        <v>346</v>
      </c>
      <c r="G1189" s="2" t="s">
        <v>1594</v>
      </c>
      <c r="H1189" s="2" t="s">
        <v>348</v>
      </c>
      <c r="I1189" s="2" t="s">
        <v>651</v>
      </c>
      <c r="J1189" s="2" t="s">
        <v>652</v>
      </c>
      <c r="K1189" s="9">
        <v>45780</v>
      </c>
      <c r="L1189" s="9">
        <v>45788</v>
      </c>
      <c r="M1189" s="9">
        <v>45781</v>
      </c>
      <c r="N1189" s="2" t="s">
        <v>1595</v>
      </c>
      <c r="O1189" s="2" t="s">
        <v>55</v>
      </c>
      <c r="P1189" s="2" t="s">
        <v>139</v>
      </c>
      <c r="Q1189" s="2" t="s">
        <v>154</v>
      </c>
      <c r="R1189" s="2" t="s">
        <v>128</v>
      </c>
      <c r="S1189" s="2" t="s">
        <v>654</v>
      </c>
      <c r="T1189" s="10">
        <v>61.82</v>
      </c>
      <c r="U1189" s="11">
        <v>0.72799999999999998</v>
      </c>
      <c r="V1189" s="12">
        <f>T1189*U1189</f>
        <v>45.004959999999997</v>
      </c>
      <c r="W1189" s="13">
        <v>0.13</v>
      </c>
      <c r="X1189" s="12">
        <f>V1189-(V1189/(1+W1189))</f>
        <v>5.1775617699114989</v>
      </c>
      <c r="Y1189" s="12">
        <f>V1189-X1189</f>
        <v>39.827398230088498</v>
      </c>
      <c r="Z1189" s="14">
        <v>35</v>
      </c>
      <c r="AA1189" s="2" t="str">
        <f>IF(V1189&gt;Z1189,"Yes","No")</f>
        <v>Yes</v>
      </c>
      <c r="AB1189" s="12">
        <f>V1189-Z1189</f>
        <v>10.004959999999997</v>
      </c>
      <c r="AC1189" s="15" t="s">
        <v>131</v>
      </c>
      <c r="AD1189" s="15" t="s">
        <v>131</v>
      </c>
      <c r="AE1189" s="15" t="s">
        <v>350</v>
      </c>
      <c r="AF1189" s="12">
        <f>IF(AG1189="Rejected",0,IF(R1189="Corporate Card",0,V1189))</f>
        <v>0</v>
      </c>
      <c r="AG1189" s="15" t="s">
        <v>133</v>
      </c>
      <c r="AH1189" s="16">
        <v>45794</v>
      </c>
      <c r="AI1189" s="16">
        <v>45803</v>
      </c>
      <c r="AJ1189" s="16">
        <v>45810</v>
      </c>
      <c r="AK1189" s="17">
        <f>IF(AJ1189="","",AJ1189-AH1189)</f>
        <v>16</v>
      </c>
    </row>
    <row r="1190" spans="1:37">
      <c r="A1190" s="2" t="s">
        <v>1607</v>
      </c>
      <c r="B1190" s="2" t="s">
        <v>1235</v>
      </c>
      <c r="C1190" s="2" t="s">
        <v>867</v>
      </c>
      <c r="D1190" s="2" t="s">
        <v>865</v>
      </c>
      <c r="E1190" s="2" t="s">
        <v>1236</v>
      </c>
      <c r="F1190" s="2" t="s">
        <v>313</v>
      </c>
      <c r="G1190" s="2" t="s">
        <v>1599</v>
      </c>
      <c r="H1190" s="2" t="s">
        <v>193</v>
      </c>
      <c r="I1190" s="2" t="s">
        <v>749</v>
      </c>
      <c r="J1190" s="2" t="s">
        <v>750</v>
      </c>
      <c r="K1190" s="9">
        <v>45780</v>
      </c>
      <c r="L1190" s="9">
        <v>45781</v>
      </c>
      <c r="M1190" s="9">
        <v>45781</v>
      </c>
      <c r="N1190" s="2" t="s">
        <v>1595</v>
      </c>
      <c r="O1190" s="2" t="s">
        <v>67</v>
      </c>
      <c r="P1190" s="2" t="s">
        <v>401</v>
      </c>
      <c r="Q1190" s="2" t="s">
        <v>402</v>
      </c>
      <c r="R1190" s="2" t="s">
        <v>149</v>
      </c>
      <c r="S1190" s="2" t="s">
        <v>198</v>
      </c>
      <c r="T1190" s="10">
        <v>55.27</v>
      </c>
      <c r="U1190" s="11">
        <v>1.085</v>
      </c>
      <c r="V1190" s="12">
        <f>T1190*U1190</f>
        <v>59.967950000000002</v>
      </c>
      <c r="W1190" s="13">
        <v>0.19</v>
      </c>
      <c r="X1190" s="12">
        <f>V1190-(V1190/(1+W1190))</f>
        <v>9.5747147058823501</v>
      </c>
      <c r="Y1190" s="12">
        <f>V1190-X1190</f>
        <v>50.393235294117652</v>
      </c>
      <c r="Z1190" s="14">
        <v>100</v>
      </c>
      <c r="AA1190" s="2" t="str">
        <f>IF(V1190&gt;Z1190,"Yes","No")</f>
        <v>No</v>
      </c>
      <c r="AB1190" s="12">
        <f>V1190-Z1190</f>
        <v>-40.032049999999998</v>
      </c>
      <c r="AC1190" s="15" t="s">
        <v>130</v>
      </c>
      <c r="AD1190" s="15" t="s">
        <v>130</v>
      </c>
      <c r="AE1190" s="15" t="s">
        <v>514</v>
      </c>
      <c r="AF1190" s="12">
        <f>IF(AG1190="Rejected",0,IF(R1190="Corporate Card",0,V1190))</f>
        <v>59.967950000000002</v>
      </c>
      <c r="AG1190" s="15" t="s">
        <v>133</v>
      </c>
      <c r="AH1190" s="16">
        <v>45791</v>
      </c>
      <c r="AI1190" s="16">
        <v>45793</v>
      </c>
      <c r="AJ1190" s="16">
        <v>45799</v>
      </c>
      <c r="AK1190" s="17">
        <f>IF(AJ1190="","",AJ1190-AH1190)</f>
        <v>8</v>
      </c>
    </row>
    <row r="1191" spans="1:37">
      <c r="A1191" s="2" t="s">
        <v>1608</v>
      </c>
      <c r="B1191" s="2" t="s">
        <v>1235</v>
      </c>
      <c r="C1191" s="2" t="s">
        <v>867</v>
      </c>
      <c r="D1191" s="2" t="s">
        <v>865</v>
      </c>
      <c r="E1191" s="2" t="s">
        <v>1236</v>
      </c>
      <c r="F1191" s="2" t="s">
        <v>313</v>
      </c>
      <c r="G1191" s="2" t="s">
        <v>1599</v>
      </c>
      <c r="H1191" s="2" t="s">
        <v>193</v>
      </c>
      <c r="I1191" s="2" t="s">
        <v>749</v>
      </c>
      <c r="J1191" s="2" t="s">
        <v>750</v>
      </c>
      <c r="K1191" s="9">
        <v>45780</v>
      </c>
      <c r="L1191" s="9">
        <v>45781</v>
      </c>
      <c r="M1191" s="9">
        <v>45781</v>
      </c>
      <c r="N1191" s="2" t="s">
        <v>1595</v>
      </c>
      <c r="O1191" s="2" t="s">
        <v>59</v>
      </c>
      <c r="P1191" s="2" t="s">
        <v>301</v>
      </c>
      <c r="Q1191" s="2" t="s">
        <v>452</v>
      </c>
      <c r="R1191" s="2" t="s">
        <v>128</v>
      </c>
      <c r="S1191" s="2" t="s">
        <v>198</v>
      </c>
      <c r="T1191" s="10">
        <v>158.05000000000001</v>
      </c>
      <c r="U1191" s="11">
        <v>1.085</v>
      </c>
      <c r="V1191" s="12">
        <f>T1191*U1191</f>
        <v>171.48425</v>
      </c>
      <c r="W1191" s="13">
        <v>0.19</v>
      </c>
      <c r="X1191" s="12">
        <f>V1191-(V1191/(1+W1191))</f>
        <v>27.379838235294102</v>
      </c>
      <c r="Y1191" s="12">
        <f>V1191-X1191</f>
        <v>144.1044117647059</v>
      </c>
      <c r="Z1191" s="14">
        <v>150</v>
      </c>
      <c r="AA1191" s="2" t="str">
        <f>IF(V1191&gt;Z1191,"Yes","No")</f>
        <v>Yes</v>
      </c>
      <c r="AB1191" s="12">
        <f>V1191-Z1191</f>
        <v>21.484250000000003</v>
      </c>
      <c r="AC1191" s="15" t="s">
        <v>130</v>
      </c>
      <c r="AD1191" s="15" t="s">
        <v>130</v>
      </c>
      <c r="AE1191" s="15" t="s">
        <v>514</v>
      </c>
      <c r="AF1191" s="12">
        <f>IF(AG1191="Rejected",0,IF(R1191="Corporate Card",0,V1191))</f>
        <v>0</v>
      </c>
      <c r="AG1191" s="15" t="s">
        <v>133</v>
      </c>
      <c r="AH1191" s="16">
        <v>45791</v>
      </c>
      <c r="AI1191" s="16">
        <v>45793</v>
      </c>
      <c r="AJ1191" s="16">
        <v>45799</v>
      </c>
      <c r="AK1191" s="17">
        <f>IF(AJ1191="","",AJ1191-AH1191)</f>
        <v>8</v>
      </c>
    </row>
    <row r="1192" spans="1:37">
      <c r="A1192" s="2" t="s">
        <v>1609</v>
      </c>
      <c r="B1192" s="2" t="s">
        <v>1235</v>
      </c>
      <c r="C1192" s="2" t="s">
        <v>867</v>
      </c>
      <c r="D1192" s="2" t="s">
        <v>865</v>
      </c>
      <c r="E1192" s="2" t="s">
        <v>1236</v>
      </c>
      <c r="F1192" s="2" t="s">
        <v>313</v>
      </c>
      <c r="G1192" s="2" t="s">
        <v>1599</v>
      </c>
      <c r="H1192" s="2" t="s">
        <v>193</v>
      </c>
      <c r="I1192" s="2" t="s">
        <v>749</v>
      </c>
      <c r="J1192" s="2" t="s">
        <v>750</v>
      </c>
      <c r="K1192" s="9">
        <v>45780</v>
      </c>
      <c r="L1192" s="9">
        <v>45781</v>
      </c>
      <c r="M1192" s="9">
        <v>45781</v>
      </c>
      <c r="N1192" s="2" t="s">
        <v>1595</v>
      </c>
      <c r="O1192" s="2" t="s">
        <v>58</v>
      </c>
      <c r="P1192" s="2" t="s">
        <v>142</v>
      </c>
      <c r="Q1192" s="2" t="s">
        <v>203</v>
      </c>
      <c r="R1192" s="2" t="s">
        <v>137</v>
      </c>
      <c r="S1192" s="2" t="s">
        <v>198</v>
      </c>
      <c r="T1192" s="10">
        <v>45.37</v>
      </c>
      <c r="U1192" s="11">
        <v>1.085</v>
      </c>
      <c r="V1192" s="12">
        <f>T1192*U1192</f>
        <v>49.226449999999993</v>
      </c>
      <c r="W1192" s="13">
        <v>0.19</v>
      </c>
      <c r="X1192" s="12">
        <f>V1192-(V1192/(1+W1192))</f>
        <v>7.8596852941176465</v>
      </c>
      <c r="Y1192" s="12">
        <f>V1192-X1192</f>
        <v>41.366764705882346</v>
      </c>
      <c r="Z1192" s="14">
        <v>60</v>
      </c>
      <c r="AA1192" s="2" t="str">
        <f>IF(V1192&gt;Z1192,"Yes","No")</f>
        <v>No</v>
      </c>
      <c r="AB1192" s="12">
        <f>V1192-Z1192</f>
        <v>-10.773550000000007</v>
      </c>
      <c r="AC1192" s="15" t="s">
        <v>131</v>
      </c>
      <c r="AD1192" s="15" t="s">
        <v>130</v>
      </c>
      <c r="AE1192" s="15" t="s">
        <v>514</v>
      </c>
      <c r="AF1192" s="12">
        <f>IF(AG1192="Rejected",0,IF(R1192="Corporate Card",0,V1192))</f>
        <v>49.226449999999993</v>
      </c>
      <c r="AG1192" s="15" t="s">
        <v>133</v>
      </c>
      <c r="AH1192" s="16">
        <v>45791</v>
      </c>
      <c r="AI1192" s="16">
        <v>45793</v>
      </c>
      <c r="AJ1192" s="16">
        <v>45799</v>
      </c>
      <c r="AK1192" s="17">
        <f>IF(AJ1192="","",AJ1192-AH1192)</f>
        <v>8</v>
      </c>
    </row>
    <row r="1193" spans="1:37">
      <c r="A1193" s="2" t="s">
        <v>1610</v>
      </c>
      <c r="B1193" s="2" t="s">
        <v>1235</v>
      </c>
      <c r="C1193" s="2" t="s">
        <v>867</v>
      </c>
      <c r="D1193" s="2" t="s">
        <v>865</v>
      </c>
      <c r="E1193" s="2" t="s">
        <v>1236</v>
      </c>
      <c r="F1193" s="2" t="s">
        <v>313</v>
      </c>
      <c r="G1193" s="2" t="s">
        <v>1599</v>
      </c>
      <c r="H1193" s="2" t="s">
        <v>193</v>
      </c>
      <c r="I1193" s="2" t="s">
        <v>749</v>
      </c>
      <c r="J1193" s="2" t="s">
        <v>750</v>
      </c>
      <c r="K1193" s="9">
        <v>45780</v>
      </c>
      <c r="L1193" s="9">
        <v>45781</v>
      </c>
      <c r="M1193" s="9">
        <v>45781</v>
      </c>
      <c r="N1193" s="2" t="s">
        <v>1595</v>
      </c>
      <c r="O1193" s="2" t="s">
        <v>53</v>
      </c>
      <c r="P1193" s="2" t="s">
        <v>405</v>
      </c>
      <c r="Q1193" s="2" t="s">
        <v>146</v>
      </c>
      <c r="R1193" s="2" t="s">
        <v>149</v>
      </c>
      <c r="S1193" s="2" t="s">
        <v>198</v>
      </c>
      <c r="T1193" s="10">
        <v>326.13</v>
      </c>
      <c r="U1193" s="11">
        <v>1.085</v>
      </c>
      <c r="V1193" s="12">
        <f>T1193*U1193</f>
        <v>353.85104999999999</v>
      </c>
      <c r="W1193" s="13">
        <v>0.19</v>
      </c>
      <c r="X1193" s="12">
        <f>V1193-(V1193/(1+W1193))</f>
        <v>56.497226470588203</v>
      </c>
      <c r="Y1193" s="12">
        <f>V1193-X1193</f>
        <v>297.35382352941178</v>
      </c>
      <c r="Z1193" s="14">
        <v>280</v>
      </c>
      <c r="AA1193" s="2" t="str">
        <f>IF(V1193&gt;Z1193,"Yes","No")</f>
        <v>Yes</v>
      </c>
      <c r="AB1193" s="12">
        <f>V1193-Z1193</f>
        <v>73.851049999999987</v>
      </c>
      <c r="AC1193" s="15" t="s">
        <v>130</v>
      </c>
      <c r="AD1193" s="15" t="s">
        <v>130</v>
      </c>
      <c r="AE1193" s="15" t="s">
        <v>514</v>
      </c>
      <c r="AF1193" s="12">
        <f>IF(AG1193="Rejected",0,IF(R1193="Corporate Card",0,V1193))</f>
        <v>353.85104999999999</v>
      </c>
      <c r="AG1193" s="15" t="s">
        <v>133</v>
      </c>
      <c r="AH1193" s="16">
        <v>45791</v>
      </c>
      <c r="AI1193" s="16">
        <v>45793</v>
      </c>
      <c r="AJ1193" s="16">
        <v>45799</v>
      </c>
      <c r="AK1193" s="17">
        <f>IF(AJ1193="","",AJ1193-AH1193)</f>
        <v>8</v>
      </c>
    </row>
    <row r="1194" spans="1:37">
      <c r="A1194" s="2" t="s">
        <v>1611</v>
      </c>
      <c r="B1194" s="2" t="s">
        <v>1235</v>
      </c>
      <c r="C1194" s="2" t="s">
        <v>867</v>
      </c>
      <c r="D1194" s="2" t="s">
        <v>865</v>
      </c>
      <c r="E1194" s="2" t="s">
        <v>1236</v>
      </c>
      <c r="F1194" s="2" t="s">
        <v>313</v>
      </c>
      <c r="G1194" s="2" t="s">
        <v>1599</v>
      </c>
      <c r="H1194" s="2" t="s">
        <v>193</v>
      </c>
      <c r="I1194" s="2" t="s">
        <v>749</v>
      </c>
      <c r="J1194" s="2" t="s">
        <v>750</v>
      </c>
      <c r="K1194" s="9">
        <v>45780</v>
      </c>
      <c r="L1194" s="9">
        <v>45781</v>
      </c>
      <c r="M1194" s="9">
        <v>45781</v>
      </c>
      <c r="N1194" s="2" t="s">
        <v>1595</v>
      </c>
      <c r="O1194" s="2" t="s">
        <v>65</v>
      </c>
      <c r="P1194" s="2" t="s">
        <v>211</v>
      </c>
      <c r="Q1194" s="2" t="s">
        <v>460</v>
      </c>
      <c r="R1194" s="2" t="s">
        <v>128</v>
      </c>
      <c r="S1194" s="2" t="s">
        <v>198</v>
      </c>
      <c r="T1194" s="10">
        <v>41.41</v>
      </c>
      <c r="U1194" s="11">
        <v>1.085</v>
      </c>
      <c r="V1194" s="12">
        <f>T1194*U1194</f>
        <v>44.929849999999995</v>
      </c>
      <c r="W1194" s="13">
        <v>0.19</v>
      </c>
      <c r="X1194" s="12">
        <f>V1194-(V1194/(1+W1194))</f>
        <v>7.1736735294117651</v>
      </c>
      <c r="Y1194" s="12">
        <f>V1194-X1194</f>
        <v>37.75617647058823</v>
      </c>
      <c r="Z1194" s="14">
        <v>55</v>
      </c>
      <c r="AA1194" s="2" t="str">
        <f>IF(V1194&gt;Z1194,"Yes","No")</f>
        <v>No</v>
      </c>
      <c r="AB1194" s="12">
        <f>V1194-Z1194</f>
        <v>-10.070150000000005</v>
      </c>
      <c r="AC1194" s="15" t="s">
        <v>130</v>
      </c>
      <c r="AD1194" s="15" t="s">
        <v>130</v>
      </c>
      <c r="AE1194" s="15" t="s">
        <v>514</v>
      </c>
      <c r="AF1194" s="12">
        <f>IF(AG1194="Rejected",0,IF(R1194="Corporate Card",0,V1194))</f>
        <v>0</v>
      </c>
      <c r="AG1194" s="15" t="s">
        <v>133</v>
      </c>
      <c r="AH1194" s="16">
        <v>45791</v>
      </c>
      <c r="AI1194" s="16">
        <v>45793</v>
      </c>
      <c r="AJ1194" s="16">
        <v>45799</v>
      </c>
      <c r="AK1194" s="17">
        <f>IF(AJ1194="","",AJ1194-AH1194)</f>
        <v>8</v>
      </c>
    </row>
    <row r="1195" spans="1:37">
      <c r="A1195" s="2" t="s">
        <v>1612</v>
      </c>
      <c r="B1195" s="2" t="s">
        <v>1235</v>
      </c>
      <c r="C1195" s="2" t="s">
        <v>867</v>
      </c>
      <c r="D1195" s="2" t="s">
        <v>865</v>
      </c>
      <c r="E1195" s="2" t="s">
        <v>1236</v>
      </c>
      <c r="F1195" s="2" t="s">
        <v>313</v>
      </c>
      <c r="G1195" s="2" t="s">
        <v>1599</v>
      </c>
      <c r="H1195" s="2" t="s">
        <v>193</v>
      </c>
      <c r="I1195" s="2" t="s">
        <v>749</v>
      </c>
      <c r="J1195" s="2" t="s">
        <v>750</v>
      </c>
      <c r="K1195" s="9">
        <v>45780</v>
      </c>
      <c r="L1195" s="9">
        <v>45781</v>
      </c>
      <c r="M1195" s="9">
        <v>45781</v>
      </c>
      <c r="N1195" s="2" t="s">
        <v>1595</v>
      </c>
      <c r="O1195" s="2" t="s">
        <v>54</v>
      </c>
      <c r="P1195" s="2" t="s">
        <v>139</v>
      </c>
      <c r="Q1195" s="2" t="s">
        <v>140</v>
      </c>
      <c r="R1195" s="2" t="s">
        <v>128</v>
      </c>
      <c r="S1195" s="2" t="s">
        <v>198</v>
      </c>
      <c r="T1195" s="10">
        <v>9.2899999999999991</v>
      </c>
      <c r="U1195" s="11">
        <v>1.085</v>
      </c>
      <c r="V1195" s="12">
        <f>T1195*U1195</f>
        <v>10.079649999999999</v>
      </c>
      <c r="W1195" s="13">
        <v>0.19</v>
      </c>
      <c r="X1195" s="12">
        <f>V1195-(V1195/(1+W1195))</f>
        <v>1.6093558823529399</v>
      </c>
      <c r="Y1195" s="12">
        <f>V1195-X1195</f>
        <v>8.4702941176470592</v>
      </c>
      <c r="Z1195" s="14">
        <v>25</v>
      </c>
      <c r="AA1195" s="2" t="str">
        <f>IF(V1195&gt;Z1195,"Yes","No")</f>
        <v>No</v>
      </c>
      <c r="AB1195" s="12">
        <f>V1195-Z1195</f>
        <v>-14.920350000000001</v>
      </c>
      <c r="AC1195" s="15" t="s">
        <v>130</v>
      </c>
      <c r="AD1195" s="15" t="s">
        <v>130</v>
      </c>
      <c r="AE1195" s="15" t="s">
        <v>514</v>
      </c>
      <c r="AF1195" s="12">
        <f>IF(AG1195="Rejected",0,IF(R1195="Corporate Card",0,V1195))</f>
        <v>0</v>
      </c>
      <c r="AG1195" s="15" t="s">
        <v>133</v>
      </c>
      <c r="AH1195" s="16">
        <v>45791</v>
      </c>
      <c r="AI1195" s="16">
        <v>45793</v>
      </c>
      <c r="AJ1195" s="16">
        <v>45799</v>
      </c>
      <c r="AK1195" s="17">
        <f>IF(AJ1195="","",AJ1195-AH1195)</f>
        <v>8</v>
      </c>
    </row>
    <row r="1196" spans="1:37">
      <c r="A1196" s="2" t="s">
        <v>1613</v>
      </c>
      <c r="B1196" s="2" t="s">
        <v>1235</v>
      </c>
      <c r="C1196" s="2" t="s">
        <v>867</v>
      </c>
      <c r="D1196" s="2" t="s">
        <v>865</v>
      </c>
      <c r="E1196" s="2" t="s">
        <v>1236</v>
      </c>
      <c r="F1196" s="2" t="s">
        <v>313</v>
      </c>
      <c r="G1196" s="2" t="s">
        <v>1599</v>
      </c>
      <c r="H1196" s="2" t="s">
        <v>193</v>
      </c>
      <c r="I1196" s="2" t="s">
        <v>749</v>
      </c>
      <c r="J1196" s="2" t="s">
        <v>750</v>
      </c>
      <c r="K1196" s="9">
        <v>45780</v>
      </c>
      <c r="L1196" s="9">
        <v>45781</v>
      </c>
      <c r="M1196" s="9">
        <v>45781</v>
      </c>
      <c r="N1196" s="2" t="s">
        <v>1595</v>
      </c>
      <c r="O1196" s="2" t="s">
        <v>56</v>
      </c>
      <c r="P1196" s="2" t="s">
        <v>151</v>
      </c>
      <c r="Q1196" s="2" t="s">
        <v>152</v>
      </c>
      <c r="R1196" s="2" t="s">
        <v>128</v>
      </c>
      <c r="S1196" s="2" t="s">
        <v>198</v>
      </c>
      <c r="T1196" s="10">
        <v>65.5</v>
      </c>
      <c r="U1196" s="11">
        <v>1.085</v>
      </c>
      <c r="V1196" s="12">
        <f>T1196*U1196</f>
        <v>71.067499999999995</v>
      </c>
      <c r="W1196" s="13">
        <v>0.19</v>
      </c>
      <c r="X1196" s="12">
        <f>V1196-(V1196/(1+W1196))</f>
        <v>11.346911764705879</v>
      </c>
      <c r="Y1196" s="12">
        <f>V1196-X1196</f>
        <v>59.720588235294116</v>
      </c>
      <c r="Z1196" s="14">
        <v>75</v>
      </c>
      <c r="AA1196" s="2" t="str">
        <f>IF(V1196&gt;Z1196,"Yes","No")</f>
        <v>No</v>
      </c>
      <c r="AB1196" s="12">
        <f>V1196-Z1196</f>
        <v>-3.9325000000000045</v>
      </c>
      <c r="AC1196" s="15" t="s">
        <v>130</v>
      </c>
      <c r="AD1196" s="15" t="s">
        <v>130</v>
      </c>
      <c r="AE1196" s="15" t="s">
        <v>514</v>
      </c>
      <c r="AF1196" s="12">
        <f>IF(AG1196="Rejected",0,IF(R1196="Corporate Card",0,V1196))</f>
        <v>0</v>
      </c>
      <c r="AG1196" s="15" t="s">
        <v>133</v>
      </c>
      <c r="AH1196" s="16">
        <v>45791</v>
      </c>
      <c r="AI1196" s="16">
        <v>45793</v>
      </c>
      <c r="AJ1196" s="16">
        <v>45799</v>
      </c>
      <c r="AK1196" s="17">
        <f>IF(AJ1196="","",AJ1196-AH1196)</f>
        <v>8</v>
      </c>
    </row>
    <row r="1197" spans="1:37">
      <c r="A1197" s="2" t="s">
        <v>1614</v>
      </c>
      <c r="B1197" s="2" t="s">
        <v>1235</v>
      </c>
      <c r="C1197" s="2" t="s">
        <v>867</v>
      </c>
      <c r="D1197" s="2" t="s">
        <v>865</v>
      </c>
      <c r="E1197" s="2" t="s">
        <v>1236</v>
      </c>
      <c r="F1197" s="2" t="s">
        <v>313</v>
      </c>
      <c r="G1197" s="2" t="s">
        <v>1599</v>
      </c>
      <c r="H1197" s="2" t="s">
        <v>193</v>
      </c>
      <c r="I1197" s="2" t="s">
        <v>749</v>
      </c>
      <c r="J1197" s="2" t="s">
        <v>750</v>
      </c>
      <c r="K1197" s="9">
        <v>45780</v>
      </c>
      <c r="L1197" s="9">
        <v>45781</v>
      </c>
      <c r="M1197" s="9">
        <v>45781</v>
      </c>
      <c r="N1197" s="2" t="s">
        <v>1595</v>
      </c>
      <c r="O1197" s="2" t="s">
        <v>55</v>
      </c>
      <c r="P1197" s="2" t="s">
        <v>139</v>
      </c>
      <c r="Q1197" s="2" t="s">
        <v>161</v>
      </c>
      <c r="R1197" s="2" t="s">
        <v>137</v>
      </c>
      <c r="S1197" s="2" t="s">
        <v>198</v>
      </c>
      <c r="T1197" s="10">
        <v>16.170000000000002</v>
      </c>
      <c r="U1197" s="11">
        <v>1.085</v>
      </c>
      <c r="V1197" s="12">
        <f>T1197*U1197</f>
        <v>17.544450000000001</v>
      </c>
      <c r="W1197" s="13">
        <v>0.19</v>
      </c>
      <c r="X1197" s="12">
        <f>V1197-(V1197/(1+W1197))</f>
        <v>2.8012147058823533</v>
      </c>
      <c r="Y1197" s="12">
        <f>V1197-X1197</f>
        <v>14.743235294117648</v>
      </c>
      <c r="Z1197" s="14">
        <v>35</v>
      </c>
      <c r="AA1197" s="2" t="str">
        <f>IF(V1197&gt;Z1197,"Yes","No")</f>
        <v>No</v>
      </c>
      <c r="AB1197" s="12">
        <f>V1197-Z1197</f>
        <v>-17.455549999999999</v>
      </c>
      <c r="AC1197" s="15" t="s">
        <v>130</v>
      </c>
      <c r="AD1197" s="15" t="s">
        <v>130</v>
      </c>
      <c r="AE1197" s="15" t="s">
        <v>514</v>
      </c>
      <c r="AF1197" s="12">
        <f>IF(AG1197="Rejected",0,IF(R1197="Corporate Card",0,V1197))</f>
        <v>17.544450000000001</v>
      </c>
      <c r="AG1197" s="15" t="s">
        <v>133</v>
      </c>
      <c r="AH1197" s="16">
        <v>45791</v>
      </c>
      <c r="AI1197" s="16">
        <v>45793</v>
      </c>
      <c r="AJ1197" s="16">
        <v>45799</v>
      </c>
      <c r="AK1197" s="17">
        <f>IF(AJ1197="","",AJ1197-AH1197)</f>
        <v>8</v>
      </c>
    </row>
    <row r="1198" spans="1:37">
      <c r="A1198" s="2" t="s">
        <v>1615</v>
      </c>
      <c r="B1198" s="2" t="s">
        <v>1235</v>
      </c>
      <c r="C1198" s="2" t="s">
        <v>867</v>
      </c>
      <c r="D1198" s="2" t="s">
        <v>865</v>
      </c>
      <c r="E1198" s="2" t="s">
        <v>1236</v>
      </c>
      <c r="F1198" s="2" t="s">
        <v>313</v>
      </c>
      <c r="G1198" s="2" t="s">
        <v>1599</v>
      </c>
      <c r="H1198" s="2" t="s">
        <v>193</v>
      </c>
      <c r="I1198" s="2" t="s">
        <v>749</v>
      </c>
      <c r="J1198" s="2" t="s">
        <v>750</v>
      </c>
      <c r="K1198" s="9">
        <v>45780</v>
      </c>
      <c r="L1198" s="9">
        <v>45781</v>
      </c>
      <c r="M1198" s="9">
        <v>45781</v>
      </c>
      <c r="N1198" s="2" t="s">
        <v>1595</v>
      </c>
      <c r="O1198" s="2" t="s">
        <v>69</v>
      </c>
      <c r="P1198" s="2" t="s">
        <v>409</v>
      </c>
      <c r="Q1198" s="2" t="s">
        <v>1191</v>
      </c>
      <c r="R1198" s="2" t="s">
        <v>149</v>
      </c>
      <c r="S1198" s="2" t="s">
        <v>198</v>
      </c>
      <c r="T1198" s="10">
        <v>52.16</v>
      </c>
      <c r="U1198" s="11">
        <v>1.085</v>
      </c>
      <c r="V1198" s="12">
        <f>T1198*U1198</f>
        <v>56.593599999999995</v>
      </c>
      <c r="W1198" s="13">
        <v>0.19</v>
      </c>
      <c r="X1198" s="12">
        <f>V1198-(V1198/(1+W1198))</f>
        <v>9.0359529411764683</v>
      </c>
      <c r="Y1198" s="12">
        <f>V1198-X1198</f>
        <v>47.557647058823527</v>
      </c>
      <c r="Z1198" s="14">
        <v>60</v>
      </c>
      <c r="AA1198" s="2" t="str">
        <f>IF(V1198&gt;Z1198,"Yes","No")</f>
        <v>No</v>
      </c>
      <c r="AB1198" s="12">
        <f>V1198-Z1198</f>
        <v>-3.406400000000005</v>
      </c>
      <c r="AC1198" s="15" t="s">
        <v>130</v>
      </c>
      <c r="AD1198" s="15" t="s">
        <v>130</v>
      </c>
      <c r="AE1198" s="15" t="s">
        <v>514</v>
      </c>
      <c r="AF1198" s="12">
        <f>IF(AG1198="Rejected",0,IF(R1198="Corporate Card",0,V1198))</f>
        <v>56.593599999999995</v>
      </c>
      <c r="AG1198" s="15" t="s">
        <v>133</v>
      </c>
      <c r="AH1198" s="16">
        <v>45791</v>
      </c>
      <c r="AI1198" s="16">
        <v>45793</v>
      </c>
      <c r="AJ1198" s="16">
        <v>45799</v>
      </c>
      <c r="AK1198" s="17">
        <f>IF(AJ1198="","",AJ1198-AH1198)</f>
        <v>8</v>
      </c>
    </row>
    <row r="1199" spans="1:37">
      <c r="A1199" s="2" t="s">
        <v>1616</v>
      </c>
      <c r="B1199" s="2" t="s">
        <v>375</v>
      </c>
      <c r="C1199" s="2" t="s">
        <v>376</v>
      </c>
      <c r="D1199" s="2" t="s">
        <v>344</v>
      </c>
      <c r="E1199" s="2" t="s">
        <v>377</v>
      </c>
      <c r="F1199" s="2" t="s">
        <v>346</v>
      </c>
      <c r="G1199" s="2" t="s">
        <v>1594</v>
      </c>
      <c r="H1199" s="2" t="s">
        <v>348</v>
      </c>
      <c r="I1199" s="2" t="s">
        <v>651</v>
      </c>
      <c r="J1199" s="2" t="s">
        <v>652</v>
      </c>
      <c r="K1199" s="9">
        <v>45780</v>
      </c>
      <c r="L1199" s="9">
        <v>45788</v>
      </c>
      <c r="M1199" s="9">
        <v>45782</v>
      </c>
      <c r="N1199" s="2" t="s">
        <v>1595</v>
      </c>
      <c r="O1199" s="2" t="s">
        <v>58</v>
      </c>
      <c r="P1199" s="2" t="s">
        <v>142</v>
      </c>
      <c r="Q1199" s="2" t="s">
        <v>203</v>
      </c>
      <c r="R1199" s="2" t="s">
        <v>137</v>
      </c>
      <c r="S1199" s="2" t="s">
        <v>654</v>
      </c>
      <c r="T1199" s="10">
        <v>58.06</v>
      </c>
      <c r="U1199" s="11">
        <v>0.72799999999999998</v>
      </c>
      <c r="V1199" s="12">
        <f>T1199*U1199</f>
        <v>42.267679999999999</v>
      </c>
      <c r="W1199" s="13">
        <v>0.13</v>
      </c>
      <c r="X1199" s="12">
        <f>V1199-(V1199/(1+W1199))</f>
        <v>4.8626534513274322</v>
      </c>
      <c r="Y1199" s="12">
        <f>V1199-X1199</f>
        <v>37.405026548672566</v>
      </c>
      <c r="Z1199" s="14">
        <v>60</v>
      </c>
      <c r="AA1199" s="2" t="str">
        <f>IF(V1199&gt;Z1199,"Yes","No")</f>
        <v>No</v>
      </c>
      <c r="AB1199" s="12">
        <f>V1199-Z1199</f>
        <v>-17.732320000000001</v>
      </c>
      <c r="AC1199" s="15" t="s">
        <v>130</v>
      </c>
      <c r="AD1199" s="15" t="s">
        <v>131</v>
      </c>
      <c r="AE1199" s="15" t="s">
        <v>350</v>
      </c>
      <c r="AF1199" s="12">
        <f>IF(AG1199="Rejected",0,IF(R1199="Corporate Card",0,V1199))</f>
        <v>42.267679999999999</v>
      </c>
      <c r="AG1199" s="15" t="s">
        <v>133</v>
      </c>
      <c r="AH1199" s="16">
        <v>45794</v>
      </c>
      <c r="AI1199" s="16">
        <v>45803</v>
      </c>
      <c r="AJ1199" s="16">
        <v>45810</v>
      </c>
      <c r="AK1199" s="17">
        <f>IF(AJ1199="","",AJ1199-AH1199)</f>
        <v>16</v>
      </c>
    </row>
    <row r="1200" spans="1:37">
      <c r="A1200" s="2" t="s">
        <v>1617</v>
      </c>
      <c r="B1200" s="2" t="s">
        <v>375</v>
      </c>
      <c r="C1200" s="2" t="s">
        <v>376</v>
      </c>
      <c r="D1200" s="2" t="s">
        <v>344</v>
      </c>
      <c r="E1200" s="2" t="s">
        <v>377</v>
      </c>
      <c r="F1200" s="2" t="s">
        <v>346</v>
      </c>
      <c r="G1200" s="2" t="s">
        <v>1594</v>
      </c>
      <c r="H1200" s="2" t="s">
        <v>348</v>
      </c>
      <c r="I1200" s="2" t="s">
        <v>651</v>
      </c>
      <c r="J1200" s="2" t="s">
        <v>652</v>
      </c>
      <c r="K1200" s="9">
        <v>45780</v>
      </c>
      <c r="L1200" s="9">
        <v>45788</v>
      </c>
      <c r="M1200" s="9">
        <v>45782</v>
      </c>
      <c r="N1200" s="2" t="s">
        <v>1595</v>
      </c>
      <c r="O1200" s="2" t="s">
        <v>56</v>
      </c>
      <c r="P1200" s="2" t="s">
        <v>231</v>
      </c>
      <c r="Q1200" s="2" t="s">
        <v>166</v>
      </c>
      <c r="R1200" s="2" t="s">
        <v>149</v>
      </c>
      <c r="S1200" s="2" t="s">
        <v>654</v>
      </c>
      <c r="T1200" s="10">
        <v>41.86</v>
      </c>
      <c r="U1200" s="11">
        <v>0.72799999999999998</v>
      </c>
      <c r="V1200" s="12">
        <f>T1200*U1200</f>
        <v>30.474079999999997</v>
      </c>
      <c r="W1200" s="13">
        <v>0.13</v>
      </c>
      <c r="X1200" s="12">
        <f>V1200-(V1200/(1+W1200))</f>
        <v>3.5058676106194646</v>
      </c>
      <c r="Y1200" s="12">
        <f>V1200-X1200</f>
        <v>26.968212389380533</v>
      </c>
      <c r="Z1200" s="14">
        <v>75</v>
      </c>
      <c r="AA1200" s="2" t="str">
        <f>IF(V1200&gt;Z1200,"Yes","No")</f>
        <v>No</v>
      </c>
      <c r="AB1200" s="12">
        <f>V1200-Z1200</f>
        <v>-44.525919999999999</v>
      </c>
      <c r="AC1200" s="15" t="s">
        <v>130</v>
      </c>
      <c r="AD1200" s="15" t="s">
        <v>131</v>
      </c>
      <c r="AE1200" s="15" t="s">
        <v>350</v>
      </c>
      <c r="AF1200" s="12">
        <f>IF(AG1200="Rejected",0,IF(R1200="Corporate Card",0,V1200))</f>
        <v>30.474079999999997</v>
      </c>
      <c r="AG1200" s="15" t="s">
        <v>133</v>
      </c>
      <c r="AH1200" s="16">
        <v>45794</v>
      </c>
      <c r="AI1200" s="16">
        <v>45803</v>
      </c>
      <c r="AJ1200" s="16">
        <v>45810</v>
      </c>
      <c r="AK1200" s="17">
        <f>IF(AJ1200="","",AJ1200-AH1200)</f>
        <v>16</v>
      </c>
    </row>
    <row r="1201" spans="1:37">
      <c r="A1201" s="2" t="s">
        <v>1618</v>
      </c>
      <c r="B1201" s="2" t="s">
        <v>375</v>
      </c>
      <c r="C1201" s="2" t="s">
        <v>376</v>
      </c>
      <c r="D1201" s="2" t="s">
        <v>344</v>
      </c>
      <c r="E1201" s="2" t="s">
        <v>377</v>
      </c>
      <c r="F1201" s="2" t="s">
        <v>346</v>
      </c>
      <c r="G1201" s="2" t="s">
        <v>1594</v>
      </c>
      <c r="H1201" s="2" t="s">
        <v>348</v>
      </c>
      <c r="I1201" s="2" t="s">
        <v>651</v>
      </c>
      <c r="J1201" s="2" t="s">
        <v>652</v>
      </c>
      <c r="K1201" s="9">
        <v>45780</v>
      </c>
      <c r="L1201" s="9">
        <v>45788</v>
      </c>
      <c r="M1201" s="9">
        <v>45782</v>
      </c>
      <c r="N1201" s="2" t="s">
        <v>1595</v>
      </c>
      <c r="O1201" s="2" t="s">
        <v>55</v>
      </c>
      <c r="P1201" s="2" t="s">
        <v>139</v>
      </c>
      <c r="Q1201" s="2" t="s">
        <v>187</v>
      </c>
      <c r="R1201" s="2" t="s">
        <v>128</v>
      </c>
      <c r="S1201" s="2" t="s">
        <v>654</v>
      </c>
      <c r="T1201" s="10">
        <v>35.369999999999997</v>
      </c>
      <c r="U1201" s="11">
        <v>0.72799999999999998</v>
      </c>
      <c r="V1201" s="12">
        <f>T1201*U1201</f>
        <v>25.749359999999996</v>
      </c>
      <c r="W1201" s="13">
        <v>0.13</v>
      </c>
      <c r="X1201" s="12">
        <f>V1201-(V1201/(1+W1201))</f>
        <v>2.9623157522123869</v>
      </c>
      <c r="Y1201" s="12">
        <f>V1201-X1201</f>
        <v>22.787044247787609</v>
      </c>
      <c r="Z1201" s="14">
        <v>35</v>
      </c>
      <c r="AA1201" s="2" t="str">
        <f>IF(V1201&gt;Z1201,"Yes","No")</f>
        <v>No</v>
      </c>
      <c r="AB1201" s="12">
        <f>V1201-Z1201</f>
        <v>-9.2506400000000042</v>
      </c>
      <c r="AC1201" s="15" t="s">
        <v>130</v>
      </c>
      <c r="AD1201" s="15" t="s">
        <v>131</v>
      </c>
      <c r="AE1201" s="15" t="s">
        <v>350</v>
      </c>
      <c r="AF1201" s="12">
        <f>IF(AG1201="Rejected",0,IF(R1201="Corporate Card",0,V1201))</f>
        <v>0</v>
      </c>
      <c r="AG1201" s="15" t="s">
        <v>133</v>
      </c>
      <c r="AH1201" s="16">
        <v>45794</v>
      </c>
      <c r="AI1201" s="16">
        <v>45803</v>
      </c>
      <c r="AJ1201" s="16">
        <v>45810</v>
      </c>
      <c r="AK1201" s="17">
        <f>IF(AJ1201="","",AJ1201-AH1201)</f>
        <v>16</v>
      </c>
    </row>
    <row r="1202" spans="1:37">
      <c r="A1202" s="2" t="s">
        <v>1619</v>
      </c>
      <c r="B1202" s="2" t="s">
        <v>375</v>
      </c>
      <c r="C1202" s="2" t="s">
        <v>376</v>
      </c>
      <c r="D1202" s="2" t="s">
        <v>344</v>
      </c>
      <c r="E1202" s="2" t="s">
        <v>377</v>
      </c>
      <c r="F1202" s="2" t="s">
        <v>346</v>
      </c>
      <c r="G1202" s="2" t="s">
        <v>1594</v>
      </c>
      <c r="H1202" s="2" t="s">
        <v>348</v>
      </c>
      <c r="I1202" s="2" t="s">
        <v>651</v>
      </c>
      <c r="J1202" s="2" t="s">
        <v>652</v>
      </c>
      <c r="K1202" s="9">
        <v>45780</v>
      </c>
      <c r="L1202" s="9">
        <v>45788</v>
      </c>
      <c r="M1202" s="9">
        <v>45783</v>
      </c>
      <c r="N1202" s="2" t="s">
        <v>1595</v>
      </c>
      <c r="O1202" s="2" t="s">
        <v>58</v>
      </c>
      <c r="P1202" s="2" t="s">
        <v>142</v>
      </c>
      <c r="Q1202" s="2" t="s">
        <v>203</v>
      </c>
      <c r="R1202" s="2" t="s">
        <v>137</v>
      </c>
      <c r="S1202" s="2" t="s">
        <v>654</v>
      </c>
      <c r="T1202" s="10">
        <v>61.41</v>
      </c>
      <c r="U1202" s="11">
        <v>0.72799999999999998</v>
      </c>
      <c r="V1202" s="12">
        <f>T1202*U1202</f>
        <v>44.706479999999999</v>
      </c>
      <c r="W1202" s="13">
        <v>0.13</v>
      </c>
      <c r="X1202" s="12">
        <f>V1202-(V1202/(1+W1202))</f>
        <v>5.1432233628318542</v>
      </c>
      <c r="Y1202" s="12">
        <f>V1202-X1202</f>
        <v>39.563256637168145</v>
      </c>
      <c r="Z1202" s="14">
        <v>60</v>
      </c>
      <c r="AA1202" s="2" t="str">
        <f>IF(V1202&gt;Z1202,"Yes","No")</f>
        <v>No</v>
      </c>
      <c r="AB1202" s="12">
        <f>V1202-Z1202</f>
        <v>-15.293520000000001</v>
      </c>
      <c r="AC1202" s="15" t="s">
        <v>130</v>
      </c>
      <c r="AD1202" s="15" t="s">
        <v>131</v>
      </c>
      <c r="AE1202" s="15" t="s">
        <v>350</v>
      </c>
      <c r="AF1202" s="12">
        <f>IF(AG1202="Rejected",0,IF(R1202="Corporate Card",0,V1202))</f>
        <v>44.706479999999999</v>
      </c>
      <c r="AG1202" s="15" t="s">
        <v>133</v>
      </c>
      <c r="AH1202" s="16">
        <v>45794</v>
      </c>
      <c r="AI1202" s="16">
        <v>45803</v>
      </c>
      <c r="AJ1202" s="16">
        <v>45810</v>
      </c>
      <c r="AK1202" s="17">
        <f>IF(AJ1202="","",AJ1202-AH1202)</f>
        <v>16</v>
      </c>
    </row>
    <row r="1203" spans="1:37">
      <c r="A1203" s="2" t="s">
        <v>1620</v>
      </c>
      <c r="B1203" s="2" t="s">
        <v>375</v>
      </c>
      <c r="C1203" s="2" t="s">
        <v>376</v>
      </c>
      <c r="D1203" s="2" t="s">
        <v>344</v>
      </c>
      <c r="E1203" s="2" t="s">
        <v>377</v>
      </c>
      <c r="F1203" s="2" t="s">
        <v>346</v>
      </c>
      <c r="G1203" s="2" t="s">
        <v>1594</v>
      </c>
      <c r="H1203" s="2" t="s">
        <v>348</v>
      </c>
      <c r="I1203" s="2" t="s">
        <v>651</v>
      </c>
      <c r="J1203" s="2" t="s">
        <v>652</v>
      </c>
      <c r="K1203" s="9">
        <v>45780</v>
      </c>
      <c r="L1203" s="9">
        <v>45788</v>
      </c>
      <c r="M1203" s="9">
        <v>45783</v>
      </c>
      <c r="N1203" s="2" t="s">
        <v>1595</v>
      </c>
      <c r="O1203" s="2" t="s">
        <v>54</v>
      </c>
      <c r="P1203" s="2" t="s">
        <v>139</v>
      </c>
      <c r="Q1203" s="2" t="s">
        <v>148</v>
      </c>
      <c r="R1203" s="2" t="s">
        <v>137</v>
      </c>
      <c r="S1203" s="2" t="s">
        <v>654</v>
      </c>
      <c r="T1203" s="10">
        <v>50.4</v>
      </c>
      <c r="U1203" s="11">
        <v>0.72799999999999998</v>
      </c>
      <c r="V1203" s="12">
        <f>T1203*U1203</f>
        <v>36.691199999999995</v>
      </c>
      <c r="W1203" s="13">
        <v>0.13</v>
      </c>
      <c r="X1203" s="12">
        <f>V1203-(V1203/(1+W1203))</f>
        <v>4.2211115044247762</v>
      </c>
      <c r="Y1203" s="12">
        <f>V1203-X1203</f>
        <v>32.470088495575219</v>
      </c>
      <c r="Z1203" s="14">
        <v>25</v>
      </c>
      <c r="AA1203" s="2" t="str">
        <f>IF(V1203&gt;Z1203,"Yes","No")</f>
        <v>Yes</v>
      </c>
      <c r="AB1203" s="12">
        <f>V1203-Z1203</f>
        <v>11.691199999999995</v>
      </c>
      <c r="AC1203" s="15" t="s">
        <v>130</v>
      </c>
      <c r="AD1203" s="15" t="s">
        <v>131</v>
      </c>
      <c r="AE1203" s="15" t="s">
        <v>350</v>
      </c>
      <c r="AF1203" s="12">
        <f>IF(AG1203="Rejected",0,IF(R1203="Corporate Card",0,V1203))</f>
        <v>36.691199999999995</v>
      </c>
      <c r="AG1203" s="15" t="s">
        <v>133</v>
      </c>
      <c r="AH1203" s="16">
        <v>45794</v>
      </c>
      <c r="AI1203" s="16">
        <v>45803</v>
      </c>
      <c r="AJ1203" s="16">
        <v>45810</v>
      </c>
      <c r="AK1203" s="17">
        <f>IF(AJ1203="","",AJ1203-AH1203)</f>
        <v>16</v>
      </c>
    </row>
    <row r="1204" spans="1:37">
      <c r="A1204" s="2" t="s">
        <v>1621</v>
      </c>
      <c r="B1204" s="2" t="s">
        <v>375</v>
      </c>
      <c r="C1204" s="2" t="s">
        <v>376</v>
      </c>
      <c r="D1204" s="2" t="s">
        <v>344</v>
      </c>
      <c r="E1204" s="2" t="s">
        <v>377</v>
      </c>
      <c r="F1204" s="2" t="s">
        <v>346</v>
      </c>
      <c r="G1204" s="2" t="s">
        <v>1594</v>
      </c>
      <c r="H1204" s="2" t="s">
        <v>348</v>
      </c>
      <c r="I1204" s="2" t="s">
        <v>651</v>
      </c>
      <c r="J1204" s="2" t="s">
        <v>652</v>
      </c>
      <c r="K1204" s="9">
        <v>45780</v>
      </c>
      <c r="L1204" s="9">
        <v>45788</v>
      </c>
      <c r="M1204" s="9">
        <v>45783</v>
      </c>
      <c r="N1204" s="2" t="s">
        <v>1595</v>
      </c>
      <c r="O1204" s="2" t="s">
        <v>56</v>
      </c>
      <c r="P1204" s="2" t="s">
        <v>231</v>
      </c>
      <c r="Q1204" s="2" t="s">
        <v>152</v>
      </c>
      <c r="R1204" s="2" t="s">
        <v>128</v>
      </c>
      <c r="S1204" s="2" t="s">
        <v>654</v>
      </c>
      <c r="T1204" s="10">
        <v>65.42</v>
      </c>
      <c r="U1204" s="11">
        <v>0.72799999999999998</v>
      </c>
      <c r="V1204" s="12">
        <f>T1204*U1204</f>
        <v>47.62576</v>
      </c>
      <c r="W1204" s="13">
        <v>0.13</v>
      </c>
      <c r="X1204" s="12">
        <f>V1204-(V1204/(1+W1204))</f>
        <v>5.4790697345132671</v>
      </c>
      <c r="Y1204" s="12">
        <f>V1204-X1204</f>
        <v>42.146690265486733</v>
      </c>
      <c r="Z1204" s="14">
        <v>75</v>
      </c>
      <c r="AA1204" s="2" t="str">
        <f>IF(V1204&gt;Z1204,"Yes","No")</f>
        <v>No</v>
      </c>
      <c r="AB1204" s="12">
        <f>V1204-Z1204</f>
        <v>-27.37424</v>
      </c>
      <c r="AC1204" s="15" t="s">
        <v>130</v>
      </c>
      <c r="AD1204" s="15" t="s">
        <v>131</v>
      </c>
      <c r="AE1204" s="15" t="s">
        <v>350</v>
      </c>
      <c r="AF1204" s="12">
        <f>IF(AG1204="Rejected",0,IF(R1204="Corporate Card",0,V1204))</f>
        <v>0</v>
      </c>
      <c r="AG1204" s="15" t="s">
        <v>133</v>
      </c>
      <c r="AH1204" s="16">
        <v>45794</v>
      </c>
      <c r="AI1204" s="16">
        <v>45803</v>
      </c>
      <c r="AJ1204" s="16">
        <v>45810</v>
      </c>
      <c r="AK1204" s="17">
        <f>IF(AJ1204="","",AJ1204-AH1204)</f>
        <v>16</v>
      </c>
    </row>
    <row r="1205" spans="1:37">
      <c r="A1205" s="2" t="s">
        <v>1622</v>
      </c>
      <c r="B1205" s="2" t="s">
        <v>375</v>
      </c>
      <c r="C1205" s="2" t="s">
        <v>376</v>
      </c>
      <c r="D1205" s="2" t="s">
        <v>344</v>
      </c>
      <c r="E1205" s="2" t="s">
        <v>377</v>
      </c>
      <c r="F1205" s="2" t="s">
        <v>346</v>
      </c>
      <c r="G1205" s="2" t="s">
        <v>1594</v>
      </c>
      <c r="H1205" s="2" t="s">
        <v>348</v>
      </c>
      <c r="I1205" s="2" t="s">
        <v>651</v>
      </c>
      <c r="J1205" s="2" t="s">
        <v>652</v>
      </c>
      <c r="K1205" s="9">
        <v>45780</v>
      </c>
      <c r="L1205" s="9">
        <v>45788</v>
      </c>
      <c r="M1205" s="9">
        <v>45783</v>
      </c>
      <c r="N1205" s="2" t="s">
        <v>1595</v>
      </c>
      <c r="O1205" s="2" t="s">
        <v>55</v>
      </c>
      <c r="P1205" s="2" t="s">
        <v>139</v>
      </c>
      <c r="Q1205" s="2" t="s">
        <v>161</v>
      </c>
      <c r="R1205" s="2" t="s">
        <v>128</v>
      </c>
      <c r="S1205" s="2" t="s">
        <v>654</v>
      </c>
      <c r="T1205" s="10">
        <v>46.63</v>
      </c>
      <c r="U1205" s="11">
        <v>0.72799999999999998</v>
      </c>
      <c r="V1205" s="12">
        <f>T1205*U1205</f>
        <v>33.946640000000002</v>
      </c>
      <c r="W1205" s="13">
        <v>0.13</v>
      </c>
      <c r="X1205" s="12">
        <f>V1205-(V1205/(1+W1205))</f>
        <v>3.905365663716811</v>
      </c>
      <c r="Y1205" s="12">
        <f>V1205-X1205</f>
        <v>30.041274336283191</v>
      </c>
      <c r="Z1205" s="14">
        <v>35</v>
      </c>
      <c r="AA1205" s="2" t="str">
        <f>IF(V1205&gt;Z1205,"Yes","No")</f>
        <v>No</v>
      </c>
      <c r="AB1205" s="12">
        <f>V1205-Z1205</f>
        <v>-1.0533599999999979</v>
      </c>
      <c r="AC1205" s="15" t="s">
        <v>130</v>
      </c>
      <c r="AD1205" s="15" t="s">
        <v>131</v>
      </c>
      <c r="AE1205" s="15" t="s">
        <v>350</v>
      </c>
      <c r="AF1205" s="12">
        <f>IF(AG1205="Rejected",0,IF(R1205="Corporate Card",0,V1205))</f>
        <v>0</v>
      </c>
      <c r="AG1205" s="15" t="s">
        <v>133</v>
      </c>
      <c r="AH1205" s="16">
        <v>45794</v>
      </c>
      <c r="AI1205" s="16">
        <v>45803</v>
      </c>
      <c r="AJ1205" s="16">
        <v>45810</v>
      </c>
      <c r="AK1205" s="17">
        <f>IF(AJ1205="","",AJ1205-AH1205)</f>
        <v>16</v>
      </c>
    </row>
    <row r="1206" spans="1:37">
      <c r="A1206" s="2" t="s">
        <v>1623</v>
      </c>
      <c r="B1206" s="2" t="s">
        <v>375</v>
      </c>
      <c r="C1206" s="2" t="s">
        <v>376</v>
      </c>
      <c r="D1206" s="2" t="s">
        <v>344</v>
      </c>
      <c r="E1206" s="2" t="s">
        <v>377</v>
      </c>
      <c r="F1206" s="2" t="s">
        <v>346</v>
      </c>
      <c r="G1206" s="2" t="s">
        <v>1594</v>
      </c>
      <c r="H1206" s="2" t="s">
        <v>348</v>
      </c>
      <c r="I1206" s="2" t="s">
        <v>651</v>
      </c>
      <c r="J1206" s="2" t="s">
        <v>652</v>
      </c>
      <c r="K1206" s="9">
        <v>45780</v>
      </c>
      <c r="L1206" s="9">
        <v>45788</v>
      </c>
      <c r="M1206" s="9">
        <v>45784</v>
      </c>
      <c r="N1206" s="2" t="s">
        <v>1595</v>
      </c>
      <c r="O1206" s="2" t="s">
        <v>58</v>
      </c>
      <c r="P1206" s="2" t="s">
        <v>142</v>
      </c>
      <c r="Q1206" s="2" t="s">
        <v>143</v>
      </c>
      <c r="R1206" s="2" t="s">
        <v>149</v>
      </c>
      <c r="S1206" s="2" t="s">
        <v>654</v>
      </c>
      <c r="T1206" s="10">
        <v>56.01</v>
      </c>
      <c r="U1206" s="11">
        <v>0.72799999999999998</v>
      </c>
      <c r="V1206" s="12">
        <f>T1206*U1206</f>
        <v>40.775279999999995</v>
      </c>
      <c r="W1206" s="13">
        <v>0.13</v>
      </c>
      <c r="X1206" s="12">
        <f>V1206-(V1206/(1+W1206))</f>
        <v>4.6909614159292019</v>
      </c>
      <c r="Y1206" s="12">
        <f>V1206-X1206</f>
        <v>36.084318584070793</v>
      </c>
      <c r="Z1206" s="14">
        <v>60</v>
      </c>
      <c r="AA1206" s="2" t="str">
        <f>IF(V1206&gt;Z1206,"Yes","No")</f>
        <v>No</v>
      </c>
      <c r="AB1206" s="12">
        <f>V1206-Z1206</f>
        <v>-19.224720000000005</v>
      </c>
      <c r="AC1206" s="15" t="s">
        <v>130</v>
      </c>
      <c r="AD1206" s="15" t="s">
        <v>131</v>
      </c>
      <c r="AE1206" s="15" t="s">
        <v>350</v>
      </c>
      <c r="AF1206" s="12">
        <f>IF(AG1206="Rejected",0,IF(R1206="Corporate Card",0,V1206))</f>
        <v>40.775279999999995</v>
      </c>
      <c r="AG1206" s="15" t="s">
        <v>133</v>
      </c>
      <c r="AH1206" s="16">
        <v>45794</v>
      </c>
      <c r="AI1206" s="16">
        <v>45803</v>
      </c>
      <c r="AJ1206" s="16">
        <v>45810</v>
      </c>
      <c r="AK1206" s="17">
        <f>IF(AJ1206="","",AJ1206-AH1206)</f>
        <v>16</v>
      </c>
    </row>
    <row r="1207" spans="1:37">
      <c r="A1207" s="2" t="s">
        <v>1624</v>
      </c>
      <c r="B1207" s="2" t="s">
        <v>375</v>
      </c>
      <c r="C1207" s="2" t="s">
        <v>376</v>
      </c>
      <c r="D1207" s="2" t="s">
        <v>344</v>
      </c>
      <c r="E1207" s="2" t="s">
        <v>377</v>
      </c>
      <c r="F1207" s="2" t="s">
        <v>346</v>
      </c>
      <c r="G1207" s="2" t="s">
        <v>1594</v>
      </c>
      <c r="H1207" s="2" t="s">
        <v>348</v>
      </c>
      <c r="I1207" s="2" t="s">
        <v>651</v>
      </c>
      <c r="J1207" s="2" t="s">
        <v>652</v>
      </c>
      <c r="K1207" s="9">
        <v>45780</v>
      </c>
      <c r="L1207" s="9">
        <v>45788</v>
      </c>
      <c r="M1207" s="9">
        <v>45784</v>
      </c>
      <c r="N1207" s="2" t="s">
        <v>1595</v>
      </c>
      <c r="O1207" s="2" t="s">
        <v>54</v>
      </c>
      <c r="P1207" s="2" t="s">
        <v>139</v>
      </c>
      <c r="Q1207" s="2" t="s">
        <v>214</v>
      </c>
      <c r="R1207" s="2" t="s">
        <v>128</v>
      </c>
      <c r="S1207" s="2" t="s">
        <v>654</v>
      </c>
      <c r="T1207" s="10">
        <v>42.02</v>
      </c>
      <c r="U1207" s="11">
        <v>0.72799999999999998</v>
      </c>
      <c r="V1207" s="12">
        <f>T1207*U1207</f>
        <v>30.59056</v>
      </c>
      <c r="W1207" s="13">
        <v>0.13</v>
      </c>
      <c r="X1207" s="12">
        <f>V1207-(V1207/(1+W1207))</f>
        <v>3.5192679646017666</v>
      </c>
      <c r="Y1207" s="12">
        <f>V1207-X1207</f>
        <v>27.071292035398233</v>
      </c>
      <c r="Z1207" s="14">
        <v>25</v>
      </c>
      <c r="AA1207" s="2" t="str">
        <f>IF(V1207&gt;Z1207,"Yes","No")</f>
        <v>Yes</v>
      </c>
      <c r="AB1207" s="12">
        <f>V1207-Z1207</f>
        <v>5.59056</v>
      </c>
      <c r="AC1207" s="15" t="s">
        <v>130</v>
      </c>
      <c r="AD1207" s="15" t="s">
        <v>131</v>
      </c>
      <c r="AE1207" s="15" t="s">
        <v>350</v>
      </c>
      <c r="AF1207" s="12">
        <f>IF(AG1207="Rejected",0,IF(R1207="Corporate Card",0,V1207))</f>
        <v>0</v>
      </c>
      <c r="AG1207" s="15" t="s">
        <v>133</v>
      </c>
      <c r="AH1207" s="16">
        <v>45794</v>
      </c>
      <c r="AI1207" s="16">
        <v>45803</v>
      </c>
      <c r="AJ1207" s="16">
        <v>45810</v>
      </c>
      <c r="AK1207" s="17">
        <f>IF(AJ1207="","",AJ1207-AH1207)</f>
        <v>16</v>
      </c>
    </row>
    <row r="1208" spans="1:37">
      <c r="A1208" s="2" t="s">
        <v>1625</v>
      </c>
      <c r="B1208" s="2" t="s">
        <v>375</v>
      </c>
      <c r="C1208" s="2" t="s">
        <v>376</v>
      </c>
      <c r="D1208" s="2" t="s">
        <v>344</v>
      </c>
      <c r="E1208" s="2" t="s">
        <v>377</v>
      </c>
      <c r="F1208" s="2" t="s">
        <v>346</v>
      </c>
      <c r="G1208" s="2" t="s">
        <v>1594</v>
      </c>
      <c r="H1208" s="2" t="s">
        <v>348</v>
      </c>
      <c r="I1208" s="2" t="s">
        <v>651</v>
      </c>
      <c r="J1208" s="2" t="s">
        <v>652</v>
      </c>
      <c r="K1208" s="9">
        <v>45780</v>
      </c>
      <c r="L1208" s="9">
        <v>45788</v>
      </c>
      <c r="M1208" s="9">
        <v>45784</v>
      </c>
      <c r="N1208" s="2" t="s">
        <v>1595</v>
      </c>
      <c r="O1208" s="2" t="s">
        <v>56</v>
      </c>
      <c r="P1208" s="2" t="s">
        <v>151</v>
      </c>
      <c r="Q1208" s="2" t="s">
        <v>159</v>
      </c>
      <c r="R1208" s="2" t="s">
        <v>128</v>
      </c>
      <c r="S1208" s="2" t="s">
        <v>654</v>
      </c>
      <c r="T1208" s="10">
        <v>40.39</v>
      </c>
      <c r="U1208" s="11">
        <v>0.72799999999999998</v>
      </c>
      <c r="V1208" s="12">
        <f>T1208*U1208</f>
        <v>29.403919999999999</v>
      </c>
      <c r="W1208" s="13">
        <v>0.13</v>
      </c>
      <c r="X1208" s="12">
        <f>V1208-(V1208/(1+W1208))</f>
        <v>3.3827518584070759</v>
      </c>
      <c r="Y1208" s="12">
        <f>V1208-X1208</f>
        <v>26.021168141592923</v>
      </c>
      <c r="Z1208" s="14">
        <v>75</v>
      </c>
      <c r="AA1208" s="2" t="str">
        <f>IF(V1208&gt;Z1208,"Yes","No")</f>
        <v>No</v>
      </c>
      <c r="AB1208" s="12">
        <f>V1208-Z1208</f>
        <v>-45.596080000000001</v>
      </c>
      <c r="AC1208" s="15" t="s">
        <v>130</v>
      </c>
      <c r="AD1208" s="15" t="s">
        <v>131</v>
      </c>
      <c r="AE1208" s="15" t="s">
        <v>350</v>
      </c>
      <c r="AF1208" s="12">
        <f>IF(AG1208="Rejected",0,IF(R1208="Corporate Card",0,V1208))</f>
        <v>0</v>
      </c>
      <c r="AG1208" s="15" t="s">
        <v>133</v>
      </c>
      <c r="AH1208" s="16">
        <v>45794</v>
      </c>
      <c r="AI1208" s="16">
        <v>45803</v>
      </c>
      <c r="AJ1208" s="16">
        <v>45810</v>
      </c>
      <c r="AK1208" s="17">
        <f>IF(AJ1208="","",AJ1208-AH1208)</f>
        <v>16</v>
      </c>
    </row>
    <row r="1209" spans="1:37">
      <c r="A1209" s="2" t="s">
        <v>1626</v>
      </c>
      <c r="B1209" s="2" t="s">
        <v>375</v>
      </c>
      <c r="C1209" s="2" t="s">
        <v>376</v>
      </c>
      <c r="D1209" s="2" t="s">
        <v>344</v>
      </c>
      <c r="E1209" s="2" t="s">
        <v>377</v>
      </c>
      <c r="F1209" s="2" t="s">
        <v>346</v>
      </c>
      <c r="G1209" s="2" t="s">
        <v>1594</v>
      </c>
      <c r="H1209" s="2" t="s">
        <v>348</v>
      </c>
      <c r="I1209" s="2" t="s">
        <v>651</v>
      </c>
      <c r="J1209" s="2" t="s">
        <v>652</v>
      </c>
      <c r="K1209" s="9">
        <v>45780</v>
      </c>
      <c r="L1209" s="9">
        <v>45788</v>
      </c>
      <c r="M1209" s="9">
        <v>45784</v>
      </c>
      <c r="N1209" s="2" t="s">
        <v>1595</v>
      </c>
      <c r="O1209" s="2" t="s">
        <v>55</v>
      </c>
      <c r="P1209" s="2" t="s">
        <v>139</v>
      </c>
      <c r="Q1209" s="2" t="s">
        <v>187</v>
      </c>
      <c r="R1209" s="2" t="s">
        <v>149</v>
      </c>
      <c r="S1209" s="2" t="s">
        <v>654</v>
      </c>
      <c r="T1209" s="10">
        <v>36.25</v>
      </c>
      <c r="U1209" s="11">
        <v>0.72799999999999998</v>
      </c>
      <c r="V1209" s="12">
        <f>T1209*U1209</f>
        <v>26.39</v>
      </c>
      <c r="W1209" s="13">
        <v>0.13</v>
      </c>
      <c r="X1209" s="12">
        <f>V1209-(V1209/(1+W1209))</f>
        <v>3.0360176991150425</v>
      </c>
      <c r="Y1209" s="12">
        <f>V1209-X1209</f>
        <v>23.353982300884958</v>
      </c>
      <c r="Z1209" s="14">
        <v>35</v>
      </c>
      <c r="AA1209" s="2" t="str">
        <f>IF(V1209&gt;Z1209,"Yes","No")</f>
        <v>No</v>
      </c>
      <c r="AB1209" s="12">
        <f>V1209-Z1209</f>
        <v>-8.61</v>
      </c>
      <c r="AC1209" s="15" t="s">
        <v>130</v>
      </c>
      <c r="AD1209" s="15" t="s">
        <v>131</v>
      </c>
      <c r="AE1209" s="15" t="s">
        <v>350</v>
      </c>
      <c r="AF1209" s="12">
        <f>IF(AG1209="Rejected",0,IF(R1209="Corporate Card",0,V1209))</f>
        <v>26.39</v>
      </c>
      <c r="AG1209" s="15" t="s">
        <v>133</v>
      </c>
      <c r="AH1209" s="16">
        <v>45794</v>
      </c>
      <c r="AI1209" s="16">
        <v>45803</v>
      </c>
      <c r="AJ1209" s="16">
        <v>45810</v>
      </c>
      <c r="AK1209" s="17">
        <f>IF(AJ1209="","",AJ1209-AH1209)</f>
        <v>16</v>
      </c>
    </row>
    <row r="1210" spans="1:37">
      <c r="A1210" s="2" t="s">
        <v>1627</v>
      </c>
      <c r="B1210" s="2" t="s">
        <v>375</v>
      </c>
      <c r="C1210" s="2" t="s">
        <v>376</v>
      </c>
      <c r="D1210" s="2" t="s">
        <v>344</v>
      </c>
      <c r="E1210" s="2" t="s">
        <v>377</v>
      </c>
      <c r="F1210" s="2" t="s">
        <v>346</v>
      </c>
      <c r="G1210" s="2" t="s">
        <v>1594</v>
      </c>
      <c r="H1210" s="2" t="s">
        <v>348</v>
      </c>
      <c r="I1210" s="2" t="s">
        <v>651</v>
      </c>
      <c r="J1210" s="2" t="s">
        <v>652</v>
      </c>
      <c r="K1210" s="9">
        <v>45780</v>
      </c>
      <c r="L1210" s="9">
        <v>45788</v>
      </c>
      <c r="M1210" s="9">
        <v>45785</v>
      </c>
      <c r="N1210" s="2" t="s">
        <v>1595</v>
      </c>
      <c r="O1210" s="2" t="s">
        <v>58</v>
      </c>
      <c r="P1210" s="2" t="s">
        <v>142</v>
      </c>
      <c r="Q1210" s="2" t="s">
        <v>224</v>
      </c>
      <c r="R1210" s="2" t="s">
        <v>128</v>
      </c>
      <c r="S1210" s="2" t="s">
        <v>654</v>
      </c>
      <c r="T1210" s="10">
        <v>54.06</v>
      </c>
      <c r="U1210" s="11">
        <v>0.72799999999999998</v>
      </c>
      <c r="V1210" s="12">
        <f>T1210*U1210</f>
        <v>39.35568</v>
      </c>
      <c r="W1210" s="13">
        <v>0.13</v>
      </c>
      <c r="X1210" s="12">
        <f>V1210-(V1210/(1+W1210))</f>
        <v>4.5276446017699072</v>
      </c>
      <c r="Y1210" s="12">
        <f>V1210-X1210</f>
        <v>34.828035398230092</v>
      </c>
      <c r="Z1210" s="14">
        <v>60</v>
      </c>
      <c r="AA1210" s="2" t="str">
        <f>IF(V1210&gt;Z1210,"Yes","No")</f>
        <v>No</v>
      </c>
      <c r="AB1210" s="12">
        <f>V1210-Z1210</f>
        <v>-20.64432</v>
      </c>
      <c r="AC1210" s="15" t="s">
        <v>130</v>
      </c>
      <c r="AD1210" s="15" t="s">
        <v>131</v>
      </c>
      <c r="AE1210" s="15" t="s">
        <v>350</v>
      </c>
      <c r="AF1210" s="12">
        <f>IF(AG1210="Rejected",0,IF(R1210="Corporate Card",0,V1210))</f>
        <v>0</v>
      </c>
      <c r="AG1210" s="15" t="s">
        <v>133</v>
      </c>
      <c r="AH1210" s="16">
        <v>45794</v>
      </c>
      <c r="AI1210" s="16">
        <v>45803</v>
      </c>
      <c r="AJ1210" s="16">
        <v>45810</v>
      </c>
      <c r="AK1210" s="17">
        <f>IF(AJ1210="","",AJ1210-AH1210)</f>
        <v>16</v>
      </c>
    </row>
    <row r="1211" spans="1:37">
      <c r="A1211" s="2" t="s">
        <v>1628</v>
      </c>
      <c r="B1211" s="2" t="s">
        <v>375</v>
      </c>
      <c r="C1211" s="2" t="s">
        <v>376</v>
      </c>
      <c r="D1211" s="2" t="s">
        <v>344</v>
      </c>
      <c r="E1211" s="2" t="s">
        <v>377</v>
      </c>
      <c r="F1211" s="2" t="s">
        <v>346</v>
      </c>
      <c r="G1211" s="2" t="s">
        <v>1594</v>
      </c>
      <c r="H1211" s="2" t="s">
        <v>348</v>
      </c>
      <c r="I1211" s="2" t="s">
        <v>651</v>
      </c>
      <c r="J1211" s="2" t="s">
        <v>652</v>
      </c>
      <c r="K1211" s="9">
        <v>45780</v>
      </c>
      <c r="L1211" s="9">
        <v>45788</v>
      </c>
      <c r="M1211" s="9">
        <v>45785</v>
      </c>
      <c r="N1211" s="2" t="s">
        <v>1595</v>
      </c>
      <c r="O1211" s="2" t="s">
        <v>54</v>
      </c>
      <c r="P1211" s="2" t="s">
        <v>139</v>
      </c>
      <c r="Q1211" s="2" t="s">
        <v>148</v>
      </c>
      <c r="R1211" s="2" t="s">
        <v>128</v>
      </c>
      <c r="S1211" s="2" t="s">
        <v>654</v>
      </c>
      <c r="T1211" s="10">
        <v>17.559999999999999</v>
      </c>
      <c r="U1211" s="11">
        <v>0.72799999999999998</v>
      </c>
      <c r="V1211" s="12">
        <f>T1211*U1211</f>
        <v>12.783679999999999</v>
      </c>
      <c r="W1211" s="13">
        <v>0.13</v>
      </c>
      <c r="X1211" s="12">
        <f>V1211-(V1211/(1+W1211))</f>
        <v>1.4706888495575203</v>
      </c>
      <c r="Y1211" s="12">
        <f>V1211-X1211</f>
        <v>11.312991150442478</v>
      </c>
      <c r="Z1211" s="14">
        <v>25</v>
      </c>
      <c r="AA1211" s="2" t="str">
        <f>IF(V1211&gt;Z1211,"Yes","No")</f>
        <v>No</v>
      </c>
      <c r="AB1211" s="12">
        <f>V1211-Z1211</f>
        <v>-12.216320000000001</v>
      </c>
      <c r="AC1211" s="15" t="s">
        <v>130</v>
      </c>
      <c r="AD1211" s="15" t="s">
        <v>131</v>
      </c>
      <c r="AE1211" s="15" t="s">
        <v>350</v>
      </c>
      <c r="AF1211" s="12">
        <f>IF(AG1211="Rejected",0,IF(R1211="Corporate Card",0,V1211))</f>
        <v>0</v>
      </c>
      <c r="AG1211" s="15" t="s">
        <v>133</v>
      </c>
      <c r="AH1211" s="16">
        <v>45794</v>
      </c>
      <c r="AI1211" s="16">
        <v>45803</v>
      </c>
      <c r="AJ1211" s="16">
        <v>45810</v>
      </c>
      <c r="AK1211" s="17">
        <f>IF(AJ1211="","",AJ1211-AH1211)</f>
        <v>16</v>
      </c>
    </row>
    <row r="1212" spans="1:37">
      <c r="A1212" s="2" t="s">
        <v>1629</v>
      </c>
      <c r="B1212" s="2" t="s">
        <v>375</v>
      </c>
      <c r="C1212" s="2" t="s">
        <v>376</v>
      </c>
      <c r="D1212" s="2" t="s">
        <v>344</v>
      </c>
      <c r="E1212" s="2" t="s">
        <v>377</v>
      </c>
      <c r="F1212" s="2" t="s">
        <v>346</v>
      </c>
      <c r="G1212" s="2" t="s">
        <v>1594</v>
      </c>
      <c r="H1212" s="2" t="s">
        <v>348</v>
      </c>
      <c r="I1212" s="2" t="s">
        <v>651</v>
      </c>
      <c r="J1212" s="2" t="s">
        <v>652</v>
      </c>
      <c r="K1212" s="9">
        <v>45780</v>
      </c>
      <c r="L1212" s="9">
        <v>45788</v>
      </c>
      <c r="M1212" s="9">
        <v>45785</v>
      </c>
      <c r="N1212" s="2" t="s">
        <v>1595</v>
      </c>
      <c r="O1212" s="2" t="s">
        <v>56</v>
      </c>
      <c r="P1212" s="2" t="s">
        <v>231</v>
      </c>
      <c r="Q1212" s="2" t="s">
        <v>152</v>
      </c>
      <c r="R1212" s="2" t="s">
        <v>128</v>
      </c>
      <c r="S1212" s="2" t="s">
        <v>654</v>
      </c>
      <c r="T1212" s="10">
        <v>69.010000000000005</v>
      </c>
      <c r="U1212" s="11">
        <v>0.72799999999999998</v>
      </c>
      <c r="V1212" s="12">
        <f>T1212*U1212</f>
        <v>50.239280000000001</v>
      </c>
      <c r="W1212" s="13">
        <v>0.13</v>
      </c>
      <c r="X1212" s="12">
        <f>V1212-(V1212/(1+W1212))</f>
        <v>5.7797401769911474</v>
      </c>
      <c r="Y1212" s="12">
        <f>V1212-X1212</f>
        <v>44.459539823008853</v>
      </c>
      <c r="Z1212" s="14">
        <v>75</v>
      </c>
      <c r="AA1212" s="2" t="str">
        <f>IF(V1212&gt;Z1212,"Yes","No")</f>
        <v>No</v>
      </c>
      <c r="AB1212" s="12">
        <f>V1212-Z1212</f>
        <v>-24.760719999999999</v>
      </c>
      <c r="AC1212" s="15" t="s">
        <v>130</v>
      </c>
      <c r="AD1212" s="15" t="s">
        <v>131</v>
      </c>
      <c r="AE1212" s="15" t="s">
        <v>350</v>
      </c>
      <c r="AF1212" s="12">
        <f>IF(AG1212="Rejected",0,IF(R1212="Corporate Card",0,V1212))</f>
        <v>0</v>
      </c>
      <c r="AG1212" s="15" t="s">
        <v>133</v>
      </c>
      <c r="AH1212" s="16">
        <v>45794</v>
      </c>
      <c r="AI1212" s="16">
        <v>45803</v>
      </c>
      <c r="AJ1212" s="16">
        <v>45810</v>
      </c>
      <c r="AK1212" s="17">
        <f>IF(AJ1212="","",AJ1212-AH1212)</f>
        <v>16</v>
      </c>
    </row>
    <row r="1213" spans="1:37">
      <c r="A1213" s="2" t="s">
        <v>1630</v>
      </c>
      <c r="B1213" s="2" t="s">
        <v>375</v>
      </c>
      <c r="C1213" s="2" t="s">
        <v>376</v>
      </c>
      <c r="D1213" s="2" t="s">
        <v>344</v>
      </c>
      <c r="E1213" s="2" t="s">
        <v>377</v>
      </c>
      <c r="F1213" s="2" t="s">
        <v>346</v>
      </c>
      <c r="G1213" s="2" t="s">
        <v>1594</v>
      </c>
      <c r="H1213" s="2" t="s">
        <v>348</v>
      </c>
      <c r="I1213" s="2" t="s">
        <v>651</v>
      </c>
      <c r="J1213" s="2" t="s">
        <v>652</v>
      </c>
      <c r="K1213" s="9">
        <v>45780</v>
      </c>
      <c r="L1213" s="9">
        <v>45788</v>
      </c>
      <c r="M1213" s="9">
        <v>45785</v>
      </c>
      <c r="N1213" s="2" t="s">
        <v>1595</v>
      </c>
      <c r="O1213" s="2" t="s">
        <v>55</v>
      </c>
      <c r="P1213" s="2" t="s">
        <v>139</v>
      </c>
      <c r="Q1213" s="2" t="s">
        <v>217</v>
      </c>
      <c r="R1213" s="2" t="s">
        <v>128</v>
      </c>
      <c r="S1213" s="2" t="s">
        <v>654</v>
      </c>
      <c r="T1213" s="10">
        <v>23.02</v>
      </c>
      <c r="U1213" s="11">
        <v>0.72799999999999998</v>
      </c>
      <c r="V1213" s="12">
        <f>T1213*U1213</f>
        <v>16.758559999999999</v>
      </c>
      <c r="W1213" s="13">
        <v>0.13</v>
      </c>
      <c r="X1213" s="12">
        <f>V1213-(V1213/(1+W1213))</f>
        <v>1.927975929203539</v>
      </c>
      <c r="Y1213" s="12">
        <f>V1213-X1213</f>
        <v>14.83058407079646</v>
      </c>
      <c r="Z1213" s="14">
        <v>35</v>
      </c>
      <c r="AA1213" s="2" t="str">
        <f>IF(V1213&gt;Z1213,"Yes","No")</f>
        <v>No</v>
      </c>
      <c r="AB1213" s="12">
        <f>V1213-Z1213</f>
        <v>-18.241440000000001</v>
      </c>
      <c r="AC1213" s="15" t="s">
        <v>130</v>
      </c>
      <c r="AD1213" s="15" t="s">
        <v>131</v>
      </c>
      <c r="AE1213" s="15" t="s">
        <v>350</v>
      </c>
      <c r="AF1213" s="12">
        <f>IF(AG1213="Rejected",0,IF(R1213="Corporate Card",0,V1213))</f>
        <v>0</v>
      </c>
      <c r="AG1213" s="15" t="s">
        <v>133</v>
      </c>
      <c r="AH1213" s="16">
        <v>45794</v>
      </c>
      <c r="AI1213" s="16">
        <v>45803</v>
      </c>
      <c r="AJ1213" s="16">
        <v>45810</v>
      </c>
      <c r="AK1213" s="17">
        <f>IF(AJ1213="","",AJ1213-AH1213)</f>
        <v>16</v>
      </c>
    </row>
    <row r="1214" spans="1:37">
      <c r="A1214" s="2" t="s">
        <v>1631</v>
      </c>
      <c r="B1214" s="2" t="s">
        <v>442</v>
      </c>
      <c r="C1214" s="2" t="s">
        <v>443</v>
      </c>
      <c r="D1214" s="2" t="s">
        <v>444</v>
      </c>
      <c r="E1214" s="2" t="s">
        <v>445</v>
      </c>
      <c r="F1214" s="2" t="s">
        <v>446</v>
      </c>
      <c r="G1214" s="2" t="s">
        <v>1632</v>
      </c>
      <c r="H1214" s="2" t="s">
        <v>193</v>
      </c>
      <c r="I1214" s="2" t="s">
        <v>553</v>
      </c>
      <c r="J1214" s="2" t="s">
        <v>553</v>
      </c>
      <c r="K1214" s="9">
        <v>45785</v>
      </c>
      <c r="L1214" s="9">
        <v>45787</v>
      </c>
      <c r="M1214" s="9">
        <v>45785</v>
      </c>
      <c r="N1214" s="2" t="s">
        <v>1595</v>
      </c>
      <c r="O1214" s="2" t="s">
        <v>52</v>
      </c>
      <c r="P1214" s="2" t="s">
        <v>554</v>
      </c>
      <c r="Q1214" s="2" t="s">
        <v>127</v>
      </c>
      <c r="R1214" s="2" t="s">
        <v>128</v>
      </c>
      <c r="S1214" s="2" t="s">
        <v>555</v>
      </c>
      <c r="T1214" s="10">
        <v>1442.63</v>
      </c>
      <c r="U1214" s="11">
        <v>0.74299999999999999</v>
      </c>
      <c r="V1214" s="12">
        <f>T1214*U1214</f>
        <v>1071.87409</v>
      </c>
      <c r="W1214" s="13">
        <v>0</v>
      </c>
      <c r="X1214" s="12">
        <f>V1214-(V1214/(1+W1214))</f>
        <v>0</v>
      </c>
      <c r="Y1214" s="12">
        <f>V1214-X1214</f>
        <v>1071.87409</v>
      </c>
      <c r="Z1214" s="14">
        <v>1400</v>
      </c>
      <c r="AA1214" s="2" t="str">
        <f>IF(V1214&gt;Z1214,"Yes","No")</f>
        <v>No</v>
      </c>
      <c r="AB1214" s="12">
        <f>V1214-Z1214</f>
        <v>-328.12590999999998</v>
      </c>
      <c r="AC1214" s="15" t="s">
        <v>130</v>
      </c>
      <c r="AD1214" s="15" t="s">
        <v>131</v>
      </c>
      <c r="AE1214" s="15" t="s">
        <v>421</v>
      </c>
      <c r="AF1214" s="12">
        <f>IF(AG1214="Rejected",0,IF(R1214="Corporate Card",0,V1214))</f>
        <v>0</v>
      </c>
      <c r="AG1214" s="15" t="s">
        <v>133</v>
      </c>
      <c r="AH1214" s="16">
        <v>45790</v>
      </c>
      <c r="AI1214" s="16">
        <v>45791</v>
      </c>
      <c r="AJ1214" s="16">
        <v>45796</v>
      </c>
      <c r="AK1214" s="17">
        <f>IF(AJ1214="","",AJ1214-AH1214)</f>
        <v>6</v>
      </c>
    </row>
    <row r="1215" spans="1:37">
      <c r="A1215" s="2" t="s">
        <v>1633</v>
      </c>
      <c r="B1215" s="2" t="s">
        <v>442</v>
      </c>
      <c r="C1215" s="2" t="s">
        <v>443</v>
      </c>
      <c r="D1215" s="2" t="s">
        <v>444</v>
      </c>
      <c r="E1215" s="2" t="s">
        <v>445</v>
      </c>
      <c r="F1215" s="2" t="s">
        <v>446</v>
      </c>
      <c r="G1215" s="2" t="s">
        <v>1632</v>
      </c>
      <c r="H1215" s="2" t="s">
        <v>193</v>
      </c>
      <c r="I1215" s="2" t="s">
        <v>553</v>
      </c>
      <c r="J1215" s="2" t="s">
        <v>553</v>
      </c>
      <c r="K1215" s="9">
        <v>45785</v>
      </c>
      <c r="L1215" s="9">
        <v>45787</v>
      </c>
      <c r="M1215" s="9">
        <v>45785</v>
      </c>
      <c r="N1215" s="2" t="s">
        <v>1595</v>
      </c>
      <c r="O1215" s="2" t="s">
        <v>64</v>
      </c>
      <c r="P1215" s="2" t="s">
        <v>135</v>
      </c>
      <c r="Q1215" s="2" t="s">
        <v>513</v>
      </c>
      <c r="R1215" s="2" t="s">
        <v>137</v>
      </c>
      <c r="S1215" s="2" t="s">
        <v>555</v>
      </c>
      <c r="T1215" s="10">
        <v>90.48</v>
      </c>
      <c r="U1215" s="11">
        <v>0.74299999999999999</v>
      </c>
      <c r="V1215" s="12">
        <f>T1215*U1215</f>
        <v>67.226640000000003</v>
      </c>
      <c r="W1215" s="13">
        <v>0</v>
      </c>
      <c r="X1215" s="12">
        <f>V1215-(V1215/(1+W1215))</f>
        <v>0</v>
      </c>
      <c r="Y1215" s="12">
        <f>V1215-X1215</f>
        <v>67.226640000000003</v>
      </c>
      <c r="Z1215" s="14">
        <v>120</v>
      </c>
      <c r="AA1215" s="2" t="str">
        <f>IF(V1215&gt;Z1215,"Yes","No")</f>
        <v>No</v>
      </c>
      <c r="AB1215" s="12">
        <f>V1215-Z1215</f>
        <v>-52.773359999999997</v>
      </c>
      <c r="AC1215" s="15" t="s">
        <v>130</v>
      </c>
      <c r="AD1215" s="15" t="s">
        <v>131</v>
      </c>
      <c r="AE1215" s="15" t="s">
        <v>421</v>
      </c>
      <c r="AF1215" s="12">
        <f>IF(AG1215="Rejected",0,IF(R1215="Corporate Card",0,V1215))</f>
        <v>67.226640000000003</v>
      </c>
      <c r="AG1215" s="15" t="s">
        <v>133</v>
      </c>
      <c r="AH1215" s="16">
        <v>45790</v>
      </c>
      <c r="AI1215" s="16">
        <v>45791</v>
      </c>
      <c r="AJ1215" s="16">
        <v>45796</v>
      </c>
      <c r="AK1215" s="17">
        <f>IF(AJ1215="","",AJ1215-AH1215)</f>
        <v>6</v>
      </c>
    </row>
    <row r="1216" spans="1:37">
      <c r="A1216" s="2" t="s">
        <v>1634</v>
      </c>
      <c r="B1216" s="2" t="s">
        <v>442</v>
      </c>
      <c r="C1216" s="2" t="s">
        <v>443</v>
      </c>
      <c r="D1216" s="2" t="s">
        <v>444</v>
      </c>
      <c r="E1216" s="2" t="s">
        <v>445</v>
      </c>
      <c r="F1216" s="2" t="s">
        <v>446</v>
      </c>
      <c r="G1216" s="2" t="s">
        <v>1632</v>
      </c>
      <c r="H1216" s="2" t="s">
        <v>193</v>
      </c>
      <c r="I1216" s="2" t="s">
        <v>553</v>
      </c>
      <c r="J1216" s="2" t="s">
        <v>553</v>
      </c>
      <c r="K1216" s="9">
        <v>45785</v>
      </c>
      <c r="L1216" s="9">
        <v>45787</v>
      </c>
      <c r="M1216" s="9">
        <v>45785</v>
      </c>
      <c r="N1216" s="2" t="s">
        <v>1595</v>
      </c>
      <c r="O1216" s="2" t="s">
        <v>63</v>
      </c>
      <c r="P1216" s="2" t="s">
        <v>200</v>
      </c>
      <c r="Q1216" s="2" t="s">
        <v>1347</v>
      </c>
      <c r="R1216" s="2" t="s">
        <v>128</v>
      </c>
      <c r="S1216" s="2" t="s">
        <v>555</v>
      </c>
      <c r="T1216" s="10">
        <v>736.75</v>
      </c>
      <c r="U1216" s="11">
        <v>0.74299999999999999</v>
      </c>
      <c r="V1216" s="12">
        <f>T1216*U1216</f>
        <v>547.40525000000002</v>
      </c>
      <c r="W1216" s="13">
        <v>0</v>
      </c>
      <c r="X1216" s="12">
        <f>V1216-(V1216/(1+W1216))</f>
        <v>0</v>
      </c>
      <c r="Y1216" s="12">
        <f>V1216-X1216</f>
        <v>547.40525000000002</v>
      </c>
      <c r="Z1216" s="14">
        <v>1200</v>
      </c>
      <c r="AA1216" s="2" t="str">
        <f>IF(V1216&gt;Z1216,"Yes","No")</f>
        <v>No</v>
      </c>
      <c r="AB1216" s="12">
        <f>V1216-Z1216</f>
        <v>-652.59474999999998</v>
      </c>
      <c r="AC1216" s="15" t="s">
        <v>130</v>
      </c>
      <c r="AD1216" s="15" t="s">
        <v>131</v>
      </c>
      <c r="AE1216" s="15" t="s">
        <v>421</v>
      </c>
      <c r="AF1216" s="12">
        <f>IF(AG1216="Rejected",0,IF(R1216="Corporate Card",0,V1216))</f>
        <v>0</v>
      </c>
      <c r="AG1216" s="15" t="s">
        <v>133</v>
      </c>
      <c r="AH1216" s="16">
        <v>45790</v>
      </c>
      <c r="AI1216" s="16">
        <v>45791</v>
      </c>
      <c r="AJ1216" s="16">
        <v>45796</v>
      </c>
      <c r="AK1216" s="17">
        <f>IF(AJ1216="","",AJ1216-AH1216)</f>
        <v>6</v>
      </c>
    </row>
    <row r="1217" spans="1:37">
      <c r="A1217" s="2" t="s">
        <v>1635</v>
      </c>
      <c r="B1217" s="2" t="s">
        <v>442</v>
      </c>
      <c r="C1217" s="2" t="s">
        <v>443</v>
      </c>
      <c r="D1217" s="2" t="s">
        <v>444</v>
      </c>
      <c r="E1217" s="2" t="s">
        <v>445</v>
      </c>
      <c r="F1217" s="2" t="s">
        <v>446</v>
      </c>
      <c r="G1217" s="2" t="s">
        <v>1632</v>
      </c>
      <c r="H1217" s="2" t="s">
        <v>193</v>
      </c>
      <c r="I1217" s="2" t="s">
        <v>553</v>
      </c>
      <c r="J1217" s="2" t="s">
        <v>553</v>
      </c>
      <c r="K1217" s="9">
        <v>45785</v>
      </c>
      <c r="L1217" s="9">
        <v>45787</v>
      </c>
      <c r="M1217" s="9">
        <v>45785</v>
      </c>
      <c r="N1217" s="2" t="s">
        <v>1595</v>
      </c>
      <c r="O1217" s="2" t="s">
        <v>58</v>
      </c>
      <c r="P1217" s="2" t="s">
        <v>142</v>
      </c>
      <c r="Q1217" s="2" t="s">
        <v>143</v>
      </c>
      <c r="R1217" s="2" t="s">
        <v>128</v>
      </c>
      <c r="S1217" s="2" t="s">
        <v>555</v>
      </c>
      <c r="T1217" s="10">
        <v>59.6</v>
      </c>
      <c r="U1217" s="11">
        <v>0.74299999999999999</v>
      </c>
      <c r="V1217" s="12">
        <f>T1217*U1217</f>
        <v>44.282800000000002</v>
      </c>
      <c r="W1217" s="13">
        <v>0.09</v>
      </c>
      <c r="X1217" s="12">
        <f>V1217-(V1217/(1+W1217))</f>
        <v>3.6563779816513815</v>
      </c>
      <c r="Y1217" s="12">
        <f>V1217-X1217</f>
        <v>40.62642201834862</v>
      </c>
      <c r="Z1217" s="14">
        <v>60</v>
      </c>
      <c r="AA1217" s="2" t="str">
        <f>IF(V1217&gt;Z1217,"Yes","No")</f>
        <v>No</v>
      </c>
      <c r="AB1217" s="12">
        <f>V1217-Z1217</f>
        <v>-15.717199999999998</v>
      </c>
      <c r="AC1217" s="15" t="s">
        <v>130</v>
      </c>
      <c r="AD1217" s="15" t="s">
        <v>131</v>
      </c>
      <c r="AE1217" s="15" t="s">
        <v>421</v>
      </c>
      <c r="AF1217" s="12">
        <f>IF(AG1217="Rejected",0,IF(R1217="Corporate Card",0,V1217))</f>
        <v>0</v>
      </c>
      <c r="AG1217" s="15" t="s">
        <v>133</v>
      </c>
      <c r="AH1217" s="16">
        <v>45790</v>
      </c>
      <c r="AI1217" s="16">
        <v>45791</v>
      </c>
      <c r="AJ1217" s="16">
        <v>45796</v>
      </c>
      <c r="AK1217" s="17">
        <f>IF(AJ1217="","",AJ1217-AH1217)</f>
        <v>6</v>
      </c>
    </row>
    <row r="1218" spans="1:37">
      <c r="A1218" s="2" t="s">
        <v>1636</v>
      </c>
      <c r="B1218" s="2" t="s">
        <v>442</v>
      </c>
      <c r="C1218" s="2" t="s">
        <v>443</v>
      </c>
      <c r="D1218" s="2" t="s">
        <v>444</v>
      </c>
      <c r="E1218" s="2" t="s">
        <v>445</v>
      </c>
      <c r="F1218" s="2" t="s">
        <v>446</v>
      </c>
      <c r="G1218" s="2" t="s">
        <v>1632</v>
      </c>
      <c r="H1218" s="2" t="s">
        <v>193</v>
      </c>
      <c r="I1218" s="2" t="s">
        <v>553</v>
      </c>
      <c r="J1218" s="2" t="s">
        <v>553</v>
      </c>
      <c r="K1218" s="9">
        <v>45785</v>
      </c>
      <c r="L1218" s="9">
        <v>45787</v>
      </c>
      <c r="M1218" s="9">
        <v>45785</v>
      </c>
      <c r="N1218" s="2" t="s">
        <v>1595</v>
      </c>
      <c r="O1218" s="2" t="s">
        <v>54</v>
      </c>
      <c r="P1218" s="2" t="s">
        <v>139</v>
      </c>
      <c r="Q1218" s="2" t="s">
        <v>140</v>
      </c>
      <c r="R1218" s="2" t="s">
        <v>128</v>
      </c>
      <c r="S1218" s="2" t="s">
        <v>555</v>
      </c>
      <c r="T1218" s="10">
        <v>23.19</v>
      </c>
      <c r="U1218" s="11">
        <v>0.74299999999999999</v>
      </c>
      <c r="V1218" s="12">
        <f>T1218*U1218</f>
        <v>17.230170000000001</v>
      </c>
      <c r="W1218" s="13">
        <v>0.09</v>
      </c>
      <c r="X1218" s="12">
        <f>V1218-(V1218/(1+W1218))</f>
        <v>1.4226745871559654</v>
      </c>
      <c r="Y1218" s="12">
        <f>V1218-X1218</f>
        <v>15.807495412844036</v>
      </c>
      <c r="Z1218" s="14">
        <v>25</v>
      </c>
      <c r="AA1218" s="2" t="str">
        <f>IF(V1218&gt;Z1218,"Yes","No")</f>
        <v>No</v>
      </c>
      <c r="AB1218" s="12">
        <f>V1218-Z1218</f>
        <v>-7.7698299999999989</v>
      </c>
      <c r="AC1218" s="15" t="s">
        <v>130</v>
      </c>
      <c r="AD1218" s="15" t="s">
        <v>131</v>
      </c>
      <c r="AE1218" s="15" t="s">
        <v>421</v>
      </c>
      <c r="AF1218" s="12">
        <f>IF(AG1218="Rejected",0,IF(R1218="Corporate Card",0,V1218))</f>
        <v>0</v>
      </c>
      <c r="AG1218" s="15" t="s">
        <v>133</v>
      </c>
      <c r="AH1218" s="16">
        <v>45790</v>
      </c>
      <c r="AI1218" s="16">
        <v>45791</v>
      </c>
      <c r="AJ1218" s="16">
        <v>45796</v>
      </c>
      <c r="AK1218" s="17">
        <f>IF(AJ1218="","",AJ1218-AH1218)</f>
        <v>6</v>
      </c>
    </row>
    <row r="1219" spans="1:37">
      <c r="A1219" s="2" t="s">
        <v>1637</v>
      </c>
      <c r="B1219" s="2" t="s">
        <v>442</v>
      </c>
      <c r="C1219" s="2" t="s">
        <v>443</v>
      </c>
      <c r="D1219" s="2" t="s">
        <v>444</v>
      </c>
      <c r="E1219" s="2" t="s">
        <v>445</v>
      </c>
      <c r="F1219" s="2" t="s">
        <v>446</v>
      </c>
      <c r="G1219" s="2" t="s">
        <v>1632</v>
      </c>
      <c r="H1219" s="2" t="s">
        <v>193</v>
      </c>
      <c r="I1219" s="2" t="s">
        <v>553</v>
      </c>
      <c r="J1219" s="2" t="s">
        <v>553</v>
      </c>
      <c r="K1219" s="9">
        <v>45785</v>
      </c>
      <c r="L1219" s="9">
        <v>45787</v>
      </c>
      <c r="M1219" s="9">
        <v>45785</v>
      </c>
      <c r="N1219" s="2" t="s">
        <v>1595</v>
      </c>
      <c r="O1219" s="2" t="s">
        <v>56</v>
      </c>
      <c r="P1219" s="2" t="s">
        <v>245</v>
      </c>
      <c r="Q1219" s="2" t="s">
        <v>185</v>
      </c>
      <c r="R1219" s="2" t="s">
        <v>128</v>
      </c>
      <c r="S1219" s="2" t="s">
        <v>555</v>
      </c>
      <c r="T1219" s="10">
        <v>84.82</v>
      </c>
      <c r="U1219" s="11">
        <v>0.74299999999999999</v>
      </c>
      <c r="V1219" s="12">
        <f>T1219*U1219</f>
        <v>63.021259999999991</v>
      </c>
      <c r="W1219" s="13">
        <v>0.09</v>
      </c>
      <c r="X1219" s="12">
        <f>V1219-(V1219/(1+W1219))</f>
        <v>5.2035902752293595</v>
      </c>
      <c r="Y1219" s="12">
        <f>V1219-X1219</f>
        <v>57.817669724770631</v>
      </c>
      <c r="Z1219" s="14">
        <v>75</v>
      </c>
      <c r="AA1219" s="2" t="str">
        <f>IF(V1219&gt;Z1219,"Yes","No")</f>
        <v>No</v>
      </c>
      <c r="AB1219" s="12">
        <f>V1219-Z1219</f>
        <v>-11.978740000000009</v>
      </c>
      <c r="AC1219" s="15" t="s">
        <v>130</v>
      </c>
      <c r="AD1219" s="15" t="s">
        <v>131</v>
      </c>
      <c r="AE1219" s="15" t="s">
        <v>421</v>
      </c>
      <c r="AF1219" s="12">
        <f>IF(AG1219="Rejected",0,IF(R1219="Corporate Card",0,V1219))</f>
        <v>0</v>
      </c>
      <c r="AG1219" s="15" t="s">
        <v>133</v>
      </c>
      <c r="AH1219" s="16">
        <v>45790</v>
      </c>
      <c r="AI1219" s="16">
        <v>45791</v>
      </c>
      <c r="AJ1219" s="16">
        <v>45796</v>
      </c>
      <c r="AK1219" s="17">
        <f>IF(AJ1219="","",AJ1219-AH1219)</f>
        <v>6</v>
      </c>
    </row>
    <row r="1220" spans="1:37">
      <c r="A1220" s="2" t="s">
        <v>1638</v>
      </c>
      <c r="B1220" s="2" t="s">
        <v>375</v>
      </c>
      <c r="C1220" s="2" t="s">
        <v>376</v>
      </c>
      <c r="D1220" s="2" t="s">
        <v>344</v>
      </c>
      <c r="E1220" s="2" t="s">
        <v>377</v>
      </c>
      <c r="F1220" s="2" t="s">
        <v>346</v>
      </c>
      <c r="G1220" s="2" t="s">
        <v>1594</v>
      </c>
      <c r="H1220" s="2" t="s">
        <v>348</v>
      </c>
      <c r="I1220" s="2" t="s">
        <v>651</v>
      </c>
      <c r="J1220" s="2" t="s">
        <v>652</v>
      </c>
      <c r="K1220" s="9">
        <v>45780</v>
      </c>
      <c r="L1220" s="9">
        <v>45788</v>
      </c>
      <c r="M1220" s="9">
        <v>45786</v>
      </c>
      <c r="N1220" s="2" t="s">
        <v>1595</v>
      </c>
      <c r="O1220" s="2" t="s">
        <v>58</v>
      </c>
      <c r="P1220" s="2" t="s">
        <v>142</v>
      </c>
      <c r="Q1220" s="2" t="s">
        <v>296</v>
      </c>
      <c r="R1220" s="2" t="s">
        <v>128</v>
      </c>
      <c r="S1220" s="2" t="s">
        <v>654</v>
      </c>
      <c r="T1220" s="10">
        <v>52.18</v>
      </c>
      <c r="U1220" s="11">
        <v>0.72799999999999998</v>
      </c>
      <c r="V1220" s="12">
        <f>T1220*U1220</f>
        <v>37.98704</v>
      </c>
      <c r="W1220" s="13">
        <v>0.13</v>
      </c>
      <c r="X1220" s="12">
        <f>V1220-(V1220/(1+W1220))</f>
        <v>4.3701904424778704</v>
      </c>
      <c r="Y1220" s="12">
        <f>V1220-X1220</f>
        <v>33.61684955752213</v>
      </c>
      <c r="Z1220" s="14">
        <v>60</v>
      </c>
      <c r="AA1220" s="2" t="str">
        <f>IF(V1220&gt;Z1220,"Yes","No")</f>
        <v>No</v>
      </c>
      <c r="AB1220" s="12">
        <f>V1220-Z1220</f>
        <v>-22.01296</v>
      </c>
      <c r="AC1220" s="15" t="s">
        <v>130</v>
      </c>
      <c r="AD1220" s="15" t="s">
        <v>131</v>
      </c>
      <c r="AE1220" s="15" t="s">
        <v>350</v>
      </c>
      <c r="AF1220" s="12">
        <f>IF(AG1220="Rejected",0,IF(R1220="Corporate Card",0,V1220))</f>
        <v>0</v>
      </c>
      <c r="AG1220" s="15" t="s">
        <v>133</v>
      </c>
      <c r="AH1220" s="16">
        <v>45794</v>
      </c>
      <c r="AI1220" s="16">
        <v>45803</v>
      </c>
      <c r="AJ1220" s="16">
        <v>45810</v>
      </c>
      <c r="AK1220" s="17">
        <f>IF(AJ1220="","",AJ1220-AH1220)</f>
        <v>16</v>
      </c>
    </row>
    <row r="1221" spans="1:37">
      <c r="A1221" s="2" t="s">
        <v>1639</v>
      </c>
      <c r="B1221" s="2" t="s">
        <v>375</v>
      </c>
      <c r="C1221" s="2" t="s">
        <v>376</v>
      </c>
      <c r="D1221" s="2" t="s">
        <v>344</v>
      </c>
      <c r="E1221" s="2" t="s">
        <v>377</v>
      </c>
      <c r="F1221" s="2" t="s">
        <v>346</v>
      </c>
      <c r="G1221" s="2" t="s">
        <v>1594</v>
      </c>
      <c r="H1221" s="2" t="s">
        <v>348</v>
      </c>
      <c r="I1221" s="2" t="s">
        <v>651</v>
      </c>
      <c r="J1221" s="2" t="s">
        <v>652</v>
      </c>
      <c r="K1221" s="9">
        <v>45780</v>
      </c>
      <c r="L1221" s="9">
        <v>45788</v>
      </c>
      <c r="M1221" s="9">
        <v>45786</v>
      </c>
      <c r="N1221" s="2" t="s">
        <v>1595</v>
      </c>
      <c r="O1221" s="2" t="s">
        <v>54</v>
      </c>
      <c r="P1221" s="2" t="s">
        <v>139</v>
      </c>
      <c r="Q1221" s="2" t="s">
        <v>148</v>
      </c>
      <c r="R1221" s="2" t="s">
        <v>137</v>
      </c>
      <c r="S1221" s="2" t="s">
        <v>654</v>
      </c>
      <c r="T1221" s="10">
        <v>25.28</v>
      </c>
      <c r="U1221" s="11">
        <v>0.72799999999999998</v>
      </c>
      <c r="V1221" s="12">
        <f>T1221*U1221</f>
        <v>18.403839999999999</v>
      </c>
      <c r="W1221" s="13">
        <v>0.13</v>
      </c>
      <c r="X1221" s="12">
        <f>V1221-(V1221/(1+W1221))</f>
        <v>2.1172559292035373</v>
      </c>
      <c r="Y1221" s="12">
        <f>V1221-X1221</f>
        <v>16.286584070796462</v>
      </c>
      <c r="Z1221" s="14">
        <v>25</v>
      </c>
      <c r="AA1221" s="2" t="str">
        <f>IF(V1221&gt;Z1221,"Yes","No")</f>
        <v>No</v>
      </c>
      <c r="AB1221" s="12">
        <f>V1221-Z1221</f>
        <v>-6.5961600000000011</v>
      </c>
      <c r="AC1221" s="15" t="s">
        <v>130</v>
      </c>
      <c r="AD1221" s="15" t="s">
        <v>131</v>
      </c>
      <c r="AE1221" s="15" t="s">
        <v>350</v>
      </c>
      <c r="AF1221" s="12">
        <f>IF(AG1221="Rejected",0,IF(R1221="Corporate Card",0,V1221))</f>
        <v>18.403839999999999</v>
      </c>
      <c r="AG1221" s="15" t="s">
        <v>133</v>
      </c>
      <c r="AH1221" s="16">
        <v>45794</v>
      </c>
      <c r="AI1221" s="16">
        <v>45803</v>
      </c>
      <c r="AJ1221" s="16">
        <v>45810</v>
      </c>
      <c r="AK1221" s="17">
        <f>IF(AJ1221="","",AJ1221-AH1221)</f>
        <v>16</v>
      </c>
    </row>
    <row r="1222" spans="1:37">
      <c r="A1222" s="2" t="s">
        <v>1640</v>
      </c>
      <c r="B1222" s="2" t="s">
        <v>375</v>
      </c>
      <c r="C1222" s="2" t="s">
        <v>376</v>
      </c>
      <c r="D1222" s="2" t="s">
        <v>344</v>
      </c>
      <c r="E1222" s="2" t="s">
        <v>377</v>
      </c>
      <c r="F1222" s="2" t="s">
        <v>346</v>
      </c>
      <c r="G1222" s="2" t="s">
        <v>1594</v>
      </c>
      <c r="H1222" s="2" t="s">
        <v>348</v>
      </c>
      <c r="I1222" s="2" t="s">
        <v>651</v>
      </c>
      <c r="J1222" s="2" t="s">
        <v>652</v>
      </c>
      <c r="K1222" s="9">
        <v>45780</v>
      </c>
      <c r="L1222" s="9">
        <v>45788</v>
      </c>
      <c r="M1222" s="9">
        <v>45786</v>
      </c>
      <c r="N1222" s="2" t="s">
        <v>1595</v>
      </c>
      <c r="O1222" s="2" t="s">
        <v>56</v>
      </c>
      <c r="P1222" s="2" t="s">
        <v>245</v>
      </c>
      <c r="Q1222" s="2" t="s">
        <v>227</v>
      </c>
      <c r="R1222" s="2" t="s">
        <v>128</v>
      </c>
      <c r="S1222" s="2" t="s">
        <v>654</v>
      </c>
      <c r="T1222" s="10">
        <v>48.82</v>
      </c>
      <c r="U1222" s="11">
        <v>0.72799999999999998</v>
      </c>
      <c r="V1222" s="12">
        <f>T1222*U1222</f>
        <v>35.540959999999998</v>
      </c>
      <c r="W1222" s="13">
        <v>0.13</v>
      </c>
      <c r="X1222" s="12">
        <f>V1222-(V1222/(1+W1222))</f>
        <v>4.0887830088495534</v>
      </c>
      <c r="Y1222" s="12">
        <f>V1222-X1222</f>
        <v>31.452176991150445</v>
      </c>
      <c r="Z1222" s="14">
        <v>75</v>
      </c>
      <c r="AA1222" s="2" t="str">
        <f>IF(V1222&gt;Z1222,"Yes","No")</f>
        <v>No</v>
      </c>
      <c r="AB1222" s="12">
        <f>V1222-Z1222</f>
        <v>-39.459040000000002</v>
      </c>
      <c r="AC1222" s="15" t="s">
        <v>130</v>
      </c>
      <c r="AD1222" s="15" t="s">
        <v>131</v>
      </c>
      <c r="AE1222" s="15" t="s">
        <v>350</v>
      </c>
      <c r="AF1222" s="12">
        <f>IF(AG1222="Rejected",0,IF(R1222="Corporate Card",0,V1222))</f>
        <v>0</v>
      </c>
      <c r="AG1222" s="15" t="s">
        <v>133</v>
      </c>
      <c r="AH1222" s="16">
        <v>45794</v>
      </c>
      <c r="AI1222" s="16">
        <v>45803</v>
      </c>
      <c r="AJ1222" s="16">
        <v>45810</v>
      </c>
      <c r="AK1222" s="17">
        <f>IF(AJ1222="","",AJ1222-AH1222)</f>
        <v>16</v>
      </c>
    </row>
    <row r="1223" spans="1:37">
      <c r="A1223" s="2" t="s">
        <v>1641</v>
      </c>
      <c r="B1223" s="2" t="s">
        <v>375</v>
      </c>
      <c r="C1223" s="2" t="s">
        <v>376</v>
      </c>
      <c r="D1223" s="2" t="s">
        <v>344</v>
      </c>
      <c r="E1223" s="2" t="s">
        <v>377</v>
      </c>
      <c r="F1223" s="2" t="s">
        <v>346</v>
      </c>
      <c r="G1223" s="2" t="s">
        <v>1594</v>
      </c>
      <c r="H1223" s="2" t="s">
        <v>348</v>
      </c>
      <c r="I1223" s="2" t="s">
        <v>651</v>
      </c>
      <c r="J1223" s="2" t="s">
        <v>652</v>
      </c>
      <c r="K1223" s="9">
        <v>45780</v>
      </c>
      <c r="L1223" s="9">
        <v>45788</v>
      </c>
      <c r="M1223" s="9">
        <v>45786</v>
      </c>
      <c r="N1223" s="2" t="s">
        <v>1595</v>
      </c>
      <c r="O1223" s="2" t="s">
        <v>55</v>
      </c>
      <c r="P1223" s="2" t="s">
        <v>139</v>
      </c>
      <c r="Q1223" s="2" t="s">
        <v>154</v>
      </c>
      <c r="R1223" s="2" t="s">
        <v>149</v>
      </c>
      <c r="S1223" s="2" t="s">
        <v>654</v>
      </c>
      <c r="T1223" s="10">
        <v>36.83</v>
      </c>
      <c r="U1223" s="11">
        <v>0.72799999999999998</v>
      </c>
      <c r="V1223" s="12">
        <f>T1223*U1223</f>
        <v>26.812239999999999</v>
      </c>
      <c r="W1223" s="13">
        <v>0.13</v>
      </c>
      <c r="X1223" s="12">
        <f>V1223-(V1223/(1+W1223))</f>
        <v>3.0845939823008841</v>
      </c>
      <c r="Y1223" s="12">
        <f>V1223-X1223</f>
        <v>23.727646017699115</v>
      </c>
      <c r="Z1223" s="14">
        <v>35</v>
      </c>
      <c r="AA1223" s="2" t="str">
        <f>IF(V1223&gt;Z1223,"Yes","No")</f>
        <v>No</v>
      </c>
      <c r="AB1223" s="12">
        <f>V1223-Z1223</f>
        <v>-8.1877600000000008</v>
      </c>
      <c r="AC1223" s="15" t="s">
        <v>130</v>
      </c>
      <c r="AD1223" s="15" t="s">
        <v>131</v>
      </c>
      <c r="AE1223" s="15" t="s">
        <v>350</v>
      </c>
      <c r="AF1223" s="12">
        <f>IF(AG1223="Rejected",0,IF(R1223="Corporate Card",0,V1223))</f>
        <v>26.812239999999999</v>
      </c>
      <c r="AG1223" s="15" t="s">
        <v>133</v>
      </c>
      <c r="AH1223" s="16">
        <v>45794</v>
      </c>
      <c r="AI1223" s="16">
        <v>45803</v>
      </c>
      <c r="AJ1223" s="16">
        <v>45810</v>
      </c>
      <c r="AK1223" s="17">
        <f>IF(AJ1223="","",AJ1223-AH1223)</f>
        <v>16</v>
      </c>
    </row>
    <row r="1224" spans="1:37">
      <c r="A1224" s="2" t="s">
        <v>1642</v>
      </c>
      <c r="B1224" s="2" t="s">
        <v>442</v>
      </c>
      <c r="C1224" s="2" t="s">
        <v>443</v>
      </c>
      <c r="D1224" s="2" t="s">
        <v>444</v>
      </c>
      <c r="E1224" s="2" t="s">
        <v>445</v>
      </c>
      <c r="F1224" s="2" t="s">
        <v>446</v>
      </c>
      <c r="G1224" s="2" t="s">
        <v>1632</v>
      </c>
      <c r="H1224" s="2" t="s">
        <v>193</v>
      </c>
      <c r="I1224" s="2" t="s">
        <v>553</v>
      </c>
      <c r="J1224" s="2" t="s">
        <v>553</v>
      </c>
      <c r="K1224" s="9">
        <v>45785</v>
      </c>
      <c r="L1224" s="9">
        <v>45787</v>
      </c>
      <c r="M1224" s="9">
        <v>45786</v>
      </c>
      <c r="N1224" s="2" t="s">
        <v>1595</v>
      </c>
      <c r="O1224" s="2" t="s">
        <v>60</v>
      </c>
      <c r="P1224" s="2" t="s">
        <v>1643</v>
      </c>
      <c r="Q1224" s="2" t="s">
        <v>537</v>
      </c>
      <c r="R1224" s="2" t="s">
        <v>128</v>
      </c>
      <c r="S1224" s="2" t="s">
        <v>555</v>
      </c>
      <c r="T1224" s="10">
        <v>241.69</v>
      </c>
      <c r="U1224" s="11">
        <v>0.74299999999999999</v>
      </c>
      <c r="V1224" s="12">
        <f>T1224*U1224</f>
        <v>179.57567</v>
      </c>
      <c r="W1224" s="13">
        <v>0.09</v>
      </c>
      <c r="X1224" s="12">
        <f>V1224-(V1224/(1+W1224))</f>
        <v>14.82734889908258</v>
      </c>
      <c r="Y1224" s="12">
        <f>V1224-X1224</f>
        <v>164.74832110091742</v>
      </c>
      <c r="Z1224" s="14">
        <v>240</v>
      </c>
      <c r="AA1224" s="2" t="str">
        <f>IF(V1224&gt;Z1224,"Yes","No")</f>
        <v>No</v>
      </c>
      <c r="AB1224" s="12">
        <f>V1224-Z1224</f>
        <v>-60.424329999999998</v>
      </c>
      <c r="AC1224" s="15" t="s">
        <v>130</v>
      </c>
      <c r="AD1224" s="15" t="s">
        <v>131</v>
      </c>
      <c r="AE1224" s="15" t="s">
        <v>421</v>
      </c>
      <c r="AF1224" s="12">
        <f>IF(AG1224="Rejected",0,IF(R1224="Corporate Card",0,V1224))</f>
        <v>0</v>
      </c>
      <c r="AG1224" s="15" t="s">
        <v>133</v>
      </c>
      <c r="AH1224" s="16">
        <v>45790</v>
      </c>
      <c r="AI1224" s="16">
        <v>45791</v>
      </c>
      <c r="AJ1224" s="16">
        <v>45796</v>
      </c>
      <c r="AK1224" s="17">
        <f>IF(AJ1224="","",AJ1224-AH1224)</f>
        <v>6</v>
      </c>
    </row>
    <row r="1225" spans="1:37">
      <c r="A1225" s="2" t="s">
        <v>1644</v>
      </c>
      <c r="B1225" s="2" t="s">
        <v>442</v>
      </c>
      <c r="C1225" s="2" t="s">
        <v>443</v>
      </c>
      <c r="D1225" s="2" t="s">
        <v>444</v>
      </c>
      <c r="E1225" s="2" t="s">
        <v>445</v>
      </c>
      <c r="F1225" s="2" t="s">
        <v>446</v>
      </c>
      <c r="G1225" s="2" t="s">
        <v>1632</v>
      </c>
      <c r="H1225" s="2" t="s">
        <v>193</v>
      </c>
      <c r="I1225" s="2" t="s">
        <v>553</v>
      </c>
      <c r="J1225" s="2" t="s">
        <v>553</v>
      </c>
      <c r="K1225" s="9">
        <v>45785</v>
      </c>
      <c r="L1225" s="9">
        <v>45787</v>
      </c>
      <c r="M1225" s="9">
        <v>45786</v>
      </c>
      <c r="N1225" s="2" t="s">
        <v>1595</v>
      </c>
      <c r="O1225" s="2" t="s">
        <v>67</v>
      </c>
      <c r="P1225" s="2" t="s">
        <v>401</v>
      </c>
      <c r="Q1225" s="2" t="s">
        <v>574</v>
      </c>
      <c r="R1225" s="2" t="s">
        <v>137</v>
      </c>
      <c r="S1225" s="2" t="s">
        <v>555</v>
      </c>
      <c r="T1225" s="10">
        <v>89.09</v>
      </c>
      <c r="U1225" s="11">
        <v>0.74299999999999999</v>
      </c>
      <c r="V1225" s="12">
        <f>T1225*U1225</f>
        <v>66.193870000000004</v>
      </c>
      <c r="W1225" s="13">
        <v>0.09</v>
      </c>
      <c r="X1225" s="12">
        <f>V1225-(V1225/(1+W1225))</f>
        <v>5.4655488990825702</v>
      </c>
      <c r="Y1225" s="12">
        <f>V1225-X1225</f>
        <v>60.728321100917434</v>
      </c>
      <c r="Z1225" s="14">
        <v>100</v>
      </c>
      <c r="AA1225" s="2" t="str">
        <f>IF(V1225&gt;Z1225,"Yes","No")</f>
        <v>No</v>
      </c>
      <c r="AB1225" s="12">
        <f>V1225-Z1225</f>
        <v>-33.806129999999996</v>
      </c>
      <c r="AC1225" s="15" t="s">
        <v>130</v>
      </c>
      <c r="AD1225" s="15" t="s">
        <v>131</v>
      </c>
      <c r="AE1225" s="15" t="s">
        <v>421</v>
      </c>
      <c r="AF1225" s="12">
        <f>IF(AG1225="Rejected",0,IF(R1225="Corporate Card",0,V1225))</f>
        <v>66.193870000000004</v>
      </c>
      <c r="AG1225" s="15" t="s">
        <v>133</v>
      </c>
      <c r="AH1225" s="16">
        <v>45790</v>
      </c>
      <c r="AI1225" s="16">
        <v>45791</v>
      </c>
      <c r="AJ1225" s="16">
        <v>45796</v>
      </c>
      <c r="AK1225" s="17">
        <f>IF(AJ1225="","",AJ1225-AH1225)</f>
        <v>6</v>
      </c>
    </row>
    <row r="1226" spans="1:37">
      <c r="A1226" s="2" t="s">
        <v>1645</v>
      </c>
      <c r="B1226" s="2" t="s">
        <v>442</v>
      </c>
      <c r="C1226" s="2" t="s">
        <v>443</v>
      </c>
      <c r="D1226" s="2" t="s">
        <v>444</v>
      </c>
      <c r="E1226" s="2" t="s">
        <v>445</v>
      </c>
      <c r="F1226" s="2" t="s">
        <v>446</v>
      </c>
      <c r="G1226" s="2" t="s">
        <v>1632</v>
      </c>
      <c r="H1226" s="2" t="s">
        <v>193</v>
      </c>
      <c r="I1226" s="2" t="s">
        <v>553</v>
      </c>
      <c r="J1226" s="2" t="s">
        <v>553</v>
      </c>
      <c r="K1226" s="9">
        <v>45785</v>
      </c>
      <c r="L1226" s="9">
        <v>45787</v>
      </c>
      <c r="M1226" s="9">
        <v>45786</v>
      </c>
      <c r="N1226" s="2" t="s">
        <v>1595</v>
      </c>
      <c r="O1226" s="2" t="s">
        <v>59</v>
      </c>
      <c r="P1226" s="2" t="s">
        <v>301</v>
      </c>
      <c r="Q1226" s="2" t="s">
        <v>581</v>
      </c>
      <c r="R1226" s="2" t="s">
        <v>128</v>
      </c>
      <c r="S1226" s="2" t="s">
        <v>555</v>
      </c>
      <c r="T1226" s="10">
        <v>114.72</v>
      </c>
      <c r="U1226" s="11">
        <v>0.74299999999999999</v>
      </c>
      <c r="V1226" s="12">
        <f>T1226*U1226</f>
        <v>85.236959999999996</v>
      </c>
      <c r="W1226" s="13">
        <v>0.09</v>
      </c>
      <c r="X1226" s="12">
        <f>V1226-(V1226/(1+W1226))</f>
        <v>7.0379141284403772</v>
      </c>
      <c r="Y1226" s="12">
        <f>V1226-X1226</f>
        <v>78.199045871559619</v>
      </c>
      <c r="Z1226" s="14">
        <v>150</v>
      </c>
      <c r="AA1226" s="2" t="str">
        <f>IF(V1226&gt;Z1226,"Yes","No")</f>
        <v>No</v>
      </c>
      <c r="AB1226" s="12">
        <f>V1226-Z1226</f>
        <v>-64.763040000000004</v>
      </c>
      <c r="AC1226" s="15" t="s">
        <v>130</v>
      </c>
      <c r="AD1226" s="15" t="s">
        <v>131</v>
      </c>
      <c r="AE1226" s="15" t="s">
        <v>421</v>
      </c>
      <c r="AF1226" s="12">
        <f>IF(AG1226="Rejected",0,IF(R1226="Corporate Card",0,V1226))</f>
        <v>0</v>
      </c>
      <c r="AG1226" s="15" t="s">
        <v>133</v>
      </c>
      <c r="AH1226" s="16">
        <v>45790</v>
      </c>
      <c r="AI1226" s="16">
        <v>45791</v>
      </c>
      <c r="AJ1226" s="16">
        <v>45796</v>
      </c>
      <c r="AK1226" s="17">
        <f>IF(AJ1226="","",AJ1226-AH1226)</f>
        <v>6</v>
      </c>
    </row>
    <row r="1227" spans="1:37">
      <c r="A1227" s="2" t="s">
        <v>1646</v>
      </c>
      <c r="B1227" s="2" t="s">
        <v>442</v>
      </c>
      <c r="C1227" s="2" t="s">
        <v>443</v>
      </c>
      <c r="D1227" s="2" t="s">
        <v>444</v>
      </c>
      <c r="E1227" s="2" t="s">
        <v>445</v>
      </c>
      <c r="F1227" s="2" t="s">
        <v>446</v>
      </c>
      <c r="G1227" s="2" t="s">
        <v>1632</v>
      </c>
      <c r="H1227" s="2" t="s">
        <v>193</v>
      </c>
      <c r="I1227" s="2" t="s">
        <v>553</v>
      </c>
      <c r="J1227" s="2" t="s">
        <v>553</v>
      </c>
      <c r="K1227" s="9">
        <v>45785</v>
      </c>
      <c r="L1227" s="9">
        <v>45787</v>
      </c>
      <c r="M1227" s="9">
        <v>45786</v>
      </c>
      <c r="N1227" s="2" t="s">
        <v>1595</v>
      </c>
      <c r="O1227" s="2" t="s">
        <v>58</v>
      </c>
      <c r="P1227" s="2" t="s">
        <v>142</v>
      </c>
      <c r="Q1227" s="2" t="s">
        <v>203</v>
      </c>
      <c r="R1227" s="2" t="s">
        <v>128</v>
      </c>
      <c r="S1227" s="2" t="s">
        <v>555</v>
      </c>
      <c r="T1227" s="10">
        <v>43.24</v>
      </c>
      <c r="U1227" s="11">
        <v>0.74299999999999999</v>
      </c>
      <c r="V1227" s="12">
        <f>T1227*U1227</f>
        <v>32.127320000000005</v>
      </c>
      <c r="W1227" s="13">
        <v>0.09</v>
      </c>
      <c r="X1227" s="12">
        <f>V1227-(V1227/(1+W1227))</f>
        <v>2.6527144954128481</v>
      </c>
      <c r="Y1227" s="12">
        <f>V1227-X1227</f>
        <v>29.474605504587156</v>
      </c>
      <c r="Z1227" s="14">
        <v>60</v>
      </c>
      <c r="AA1227" s="2" t="str">
        <f>IF(V1227&gt;Z1227,"Yes","No")</f>
        <v>No</v>
      </c>
      <c r="AB1227" s="12">
        <f>V1227-Z1227</f>
        <v>-27.872679999999995</v>
      </c>
      <c r="AC1227" s="15" t="s">
        <v>130</v>
      </c>
      <c r="AD1227" s="15" t="s">
        <v>131</v>
      </c>
      <c r="AE1227" s="15" t="s">
        <v>421</v>
      </c>
      <c r="AF1227" s="12">
        <f>IF(AG1227="Rejected",0,IF(R1227="Corporate Card",0,V1227))</f>
        <v>0</v>
      </c>
      <c r="AG1227" s="15" t="s">
        <v>133</v>
      </c>
      <c r="AH1227" s="16">
        <v>45790</v>
      </c>
      <c r="AI1227" s="16">
        <v>45791</v>
      </c>
      <c r="AJ1227" s="16">
        <v>45796</v>
      </c>
      <c r="AK1227" s="17">
        <f>IF(AJ1227="","",AJ1227-AH1227)</f>
        <v>6</v>
      </c>
    </row>
    <row r="1228" spans="1:37">
      <c r="A1228" s="2" t="s">
        <v>1647</v>
      </c>
      <c r="B1228" s="2" t="s">
        <v>442</v>
      </c>
      <c r="C1228" s="2" t="s">
        <v>443</v>
      </c>
      <c r="D1228" s="2" t="s">
        <v>444</v>
      </c>
      <c r="E1228" s="2" t="s">
        <v>445</v>
      </c>
      <c r="F1228" s="2" t="s">
        <v>446</v>
      </c>
      <c r="G1228" s="2" t="s">
        <v>1632</v>
      </c>
      <c r="H1228" s="2" t="s">
        <v>193</v>
      </c>
      <c r="I1228" s="2" t="s">
        <v>553</v>
      </c>
      <c r="J1228" s="2" t="s">
        <v>553</v>
      </c>
      <c r="K1228" s="9">
        <v>45785</v>
      </c>
      <c r="L1228" s="9">
        <v>45787</v>
      </c>
      <c r="M1228" s="9">
        <v>45786</v>
      </c>
      <c r="N1228" s="2" t="s">
        <v>1595</v>
      </c>
      <c r="O1228" s="2" t="s">
        <v>53</v>
      </c>
      <c r="P1228" s="2" t="s">
        <v>362</v>
      </c>
      <c r="Q1228" s="2" t="s">
        <v>305</v>
      </c>
      <c r="R1228" s="2" t="s">
        <v>128</v>
      </c>
      <c r="S1228" s="2" t="s">
        <v>555</v>
      </c>
      <c r="T1228" s="10">
        <v>544.75</v>
      </c>
      <c r="U1228" s="11">
        <v>0.74299999999999999</v>
      </c>
      <c r="V1228" s="12">
        <f>T1228*U1228</f>
        <v>404.74925000000002</v>
      </c>
      <c r="W1228" s="13">
        <v>0.09</v>
      </c>
      <c r="X1228" s="12">
        <f>V1228-(V1228/(1+W1228))</f>
        <v>33.419662844036736</v>
      </c>
      <c r="Y1228" s="12">
        <f>V1228-X1228</f>
        <v>371.32958715596328</v>
      </c>
      <c r="Z1228" s="14">
        <v>560</v>
      </c>
      <c r="AA1228" s="2" t="str">
        <f>IF(V1228&gt;Z1228,"Yes","No")</f>
        <v>No</v>
      </c>
      <c r="AB1228" s="12">
        <f>V1228-Z1228</f>
        <v>-155.25074999999998</v>
      </c>
      <c r="AC1228" s="15" t="s">
        <v>130</v>
      </c>
      <c r="AD1228" s="15" t="s">
        <v>131</v>
      </c>
      <c r="AE1228" s="15" t="s">
        <v>421</v>
      </c>
      <c r="AF1228" s="12">
        <f>IF(AG1228="Rejected",0,IF(R1228="Corporate Card",0,V1228))</f>
        <v>0</v>
      </c>
      <c r="AG1228" s="15" t="s">
        <v>133</v>
      </c>
      <c r="AH1228" s="16">
        <v>45790</v>
      </c>
      <c r="AI1228" s="16">
        <v>45791</v>
      </c>
      <c r="AJ1228" s="16">
        <v>45796</v>
      </c>
      <c r="AK1228" s="17">
        <f>IF(AJ1228="","",AJ1228-AH1228)</f>
        <v>6</v>
      </c>
    </row>
    <row r="1229" spans="1:37">
      <c r="A1229" s="2" t="s">
        <v>1648</v>
      </c>
      <c r="B1229" s="2" t="s">
        <v>442</v>
      </c>
      <c r="C1229" s="2" t="s">
        <v>443</v>
      </c>
      <c r="D1229" s="2" t="s">
        <v>444</v>
      </c>
      <c r="E1229" s="2" t="s">
        <v>445</v>
      </c>
      <c r="F1229" s="2" t="s">
        <v>446</v>
      </c>
      <c r="G1229" s="2" t="s">
        <v>1632</v>
      </c>
      <c r="H1229" s="2" t="s">
        <v>193</v>
      </c>
      <c r="I1229" s="2" t="s">
        <v>553</v>
      </c>
      <c r="J1229" s="2" t="s">
        <v>553</v>
      </c>
      <c r="K1229" s="9">
        <v>45785</v>
      </c>
      <c r="L1229" s="9">
        <v>45787</v>
      </c>
      <c r="M1229" s="9">
        <v>45786</v>
      </c>
      <c r="N1229" s="2" t="s">
        <v>1595</v>
      </c>
      <c r="O1229" s="2" t="s">
        <v>56</v>
      </c>
      <c r="P1229" s="2" t="s">
        <v>165</v>
      </c>
      <c r="Q1229" s="2" t="s">
        <v>227</v>
      </c>
      <c r="R1229" s="2" t="s">
        <v>128</v>
      </c>
      <c r="S1229" s="2" t="s">
        <v>555</v>
      </c>
      <c r="T1229" s="10">
        <v>95.02</v>
      </c>
      <c r="U1229" s="11">
        <v>0.74299999999999999</v>
      </c>
      <c r="V1229" s="12">
        <f>T1229*U1229</f>
        <v>70.599859999999993</v>
      </c>
      <c r="W1229" s="13">
        <v>0.09</v>
      </c>
      <c r="X1229" s="12">
        <f>V1229-(V1229/(1+W1229))</f>
        <v>5.8293462385321106</v>
      </c>
      <c r="Y1229" s="12">
        <f>V1229-X1229</f>
        <v>64.770513761467882</v>
      </c>
      <c r="Z1229" s="14">
        <v>75</v>
      </c>
      <c r="AA1229" s="2" t="str">
        <f>IF(V1229&gt;Z1229,"Yes","No")</f>
        <v>No</v>
      </c>
      <c r="AB1229" s="12">
        <f>V1229-Z1229</f>
        <v>-4.4001400000000075</v>
      </c>
      <c r="AC1229" s="15" t="s">
        <v>130</v>
      </c>
      <c r="AD1229" s="15" t="s">
        <v>131</v>
      </c>
      <c r="AE1229" s="15" t="s">
        <v>421</v>
      </c>
      <c r="AF1229" s="12">
        <f>IF(AG1229="Rejected",0,IF(R1229="Corporate Card",0,V1229))</f>
        <v>0</v>
      </c>
      <c r="AG1229" s="15" t="s">
        <v>133</v>
      </c>
      <c r="AH1229" s="16">
        <v>45790</v>
      </c>
      <c r="AI1229" s="16">
        <v>45791</v>
      </c>
      <c r="AJ1229" s="16">
        <v>45796</v>
      </c>
      <c r="AK1229" s="17">
        <f>IF(AJ1229="","",AJ1229-AH1229)</f>
        <v>6</v>
      </c>
    </row>
    <row r="1230" spans="1:37">
      <c r="A1230" s="2" t="s">
        <v>1649</v>
      </c>
      <c r="B1230" s="2" t="s">
        <v>442</v>
      </c>
      <c r="C1230" s="2" t="s">
        <v>443</v>
      </c>
      <c r="D1230" s="2" t="s">
        <v>444</v>
      </c>
      <c r="E1230" s="2" t="s">
        <v>445</v>
      </c>
      <c r="F1230" s="2" t="s">
        <v>446</v>
      </c>
      <c r="G1230" s="2" t="s">
        <v>1632</v>
      </c>
      <c r="H1230" s="2" t="s">
        <v>193</v>
      </c>
      <c r="I1230" s="2" t="s">
        <v>553</v>
      </c>
      <c r="J1230" s="2" t="s">
        <v>553</v>
      </c>
      <c r="K1230" s="9">
        <v>45785</v>
      </c>
      <c r="L1230" s="9">
        <v>45787</v>
      </c>
      <c r="M1230" s="9">
        <v>45786</v>
      </c>
      <c r="N1230" s="2" t="s">
        <v>1595</v>
      </c>
      <c r="O1230" s="2" t="s">
        <v>55</v>
      </c>
      <c r="P1230" s="2" t="s">
        <v>139</v>
      </c>
      <c r="Q1230" s="2" t="s">
        <v>217</v>
      </c>
      <c r="R1230" s="2" t="s">
        <v>128</v>
      </c>
      <c r="S1230" s="2" t="s">
        <v>555</v>
      </c>
      <c r="T1230" s="10">
        <v>33.93</v>
      </c>
      <c r="U1230" s="11">
        <v>0.74299999999999999</v>
      </c>
      <c r="V1230" s="12">
        <f>T1230*U1230</f>
        <v>25.209990000000001</v>
      </c>
      <c r="W1230" s="13">
        <v>0.09</v>
      </c>
      <c r="X1230" s="12">
        <f>V1230-(V1230/(1+W1230))</f>
        <v>2.0815588073394515</v>
      </c>
      <c r="Y1230" s="12">
        <f>V1230-X1230</f>
        <v>23.12843119266055</v>
      </c>
      <c r="Z1230" s="14">
        <v>35</v>
      </c>
      <c r="AA1230" s="2" t="str">
        <f>IF(V1230&gt;Z1230,"Yes","No")</f>
        <v>No</v>
      </c>
      <c r="AB1230" s="12">
        <f>V1230-Z1230</f>
        <v>-9.7900099999999988</v>
      </c>
      <c r="AC1230" s="15" t="s">
        <v>130</v>
      </c>
      <c r="AD1230" s="15" t="s">
        <v>131</v>
      </c>
      <c r="AE1230" s="15" t="s">
        <v>421</v>
      </c>
      <c r="AF1230" s="12">
        <f>IF(AG1230="Rejected",0,IF(R1230="Corporate Card",0,V1230))</f>
        <v>0</v>
      </c>
      <c r="AG1230" s="15" t="s">
        <v>133</v>
      </c>
      <c r="AH1230" s="16">
        <v>45790</v>
      </c>
      <c r="AI1230" s="16">
        <v>45791</v>
      </c>
      <c r="AJ1230" s="16">
        <v>45796</v>
      </c>
      <c r="AK1230" s="17">
        <f>IF(AJ1230="","",AJ1230-AH1230)</f>
        <v>6</v>
      </c>
    </row>
    <row r="1231" spans="1:37">
      <c r="A1231" s="2" t="s">
        <v>1650</v>
      </c>
      <c r="B1231" s="2" t="s">
        <v>375</v>
      </c>
      <c r="C1231" s="2" t="s">
        <v>376</v>
      </c>
      <c r="D1231" s="2" t="s">
        <v>344</v>
      </c>
      <c r="E1231" s="2" t="s">
        <v>377</v>
      </c>
      <c r="F1231" s="2" t="s">
        <v>346</v>
      </c>
      <c r="G1231" s="2" t="s">
        <v>1594</v>
      </c>
      <c r="H1231" s="2" t="s">
        <v>348</v>
      </c>
      <c r="I1231" s="2" t="s">
        <v>651</v>
      </c>
      <c r="J1231" s="2" t="s">
        <v>652</v>
      </c>
      <c r="K1231" s="9">
        <v>45780</v>
      </c>
      <c r="L1231" s="9">
        <v>45788</v>
      </c>
      <c r="M1231" s="9">
        <v>45787</v>
      </c>
      <c r="N1231" s="2" t="s">
        <v>1595</v>
      </c>
      <c r="O1231" s="2" t="s">
        <v>58</v>
      </c>
      <c r="P1231" s="2" t="s">
        <v>142</v>
      </c>
      <c r="Q1231" s="2" t="s">
        <v>156</v>
      </c>
      <c r="R1231" s="2" t="s">
        <v>137</v>
      </c>
      <c r="S1231" s="2" t="s">
        <v>654</v>
      </c>
      <c r="T1231" s="10">
        <v>64.36</v>
      </c>
      <c r="U1231" s="11">
        <v>0.72799999999999998</v>
      </c>
      <c r="V1231" s="12">
        <f>T1231*U1231</f>
        <v>46.854079999999996</v>
      </c>
      <c r="W1231" s="13">
        <v>0.13</v>
      </c>
      <c r="X1231" s="12">
        <f>V1231-(V1231/(1+W1231))</f>
        <v>5.3902923893805266</v>
      </c>
      <c r="Y1231" s="12">
        <f>V1231-X1231</f>
        <v>41.46378761061947</v>
      </c>
      <c r="Z1231" s="14">
        <v>60</v>
      </c>
      <c r="AA1231" s="2" t="str">
        <f>IF(V1231&gt;Z1231,"Yes","No")</f>
        <v>No</v>
      </c>
      <c r="AB1231" s="12">
        <f>V1231-Z1231</f>
        <v>-13.145920000000004</v>
      </c>
      <c r="AC1231" s="15" t="s">
        <v>130</v>
      </c>
      <c r="AD1231" s="15" t="s">
        <v>131</v>
      </c>
      <c r="AE1231" s="15" t="s">
        <v>350</v>
      </c>
      <c r="AF1231" s="12">
        <f>IF(AG1231="Rejected",0,IF(R1231="Corporate Card",0,V1231))</f>
        <v>46.854079999999996</v>
      </c>
      <c r="AG1231" s="15" t="s">
        <v>133</v>
      </c>
      <c r="AH1231" s="16">
        <v>45794</v>
      </c>
      <c r="AI1231" s="16">
        <v>45803</v>
      </c>
      <c r="AJ1231" s="16">
        <v>45810</v>
      </c>
      <c r="AK1231" s="17">
        <f>IF(AJ1231="","",AJ1231-AH1231)</f>
        <v>16</v>
      </c>
    </row>
    <row r="1232" spans="1:37">
      <c r="A1232" s="2" t="s">
        <v>1651</v>
      </c>
      <c r="B1232" s="2" t="s">
        <v>375</v>
      </c>
      <c r="C1232" s="2" t="s">
        <v>376</v>
      </c>
      <c r="D1232" s="2" t="s">
        <v>344</v>
      </c>
      <c r="E1232" s="2" t="s">
        <v>377</v>
      </c>
      <c r="F1232" s="2" t="s">
        <v>346</v>
      </c>
      <c r="G1232" s="2" t="s">
        <v>1594</v>
      </c>
      <c r="H1232" s="2" t="s">
        <v>348</v>
      </c>
      <c r="I1232" s="2" t="s">
        <v>651</v>
      </c>
      <c r="J1232" s="2" t="s">
        <v>652</v>
      </c>
      <c r="K1232" s="9">
        <v>45780</v>
      </c>
      <c r="L1232" s="9">
        <v>45788</v>
      </c>
      <c r="M1232" s="9">
        <v>45787</v>
      </c>
      <c r="N1232" s="2" t="s">
        <v>1595</v>
      </c>
      <c r="O1232" s="2" t="s">
        <v>54</v>
      </c>
      <c r="P1232" s="2" t="s">
        <v>139</v>
      </c>
      <c r="Q1232" s="2" t="s">
        <v>214</v>
      </c>
      <c r="R1232" s="2" t="s">
        <v>128</v>
      </c>
      <c r="S1232" s="2" t="s">
        <v>654</v>
      </c>
      <c r="T1232" s="10">
        <v>17.989999999999998</v>
      </c>
      <c r="U1232" s="11">
        <v>0.72799999999999998</v>
      </c>
      <c r="V1232" s="12">
        <f>T1232*U1232</f>
        <v>13.096719999999998</v>
      </c>
      <c r="W1232" s="13">
        <v>0.13</v>
      </c>
      <c r="X1232" s="12">
        <f>V1232-(V1232/(1+W1232))</f>
        <v>1.5067023008849549</v>
      </c>
      <c r="Y1232" s="12">
        <f>V1232-X1232</f>
        <v>11.590017699115043</v>
      </c>
      <c r="Z1232" s="14">
        <v>25</v>
      </c>
      <c r="AA1232" s="2" t="str">
        <f>IF(V1232&gt;Z1232,"Yes","No")</f>
        <v>No</v>
      </c>
      <c r="AB1232" s="12">
        <f>V1232-Z1232</f>
        <v>-11.903280000000002</v>
      </c>
      <c r="AC1232" s="15" t="s">
        <v>130</v>
      </c>
      <c r="AD1232" s="15" t="s">
        <v>131</v>
      </c>
      <c r="AE1232" s="15" t="s">
        <v>350</v>
      </c>
      <c r="AF1232" s="12">
        <f>IF(AG1232="Rejected",0,IF(R1232="Corporate Card",0,V1232))</f>
        <v>0</v>
      </c>
      <c r="AG1232" s="15" t="s">
        <v>133</v>
      </c>
      <c r="AH1232" s="16">
        <v>45794</v>
      </c>
      <c r="AI1232" s="16">
        <v>45803</v>
      </c>
      <c r="AJ1232" s="16">
        <v>45810</v>
      </c>
      <c r="AK1232" s="17">
        <f>IF(AJ1232="","",AJ1232-AH1232)</f>
        <v>16</v>
      </c>
    </row>
    <row r="1233" spans="1:37">
      <c r="A1233" s="2" t="s">
        <v>1652</v>
      </c>
      <c r="B1233" s="2" t="s">
        <v>375</v>
      </c>
      <c r="C1233" s="2" t="s">
        <v>376</v>
      </c>
      <c r="D1233" s="2" t="s">
        <v>344</v>
      </c>
      <c r="E1233" s="2" t="s">
        <v>377</v>
      </c>
      <c r="F1233" s="2" t="s">
        <v>346</v>
      </c>
      <c r="G1233" s="2" t="s">
        <v>1594</v>
      </c>
      <c r="H1233" s="2" t="s">
        <v>348</v>
      </c>
      <c r="I1233" s="2" t="s">
        <v>651</v>
      </c>
      <c r="J1233" s="2" t="s">
        <v>652</v>
      </c>
      <c r="K1233" s="9">
        <v>45780</v>
      </c>
      <c r="L1233" s="9">
        <v>45788</v>
      </c>
      <c r="M1233" s="9">
        <v>45787</v>
      </c>
      <c r="N1233" s="2" t="s">
        <v>1595</v>
      </c>
      <c r="O1233" s="2" t="s">
        <v>55</v>
      </c>
      <c r="P1233" s="2" t="s">
        <v>139</v>
      </c>
      <c r="Q1233" s="2" t="s">
        <v>154</v>
      </c>
      <c r="R1233" s="2" t="s">
        <v>149</v>
      </c>
      <c r="S1233" s="2" t="s">
        <v>654</v>
      </c>
      <c r="T1233" s="10">
        <v>25.39</v>
      </c>
      <c r="U1233" s="11">
        <v>0.72799999999999998</v>
      </c>
      <c r="V1233" s="12">
        <f>T1233*U1233</f>
        <v>18.483920000000001</v>
      </c>
      <c r="W1233" s="13">
        <v>0.13</v>
      </c>
      <c r="X1233" s="12">
        <f>V1233-(V1233/(1+W1233))</f>
        <v>2.1264686725663715</v>
      </c>
      <c r="Y1233" s="12">
        <f>V1233-X1233</f>
        <v>16.35745132743363</v>
      </c>
      <c r="Z1233" s="14">
        <v>35</v>
      </c>
      <c r="AA1233" s="2" t="str">
        <f>IF(V1233&gt;Z1233,"Yes","No")</f>
        <v>No</v>
      </c>
      <c r="AB1233" s="12">
        <f>V1233-Z1233</f>
        <v>-16.516079999999999</v>
      </c>
      <c r="AC1233" s="15" t="s">
        <v>130</v>
      </c>
      <c r="AD1233" s="15" t="s">
        <v>131</v>
      </c>
      <c r="AE1233" s="15" t="s">
        <v>350</v>
      </c>
      <c r="AF1233" s="12">
        <f>IF(AG1233="Rejected",0,IF(R1233="Corporate Card",0,V1233))</f>
        <v>18.483920000000001</v>
      </c>
      <c r="AG1233" s="15" t="s">
        <v>133</v>
      </c>
      <c r="AH1233" s="16">
        <v>45794</v>
      </c>
      <c r="AI1233" s="16">
        <v>45803</v>
      </c>
      <c r="AJ1233" s="16">
        <v>45810</v>
      </c>
      <c r="AK1233" s="17">
        <f>IF(AJ1233="","",AJ1233-AH1233)</f>
        <v>16</v>
      </c>
    </row>
    <row r="1234" spans="1:37">
      <c r="A1234" s="2" t="s">
        <v>1653</v>
      </c>
      <c r="B1234" s="2" t="s">
        <v>442</v>
      </c>
      <c r="C1234" s="2" t="s">
        <v>443</v>
      </c>
      <c r="D1234" s="2" t="s">
        <v>444</v>
      </c>
      <c r="E1234" s="2" t="s">
        <v>445</v>
      </c>
      <c r="F1234" s="2" t="s">
        <v>446</v>
      </c>
      <c r="G1234" s="2" t="s">
        <v>1632</v>
      </c>
      <c r="H1234" s="2" t="s">
        <v>193</v>
      </c>
      <c r="I1234" s="2" t="s">
        <v>553</v>
      </c>
      <c r="J1234" s="2" t="s">
        <v>553</v>
      </c>
      <c r="K1234" s="9">
        <v>45785</v>
      </c>
      <c r="L1234" s="9">
        <v>45787</v>
      </c>
      <c r="M1234" s="9">
        <v>45787</v>
      </c>
      <c r="N1234" s="2" t="s">
        <v>1595</v>
      </c>
      <c r="O1234" s="2" t="s">
        <v>61</v>
      </c>
      <c r="P1234" s="2" t="s">
        <v>528</v>
      </c>
      <c r="Q1234" s="2" t="s">
        <v>540</v>
      </c>
      <c r="R1234" s="2" t="s">
        <v>149</v>
      </c>
      <c r="S1234" s="2" t="s">
        <v>555</v>
      </c>
      <c r="T1234" s="10">
        <v>43.35</v>
      </c>
      <c r="U1234" s="11">
        <v>0.74299999999999999</v>
      </c>
      <c r="V1234" s="12">
        <f>T1234*U1234</f>
        <v>32.209049999999998</v>
      </c>
      <c r="W1234" s="13">
        <v>0</v>
      </c>
      <c r="X1234" s="12">
        <f>V1234-(V1234/(1+W1234))</f>
        <v>0</v>
      </c>
      <c r="Y1234" s="12">
        <f>V1234-X1234</f>
        <v>32.209049999999998</v>
      </c>
      <c r="Z1234" s="14">
        <v>90</v>
      </c>
      <c r="AA1234" s="2" t="str">
        <f>IF(V1234&gt;Z1234,"Yes","No")</f>
        <v>No</v>
      </c>
      <c r="AB1234" s="12">
        <f>V1234-Z1234</f>
        <v>-57.790950000000002</v>
      </c>
      <c r="AC1234" s="15" t="s">
        <v>130</v>
      </c>
      <c r="AD1234" s="15" t="s">
        <v>131</v>
      </c>
      <c r="AE1234" s="15" t="s">
        <v>421</v>
      </c>
      <c r="AF1234" s="12">
        <f>IF(AG1234="Rejected",0,IF(R1234="Corporate Card",0,V1234))</f>
        <v>32.209049999999998</v>
      </c>
      <c r="AG1234" s="15" t="s">
        <v>133</v>
      </c>
      <c r="AH1234" s="16">
        <v>45790</v>
      </c>
      <c r="AI1234" s="16">
        <v>45791</v>
      </c>
      <c r="AJ1234" s="16">
        <v>45796</v>
      </c>
      <c r="AK1234" s="17">
        <f>IF(AJ1234="","",AJ1234-AH1234)</f>
        <v>6</v>
      </c>
    </row>
    <row r="1235" spans="1:37">
      <c r="A1235" s="2" t="s">
        <v>1654</v>
      </c>
      <c r="B1235" s="2" t="s">
        <v>442</v>
      </c>
      <c r="C1235" s="2" t="s">
        <v>443</v>
      </c>
      <c r="D1235" s="2" t="s">
        <v>444</v>
      </c>
      <c r="E1235" s="2" t="s">
        <v>445</v>
      </c>
      <c r="F1235" s="2" t="s">
        <v>446</v>
      </c>
      <c r="G1235" s="2" t="s">
        <v>1632</v>
      </c>
      <c r="H1235" s="2" t="s">
        <v>193</v>
      </c>
      <c r="I1235" s="2" t="s">
        <v>553</v>
      </c>
      <c r="J1235" s="2" t="s">
        <v>553</v>
      </c>
      <c r="K1235" s="9">
        <v>45785</v>
      </c>
      <c r="L1235" s="9">
        <v>45787</v>
      </c>
      <c r="M1235" s="9">
        <v>45787</v>
      </c>
      <c r="N1235" s="2" t="s">
        <v>1595</v>
      </c>
      <c r="O1235" s="2" t="s">
        <v>54</v>
      </c>
      <c r="P1235" s="2" t="s">
        <v>139</v>
      </c>
      <c r="Q1235" s="2" t="s">
        <v>140</v>
      </c>
      <c r="R1235" s="2" t="s">
        <v>128</v>
      </c>
      <c r="S1235" s="2" t="s">
        <v>555</v>
      </c>
      <c r="T1235" s="10">
        <v>17.989999999999998</v>
      </c>
      <c r="U1235" s="11">
        <v>0.74299999999999999</v>
      </c>
      <c r="V1235" s="12">
        <f>T1235*U1235</f>
        <v>13.366569999999999</v>
      </c>
      <c r="W1235" s="13">
        <v>0.09</v>
      </c>
      <c r="X1235" s="12">
        <f>V1235-(V1235/(1+W1235))</f>
        <v>1.1036617431192663</v>
      </c>
      <c r="Y1235" s="12">
        <f>V1235-X1235</f>
        <v>12.262908256880733</v>
      </c>
      <c r="Z1235" s="14">
        <v>25</v>
      </c>
      <c r="AA1235" s="2" t="str">
        <f>IF(V1235&gt;Z1235,"Yes","No")</f>
        <v>No</v>
      </c>
      <c r="AB1235" s="12">
        <f>V1235-Z1235</f>
        <v>-11.633430000000001</v>
      </c>
      <c r="AC1235" s="15" t="s">
        <v>130</v>
      </c>
      <c r="AD1235" s="15" t="s">
        <v>131</v>
      </c>
      <c r="AE1235" s="15" t="s">
        <v>421</v>
      </c>
      <c r="AF1235" s="12">
        <f>IF(AG1235="Rejected",0,IF(R1235="Corporate Card",0,V1235))</f>
        <v>0</v>
      </c>
      <c r="AG1235" s="15" t="s">
        <v>133</v>
      </c>
      <c r="AH1235" s="16">
        <v>45790</v>
      </c>
      <c r="AI1235" s="16">
        <v>45791</v>
      </c>
      <c r="AJ1235" s="16">
        <v>45796</v>
      </c>
      <c r="AK1235" s="17">
        <f>IF(AJ1235="","",AJ1235-AH1235)</f>
        <v>6</v>
      </c>
    </row>
    <row r="1236" spans="1:37">
      <c r="A1236" s="2" t="s">
        <v>1655</v>
      </c>
      <c r="B1236" s="2" t="s">
        <v>442</v>
      </c>
      <c r="C1236" s="2" t="s">
        <v>443</v>
      </c>
      <c r="D1236" s="2" t="s">
        <v>444</v>
      </c>
      <c r="E1236" s="2" t="s">
        <v>445</v>
      </c>
      <c r="F1236" s="2" t="s">
        <v>446</v>
      </c>
      <c r="G1236" s="2" t="s">
        <v>1632</v>
      </c>
      <c r="H1236" s="2" t="s">
        <v>193</v>
      </c>
      <c r="I1236" s="2" t="s">
        <v>553</v>
      </c>
      <c r="J1236" s="2" t="s">
        <v>553</v>
      </c>
      <c r="K1236" s="9">
        <v>45785</v>
      </c>
      <c r="L1236" s="9">
        <v>45787</v>
      </c>
      <c r="M1236" s="9">
        <v>45787</v>
      </c>
      <c r="N1236" s="2" t="s">
        <v>1595</v>
      </c>
      <c r="O1236" s="2" t="s">
        <v>56</v>
      </c>
      <c r="P1236" s="2" t="s">
        <v>165</v>
      </c>
      <c r="Q1236" s="2" t="s">
        <v>152</v>
      </c>
      <c r="R1236" s="2" t="s">
        <v>137</v>
      </c>
      <c r="S1236" s="2" t="s">
        <v>555</v>
      </c>
      <c r="T1236" s="10">
        <v>75.040000000000006</v>
      </c>
      <c r="U1236" s="11">
        <v>0.74299999999999999</v>
      </c>
      <c r="V1236" s="12">
        <f>T1236*U1236</f>
        <v>55.754720000000006</v>
      </c>
      <c r="W1236" s="13">
        <v>0.09</v>
      </c>
      <c r="X1236" s="12">
        <f>V1236-(V1236/(1+W1236))</f>
        <v>4.6036007339449583</v>
      </c>
      <c r="Y1236" s="12">
        <f>V1236-X1236</f>
        <v>51.151119266055048</v>
      </c>
      <c r="Z1236" s="14">
        <v>75</v>
      </c>
      <c r="AA1236" s="2" t="str">
        <f>IF(V1236&gt;Z1236,"Yes","No")</f>
        <v>No</v>
      </c>
      <c r="AB1236" s="12">
        <f>V1236-Z1236</f>
        <v>-19.245279999999994</v>
      </c>
      <c r="AC1236" s="15" t="s">
        <v>130</v>
      </c>
      <c r="AD1236" s="15" t="s">
        <v>131</v>
      </c>
      <c r="AE1236" s="15" t="s">
        <v>421</v>
      </c>
      <c r="AF1236" s="12">
        <f>IF(AG1236="Rejected",0,IF(R1236="Corporate Card",0,V1236))</f>
        <v>55.754720000000006</v>
      </c>
      <c r="AG1236" s="15" t="s">
        <v>133</v>
      </c>
      <c r="AH1236" s="16">
        <v>45790</v>
      </c>
      <c r="AI1236" s="16">
        <v>45791</v>
      </c>
      <c r="AJ1236" s="16">
        <v>45796</v>
      </c>
      <c r="AK1236" s="17">
        <f>IF(AJ1236="","",AJ1236-AH1236)</f>
        <v>6</v>
      </c>
    </row>
    <row r="1237" spans="1:37">
      <c r="A1237" s="2" t="s">
        <v>1656</v>
      </c>
      <c r="B1237" s="2" t="s">
        <v>442</v>
      </c>
      <c r="C1237" s="2" t="s">
        <v>443</v>
      </c>
      <c r="D1237" s="2" t="s">
        <v>444</v>
      </c>
      <c r="E1237" s="2" t="s">
        <v>445</v>
      </c>
      <c r="F1237" s="2" t="s">
        <v>446</v>
      </c>
      <c r="G1237" s="2" t="s">
        <v>1632</v>
      </c>
      <c r="H1237" s="2" t="s">
        <v>193</v>
      </c>
      <c r="I1237" s="2" t="s">
        <v>553</v>
      </c>
      <c r="J1237" s="2" t="s">
        <v>553</v>
      </c>
      <c r="K1237" s="9">
        <v>45785</v>
      </c>
      <c r="L1237" s="9">
        <v>45787</v>
      </c>
      <c r="M1237" s="9">
        <v>45787</v>
      </c>
      <c r="N1237" s="2" t="s">
        <v>1595</v>
      </c>
      <c r="O1237" s="2" t="s">
        <v>55</v>
      </c>
      <c r="P1237" s="2" t="s">
        <v>139</v>
      </c>
      <c r="Q1237" s="2" t="s">
        <v>187</v>
      </c>
      <c r="R1237" s="2" t="s">
        <v>128</v>
      </c>
      <c r="S1237" s="2" t="s">
        <v>555</v>
      </c>
      <c r="T1237" s="10">
        <v>34.03</v>
      </c>
      <c r="U1237" s="11">
        <v>0.74299999999999999</v>
      </c>
      <c r="V1237" s="12">
        <f>T1237*U1237</f>
        <v>25.284290000000002</v>
      </c>
      <c r="W1237" s="13">
        <v>0.09</v>
      </c>
      <c r="X1237" s="12">
        <f>V1237-(V1237/(1+W1237))</f>
        <v>2.0876936697247714</v>
      </c>
      <c r="Y1237" s="12">
        <f>V1237-X1237</f>
        <v>23.196596330275231</v>
      </c>
      <c r="Z1237" s="14">
        <v>35</v>
      </c>
      <c r="AA1237" s="2" t="str">
        <f>IF(V1237&gt;Z1237,"Yes","No")</f>
        <v>No</v>
      </c>
      <c r="AB1237" s="12">
        <f>V1237-Z1237</f>
        <v>-9.7157099999999978</v>
      </c>
      <c r="AC1237" s="15" t="s">
        <v>130</v>
      </c>
      <c r="AD1237" s="15" t="s">
        <v>131</v>
      </c>
      <c r="AE1237" s="15" t="s">
        <v>421</v>
      </c>
      <c r="AF1237" s="12">
        <f>IF(AG1237="Rejected",0,IF(R1237="Corporate Card",0,V1237))</f>
        <v>0</v>
      </c>
      <c r="AG1237" s="15" t="s">
        <v>133</v>
      </c>
      <c r="AH1237" s="16">
        <v>45790</v>
      </c>
      <c r="AI1237" s="16">
        <v>45791</v>
      </c>
      <c r="AJ1237" s="16">
        <v>45796</v>
      </c>
      <c r="AK1237" s="17">
        <f>IF(AJ1237="","",AJ1237-AH1237)</f>
        <v>6</v>
      </c>
    </row>
    <row r="1238" spans="1:37">
      <c r="A1238" s="2" t="s">
        <v>1657</v>
      </c>
      <c r="B1238" s="2" t="s">
        <v>1235</v>
      </c>
      <c r="C1238" s="2" t="s">
        <v>867</v>
      </c>
      <c r="D1238" s="2" t="s">
        <v>865</v>
      </c>
      <c r="E1238" s="2" t="s">
        <v>1236</v>
      </c>
      <c r="F1238" s="2" t="s">
        <v>313</v>
      </c>
      <c r="G1238" s="2" t="s">
        <v>1658</v>
      </c>
      <c r="H1238" s="2" t="s">
        <v>748</v>
      </c>
      <c r="I1238" s="2" t="s">
        <v>175</v>
      </c>
      <c r="J1238" s="2" t="s">
        <v>176</v>
      </c>
      <c r="K1238" s="9">
        <v>45787</v>
      </c>
      <c r="L1238" s="9">
        <v>45788</v>
      </c>
      <c r="M1238" s="9">
        <v>45787</v>
      </c>
      <c r="N1238" s="2" t="s">
        <v>1595</v>
      </c>
      <c r="O1238" s="2" t="s">
        <v>52</v>
      </c>
      <c r="P1238" s="2" t="s">
        <v>177</v>
      </c>
      <c r="Q1238" s="2" t="s">
        <v>513</v>
      </c>
      <c r="R1238" s="2" t="s">
        <v>137</v>
      </c>
      <c r="S1238" s="2" t="s">
        <v>179</v>
      </c>
      <c r="T1238" s="10">
        <v>7971.88</v>
      </c>
      <c r="U1238" s="11">
        <v>0.18099999999999999</v>
      </c>
      <c r="V1238" s="12">
        <f>T1238*U1238</f>
        <v>1442.9102800000001</v>
      </c>
      <c r="W1238" s="13">
        <v>0</v>
      </c>
      <c r="X1238" s="12">
        <f>V1238-(V1238/(1+W1238))</f>
        <v>0</v>
      </c>
      <c r="Y1238" s="12">
        <f>V1238-X1238</f>
        <v>1442.9102800000001</v>
      </c>
      <c r="Z1238" s="14">
        <v>1400</v>
      </c>
      <c r="AA1238" s="2" t="str">
        <f>IF(V1238&gt;Z1238,"Yes","No")</f>
        <v>Yes</v>
      </c>
      <c r="AB1238" s="12">
        <f>V1238-Z1238</f>
        <v>42.910280000000057</v>
      </c>
      <c r="AC1238" s="15" t="s">
        <v>130</v>
      </c>
      <c r="AD1238" s="15" t="s">
        <v>131</v>
      </c>
      <c r="AE1238" s="15" t="s">
        <v>132</v>
      </c>
      <c r="AF1238" s="12">
        <f>IF(AG1238="Rejected",0,IF(R1238="Corporate Card",0,V1238))</f>
        <v>1442.9102800000001</v>
      </c>
      <c r="AG1238" s="15" t="s">
        <v>133</v>
      </c>
      <c r="AH1238" s="16">
        <v>45791</v>
      </c>
      <c r="AI1238" s="16">
        <v>45798</v>
      </c>
      <c r="AJ1238" s="16">
        <v>45805</v>
      </c>
      <c r="AK1238" s="17">
        <f>IF(AJ1238="","",AJ1238-AH1238)</f>
        <v>14</v>
      </c>
    </row>
    <row r="1239" spans="1:37">
      <c r="A1239" s="2" t="s">
        <v>1659</v>
      </c>
      <c r="B1239" s="2" t="s">
        <v>1235</v>
      </c>
      <c r="C1239" s="2" t="s">
        <v>867</v>
      </c>
      <c r="D1239" s="2" t="s">
        <v>865</v>
      </c>
      <c r="E1239" s="2" t="s">
        <v>1236</v>
      </c>
      <c r="F1239" s="2" t="s">
        <v>313</v>
      </c>
      <c r="G1239" s="2" t="s">
        <v>1658</v>
      </c>
      <c r="H1239" s="2" t="s">
        <v>748</v>
      </c>
      <c r="I1239" s="2" t="s">
        <v>175</v>
      </c>
      <c r="J1239" s="2" t="s">
        <v>176</v>
      </c>
      <c r="K1239" s="9">
        <v>45787</v>
      </c>
      <c r="L1239" s="9">
        <v>45788</v>
      </c>
      <c r="M1239" s="9">
        <v>45787</v>
      </c>
      <c r="N1239" s="2" t="s">
        <v>1595</v>
      </c>
      <c r="O1239" s="2" t="s">
        <v>64</v>
      </c>
      <c r="P1239" s="2" t="s">
        <v>135</v>
      </c>
      <c r="Q1239" s="2" t="s">
        <v>136</v>
      </c>
      <c r="R1239" s="2" t="s">
        <v>149</v>
      </c>
      <c r="S1239" s="2" t="s">
        <v>179</v>
      </c>
      <c r="T1239" s="10">
        <v>506.38</v>
      </c>
      <c r="U1239" s="11">
        <v>0.18099999999999999</v>
      </c>
      <c r="V1239" s="12">
        <f>T1239*U1239</f>
        <v>91.654780000000002</v>
      </c>
      <c r="W1239" s="13">
        <v>0</v>
      </c>
      <c r="X1239" s="12">
        <f>V1239-(V1239/(1+W1239))</f>
        <v>0</v>
      </c>
      <c r="Y1239" s="12">
        <f>V1239-X1239</f>
        <v>91.654780000000002</v>
      </c>
      <c r="Z1239" s="14">
        <v>120</v>
      </c>
      <c r="AA1239" s="2" t="str">
        <f>IF(V1239&gt;Z1239,"Yes","No")</f>
        <v>No</v>
      </c>
      <c r="AB1239" s="12">
        <f>V1239-Z1239</f>
        <v>-28.345219999999998</v>
      </c>
      <c r="AC1239" s="15" t="s">
        <v>130</v>
      </c>
      <c r="AD1239" s="15" t="s">
        <v>131</v>
      </c>
      <c r="AE1239" s="15" t="s">
        <v>132</v>
      </c>
      <c r="AF1239" s="12">
        <f>IF(AG1239="Rejected",0,IF(R1239="Corporate Card",0,V1239))</f>
        <v>91.654780000000002</v>
      </c>
      <c r="AG1239" s="15" t="s">
        <v>133</v>
      </c>
      <c r="AH1239" s="16">
        <v>45791</v>
      </c>
      <c r="AI1239" s="16">
        <v>45798</v>
      </c>
      <c r="AJ1239" s="16">
        <v>45805</v>
      </c>
      <c r="AK1239" s="17">
        <f>IF(AJ1239="","",AJ1239-AH1239)</f>
        <v>14</v>
      </c>
    </row>
    <row r="1240" spans="1:37">
      <c r="A1240" s="2" t="s">
        <v>1660</v>
      </c>
      <c r="B1240" s="2" t="s">
        <v>1235</v>
      </c>
      <c r="C1240" s="2" t="s">
        <v>867</v>
      </c>
      <c r="D1240" s="2" t="s">
        <v>865</v>
      </c>
      <c r="E1240" s="2" t="s">
        <v>1236</v>
      </c>
      <c r="F1240" s="2" t="s">
        <v>313</v>
      </c>
      <c r="G1240" s="2" t="s">
        <v>1658</v>
      </c>
      <c r="H1240" s="2" t="s">
        <v>748</v>
      </c>
      <c r="I1240" s="2" t="s">
        <v>175</v>
      </c>
      <c r="J1240" s="2" t="s">
        <v>176</v>
      </c>
      <c r="K1240" s="9">
        <v>45787</v>
      </c>
      <c r="L1240" s="9">
        <v>45788</v>
      </c>
      <c r="M1240" s="9">
        <v>45787</v>
      </c>
      <c r="N1240" s="2" t="s">
        <v>1595</v>
      </c>
      <c r="O1240" s="2" t="s">
        <v>54</v>
      </c>
      <c r="P1240" s="2" t="s">
        <v>139</v>
      </c>
      <c r="Q1240" s="2" t="s">
        <v>140</v>
      </c>
      <c r="R1240" s="2" t="s">
        <v>128</v>
      </c>
      <c r="S1240" s="2" t="s">
        <v>179</v>
      </c>
      <c r="T1240" s="10">
        <v>50.51</v>
      </c>
      <c r="U1240" s="11">
        <v>0.18099999999999999</v>
      </c>
      <c r="V1240" s="12">
        <f>T1240*U1240</f>
        <v>9.1423100000000002</v>
      </c>
      <c r="W1240" s="13">
        <v>0.17</v>
      </c>
      <c r="X1240" s="12">
        <f>V1240-(V1240/(1+W1240))</f>
        <v>1.3283698290598283</v>
      </c>
      <c r="Y1240" s="12">
        <f>V1240-X1240</f>
        <v>7.8139401709401719</v>
      </c>
      <c r="Z1240" s="14">
        <v>25</v>
      </c>
      <c r="AA1240" s="2" t="str">
        <f>IF(V1240&gt;Z1240,"Yes","No")</f>
        <v>No</v>
      </c>
      <c r="AB1240" s="12">
        <f>V1240-Z1240</f>
        <v>-15.85769</v>
      </c>
      <c r="AC1240" s="15" t="s">
        <v>131</v>
      </c>
      <c r="AD1240" s="15" t="s">
        <v>131</v>
      </c>
      <c r="AE1240" s="15" t="s">
        <v>132</v>
      </c>
      <c r="AF1240" s="12">
        <f>IF(AG1240="Rejected",0,IF(R1240="Corporate Card",0,V1240))</f>
        <v>0</v>
      </c>
      <c r="AG1240" s="15" t="s">
        <v>133</v>
      </c>
      <c r="AH1240" s="16">
        <v>45791</v>
      </c>
      <c r="AI1240" s="16">
        <v>45798</v>
      </c>
      <c r="AJ1240" s="16">
        <v>45805</v>
      </c>
      <c r="AK1240" s="17">
        <f>IF(AJ1240="","",AJ1240-AH1240)</f>
        <v>14</v>
      </c>
    </row>
    <row r="1241" spans="1:37">
      <c r="A1241" s="2" t="s">
        <v>1661</v>
      </c>
      <c r="B1241" s="2" t="s">
        <v>1235</v>
      </c>
      <c r="C1241" s="2" t="s">
        <v>867</v>
      </c>
      <c r="D1241" s="2" t="s">
        <v>865</v>
      </c>
      <c r="E1241" s="2" t="s">
        <v>1236</v>
      </c>
      <c r="F1241" s="2" t="s">
        <v>313</v>
      </c>
      <c r="G1241" s="2" t="s">
        <v>1658</v>
      </c>
      <c r="H1241" s="2" t="s">
        <v>748</v>
      </c>
      <c r="I1241" s="2" t="s">
        <v>175</v>
      </c>
      <c r="J1241" s="2" t="s">
        <v>176</v>
      </c>
      <c r="K1241" s="9">
        <v>45787</v>
      </c>
      <c r="L1241" s="9">
        <v>45788</v>
      </c>
      <c r="M1241" s="9">
        <v>45787</v>
      </c>
      <c r="N1241" s="2" t="s">
        <v>1595</v>
      </c>
      <c r="O1241" s="2" t="s">
        <v>56</v>
      </c>
      <c r="P1241" s="2" t="s">
        <v>245</v>
      </c>
      <c r="Q1241" s="2" t="s">
        <v>152</v>
      </c>
      <c r="R1241" s="2" t="s">
        <v>128</v>
      </c>
      <c r="S1241" s="2" t="s">
        <v>179</v>
      </c>
      <c r="T1241" s="10">
        <v>327.76</v>
      </c>
      <c r="U1241" s="11">
        <v>0.18099999999999999</v>
      </c>
      <c r="V1241" s="12">
        <f>T1241*U1241</f>
        <v>59.324559999999998</v>
      </c>
      <c r="W1241" s="13">
        <v>0.17</v>
      </c>
      <c r="X1241" s="12">
        <f>V1241-(V1241/(1+W1241))</f>
        <v>8.619807863247857</v>
      </c>
      <c r="Y1241" s="12">
        <f>V1241-X1241</f>
        <v>50.704752136752141</v>
      </c>
      <c r="Z1241" s="14">
        <v>75</v>
      </c>
      <c r="AA1241" s="2" t="str">
        <f>IF(V1241&gt;Z1241,"Yes","No")</f>
        <v>No</v>
      </c>
      <c r="AB1241" s="12">
        <f>V1241-Z1241</f>
        <v>-15.675440000000002</v>
      </c>
      <c r="AC1241" s="15" t="s">
        <v>130</v>
      </c>
      <c r="AD1241" s="15" t="s">
        <v>131</v>
      </c>
      <c r="AE1241" s="15" t="s">
        <v>132</v>
      </c>
      <c r="AF1241" s="12">
        <f>IF(AG1241="Rejected",0,IF(R1241="Corporate Card",0,V1241))</f>
        <v>0</v>
      </c>
      <c r="AG1241" s="15" t="s">
        <v>133</v>
      </c>
      <c r="AH1241" s="16">
        <v>45791</v>
      </c>
      <c r="AI1241" s="16">
        <v>45798</v>
      </c>
      <c r="AJ1241" s="16">
        <v>45805</v>
      </c>
      <c r="AK1241" s="17">
        <f>IF(AJ1241="","",AJ1241-AH1241)</f>
        <v>14</v>
      </c>
    </row>
    <row r="1242" spans="1:37">
      <c r="A1242" s="2" t="s">
        <v>1662</v>
      </c>
      <c r="B1242" s="2" t="s">
        <v>1235</v>
      </c>
      <c r="C1242" s="2" t="s">
        <v>867</v>
      </c>
      <c r="D1242" s="2" t="s">
        <v>865</v>
      </c>
      <c r="E1242" s="2" t="s">
        <v>1236</v>
      </c>
      <c r="F1242" s="2" t="s">
        <v>313</v>
      </c>
      <c r="G1242" s="2" t="s">
        <v>1658</v>
      </c>
      <c r="H1242" s="2" t="s">
        <v>748</v>
      </c>
      <c r="I1242" s="2" t="s">
        <v>175</v>
      </c>
      <c r="J1242" s="2" t="s">
        <v>176</v>
      </c>
      <c r="K1242" s="9">
        <v>45787</v>
      </c>
      <c r="L1242" s="9">
        <v>45788</v>
      </c>
      <c r="M1242" s="9">
        <v>45787</v>
      </c>
      <c r="N1242" s="2" t="s">
        <v>1595</v>
      </c>
      <c r="O1242" s="2" t="s">
        <v>55</v>
      </c>
      <c r="P1242" s="2" t="s">
        <v>139</v>
      </c>
      <c r="Q1242" s="2" t="s">
        <v>217</v>
      </c>
      <c r="R1242" s="2" t="s">
        <v>128</v>
      </c>
      <c r="S1242" s="2" t="s">
        <v>179</v>
      </c>
      <c r="T1242" s="10">
        <v>186.67</v>
      </c>
      <c r="U1242" s="11">
        <v>0.18099999999999999</v>
      </c>
      <c r="V1242" s="12">
        <f>T1242*U1242</f>
        <v>33.787269999999999</v>
      </c>
      <c r="W1242" s="13">
        <v>0.17</v>
      </c>
      <c r="X1242" s="12">
        <f>V1242-(V1242/(1+W1242))</f>
        <v>4.9092614529914513</v>
      </c>
      <c r="Y1242" s="12">
        <f>V1242-X1242</f>
        <v>28.878008547008548</v>
      </c>
      <c r="Z1242" s="14">
        <v>35</v>
      </c>
      <c r="AA1242" s="2" t="str">
        <f>IF(V1242&gt;Z1242,"Yes","No")</f>
        <v>No</v>
      </c>
      <c r="AB1242" s="12">
        <f>V1242-Z1242</f>
        <v>-1.2127300000000005</v>
      </c>
      <c r="AC1242" s="15" t="s">
        <v>130</v>
      </c>
      <c r="AD1242" s="15" t="s">
        <v>131</v>
      </c>
      <c r="AE1242" s="15" t="s">
        <v>132</v>
      </c>
      <c r="AF1242" s="12">
        <f>IF(AG1242="Rejected",0,IF(R1242="Corporate Card",0,V1242))</f>
        <v>0</v>
      </c>
      <c r="AG1242" s="15" t="s">
        <v>133</v>
      </c>
      <c r="AH1242" s="16">
        <v>45791</v>
      </c>
      <c r="AI1242" s="16">
        <v>45798</v>
      </c>
      <c r="AJ1242" s="16">
        <v>45805</v>
      </c>
      <c r="AK1242" s="17">
        <f>IF(AJ1242="","",AJ1242-AH1242)</f>
        <v>14</v>
      </c>
    </row>
    <row r="1243" spans="1:37">
      <c r="A1243" s="2" t="s">
        <v>1663</v>
      </c>
      <c r="B1243" s="2" t="s">
        <v>1235</v>
      </c>
      <c r="C1243" s="2" t="s">
        <v>867</v>
      </c>
      <c r="D1243" s="2" t="s">
        <v>865</v>
      </c>
      <c r="E1243" s="2" t="s">
        <v>1236</v>
      </c>
      <c r="F1243" s="2" t="s">
        <v>313</v>
      </c>
      <c r="G1243" s="2" t="s">
        <v>1658</v>
      </c>
      <c r="H1243" s="2" t="s">
        <v>748</v>
      </c>
      <c r="I1243" s="2" t="s">
        <v>175</v>
      </c>
      <c r="J1243" s="2" t="s">
        <v>176</v>
      </c>
      <c r="K1243" s="9">
        <v>45787</v>
      </c>
      <c r="L1243" s="9">
        <v>45788</v>
      </c>
      <c r="M1243" s="9">
        <v>45787</v>
      </c>
      <c r="N1243" s="2" t="s">
        <v>1595</v>
      </c>
      <c r="O1243" s="2" t="s">
        <v>66</v>
      </c>
      <c r="P1243" s="2" t="s">
        <v>489</v>
      </c>
      <c r="Q1243" s="2" t="s">
        <v>490</v>
      </c>
      <c r="R1243" s="2" t="s">
        <v>128</v>
      </c>
      <c r="S1243" s="2" t="s">
        <v>179</v>
      </c>
      <c r="T1243" s="10">
        <v>1135.33</v>
      </c>
      <c r="U1243" s="11">
        <v>0.18099999999999999</v>
      </c>
      <c r="V1243" s="12">
        <f>T1243*U1243</f>
        <v>205.49472999999998</v>
      </c>
      <c r="W1243" s="13">
        <v>0</v>
      </c>
      <c r="X1243" s="12">
        <f>V1243-(V1243/(1+W1243))</f>
        <v>0</v>
      </c>
      <c r="Y1243" s="12">
        <f>V1243-X1243</f>
        <v>205.49472999999998</v>
      </c>
      <c r="Z1243" s="14">
        <v>250</v>
      </c>
      <c r="AA1243" s="2" t="str">
        <f>IF(V1243&gt;Z1243,"Yes","No")</f>
        <v>No</v>
      </c>
      <c r="AB1243" s="12">
        <f>V1243-Z1243</f>
        <v>-44.505270000000024</v>
      </c>
      <c r="AC1243" s="15" t="s">
        <v>130</v>
      </c>
      <c r="AD1243" s="15" t="s">
        <v>131</v>
      </c>
      <c r="AE1243" s="15" t="s">
        <v>132</v>
      </c>
      <c r="AF1243" s="12">
        <f>IF(AG1243="Rejected",0,IF(R1243="Corporate Card",0,V1243))</f>
        <v>0</v>
      </c>
      <c r="AG1243" s="15" t="s">
        <v>133</v>
      </c>
      <c r="AH1243" s="16">
        <v>45791</v>
      </c>
      <c r="AI1243" s="16">
        <v>45798</v>
      </c>
      <c r="AJ1243" s="16">
        <v>45805</v>
      </c>
      <c r="AK1243" s="17">
        <f>IF(AJ1243="","",AJ1243-AH1243)</f>
        <v>14</v>
      </c>
    </row>
    <row r="1244" spans="1:37">
      <c r="A1244" s="2" t="s">
        <v>1664</v>
      </c>
      <c r="B1244" s="2" t="s">
        <v>375</v>
      </c>
      <c r="C1244" s="2" t="s">
        <v>376</v>
      </c>
      <c r="D1244" s="2" t="s">
        <v>344</v>
      </c>
      <c r="E1244" s="2" t="s">
        <v>377</v>
      </c>
      <c r="F1244" s="2" t="s">
        <v>346</v>
      </c>
      <c r="G1244" s="2" t="s">
        <v>1594</v>
      </c>
      <c r="H1244" s="2" t="s">
        <v>348</v>
      </c>
      <c r="I1244" s="2" t="s">
        <v>651</v>
      </c>
      <c r="J1244" s="2" t="s">
        <v>652</v>
      </c>
      <c r="K1244" s="9">
        <v>45780</v>
      </c>
      <c r="L1244" s="9">
        <v>45788</v>
      </c>
      <c r="M1244" s="9">
        <v>45788</v>
      </c>
      <c r="N1244" s="2" t="s">
        <v>1595</v>
      </c>
      <c r="O1244" s="2" t="s">
        <v>54</v>
      </c>
      <c r="P1244" s="2" t="s">
        <v>139</v>
      </c>
      <c r="Q1244" s="2" t="s">
        <v>214</v>
      </c>
      <c r="R1244" s="2" t="s">
        <v>128</v>
      </c>
      <c r="S1244" s="2" t="s">
        <v>654</v>
      </c>
      <c r="T1244" s="10">
        <v>16.3</v>
      </c>
      <c r="U1244" s="11">
        <v>0.72799999999999998</v>
      </c>
      <c r="V1244" s="12">
        <f>T1244*U1244</f>
        <v>11.866400000000001</v>
      </c>
      <c r="W1244" s="13">
        <v>0.13</v>
      </c>
      <c r="X1244" s="12">
        <f>V1244-(V1244/(1+W1244))</f>
        <v>1.3651610619469015</v>
      </c>
      <c r="Y1244" s="12">
        <f>V1244-X1244</f>
        <v>10.501238938053099</v>
      </c>
      <c r="Z1244" s="14">
        <v>25</v>
      </c>
      <c r="AA1244" s="2" t="str">
        <f>IF(V1244&gt;Z1244,"Yes","No")</f>
        <v>No</v>
      </c>
      <c r="AB1244" s="12">
        <f>V1244-Z1244</f>
        <v>-13.133599999999999</v>
      </c>
      <c r="AC1244" s="15" t="s">
        <v>130</v>
      </c>
      <c r="AD1244" s="15" t="s">
        <v>131</v>
      </c>
      <c r="AE1244" s="15" t="s">
        <v>350</v>
      </c>
      <c r="AF1244" s="12">
        <f>IF(AG1244="Rejected",0,IF(R1244="Corporate Card",0,V1244))</f>
        <v>0</v>
      </c>
      <c r="AG1244" s="15" t="s">
        <v>133</v>
      </c>
      <c r="AH1244" s="16">
        <v>45794</v>
      </c>
      <c r="AI1244" s="16">
        <v>45803</v>
      </c>
      <c r="AJ1244" s="16">
        <v>45810</v>
      </c>
      <c r="AK1244" s="17">
        <f>IF(AJ1244="","",AJ1244-AH1244)</f>
        <v>16</v>
      </c>
    </row>
    <row r="1245" spans="1:37">
      <c r="A1245" s="2" t="s">
        <v>1665</v>
      </c>
      <c r="B1245" s="2" t="s">
        <v>375</v>
      </c>
      <c r="C1245" s="2" t="s">
        <v>376</v>
      </c>
      <c r="D1245" s="2" t="s">
        <v>344</v>
      </c>
      <c r="E1245" s="2" t="s">
        <v>377</v>
      </c>
      <c r="F1245" s="2" t="s">
        <v>346</v>
      </c>
      <c r="G1245" s="2" t="s">
        <v>1594</v>
      </c>
      <c r="H1245" s="2" t="s">
        <v>348</v>
      </c>
      <c r="I1245" s="2" t="s">
        <v>651</v>
      </c>
      <c r="J1245" s="2" t="s">
        <v>652</v>
      </c>
      <c r="K1245" s="9">
        <v>45780</v>
      </c>
      <c r="L1245" s="9">
        <v>45788</v>
      </c>
      <c r="M1245" s="9">
        <v>45788</v>
      </c>
      <c r="N1245" s="2" t="s">
        <v>1595</v>
      </c>
      <c r="O1245" s="2" t="s">
        <v>56</v>
      </c>
      <c r="P1245" s="2" t="s">
        <v>245</v>
      </c>
      <c r="Q1245" s="2" t="s">
        <v>166</v>
      </c>
      <c r="R1245" s="2" t="s">
        <v>137</v>
      </c>
      <c r="S1245" s="2" t="s">
        <v>654</v>
      </c>
      <c r="T1245" s="10">
        <v>40.85</v>
      </c>
      <c r="U1245" s="11">
        <v>0.72799999999999998</v>
      </c>
      <c r="V1245" s="12">
        <f>T1245*U1245</f>
        <v>29.738800000000001</v>
      </c>
      <c r="W1245" s="13">
        <v>0.13</v>
      </c>
      <c r="X1245" s="12">
        <f>V1245-(V1245/(1+W1245))</f>
        <v>3.4212778761061919</v>
      </c>
      <c r="Y1245" s="12">
        <f>V1245-X1245</f>
        <v>26.317522123893809</v>
      </c>
      <c r="Z1245" s="14">
        <v>75</v>
      </c>
      <c r="AA1245" s="2" t="str">
        <f>IF(V1245&gt;Z1245,"Yes","No")</f>
        <v>No</v>
      </c>
      <c r="AB1245" s="12">
        <f>V1245-Z1245</f>
        <v>-45.261200000000002</v>
      </c>
      <c r="AC1245" s="15" t="s">
        <v>130</v>
      </c>
      <c r="AD1245" s="15" t="s">
        <v>131</v>
      </c>
      <c r="AE1245" s="15" t="s">
        <v>350</v>
      </c>
      <c r="AF1245" s="12">
        <f>IF(AG1245="Rejected",0,IF(R1245="Corporate Card",0,V1245))</f>
        <v>29.738800000000001</v>
      </c>
      <c r="AG1245" s="15" t="s">
        <v>133</v>
      </c>
      <c r="AH1245" s="16">
        <v>45794</v>
      </c>
      <c r="AI1245" s="16">
        <v>45803</v>
      </c>
      <c r="AJ1245" s="16">
        <v>45810</v>
      </c>
      <c r="AK1245" s="17">
        <f>IF(AJ1245="","",AJ1245-AH1245)</f>
        <v>16</v>
      </c>
    </row>
    <row r="1246" spans="1:37">
      <c r="A1246" s="2" t="s">
        <v>1666</v>
      </c>
      <c r="B1246" s="2" t="s">
        <v>375</v>
      </c>
      <c r="C1246" s="2" t="s">
        <v>376</v>
      </c>
      <c r="D1246" s="2" t="s">
        <v>344</v>
      </c>
      <c r="E1246" s="2" t="s">
        <v>377</v>
      </c>
      <c r="F1246" s="2" t="s">
        <v>346</v>
      </c>
      <c r="G1246" s="2" t="s">
        <v>1594</v>
      </c>
      <c r="H1246" s="2" t="s">
        <v>348</v>
      </c>
      <c r="I1246" s="2" t="s">
        <v>651</v>
      </c>
      <c r="J1246" s="2" t="s">
        <v>652</v>
      </c>
      <c r="K1246" s="9">
        <v>45780</v>
      </c>
      <c r="L1246" s="9">
        <v>45788</v>
      </c>
      <c r="M1246" s="9">
        <v>45788</v>
      </c>
      <c r="N1246" s="2" t="s">
        <v>1595</v>
      </c>
      <c r="O1246" s="2" t="s">
        <v>55</v>
      </c>
      <c r="P1246" s="2" t="s">
        <v>139</v>
      </c>
      <c r="Q1246" s="2" t="s">
        <v>154</v>
      </c>
      <c r="R1246" s="2" t="s">
        <v>128</v>
      </c>
      <c r="S1246" s="2" t="s">
        <v>654</v>
      </c>
      <c r="T1246" s="10">
        <v>21.91</v>
      </c>
      <c r="U1246" s="11">
        <v>0.72799999999999998</v>
      </c>
      <c r="V1246" s="12">
        <f>T1246*U1246</f>
        <v>15.950479999999999</v>
      </c>
      <c r="W1246" s="13">
        <v>0.13</v>
      </c>
      <c r="X1246" s="12">
        <f>V1246-(V1246/(1+W1246))</f>
        <v>1.8350109734513254</v>
      </c>
      <c r="Y1246" s="12">
        <f>V1246-X1246</f>
        <v>14.115469026548674</v>
      </c>
      <c r="Z1246" s="14">
        <v>35</v>
      </c>
      <c r="AA1246" s="2" t="str">
        <f>IF(V1246&gt;Z1246,"Yes","No")</f>
        <v>No</v>
      </c>
      <c r="AB1246" s="12">
        <f>V1246-Z1246</f>
        <v>-19.049520000000001</v>
      </c>
      <c r="AC1246" s="15" t="s">
        <v>130</v>
      </c>
      <c r="AD1246" s="15" t="s">
        <v>131</v>
      </c>
      <c r="AE1246" s="15" t="s">
        <v>350</v>
      </c>
      <c r="AF1246" s="12">
        <f>IF(AG1246="Rejected",0,IF(R1246="Corporate Card",0,V1246))</f>
        <v>0</v>
      </c>
      <c r="AG1246" s="15" t="s">
        <v>133</v>
      </c>
      <c r="AH1246" s="16">
        <v>45794</v>
      </c>
      <c r="AI1246" s="16">
        <v>45803</v>
      </c>
      <c r="AJ1246" s="16">
        <v>45810</v>
      </c>
      <c r="AK1246" s="17">
        <f>IF(AJ1246="","",AJ1246-AH1246)</f>
        <v>16</v>
      </c>
    </row>
    <row r="1247" spans="1:37">
      <c r="A1247" s="2" t="s">
        <v>1667</v>
      </c>
      <c r="B1247" s="2" t="s">
        <v>1235</v>
      </c>
      <c r="C1247" s="2" t="s">
        <v>867</v>
      </c>
      <c r="D1247" s="2" t="s">
        <v>865</v>
      </c>
      <c r="E1247" s="2" t="s">
        <v>1236</v>
      </c>
      <c r="F1247" s="2" t="s">
        <v>313</v>
      </c>
      <c r="G1247" s="2" t="s">
        <v>1658</v>
      </c>
      <c r="H1247" s="2" t="s">
        <v>748</v>
      </c>
      <c r="I1247" s="2" t="s">
        <v>175</v>
      </c>
      <c r="J1247" s="2" t="s">
        <v>176</v>
      </c>
      <c r="K1247" s="9">
        <v>45787</v>
      </c>
      <c r="L1247" s="9">
        <v>45788</v>
      </c>
      <c r="M1247" s="9">
        <v>45788</v>
      </c>
      <c r="N1247" s="2" t="s">
        <v>1595</v>
      </c>
      <c r="O1247" s="2" t="s">
        <v>53</v>
      </c>
      <c r="P1247" s="2" t="s">
        <v>405</v>
      </c>
      <c r="Q1247" s="2" t="s">
        <v>146</v>
      </c>
      <c r="R1247" s="2" t="s">
        <v>128</v>
      </c>
      <c r="S1247" s="2" t="s">
        <v>179</v>
      </c>
      <c r="T1247" s="10">
        <v>1932.07</v>
      </c>
      <c r="U1247" s="11">
        <v>0.18099999999999999</v>
      </c>
      <c r="V1247" s="12">
        <f>T1247*U1247</f>
        <v>349.70466999999996</v>
      </c>
      <c r="W1247" s="13">
        <v>0.17</v>
      </c>
      <c r="X1247" s="12">
        <f>V1247-(V1247/(1+W1247))</f>
        <v>50.811789658119608</v>
      </c>
      <c r="Y1247" s="12">
        <f>V1247-X1247</f>
        <v>298.89288034188036</v>
      </c>
      <c r="Z1247" s="14">
        <v>280</v>
      </c>
      <c r="AA1247" s="2" t="str">
        <f>IF(V1247&gt;Z1247,"Yes","No")</f>
        <v>Yes</v>
      </c>
      <c r="AB1247" s="12">
        <f>V1247-Z1247</f>
        <v>69.704669999999965</v>
      </c>
      <c r="AC1247" s="15" t="s">
        <v>130</v>
      </c>
      <c r="AD1247" s="15" t="s">
        <v>131</v>
      </c>
      <c r="AE1247" s="15" t="s">
        <v>132</v>
      </c>
      <c r="AF1247" s="12">
        <f>IF(AG1247="Rejected",0,IF(R1247="Corporate Card",0,V1247))</f>
        <v>0</v>
      </c>
      <c r="AG1247" s="15" t="s">
        <v>133</v>
      </c>
      <c r="AH1247" s="16">
        <v>45791</v>
      </c>
      <c r="AI1247" s="16">
        <v>45798</v>
      </c>
      <c r="AJ1247" s="16">
        <v>45805</v>
      </c>
      <c r="AK1247" s="17">
        <f>IF(AJ1247="","",AJ1247-AH1247)</f>
        <v>14</v>
      </c>
    </row>
    <row r="1248" spans="1:37">
      <c r="A1248" s="2" t="s">
        <v>1668</v>
      </c>
      <c r="B1248" s="2" t="s">
        <v>1235</v>
      </c>
      <c r="C1248" s="2" t="s">
        <v>867</v>
      </c>
      <c r="D1248" s="2" t="s">
        <v>865</v>
      </c>
      <c r="E1248" s="2" t="s">
        <v>1236</v>
      </c>
      <c r="F1248" s="2" t="s">
        <v>313</v>
      </c>
      <c r="G1248" s="2" t="s">
        <v>1658</v>
      </c>
      <c r="H1248" s="2" t="s">
        <v>748</v>
      </c>
      <c r="I1248" s="2" t="s">
        <v>175</v>
      </c>
      <c r="J1248" s="2" t="s">
        <v>176</v>
      </c>
      <c r="K1248" s="9">
        <v>45787</v>
      </c>
      <c r="L1248" s="9">
        <v>45788</v>
      </c>
      <c r="M1248" s="9">
        <v>45788</v>
      </c>
      <c r="N1248" s="2" t="s">
        <v>1595</v>
      </c>
      <c r="O1248" s="2" t="s">
        <v>56</v>
      </c>
      <c r="P1248" s="2" t="s">
        <v>165</v>
      </c>
      <c r="Q1248" s="2" t="s">
        <v>227</v>
      </c>
      <c r="R1248" s="2" t="s">
        <v>128</v>
      </c>
      <c r="S1248" s="2" t="s">
        <v>179</v>
      </c>
      <c r="T1248" s="10">
        <v>178.22</v>
      </c>
      <c r="U1248" s="11">
        <v>0.18099999999999999</v>
      </c>
      <c r="V1248" s="12">
        <f>T1248*U1248</f>
        <v>32.257819999999995</v>
      </c>
      <c r="W1248" s="13">
        <v>0.17</v>
      </c>
      <c r="X1248" s="12">
        <f>V1248-(V1248/(1+W1248))</f>
        <v>4.687033675213673</v>
      </c>
      <c r="Y1248" s="12">
        <f>V1248-X1248</f>
        <v>27.570786324786322</v>
      </c>
      <c r="Z1248" s="14">
        <v>75</v>
      </c>
      <c r="AA1248" s="2" t="str">
        <f>IF(V1248&gt;Z1248,"Yes","No")</f>
        <v>No</v>
      </c>
      <c r="AB1248" s="12">
        <f>V1248-Z1248</f>
        <v>-42.742180000000005</v>
      </c>
      <c r="AC1248" s="15" t="s">
        <v>130</v>
      </c>
      <c r="AD1248" s="15" t="s">
        <v>131</v>
      </c>
      <c r="AE1248" s="15" t="s">
        <v>132</v>
      </c>
      <c r="AF1248" s="12">
        <f>IF(AG1248="Rejected",0,IF(R1248="Corporate Card",0,V1248))</f>
        <v>0</v>
      </c>
      <c r="AG1248" s="15" t="s">
        <v>133</v>
      </c>
      <c r="AH1248" s="16">
        <v>45791</v>
      </c>
      <c r="AI1248" s="16">
        <v>45798</v>
      </c>
      <c r="AJ1248" s="16">
        <v>45805</v>
      </c>
      <c r="AK1248" s="17">
        <f>IF(AJ1248="","",AJ1248-AH1248)</f>
        <v>14</v>
      </c>
    </row>
    <row r="1249" spans="1:37">
      <c r="A1249" s="2" t="s">
        <v>1669</v>
      </c>
      <c r="B1249" s="2" t="s">
        <v>1235</v>
      </c>
      <c r="C1249" s="2" t="s">
        <v>867</v>
      </c>
      <c r="D1249" s="2" t="s">
        <v>865</v>
      </c>
      <c r="E1249" s="2" t="s">
        <v>1236</v>
      </c>
      <c r="F1249" s="2" t="s">
        <v>313</v>
      </c>
      <c r="G1249" s="2" t="s">
        <v>1658</v>
      </c>
      <c r="H1249" s="2" t="s">
        <v>748</v>
      </c>
      <c r="I1249" s="2" t="s">
        <v>175</v>
      </c>
      <c r="J1249" s="2" t="s">
        <v>176</v>
      </c>
      <c r="K1249" s="9">
        <v>45787</v>
      </c>
      <c r="L1249" s="9">
        <v>45788</v>
      </c>
      <c r="M1249" s="9">
        <v>45788</v>
      </c>
      <c r="N1249" s="2" t="s">
        <v>1595</v>
      </c>
      <c r="O1249" s="2" t="s">
        <v>55</v>
      </c>
      <c r="P1249" s="2" t="s">
        <v>139</v>
      </c>
      <c r="Q1249" s="2" t="s">
        <v>161</v>
      </c>
      <c r="R1249" s="2" t="s">
        <v>128</v>
      </c>
      <c r="S1249" s="2" t="s">
        <v>179</v>
      </c>
      <c r="T1249" s="10">
        <v>156.47</v>
      </c>
      <c r="U1249" s="11">
        <v>0.18099999999999999</v>
      </c>
      <c r="V1249" s="12">
        <f>T1249*U1249</f>
        <v>28.321069999999999</v>
      </c>
      <c r="W1249" s="13">
        <v>0.17</v>
      </c>
      <c r="X1249" s="12">
        <f>V1249-(V1249/(1+W1249))</f>
        <v>4.1150272649572628</v>
      </c>
      <c r="Y1249" s="12">
        <f>V1249-X1249</f>
        <v>24.206042735042736</v>
      </c>
      <c r="Z1249" s="14">
        <v>35</v>
      </c>
      <c r="AA1249" s="2" t="str">
        <f>IF(V1249&gt;Z1249,"Yes","No")</f>
        <v>No</v>
      </c>
      <c r="AB1249" s="12">
        <f>V1249-Z1249</f>
        <v>-6.6789300000000011</v>
      </c>
      <c r="AC1249" s="15" t="s">
        <v>130</v>
      </c>
      <c r="AD1249" s="15" t="s">
        <v>131</v>
      </c>
      <c r="AE1249" s="15" t="s">
        <v>132</v>
      </c>
      <c r="AF1249" s="12">
        <f>IF(AG1249="Rejected",0,IF(R1249="Corporate Card",0,V1249))</f>
        <v>0</v>
      </c>
      <c r="AG1249" s="15" t="s">
        <v>133</v>
      </c>
      <c r="AH1249" s="16">
        <v>45791</v>
      </c>
      <c r="AI1249" s="16">
        <v>45798</v>
      </c>
      <c r="AJ1249" s="16">
        <v>45805</v>
      </c>
      <c r="AK1249" s="17">
        <f>IF(AJ1249="","",AJ1249-AH1249)</f>
        <v>14</v>
      </c>
    </row>
    <row r="1250" spans="1:37">
      <c r="A1250" s="2" t="s">
        <v>1670</v>
      </c>
      <c r="B1250" s="2" t="s">
        <v>287</v>
      </c>
      <c r="C1250" s="2" t="s">
        <v>288</v>
      </c>
      <c r="D1250" s="2" t="s">
        <v>171</v>
      </c>
      <c r="E1250" s="2" t="s">
        <v>289</v>
      </c>
      <c r="F1250" s="2" t="s">
        <v>173</v>
      </c>
      <c r="G1250" s="2" t="s">
        <v>1671</v>
      </c>
      <c r="H1250" s="2" t="s">
        <v>748</v>
      </c>
      <c r="I1250" s="2" t="s">
        <v>433</v>
      </c>
      <c r="J1250" s="2" t="s">
        <v>434</v>
      </c>
      <c r="K1250" s="9">
        <v>45795</v>
      </c>
      <c r="L1250" s="9">
        <v>45800</v>
      </c>
      <c r="M1250" s="9">
        <v>45795</v>
      </c>
      <c r="N1250" s="2" t="s">
        <v>1595</v>
      </c>
      <c r="O1250" s="2" t="s">
        <v>52</v>
      </c>
      <c r="P1250" s="2" t="s">
        <v>435</v>
      </c>
      <c r="Q1250" s="2" t="s">
        <v>136</v>
      </c>
      <c r="R1250" s="2" t="s">
        <v>137</v>
      </c>
      <c r="S1250" s="2" t="s">
        <v>436</v>
      </c>
      <c r="T1250" s="10">
        <v>193598</v>
      </c>
      <c r="U1250" s="11">
        <v>1.1780000000000001E-2</v>
      </c>
      <c r="V1250" s="12">
        <f>T1250*U1250</f>
        <v>2280.5844400000001</v>
      </c>
      <c r="W1250" s="13">
        <v>0</v>
      </c>
      <c r="X1250" s="12">
        <f>V1250-(V1250/(1+W1250))</f>
        <v>0</v>
      </c>
      <c r="Y1250" s="12">
        <f>V1250-X1250</f>
        <v>2280.5844400000001</v>
      </c>
      <c r="Z1250" s="14">
        <v>1400</v>
      </c>
      <c r="AA1250" s="2" t="str">
        <f>IF(V1250&gt;Z1250,"Yes","No")</f>
        <v>Yes</v>
      </c>
      <c r="AB1250" s="12">
        <f>V1250-Z1250</f>
        <v>880.58444000000009</v>
      </c>
      <c r="AC1250" s="15" t="s">
        <v>130</v>
      </c>
      <c r="AD1250" s="15" t="s">
        <v>131</v>
      </c>
      <c r="AE1250" s="15" t="s">
        <v>514</v>
      </c>
      <c r="AF1250" s="12">
        <f>IF(AG1250="Rejected",0,IF(R1250="Corporate Card",0,V1250))</f>
        <v>2280.5844400000001</v>
      </c>
      <c r="AG1250" s="15" t="s">
        <v>133</v>
      </c>
      <c r="AH1250" s="16">
        <v>45806</v>
      </c>
      <c r="AI1250" s="16">
        <v>45813</v>
      </c>
      <c r="AJ1250" s="16">
        <v>45826</v>
      </c>
      <c r="AK1250" s="17">
        <f>IF(AJ1250="","",AJ1250-AH1250)</f>
        <v>20</v>
      </c>
    </row>
    <row r="1251" spans="1:37">
      <c r="A1251" s="2" t="s">
        <v>1672</v>
      </c>
      <c r="B1251" s="2" t="s">
        <v>287</v>
      </c>
      <c r="C1251" s="2" t="s">
        <v>288</v>
      </c>
      <c r="D1251" s="2" t="s">
        <v>171</v>
      </c>
      <c r="E1251" s="2" t="s">
        <v>289</v>
      </c>
      <c r="F1251" s="2" t="s">
        <v>173</v>
      </c>
      <c r="G1251" s="2" t="s">
        <v>1671</v>
      </c>
      <c r="H1251" s="2" t="s">
        <v>748</v>
      </c>
      <c r="I1251" s="2" t="s">
        <v>433</v>
      </c>
      <c r="J1251" s="2" t="s">
        <v>434</v>
      </c>
      <c r="K1251" s="9">
        <v>45795</v>
      </c>
      <c r="L1251" s="9">
        <v>45800</v>
      </c>
      <c r="M1251" s="9">
        <v>45795</v>
      </c>
      <c r="N1251" s="2" t="s">
        <v>1595</v>
      </c>
      <c r="O1251" s="2" t="s">
        <v>64</v>
      </c>
      <c r="P1251" s="2" t="s">
        <v>135</v>
      </c>
      <c r="Q1251" s="2" t="s">
        <v>513</v>
      </c>
      <c r="R1251" s="2" t="s">
        <v>128</v>
      </c>
      <c r="S1251" s="2" t="s">
        <v>436</v>
      </c>
      <c r="T1251" s="10">
        <v>5134</v>
      </c>
      <c r="U1251" s="11">
        <v>1.1780000000000001E-2</v>
      </c>
      <c r="V1251" s="12">
        <f>T1251*U1251</f>
        <v>60.478520000000003</v>
      </c>
      <c r="W1251" s="13">
        <v>0</v>
      </c>
      <c r="X1251" s="12">
        <f>V1251-(V1251/(1+W1251))</f>
        <v>0</v>
      </c>
      <c r="Y1251" s="12">
        <f>V1251-X1251</f>
        <v>60.478520000000003</v>
      </c>
      <c r="Z1251" s="14">
        <v>120</v>
      </c>
      <c r="AA1251" s="2" t="str">
        <f>IF(V1251&gt;Z1251,"Yes","No")</f>
        <v>No</v>
      </c>
      <c r="AB1251" s="12">
        <f>V1251-Z1251</f>
        <v>-59.521479999999997</v>
      </c>
      <c r="AC1251" s="15" t="s">
        <v>130</v>
      </c>
      <c r="AD1251" s="15" t="s">
        <v>131</v>
      </c>
      <c r="AE1251" s="15" t="s">
        <v>514</v>
      </c>
      <c r="AF1251" s="12">
        <f>IF(AG1251="Rejected",0,IF(R1251="Corporate Card",0,V1251))</f>
        <v>0</v>
      </c>
      <c r="AG1251" s="15" t="s">
        <v>133</v>
      </c>
      <c r="AH1251" s="16">
        <v>45806</v>
      </c>
      <c r="AI1251" s="16">
        <v>45813</v>
      </c>
      <c r="AJ1251" s="16">
        <v>45826</v>
      </c>
      <c r="AK1251" s="17">
        <f>IF(AJ1251="","",AJ1251-AH1251)</f>
        <v>20</v>
      </c>
    </row>
    <row r="1252" spans="1:37">
      <c r="A1252" s="2" t="s">
        <v>1673</v>
      </c>
      <c r="B1252" s="2" t="s">
        <v>287</v>
      </c>
      <c r="C1252" s="2" t="s">
        <v>288</v>
      </c>
      <c r="D1252" s="2" t="s">
        <v>171</v>
      </c>
      <c r="E1252" s="2" t="s">
        <v>289</v>
      </c>
      <c r="F1252" s="2" t="s">
        <v>173</v>
      </c>
      <c r="G1252" s="2" t="s">
        <v>1671</v>
      </c>
      <c r="H1252" s="2" t="s">
        <v>748</v>
      </c>
      <c r="I1252" s="2" t="s">
        <v>433</v>
      </c>
      <c r="J1252" s="2" t="s">
        <v>434</v>
      </c>
      <c r="K1252" s="9">
        <v>45795</v>
      </c>
      <c r="L1252" s="9">
        <v>45800</v>
      </c>
      <c r="M1252" s="9">
        <v>45795</v>
      </c>
      <c r="N1252" s="2" t="s">
        <v>1595</v>
      </c>
      <c r="O1252" s="2" t="s">
        <v>54</v>
      </c>
      <c r="P1252" s="2" t="s">
        <v>139</v>
      </c>
      <c r="Q1252" s="2" t="s">
        <v>140</v>
      </c>
      <c r="R1252" s="2" t="s">
        <v>128</v>
      </c>
      <c r="S1252" s="2" t="s">
        <v>436</v>
      </c>
      <c r="T1252" s="10">
        <v>1346</v>
      </c>
      <c r="U1252" s="11">
        <v>1.1780000000000001E-2</v>
      </c>
      <c r="V1252" s="12">
        <f>T1252*U1252</f>
        <v>15.855880000000001</v>
      </c>
      <c r="W1252" s="13">
        <v>0.18</v>
      </c>
      <c r="X1252" s="12">
        <f>V1252-(V1252/(1+W1252))</f>
        <v>2.4186935593220333</v>
      </c>
      <c r="Y1252" s="12">
        <f>V1252-X1252</f>
        <v>13.437186440677968</v>
      </c>
      <c r="Z1252" s="14">
        <v>25</v>
      </c>
      <c r="AA1252" s="2" t="str">
        <f>IF(V1252&gt;Z1252,"Yes","No")</f>
        <v>No</v>
      </c>
      <c r="AB1252" s="12">
        <f>V1252-Z1252</f>
        <v>-9.1441199999999991</v>
      </c>
      <c r="AC1252" s="15" t="s">
        <v>130</v>
      </c>
      <c r="AD1252" s="15" t="s">
        <v>131</v>
      </c>
      <c r="AE1252" s="15" t="s">
        <v>514</v>
      </c>
      <c r="AF1252" s="12">
        <f>IF(AG1252="Rejected",0,IF(R1252="Corporate Card",0,V1252))</f>
        <v>0</v>
      </c>
      <c r="AG1252" s="15" t="s">
        <v>133</v>
      </c>
      <c r="AH1252" s="16">
        <v>45806</v>
      </c>
      <c r="AI1252" s="16">
        <v>45813</v>
      </c>
      <c r="AJ1252" s="16">
        <v>45826</v>
      </c>
      <c r="AK1252" s="17">
        <f>IF(AJ1252="","",AJ1252-AH1252)</f>
        <v>20</v>
      </c>
    </row>
    <row r="1253" spans="1:37">
      <c r="A1253" s="2" t="s">
        <v>1674</v>
      </c>
      <c r="B1253" s="2" t="s">
        <v>287</v>
      </c>
      <c r="C1253" s="2" t="s">
        <v>288</v>
      </c>
      <c r="D1253" s="2" t="s">
        <v>171</v>
      </c>
      <c r="E1253" s="2" t="s">
        <v>289</v>
      </c>
      <c r="F1253" s="2" t="s">
        <v>173</v>
      </c>
      <c r="G1253" s="2" t="s">
        <v>1671</v>
      </c>
      <c r="H1253" s="2" t="s">
        <v>748</v>
      </c>
      <c r="I1253" s="2" t="s">
        <v>433</v>
      </c>
      <c r="J1253" s="2" t="s">
        <v>434</v>
      </c>
      <c r="K1253" s="9">
        <v>45795</v>
      </c>
      <c r="L1253" s="9">
        <v>45800</v>
      </c>
      <c r="M1253" s="9">
        <v>45795</v>
      </c>
      <c r="N1253" s="2" t="s">
        <v>1595</v>
      </c>
      <c r="O1253" s="2" t="s">
        <v>56</v>
      </c>
      <c r="P1253" s="2" t="s">
        <v>151</v>
      </c>
      <c r="Q1253" s="2" t="s">
        <v>166</v>
      </c>
      <c r="R1253" s="2" t="s">
        <v>128</v>
      </c>
      <c r="S1253" s="2" t="s">
        <v>436</v>
      </c>
      <c r="T1253" s="10">
        <v>4399</v>
      </c>
      <c r="U1253" s="11">
        <v>1.1780000000000001E-2</v>
      </c>
      <c r="V1253" s="12">
        <f>T1253*U1253</f>
        <v>51.820219999999999</v>
      </c>
      <c r="W1253" s="13">
        <v>0.18</v>
      </c>
      <c r="X1253" s="12">
        <f>V1253-(V1253/(1+W1253))</f>
        <v>7.904779322033896</v>
      </c>
      <c r="Y1253" s="12">
        <f>V1253-X1253</f>
        <v>43.915440677966103</v>
      </c>
      <c r="Z1253" s="14">
        <v>75</v>
      </c>
      <c r="AA1253" s="2" t="str">
        <f>IF(V1253&gt;Z1253,"Yes","No")</f>
        <v>No</v>
      </c>
      <c r="AB1253" s="12">
        <f>V1253-Z1253</f>
        <v>-23.179780000000001</v>
      </c>
      <c r="AC1253" s="15" t="s">
        <v>130</v>
      </c>
      <c r="AD1253" s="15" t="s">
        <v>131</v>
      </c>
      <c r="AE1253" s="15" t="s">
        <v>514</v>
      </c>
      <c r="AF1253" s="12">
        <f>IF(AG1253="Rejected",0,IF(R1253="Corporate Card",0,V1253))</f>
        <v>0</v>
      </c>
      <c r="AG1253" s="15" t="s">
        <v>133</v>
      </c>
      <c r="AH1253" s="16">
        <v>45806</v>
      </c>
      <c r="AI1253" s="16">
        <v>45813</v>
      </c>
      <c r="AJ1253" s="16">
        <v>45826</v>
      </c>
      <c r="AK1253" s="17">
        <f>IF(AJ1253="","",AJ1253-AH1253)</f>
        <v>20</v>
      </c>
    </row>
    <row r="1254" spans="1:37">
      <c r="A1254" s="2" t="s">
        <v>1675</v>
      </c>
      <c r="B1254" s="2" t="s">
        <v>287</v>
      </c>
      <c r="C1254" s="2" t="s">
        <v>288</v>
      </c>
      <c r="D1254" s="2" t="s">
        <v>171</v>
      </c>
      <c r="E1254" s="2" t="s">
        <v>289</v>
      </c>
      <c r="F1254" s="2" t="s">
        <v>173</v>
      </c>
      <c r="G1254" s="2" t="s">
        <v>1671</v>
      </c>
      <c r="H1254" s="2" t="s">
        <v>748</v>
      </c>
      <c r="I1254" s="2" t="s">
        <v>433</v>
      </c>
      <c r="J1254" s="2" t="s">
        <v>434</v>
      </c>
      <c r="K1254" s="9">
        <v>45795</v>
      </c>
      <c r="L1254" s="9">
        <v>45800</v>
      </c>
      <c r="M1254" s="9">
        <v>45795</v>
      </c>
      <c r="N1254" s="2" t="s">
        <v>1595</v>
      </c>
      <c r="O1254" s="2" t="s">
        <v>55</v>
      </c>
      <c r="P1254" s="2" t="s">
        <v>139</v>
      </c>
      <c r="Q1254" s="2" t="s">
        <v>161</v>
      </c>
      <c r="R1254" s="2" t="s">
        <v>128</v>
      </c>
      <c r="S1254" s="2" t="s">
        <v>436</v>
      </c>
      <c r="T1254" s="10">
        <v>2279</v>
      </c>
      <c r="U1254" s="11">
        <v>1.1780000000000001E-2</v>
      </c>
      <c r="V1254" s="12">
        <f>T1254*U1254</f>
        <v>26.846620000000001</v>
      </c>
      <c r="W1254" s="13">
        <v>0.18</v>
      </c>
      <c r="X1254" s="12">
        <f>V1254-(V1254/(1+W1254))</f>
        <v>4.0952471186440675</v>
      </c>
      <c r="Y1254" s="12">
        <f>V1254-X1254</f>
        <v>22.751372881355934</v>
      </c>
      <c r="Z1254" s="14">
        <v>35</v>
      </c>
      <c r="AA1254" s="2" t="str">
        <f>IF(V1254&gt;Z1254,"Yes","No")</f>
        <v>No</v>
      </c>
      <c r="AB1254" s="12">
        <f>V1254-Z1254</f>
        <v>-8.1533799999999985</v>
      </c>
      <c r="AC1254" s="15" t="s">
        <v>130</v>
      </c>
      <c r="AD1254" s="15" t="s">
        <v>131</v>
      </c>
      <c r="AE1254" s="15" t="s">
        <v>514</v>
      </c>
      <c r="AF1254" s="12">
        <f>IF(AG1254="Rejected",0,IF(R1254="Corporate Card",0,V1254))</f>
        <v>0</v>
      </c>
      <c r="AG1254" s="15" t="s">
        <v>133</v>
      </c>
      <c r="AH1254" s="16">
        <v>45806</v>
      </c>
      <c r="AI1254" s="16">
        <v>45813</v>
      </c>
      <c r="AJ1254" s="16">
        <v>45826</v>
      </c>
      <c r="AK1254" s="17">
        <f>IF(AJ1254="","",AJ1254-AH1254)</f>
        <v>20</v>
      </c>
    </row>
    <row r="1255" spans="1:37">
      <c r="A1255" s="2" t="s">
        <v>1676</v>
      </c>
      <c r="B1255" s="2" t="s">
        <v>287</v>
      </c>
      <c r="C1255" s="2" t="s">
        <v>288</v>
      </c>
      <c r="D1255" s="2" t="s">
        <v>171</v>
      </c>
      <c r="E1255" s="2" t="s">
        <v>289</v>
      </c>
      <c r="F1255" s="2" t="s">
        <v>173</v>
      </c>
      <c r="G1255" s="2" t="s">
        <v>1671</v>
      </c>
      <c r="H1255" s="2" t="s">
        <v>748</v>
      </c>
      <c r="I1255" s="2" t="s">
        <v>433</v>
      </c>
      <c r="J1255" s="2" t="s">
        <v>434</v>
      </c>
      <c r="K1255" s="9">
        <v>45795</v>
      </c>
      <c r="L1255" s="9">
        <v>45800</v>
      </c>
      <c r="M1255" s="9">
        <v>45796</v>
      </c>
      <c r="N1255" s="2" t="s">
        <v>1595</v>
      </c>
      <c r="O1255" s="2" t="s">
        <v>60</v>
      </c>
      <c r="P1255" s="2" t="s">
        <v>1677</v>
      </c>
      <c r="Q1255" s="2" t="s">
        <v>503</v>
      </c>
      <c r="R1255" s="2" t="s">
        <v>137</v>
      </c>
      <c r="S1255" s="2" t="s">
        <v>436</v>
      </c>
      <c r="T1255" s="10">
        <v>37368</v>
      </c>
      <c r="U1255" s="11">
        <v>1.1780000000000001E-2</v>
      </c>
      <c r="V1255" s="12">
        <f>T1255*U1255</f>
        <v>440.19504000000001</v>
      </c>
      <c r="W1255" s="13">
        <v>0.18</v>
      </c>
      <c r="X1255" s="12">
        <f>V1255-(V1255/(1+W1255))</f>
        <v>67.148395932203357</v>
      </c>
      <c r="Y1255" s="12">
        <f>V1255-X1255</f>
        <v>373.04664406779665</v>
      </c>
      <c r="Z1255" s="14">
        <v>600</v>
      </c>
      <c r="AA1255" s="2" t="str">
        <f>IF(V1255&gt;Z1255,"Yes","No")</f>
        <v>No</v>
      </c>
      <c r="AB1255" s="12">
        <f>V1255-Z1255</f>
        <v>-159.80495999999999</v>
      </c>
      <c r="AC1255" s="15" t="s">
        <v>130</v>
      </c>
      <c r="AD1255" s="15" t="s">
        <v>131</v>
      </c>
      <c r="AE1255" s="15" t="s">
        <v>514</v>
      </c>
      <c r="AF1255" s="12">
        <f>IF(AG1255="Rejected",0,IF(R1255="Corporate Card",0,V1255))</f>
        <v>440.19504000000001</v>
      </c>
      <c r="AG1255" s="15" t="s">
        <v>133</v>
      </c>
      <c r="AH1255" s="16">
        <v>45806</v>
      </c>
      <c r="AI1255" s="16">
        <v>45813</v>
      </c>
      <c r="AJ1255" s="16">
        <v>45826</v>
      </c>
      <c r="AK1255" s="17">
        <f>IF(AJ1255="","",AJ1255-AH1255)</f>
        <v>20</v>
      </c>
    </row>
    <row r="1256" spans="1:37">
      <c r="A1256" s="2" t="s">
        <v>1678</v>
      </c>
      <c r="B1256" s="2" t="s">
        <v>287</v>
      </c>
      <c r="C1256" s="2" t="s">
        <v>288</v>
      </c>
      <c r="D1256" s="2" t="s">
        <v>171</v>
      </c>
      <c r="E1256" s="2" t="s">
        <v>289</v>
      </c>
      <c r="F1256" s="2" t="s">
        <v>173</v>
      </c>
      <c r="G1256" s="2" t="s">
        <v>1671</v>
      </c>
      <c r="H1256" s="2" t="s">
        <v>748</v>
      </c>
      <c r="I1256" s="2" t="s">
        <v>433</v>
      </c>
      <c r="J1256" s="2" t="s">
        <v>434</v>
      </c>
      <c r="K1256" s="9">
        <v>45795</v>
      </c>
      <c r="L1256" s="9">
        <v>45800</v>
      </c>
      <c r="M1256" s="9">
        <v>45796</v>
      </c>
      <c r="N1256" s="2" t="s">
        <v>1595</v>
      </c>
      <c r="O1256" s="2" t="s">
        <v>58</v>
      </c>
      <c r="P1256" s="2" t="s">
        <v>142</v>
      </c>
      <c r="Q1256" s="2" t="s">
        <v>203</v>
      </c>
      <c r="R1256" s="2" t="s">
        <v>128</v>
      </c>
      <c r="S1256" s="2" t="s">
        <v>436</v>
      </c>
      <c r="T1256" s="10">
        <v>1908</v>
      </c>
      <c r="U1256" s="11">
        <v>1.1780000000000001E-2</v>
      </c>
      <c r="V1256" s="12">
        <f>T1256*U1256</f>
        <v>22.476240000000001</v>
      </c>
      <c r="W1256" s="13">
        <v>0.18</v>
      </c>
      <c r="X1256" s="12">
        <f>V1256-(V1256/(1+W1256))</f>
        <v>3.4285789830508477</v>
      </c>
      <c r="Y1256" s="12">
        <f>V1256-X1256</f>
        <v>19.047661016949153</v>
      </c>
      <c r="Z1256" s="14">
        <v>60</v>
      </c>
      <c r="AA1256" s="2" t="str">
        <f>IF(V1256&gt;Z1256,"Yes","No")</f>
        <v>No</v>
      </c>
      <c r="AB1256" s="12">
        <f>V1256-Z1256</f>
        <v>-37.523759999999996</v>
      </c>
      <c r="AC1256" s="15" t="s">
        <v>131</v>
      </c>
      <c r="AD1256" s="15" t="s">
        <v>131</v>
      </c>
      <c r="AE1256" s="15" t="s">
        <v>514</v>
      </c>
      <c r="AF1256" s="12">
        <f>IF(AG1256="Rejected",0,IF(R1256="Corporate Card",0,V1256))</f>
        <v>0</v>
      </c>
      <c r="AG1256" s="15" t="s">
        <v>133</v>
      </c>
      <c r="AH1256" s="16">
        <v>45806</v>
      </c>
      <c r="AI1256" s="16">
        <v>45813</v>
      </c>
      <c r="AJ1256" s="16">
        <v>45826</v>
      </c>
      <c r="AK1256" s="17">
        <f>IF(AJ1256="","",AJ1256-AH1256)</f>
        <v>20</v>
      </c>
    </row>
    <row r="1257" spans="1:37">
      <c r="A1257" s="2" t="s">
        <v>1679</v>
      </c>
      <c r="B1257" s="2" t="s">
        <v>287</v>
      </c>
      <c r="C1257" s="2" t="s">
        <v>288</v>
      </c>
      <c r="D1257" s="2" t="s">
        <v>171</v>
      </c>
      <c r="E1257" s="2" t="s">
        <v>289</v>
      </c>
      <c r="F1257" s="2" t="s">
        <v>173</v>
      </c>
      <c r="G1257" s="2" t="s">
        <v>1671</v>
      </c>
      <c r="H1257" s="2" t="s">
        <v>748</v>
      </c>
      <c r="I1257" s="2" t="s">
        <v>433</v>
      </c>
      <c r="J1257" s="2" t="s">
        <v>434</v>
      </c>
      <c r="K1257" s="9">
        <v>45795</v>
      </c>
      <c r="L1257" s="9">
        <v>45800</v>
      </c>
      <c r="M1257" s="9">
        <v>45796</v>
      </c>
      <c r="N1257" s="2" t="s">
        <v>1595</v>
      </c>
      <c r="O1257" s="2" t="s">
        <v>53</v>
      </c>
      <c r="P1257" s="2" t="s">
        <v>271</v>
      </c>
      <c r="Q1257" s="2" t="s">
        <v>458</v>
      </c>
      <c r="R1257" s="2" t="s">
        <v>137</v>
      </c>
      <c r="S1257" s="2" t="s">
        <v>436</v>
      </c>
      <c r="T1257" s="10">
        <v>131680</v>
      </c>
      <c r="U1257" s="11">
        <v>1.1780000000000001E-2</v>
      </c>
      <c r="V1257" s="12">
        <f>T1257*U1257</f>
        <v>1551.1904000000002</v>
      </c>
      <c r="W1257" s="13">
        <v>0.18</v>
      </c>
      <c r="X1257" s="12">
        <f>V1257-(V1257/(1+W1257))</f>
        <v>236.62226440677955</v>
      </c>
      <c r="Y1257" s="12">
        <f>V1257-X1257</f>
        <v>1314.5681355932206</v>
      </c>
      <c r="Z1257" s="14">
        <v>1400</v>
      </c>
      <c r="AA1257" s="2" t="str">
        <f>IF(V1257&gt;Z1257,"Yes","No")</f>
        <v>Yes</v>
      </c>
      <c r="AB1257" s="12">
        <f>V1257-Z1257</f>
        <v>151.19040000000018</v>
      </c>
      <c r="AC1257" s="15" t="s">
        <v>130</v>
      </c>
      <c r="AD1257" s="15" t="s">
        <v>131</v>
      </c>
      <c r="AE1257" s="15" t="s">
        <v>514</v>
      </c>
      <c r="AF1257" s="12">
        <f>IF(AG1257="Rejected",0,IF(R1257="Corporate Card",0,V1257))</f>
        <v>1551.1904000000002</v>
      </c>
      <c r="AG1257" s="15" t="s">
        <v>133</v>
      </c>
      <c r="AH1257" s="16">
        <v>45806</v>
      </c>
      <c r="AI1257" s="16">
        <v>45813</v>
      </c>
      <c r="AJ1257" s="16">
        <v>45826</v>
      </c>
      <c r="AK1257" s="17">
        <f>IF(AJ1257="","",AJ1257-AH1257)</f>
        <v>20</v>
      </c>
    </row>
    <row r="1258" spans="1:37">
      <c r="A1258" s="2" t="s">
        <v>1680</v>
      </c>
      <c r="B1258" s="2" t="s">
        <v>287</v>
      </c>
      <c r="C1258" s="2" t="s">
        <v>288</v>
      </c>
      <c r="D1258" s="2" t="s">
        <v>171</v>
      </c>
      <c r="E1258" s="2" t="s">
        <v>289</v>
      </c>
      <c r="F1258" s="2" t="s">
        <v>173</v>
      </c>
      <c r="G1258" s="2" t="s">
        <v>1671</v>
      </c>
      <c r="H1258" s="2" t="s">
        <v>748</v>
      </c>
      <c r="I1258" s="2" t="s">
        <v>433</v>
      </c>
      <c r="J1258" s="2" t="s">
        <v>434</v>
      </c>
      <c r="K1258" s="9">
        <v>45795</v>
      </c>
      <c r="L1258" s="9">
        <v>45800</v>
      </c>
      <c r="M1258" s="9">
        <v>45796</v>
      </c>
      <c r="N1258" s="2" t="s">
        <v>1595</v>
      </c>
      <c r="O1258" s="2" t="s">
        <v>65</v>
      </c>
      <c r="P1258" s="2" t="s">
        <v>211</v>
      </c>
      <c r="Q1258" s="2" t="s">
        <v>460</v>
      </c>
      <c r="R1258" s="2" t="s">
        <v>137</v>
      </c>
      <c r="S1258" s="2" t="s">
        <v>436</v>
      </c>
      <c r="T1258" s="10">
        <v>4539</v>
      </c>
      <c r="U1258" s="11">
        <v>1.1780000000000001E-2</v>
      </c>
      <c r="V1258" s="12">
        <f>T1258*U1258</f>
        <v>53.46942</v>
      </c>
      <c r="W1258" s="13">
        <v>0.18</v>
      </c>
      <c r="X1258" s="12">
        <f>V1258-(V1258/(1+W1258))</f>
        <v>8.1563522033898295</v>
      </c>
      <c r="Y1258" s="12">
        <f>V1258-X1258</f>
        <v>45.31306779661017</v>
      </c>
      <c r="Z1258" s="14">
        <v>55</v>
      </c>
      <c r="AA1258" s="2" t="str">
        <f>IF(V1258&gt;Z1258,"Yes","No")</f>
        <v>No</v>
      </c>
      <c r="AB1258" s="12">
        <f>V1258-Z1258</f>
        <v>-1.5305800000000005</v>
      </c>
      <c r="AC1258" s="15" t="s">
        <v>130</v>
      </c>
      <c r="AD1258" s="15" t="s">
        <v>131</v>
      </c>
      <c r="AE1258" s="15" t="s">
        <v>514</v>
      </c>
      <c r="AF1258" s="12">
        <f>IF(AG1258="Rejected",0,IF(R1258="Corporate Card",0,V1258))</f>
        <v>53.46942</v>
      </c>
      <c r="AG1258" s="15" t="s">
        <v>133</v>
      </c>
      <c r="AH1258" s="16">
        <v>45806</v>
      </c>
      <c r="AI1258" s="16">
        <v>45813</v>
      </c>
      <c r="AJ1258" s="16">
        <v>45826</v>
      </c>
      <c r="AK1258" s="17">
        <f>IF(AJ1258="","",AJ1258-AH1258)</f>
        <v>20</v>
      </c>
    </row>
    <row r="1259" spans="1:37">
      <c r="A1259" s="2" t="s">
        <v>1681</v>
      </c>
      <c r="B1259" s="2" t="s">
        <v>287</v>
      </c>
      <c r="C1259" s="2" t="s">
        <v>288</v>
      </c>
      <c r="D1259" s="2" t="s">
        <v>171</v>
      </c>
      <c r="E1259" s="2" t="s">
        <v>289</v>
      </c>
      <c r="F1259" s="2" t="s">
        <v>173</v>
      </c>
      <c r="G1259" s="2" t="s">
        <v>1671</v>
      </c>
      <c r="H1259" s="2" t="s">
        <v>748</v>
      </c>
      <c r="I1259" s="2" t="s">
        <v>433</v>
      </c>
      <c r="J1259" s="2" t="s">
        <v>434</v>
      </c>
      <c r="K1259" s="9">
        <v>45795</v>
      </c>
      <c r="L1259" s="9">
        <v>45800</v>
      </c>
      <c r="M1259" s="9">
        <v>45796</v>
      </c>
      <c r="N1259" s="2" t="s">
        <v>1595</v>
      </c>
      <c r="O1259" s="2" t="s">
        <v>54</v>
      </c>
      <c r="P1259" s="2" t="s">
        <v>139</v>
      </c>
      <c r="Q1259" s="2" t="s">
        <v>140</v>
      </c>
      <c r="R1259" s="2" t="s">
        <v>128</v>
      </c>
      <c r="S1259" s="2" t="s">
        <v>436</v>
      </c>
      <c r="T1259" s="10">
        <v>784</v>
      </c>
      <c r="U1259" s="11">
        <v>1.1780000000000001E-2</v>
      </c>
      <c r="V1259" s="12">
        <f>T1259*U1259</f>
        <v>9.2355200000000011</v>
      </c>
      <c r="W1259" s="13">
        <v>0.18</v>
      </c>
      <c r="X1259" s="12">
        <f>V1259-(V1259/(1+W1259))</f>
        <v>1.4088081355932198</v>
      </c>
      <c r="Y1259" s="12">
        <f>V1259-X1259</f>
        <v>7.8267118644067812</v>
      </c>
      <c r="Z1259" s="14">
        <v>25</v>
      </c>
      <c r="AA1259" s="2" t="str">
        <f>IF(V1259&gt;Z1259,"Yes","No")</f>
        <v>No</v>
      </c>
      <c r="AB1259" s="12">
        <f>V1259-Z1259</f>
        <v>-15.764479999999999</v>
      </c>
      <c r="AC1259" s="15" t="s">
        <v>130</v>
      </c>
      <c r="AD1259" s="15" t="s">
        <v>131</v>
      </c>
      <c r="AE1259" s="15" t="s">
        <v>514</v>
      </c>
      <c r="AF1259" s="12">
        <f>IF(AG1259="Rejected",0,IF(R1259="Corporate Card",0,V1259))</f>
        <v>0</v>
      </c>
      <c r="AG1259" s="15" t="s">
        <v>133</v>
      </c>
      <c r="AH1259" s="16">
        <v>45806</v>
      </c>
      <c r="AI1259" s="16">
        <v>45813</v>
      </c>
      <c r="AJ1259" s="16">
        <v>45826</v>
      </c>
      <c r="AK1259" s="17">
        <f>IF(AJ1259="","",AJ1259-AH1259)</f>
        <v>20</v>
      </c>
    </row>
    <row r="1260" spans="1:37">
      <c r="A1260" s="2" t="s">
        <v>1682</v>
      </c>
      <c r="B1260" s="2" t="s">
        <v>287</v>
      </c>
      <c r="C1260" s="2" t="s">
        <v>288</v>
      </c>
      <c r="D1260" s="2" t="s">
        <v>171</v>
      </c>
      <c r="E1260" s="2" t="s">
        <v>289</v>
      </c>
      <c r="F1260" s="2" t="s">
        <v>173</v>
      </c>
      <c r="G1260" s="2" t="s">
        <v>1671</v>
      </c>
      <c r="H1260" s="2" t="s">
        <v>748</v>
      </c>
      <c r="I1260" s="2" t="s">
        <v>433</v>
      </c>
      <c r="J1260" s="2" t="s">
        <v>434</v>
      </c>
      <c r="K1260" s="9">
        <v>45795</v>
      </c>
      <c r="L1260" s="9">
        <v>45800</v>
      </c>
      <c r="M1260" s="9">
        <v>45796</v>
      </c>
      <c r="N1260" s="2" t="s">
        <v>1595</v>
      </c>
      <c r="O1260" s="2" t="s">
        <v>56</v>
      </c>
      <c r="P1260" s="2" t="s">
        <v>151</v>
      </c>
      <c r="Q1260" s="2" t="s">
        <v>166</v>
      </c>
      <c r="R1260" s="2" t="s">
        <v>149</v>
      </c>
      <c r="S1260" s="2" t="s">
        <v>436</v>
      </c>
      <c r="T1260" s="10">
        <v>4483</v>
      </c>
      <c r="U1260" s="11">
        <v>1.1780000000000001E-2</v>
      </c>
      <c r="V1260" s="12">
        <f>T1260*U1260</f>
        <v>52.809740000000005</v>
      </c>
      <c r="W1260" s="13">
        <v>0.18</v>
      </c>
      <c r="X1260" s="12">
        <f>V1260-(V1260/(1+W1260))</f>
        <v>8.0557230508474547</v>
      </c>
      <c r="Y1260" s="12">
        <f>V1260-X1260</f>
        <v>44.75401694915255</v>
      </c>
      <c r="Z1260" s="14">
        <v>75</v>
      </c>
      <c r="AA1260" s="2" t="str">
        <f>IF(V1260&gt;Z1260,"Yes","No")</f>
        <v>No</v>
      </c>
      <c r="AB1260" s="12">
        <f>V1260-Z1260</f>
        <v>-22.190259999999995</v>
      </c>
      <c r="AC1260" s="15" t="s">
        <v>130</v>
      </c>
      <c r="AD1260" s="15" t="s">
        <v>131</v>
      </c>
      <c r="AE1260" s="15" t="s">
        <v>514</v>
      </c>
      <c r="AF1260" s="12">
        <f>IF(AG1260="Rejected",0,IF(R1260="Corporate Card",0,V1260))</f>
        <v>52.809740000000005</v>
      </c>
      <c r="AG1260" s="15" t="s">
        <v>133</v>
      </c>
      <c r="AH1260" s="16">
        <v>45806</v>
      </c>
      <c r="AI1260" s="16">
        <v>45813</v>
      </c>
      <c r="AJ1260" s="16">
        <v>45826</v>
      </c>
      <c r="AK1260" s="17">
        <f>IF(AJ1260="","",AJ1260-AH1260)</f>
        <v>20</v>
      </c>
    </row>
    <row r="1261" spans="1:37">
      <c r="A1261" s="2" t="s">
        <v>1683</v>
      </c>
      <c r="B1261" s="2" t="s">
        <v>287</v>
      </c>
      <c r="C1261" s="2" t="s">
        <v>288</v>
      </c>
      <c r="D1261" s="2" t="s">
        <v>171</v>
      </c>
      <c r="E1261" s="2" t="s">
        <v>289</v>
      </c>
      <c r="F1261" s="2" t="s">
        <v>173</v>
      </c>
      <c r="G1261" s="2" t="s">
        <v>1671</v>
      </c>
      <c r="H1261" s="2" t="s">
        <v>748</v>
      </c>
      <c r="I1261" s="2" t="s">
        <v>433</v>
      </c>
      <c r="J1261" s="2" t="s">
        <v>434</v>
      </c>
      <c r="K1261" s="9">
        <v>45795</v>
      </c>
      <c r="L1261" s="9">
        <v>45800</v>
      </c>
      <c r="M1261" s="9">
        <v>45796</v>
      </c>
      <c r="N1261" s="2" t="s">
        <v>1595</v>
      </c>
      <c r="O1261" s="2" t="s">
        <v>55</v>
      </c>
      <c r="P1261" s="2" t="s">
        <v>139</v>
      </c>
      <c r="Q1261" s="2" t="s">
        <v>217</v>
      </c>
      <c r="R1261" s="2" t="s">
        <v>128</v>
      </c>
      <c r="S1261" s="2" t="s">
        <v>436</v>
      </c>
      <c r="T1261" s="10">
        <v>2960</v>
      </c>
      <c r="U1261" s="11">
        <v>1.1780000000000001E-2</v>
      </c>
      <c r="V1261" s="12">
        <f>T1261*U1261</f>
        <v>34.8688</v>
      </c>
      <c r="W1261" s="13">
        <v>0.18</v>
      </c>
      <c r="X1261" s="12">
        <f>V1261-(V1261/(1+W1261))</f>
        <v>5.3189694915254222</v>
      </c>
      <c r="Y1261" s="12">
        <f>V1261-X1261</f>
        <v>29.549830508474578</v>
      </c>
      <c r="Z1261" s="14">
        <v>35</v>
      </c>
      <c r="AA1261" s="2" t="str">
        <f>IF(V1261&gt;Z1261,"Yes","No")</f>
        <v>No</v>
      </c>
      <c r="AB1261" s="12">
        <f>V1261-Z1261</f>
        <v>-0.13119999999999976</v>
      </c>
      <c r="AC1261" s="15" t="s">
        <v>130</v>
      </c>
      <c r="AD1261" s="15" t="s">
        <v>131</v>
      </c>
      <c r="AE1261" s="15" t="s">
        <v>514</v>
      </c>
      <c r="AF1261" s="12">
        <f>IF(AG1261="Rejected",0,IF(R1261="Corporate Card",0,V1261))</f>
        <v>0</v>
      </c>
      <c r="AG1261" s="15" t="s">
        <v>133</v>
      </c>
      <c r="AH1261" s="16">
        <v>45806</v>
      </c>
      <c r="AI1261" s="16">
        <v>45813</v>
      </c>
      <c r="AJ1261" s="16">
        <v>45826</v>
      </c>
      <c r="AK1261" s="17">
        <f>IF(AJ1261="","",AJ1261-AH1261)</f>
        <v>20</v>
      </c>
    </row>
    <row r="1262" spans="1:37">
      <c r="A1262" s="2" t="s">
        <v>1684</v>
      </c>
      <c r="B1262" s="2" t="s">
        <v>550</v>
      </c>
      <c r="C1262" s="2" t="s">
        <v>551</v>
      </c>
      <c r="D1262" s="2" t="s">
        <v>171</v>
      </c>
      <c r="E1262" s="2" t="s">
        <v>172</v>
      </c>
      <c r="F1262" s="2" t="s">
        <v>173</v>
      </c>
      <c r="G1262" s="2" t="s">
        <v>1685</v>
      </c>
      <c r="H1262" s="2" t="s">
        <v>803</v>
      </c>
      <c r="I1262" s="2" t="s">
        <v>1038</v>
      </c>
      <c r="J1262" s="2" t="s">
        <v>381</v>
      </c>
      <c r="K1262" s="9">
        <v>45797</v>
      </c>
      <c r="L1262" s="9">
        <v>45800</v>
      </c>
      <c r="M1262" s="9">
        <v>45797</v>
      </c>
      <c r="N1262" s="2" t="s">
        <v>1595</v>
      </c>
      <c r="O1262" s="2" t="s">
        <v>52</v>
      </c>
      <c r="P1262" s="2" t="s">
        <v>1039</v>
      </c>
      <c r="Q1262" s="2" t="s">
        <v>136</v>
      </c>
      <c r="R1262" s="2" t="s">
        <v>137</v>
      </c>
      <c r="S1262" s="2" t="s">
        <v>383</v>
      </c>
      <c r="T1262" s="10">
        <v>1265.53</v>
      </c>
      <c r="U1262" s="11">
        <v>1</v>
      </c>
      <c r="V1262" s="12">
        <f>T1262*U1262</f>
        <v>1265.53</v>
      </c>
      <c r="W1262" s="13">
        <v>0</v>
      </c>
      <c r="X1262" s="12">
        <f>V1262-(V1262/(1+W1262))</f>
        <v>0</v>
      </c>
      <c r="Y1262" s="12">
        <f>V1262-X1262</f>
        <v>1265.53</v>
      </c>
      <c r="Z1262" s="14">
        <v>1400</v>
      </c>
      <c r="AA1262" s="2" t="str">
        <f>IF(V1262&gt;Z1262,"Yes","No")</f>
        <v>No</v>
      </c>
      <c r="AB1262" s="12">
        <f>V1262-Z1262</f>
        <v>-134.47000000000003</v>
      </c>
      <c r="AC1262" s="15" t="s">
        <v>130</v>
      </c>
      <c r="AD1262" s="15" t="s">
        <v>130</v>
      </c>
      <c r="AE1262" s="15" t="s">
        <v>421</v>
      </c>
      <c r="AF1262" s="12">
        <f>IF(AG1262="Rejected",0,IF(R1262="Corporate Card",0,V1262))</f>
        <v>1265.53</v>
      </c>
      <c r="AG1262" s="15" t="s">
        <v>133</v>
      </c>
      <c r="AH1262" s="16">
        <v>45807</v>
      </c>
      <c r="AI1262" s="16">
        <v>45816</v>
      </c>
      <c r="AJ1262" s="16">
        <v>45819</v>
      </c>
      <c r="AK1262" s="17">
        <f>IF(AJ1262="","",AJ1262-AH1262)</f>
        <v>12</v>
      </c>
    </row>
    <row r="1263" spans="1:37">
      <c r="A1263" s="2" t="s">
        <v>1686</v>
      </c>
      <c r="B1263" s="2" t="s">
        <v>550</v>
      </c>
      <c r="C1263" s="2" t="s">
        <v>551</v>
      </c>
      <c r="D1263" s="2" t="s">
        <v>171</v>
      </c>
      <c r="E1263" s="2" t="s">
        <v>172</v>
      </c>
      <c r="F1263" s="2" t="s">
        <v>173</v>
      </c>
      <c r="G1263" s="2" t="s">
        <v>1685</v>
      </c>
      <c r="H1263" s="2" t="s">
        <v>803</v>
      </c>
      <c r="I1263" s="2" t="s">
        <v>1038</v>
      </c>
      <c r="J1263" s="2" t="s">
        <v>381</v>
      </c>
      <c r="K1263" s="9">
        <v>45797</v>
      </c>
      <c r="L1263" s="9">
        <v>45800</v>
      </c>
      <c r="M1263" s="9">
        <v>45797</v>
      </c>
      <c r="N1263" s="2" t="s">
        <v>1595</v>
      </c>
      <c r="O1263" s="2" t="s">
        <v>54</v>
      </c>
      <c r="P1263" s="2" t="s">
        <v>139</v>
      </c>
      <c r="Q1263" s="2" t="s">
        <v>148</v>
      </c>
      <c r="R1263" s="2" t="s">
        <v>137</v>
      </c>
      <c r="S1263" s="2" t="s">
        <v>383</v>
      </c>
      <c r="T1263" s="10">
        <v>16.989999999999998</v>
      </c>
      <c r="U1263" s="11">
        <v>1</v>
      </c>
      <c r="V1263" s="12">
        <f>T1263*U1263</f>
        <v>16.989999999999998</v>
      </c>
      <c r="W1263" s="13">
        <v>0</v>
      </c>
      <c r="X1263" s="12">
        <f>V1263-(V1263/(1+W1263))</f>
        <v>0</v>
      </c>
      <c r="Y1263" s="12">
        <f>V1263-X1263</f>
        <v>16.989999999999998</v>
      </c>
      <c r="Z1263" s="14">
        <v>25</v>
      </c>
      <c r="AA1263" s="2" t="str">
        <f>IF(V1263&gt;Z1263,"Yes","No")</f>
        <v>No</v>
      </c>
      <c r="AB1263" s="12">
        <f>V1263-Z1263</f>
        <v>-8.0100000000000016</v>
      </c>
      <c r="AC1263" s="15" t="s">
        <v>130</v>
      </c>
      <c r="AD1263" s="15" t="s">
        <v>130</v>
      </c>
      <c r="AE1263" s="15" t="s">
        <v>421</v>
      </c>
      <c r="AF1263" s="12">
        <f>IF(AG1263="Rejected",0,IF(R1263="Corporate Card",0,V1263))</f>
        <v>16.989999999999998</v>
      </c>
      <c r="AG1263" s="15" t="s">
        <v>133</v>
      </c>
      <c r="AH1263" s="16">
        <v>45807</v>
      </c>
      <c r="AI1263" s="16">
        <v>45816</v>
      </c>
      <c r="AJ1263" s="16">
        <v>45819</v>
      </c>
      <c r="AK1263" s="17">
        <f>IF(AJ1263="","",AJ1263-AH1263)</f>
        <v>12</v>
      </c>
    </row>
    <row r="1264" spans="1:37">
      <c r="A1264" s="2" t="s">
        <v>1687</v>
      </c>
      <c r="B1264" s="2" t="s">
        <v>550</v>
      </c>
      <c r="C1264" s="2" t="s">
        <v>551</v>
      </c>
      <c r="D1264" s="2" t="s">
        <v>171</v>
      </c>
      <c r="E1264" s="2" t="s">
        <v>172</v>
      </c>
      <c r="F1264" s="2" t="s">
        <v>173</v>
      </c>
      <c r="G1264" s="2" t="s">
        <v>1685</v>
      </c>
      <c r="H1264" s="2" t="s">
        <v>803</v>
      </c>
      <c r="I1264" s="2" t="s">
        <v>1038</v>
      </c>
      <c r="J1264" s="2" t="s">
        <v>381</v>
      </c>
      <c r="K1264" s="9">
        <v>45797</v>
      </c>
      <c r="L1264" s="9">
        <v>45800</v>
      </c>
      <c r="M1264" s="9">
        <v>45797</v>
      </c>
      <c r="N1264" s="2" t="s">
        <v>1595</v>
      </c>
      <c r="O1264" s="2" t="s">
        <v>56</v>
      </c>
      <c r="P1264" s="2" t="s">
        <v>151</v>
      </c>
      <c r="Q1264" s="2" t="s">
        <v>185</v>
      </c>
      <c r="R1264" s="2" t="s">
        <v>128</v>
      </c>
      <c r="S1264" s="2" t="s">
        <v>383</v>
      </c>
      <c r="T1264" s="10">
        <v>59.66</v>
      </c>
      <c r="U1264" s="11">
        <v>1</v>
      </c>
      <c r="V1264" s="12">
        <f>T1264*U1264</f>
        <v>59.66</v>
      </c>
      <c r="W1264" s="13">
        <v>0</v>
      </c>
      <c r="X1264" s="12">
        <f>V1264-(V1264/(1+W1264))</f>
        <v>0</v>
      </c>
      <c r="Y1264" s="12">
        <f>V1264-X1264</f>
        <v>59.66</v>
      </c>
      <c r="Z1264" s="14">
        <v>75</v>
      </c>
      <c r="AA1264" s="2" t="str">
        <f>IF(V1264&gt;Z1264,"Yes","No")</f>
        <v>No</v>
      </c>
      <c r="AB1264" s="12">
        <f>V1264-Z1264</f>
        <v>-15.340000000000003</v>
      </c>
      <c r="AC1264" s="15" t="s">
        <v>130</v>
      </c>
      <c r="AD1264" s="15" t="s">
        <v>130</v>
      </c>
      <c r="AE1264" s="15" t="s">
        <v>421</v>
      </c>
      <c r="AF1264" s="12">
        <f>IF(AG1264="Rejected",0,IF(R1264="Corporate Card",0,V1264))</f>
        <v>0</v>
      </c>
      <c r="AG1264" s="15" t="s">
        <v>133</v>
      </c>
      <c r="AH1264" s="16">
        <v>45807</v>
      </c>
      <c r="AI1264" s="16">
        <v>45816</v>
      </c>
      <c r="AJ1264" s="16">
        <v>45819</v>
      </c>
      <c r="AK1264" s="17">
        <f>IF(AJ1264="","",AJ1264-AH1264)</f>
        <v>12</v>
      </c>
    </row>
    <row r="1265" spans="1:37">
      <c r="A1265" s="2" t="s">
        <v>1688</v>
      </c>
      <c r="B1265" s="2" t="s">
        <v>550</v>
      </c>
      <c r="C1265" s="2" t="s">
        <v>551</v>
      </c>
      <c r="D1265" s="2" t="s">
        <v>171</v>
      </c>
      <c r="E1265" s="2" t="s">
        <v>172</v>
      </c>
      <c r="F1265" s="2" t="s">
        <v>173</v>
      </c>
      <c r="G1265" s="2" t="s">
        <v>1685</v>
      </c>
      <c r="H1265" s="2" t="s">
        <v>803</v>
      </c>
      <c r="I1265" s="2" t="s">
        <v>1038</v>
      </c>
      <c r="J1265" s="2" t="s">
        <v>381</v>
      </c>
      <c r="K1265" s="9">
        <v>45797</v>
      </c>
      <c r="L1265" s="9">
        <v>45800</v>
      </c>
      <c r="M1265" s="9">
        <v>45797</v>
      </c>
      <c r="N1265" s="2" t="s">
        <v>1595</v>
      </c>
      <c r="O1265" s="2" t="s">
        <v>55</v>
      </c>
      <c r="P1265" s="2" t="s">
        <v>139</v>
      </c>
      <c r="Q1265" s="2" t="s">
        <v>217</v>
      </c>
      <c r="R1265" s="2" t="s">
        <v>137</v>
      </c>
      <c r="S1265" s="2" t="s">
        <v>383</v>
      </c>
      <c r="T1265" s="10">
        <v>18.22</v>
      </c>
      <c r="U1265" s="11">
        <v>1</v>
      </c>
      <c r="V1265" s="12">
        <f>T1265*U1265</f>
        <v>18.22</v>
      </c>
      <c r="W1265" s="13">
        <v>0</v>
      </c>
      <c r="X1265" s="12">
        <f>V1265-(V1265/(1+W1265))</f>
        <v>0</v>
      </c>
      <c r="Y1265" s="12">
        <f>V1265-X1265</f>
        <v>18.22</v>
      </c>
      <c r="Z1265" s="14">
        <v>35</v>
      </c>
      <c r="AA1265" s="2" t="str">
        <f>IF(V1265&gt;Z1265,"Yes","No")</f>
        <v>No</v>
      </c>
      <c r="AB1265" s="12">
        <f>V1265-Z1265</f>
        <v>-16.78</v>
      </c>
      <c r="AC1265" s="15" t="s">
        <v>130</v>
      </c>
      <c r="AD1265" s="15" t="s">
        <v>130</v>
      </c>
      <c r="AE1265" s="15" t="s">
        <v>421</v>
      </c>
      <c r="AF1265" s="12">
        <f>IF(AG1265="Rejected",0,IF(R1265="Corporate Card",0,V1265))</f>
        <v>18.22</v>
      </c>
      <c r="AG1265" s="15" t="s">
        <v>133</v>
      </c>
      <c r="AH1265" s="16">
        <v>45807</v>
      </c>
      <c r="AI1265" s="16">
        <v>45816</v>
      </c>
      <c r="AJ1265" s="16">
        <v>45819</v>
      </c>
      <c r="AK1265" s="17">
        <f>IF(AJ1265="","",AJ1265-AH1265)</f>
        <v>12</v>
      </c>
    </row>
    <row r="1266" spans="1:37">
      <c r="A1266" s="2" t="s">
        <v>1689</v>
      </c>
      <c r="B1266" s="2" t="s">
        <v>287</v>
      </c>
      <c r="C1266" s="2" t="s">
        <v>288</v>
      </c>
      <c r="D1266" s="2" t="s">
        <v>171</v>
      </c>
      <c r="E1266" s="2" t="s">
        <v>289</v>
      </c>
      <c r="F1266" s="2" t="s">
        <v>173</v>
      </c>
      <c r="G1266" s="2" t="s">
        <v>1671</v>
      </c>
      <c r="H1266" s="2" t="s">
        <v>748</v>
      </c>
      <c r="I1266" s="2" t="s">
        <v>433</v>
      </c>
      <c r="J1266" s="2" t="s">
        <v>434</v>
      </c>
      <c r="K1266" s="9">
        <v>45795</v>
      </c>
      <c r="L1266" s="9">
        <v>45800</v>
      </c>
      <c r="M1266" s="9">
        <v>45797</v>
      </c>
      <c r="N1266" s="2" t="s">
        <v>1595</v>
      </c>
      <c r="O1266" s="2" t="s">
        <v>61</v>
      </c>
      <c r="P1266" s="2" t="s">
        <v>528</v>
      </c>
      <c r="Q1266" s="2" t="s">
        <v>1128</v>
      </c>
      <c r="R1266" s="2" t="s">
        <v>128</v>
      </c>
      <c r="S1266" s="2" t="s">
        <v>436</v>
      </c>
      <c r="T1266" s="10">
        <v>4614</v>
      </c>
      <c r="U1266" s="11">
        <v>1.1780000000000001E-2</v>
      </c>
      <c r="V1266" s="12">
        <f>T1266*U1266</f>
        <v>54.352920000000005</v>
      </c>
      <c r="W1266" s="13">
        <v>0</v>
      </c>
      <c r="X1266" s="12">
        <f>V1266-(V1266/(1+W1266))</f>
        <v>0</v>
      </c>
      <c r="Y1266" s="12">
        <f>V1266-X1266</f>
        <v>54.352920000000005</v>
      </c>
      <c r="Z1266" s="14">
        <v>90</v>
      </c>
      <c r="AA1266" s="2" t="str">
        <f>IF(V1266&gt;Z1266,"Yes","No")</f>
        <v>No</v>
      </c>
      <c r="AB1266" s="12">
        <f>V1266-Z1266</f>
        <v>-35.647079999999995</v>
      </c>
      <c r="AC1266" s="15" t="s">
        <v>130</v>
      </c>
      <c r="AD1266" s="15" t="s">
        <v>131</v>
      </c>
      <c r="AE1266" s="15" t="s">
        <v>514</v>
      </c>
      <c r="AF1266" s="12">
        <f>IF(AG1266="Rejected",0,IF(R1266="Corporate Card",0,V1266))</f>
        <v>0</v>
      </c>
      <c r="AG1266" s="15" t="s">
        <v>133</v>
      </c>
      <c r="AH1266" s="16">
        <v>45806</v>
      </c>
      <c r="AI1266" s="16">
        <v>45813</v>
      </c>
      <c r="AJ1266" s="16">
        <v>45826</v>
      </c>
      <c r="AK1266" s="17">
        <f>IF(AJ1266="","",AJ1266-AH1266)</f>
        <v>20</v>
      </c>
    </row>
    <row r="1267" spans="1:37">
      <c r="A1267" s="2" t="s">
        <v>1690</v>
      </c>
      <c r="B1267" s="2" t="s">
        <v>287</v>
      </c>
      <c r="C1267" s="2" t="s">
        <v>288</v>
      </c>
      <c r="D1267" s="2" t="s">
        <v>171</v>
      </c>
      <c r="E1267" s="2" t="s">
        <v>289</v>
      </c>
      <c r="F1267" s="2" t="s">
        <v>173</v>
      </c>
      <c r="G1267" s="2" t="s">
        <v>1671</v>
      </c>
      <c r="H1267" s="2" t="s">
        <v>748</v>
      </c>
      <c r="I1267" s="2" t="s">
        <v>433</v>
      </c>
      <c r="J1267" s="2" t="s">
        <v>434</v>
      </c>
      <c r="K1267" s="9">
        <v>45795</v>
      </c>
      <c r="L1267" s="9">
        <v>45800</v>
      </c>
      <c r="M1267" s="9">
        <v>45797</v>
      </c>
      <c r="N1267" s="2" t="s">
        <v>1595</v>
      </c>
      <c r="O1267" s="2" t="s">
        <v>58</v>
      </c>
      <c r="P1267" s="2" t="s">
        <v>142</v>
      </c>
      <c r="Q1267" s="2" t="s">
        <v>156</v>
      </c>
      <c r="R1267" s="2" t="s">
        <v>128</v>
      </c>
      <c r="S1267" s="2" t="s">
        <v>436</v>
      </c>
      <c r="T1267" s="10">
        <v>3562</v>
      </c>
      <c r="U1267" s="11">
        <v>1.1780000000000001E-2</v>
      </c>
      <c r="V1267" s="12">
        <f>T1267*U1267</f>
        <v>41.960360000000001</v>
      </c>
      <c r="W1267" s="13">
        <v>0.18</v>
      </c>
      <c r="X1267" s="12">
        <f>V1267-(V1267/(1+W1267))</f>
        <v>6.4007328813559283</v>
      </c>
      <c r="Y1267" s="12">
        <f>V1267-X1267</f>
        <v>35.559627118644073</v>
      </c>
      <c r="Z1267" s="14">
        <v>60</v>
      </c>
      <c r="AA1267" s="2" t="str">
        <f>IF(V1267&gt;Z1267,"Yes","No")</f>
        <v>No</v>
      </c>
      <c r="AB1267" s="12">
        <f>V1267-Z1267</f>
        <v>-18.039639999999999</v>
      </c>
      <c r="AC1267" s="15" t="s">
        <v>130</v>
      </c>
      <c r="AD1267" s="15" t="s">
        <v>131</v>
      </c>
      <c r="AE1267" s="15" t="s">
        <v>514</v>
      </c>
      <c r="AF1267" s="12">
        <f>IF(AG1267="Rejected",0,IF(R1267="Corporate Card",0,V1267))</f>
        <v>0</v>
      </c>
      <c r="AG1267" s="15" t="s">
        <v>133</v>
      </c>
      <c r="AH1267" s="16">
        <v>45806</v>
      </c>
      <c r="AI1267" s="16">
        <v>45813</v>
      </c>
      <c r="AJ1267" s="16">
        <v>45826</v>
      </c>
      <c r="AK1267" s="17">
        <f>IF(AJ1267="","",AJ1267-AH1267)</f>
        <v>20</v>
      </c>
    </row>
    <row r="1268" spans="1:37">
      <c r="A1268" s="2" t="s">
        <v>1691</v>
      </c>
      <c r="B1268" s="2" t="s">
        <v>287</v>
      </c>
      <c r="C1268" s="2" t="s">
        <v>288</v>
      </c>
      <c r="D1268" s="2" t="s">
        <v>171</v>
      </c>
      <c r="E1268" s="2" t="s">
        <v>289</v>
      </c>
      <c r="F1268" s="2" t="s">
        <v>173</v>
      </c>
      <c r="G1268" s="2" t="s">
        <v>1671</v>
      </c>
      <c r="H1268" s="2" t="s">
        <v>748</v>
      </c>
      <c r="I1268" s="2" t="s">
        <v>433</v>
      </c>
      <c r="J1268" s="2" t="s">
        <v>434</v>
      </c>
      <c r="K1268" s="9">
        <v>45795</v>
      </c>
      <c r="L1268" s="9">
        <v>45800</v>
      </c>
      <c r="M1268" s="9">
        <v>45797</v>
      </c>
      <c r="N1268" s="2" t="s">
        <v>1595</v>
      </c>
      <c r="O1268" s="2" t="s">
        <v>56</v>
      </c>
      <c r="P1268" s="2" t="s">
        <v>151</v>
      </c>
      <c r="Q1268" s="2" t="s">
        <v>166</v>
      </c>
      <c r="R1268" s="2" t="s">
        <v>149</v>
      </c>
      <c r="S1268" s="2" t="s">
        <v>436</v>
      </c>
      <c r="T1268" s="10">
        <v>4592</v>
      </c>
      <c r="U1268" s="11">
        <v>1.1780000000000001E-2</v>
      </c>
      <c r="V1268" s="12">
        <f>T1268*U1268</f>
        <v>54.093760000000003</v>
      </c>
      <c r="W1268" s="13">
        <v>0.18</v>
      </c>
      <c r="X1268" s="12">
        <f>V1268-(V1268/(1+W1268))</f>
        <v>8.2515905084745711</v>
      </c>
      <c r="Y1268" s="12">
        <f>V1268-X1268</f>
        <v>45.842169491525432</v>
      </c>
      <c r="Z1268" s="14">
        <v>75</v>
      </c>
      <c r="AA1268" s="2" t="str">
        <f>IF(V1268&gt;Z1268,"Yes","No")</f>
        <v>No</v>
      </c>
      <c r="AB1268" s="12">
        <f>V1268-Z1268</f>
        <v>-20.906239999999997</v>
      </c>
      <c r="AC1268" s="15" t="s">
        <v>130</v>
      </c>
      <c r="AD1268" s="15" t="s">
        <v>131</v>
      </c>
      <c r="AE1268" s="15" t="s">
        <v>514</v>
      </c>
      <c r="AF1268" s="12">
        <f>IF(AG1268="Rejected",0,IF(R1268="Corporate Card",0,V1268))</f>
        <v>54.093760000000003</v>
      </c>
      <c r="AG1268" s="15" t="s">
        <v>133</v>
      </c>
      <c r="AH1268" s="16">
        <v>45806</v>
      </c>
      <c r="AI1268" s="16">
        <v>45813</v>
      </c>
      <c r="AJ1268" s="16">
        <v>45826</v>
      </c>
      <c r="AK1268" s="17">
        <f>IF(AJ1268="","",AJ1268-AH1268)</f>
        <v>20</v>
      </c>
    </row>
    <row r="1269" spans="1:37">
      <c r="A1269" s="2" t="s">
        <v>1692</v>
      </c>
      <c r="B1269" s="2" t="s">
        <v>287</v>
      </c>
      <c r="C1269" s="2" t="s">
        <v>288</v>
      </c>
      <c r="D1269" s="2" t="s">
        <v>171</v>
      </c>
      <c r="E1269" s="2" t="s">
        <v>289</v>
      </c>
      <c r="F1269" s="2" t="s">
        <v>173</v>
      </c>
      <c r="G1269" s="2" t="s">
        <v>1671</v>
      </c>
      <c r="H1269" s="2" t="s">
        <v>748</v>
      </c>
      <c r="I1269" s="2" t="s">
        <v>433</v>
      </c>
      <c r="J1269" s="2" t="s">
        <v>434</v>
      </c>
      <c r="K1269" s="9">
        <v>45795</v>
      </c>
      <c r="L1269" s="9">
        <v>45800</v>
      </c>
      <c r="M1269" s="9">
        <v>45797</v>
      </c>
      <c r="N1269" s="2" t="s">
        <v>1595</v>
      </c>
      <c r="O1269" s="2" t="s">
        <v>55</v>
      </c>
      <c r="P1269" s="2" t="s">
        <v>139</v>
      </c>
      <c r="Q1269" s="2" t="s">
        <v>161</v>
      </c>
      <c r="R1269" s="2" t="s">
        <v>149</v>
      </c>
      <c r="S1269" s="2" t="s">
        <v>436</v>
      </c>
      <c r="T1269" s="10">
        <v>1451</v>
      </c>
      <c r="U1269" s="11">
        <v>1.1780000000000001E-2</v>
      </c>
      <c r="V1269" s="12">
        <f>T1269*U1269</f>
        <v>17.092780000000001</v>
      </c>
      <c r="W1269" s="13">
        <v>0.18</v>
      </c>
      <c r="X1269" s="12">
        <f>V1269-(V1269/(1+W1269))</f>
        <v>2.6073732203389817</v>
      </c>
      <c r="Y1269" s="12">
        <f>V1269-X1269</f>
        <v>14.48540677966102</v>
      </c>
      <c r="Z1269" s="14">
        <v>35</v>
      </c>
      <c r="AA1269" s="2" t="str">
        <f>IF(V1269&gt;Z1269,"Yes","No")</f>
        <v>No</v>
      </c>
      <c r="AB1269" s="12">
        <f>V1269-Z1269</f>
        <v>-17.907219999999999</v>
      </c>
      <c r="AC1269" s="15" t="s">
        <v>131</v>
      </c>
      <c r="AD1269" s="15" t="s">
        <v>131</v>
      </c>
      <c r="AE1269" s="15" t="s">
        <v>514</v>
      </c>
      <c r="AF1269" s="12">
        <f>IF(AG1269="Rejected",0,IF(R1269="Corporate Card",0,V1269))</f>
        <v>17.092780000000001</v>
      </c>
      <c r="AG1269" s="15" t="s">
        <v>133</v>
      </c>
      <c r="AH1269" s="16">
        <v>45806</v>
      </c>
      <c r="AI1269" s="16">
        <v>45813</v>
      </c>
      <c r="AJ1269" s="16">
        <v>45826</v>
      </c>
      <c r="AK1269" s="17">
        <f>IF(AJ1269="","",AJ1269-AH1269)</f>
        <v>20</v>
      </c>
    </row>
    <row r="1270" spans="1:37">
      <c r="A1270" s="2" t="s">
        <v>1693</v>
      </c>
      <c r="B1270" s="2" t="s">
        <v>648</v>
      </c>
      <c r="C1270" s="2" t="s">
        <v>173</v>
      </c>
      <c r="D1270" s="2" t="s">
        <v>171</v>
      </c>
      <c r="E1270" s="2" t="s">
        <v>649</v>
      </c>
      <c r="F1270" s="2" t="s">
        <v>313</v>
      </c>
      <c r="G1270" s="2" t="s">
        <v>1694</v>
      </c>
      <c r="H1270" s="2" t="s">
        <v>254</v>
      </c>
      <c r="I1270" s="2" t="s">
        <v>749</v>
      </c>
      <c r="J1270" s="2" t="s">
        <v>750</v>
      </c>
      <c r="K1270" s="9">
        <v>45798</v>
      </c>
      <c r="L1270" s="9">
        <v>45804</v>
      </c>
      <c r="M1270" s="9">
        <v>45798</v>
      </c>
      <c r="N1270" s="2" t="s">
        <v>1595</v>
      </c>
      <c r="O1270" s="2" t="s">
        <v>52</v>
      </c>
      <c r="P1270" s="2" t="s">
        <v>751</v>
      </c>
      <c r="Q1270" s="2" t="s">
        <v>178</v>
      </c>
      <c r="R1270" s="2" t="s">
        <v>137</v>
      </c>
      <c r="S1270" s="2" t="s">
        <v>198</v>
      </c>
      <c r="T1270" s="10">
        <v>2328.9499999999998</v>
      </c>
      <c r="U1270" s="11">
        <v>1.085</v>
      </c>
      <c r="V1270" s="12">
        <f>T1270*U1270</f>
        <v>2526.9107499999996</v>
      </c>
      <c r="W1270" s="13">
        <v>0</v>
      </c>
      <c r="X1270" s="12">
        <f>V1270-(V1270/(1+W1270))</f>
        <v>0</v>
      </c>
      <c r="Y1270" s="12">
        <f>V1270-X1270</f>
        <v>2526.9107499999996</v>
      </c>
      <c r="Z1270" s="14">
        <v>1400</v>
      </c>
      <c r="AA1270" s="2" t="str">
        <f>IF(V1270&gt;Z1270,"Yes","No")</f>
        <v>Yes</v>
      </c>
      <c r="AB1270" s="12">
        <f>V1270-Z1270</f>
        <v>1126.9107499999996</v>
      </c>
      <c r="AC1270" s="15" t="s">
        <v>130</v>
      </c>
      <c r="AD1270" s="15" t="s">
        <v>131</v>
      </c>
      <c r="AE1270" s="15" t="s">
        <v>421</v>
      </c>
      <c r="AF1270" s="12">
        <f>IF(AG1270="Rejected",0,IF(R1270="Corporate Card",0,V1270))</f>
        <v>2526.9107499999996</v>
      </c>
      <c r="AG1270" s="15" t="s">
        <v>133</v>
      </c>
      <c r="AH1270" s="16">
        <v>45815</v>
      </c>
      <c r="AI1270" s="16">
        <v>45821</v>
      </c>
      <c r="AJ1270" s="16">
        <v>45827</v>
      </c>
      <c r="AK1270" s="17">
        <f>IF(AJ1270="","",AJ1270-AH1270)</f>
        <v>12</v>
      </c>
    </row>
    <row r="1271" spans="1:37">
      <c r="A1271" s="2" t="s">
        <v>1695</v>
      </c>
      <c r="B1271" s="2" t="s">
        <v>648</v>
      </c>
      <c r="C1271" s="2" t="s">
        <v>173</v>
      </c>
      <c r="D1271" s="2" t="s">
        <v>171</v>
      </c>
      <c r="E1271" s="2" t="s">
        <v>649</v>
      </c>
      <c r="F1271" s="2" t="s">
        <v>313</v>
      </c>
      <c r="G1271" s="2" t="s">
        <v>1694</v>
      </c>
      <c r="H1271" s="2" t="s">
        <v>254</v>
      </c>
      <c r="I1271" s="2" t="s">
        <v>749</v>
      </c>
      <c r="J1271" s="2" t="s">
        <v>750</v>
      </c>
      <c r="K1271" s="9">
        <v>45798</v>
      </c>
      <c r="L1271" s="9">
        <v>45804</v>
      </c>
      <c r="M1271" s="9">
        <v>45798</v>
      </c>
      <c r="N1271" s="2" t="s">
        <v>1595</v>
      </c>
      <c r="O1271" s="2" t="s">
        <v>63</v>
      </c>
      <c r="P1271" s="2" t="s">
        <v>200</v>
      </c>
      <c r="Q1271" s="2" t="s">
        <v>1347</v>
      </c>
      <c r="R1271" s="2" t="s">
        <v>128</v>
      </c>
      <c r="S1271" s="2" t="s">
        <v>198</v>
      </c>
      <c r="T1271" s="10">
        <v>438</v>
      </c>
      <c r="U1271" s="11">
        <v>1.085</v>
      </c>
      <c r="V1271" s="12">
        <f>T1271*U1271</f>
        <v>475.22999999999996</v>
      </c>
      <c r="W1271" s="13">
        <v>0</v>
      </c>
      <c r="X1271" s="12">
        <f>V1271-(V1271/(1+W1271))</f>
        <v>0</v>
      </c>
      <c r="Y1271" s="12">
        <f>V1271-X1271</f>
        <v>475.22999999999996</v>
      </c>
      <c r="Z1271" s="14">
        <v>1200</v>
      </c>
      <c r="AA1271" s="2" t="str">
        <f>IF(V1271&gt;Z1271,"Yes","No")</f>
        <v>No</v>
      </c>
      <c r="AB1271" s="12">
        <f>V1271-Z1271</f>
        <v>-724.77</v>
      </c>
      <c r="AC1271" s="15" t="s">
        <v>130</v>
      </c>
      <c r="AD1271" s="15" t="s">
        <v>131</v>
      </c>
      <c r="AE1271" s="15" t="s">
        <v>421</v>
      </c>
      <c r="AF1271" s="12">
        <f>IF(AG1271="Rejected",0,IF(R1271="Corporate Card",0,V1271))</f>
        <v>0</v>
      </c>
      <c r="AG1271" s="15" t="s">
        <v>133</v>
      </c>
      <c r="AH1271" s="16">
        <v>45815</v>
      </c>
      <c r="AI1271" s="16">
        <v>45821</v>
      </c>
      <c r="AJ1271" s="16">
        <v>45827</v>
      </c>
      <c r="AK1271" s="17">
        <f>IF(AJ1271="","",AJ1271-AH1271)</f>
        <v>12</v>
      </c>
    </row>
    <row r="1272" spans="1:37">
      <c r="A1272" s="2" t="s">
        <v>1696</v>
      </c>
      <c r="B1272" s="2" t="s">
        <v>648</v>
      </c>
      <c r="C1272" s="2" t="s">
        <v>173</v>
      </c>
      <c r="D1272" s="2" t="s">
        <v>171</v>
      </c>
      <c r="E1272" s="2" t="s">
        <v>649</v>
      </c>
      <c r="F1272" s="2" t="s">
        <v>313</v>
      </c>
      <c r="G1272" s="2" t="s">
        <v>1694</v>
      </c>
      <c r="H1272" s="2" t="s">
        <v>254</v>
      </c>
      <c r="I1272" s="2" t="s">
        <v>749</v>
      </c>
      <c r="J1272" s="2" t="s">
        <v>750</v>
      </c>
      <c r="K1272" s="9">
        <v>45798</v>
      </c>
      <c r="L1272" s="9">
        <v>45804</v>
      </c>
      <c r="M1272" s="9">
        <v>45798</v>
      </c>
      <c r="N1272" s="2" t="s">
        <v>1595</v>
      </c>
      <c r="O1272" s="2" t="s">
        <v>58</v>
      </c>
      <c r="P1272" s="2" t="s">
        <v>142</v>
      </c>
      <c r="Q1272" s="2" t="s">
        <v>143</v>
      </c>
      <c r="R1272" s="2" t="s">
        <v>137</v>
      </c>
      <c r="S1272" s="2" t="s">
        <v>198</v>
      </c>
      <c r="T1272" s="10">
        <v>28.01</v>
      </c>
      <c r="U1272" s="11">
        <v>1.085</v>
      </c>
      <c r="V1272" s="12">
        <f>T1272*U1272</f>
        <v>30.39085</v>
      </c>
      <c r="W1272" s="13">
        <v>0.19</v>
      </c>
      <c r="X1272" s="12">
        <f>V1272-(V1272/(1+W1272))</f>
        <v>4.852320588235294</v>
      </c>
      <c r="Y1272" s="12">
        <f>V1272-X1272</f>
        <v>25.538529411764706</v>
      </c>
      <c r="Z1272" s="14">
        <v>60</v>
      </c>
      <c r="AA1272" s="2" t="str">
        <f>IF(V1272&gt;Z1272,"Yes","No")</f>
        <v>No</v>
      </c>
      <c r="AB1272" s="12">
        <f>V1272-Z1272</f>
        <v>-29.60915</v>
      </c>
      <c r="AC1272" s="15" t="s">
        <v>130</v>
      </c>
      <c r="AD1272" s="15" t="s">
        <v>131</v>
      </c>
      <c r="AE1272" s="15" t="s">
        <v>421</v>
      </c>
      <c r="AF1272" s="12">
        <f>IF(AG1272="Rejected",0,IF(R1272="Corporate Card",0,V1272))</f>
        <v>30.39085</v>
      </c>
      <c r="AG1272" s="15" t="s">
        <v>133</v>
      </c>
      <c r="AH1272" s="16">
        <v>45815</v>
      </c>
      <c r="AI1272" s="16">
        <v>45821</v>
      </c>
      <c r="AJ1272" s="16">
        <v>45827</v>
      </c>
      <c r="AK1272" s="17">
        <f>IF(AJ1272="","",AJ1272-AH1272)</f>
        <v>12</v>
      </c>
    </row>
    <row r="1273" spans="1:37">
      <c r="A1273" s="2" t="s">
        <v>1697</v>
      </c>
      <c r="B1273" s="2" t="s">
        <v>648</v>
      </c>
      <c r="C1273" s="2" t="s">
        <v>173</v>
      </c>
      <c r="D1273" s="2" t="s">
        <v>171</v>
      </c>
      <c r="E1273" s="2" t="s">
        <v>649</v>
      </c>
      <c r="F1273" s="2" t="s">
        <v>313</v>
      </c>
      <c r="G1273" s="2" t="s">
        <v>1694</v>
      </c>
      <c r="H1273" s="2" t="s">
        <v>254</v>
      </c>
      <c r="I1273" s="2" t="s">
        <v>749</v>
      </c>
      <c r="J1273" s="2" t="s">
        <v>750</v>
      </c>
      <c r="K1273" s="9">
        <v>45798</v>
      </c>
      <c r="L1273" s="9">
        <v>45804</v>
      </c>
      <c r="M1273" s="9">
        <v>45798</v>
      </c>
      <c r="N1273" s="2" t="s">
        <v>1595</v>
      </c>
      <c r="O1273" s="2" t="s">
        <v>54</v>
      </c>
      <c r="P1273" s="2" t="s">
        <v>139</v>
      </c>
      <c r="Q1273" s="2" t="s">
        <v>163</v>
      </c>
      <c r="R1273" s="2" t="s">
        <v>149</v>
      </c>
      <c r="S1273" s="2" t="s">
        <v>198</v>
      </c>
      <c r="T1273" s="10">
        <v>10.45</v>
      </c>
      <c r="U1273" s="11">
        <v>1.085</v>
      </c>
      <c r="V1273" s="12">
        <f>T1273*U1273</f>
        <v>11.338249999999999</v>
      </c>
      <c r="W1273" s="13">
        <v>0.19</v>
      </c>
      <c r="X1273" s="12">
        <f>V1273-(V1273/(1+W1273))</f>
        <v>1.8103088235294109</v>
      </c>
      <c r="Y1273" s="12">
        <f>V1273-X1273</f>
        <v>9.5279411764705877</v>
      </c>
      <c r="Z1273" s="14">
        <v>25</v>
      </c>
      <c r="AA1273" s="2" t="str">
        <f>IF(V1273&gt;Z1273,"Yes","No")</f>
        <v>No</v>
      </c>
      <c r="AB1273" s="12">
        <f>V1273-Z1273</f>
        <v>-13.661750000000001</v>
      </c>
      <c r="AC1273" s="15" t="s">
        <v>130</v>
      </c>
      <c r="AD1273" s="15" t="s">
        <v>131</v>
      </c>
      <c r="AE1273" s="15" t="s">
        <v>421</v>
      </c>
      <c r="AF1273" s="12">
        <f>IF(AG1273="Rejected",0,IF(R1273="Corporate Card",0,V1273))</f>
        <v>11.338249999999999</v>
      </c>
      <c r="AG1273" s="15" t="s">
        <v>133</v>
      </c>
      <c r="AH1273" s="16">
        <v>45815</v>
      </c>
      <c r="AI1273" s="16">
        <v>45821</v>
      </c>
      <c r="AJ1273" s="16">
        <v>45827</v>
      </c>
      <c r="AK1273" s="17">
        <f>IF(AJ1273="","",AJ1273-AH1273)</f>
        <v>12</v>
      </c>
    </row>
    <row r="1274" spans="1:37">
      <c r="A1274" s="2" t="s">
        <v>1698</v>
      </c>
      <c r="B1274" s="2" t="s">
        <v>550</v>
      </c>
      <c r="C1274" s="2" t="s">
        <v>551</v>
      </c>
      <c r="D1274" s="2" t="s">
        <v>171</v>
      </c>
      <c r="E1274" s="2" t="s">
        <v>172</v>
      </c>
      <c r="F1274" s="2" t="s">
        <v>173</v>
      </c>
      <c r="G1274" s="2" t="s">
        <v>1685</v>
      </c>
      <c r="H1274" s="2" t="s">
        <v>803</v>
      </c>
      <c r="I1274" s="2" t="s">
        <v>1038</v>
      </c>
      <c r="J1274" s="2" t="s">
        <v>381</v>
      </c>
      <c r="K1274" s="9">
        <v>45797</v>
      </c>
      <c r="L1274" s="9">
        <v>45800</v>
      </c>
      <c r="M1274" s="9">
        <v>45798</v>
      </c>
      <c r="N1274" s="2" t="s">
        <v>1595</v>
      </c>
      <c r="O1274" s="2" t="s">
        <v>58</v>
      </c>
      <c r="P1274" s="2" t="s">
        <v>142</v>
      </c>
      <c r="Q1274" s="2" t="s">
        <v>296</v>
      </c>
      <c r="R1274" s="2" t="s">
        <v>128</v>
      </c>
      <c r="S1274" s="2" t="s">
        <v>383</v>
      </c>
      <c r="T1274" s="10">
        <v>37.24</v>
      </c>
      <c r="U1274" s="11">
        <v>1</v>
      </c>
      <c r="V1274" s="12">
        <f>T1274*U1274</f>
        <v>37.24</v>
      </c>
      <c r="W1274" s="13">
        <v>0</v>
      </c>
      <c r="X1274" s="12">
        <f>V1274-(V1274/(1+W1274))</f>
        <v>0</v>
      </c>
      <c r="Y1274" s="12">
        <f>V1274-X1274</f>
        <v>37.24</v>
      </c>
      <c r="Z1274" s="14">
        <v>60</v>
      </c>
      <c r="AA1274" s="2" t="str">
        <f>IF(V1274&gt;Z1274,"Yes","No")</f>
        <v>No</v>
      </c>
      <c r="AB1274" s="12">
        <f>V1274-Z1274</f>
        <v>-22.759999999999998</v>
      </c>
      <c r="AC1274" s="15" t="s">
        <v>130</v>
      </c>
      <c r="AD1274" s="15" t="s">
        <v>130</v>
      </c>
      <c r="AE1274" s="15" t="s">
        <v>421</v>
      </c>
      <c r="AF1274" s="12">
        <f>IF(AG1274="Rejected",0,IF(R1274="Corporate Card",0,V1274))</f>
        <v>0</v>
      </c>
      <c r="AG1274" s="15" t="s">
        <v>133</v>
      </c>
      <c r="AH1274" s="16">
        <v>45807</v>
      </c>
      <c r="AI1274" s="16">
        <v>45816</v>
      </c>
      <c r="AJ1274" s="16">
        <v>45819</v>
      </c>
      <c r="AK1274" s="17">
        <f>IF(AJ1274="","",AJ1274-AH1274)</f>
        <v>12</v>
      </c>
    </row>
    <row r="1275" spans="1:37">
      <c r="A1275" s="2" t="s">
        <v>1699</v>
      </c>
      <c r="B1275" s="2" t="s">
        <v>550</v>
      </c>
      <c r="C1275" s="2" t="s">
        <v>551</v>
      </c>
      <c r="D1275" s="2" t="s">
        <v>171</v>
      </c>
      <c r="E1275" s="2" t="s">
        <v>172</v>
      </c>
      <c r="F1275" s="2" t="s">
        <v>173</v>
      </c>
      <c r="G1275" s="2" t="s">
        <v>1685</v>
      </c>
      <c r="H1275" s="2" t="s">
        <v>803</v>
      </c>
      <c r="I1275" s="2" t="s">
        <v>1038</v>
      </c>
      <c r="J1275" s="2" t="s">
        <v>381</v>
      </c>
      <c r="K1275" s="9">
        <v>45797</v>
      </c>
      <c r="L1275" s="9">
        <v>45800</v>
      </c>
      <c r="M1275" s="9">
        <v>45798</v>
      </c>
      <c r="N1275" s="2" t="s">
        <v>1595</v>
      </c>
      <c r="O1275" s="2" t="s">
        <v>53</v>
      </c>
      <c r="P1275" s="2" t="s">
        <v>145</v>
      </c>
      <c r="Q1275" s="2" t="s">
        <v>305</v>
      </c>
      <c r="R1275" s="2" t="s">
        <v>128</v>
      </c>
      <c r="S1275" s="2" t="s">
        <v>383</v>
      </c>
      <c r="T1275" s="10">
        <v>325.67</v>
      </c>
      <c r="U1275" s="11">
        <v>1</v>
      </c>
      <c r="V1275" s="12">
        <f>T1275*U1275</f>
        <v>325.67</v>
      </c>
      <c r="W1275" s="13">
        <v>0</v>
      </c>
      <c r="X1275" s="12">
        <f>V1275-(V1275/(1+W1275))</f>
        <v>0</v>
      </c>
      <c r="Y1275" s="12">
        <f>V1275-X1275</f>
        <v>325.67</v>
      </c>
      <c r="Z1275" s="14">
        <v>840</v>
      </c>
      <c r="AA1275" s="2" t="str">
        <f>IF(V1275&gt;Z1275,"Yes","No")</f>
        <v>No</v>
      </c>
      <c r="AB1275" s="12">
        <f>V1275-Z1275</f>
        <v>-514.32999999999993</v>
      </c>
      <c r="AC1275" s="15" t="s">
        <v>130</v>
      </c>
      <c r="AD1275" s="15" t="s">
        <v>130</v>
      </c>
      <c r="AE1275" s="15" t="s">
        <v>421</v>
      </c>
      <c r="AF1275" s="12">
        <f>IF(AG1275="Rejected",0,IF(R1275="Corporate Card",0,V1275))</f>
        <v>0</v>
      </c>
      <c r="AG1275" s="15" t="s">
        <v>133</v>
      </c>
      <c r="AH1275" s="16">
        <v>45807</v>
      </c>
      <c r="AI1275" s="16">
        <v>45816</v>
      </c>
      <c r="AJ1275" s="16">
        <v>45819</v>
      </c>
      <c r="AK1275" s="17">
        <f>IF(AJ1275="","",AJ1275-AH1275)</f>
        <v>12</v>
      </c>
    </row>
    <row r="1276" spans="1:37">
      <c r="A1276" s="2" t="s">
        <v>1700</v>
      </c>
      <c r="B1276" s="2" t="s">
        <v>550</v>
      </c>
      <c r="C1276" s="2" t="s">
        <v>551</v>
      </c>
      <c r="D1276" s="2" t="s">
        <v>171</v>
      </c>
      <c r="E1276" s="2" t="s">
        <v>172</v>
      </c>
      <c r="F1276" s="2" t="s">
        <v>173</v>
      </c>
      <c r="G1276" s="2" t="s">
        <v>1685</v>
      </c>
      <c r="H1276" s="2" t="s">
        <v>803</v>
      </c>
      <c r="I1276" s="2" t="s">
        <v>1038</v>
      </c>
      <c r="J1276" s="2" t="s">
        <v>381</v>
      </c>
      <c r="K1276" s="9">
        <v>45797</v>
      </c>
      <c r="L1276" s="9">
        <v>45800</v>
      </c>
      <c r="M1276" s="9">
        <v>45798</v>
      </c>
      <c r="N1276" s="2" t="s">
        <v>1595</v>
      </c>
      <c r="O1276" s="2" t="s">
        <v>56</v>
      </c>
      <c r="P1276" s="2" t="s">
        <v>151</v>
      </c>
      <c r="Q1276" s="2" t="s">
        <v>227</v>
      </c>
      <c r="R1276" s="2" t="s">
        <v>137</v>
      </c>
      <c r="S1276" s="2" t="s">
        <v>383</v>
      </c>
      <c r="T1276" s="10">
        <v>69.41</v>
      </c>
      <c r="U1276" s="11">
        <v>1</v>
      </c>
      <c r="V1276" s="12">
        <f>T1276*U1276</f>
        <v>69.41</v>
      </c>
      <c r="W1276" s="13">
        <v>0</v>
      </c>
      <c r="X1276" s="12">
        <f>V1276-(V1276/(1+W1276))</f>
        <v>0</v>
      </c>
      <c r="Y1276" s="12">
        <f>V1276-X1276</f>
        <v>69.41</v>
      </c>
      <c r="Z1276" s="14">
        <v>75</v>
      </c>
      <c r="AA1276" s="2" t="str">
        <f>IF(V1276&gt;Z1276,"Yes","No")</f>
        <v>No</v>
      </c>
      <c r="AB1276" s="12">
        <f>V1276-Z1276</f>
        <v>-5.5900000000000034</v>
      </c>
      <c r="AC1276" s="15" t="s">
        <v>130</v>
      </c>
      <c r="AD1276" s="15" t="s">
        <v>130</v>
      </c>
      <c r="AE1276" s="15" t="s">
        <v>421</v>
      </c>
      <c r="AF1276" s="12">
        <f>IF(AG1276="Rejected",0,IF(R1276="Corporate Card",0,V1276))</f>
        <v>69.41</v>
      </c>
      <c r="AG1276" s="15" t="s">
        <v>133</v>
      </c>
      <c r="AH1276" s="16">
        <v>45807</v>
      </c>
      <c r="AI1276" s="16">
        <v>45816</v>
      </c>
      <c r="AJ1276" s="16">
        <v>45819</v>
      </c>
      <c r="AK1276" s="17">
        <f>IF(AJ1276="","",AJ1276-AH1276)</f>
        <v>12</v>
      </c>
    </row>
    <row r="1277" spans="1:37">
      <c r="A1277" s="2" t="s">
        <v>1701</v>
      </c>
      <c r="B1277" s="2" t="s">
        <v>550</v>
      </c>
      <c r="C1277" s="2" t="s">
        <v>551</v>
      </c>
      <c r="D1277" s="2" t="s">
        <v>171</v>
      </c>
      <c r="E1277" s="2" t="s">
        <v>172</v>
      </c>
      <c r="F1277" s="2" t="s">
        <v>173</v>
      </c>
      <c r="G1277" s="2" t="s">
        <v>1685</v>
      </c>
      <c r="H1277" s="2" t="s">
        <v>803</v>
      </c>
      <c r="I1277" s="2" t="s">
        <v>1038</v>
      </c>
      <c r="J1277" s="2" t="s">
        <v>381</v>
      </c>
      <c r="K1277" s="9">
        <v>45797</v>
      </c>
      <c r="L1277" s="9">
        <v>45800</v>
      </c>
      <c r="M1277" s="9">
        <v>45798</v>
      </c>
      <c r="N1277" s="2" t="s">
        <v>1595</v>
      </c>
      <c r="O1277" s="2" t="s">
        <v>55</v>
      </c>
      <c r="P1277" s="2" t="s">
        <v>139</v>
      </c>
      <c r="Q1277" s="2" t="s">
        <v>154</v>
      </c>
      <c r="R1277" s="2" t="s">
        <v>137</v>
      </c>
      <c r="S1277" s="2" t="s">
        <v>383</v>
      </c>
      <c r="T1277" s="10">
        <v>53.43</v>
      </c>
      <c r="U1277" s="11">
        <v>1</v>
      </c>
      <c r="V1277" s="12">
        <f>T1277*U1277</f>
        <v>53.43</v>
      </c>
      <c r="W1277" s="13">
        <v>0</v>
      </c>
      <c r="X1277" s="12">
        <f>V1277-(V1277/(1+W1277))</f>
        <v>0</v>
      </c>
      <c r="Y1277" s="12">
        <f>V1277-X1277</f>
        <v>53.43</v>
      </c>
      <c r="Z1277" s="14">
        <v>35</v>
      </c>
      <c r="AA1277" s="2" t="str">
        <f>IF(V1277&gt;Z1277,"Yes","No")</f>
        <v>Yes</v>
      </c>
      <c r="AB1277" s="12">
        <f>V1277-Z1277</f>
        <v>18.43</v>
      </c>
      <c r="AC1277" s="15" t="s">
        <v>130</v>
      </c>
      <c r="AD1277" s="15" t="s">
        <v>130</v>
      </c>
      <c r="AE1277" s="15" t="s">
        <v>421</v>
      </c>
      <c r="AF1277" s="12">
        <f>IF(AG1277="Rejected",0,IF(R1277="Corporate Card",0,V1277))</f>
        <v>53.43</v>
      </c>
      <c r="AG1277" s="15" t="s">
        <v>133</v>
      </c>
      <c r="AH1277" s="16">
        <v>45807</v>
      </c>
      <c r="AI1277" s="16">
        <v>45816</v>
      </c>
      <c r="AJ1277" s="16">
        <v>45819</v>
      </c>
      <c r="AK1277" s="17">
        <f>IF(AJ1277="","",AJ1277-AH1277)</f>
        <v>12</v>
      </c>
    </row>
    <row r="1278" spans="1:37">
      <c r="A1278" s="2" t="s">
        <v>1702</v>
      </c>
      <c r="B1278" s="2" t="s">
        <v>287</v>
      </c>
      <c r="C1278" s="2" t="s">
        <v>288</v>
      </c>
      <c r="D1278" s="2" t="s">
        <v>171</v>
      </c>
      <c r="E1278" s="2" t="s">
        <v>289</v>
      </c>
      <c r="F1278" s="2" t="s">
        <v>173</v>
      </c>
      <c r="G1278" s="2" t="s">
        <v>1671</v>
      </c>
      <c r="H1278" s="2" t="s">
        <v>748</v>
      </c>
      <c r="I1278" s="2" t="s">
        <v>433</v>
      </c>
      <c r="J1278" s="2" t="s">
        <v>434</v>
      </c>
      <c r="K1278" s="9">
        <v>45795</v>
      </c>
      <c r="L1278" s="9">
        <v>45800</v>
      </c>
      <c r="M1278" s="9">
        <v>45798</v>
      </c>
      <c r="N1278" s="2" t="s">
        <v>1595</v>
      </c>
      <c r="O1278" s="2" t="s">
        <v>58</v>
      </c>
      <c r="P1278" s="2" t="s">
        <v>142</v>
      </c>
      <c r="Q1278" s="2" t="s">
        <v>156</v>
      </c>
      <c r="R1278" s="2" t="s">
        <v>128</v>
      </c>
      <c r="S1278" s="2" t="s">
        <v>436</v>
      </c>
      <c r="T1278" s="10">
        <v>3874</v>
      </c>
      <c r="U1278" s="11">
        <v>1.1780000000000001E-2</v>
      </c>
      <c r="V1278" s="12">
        <f>T1278*U1278</f>
        <v>45.635719999999999</v>
      </c>
      <c r="W1278" s="13">
        <v>0.18</v>
      </c>
      <c r="X1278" s="12">
        <f>V1278-(V1278/(1+W1278))</f>
        <v>6.9613810169491472</v>
      </c>
      <c r="Y1278" s="12">
        <f>V1278-X1278</f>
        <v>38.674338983050852</v>
      </c>
      <c r="Z1278" s="14">
        <v>60</v>
      </c>
      <c r="AA1278" s="2" t="str">
        <f>IF(V1278&gt;Z1278,"Yes","No")</f>
        <v>No</v>
      </c>
      <c r="AB1278" s="12">
        <f>V1278-Z1278</f>
        <v>-14.364280000000001</v>
      </c>
      <c r="AC1278" s="15" t="s">
        <v>130</v>
      </c>
      <c r="AD1278" s="15" t="s">
        <v>131</v>
      </c>
      <c r="AE1278" s="15" t="s">
        <v>514</v>
      </c>
      <c r="AF1278" s="12">
        <f>IF(AG1278="Rejected",0,IF(R1278="Corporate Card",0,V1278))</f>
        <v>0</v>
      </c>
      <c r="AG1278" s="15" t="s">
        <v>133</v>
      </c>
      <c r="AH1278" s="16">
        <v>45806</v>
      </c>
      <c r="AI1278" s="16">
        <v>45813</v>
      </c>
      <c r="AJ1278" s="16">
        <v>45826</v>
      </c>
      <c r="AK1278" s="17">
        <f>IF(AJ1278="","",AJ1278-AH1278)</f>
        <v>20</v>
      </c>
    </row>
    <row r="1279" spans="1:37">
      <c r="A1279" s="2" t="s">
        <v>1703</v>
      </c>
      <c r="B1279" s="2" t="s">
        <v>287</v>
      </c>
      <c r="C1279" s="2" t="s">
        <v>288</v>
      </c>
      <c r="D1279" s="2" t="s">
        <v>171</v>
      </c>
      <c r="E1279" s="2" t="s">
        <v>289</v>
      </c>
      <c r="F1279" s="2" t="s">
        <v>173</v>
      </c>
      <c r="G1279" s="2" t="s">
        <v>1671</v>
      </c>
      <c r="H1279" s="2" t="s">
        <v>748</v>
      </c>
      <c r="I1279" s="2" t="s">
        <v>433</v>
      </c>
      <c r="J1279" s="2" t="s">
        <v>434</v>
      </c>
      <c r="K1279" s="9">
        <v>45795</v>
      </c>
      <c r="L1279" s="9">
        <v>45800</v>
      </c>
      <c r="M1279" s="9">
        <v>45798</v>
      </c>
      <c r="N1279" s="2" t="s">
        <v>1595</v>
      </c>
      <c r="O1279" s="2" t="s">
        <v>68</v>
      </c>
      <c r="P1279" s="2" t="s">
        <v>282</v>
      </c>
      <c r="Q1279" s="2" t="s">
        <v>283</v>
      </c>
      <c r="R1279" s="2" t="s">
        <v>128</v>
      </c>
      <c r="S1279" s="2" t="s">
        <v>436</v>
      </c>
      <c r="T1279" s="10">
        <v>2340</v>
      </c>
      <c r="U1279" s="11">
        <v>1.1780000000000001E-2</v>
      </c>
      <c r="V1279" s="12">
        <f>T1279*U1279</f>
        <v>27.565200000000001</v>
      </c>
      <c r="W1279" s="13">
        <v>0.18</v>
      </c>
      <c r="X1279" s="12">
        <f>V1279-(V1279/(1+W1279))</f>
        <v>4.2048610169491525</v>
      </c>
      <c r="Y1279" s="12">
        <f>V1279-X1279</f>
        <v>23.360338983050848</v>
      </c>
      <c r="Z1279" s="14">
        <v>30</v>
      </c>
      <c r="AA1279" s="2" t="str">
        <f>IF(V1279&gt;Z1279,"Yes","No")</f>
        <v>No</v>
      </c>
      <c r="AB1279" s="12">
        <f>V1279-Z1279</f>
        <v>-2.4347999999999992</v>
      </c>
      <c r="AC1279" s="15" t="s">
        <v>130</v>
      </c>
      <c r="AD1279" s="15" t="s">
        <v>131</v>
      </c>
      <c r="AE1279" s="15" t="s">
        <v>514</v>
      </c>
      <c r="AF1279" s="12">
        <f>IF(AG1279="Rejected",0,IF(R1279="Corporate Card",0,V1279))</f>
        <v>0</v>
      </c>
      <c r="AG1279" s="15" t="s">
        <v>133</v>
      </c>
      <c r="AH1279" s="16">
        <v>45806</v>
      </c>
      <c r="AI1279" s="16">
        <v>45813</v>
      </c>
      <c r="AJ1279" s="16">
        <v>45826</v>
      </c>
      <c r="AK1279" s="17">
        <f>IF(AJ1279="","",AJ1279-AH1279)</f>
        <v>20</v>
      </c>
    </row>
    <row r="1280" spans="1:37">
      <c r="A1280" s="2" t="s">
        <v>1704</v>
      </c>
      <c r="B1280" s="2" t="s">
        <v>287</v>
      </c>
      <c r="C1280" s="2" t="s">
        <v>288</v>
      </c>
      <c r="D1280" s="2" t="s">
        <v>171</v>
      </c>
      <c r="E1280" s="2" t="s">
        <v>289</v>
      </c>
      <c r="F1280" s="2" t="s">
        <v>173</v>
      </c>
      <c r="G1280" s="2" t="s">
        <v>1671</v>
      </c>
      <c r="H1280" s="2" t="s">
        <v>748</v>
      </c>
      <c r="I1280" s="2" t="s">
        <v>433</v>
      </c>
      <c r="J1280" s="2" t="s">
        <v>434</v>
      </c>
      <c r="K1280" s="9">
        <v>45795</v>
      </c>
      <c r="L1280" s="9">
        <v>45800</v>
      </c>
      <c r="M1280" s="9">
        <v>45798</v>
      </c>
      <c r="N1280" s="2" t="s">
        <v>1595</v>
      </c>
      <c r="O1280" s="2" t="s">
        <v>56</v>
      </c>
      <c r="P1280" s="2" t="s">
        <v>165</v>
      </c>
      <c r="Q1280" s="2" t="s">
        <v>166</v>
      </c>
      <c r="R1280" s="2" t="s">
        <v>128</v>
      </c>
      <c r="S1280" s="2" t="s">
        <v>436</v>
      </c>
      <c r="T1280" s="10">
        <v>4738</v>
      </c>
      <c r="U1280" s="11">
        <v>1.1780000000000001E-2</v>
      </c>
      <c r="V1280" s="12">
        <f>T1280*U1280</f>
        <v>55.813639999999999</v>
      </c>
      <c r="W1280" s="13">
        <v>0.18</v>
      </c>
      <c r="X1280" s="12">
        <f>V1280-(V1280/(1+W1280))</f>
        <v>8.5139450847457567</v>
      </c>
      <c r="Y1280" s="12">
        <f>V1280-X1280</f>
        <v>47.299694915254243</v>
      </c>
      <c r="Z1280" s="14">
        <v>75</v>
      </c>
      <c r="AA1280" s="2" t="str">
        <f>IF(V1280&gt;Z1280,"Yes","No")</f>
        <v>No</v>
      </c>
      <c r="AB1280" s="12">
        <f>V1280-Z1280</f>
        <v>-19.186360000000001</v>
      </c>
      <c r="AC1280" s="15" t="s">
        <v>130</v>
      </c>
      <c r="AD1280" s="15" t="s">
        <v>131</v>
      </c>
      <c r="AE1280" s="15" t="s">
        <v>514</v>
      </c>
      <c r="AF1280" s="12">
        <f>IF(AG1280="Rejected",0,IF(R1280="Corporate Card",0,V1280))</f>
        <v>0</v>
      </c>
      <c r="AG1280" s="15" t="s">
        <v>133</v>
      </c>
      <c r="AH1280" s="16">
        <v>45806</v>
      </c>
      <c r="AI1280" s="16">
        <v>45813</v>
      </c>
      <c r="AJ1280" s="16">
        <v>45826</v>
      </c>
      <c r="AK1280" s="17">
        <f>IF(AJ1280="","",AJ1280-AH1280)</f>
        <v>20</v>
      </c>
    </row>
    <row r="1281" spans="1:37">
      <c r="A1281" s="2" t="s">
        <v>1705</v>
      </c>
      <c r="B1281" s="2" t="s">
        <v>287</v>
      </c>
      <c r="C1281" s="2" t="s">
        <v>288</v>
      </c>
      <c r="D1281" s="2" t="s">
        <v>171</v>
      </c>
      <c r="E1281" s="2" t="s">
        <v>289</v>
      </c>
      <c r="F1281" s="2" t="s">
        <v>173</v>
      </c>
      <c r="G1281" s="2" t="s">
        <v>1671</v>
      </c>
      <c r="H1281" s="2" t="s">
        <v>748</v>
      </c>
      <c r="I1281" s="2" t="s">
        <v>433</v>
      </c>
      <c r="J1281" s="2" t="s">
        <v>434</v>
      </c>
      <c r="K1281" s="9">
        <v>45795</v>
      </c>
      <c r="L1281" s="9">
        <v>45800</v>
      </c>
      <c r="M1281" s="9">
        <v>45798</v>
      </c>
      <c r="N1281" s="2" t="s">
        <v>1595</v>
      </c>
      <c r="O1281" s="2" t="s">
        <v>55</v>
      </c>
      <c r="P1281" s="2" t="s">
        <v>139</v>
      </c>
      <c r="Q1281" s="2" t="s">
        <v>154</v>
      </c>
      <c r="R1281" s="2" t="s">
        <v>149</v>
      </c>
      <c r="S1281" s="2" t="s">
        <v>436</v>
      </c>
      <c r="T1281" s="10">
        <v>2453</v>
      </c>
      <c r="U1281" s="11">
        <v>1.1780000000000001E-2</v>
      </c>
      <c r="V1281" s="12">
        <f>T1281*U1281</f>
        <v>28.896340000000002</v>
      </c>
      <c r="W1281" s="13">
        <v>0.18</v>
      </c>
      <c r="X1281" s="12">
        <f>V1281-(V1281/(1+W1281))</f>
        <v>4.4079162711864406</v>
      </c>
      <c r="Y1281" s="12">
        <f>V1281-X1281</f>
        <v>24.488423728813562</v>
      </c>
      <c r="Z1281" s="14">
        <v>35</v>
      </c>
      <c r="AA1281" s="2" t="str">
        <f>IF(V1281&gt;Z1281,"Yes","No")</f>
        <v>No</v>
      </c>
      <c r="AB1281" s="12">
        <f>V1281-Z1281</f>
        <v>-6.1036599999999979</v>
      </c>
      <c r="AC1281" s="15" t="s">
        <v>130</v>
      </c>
      <c r="AD1281" s="15" t="s">
        <v>131</v>
      </c>
      <c r="AE1281" s="15" t="s">
        <v>514</v>
      </c>
      <c r="AF1281" s="12">
        <f>IF(AG1281="Rejected",0,IF(R1281="Corporate Card",0,V1281))</f>
        <v>28.896340000000002</v>
      </c>
      <c r="AG1281" s="15" t="s">
        <v>133</v>
      </c>
      <c r="AH1281" s="16">
        <v>45806</v>
      </c>
      <c r="AI1281" s="16">
        <v>45813</v>
      </c>
      <c r="AJ1281" s="16">
        <v>45826</v>
      </c>
      <c r="AK1281" s="17">
        <f>IF(AJ1281="","",AJ1281-AH1281)</f>
        <v>20</v>
      </c>
    </row>
    <row r="1282" spans="1:37">
      <c r="A1282" s="2" t="s">
        <v>1706</v>
      </c>
      <c r="B1282" s="2" t="s">
        <v>648</v>
      </c>
      <c r="C1282" s="2" t="s">
        <v>173</v>
      </c>
      <c r="D1282" s="2" t="s">
        <v>171</v>
      </c>
      <c r="E1282" s="2" t="s">
        <v>649</v>
      </c>
      <c r="F1282" s="2" t="s">
        <v>313</v>
      </c>
      <c r="G1282" s="2" t="s">
        <v>1694</v>
      </c>
      <c r="H1282" s="2" t="s">
        <v>254</v>
      </c>
      <c r="I1282" s="2" t="s">
        <v>749</v>
      </c>
      <c r="J1282" s="2" t="s">
        <v>750</v>
      </c>
      <c r="K1282" s="9">
        <v>45798</v>
      </c>
      <c r="L1282" s="9">
        <v>45804</v>
      </c>
      <c r="M1282" s="9">
        <v>45799</v>
      </c>
      <c r="N1282" s="2" t="s">
        <v>1595</v>
      </c>
      <c r="O1282" s="2" t="s">
        <v>58</v>
      </c>
      <c r="P1282" s="2" t="s">
        <v>142</v>
      </c>
      <c r="Q1282" s="2" t="s">
        <v>143</v>
      </c>
      <c r="R1282" s="2" t="s">
        <v>128</v>
      </c>
      <c r="S1282" s="2" t="s">
        <v>198</v>
      </c>
      <c r="T1282" s="10">
        <v>42.25</v>
      </c>
      <c r="U1282" s="11">
        <v>1.085</v>
      </c>
      <c r="V1282" s="12">
        <f>T1282*U1282</f>
        <v>45.841249999999995</v>
      </c>
      <c r="W1282" s="13">
        <v>0.19</v>
      </c>
      <c r="X1282" s="12">
        <f>V1282-(V1282/(1+W1282))</f>
        <v>7.3191911764705893</v>
      </c>
      <c r="Y1282" s="12">
        <f>V1282-X1282</f>
        <v>38.522058823529406</v>
      </c>
      <c r="Z1282" s="14">
        <v>60</v>
      </c>
      <c r="AA1282" s="2" t="str">
        <f>IF(V1282&gt;Z1282,"Yes","No")</f>
        <v>No</v>
      </c>
      <c r="AB1282" s="12">
        <f>V1282-Z1282</f>
        <v>-14.158750000000005</v>
      </c>
      <c r="AC1282" s="15" t="s">
        <v>130</v>
      </c>
      <c r="AD1282" s="15" t="s">
        <v>131</v>
      </c>
      <c r="AE1282" s="15" t="s">
        <v>421</v>
      </c>
      <c r="AF1282" s="12">
        <f>IF(AG1282="Rejected",0,IF(R1282="Corporate Card",0,V1282))</f>
        <v>0</v>
      </c>
      <c r="AG1282" s="15" t="s">
        <v>133</v>
      </c>
      <c r="AH1282" s="16">
        <v>45815</v>
      </c>
      <c r="AI1282" s="16">
        <v>45821</v>
      </c>
      <c r="AJ1282" s="16">
        <v>45827</v>
      </c>
      <c r="AK1282" s="17">
        <f>IF(AJ1282="","",AJ1282-AH1282)</f>
        <v>12</v>
      </c>
    </row>
    <row r="1283" spans="1:37">
      <c r="A1283" s="2" t="s">
        <v>1707</v>
      </c>
      <c r="B1283" s="2" t="s">
        <v>648</v>
      </c>
      <c r="C1283" s="2" t="s">
        <v>173</v>
      </c>
      <c r="D1283" s="2" t="s">
        <v>171</v>
      </c>
      <c r="E1283" s="2" t="s">
        <v>649</v>
      </c>
      <c r="F1283" s="2" t="s">
        <v>313</v>
      </c>
      <c r="G1283" s="2" t="s">
        <v>1694</v>
      </c>
      <c r="H1283" s="2" t="s">
        <v>254</v>
      </c>
      <c r="I1283" s="2" t="s">
        <v>749</v>
      </c>
      <c r="J1283" s="2" t="s">
        <v>750</v>
      </c>
      <c r="K1283" s="9">
        <v>45798</v>
      </c>
      <c r="L1283" s="9">
        <v>45804</v>
      </c>
      <c r="M1283" s="9">
        <v>45799</v>
      </c>
      <c r="N1283" s="2" t="s">
        <v>1595</v>
      </c>
      <c r="O1283" s="2" t="s">
        <v>53</v>
      </c>
      <c r="P1283" s="2" t="s">
        <v>467</v>
      </c>
      <c r="Q1283" s="2" t="s">
        <v>272</v>
      </c>
      <c r="R1283" s="2" t="s">
        <v>128</v>
      </c>
      <c r="S1283" s="2" t="s">
        <v>198</v>
      </c>
      <c r="T1283" s="10">
        <v>1261.9000000000001</v>
      </c>
      <c r="U1283" s="11">
        <v>1.085</v>
      </c>
      <c r="V1283" s="12">
        <f>T1283*U1283</f>
        <v>1369.1615000000002</v>
      </c>
      <c r="W1283" s="13">
        <v>0.19</v>
      </c>
      <c r="X1283" s="12">
        <f>V1283-(V1283/(1+W1283))</f>
        <v>218.60561764705881</v>
      </c>
      <c r="Y1283" s="12">
        <f>V1283-X1283</f>
        <v>1150.5558823529414</v>
      </c>
      <c r="Z1283" s="14">
        <v>1680</v>
      </c>
      <c r="AA1283" s="2" t="str">
        <f>IF(V1283&gt;Z1283,"Yes","No")</f>
        <v>No</v>
      </c>
      <c r="AB1283" s="12">
        <f>V1283-Z1283</f>
        <v>-310.83849999999984</v>
      </c>
      <c r="AC1283" s="15" t="s">
        <v>130</v>
      </c>
      <c r="AD1283" s="15" t="s">
        <v>131</v>
      </c>
      <c r="AE1283" s="15" t="s">
        <v>421</v>
      </c>
      <c r="AF1283" s="12">
        <f>IF(AG1283="Rejected",0,IF(R1283="Corporate Card",0,V1283))</f>
        <v>0</v>
      </c>
      <c r="AG1283" s="15" t="s">
        <v>133</v>
      </c>
      <c r="AH1283" s="16">
        <v>45815</v>
      </c>
      <c r="AI1283" s="16">
        <v>45821</v>
      </c>
      <c r="AJ1283" s="16">
        <v>45827</v>
      </c>
      <c r="AK1283" s="17">
        <f>IF(AJ1283="","",AJ1283-AH1283)</f>
        <v>12</v>
      </c>
    </row>
    <row r="1284" spans="1:37">
      <c r="A1284" s="2" t="s">
        <v>1708</v>
      </c>
      <c r="B1284" s="2" t="s">
        <v>648</v>
      </c>
      <c r="C1284" s="2" t="s">
        <v>173</v>
      </c>
      <c r="D1284" s="2" t="s">
        <v>171</v>
      </c>
      <c r="E1284" s="2" t="s">
        <v>649</v>
      </c>
      <c r="F1284" s="2" t="s">
        <v>313</v>
      </c>
      <c r="G1284" s="2" t="s">
        <v>1694</v>
      </c>
      <c r="H1284" s="2" t="s">
        <v>254</v>
      </c>
      <c r="I1284" s="2" t="s">
        <v>749</v>
      </c>
      <c r="J1284" s="2" t="s">
        <v>750</v>
      </c>
      <c r="K1284" s="9">
        <v>45798</v>
      </c>
      <c r="L1284" s="9">
        <v>45804</v>
      </c>
      <c r="M1284" s="9">
        <v>45799</v>
      </c>
      <c r="N1284" s="2" t="s">
        <v>1595</v>
      </c>
      <c r="O1284" s="2" t="s">
        <v>54</v>
      </c>
      <c r="P1284" s="2" t="s">
        <v>139</v>
      </c>
      <c r="Q1284" s="2" t="s">
        <v>214</v>
      </c>
      <c r="R1284" s="2" t="s">
        <v>128</v>
      </c>
      <c r="S1284" s="2" t="s">
        <v>198</v>
      </c>
      <c r="T1284" s="10">
        <v>17.600000000000001</v>
      </c>
      <c r="U1284" s="11">
        <v>1.085</v>
      </c>
      <c r="V1284" s="12">
        <f>T1284*U1284</f>
        <v>19.096</v>
      </c>
      <c r="W1284" s="13">
        <v>0.19</v>
      </c>
      <c r="X1284" s="12">
        <f>V1284-(V1284/(1+W1284))</f>
        <v>3.0489411764705885</v>
      </c>
      <c r="Y1284" s="12">
        <f>V1284-X1284</f>
        <v>16.047058823529412</v>
      </c>
      <c r="Z1284" s="14">
        <v>25</v>
      </c>
      <c r="AA1284" s="2" t="str">
        <f>IF(V1284&gt;Z1284,"Yes","No")</f>
        <v>No</v>
      </c>
      <c r="AB1284" s="12">
        <f>V1284-Z1284</f>
        <v>-5.9039999999999999</v>
      </c>
      <c r="AC1284" s="15" t="s">
        <v>130</v>
      </c>
      <c r="AD1284" s="15" t="s">
        <v>131</v>
      </c>
      <c r="AE1284" s="15" t="s">
        <v>421</v>
      </c>
      <c r="AF1284" s="12">
        <f>IF(AG1284="Rejected",0,IF(R1284="Corporate Card",0,V1284))</f>
        <v>0</v>
      </c>
      <c r="AG1284" s="15" t="s">
        <v>133</v>
      </c>
      <c r="AH1284" s="16">
        <v>45815</v>
      </c>
      <c r="AI1284" s="16">
        <v>45821</v>
      </c>
      <c r="AJ1284" s="16">
        <v>45827</v>
      </c>
      <c r="AK1284" s="17">
        <f>IF(AJ1284="","",AJ1284-AH1284)</f>
        <v>12</v>
      </c>
    </row>
    <row r="1285" spans="1:37">
      <c r="A1285" s="2" t="s">
        <v>1709</v>
      </c>
      <c r="B1285" s="2" t="s">
        <v>648</v>
      </c>
      <c r="C1285" s="2" t="s">
        <v>173</v>
      </c>
      <c r="D1285" s="2" t="s">
        <v>171</v>
      </c>
      <c r="E1285" s="2" t="s">
        <v>649</v>
      </c>
      <c r="F1285" s="2" t="s">
        <v>313</v>
      </c>
      <c r="G1285" s="2" t="s">
        <v>1694</v>
      </c>
      <c r="H1285" s="2" t="s">
        <v>254</v>
      </c>
      <c r="I1285" s="2" t="s">
        <v>749</v>
      </c>
      <c r="J1285" s="2" t="s">
        <v>750</v>
      </c>
      <c r="K1285" s="9">
        <v>45798</v>
      </c>
      <c r="L1285" s="9">
        <v>45804</v>
      </c>
      <c r="M1285" s="9">
        <v>45799</v>
      </c>
      <c r="N1285" s="2" t="s">
        <v>1595</v>
      </c>
      <c r="O1285" s="2" t="s">
        <v>55</v>
      </c>
      <c r="P1285" s="2" t="s">
        <v>139</v>
      </c>
      <c r="Q1285" s="2" t="s">
        <v>154</v>
      </c>
      <c r="R1285" s="2" t="s">
        <v>137</v>
      </c>
      <c r="S1285" s="2" t="s">
        <v>198</v>
      </c>
      <c r="T1285" s="10">
        <v>24.2</v>
      </c>
      <c r="U1285" s="11">
        <v>1.085</v>
      </c>
      <c r="V1285" s="12">
        <f>T1285*U1285</f>
        <v>26.256999999999998</v>
      </c>
      <c r="W1285" s="13">
        <v>0.19</v>
      </c>
      <c r="X1285" s="12">
        <f>V1285-(V1285/(1+W1285))</f>
        <v>4.1922941176470587</v>
      </c>
      <c r="Y1285" s="12">
        <f>V1285-X1285</f>
        <v>22.064705882352939</v>
      </c>
      <c r="Z1285" s="14">
        <v>35</v>
      </c>
      <c r="AA1285" s="2" t="str">
        <f>IF(V1285&gt;Z1285,"Yes","No")</f>
        <v>No</v>
      </c>
      <c r="AB1285" s="12">
        <f>V1285-Z1285</f>
        <v>-8.7430000000000021</v>
      </c>
      <c r="AC1285" s="15" t="s">
        <v>130</v>
      </c>
      <c r="AD1285" s="15" t="s">
        <v>131</v>
      </c>
      <c r="AE1285" s="15" t="s">
        <v>421</v>
      </c>
      <c r="AF1285" s="12">
        <f>IF(AG1285="Rejected",0,IF(R1285="Corporate Card",0,V1285))</f>
        <v>26.256999999999998</v>
      </c>
      <c r="AG1285" s="15" t="s">
        <v>133</v>
      </c>
      <c r="AH1285" s="16">
        <v>45815</v>
      </c>
      <c r="AI1285" s="16">
        <v>45821</v>
      </c>
      <c r="AJ1285" s="16">
        <v>45827</v>
      </c>
      <c r="AK1285" s="17">
        <f>IF(AJ1285="","",AJ1285-AH1285)</f>
        <v>12</v>
      </c>
    </row>
    <row r="1286" spans="1:37">
      <c r="A1286" s="2" t="s">
        <v>1710</v>
      </c>
      <c r="B1286" s="2" t="s">
        <v>550</v>
      </c>
      <c r="C1286" s="2" t="s">
        <v>551</v>
      </c>
      <c r="D1286" s="2" t="s">
        <v>171</v>
      </c>
      <c r="E1286" s="2" t="s">
        <v>172</v>
      </c>
      <c r="F1286" s="2" t="s">
        <v>173</v>
      </c>
      <c r="G1286" s="2" t="s">
        <v>1685</v>
      </c>
      <c r="H1286" s="2" t="s">
        <v>803</v>
      </c>
      <c r="I1286" s="2" t="s">
        <v>1038</v>
      </c>
      <c r="J1286" s="2" t="s">
        <v>381</v>
      </c>
      <c r="K1286" s="9">
        <v>45797</v>
      </c>
      <c r="L1286" s="9">
        <v>45800</v>
      </c>
      <c r="M1286" s="9">
        <v>45799</v>
      </c>
      <c r="N1286" s="2" t="s">
        <v>1595</v>
      </c>
      <c r="O1286" s="2" t="s">
        <v>54</v>
      </c>
      <c r="P1286" s="2" t="s">
        <v>139</v>
      </c>
      <c r="Q1286" s="2" t="s">
        <v>163</v>
      </c>
      <c r="R1286" s="2" t="s">
        <v>128</v>
      </c>
      <c r="S1286" s="2" t="s">
        <v>383</v>
      </c>
      <c r="T1286" s="10">
        <v>24.85</v>
      </c>
      <c r="U1286" s="11">
        <v>1</v>
      </c>
      <c r="V1286" s="12">
        <f>T1286*U1286</f>
        <v>24.85</v>
      </c>
      <c r="W1286" s="13">
        <v>0</v>
      </c>
      <c r="X1286" s="12">
        <f>V1286-(V1286/(1+W1286))</f>
        <v>0</v>
      </c>
      <c r="Y1286" s="12">
        <f>V1286-X1286</f>
        <v>24.85</v>
      </c>
      <c r="Z1286" s="14">
        <v>25</v>
      </c>
      <c r="AA1286" s="2" t="str">
        <f>IF(V1286&gt;Z1286,"Yes","No")</f>
        <v>No</v>
      </c>
      <c r="AB1286" s="12">
        <f>V1286-Z1286</f>
        <v>-0.14999999999999858</v>
      </c>
      <c r="AC1286" s="15" t="s">
        <v>130</v>
      </c>
      <c r="AD1286" s="15" t="s">
        <v>130</v>
      </c>
      <c r="AE1286" s="15" t="s">
        <v>421</v>
      </c>
      <c r="AF1286" s="12">
        <f>IF(AG1286="Rejected",0,IF(R1286="Corporate Card",0,V1286))</f>
        <v>0</v>
      </c>
      <c r="AG1286" s="15" t="s">
        <v>133</v>
      </c>
      <c r="AH1286" s="16">
        <v>45807</v>
      </c>
      <c r="AI1286" s="16">
        <v>45816</v>
      </c>
      <c r="AJ1286" s="16">
        <v>45819</v>
      </c>
      <c r="AK1286" s="17">
        <f>IF(AJ1286="","",AJ1286-AH1286)</f>
        <v>12</v>
      </c>
    </row>
    <row r="1287" spans="1:37">
      <c r="A1287" s="2" t="s">
        <v>1711</v>
      </c>
      <c r="B1287" s="2" t="s">
        <v>550</v>
      </c>
      <c r="C1287" s="2" t="s">
        <v>551</v>
      </c>
      <c r="D1287" s="2" t="s">
        <v>171</v>
      </c>
      <c r="E1287" s="2" t="s">
        <v>172</v>
      </c>
      <c r="F1287" s="2" t="s">
        <v>173</v>
      </c>
      <c r="G1287" s="2" t="s">
        <v>1685</v>
      </c>
      <c r="H1287" s="2" t="s">
        <v>803</v>
      </c>
      <c r="I1287" s="2" t="s">
        <v>1038</v>
      </c>
      <c r="J1287" s="2" t="s">
        <v>381</v>
      </c>
      <c r="K1287" s="9">
        <v>45797</v>
      </c>
      <c r="L1287" s="9">
        <v>45800</v>
      </c>
      <c r="M1287" s="9">
        <v>45799</v>
      </c>
      <c r="N1287" s="2" t="s">
        <v>1595</v>
      </c>
      <c r="O1287" s="2" t="s">
        <v>55</v>
      </c>
      <c r="P1287" s="2" t="s">
        <v>139</v>
      </c>
      <c r="Q1287" s="2" t="s">
        <v>217</v>
      </c>
      <c r="R1287" s="2" t="s">
        <v>149</v>
      </c>
      <c r="S1287" s="2" t="s">
        <v>383</v>
      </c>
      <c r="T1287" s="10">
        <v>18.350000000000001</v>
      </c>
      <c r="U1287" s="11">
        <v>1</v>
      </c>
      <c r="V1287" s="12">
        <f>T1287*U1287</f>
        <v>18.350000000000001</v>
      </c>
      <c r="W1287" s="13">
        <v>0</v>
      </c>
      <c r="X1287" s="12">
        <f>V1287-(V1287/(1+W1287))</f>
        <v>0</v>
      </c>
      <c r="Y1287" s="12">
        <f>V1287-X1287</f>
        <v>18.350000000000001</v>
      </c>
      <c r="Z1287" s="14">
        <v>35</v>
      </c>
      <c r="AA1287" s="2" t="str">
        <f>IF(V1287&gt;Z1287,"Yes","No")</f>
        <v>No</v>
      </c>
      <c r="AB1287" s="12">
        <f>V1287-Z1287</f>
        <v>-16.649999999999999</v>
      </c>
      <c r="AC1287" s="15" t="s">
        <v>130</v>
      </c>
      <c r="AD1287" s="15" t="s">
        <v>130</v>
      </c>
      <c r="AE1287" s="15" t="s">
        <v>421</v>
      </c>
      <c r="AF1287" s="12">
        <f>IF(AG1287="Rejected",0,IF(R1287="Corporate Card",0,V1287))</f>
        <v>18.350000000000001</v>
      </c>
      <c r="AG1287" s="15" t="s">
        <v>133</v>
      </c>
      <c r="AH1287" s="16">
        <v>45807</v>
      </c>
      <c r="AI1287" s="16">
        <v>45816</v>
      </c>
      <c r="AJ1287" s="16">
        <v>45819</v>
      </c>
      <c r="AK1287" s="17">
        <f>IF(AJ1287="","",AJ1287-AH1287)</f>
        <v>12</v>
      </c>
    </row>
    <row r="1288" spans="1:37">
      <c r="A1288" s="2" t="s">
        <v>1712</v>
      </c>
      <c r="B1288" s="2" t="s">
        <v>287</v>
      </c>
      <c r="C1288" s="2" t="s">
        <v>288</v>
      </c>
      <c r="D1288" s="2" t="s">
        <v>171</v>
      </c>
      <c r="E1288" s="2" t="s">
        <v>289</v>
      </c>
      <c r="F1288" s="2" t="s">
        <v>173</v>
      </c>
      <c r="G1288" s="2" t="s">
        <v>1671</v>
      </c>
      <c r="H1288" s="2" t="s">
        <v>748</v>
      </c>
      <c r="I1288" s="2" t="s">
        <v>433</v>
      </c>
      <c r="J1288" s="2" t="s">
        <v>434</v>
      </c>
      <c r="K1288" s="9">
        <v>45795</v>
      </c>
      <c r="L1288" s="9">
        <v>45800</v>
      </c>
      <c r="M1288" s="9">
        <v>45799</v>
      </c>
      <c r="N1288" s="2" t="s">
        <v>1595</v>
      </c>
      <c r="O1288" s="2" t="s">
        <v>57</v>
      </c>
      <c r="P1288" s="2" t="s">
        <v>398</v>
      </c>
      <c r="Q1288" s="2" t="s">
        <v>1204</v>
      </c>
      <c r="R1288" s="2" t="s">
        <v>128</v>
      </c>
      <c r="S1288" s="2" t="s">
        <v>436</v>
      </c>
      <c r="T1288" s="10">
        <v>20538</v>
      </c>
      <c r="U1288" s="11">
        <v>1.1780000000000001E-2</v>
      </c>
      <c r="V1288" s="12">
        <f>T1288*U1288</f>
        <v>241.93764000000002</v>
      </c>
      <c r="W1288" s="13">
        <v>0.18</v>
      </c>
      <c r="X1288" s="12">
        <f>V1288-(V1288/(1+W1288))</f>
        <v>36.905741694915235</v>
      </c>
      <c r="Y1288" s="12">
        <f>V1288-X1288</f>
        <v>205.03189830508478</v>
      </c>
      <c r="Z1288" s="14">
        <v>200</v>
      </c>
      <c r="AA1288" s="2" t="str">
        <f>IF(V1288&gt;Z1288,"Yes","No")</f>
        <v>Yes</v>
      </c>
      <c r="AB1288" s="12">
        <f>V1288-Z1288</f>
        <v>41.937640000000016</v>
      </c>
      <c r="AC1288" s="15" t="s">
        <v>131</v>
      </c>
      <c r="AD1288" s="15" t="s">
        <v>131</v>
      </c>
      <c r="AE1288" s="15" t="s">
        <v>514</v>
      </c>
      <c r="AF1288" s="12">
        <f>IF(AG1288="Rejected",0,IF(R1288="Corporate Card",0,V1288))</f>
        <v>0</v>
      </c>
      <c r="AG1288" s="15" t="s">
        <v>133</v>
      </c>
      <c r="AH1288" s="16">
        <v>45806</v>
      </c>
      <c r="AI1288" s="16">
        <v>45813</v>
      </c>
      <c r="AJ1288" s="16">
        <v>45826</v>
      </c>
      <c r="AK1288" s="17">
        <f>IF(AJ1288="","",AJ1288-AH1288)</f>
        <v>20</v>
      </c>
    </row>
    <row r="1289" spans="1:37">
      <c r="A1289" s="2" t="s">
        <v>1713</v>
      </c>
      <c r="B1289" s="2" t="s">
        <v>287</v>
      </c>
      <c r="C1289" s="2" t="s">
        <v>288</v>
      </c>
      <c r="D1289" s="2" t="s">
        <v>171</v>
      </c>
      <c r="E1289" s="2" t="s">
        <v>289</v>
      </c>
      <c r="F1289" s="2" t="s">
        <v>173</v>
      </c>
      <c r="G1289" s="2" t="s">
        <v>1671</v>
      </c>
      <c r="H1289" s="2" t="s">
        <v>748</v>
      </c>
      <c r="I1289" s="2" t="s">
        <v>433</v>
      </c>
      <c r="J1289" s="2" t="s">
        <v>434</v>
      </c>
      <c r="K1289" s="9">
        <v>45795</v>
      </c>
      <c r="L1289" s="9">
        <v>45800</v>
      </c>
      <c r="M1289" s="9">
        <v>45799</v>
      </c>
      <c r="N1289" s="2" t="s">
        <v>1595</v>
      </c>
      <c r="O1289" s="2" t="s">
        <v>58</v>
      </c>
      <c r="P1289" s="2" t="s">
        <v>142</v>
      </c>
      <c r="Q1289" s="2" t="s">
        <v>296</v>
      </c>
      <c r="R1289" s="2" t="s">
        <v>128</v>
      </c>
      <c r="S1289" s="2" t="s">
        <v>436</v>
      </c>
      <c r="T1289" s="10">
        <v>2812</v>
      </c>
      <c r="U1289" s="11">
        <v>1.1780000000000001E-2</v>
      </c>
      <c r="V1289" s="12">
        <f>T1289*U1289</f>
        <v>33.125360000000001</v>
      </c>
      <c r="W1289" s="13">
        <v>0.18</v>
      </c>
      <c r="X1289" s="12">
        <f>V1289-(V1289/(1+W1289))</f>
        <v>5.0530210169491525</v>
      </c>
      <c r="Y1289" s="12">
        <f>V1289-X1289</f>
        <v>28.072338983050848</v>
      </c>
      <c r="Z1289" s="14">
        <v>60</v>
      </c>
      <c r="AA1289" s="2" t="str">
        <f>IF(V1289&gt;Z1289,"Yes","No")</f>
        <v>No</v>
      </c>
      <c r="AB1289" s="12">
        <f>V1289-Z1289</f>
        <v>-26.874639999999999</v>
      </c>
      <c r="AC1289" s="15" t="s">
        <v>131</v>
      </c>
      <c r="AD1289" s="15" t="s">
        <v>131</v>
      </c>
      <c r="AE1289" s="15" t="s">
        <v>514</v>
      </c>
      <c r="AF1289" s="12">
        <f>IF(AG1289="Rejected",0,IF(R1289="Corporate Card",0,V1289))</f>
        <v>0</v>
      </c>
      <c r="AG1289" s="15" t="s">
        <v>133</v>
      </c>
      <c r="AH1289" s="16">
        <v>45806</v>
      </c>
      <c r="AI1289" s="16">
        <v>45813</v>
      </c>
      <c r="AJ1289" s="16">
        <v>45826</v>
      </c>
      <c r="AK1289" s="17">
        <f>IF(AJ1289="","",AJ1289-AH1289)</f>
        <v>20</v>
      </c>
    </row>
    <row r="1290" spans="1:37">
      <c r="A1290" s="2" t="s">
        <v>1714</v>
      </c>
      <c r="B1290" s="2" t="s">
        <v>287</v>
      </c>
      <c r="C1290" s="2" t="s">
        <v>288</v>
      </c>
      <c r="D1290" s="2" t="s">
        <v>171</v>
      </c>
      <c r="E1290" s="2" t="s">
        <v>289</v>
      </c>
      <c r="F1290" s="2" t="s">
        <v>173</v>
      </c>
      <c r="G1290" s="2" t="s">
        <v>1671</v>
      </c>
      <c r="H1290" s="2" t="s">
        <v>748</v>
      </c>
      <c r="I1290" s="2" t="s">
        <v>433</v>
      </c>
      <c r="J1290" s="2" t="s">
        <v>434</v>
      </c>
      <c r="K1290" s="9">
        <v>45795</v>
      </c>
      <c r="L1290" s="9">
        <v>45800</v>
      </c>
      <c r="M1290" s="9">
        <v>45799</v>
      </c>
      <c r="N1290" s="2" t="s">
        <v>1595</v>
      </c>
      <c r="O1290" s="2" t="s">
        <v>56</v>
      </c>
      <c r="P1290" s="2" t="s">
        <v>165</v>
      </c>
      <c r="Q1290" s="2" t="s">
        <v>159</v>
      </c>
      <c r="R1290" s="2" t="s">
        <v>128</v>
      </c>
      <c r="S1290" s="2" t="s">
        <v>436</v>
      </c>
      <c r="T1290" s="10">
        <v>3612</v>
      </c>
      <c r="U1290" s="11">
        <v>1.1780000000000001E-2</v>
      </c>
      <c r="V1290" s="12">
        <f>T1290*U1290</f>
        <v>42.54936</v>
      </c>
      <c r="W1290" s="13">
        <v>0.18</v>
      </c>
      <c r="X1290" s="12">
        <f>V1290-(V1290/(1+W1290))</f>
        <v>6.490580338983051</v>
      </c>
      <c r="Y1290" s="12">
        <f>V1290-X1290</f>
        <v>36.058779661016949</v>
      </c>
      <c r="Z1290" s="14">
        <v>75</v>
      </c>
      <c r="AA1290" s="2" t="str">
        <f>IF(V1290&gt;Z1290,"Yes","No")</f>
        <v>No</v>
      </c>
      <c r="AB1290" s="12">
        <f>V1290-Z1290</f>
        <v>-32.45064</v>
      </c>
      <c r="AC1290" s="15" t="s">
        <v>130</v>
      </c>
      <c r="AD1290" s="15" t="s">
        <v>131</v>
      </c>
      <c r="AE1290" s="15" t="s">
        <v>514</v>
      </c>
      <c r="AF1290" s="12">
        <f>IF(AG1290="Rejected",0,IF(R1290="Corporate Card",0,V1290))</f>
        <v>0</v>
      </c>
      <c r="AG1290" s="15" t="s">
        <v>133</v>
      </c>
      <c r="AH1290" s="16">
        <v>45806</v>
      </c>
      <c r="AI1290" s="16">
        <v>45813</v>
      </c>
      <c r="AJ1290" s="16">
        <v>45826</v>
      </c>
      <c r="AK1290" s="17">
        <f>IF(AJ1290="","",AJ1290-AH1290)</f>
        <v>20</v>
      </c>
    </row>
    <row r="1291" spans="1:37">
      <c r="A1291" s="2" t="s">
        <v>1715</v>
      </c>
      <c r="B1291" s="2" t="s">
        <v>287</v>
      </c>
      <c r="C1291" s="2" t="s">
        <v>288</v>
      </c>
      <c r="D1291" s="2" t="s">
        <v>171</v>
      </c>
      <c r="E1291" s="2" t="s">
        <v>289</v>
      </c>
      <c r="F1291" s="2" t="s">
        <v>173</v>
      </c>
      <c r="G1291" s="2" t="s">
        <v>1671</v>
      </c>
      <c r="H1291" s="2" t="s">
        <v>748</v>
      </c>
      <c r="I1291" s="2" t="s">
        <v>433</v>
      </c>
      <c r="J1291" s="2" t="s">
        <v>434</v>
      </c>
      <c r="K1291" s="9">
        <v>45795</v>
      </c>
      <c r="L1291" s="9">
        <v>45800</v>
      </c>
      <c r="M1291" s="9">
        <v>45799</v>
      </c>
      <c r="N1291" s="2" t="s">
        <v>1595</v>
      </c>
      <c r="O1291" s="2" t="s">
        <v>55</v>
      </c>
      <c r="P1291" s="2" t="s">
        <v>139</v>
      </c>
      <c r="Q1291" s="2" t="s">
        <v>187</v>
      </c>
      <c r="R1291" s="2" t="s">
        <v>149</v>
      </c>
      <c r="S1291" s="2" t="s">
        <v>436</v>
      </c>
      <c r="T1291" s="10">
        <v>1615</v>
      </c>
      <c r="U1291" s="11">
        <v>1.1780000000000001E-2</v>
      </c>
      <c r="V1291" s="12">
        <f>T1291*U1291</f>
        <v>19.024699999999999</v>
      </c>
      <c r="W1291" s="13">
        <v>0.18</v>
      </c>
      <c r="X1291" s="12">
        <f>V1291-(V1291/(1+W1291))</f>
        <v>2.9020728813559309</v>
      </c>
      <c r="Y1291" s="12">
        <f>V1291-X1291</f>
        <v>16.122627118644068</v>
      </c>
      <c r="Z1291" s="14">
        <v>35</v>
      </c>
      <c r="AA1291" s="2" t="str">
        <f>IF(V1291&gt;Z1291,"Yes","No")</f>
        <v>No</v>
      </c>
      <c r="AB1291" s="12">
        <f>V1291-Z1291</f>
        <v>-15.975300000000001</v>
      </c>
      <c r="AC1291" s="15" t="s">
        <v>130</v>
      </c>
      <c r="AD1291" s="15" t="s">
        <v>131</v>
      </c>
      <c r="AE1291" s="15" t="s">
        <v>514</v>
      </c>
      <c r="AF1291" s="12">
        <f>IF(AG1291="Rejected",0,IF(R1291="Corporate Card",0,V1291))</f>
        <v>19.024699999999999</v>
      </c>
      <c r="AG1291" s="15" t="s">
        <v>133</v>
      </c>
      <c r="AH1291" s="16">
        <v>45806</v>
      </c>
      <c r="AI1291" s="16">
        <v>45813</v>
      </c>
      <c r="AJ1291" s="16">
        <v>45826</v>
      </c>
      <c r="AK1291" s="17">
        <f>IF(AJ1291="","",AJ1291-AH1291)</f>
        <v>20</v>
      </c>
    </row>
    <row r="1292" spans="1:37">
      <c r="A1292" s="2" t="s">
        <v>1716</v>
      </c>
      <c r="B1292" s="2" t="s">
        <v>648</v>
      </c>
      <c r="C1292" s="2" t="s">
        <v>173</v>
      </c>
      <c r="D1292" s="2" t="s">
        <v>171</v>
      </c>
      <c r="E1292" s="2" t="s">
        <v>649</v>
      </c>
      <c r="F1292" s="2" t="s">
        <v>313</v>
      </c>
      <c r="G1292" s="2" t="s">
        <v>1694</v>
      </c>
      <c r="H1292" s="2" t="s">
        <v>254</v>
      </c>
      <c r="I1292" s="2" t="s">
        <v>749</v>
      </c>
      <c r="J1292" s="2" t="s">
        <v>750</v>
      </c>
      <c r="K1292" s="9">
        <v>45798</v>
      </c>
      <c r="L1292" s="9">
        <v>45804</v>
      </c>
      <c r="M1292" s="9">
        <v>45800</v>
      </c>
      <c r="N1292" s="2" t="s">
        <v>1595</v>
      </c>
      <c r="O1292" s="2" t="s">
        <v>58</v>
      </c>
      <c r="P1292" s="2" t="s">
        <v>142</v>
      </c>
      <c r="Q1292" s="2" t="s">
        <v>156</v>
      </c>
      <c r="R1292" s="2" t="s">
        <v>128</v>
      </c>
      <c r="S1292" s="2" t="s">
        <v>198</v>
      </c>
      <c r="T1292" s="10">
        <v>19.63</v>
      </c>
      <c r="U1292" s="11">
        <v>1.085</v>
      </c>
      <c r="V1292" s="12">
        <f>T1292*U1292</f>
        <v>21.298549999999999</v>
      </c>
      <c r="W1292" s="13">
        <v>0.19</v>
      </c>
      <c r="X1292" s="12">
        <f>V1292-(V1292/(1+W1292))</f>
        <v>3.4006088235294101</v>
      </c>
      <c r="Y1292" s="12">
        <f>V1292-X1292</f>
        <v>17.897941176470589</v>
      </c>
      <c r="Z1292" s="14">
        <v>60</v>
      </c>
      <c r="AA1292" s="2" t="str">
        <f>IF(V1292&gt;Z1292,"Yes","No")</f>
        <v>No</v>
      </c>
      <c r="AB1292" s="12">
        <f>V1292-Z1292</f>
        <v>-38.701450000000001</v>
      </c>
      <c r="AC1292" s="15" t="s">
        <v>130</v>
      </c>
      <c r="AD1292" s="15" t="s">
        <v>131</v>
      </c>
      <c r="AE1292" s="15" t="s">
        <v>421</v>
      </c>
      <c r="AF1292" s="12">
        <f>IF(AG1292="Rejected",0,IF(R1292="Corporate Card",0,V1292))</f>
        <v>0</v>
      </c>
      <c r="AG1292" s="15" t="s">
        <v>133</v>
      </c>
      <c r="AH1292" s="16">
        <v>45815</v>
      </c>
      <c r="AI1292" s="16">
        <v>45821</v>
      </c>
      <c r="AJ1292" s="16">
        <v>45827</v>
      </c>
      <c r="AK1292" s="17">
        <f>IF(AJ1292="","",AJ1292-AH1292)</f>
        <v>12</v>
      </c>
    </row>
    <row r="1293" spans="1:37">
      <c r="A1293" s="2" t="s">
        <v>1717</v>
      </c>
      <c r="B1293" s="2" t="s">
        <v>648</v>
      </c>
      <c r="C1293" s="2" t="s">
        <v>173</v>
      </c>
      <c r="D1293" s="2" t="s">
        <v>171</v>
      </c>
      <c r="E1293" s="2" t="s">
        <v>649</v>
      </c>
      <c r="F1293" s="2" t="s">
        <v>313</v>
      </c>
      <c r="G1293" s="2" t="s">
        <v>1694</v>
      </c>
      <c r="H1293" s="2" t="s">
        <v>254</v>
      </c>
      <c r="I1293" s="2" t="s">
        <v>749</v>
      </c>
      <c r="J1293" s="2" t="s">
        <v>750</v>
      </c>
      <c r="K1293" s="9">
        <v>45798</v>
      </c>
      <c r="L1293" s="9">
        <v>45804</v>
      </c>
      <c r="M1293" s="9">
        <v>45800</v>
      </c>
      <c r="N1293" s="2" t="s">
        <v>1595</v>
      </c>
      <c r="O1293" s="2" t="s">
        <v>54</v>
      </c>
      <c r="P1293" s="2" t="s">
        <v>139</v>
      </c>
      <c r="Q1293" s="2" t="s">
        <v>148</v>
      </c>
      <c r="R1293" s="2" t="s">
        <v>128</v>
      </c>
      <c r="S1293" s="2" t="s">
        <v>198</v>
      </c>
      <c r="T1293" s="10">
        <v>10.57</v>
      </c>
      <c r="U1293" s="11">
        <v>1.085</v>
      </c>
      <c r="V1293" s="12">
        <f>T1293*U1293</f>
        <v>11.468450000000001</v>
      </c>
      <c r="W1293" s="13">
        <v>0.19</v>
      </c>
      <c r="X1293" s="12">
        <f>V1293-(V1293/(1+W1293))</f>
        <v>1.8310970588235289</v>
      </c>
      <c r="Y1293" s="12">
        <f>V1293-X1293</f>
        <v>9.6373529411764718</v>
      </c>
      <c r="Z1293" s="14">
        <v>25</v>
      </c>
      <c r="AA1293" s="2" t="str">
        <f>IF(V1293&gt;Z1293,"Yes","No")</f>
        <v>No</v>
      </c>
      <c r="AB1293" s="12">
        <f>V1293-Z1293</f>
        <v>-13.531549999999999</v>
      </c>
      <c r="AC1293" s="15" t="s">
        <v>130</v>
      </c>
      <c r="AD1293" s="15" t="s">
        <v>131</v>
      </c>
      <c r="AE1293" s="15" t="s">
        <v>421</v>
      </c>
      <c r="AF1293" s="12">
        <f>IF(AG1293="Rejected",0,IF(R1293="Corporate Card",0,V1293))</f>
        <v>0</v>
      </c>
      <c r="AG1293" s="15" t="s">
        <v>133</v>
      </c>
      <c r="AH1293" s="16">
        <v>45815</v>
      </c>
      <c r="AI1293" s="16">
        <v>45821</v>
      </c>
      <c r="AJ1293" s="16">
        <v>45827</v>
      </c>
      <c r="AK1293" s="17">
        <f>IF(AJ1293="","",AJ1293-AH1293)</f>
        <v>12</v>
      </c>
    </row>
    <row r="1294" spans="1:37">
      <c r="A1294" s="2" t="s">
        <v>1718</v>
      </c>
      <c r="B1294" s="2" t="s">
        <v>648</v>
      </c>
      <c r="C1294" s="2" t="s">
        <v>173</v>
      </c>
      <c r="D1294" s="2" t="s">
        <v>171</v>
      </c>
      <c r="E1294" s="2" t="s">
        <v>649</v>
      </c>
      <c r="F1294" s="2" t="s">
        <v>313</v>
      </c>
      <c r="G1294" s="2" t="s">
        <v>1694</v>
      </c>
      <c r="H1294" s="2" t="s">
        <v>254</v>
      </c>
      <c r="I1294" s="2" t="s">
        <v>749</v>
      </c>
      <c r="J1294" s="2" t="s">
        <v>750</v>
      </c>
      <c r="K1294" s="9">
        <v>45798</v>
      </c>
      <c r="L1294" s="9">
        <v>45804</v>
      </c>
      <c r="M1294" s="9">
        <v>45800</v>
      </c>
      <c r="N1294" s="2" t="s">
        <v>1595</v>
      </c>
      <c r="O1294" s="2" t="s">
        <v>56</v>
      </c>
      <c r="P1294" s="2" t="s">
        <v>245</v>
      </c>
      <c r="Q1294" s="2" t="s">
        <v>185</v>
      </c>
      <c r="R1294" s="2" t="s">
        <v>137</v>
      </c>
      <c r="S1294" s="2" t="s">
        <v>198</v>
      </c>
      <c r="T1294" s="10">
        <v>38.57</v>
      </c>
      <c r="U1294" s="11">
        <v>1.085</v>
      </c>
      <c r="V1294" s="12">
        <f>T1294*U1294</f>
        <v>41.84845</v>
      </c>
      <c r="W1294" s="13">
        <v>0.19</v>
      </c>
      <c r="X1294" s="12">
        <f>V1294-(V1294/(1+W1294))</f>
        <v>6.6816852941176421</v>
      </c>
      <c r="Y1294" s="12">
        <f>V1294-X1294</f>
        <v>35.166764705882358</v>
      </c>
      <c r="Z1294" s="14">
        <v>75</v>
      </c>
      <c r="AA1294" s="2" t="str">
        <f>IF(V1294&gt;Z1294,"Yes","No")</f>
        <v>No</v>
      </c>
      <c r="AB1294" s="12">
        <f>V1294-Z1294</f>
        <v>-33.15155</v>
      </c>
      <c r="AC1294" s="15" t="s">
        <v>130</v>
      </c>
      <c r="AD1294" s="15" t="s">
        <v>131</v>
      </c>
      <c r="AE1294" s="15" t="s">
        <v>421</v>
      </c>
      <c r="AF1294" s="12">
        <f>IF(AG1294="Rejected",0,IF(R1294="Corporate Card",0,V1294))</f>
        <v>41.84845</v>
      </c>
      <c r="AG1294" s="15" t="s">
        <v>133</v>
      </c>
      <c r="AH1294" s="16">
        <v>45815</v>
      </c>
      <c r="AI1294" s="16">
        <v>45821</v>
      </c>
      <c r="AJ1294" s="16">
        <v>45827</v>
      </c>
      <c r="AK1294" s="17">
        <f>IF(AJ1294="","",AJ1294-AH1294)</f>
        <v>12</v>
      </c>
    </row>
    <row r="1295" spans="1:37">
      <c r="A1295" s="2" t="s">
        <v>1719</v>
      </c>
      <c r="B1295" s="2" t="s">
        <v>648</v>
      </c>
      <c r="C1295" s="2" t="s">
        <v>173</v>
      </c>
      <c r="D1295" s="2" t="s">
        <v>171</v>
      </c>
      <c r="E1295" s="2" t="s">
        <v>649</v>
      </c>
      <c r="F1295" s="2" t="s">
        <v>313</v>
      </c>
      <c r="G1295" s="2" t="s">
        <v>1694</v>
      </c>
      <c r="H1295" s="2" t="s">
        <v>254</v>
      </c>
      <c r="I1295" s="2" t="s">
        <v>749</v>
      </c>
      <c r="J1295" s="2" t="s">
        <v>750</v>
      </c>
      <c r="K1295" s="9">
        <v>45798</v>
      </c>
      <c r="L1295" s="9">
        <v>45804</v>
      </c>
      <c r="M1295" s="9">
        <v>45800</v>
      </c>
      <c r="N1295" s="2" t="s">
        <v>1595</v>
      </c>
      <c r="O1295" s="2" t="s">
        <v>55</v>
      </c>
      <c r="P1295" s="2" t="s">
        <v>139</v>
      </c>
      <c r="Q1295" s="2" t="s">
        <v>217</v>
      </c>
      <c r="R1295" s="2" t="s">
        <v>149</v>
      </c>
      <c r="S1295" s="2" t="s">
        <v>198</v>
      </c>
      <c r="T1295" s="10">
        <v>24.04</v>
      </c>
      <c r="U1295" s="11">
        <v>1.085</v>
      </c>
      <c r="V1295" s="12">
        <f>T1295*U1295</f>
        <v>26.083399999999997</v>
      </c>
      <c r="W1295" s="13">
        <v>0.19</v>
      </c>
      <c r="X1295" s="12">
        <f>V1295-(V1295/(1+W1295))</f>
        <v>4.1645764705882335</v>
      </c>
      <c r="Y1295" s="12">
        <f>V1295-X1295</f>
        <v>21.918823529411764</v>
      </c>
      <c r="Z1295" s="14">
        <v>35</v>
      </c>
      <c r="AA1295" s="2" t="str">
        <f>IF(V1295&gt;Z1295,"Yes","No")</f>
        <v>No</v>
      </c>
      <c r="AB1295" s="12">
        <f>V1295-Z1295</f>
        <v>-8.9166000000000025</v>
      </c>
      <c r="AC1295" s="15" t="s">
        <v>130</v>
      </c>
      <c r="AD1295" s="15" t="s">
        <v>131</v>
      </c>
      <c r="AE1295" s="15" t="s">
        <v>421</v>
      </c>
      <c r="AF1295" s="12">
        <f>IF(AG1295="Rejected",0,IF(R1295="Corporate Card",0,V1295))</f>
        <v>26.083399999999997</v>
      </c>
      <c r="AG1295" s="15" t="s">
        <v>133</v>
      </c>
      <c r="AH1295" s="16">
        <v>45815</v>
      </c>
      <c r="AI1295" s="16">
        <v>45821</v>
      </c>
      <c r="AJ1295" s="16">
        <v>45827</v>
      </c>
      <c r="AK1295" s="17">
        <f>IF(AJ1295="","",AJ1295-AH1295)</f>
        <v>12</v>
      </c>
    </row>
    <row r="1296" spans="1:37">
      <c r="A1296" s="2" t="s">
        <v>1720</v>
      </c>
      <c r="B1296" s="2" t="s">
        <v>550</v>
      </c>
      <c r="C1296" s="2" t="s">
        <v>551</v>
      </c>
      <c r="D1296" s="2" t="s">
        <v>171</v>
      </c>
      <c r="E1296" s="2" t="s">
        <v>172</v>
      </c>
      <c r="F1296" s="2" t="s">
        <v>173</v>
      </c>
      <c r="G1296" s="2" t="s">
        <v>1685</v>
      </c>
      <c r="H1296" s="2" t="s">
        <v>803</v>
      </c>
      <c r="I1296" s="2" t="s">
        <v>1038</v>
      </c>
      <c r="J1296" s="2" t="s">
        <v>381</v>
      </c>
      <c r="K1296" s="9">
        <v>45797</v>
      </c>
      <c r="L1296" s="9">
        <v>45800</v>
      </c>
      <c r="M1296" s="9">
        <v>45800</v>
      </c>
      <c r="N1296" s="2" t="s">
        <v>1595</v>
      </c>
      <c r="O1296" s="2" t="s">
        <v>54</v>
      </c>
      <c r="P1296" s="2" t="s">
        <v>139</v>
      </c>
      <c r="Q1296" s="2" t="s">
        <v>148</v>
      </c>
      <c r="R1296" s="2" t="s">
        <v>137</v>
      </c>
      <c r="S1296" s="2" t="s">
        <v>383</v>
      </c>
      <c r="T1296" s="10">
        <v>20.059999999999999</v>
      </c>
      <c r="U1296" s="11">
        <v>1</v>
      </c>
      <c r="V1296" s="12">
        <f>T1296*U1296</f>
        <v>20.059999999999999</v>
      </c>
      <c r="W1296" s="13">
        <v>0</v>
      </c>
      <c r="X1296" s="12">
        <f>V1296-(V1296/(1+W1296))</f>
        <v>0</v>
      </c>
      <c r="Y1296" s="12">
        <f>V1296-X1296</f>
        <v>20.059999999999999</v>
      </c>
      <c r="Z1296" s="14">
        <v>25</v>
      </c>
      <c r="AA1296" s="2" t="str">
        <f>IF(V1296&gt;Z1296,"Yes","No")</f>
        <v>No</v>
      </c>
      <c r="AB1296" s="12">
        <f>V1296-Z1296</f>
        <v>-4.9400000000000013</v>
      </c>
      <c r="AC1296" s="15" t="s">
        <v>130</v>
      </c>
      <c r="AD1296" s="15" t="s">
        <v>130</v>
      </c>
      <c r="AE1296" s="15" t="s">
        <v>421</v>
      </c>
      <c r="AF1296" s="12">
        <f>IF(AG1296="Rejected",0,IF(R1296="Corporate Card",0,V1296))</f>
        <v>20.059999999999999</v>
      </c>
      <c r="AG1296" s="15" t="s">
        <v>133</v>
      </c>
      <c r="AH1296" s="16">
        <v>45807</v>
      </c>
      <c r="AI1296" s="16">
        <v>45816</v>
      </c>
      <c r="AJ1296" s="16">
        <v>45819</v>
      </c>
      <c r="AK1296" s="17">
        <f>IF(AJ1296="","",AJ1296-AH1296)</f>
        <v>12</v>
      </c>
    </row>
    <row r="1297" spans="1:37">
      <c r="A1297" s="2" t="s">
        <v>1721</v>
      </c>
      <c r="B1297" s="2" t="s">
        <v>550</v>
      </c>
      <c r="C1297" s="2" t="s">
        <v>551</v>
      </c>
      <c r="D1297" s="2" t="s">
        <v>171</v>
      </c>
      <c r="E1297" s="2" t="s">
        <v>172</v>
      </c>
      <c r="F1297" s="2" t="s">
        <v>173</v>
      </c>
      <c r="G1297" s="2" t="s">
        <v>1685</v>
      </c>
      <c r="H1297" s="2" t="s">
        <v>803</v>
      </c>
      <c r="I1297" s="2" t="s">
        <v>1038</v>
      </c>
      <c r="J1297" s="2" t="s">
        <v>381</v>
      </c>
      <c r="K1297" s="9">
        <v>45797</v>
      </c>
      <c r="L1297" s="9">
        <v>45800</v>
      </c>
      <c r="M1297" s="9">
        <v>45800</v>
      </c>
      <c r="N1297" s="2" t="s">
        <v>1595</v>
      </c>
      <c r="O1297" s="2" t="s">
        <v>56</v>
      </c>
      <c r="P1297" s="2" t="s">
        <v>231</v>
      </c>
      <c r="Q1297" s="2" t="s">
        <v>152</v>
      </c>
      <c r="R1297" s="2" t="s">
        <v>128</v>
      </c>
      <c r="S1297" s="2" t="s">
        <v>383</v>
      </c>
      <c r="T1297" s="10">
        <v>50.41</v>
      </c>
      <c r="U1297" s="11">
        <v>1</v>
      </c>
      <c r="V1297" s="12">
        <f>T1297*U1297</f>
        <v>50.41</v>
      </c>
      <c r="W1297" s="13">
        <v>0</v>
      </c>
      <c r="X1297" s="12">
        <f>V1297-(V1297/(1+W1297))</f>
        <v>0</v>
      </c>
      <c r="Y1297" s="12">
        <f>V1297-X1297</f>
        <v>50.41</v>
      </c>
      <c r="Z1297" s="14">
        <v>75</v>
      </c>
      <c r="AA1297" s="2" t="str">
        <f>IF(V1297&gt;Z1297,"Yes","No")</f>
        <v>No</v>
      </c>
      <c r="AB1297" s="12">
        <f>V1297-Z1297</f>
        <v>-24.590000000000003</v>
      </c>
      <c r="AC1297" s="15" t="s">
        <v>130</v>
      </c>
      <c r="AD1297" s="15" t="s">
        <v>130</v>
      </c>
      <c r="AE1297" s="15" t="s">
        <v>421</v>
      </c>
      <c r="AF1297" s="12">
        <f>IF(AG1297="Rejected",0,IF(R1297="Corporate Card",0,V1297))</f>
        <v>0</v>
      </c>
      <c r="AG1297" s="15" t="s">
        <v>133</v>
      </c>
      <c r="AH1297" s="16">
        <v>45807</v>
      </c>
      <c r="AI1297" s="16">
        <v>45816</v>
      </c>
      <c r="AJ1297" s="16">
        <v>45819</v>
      </c>
      <c r="AK1297" s="17">
        <f>IF(AJ1297="","",AJ1297-AH1297)</f>
        <v>12</v>
      </c>
    </row>
    <row r="1298" spans="1:37">
      <c r="A1298" s="2" t="s">
        <v>1722</v>
      </c>
      <c r="B1298" s="2" t="s">
        <v>287</v>
      </c>
      <c r="C1298" s="2" t="s">
        <v>288</v>
      </c>
      <c r="D1298" s="2" t="s">
        <v>171</v>
      </c>
      <c r="E1298" s="2" t="s">
        <v>289</v>
      </c>
      <c r="F1298" s="2" t="s">
        <v>173</v>
      </c>
      <c r="G1298" s="2" t="s">
        <v>1671</v>
      </c>
      <c r="H1298" s="2" t="s">
        <v>748</v>
      </c>
      <c r="I1298" s="2" t="s">
        <v>433</v>
      </c>
      <c r="J1298" s="2" t="s">
        <v>434</v>
      </c>
      <c r="K1298" s="9">
        <v>45795</v>
      </c>
      <c r="L1298" s="9">
        <v>45800</v>
      </c>
      <c r="M1298" s="9">
        <v>45800</v>
      </c>
      <c r="N1298" s="2" t="s">
        <v>1595</v>
      </c>
      <c r="O1298" s="2" t="s">
        <v>58</v>
      </c>
      <c r="P1298" s="2" t="s">
        <v>142</v>
      </c>
      <c r="Q1298" s="2" t="s">
        <v>224</v>
      </c>
      <c r="R1298" s="2" t="s">
        <v>128</v>
      </c>
      <c r="S1298" s="2" t="s">
        <v>436</v>
      </c>
      <c r="T1298" s="10">
        <v>3488</v>
      </c>
      <c r="U1298" s="11">
        <v>1.1780000000000001E-2</v>
      </c>
      <c r="V1298" s="12">
        <f>T1298*U1298</f>
        <v>41.088640000000005</v>
      </c>
      <c r="W1298" s="13">
        <v>0.18</v>
      </c>
      <c r="X1298" s="12">
        <f>V1298-(V1298/(1+W1298))</f>
        <v>6.267758644067797</v>
      </c>
      <c r="Y1298" s="12">
        <f>V1298-X1298</f>
        <v>34.820881355932208</v>
      </c>
      <c r="Z1298" s="14">
        <v>60</v>
      </c>
      <c r="AA1298" s="2" t="str">
        <f>IF(V1298&gt;Z1298,"Yes","No")</f>
        <v>No</v>
      </c>
      <c r="AB1298" s="12">
        <f>V1298-Z1298</f>
        <v>-18.911359999999995</v>
      </c>
      <c r="AC1298" s="15" t="s">
        <v>130</v>
      </c>
      <c r="AD1298" s="15" t="s">
        <v>131</v>
      </c>
      <c r="AE1298" s="15" t="s">
        <v>514</v>
      </c>
      <c r="AF1298" s="12">
        <f>IF(AG1298="Rejected",0,IF(R1298="Corporate Card",0,V1298))</f>
        <v>0</v>
      </c>
      <c r="AG1298" s="15" t="s">
        <v>133</v>
      </c>
      <c r="AH1298" s="16">
        <v>45806</v>
      </c>
      <c r="AI1298" s="16">
        <v>45813</v>
      </c>
      <c r="AJ1298" s="16">
        <v>45826</v>
      </c>
      <c r="AK1298" s="17">
        <f>IF(AJ1298="","",AJ1298-AH1298)</f>
        <v>20</v>
      </c>
    </row>
    <row r="1299" spans="1:37">
      <c r="A1299" s="2" t="s">
        <v>1723</v>
      </c>
      <c r="B1299" s="2" t="s">
        <v>287</v>
      </c>
      <c r="C1299" s="2" t="s">
        <v>288</v>
      </c>
      <c r="D1299" s="2" t="s">
        <v>171</v>
      </c>
      <c r="E1299" s="2" t="s">
        <v>289</v>
      </c>
      <c r="F1299" s="2" t="s">
        <v>173</v>
      </c>
      <c r="G1299" s="2" t="s">
        <v>1671</v>
      </c>
      <c r="H1299" s="2" t="s">
        <v>748</v>
      </c>
      <c r="I1299" s="2" t="s">
        <v>433</v>
      </c>
      <c r="J1299" s="2" t="s">
        <v>434</v>
      </c>
      <c r="K1299" s="9">
        <v>45795</v>
      </c>
      <c r="L1299" s="9">
        <v>45800</v>
      </c>
      <c r="M1299" s="9">
        <v>45800</v>
      </c>
      <c r="N1299" s="2" t="s">
        <v>1595</v>
      </c>
      <c r="O1299" s="2" t="s">
        <v>56</v>
      </c>
      <c r="P1299" s="2" t="s">
        <v>231</v>
      </c>
      <c r="Q1299" s="2" t="s">
        <v>185</v>
      </c>
      <c r="R1299" s="2" t="s">
        <v>128</v>
      </c>
      <c r="S1299" s="2" t="s">
        <v>436</v>
      </c>
      <c r="T1299" s="10">
        <v>6208</v>
      </c>
      <c r="U1299" s="11">
        <v>1.1780000000000001E-2</v>
      </c>
      <c r="V1299" s="12">
        <f>T1299*U1299</f>
        <v>73.130240000000001</v>
      </c>
      <c r="W1299" s="13">
        <v>0.18</v>
      </c>
      <c r="X1299" s="12">
        <f>V1299-(V1299/(1+W1299))</f>
        <v>11.155460338983048</v>
      </c>
      <c r="Y1299" s="12">
        <f>V1299-X1299</f>
        <v>61.974779661016953</v>
      </c>
      <c r="Z1299" s="14">
        <v>75</v>
      </c>
      <c r="AA1299" s="2" t="str">
        <f>IF(V1299&gt;Z1299,"Yes","No")</f>
        <v>No</v>
      </c>
      <c r="AB1299" s="12">
        <f>V1299-Z1299</f>
        <v>-1.8697599999999994</v>
      </c>
      <c r="AC1299" s="15" t="s">
        <v>130</v>
      </c>
      <c r="AD1299" s="15" t="s">
        <v>131</v>
      </c>
      <c r="AE1299" s="15" t="s">
        <v>514</v>
      </c>
      <c r="AF1299" s="12">
        <f>IF(AG1299="Rejected",0,IF(R1299="Corporate Card",0,V1299))</f>
        <v>0</v>
      </c>
      <c r="AG1299" s="15" t="s">
        <v>133</v>
      </c>
      <c r="AH1299" s="16">
        <v>45806</v>
      </c>
      <c r="AI1299" s="16">
        <v>45813</v>
      </c>
      <c r="AJ1299" s="16">
        <v>45826</v>
      </c>
      <c r="AK1299" s="17">
        <f>IF(AJ1299="","",AJ1299-AH1299)</f>
        <v>20</v>
      </c>
    </row>
    <row r="1300" spans="1:37">
      <c r="A1300" s="2" t="s">
        <v>1724</v>
      </c>
      <c r="B1300" s="2" t="s">
        <v>287</v>
      </c>
      <c r="C1300" s="2" t="s">
        <v>288</v>
      </c>
      <c r="D1300" s="2" t="s">
        <v>171</v>
      </c>
      <c r="E1300" s="2" t="s">
        <v>289</v>
      </c>
      <c r="F1300" s="2" t="s">
        <v>173</v>
      </c>
      <c r="G1300" s="2" t="s">
        <v>1671</v>
      </c>
      <c r="H1300" s="2" t="s">
        <v>748</v>
      </c>
      <c r="I1300" s="2" t="s">
        <v>433</v>
      </c>
      <c r="J1300" s="2" t="s">
        <v>434</v>
      </c>
      <c r="K1300" s="9">
        <v>45795</v>
      </c>
      <c r="L1300" s="9">
        <v>45800</v>
      </c>
      <c r="M1300" s="9">
        <v>45800</v>
      </c>
      <c r="N1300" s="2" t="s">
        <v>1595</v>
      </c>
      <c r="O1300" s="2" t="s">
        <v>55</v>
      </c>
      <c r="P1300" s="2" t="s">
        <v>139</v>
      </c>
      <c r="Q1300" s="2" t="s">
        <v>187</v>
      </c>
      <c r="R1300" s="2" t="s">
        <v>128</v>
      </c>
      <c r="S1300" s="2" t="s">
        <v>436</v>
      </c>
      <c r="T1300" s="10">
        <v>2413</v>
      </c>
      <c r="U1300" s="11">
        <v>1.1780000000000001E-2</v>
      </c>
      <c r="V1300" s="12">
        <f>T1300*U1300</f>
        <v>28.425140000000003</v>
      </c>
      <c r="W1300" s="13">
        <v>0.18</v>
      </c>
      <c r="X1300" s="12">
        <f>V1300-(V1300/(1+W1300))</f>
        <v>4.3360383050847453</v>
      </c>
      <c r="Y1300" s="12">
        <f>V1300-X1300</f>
        <v>24.089101694915257</v>
      </c>
      <c r="Z1300" s="14">
        <v>35</v>
      </c>
      <c r="AA1300" s="2" t="str">
        <f>IF(V1300&gt;Z1300,"Yes","No")</f>
        <v>No</v>
      </c>
      <c r="AB1300" s="12">
        <f>V1300-Z1300</f>
        <v>-6.5748599999999975</v>
      </c>
      <c r="AC1300" s="15" t="s">
        <v>130</v>
      </c>
      <c r="AD1300" s="15" t="s">
        <v>131</v>
      </c>
      <c r="AE1300" s="15" t="s">
        <v>514</v>
      </c>
      <c r="AF1300" s="12">
        <f>IF(AG1300="Rejected",0,IF(R1300="Corporate Card",0,V1300))</f>
        <v>0</v>
      </c>
      <c r="AG1300" s="15" t="s">
        <v>133</v>
      </c>
      <c r="AH1300" s="16">
        <v>45806</v>
      </c>
      <c r="AI1300" s="16">
        <v>45813</v>
      </c>
      <c r="AJ1300" s="16">
        <v>45826</v>
      </c>
      <c r="AK1300" s="17">
        <f>IF(AJ1300="","",AJ1300-AH1300)</f>
        <v>20</v>
      </c>
    </row>
    <row r="1301" spans="1:37">
      <c r="A1301" s="2" t="s">
        <v>1725</v>
      </c>
      <c r="B1301" s="2" t="s">
        <v>648</v>
      </c>
      <c r="C1301" s="2" t="s">
        <v>173</v>
      </c>
      <c r="D1301" s="2" t="s">
        <v>171</v>
      </c>
      <c r="E1301" s="2" t="s">
        <v>649</v>
      </c>
      <c r="F1301" s="2" t="s">
        <v>313</v>
      </c>
      <c r="G1301" s="2" t="s">
        <v>1694</v>
      </c>
      <c r="H1301" s="2" t="s">
        <v>254</v>
      </c>
      <c r="I1301" s="2" t="s">
        <v>749</v>
      </c>
      <c r="J1301" s="2" t="s">
        <v>750</v>
      </c>
      <c r="K1301" s="9">
        <v>45798</v>
      </c>
      <c r="L1301" s="9">
        <v>45804</v>
      </c>
      <c r="M1301" s="9">
        <v>45801</v>
      </c>
      <c r="N1301" s="2" t="s">
        <v>1595</v>
      </c>
      <c r="O1301" s="2" t="s">
        <v>58</v>
      </c>
      <c r="P1301" s="2" t="s">
        <v>142</v>
      </c>
      <c r="Q1301" s="2" t="s">
        <v>143</v>
      </c>
      <c r="R1301" s="2" t="s">
        <v>128</v>
      </c>
      <c r="S1301" s="2" t="s">
        <v>198</v>
      </c>
      <c r="T1301" s="10">
        <v>25.6</v>
      </c>
      <c r="U1301" s="11">
        <v>1.085</v>
      </c>
      <c r="V1301" s="12">
        <f>T1301*U1301</f>
        <v>27.776</v>
      </c>
      <c r="W1301" s="13">
        <v>0.19</v>
      </c>
      <c r="X1301" s="12">
        <f>V1301-(V1301/(1+W1301))</f>
        <v>4.4348235294117622</v>
      </c>
      <c r="Y1301" s="12">
        <f>V1301-X1301</f>
        <v>23.341176470588238</v>
      </c>
      <c r="Z1301" s="14">
        <v>60</v>
      </c>
      <c r="AA1301" s="2" t="str">
        <f>IF(V1301&gt;Z1301,"Yes","No")</f>
        <v>No</v>
      </c>
      <c r="AB1301" s="12">
        <f>V1301-Z1301</f>
        <v>-32.224000000000004</v>
      </c>
      <c r="AC1301" s="15" t="s">
        <v>130</v>
      </c>
      <c r="AD1301" s="15" t="s">
        <v>131</v>
      </c>
      <c r="AE1301" s="15" t="s">
        <v>421</v>
      </c>
      <c r="AF1301" s="12">
        <f>IF(AG1301="Rejected",0,IF(R1301="Corporate Card",0,V1301))</f>
        <v>0</v>
      </c>
      <c r="AG1301" s="15" t="s">
        <v>133</v>
      </c>
      <c r="AH1301" s="16">
        <v>45815</v>
      </c>
      <c r="AI1301" s="16">
        <v>45821</v>
      </c>
      <c r="AJ1301" s="16">
        <v>45827</v>
      </c>
      <c r="AK1301" s="17">
        <f>IF(AJ1301="","",AJ1301-AH1301)</f>
        <v>12</v>
      </c>
    </row>
    <row r="1302" spans="1:37">
      <c r="A1302" s="2" t="s">
        <v>1726</v>
      </c>
      <c r="B1302" s="2" t="s">
        <v>648</v>
      </c>
      <c r="C1302" s="2" t="s">
        <v>173</v>
      </c>
      <c r="D1302" s="2" t="s">
        <v>171</v>
      </c>
      <c r="E1302" s="2" t="s">
        <v>649</v>
      </c>
      <c r="F1302" s="2" t="s">
        <v>313</v>
      </c>
      <c r="G1302" s="2" t="s">
        <v>1694</v>
      </c>
      <c r="H1302" s="2" t="s">
        <v>254</v>
      </c>
      <c r="I1302" s="2" t="s">
        <v>749</v>
      </c>
      <c r="J1302" s="2" t="s">
        <v>750</v>
      </c>
      <c r="K1302" s="9">
        <v>45798</v>
      </c>
      <c r="L1302" s="9">
        <v>45804</v>
      </c>
      <c r="M1302" s="9">
        <v>45801</v>
      </c>
      <c r="N1302" s="2" t="s">
        <v>1595</v>
      </c>
      <c r="O1302" s="2" t="s">
        <v>54</v>
      </c>
      <c r="P1302" s="2" t="s">
        <v>139</v>
      </c>
      <c r="Q1302" s="2" t="s">
        <v>214</v>
      </c>
      <c r="R1302" s="2" t="s">
        <v>128</v>
      </c>
      <c r="S1302" s="2" t="s">
        <v>198</v>
      </c>
      <c r="T1302" s="10">
        <v>10.17</v>
      </c>
      <c r="U1302" s="11">
        <v>1.085</v>
      </c>
      <c r="V1302" s="12">
        <f>T1302*U1302</f>
        <v>11.03445</v>
      </c>
      <c r="W1302" s="13">
        <v>0.19</v>
      </c>
      <c r="X1302" s="12">
        <f>V1302-(V1302/(1+W1302))</f>
        <v>1.7618029411764695</v>
      </c>
      <c r="Y1302" s="12">
        <f>V1302-X1302</f>
        <v>9.2726470588235301</v>
      </c>
      <c r="Z1302" s="14">
        <v>25</v>
      </c>
      <c r="AA1302" s="2" t="str">
        <f>IF(V1302&gt;Z1302,"Yes","No")</f>
        <v>No</v>
      </c>
      <c r="AB1302" s="12">
        <f>V1302-Z1302</f>
        <v>-13.96555</v>
      </c>
      <c r="AC1302" s="15" t="s">
        <v>130</v>
      </c>
      <c r="AD1302" s="15" t="s">
        <v>131</v>
      </c>
      <c r="AE1302" s="15" t="s">
        <v>421</v>
      </c>
      <c r="AF1302" s="12">
        <f>IF(AG1302="Rejected",0,IF(R1302="Corporate Card",0,V1302))</f>
        <v>0</v>
      </c>
      <c r="AG1302" s="15" t="s">
        <v>133</v>
      </c>
      <c r="AH1302" s="16">
        <v>45815</v>
      </c>
      <c r="AI1302" s="16">
        <v>45821</v>
      </c>
      <c r="AJ1302" s="16">
        <v>45827</v>
      </c>
      <c r="AK1302" s="17">
        <f>IF(AJ1302="","",AJ1302-AH1302)</f>
        <v>12</v>
      </c>
    </row>
    <row r="1303" spans="1:37">
      <c r="A1303" s="2" t="s">
        <v>1727</v>
      </c>
      <c r="B1303" s="2" t="s">
        <v>648</v>
      </c>
      <c r="C1303" s="2" t="s">
        <v>173</v>
      </c>
      <c r="D1303" s="2" t="s">
        <v>171</v>
      </c>
      <c r="E1303" s="2" t="s">
        <v>649</v>
      </c>
      <c r="F1303" s="2" t="s">
        <v>313</v>
      </c>
      <c r="G1303" s="2" t="s">
        <v>1694</v>
      </c>
      <c r="H1303" s="2" t="s">
        <v>254</v>
      </c>
      <c r="I1303" s="2" t="s">
        <v>749</v>
      </c>
      <c r="J1303" s="2" t="s">
        <v>750</v>
      </c>
      <c r="K1303" s="9">
        <v>45798</v>
      </c>
      <c r="L1303" s="9">
        <v>45804</v>
      </c>
      <c r="M1303" s="9">
        <v>45801</v>
      </c>
      <c r="N1303" s="2" t="s">
        <v>1595</v>
      </c>
      <c r="O1303" s="2" t="s">
        <v>56</v>
      </c>
      <c r="P1303" s="2" t="s">
        <v>231</v>
      </c>
      <c r="Q1303" s="2" t="s">
        <v>185</v>
      </c>
      <c r="R1303" s="2" t="s">
        <v>128</v>
      </c>
      <c r="S1303" s="2" t="s">
        <v>198</v>
      </c>
      <c r="T1303" s="10">
        <v>40.39</v>
      </c>
      <c r="U1303" s="11">
        <v>1.085</v>
      </c>
      <c r="V1303" s="12">
        <f>T1303*U1303</f>
        <v>43.823149999999998</v>
      </c>
      <c r="W1303" s="13">
        <v>0.19</v>
      </c>
      <c r="X1303" s="12">
        <f>V1303-(V1303/(1+W1303))</f>
        <v>6.9969735294117612</v>
      </c>
      <c r="Y1303" s="12">
        <f>V1303-X1303</f>
        <v>36.826176470588237</v>
      </c>
      <c r="Z1303" s="14">
        <v>75</v>
      </c>
      <c r="AA1303" s="2" t="str">
        <f>IF(V1303&gt;Z1303,"Yes","No")</f>
        <v>No</v>
      </c>
      <c r="AB1303" s="12">
        <f>V1303-Z1303</f>
        <v>-31.176850000000002</v>
      </c>
      <c r="AC1303" s="15" t="s">
        <v>130</v>
      </c>
      <c r="AD1303" s="15" t="s">
        <v>131</v>
      </c>
      <c r="AE1303" s="15" t="s">
        <v>421</v>
      </c>
      <c r="AF1303" s="12">
        <f>IF(AG1303="Rejected",0,IF(R1303="Corporate Card",0,V1303))</f>
        <v>0</v>
      </c>
      <c r="AG1303" s="15" t="s">
        <v>133</v>
      </c>
      <c r="AH1303" s="16">
        <v>45815</v>
      </c>
      <c r="AI1303" s="16">
        <v>45821</v>
      </c>
      <c r="AJ1303" s="16">
        <v>45827</v>
      </c>
      <c r="AK1303" s="17">
        <f>IF(AJ1303="","",AJ1303-AH1303)</f>
        <v>12</v>
      </c>
    </row>
    <row r="1304" spans="1:37">
      <c r="A1304" s="2" t="s">
        <v>1728</v>
      </c>
      <c r="B1304" s="2" t="s">
        <v>648</v>
      </c>
      <c r="C1304" s="2" t="s">
        <v>173</v>
      </c>
      <c r="D1304" s="2" t="s">
        <v>171</v>
      </c>
      <c r="E1304" s="2" t="s">
        <v>649</v>
      </c>
      <c r="F1304" s="2" t="s">
        <v>313</v>
      </c>
      <c r="G1304" s="2" t="s">
        <v>1694</v>
      </c>
      <c r="H1304" s="2" t="s">
        <v>254</v>
      </c>
      <c r="I1304" s="2" t="s">
        <v>749</v>
      </c>
      <c r="J1304" s="2" t="s">
        <v>750</v>
      </c>
      <c r="K1304" s="9">
        <v>45798</v>
      </c>
      <c r="L1304" s="9">
        <v>45804</v>
      </c>
      <c r="M1304" s="9">
        <v>45801</v>
      </c>
      <c r="N1304" s="2" t="s">
        <v>1595</v>
      </c>
      <c r="O1304" s="2" t="s">
        <v>55</v>
      </c>
      <c r="P1304" s="2" t="s">
        <v>139</v>
      </c>
      <c r="Q1304" s="2" t="s">
        <v>217</v>
      </c>
      <c r="R1304" s="2" t="s">
        <v>128</v>
      </c>
      <c r="S1304" s="2" t="s">
        <v>198</v>
      </c>
      <c r="T1304" s="10">
        <v>26.77</v>
      </c>
      <c r="U1304" s="11">
        <v>1.085</v>
      </c>
      <c r="V1304" s="12">
        <f>T1304*U1304</f>
        <v>29.045449999999999</v>
      </c>
      <c r="W1304" s="13">
        <v>0.19</v>
      </c>
      <c r="X1304" s="12">
        <f>V1304-(V1304/(1+W1304))</f>
        <v>4.6375088235294122</v>
      </c>
      <c r="Y1304" s="12">
        <f>V1304-X1304</f>
        <v>24.407941176470587</v>
      </c>
      <c r="Z1304" s="14">
        <v>35</v>
      </c>
      <c r="AA1304" s="2" t="str">
        <f>IF(V1304&gt;Z1304,"Yes","No")</f>
        <v>No</v>
      </c>
      <c r="AB1304" s="12">
        <f>V1304-Z1304</f>
        <v>-5.9545500000000011</v>
      </c>
      <c r="AC1304" s="15" t="s">
        <v>130</v>
      </c>
      <c r="AD1304" s="15" t="s">
        <v>131</v>
      </c>
      <c r="AE1304" s="15" t="s">
        <v>421</v>
      </c>
      <c r="AF1304" s="12">
        <f>IF(AG1304="Rejected",0,IF(R1304="Corporate Card",0,V1304))</f>
        <v>0</v>
      </c>
      <c r="AG1304" s="15" t="s">
        <v>133</v>
      </c>
      <c r="AH1304" s="16">
        <v>45815</v>
      </c>
      <c r="AI1304" s="16">
        <v>45821</v>
      </c>
      <c r="AJ1304" s="16">
        <v>45827</v>
      </c>
      <c r="AK1304" s="17">
        <f>IF(AJ1304="","",AJ1304-AH1304)</f>
        <v>12</v>
      </c>
    </row>
    <row r="1305" spans="1:37">
      <c r="A1305" s="2" t="s">
        <v>1729</v>
      </c>
      <c r="B1305" s="2" t="s">
        <v>648</v>
      </c>
      <c r="C1305" s="2" t="s">
        <v>173</v>
      </c>
      <c r="D1305" s="2" t="s">
        <v>171</v>
      </c>
      <c r="E1305" s="2" t="s">
        <v>649</v>
      </c>
      <c r="F1305" s="2" t="s">
        <v>313</v>
      </c>
      <c r="G1305" s="2" t="s">
        <v>1694</v>
      </c>
      <c r="H1305" s="2" t="s">
        <v>254</v>
      </c>
      <c r="I1305" s="2" t="s">
        <v>749</v>
      </c>
      <c r="J1305" s="2" t="s">
        <v>750</v>
      </c>
      <c r="K1305" s="9">
        <v>45798</v>
      </c>
      <c r="L1305" s="9">
        <v>45804</v>
      </c>
      <c r="M1305" s="9">
        <v>45802</v>
      </c>
      <c r="N1305" s="2" t="s">
        <v>1595</v>
      </c>
      <c r="O1305" s="2" t="s">
        <v>54</v>
      </c>
      <c r="P1305" s="2" t="s">
        <v>139</v>
      </c>
      <c r="Q1305" s="2" t="s">
        <v>214</v>
      </c>
      <c r="R1305" s="2" t="s">
        <v>137</v>
      </c>
      <c r="S1305" s="2" t="s">
        <v>198</v>
      </c>
      <c r="T1305" s="10">
        <v>14.97</v>
      </c>
      <c r="U1305" s="11">
        <v>1.085</v>
      </c>
      <c r="V1305" s="12">
        <f>T1305*U1305</f>
        <v>16.242450000000002</v>
      </c>
      <c r="W1305" s="13">
        <v>0.19</v>
      </c>
      <c r="X1305" s="12">
        <f>V1305-(V1305/(1+W1305))</f>
        <v>2.5933323529411769</v>
      </c>
      <c r="Y1305" s="12">
        <f>V1305-X1305</f>
        <v>13.649117647058825</v>
      </c>
      <c r="Z1305" s="14">
        <v>25</v>
      </c>
      <c r="AA1305" s="2" t="str">
        <f>IF(V1305&gt;Z1305,"Yes","No")</f>
        <v>No</v>
      </c>
      <c r="AB1305" s="12">
        <f>V1305-Z1305</f>
        <v>-8.7575499999999984</v>
      </c>
      <c r="AC1305" s="15" t="s">
        <v>130</v>
      </c>
      <c r="AD1305" s="15" t="s">
        <v>131</v>
      </c>
      <c r="AE1305" s="15" t="s">
        <v>421</v>
      </c>
      <c r="AF1305" s="12">
        <f>IF(AG1305="Rejected",0,IF(R1305="Corporate Card",0,V1305))</f>
        <v>16.242450000000002</v>
      </c>
      <c r="AG1305" s="15" t="s">
        <v>133</v>
      </c>
      <c r="AH1305" s="16">
        <v>45815</v>
      </c>
      <c r="AI1305" s="16">
        <v>45821</v>
      </c>
      <c r="AJ1305" s="16">
        <v>45827</v>
      </c>
      <c r="AK1305" s="17">
        <f>IF(AJ1305="","",AJ1305-AH1305)</f>
        <v>12</v>
      </c>
    </row>
    <row r="1306" spans="1:37">
      <c r="A1306" s="2" t="s">
        <v>1730</v>
      </c>
      <c r="B1306" s="2" t="s">
        <v>648</v>
      </c>
      <c r="C1306" s="2" t="s">
        <v>173</v>
      </c>
      <c r="D1306" s="2" t="s">
        <v>171</v>
      </c>
      <c r="E1306" s="2" t="s">
        <v>649</v>
      </c>
      <c r="F1306" s="2" t="s">
        <v>313</v>
      </c>
      <c r="G1306" s="2" t="s">
        <v>1694</v>
      </c>
      <c r="H1306" s="2" t="s">
        <v>254</v>
      </c>
      <c r="I1306" s="2" t="s">
        <v>749</v>
      </c>
      <c r="J1306" s="2" t="s">
        <v>750</v>
      </c>
      <c r="K1306" s="9">
        <v>45798</v>
      </c>
      <c r="L1306" s="9">
        <v>45804</v>
      </c>
      <c r="M1306" s="9">
        <v>45802</v>
      </c>
      <c r="N1306" s="2" t="s">
        <v>1595</v>
      </c>
      <c r="O1306" s="2" t="s">
        <v>56</v>
      </c>
      <c r="P1306" s="2" t="s">
        <v>231</v>
      </c>
      <c r="Q1306" s="2" t="s">
        <v>227</v>
      </c>
      <c r="R1306" s="2" t="s">
        <v>128</v>
      </c>
      <c r="S1306" s="2" t="s">
        <v>198</v>
      </c>
      <c r="T1306" s="10">
        <v>43.39</v>
      </c>
      <c r="U1306" s="11">
        <v>1.085</v>
      </c>
      <c r="V1306" s="12">
        <f>T1306*U1306</f>
        <v>47.078150000000001</v>
      </c>
      <c r="W1306" s="13">
        <v>0.19</v>
      </c>
      <c r="X1306" s="12">
        <f>V1306-(V1306/(1+W1306))</f>
        <v>7.5166794117647058</v>
      </c>
      <c r="Y1306" s="12">
        <f>V1306-X1306</f>
        <v>39.561470588235295</v>
      </c>
      <c r="Z1306" s="14">
        <v>75</v>
      </c>
      <c r="AA1306" s="2" t="str">
        <f>IF(V1306&gt;Z1306,"Yes","No")</f>
        <v>No</v>
      </c>
      <c r="AB1306" s="12">
        <f>V1306-Z1306</f>
        <v>-27.921849999999999</v>
      </c>
      <c r="AC1306" s="15" t="s">
        <v>130</v>
      </c>
      <c r="AD1306" s="15" t="s">
        <v>131</v>
      </c>
      <c r="AE1306" s="15" t="s">
        <v>421</v>
      </c>
      <c r="AF1306" s="12">
        <f>IF(AG1306="Rejected",0,IF(R1306="Corporate Card",0,V1306))</f>
        <v>0</v>
      </c>
      <c r="AG1306" s="15" t="s">
        <v>133</v>
      </c>
      <c r="AH1306" s="16">
        <v>45815</v>
      </c>
      <c r="AI1306" s="16">
        <v>45821</v>
      </c>
      <c r="AJ1306" s="16">
        <v>45827</v>
      </c>
      <c r="AK1306" s="17">
        <f>IF(AJ1306="","",AJ1306-AH1306)</f>
        <v>12</v>
      </c>
    </row>
    <row r="1307" spans="1:37">
      <c r="A1307" s="2" t="s">
        <v>1731</v>
      </c>
      <c r="B1307" s="2" t="s">
        <v>648</v>
      </c>
      <c r="C1307" s="2" t="s">
        <v>173</v>
      </c>
      <c r="D1307" s="2" t="s">
        <v>171</v>
      </c>
      <c r="E1307" s="2" t="s">
        <v>649</v>
      </c>
      <c r="F1307" s="2" t="s">
        <v>313</v>
      </c>
      <c r="G1307" s="2" t="s">
        <v>1694</v>
      </c>
      <c r="H1307" s="2" t="s">
        <v>254</v>
      </c>
      <c r="I1307" s="2" t="s">
        <v>749</v>
      </c>
      <c r="J1307" s="2" t="s">
        <v>750</v>
      </c>
      <c r="K1307" s="9">
        <v>45798</v>
      </c>
      <c r="L1307" s="9">
        <v>45804</v>
      </c>
      <c r="M1307" s="9">
        <v>45802</v>
      </c>
      <c r="N1307" s="2" t="s">
        <v>1595</v>
      </c>
      <c r="O1307" s="2" t="s">
        <v>55</v>
      </c>
      <c r="P1307" s="2" t="s">
        <v>139</v>
      </c>
      <c r="Q1307" s="2" t="s">
        <v>187</v>
      </c>
      <c r="R1307" s="2" t="s">
        <v>128</v>
      </c>
      <c r="S1307" s="2" t="s">
        <v>198</v>
      </c>
      <c r="T1307" s="10">
        <v>49.79</v>
      </c>
      <c r="U1307" s="11">
        <v>1.085</v>
      </c>
      <c r="V1307" s="12">
        <f>T1307*U1307</f>
        <v>54.022149999999996</v>
      </c>
      <c r="W1307" s="13">
        <v>0.19</v>
      </c>
      <c r="X1307" s="12">
        <f>V1307-(V1307/(1+W1307))</f>
        <v>8.6253852941176419</v>
      </c>
      <c r="Y1307" s="12">
        <f>V1307-X1307</f>
        <v>45.396764705882354</v>
      </c>
      <c r="Z1307" s="14">
        <v>35</v>
      </c>
      <c r="AA1307" s="2" t="str">
        <f>IF(V1307&gt;Z1307,"Yes","No")</f>
        <v>Yes</v>
      </c>
      <c r="AB1307" s="12">
        <f>V1307-Z1307</f>
        <v>19.022149999999996</v>
      </c>
      <c r="AC1307" s="15" t="s">
        <v>130</v>
      </c>
      <c r="AD1307" s="15" t="s">
        <v>131</v>
      </c>
      <c r="AE1307" s="15" t="s">
        <v>421</v>
      </c>
      <c r="AF1307" s="12">
        <f>IF(AG1307="Rejected",0,IF(R1307="Corporate Card",0,V1307))</f>
        <v>0</v>
      </c>
      <c r="AG1307" s="15" t="s">
        <v>133</v>
      </c>
      <c r="AH1307" s="16">
        <v>45815</v>
      </c>
      <c r="AI1307" s="16">
        <v>45821</v>
      </c>
      <c r="AJ1307" s="16">
        <v>45827</v>
      </c>
      <c r="AK1307" s="17">
        <f>IF(AJ1307="","",AJ1307-AH1307)</f>
        <v>12</v>
      </c>
    </row>
    <row r="1308" spans="1:37">
      <c r="A1308" s="2" t="s">
        <v>1732</v>
      </c>
      <c r="B1308" s="2" t="s">
        <v>648</v>
      </c>
      <c r="C1308" s="2" t="s">
        <v>173</v>
      </c>
      <c r="D1308" s="2" t="s">
        <v>171</v>
      </c>
      <c r="E1308" s="2" t="s">
        <v>649</v>
      </c>
      <c r="F1308" s="2" t="s">
        <v>313</v>
      </c>
      <c r="G1308" s="2" t="s">
        <v>1694</v>
      </c>
      <c r="H1308" s="2" t="s">
        <v>254</v>
      </c>
      <c r="I1308" s="2" t="s">
        <v>749</v>
      </c>
      <c r="J1308" s="2" t="s">
        <v>750</v>
      </c>
      <c r="K1308" s="9">
        <v>45798</v>
      </c>
      <c r="L1308" s="9">
        <v>45804</v>
      </c>
      <c r="M1308" s="9">
        <v>45803</v>
      </c>
      <c r="N1308" s="2" t="s">
        <v>1595</v>
      </c>
      <c r="O1308" s="2" t="s">
        <v>54</v>
      </c>
      <c r="P1308" s="2" t="s">
        <v>139</v>
      </c>
      <c r="Q1308" s="2" t="s">
        <v>214</v>
      </c>
      <c r="R1308" s="2" t="s">
        <v>128</v>
      </c>
      <c r="S1308" s="2" t="s">
        <v>198</v>
      </c>
      <c r="T1308" s="10">
        <v>13.51</v>
      </c>
      <c r="U1308" s="11">
        <v>1.085</v>
      </c>
      <c r="V1308" s="12">
        <f>T1308*U1308</f>
        <v>14.658349999999999</v>
      </c>
      <c r="W1308" s="13">
        <v>0.19</v>
      </c>
      <c r="X1308" s="12">
        <f>V1308-(V1308/(1+W1308))</f>
        <v>2.3404088235294118</v>
      </c>
      <c r="Y1308" s="12">
        <f>V1308-X1308</f>
        <v>12.317941176470587</v>
      </c>
      <c r="Z1308" s="14">
        <v>25</v>
      </c>
      <c r="AA1308" s="2" t="str">
        <f>IF(V1308&gt;Z1308,"Yes","No")</f>
        <v>No</v>
      </c>
      <c r="AB1308" s="12">
        <f>V1308-Z1308</f>
        <v>-10.341650000000001</v>
      </c>
      <c r="AC1308" s="15" t="s">
        <v>131</v>
      </c>
      <c r="AD1308" s="15" t="s">
        <v>131</v>
      </c>
      <c r="AE1308" s="15" t="s">
        <v>421</v>
      </c>
      <c r="AF1308" s="12">
        <f>IF(AG1308="Rejected",0,IF(R1308="Corporate Card",0,V1308))</f>
        <v>0</v>
      </c>
      <c r="AG1308" s="15" t="s">
        <v>133</v>
      </c>
      <c r="AH1308" s="16">
        <v>45815</v>
      </c>
      <c r="AI1308" s="16">
        <v>45821</v>
      </c>
      <c r="AJ1308" s="16">
        <v>45827</v>
      </c>
      <c r="AK1308" s="17">
        <f>IF(AJ1308="","",AJ1308-AH1308)</f>
        <v>12</v>
      </c>
    </row>
    <row r="1309" spans="1:37">
      <c r="A1309" s="2" t="s">
        <v>1733</v>
      </c>
      <c r="B1309" s="2" t="s">
        <v>648</v>
      </c>
      <c r="C1309" s="2" t="s">
        <v>173</v>
      </c>
      <c r="D1309" s="2" t="s">
        <v>171</v>
      </c>
      <c r="E1309" s="2" t="s">
        <v>649</v>
      </c>
      <c r="F1309" s="2" t="s">
        <v>313</v>
      </c>
      <c r="G1309" s="2" t="s">
        <v>1694</v>
      </c>
      <c r="H1309" s="2" t="s">
        <v>254</v>
      </c>
      <c r="I1309" s="2" t="s">
        <v>749</v>
      </c>
      <c r="J1309" s="2" t="s">
        <v>750</v>
      </c>
      <c r="K1309" s="9">
        <v>45798</v>
      </c>
      <c r="L1309" s="9">
        <v>45804</v>
      </c>
      <c r="M1309" s="9">
        <v>45803</v>
      </c>
      <c r="N1309" s="2" t="s">
        <v>1595</v>
      </c>
      <c r="O1309" s="2" t="s">
        <v>56</v>
      </c>
      <c r="P1309" s="2" t="s">
        <v>231</v>
      </c>
      <c r="Q1309" s="2" t="s">
        <v>159</v>
      </c>
      <c r="R1309" s="2" t="s">
        <v>128</v>
      </c>
      <c r="S1309" s="2" t="s">
        <v>198</v>
      </c>
      <c r="T1309" s="10">
        <v>53.08</v>
      </c>
      <c r="U1309" s="11">
        <v>1.085</v>
      </c>
      <c r="V1309" s="12">
        <f>T1309*U1309</f>
        <v>57.591799999999999</v>
      </c>
      <c r="W1309" s="13">
        <v>0.19</v>
      </c>
      <c r="X1309" s="12">
        <f>V1309-(V1309/(1+W1309))</f>
        <v>9.1953294117647033</v>
      </c>
      <c r="Y1309" s="12">
        <f>V1309-X1309</f>
        <v>48.396470588235296</v>
      </c>
      <c r="Z1309" s="14">
        <v>75</v>
      </c>
      <c r="AA1309" s="2" t="str">
        <f>IF(V1309&gt;Z1309,"Yes","No")</f>
        <v>No</v>
      </c>
      <c r="AB1309" s="12">
        <f>V1309-Z1309</f>
        <v>-17.408200000000001</v>
      </c>
      <c r="AC1309" s="15" t="s">
        <v>130</v>
      </c>
      <c r="AD1309" s="15" t="s">
        <v>131</v>
      </c>
      <c r="AE1309" s="15" t="s">
        <v>421</v>
      </c>
      <c r="AF1309" s="12">
        <f>IF(AG1309="Rejected",0,IF(R1309="Corporate Card",0,V1309))</f>
        <v>0</v>
      </c>
      <c r="AG1309" s="15" t="s">
        <v>133</v>
      </c>
      <c r="AH1309" s="16">
        <v>45815</v>
      </c>
      <c r="AI1309" s="16">
        <v>45821</v>
      </c>
      <c r="AJ1309" s="16">
        <v>45827</v>
      </c>
      <c r="AK1309" s="17">
        <f>IF(AJ1309="","",AJ1309-AH1309)</f>
        <v>12</v>
      </c>
    </row>
    <row r="1310" spans="1:37">
      <c r="A1310" s="2" t="s">
        <v>1734</v>
      </c>
      <c r="B1310" s="2" t="s">
        <v>648</v>
      </c>
      <c r="C1310" s="2" t="s">
        <v>173</v>
      </c>
      <c r="D1310" s="2" t="s">
        <v>171</v>
      </c>
      <c r="E1310" s="2" t="s">
        <v>649</v>
      </c>
      <c r="F1310" s="2" t="s">
        <v>313</v>
      </c>
      <c r="G1310" s="2" t="s">
        <v>1694</v>
      </c>
      <c r="H1310" s="2" t="s">
        <v>254</v>
      </c>
      <c r="I1310" s="2" t="s">
        <v>749</v>
      </c>
      <c r="J1310" s="2" t="s">
        <v>750</v>
      </c>
      <c r="K1310" s="9">
        <v>45798</v>
      </c>
      <c r="L1310" s="9">
        <v>45804</v>
      </c>
      <c r="M1310" s="9">
        <v>45803</v>
      </c>
      <c r="N1310" s="2" t="s">
        <v>1595</v>
      </c>
      <c r="O1310" s="2" t="s">
        <v>55</v>
      </c>
      <c r="P1310" s="2" t="s">
        <v>139</v>
      </c>
      <c r="Q1310" s="2" t="s">
        <v>187</v>
      </c>
      <c r="R1310" s="2" t="s">
        <v>137</v>
      </c>
      <c r="S1310" s="2" t="s">
        <v>198</v>
      </c>
      <c r="T1310" s="10">
        <v>20.81</v>
      </c>
      <c r="U1310" s="11">
        <v>1.085</v>
      </c>
      <c r="V1310" s="12">
        <f>T1310*U1310</f>
        <v>22.578849999999999</v>
      </c>
      <c r="W1310" s="13">
        <v>0.19</v>
      </c>
      <c r="X1310" s="12">
        <f>V1310-(V1310/(1+W1310))</f>
        <v>3.6050264705882356</v>
      </c>
      <c r="Y1310" s="12">
        <f>V1310-X1310</f>
        <v>18.973823529411764</v>
      </c>
      <c r="Z1310" s="14">
        <v>35</v>
      </c>
      <c r="AA1310" s="2" t="str">
        <f>IF(V1310&gt;Z1310,"Yes","No")</f>
        <v>No</v>
      </c>
      <c r="AB1310" s="12">
        <f>V1310-Z1310</f>
        <v>-12.421150000000001</v>
      </c>
      <c r="AC1310" s="15" t="s">
        <v>130</v>
      </c>
      <c r="AD1310" s="15" t="s">
        <v>131</v>
      </c>
      <c r="AE1310" s="15" t="s">
        <v>421</v>
      </c>
      <c r="AF1310" s="12">
        <f>IF(AG1310="Rejected",0,IF(R1310="Corporate Card",0,V1310))</f>
        <v>22.578849999999999</v>
      </c>
      <c r="AG1310" s="15" t="s">
        <v>133</v>
      </c>
      <c r="AH1310" s="16">
        <v>45815</v>
      </c>
      <c r="AI1310" s="16">
        <v>45821</v>
      </c>
      <c r="AJ1310" s="16">
        <v>45827</v>
      </c>
      <c r="AK1310" s="17">
        <f>IF(AJ1310="","",AJ1310-AH1310)</f>
        <v>12</v>
      </c>
    </row>
    <row r="1311" spans="1:37">
      <c r="A1311" s="2" t="s">
        <v>1735</v>
      </c>
      <c r="B1311" s="2" t="s">
        <v>648</v>
      </c>
      <c r="C1311" s="2" t="s">
        <v>173</v>
      </c>
      <c r="D1311" s="2" t="s">
        <v>171</v>
      </c>
      <c r="E1311" s="2" t="s">
        <v>649</v>
      </c>
      <c r="F1311" s="2" t="s">
        <v>313</v>
      </c>
      <c r="G1311" s="2" t="s">
        <v>1694</v>
      </c>
      <c r="H1311" s="2" t="s">
        <v>254</v>
      </c>
      <c r="I1311" s="2" t="s">
        <v>749</v>
      </c>
      <c r="J1311" s="2" t="s">
        <v>750</v>
      </c>
      <c r="K1311" s="9">
        <v>45798</v>
      </c>
      <c r="L1311" s="9">
        <v>45804</v>
      </c>
      <c r="M1311" s="9">
        <v>45804</v>
      </c>
      <c r="N1311" s="2" t="s">
        <v>1595</v>
      </c>
      <c r="O1311" s="2" t="s">
        <v>58</v>
      </c>
      <c r="P1311" s="2" t="s">
        <v>142</v>
      </c>
      <c r="Q1311" s="2" t="s">
        <v>224</v>
      </c>
      <c r="R1311" s="2" t="s">
        <v>128</v>
      </c>
      <c r="S1311" s="2" t="s">
        <v>198</v>
      </c>
      <c r="T1311" s="10">
        <v>40.770000000000003</v>
      </c>
      <c r="U1311" s="11">
        <v>1.085</v>
      </c>
      <c r="V1311" s="12">
        <f>T1311*U1311</f>
        <v>44.23545</v>
      </c>
      <c r="W1311" s="13">
        <v>0.19</v>
      </c>
      <c r="X1311" s="12">
        <f>V1311-(V1311/(1+W1311))</f>
        <v>7.0628029411764714</v>
      </c>
      <c r="Y1311" s="12">
        <f>V1311-X1311</f>
        <v>37.172647058823529</v>
      </c>
      <c r="Z1311" s="14">
        <v>60</v>
      </c>
      <c r="AA1311" s="2" t="str">
        <f>IF(V1311&gt;Z1311,"Yes","No")</f>
        <v>No</v>
      </c>
      <c r="AB1311" s="12">
        <f>V1311-Z1311</f>
        <v>-15.76455</v>
      </c>
      <c r="AC1311" s="15" t="s">
        <v>130</v>
      </c>
      <c r="AD1311" s="15" t="s">
        <v>131</v>
      </c>
      <c r="AE1311" s="15" t="s">
        <v>421</v>
      </c>
      <c r="AF1311" s="12">
        <f>IF(AG1311="Rejected",0,IF(R1311="Corporate Card",0,V1311))</f>
        <v>0</v>
      </c>
      <c r="AG1311" s="15" t="s">
        <v>133</v>
      </c>
      <c r="AH1311" s="16">
        <v>45815</v>
      </c>
      <c r="AI1311" s="16">
        <v>45821</v>
      </c>
      <c r="AJ1311" s="16">
        <v>45827</v>
      </c>
      <c r="AK1311" s="17">
        <f>IF(AJ1311="","",AJ1311-AH1311)</f>
        <v>12</v>
      </c>
    </row>
    <row r="1312" spans="1:37">
      <c r="A1312" s="2" t="s">
        <v>1736</v>
      </c>
      <c r="B1312" s="2" t="s">
        <v>648</v>
      </c>
      <c r="C1312" s="2" t="s">
        <v>173</v>
      </c>
      <c r="D1312" s="2" t="s">
        <v>171</v>
      </c>
      <c r="E1312" s="2" t="s">
        <v>649</v>
      </c>
      <c r="F1312" s="2" t="s">
        <v>313</v>
      </c>
      <c r="G1312" s="2" t="s">
        <v>1694</v>
      </c>
      <c r="H1312" s="2" t="s">
        <v>254</v>
      </c>
      <c r="I1312" s="2" t="s">
        <v>749</v>
      </c>
      <c r="J1312" s="2" t="s">
        <v>750</v>
      </c>
      <c r="K1312" s="9">
        <v>45798</v>
      </c>
      <c r="L1312" s="9">
        <v>45804</v>
      </c>
      <c r="M1312" s="9">
        <v>45804</v>
      </c>
      <c r="N1312" s="2" t="s">
        <v>1595</v>
      </c>
      <c r="O1312" s="2" t="s">
        <v>56</v>
      </c>
      <c r="P1312" s="2" t="s">
        <v>165</v>
      </c>
      <c r="Q1312" s="2" t="s">
        <v>166</v>
      </c>
      <c r="R1312" s="2" t="s">
        <v>128</v>
      </c>
      <c r="S1312" s="2" t="s">
        <v>198</v>
      </c>
      <c r="T1312" s="10">
        <v>27.6</v>
      </c>
      <c r="U1312" s="11">
        <v>1.085</v>
      </c>
      <c r="V1312" s="12">
        <f>T1312*U1312</f>
        <v>29.946000000000002</v>
      </c>
      <c r="W1312" s="13">
        <v>0.19</v>
      </c>
      <c r="X1312" s="12">
        <f>V1312-(V1312/(1+W1312))</f>
        <v>4.7812941176470574</v>
      </c>
      <c r="Y1312" s="12">
        <f>V1312-X1312</f>
        <v>25.164705882352944</v>
      </c>
      <c r="Z1312" s="14">
        <v>75</v>
      </c>
      <c r="AA1312" s="2" t="str">
        <f>IF(V1312&gt;Z1312,"Yes","No")</f>
        <v>No</v>
      </c>
      <c r="AB1312" s="12">
        <f>V1312-Z1312</f>
        <v>-45.054000000000002</v>
      </c>
      <c r="AC1312" s="15" t="s">
        <v>130</v>
      </c>
      <c r="AD1312" s="15" t="s">
        <v>131</v>
      </c>
      <c r="AE1312" s="15" t="s">
        <v>421</v>
      </c>
      <c r="AF1312" s="12">
        <f>IF(AG1312="Rejected",0,IF(R1312="Corporate Card",0,V1312))</f>
        <v>0</v>
      </c>
      <c r="AG1312" s="15" t="s">
        <v>133</v>
      </c>
      <c r="AH1312" s="16">
        <v>45815</v>
      </c>
      <c r="AI1312" s="16">
        <v>45821</v>
      </c>
      <c r="AJ1312" s="16">
        <v>45827</v>
      </c>
      <c r="AK1312" s="17">
        <f>IF(AJ1312="","",AJ1312-AH1312)</f>
        <v>12</v>
      </c>
    </row>
    <row r="1313" spans="1:37">
      <c r="A1313" s="2" t="s">
        <v>1737</v>
      </c>
      <c r="B1313" s="2" t="s">
        <v>648</v>
      </c>
      <c r="C1313" s="2" t="s">
        <v>173</v>
      </c>
      <c r="D1313" s="2" t="s">
        <v>171</v>
      </c>
      <c r="E1313" s="2" t="s">
        <v>649</v>
      </c>
      <c r="F1313" s="2" t="s">
        <v>313</v>
      </c>
      <c r="G1313" s="2" t="s">
        <v>1694</v>
      </c>
      <c r="H1313" s="2" t="s">
        <v>254</v>
      </c>
      <c r="I1313" s="2" t="s">
        <v>749</v>
      </c>
      <c r="J1313" s="2" t="s">
        <v>750</v>
      </c>
      <c r="K1313" s="9">
        <v>45798</v>
      </c>
      <c r="L1313" s="9">
        <v>45804</v>
      </c>
      <c r="M1313" s="9">
        <v>45804</v>
      </c>
      <c r="N1313" s="2" t="s">
        <v>1595</v>
      </c>
      <c r="O1313" s="2" t="s">
        <v>55</v>
      </c>
      <c r="P1313" s="2" t="s">
        <v>139</v>
      </c>
      <c r="Q1313" s="2" t="s">
        <v>187</v>
      </c>
      <c r="R1313" s="2" t="s">
        <v>128</v>
      </c>
      <c r="S1313" s="2" t="s">
        <v>198</v>
      </c>
      <c r="T1313" s="10">
        <v>26.46</v>
      </c>
      <c r="U1313" s="11">
        <v>1.085</v>
      </c>
      <c r="V1313" s="12">
        <f>T1313*U1313</f>
        <v>28.709099999999999</v>
      </c>
      <c r="W1313" s="13">
        <v>0.19</v>
      </c>
      <c r="X1313" s="12">
        <f>V1313-(V1313/(1+W1313))</f>
        <v>4.5838058823529408</v>
      </c>
      <c r="Y1313" s="12">
        <f>V1313-X1313</f>
        <v>24.125294117647059</v>
      </c>
      <c r="Z1313" s="14">
        <v>35</v>
      </c>
      <c r="AA1313" s="2" t="str">
        <f>IF(V1313&gt;Z1313,"Yes","No")</f>
        <v>No</v>
      </c>
      <c r="AB1313" s="12">
        <f>V1313-Z1313</f>
        <v>-6.2909000000000006</v>
      </c>
      <c r="AC1313" s="15" t="s">
        <v>130</v>
      </c>
      <c r="AD1313" s="15" t="s">
        <v>131</v>
      </c>
      <c r="AE1313" s="15" t="s">
        <v>421</v>
      </c>
      <c r="AF1313" s="12">
        <f>IF(AG1313="Rejected",0,IF(R1313="Corporate Card",0,V1313))</f>
        <v>0</v>
      </c>
      <c r="AG1313" s="15" t="s">
        <v>133</v>
      </c>
      <c r="AH1313" s="16">
        <v>45815</v>
      </c>
      <c r="AI1313" s="16">
        <v>45821</v>
      </c>
      <c r="AJ1313" s="16">
        <v>45827</v>
      </c>
      <c r="AK1313" s="17">
        <f>IF(AJ1313="","",AJ1313-AH1313)</f>
        <v>12</v>
      </c>
    </row>
    <row r="1314" spans="1:37">
      <c r="A1314" s="2" t="s">
        <v>1738</v>
      </c>
      <c r="B1314" s="2" t="s">
        <v>616</v>
      </c>
      <c r="C1314" s="2" t="s">
        <v>252</v>
      </c>
      <c r="D1314" s="2" t="s">
        <v>250</v>
      </c>
      <c r="E1314" s="2" t="s">
        <v>617</v>
      </c>
      <c r="F1314" s="2" t="s">
        <v>510</v>
      </c>
      <c r="G1314" s="2" t="s">
        <v>1739</v>
      </c>
      <c r="H1314" s="2" t="s">
        <v>803</v>
      </c>
      <c r="I1314" s="2" t="s">
        <v>651</v>
      </c>
      <c r="J1314" s="2" t="s">
        <v>652</v>
      </c>
      <c r="K1314" s="9">
        <v>45804</v>
      </c>
      <c r="L1314" s="9">
        <v>45805</v>
      </c>
      <c r="M1314" s="9">
        <v>45804</v>
      </c>
      <c r="N1314" s="2" t="s">
        <v>1595</v>
      </c>
      <c r="O1314" s="2" t="s">
        <v>52</v>
      </c>
      <c r="P1314" s="2" t="s">
        <v>653</v>
      </c>
      <c r="Q1314" s="2" t="s">
        <v>258</v>
      </c>
      <c r="R1314" s="2" t="s">
        <v>137</v>
      </c>
      <c r="S1314" s="2" t="s">
        <v>654</v>
      </c>
      <c r="T1314" s="10">
        <v>3263.9</v>
      </c>
      <c r="U1314" s="11">
        <v>0.72799999999999998</v>
      </c>
      <c r="V1314" s="12">
        <f>T1314*U1314</f>
        <v>2376.1192000000001</v>
      </c>
      <c r="W1314" s="13">
        <v>0</v>
      </c>
      <c r="X1314" s="12">
        <f>V1314-(V1314/(1+W1314))</f>
        <v>0</v>
      </c>
      <c r="Y1314" s="12">
        <f>V1314-X1314</f>
        <v>2376.1192000000001</v>
      </c>
      <c r="Z1314" s="14">
        <v>1400</v>
      </c>
      <c r="AA1314" s="2" t="str">
        <f>IF(V1314&gt;Z1314,"Yes","No")</f>
        <v>Yes</v>
      </c>
      <c r="AB1314" s="12">
        <f>V1314-Z1314</f>
        <v>976.11920000000009</v>
      </c>
      <c r="AC1314" s="15" t="s">
        <v>130</v>
      </c>
      <c r="AD1314" s="15" t="s">
        <v>131</v>
      </c>
      <c r="AE1314" s="15" t="s">
        <v>180</v>
      </c>
      <c r="AF1314" s="12">
        <f>IF(AG1314="Rejected",0,IF(R1314="Corporate Card",0,V1314))</f>
        <v>2376.1192000000001</v>
      </c>
      <c r="AG1314" s="15" t="s">
        <v>133</v>
      </c>
      <c r="AH1314" s="16">
        <v>45806</v>
      </c>
      <c r="AI1314" s="16">
        <v>45813</v>
      </c>
      <c r="AJ1314" s="16">
        <v>45824</v>
      </c>
      <c r="AK1314" s="17">
        <f>IF(AJ1314="","",AJ1314-AH1314)</f>
        <v>18</v>
      </c>
    </row>
    <row r="1315" spans="1:37">
      <c r="A1315" s="2" t="s">
        <v>1740</v>
      </c>
      <c r="B1315" s="2" t="s">
        <v>616</v>
      </c>
      <c r="C1315" s="2" t="s">
        <v>252</v>
      </c>
      <c r="D1315" s="2" t="s">
        <v>250</v>
      </c>
      <c r="E1315" s="2" t="s">
        <v>617</v>
      </c>
      <c r="F1315" s="2" t="s">
        <v>510</v>
      </c>
      <c r="G1315" s="2" t="s">
        <v>1739</v>
      </c>
      <c r="H1315" s="2" t="s">
        <v>803</v>
      </c>
      <c r="I1315" s="2" t="s">
        <v>651</v>
      </c>
      <c r="J1315" s="2" t="s">
        <v>652</v>
      </c>
      <c r="K1315" s="9">
        <v>45804</v>
      </c>
      <c r="L1315" s="9">
        <v>45805</v>
      </c>
      <c r="M1315" s="9">
        <v>45804</v>
      </c>
      <c r="N1315" s="2" t="s">
        <v>1595</v>
      </c>
      <c r="O1315" s="2" t="s">
        <v>64</v>
      </c>
      <c r="P1315" s="2" t="s">
        <v>135</v>
      </c>
      <c r="Q1315" s="2" t="s">
        <v>420</v>
      </c>
      <c r="R1315" s="2" t="s">
        <v>128</v>
      </c>
      <c r="S1315" s="2" t="s">
        <v>654</v>
      </c>
      <c r="T1315" s="10">
        <v>246.79</v>
      </c>
      <c r="U1315" s="11">
        <v>0.72799999999999998</v>
      </c>
      <c r="V1315" s="12">
        <f>T1315*U1315</f>
        <v>179.66311999999999</v>
      </c>
      <c r="W1315" s="13">
        <v>0</v>
      </c>
      <c r="X1315" s="12">
        <f>V1315-(V1315/(1+W1315))</f>
        <v>0</v>
      </c>
      <c r="Y1315" s="12">
        <f>V1315-X1315</f>
        <v>179.66311999999999</v>
      </c>
      <c r="Z1315" s="14">
        <v>120</v>
      </c>
      <c r="AA1315" s="2" t="str">
        <f>IF(V1315&gt;Z1315,"Yes","No")</f>
        <v>Yes</v>
      </c>
      <c r="AB1315" s="12">
        <f>V1315-Z1315</f>
        <v>59.663119999999992</v>
      </c>
      <c r="AC1315" s="15" t="s">
        <v>130</v>
      </c>
      <c r="AD1315" s="15" t="s">
        <v>131</v>
      </c>
      <c r="AE1315" s="15" t="s">
        <v>180</v>
      </c>
      <c r="AF1315" s="12">
        <f>IF(AG1315="Rejected",0,IF(R1315="Corporate Card",0,V1315))</f>
        <v>0</v>
      </c>
      <c r="AG1315" s="15" t="s">
        <v>133</v>
      </c>
      <c r="AH1315" s="16">
        <v>45806</v>
      </c>
      <c r="AI1315" s="16">
        <v>45813</v>
      </c>
      <c r="AJ1315" s="16">
        <v>45824</v>
      </c>
      <c r="AK1315" s="17">
        <f>IF(AJ1315="","",AJ1315-AH1315)</f>
        <v>18</v>
      </c>
    </row>
    <row r="1316" spans="1:37">
      <c r="A1316" s="2" t="s">
        <v>1741</v>
      </c>
      <c r="B1316" s="2" t="s">
        <v>616</v>
      </c>
      <c r="C1316" s="2" t="s">
        <v>252</v>
      </c>
      <c r="D1316" s="2" t="s">
        <v>250</v>
      </c>
      <c r="E1316" s="2" t="s">
        <v>617</v>
      </c>
      <c r="F1316" s="2" t="s">
        <v>510</v>
      </c>
      <c r="G1316" s="2" t="s">
        <v>1739</v>
      </c>
      <c r="H1316" s="2" t="s">
        <v>803</v>
      </c>
      <c r="I1316" s="2" t="s">
        <v>651</v>
      </c>
      <c r="J1316" s="2" t="s">
        <v>652</v>
      </c>
      <c r="K1316" s="9">
        <v>45804</v>
      </c>
      <c r="L1316" s="9">
        <v>45805</v>
      </c>
      <c r="M1316" s="9">
        <v>45804</v>
      </c>
      <c r="N1316" s="2" t="s">
        <v>1595</v>
      </c>
      <c r="O1316" s="2" t="s">
        <v>54</v>
      </c>
      <c r="P1316" s="2" t="s">
        <v>139</v>
      </c>
      <c r="Q1316" s="2" t="s">
        <v>140</v>
      </c>
      <c r="R1316" s="2" t="s">
        <v>128</v>
      </c>
      <c r="S1316" s="2" t="s">
        <v>654</v>
      </c>
      <c r="T1316" s="10">
        <v>29.15</v>
      </c>
      <c r="U1316" s="11">
        <v>0.72799999999999998</v>
      </c>
      <c r="V1316" s="12">
        <f>T1316*U1316</f>
        <v>21.2212</v>
      </c>
      <c r="W1316" s="13">
        <v>0.13</v>
      </c>
      <c r="X1316" s="12">
        <f>V1316-(V1316/(1+W1316))</f>
        <v>2.4413769911504417</v>
      </c>
      <c r="Y1316" s="12">
        <f>V1316-X1316</f>
        <v>18.779823008849558</v>
      </c>
      <c r="Z1316" s="14">
        <v>25</v>
      </c>
      <c r="AA1316" s="2" t="str">
        <f>IF(V1316&gt;Z1316,"Yes","No")</f>
        <v>No</v>
      </c>
      <c r="AB1316" s="12">
        <f>V1316-Z1316</f>
        <v>-3.7788000000000004</v>
      </c>
      <c r="AC1316" s="15" t="s">
        <v>130</v>
      </c>
      <c r="AD1316" s="15" t="s">
        <v>131</v>
      </c>
      <c r="AE1316" s="15" t="s">
        <v>180</v>
      </c>
      <c r="AF1316" s="12">
        <f>IF(AG1316="Rejected",0,IF(R1316="Corporate Card",0,V1316))</f>
        <v>0</v>
      </c>
      <c r="AG1316" s="15" t="s">
        <v>133</v>
      </c>
      <c r="AH1316" s="16">
        <v>45806</v>
      </c>
      <c r="AI1316" s="16">
        <v>45813</v>
      </c>
      <c r="AJ1316" s="16">
        <v>45824</v>
      </c>
      <c r="AK1316" s="17">
        <f>IF(AJ1316="","",AJ1316-AH1316)</f>
        <v>18</v>
      </c>
    </row>
    <row r="1317" spans="1:37">
      <c r="A1317" s="2" t="s">
        <v>1742</v>
      </c>
      <c r="B1317" s="2" t="s">
        <v>616</v>
      </c>
      <c r="C1317" s="2" t="s">
        <v>252</v>
      </c>
      <c r="D1317" s="2" t="s">
        <v>250</v>
      </c>
      <c r="E1317" s="2" t="s">
        <v>617</v>
      </c>
      <c r="F1317" s="2" t="s">
        <v>510</v>
      </c>
      <c r="G1317" s="2" t="s">
        <v>1739</v>
      </c>
      <c r="H1317" s="2" t="s">
        <v>803</v>
      </c>
      <c r="I1317" s="2" t="s">
        <v>651</v>
      </c>
      <c r="J1317" s="2" t="s">
        <v>652</v>
      </c>
      <c r="K1317" s="9">
        <v>45804</v>
      </c>
      <c r="L1317" s="9">
        <v>45805</v>
      </c>
      <c r="M1317" s="9">
        <v>45804</v>
      </c>
      <c r="N1317" s="2" t="s">
        <v>1595</v>
      </c>
      <c r="O1317" s="2" t="s">
        <v>56</v>
      </c>
      <c r="P1317" s="2" t="s">
        <v>165</v>
      </c>
      <c r="Q1317" s="2" t="s">
        <v>185</v>
      </c>
      <c r="R1317" s="2" t="s">
        <v>128</v>
      </c>
      <c r="S1317" s="2" t="s">
        <v>654</v>
      </c>
      <c r="T1317" s="10">
        <v>58.64</v>
      </c>
      <c r="U1317" s="11">
        <v>0.72799999999999998</v>
      </c>
      <c r="V1317" s="12">
        <f>T1317*U1317</f>
        <v>42.689920000000001</v>
      </c>
      <c r="W1317" s="13">
        <v>0.13</v>
      </c>
      <c r="X1317" s="12">
        <f>V1317-(V1317/(1+W1317))</f>
        <v>4.9112297345132703</v>
      </c>
      <c r="Y1317" s="12">
        <f>V1317-X1317</f>
        <v>37.77869026548673</v>
      </c>
      <c r="Z1317" s="14">
        <v>75</v>
      </c>
      <c r="AA1317" s="2" t="str">
        <f>IF(V1317&gt;Z1317,"Yes","No")</f>
        <v>No</v>
      </c>
      <c r="AB1317" s="12">
        <f>V1317-Z1317</f>
        <v>-32.310079999999999</v>
      </c>
      <c r="AC1317" s="15" t="s">
        <v>130</v>
      </c>
      <c r="AD1317" s="15" t="s">
        <v>131</v>
      </c>
      <c r="AE1317" s="15" t="s">
        <v>180</v>
      </c>
      <c r="AF1317" s="12">
        <f>IF(AG1317="Rejected",0,IF(R1317="Corporate Card",0,V1317))</f>
        <v>0</v>
      </c>
      <c r="AG1317" s="15" t="s">
        <v>133</v>
      </c>
      <c r="AH1317" s="16">
        <v>45806</v>
      </c>
      <c r="AI1317" s="16">
        <v>45813</v>
      </c>
      <c r="AJ1317" s="16">
        <v>45824</v>
      </c>
      <c r="AK1317" s="17">
        <f>IF(AJ1317="","",AJ1317-AH1317)</f>
        <v>18</v>
      </c>
    </row>
    <row r="1318" spans="1:37">
      <c r="A1318" s="2" t="s">
        <v>1743</v>
      </c>
      <c r="B1318" s="2" t="s">
        <v>616</v>
      </c>
      <c r="C1318" s="2" t="s">
        <v>252</v>
      </c>
      <c r="D1318" s="2" t="s">
        <v>250</v>
      </c>
      <c r="E1318" s="2" t="s">
        <v>617</v>
      </c>
      <c r="F1318" s="2" t="s">
        <v>510</v>
      </c>
      <c r="G1318" s="2" t="s">
        <v>1739</v>
      </c>
      <c r="H1318" s="2" t="s">
        <v>803</v>
      </c>
      <c r="I1318" s="2" t="s">
        <v>651</v>
      </c>
      <c r="J1318" s="2" t="s">
        <v>652</v>
      </c>
      <c r="K1318" s="9">
        <v>45804</v>
      </c>
      <c r="L1318" s="9">
        <v>45805</v>
      </c>
      <c r="M1318" s="9">
        <v>45804</v>
      </c>
      <c r="N1318" s="2" t="s">
        <v>1595</v>
      </c>
      <c r="O1318" s="2" t="s">
        <v>55</v>
      </c>
      <c r="P1318" s="2" t="s">
        <v>139</v>
      </c>
      <c r="Q1318" s="2" t="s">
        <v>161</v>
      </c>
      <c r="R1318" s="2" t="s">
        <v>128</v>
      </c>
      <c r="S1318" s="2" t="s">
        <v>654</v>
      </c>
      <c r="T1318" s="10">
        <v>19.690000000000001</v>
      </c>
      <c r="U1318" s="11">
        <v>0.72799999999999998</v>
      </c>
      <c r="V1318" s="12">
        <f>T1318*U1318</f>
        <v>14.33432</v>
      </c>
      <c r="W1318" s="13">
        <v>0.13</v>
      </c>
      <c r="X1318" s="12">
        <f>V1318-(V1318/(1+W1318))</f>
        <v>1.6490810619469016</v>
      </c>
      <c r="Y1318" s="12">
        <f>V1318-X1318</f>
        <v>12.685238938053098</v>
      </c>
      <c r="Z1318" s="14">
        <v>35</v>
      </c>
      <c r="AA1318" s="2" t="str">
        <f>IF(V1318&gt;Z1318,"Yes","No")</f>
        <v>No</v>
      </c>
      <c r="AB1318" s="12">
        <f>V1318-Z1318</f>
        <v>-20.665680000000002</v>
      </c>
      <c r="AC1318" s="15" t="s">
        <v>130</v>
      </c>
      <c r="AD1318" s="15" t="s">
        <v>131</v>
      </c>
      <c r="AE1318" s="15" t="s">
        <v>180</v>
      </c>
      <c r="AF1318" s="12">
        <f>IF(AG1318="Rejected",0,IF(R1318="Corporate Card",0,V1318))</f>
        <v>0</v>
      </c>
      <c r="AG1318" s="15" t="s">
        <v>133</v>
      </c>
      <c r="AH1318" s="16">
        <v>45806</v>
      </c>
      <c r="AI1318" s="16">
        <v>45813</v>
      </c>
      <c r="AJ1318" s="16">
        <v>45824</v>
      </c>
      <c r="AK1318" s="17">
        <f>IF(AJ1318="","",AJ1318-AH1318)</f>
        <v>18</v>
      </c>
    </row>
    <row r="1319" spans="1:37">
      <c r="A1319" s="2" t="s">
        <v>1744</v>
      </c>
      <c r="B1319" s="2" t="s">
        <v>189</v>
      </c>
      <c r="C1319" s="2" t="s">
        <v>190</v>
      </c>
      <c r="D1319" s="2" t="s">
        <v>171</v>
      </c>
      <c r="E1319" s="2" t="s">
        <v>191</v>
      </c>
      <c r="F1319" s="2" t="s">
        <v>173</v>
      </c>
      <c r="G1319" s="2" t="s">
        <v>1745</v>
      </c>
      <c r="H1319" s="2" t="s">
        <v>348</v>
      </c>
      <c r="I1319" s="2" t="s">
        <v>567</v>
      </c>
      <c r="J1319" s="2" t="s">
        <v>434</v>
      </c>
      <c r="K1319" s="9">
        <v>45805</v>
      </c>
      <c r="L1319" s="9">
        <v>45812</v>
      </c>
      <c r="M1319" s="9">
        <v>45805</v>
      </c>
      <c r="N1319" s="2" t="s">
        <v>1595</v>
      </c>
      <c r="O1319" s="2" t="s">
        <v>52</v>
      </c>
      <c r="P1319" s="2" t="s">
        <v>568</v>
      </c>
      <c r="Q1319" s="2" t="s">
        <v>178</v>
      </c>
      <c r="R1319" s="2" t="s">
        <v>149</v>
      </c>
      <c r="S1319" s="2" t="s">
        <v>436</v>
      </c>
      <c r="T1319" s="10">
        <v>169048</v>
      </c>
      <c r="U1319" s="11">
        <v>1.1780000000000001E-2</v>
      </c>
      <c r="V1319" s="12">
        <f>T1319*U1319</f>
        <v>1991.38544</v>
      </c>
      <c r="W1319" s="13">
        <v>0</v>
      </c>
      <c r="X1319" s="12">
        <f>V1319-(V1319/(1+W1319))</f>
        <v>0</v>
      </c>
      <c r="Y1319" s="12">
        <f>V1319-X1319</f>
        <v>1991.38544</v>
      </c>
      <c r="Z1319" s="14">
        <v>1400</v>
      </c>
      <c r="AA1319" s="2" t="str">
        <f>IF(V1319&gt;Z1319,"Yes","No")</f>
        <v>Yes</v>
      </c>
      <c r="AB1319" s="12">
        <f>V1319-Z1319</f>
        <v>591.38544000000002</v>
      </c>
      <c r="AC1319" s="15" t="s">
        <v>130</v>
      </c>
      <c r="AD1319" s="15" t="s">
        <v>131</v>
      </c>
      <c r="AE1319" s="15" t="s">
        <v>514</v>
      </c>
      <c r="AF1319" s="12">
        <f>IF(AG1319="Rejected",0,IF(R1319="Corporate Card",0,V1319))</f>
        <v>0</v>
      </c>
      <c r="AG1319" s="15" t="s">
        <v>804</v>
      </c>
      <c r="AH1319" s="16">
        <v>45818</v>
      </c>
      <c r="AI1319" s="16"/>
      <c r="AJ1319" s="16"/>
      <c r="AK1319" s="17" t="str">
        <f>IF(AJ1319="","",AJ1319-AH1319)</f>
        <v/>
      </c>
    </row>
    <row r="1320" spans="1:37">
      <c r="A1320" s="2" t="s">
        <v>1746</v>
      </c>
      <c r="B1320" s="2" t="s">
        <v>189</v>
      </c>
      <c r="C1320" s="2" t="s">
        <v>190</v>
      </c>
      <c r="D1320" s="2" t="s">
        <v>171</v>
      </c>
      <c r="E1320" s="2" t="s">
        <v>191</v>
      </c>
      <c r="F1320" s="2" t="s">
        <v>173</v>
      </c>
      <c r="G1320" s="2" t="s">
        <v>1745</v>
      </c>
      <c r="H1320" s="2" t="s">
        <v>348</v>
      </c>
      <c r="I1320" s="2" t="s">
        <v>567</v>
      </c>
      <c r="J1320" s="2" t="s">
        <v>434</v>
      </c>
      <c r="K1320" s="9">
        <v>45805</v>
      </c>
      <c r="L1320" s="9">
        <v>45812</v>
      </c>
      <c r="M1320" s="9">
        <v>45805</v>
      </c>
      <c r="N1320" s="2" t="s">
        <v>1595</v>
      </c>
      <c r="O1320" s="2" t="s">
        <v>56</v>
      </c>
      <c r="P1320" s="2" t="s">
        <v>231</v>
      </c>
      <c r="Q1320" s="2" t="s">
        <v>227</v>
      </c>
      <c r="R1320" s="2" t="s">
        <v>137</v>
      </c>
      <c r="S1320" s="2" t="s">
        <v>436</v>
      </c>
      <c r="T1320" s="10">
        <v>4902</v>
      </c>
      <c r="U1320" s="11">
        <v>1.1780000000000001E-2</v>
      </c>
      <c r="V1320" s="12">
        <f>T1320*U1320</f>
        <v>57.745560000000005</v>
      </c>
      <c r="W1320" s="13">
        <v>0.18</v>
      </c>
      <c r="X1320" s="12">
        <f>V1320-(V1320/(1+W1320))</f>
        <v>8.8086447457627131</v>
      </c>
      <c r="Y1320" s="12">
        <f>V1320-X1320</f>
        <v>48.936915254237292</v>
      </c>
      <c r="Z1320" s="14">
        <v>75</v>
      </c>
      <c r="AA1320" s="2" t="str">
        <f>IF(V1320&gt;Z1320,"Yes","No")</f>
        <v>No</v>
      </c>
      <c r="AB1320" s="12">
        <f>V1320-Z1320</f>
        <v>-17.254439999999995</v>
      </c>
      <c r="AC1320" s="15" t="s">
        <v>130</v>
      </c>
      <c r="AD1320" s="15" t="s">
        <v>131</v>
      </c>
      <c r="AE1320" s="15" t="s">
        <v>514</v>
      </c>
      <c r="AF1320" s="12">
        <f>IF(AG1320="Rejected",0,IF(R1320="Corporate Card",0,V1320))</f>
        <v>0</v>
      </c>
      <c r="AG1320" s="15" t="s">
        <v>804</v>
      </c>
      <c r="AH1320" s="16">
        <v>45818</v>
      </c>
      <c r="AI1320" s="16"/>
      <c r="AJ1320" s="16"/>
      <c r="AK1320" s="17" t="str">
        <f>IF(AJ1320="","",AJ1320-AH1320)</f>
        <v/>
      </c>
    </row>
    <row r="1321" spans="1:37">
      <c r="A1321" s="2" t="s">
        <v>1747</v>
      </c>
      <c r="B1321" s="2" t="s">
        <v>189</v>
      </c>
      <c r="C1321" s="2" t="s">
        <v>190</v>
      </c>
      <c r="D1321" s="2" t="s">
        <v>171</v>
      </c>
      <c r="E1321" s="2" t="s">
        <v>191</v>
      </c>
      <c r="F1321" s="2" t="s">
        <v>173</v>
      </c>
      <c r="G1321" s="2" t="s">
        <v>1745</v>
      </c>
      <c r="H1321" s="2" t="s">
        <v>348</v>
      </c>
      <c r="I1321" s="2" t="s">
        <v>567</v>
      </c>
      <c r="J1321" s="2" t="s">
        <v>434</v>
      </c>
      <c r="K1321" s="9">
        <v>45805</v>
      </c>
      <c r="L1321" s="9">
        <v>45812</v>
      </c>
      <c r="M1321" s="9">
        <v>45805</v>
      </c>
      <c r="N1321" s="2" t="s">
        <v>1595</v>
      </c>
      <c r="O1321" s="2" t="s">
        <v>55</v>
      </c>
      <c r="P1321" s="2" t="s">
        <v>139</v>
      </c>
      <c r="Q1321" s="2" t="s">
        <v>187</v>
      </c>
      <c r="R1321" s="2" t="s">
        <v>128</v>
      </c>
      <c r="S1321" s="2" t="s">
        <v>436</v>
      </c>
      <c r="T1321" s="10">
        <v>2493</v>
      </c>
      <c r="U1321" s="11">
        <v>1.1780000000000001E-2</v>
      </c>
      <c r="V1321" s="12">
        <f>T1321*U1321</f>
        <v>29.367540000000002</v>
      </c>
      <c r="W1321" s="13">
        <v>0.18</v>
      </c>
      <c r="X1321" s="12">
        <f>V1321-(V1321/(1+W1321))</f>
        <v>4.4797942372881359</v>
      </c>
      <c r="Y1321" s="12">
        <f>V1321-X1321</f>
        <v>24.887745762711866</v>
      </c>
      <c r="Z1321" s="14">
        <v>35</v>
      </c>
      <c r="AA1321" s="2" t="str">
        <f>IF(V1321&gt;Z1321,"Yes","No")</f>
        <v>No</v>
      </c>
      <c r="AB1321" s="12">
        <f>V1321-Z1321</f>
        <v>-5.6324599999999982</v>
      </c>
      <c r="AC1321" s="15" t="s">
        <v>130</v>
      </c>
      <c r="AD1321" s="15" t="s">
        <v>131</v>
      </c>
      <c r="AE1321" s="15" t="s">
        <v>514</v>
      </c>
      <c r="AF1321" s="12">
        <f>IF(AG1321="Rejected",0,IF(R1321="Corporate Card",0,V1321))</f>
        <v>0</v>
      </c>
      <c r="AG1321" s="15" t="s">
        <v>804</v>
      </c>
      <c r="AH1321" s="16">
        <v>45818</v>
      </c>
      <c r="AI1321" s="16"/>
      <c r="AJ1321" s="16"/>
      <c r="AK1321" s="17" t="str">
        <f>IF(AJ1321="","",AJ1321-AH1321)</f>
        <v/>
      </c>
    </row>
    <row r="1322" spans="1:37">
      <c r="A1322" s="2" t="s">
        <v>1748</v>
      </c>
      <c r="B1322" s="2" t="s">
        <v>1749</v>
      </c>
      <c r="C1322" s="2" t="s">
        <v>1750</v>
      </c>
      <c r="D1322" s="2" t="s">
        <v>118</v>
      </c>
      <c r="E1322" s="2" t="s">
        <v>119</v>
      </c>
      <c r="F1322" s="2" t="s">
        <v>120</v>
      </c>
      <c r="G1322" s="2" t="s">
        <v>1751</v>
      </c>
      <c r="H1322" s="2" t="s">
        <v>417</v>
      </c>
      <c r="I1322" s="2" t="s">
        <v>175</v>
      </c>
      <c r="J1322" s="2" t="s">
        <v>176</v>
      </c>
      <c r="K1322" s="9">
        <v>45805</v>
      </c>
      <c r="L1322" s="9">
        <v>45810</v>
      </c>
      <c r="M1322" s="9">
        <v>45805</v>
      </c>
      <c r="N1322" s="2" t="s">
        <v>1595</v>
      </c>
      <c r="O1322" s="2" t="s">
        <v>52</v>
      </c>
      <c r="P1322" s="2" t="s">
        <v>177</v>
      </c>
      <c r="Q1322" s="2" t="s">
        <v>258</v>
      </c>
      <c r="R1322" s="2" t="s">
        <v>128</v>
      </c>
      <c r="S1322" s="2" t="s">
        <v>179</v>
      </c>
      <c r="T1322" s="10">
        <v>12330.54</v>
      </c>
      <c r="U1322" s="11">
        <v>0.18099999999999999</v>
      </c>
      <c r="V1322" s="12">
        <f>T1322*U1322</f>
        <v>2231.8277400000002</v>
      </c>
      <c r="W1322" s="13">
        <v>0</v>
      </c>
      <c r="X1322" s="12">
        <f>V1322-(V1322/(1+W1322))</f>
        <v>0</v>
      </c>
      <c r="Y1322" s="12">
        <f>V1322-X1322</f>
        <v>2231.8277400000002</v>
      </c>
      <c r="Z1322" s="14">
        <v>1400</v>
      </c>
      <c r="AA1322" s="2" t="str">
        <f>IF(V1322&gt;Z1322,"Yes","No")</f>
        <v>Yes</v>
      </c>
      <c r="AB1322" s="12">
        <f>V1322-Z1322</f>
        <v>831.82774000000018</v>
      </c>
      <c r="AC1322" s="15" t="s">
        <v>130</v>
      </c>
      <c r="AD1322" s="15" t="s">
        <v>131</v>
      </c>
      <c r="AE1322" s="15" t="s">
        <v>858</v>
      </c>
      <c r="AF1322" s="12">
        <f>IF(AG1322="Rejected",0,IF(R1322="Corporate Card",0,V1322))</f>
        <v>0</v>
      </c>
      <c r="AG1322" s="15" t="s">
        <v>181</v>
      </c>
      <c r="AH1322" s="16">
        <v>45820</v>
      </c>
      <c r="AI1322" s="16"/>
      <c r="AJ1322" s="16"/>
      <c r="AK1322" s="17" t="str">
        <f>IF(AJ1322="","",AJ1322-AH1322)</f>
        <v/>
      </c>
    </row>
    <row r="1323" spans="1:37">
      <c r="A1323" s="2" t="s">
        <v>1752</v>
      </c>
      <c r="B1323" s="2" t="s">
        <v>1749</v>
      </c>
      <c r="C1323" s="2" t="s">
        <v>1750</v>
      </c>
      <c r="D1323" s="2" t="s">
        <v>118</v>
      </c>
      <c r="E1323" s="2" t="s">
        <v>119</v>
      </c>
      <c r="F1323" s="2" t="s">
        <v>120</v>
      </c>
      <c r="G1323" s="2" t="s">
        <v>1751</v>
      </c>
      <c r="H1323" s="2" t="s">
        <v>417</v>
      </c>
      <c r="I1323" s="2" t="s">
        <v>175</v>
      </c>
      <c r="J1323" s="2" t="s">
        <v>176</v>
      </c>
      <c r="K1323" s="9">
        <v>45805</v>
      </c>
      <c r="L1323" s="9">
        <v>45810</v>
      </c>
      <c r="M1323" s="9">
        <v>45805</v>
      </c>
      <c r="N1323" s="2" t="s">
        <v>1595</v>
      </c>
      <c r="O1323" s="2" t="s">
        <v>58</v>
      </c>
      <c r="P1323" s="2" t="s">
        <v>142</v>
      </c>
      <c r="Q1323" s="2" t="s">
        <v>156</v>
      </c>
      <c r="R1323" s="2" t="s">
        <v>128</v>
      </c>
      <c r="S1323" s="2" t="s">
        <v>179</v>
      </c>
      <c r="T1323" s="10">
        <v>323.52999999999997</v>
      </c>
      <c r="U1323" s="11">
        <v>0.18099999999999999</v>
      </c>
      <c r="V1323" s="12">
        <f>T1323*U1323</f>
        <v>58.558929999999997</v>
      </c>
      <c r="W1323" s="13">
        <v>0.17</v>
      </c>
      <c r="X1323" s="12">
        <f>V1323-(V1323/(1+W1323))</f>
        <v>8.5085624786324772</v>
      </c>
      <c r="Y1323" s="12">
        <f>V1323-X1323</f>
        <v>50.050367521367519</v>
      </c>
      <c r="Z1323" s="14">
        <v>60</v>
      </c>
      <c r="AA1323" s="2" t="str">
        <f>IF(V1323&gt;Z1323,"Yes","No")</f>
        <v>No</v>
      </c>
      <c r="AB1323" s="12">
        <f>V1323-Z1323</f>
        <v>-1.4410700000000034</v>
      </c>
      <c r="AC1323" s="15" t="s">
        <v>130</v>
      </c>
      <c r="AD1323" s="15" t="s">
        <v>131</v>
      </c>
      <c r="AE1323" s="15" t="s">
        <v>858</v>
      </c>
      <c r="AF1323" s="12">
        <f>IF(AG1323="Rejected",0,IF(R1323="Corporate Card",0,V1323))</f>
        <v>0</v>
      </c>
      <c r="AG1323" s="15" t="s">
        <v>181</v>
      </c>
      <c r="AH1323" s="16">
        <v>45820</v>
      </c>
      <c r="AI1323" s="16"/>
      <c r="AJ1323" s="16"/>
      <c r="AK1323" s="17" t="str">
        <f>IF(AJ1323="","",AJ1323-AH1323)</f>
        <v/>
      </c>
    </row>
    <row r="1324" spans="1:37">
      <c r="A1324" s="2" t="s">
        <v>1753</v>
      </c>
      <c r="B1324" s="2" t="s">
        <v>1749</v>
      </c>
      <c r="C1324" s="2" t="s">
        <v>1750</v>
      </c>
      <c r="D1324" s="2" t="s">
        <v>118</v>
      </c>
      <c r="E1324" s="2" t="s">
        <v>119</v>
      </c>
      <c r="F1324" s="2" t="s">
        <v>120</v>
      </c>
      <c r="G1324" s="2" t="s">
        <v>1751</v>
      </c>
      <c r="H1324" s="2" t="s">
        <v>417</v>
      </c>
      <c r="I1324" s="2" t="s">
        <v>175</v>
      </c>
      <c r="J1324" s="2" t="s">
        <v>176</v>
      </c>
      <c r="K1324" s="9">
        <v>45805</v>
      </c>
      <c r="L1324" s="9">
        <v>45810</v>
      </c>
      <c r="M1324" s="9">
        <v>45805</v>
      </c>
      <c r="N1324" s="2" t="s">
        <v>1595</v>
      </c>
      <c r="O1324" s="2" t="s">
        <v>54</v>
      </c>
      <c r="P1324" s="2" t="s">
        <v>139</v>
      </c>
      <c r="Q1324" s="2" t="s">
        <v>214</v>
      </c>
      <c r="R1324" s="2" t="s">
        <v>128</v>
      </c>
      <c r="S1324" s="2" t="s">
        <v>179</v>
      </c>
      <c r="T1324" s="10">
        <v>120.55</v>
      </c>
      <c r="U1324" s="11">
        <v>0.18099999999999999</v>
      </c>
      <c r="V1324" s="12">
        <f>T1324*U1324</f>
        <v>21.81955</v>
      </c>
      <c r="W1324" s="13">
        <v>0.17</v>
      </c>
      <c r="X1324" s="12">
        <f>V1324-(V1324/(1+W1324))</f>
        <v>3.1703619658119635</v>
      </c>
      <c r="Y1324" s="12">
        <f>V1324-X1324</f>
        <v>18.649188034188036</v>
      </c>
      <c r="Z1324" s="14">
        <v>25</v>
      </c>
      <c r="AA1324" s="2" t="str">
        <f>IF(V1324&gt;Z1324,"Yes","No")</f>
        <v>No</v>
      </c>
      <c r="AB1324" s="12">
        <f>V1324-Z1324</f>
        <v>-3.1804500000000004</v>
      </c>
      <c r="AC1324" s="15" t="s">
        <v>130</v>
      </c>
      <c r="AD1324" s="15" t="s">
        <v>131</v>
      </c>
      <c r="AE1324" s="15" t="s">
        <v>858</v>
      </c>
      <c r="AF1324" s="12">
        <f>IF(AG1324="Rejected",0,IF(R1324="Corporate Card",0,V1324))</f>
        <v>0</v>
      </c>
      <c r="AG1324" s="15" t="s">
        <v>181</v>
      </c>
      <c r="AH1324" s="16">
        <v>45820</v>
      </c>
      <c r="AI1324" s="16"/>
      <c r="AJ1324" s="16"/>
      <c r="AK1324" s="17" t="str">
        <f>IF(AJ1324="","",AJ1324-AH1324)</f>
        <v/>
      </c>
    </row>
    <row r="1325" spans="1:37">
      <c r="A1325" s="2" t="s">
        <v>1754</v>
      </c>
      <c r="B1325" s="2" t="s">
        <v>1749</v>
      </c>
      <c r="C1325" s="2" t="s">
        <v>1750</v>
      </c>
      <c r="D1325" s="2" t="s">
        <v>118</v>
      </c>
      <c r="E1325" s="2" t="s">
        <v>119</v>
      </c>
      <c r="F1325" s="2" t="s">
        <v>120</v>
      </c>
      <c r="G1325" s="2" t="s">
        <v>1751</v>
      </c>
      <c r="H1325" s="2" t="s">
        <v>417</v>
      </c>
      <c r="I1325" s="2" t="s">
        <v>175</v>
      </c>
      <c r="J1325" s="2" t="s">
        <v>176</v>
      </c>
      <c r="K1325" s="9">
        <v>45805</v>
      </c>
      <c r="L1325" s="9">
        <v>45810</v>
      </c>
      <c r="M1325" s="9">
        <v>45805</v>
      </c>
      <c r="N1325" s="2" t="s">
        <v>1595</v>
      </c>
      <c r="O1325" s="2" t="s">
        <v>56</v>
      </c>
      <c r="P1325" s="2" t="s">
        <v>231</v>
      </c>
      <c r="Q1325" s="2" t="s">
        <v>185</v>
      </c>
      <c r="R1325" s="2" t="s">
        <v>128</v>
      </c>
      <c r="S1325" s="2" t="s">
        <v>179</v>
      </c>
      <c r="T1325" s="10">
        <v>251.74</v>
      </c>
      <c r="U1325" s="11">
        <v>0.18099999999999999</v>
      </c>
      <c r="V1325" s="12">
        <f>T1325*U1325</f>
        <v>45.56494</v>
      </c>
      <c r="W1325" s="13">
        <v>0.17</v>
      </c>
      <c r="X1325" s="12">
        <f>V1325-(V1325/(1+W1325))</f>
        <v>6.6205468376068382</v>
      </c>
      <c r="Y1325" s="12">
        <f>V1325-X1325</f>
        <v>38.944393162393162</v>
      </c>
      <c r="Z1325" s="14">
        <v>75</v>
      </c>
      <c r="AA1325" s="2" t="str">
        <f>IF(V1325&gt;Z1325,"Yes","No")</f>
        <v>No</v>
      </c>
      <c r="AB1325" s="12">
        <f>V1325-Z1325</f>
        <v>-29.43506</v>
      </c>
      <c r="AC1325" s="15" t="s">
        <v>130</v>
      </c>
      <c r="AD1325" s="15" t="s">
        <v>131</v>
      </c>
      <c r="AE1325" s="15" t="s">
        <v>858</v>
      </c>
      <c r="AF1325" s="12">
        <f>IF(AG1325="Rejected",0,IF(R1325="Corporate Card",0,V1325))</f>
        <v>0</v>
      </c>
      <c r="AG1325" s="15" t="s">
        <v>181</v>
      </c>
      <c r="AH1325" s="16">
        <v>45820</v>
      </c>
      <c r="AI1325" s="16"/>
      <c r="AJ1325" s="16"/>
      <c r="AK1325" s="17" t="str">
        <f>IF(AJ1325="","",AJ1325-AH1325)</f>
        <v/>
      </c>
    </row>
    <row r="1326" spans="1:37">
      <c r="A1326" s="2" t="s">
        <v>1755</v>
      </c>
      <c r="B1326" s="2" t="s">
        <v>1749</v>
      </c>
      <c r="C1326" s="2" t="s">
        <v>1750</v>
      </c>
      <c r="D1326" s="2" t="s">
        <v>118</v>
      </c>
      <c r="E1326" s="2" t="s">
        <v>119</v>
      </c>
      <c r="F1326" s="2" t="s">
        <v>120</v>
      </c>
      <c r="G1326" s="2" t="s">
        <v>1751</v>
      </c>
      <c r="H1326" s="2" t="s">
        <v>417</v>
      </c>
      <c r="I1326" s="2" t="s">
        <v>175</v>
      </c>
      <c r="J1326" s="2" t="s">
        <v>176</v>
      </c>
      <c r="K1326" s="9">
        <v>45805</v>
      </c>
      <c r="L1326" s="9">
        <v>45810</v>
      </c>
      <c r="M1326" s="9">
        <v>45805</v>
      </c>
      <c r="N1326" s="2" t="s">
        <v>1595</v>
      </c>
      <c r="O1326" s="2" t="s">
        <v>55</v>
      </c>
      <c r="P1326" s="2" t="s">
        <v>139</v>
      </c>
      <c r="Q1326" s="2" t="s">
        <v>161</v>
      </c>
      <c r="R1326" s="2" t="s">
        <v>128</v>
      </c>
      <c r="S1326" s="2" t="s">
        <v>179</v>
      </c>
      <c r="T1326" s="10">
        <v>134.59</v>
      </c>
      <c r="U1326" s="11">
        <v>0.18099999999999999</v>
      </c>
      <c r="V1326" s="12">
        <f>T1326*U1326</f>
        <v>24.360790000000001</v>
      </c>
      <c r="W1326" s="13">
        <v>0.17</v>
      </c>
      <c r="X1326" s="12">
        <f>V1326-(V1326/(1+W1326))</f>
        <v>3.5396019658119648</v>
      </c>
      <c r="Y1326" s="12">
        <f>V1326-X1326</f>
        <v>20.821188034188037</v>
      </c>
      <c r="Z1326" s="14">
        <v>35</v>
      </c>
      <c r="AA1326" s="2" t="str">
        <f>IF(V1326&gt;Z1326,"Yes","No")</f>
        <v>No</v>
      </c>
      <c r="AB1326" s="12">
        <f>V1326-Z1326</f>
        <v>-10.639209999999999</v>
      </c>
      <c r="AC1326" s="15" t="s">
        <v>130</v>
      </c>
      <c r="AD1326" s="15" t="s">
        <v>131</v>
      </c>
      <c r="AE1326" s="15" t="s">
        <v>858</v>
      </c>
      <c r="AF1326" s="12">
        <f>IF(AG1326="Rejected",0,IF(R1326="Corporate Card",0,V1326))</f>
        <v>0</v>
      </c>
      <c r="AG1326" s="15" t="s">
        <v>181</v>
      </c>
      <c r="AH1326" s="16">
        <v>45820</v>
      </c>
      <c r="AI1326" s="16"/>
      <c r="AJ1326" s="16"/>
      <c r="AK1326" s="17" t="str">
        <f>IF(AJ1326="","",AJ1326-AH1326)</f>
        <v/>
      </c>
    </row>
    <row r="1327" spans="1:37">
      <c r="A1327" s="2" t="s">
        <v>1756</v>
      </c>
      <c r="B1327" s="2" t="s">
        <v>616</v>
      </c>
      <c r="C1327" s="2" t="s">
        <v>252</v>
      </c>
      <c r="D1327" s="2" t="s">
        <v>250</v>
      </c>
      <c r="E1327" s="2" t="s">
        <v>617</v>
      </c>
      <c r="F1327" s="2" t="s">
        <v>510</v>
      </c>
      <c r="G1327" s="2" t="s">
        <v>1739</v>
      </c>
      <c r="H1327" s="2" t="s">
        <v>803</v>
      </c>
      <c r="I1327" s="2" t="s">
        <v>651</v>
      </c>
      <c r="J1327" s="2" t="s">
        <v>652</v>
      </c>
      <c r="K1327" s="9">
        <v>45804</v>
      </c>
      <c r="L1327" s="9">
        <v>45805</v>
      </c>
      <c r="M1327" s="9">
        <v>45805</v>
      </c>
      <c r="N1327" s="2" t="s">
        <v>1595</v>
      </c>
      <c r="O1327" s="2" t="s">
        <v>60</v>
      </c>
      <c r="P1327" s="2" t="s">
        <v>536</v>
      </c>
      <c r="Q1327" s="2" t="s">
        <v>955</v>
      </c>
      <c r="R1327" s="2" t="s">
        <v>128</v>
      </c>
      <c r="S1327" s="2" t="s">
        <v>654</v>
      </c>
      <c r="T1327" s="10">
        <v>97.49</v>
      </c>
      <c r="U1327" s="11">
        <v>0.72799999999999998</v>
      </c>
      <c r="V1327" s="12">
        <f>T1327*U1327</f>
        <v>70.972719999999995</v>
      </c>
      <c r="W1327" s="13">
        <v>0.13</v>
      </c>
      <c r="X1327" s="12">
        <f>V1327-(V1327/(1+W1327))</f>
        <v>8.1650031858407033</v>
      </c>
      <c r="Y1327" s="12">
        <f>V1327-X1327</f>
        <v>62.807716814159292</v>
      </c>
      <c r="Z1327" s="14">
        <v>120</v>
      </c>
      <c r="AA1327" s="2" t="str">
        <f>IF(V1327&gt;Z1327,"Yes","No")</f>
        <v>No</v>
      </c>
      <c r="AB1327" s="12">
        <f>V1327-Z1327</f>
        <v>-49.027280000000005</v>
      </c>
      <c r="AC1327" s="15" t="s">
        <v>130</v>
      </c>
      <c r="AD1327" s="15" t="s">
        <v>131</v>
      </c>
      <c r="AE1327" s="15" t="s">
        <v>180</v>
      </c>
      <c r="AF1327" s="12">
        <f>IF(AG1327="Rejected",0,IF(R1327="Corporate Card",0,V1327))</f>
        <v>0</v>
      </c>
      <c r="AG1327" s="15" t="s">
        <v>133</v>
      </c>
      <c r="AH1327" s="16">
        <v>45806</v>
      </c>
      <c r="AI1327" s="16">
        <v>45813</v>
      </c>
      <c r="AJ1327" s="16">
        <v>45824</v>
      </c>
      <c r="AK1327" s="17">
        <f>IF(AJ1327="","",AJ1327-AH1327)</f>
        <v>18</v>
      </c>
    </row>
    <row r="1328" spans="1:37">
      <c r="A1328" s="2" t="s">
        <v>1757</v>
      </c>
      <c r="B1328" s="2" t="s">
        <v>616</v>
      </c>
      <c r="C1328" s="2" t="s">
        <v>252</v>
      </c>
      <c r="D1328" s="2" t="s">
        <v>250</v>
      </c>
      <c r="E1328" s="2" t="s">
        <v>617</v>
      </c>
      <c r="F1328" s="2" t="s">
        <v>510</v>
      </c>
      <c r="G1328" s="2" t="s">
        <v>1739</v>
      </c>
      <c r="H1328" s="2" t="s">
        <v>803</v>
      </c>
      <c r="I1328" s="2" t="s">
        <v>651</v>
      </c>
      <c r="J1328" s="2" t="s">
        <v>652</v>
      </c>
      <c r="K1328" s="9">
        <v>45804</v>
      </c>
      <c r="L1328" s="9">
        <v>45805</v>
      </c>
      <c r="M1328" s="9">
        <v>45805</v>
      </c>
      <c r="N1328" s="2" t="s">
        <v>1595</v>
      </c>
      <c r="O1328" s="2" t="s">
        <v>57</v>
      </c>
      <c r="P1328" s="2" t="s">
        <v>398</v>
      </c>
      <c r="Q1328" s="2" t="s">
        <v>495</v>
      </c>
      <c r="R1328" s="2" t="s">
        <v>128</v>
      </c>
      <c r="S1328" s="2" t="s">
        <v>654</v>
      </c>
      <c r="T1328" s="10">
        <v>248.94</v>
      </c>
      <c r="U1328" s="11">
        <v>0.72799999999999998</v>
      </c>
      <c r="V1328" s="12">
        <f>T1328*U1328</f>
        <v>181.22832</v>
      </c>
      <c r="W1328" s="13">
        <v>0.13</v>
      </c>
      <c r="X1328" s="12">
        <f>V1328-(V1328/(1+W1328))</f>
        <v>20.849275752212378</v>
      </c>
      <c r="Y1328" s="12">
        <f>V1328-X1328</f>
        <v>160.37904424778762</v>
      </c>
      <c r="Z1328" s="14">
        <v>200</v>
      </c>
      <c r="AA1328" s="2" t="str">
        <f>IF(V1328&gt;Z1328,"Yes","No")</f>
        <v>No</v>
      </c>
      <c r="AB1328" s="12">
        <f>V1328-Z1328</f>
        <v>-18.771680000000003</v>
      </c>
      <c r="AC1328" s="15" t="s">
        <v>130</v>
      </c>
      <c r="AD1328" s="15" t="s">
        <v>131</v>
      </c>
      <c r="AE1328" s="15" t="s">
        <v>180</v>
      </c>
      <c r="AF1328" s="12">
        <f>IF(AG1328="Rejected",0,IF(R1328="Corporate Card",0,V1328))</f>
        <v>0</v>
      </c>
      <c r="AG1328" s="15" t="s">
        <v>133</v>
      </c>
      <c r="AH1328" s="16">
        <v>45806</v>
      </c>
      <c r="AI1328" s="16">
        <v>45813</v>
      </c>
      <c r="AJ1328" s="16">
        <v>45824</v>
      </c>
      <c r="AK1328" s="17">
        <f>IF(AJ1328="","",AJ1328-AH1328)</f>
        <v>18</v>
      </c>
    </row>
    <row r="1329" spans="1:37">
      <c r="A1329" s="2" t="s">
        <v>1758</v>
      </c>
      <c r="B1329" s="2" t="s">
        <v>616</v>
      </c>
      <c r="C1329" s="2" t="s">
        <v>252</v>
      </c>
      <c r="D1329" s="2" t="s">
        <v>250</v>
      </c>
      <c r="E1329" s="2" t="s">
        <v>617</v>
      </c>
      <c r="F1329" s="2" t="s">
        <v>510</v>
      </c>
      <c r="G1329" s="2" t="s">
        <v>1739</v>
      </c>
      <c r="H1329" s="2" t="s">
        <v>803</v>
      </c>
      <c r="I1329" s="2" t="s">
        <v>651</v>
      </c>
      <c r="J1329" s="2" t="s">
        <v>652</v>
      </c>
      <c r="K1329" s="9">
        <v>45804</v>
      </c>
      <c r="L1329" s="9">
        <v>45805</v>
      </c>
      <c r="M1329" s="9">
        <v>45805</v>
      </c>
      <c r="N1329" s="2" t="s">
        <v>1595</v>
      </c>
      <c r="O1329" s="2" t="s">
        <v>61</v>
      </c>
      <c r="P1329" s="2" t="s">
        <v>528</v>
      </c>
      <c r="Q1329" s="2" t="s">
        <v>1128</v>
      </c>
      <c r="R1329" s="2" t="s">
        <v>128</v>
      </c>
      <c r="S1329" s="2" t="s">
        <v>654</v>
      </c>
      <c r="T1329" s="10">
        <v>70.239999999999995</v>
      </c>
      <c r="U1329" s="11">
        <v>0.72799999999999998</v>
      </c>
      <c r="V1329" s="12">
        <f>T1329*U1329</f>
        <v>51.134719999999994</v>
      </c>
      <c r="W1329" s="13">
        <v>0</v>
      </c>
      <c r="X1329" s="12">
        <f>V1329-(V1329/(1+W1329))</f>
        <v>0</v>
      </c>
      <c r="Y1329" s="12">
        <f>V1329-X1329</f>
        <v>51.134719999999994</v>
      </c>
      <c r="Z1329" s="14">
        <v>90</v>
      </c>
      <c r="AA1329" s="2" t="str">
        <f>IF(V1329&gt;Z1329,"Yes","No")</f>
        <v>No</v>
      </c>
      <c r="AB1329" s="12">
        <f>V1329-Z1329</f>
        <v>-38.865280000000006</v>
      </c>
      <c r="AC1329" s="15" t="s">
        <v>130</v>
      </c>
      <c r="AD1329" s="15" t="s">
        <v>131</v>
      </c>
      <c r="AE1329" s="15" t="s">
        <v>180</v>
      </c>
      <c r="AF1329" s="12">
        <f>IF(AG1329="Rejected",0,IF(R1329="Corporate Card",0,V1329))</f>
        <v>0</v>
      </c>
      <c r="AG1329" s="15" t="s">
        <v>133</v>
      </c>
      <c r="AH1329" s="16">
        <v>45806</v>
      </c>
      <c r="AI1329" s="16">
        <v>45813</v>
      </c>
      <c r="AJ1329" s="16">
        <v>45824</v>
      </c>
      <c r="AK1329" s="17">
        <f>IF(AJ1329="","",AJ1329-AH1329)</f>
        <v>18</v>
      </c>
    </row>
    <row r="1330" spans="1:37">
      <c r="A1330" s="2" t="s">
        <v>1759</v>
      </c>
      <c r="B1330" s="2" t="s">
        <v>616</v>
      </c>
      <c r="C1330" s="2" t="s">
        <v>252</v>
      </c>
      <c r="D1330" s="2" t="s">
        <v>250</v>
      </c>
      <c r="E1330" s="2" t="s">
        <v>617</v>
      </c>
      <c r="F1330" s="2" t="s">
        <v>510</v>
      </c>
      <c r="G1330" s="2" t="s">
        <v>1739</v>
      </c>
      <c r="H1330" s="2" t="s">
        <v>803</v>
      </c>
      <c r="I1330" s="2" t="s">
        <v>651</v>
      </c>
      <c r="J1330" s="2" t="s">
        <v>652</v>
      </c>
      <c r="K1330" s="9">
        <v>45804</v>
      </c>
      <c r="L1330" s="9">
        <v>45805</v>
      </c>
      <c r="M1330" s="9">
        <v>45805</v>
      </c>
      <c r="N1330" s="2" t="s">
        <v>1595</v>
      </c>
      <c r="O1330" s="2" t="s">
        <v>59</v>
      </c>
      <c r="P1330" s="2" t="s">
        <v>301</v>
      </c>
      <c r="Q1330" s="2" t="s">
        <v>464</v>
      </c>
      <c r="R1330" s="2" t="s">
        <v>137</v>
      </c>
      <c r="S1330" s="2" t="s">
        <v>654</v>
      </c>
      <c r="T1330" s="10">
        <v>74.89</v>
      </c>
      <c r="U1330" s="11">
        <v>0.72799999999999998</v>
      </c>
      <c r="V1330" s="12">
        <f>T1330*U1330</f>
        <v>54.519919999999999</v>
      </c>
      <c r="W1330" s="13">
        <v>0.13</v>
      </c>
      <c r="X1330" s="12">
        <f>V1330-(V1330/(1+W1330))</f>
        <v>6.2722031858407021</v>
      </c>
      <c r="Y1330" s="12">
        <f>V1330-X1330</f>
        <v>48.247716814159297</v>
      </c>
      <c r="Z1330" s="14">
        <v>150</v>
      </c>
      <c r="AA1330" s="2" t="str">
        <f>IF(V1330&gt;Z1330,"Yes","No")</f>
        <v>No</v>
      </c>
      <c r="AB1330" s="12">
        <f>V1330-Z1330</f>
        <v>-95.480080000000001</v>
      </c>
      <c r="AC1330" s="15" t="s">
        <v>130</v>
      </c>
      <c r="AD1330" s="15" t="s">
        <v>131</v>
      </c>
      <c r="AE1330" s="15" t="s">
        <v>180</v>
      </c>
      <c r="AF1330" s="12">
        <f>IF(AG1330="Rejected",0,IF(R1330="Corporate Card",0,V1330))</f>
        <v>54.519919999999999</v>
      </c>
      <c r="AG1330" s="15" t="s">
        <v>133</v>
      </c>
      <c r="AH1330" s="16">
        <v>45806</v>
      </c>
      <c r="AI1330" s="16">
        <v>45813</v>
      </c>
      <c r="AJ1330" s="16">
        <v>45824</v>
      </c>
      <c r="AK1330" s="17">
        <f>IF(AJ1330="","",AJ1330-AH1330)</f>
        <v>18</v>
      </c>
    </row>
    <row r="1331" spans="1:37">
      <c r="A1331" s="2" t="s">
        <v>1760</v>
      </c>
      <c r="B1331" s="2" t="s">
        <v>616</v>
      </c>
      <c r="C1331" s="2" t="s">
        <v>252</v>
      </c>
      <c r="D1331" s="2" t="s">
        <v>250</v>
      </c>
      <c r="E1331" s="2" t="s">
        <v>617</v>
      </c>
      <c r="F1331" s="2" t="s">
        <v>510</v>
      </c>
      <c r="G1331" s="2" t="s">
        <v>1739</v>
      </c>
      <c r="H1331" s="2" t="s">
        <v>803</v>
      </c>
      <c r="I1331" s="2" t="s">
        <v>651</v>
      </c>
      <c r="J1331" s="2" t="s">
        <v>652</v>
      </c>
      <c r="K1331" s="9">
        <v>45804</v>
      </c>
      <c r="L1331" s="9">
        <v>45805</v>
      </c>
      <c r="M1331" s="9">
        <v>45805</v>
      </c>
      <c r="N1331" s="2" t="s">
        <v>1595</v>
      </c>
      <c r="O1331" s="2" t="s">
        <v>58</v>
      </c>
      <c r="P1331" s="2" t="s">
        <v>142</v>
      </c>
      <c r="Q1331" s="2" t="s">
        <v>296</v>
      </c>
      <c r="R1331" s="2" t="s">
        <v>128</v>
      </c>
      <c r="S1331" s="2" t="s">
        <v>654</v>
      </c>
      <c r="T1331" s="10">
        <v>33.92</v>
      </c>
      <c r="U1331" s="11">
        <v>0.72799999999999998</v>
      </c>
      <c r="V1331" s="12">
        <f>T1331*U1331</f>
        <v>24.693760000000001</v>
      </c>
      <c r="W1331" s="13">
        <v>0.13</v>
      </c>
      <c r="X1331" s="12">
        <f>V1331-(V1331/(1+W1331))</f>
        <v>2.8408750442477846</v>
      </c>
      <c r="Y1331" s="12">
        <f>V1331-X1331</f>
        <v>21.852884955752216</v>
      </c>
      <c r="Z1331" s="14">
        <v>60</v>
      </c>
      <c r="AA1331" s="2" t="str">
        <f>IF(V1331&gt;Z1331,"Yes","No")</f>
        <v>No</v>
      </c>
      <c r="AB1331" s="12">
        <f>V1331-Z1331</f>
        <v>-35.306240000000003</v>
      </c>
      <c r="AC1331" s="15" t="s">
        <v>130</v>
      </c>
      <c r="AD1331" s="15" t="s">
        <v>131</v>
      </c>
      <c r="AE1331" s="15" t="s">
        <v>180</v>
      </c>
      <c r="AF1331" s="12">
        <f>IF(AG1331="Rejected",0,IF(R1331="Corporate Card",0,V1331))</f>
        <v>0</v>
      </c>
      <c r="AG1331" s="15" t="s">
        <v>133</v>
      </c>
      <c r="AH1331" s="16">
        <v>45806</v>
      </c>
      <c r="AI1331" s="16">
        <v>45813</v>
      </c>
      <c r="AJ1331" s="16">
        <v>45824</v>
      </c>
      <c r="AK1331" s="17">
        <f>IF(AJ1331="","",AJ1331-AH1331)</f>
        <v>18</v>
      </c>
    </row>
    <row r="1332" spans="1:37">
      <c r="A1332" s="2" t="s">
        <v>1761</v>
      </c>
      <c r="B1332" s="2" t="s">
        <v>616</v>
      </c>
      <c r="C1332" s="2" t="s">
        <v>252</v>
      </c>
      <c r="D1332" s="2" t="s">
        <v>250</v>
      </c>
      <c r="E1332" s="2" t="s">
        <v>617</v>
      </c>
      <c r="F1332" s="2" t="s">
        <v>510</v>
      </c>
      <c r="G1332" s="2" t="s">
        <v>1739</v>
      </c>
      <c r="H1332" s="2" t="s">
        <v>803</v>
      </c>
      <c r="I1332" s="2" t="s">
        <v>651</v>
      </c>
      <c r="J1332" s="2" t="s">
        <v>652</v>
      </c>
      <c r="K1332" s="9">
        <v>45804</v>
      </c>
      <c r="L1332" s="9">
        <v>45805</v>
      </c>
      <c r="M1332" s="9">
        <v>45805</v>
      </c>
      <c r="N1332" s="2" t="s">
        <v>1595</v>
      </c>
      <c r="O1332" s="2" t="s">
        <v>53</v>
      </c>
      <c r="P1332" s="2" t="s">
        <v>405</v>
      </c>
      <c r="Q1332" s="2" t="s">
        <v>272</v>
      </c>
      <c r="R1332" s="2" t="s">
        <v>137</v>
      </c>
      <c r="S1332" s="2" t="s">
        <v>654</v>
      </c>
      <c r="T1332" s="10">
        <v>219.31</v>
      </c>
      <c r="U1332" s="11">
        <v>0.72799999999999998</v>
      </c>
      <c r="V1332" s="12">
        <f>T1332*U1332</f>
        <v>159.65768</v>
      </c>
      <c r="W1332" s="13">
        <v>0.13</v>
      </c>
      <c r="X1332" s="12">
        <f>V1332-(V1332/(1+W1332))</f>
        <v>18.367697699115041</v>
      </c>
      <c r="Y1332" s="12">
        <f>V1332-X1332</f>
        <v>141.28998230088496</v>
      </c>
      <c r="Z1332" s="14">
        <v>280</v>
      </c>
      <c r="AA1332" s="2" t="str">
        <f>IF(V1332&gt;Z1332,"Yes","No")</f>
        <v>No</v>
      </c>
      <c r="AB1332" s="12">
        <f>V1332-Z1332</f>
        <v>-120.34232</v>
      </c>
      <c r="AC1332" s="15" t="s">
        <v>130</v>
      </c>
      <c r="AD1332" s="15" t="s">
        <v>131</v>
      </c>
      <c r="AE1332" s="15" t="s">
        <v>180</v>
      </c>
      <c r="AF1332" s="12">
        <f>IF(AG1332="Rejected",0,IF(R1332="Corporate Card",0,V1332))</f>
        <v>159.65768</v>
      </c>
      <c r="AG1332" s="15" t="s">
        <v>133</v>
      </c>
      <c r="AH1332" s="16">
        <v>45806</v>
      </c>
      <c r="AI1332" s="16">
        <v>45813</v>
      </c>
      <c r="AJ1332" s="16">
        <v>45824</v>
      </c>
      <c r="AK1332" s="17">
        <f>IF(AJ1332="","",AJ1332-AH1332)</f>
        <v>18</v>
      </c>
    </row>
    <row r="1333" spans="1:37">
      <c r="A1333" s="2" t="s">
        <v>1762</v>
      </c>
      <c r="B1333" s="2" t="s">
        <v>616</v>
      </c>
      <c r="C1333" s="2" t="s">
        <v>252</v>
      </c>
      <c r="D1333" s="2" t="s">
        <v>250</v>
      </c>
      <c r="E1333" s="2" t="s">
        <v>617</v>
      </c>
      <c r="F1333" s="2" t="s">
        <v>510</v>
      </c>
      <c r="G1333" s="2" t="s">
        <v>1739</v>
      </c>
      <c r="H1333" s="2" t="s">
        <v>803</v>
      </c>
      <c r="I1333" s="2" t="s">
        <v>651</v>
      </c>
      <c r="J1333" s="2" t="s">
        <v>652</v>
      </c>
      <c r="K1333" s="9">
        <v>45804</v>
      </c>
      <c r="L1333" s="9">
        <v>45805</v>
      </c>
      <c r="M1333" s="9">
        <v>45805</v>
      </c>
      <c r="N1333" s="2" t="s">
        <v>1595</v>
      </c>
      <c r="O1333" s="2" t="s">
        <v>55</v>
      </c>
      <c r="P1333" s="2" t="s">
        <v>139</v>
      </c>
      <c r="Q1333" s="2" t="s">
        <v>187</v>
      </c>
      <c r="R1333" s="2" t="s">
        <v>128</v>
      </c>
      <c r="S1333" s="2" t="s">
        <v>654</v>
      </c>
      <c r="T1333" s="10">
        <v>40</v>
      </c>
      <c r="U1333" s="11">
        <v>0.72799999999999998</v>
      </c>
      <c r="V1333" s="12">
        <f>T1333*U1333</f>
        <v>29.119999999999997</v>
      </c>
      <c r="W1333" s="13">
        <v>0.13</v>
      </c>
      <c r="X1333" s="12">
        <f>V1333-(V1333/(1+W1333))</f>
        <v>3.3500884955752177</v>
      </c>
      <c r="Y1333" s="12">
        <f>V1333-X1333</f>
        <v>25.76991150442478</v>
      </c>
      <c r="Z1333" s="14">
        <v>35</v>
      </c>
      <c r="AA1333" s="2" t="str">
        <f>IF(V1333&gt;Z1333,"Yes","No")</f>
        <v>No</v>
      </c>
      <c r="AB1333" s="12">
        <f>V1333-Z1333</f>
        <v>-5.8800000000000026</v>
      </c>
      <c r="AC1333" s="15" t="s">
        <v>130</v>
      </c>
      <c r="AD1333" s="15" t="s">
        <v>131</v>
      </c>
      <c r="AE1333" s="15" t="s">
        <v>180</v>
      </c>
      <c r="AF1333" s="12">
        <f>IF(AG1333="Rejected",0,IF(R1333="Corporate Card",0,V1333))</f>
        <v>0</v>
      </c>
      <c r="AG1333" s="15" t="s">
        <v>133</v>
      </c>
      <c r="AH1333" s="16">
        <v>45806</v>
      </c>
      <c r="AI1333" s="16">
        <v>45813</v>
      </c>
      <c r="AJ1333" s="16">
        <v>45824</v>
      </c>
      <c r="AK1333" s="17">
        <f>IF(AJ1333="","",AJ1333-AH1333)</f>
        <v>18</v>
      </c>
    </row>
    <row r="1334" spans="1:37">
      <c r="A1334" s="2" t="s">
        <v>1763</v>
      </c>
      <c r="B1334" s="2" t="s">
        <v>616</v>
      </c>
      <c r="C1334" s="2" t="s">
        <v>252</v>
      </c>
      <c r="D1334" s="2" t="s">
        <v>250</v>
      </c>
      <c r="E1334" s="2" t="s">
        <v>617</v>
      </c>
      <c r="F1334" s="2" t="s">
        <v>510</v>
      </c>
      <c r="G1334" s="2" t="s">
        <v>1739</v>
      </c>
      <c r="H1334" s="2" t="s">
        <v>803</v>
      </c>
      <c r="I1334" s="2" t="s">
        <v>651</v>
      </c>
      <c r="J1334" s="2" t="s">
        <v>652</v>
      </c>
      <c r="K1334" s="9">
        <v>45804</v>
      </c>
      <c r="L1334" s="9">
        <v>45805</v>
      </c>
      <c r="M1334" s="9">
        <v>45805</v>
      </c>
      <c r="N1334" s="2" t="s">
        <v>1595</v>
      </c>
      <c r="O1334" s="2" t="s">
        <v>69</v>
      </c>
      <c r="P1334" s="2" t="s">
        <v>409</v>
      </c>
      <c r="Q1334" s="2" t="s">
        <v>410</v>
      </c>
      <c r="R1334" s="2" t="s">
        <v>137</v>
      </c>
      <c r="S1334" s="2" t="s">
        <v>654</v>
      </c>
      <c r="T1334" s="10">
        <v>74.62</v>
      </c>
      <c r="U1334" s="11">
        <v>0.72799999999999998</v>
      </c>
      <c r="V1334" s="12">
        <f>T1334*U1334</f>
        <v>54.323360000000001</v>
      </c>
      <c r="W1334" s="13">
        <v>0.13</v>
      </c>
      <c r="X1334" s="12">
        <f>V1334-(V1334/(1+W1334))</f>
        <v>6.2495900884955731</v>
      </c>
      <c r="Y1334" s="12">
        <f>V1334-X1334</f>
        <v>48.073769911504428</v>
      </c>
      <c r="Z1334" s="14">
        <v>60</v>
      </c>
      <c r="AA1334" s="2" t="str">
        <f>IF(V1334&gt;Z1334,"Yes","No")</f>
        <v>No</v>
      </c>
      <c r="AB1334" s="12">
        <f>V1334-Z1334</f>
        <v>-5.676639999999999</v>
      </c>
      <c r="AC1334" s="15" t="s">
        <v>130</v>
      </c>
      <c r="AD1334" s="15" t="s">
        <v>131</v>
      </c>
      <c r="AE1334" s="15" t="s">
        <v>180</v>
      </c>
      <c r="AF1334" s="12">
        <f>IF(AG1334="Rejected",0,IF(R1334="Corporate Card",0,V1334))</f>
        <v>54.323360000000001</v>
      </c>
      <c r="AG1334" s="15" t="s">
        <v>133</v>
      </c>
      <c r="AH1334" s="16">
        <v>45806</v>
      </c>
      <c r="AI1334" s="16">
        <v>45813</v>
      </c>
      <c r="AJ1334" s="16">
        <v>45824</v>
      </c>
      <c r="AK1334" s="17">
        <f>IF(AJ1334="","",AJ1334-AH1334)</f>
        <v>18</v>
      </c>
    </row>
    <row r="1335" spans="1:37">
      <c r="A1335" s="2" t="s">
        <v>1764</v>
      </c>
      <c r="B1335" s="2" t="s">
        <v>616</v>
      </c>
      <c r="C1335" s="2" t="s">
        <v>252</v>
      </c>
      <c r="D1335" s="2" t="s">
        <v>250</v>
      </c>
      <c r="E1335" s="2" t="s">
        <v>617</v>
      </c>
      <c r="F1335" s="2" t="s">
        <v>510</v>
      </c>
      <c r="G1335" s="2" t="s">
        <v>1739</v>
      </c>
      <c r="H1335" s="2" t="s">
        <v>803</v>
      </c>
      <c r="I1335" s="2" t="s">
        <v>651</v>
      </c>
      <c r="J1335" s="2" t="s">
        <v>652</v>
      </c>
      <c r="K1335" s="9">
        <v>45804</v>
      </c>
      <c r="L1335" s="9">
        <v>45805</v>
      </c>
      <c r="M1335" s="9">
        <v>45805</v>
      </c>
      <c r="N1335" s="2" t="s">
        <v>1595</v>
      </c>
      <c r="O1335" s="2" t="s">
        <v>62</v>
      </c>
      <c r="P1335" s="2" t="s">
        <v>533</v>
      </c>
      <c r="Q1335" s="2" t="s">
        <v>534</v>
      </c>
      <c r="R1335" s="2" t="s">
        <v>128</v>
      </c>
      <c r="S1335" s="2" t="s">
        <v>654</v>
      </c>
      <c r="T1335" s="10">
        <v>51.89</v>
      </c>
      <c r="U1335" s="11">
        <v>0.72799999999999998</v>
      </c>
      <c r="V1335" s="12">
        <f>T1335*U1335</f>
        <v>37.775919999999999</v>
      </c>
      <c r="W1335" s="13">
        <v>0.13</v>
      </c>
      <c r="X1335" s="12">
        <f>V1335-(V1335/(1+W1335))</f>
        <v>4.3459023008849513</v>
      </c>
      <c r="Y1335" s="12">
        <f>V1335-X1335</f>
        <v>33.430017699115048</v>
      </c>
      <c r="Z1335" s="14">
        <v>45</v>
      </c>
      <c r="AA1335" s="2" t="str">
        <f>IF(V1335&gt;Z1335,"Yes","No")</f>
        <v>No</v>
      </c>
      <c r="AB1335" s="12">
        <f>V1335-Z1335</f>
        <v>-7.2240800000000007</v>
      </c>
      <c r="AC1335" s="15" t="s">
        <v>130</v>
      </c>
      <c r="AD1335" s="15" t="s">
        <v>131</v>
      </c>
      <c r="AE1335" s="15" t="s">
        <v>180</v>
      </c>
      <c r="AF1335" s="12">
        <f>IF(AG1335="Rejected",0,IF(R1335="Corporate Card",0,V1335))</f>
        <v>0</v>
      </c>
      <c r="AG1335" s="15" t="s">
        <v>133</v>
      </c>
      <c r="AH1335" s="16">
        <v>45806</v>
      </c>
      <c r="AI1335" s="16">
        <v>45813</v>
      </c>
      <c r="AJ1335" s="16">
        <v>45824</v>
      </c>
      <c r="AK1335" s="17">
        <f>IF(AJ1335="","",AJ1335-AH1335)</f>
        <v>18</v>
      </c>
    </row>
    <row r="1336" spans="1:37">
      <c r="A1336" s="2" t="s">
        <v>1765</v>
      </c>
      <c r="B1336" s="2" t="s">
        <v>189</v>
      </c>
      <c r="C1336" s="2" t="s">
        <v>190</v>
      </c>
      <c r="D1336" s="2" t="s">
        <v>171</v>
      </c>
      <c r="E1336" s="2" t="s">
        <v>191</v>
      </c>
      <c r="F1336" s="2" t="s">
        <v>173</v>
      </c>
      <c r="G1336" s="2" t="s">
        <v>1745</v>
      </c>
      <c r="H1336" s="2" t="s">
        <v>348</v>
      </c>
      <c r="I1336" s="2" t="s">
        <v>567</v>
      </c>
      <c r="J1336" s="2" t="s">
        <v>434</v>
      </c>
      <c r="K1336" s="9">
        <v>45805</v>
      </c>
      <c r="L1336" s="9">
        <v>45812</v>
      </c>
      <c r="M1336" s="9">
        <v>45806</v>
      </c>
      <c r="N1336" s="2" t="s">
        <v>1595</v>
      </c>
      <c r="O1336" s="2" t="s">
        <v>53</v>
      </c>
      <c r="P1336" s="2" t="s">
        <v>208</v>
      </c>
      <c r="Q1336" s="2" t="s">
        <v>209</v>
      </c>
      <c r="R1336" s="2" t="s">
        <v>128</v>
      </c>
      <c r="S1336" s="2" t="s">
        <v>436</v>
      </c>
      <c r="T1336" s="10">
        <v>74673</v>
      </c>
      <c r="U1336" s="11">
        <v>1.1780000000000001E-2</v>
      </c>
      <c r="V1336" s="12">
        <f>T1336*U1336</f>
        <v>879.64794000000006</v>
      </c>
      <c r="W1336" s="13">
        <v>0.18</v>
      </c>
      <c r="X1336" s="12">
        <f>V1336-(V1336/(1+W1336))</f>
        <v>134.18358406779657</v>
      </c>
      <c r="Y1336" s="12">
        <f>V1336-X1336</f>
        <v>745.46435593220349</v>
      </c>
      <c r="Z1336" s="14">
        <v>1960</v>
      </c>
      <c r="AA1336" s="2" t="str">
        <f>IF(V1336&gt;Z1336,"Yes","No")</f>
        <v>No</v>
      </c>
      <c r="AB1336" s="12">
        <f>V1336-Z1336</f>
        <v>-1080.3520599999999</v>
      </c>
      <c r="AC1336" s="15" t="s">
        <v>130</v>
      </c>
      <c r="AD1336" s="15" t="s">
        <v>131</v>
      </c>
      <c r="AE1336" s="15" t="s">
        <v>514</v>
      </c>
      <c r="AF1336" s="12">
        <f>IF(AG1336="Rejected",0,IF(R1336="Corporate Card",0,V1336))</f>
        <v>0</v>
      </c>
      <c r="AG1336" s="15" t="s">
        <v>804</v>
      </c>
      <c r="AH1336" s="16">
        <v>45818</v>
      </c>
      <c r="AI1336" s="16"/>
      <c r="AJ1336" s="16"/>
      <c r="AK1336" s="17" t="str">
        <f>IF(AJ1336="","",AJ1336-AH1336)</f>
        <v/>
      </c>
    </row>
    <row r="1337" spans="1:37">
      <c r="A1337" s="2" t="s">
        <v>1766</v>
      </c>
      <c r="B1337" s="2" t="s">
        <v>189</v>
      </c>
      <c r="C1337" s="2" t="s">
        <v>190</v>
      </c>
      <c r="D1337" s="2" t="s">
        <v>171</v>
      </c>
      <c r="E1337" s="2" t="s">
        <v>191</v>
      </c>
      <c r="F1337" s="2" t="s">
        <v>173</v>
      </c>
      <c r="G1337" s="2" t="s">
        <v>1745</v>
      </c>
      <c r="H1337" s="2" t="s">
        <v>348</v>
      </c>
      <c r="I1337" s="2" t="s">
        <v>567</v>
      </c>
      <c r="J1337" s="2" t="s">
        <v>434</v>
      </c>
      <c r="K1337" s="9">
        <v>45805</v>
      </c>
      <c r="L1337" s="9">
        <v>45812</v>
      </c>
      <c r="M1337" s="9">
        <v>45806</v>
      </c>
      <c r="N1337" s="2" t="s">
        <v>1595</v>
      </c>
      <c r="O1337" s="2" t="s">
        <v>65</v>
      </c>
      <c r="P1337" s="2" t="s">
        <v>211</v>
      </c>
      <c r="Q1337" s="2" t="s">
        <v>364</v>
      </c>
      <c r="R1337" s="2" t="s">
        <v>137</v>
      </c>
      <c r="S1337" s="2" t="s">
        <v>436</v>
      </c>
      <c r="T1337" s="10">
        <v>1715</v>
      </c>
      <c r="U1337" s="11">
        <v>1.1780000000000001E-2</v>
      </c>
      <c r="V1337" s="12">
        <f>T1337*U1337</f>
        <v>20.2027</v>
      </c>
      <c r="W1337" s="13">
        <v>0.18</v>
      </c>
      <c r="X1337" s="12">
        <f>V1337-(V1337/(1+W1337))</f>
        <v>3.0817677966101691</v>
      </c>
      <c r="Y1337" s="12">
        <f>V1337-X1337</f>
        <v>17.120932203389831</v>
      </c>
      <c r="Z1337" s="14">
        <v>55</v>
      </c>
      <c r="AA1337" s="2" t="str">
        <f>IF(V1337&gt;Z1337,"Yes","No")</f>
        <v>No</v>
      </c>
      <c r="AB1337" s="12">
        <f>V1337-Z1337</f>
        <v>-34.7973</v>
      </c>
      <c r="AC1337" s="15" t="s">
        <v>130</v>
      </c>
      <c r="AD1337" s="15" t="s">
        <v>131</v>
      </c>
      <c r="AE1337" s="15" t="s">
        <v>514</v>
      </c>
      <c r="AF1337" s="12">
        <f>IF(AG1337="Rejected",0,IF(R1337="Corporate Card",0,V1337))</f>
        <v>0</v>
      </c>
      <c r="AG1337" s="15" t="s">
        <v>804</v>
      </c>
      <c r="AH1337" s="16">
        <v>45818</v>
      </c>
      <c r="AI1337" s="16"/>
      <c r="AJ1337" s="16"/>
      <c r="AK1337" s="17" t="str">
        <f>IF(AJ1337="","",AJ1337-AH1337)</f>
        <v/>
      </c>
    </row>
    <row r="1338" spans="1:37">
      <c r="A1338" s="2" t="s">
        <v>1767</v>
      </c>
      <c r="B1338" s="2" t="s">
        <v>189</v>
      </c>
      <c r="C1338" s="2" t="s">
        <v>190</v>
      </c>
      <c r="D1338" s="2" t="s">
        <v>171</v>
      </c>
      <c r="E1338" s="2" t="s">
        <v>191</v>
      </c>
      <c r="F1338" s="2" t="s">
        <v>173</v>
      </c>
      <c r="G1338" s="2" t="s">
        <v>1745</v>
      </c>
      <c r="H1338" s="2" t="s">
        <v>348</v>
      </c>
      <c r="I1338" s="2" t="s">
        <v>567</v>
      </c>
      <c r="J1338" s="2" t="s">
        <v>434</v>
      </c>
      <c r="K1338" s="9">
        <v>45805</v>
      </c>
      <c r="L1338" s="9">
        <v>45812</v>
      </c>
      <c r="M1338" s="9">
        <v>45806</v>
      </c>
      <c r="N1338" s="2" t="s">
        <v>1595</v>
      </c>
      <c r="O1338" s="2" t="s">
        <v>56</v>
      </c>
      <c r="P1338" s="2" t="s">
        <v>245</v>
      </c>
      <c r="Q1338" s="2" t="s">
        <v>159</v>
      </c>
      <c r="R1338" s="2" t="s">
        <v>137</v>
      </c>
      <c r="S1338" s="2" t="s">
        <v>436</v>
      </c>
      <c r="T1338" s="10">
        <v>3417</v>
      </c>
      <c r="U1338" s="11">
        <v>1.1780000000000001E-2</v>
      </c>
      <c r="V1338" s="12">
        <f>T1338*U1338</f>
        <v>40.25226</v>
      </c>
      <c r="W1338" s="13">
        <v>0.18</v>
      </c>
      <c r="X1338" s="12">
        <f>V1338-(V1338/(1+W1338))</f>
        <v>6.1401752542372847</v>
      </c>
      <c r="Y1338" s="12">
        <f>V1338-X1338</f>
        <v>34.112084745762715</v>
      </c>
      <c r="Z1338" s="14">
        <v>75</v>
      </c>
      <c r="AA1338" s="2" t="str">
        <f>IF(V1338&gt;Z1338,"Yes","No")</f>
        <v>No</v>
      </c>
      <c r="AB1338" s="12">
        <f>V1338-Z1338</f>
        <v>-34.74774</v>
      </c>
      <c r="AC1338" s="15" t="s">
        <v>130</v>
      </c>
      <c r="AD1338" s="15" t="s">
        <v>131</v>
      </c>
      <c r="AE1338" s="15" t="s">
        <v>514</v>
      </c>
      <c r="AF1338" s="12">
        <f>IF(AG1338="Rejected",0,IF(R1338="Corporate Card",0,V1338))</f>
        <v>0</v>
      </c>
      <c r="AG1338" s="15" t="s">
        <v>804</v>
      </c>
      <c r="AH1338" s="16">
        <v>45818</v>
      </c>
      <c r="AI1338" s="16"/>
      <c r="AJ1338" s="16"/>
      <c r="AK1338" s="17" t="str">
        <f>IF(AJ1338="","",AJ1338-AH1338)</f>
        <v/>
      </c>
    </row>
    <row r="1339" spans="1:37">
      <c r="A1339" s="2" t="s">
        <v>1768</v>
      </c>
      <c r="B1339" s="2" t="s">
        <v>189</v>
      </c>
      <c r="C1339" s="2" t="s">
        <v>190</v>
      </c>
      <c r="D1339" s="2" t="s">
        <v>171</v>
      </c>
      <c r="E1339" s="2" t="s">
        <v>191</v>
      </c>
      <c r="F1339" s="2" t="s">
        <v>173</v>
      </c>
      <c r="G1339" s="2" t="s">
        <v>1745</v>
      </c>
      <c r="H1339" s="2" t="s">
        <v>348</v>
      </c>
      <c r="I1339" s="2" t="s">
        <v>567</v>
      </c>
      <c r="J1339" s="2" t="s">
        <v>434</v>
      </c>
      <c r="K1339" s="9">
        <v>45805</v>
      </c>
      <c r="L1339" s="9">
        <v>45812</v>
      </c>
      <c r="M1339" s="9">
        <v>45806</v>
      </c>
      <c r="N1339" s="2" t="s">
        <v>1595</v>
      </c>
      <c r="O1339" s="2" t="s">
        <v>55</v>
      </c>
      <c r="P1339" s="2" t="s">
        <v>139</v>
      </c>
      <c r="Q1339" s="2" t="s">
        <v>217</v>
      </c>
      <c r="R1339" s="2" t="s">
        <v>137</v>
      </c>
      <c r="S1339" s="2" t="s">
        <v>436</v>
      </c>
      <c r="T1339" s="10">
        <v>4598</v>
      </c>
      <c r="U1339" s="11">
        <v>1.1780000000000001E-2</v>
      </c>
      <c r="V1339" s="12">
        <f>T1339*U1339</f>
        <v>54.164439999999999</v>
      </c>
      <c r="W1339" s="13">
        <v>0.18</v>
      </c>
      <c r="X1339" s="12">
        <f>V1339-(V1339/(1+W1339))</f>
        <v>8.2623722033898304</v>
      </c>
      <c r="Y1339" s="12">
        <f>V1339-X1339</f>
        <v>45.902067796610169</v>
      </c>
      <c r="Z1339" s="14">
        <v>35</v>
      </c>
      <c r="AA1339" s="2" t="str">
        <f>IF(V1339&gt;Z1339,"Yes","No")</f>
        <v>Yes</v>
      </c>
      <c r="AB1339" s="12">
        <f>V1339-Z1339</f>
        <v>19.164439999999999</v>
      </c>
      <c r="AC1339" s="15" t="s">
        <v>130</v>
      </c>
      <c r="AD1339" s="15" t="s">
        <v>131</v>
      </c>
      <c r="AE1339" s="15" t="s">
        <v>514</v>
      </c>
      <c r="AF1339" s="12">
        <f>IF(AG1339="Rejected",0,IF(R1339="Corporate Card",0,V1339))</f>
        <v>0</v>
      </c>
      <c r="AG1339" s="15" t="s">
        <v>804</v>
      </c>
      <c r="AH1339" s="16">
        <v>45818</v>
      </c>
      <c r="AI1339" s="16"/>
      <c r="AJ1339" s="16"/>
      <c r="AK1339" s="17" t="str">
        <f>IF(AJ1339="","",AJ1339-AH1339)</f>
        <v/>
      </c>
    </row>
    <row r="1340" spans="1:37">
      <c r="A1340" s="2" t="s">
        <v>1769</v>
      </c>
      <c r="B1340" s="2" t="s">
        <v>1749</v>
      </c>
      <c r="C1340" s="2" t="s">
        <v>1750</v>
      </c>
      <c r="D1340" s="2" t="s">
        <v>118</v>
      </c>
      <c r="E1340" s="2" t="s">
        <v>119</v>
      </c>
      <c r="F1340" s="2" t="s">
        <v>120</v>
      </c>
      <c r="G1340" s="2" t="s">
        <v>1751</v>
      </c>
      <c r="H1340" s="2" t="s">
        <v>417</v>
      </c>
      <c r="I1340" s="2" t="s">
        <v>175</v>
      </c>
      <c r="J1340" s="2" t="s">
        <v>176</v>
      </c>
      <c r="K1340" s="9">
        <v>45805</v>
      </c>
      <c r="L1340" s="9">
        <v>45810</v>
      </c>
      <c r="M1340" s="9">
        <v>45806</v>
      </c>
      <c r="N1340" s="2" t="s">
        <v>1595</v>
      </c>
      <c r="O1340" s="2" t="s">
        <v>60</v>
      </c>
      <c r="P1340" s="2" t="s">
        <v>1677</v>
      </c>
      <c r="Q1340" s="2" t="s">
        <v>955</v>
      </c>
      <c r="R1340" s="2" t="s">
        <v>128</v>
      </c>
      <c r="S1340" s="2" t="s">
        <v>179</v>
      </c>
      <c r="T1340" s="10">
        <v>1173.01</v>
      </c>
      <c r="U1340" s="11">
        <v>0.18099999999999999</v>
      </c>
      <c r="V1340" s="12">
        <f>T1340*U1340</f>
        <v>212.31480999999999</v>
      </c>
      <c r="W1340" s="13">
        <v>0.17</v>
      </c>
      <c r="X1340" s="12">
        <f>V1340-(V1340/(1+W1340))</f>
        <v>30.849160427350427</v>
      </c>
      <c r="Y1340" s="12">
        <f>V1340-X1340</f>
        <v>181.46564957264957</v>
      </c>
      <c r="Z1340" s="14">
        <v>600</v>
      </c>
      <c r="AA1340" s="2" t="str">
        <f>IF(V1340&gt;Z1340,"Yes","No")</f>
        <v>No</v>
      </c>
      <c r="AB1340" s="12">
        <f>V1340-Z1340</f>
        <v>-387.68519000000003</v>
      </c>
      <c r="AC1340" s="15" t="s">
        <v>130</v>
      </c>
      <c r="AD1340" s="15" t="s">
        <v>131</v>
      </c>
      <c r="AE1340" s="15" t="s">
        <v>858</v>
      </c>
      <c r="AF1340" s="12">
        <f>IF(AG1340="Rejected",0,IF(R1340="Corporate Card",0,V1340))</f>
        <v>0</v>
      </c>
      <c r="AG1340" s="15" t="s">
        <v>181</v>
      </c>
      <c r="AH1340" s="16">
        <v>45820</v>
      </c>
      <c r="AI1340" s="16"/>
      <c r="AJ1340" s="16"/>
      <c r="AK1340" s="17" t="str">
        <f>IF(AJ1340="","",AJ1340-AH1340)</f>
        <v/>
      </c>
    </row>
    <row r="1341" spans="1:37">
      <c r="A1341" s="2" t="s">
        <v>1770</v>
      </c>
      <c r="B1341" s="2" t="s">
        <v>1749</v>
      </c>
      <c r="C1341" s="2" t="s">
        <v>1750</v>
      </c>
      <c r="D1341" s="2" t="s">
        <v>118</v>
      </c>
      <c r="E1341" s="2" t="s">
        <v>119</v>
      </c>
      <c r="F1341" s="2" t="s">
        <v>120</v>
      </c>
      <c r="G1341" s="2" t="s">
        <v>1751</v>
      </c>
      <c r="H1341" s="2" t="s">
        <v>417</v>
      </c>
      <c r="I1341" s="2" t="s">
        <v>175</v>
      </c>
      <c r="J1341" s="2" t="s">
        <v>176</v>
      </c>
      <c r="K1341" s="9">
        <v>45805</v>
      </c>
      <c r="L1341" s="9">
        <v>45810</v>
      </c>
      <c r="M1341" s="9">
        <v>45806</v>
      </c>
      <c r="N1341" s="2" t="s">
        <v>1595</v>
      </c>
      <c r="O1341" s="2" t="s">
        <v>59</v>
      </c>
      <c r="P1341" s="2" t="s">
        <v>301</v>
      </c>
      <c r="Q1341" s="2" t="s">
        <v>302</v>
      </c>
      <c r="R1341" s="2" t="s">
        <v>128</v>
      </c>
      <c r="S1341" s="2" t="s">
        <v>179</v>
      </c>
      <c r="T1341" s="10">
        <v>322.89999999999998</v>
      </c>
      <c r="U1341" s="11">
        <v>0.18099999999999999</v>
      </c>
      <c r="V1341" s="12">
        <f>T1341*U1341</f>
        <v>58.444899999999997</v>
      </c>
      <c r="W1341" s="13">
        <v>0.17</v>
      </c>
      <c r="X1341" s="12">
        <f>V1341-(V1341/(1+W1341))</f>
        <v>8.4919940170940151</v>
      </c>
      <c r="Y1341" s="12">
        <f>V1341-X1341</f>
        <v>49.952905982905982</v>
      </c>
      <c r="Z1341" s="14">
        <v>150</v>
      </c>
      <c r="AA1341" s="2" t="str">
        <f>IF(V1341&gt;Z1341,"Yes","No")</f>
        <v>No</v>
      </c>
      <c r="AB1341" s="12">
        <f>V1341-Z1341</f>
        <v>-91.55510000000001</v>
      </c>
      <c r="AC1341" s="15" t="s">
        <v>130</v>
      </c>
      <c r="AD1341" s="15" t="s">
        <v>131</v>
      </c>
      <c r="AE1341" s="15" t="s">
        <v>858</v>
      </c>
      <c r="AF1341" s="12">
        <f>IF(AG1341="Rejected",0,IF(R1341="Corporate Card",0,V1341))</f>
        <v>0</v>
      </c>
      <c r="AG1341" s="15" t="s">
        <v>181</v>
      </c>
      <c r="AH1341" s="16">
        <v>45820</v>
      </c>
      <c r="AI1341" s="16"/>
      <c r="AJ1341" s="16"/>
      <c r="AK1341" s="17" t="str">
        <f>IF(AJ1341="","",AJ1341-AH1341)</f>
        <v/>
      </c>
    </row>
    <row r="1342" spans="1:37">
      <c r="A1342" s="2" t="s">
        <v>1771</v>
      </c>
      <c r="B1342" s="2" t="s">
        <v>1749</v>
      </c>
      <c r="C1342" s="2" t="s">
        <v>1750</v>
      </c>
      <c r="D1342" s="2" t="s">
        <v>118</v>
      </c>
      <c r="E1342" s="2" t="s">
        <v>119</v>
      </c>
      <c r="F1342" s="2" t="s">
        <v>120</v>
      </c>
      <c r="G1342" s="2" t="s">
        <v>1751</v>
      </c>
      <c r="H1342" s="2" t="s">
        <v>417</v>
      </c>
      <c r="I1342" s="2" t="s">
        <v>175</v>
      </c>
      <c r="J1342" s="2" t="s">
        <v>176</v>
      </c>
      <c r="K1342" s="9">
        <v>45805</v>
      </c>
      <c r="L1342" s="9">
        <v>45810</v>
      </c>
      <c r="M1342" s="9">
        <v>45806</v>
      </c>
      <c r="N1342" s="2" t="s">
        <v>1595</v>
      </c>
      <c r="O1342" s="2" t="s">
        <v>53</v>
      </c>
      <c r="P1342" s="2" t="s">
        <v>271</v>
      </c>
      <c r="Q1342" s="2" t="s">
        <v>220</v>
      </c>
      <c r="R1342" s="2" t="s">
        <v>149</v>
      </c>
      <c r="S1342" s="2" t="s">
        <v>179</v>
      </c>
      <c r="T1342" s="10">
        <v>4543.97</v>
      </c>
      <c r="U1342" s="11">
        <v>0.18099999999999999</v>
      </c>
      <c r="V1342" s="12">
        <f>T1342*U1342</f>
        <v>822.45857000000001</v>
      </c>
      <c r="W1342" s="13">
        <v>0.17</v>
      </c>
      <c r="X1342" s="12">
        <f>V1342-(V1342/(1+W1342))</f>
        <v>119.50252726495728</v>
      </c>
      <c r="Y1342" s="12">
        <f>V1342-X1342</f>
        <v>702.95604273504273</v>
      </c>
      <c r="Z1342" s="14">
        <v>1400</v>
      </c>
      <c r="AA1342" s="2" t="str">
        <f>IF(V1342&gt;Z1342,"Yes","No")</f>
        <v>No</v>
      </c>
      <c r="AB1342" s="12">
        <f>V1342-Z1342</f>
        <v>-577.54142999999999</v>
      </c>
      <c r="AC1342" s="15" t="s">
        <v>130</v>
      </c>
      <c r="AD1342" s="15" t="s">
        <v>131</v>
      </c>
      <c r="AE1342" s="15" t="s">
        <v>858</v>
      </c>
      <c r="AF1342" s="12">
        <f>IF(AG1342="Rejected",0,IF(R1342="Corporate Card",0,V1342))</f>
        <v>822.45857000000001</v>
      </c>
      <c r="AG1342" s="15" t="s">
        <v>181</v>
      </c>
      <c r="AH1342" s="16">
        <v>45820</v>
      </c>
      <c r="AI1342" s="16"/>
      <c r="AJ1342" s="16"/>
      <c r="AK1342" s="17" t="str">
        <f>IF(AJ1342="","",AJ1342-AH1342)</f>
        <v/>
      </c>
    </row>
    <row r="1343" spans="1:37">
      <c r="A1343" s="2" t="s">
        <v>1772</v>
      </c>
      <c r="B1343" s="2" t="s">
        <v>1749</v>
      </c>
      <c r="C1343" s="2" t="s">
        <v>1750</v>
      </c>
      <c r="D1343" s="2" t="s">
        <v>118</v>
      </c>
      <c r="E1343" s="2" t="s">
        <v>119</v>
      </c>
      <c r="F1343" s="2" t="s">
        <v>120</v>
      </c>
      <c r="G1343" s="2" t="s">
        <v>1751</v>
      </c>
      <c r="H1343" s="2" t="s">
        <v>417</v>
      </c>
      <c r="I1343" s="2" t="s">
        <v>175</v>
      </c>
      <c r="J1343" s="2" t="s">
        <v>176</v>
      </c>
      <c r="K1343" s="9">
        <v>45805</v>
      </c>
      <c r="L1343" s="9">
        <v>45810</v>
      </c>
      <c r="M1343" s="9">
        <v>45806</v>
      </c>
      <c r="N1343" s="2" t="s">
        <v>1595</v>
      </c>
      <c r="O1343" s="2" t="s">
        <v>65</v>
      </c>
      <c r="P1343" s="2" t="s">
        <v>211</v>
      </c>
      <c r="Q1343" s="2" t="s">
        <v>460</v>
      </c>
      <c r="R1343" s="2" t="s">
        <v>128</v>
      </c>
      <c r="S1343" s="2" t="s">
        <v>179</v>
      </c>
      <c r="T1343" s="10">
        <v>302.5</v>
      </c>
      <c r="U1343" s="11">
        <v>0.18099999999999999</v>
      </c>
      <c r="V1343" s="12">
        <f>T1343*U1343</f>
        <v>54.752499999999998</v>
      </c>
      <c r="W1343" s="13">
        <v>0.17</v>
      </c>
      <c r="X1343" s="12">
        <f>V1343-(V1343/(1+W1343))</f>
        <v>7.9554914529914527</v>
      </c>
      <c r="Y1343" s="12">
        <f>V1343-X1343</f>
        <v>46.797008547008545</v>
      </c>
      <c r="Z1343" s="14">
        <v>55</v>
      </c>
      <c r="AA1343" s="2" t="str">
        <f>IF(V1343&gt;Z1343,"Yes","No")</f>
        <v>No</v>
      </c>
      <c r="AB1343" s="12">
        <f>V1343-Z1343</f>
        <v>-0.24750000000000227</v>
      </c>
      <c r="AC1343" s="15" t="s">
        <v>130</v>
      </c>
      <c r="AD1343" s="15" t="s">
        <v>131</v>
      </c>
      <c r="AE1343" s="15" t="s">
        <v>858</v>
      </c>
      <c r="AF1343" s="12">
        <f>IF(AG1343="Rejected",0,IF(R1343="Corporate Card",0,V1343))</f>
        <v>0</v>
      </c>
      <c r="AG1343" s="15" t="s">
        <v>181</v>
      </c>
      <c r="AH1343" s="16">
        <v>45820</v>
      </c>
      <c r="AI1343" s="16"/>
      <c r="AJ1343" s="16"/>
      <c r="AK1343" s="17" t="str">
        <f>IF(AJ1343="","",AJ1343-AH1343)</f>
        <v/>
      </c>
    </row>
    <row r="1344" spans="1:37">
      <c r="A1344" s="2" t="s">
        <v>1773</v>
      </c>
      <c r="B1344" s="2" t="s">
        <v>1749</v>
      </c>
      <c r="C1344" s="2" t="s">
        <v>1750</v>
      </c>
      <c r="D1344" s="2" t="s">
        <v>118</v>
      </c>
      <c r="E1344" s="2" t="s">
        <v>119</v>
      </c>
      <c r="F1344" s="2" t="s">
        <v>120</v>
      </c>
      <c r="G1344" s="2" t="s">
        <v>1751</v>
      </c>
      <c r="H1344" s="2" t="s">
        <v>417</v>
      </c>
      <c r="I1344" s="2" t="s">
        <v>175</v>
      </c>
      <c r="J1344" s="2" t="s">
        <v>176</v>
      </c>
      <c r="K1344" s="9">
        <v>45805</v>
      </c>
      <c r="L1344" s="9">
        <v>45810</v>
      </c>
      <c r="M1344" s="9">
        <v>45806</v>
      </c>
      <c r="N1344" s="2" t="s">
        <v>1595</v>
      </c>
      <c r="O1344" s="2" t="s">
        <v>54</v>
      </c>
      <c r="P1344" s="2" t="s">
        <v>139</v>
      </c>
      <c r="Q1344" s="2" t="s">
        <v>214</v>
      </c>
      <c r="R1344" s="2" t="s">
        <v>128</v>
      </c>
      <c r="S1344" s="2" t="s">
        <v>179</v>
      </c>
      <c r="T1344" s="10">
        <v>56.29</v>
      </c>
      <c r="U1344" s="11">
        <v>0.18099999999999999</v>
      </c>
      <c r="V1344" s="12">
        <f>T1344*U1344</f>
        <v>10.18849</v>
      </c>
      <c r="W1344" s="13">
        <v>0.17</v>
      </c>
      <c r="X1344" s="12">
        <f>V1344-(V1344/(1+W1344))</f>
        <v>1.4803788888888878</v>
      </c>
      <c r="Y1344" s="12">
        <f>V1344-X1344</f>
        <v>8.708111111111112</v>
      </c>
      <c r="Z1344" s="14">
        <v>25</v>
      </c>
      <c r="AA1344" s="2" t="str">
        <f>IF(V1344&gt;Z1344,"Yes","No")</f>
        <v>No</v>
      </c>
      <c r="AB1344" s="12">
        <f>V1344-Z1344</f>
        <v>-14.81151</v>
      </c>
      <c r="AC1344" s="15" t="s">
        <v>130</v>
      </c>
      <c r="AD1344" s="15" t="s">
        <v>131</v>
      </c>
      <c r="AE1344" s="15" t="s">
        <v>858</v>
      </c>
      <c r="AF1344" s="12">
        <f>IF(AG1344="Rejected",0,IF(R1344="Corporate Card",0,V1344))</f>
        <v>0</v>
      </c>
      <c r="AG1344" s="15" t="s">
        <v>181</v>
      </c>
      <c r="AH1344" s="16">
        <v>45820</v>
      </c>
      <c r="AI1344" s="16"/>
      <c r="AJ1344" s="16"/>
      <c r="AK1344" s="17" t="str">
        <f>IF(AJ1344="","",AJ1344-AH1344)</f>
        <v/>
      </c>
    </row>
    <row r="1345" spans="1:37">
      <c r="A1345" s="2" t="s">
        <v>1774</v>
      </c>
      <c r="B1345" s="2" t="s">
        <v>1749</v>
      </c>
      <c r="C1345" s="2" t="s">
        <v>1750</v>
      </c>
      <c r="D1345" s="2" t="s">
        <v>118</v>
      </c>
      <c r="E1345" s="2" t="s">
        <v>119</v>
      </c>
      <c r="F1345" s="2" t="s">
        <v>120</v>
      </c>
      <c r="G1345" s="2" t="s">
        <v>1751</v>
      </c>
      <c r="H1345" s="2" t="s">
        <v>417</v>
      </c>
      <c r="I1345" s="2" t="s">
        <v>175</v>
      </c>
      <c r="J1345" s="2" t="s">
        <v>176</v>
      </c>
      <c r="K1345" s="9">
        <v>45805</v>
      </c>
      <c r="L1345" s="9">
        <v>45810</v>
      </c>
      <c r="M1345" s="9">
        <v>45806</v>
      </c>
      <c r="N1345" s="2" t="s">
        <v>1595</v>
      </c>
      <c r="O1345" s="2" t="s">
        <v>56</v>
      </c>
      <c r="P1345" s="2" t="s">
        <v>245</v>
      </c>
      <c r="Q1345" s="2" t="s">
        <v>152</v>
      </c>
      <c r="R1345" s="2" t="s">
        <v>149</v>
      </c>
      <c r="S1345" s="2" t="s">
        <v>179</v>
      </c>
      <c r="T1345" s="10">
        <v>207.59</v>
      </c>
      <c r="U1345" s="11">
        <v>0.18099999999999999</v>
      </c>
      <c r="V1345" s="12">
        <f>T1345*U1345</f>
        <v>37.573790000000002</v>
      </c>
      <c r="W1345" s="13">
        <v>0.17</v>
      </c>
      <c r="X1345" s="12">
        <f>V1345-(V1345/(1+W1345))</f>
        <v>5.4594395726495719</v>
      </c>
      <c r="Y1345" s="12">
        <f>V1345-X1345</f>
        <v>32.114350427350431</v>
      </c>
      <c r="Z1345" s="14">
        <v>75</v>
      </c>
      <c r="AA1345" s="2" t="str">
        <f>IF(V1345&gt;Z1345,"Yes","No")</f>
        <v>No</v>
      </c>
      <c r="AB1345" s="12">
        <f>V1345-Z1345</f>
        <v>-37.426209999999998</v>
      </c>
      <c r="AC1345" s="15" t="s">
        <v>130</v>
      </c>
      <c r="AD1345" s="15" t="s">
        <v>131</v>
      </c>
      <c r="AE1345" s="15" t="s">
        <v>858</v>
      </c>
      <c r="AF1345" s="12">
        <f>IF(AG1345="Rejected",0,IF(R1345="Corporate Card",0,V1345))</f>
        <v>37.573790000000002</v>
      </c>
      <c r="AG1345" s="15" t="s">
        <v>181</v>
      </c>
      <c r="AH1345" s="16">
        <v>45820</v>
      </c>
      <c r="AI1345" s="16"/>
      <c r="AJ1345" s="16"/>
      <c r="AK1345" s="17" t="str">
        <f>IF(AJ1345="","",AJ1345-AH1345)</f>
        <v/>
      </c>
    </row>
    <row r="1346" spans="1:37">
      <c r="A1346" s="2" t="s">
        <v>1775</v>
      </c>
      <c r="B1346" s="2" t="s">
        <v>189</v>
      </c>
      <c r="C1346" s="2" t="s">
        <v>190</v>
      </c>
      <c r="D1346" s="2" t="s">
        <v>171</v>
      </c>
      <c r="E1346" s="2" t="s">
        <v>191</v>
      </c>
      <c r="F1346" s="2" t="s">
        <v>173</v>
      </c>
      <c r="G1346" s="2" t="s">
        <v>1745</v>
      </c>
      <c r="H1346" s="2" t="s">
        <v>348</v>
      </c>
      <c r="I1346" s="2" t="s">
        <v>567</v>
      </c>
      <c r="J1346" s="2" t="s">
        <v>434</v>
      </c>
      <c r="K1346" s="9">
        <v>45805</v>
      </c>
      <c r="L1346" s="9">
        <v>45812</v>
      </c>
      <c r="M1346" s="9">
        <v>45807</v>
      </c>
      <c r="N1346" s="2" t="s">
        <v>1595</v>
      </c>
      <c r="O1346" s="2" t="s">
        <v>54</v>
      </c>
      <c r="P1346" s="2" t="s">
        <v>139</v>
      </c>
      <c r="Q1346" s="2" t="s">
        <v>214</v>
      </c>
      <c r="R1346" s="2" t="s">
        <v>149</v>
      </c>
      <c r="S1346" s="2" t="s">
        <v>436</v>
      </c>
      <c r="T1346" s="10">
        <v>1606</v>
      </c>
      <c r="U1346" s="11">
        <v>1.1780000000000001E-2</v>
      </c>
      <c r="V1346" s="12">
        <f>T1346*U1346</f>
        <v>18.918680000000002</v>
      </c>
      <c r="W1346" s="13">
        <v>0.18</v>
      </c>
      <c r="X1346" s="12">
        <f>V1346-(V1346/(1+W1346))</f>
        <v>2.8859003389830491</v>
      </c>
      <c r="Y1346" s="12">
        <f>V1346-X1346</f>
        <v>16.032779661016953</v>
      </c>
      <c r="Z1346" s="14">
        <v>25</v>
      </c>
      <c r="AA1346" s="2" t="str">
        <f>IF(V1346&gt;Z1346,"Yes","No")</f>
        <v>No</v>
      </c>
      <c r="AB1346" s="12">
        <f>V1346-Z1346</f>
        <v>-6.0813199999999981</v>
      </c>
      <c r="AC1346" s="15" t="s">
        <v>130</v>
      </c>
      <c r="AD1346" s="15" t="s">
        <v>131</v>
      </c>
      <c r="AE1346" s="15" t="s">
        <v>514</v>
      </c>
      <c r="AF1346" s="12">
        <f>IF(AG1346="Rejected",0,IF(R1346="Corporate Card",0,V1346))</f>
        <v>0</v>
      </c>
      <c r="AG1346" s="15" t="s">
        <v>804</v>
      </c>
      <c r="AH1346" s="16">
        <v>45818</v>
      </c>
      <c r="AI1346" s="16"/>
      <c r="AJ1346" s="16"/>
      <c r="AK1346" s="17" t="str">
        <f>IF(AJ1346="","",AJ1346-AH1346)</f>
        <v/>
      </c>
    </row>
    <row r="1347" spans="1:37">
      <c r="A1347" s="2" t="s">
        <v>1776</v>
      </c>
      <c r="B1347" s="2" t="s">
        <v>189</v>
      </c>
      <c r="C1347" s="2" t="s">
        <v>190</v>
      </c>
      <c r="D1347" s="2" t="s">
        <v>171</v>
      </c>
      <c r="E1347" s="2" t="s">
        <v>191</v>
      </c>
      <c r="F1347" s="2" t="s">
        <v>173</v>
      </c>
      <c r="G1347" s="2" t="s">
        <v>1745</v>
      </c>
      <c r="H1347" s="2" t="s">
        <v>348</v>
      </c>
      <c r="I1347" s="2" t="s">
        <v>567</v>
      </c>
      <c r="J1347" s="2" t="s">
        <v>434</v>
      </c>
      <c r="K1347" s="9">
        <v>45805</v>
      </c>
      <c r="L1347" s="9">
        <v>45812</v>
      </c>
      <c r="M1347" s="9">
        <v>45807</v>
      </c>
      <c r="N1347" s="2" t="s">
        <v>1595</v>
      </c>
      <c r="O1347" s="2" t="s">
        <v>56</v>
      </c>
      <c r="P1347" s="2" t="s">
        <v>165</v>
      </c>
      <c r="Q1347" s="2" t="s">
        <v>152</v>
      </c>
      <c r="R1347" s="2" t="s">
        <v>128</v>
      </c>
      <c r="S1347" s="2" t="s">
        <v>436</v>
      </c>
      <c r="T1347" s="10">
        <v>3551</v>
      </c>
      <c r="U1347" s="11">
        <v>1.1780000000000001E-2</v>
      </c>
      <c r="V1347" s="12">
        <f>T1347*U1347</f>
        <v>41.830780000000004</v>
      </c>
      <c r="W1347" s="13">
        <v>0.18</v>
      </c>
      <c r="X1347" s="12">
        <f>V1347-(V1347/(1+W1347))</f>
        <v>6.380966440677966</v>
      </c>
      <c r="Y1347" s="12">
        <f>V1347-X1347</f>
        <v>35.449813559322038</v>
      </c>
      <c r="Z1347" s="14">
        <v>75</v>
      </c>
      <c r="AA1347" s="2" t="str">
        <f>IF(V1347&gt;Z1347,"Yes","No")</f>
        <v>No</v>
      </c>
      <c r="AB1347" s="12">
        <f>V1347-Z1347</f>
        <v>-33.169219999999996</v>
      </c>
      <c r="AC1347" s="15" t="s">
        <v>130</v>
      </c>
      <c r="AD1347" s="15" t="s">
        <v>131</v>
      </c>
      <c r="AE1347" s="15" t="s">
        <v>514</v>
      </c>
      <c r="AF1347" s="12">
        <f>IF(AG1347="Rejected",0,IF(R1347="Corporate Card",0,V1347))</f>
        <v>0</v>
      </c>
      <c r="AG1347" s="15" t="s">
        <v>804</v>
      </c>
      <c r="AH1347" s="16">
        <v>45818</v>
      </c>
      <c r="AI1347" s="16"/>
      <c r="AJ1347" s="16"/>
      <c r="AK1347" s="17" t="str">
        <f>IF(AJ1347="","",AJ1347-AH1347)</f>
        <v/>
      </c>
    </row>
    <row r="1348" spans="1:37">
      <c r="A1348" s="2" t="s">
        <v>1777</v>
      </c>
      <c r="B1348" s="2" t="s">
        <v>189</v>
      </c>
      <c r="C1348" s="2" t="s">
        <v>190</v>
      </c>
      <c r="D1348" s="2" t="s">
        <v>171</v>
      </c>
      <c r="E1348" s="2" t="s">
        <v>191</v>
      </c>
      <c r="F1348" s="2" t="s">
        <v>173</v>
      </c>
      <c r="G1348" s="2" t="s">
        <v>1745</v>
      </c>
      <c r="H1348" s="2" t="s">
        <v>348</v>
      </c>
      <c r="I1348" s="2" t="s">
        <v>567</v>
      </c>
      <c r="J1348" s="2" t="s">
        <v>434</v>
      </c>
      <c r="K1348" s="9">
        <v>45805</v>
      </c>
      <c r="L1348" s="9">
        <v>45812</v>
      </c>
      <c r="M1348" s="9">
        <v>45807</v>
      </c>
      <c r="N1348" s="2" t="s">
        <v>1595</v>
      </c>
      <c r="O1348" s="2" t="s">
        <v>55</v>
      </c>
      <c r="P1348" s="2" t="s">
        <v>139</v>
      </c>
      <c r="Q1348" s="2" t="s">
        <v>187</v>
      </c>
      <c r="R1348" s="2" t="s">
        <v>128</v>
      </c>
      <c r="S1348" s="2" t="s">
        <v>436</v>
      </c>
      <c r="T1348" s="10">
        <v>1895</v>
      </c>
      <c r="U1348" s="11">
        <v>1.1780000000000001E-2</v>
      </c>
      <c r="V1348" s="12">
        <f>T1348*U1348</f>
        <v>22.3231</v>
      </c>
      <c r="W1348" s="13">
        <v>0.18</v>
      </c>
      <c r="X1348" s="12">
        <f>V1348-(V1348/(1+W1348))</f>
        <v>3.4052186440677943</v>
      </c>
      <c r="Y1348" s="12">
        <f>V1348-X1348</f>
        <v>18.917881355932206</v>
      </c>
      <c r="Z1348" s="14">
        <v>35</v>
      </c>
      <c r="AA1348" s="2" t="str">
        <f>IF(V1348&gt;Z1348,"Yes","No")</f>
        <v>No</v>
      </c>
      <c r="AB1348" s="12">
        <f>V1348-Z1348</f>
        <v>-12.6769</v>
      </c>
      <c r="AC1348" s="15" t="s">
        <v>130</v>
      </c>
      <c r="AD1348" s="15" t="s">
        <v>131</v>
      </c>
      <c r="AE1348" s="15" t="s">
        <v>514</v>
      </c>
      <c r="AF1348" s="12">
        <f>IF(AG1348="Rejected",0,IF(R1348="Corporate Card",0,V1348))</f>
        <v>0</v>
      </c>
      <c r="AG1348" s="15" t="s">
        <v>804</v>
      </c>
      <c r="AH1348" s="16">
        <v>45818</v>
      </c>
      <c r="AI1348" s="16"/>
      <c r="AJ1348" s="16"/>
      <c r="AK1348" s="17" t="str">
        <f>IF(AJ1348="","",AJ1348-AH1348)</f>
        <v/>
      </c>
    </row>
    <row r="1349" spans="1:37">
      <c r="A1349" s="2" t="s">
        <v>1778</v>
      </c>
      <c r="B1349" s="2" t="s">
        <v>1749</v>
      </c>
      <c r="C1349" s="2" t="s">
        <v>1750</v>
      </c>
      <c r="D1349" s="2" t="s">
        <v>118</v>
      </c>
      <c r="E1349" s="2" t="s">
        <v>119</v>
      </c>
      <c r="F1349" s="2" t="s">
        <v>120</v>
      </c>
      <c r="G1349" s="2" t="s">
        <v>1751</v>
      </c>
      <c r="H1349" s="2" t="s">
        <v>417</v>
      </c>
      <c r="I1349" s="2" t="s">
        <v>175</v>
      </c>
      <c r="J1349" s="2" t="s">
        <v>176</v>
      </c>
      <c r="K1349" s="9">
        <v>45805</v>
      </c>
      <c r="L1349" s="9">
        <v>45810</v>
      </c>
      <c r="M1349" s="9">
        <v>45807</v>
      </c>
      <c r="N1349" s="2" t="s">
        <v>1595</v>
      </c>
      <c r="O1349" s="2" t="s">
        <v>61</v>
      </c>
      <c r="P1349" s="2" t="s">
        <v>528</v>
      </c>
      <c r="Q1349" s="2" t="s">
        <v>1128</v>
      </c>
      <c r="R1349" s="2" t="s">
        <v>149</v>
      </c>
      <c r="S1349" s="2" t="s">
        <v>179</v>
      </c>
      <c r="T1349" s="10">
        <v>294.39999999999998</v>
      </c>
      <c r="U1349" s="11">
        <v>0.18099999999999999</v>
      </c>
      <c r="V1349" s="12">
        <f>T1349*U1349</f>
        <v>53.286399999999993</v>
      </c>
      <c r="W1349" s="13">
        <v>0</v>
      </c>
      <c r="X1349" s="12">
        <f>V1349-(V1349/(1+W1349))</f>
        <v>0</v>
      </c>
      <c r="Y1349" s="12">
        <f>V1349-X1349</f>
        <v>53.286399999999993</v>
      </c>
      <c r="Z1349" s="14">
        <v>90</v>
      </c>
      <c r="AA1349" s="2" t="str">
        <f>IF(V1349&gt;Z1349,"Yes","No")</f>
        <v>No</v>
      </c>
      <c r="AB1349" s="12">
        <f>V1349-Z1349</f>
        <v>-36.713600000000007</v>
      </c>
      <c r="AC1349" s="15" t="s">
        <v>130</v>
      </c>
      <c r="AD1349" s="15" t="s">
        <v>131</v>
      </c>
      <c r="AE1349" s="15" t="s">
        <v>858</v>
      </c>
      <c r="AF1349" s="12">
        <f>IF(AG1349="Rejected",0,IF(R1349="Corporate Card",0,V1349))</f>
        <v>53.286399999999993</v>
      </c>
      <c r="AG1349" s="15" t="s">
        <v>181</v>
      </c>
      <c r="AH1349" s="16">
        <v>45820</v>
      </c>
      <c r="AI1349" s="16"/>
      <c r="AJ1349" s="16"/>
      <c r="AK1349" s="17" t="str">
        <f>IF(AJ1349="","",AJ1349-AH1349)</f>
        <v/>
      </c>
    </row>
    <row r="1350" spans="1:37">
      <c r="A1350" s="2" t="s">
        <v>1779</v>
      </c>
      <c r="B1350" s="2" t="s">
        <v>1749</v>
      </c>
      <c r="C1350" s="2" t="s">
        <v>1750</v>
      </c>
      <c r="D1350" s="2" t="s">
        <v>118</v>
      </c>
      <c r="E1350" s="2" t="s">
        <v>119</v>
      </c>
      <c r="F1350" s="2" t="s">
        <v>120</v>
      </c>
      <c r="G1350" s="2" t="s">
        <v>1751</v>
      </c>
      <c r="H1350" s="2" t="s">
        <v>417</v>
      </c>
      <c r="I1350" s="2" t="s">
        <v>175</v>
      </c>
      <c r="J1350" s="2" t="s">
        <v>176</v>
      </c>
      <c r="K1350" s="9">
        <v>45805</v>
      </c>
      <c r="L1350" s="9">
        <v>45810</v>
      </c>
      <c r="M1350" s="9">
        <v>45807</v>
      </c>
      <c r="N1350" s="2" t="s">
        <v>1595</v>
      </c>
      <c r="O1350" s="2" t="s">
        <v>58</v>
      </c>
      <c r="P1350" s="2" t="s">
        <v>142</v>
      </c>
      <c r="Q1350" s="2" t="s">
        <v>296</v>
      </c>
      <c r="R1350" s="2" t="s">
        <v>149</v>
      </c>
      <c r="S1350" s="2" t="s">
        <v>179</v>
      </c>
      <c r="T1350" s="10">
        <v>211.95</v>
      </c>
      <c r="U1350" s="11">
        <v>0.18099999999999999</v>
      </c>
      <c r="V1350" s="12">
        <f>T1350*U1350</f>
        <v>38.362949999999998</v>
      </c>
      <c r="W1350" s="13">
        <v>0.17</v>
      </c>
      <c r="X1350" s="12">
        <f>V1350-(V1350/(1+W1350))</f>
        <v>5.5741038461538466</v>
      </c>
      <c r="Y1350" s="12">
        <f>V1350-X1350</f>
        <v>32.788846153846151</v>
      </c>
      <c r="Z1350" s="14">
        <v>60</v>
      </c>
      <c r="AA1350" s="2" t="str">
        <f>IF(V1350&gt;Z1350,"Yes","No")</f>
        <v>No</v>
      </c>
      <c r="AB1350" s="12">
        <f>V1350-Z1350</f>
        <v>-21.637050000000002</v>
      </c>
      <c r="AC1350" s="15" t="s">
        <v>130</v>
      </c>
      <c r="AD1350" s="15" t="s">
        <v>131</v>
      </c>
      <c r="AE1350" s="15" t="s">
        <v>858</v>
      </c>
      <c r="AF1350" s="12">
        <f>IF(AG1350="Rejected",0,IF(R1350="Corporate Card",0,V1350))</f>
        <v>38.362949999999998</v>
      </c>
      <c r="AG1350" s="15" t="s">
        <v>181</v>
      </c>
      <c r="AH1350" s="16">
        <v>45820</v>
      </c>
      <c r="AI1350" s="16"/>
      <c r="AJ1350" s="16"/>
      <c r="AK1350" s="17" t="str">
        <f>IF(AJ1350="","",AJ1350-AH1350)</f>
        <v/>
      </c>
    </row>
    <row r="1351" spans="1:37">
      <c r="A1351" s="2" t="s">
        <v>1780</v>
      </c>
      <c r="B1351" s="2" t="s">
        <v>1749</v>
      </c>
      <c r="C1351" s="2" t="s">
        <v>1750</v>
      </c>
      <c r="D1351" s="2" t="s">
        <v>118</v>
      </c>
      <c r="E1351" s="2" t="s">
        <v>119</v>
      </c>
      <c r="F1351" s="2" t="s">
        <v>120</v>
      </c>
      <c r="G1351" s="2" t="s">
        <v>1751</v>
      </c>
      <c r="H1351" s="2" t="s">
        <v>417</v>
      </c>
      <c r="I1351" s="2" t="s">
        <v>175</v>
      </c>
      <c r="J1351" s="2" t="s">
        <v>176</v>
      </c>
      <c r="K1351" s="9">
        <v>45805</v>
      </c>
      <c r="L1351" s="9">
        <v>45810</v>
      </c>
      <c r="M1351" s="9">
        <v>45807</v>
      </c>
      <c r="N1351" s="2" t="s">
        <v>1595</v>
      </c>
      <c r="O1351" s="2" t="s">
        <v>56</v>
      </c>
      <c r="P1351" s="2" t="s">
        <v>245</v>
      </c>
      <c r="Q1351" s="2" t="s">
        <v>227</v>
      </c>
      <c r="R1351" s="2" t="s">
        <v>137</v>
      </c>
      <c r="S1351" s="2" t="s">
        <v>179</v>
      </c>
      <c r="T1351" s="10">
        <v>211.36</v>
      </c>
      <c r="U1351" s="11">
        <v>0.18099999999999999</v>
      </c>
      <c r="V1351" s="12">
        <f>T1351*U1351</f>
        <v>38.256160000000001</v>
      </c>
      <c r="W1351" s="13">
        <v>0.17</v>
      </c>
      <c r="X1351" s="12">
        <f>V1351-(V1351/(1+W1351))</f>
        <v>5.5585873504273451</v>
      </c>
      <c r="Y1351" s="12">
        <f>V1351-X1351</f>
        <v>32.697572649572656</v>
      </c>
      <c r="Z1351" s="14">
        <v>75</v>
      </c>
      <c r="AA1351" s="2" t="str">
        <f>IF(V1351&gt;Z1351,"Yes","No")</f>
        <v>No</v>
      </c>
      <c r="AB1351" s="12">
        <f>V1351-Z1351</f>
        <v>-36.743839999999999</v>
      </c>
      <c r="AC1351" s="15" t="s">
        <v>131</v>
      </c>
      <c r="AD1351" s="15" t="s">
        <v>131</v>
      </c>
      <c r="AE1351" s="15" t="s">
        <v>858</v>
      </c>
      <c r="AF1351" s="12">
        <f>IF(AG1351="Rejected",0,IF(R1351="Corporate Card",0,V1351))</f>
        <v>38.256160000000001</v>
      </c>
      <c r="AG1351" s="15" t="s">
        <v>181</v>
      </c>
      <c r="AH1351" s="16">
        <v>45820</v>
      </c>
      <c r="AI1351" s="16"/>
      <c r="AJ1351" s="16"/>
      <c r="AK1351" s="17" t="str">
        <f>IF(AJ1351="","",AJ1351-AH1351)</f>
        <v/>
      </c>
    </row>
    <row r="1352" spans="1:37">
      <c r="A1352" s="2" t="s">
        <v>1781</v>
      </c>
      <c r="B1352" s="2" t="s">
        <v>1749</v>
      </c>
      <c r="C1352" s="2" t="s">
        <v>1750</v>
      </c>
      <c r="D1352" s="2" t="s">
        <v>118</v>
      </c>
      <c r="E1352" s="2" t="s">
        <v>119</v>
      </c>
      <c r="F1352" s="2" t="s">
        <v>120</v>
      </c>
      <c r="G1352" s="2" t="s">
        <v>1751</v>
      </c>
      <c r="H1352" s="2" t="s">
        <v>417</v>
      </c>
      <c r="I1352" s="2" t="s">
        <v>175</v>
      </c>
      <c r="J1352" s="2" t="s">
        <v>176</v>
      </c>
      <c r="K1352" s="9">
        <v>45805</v>
      </c>
      <c r="L1352" s="9">
        <v>45810</v>
      </c>
      <c r="M1352" s="9">
        <v>45807</v>
      </c>
      <c r="N1352" s="2" t="s">
        <v>1595</v>
      </c>
      <c r="O1352" s="2" t="s">
        <v>55</v>
      </c>
      <c r="P1352" s="2" t="s">
        <v>139</v>
      </c>
      <c r="Q1352" s="2" t="s">
        <v>217</v>
      </c>
      <c r="R1352" s="2" t="s">
        <v>128</v>
      </c>
      <c r="S1352" s="2" t="s">
        <v>179</v>
      </c>
      <c r="T1352" s="10">
        <v>155.94999999999999</v>
      </c>
      <c r="U1352" s="11">
        <v>0.18099999999999999</v>
      </c>
      <c r="V1352" s="12">
        <f>T1352*U1352</f>
        <v>28.226949999999999</v>
      </c>
      <c r="W1352" s="13">
        <v>0.17</v>
      </c>
      <c r="X1352" s="12">
        <f>V1352-(V1352/(1+W1352))</f>
        <v>4.1013517094017082</v>
      </c>
      <c r="Y1352" s="12">
        <f>V1352-X1352</f>
        <v>24.12559829059829</v>
      </c>
      <c r="Z1352" s="14">
        <v>35</v>
      </c>
      <c r="AA1352" s="2" t="str">
        <f>IF(V1352&gt;Z1352,"Yes","No")</f>
        <v>No</v>
      </c>
      <c r="AB1352" s="12">
        <f>V1352-Z1352</f>
        <v>-6.7730500000000013</v>
      </c>
      <c r="AC1352" s="15" t="s">
        <v>130</v>
      </c>
      <c r="AD1352" s="15" t="s">
        <v>131</v>
      </c>
      <c r="AE1352" s="15" t="s">
        <v>858</v>
      </c>
      <c r="AF1352" s="12">
        <f>IF(AG1352="Rejected",0,IF(R1352="Corporate Card",0,V1352))</f>
        <v>0</v>
      </c>
      <c r="AG1352" s="15" t="s">
        <v>181</v>
      </c>
      <c r="AH1352" s="16">
        <v>45820</v>
      </c>
      <c r="AI1352" s="16"/>
      <c r="AJ1352" s="16"/>
      <c r="AK1352" s="17" t="str">
        <f>IF(AJ1352="","",AJ1352-AH1352)</f>
        <v/>
      </c>
    </row>
    <row r="1353" spans="1:37">
      <c r="A1353" s="2" t="s">
        <v>1782</v>
      </c>
      <c r="B1353" s="2" t="s">
        <v>189</v>
      </c>
      <c r="C1353" s="2" t="s">
        <v>190</v>
      </c>
      <c r="D1353" s="2" t="s">
        <v>171</v>
      </c>
      <c r="E1353" s="2" t="s">
        <v>191</v>
      </c>
      <c r="F1353" s="2" t="s">
        <v>173</v>
      </c>
      <c r="G1353" s="2" t="s">
        <v>1745</v>
      </c>
      <c r="H1353" s="2" t="s">
        <v>348</v>
      </c>
      <c r="I1353" s="2" t="s">
        <v>567</v>
      </c>
      <c r="J1353" s="2" t="s">
        <v>434</v>
      </c>
      <c r="K1353" s="9">
        <v>45805</v>
      </c>
      <c r="L1353" s="9">
        <v>45812</v>
      </c>
      <c r="M1353" s="9">
        <v>45808</v>
      </c>
      <c r="N1353" s="2" t="s">
        <v>1595</v>
      </c>
      <c r="O1353" s="2" t="s">
        <v>58</v>
      </c>
      <c r="P1353" s="2" t="s">
        <v>142</v>
      </c>
      <c r="Q1353" s="2" t="s">
        <v>203</v>
      </c>
      <c r="R1353" s="2" t="s">
        <v>128</v>
      </c>
      <c r="S1353" s="2" t="s">
        <v>436</v>
      </c>
      <c r="T1353" s="10">
        <v>3431</v>
      </c>
      <c r="U1353" s="11">
        <v>1.1780000000000001E-2</v>
      </c>
      <c r="V1353" s="12">
        <f>T1353*U1353</f>
        <v>40.417180000000002</v>
      </c>
      <c r="W1353" s="13">
        <v>0.18</v>
      </c>
      <c r="X1353" s="12">
        <f>V1353-(V1353/(1+W1353))</f>
        <v>6.1653325423728802</v>
      </c>
      <c r="Y1353" s="12">
        <f>V1353-X1353</f>
        <v>34.251847457627122</v>
      </c>
      <c r="Z1353" s="14">
        <v>60</v>
      </c>
      <c r="AA1353" s="2" t="str">
        <f>IF(V1353&gt;Z1353,"Yes","No")</f>
        <v>No</v>
      </c>
      <c r="AB1353" s="12">
        <f>V1353-Z1353</f>
        <v>-19.582819999999998</v>
      </c>
      <c r="AC1353" s="15" t="s">
        <v>130</v>
      </c>
      <c r="AD1353" s="15" t="s">
        <v>131</v>
      </c>
      <c r="AE1353" s="15" t="s">
        <v>514</v>
      </c>
      <c r="AF1353" s="12">
        <f>IF(AG1353="Rejected",0,IF(R1353="Corporate Card",0,V1353))</f>
        <v>0</v>
      </c>
      <c r="AG1353" s="15" t="s">
        <v>804</v>
      </c>
      <c r="AH1353" s="16">
        <v>45818</v>
      </c>
      <c r="AI1353" s="16"/>
      <c r="AJ1353" s="16"/>
      <c r="AK1353" s="17" t="str">
        <f>IF(AJ1353="","",AJ1353-AH1353)</f>
        <v/>
      </c>
    </row>
    <row r="1354" spans="1:37">
      <c r="A1354" s="2" t="s">
        <v>1783</v>
      </c>
      <c r="B1354" s="2" t="s">
        <v>189</v>
      </c>
      <c r="C1354" s="2" t="s">
        <v>190</v>
      </c>
      <c r="D1354" s="2" t="s">
        <v>171</v>
      </c>
      <c r="E1354" s="2" t="s">
        <v>191</v>
      </c>
      <c r="F1354" s="2" t="s">
        <v>173</v>
      </c>
      <c r="G1354" s="2" t="s">
        <v>1745</v>
      </c>
      <c r="H1354" s="2" t="s">
        <v>348</v>
      </c>
      <c r="I1354" s="2" t="s">
        <v>567</v>
      </c>
      <c r="J1354" s="2" t="s">
        <v>434</v>
      </c>
      <c r="K1354" s="9">
        <v>45805</v>
      </c>
      <c r="L1354" s="9">
        <v>45812</v>
      </c>
      <c r="M1354" s="9">
        <v>45808</v>
      </c>
      <c r="N1354" s="2" t="s">
        <v>1595</v>
      </c>
      <c r="O1354" s="2" t="s">
        <v>68</v>
      </c>
      <c r="P1354" s="2" t="s">
        <v>282</v>
      </c>
      <c r="Q1354" s="2" t="s">
        <v>283</v>
      </c>
      <c r="R1354" s="2" t="s">
        <v>128</v>
      </c>
      <c r="S1354" s="2" t="s">
        <v>436</v>
      </c>
      <c r="T1354" s="10">
        <v>3023</v>
      </c>
      <c r="U1354" s="11">
        <v>1.1780000000000001E-2</v>
      </c>
      <c r="V1354" s="12">
        <f>T1354*U1354</f>
        <v>35.610939999999999</v>
      </c>
      <c r="W1354" s="13">
        <v>0.18</v>
      </c>
      <c r="X1354" s="12">
        <f>V1354-(V1354/(1+W1354))</f>
        <v>5.4321772881355912</v>
      </c>
      <c r="Y1354" s="12">
        <f>V1354-X1354</f>
        <v>30.178762711864408</v>
      </c>
      <c r="Z1354" s="14">
        <v>30</v>
      </c>
      <c r="AA1354" s="2" t="str">
        <f>IF(V1354&gt;Z1354,"Yes","No")</f>
        <v>Yes</v>
      </c>
      <c r="AB1354" s="12">
        <f>V1354-Z1354</f>
        <v>5.6109399999999994</v>
      </c>
      <c r="AC1354" s="15" t="s">
        <v>130</v>
      </c>
      <c r="AD1354" s="15" t="s">
        <v>131</v>
      </c>
      <c r="AE1354" s="15" t="s">
        <v>514</v>
      </c>
      <c r="AF1354" s="12">
        <f>IF(AG1354="Rejected",0,IF(R1354="Corporate Card",0,V1354))</f>
        <v>0</v>
      </c>
      <c r="AG1354" s="15" t="s">
        <v>804</v>
      </c>
      <c r="AH1354" s="16">
        <v>45818</v>
      </c>
      <c r="AI1354" s="16"/>
      <c r="AJ1354" s="16"/>
      <c r="AK1354" s="17" t="str">
        <f>IF(AJ1354="","",AJ1354-AH1354)</f>
        <v/>
      </c>
    </row>
    <row r="1355" spans="1:37">
      <c r="A1355" s="2" t="s">
        <v>1784</v>
      </c>
      <c r="B1355" s="2" t="s">
        <v>189</v>
      </c>
      <c r="C1355" s="2" t="s">
        <v>190</v>
      </c>
      <c r="D1355" s="2" t="s">
        <v>171</v>
      </c>
      <c r="E1355" s="2" t="s">
        <v>191</v>
      </c>
      <c r="F1355" s="2" t="s">
        <v>173</v>
      </c>
      <c r="G1355" s="2" t="s">
        <v>1745</v>
      </c>
      <c r="H1355" s="2" t="s">
        <v>348</v>
      </c>
      <c r="I1355" s="2" t="s">
        <v>567</v>
      </c>
      <c r="J1355" s="2" t="s">
        <v>434</v>
      </c>
      <c r="K1355" s="9">
        <v>45805</v>
      </c>
      <c r="L1355" s="9">
        <v>45812</v>
      </c>
      <c r="M1355" s="9">
        <v>45808</v>
      </c>
      <c r="N1355" s="2" t="s">
        <v>1595</v>
      </c>
      <c r="O1355" s="2" t="s">
        <v>54</v>
      </c>
      <c r="P1355" s="2" t="s">
        <v>139</v>
      </c>
      <c r="Q1355" s="2" t="s">
        <v>140</v>
      </c>
      <c r="R1355" s="2" t="s">
        <v>128</v>
      </c>
      <c r="S1355" s="2" t="s">
        <v>436</v>
      </c>
      <c r="T1355" s="10">
        <v>2037</v>
      </c>
      <c r="U1355" s="11">
        <v>1.1780000000000001E-2</v>
      </c>
      <c r="V1355" s="12">
        <f>T1355*U1355</f>
        <v>23.99586</v>
      </c>
      <c r="W1355" s="13">
        <v>0.18</v>
      </c>
      <c r="X1355" s="12">
        <f>V1355-(V1355/(1+W1355))</f>
        <v>3.6603854237288118</v>
      </c>
      <c r="Y1355" s="12">
        <f>V1355-X1355</f>
        <v>20.335474576271189</v>
      </c>
      <c r="Z1355" s="14">
        <v>25</v>
      </c>
      <c r="AA1355" s="2" t="str">
        <f>IF(V1355&gt;Z1355,"Yes","No")</f>
        <v>No</v>
      </c>
      <c r="AB1355" s="12">
        <f>V1355-Z1355</f>
        <v>-1.0041399999999996</v>
      </c>
      <c r="AC1355" s="15" t="s">
        <v>130</v>
      </c>
      <c r="AD1355" s="15" t="s">
        <v>131</v>
      </c>
      <c r="AE1355" s="15" t="s">
        <v>514</v>
      </c>
      <c r="AF1355" s="12">
        <f>IF(AG1355="Rejected",0,IF(R1355="Corporate Card",0,V1355))</f>
        <v>0</v>
      </c>
      <c r="AG1355" s="15" t="s">
        <v>804</v>
      </c>
      <c r="AH1355" s="16">
        <v>45818</v>
      </c>
      <c r="AI1355" s="16"/>
      <c r="AJ1355" s="16"/>
      <c r="AK1355" s="17" t="str">
        <f>IF(AJ1355="","",AJ1355-AH1355)</f>
        <v/>
      </c>
    </row>
    <row r="1356" spans="1:37">
      <c r="A1356" s="2" t="s">
        <v>1785</v>
      </c>
      <c r="B1356" s="2" t="s">
        <v>189</v>
      </c>
      <c r="C1356" s="2" t="s">
        <v>190</v>
      </c>
      <c r="D1356" s="2" t="s">
        <v>171</v>
      </c>
      <c r="E1356" s="2" t="s">
        <v>191</v>
      </c>
      <c r="F1356" s="2" t="s">
        <v>173</v>
      </c>
      <c r="G1356" s="2" t="s">
        <v>1745</v>
      </c>
      <c r="H1356" s="2" t="s">
        <v>348</v>
      </c>
      <c r="I1356" s="2" t="s">
        <v>567</v>
      </c>
      <c r="J1356" s="2" t="s">
        <v>434</v>
      </c>
      <c r="K1356" s="9">
        <v>45805</v>
      </c>
      <c r="L1356" s="9">
        <v>45812</v>
      </c>
      <c r="M1356" s="9">
        <v>45808</v>
      </c>
      <c r="N1356" s="2" t="s">
        <v>1595</v>
      </c>
      <c r="O1356" s="2" t="s">
        <v>56</v>
      </c>
      <c r="P1356" s="2" t="s">
        <v>245</v>
      </c>
      <c r="Q1356" s="2" t="s">
        <v>166</v>
      </c>
      <c r="R1356" s="2" t="s">
        <v>149</v>
      </c>
      <c r="S1356" s="2" t="s">
        <v>436</v>
      </c>
      <c r="T1356" s="10">
        <v>4941</v>
      </c>
      <c r="U1356" s="11">
        <v>1.1780000000000001E-2</v>
      </c>
      <c r="V1356" s="12">
        <f>T1356*U1356</f>
        <v>58.204980000000006</v>
      </c>
      <c r="W1356" s="13">
        <v>0.18</v>
      </c>
      <c r="X1356" s="12">
        <f>V1356-(V1356/(1+W1356))</f>
        <v>8.8787257627118592</v>
      </c>
      <c r="Y1356" s="12">
        <f>V1356-X1356</f>
        <v>49.326254237288147</v>
      </c>
      <c r="Z1356" s="14">
        <v>75</v>
      </c>
      <c r="AA1356" s="2" t="str">
        <f>IF(V1356&gt;Z1356,"Yes","No")</f>
        <v>No</v>
      </c>
      <c r="AB1356" s="12">
        <f>V1356-Z1356</f>
        <v>-16.795019999999994</v>
      </c>
      <c r="AC1356" s="15" t="s">
        <v>130</v>
      </c>
      <c r="AD1356" s="15" t="s">
        <v>131</v>
      </c>
      <c r="AE1356" s="15" t="s">
        <v>514</v>
      </c>
      <c r="AF1356" s="12">
        <f>IF(AG1356="Rejected",0,IF(R1356="Corporate Card",0,V1356))</f>
        <v>0</v>
      </c>
      <c r="AG1356" s="15" t="s">
        <v>804</v>
      </c>
      <c r="AH1356" s="16">
        <v>45818</v>
      </c>
      <c r="AI1356" s="16"/>
      <c r="AJ1356" s="16"/>
      <c r="AK1356" s="17" t="str">
        <f>IF(AJ1356="","",AJ1356-AH1356)</f>
        <v/>
      </c>
    </row>
    <row r="1357" spans="1:37">
      <c r="A1357" s="2" t="s">
        <v>1786</v>
      </c>
      <c r="B1357" s="2" t="s">
        <v>189</v>
      </c>
      <c r="C1357" s="2" t="s">
        <v>190</v>
      </c>
      <c r="D1357" s="2" t="s">
        <v>171</v>
      </c>
      <c r="E1357" s="2" t="s">
        <v>191</v>
      </c>
      <c r="F1357" s="2" t="s">
        <v>173</v>
      </c>
      <c r="G1357" s="2" t="s">
        <v>1745</v>
      </c>
      <c r="H1357" s="2" t="s">
        <v>348</v>
      </c>
      <c r="I1357" s="2" t="s">
        <v>567</v>
      </c>
      <c r="J1357" s="2" t="s">
        <v>434</v>
      </c>
      <c r="K1357" s="9">
        <v>45805</v>
      </c>
      <c r="L1357" s="9">
        <v>45812</v>
      </c>
      <c r="M1357" s="9">
        <v>45808</v>
      </c>
      <c r="N1357" s="2" t="s">
        <v>1595</v>
      </c>
      <c r="O1357" s="2" t="s">
        <v>55</v>
      </c>
      <c r="P1357" s="2" t="s">
        <v>139</v>
      </c>
      <c r="Q1357" s="2" t="s">
        <v>187</v>
      </c>
      <c r="R1357" s="2" t="s">
        <v>149</v>
      </c>
      <c r="S1357" s="2" t="s">
        <v>436</v>
      </c>
      <c r="T1357" s="10">
        <v>3245</v>
      </c>
      <c r="U1357" s="11">
        <v>1.1780000000000001E-2</v>
      </c>
      <c r="V1357" s="12">
        <f>T1357*U1357</f>
        <v>38.226100000000002</v>
      </c>
      <c r="W1357" s="13">
        <v>0.18</v>
      </c>
      <c r="X1357" s="12">
        <f>V1357-(V1357/(1+W1357))</f>
        <v>5.8310999999999993</v>
      </c>
      <c r="Y1357" s="12">
        <f>V1357-X1357</f>
        <v>32.395000000000003</v>
      </c>
      <c r="Z1357" s="14">
        <v>35</v>
      </c>
      <c r="AA1357" s="2" t="str">
        <f>IF(V1357&gt;Z1357,"Yes","No")</f>
        <v>Yes</v>
      </c>
      <c r="AB1357" s="12">
        <f>V1357-Z1357</f>
        <v>3.2261000000000024</v>
      </c>
      <c r="AC1357" s="15" t="s">
        <v>130</v>
      </c>
      <c r="AD1357" s="15" t="s">
        <v>131</v>
      </c>
      <c r="AE1357" s="15" t="s">
        <v>514</v>
      </c>
      <c r="AF1357" s="12">
        <f>IF(AG1357="Rejected",0,IF(R1357="Corporate Card",0,V1357))</f>
        <v>0</v>
      </c>
      <c r="AG1357" s="15" t="s">
        <v>804</v>
      </c>
      <c r="AH1357" s="16">
        <v>45818</v>
      </c>
      <c r="AI1357" s="16"/>
      <c r="AJ1357" s="16"/>
      <c r="AK1357" s="17" t="str">
        <f>IF(AJ1357="","",AJ1357-AH1357)</f>
        <v/>
      </c>
    </row>
    <row r="1358" spans="1:37">
      <c r="A1358" s="2" t="s">
        <v>1787</v>
      </c>
      <c r="B1358" s="2" t="s">
        <v>1749</v>
      </c>
      <c r="C1358" s="2" t="s">
        <v>1750</v>
      </c>
      <c r="D1358" s="2" t="s">
        <v>118</v>
      </c>
      <c r="E1358" s="2" t="s">
        <v>119</v>
      </c>
      <c r="F1358" s="2" t="s">
        <v>120</v>
      </c>
      <c r="G1358" s="2" t="s">
        <v>1751</v>
      </c>
      <c r="H1358" s="2" t="s">
        <v>417</v>
      </c>
      <c r="I1358" s="2" t="s">
        <v>175</v>
      </c>
      <c r="J1358" s="2" t="s">
        <v>176</v>
      </c>
      <c r="K1358" s="9">
        <v>45805</v>
      </c>
      <c r="L1358" s="9">
        <v>45810</v>
      </c>
      <c r="M1358" s="9">
        <v>45808</v>
      </c>
      <c r="N1358" s="2" t="s">
        <v>1595</v>
      </c>
      <c r="O1358" s="2" t="s">
        <v>68</v>
      </c>
      <c r="P1358" s="2" t="s">
        <v>282</v>
      </c>
      <c r="Q1358" s="2" t="s">
        <v>283</v>
      </c>
      <c r="R1358" s="2" t="s">
        <v>137</v>
      </c>
      <c r="S1358" s="2" t="s">
        <v>179</v>
      </c>
      <c r="T1358" s="10">
        <v>179.17</v>
      </c>
      <c r="U1358" s="11">
        <v>0.18099999999999999</v>
      </c>
      <c r="V1358" s="12">
        <f>T1358*U1358</f>
        <v>32.429769999999998</v>
      </c>
      <c r="W1358" s="13">
        <v>0.17</v>
      </c>
      <c r="X1358" s="12">
        <f>V1358-(V1358/(1+W1358))</f>
        <v>4.712017863247862</v>
      </c>
      <c r="Y1358" s="12">
        <f>V1358-X1358</f>
        <v>27.717752136752136</v>
      </c>
      <c r="Z1358" s="14">
        <v>30</v>
      </c>
      <c r="AA1358" s="2" t="str">
        <f>IF(V1358&gt;Z1358,"Yes","No")</f>
        <v>Yes</v>
      </c>
      <c r="AB1358" s="12">
        <f>V1358-Z1358</f>
        <v>2.4297699999999978</v>
      </c>
      <c r="AC1358" s="15" t="s">
        <v>131</v>
      </c>
      <c r="AD1358" s="15" t="s">
        <v>131</v>
      </c>
      <c r="AE1358" s="15" t="s">
        <v>858</v>
      </c>
      <c r="AF1358" s="12">
        <f>IF(AG1358="Rejected",0,IF(R1358="Corporate Card",0,V1358))</f>
        <v>32.429769999999998</v>
      </c>
      <c r="AG1358" s="15" t="s">
        <v>181</v>
      </c>
      <c r="AH1358" s="16">
        <v>45820</v>
      </c>
      <c r="AI1358" s="16"/>
      <c r="AJ1358" s="16"/>
      <c r="AK1358" s="17" t="str">
        <f>IF(AJ1358="","",AJ1358-AH1358)</f>
        <v/>
      </c>
    </row>
    <row r="1359" spans="1:37">
      <c r="A1359" s="2" t="s">
        <v>1788</v>
      </c>
      <c r="B1359" s="2" t="s">
        <v>1749</v>
      </c>
      <c r="C1359" s="2" t="s">
        <v>1750</v>
      </c>
      <c r="D1359" s="2" t="s">
        <v>118</v>
      </c>
      <c r="E1359" s="2" t="s">
        <v>119</v>
      </c>
      <c r="F1359" s="2" t="s">
        <v>120</v>
      </c>
      <c r="G1359" s="2" t="s">
        <v>1751</v>
      </c>
      <c r="H1359" s="2" t="s">
        <v>417</v>
      </c>
      <c r="I1359" s="2" t="s">
        <v>175</v>
      </c>
      <c r="J1359" s="2" t="s">
        <v>176</v>
      </c>
      <c r="K1359" s="9">
        <v>45805</v>
      </c>
      <c r="L1359" s="9">
        <v>45810</v>
      </c>
      <c r="M1359" s="9">
        <v>45808</v>
      </c>
      <c r="N1359" s="2" t="s">
        <v>1595</v>
      </c>
      <c r="O1359" s="2" t="s">
        <v>56</v>
      </c>
      <c r="P1359" s="2" t="s">
        <v>245</v>
      </c>
      <c r="Q1359" s="2" t="s">
        <v>166</v>
      </c>
      <c r="R1359" s="2" t="s">
        <v>137</v>
      </c>
      <c r="S1359" s="2" t="s">
        <v>179</v>
      </c>
      <c r="T1359" s="10">
        <v>148.53</v>
      </c>
      <c r="U1359" s="11">
        <v>0.18099999999999999</v>
      </c>
      <c r="V1359" s="12">
        <f>T1359*U1359</f>
        <v>26.883929999999999</v>
      </c>
      <c r="W1359" s="13">
        <v>0.17</v>
      </c>
      <c r="X1359" s="12">
        <f>V1359-(V1359/(1+W1359))</f>
        <v>3.9062120512820506</v>
      </c>
      <c r="Y1359" s="12">
        <f>V1359-X1359</f>
        <v>22.977717948717949</v>
      </c>
      <c r="Z1359" s="14">
        <v>75</v>
      </c>
      <c r="AA1359" s="2" t="str">
        <f>IF(V1359&gt;Z1359,"Yes","No")</f>
        <v>No</v>
      </c>
      <c r="AB1359" s="12">
        <f>V1359-Z1359</f>
        <v>-48.116070000000001</v>
      </c>
      <c r="AC1359" s="15" t="s">
        <v>130</v>
      </c>
      <c r="AD1359" s="15" t="s">
        <v>131</v>
      </c>
      <c r="AE1359" s="15" t="s">
        <v>858</v>
      </c>
      <c r="AF1359" s="12">
        <f>IF(AG1359="Rejected",0,IF(R1359="Corporate Card",0,V1359))</f>
        <v>26.883929999999999</v>
      </c>
      <c r="AG1359" s="15" t="s">
        <v>181</v>
      </c>
      <c r="AH1359" s="16">
        <v>45820</v>
      </c>
      <c r="AI1359" s="16"/>
      <c r="AJ1359" s="16"/>
      <c r="AK1359" s="17" t="str">
        <f>IF(AJ1359="","",AJ1359-AH1359)</f>
        <v/>
      </c>
    </row>
    <row r="1360" spans="1:37">
      <c r="A1360" s="2" t="s">
        <v>1789</v>
      </c>
      <c r="B1360" s="2" t="s">
        <v>189</v>
      </c>
      <c r="C1360" s="2" t="s">
        <v>190</v>
      </c>
      <c r="D1360" s="2" t="s">
        <v>171</v>
      </c>
      <c r="E1360" s="2" t="s">
        <v>191</v>
      </c>
      <c r="F1360" s="2" t="s">
        <v>173</v>
      </c>
      <c r="G1360" s="2" t="s">
        <v>1745</v>
      </c>
      <c r="H1360" s="2" t="s">
        <v>348</v>
      </c>
      <c r="I1360" s="2" t="s">
        <v>567</v>
      </c>
      <c r="J1360" s="2" t="s">
        <v>434</v>
      </c>
      <c r="K1360" s="9">
        <v>45805</v>
      </c>
      <c r="L1360" s="9">
        <v>45812</v>
      </c>
      <c r="M1360" s="9">
        <v>45809</v>
      </c>
      <c r="N1360" s="2" t="s">
        <v>1790</v>
      </c>
      <c r="O1360" s="2" t="s">
        <v>58</v>
      </c>
      <c r="P1360" s="2" t="s">
        <v>142</v>
      </c>
      <c r="Q1360" s="2" t="s">
        <v>203</v>
      </c>
      <c r="R1360" s="2" t="s">
        <v>128</v>
      </c>
      <c r="S1360" s="2" t="s">
        <v>436</v>
      </c>
      <c r="T1360" s="10">
        <v>1831</v>
      </c>
      <c r="U1360" s="11">
        <v>1.1780000000000001E-2</v>
      </c>
      <c r="V1360" s="12">
        <f>T1360*U1360</f>
        <v>21.569179999999999</v>
      </c>
      <c r="W1360" s="13">
        <v>0.18</v>
      </c>
      <c r="X1360" s="12">
        <f>V1360-(V1360/(1+W1360))</f>
        <v>3.2902138983050833</v>
      </c>
      <c r="Y1360" s="12">
        <f>V1360-X1360</f>
        <v>18.278966101694916</v>
      </c>
      <c r="Z1360" s="14">
        <v>60</v>
      </c>
      <c r="AA1360" s="2" t="str">
        <f>IF(V1360&gt;Z1360,"Yes","No")</f>
        <v>No</v>
      </c>
      <c r="AB1360" s="12">
        <f>V1360-Z1360</f>
        <v>-38.430819999999997</v>
      </c>
      <c r="AC1360" s="15" t="s">
        <v>130</v>
      </c>
      <c r="AD1360" s="15" t="s">
        <v>131</v>
      </c>
      <c r="AE1360" s="15" t="s">
        <v>514</v>
      </c>
      <c r="AF1360" s="12">
        <f>IF(AG1360="Rejected",0,IF(R1360="Corporate Card",0,V1360))</f>
        <v>0</v>
      </c>
      <c r="AG1360" s="15" t="s">
        <v>804</v>
      </c>
      <c r="AH1360" s="16">
        <v>45818</v>
      </c>
      <c r="AI1360" s="16"/>
      <c r="AJ1360" s="16"/>
      <c r="AK1360" s="17" t="str">
        <f>IF(AJ1360="","",AJ1360-AH1360)</f>
        <v/>
      </c>
    </row>
    <row r="1361" spans="1:37">
      <c r="A1361" s="2" t="s">
        <v>1791</v>
      </c>
      <c r="B1361" s="2" t="s">
        <v>189</v>
      </c>
      <c r="C1361" s="2" t="s">
        <v>190</v>
      </c>
      <c r="D1361" s="2" t="s">
        <v>171</v>
      </c>
      <c r="E1361" s="2" t="s">
        <v>191</v>
      </c>
      <c r="F1361" s="2" t="s">
        <v>173</v>
      </c>
      <c r="G1361" s="2" t="s">
        <v>1745</v>
      </c>
      <c r="H1361" s="2" t="s">
        <v>348</v>
      </c>
      <c r="I1361" s="2" t="s">
        <v>567</v>
      </c>
      <c r="J1361" s="2" t="s">
        <v>434</v>
      </c>
      <c r="K1361" s="9">
        <v>45805</v>
      </c>
      <c r="L1361" s="9">
        <v>45812</v>
      </c>
      <c r="M1361" s="9">
        <v>45809</v>
      </c>
      <c r="N1361" s="2" t="s">
        <v>1790</v>
      </c>
      <c r="O1361" s="2" t="s">
        <v>54</v>
      </c>
      <c r="P1361" s="2" t="s">
        <v>139</v>
      </c>
      <c r="Q1361" s="2" t="s">
        <v>148</v>
      </c>
      <c r="R1361" s="2" t="s">
        <v>128</v>
      </c>
      <c r="S1361" s="2" t="s">
        <v>436</v>
      </c>
      <c r="T1361" s="10">
        <v>1361</v>
      </c>
      <c r="U1361" s="11">
        <v>1.1780000000000001E-2</v>
      </c>
      <c r="V1361" s="12">
        <f>T1361*U1361</f>
        <v>16.032579999999999</v>
      </c>
      <c r="W1361" s="13">
        <v>0.18</v>
      </c>
      <c r="X1361" s="12">
        <f>V1361-(V1361/(1+W1361))</f>
        <v>2.4456477966101691</v>
      </c>
      <c r="Y1361" s="12">
        <f>V1361-X1361</f>
        <v>13.58693220338983</v>
      </c>
      <c r="Z1361" s="14">
        <v>25</v>
      </c>
      <c r="AA1361" s="2" t="str">
        <f>IF(V1361&gt;Z1361,"Yes","No")</f>
        <v>No</v>
      </c>
      <c r="AB1361" s="12">
        <f>V1361-Z1361</f>
        <v>-8.9674200000000006</v>
      </c>
      <c r="AC1361" s="15" t="s">
        <v>130</v>
      </c>
      <c r="AD1361" s="15" t="s">
        <v>131</v>
      </c>
      <c r="AE1361" s="15" t="s">
        <v>514</v>
      </c>
      <c r="AF1361" s="12">
        <f>IF(AG1361="Rejected",0,IF(R1361="Corporate Card",0,V1361))</f>
        <v>0</v>
      </c>
      <c r="AG1361" s="15" t="s">
        <v>804</v>
      </c>
      <c r="AH1361" s="16">
        <v>45818</v>
      </c>
      <c r="AI1361" s="16"/>
      <c r="AJ1361" s="16"/>
      <c r="AK1361" s="17" t="str">
        <f>IF(AJ1361="","",AJ1361-AH1361)</f>
        <v/>
      </c>
    </row>
    <row r="1362" spans="1:37">
      <c r="A1362" s="2" t="s">
        <v>1792</v>
      </c>
      <c r="B1362" s="2" t="s">
        <v>189</v>
      </c>
      <c r="C1362" s="2" t="s">
        <v>190</v>
      </c>
      <c r="D1362" s="2" t="s">
        <v>171</v>
      </c>
      <c r="E1362" s="2" t="s">
        <v>191</v>
      </c>
      <c r="F1362" s="2" t="s">
        <v>173</v>
      </c>
      <c r="G1362" s="2" t="s">
        <v>1745</v>
      </c>
      <c r="H1362" s="2" t="s">
        <v>348</v>
      </c>
      <c r="I1362" s="2" t="s">
        <v>567</v>
      </c>
      <c r="J1362" s="2" t="s">
        <v>434</v>
      </c>
      <c r="K1362" s="9">
        <v>45805</v>
      </c>
      <c r="L1362" s="9">
        <v>45812</v>
      </c>
      <c r="M1362" s="9">
        <v>45809</v>
      </c>
      <c r="N1362" s="2" t="s">
        <v>1790</v>
      </c>
      <c r="O1362" s="2" t="s">
        <v>56</v>
      </c>
      <c r="P1362" s="2" t="s">
        <v>151</v>
      </c>
      <c r="Q1362" s="2" t="s">
        <v>166</v>
      </c>
      <c r="R1362" s="2" t="s">
        <v>149</v>
      </c>
      <c r="S1362" s="2" t="s">
        <v>436</v>
      </c>
      <c r="T1362" s="10">
        <v>6333</v>
      </c>
      <c r="U1362" s="11">
        <v>1.1780000000000001E-2</v>
      </c>
      <c r="V1362" s="12">
        <f>T1362*U1362</f>
        <v>74.602739999999997</v>
      </c>
      <c r="W1362" s="13">
        <v>0.18</v>
      </c>
      <c r="X1362" s="12">
        <f>V1362-(V1362/(1+W1362))</f>
        <v>11.380078983050844</v>
      </c>
      <c r="Y1362" s="12">
        <f>V1362-X1362</f>
        <v>63.222661016949154</v>
      </c>
      <c r="Z1362" s="14">
        <v>75</v>
      </c>
      <c r="AA1362" s="2" t="str">
        <f>IF(V1362&gt;Z1362,"Yes","No")</f>
        <v>No</v>
      </c>
      <c r="AB1362" s="12">
        <f>V1362-Z1362</f>
        <v>-0.39726000000000283</v>
      </c>
      <c r="AC1362" s="15" t="s">
        <v>130</v>
      </c>
      <c r="AD1362" s="15" t="s">
        <v>131</v>
      </c>
      <c r="AE1362" s="15" t="s">
        <v>514</v>
      </c>
      <c r="AF1362" s="12">
        <f>IF(AG1362="Rejected",0,IF(R1362="Corporate Card",0,V1362))</f>
        <v>0</v>
      </c>
      <c r="AG1362" s="15" t="s">
        <v>804</v>
      </c>
      <c r="AH1362" s="16">
        <v>45818</v>
      </c>
      <c r="AI1362" s="16"/>
      <c r="AJ1362" s="16"/>
      <c r="AK1362" s="17" t="str">
        <f>IF(AJ1362="","",AJ1362-AH1362)</f>
        <v/>
      </c>
    </row>
    <row r="1363" spans="1:37">
      <c r="A1363" s="2" t="s">
        <v>1793</v>
      </c>
      <c r="B1363" s="2" t="s">
        <v>189</v>
      </c>
      <c r="C1363" s="2" t="s">
        <v>190</v>
      </c>
      <c r="D1363" s="2" t="s">
        <v>171</v>
      </c>
      <c r="E1363" s="2" t="s">
        <v>191</v>
      </c>
      <c r="F1363" s="2" t="s">
        <v>173</v>
      </c>
      <c r="G1363" s="2" t="s">
        <v>1745</v>
      </c>
      <c r="H1363" s="2" t="s">
        <v>348</v>
      </c>
      <c r="I1363" s="2" t="s">
        <v>567</v>
      </c>
      <c r="J1363" s="2" t="s">
        <v>434</v>
      </c>
      <c r="K1363" s="9">
        <v>45805</v>
      </c>
      <c r="L1363" s="9">
        <v>45812</v>
      </c>
      <c r="M1363" s="9">
        <v>45809</v>
      </c>
      <c r="N1363" s="2" t="s">
        <v>1790</v>
      </c>
      <c r="O1363" s="2" t="s">
        <v>55</v>
      </c>
      <c r="P1363" s="2" t="s">
        <v>139</v>
      </c>
      <c r="Q1363" s="2" t="s">
        <v>187</v>
      </c>
      <c r="R1363" s="2" t="s">
        <v>137</v>
      </c>
      <c r="S1363" s="2" t="s">
        <v>436</v>
      </c>
      <c r="T1363" s="10">
        <v>3241</v>
      </c>
      <c r="U1363" s="11">
        <v>1.1780000000000001E-2</v>
      </c>
      <c r="V1363" s="12">
        <f>T1363*U1363</f>
        <v>38.178980000000003</v>
      </c>
      <c r="W1363" s="13">
        <v>0.18</v>
      </c>
      <c r="X1363" s="12">
        <f>V1363-(V1363/(1+W1363))</f>
        <v>5.8239122033898312</v>
      </c>
      <c r="Y1363" s="12">
        <f>V1363-X1363</f>
        <v>32.355067796610172</v>
      </c>
      <c r="Z1363" s="14">
        <v>35</v>
      </c>
      <c r="AA1363" s="2" t="str">
        <f>IF(V1363&gt;Z1363,"Yes","No")</f>
        <v>Yes</v>
      </c>
      <c r="AB1363" s="12">
        <f>V1363-Z1363</f>
        <v>3.1789800000000028</v>
      </c>
      <c r="AC1363" s="15" t="s">
        <v>130</v>
      </c>
      <c r="AD1363" s="15" t="s">
        <v>131</v>
      </c>
      <c r="AE1363" s="15" t="s">
        <v>514</v>
      </c>
      <c r="AF1363" s="12">
        <f>IF(AG1363="Rejected",0,IF(R1363="Corporate Card",0,V1363))</f>
        <v>0</v>
      </c>
      <c r="AG1363" s="15" t="s">
        <v>804</v>
      </c>
      <c r="AH1363" s="16">
        <v>45818</v>
      </c>
      <c r="AI1363" s="16"/>
      <c r="AJ1363" s="16"/>
      <c r="AK1363" s="17" t="str">
        <f>IF(AJ1363="","",AJ1363-AH1363)</f>
        <v/>
      </c>
    </row>
    <row r="1364" spans="1:37">
      <c r="A1364" s="2" t="s">
        <v>1794</v>
      </c>
      <c r="B1364" s="2" t="s">
        <v>1749</v>
      </c>
      <c r="C1364" s="2" t="s">
        <v>1750</v>
      </c>
      <c r="D1364" s="2" t="s">
        <v>118</v>
      </c>
      <c r="E1364" s="2" t="s">
        <v>119</v>
      </c>
      <c r="F1364" s="2" t="s">
        <v>120</v>
      </c>
      <c r="G1364" s="2" t="s">
        <v>1751</v>
      </c>
      <c r="H1364" s="2" t="s">
        <v>417</v>
      </c>
      <c r="I1364" s="2" t="s">
        <v>175</v>
      </c>
      <c r="J1364" s="2" t="s">
        <v>176</v>
      </c>
      <c r="K1364" s="9">
        <v>45805</v>
      </c>
      <c r="L1364" s="9">
        <v>45810</v>
      </c>
      <c r="M1364" s="9">
        <v>45809</v>
      </c>
      <c r="N1364" s="2" t="s">
        <v>1790</v>
      </c>
      <c r="O1364" s="2" t="s">
        <v>54</v>
      </c>
      <c r="P1364" s="2" t="s">
        <v>139</v>
      </c>
      <c r="Q1364" s="2" t="s">
        <v>214</v>
      </c>
      <c r="R1364" s="2" t="s">
        <v>128</v>
      </c>
      <c r="S1364" s="2" t="s">
        <v>179</v>
      </c>
      <c r="T1364" s="10">
        <v>125.54</v>
      </c>
      <c r="U1364" s="11">
        <v>0.18099999999999999</v>
      </c>
      <c r="V1364" s="12">
        <f>T1364*U1364</f>
        <v>22.722740000000002</v>
      </c>
      <c r="W1364" s="13">
        <v>0.17</v>
      </c>
      <c r="X1364" s="12">
        <f>V1364-(V1364/(1+W1364))</f>
        <v>3.3015947008547002</v>
      </c>
      <c r="Y1364" s="12">
        <f>V1364-X1364</f>
        <v>19.421145299145302</v>
      </c>
      <c r="Z1364" s="14">
        <v>25</v>
      </c>
      <c r="AA1364" s="2" t="str">
        <f>IF(V1364&gt;Z1364,"Yes","No")</f>
        <v>No</v>
      </c>
      <c r="AB1364" s="12">
        <f>V1364-Z1364</f>
        <v>-2.2772599999999983</v>
      </c>
      <c r="AC1364" s="15" t="s">
        <v>130</v>
      </c>
      <c r="AD1364" s="15" t="s">
        <v>131</v>
      </c>
      <c r="AE1364" s="15" t="s">
        <v>858</v>
      </c>
      <c r="AF1364" s="12">
        <f>IF(AG1364="Rejected",0,IF(R1364="Corporate Card",0,V1364))</f>
        <v>0</v>
      </c>
      <c r="AG1364" s="15" t="s">
        <v>181</v>
      </c>
      <c r="AH1364" s="16">
        <v>45820</v>
      </c>
      <c r="AI1364" s="16"/>
      <c r="AJ1364" s="16"/>
      <c r="AK1364" s="17" t="str">
        <f>IF(AJ1364="","",AJ1364-AH1364)</f>
        <v/>
      </c>
    </row>
    <row r="1365" spans="1:37">
      <c r="A1365" s="2" t="s">
        <v>1795</v>
      </c>
      <c r="B1365" s="2" t="s">
        <v>1749</v>
      </c>
      <c r="C1365" s="2" t="s">
        <v>1750</v>
      </c>
      <c r="D1365" s="2" t="s">
        <v>118</v>
      </c>
      <c r="E1365" s="2" t="s">
        <v>119</v>
      </c>
      <c r="F1365" s="2" t="s">
        <v>120</v>
      </c>
      <c r="G1365" s="2" t="s">
        <v>1751</v>
      </c>
      <c r="H1365" s="2" t="s">
        <v>417</v>
      </c>
      <c r="I1365" s="2" t="s">
        <v>175</v>
      </c>
      <c r="J1365" s="2" t="s">
        <v>176</v>
      </c>
      <c r="K1365" s="9">
        <v>45805</v>
      </c>
      <c r="L1365" s="9">
        <v>45810</v>
      </c>
      <c r="M1365" s="9">
        <v>45809</v>
      </c>
      <c r="N1365" s="2" t="s">
        <v>1790</v>
      </c>
      <c r="O1365" s="2" t="s">
        <v>56</v>
      </c>
      <c r="P1365" s="2" t="s">
        <v>245</v>
      </c>
      <c r="Q1365" s="2" t="s">
        <v>166</v>
      </c>
      <c r="R1365" s="2" t="s">
        <v>149</v>
      </c>
      <c r="S1365" s="2" t="s">
        <v>179</v>
      </c>
      <c r="T1365" s="10">
        <v>388.14</v>
      </c>
      <c r="U1365" s="11">
        <v>0.18099999999999999</v>
      </c>
      <c r="V1365" s="12">
        <f>T1365*U1365</f>
        <v>70.253339999999994</v>
      </c>
      <c r="W1365" s="13">
        <v>0.17</v>
      </c>
      <c r="X1365" s="12">
        <f>V1365-(V1365/(1+W1365))</f>
        <v>10.20775025641025</v>
      </c>
      <c r="Y1365" s="12">
        <f>V1365-X1365</f>
        <v>60.045589743589744</v>
      </c>
      <c r="Z1365" s="14">
        <v>75</v>
      </c>
      <c r="AA1365" s="2" t="str">
        <f>IF(V1365&gt;Z1365,"Yes","No")</f>
        <v>No</v>
      </c>
      <c r="AB1365" s="12">
        <f>V1365-Z1365</f>
        <v>-4.7466600000000057</v>
      </c>
      <c r="AC1365" s="15" t="s">
        <v>130</v>
      </c>
      <c r="AD1365" s="15" t="s">
        <v>131</v>
      </c>
      <c r="AE1365" s="15" t="s">
        <v>858</v>
      </c>
      <c r="AF1365" s="12">
        <f>IF(AG1365="Rejected",0,IF(R1365="Corporate Card",0,V1365))</f>
        <v>70.253339999999994</v>
      </c>
      <c r="AG1365" s="15" t="s">
        <v>181</v>
      </c>
      <c r="AH1365" s="16">
        <v>45820</v>
      </c>
      <c r="AI1365" s="16"/>
      <c r="AJ1365" s="16"/>
      <c r="AK1365" s="17" t="str">
        <f>IF(AJ1365="","",AJ1365-AH1365)</f>
        <v/>
      </c>
    </row>
    <row r="1366" spans="1:37">
      <c r="A1366" s="2" t="s">
        <v>1796</v>
      </c>
      <c r="B1366" s="2" t="s">
        <v>1749</v>
      </c>
      <c r="C1366" s="2" t="s">
        <v>1750</v>
      </c>
      <c r="D1366" s="2" t="s">
        <v>118</v>
      </c>
      <c r="E1366" s="2" t="s">
        <v>119</v>
      </c>
      <c r="F1366" s="2" t="s">
        <v>120</v>
      </c>
      <c r="G1366" s="2" t="s">
        <v>1751</v>
      </c>
      <c r="H1366" s="2" t="s">
        <v>417</v>
      </c>
      <c r="I1366" s="2" t="s">
        <v>175</v>
      </c>
      <c r="J1366" s="2" t="s">
        <v>176</v>
      </c>
      <c r="K1366" s="9">
        <v>45805</v>
      </c>
      <c r="L1366" s="9">
        <v>45810</v>
      </c>
      <c r="M1366" s="9">
        <v>45809</v>
      </c>
      <c r="N1366" s="2" t="s">
        <v>1790</v>
      </c>
      <c r="O1366" s="2" t="s">
        <v>55</v>
      </c>
      <c r="P1366" s="2" t="s">
        <v>139</v>
      </c>
      <c r="Q1366" s="2" t="s">
        <v>154</v>
      </c>
      <c r="R1366" s="2" t="s">
        <v>128</v>
      </c>
      <c r="S1366" s="2" t="s">
        <v>179</v>
      </c>
      <c r="T1366" s="10">
        <v>160.22999999999999</v>
      </c>
      <c r="U1366" s="11">
        <v>0.18099999999999999</v>
      </c>
      <c r="V1366" s="12">
        <f>T1366*U1366</f>
        <v>29.001629999999999</v>
      </c>
      <c r="W1366" s="13">
        <v>0.17</v>
      </c>
      <c r="X1366" s="12">
        <f>V1366-(V1366/(1+W1366))</f>
        <v>4.2139120512820512</v>
      </c>
      <c r="Y1366" s="12">
        <f>V1366-X1366</f>
        <v>24.787717948717948</v>
      </c>
      <c r="Z1366" s="14">
        <v>35</v>
      </c>
      <c r="AA1366" s="2" t="str">
        <f>IF(V1366&gt;Z1366,"Yes","No")</f>
        <v>No</v>
      </c>
      <c r="AB1366" s="12">
        <f>V1366-Z1366</f>
        <v>-5.9983700000000013</v>
      </c>
      <c r="AC1366" s="15" t="s">
        <v>130</v>
      </c>
      <c r="AD1366" s="15" t="s">
        <v>131</v>
      </c>
      <c r="AE1366" s="15" t="s">
        <v>858</v>
      </c>
      <c r="AF1366" s="12">
        <f>IF(AG1366="Rejected",0,IF(R1366="Corporate Card",0,V1366))</f>
        <v>0</v>
      </c>
      <c r="AG1366" s="15" t="s">
        <v>181</v>
      </c>
      <c r="AH1366" s="16">
        <v>45820</v>
      </c>
      <c r="AI1366" s="16"/>
      <c r="AJ1366" s="16"/>
      <c r="AK1366" s="17" t="str">
        <f>IF(AJ1366="","",AJ1366-AH1366)</f>
        <v/>
      </c>
    </row>
    <row r="1367" spans="1:37">
      <c r="A1367" s="2" t="s">
        <v>1797</v>
      </c>
      <c r="B1367" s="2" t="s">
        <v>189</v>
      </c>
      <c r="C1367" s="2" t="s">
        <v>190</v>
      </c>
      <c r="D1367" s="2" t="s">
        <v>171</v>
      </c>
      <c r="E1367" s="2" t="s">
        <v>191</v>
      </c>
      <c r="F1367" s="2" t="s">
        <v>173</v>
      </c>
      <c r="G1367" s="2" t="s">
        <v>1745</v>
      </c>
      <c r="H1367" s="2" t="s">
        <v>348</v>
      </c>
      <c r="I1367" s="2" t="s">
        <v>567</v>
      </c>
      <c r="J1367" s="2" t="s">
        <v>434</v>
      </c>
      <c r="K1367" s="9">
        <v>45805</v>
      </c>
      <c r="L1367" s="9">
        <v>45812</v>
      </c>
      <c r="M1367" s="9">
        <v>45810</v>
      </c>
      <c r="N1367" s="2" t="s">
        <v>1790</v>
      </c>
      <c r="O1367" s="2" t="s">
        <v>58</v>
      </c>
      <c r="P1367" s="2" t="s">
        <v>142</v>
      </c>
      <c r="Q1367" s="2" t="s">
        <v>203</v>
      </c>
      <c r="R1367" s="2" t="s">
        <v>128</v>
      </c>
      <c r="S1367" s="2" t="s">
        <v>436</v>
      </c>
      <c r="T1367" s="10">
        <v>2875</v>
      </c>
      <c r="U1367" s="11">
        <v>1.1780000000000001E-2</v>
      </c>
      <c r="V1367" s="12">
        <f>T1367*U1367</f>
        <v>33.8675</v>
      </c>
      <c r="W1367" s="13">
        <v>0.18</v>
      </c>
      <c r="X1367" s="12">
        <f>V1367-(V1367/(1+W1367))</f>
        <v>5.1662288135593215</v>
      </c>
      <c r="Y1367" s="12">
        <f>V1367-X1367</f>
        <v>28.701271186440678</v>
      </c>
      <c r="Z1367" s="14">
        <v>60</v>
      </c>
      <c r="AA1367" s="2" t="str">
        <f>IF(V1367&gt;Z1367,"Yes","No")</f>
        <v>No</v>
      </c>
      <c r="AB1367" s="12">
        <f>V1367-Z1367</f>
        <v>-26.1325</v>
      </c>
      <c r="AC1367" s="15" t="s">
        <v>130</v>
      </c>
      <c r="AD1367" s="15" t="s">
        <v>131</v>
      </c>
      <c r="AE1367" s="15" t="s">
        <v>514</v>
      </c>
      <c r="AF1367" s="12">
        <f>IF(AG1367="Rejected",0,IF(R1367="Corporate Card",0,V1367))</f>
        <v>0</v>
      </c>
      <c r="AG1367" s="15" t="s">
        <v>804</v>
      </c>
      <c r="AH1367" s="16">
        <v>45818</v>
      </c>
      <c r="AI1367" s="16"/>
      <c r="AJ1367" s="16"/>
      <c r="AK1367" s="17" t="str">
        <f>IF(AJ1367="","",AJ1367-AH1367)</f>
        <v/>
      </c>
    </row>
    <row r="1368" spans="1:37">
      <c r="A1368" s="2" t="s">
        <v>1798</v>
      </c>
      <c r="B1368" s="2" t="s">
        <v>189</v>
      </c>
      <c r="C1368" s="2" t="s">
        <v>190</v>
      </c>
      <c r="D1368" s="2" t="s">
        <v>171</v>
      </c>
      <c r="E1368" s="2" t="s">
        <v>191</v>
      </c>
      <c r="F1368" s="2" t="s">
        <v>173</v>
      </c>
      <c r="G1368" s="2" t="s">
        <v>1745</v>
      </c>
      <c r="H1368" s="2" t="s">
        <v>348</v>
      </c>
      <c r="I1368" s="2" t="s">
        <v>567</v>
      </c>
      <c r="J1368" s="2" t="s">
        <v>434</v>
      </c>
      <c r="K1368" s="9">
        <v>45805</v>
      </c>
      <c r="L1368" s="9">
        <v>45812</v>
      </c>
      <c r="M1368" s="9">
        <v>45810</v>
      </c>
      <c r="N1368" s="2" t="s">
        <v>1790</v>
      </c>
      <c r="O1368" s="2" t="s">
        <v>54</v>
      </c>
      <c r="P1368" s="2" t="s">
        <v>139</v>
      </c>
      <c r="Q1368" s="2" t="s">
        <v>163</v>
      </c>
      <c r="R1368" s="2" t="s">
        <v>137</v>
      </c>
      <c r="S1368" s="2" t="s">
        <v>436</v>
      </c>
      <c r="T1368" s="10">
        <v>2085</v>
      </c>
      <c r="U1368" s="11">
        <v>1.1780000000000001E-2</v>
      </c>
      <c r="V1368" s="12">
        <f>T1368*U1368</f>
        <v>24.561300000000003</v>
      </c>
      <c r="W1368" s="13">
        <v>0.18</v>
      </c>
      <c r="X1368" s="12">
        <f>V1368-(V1368/(1+W1368))</f>
        <v>3.7466389830508469</v>
      </c>
      <c r="Y1368" s="12">
        <f>V1368-X1368</f>
        <v>20.814661016949156</v>
      </c>
      <c r="Z1368" s="14">
        <v>25</v>
      </c>
      <c r="AA1368" s="2" t="str">
        <f>IF(V1368&gt;Z1368,"Yes","No")</f>
        <v>No</v>
      </c>
      <c r="AB1368" s="12">
        <f>V1368-Z1368</f>
        <v>-0.4386999999999972</v>
      </c>
      <c r="AC1368" s="15" t="s">
        <v>130</v>
      </c>
      <c r="AD1368" s="15" t="s">
        <v>131</v>
      </c>
      <c r="AE1368" s="15" t="s">
        <v>514</v>
      </c>
      <c r="AF1368" s="12">
        <f>IF(AG1368="Rejected",0,IF(R1368="Corporate Card",0,V1368))</f>
        <v>0</v>
      </c>
      <c r="AG1368" s="15" t="s">
        <v>804</v>
      </c>
      <c r="AH1368" s="16">
        <v>45818</v>
      </c>
      <c r="AI1368" s="16"/>
      <c r="AJ1368" s="16"/>
      <c r="AK1368" s="17" t="str">
        <f>IF(AJ1368="","",AJ1368-AH1368)</f>
        <v/>
      </c>
    </row>
    <row r="1369" spans="1:37">
      <c r="A1369" s="2" t="s">
        <v>1799</v>
      </c>
      <c r="B1369" s="2" t="s">
        <v>189</v>
      </c>
      <c r="C1369" s="2" t="s">
        <v>190</v>
      </c>
      <c r="D1369" s="2" t="s">
        <v>171</v>
      </c>
      <c r="E1369" s="2" t="s">
        <v>191</v>
      </c>
      <c r="F1369" s="2" t="s">
        <v>173</v>
      </c>
      <c r="G1369" s="2" t="s">
        <v>1745</v>
      </c>
      <c r="H1369" s="2" t="s">
        <v>348</v>
      </c>
      <c r="I1369" s="2" t="s">
        <v>567</v>
      </c>
      <c r="J1369" s="2" t="s">
        <v>434</v>
      </c>
      <c r="K1369" s="9">
        <v>45805</v>
      </c>
      <c r="L1369" s="9">
        <v>45812</v>
      </c>
      <c r="M1369" s="9">
        <v>45810</v>
      </c>
      <c r="N1369" s="2" t="s">
        <v>1790</v>
      </c>
      <c r="O1369" s="2" t="s">
        <v>55</v>
      </c>
      <c r="P1369" s="2" t="s">
        <v>139</v>
      </c>
      <c r="Q1369" s="2" t="s">
        <v>154</v>
      </c>
      <c r="R1369" s="2" t="s">
        <v>128</v>
      </c>
      <c r="S1369" s="2" t="s">
        <v>436</v>
      </c>
      <c r="T1369" s="10">
        <v>2396</v>
      </c>
      <c r="U1369" s="11">
        <v>1.1780000000000001E-2</v>
      </c>
      <c r="V1369" s="12">
        <f>T1369*U1369</f>
        <v>28.224880000000002</v>
      </c>
      <c r="W1369" s="13">
        <v>0.18</v>
      </c>
      <c r="X1369" s="12">
        <f>V1369-(V1369/(1+W1369))</f>
        <v>4.3054901694915237</v>
      </c>
      <c r="Y1369" s="12">
        <f>V1369-X1369</f>
        <v>23.919389830508479</v>
      </c>
      <c r="Z1369" s="14">
        <v>35</v>
      </c>
      <c r="AA1369" s="2" t="str">
        <f>IF(V1369&gt;Z1369,"Yes","No")</f>
        <v>No</v>
      </c>
      <c r="AB1369" s="12">
        <f>V1369-Z1369</f>
        <v>-6.7751199999999976</v>
      </c>
      <c r="AC1369" s="15" t="s">
        <v>130</v>
      </c>
      <c r="AD1369" s="15" t="s">
        <v>131</v>
      </c>
      <c r="AE1369" s="15" t="s">
        <v>514</v>
      </c>
      <c r="AF1369" s="12">
        <f>IF(AG1369="Rejected",0,IF(R1369="Corporate Card",0,V1369))</f>
        <v>0</v>
      </c>
      <c r="AG1369" s="15" t="s">
        <v>804</v>
      </c>
      <c r="AH1369" s="16">
        <v>45818</v>
      </c>
      <c r="AI1369" s="16"/>
      <c r="AJ1369" s="16"/>
      <c r="AK1369" s="17" t="str">
        <f>IF(AJ1369="","",AJ1369-AH1369)</f>
        <v/>
      </c>
    </row>
    <row r="1370" spans="1:37">
      <c r="A1370" s="2" t="s">
        <v>1800</v>
      </c>
      <c r="B1370" s="2" t="s">
        <v>1749</v>
      </c>
      <c r="C1370" s="2" t="s">
        <v>1750</v>
      </c>
      <c r="D1370" s="2" t="s">
        <v>118</v>
      </c>
      <c r="E1370" s="2" t="s">
        <v>119</v>
      </c>
      <c r="F1370" s="2" t="s">
        <v>120</v>
      </c>
      <c r="G1370" s="2" t="s">
        <v>1751</v>
      </c>
      <c r="H1370" s="2" t="s">
        <v>417</v>
      </c>
      <c r="I1370" s="2" t="s">
        <v>175</v>
      </c>
      <c r="J1370" s="2" t="s">
        <v>176</v>
      </c>
      <c r="K1370" s="9">
        <v>45805</v>
      </c>
      <c r="L1370" s="9">
        <v>45810</v>
      </c>
      <c r="M1370" s="9">
        <v>45810</v>
      </c>
      <c r="N1370" s="2" t="s">
        <v>1790</v>
      </c>
      <c r="O1370" s="2" t="s">
        <v>58</v>
      </c>
      <c r="P1370" s="2" t="s">
        <v>142</v>
      </c>
      <c r="Q1370" s="2" t="s">
        <v>203</v>
      </c>
      <c r="R1370" s="2" t="s">
        <v>149</v>
      </c>
      <c r="S1370" s="2" t="s">
        <v>179</v>
      </c>
      <c r="T1370" s="10">
        <v>278.99</v>
      </c>
      <c r="U1370" s="11">
        <v>0.18099999999999999</v>
      </c>
      <c r="V1370" s="12">
        <f>T1370*U1370</f>
        <v>50.497190000000003</v>
      </c>
      <c r="W1370" s="13">
        <v>0.17</v>
      </c>
      <c r="X1370" s="12">
        <f>V1370-(V1370/(1+W1370))</f>
        <v>7.3371985470085477</v>
      </c>
      <c r="Y1370" s="12">
        <f>V1370-X1370</f>
        <v>43.159991452991456</v>
      </c>
      <c r="Z1370" s="14">
        <v>60</v>
      </c>
      <c r="AA1370" s="2" t="str">
        <f>IF(V1370&gt;Z1370,"Yes","No")</f>
        <v>No</v>
      </c>
      <c r="AB1370" s="12">
        <f>V1370-Z1370</f>
        <v>-9.5028099999999966</v>
      </c>
      <c r="AC1370" s="15" t="s">
        <v>130</v>
      </c>
      <c r="AD1370" s="15" t="s">
        <v>131</v>
      </c>
      <c r="AE1370" s="15" t="s">
        <v>858</v>
      </c>
      <c r="AF1370" s="12">
        <f>IF(AG1370="Rejected",0,IF(R1370="Corporate Card",0,V1370))</f>
        <v>50.497190000000003</v>
      </c>
      <c r="AG1370" s="15" t="s">
        <v>181</v>
      </c>
      <c r="AH1370" s="16">
        <v>45820</v>
      </c>
      <c r="AI1370" s="16"/>
      <c r="AJ1370" s="16"/>
      <c r="AK1370" s="17" t="str">
        <f>IF(AJ1370="","",AJ1370-AH1370)</f>
        <v/>
      </c>
    </row>
    <row r="1371" spans="1:37">
      <c r="A1371" s="2" t="s">
        <v>1801</v>
      </c>
      <c r="B1371" s="2" t="s">
        <v>1749</v>
      </c>
      <c r="C1371" s="2" t="s">
        <v>1750</v>
      </c>
      <c r="D1371" s="2" t="s">
        <v>118</v>
      </c>
      <c r="E1371" s="2" t="s">
        <v>119</v>
      </c>
      <c r="F1371" s="2" t="s">
        <v>120</v>
      </c>
      <c r="G1371" s="2" t="s">
        <v>1751</v>
      </c>
      <c r="H1371" s="2" t="s">
        <v>417</v>
      </c>
      <c r="I1371" s="2" t="s">
        <v>175</v>
      </c>
      <c r="J1371" s="2" t="s">
        <v>176</v>
      </c>
      <c r="K1371" s="9">
        <v>45805</v>
      </c>
      <c r="L1371" s="9">
        <v>45810</v>
      </c>
      <c r="M1371" s="9">
        <v>45810</v>
      </c>
      <c r="N1371" s="2" t="s">
        <v>1790</v>
      </c>
      <c r="O1371" s="2" t="s">
        <v>54</v>
      </c>
      <c r="P1371" s="2" t="s">
        <v>139</v>
      </c>
      <c r="Q1371" s="2" t="s">
        <v>163</v>
      </c>
      <c r="R1371" s="2" t="s">
        <v>149</v>
      </c>
      <c r="S1371" s="2" t="s">
        <v>179</v>
      </c>
      <c r="T1371" s="10">
        <v>199.71</v>
      </c>
      <c r="U1371" s="11">
        <v>0.18099999999999999</v>
      </c>
      <c r="V1371" s="12">
        <f>T1371*U1371</f>
        <v>36.147509999999997</v>
      </c>
      <c r="W1371" s="13">
        <v>0.17</v>
      </c>
      <c r="X1371" s="12">
        <f>V1371-(V1371/(1+W1371))</f>
        <v>5.2522023076923041</v>
      </c>
      <c r="Y1371" s="12">
        <f>V1371-X1371</f>
        <v>30.895307692307693</v>
      </c>
      <c r="Z1371" s="14">
        <v>25</v>
      </c>
      <c r="AA1371" s="2" t="str">
        <f>IF(V1371&gt;Z1371,"Yes","No")</f>
        <v>Yes</v>
      </c>
      <c r="AB1371" s="12">
        <f>V1371-Z1371</f>
        <v>11.147509999999997</v>
      </c>
      <c r="AC1371" s="15" t="s">
        <v>130</v>
      </c>
      <c r="AD1371" s="15" t="s">
        <v>131</v>
      </c>
      <c r="AE1371" s="15" t="s">
        <v>858</v>
      </c>
      <c r="AF1371" s="12">
        <f>IF(AG1371="Rejected",0,IF(R1371="Corporate Card",0,V1371))</f>
        <v>36.147509999999997</v>
      </c>
      <c r="AG1371" s="15" t="s">
        <v>181</v>
      </c>
      <c r="AH1371" s="16">
        <v>45820</v>
      </c>
      <c r="AI1371" s="16"/>
      <c r="AJ1371" s="16"/>
      <c r="AK1371" s="17" t="str">
        <f>IF(AJ1371="","",AJ1371-AH1371)</f>
        <v/>
      </c>
    </row>
    <row r="1372" spans="1:37">
      <c r="A1372" s="2" t="s">
        <v>1802</v>
      </c>
      <c r="B1372" s="2" t="s">
        <v>1749</v>
      </c>
      <c r="C1372" s="2" t="s">
        <v>1750</v>
      </c>
      <c r="D1372" s="2" t="s">
        <v>118</v>
      </c>
      <c r="E1372" s="2" t="s">
        <v>119</v>
      </c>
      <c r="F1372" s="2" t="s">
        <v>120</v>
      </c>
      <c r="G1372" s="2" t="s">
        <v>1751</v>
      </c>
      <c r="H1372" s="2" t="s">
        <v>417</v>
      </c>
      <c r="I1372" s="2" t="s">
        <v>175</v>
      </c>
      <c r="J1372" s="2" t="s">
        <v>176</v>
      </c>
      <c r="K1372" s="9">
        <v>45805</v>
      </c>
      <c r="L1372" s="9">
        <v>45810</v>
      </c>
      <c r="M1372" s="9">
        <v>45810</v>
      </c>
      <c r="N1372" s="2" t="s">
        <v>1790</v>
      </c>
      <c r="O1372" s="2" t="s">
        <v>56</v>
      </c>
      <c r="P1372" s="2" t="s">
        <v>231</v>
      </c>
      <c r="Q1372" s="2" t="s">
        <v>159</v>
      </c>
      <c r="R1372" s="2" t="s">
        <v>128</v>
      </c>
      <c r="S1372" s="2" t="s">
        <v>179</v>
      </c>
      <c r="T1372" s="10">
        <v>324.86</v>
      </c>
      <c r="U1372" s="11">
        <v>0.18099999999999999</v>
      </c>
      <c r="V1372" s="12">
        <f>T1372*U1372</f>
        <v>58.799660000000003</v>
      </c>
      <c r="W1372" s="13">
        <v>0.17</v>
      </c>
      <c r="X1372" s="12">
        <f>V1372-(V1372/(1+W1372))</f>
        <v>8.5435403418803375</v>
      </c>
      <c r="Y1372" s="12">
        <f>V1372-X1372</f>
        <v>50.256119658119665</v>
      </c>
      <c r="Z1372" s="14">
        <v>75</v>
      </c>
      <c r="AA1372" s="2" t="str">
        <f>IF(V1372&gt;Z1372,"Yes","No")</f>
        <v>No</v>
      </c>
      <c r="AB1372" s="12">
        <f>V1372-Z1372</f>
        <v>-16.200339999999997</v>
      </c>
      <c r="AC1372" s="15" t="s">
        <v>130</v>
      </c>
      <c r="AD1372" s="15" t="s">
        <v>131</v>
      </c>
      <c r="AE1372" s="15" t="s">
        <v>858</v>
      </c>
      <c r="AF1372" s="12">
        <f>IF(AG1372="Rejected",0,IF(R1372="Corporate Card",0,V1372))</f>
        <v>0</v>
      </c>
      <c r="AG1372" s="15" t="s">
        <v>181</v>
      </c>
      <c r="AH1372" s="16">
        <v>45820</v>
      </c>
      <c r="AI1372" s="16"/>
      <c r="AJ1372" s="16"/>
      <c r="AK1372" s="17" t="str">
        <f>IF(AJ1372="","",AJ1372-AH1372)</f>
        <v/>
      </c>
    </row>
    <row r="1373" spans="1:37">
      <c r="A1373" s="2" t="s">
        <v>1803</v>
      </c>
      <c r="B1373" s="2" t="s">
        <v>1749</v>
      </c>
      <c r="C1373" s="2" t="s">
        <v>1750</v>
      </c>
      <c r="D1373" s="2" t="s">
        <v>118</v>
      </c>
      <c r="E1373" s="2" t="s">
        <v>119</v>
      </c>
      <c r="F1373" s="2" t="s">
        <v>120</v>
      </c>
      <c r="G1373" s="2" t="s">
        <v>1751</v>
      </c>
      <c r="H1373" s="2" t="s">
        <v>417</v>
      </c>
      <c r="I1373" s="2" t="s">
        <v>175</v>
      </c>
      <c r="J1373" s="2" t="s">
        <v>176</v>
      </c>
      <c r="K1373" s="9">
        <v>45805</v>
      </c>
      <c r="L1373" s="9">
        <v>45810</v>
      </c>
      <c r="M1373" s="9">
        <v>45810</v>
      </c>
      <c r="N1373" s="2" t="s">
        <v>1790</v>
      </c>
      <c r="O1373" s="2" t="s">
        <v>55</v>
      </c>
      <c r="P1373" s="2" t="s">
        <v>139</v>
      </c>
      <c r="Q1373" s="2" t="s">
        <v>161</v>
      </c>
      <c r="R1373" s="2" t="s">
        <v>128</v>
      </c>
      <c r="S1373" s="2" t="s">
        <v>179</v>
      </c>
      <c r="T1373" s="10">
        <v>86.91</v>
      </c>
      <c r="U1373" s="11">
        <v>0.18099999999999999</v>
      </c>
      <c r="V1373" s="12">
        <f>T1373*U1373</f>
        <v>15.730709999999998</v>
      </c>
      <c r="W1373" s="13">
        <v>0.17</v>
      </c>
      <c r="X1373" s="12">
        <f>V1373-(V1373/(1+W1373))</f>
        <v>2.2856587179487171</v>
      </c>
      <c r="Y1373" s="12">
        <f>V1373-X1373</f>
        <v>13.445051282051281</v>
      </c>
      <c r="Z1373" s="14">
        <v>35</v>
      </c>
      <c r="AA1373" s="2" t="str">
        <f>IF(V1373&gt;Z1373,"Yes","No")</f>
        <v>No</v>
      </c>
      <c r="AB1373" s="12">
        <f>V1373-Z1373</f>
        <v>-19.269290000000002</v>
      </c>
      <c r="AC1373" s="15" t="s">
        <v>130</v>
      </c>
      <c r="AD1373" s="15" t="s">
        <v>131</v>
      </c>
      <c r="AE1373" s="15" t="s">
        <v>858</v>
      </c>
      <c r="AF1373" s="12">
        <f>IF(AG1373="Rejected",0,IF(R1373="Corporate Card",0,V1373))</f>
        <v>0</v>
      </c>
      <c r="AG1373" s="15" t="s">
        <v>181</v>
      </c>
      <c r="AH1373" s="16">
        <v>45820</v>
      </c>
      <c r="AI1373" s="16"/>
      <c r="AJ1373" s="16"/>
      <c r="AK1373" s="17" t="str">
        <f>IF(AJ1373="","",AJ1373-AH1373)</f>
        <v/>
      </c>
    </row>
    <row r="1374" spans="1:37">
      <c r="A1374" s="2" t="s">
        <v>1804</v>
      </c>
      <c r="B1374" s="2" t="s">
        <v>189</v>
      </c>
      <c r="C1374" s="2" t="s">
        <v>190</v>
      </c>
      <c r="D1374" s="2" t="s">
        <v>171</v>
      </c>
      <c r="E1374" s="2" t="s">
        <v>191</v>
      </c>
      <c r="F1374" s="2" t="s">
        <v>173</v>
      </c>
      <c r="G1374" s="2" t="s">
        <v>1745</v>
      </c>
      <c r="H1374" s="2" t="s">
        <v>348</v>
      </c>
      <c r="I1374" s="2" t="s">
        <v>567</v>
      </c>
      <c r="J1374" s="2" t="s">
        <v>434</v>
      </c>
      <c r="K1374" s="9">
        <v>45805</v>
      </c>
      <c r="L1374" s="9">
        <v>45812</v>
      </c>
      <c r="M1374" s="9">
        <v>45811</v>
      </c>
      <c r="N1374" s="2" t="s">
        <v>1790</v>
      </c>
      <c r="O1374" s="2" t="s">
        <v>67</v>
      </c>
      <c r="P1374" s="2" t="s">
        <v>401</v>
      </c>
      <c r="Q1374" s="2" t="s">
        <v>402</v>
      </c>
      <c r="R1374" s="2" t="s">
        <v>149</v>
      </c>
      <c r="S1374" s="2" t="s">
        <v>436</v>
      </c>
      <c r="T1374" s="10">
        <v>3053</v>
      </c>
      <c r="U1374" s="11">
        <v>1.1780000000000001E-2</v>
      </c>
      <c r="V1374" s="12">
        <f>T1374*U1374</f>
        <v>35.96434</v>
      </c>
      <c r="W1374" s="13">
        <v>0.18</v>
      </c>
      <c r="X1374" s="12">
        <f>V1374-(V1374/(1+W1374))</f>
        <v>5.4860857627118627</v>
      </c>
      <c r="Y1374" s="12">
        <f>V1374-X1374</f>
        <v>30.478254237288137</v>
      </c>
      <c r="Z1374" s="14">
        <v>100</v>
      </c>
      <c r="AA1374" s="2" t="str">
        <f>IF(V1374&gt;Z1374,"Yes","No")</f>
        <v>No</v>
      </c>
      <c r="AB1374" s="12">
        <f>V1374-Z1374</f>
        <v>-64.035660000000007</v>
      </c>
      <c r="AC1374" s="15" t="s">
        <v>130</v>
      </c>
      <c r="AD1374" s="15" t="s">
        <v>131</v>
      </c>
      <c r="AE1374" s="15" t="s">
        <v>514</v>
      </c>
      <c r="AF1374" s="12">
        <f>IF(AG1374="Rejected",0,IF(R1374="Corporate Card",0,V1374))</f>
        <v>0</v>
      </c>
      <c r="AG1374" s="15" t="s">
        <v>804</v>
      </c>
      <c r="AH1374" s="16">
        <v>45818</v>
      </c>
      <c r="AI1374" s="16"/>
      <c r="AJ1374" s="16"/>
      <c r="AK1374" s="17" t="str">
        <f>IF(AJ1374="","",AJ1374-AH1374)</f>
        <v/>
      </c>
    </row>
    <row r="1375" spans="1:37">
      <c r="A1375" s="2" t="s">
        <v>1805</v>
      </c>
      <c r="B1375" s="2" t="s">
        <v>189</v>
      </c>
      <c r="C1375" s="2" t="s">
        <v>190</v>
      </c>
      <c r="D1375" s="2" t="s">
        <v>171</v>
      </c>
      <c r="E1375" s="2" t="s">
        <v>191</v>
      </c>
      <c r="F1375" s="2" t="s">
        <v>173</v>
      </c>
      <c r="G1375" s="2" t="s">
        <v>1745</v>
      </c>
      <c r="H1375" s="2" t="s">
        <v>348</v>
      </c>
      <c r="I1375" s="2" t="s">
        <v>567</v>
      </c>
      <c r="J1375" s="2" t="s">
        <v>434</v>
      </c>
      <c r="K1375" s="9">
        <v>45805</v>
      </c>
      <c r="L1375" s="9">
        <v>45812</v>
      </c>
      <c r="M1375" s="9">
        <v>45811</v>
      </c>
      <c r="N1375" s="2" t="s">
        <v>1790</v>
      </c>
      <c r="O1375" s="2" t="s">
        <v>58</v>
      </c>
      <c r="P1375" s="2" t="s">
        <v>142</v>
      </c>
      <c r="Q1375" s="2" t="s">
        <v>203</v>
      </c>
      <c r="R1375" s="2" t="s">
        <v>128</v>
      </c>
      <c r="S1375" s="2" t="s">
        <v>436</v>
      </c>
      <c r="T1375" s="10">
        <v>2627</v>
      </c>
      <c r="U1375" s="11">
        <v>1.1780000000000001E-2</v>
      </c>
      <c r="V1375" s="12">
        <f>T1375*U1375</f>
        <v>30.946060000000003</v>
      </c>
      <c r="W1375" s="13">
        <v>0.18</v>
      </c>
      <c r="X1375" s="12">
        <f>V1375-(V1375/(1+W1375))</f>
        <v>4.7205854237288136</v>
      </c>
      <c r="Y1375" s="12">
        <f>V1375-X1375</f>
        <v>26.225474576271189</v>
      </c>
      <c r="Z1375" s="14">
        <v>60</v>
      </c>
      <c r="AA1375" s="2" t="str">
        <f>IF(V1375&gt;Z1375,"Yes","No")</f>
        <v>No</v>
      </c>
      <c r="AB1375" s="12">
        <f>V1375-Z1375</f>
        <v>-29.053939999999997</v>
      </c>
      <c r="AC1375" s="15" t="s">
        <v>130</v>
      </c>
      <c r="AD1375" s="15" t="s">
        <v>131</v>
      </c>
      <c r="AE1375" s="15" t="s">
        <v>514</v>
      </c>
      <c r="AF1375" s="12">
        <f>IF(AG1375="Rejected",0,IF(R1375="Corporate Card",0,V1375))</f>
        <v>0</v>
      </c>
      <c r="AG1375" s="15" t="s">
        <v>804</v>
      </c>
      <c r="AH1375" s="16">
        <v>45818</v>
      </c>
      <c r="AI1375" s="16"/>
      <c r="AJ1375" s="16"/>
      <c r="AK1375" s="17" t="str">
        <f>IF(AJ1375="","",AJ1375-AH1375)</f>
        <v/>
      </c>
    </row>
    <row r="1376" spans="1:37">
      <c r="A1376" s="2" t="s">
        <v>1806</v>
      </c>
      <c r="B1376" s="2" t="s">
        <v>189</v>
      </c>
      <c r="C1376" s="2" t="s">
        <v>190</v>
      </c>
      <c r="D1376" s="2" t="s">
        <v>171</v>
      </c>
      <c r="E1376" s="2" t="s">
        <v>191</v>
      </c>
      <c r="F1376" s="2" t="s">
        <v>173</v>
      </c>
      <c r="G1376" s="2" t="s">
        <v>1745</v>
      </c>
      <c r="H1376" s="2" t="s">
        <v>348</v>
      </c>
      <c r="I1376" s="2" t="s">
        <v>567</v>
      </c>
      <c r="J1376" s="2" t="s">
        <v>434</v>
      </c>
      <c r="K1376" s="9">
        <v>45805</v>
      </c>
      <c r="L1376" s="9">
        <v>45812</v>
      </c>
      <c r="M1376" s="9">
        <v>45811</v>
      </c>
      <c r="N1376" s="2" t="s">
        <v>1790</v>
      </c>
      <c r="O1376" s="2" t="s">
        <v>55</v>
      </c>
      <c r="P1376" s="2" t="s">
        <v>139</v>
      </c>
      <c r="Q1376" s="2" t="s">
        <v>217</v>
      </c>
      <c r="R1376" s="2" t="s">
        <v>149</v>
      </c>
      <c r="S1376" s="2" t="s">
        <v>436</v>
      </c>
      <c r="T1376" s="10">
        <v>1068</v>
      </c>
      <c r="U1376" s="11">
        <v>1.1780000000000001E-2</v>
      </c>
      <c r="V1376" s="12">
        <f>T1376*U1376</f>
        <v>12.58104</v>
      </c>
      <c r="W1376" s="13">
        <v>0.18</v>
      </c>
      <c r="X1376" s="12">
        <f>V1376-(V1376/(1+W1376))</f>
        <v>1.919141694915254</v>
      </c>
      <c r="Y1376" s="12">
        <f>V1376-X1376</f>
        <v>10.661898305084746</v>
      </c>
      <c r="Z1376" s="14">
        <v>35</v>
      </c>
      <c r="AA1376" s="2" t="str">
        <f>IF(V1376&gt;Z1376,"Yes","No")</f>
        <v>No</v>
      </c>
      <c r="AB1376" s="12">
        <f>V1376-Z1376</f>
        <v>-22.418959999999998</v>
      </c>
      <c r="AC1376" s="15" t="s">
        <v>130</v>
      </c>
      <c r="AD1376" s="15" t="s">
        <v>131</v>
      </c>
      <c r="AE1376" s="15" t="s">
        <v>514</v>
      </c>
      <c r="AF1376" s="12">
        <f>IF(AG1376="Rejected",0,IF(R1376="Corporate Card",0,V1376))</f>
        <v>0</v>
      </c>
      <c r="AG1376" s="15" t="s">
        <v>804</v>
      </c>
      <c r="AH1376" s="16">
        <v>45818</v>
      </c>
      <c r="AI1376" s="16"/>
      <c r="AJ1376" s="16"/>
      <c r="AK1376" s="17" t="str">
        <f>IF(AJ1376="","",AJ1376-AH1376)</f>
        <v/>
      </c>
    </row>
    <row r="1377" spans="1:37">
      <c r="A1377" s="2" t="s">
        <v>1807</v>
      </c>
      <c r="B1377" s="2" t="s">
        <v>189</v>
      </c>
      <c r="C1377" s="2" t="s">
        <v>190</v>
      </c>
      <c r="D1377" s="2" t="s">
        <v>171</v>
      </c>
      <c r="E1377" s="2" t="s">
        <v>191</v>
      </c>
      <c r="F1377" s="2" t="s">
        <v>173</v>
      </c>
      <c r="G1377" s="2" t="s">
        <v>1745</v>
      </c>
      <c r="H1377" s="2" t="s">
        <v>348</v>
      </c>
      <c r="I1377" s="2" t="s">
        <v>567</v>
      </c>
      <c r="J1377" s="2" t="s">
        <v>434</v>
      </c>
      <c r="K1377" s="9">
        <v>45805</v>
      </c>
      <c r="L1377" s="9">
        <v>45812</v>
      </c>
      <c r="M1377" s="9">
        <v>45812</v>
      </c>
      <c r="N1377" s="2" t="s">
        <v>1790</v>
      </c>
      <c r="O1377" s="2" t="s">
        <v>58</v>
      </c>
      <c r="P1377" s="2" t="s">
        <v>142</v>
      </c>
      <c r="Q1377" s="2" t="s">
        <v>203</v>
      </c>
      <c r="R1377" s="2" t="s">
        <v>137</v>
      </c>
      <c r="S1377" s="2" t="s">
        <v>436</v>
      </c>
      <c r="T1377" s="10">
        <v>1974</v>
      </c>
      <c r="U1377" s="11">
        <v>1.1780000000000001E-2</v>
      </c>
      <c r="V1377" s="12">
        <f>T1377*U1377</f>
        <v>23.253720000000001</v>
      </c>
      <c r="W1377" s="13">
        <v>0.18</v>
      </c>
      <c r="X1377" s="12">
        <f>V1377-(V1377/(1+W1377))</f>
        <v>3.5471776271186428</v>
      </c>
      <c r="Y1377" s="12">
        <f>V1377-X1377</f>
        <v>19.706542372881358</v>
      </c>
      <c r="Z1377" s="14">
        <v>60</v>
      </c>
      <c r="AA1377" s="2" t="str">
        <f>IF(V1377&gt;Z1377,"Yes","No")</f>
        <v>No</v>
      </c>
      <c r="AB1377" s="12">
        <f>V1377-Z1377</f>
        <v>-36.746279999999999</v>
      </c>
      <c r="AC1377" s="15" t="s">
        <v>130</v>
      </c>
      <c r="AD1377" s="15" t="s">
        <v>131</v>
      </c>
      <c r="AE1377" s="15" t="s">
        <v>514</v>
      </c>
      <c r="AF1377" s="12">
        <f>IF(AG1377="Rejected",0,IF(R1377="Corporate Card",0,V1377))</f>
        <v>0</v>
      </c>
      <c r="AG1377" s="15" t="s">
        <v>804</v>
      </c>
      <c r="AH1377" s="16">
        <v>45818</v>
      </c>
      <c r="AI1377" s="16"/>
      <c r="AJ1377" s="16"/>
      <c r="AK1377" s="17" t="str">
        <f>IF(AJ1377="","",AJ1377-AH1377)</f>
        <v/>
      </c>
    </row>
    <row r="1378" spans="1:37">
      <c r="A1378" s="2" t="s">
        <v>1808</v>
      </c>
      <c r="B1378" s="2" t="s">
        <v>189</v>
      </c>
      <c r="C1378" s="2" t="s">
        <v>190</v>
      </c>
      <c r="D1378" s="2" t="s">
        <v>171</v>
      </c>
      <c r="E1378" s="2" t="s">
        <v>191</v>
      </c>
      <c r="F1378" s="2" t="s">
        <v>173</v>
      </c>
      <c r="G1378" s="2" t="s">
        <v>1745</v>
      </c>
      <c r="H1378" s="2" t="s">
        <v>348</v>
      </c>
      <c r="I1378" s="2" t="s">
        <v>567</v>
      </c>
      <c r="J1378" s="2" t="s">
        <v>434</v>
      </c>
      <c r="K1378" s="9">
        <v>45805</v>
      </c>
      <c r="L1378" s="9">
        <v>45812</v>
      </c>
      <c r="M1378" s="9">
        <v>45812</v>
      </c>
      <c r="N1378" s="2" t="s">
        <v>1790</v>
      </c>
      <c r="O1378" s="2" t="s">
        <v>55</v>
      </c>
      <c r="P1378" s="2" t="s">
        <v>139</v>
      </c>
      <c r="Q1378" s="2" t="s">
        <v>161</v>
      </c>
      <c r="R1378" s="2" t="s">
        <v>128</v>
      </c>
      <c r="S1378" s="2" t="s">
        <v>436</v>
      </c>
      <c r="T1378" s="10">
        <v>1824</v>
      </c>
      <c r="U1378" s="11">
        <v>1.1780000000000001E-2</v>
      </c>
      <c r="V1378" s="12">
        <f>T1378*U1378</f>
        <v>21.486720000000002</v>
      </c>
      <c r="W1378" s="13">
        <v>0.18</v>
      </c>
      <c r="X1378" s="12">
        <f>V1378-(V1378/(1+W1378))</f>
        <v>3.2776352542372891</v>
      </c>
      <c r="Y1378" s="12">
        <f>V1378-X1378</f>
        <v>18.209084745762713</v>
      </c>
      <c r="Z1378" s="14">
        <v>35</v>
      </c>
      <c r="AA1378" s="2" t="str">
        <f>IF(V1378&gt;Z1378,"Yes","No")</f>
        <v>No</v>
      </c>
      <c r="AB1378" s="12">
        <f>V1378-Z1378</f>
        <v>-13.513279999999998</v>
      </c>
      <c r="AC1378" s="15" t="s">
        <v>131</v>
      </c>
      <c r="AD1378" s="15" t="s">
        <v>131</v>
      </c>
      <c r="AE1378" s="15" t="s">
        <v>514</v>
      </c>
      <c r="AF1378" s="12">
        <f>IF(AG1378="Rejected",0,IF(R1378="Corporate Card",0,V1378))</f>
        <v>0</v>
      </c>
      <c r="AG1378" s="15" t="s">
        <v>804</v>
      </c>
      <c r="AH1378" s="16">
        <v>45818</v>
      </c>
      <c r="AI1378" s="16"/>
      <c r="AJ1378" s="16"/>
      <c r="AK1378" s="17" t="str">
        <f>IF(AJ1378="","",AJ1378-AH1378)</f>
        <v/>
      </c>
    </row>
    <row r="1379" spans="1:37">
      <c r="A1379" s="2" t="s">
        <v>1809</v>
      </c>
      <c r="B1379" s="2" t="s">
        <v>770</v>
      </c>
      <c r="C1379" s="2" t="s">
        <v>771</v>
      </c>
      <c r="D1379" s="2" t="s">
        <v>414</v>
      </c>
      <c r="E1379" s="2" t="s">
        <v>772</v>
      </c>
      <c r="F1379" s="2" t="s">
        <v>413</v>
      </c>
      <c r="G1379" s="2" t="s">
        <v>1810</v>
      </c>
      <c r="H1379" s="2" t="s">
        <v>448</v>
      </c>
      <c r="I1379" s="2" t="s">
        <v>651</v>
      </c>
      <c r="J1379" s="2" t="s">
        <v>652</v>
      </c>
      <c r="K1379" s="9">
        <v>45813</v>
      </c>
      <c r="L1379" s="9">
        <v>45818</v>
      </c>
      <c r="M1379" s="9">
        <v>45813</v>
      </c>
      <c r="N1379" s="2" t="s">
        <v>1790</v>
      </c>
      <c r="O1379" s="2" t="s">
        <v>52</v>
      </c>
      <c r="P1379" s="2" t="s">
        <v>653</v>
      </c>
      <c r="Q1379" s="2" t="s">
        <v>197</v>
      </c>
      <c r="R1379" s="2" t="s">
        <v>128</v>
      </c>
      <c r="S1379" s="2" t="s">
        <v>654</v>
      </c>
      <c r="T1379" s="10">
        <v>1326.95</v>
      </c>
      <c r="U1379" s="11">
        <v>0.72799999999999998</v>
      </c>
      <c r="V1379" s="12">
        <f>T1379*U1379</f>
        <v>966.01959999999997</v>
      </c>
      <c r="W1379" s="13">
        <v>0</v>
      </c>
      <c r="X1379" s="12">
        <f>V1379-(V1379/(1+W1379))</f>
        <v>0</v>
      </c>
      <c r="Y1379" s="12">
        <f>V1379-X1379</f>
        <v>966.01959999999997</v>
      </c>
      <c r="Z1379" s="14">
        <v>1400</v>
      </c>
      <c r="AA1379" s="2" t="str">
        <f>IF(V1379&gt;Z1379,"Yes","No")</f>
        <v>No</v>
      </c>
      <c r="AB1379" s="12">
        <f>V1379-Z1379</f>
        <v>-433.98040000000003</v>
      </c>
      <c r="AC1379" s="15" t="s">
        <v>130</v>
      </c>
      <c r="AD1379" s="15" t="s">
        <v>130</v>
      </c>
      <c r="AE1379" s="15" t="s">
        <v>260</v>
      </c>
      <c r="AF1379" s="12">
        <f>IF(AG1379="Rejected",0,IF(R1379="Corporate Card",0,V1379))</f>
        <v>0</v>
      </c>
      <c r="AG1379" s="15" t="s">
        <v>133</v>
      </c>
      <c r="AH1379" s="16">
        <v>45826</v>
      </c>
      <c r="AI1379" s="16">
        <v>45828</v>
      </c>
      <c r="AJ1379" s="16">
        <v>45837</v>
      </c>
      <c r="AK1379" s="17">
        <f>IF(AJ1379="","",AJ1379-AH1379)</f>
        <v>11</v>
      </c>
    </row>
    <row r="1380" spans="1:37">
      <c r="A1380" s="2" t="s">
        <v>1811</v>
      </c>
      <c r="B1380" s="2" t="s">
        <v>770</v>
      </c>
      <c r="C1380" s="2" t="s">
        <v>771</v>
      </c>
      <c r="D1380" s="2" t="s">
        <v>414</v>
      </c>
      <c r="E1380" s="2" t="s">
        <v>772</v>
      </c>
      <c r="F1380" s="2" t="s">
        <v>413</v>
      </c>
      <c r="G1380" s="2" t="s">
        <v>1810</v>
      </c>
      <c r="H1380" s="2" t="s">
        <v>448</v>
      </c>
      <c r="I1380" s="2" t="s">
        <v>651</v>
      </c>
      <c r="J1380" s="2" t="s">
        <v>652</v>
      </c>
      <c r="K1380" s="9">
        <v>45813</v>
      </c>
      <c r="L1380" s="9">
        <v>45818</v>
      </c>
      <c r="M1380" s="9">
        <v>45813</v>
      </c>
      <c r="N1380" s="2" t="s">
        <v>1790</v>
      </c>
      <c r="O1380" s="2" t="s">
        <v>58</v>
      </c>
      <c r="P1380" s="2" t="s">
        <v>142</v>
      </c>
      <c r="Q1380" s="2" t="s">
        <v>143</v>
      </c>
      <c r="R1380" s="2" t="s">
        <v>128</v>
      </c>
      <c r="S1380" s="2" t="s">
        <v>654</v>
      </c>
      <c r="T1380" s="10">
        <v>69.03</v>
      </c>
      <c r="U1380" s="11">
        <v>0.72799999999999998</v>
      </c>
      <c r="V1380" s="12">
        <f>T1380*U1380</f>
        <v>50.253839999999997</v>
      </c>
      <c r="W1380" s="13">
        <v>0.13</v>
      </c>
      <c r="X1380" s="12">
        <f>V1380-(V1380/(1+W1380))</f>
        <v>5.7814152212389303</v>
      </c>
      <c r="Y1380" s="12">
        <f>V1380-X1380</f>
        <v>44.472424778761066</v>
      </c>
      <c r="Z1380" s="14">
        <v>60</v>
      </c>
      <c r="AA1380" s="2" t="str">
        <f>IF(V1380&gt;Z1380,"Yes","No")</f>
        <v>No</v>
      </c>
      <c r="AB1380" s="12">
        <f>V1380-Z1380</f>
        <v>-9.7461600000000033</v>
      </c>
      <c r="AC1380" s="15" t="s">
        <v>130</v>
      </c>
      <c r="AD1380" s="15" t="s">
        <v>130</v>
      </c>
      <c r="AE1380" s="15" t="s">
        <v>260</v>
      </c>
      <c r="AF1380" s="12">
        <f>IF(AG1380="Rejected",0,IF(R1380="Corporate Card",0,V1380))</f>
        <v>0</v>
      </c>
      <c r="AG1380" s="15" t="s">
        <v>133</v>
      </c>
      <c r="AH1380" s="16">
        <v>45826</v>
      </c>
      <c r="AI1380" s="16">
        <v>45828</v>
      </c>
      <c r="AJ1380" s="16">
        <v>45837</v>
      </c>
      <c r="AK1380" s="17">
        <f>IF(AJ1380="","",AJ1380-AH1380)</f>
        <v>11</v>
      </c>
    </row>
    <row r="1381" spans="1:37">
      <c r="A1381" s="2" t="s">
        <v>1812</v>
      </c>
      <c r="B1381" s="2" t="s">
        <v>770</v>
      </c>
      <c r="C1381" s="2" t="s">
        <v>771</v>
      </c>
      <c r="D1381" s="2" t="s">
        <v>414</v>
      </c>
      <c r="E1381" s="2" t="s">
        <v>772</v>
      </c>
      <c r="F1381" s="2" t="s">
        <v>413</v>
      </c>
      <c r="G1381" s="2" t="s">
        <v>1810</v>
      </c>
      <c r="H1381" s="2" t="s">
        <v>448</v>
      </c>
      <c r="I1381" s="2" t="s">
        <v>651</v>
      </c>
      <c r="J1381" s="2" t="s">
        <v>652</v>
      </c>
      <c r="K1381" s="9">
        <v>45813</v>
      </c>
      <c r="L1381" s="9">
        <v>45818</v>
      </c>
      <c r="M1381" s="9">
        <v>45813</v>
      </c>
      <c r="N1381" s="2" t="s">
        <v>1790</v>
      </c>
      <c r="O1381" s="2" t="s">
        <v>54</v>
      </c>
      <c r="P1381" s="2" t="s">
        <v>139</v>
      </c>
      <c r="Q1381" s="2" t="s">
        <v>148</v>
      </c>
      <c r="R1381" s="2" t="s">
        <v>128</v>
      </c>
      <c r="S1381" s="2" t="s">
        <v>654</v>
      </c>
      <c r="T1381" s="10">
        <v>25.59</v>
      </c>
      <c r="U1381" s="11">
        <v>0.72799999999999998</v>
      </c>
      <c r="V1381" s="12">
        <f>T1381*U1381</f>
        <v>18.629519999999999</v>
      </c>
      <c r="W1381" s="13">
        <v>0.13</v>
      </c>
      <c r="X1381" s="12">
        <f>V1381-(V1381/(1+W1381))</f>
        <v>2.1432191150442463</v>
      </c>
      <c r="Y1381" s="12">
        <f>V1381-X1381</f>
        <v>16.486300884955753</v>
      </c>
      <c r="Z1381" s="14">
        <v>25</v>
      </c>
      <c r="AA1381" s="2" t="str">
        <f>IF(V1381&gt;Z1381,"Yes","No")</f>
        <v>No</v>
      </c>
      <c r="AB1381" s="12">
        <f>V1381-Z1381</f>
        <v>-6.3704800000000006</v>
      </c>
      <c r="AC1381" s="15" t="s">
        <v>130</v>
      </c>
      <c r="AD1381" s="15" t="s">
        <v>130</v>
      </c>
      <c r="AE1381" s="15" t="s">
        <v>260</v>
      </c>
      <c r="AF1381" s="12">
        <f>IF(AG1381="Rejected",0,IF(R1381="Corporate Card",0,V1381))</f>
        <v>0</v>
      </c>
      <c r="AG1381" s="15" t="s">
        <v>133</v>
      </c>
      <c r="AH1381" s="16">
        <v>45826</v>
      </c>
      <c r="AI1381" s="16">
        <v>45828</v>
      </c>
      <c r="AJ1381" s="16">
        <v>45837</v>
      </c>
      <c r="AK1381" s="17">
        <f>IF(AJ1381="","",AJ1381-AH1381)</f>
        <v>11</v>
      </c>
    </row>
    <row r="1382" spans="1:37">
      <c r="A1382" s="2" t="s">
        <v>1813</v>
      </c>
      <c r="B1382" s="2" t="s">
        <v>770</v>
      </c>
      <c r="C1382" s="2" t="s">
        <v>771</v>
      </c>
      <c r="D1382" s="2" t="s">
        <v>414</v>
      </c>
      <c r="E1382" s="2" t="s">
        <v>772</v>
      </c>
      <c r="F1382" s="2" t="s">
        <v>413</v>
      </c>
      <c r="G1382" s="2" t="s">
        <v>1810</v>
      </c>
      <c r="H1382" s="2" t="s">
        <v>448</v>
      </c>
      <c r="I1382" s="2" t="s">
        <v>651</v>
      </c>
      <c r="J1382" s="2" t="s">
        <v>652</v>
      </c>
      <c r="K1382" s="9">
        <v>45813</v>
      </c>
      <c r="L1382" s="9">
        <v>45818</v>
      </c>
      <c r="M1382" s="9">
        <v>45813</v>
      </c>
      <c r="N1382" s="2" t="s">
        <v>1790</v>
      </c>
      <c r="O1382" s="2" t="s">
        <v>56</v>
      </c>
      <c r="P1382" s="2" t="s">
        <v>165</v>
      </c>
      <c r="Q1382" s="2" t="s">
        <v>152</v>
      </c>
      <c r="R1382" s="2" t="s">
        <v>149</v>
      </c>
      <c r="S1382" s="2" t="s">
        <v>654</v>
      </c>
      <c r="T1382" s="10">
        <v>70.569999999999993</v>
      </c>
      <c r="U1382" s="11">
        <v>0.72799999999999998</v>
      </c>
      <c r="V1382" s="12">
        <f>T1382*U1382</f>
        <v>51.374959999999994</v>
      </c>
      <c r="W1382" s="13">
        <v>0.13</v>
      </c>
      <c r="X1382" s="12">
        <f>V1382-(V1382/(1+W1382))</f>
        <v>5.9103936283185803</v>
      </c>
      <c r="Y1382" s="12">
        <f>V1382-X1382</f>
        <v>45.464566371681414</v>
      </c>
      <c r="Z1382" s="14">
        <v>75</v>
      </c>
      <c r="AA1382" s="2" t="str">
        <f>IF(V1382&gt;Z1382,"Yes","No")</f>
        <v>No</v>
      </c>
      <c r="AB1382" s="12">
        <f>V1382-Z1382</f>
        <v>-23.625040000000006</v>
      </c>
      <c r="AC1382" s="15" t="s">
        <v>130</v>
      </c>
      <c r="AD1382" s="15" t="s">
        <v>130</v>
      </c>
      <c r="AE1382" s="15" t="s">
        <v>260</v>
      </c>
      <c r="AF1382" s="12">
        <f>IF(AG1382="Rejected",0,IF(R1382="Corporate Card",0,V1382))</f>
        <v>51.374959999999994</v>
      </c>
      <c r="AG1382" s="15" t="s">
        <v>133</v>
      </c>
      <c r="AH1382" s="16">
        <v>45826</v>
      </c>
      <c r="AI1382" s="16">
        <v>45828</v>
      </c>
      <c r="AJ1382" s="16">
        <v>45837</v>
      </c>
      <c r="AK1382" s="17">
        <f>IF(AJ1382="","",AJ1382-AH1382)</f>
        <v>11</v>
      </c>
    </row>
    <row r="1383" spans="1:37">
      <c r="A1383" s="2" t="s">
        <v>1814</v>
      </c>
      <c r="B1383" s="2" t="s">
        <v>770</v>
      </c>
      <c r="C1383" s="2" t="s">
        <v>771</v>
      </c>
      <c r="D1383" s="2" t="s">
        <v>414</v>
      </c>
      <c r="E1383" s="2" t="s">
        <v>772</v>
      </c>
      <c r="F1383" s="2" t="s">
        <v>413</v>
      </c>
      <c r="G1383" s="2" t="s">
        <v>1810</v>
      </c>
      <c r="H1383" s="2" t="s">
        <v>448</v>
      </c>
      <c r="I1383" s="2" t="s">
        <v>651</v>
      </c>
      <c r="J1383" s="2" t="s">
        <v>652</v>
      </c>
      <c r="K1383" s="9">
        <v>45813</v>
      </c>
      <c r="L1383" s="9">
        <v>45818</v>
      </c>
      <c r="M1383" s="9">
        <v>45813</v>
      </c>
      <c r="N1383" s="2" t="s">
        <v>1790</v>
      </c>
      <c r="O1383" s="2" t="s">
        <v>55</v>
      </c>
      <c r="P1383" s="2" t="s">
        <v>139</v>
      </c>
      <c r="Q1383" s="2" t="s">
        <v>154</v>
      </c>
      <c r="R1383" s="2" t="s">
        <v>149</v>
      </c>
      <c r="S1383" s="2" t="s">
        <v>654</v>
      </c>
      <c r="T1383" s="10">
        <v>41.83</v>
      </c>
      <c r="U1383" s="11">
        <v>0.72799999999999998</v>
      </c>
      <c r="V1383" s="12">
        <f>T1383*U1383</f>
        <v>30.452239999999996</v>
      </c>
      <c r="W1383" s="13">
        <v>0.13</v>
      </c>
      <c r="X1383" s="12">
        <f>V1383-(V1383/(1+W1383))</f>
        <v>3.5033550442477832</v>
      </c>
      <c r="Y1383" s="12">
        <f>V1383-X1383</f>
        <v>26.948884955752213</v>
      </c>
      <c r="Z1383" s="14">
        <v>35</v>
      </c>
      <c r="AA1383" s="2" t="str">
        <f>IF(V1383&gt;Z1383,"Yes","No")</f>
        <v>No</v>
      </c>
      <c r="AB1383" s="12">
        <f>V1383-Z1383</f>
        <v>-4.5477600000000038</v>
      </c>
      <c r="AC1383" s="15" t="s">
        <v>130</v>
      </c>
      <c r="AD1383" s="15" t="s">
        <v>130</v>
      </c>
      <c r="AE1383" s="15" t="s">
        <v>260</v>
      </c>
      <c r="AF1383" s="12">
        <f>IF(AG1383="Rejected",0,IF(R1383="Corporate Card",0,V1383))</f>
        <v>30.452239999999996</v>
      </c>
      <c r="AG1383" s="15" t="s">
        <v>133</v>
      </c>
      <c r="AH1383" s="16">
        <v>45826</v>
      </c>
      <c r="AI1383" s="16">
        <v>45828</v>
      </c>
      <c r="AJ1383" s="16">
        <v>45837</v>
      </c>
      <c r="AK1383" s="17">
        <f>IF(AJ1383="","",AJ1383-AH1383)</f>
        <v>11</v>
      </c>
    </row>
    <row r="1384" spans="1:37">
      <c r="A1384" s="2" t="s">
        <v>1815</v>
      </c>
      <c r="B1384" s="2" t="s">
        <v>770</v>
      </c>
      <c r="C1384" s="2" t="s">
        <v>771</v>
      </c>
      <c r="D1384" s="2" t="s">
        <v>414</v>
      </c>
      <c r="E1384" s="2" t="s">
        <v>772</v>
      </c>
      <c r="F1384" s="2" t="s">
        <v>413</v>
      </c>
      <c r="G1384" s="2" t="s">
        <v>1810</v>
      </c>
      <c r="H1384" s="2" t="s">
        <v>448</v>
      </c>
      <c r="I1384" s="2" t="s">
        <v>651</v>
      </c>
      <c r="J1384" s="2" t="s">
        <v>652</v>
      </c>
      <c r="K1384" s="9">
        <v>45813</v>
      </c>
      <c r="L1384" s="9">
        <v>45818</v>
      </c>
      <c r="M1384" s="9">
        <v>45814</v>
      </c>
      <c r="N1384" s="2" t="s">
        <v>1790</v>
      </c>
      <c r="O1384" s="2" t="s">
        <v>60</v>
      </c>
      <c r="P1384" s="2" t="s">
        <v>1677</v>
      </c>
      <c r="Q1384" s="2" t="s">
        <v>702</v>
      </c>
      <c r="R1384" s="2" t="s">
        <v>149</v>
      </c>
      <c r="S1384" s="2" t="s">
        <v>654</v>
      </c>
      <c r="T1384" s="10">
        <v>638.89</v>
      </c>
      <c r="U1384" s="11">
        <v>0.72799999999999998</v>
      </c>
      <c r="V1384" s="12">
        <f>T1384*U1384</f>
        <v>465.11192</v>
      </c>
      <c r="W1384" s="13">
        <v>0.13</v>
      </c>
      <c r="X1384" s="12">
        <f>V1384-(V1384/(1+W1384))</f>
        <v>53.508450973451261</v>
      </c>
      <c r="Y1384" s="12">
        <f>V1384-X1384</f>
        <v>411.60346902654874</v>
      </c>
      <c r="Z1384" s="14">
        <v>600</v>
      </c>
      <c r="AA1384" s="2" t="str">
        <f>IF(V1384&gt;Z1384,"Yes","No")</f>
        <v>No</v>
      </c>
      <c r="AB1384" s="12">
        <f>V1384-Z1384</f>
        <v>-134.88808</v>
      </c>
      <c r="AC1384" s="15" t="s">
        <v>130</v>
      </c>
      <c r="AD1384" s="15" t="s">
        <v>130</v>
      </c>
      <c r="AE1384" s="15" t="s">
        <v>260</v>
      </c>
      <c r="AF1384" s="12">
        <f>IF(AG1384="Rejected",0,IF(R1384="Corporate Card",0,V1384))</f>
        <v>465.11192</v>
      </c>
      <c r="AG1384" s="15" t="s">
        <v>133</v>
      </c>
      <c r="AH1384" s="16">
        <v>45826</v>
      </c>
      <c r="AI1384" s="16">
        <v>45828</v>
      </c>
      <c r="AJ1384" s="16">
        <v>45837</v>
      </c>
      <c r="AK1384" s="17">
        <f>IF(AJ1384="","",AJ1384-AH1384)</f>
        <v>11</v>
      </c>
    </row>
    <row r="1385" spans="1:37">
      <c r="A1385" s="2" t="s">
        <v>1816</v>
      </c>
      <c r="B1385" s="2" t="s">
        <v>770</v>
      </c>
      <c r="C1385" s="2" t="s">
        <v>771</v>
      </c>
      <c r="D1385" s="2" t="s">
        <v>414</v>
      </c>
      <c r="E1385" s="2" t="s">
        <v>772</v>
      </c>
      <c r="F1385" s="2" t="s">
        <v>413</v>
      </c>
      <c r="G1385" s="2" t="s">
        <v>1810</v>
      </c>
      <c r="H1385" s="2" t="s">
        <v>448</v>
      </c>
      <c r="I1385" s="2" t="s">
        <v>651</v>
      </c>
      <c r="J1385" s="2" t="s">
        <v>652</v>
      </c>
      <c r="K1385" s="9">
        <v>45813</v>
      </c>
      <c r="L1385" s="9">
        <v>45818</v>
      </c>
      <c r="M1385" s="9">
        <v>45814</v>
      </c>
      <c r="N1385" s="2" t="s">
        <v>1790</v>
      </c>
      <c r="O1385" s="2" t="s">
        <v>59</v>
      </c>
      <c r="P1385" s="2" t="s">
        <v>301</v>
      </c>
      <c r="Q1385" s="2" t="s">
        <v>452</v>
      </c>
      <c r="R1385" s="2" t="s">
        <v>149</v>
      </c>
      <c r="S1385" s="2" t="s">
        <v>654</v>
      </c>
      <c r="T1385" s="10">
        <v>124.48</v>
      </c>
      <c r="U1385" s="11">
        <v>0.72799999999999998</v>
      </c>
      <c r="V1385" s="12">
        <f>T1385*U1385</f>
        <v>90.621440000000007</v>
      </c>
      <c r="W1385" s="13">
        <v>0.13</v>
      </c>
      <c r="X1385" s="12">
        <f>V1385-(V1385/(1+W1385))</f>
        <v>10.425475398230077</v>
      </c>
      <c r="Y1385" s="12">
        <f>V1385-X1385</f>
        <v>80.19596460176993</v>
      </c>
      <c r="Z1385" s="14">
        <v>150</v>
      </c>
      <c r="AA1385" s="2" t="str">
        <f>IF(V1385&gt;Z1385,"Yes","No")</f>
        <v>No</v>
      </c>
      <c r="AB1385" s="12">
        <f>V1385-Z1385</f>
        <v>-59.378559999999993</v>
      </c>
      <c r="AC1385" s="15" t="s">
        <v>131</v>
      </c>
      <c r="AD1385" s="15" t="s">
        <v>130</v>
      </c>
      <c r="AE1385" s="15" t="s">
        <v>260</v>
      </c>
      <c r="AF1385" s="12">
        <f>IF(AG1385="Rejected",0,IF(R1385="Corporate Card",0,V1385))</f>
        <v>90.621440000000007</v>
      </c>
      <c r="AG1385" s="15" t="s">
        <v>133</v>
      </c>
      <c r="AH1385" s="16">
        <v>45826</v>
      </c>
      <c r="AI1385" s="16">
        <v>45828</v>
      </c>
      <c r="AJ1385" s="16">
        <v>45837</v>
      </c>
      <c r="AK1385" s="17">
        <f>IF(AJ1385="","",AJ1385-AH1385)</f>
        <v>11</v>
      </c>
    </row>
    <row r="1386" spans="1:37">
      <c r="A1386" s="2" t="s">
        <v>1817</v>
      </c>
      <c r="B1386" s="2" t="s">
        <v>770</v>
      </c>
      <c r="C1386" s="2" t="s">
        <v>771</v>
      </c>
      <c r="D1386" s="2" t="s">
        <v>414</v>
      </c>
      <c r="E1386" s="2" t="s">
        <v>772</v>
      </c>
      <c r="F1386" s="2" t="s">
        <v>413</v>
      </c>
      <c r="G1386" s="2" t="s">
        <v>1810</v>
      </c>
      <c r="H1386" s="2" t="s">
        <v>448</v>
      </c>
      <c r="I1386" s="2" t="s">
        <v>651</v>
      </c>
      <c r="J1386" s="2" t="s">
        <v>652</v>
      </c>
      <c r="K1386" s="9">
        <v>45813</v>
      </c>
      <c r="L1386" s="9">
        <v>45818</v>
      </c>
      <c r="M1386" s="9">
        <v>45814</v>
      </c>
      <c r="N1386" s="2" t="s">
        <v>1790</v>
      </c>
      <c r="O1386" s="2" t="s">
        <v>53</v>
      </c>
      <c r="P1386" s="2" t="s">
        <v>271</v>
      </c>
      <c r="Q1386" s="2" t="s">
        <v>146</v>
      </c>
      <c r="R1386" s="2" t="s">
        <v>128</v>
      </c>
      <c r="S1386" s="2" t="s">
        <v>654</v>
      </c>
      <c r="T1386" s="10">
        <v>1684.01</v>
      </c>
      <c r="U1386" s="11">
        <v>0.72799999999999998</v>
      </c>
      <c r="V1386" s="12">
        <f>T1386*U1386</f>
        <v>1225.95928</v>
      </c>
      <c r="W1386" s="13">
        <v>0.13</v>
      </c>
      <c r="X1386" s="12">
        <f>V1386-(V1386/(1+W1386))</f>
        <v>141.03956318584051</v>
      </c>
      <c r="Y1386" s="12">
        <f>V1386-X1386</f>
        <v>1084.9197168141595</v>
      </c>
      <c r="Z1386" s="14">
        <v>1400</v>
      </c>
      <c r="AA1386" s="2" t="str">
        <f>IF(V1386&gt;Z1386,"Yes","No")</f>
        <v>No</v>
      </c>
      <c r="AB1386" s="12">
        <f>V1386-Z1386</f>
        <v>-174.04071999999996</v>
      </c>
      <c r="AC1386" s="15" t="s">
        <v>130</v>
      </c>
      <c r="AD1386" s="15" t="s">
        <v>130</v>
      </c>
      <c r="AE1386" s="15" t="s">
        <v>260</v>
      </c>
      <c r="AF1386" s="12">
        <f>IF(AG1386="Rejected",0,IF(R1386="Corporate Card",0,V1386))</f>
        <v>0</v>
      </c>
      <c r="AG1386" s="15" t="s">
        <v>133</v>
      </c>
      <c r="AH1386" s="16">
        <v>45826</v>
      </c>
      <c r="AI1386" s="16">
        <v>45828</v>
      </c>
      <c r="AJ1386" s="16">
        <v>45837</v>
      </c>
      <c r="AK1386" s="17">
        <f>IF(AJ1386="","",AJ1386-AH1386)</f>
        <v>11</v>
      </c>
    </row>
    <row r="1387" spans="1:37">
      <c r="A1387" s="2" t="s">
        <v>1818</v>
      </c>
      <c r="B1387" s="2" t="s">
        <v>770</v>
      </c>
      <c r="C1387" s="2" t="s">
        <v>771</v>
      </c>
      <c r="D1387" s="2" t="s">
        <v>414</v>
      </c>
      <c r="E1387" s="2" t="s">
        <v>772</v>
      </c>
      <c r="F1387" s="2" t="s">
        <v>413</v>
      </c>
      <c r="G1387" s="2" t="s">
        <v>1810</v>
      </c>
      <c r="H1387" s="2" t="s">
        <v>448</v>
      </c>
      <c r="I1387" s="2" t="s">
        <v>651</v>
      </c>
      <c r="J1387" s="2" t="s">
        <v>652</v>
      </c>
      <c r="K1387" s="9">
        <v>45813</v>
      </c>
      <c r="L1387" s="9">
        <v>45818</v>
      </c>
      <c r="M1387" s="9">
        <v>45814</v>
      </c>
      <c r="N1387" s="2" t="s">
        <v>1790</v>
      </c>
      <c r="O1387" s="2" t="s">
        <v>65</v>
      </c>
      <c r="P1387" s="2" t="s">
        <v>211</v>
      </c>
      <c r="Q1387" s="2" t="s">
        <v>460</v>
      </c>
      <c r="R1387" s="2" t="s">
        <v>128</v>
      </c>
      <c r="S1387" s="2" t="s">
        <v>654</v>
      </c>
      <c r="T1387" s="10">
        <v>64.16</v>
      </c>
      <c r="U1387" s="11">
        <v>0.72799999999999998</v>
      </c>
      <c r="V1387" s="12">
        <f>T1387*U1387</f>
        <v>46.708479999999994</v>
      </c>
      <c r="W1387" s="13">
        <v>0.13</v>
      </c>
      <c r="X1387" s="12">
        <f>V1387-(V1387/(1+W1387))</f>
        <v>5.3735419469026482</v>
      </c>
      <c r="Y1387" s="12">
        <f>V1387-X1387</f>
        <v>41.334938053097346</v>
      </c>
      <c r="Z1387" s="14">
        <v>55</v>
      </c>
      <c r="AA1387" s="2" t="str">
        <f>IF(V1387&gt;Z1387,"Yes","No")</f>
        <v>No</v>
      </c>
      <c r="AB1387" s="12">
        <f>V1387-Z1387</f>
        <v>-8.2915200000000056</v>
      </c>
      <c r="AC1387" s="15" t="s">
        <v>130</v>
      </c>
      <c r="AD1387" s="15" t="s">
        <v>130</v>
      </c>
      <c r="AE1387" s="15" t="s">
        <v>260</v>
      </c>
      <c r="AF1387" s="12">
        <f>IF(AG1387="Rejected",0,IF(R1387="Corporate Card",0,V1387))</f>
        <v>0</v>
      </c>
      <c r="AG1387" s="15" t="s">
        <v>133</v>
      </c>
      <c r="AH1387" s="16">
        <v>45826</v>
      </c>
      <c r="AI1387" s="16">
        <v>45828</v>
      </c>
      <c r="AJ1387" s="16">
        <v>45837</v>
      </c>
      <c r="AK1387" s="17">
        <f>IF(AJ1387="","",AJ1387-AH1387)</f>
        <v>11</v>
      </c>
    </row>
    <row r="1388" spans="1:37">
      <c r="A1388" s="2" t="s">
        <v>1819</v>
      </c>
      <c r="B1388" s="2" t="s">
        <v>770</v>
      </c>
      <c r="C1388" s="2" t="s">
        <v>771</v>
      </c>
      <c r="D1388" s="2" t="s">
        <v>414</v>
      </c>
      <c r="E1388" s="2" t="s">
        <v>772</v>
      </c>
      <c r="F1388" s="2" t="s">
        <v>413</v>
      </c>
      <c r="G1388" s="2" t="s">
        <v>1810</v>
      </c>
      <c r="H1388" s="2" t="s">
        <v>448</v>
      </c>
      <c r="I1388" s="2" t="s">
        <v>651</v>
      </c>
      <c r="J1388" s="2" t="s">
        <v>652</v>
      </c>
      <c r="K1388" s="9">
        <v>45813</v>
      </c>
      <c r="L1388" s="9">
        <v>45818</v>
      </c>
      <c r="M1388" s="9">
        <v>45814</v>
      </c>
      <c r="N1388" s="2" t="s">
        <v>1790</v>
      </c>
      <c r="O1388" s="2" t="s">
        <v>54</v>
      </c>
      <c r="P1388" s="2" t="s">
        <v>139</v>
      </c>
      <c r="Q1388" s="2" t="s">
        <v>140</v>
      </c>
      <c r="R1388" s="2" t="s">
        <v>149</v>
      </c>
      <c r="S1388" s="2" t="s">
        <v>654</v>
      </c>
      <c r="T1388" s="10">
        <v>29.72</v>
      </c>
      <c r="U1388" s="11">
        <v>0.72799999999999998</v>
      </c>
      <c r="V1388" s="12">
        <f>T1388*U1388</f>
        <v>21.63616</v>
      </c>
      <c r="W1388" s="13">
        <v>0.13</v>
      </c>
      <c r="X1388" s="12">
        <f>V1388-(V1388/(1+W1388))</f>
        <v>2.4891157522123883</v>
      </c>
      <c r="Y1388" s="12">
        <f>V1388-X1388</f>
        <v>19.147044247787612</v>
      </c>
      <c r="Z1388" s="14">
        <v>25</v>
      </c>
      <c r="AA1388" s="2" t="str">
        <f>IF(V1388&gt;Z1388,"Yes","No")</f>
        <v>No</v>
      </c>
      <c r="AB1388" s="12">
        <f>V1388-Z1388</f>
        <v>-3.3638399999999997</v>
      </c>
      <c r="AC1388" s="15" t="s">
        <v>130</v>
      </c>
      <c r="AD1388" s="15" t="s">
        <v>130</v>
      </c>
      <c r="AE1388" s="15" t="s">
        <v>260</v>
      </c>
      <c r="AF1388" s="12">
        <f>IF(AG1388="Rejected",0,IF(R1388="Corporate Card",0,V1388))</f>
        <v>21.63616</v>
      </c>
      <c r="AG1388" s="15" t="s">
        <v>133</v>
      </c>
      <c r="AH1388" s="16">
        <v>45826</v>
      </c>
      <c r="AI1388" s="16">
        <v>45828</v>
      </c>
      <c r="AJ1388" s="16">
        <v>45837</v>
      </c>
      <c r="AK1388" s="17">
        <f>IF(AJ1388="","",AJ1388-AH1388)</f>
        <v>11</v>
      </c>
    </row>
    <row r="1389" spans="1:37">
      <c r="A1389" s="2" t="s">
        <v>1820</v>
      </c>
      <c r="B1389" s="2" t="s">
        <v>770</v>
      </c>
      <c r="C1389" s="2" t="s">
        <v>771</v>
      </c>
      <c r="D1389" s="2" t="s">
        <v>414</v>
      </c>
      <c r="E1389" s="2" t="s">
        <v>772</v>
      </c>
      <c r="F1389" s="2" t="s">
        <v>413</v>
      </c>
      <c r="G1389" s="2" t="s">
        <v>1810</v>
      </c>
      <c r="H1389" s="2" t="s">
        <v>448</v>
      </c>
      <c r="I1389" s="2" t="s">
        <v>651</v>
      </c>
      <c r="J1389" s="2" t="s">
        <v>652</v>
      </c>
      <c r="K1389" s="9">
        <v>45813</v>
      </c>
      <c r="L1389" s="9">
        <v>45818</v>
      </c>
      <c r="M1389" s="9">
        <v>45814</v>
      </c>
      <c r="N1389" s="2" t="s">
        <v>1790</v>
      </c>
      <c r="O1389" s="2" t="s">
        <v>56</v>
      </c>
      <c r="P1389" s="2" t="s">
        <v>165</v>
      </c>
      <c r="Q1389" s="2" t="s">
        <v>166</v>
      </c>
      <c r="R1389" s="2" t="s">
        <v>128</v>
      </c>
      <c r="S1389" s="2" t="s">
        <v>654</v>
      </c>
      <c r="T1389" s="10">
        <v>100.18</v>
      </c>
      <c r="U1389" s="11">
        <v>0.72799999999999998</v>
      </c>
      <c r="V1389" s="12">
        <f>T1389*U1389</f>
        <v>72.93104000000001</v>
      </c>
      <c r="W1389" s="13">
        <v>0.13</v>
      </c>
      <c r="X1389" s="12">
        <f>V1389-(V1389/(1+W1389))</f>
        <v>8.3902966371681345</v>
      </c>
      <c r="Y1389" s="12">
        <f>V1389-X1389</f>
        <v>64.540743362831876</v>
      </c>
      <c r="Z1389" s="14">
        <v>75</v>
      </c>
      <c r="AA1389" s="2" t="str">
        <f>IF(V1389&gt;Z1389,"Yes","No")</f>
        <v>No</v>
      </c>
      <c r="AB1389" s="12">
        <f>V1389-Z1389</f>
        <v>-2.0689599999999899</v>
      </c>
      <c r="AC1389" s="15" t="s">
        <v>130</v>
      </c>
      <c r="AD1389" s="15" t="s">
        <v>130</v>
      </c>
      <c r="AE1389" s="15" t="s">
        <v>260</v>
      </c>
      <c r="AF1389" s="12">
        <f>IF(AG1389="Rejected",0,IF(R1389="Corporate Card",0,V1389))</f>
        <v>0</v>
      </c>
      <c r="AG1389" s="15" t="s">
        <v>133</v>
      </c>
      <c r="AH1389" s="16">
        <v>45826</v>
      </c>
      <c r="AI1389" s="16">
        <v>45828</v>
      </c>
      <c r="AJ1389" s="16">
        <v>45837</v>
      </c>
      <c r="AK1389" s="17">
        <f>IF(AJ1389="","",AJ1389-AH1389)</f>
        <v>11</v>
      </c>
    </row>
    <row r="1390" spans="1:37">
      <c r="A1390" s="2" t="s">
        <v>1821</v>
      </c>
      <c r="B1390" s="2" t="s">
        <v>770</v>
      </c>
      <c r="C1390" s="2" t="s">
        <v>771</v>
      </c>
      <c r="D1390" s="2" t="s">
        <v>414</v>
      </c>
      <c r="E1390" s="2" t="s">
        <v>772</v>
      </c>
      <c r="F1390" s="2" t="s">
        <v>413</v>
      </c>
      <c r="G1390" s="2" t="s">
        <v>1810</v>
      </c>
      <c r="H1390" s="2" t="s">
        <v>448</v>
      </c>
      <c r="I1390" s="2" t="s">
        <v>651</v>
      </c>
      <c r="J1390" s="2" t="s">
        <v>652</v>
      </c>
      <c r="K1390" s="9">
        <v>45813</v>
      </c>
      <c r="L1390" s="9">
        <v>45818</v>
      </c>
      <c r="M1390" s="9">
        <v>45814</v>
      </c>
      <c r="N1390" s="2" t="s">
        <v>1790</v>
      </c>
      <c r="O1390" s="2" t="s">
        <v>55</v>
      </c>
      <c r="P1390" s="2" t="s">
        <v>139</v>
      </c>
      <c r="Q1390" s="2" t="s">
        <v>161</v>
      </c>
      <c r="R1390" s="2" t="s">
        <v>149</v>
      </c>
      <c r="S1390" s="2" t="s">
        <v>654</v>
      </c>
      <c r="T1390" s="10">
        <v>18.59</v>
      </c>
      <c r="U1390" s="11">
        <v>0.72799999999999998</v>
      </c>
      <c r="V1390" s="12">
        <f>T1390*U1390</f>
        <v>13.533519999999999</v>
      </c>
      <c r="W1390" s="13">
        <v>0.13</v>
      </c>
      <c r="X1390" s="12">
        <f>V1390-(V1390/(1+W1390))</f>
        <v>1.556953628318583</v>
      </c>
      <c r="Y1390" s="12">
        <f>V1390-X1390</f>
        <v>11.976566371681416</v>
      </c>
      <c r="Z1390" s="14">
        <v>35</v>
      </c>
      <c r="AA1390" s="2" t="str">
        <f>IF(V1390&gt;Z1390,"Yes","No")</f>
        <v>No</v>
      </c>
      <c r="AB1390" s="12">
        <f>V1390-Z1390</f>
        <v>-21.466480000000001</v>
      </c>
      <c r="AC1390" s="15" t="s">
        <v>131</v>
      </c>
      <c r="AD1390" s="15" t="s">
        <v>130</v>
      </c>
      <c r="AE1390" s="15" t="s">
        <v>260</v>
      </c>
      <c r="AF1390" s="12">
        <f>IF(AG1390="Rejected",0,IF(R1390="Corporate Card",0,V1390))</f>
        <v>13.533519999999999</v>
      </c>
      <c r="AG1390" s="15" t="s">
        <v>133</v>
      </c>
      <c r="AH1390" s="16">
        <v>45826</v>
      </c>
      <c r="AI1390" s="16">
        <v>45828</v>
      </c>
      <c r="AJ1390" s="16">
        <v>45837</v>
      </c>
      <c r="AK1390" s="17">
        <f>IF(AJ1390="","",AJ1390-AH1390)</f>
        <v>11</v>
      </c>
    </row>
    <row r="1391" spans="1:37">
      <c r="A1391" s="2" t="s">
        <v>1822</v>
      </c>
      <c r="B1391" s="2" t="s">
        <v>770</v>
      </c>
      <c r="C1391" s="2" t="s">
        <v>771</v>
      </c>
      <c r="D1391" s="2" t="s">
        <v>414</v>
      </c>
      <c r="E1391" s="2" t="s">
        <v>772</v>
      </c>
      <c r="F1391" s="2" t="s">
        <v>413</v>
      </c>
      <c r="G1391" s="2" t="s">
        <v>1810</v>
      </c>
      <c r="H1391" s="2" t="s">
        <v>448</v>
      </c>
      <c r="I1391" s="2" t="s">
        <v>651</v>
      </c>
      <c r="J1391" s="2" t="s">
        <v>652</v>
      </c>
      <c r="K1391" s="9">
        <v>45813</v>
      </c>
      <c r="L1391" s="9">
        <v>45818</v>
      </c>
      <c r="M1391" s="9">
        <v>45815</v>
      </c>
      <c r="N1391" s="2" t="s">
        <v>1790</v>
      </c>
      <c r="O1391" s="2" t="s">
        <v>61</v>
      </c>
      <c r="P1391" s="2" t="s">
        <v>528</v>
      </c>
      <c r="Q1391" s="2" t="s">
        <v>529</v>
      </c>
      <c r="R1391" s="2" t="s">
        <v>128</v>
      </c>
      <c r="S1391" s="2" t="s">
        <v>654</v>
      </c>
      <c r="T1391" s="10">
        <v>169.45</v>
      </c>
      <c r="U1391" s="11">
        <v>0.72799999999999998</v>
      </c>
      <c r="V1391" s="12">
        <f>T1391*U1391</f>
        <v>123.35959999999999</v>
      </c>
      <c r="W1391" s="13">
        <v>0</v>
      </c>
      <c r="X1391" s="12">
        <f>V1391-(V1391/(1+W1391))</f>
        <v>0</v>
      </c>
      <c r="Y1391" s="12">
        <f>V1391-X1391</f>
        <v>123.35959999999999</v>
      </c>
      <c r="Z1391" s="14">
        <v>90</v>
      </c>
      <c r="AA1391" s="2" t="str">
        <f>IF(V1391&gt;Z1391,"Yes","No")</f>
        <v>Yes</v>
      </c>
      <c r="AB1391" s="12">
        <f>V1391-Z1391</f>
        <v>33.359599999999986</v>
      </c>
      <c r="AC1391" s="15" t="s">
        <v>130</v>
      </c>
      <c r="AD1391" s="15" t="s">
        <v>130</v>
      </c>
      <c r="AE1391" s="15" t="s">
        <v>260</v>
      </c>
      <c r="AF1391" s="12">
        <f>IF(AG1391="Rejected",0,IF(R1391="Corporate Card",0,V1391))</f>
        <v>0</v>
      </c>
      <c r="AG1391" s="15" t="s">
        <v>133</v>
      </c>
      <c r="AH1391" s="16">
        <v>45826</v>
      </c>
      <c r="AI1391" s="16">
        <v>45828</v>
      </c>
      <c r="AJ1391" s="16">
        <v>45837</v>
      </c>
      <c r="AK1391" s="17">
        <f>IF(AJ1391="","",AJ1391-AH1391)</f>
        <v>11</v>
      </c>
    </row>
    <row r="1392" spans="1:37">
      <c r="A1392" s="2" t="s">
        <v>1823</v>
      </c>
      <c r="B1392" s="2" t="s">
        <v>770</v>
      </c>
      <c r="C1392" s="2" t="s">
        <v>771</v>
      </c>
      <c r="D1392" s="2" t="s">
        <v>414</v>
      </c>
      <c r="E1392" s="2" t="s">
        <v>772</v>
      </c>
      <c r="F1392" s="2" t="s">
        <v>413</v>
      </c>
      <c r="G1392" s="2" t="s">
        <v>1810</v>
      </c>
      <c r="H1392" s="2" t="s">
        <v>448</v>
      </c>
      <c r="I1392" s="2" t="s">
        <v>651</v>
      </c>
      <c r="J1392" s="2" t="s">
        <v>652</v>
      </c>
      <c r="K1392" s="9">
        <v>45813</v>
      </c>
      <c r="L1392" s="9">
        <v>45818</v>
      </c>
      <c r="M1392" s="9">
        <v>45815</v>
      </c>
      <c r="N1392" s="2" t="s">
        <v>1790</v>
      </c>
      <c r="O1392" s="2" t="s">
        <v>58</v>
      </c>
      <c r="P1392" s="2" t="s">
        <v>142</v>
      </c>
      <c r="Q1392" s="2" t="s">
        <v>203</v>
      </c>
      <c r="R1392" s="2" t="s">
        <v>149</v>
      </c>
      <c r="S1392" s="2" t="s">
        <v>654</v>
      </c>
      <c r="T1392" s="10">
        <v>40.32</v>
      </c>
      <c r="U1392" s="11">
        <v>0.72799999999999998</v>
      </c>
      <c r="V1392" s="12">
        <f>T1392*U1392</f>
        <v>29.352959999999999</v>
      </c>
      <c r="W1392" s="13">
        <v>0.13</v>
      </c>
      <c r="X1392" s="12">
        <f>V1392-(V1392/(1+W1392))</f>
        <v>3.3768892035398217</v>
      </c>
      <c r="Y1392" s="12">
        <f>V1392-X1392</f>
        <v>25.976070796460178</v>
      </c>
      <c r="Z1392" s="14">
        <v>60</v>
      </c>
      <c r="AA1392" s="2" t="str">
        <f>IF(V1392&gt;Z1392,"Yes","No")</f>
        <v>No</v>
      </c>
      <c r="AB1392" s="12">
        <f>V1392-Z1392</f>
        <v>-30.647040000000001</v>
      </c>
      <c r="AC1392" s="15" t="s">
        <v>130</v>
      </c>
      <c r="AD1392" s="15" t="s">
        <v>130</v>
      </c>
      <c r="AE1392" s="15" t="s">
        <v>260</v>
      </c>
      <c r="AF1392" s="12">
        <f>IF(AG1392="Rejected",0,IF(R1392="Corporate Card",0,V1392))</f>
        <v>29.352959999999999</v>
      </c>
      <c r="AG1392" s="15" t="s">
        <v>133</v>
      </c>
      <c r="AH1392" s="16">
        <v>45826</v>
      </c>
      <c r="AI1392" s="16">
        <v>45828</v>
      </c>
      <c r="AJ1392" s="16">
        <v>45837</v>
      </c>
      <c r="AK1392" s="17">
        <f>IF(AJ1392="","",AJ1392-AH1392)</f>
        <v>11</v>
      </c>
    </row>
    <row r="1393" spans="1:37">
      <c r="A1393" s="2" t="s">
        <v>1824</v>
      </c>
      <c r="B1393" s="2" t="s">
        <v>770</v>
      </c>
      <c r="C1393" s="2" t="s">
        <v>771</v>
      </c>
      <c r="D1393" s="2" t="s">
        <v>414</v>
      </c>
      <c r="E1393" s="2" t="s">
        <v>772</v>
      </c>
      <c r="F1393" s="2" t="s">
        <v>413</v>
      </c>
      <c r="G1393" s="2" t="s">
        <v>1810</v>
      </c>
      <c r="H1393" s="2" t="s">
        <v>448</v>
      </c>
      <c r="I1393" s="2" t="s">
        <v>651</v>
      </c>
      <c r="J1393" s="2" t="s">
        <v>652</v>
      </c>
      <c r="K1393" s="9">
        <v>45813</v>
      </c>
      <c r="L1393" s="9">
        <v>45818</v>
      </c>
      <c r="M1393" s="9">
        <v>45815</v>
      </c>
      <c r="N1393" s="2" t="s">
        <v>1790</v>
      </c>
      <c r="O1393" s="2" t="s">
        <v>54</v>
      </c>
      <c r="P1393" s="2" t="s">
        <v>139</v>
      </c>
      <c r="Q1393" s="2" t="s">
        <v>140</v>
      </c>
      <c r="R1393" s="2" t="s">
        <v>137</v>
      </c>
      <c r="S1393" s="2" t="s">
        <v>654</v>
      </c>
      <c r="T1393" s="10">
        <v>36.33</v>
      </c>
      <c r="U1393" s="11">
        <v>0.72799999999999998</v>
      </c>
      <c r="V1393" s="12">
        <f>T1393*U1393</f>
        <v>26.448239999999998</v>
      </c>
      <c r="W1393" s="13">
        <v>0.13</v>
      </c>
      <c r="X1393" s="12">
        <f>V1393-(V1393/(1+W1393))</f>
        <v>3.0427178761061917</v>
      </c>
      <c r="Y1393" s="12">
        <f>V1393-X1393</f>
        <v>23.405522123893807</v>
      </c>
      <c r="Z1393" s="14">
        <v>25</v>
      </c>
      <c r="AA1393" s="2" t="str">
        <f>IF(V1393&gt;Z1393,"Yes","No")</f>
        <v>Yes</v>
      </c>
      <c r="AB1393" s="12">
        <f>V1393-Z1393</f>
        <v>1.4482399999999984</v>
      </c>
      <c r="AC1393" s="15" t="s">
        <v>130</v>
      </c>
      <c r="AD1393" s="15" t="s">
        <v>130</v>
      </c>
      <c r="AE1393" s="15" t="s">
        <v>260</v>
      </c>
      <c r="AF1393" s="12">
        <f>IF(AG1393="Rejected",0,IF(R1393="Corporate Card",0,V1393))</f>
        <v>26.448239999999998</v>
      </c>
      <c r="AG1393" s="15" t="s">
        <v>133</v>
      </c>
      <c r="AH1393" s="16">
        <v>45826</v>
      </c>
      <c r="AI1393" s="16">
        <v>45828</v>
      </c>
      <c r="AJ1393" s="16">
        <v>45837</v>
      </c>
      <c r="AK1393" s="17">
        <f>IF(AJ1393="","",AJ1393-AH1393)</f>
        <v>11</v>
      </c>
    </row>
    <row r="1394" spans="1:37">
      <c r="A1394" s="2" t="s">
        <v>1825</v>
      </c>
      <c r="B1394" s="2" t="s">
        <v>770</v>
      </c>
      <c r="C1394" s="2" t="s">
        <v>771</v>
      </c>
      <c r="D1394" s="2" t="s">
        <v>414</v>
      </c>
      <c r="E1394" s="2" t="s">
        <v>772</v>
      </c>
      <c r="F1394" s="2" t="s">
        <v>413</v>
      </c>
      <c r="G1394" s="2" t="s">
        <v>1810</v>
      </c>
      <c r="H1394" s="2" t="s">
        <v>448</v>
      </c>
      <c r="I1394" s="2" t="s">
        <v>651</v>
      </c>
      <c r="J1394" s="2" t="s">
        <v>652</v>
      </c>
      <c r="K1394" s="9">
        <v>45813</v>
      </c>
      <c r="L1394" s="9">
        <v>45818</v>
      </c>
      <c r="M1394" s="9">
        <v>45815</v>
      </c>
      <c r="N1394" s="2" t="s">
        <v>1790</v>
      </c>
      <c r="O1394" s="2" t="s">
        <v>56</v>
      </c>
      <c r="P1394" s="2" t="s">
        <v>231</v>
      </c>
      <c r="Q1394" s="2" t="s">
        <v>185</v>
      </c>
      <c r="R1394" s="2" t="s">
        <v>128</v>
      </c>
      <c r="S1394" s="2" t="s">
        <v>654</v>
      </c>
      <c r="T1394" s="10">
        <v>95.3</v>
      </c>
      <c r="U1394" s="11">
        <v>0.72799999999999998</v>
      </c>
      <c r="V1394" s="12">
        <f>T1394*U1394</f>
        <v>69.378399999999999</v>
      </c>
      <c r="W1394" s="13">
        <v>0.13</v>
      </c>
      <c r="X1394" s="12">
        <f>V1394-(V1394/(1+W1394))</f>
        <v>7.9815858407079574</v>
      </c>
      <c r="Y1394" s="12">
        <f>V1394-X1394</f>
        <v>61.396814159292042</v>
      </c>
      <c r="Z1394" s="14">
        <v>75</v>
      </c>
      <c r="AA1394" s="2" t="str">
        <f>IF(V1394&gt;Z1394,"Yes","No")</f>
        <v>No</v>
      </c>
      <c r="AB1394" s="12">
        <f>V1394-Z1394</f>
        <v>-5.6216000000000008</v>
      </c>
      <c r="AC1394" s="15" t="s">
        <v>130</v>
      </c>
      <c r="AD1394" s="15" t="s">
        <v>130</v>
      </c>
      <c r="AE1394" s="15" t="s">
        <v>260</v>
      </c>
      <c r="AF1394" s="12">
        <f>IF(AG1394="Rejected",0,IF(R1394="Corporate Card",0,V1394))</f>
        <v>0</v>
      </c>
      <c r="AG1394" s="15" t="s">
        <v>133</v>
      </c>
      <c r="AH1394" s="16">
        <v>45826</v>
      </c>
      <c r="AI1394" s="16">
        <v>45828</v>
      </c>
      <c r="AJ1394" s="16">
        <v>45837</v>
      </c>
      <c r="AK1394" s="17">
        <f>IF(AJ1394="","",AJ1394-AH1394)</f>
        <v>11</v>
      </c>
    </row>
    <row r="1395" spans="1:37">
      <c r="A1395" s="2" t="s">
        <v>1826</v>
      </c>
      <c r="B1395" s="2" t="s">
        <v>770</v>
      </c>
      <c r="C1395" s="2" t="s">
        <v>771</v>
      </c>
      <c r="D1395" s="2" t="s">
        <v>414</v>
      </c>
      <c r="E1395" s="2" t="s">
        <v>772</v>
      </c>
      <c r="F1395" s="2" t="s">
        <v>413</v>
      </c>
      <c r="G1395" s="2" t="s">
        <v>1810</v>
      </c>
      <c r="H1395" s="2" t="s">
        <v>448</v>
      </c>
      <c r="I1395" s="2" t="s">
        <v>651</v>
      </c>
      <c r="J1395" s="2" t="s">
        <v>652</v>
      </c>
      <c r="K1395" s="9">
        <v>45813</v>
      </c>
      <c r="L1395" s="9">
        <v>45818</v>
      </c>
      <c r="M1395" s="9">
        <v>45815</v>
      </c>
      <c r="N1395" s="2" t="s">
        <v>1790</v>
      </c>
      <c r="O1395" s="2" t="s">
        <v>55</v>
      </c>
      <c r="P1395" s="2" t="s">
        <v>139</v>
      </c>
      <c r="Q1395" s="2" t="s">
        <v>217</v>
      </c>
      <c r="R1395" s="2" t="s">
        <v>149</v>
      </c>
      <c r="S1395" s="2" t="s">
        <v>654</v>
      </c>
      <c r="T1395" s="10">
        <v>23.3</v>
      </c>
      <c r="U1395" s="11">
        <v>0.72799999999999998</v>
      </c>
      <c r="V1395" s="12">
        <f>T1395*U1395</f>
        <v>16.962399999999999</v>
      </c>
      <c r="W1395" s="13">
        <v>0.13</v>
      </c>
      <c r="X1395" s="12">
        <f>V1395-(V1395/(1+W1395))</f>
        <v>1.9514265486725648</v>
      </c>
      <c r="Y1395" s="12">
        <f>V1395-X1395</f>
        <v>15.010973451327434</v>
      </c>
      <c r="Z1395" s="14">
        <v>35</v>
      </c>
      <c r="AA1395" s="2" t="str">
        <f>IF(V1395&gt;Z1395,"Yes","No")</f>
        <v>No</v>
      </c>
      <c r="AB1395" s="12">
        <f>V1395-Z1395</f>
        <v>-18.037600000000001</v>
      </c>
      <c r="AC1395" s="15" t="s">
        <v>130</v>
      </c>
      <c r="AD1395" s="15" t="s">
        <v>130</v>
      </c>
      <c r="AE1395" s="15" t="s">
        <v>260</v>
      </c>
      <c r="AF1395" s="12">
        <f>IF(AG1395="Rejected",0,IF(R1395="Corporate Card",0,V1395))</f>
        <v>16.962399999999999</v>
      </c>
      <c r="AG1395" s="15" t="s">
        <v>133</v>
      </c>
      <c r="AH1395" s="16">
        <v>45826</v>
      </c>
      <c r="AI1395" s="16">
        <v>45828</v>
      </c>
      <c r="AJ1395" s="16">
        <v>45837</v>
      </c>
      <c r="AK1395" s="17">
        <f>IF(AJ1395="","",AJ1395-AH1395)</f>
        <v>11</v>
      </c>
    </row>
    <row r="1396" spans="1:37">
      <c r="A1396" s="2" t="s">
        <v>1827</v>
      </c>
      <c r="B1396" s="2" t="s">
        <v>770</v>
      </c>
      <c r="C1396" s="2" t="s">
        <v>771</v>
      </c>
      <c r="D1396" s="2" t="s">
        <v>414</v>
      </c>
      <c r="E1396" s="2" t="s">
        <v>772</v>
      </c>
      <c r="F1396" s="2" t="s">
        <v>413</v>
      </c>
      <c r="G1396" s="2" t="s">
        <v>1810</v>
      </c>
      <c r="H1396" s="2" t="s">
        <v>448</v>
      </c>
      <c r="I1396" s="2" t="s">
        <v>651</v>
      </c>
      <c r="J1396" s="2" t="s">
        <v>652</v>
      </c>
      <c r="K1396" s="9">
        <v>45813</v>
      </c>
      <c r="L1396" s="9">
        <v>45818</v>
      </c>
      <c r="M1396" s="9">
        <v>45815</v>
      </c>
      <c r="N1396" s="2" t="s">
        <v>1790</v>
      </c>
      <c r="O1396" s="2" t="s">
        <v>62</v>
      </c>
      <c r="P1396" s="2" t="s">
        <v>533</v>
      </c>
      <c r="Q1396" s="2" t="s">
        <v>1133</v>
      </c>
      <c r="R1396" s="2" t="s">
        <v>128</v>
      </c>
      <c r="S1396" s="2" t="s">
        <v>654</v>
      </c>
      <c r="T1396" s="10">
        <v>23.06</v>
      </c>
      <c r="U1396" s="11">
        <v>0.72799999999999998</v>
      </c>
      <c r="V1396" s="12">
        <f>T1396*U1396</f>
        <v>16.787679999999998</v>
      </c>
      <c r="W1396" s="13">
        <v>0.13</v>
      </c>
      <c r="X1396" s="12">
        <f>V1396-(V1396/(1+W1396))</f>
        <v>1.9313260176991136</v>
      </c>
      <c r="Y1396" s="12">
        <f>V1396-X1396</f>
        <v>14.856353982300885</v>
      </c>
      <c r="Z1396" s="14">
        <v>45</v>
      </c>
      <c r="AA1396" s="2" t="str">
        <f>IF(V1396&gt;Z1396,"Yes","No")</f>
        <v>No</v>
      </c>
      <c r="AB1396" s="12">
        <f>V1396-Z1396</f>
        <v>-28.212320000000002</v>
      </c>
      <c r="AC1396" s="15" t="s">
        <v>130</v>
      </c>
      <c r="AD1396" s="15" t="s">
        <v>130</v>
      </c>
      <c r="AE1396" s="15" t="s">
        <v>260</v>
      </c>
      <c r="AF1396" s="12">
        <f>IF(AG1396="Rejected",0,IF(R1396="Corporate Card",0,V1396))</f>
        <v>0</v>
      </c>
      <c r="AG1396" s="15" t="s">
        <v>133</v>
      </c>
      <c r="AH1396" s="16">
        <v>45826</v>
      </c>
      <c r="AI1396" s="16">
        <v>45828</v>
      </c>
      <c r="AJ1396" s="16">
        <v>45837</v>
      </c>
      <c r="AK1396" s="17">
        <f>IF(AJ1396="","",AJ1396-AH1396)</f>
        <v>11</v>
      </c>
    </row>
    <row r="1397" spans="1:37">
      <c r="A1397" s="2" t="s">
        <v>1828</v>
      </c>
      <c r="B1397" s="2" t="s">
        <v>189</v>
      </c>
      <c r="C1397" s="2" t="s">
        <v>190</v>
      </c>
      <c r="D1397" s="2" t="s">
        <v>171</v>
      </c>
      <c r="E1397" s="2" t="s">
        <v>191</v>
      </c>
      <c r="F1397" s="2" t="s">
        <v>173</v>
      </c>
      <c r="G1397" s="2" t="s">
        <v>1829</v>
      </c>
      <c r="H1397" s="2" t="s">
        <v>417</v>
      </c>
      <c r="I1397" s="2" t="s">
        <v>567</v>
      </c>
      <c r="J1397" s="2" t="s">
        <v>434</v>
      </c>
      <c r="K1397" s="9">
        <v>45815</v>
      </c>
      <c r="L1397" s="9">
        <v>45816</v>
      </c>
      <c r="M1397" s="9">
        <v>45815</v>
      </c>
      <c r="N1397" s="2" t="s">
        <v>1790</v>
      </c>
      <c r="O1397" s="2" t="s">
        <v>52</v>
      </c>
      <c r="P1397" s="2" t="s">
        <v>568</v>
      </c>
      <c r="Q1397" s="2" t="s">
        <v>197</v>
      </c>
      <c r="R1397" s="2" t="s">
        <v>137</v>
      </c>
      <c r="S1397" s="2" t="s">
        <v>436</v>
      </c>
      <c r="T1397" s="10">
        <v>240129</v>
      </c>
      <c r="U1397" s="11">
        <v>1.1780000000000001E-2</v>
      </c>
      <c r="V1397" s="12">
        <f>T1397*U1397</f>
        <v>2828.7196200000003</v>
      </c>
      <c r="W1397" s="13">
        <v>0</v>
      </c>
      <c r="X1397" s="12">
        <f>V1397-(V1397/(1+W1397))</f>
        <v>0</v>
      </c>
      <c r="Y1397" s="12">
        <f>V1397-X1397</f>
        <v>2828.7196200000003</v>
      </c>
      <c r="Z1397" s="14">
        <v>1400</v>
      </c>
      <c r="AA1397" s="2" t="str">
        <f>IF(V1397&gt;Z1397,"Yes","No")</f>
        <v>Yes</v>
      </c>
      <c r="AB1397" s="12">
        <f>V1397-Z1397</f>
        <v>1428.7196200000003</v>
      </c>
      <c r="AC1397" s="15" t="s">
        <v>130</v>
      </c>
      <c r="AD1397" s="15" t="s">
        <v>131</v>
      </c>
      <c r="AE1397" s="15" t="s">
        <v>858</v>
      </c>
      <c r="AF1397" s="12">
        <f>IF(AG1397="Rejected",0,IF(R1397="Corporate Card",0,V1397))</f>
        <v>2828.7196200000003</v>
      </c>
      <c r="AG1397" s="15" t="s">
        <v>181</v>
      </c>
      <c r="AH1397" s="16">
        <v>45819</v>
      </c>
      <c r="AI1397" s="16"/>
      <c r="AJ1397" s="16"/>
      <c r="AK1397" s="17" t="str">
        <f>IF(AJ1397="","",AJ1397-AH1397)</f>
        <v/>
      </c>
    </row>
    <row r="1398" spans="1:37">
      <c r="A1398" s="2" t="s">
        <v>1830</v>
      </c>
      <c r="B1398" s="2" t="s">
        <v>189</v>
      </c>
      <c r="C1398" s="2" t="s">
        <v>190</v>
      </c>
      <c r="D1398" s="2" t="s">
        <v>171</v>
      </c>
      <c r="E1398" s="2" t="s">
        <v>191</v>
      </c>
      <c r="F1398" s="2" t="s">
        <v>173</v>
      </c>
      <c r="G1398" s="2" t="s">
        <v>1829</v>
      </c>
      <c r="H1398" s="2" t="s">
        <v>417</v>
      </c>
      <c r="I1398" s="2" t="s">
        <v>567</v>
      </c>
      <c r="J1398" s="2" t="s">
        <v>434</v>
      </c>
      <c r="K1398" s="9">
        <v>45815</v>
      </c>
      <c r="L1398" s="9">
        <v>45816</v>
      </c>
      <c r="M1398" s="9">
        <v>45815</v>
      </c>
      <c r="N1398" s="2" t="s">
        <v>1790</v>
      </c>
      <c r="O1398" s="2" t="s">
        <v>56</v>
      </c>
      <c r="P1398" s="2" t="s">
        <v>245</v>
      </c>
      <c r="Q1398" s="2" t="s">
        <v>159</v>
      </c>
      <c r="R1398" s="2" t="s">
        <v>128</v>
      </c>
      <c r="S1398" s="2" t="s">
        <v>436</v>
      </c>
      <c r="T1398" s="10">
        <v>8836</v>
      </c>
      <c r="U1398" s="11">
        <v>1.1780000000000001E-2</v>
      </c>
      <c r="V1398" s="12">
        <f>T1398*U1398</f>
        <v>104.08808000000001</v>
      </c>
      <c r="W1398" s="13">
        <v>0.18</v>
      </c>
      <c r="X1398" s="12">
        <f>V1398-(V1398/(1+W1398))</f>
        <v>15.877842711864403</v>
      </c>
      <c r="Y1398" s="12">
        <f>V1398-X1398</f>
        <v>88.210237288135602</v>
      </c>
      <c r="Z1398" s="14">
        <v>75</v>
      </c>
      <c r="AA1398" s="2" t="str">
        <f>IF(V1398&gt;Z1398,"Yes","No")</f>
        <v>Yes</v>
      </c>
      <c r="AB1398" s="12">
        <f>V1398-Z1398</f>
        <v>29.088080000000005</v>
      </c>
      <c r="AC1398" s="15" t="s">
        <v>130</v>
      </c>
      <c r="AD1398" s="15" t="s">
        <v>131</v>
      </c>
      <c r="AE1398" s="15" t="s">
        <v>858</v>
      </c>
      <c r="AF1398" s="12">
        <f>IF(AG1398="Rejected",0,IF(R1398="Corporate Card",0,V1398))</f>
        <v>0</v>
      </c>
      <c r="AG1398" s="15" t="s">
        <v>181</v>
      </c>
      <c r="AH1398" s="16">
        <v>45819</v>
      </c>
      <c r="AI1398" s="16"/>
      <c r="AJ1398" s="16"/>
      <c r="AK1398" s="17" t="str">
        <f>IF(AJ1398="","",AJ1398-AH1398)</f>
        <v/>
      </c>
    </row>
    <row r="1399" spans="1:37">
      <c r="A1399" s="2" t="s">
        <v>1831</v>
      </c>
      <c r="B1399" s="2" t="s">
        <v>189</v>
      </c>
      <c r="C1399" s="2" t="s">
        <v>190</v>
      </c>
      <c r="D1399" s="2" t="s">
        <v>171</v>
      </c>
      <c r="E1399" s="2" t="s">
        <v>191</v>
      </c>
      <c r="F1399" s="2" t="s">
        <v>173</v>
      </c>
      <c r="G1399" s="2" t="s">
        <v>1829</v>
      </c>
      <c r="H1399" s="2" t="s">
        <v>417</v>
      </c>
      <c r="I1399" s="2" t="s">
        <v>567</v>
      </c>
      <c r="J1399" s="2" t="s">
        <v>434</v>
      </c>
      <c r="K1399" s="9">
        <v>45815</v>
      </c>
      <c r="L1399" s="9">
        <v>45816</v>
      </c>
      <c r="M1399" s="9">
        <v>45815</v>
      </c>
      <c r="N1399" s="2" t="s">
        <v>1790</v>
      </c>
      <c r="O1399" s="2" t="s">
        <v>55</v>
      </c>
      <c r="P1399" s="2" t="s">
        <v>139</v>
      </c>
      <c r="Q1399" s="2" t="s">
        <v>161</v>
      </c>
      <c r="R1399" s="2" t="s">
        <v>128</v>
      </c>
      <c r="S1399" s="2" t="s">
        <v>436</v>
      </c>
      <c r="T1399" s="10">
        <v>1537</v>
      </c>
      <c r="U1399" s="11">
        <v>1.1780000000000001E-2</v>
      </c>
      <c r="V1399" s="12">
        <f>T1399*U1399</f>
        <v>18.10586</v>
      </c>
      <c r="W1399" s="13">
        <v>0.18</v>
      </c>
      <c r="X1399" s="12">
        <f>V1399-(V1399/(1+W1399))</f>
        <v>2.7619108474576262</v>
      </c>
      <c r="Y1399" s="12">
        <f>V1399-X1399</f>
        <v>15.343949152542374</v>
      </c>
      <c r="Z1399" s="14">
        <v>35</v>
      </c>
      <c r="AA1399" s="2" t="str">
        <f>IF(V1399&gt;Z1399,"Yes","No")</f>
        <v>No</v>
      </c>
      <c r="AB1399" s="12">
        <f>V1399-Z1399</f>
        <v>-16.89414</v>
      </c>
      <c r="AC1399" s="15" t="s">
        <v>130</v>
      </c>
      <c r="AD1399" s="15" t="s">
        <v>131</v>
      </c>
      <c r="AE1399" s="15" t="s">
        <v>858</v>
      </c>
      <c r="AF1399" s="12">
        <f>IF(AG1399="Rejected",0,IF(R1399="Corporate Card",0,V1399))</f>
        <v>0</v>
      </c>
      <c r="AG1399" s="15" t="s">
        <v>181</v>
      </c>
      <c r="AH1399" s="16">
        <v>45819</v>
      </c>
      <c r="AI1399" s="16"/>
      <c r="AJ1399" s="16"/>
      <c r="AK1399" s="17" t="str">
        <f>IF(AJ1399="","",AJ1399-AH1399)</f>
        <v/>
      </c>
    </row>
    <row r="1400" spans="1:37">
      <c r="A1400" s="2" t="s">
        <v>1832</v>
      </c>
      <c r="B1400" s="2" t="s">
        <v>189</v>
      </c>
      <c r="C1400" s="2" t="s">
        <v>190</v>
      </c>
      <c r="D1400" s="2" t="s">
        <v>171</v>
      </c>
      <c r="E1400" s="2" t="s">
        <v>191</v>
      </c>
      <c r="F1400" s="2" t="s">
        <v>173</v>
      </c>
      <c r="G1400" s="2" t="s">
        <v>1829</v>
      </c>
      <c r="H1400" s="2" t="s">
        <v>417</v>
      </c>
      <c r="I1400" s="2" t="s">
        <v>567</v>
      </c>
      <c r="J1400" s="2" t="s">
        <v>434</v>
      </c>
      <c r="K1400" s="9">
        <v>45815</v>
      </c>
      <c r="L1400" s="9">
        <v>45816</v>
      </c>
      <c r="M1400" s="9">
        <v>45815</v>
      </c>
      <c r="N1400" s="2" t="s">
        <v>1790</v>
      </c>
      <c r="O1400" s="2" t="s">
        <v>66</v>
      </c>
      <c r="P1400" s="2" t="s">
        <v>489</v>
      </c>
      <c r="Q1400" s="2" t="s">
        <v>947</v>
      </c>
      <c r="R1400" s="2" t="s">
        <v>149</v>
      </c>
      <c r="S1400" s="2" t="s">
        <v>436</v>
      </c>
      <c r="T1400" s="10">
        <v>9922</v>
      </c>
      <c r="U1400" s="11">
        <v>1.1780000000000001E-2</v>
      </c>
      <c r="V1400" s="12">
        <f>T1400*U1400</f>
        <v>116.88116000000001</v>
      </c>
      <c r="W1400" s="13">
        <v>0</v>
      </c>
      <c r="X1400" s="12">
        <f>V1400-(V1400/(1+W1400))</f>
        <v>0</v>
      </c>
      <c r="Y1400" s="12">
        <f>V1400-X1400</f>
        <v>116.88116000000001</v>
      </c>
      <c r="Z1400" s="14">
        <v>250</v>
      </c>
      <c r="AA1400" s="2" t="str">
        <f>IF(V1400&gt;Z1400,"Yes","No")</f>
        <v>No</v>
      </c>
      <c r="AB1400" s="12">
        <f>V1400-Z1400</f>
        <v>-133.11883999999998</v>
      </c>
      <c r="AC1400" s="15" t="s">
        <v>130</v>
      </c>
      <c r="AD1400" s="15" t="s">
        <v>131</v>
      </c>
      <c r="AE1400" s="15" t="s">
        <v>858</v>
      </c>
      <c r="AF1400" s="12">
        <f>IF(AG1400="Rejected",0,IF(R1400="Corporate Card",0,V1400))</f>
        <v>116.88116000000001</v>
      </c>
      <c r="AG1400" s="15" t="s">
        <v>181</v>
      </c>
      <c r="AH1400" s="16">
        <v>45819</v>
      </c>
      <c r="AI1400" s="16"/>
      <c r="AJ1400" s="16"/>
      <c r="AK1400" s="17" t="str">
        <f>IF(AJ1400="","",AJ1400-AH1400)</f>
        <v/>
      </c>
    </row>
    <row r="1401" spans="1:37">
      <c r="A1401" s="2" t="s">
        <v>1833</v>
      </c>
      <c r="B1401" s="2" t="s">
        <v>770</v>
      </c>
      <c r="C1401" s="2" t="s">
        <v>771</v>
      </c>
      <c r="D1401" s="2" t="s">
        <v>414</v>
      </c>
      <c r="E1401" s="2" t="s">
        <v>772</v>
      </c>
      <c r="F1401" s="2" t="s">
        <v>413</v>
      </c>
      <c r="G1401" s="2" t="s">
        <v>1834</v>
      </c>
      <c r="H1401" s="2" t="s">
        <v>379</v>
      </c>
      <c r="I1401" s="2" t="s">
        <v>1251</v>
      </c>
      <c r="J1401" s="2" t="s">
        <v>750</v>
      </c>
      <c r="K1401" s="9">
        <v>45816</v>
      </c>
      <c r="L1401" s="9">
        <v>45820</v>
      </c>
      <c r="M1401" s="9">
        <v>45816</v>
      </c>
      <c r="N1401" s="2" t="s">
        <v>1790</v>
      </c>
      <c r="O1401" s="2" t="s">
        <v>52</v>
      </c>
      <c r="P1401" s="2" t="s">
        <v>1252</v>
      </c>
      <c r="Q1401" s="2" t="s">
        <v>136</v>
      </c>
      <c r="R1401" s="2" t="s">
        <v>149</v>
      </c>
      <c r="S1401" s="2" t="s">
        <v>198</v>
      </c>
      <c r="T1401" s="10">
        <v>1781.69</v>
      </c>
      <c r="U1401" s="11">
        <v>1.085</v>
      </c>
      <c r="V1401" s="12">
        <f>T1401*U1401</f>
        <v>1933.13365</v>
      </c>
      <c r="W1401" s="13">
        <v>0</v>
      </c>
      <c r="X1401" s="12">
        <f>V1401-(V1401/(1+W1401))</f>
        <v>0</v>
      </c>
      <c r="Y1401" s="12">
        <f>V1401-X1401</f>
        <v>1933.13365</v>
      </c>
      <c r="Z1401" s="14">
        <v>1400</v>
      </c>
      <c r="AA1401" s="2" t="str">
        <f>IF(V1401&gt;Z1401,"Yes","No")</f>
        <v>Yes</v>
      </c>
      <c r="AB1401" s="12">
        <f>V1401-Z1401</f>
        <v>533.13364999999999</v>
      </c>
      <c r="AC1401" s="15" t="s">
        <v>130</v>
      </c>
      <c r="AD1401" s="15" t="s">
        <v>131</v>
      </c>
      <c r="AE1401" s="15" t="s">
        <v>132</v>
      </c>
      <c r="AF1401" s="12">
        <f>IF(AG1401="Rejected",0,IF(R1401="Corporate Card",0,V1401))</f>
        <v>1933.13365</v>
      </c>
      <c r="AG1401" s="15" t="s">
        <v>133</v>
      </c>
      <c r="AH1401" s="16">
        <v>45824</v>
      </c>
      <c r="AI1401" s="16">
        <v>45827</v>
      </c>
      <c r="AJ1401" s="16">
        <v>45835</v>
      </c>
      <c r="AK1401" s="17">
        <f>IF(AJ1401="","",AJ1401-AH1401)</f>
        <v>11</v>
      </c>
    </row>
    <row r="1402" spans="1:37">
      <c r="A1402" s="2" t="s">
        <v>1835</v>
      </c>
      <c r="B1402" s="2" t="s">
        <v>770</v>
      </c>
      <c r="C1402" s="2" t="s">
        <v>771</v>
      </c>
      <c r="D1402" s="2" t="s">
        <v>414</v>
      </c>
      <c r="E1402" s="2" t="s">
        <v>772</v>
      </c>
      <c r="F1402" s="2" t="s">
        <v>413</v>
      </c>
      <c r="G1402" s="2" t="s">
        <v>1834</v>
      </c>
      <c r="H1402" s="2" t="s">
        <v>379</v>
      </c>
      <c r="I1402" s="2" t="s">
        <v>1251</v>
      </c>
      <c r="J1402" s="2" t="s">
        <v>750</v>
      </c>
      <c r="K1402" s="9">
        <v>45816</v>
      </c>
      <c r="L1402" s="9">
        <v>45820</v>
      </c>
      <c r="M1402" s="9">
        <v>45816</v>
      </c>
      <c r="N1402" s="2" t="s">
        <v>1790</v>
      </c>
      <c r="O1402" s="2" t="s">
        <v>58</v>
      </c>
      <c r="P1402" s="2" t="s">
        <v>142</v>
      </c>
      <c r="Q1402" s="2" t="s">
        <v>203</v>
      </c>
      <c r="R1402" s="2" t="s">
        <v>128</v>
      </c>
      <c r="S1402" s="2" t="s">
        <v>198</v>
      </c>
      <c r="T1402" s="10">
        <v>82.34</v>
      </c>
      <c r="U1402" s="11">
        <v>1.085</v>
      </c>
      <c r="V1402" s="12">
        <f>T1402*U1402</f>
        <v>89.338899999999995</v>
      </c>
      <c r="W1402" s="13">
        <v>0.19</v>
      </c>
      <c r="X1402" s="12">
        <f>V1402-(V1402/(1+W1402))</f>
        <v>14.264194117647051</v>
      </c>
      <c r="Y1402" s="12">
        <f>V1402-X1402</f>
        <v>75.074705882352944</v>
      </c>
      <c r="Z1402" s="14">
        <v>60</v>
      </c>
      <c r="AA1402" s="2" t="str">
        <f>IF(V1402&gt;Z1402,"Yes","No")</f>
        <v>Yes</v>
      </c>
      <c r="AB1402" s="12">
        <f>V1402-Z1402</f>
        <v>29.338899999999995</v>
      </c>
      <c r="AC1402" s="15" t="s">
        <v>130</v>
      </c>
      <c r="AD1402" s="15" t="s">
        <v>131</v>
      </c>
      <c r="AE1402" s="15" t="s">
        <v>132</v>
      </c>
      <c r="AF1402" s="12">
        <f>IF(AG1402="Rejected",0,IF(R1402="Corporate Card",0,V1402))</f>
        <v>0</v>
      </c>
      <c r="AG1402" s="15" t="s">
        <v>133</v>
      </c>
      <c r="AH1402" s="16">
        <v>45824</v>
      </c>
      <c r="AI1402" s="16">
        <v>45827</v>
      </c>
      <c r="AJ1402" s="16">
        <v>45835</v>
      </c>
      <c r="AK1402" s="17">
        <f>IF(AJ1402="","",AJ1402-AH1402)</f>
        <v>11</v>
      </c>
    </row>
    <row r="1403" spans="1:37">
      <c r="A1403" s="2" t="s">
        <v>1836</v>
      </c>
      <c r="B1403" s="2" t="s">
        <v>770</v>
      </c>
      <c r="C1403" s="2" t="s">
        <v>771</v>
      </c>
      <c r="D1403" s="2" t="s">
        <v>414</v>
      </c>
      <c r="E1403" s="2" t="s">
        <v>772</v>
      </c>
      <c r="F1403" s="2" t="s">
        <v>413</v>
      </c>
      <c r="G1403" s="2" t="s">
        <v>1834</v>
      </c>
      <c r="H1403" s="2" t="s">
        <v>379</v>
      </c>
      <c r="I1403" s="2" t="s">
        <v>1251</v>
      </c>
      <c r="J1403" s="2" t="s">
        <v>750</v>
      </c>
      <c r="K1403" s="9">
        <v>45816</v>
      </c>
      <c r="L1403" s="9">
        <v>45820</v>
      </c>
      <c r="M1403" s="9">
        <v>45816</v>
      </c>
      <c r="N1403" s="2" t="s">
        <v>1790</v>
      </c>
      <c r="O1403" s="2" t="s">
        <v>55</v>
      </c>
      <c r="P1403" s="2" t="s">
        <v>139</v>
      </c>
      <c r="Q1403" s="2" t="s">
        <v>154</v>
      </c>
      <c r="R1403" s="2" t="s">
        <v>128</v>
      </c>
      <c r="S1403" s="2" t="s">
        <v>198</v>
      </c>
      <c r="T1403" s="10">
        <v>17.93</v>
      </c>
      <c r="U1403" s="11">
        <v>1.085</v>
      </c>
      <c r="V1403" s="12">
        <f>T1403*U1403</f>
        <v>19.454049999999999</v>
      </c>
      <c r="W1403" s="13">
        <v>0.19</v>
      </c>
      <c r="X1403" s="12">
        <f>V1403-(V1403/(1+W1403))</f>
        <v>3.1061088235294108</v>
      </c>
      <c r="Y1403" s="12">
        <f>V1403-X1403</f>
        <v>16.347941176470588</v>
      </c>
      <c r="Z1403" s="14">
        <v>35</v>
      </c>
      <c r="AA1403" s="2" t="str">
        <f>IF(V1403&gt;Z1403,"Yes","No")</f>
        <v>No</v>
      </c>
      <c r="AB1403" s="12">
        <f>V1403-Z1403</f>
        <v>-15.545950000000001</v>
      </c>
      <c r="AC1403" s="15" t="s">
        <v>130</v>
      </c>
      <c r="AD1403" s="15" t="s">
        <v>131</v>
      </c>
      <c r="AE1403" s="15" t="s">
        <v>132</v>
      </c>
      <c r="AF1403" s="12">
        <f>IF(AG1403="Rejected",0,IF(R1403="Corporate Card",0,V1403))</f>
        <v>0</v>
      </c>
      <c r="AG1403" s="15" t="s">
        <v>133</v>
      </c>
      <c r="AH1403" s="16">
        <v>45824</v>
      </c>
      <c r="AI1403" s="16">
        <v>45827</v>
      </c>
      <c r="AJ1403" s="16">
        <v>45835</v>
      </c>
      <c r="AK1403" s="17">
        <f>IF(AJ1403="","",AJ1403-AH1403)</f>
        <v>11</v>
      </c>
    </row>
    <row r="1404" spans="1:37">
      <c r="A1404" s="2" t="s">
        <v>1837</v>
      </c>
      <c r="B1404" s="2" t="s">
        <v>770</v>
      </c>
      <c r="C1404" s="2" t="s">
        <v>771</v>
      </c>
      <c r="D1404" s="2" t="s">
        <v>414</v>
      </c>
      <c r="E1404" s="2" t="s">
        <v>772</v>
      </c>
      <c r="F1404" s="2" t="s">
        <v>413</v>
      </c>
      <c r="G1404" s="2" t="s">
        <v>1810</v>
      </c>
      <c r="H1404" s="2" t="s">
        <v>448</v>
      </c>
      <c r="I1404" s="2" t="s">
        <v>651</v>
      </c>
      <c r="J1404" s="2" t="s">
        <v>652</v>
      </c>
      <c r="K1404" s="9">
        <v>45813</v>
      </c>
      <c r="L1404" s="9">
        <v>45818</v>
      </c>
      <c r="M1404" s="9">
        <v>45816</v>
      </c>
      <c r="N1404" s="2" t="s">
        <v>1790</v>
      </c>
      <c r="O1404" s="2" t="s">
        <v>68</v>
      </c>
      <c r="P1404" s="2" t="s">
        <v>282</v>
      </c>
      <c r="Q1404" s="2" t="s">
        <v>283</v>
      </c>
      <c r="R1404" s="2" t="s">
        <v>128</v>
      </c>
      <c r="S1404" s="2" t="s">
        <v>654</v>
      </c>
      <c r="T1404" s="10">
        <v>31.68</v>
      </c>
      <c r="U1404" s="11">
        <v>0.72799999999999998</v>
      </c>
      <c r="V1404" s="12">
        <f>T1404*U1404</f>
        <v>23.063040000000001</v>
      </c>
      <c r="W1404" s="13">
        <v>0.13</v>
      </c>
      <c r="X1404" s="12">
        <f>V1404-(V1404/(1+W1404))</f>
        <v>2.6532700884955744</v>
      </c>
      <c r="Y1404" s="12">
        <f>V1404-X1404</f>
        <v>20.409769911504426</v>
      </c>
      <c r="Z1404" s="14">
        <v>30</v>
      </c>
      <c r="AA1404" s="2" t="str">
        <f>IF(V1404&gt;Z1404,"Yes","No")</f>
        <v>No</v>
      </c>
      <c r="AB1404" s="12">
        <f>V1404-Z1404</f>
        <v>-6.9369599999999991</v>
      </c>
      <c r="AC1404" s="15" t="s">
        <v>130</v>
      </c>
      <c r="AD1404" s="15" t="s">
        <v>130</v>
      </c>
      <c r="AE1404" s="15" t="s">
        <v>260</v>
      </c>
      <c r="AF1404" s="12">
        <f>IF(AG1404="Rejected",0,IF(R1404="Corporate Card",0,V1404))</f>
        <v>0</v>
      </c>
      <c r="AG1404" s="15" t="s">
        <v>133</v>
      </c>
      <c r="AH1404" s="16">
        <v>45826</v>
      </c>
      <c r="AI1404" s="16">
        <v>45828</v>
      </c>
      <c r="AJ1404" s="16">
        <v>45837</v>
      </c>
      <c r="AK1404" s="17">
        <f>IF(AJ1404="","",AJ1404-AH1404)</f>
        <v>11</v>
      </c>
    </row>
    <row r="1405" spans="1:37">
      <c r="A1405" s="2" t="s">
        <v>1838</v>
      </c>
      <c r="B1405" s="2" t="s">
        <v>770</v>
      </c>
      <c r="C1405" s="2" t="s">
        <v>771</v>
      </c>
      <c r="D1405" s="2" t="s">
        <v>414</v>
      </c>
      <c r="E1405" s="2" t="s">
        <v>772</v>
      </c>
      <c r="F1405" s="2" t="s">
        <v>413</v>
      </c>
      <c r="G1405" s="2" t="s">
        <v>1810</v>
      </c>
      <c r="H1405" s="2" t="s">
        <v>448</v>
      </c>
      <c r="I1405" s="2" t="s">
        <v>651</v>
      </c>
      <c r="J1405" s="2" t="s">
        <v>652</v>
      </c>
      <c r="K1405" s="9">
        <v>45813</v>
      </c>
      <c r="L1405" s="9">
        <v>45818</v>
      </c>
      <c r="M1405" s="9">
        <v>45816</v>
      </c>
      <c r="N1405" s="2" t="s">
        <v>1790</v>
      </c>
      <c r="O1405" s="2" t="s">
        <v>54</v>
      </c>
      <c r="P1405" s="2" t="s">
        <v>139</v>
      </c>
      <c r="Q1405" s="2" t="s">
        <v>163</v>
      </c>
      <c r="R1405" s="2" t="s">
        <v>149</v>
      </c>
      <c r="S1405" s="2" t="s">
        <v>654</v>
      </c>
      <c r="T1405" s="10">
        <v>16.43</v>
      </c>
      <c r="U1405" s="11">
        <v>0.72799999999999998</v>
      </c>
      <c r="V1405" s="12">
        <f>T1405*U1405</f>
        <v>11.961039999999999</v>
      </c>
      <c r="W1405" s="13">
        <v>0.13</v>
      </c>
      <c r="X1405" s="12">
        <f>V1405-(V1405/(1+W1405))</f>
        <v>1.3760488495575203</v>
      </c>
      <c r="Y1405" s="12">
        <f>V1405-X1405</f>
        <v>10.584991150442479</v>
      </c>
      <c r="Z1405" s="14">
        <v>25</v>
      </c>
      <c r="AA1405" s="2" t="str">
        <f>IF(V1405&gt;Z1405,"Yes","No")</f>
        <v>No</v>
      </c>
      <c r="AB1405" s="12">
        <f>V1405-Z1405</f>
        <v>-13.038960000000001</v>
      </c>
      <c r="AC1405" s="15" t="s">
        <v>130</v>
      </c>
      <c r="AD1405" s="15" t="s">
        <v>130</v>
      </c>
      <c r="AE1405" s="15" t="s">
        <v>260</v>
      </c>
      <c r="AF1405" s="12">
        <f>IF(AG1405="Rejected",0,IF(R1405="Corporate Card",0,V1405))</f>
        <v>11.961039999999999</v>
      </c>
      <c r="AG1405" s="15" t="s">
        <v>133</v>
      </c>
      <c r="AH1405" s="16">
        <v>45826</v>
      </c>
      <c r="AI1405" s="16">
        <v>45828</v>
      </c>
      <c r="AJ1405" s="16">
        <v>45837</v>
      </c>
      <c r="AK1405" s="17">
        <f>IF(AJ1405="","",AJ1405-AH1405)</f>
        <v>11</v>
      </c>
    </row>
    <row r="1406" spans="1:37">
      <c r="A1406" s="2" t="s">
        <v>1839</v>
      </c>
      <c r="B1406" s="2" t="s">
        <v>770</v>
      </c>
      <c r="C1406" s="2" t="s">
        <v>771</v>
      </c>
      <c r="D1406" s="2" t="s">
        <v>414</v>
      </c>
      <c r="E1406" s="2" t="s">
        <v>772</v>
      </c>
      <c r="F1406" s="2" t="s">
        <v>413</v>
      </c>
      <c r="G1406" s="2" t="s">
        <v>1810</v>
      </c>
      <c r="H1406" s="2" t="s">
        <v>448</v>
      </c>
      <c r="I1406" s="2" t="s">
        <v>651</v>
      </c>
      <c r="J1406" s="2" t="s">
        <v>652</v>
      </c>
      <c r="K1406" s="9">
        <v>45813</v>
      </c>
      <c r="L1406" s="9">
        <v>45818</v>
      </c>
      <c r="M1406" s="9">
        <v>45816</v>
      </c>
      <c r="N1406" s="2" t="s">
        <v>1790</v>
      </c>
      <c r="O1406" s="2" t="s">
        <v>56</v>
      </c>
      <c r="P1406" s="2" t="s">
        <v>151</v>
      </c>
      <c r="Q1406" s="2" t="s">
        <v>185</v>
      </c>
      <c r="R1406" s="2" t="s">
        <v>128</v>
      </c>
      <c r="S1406" s="2" t="s">
        <v>654</v>
      </c>
      <c r="T1406" s="10">
        <v>62.24</v>
      </c>
      <c r="U1406" s="11">
        <v>0.72799999999999998</v>
      </c>
      <c r="V1406" s="12">
        <f>T1406*U1406</f>
        <v>45.310720000000003</v>
      </c>
      <c r="W1406" s="13">
        <v>0.13</v>
      </c>
      <c r="X1406" s="12">
        <f>V1406-(V1406/(1+W1406))</f>
        <v>5.2127376991150385</v>
      </c>
      <c r="Y1406" s="12">
        <f>V1406-X1406</f>
        <v>40.097982300884965</v>
      </c>
      <c r="Z1406" s="14">
        <v>75</v>
      </c>
      <c r="AA1406" s="2" t="str">
        <f>IF(V1406&gt;Z1406,"Yes","No")</f>
        <v>No</v>
      </c>
      <c r="AB1406" s="12">
        <f>V1406-Z1406</f>
        <v>-29.689279999999997</v>
      </c>
      <c r="AC1406" s="15" t="s">
        <v>130</v>
      </c>
      <c r="AD1406" s="15" t="s">
        <v>130</v>
      </c>
      <c r="AE1406" s="15" t="s">
        <v>260</v>
      </c>
      <c r="AF1406" s="12">
        <f>IF(AG1406="Rejected",0,IF(R1406="Corporate Card",0,V1406))</f>
        <v>0</v>
      </c>
      <c r="AG1406" s="15" t="s">
        <v>133</v>
      </c>
      <c r="AH1406" s="16">
        <v>45826</v>
      </c>
      <c r="AI1406" s="16">
        <v>45828</v>
      </c>
      <c r="AJ1406" s="16">
        <v>45837</v>
      </c>
      <c r="AK1406" s="17">
        <f>IF(AJ1406="","",AJ1406-AH1406)</f>
        <v>11</v>
      </c>
    </row>
    <row r="1407" spans="1:37">
      <c r="A1407" s="2" t="s">
        <v>1840</v>
      </c>
      <c r="B1407" s="2" t="s">
        <v>770</v>
      </c>
      <c r="C1407" s="2" t="s">
        <v>771</v>
      </c>
      <c r="D1407" s="2" t="s">
        <v>414</v>
      </c>
      <c r="E1407" s="2" t="s">
        <v>772</v>
      </c>
      <c r="F1407" s="2" t="s">
        <v>413</v>
      </c>
      <c r="G1407" s="2" t="s">
        <v>1810</v>
      </c>
      <c r="H1407" s="2" t="s">
        <v>448</v>
      </c>
      <c r="I1407" s="2" t="s">
        <v>651</v>
      </c>
      <c r="J1407" s="2" t="s">
        <v>652</v>
      </c>
      <c r="K1407" s="9">
        <v>45813</v>
      </c>
      <c r="L1407" s="9">
        <v>45818</v>
      </c>
      <c r="M1407" s="9">
        <v>45816</v>
      </c>
      <c r="N1407" s="2" t="s">
        <v>1790</v>
      </c>
      <c r="O1407" s="2" t="s">
        <v>55</v>
      </c>
      <c r="P1407" s="2" t="s">
        <v>139</v>
      </c>
      <c r="Q1407" s="2" t="s">
        <v>161</v>
      </c>
      <c r="R1407" s="2" t="s">
        <v>128</v>
      </c>
      <c r="S1407" s="2" t="s">
        <v>654</v>
      </c>
      <c r="T1407" s="10">
        <v>39.33</v>
      </c>
      <c r="U1407" s="11">
        <v>0.72799999999999998</v>
      </c>
      <c r="V1407" s="12">
        <f>T1407*U1407</f>
        <v>28.632239999999999</v>
      </c>
      <c r="W1407" s="13">
        <v>0.13</v>
      </c>
      <c r="X1407" s="12">
        <f>V1407-(V1407/(1+W1407))</f>
        <v>3.2939745132743354</v>
      </c>
      <c r="Y1407" s="12">
        <f>V1407-X1407</f>
        <v>25.338265486725664</v>
      </c>
      <c r="Z1407" s="14">
        <v>35</v>
      </c>
      <c r="AA1407" s="2" t="str">
        <f>IF(V1407&gt;Z1407,"Yes","No")</f>
        <v>No</v>
      </c>
      <c r="AB1407" s="12">
        <f>V1407-Z1407</f>
        <v>-6.3677600000000005</v>
      </c>
      <c r="AC1407" s="15" t="s">
        <v>130</v>
      </c>
      <c r="AD1407" s="15" t="s">
        <v>130</v>
      </c>
      <c r="AE1407" s="15" t="s">
        <v>260</v>
      </c>
      <c r="AF1407" s="12">
        <f>IF(AG1407="Rejected",0,IF(R1407="Corporate Card",0,V1407))</f>
        <v>0</v>
      </c>
      <c r="AG1407" s="15" t="s">
        <v>133</v>
      </c>
      <c r="AH1407" s="16">
        <v>45826</v>
      </c>
      <c r="AI1407" s="16">
        <v>45828</v>
      </c>
      <c r="AJ1407" s="16">
        <v>45837</v>
      </c>
      <c r="AK1407" s="17">
        <f>IF(AJ1407="","",AJ1407-AH1407)</f>
        <v>11</v>
      </c>
    </row>
    <row r="1408" spans="1:37">
      <c r="A1408" s="2" t="s">
        <v>1841</v>
      </c>
      <c r="B1408" s="2" t="s">
        <v>189</v>
      </c>
      <c r="C1408" s="2" t="s">
        <v>190</v>
      </c>
      <c r="D1408" s="2" t="s">
        <v>171</v>
      </c>
      <c r="E1408" s="2" t="s">
        <v>191</v>
      </c>
      <c r="F1408" s="2" t="s">
        <v>173</v>
      </c>
      <c r="G1408" s="2" t="s">
        <v>1829</v>
      </c>
      <c r="H1408" s="2" t="s">
        <v>417</v>
      </c>
      <c r="I1408" s="2" t="s">
        <v>567</v>
      </c>
      <c r="J1408" s="2" t="s">
        <v>434</v>
      </c>
      <c r="K1408" s="9">
        <v>45815</v>
      </c>
      <c r="L1408" s="9">
        <v>45816</v>
      </c>
      <c r="M1408" s="9">
        <v>45816</v>
      </c>
      <c r="N1408" s="2" t="s">
        <v>1790</v>
      </c>
      <c r="O1408" s="2" t="s">
        <v>60</v>
      </c>
      <c r="P1408" s="2" t="s">
        <v>536</v>
      </c>
      <c r="Q1408" s="2" t="s">
        <v>537</v>
      </c>
      <c r="R1408" s="2" t="s">
        <v>128</v>
      </c>
      <c r="S1408" s="2" t="s">
        <v>436</v>
      </c>
      <c r="T1408" s="10">
        <v>5719</v>
      </c>
      <c r="U1408" s="11">
        <v>1.1780000000000001E-2</v>
      </c>
      <c r="V1408" s="12">
        <f>T1408*U1408</f>
        <v>67.369820000000004</v>
      </c>
      <c r="W1408" s="13">
        <v>0.18</v>
      </c>
      <c r="X1408" s="12">
        <f>V1408-(V1408/(1+W1408))</f>
        <v>10.276752203389826</v>
      </c>
      <c r="Y1408" s="12">
        <f>V1408-X1408</f>
        <v>57.093067796610178</v>
      </c>
      <c r="Z1408" s="14">
        <v>120</v>
      </c>
      <c r="AA1408" s="2" t="str">
        <f>IF(V1408&gt;Z1408,"Yes","No")</f>
        <v>No</v>
      </c>
      <c r="AB1408" s="12">
        <f>V1408-Z1408</f>
        <v>-52.630179999999996</v>
      </c>
      <c r="AC1408" s="15" t="s">
        <v>130</v>
      </c>
      <c r="AD1408" s="15" t="s">
        <v>131</v>
      </c>
      <c r="AE1408" s="15" t="s">
        <v>858</v>
      </c>
      <c r="AF1408" s="12">
        <f>IF(AG1408="Rejected",0,IF(R1408="Corporate Card",0,V1408))</f>
        <v>0</v>
      </c>
      <c r="AG1408" s="15" t="s">
        <v>181</v>
      </c>
      <c r="AH1408" s="16">
        <v>45819</v>
      </c>
      <c r="AI1408" s="16"/>
      <c r="AJ1408" s="16"/>
      <c r="AK1408" s="17" t="str">
        <f>IF(AJ1408="","",AJ1408-AH1408)</f>
        <v/>
      </c>
    </row>
    <row r="1409" spans="1:37">
      <c r="A1409" s="2" t="s">
        <v>1842</v>
      </c>
      <c r="B1409" s="2" t="s">
        <v>189</v>
      </c>
      <c r="C1409" s="2" t="s">
        <v>190</v>
      </c>
      <c r="D1409" s="2" t="s">
        <v>171</v>
      </c>
      <c r="E1409" s="2" t="s">
        <v>191</v>
      </c>
      <c r="F1409" s="2" t="s">
        <v>173</v>
      </c>
      <c r="G1409" s="2" t="s">
        <v>1829</v>
      </c>
      <c r="H1409" s="2" t="s">
        <v>417</v>
      </c>
      <c r="I1409" s="2" t="s">
        <v>567</v>
      </c>
      <c r="J1409" s="2" t="s">
        <v>434</v>
      </c>
      <c r="K1409" s="9">
        <v>45815</v>
      </c>
      <c r="L1409" s="9">
        <v>45816</v>
      </c>
      <c r="M1409" s="9">
        <v>45816</v>
      </c>
      <c r="N1409" s="2" t="s">
        <v>1790</v>
      </c>
      <c r="O1409" s="2" t="s">
        <v>57</v>
      </c>
      <c r="P1409" s="2" t="s">
        <v>398</v>
      </c>
      <c r="Q1409" s="2" t="s">
        <v>399</v>
      </c>
      <c r="R1409" s="2" t="s">
        <v>128</v>
      </c>
      <c r="S1409" s="2" t="s">
        <v>436</v>
      </c>
      <c r="T1409" s="10">
        <v>14902</v>
      </c>
      <c r="U1409" s="11">
        <v>1.1780000000000001E-2</v>
      </c>
      <c r="V1409" s="12">
        <f>T1409*U1409</f>
        <v>175.54555999999999</v>
      </c>
      <c r="W1409" s="13">
        <v>0.18</v>
      </c>
      <c r="X1409" s="12">
        <f>V1409-(V1409/(1+W1409))</f>
        <v>26.77813627118644</v>
      </c>
      <c r="Y1409" s="12">
        <f>V1409-X1409</f>
        <v>148.76742372881355</v>
      </c>
      <c r="Z1409" s="14">
        <v>200</v>
      </c>
      <c r="AA1409" s="2" t="str">
        <f>IF(V1409&gt;Z1409,"Yes","No")</f>
        <v>No</v>
      </c>
      <c r="AB1409" s="12">
        <f>V1409-Z1409</f>
        <v>-24.454440000000005</v>
      </c>
      <c r="AC1409" s="15" t="s">
        <v>130</v>
      </c>
      <c r="AD1409" s="15" t="s">
        <v>131</v>
      </c>
      <c r="AE1409" s="15" t="s">
        <v>858</v>
      </c>
      <c r="AF1409" s="12">
        <f>IF(AG1409="Rejected",0,IF(R1409="Corporate Card",0,V1409))</f>
        <v>0</v>
      </c>
      <c r="AG1409" s="15" t="s">
        <v>181</v>
      </c>
      <c r="AH1409" s="16">
        <v>45819</v>
      </c>
      <c r="AI1409" s="16"/>
      <c r="AJ1409" s="16"/>
      <c r="AK1409" s="17" t="str">
        <f>IF(AJ1409="","",AJ1409-AH1409)</f>
        <v/>
      </c>
    </row>
    <row r="1410" spans="1:37">
      <c r="A1410" s="2" t="s">
        <v>1843</v>
      </c>
      <c r="B1410" s="2" t="s">
        <v>189</v>
      </c>
      <c r="C1410" s="2" t="s">
        <v>190</v>
      </c>
      <c r="D1410" s="2" t="s">
        <v>171</v>
      </c>
      <c r="E1410" s="2" t="s">
        <v>191</v>
      </c>
      <c r="F1410" s="2" t="s">
        <v>173</v>
      </c>
      <c r="G1410" s="2" t="s">
        <v>1829</v>
      </c>
      <c r="H1410" s="2" t="s">
        <v>417</v>
      </c>
      <c r="I1410" s="2" t="s">
        <v>567</v>
      </c>
      <c r="J1410" s="2" t="s">
        <v>434</v>
      </c>
      <c r="K1410" s="9">
        <v>45815</v>
      </c>
      <c r="L1410" s="9">
        <v>45816</v>
      </c>
      <c r="M1410" s="9">
        <v>45816</v>
      </c>
      <c r="N1410" s="2" t="s">
        <v>1790</v>
      </c>
      <c r="O1410" s="2" t="s">
        <v>61</v>
      </c>
      <c r="P1410" s="2" t="s">
        <v>528</v>
      </c>
      <c r="Q1410" s="2" t="s">
        <v>1128</v>
      </c>
      <c r="R1410" s="2" t="s">
        <v>128</v>
      </c>
      <c r="S1410" s="2" t="s">
        <v>436</v>
      </c>
      <c r="T1410" s="10">
        <v>5053</v>
      </c>
      <c r="U1410" s="11">
        <v>1.1780000000000001E-2</v>
      </c>
      <c r="V1410" s="12">
        <f>T1410*U1410</f>
        <v>59.524340000000002</v>
      </c>
      <c r="W1410" s="13">
        <v>0</v>
      </c>
      <c r="X1410" s="12">
        <f>V1410-(V1410/(1+W1410))</f>
        <v>0</v>
      </c>
      <c r="Y1410" s="12">
        <f>V1410-X1410</f>
        <v>59.524340000000002</v>
      </c>
      <c r="Z1410" s="14">
        <v>90</v>
      </c>
      <c r="AA1410" s="2" t="str">
        <f>IF(V1410&gt;Z1410,"Yes","No")</f>
        <v>No</v>
      </c>
      <c r="AB1410" s="12">
        <f>V1410-Z1410</f>
        <v>-30.475659999999998</v>
      </c>
      <c r="AC1410" s="15" t="s">
        <v>130</v>
      </c>
      <c r="AD1410" s="15" t="s">
        <v>131</v>
      </c>
      <c r="AE1410" s="15" t="s">
        <v>858</v>
      </c>
      <c r="AF1410" s="12">
        <f>IF(AG1410="Rejected",0,IF(R1410="Corporate Card",0,V1410))</f>
        <v>0</v>
      </c>
      <c r="AG1410" s="15" t="s">
        <v>181</v>
      </c>
      <c r="AH1410" s="16">
        <v>45819</v>
      </c>
      <c r="AI1410" s="16"/>
      <c r="AJ1410" s="16"/>
      <c r="AK1410" s="17" t="str">
        <f>IF(AJ1410="","",AJ1410-AH1410)</f>
        <v/>
      </c>
    </row>
    <row r="1411" spans="1:37">
      <c r="A1411" s="2" t="s">
        <v>1844</v>
      </c>
      <c r="B1411" s="2" t="s">
        <v>189</v>
      </c>
      <c r="C1411" s="2" t="s">
        <v>190</v>
      </c>
      <c r="D1411" s="2" t="s">
        <v>171</v>
      </c>
      <c r="E1411" s="2" t="s">
        <v>191</v>
      </c>
      <c r="F1411" s="2" t="s">
        <v>173</v>
      </c>
      <c r="G1411" s="2" t="s">
        <v>1829</v>
      </c>
      <c r="H1411" s="2" t="s">
        <v>417</v>
      </c>
      <c r="I1411" s="2" t="s">
        <v>567</v>
      </c>
      <c r="J1411" s="2" t="s">
        <v>434</v>
      </c>
      <c r="K1411" s="9">
        <v>45815</v>
      </c>
      <c r="L1411" s="9">
        <v>45816</v>
      </c>
      <c r="M1411" s="9">
        <v>45816</v>
      </c>
      <c r="N1411" s="2" t="s">
        <v>1790</v>
      </c>
      <c r="O1411" s="2" t="s">
        <v>58</v>
      </c>
      <c r="P1411" s="2" t="s">
        <v>142</v>
      </c>
      <c r="Q1411" s="2" t="s">
        <v>143</v>
      </c>
      <c r="R1411" s="2" t="s">
        <v>137</v>
      </c>
      <c r="S1411" s="2" t="s">
        <v>436</v>
      </c>
      <c r="T1411" s="10">
        <v>2539</v>
      </c>
      <c r="U1411" s="11">
        <v>1.1780000000000001E-2</v>
      </c>
      <c r="V1411" s="12">
        <f>T1411*U1411</f>
        <v>29.909420000000001</v>
      </c>
      <c r="W1411" s="13">
        <v>0.18</v>
      </c>
      <c r="X1411" s="12">
        <f>V1411-(V1411/(1+W1411))</f>
        <v>4.5624538983050833</v>
      </c>
      <c r="Y1411" s="12">
        <f>V1411-X1411</f>
        <v>25.346966101694917</v>
      </c>
      <c r="Z1411" s="14">
        <v>60</v>
      </c>
      <c r="AA1411" s="2" t="str">
        <f>IF(V1411&gt;Z1411,"Yes","No")</f>
        <v>No</v>
      </c>
      <c r="AB1411" s="12">
        <f>V1411-Z1411</f>
        <v>-30.090579999999999</v>
      </c>
      <c r="AC1411" s="15" t="s">
        <v>130</v>
      </c>
      <c r="AD1411" s="15" t="s">
        <v>131</v>
      </c>
      <c r="AE1411" s="15" t="s">
        <v>858</v>
      </c>
      <c r="AF1411" s="12">
        <f>IF(AG1411="Rejected",0,IF(R1411="Corporate Card",0,V1411))</f>
        <v>29.909420000000001</v>
      </c>
      <c r="AG1411" s="15" t="s">
        <v>181</v>
      </c>
      <c r="AH1411" s="16">
        <v>45819</v>
      </c>
      <c r="AI1411" s="16"/>
      <c r="AJ1411" s="16"/>
      <c r="AK1411" s="17" t="str">
        <f>IF(AJ1411="","",AJ1411-AH1411)</f>
        <v/>
      </c>
    </row>
    <row r="1412" spans="1:37">
      <c r="A1412" s="2" t="s">
        <v>1845</v>
      </c>
      <c r="B1412" s="2" t="s">
        <v>189</v>
      </c>
      <c r="C1412" s="2" t="s">
        <v>190</v>
      </c>
      <c r="D1412" s="2" t="s">
        <v>171</v>
      </c>
      <c r="E1412" s="2" t="s">
        <v>191</v>
      </c>
      <c r="F1412" s="2" t="s">
        <v>173</v>
      </c>
      <c r="G1412" s="2" t="s">
        <v>1829</v>
      </c>
      <c r="H1412" s="2" t="s">
        <v>417</v>
      </c>
      <c r="I1412" s="2" t="s">
        <v>567</v>
      </c>
      <c r="J1412" s="2" t="s">
        <v>434</v>
      </c>
      <c r="K1412" s="9">
        <v>45815</v>
      </c>
      <c r="L1412" s="9">
        <v>45816</v>
      </c>
      <c r="M1412" s="9">
        <v>45816</v>
      </c>
      <c r="N1412" s="2" t="s">
        <v>1790</v>
      </c>
      <c r="O1412" s="2" t="s">
        <v>53</v>
      </c>
      <c r="P1412" s="2" t="s">
        <v>405</v>
      </c>
      <c r="Q1412" s="2" t="s">
        <v>458</v>
      </c>
      <c r="R1412" s="2" t="s">
        <v>128</v>
      </c>
      <c r="S1412" s="2" t="s">
        <v>436</v>
      </c>
      <c r="T1412" s="10">
        <v>27685</v>
      </c>
      <c r="U1412" s="11">
        <v>1.1780000000000001E-2</v>
      </c>
      <c r="V1412" s="12">
        <f>T1412*U1412</f>
        <v>326.1293</v>
      </c>
      <c r="W1412" s="13">
        <v>0.18</v>
      </c>
      <c r="X1412" s="12">
        <f>V1412-(V1412/(1+W1412))</f>
        <v>49.748537288135594</v>
      </c>
      <c r="Y1412" s="12">
        <f>V1412-X1412</f>
        <v>276.38076271186441</v>
      </c>
      <c r="Z1412" s="14">
        <v>280</v>
      </c>
      <c r="AA1412" s="2" t="str">
        <f>IF(V1412&gt;Z1412,"Yes","No")</f>
        <v>Yes</v>
      </c>
      <c r="AB1412" s="12">
        <f>V1412-Z1412</f>
        <v>46.129300000000001</v>
      </c>
      <c r="AC1412" s="15" t="s">
        <v>130</v>
      </c>
      <c r="AD1412" s="15" t="s">
        <v>131</v>
      </c>
      <c r="AE1412" s="15" t="s">
        <v>858</v>
      </c>
      <c r="AF1412" s="12">
        <f>IF(AG1412="Rejected",0,IF(R1412="Corporate Card",0,V1412))</f>
        <v>0</v>
      </c>
      <c r="AG1412" s="15" t="s">
        <v>181</v>
      </c>
      <c r="AH1412" s="16">
        <v>45819</v>
      </c>
      <c r="AI1412" s="16"/>
      <c r="AJ1412" s="16"/>
      <c r="AK1412" s="17" t="str">
        <f>IF(AJ1412="","",AJ1412-AH1412)</f>
        <v/>
      </c>
    </row>
    <row r="1413" spans="1:37">
      <c r="A1413" s="2" t="s">
        <v>1846</v>
      </c>
      <c r="B1413" s="2" t="s">
        <v>189</v>
      </c>
      <c r="C1413" s="2" t="s">
        <v>190</v>
      </c>
      <c r="D1413" s="2" t="s">
        <v>171</v>
      </c>
      <c r="E1413" s="2" t="s">
        <v>191</v>
      </c>
      <c r="F1413" s="2" t="s">
        <v>173</v>
      </c>
      <c r="G1413" s="2" t="s">
        <v>1829</v>
      </c>
      <c r="H1413" s="2" t="s">
        <v>417</v>
      </c>
      <c r="I1413" s="2" t="s">
        <v>567</v>
      </c>
      <c r="J1413" s="2" t="s">
        <v>434</v>
      </c>
      <c r="K1413" s="9">
        <v>45815</v>
      </c>
      <c r="L1413" s="9">
        <v>45816</v>
      </c>
      <c r="M1413" s="9">
        <v>45816</v>
      </c>
      <c r="N1413" s="2" t="s">
        <v>1790</v>
      </c>
      <c r="O1413" s="2" t="s">
        <v>54</v>
      </c>
      <c r="P1413" s="2" t="s">
        <v>139</v>
      </c>
      <c r="Q1413" s="2" t="s">
        <v>140</v>
      </c>
      <c r="R1413" s="2" t="s">
        <v>128</v>
      </c>
      <c r="S1413" s="2" t="s">
        <v>436</v>
      </c>
      <c r="T1413" s="10">
        <v>1044</v>
      </c>
      <c r="U1413" s="11">
        <v>1.1780000000000001E-2</v>
      </c>
      <c r="V1413" s="12">
        <f>T1413*U1413</f>
        <v>12.29832</v>
      </c>
      <c r="W1413" s="13">
        <v>0.18</v>
      </c>
      <c r="X1413" s="12">
        <f>V1413-(V1413/(1+W1413))</f>
        <v>1.8760149152542365</v>
      </c>
      <c r="Y1413" s="12">
        <f>V1413-X1413</f>
        <v>10.422305084745764</v>
      </c>
      <c r="Z1413" s="14">
        <v>25</v>
      </c>
      <c r="AA1413" s="2" t="str">
        <f>IF(V1413&gt;Z1413,"Yes","No")</f>
        <v>No</v>
      </c>
      <c r="AB1413" s="12">
        <f>V1413-Z1413</f>
        <v>-12.70168</v>
      </c>
      <c r="AC1413" s="15" t="s">
        <v>130</v>
      </c>
      <c r="AD1413" s="15" t="s">
        <v>131</v>
      </c>
      <c r="AE1413" s="15" t="s">
        <v>858</v>
      </c>
      <c r="AF1413" s="12">
        <f>IF(AG1413="Rejected",0,IF(R1413="Corporate Card",0,V1413))</f>
        <v>0</v>
      </c>
      <c r="AG1413" s="15" t="s">
        <v>181</v>
      </c>
      <c r="AH1413" s="16">
        <v>45819</v>
      </c>
      <c r="AI1413" s="16"/>
      <c r="AJ1413" s="16"/>
      <c r="AK1413" s="17" t="str">
        <f>IF(AJ1413="","",AJ1413-AH1413)</f>
        <v/>
      </c>
    </row>
    <row r="1414" spans="1:37">
      <c r="A1414" s="2" t="s">
        <v>1847</v>
      </c>
      <c r="B1414" s="2" t="s">
        <v>189</v>
      </c>
      <c r="C1414" s="2" t="s">
        <v>190</v>
      </c>
      <c r="D1414" s="2" t="s">
        <v>171</v>
      </c>
      <c r="E1414" s="2" t="s">
        <v>191</v>
      </c>
      <c r="F1414" s="2" t="s">
        <v>173</v>
      </c>
      <c r="G1414" s="2" t="s">
        <v>1829</v>
      </c>
      <c r="H1414" s="2" t="s">
        <v>417</v>
      </c>
      <c r="I1414" s="2" t="s">
        <v>567</v>
      </c>
      <c r="J1414" s="2" t="s">
        <v>434</v>
      </c>
      <c r="K1414" s="9">
        <v>45815</v>
      </c>
      <c r="L1414" s="9">
        <v>45816</v>
      </c>
      <c r="M1414" s="9">
        <v>45816</v>
      </c>
      <c r="N1414" s="2" t="s">
        <v>1790</v>
      </c>
      <c r="O1414" s="2" t="s">
        <v>56</v>
      </c>
      <c r="P1414" s="2" t="s">
        <v>151</v>
      </c>
      <c r="Q1414" s="2" t="s">
        <v>152</v>
      </c>
      <c r="R1414" s="2" t="s">
        <v>128</v>
      </c>
      <c r="S1414" s="2" t="s">
        <v>436</v>
      </c>
      <c r="T1414" s="10">
        <v>5222</v>
      </c>
      <c r="U1414" s="11">
        <v>1.1780000000000001E-2</v>
      </c>
      <c r="V1414" s="12">
        <f>T1414*U1414</f>
        <v>61.515160000000002</v>
      </c>
      <c r="W1414" s="13">
        <v>0.18</v>
      </c>
      <c r="X1414" s="12">
        <f>V1414-(V1414/(1+W1414))</f>
        <v>9.3836684745762682</v>
      </c>
      <c r="Y1414" s="12">
        <f>V1414-X1414</f>
        <v>52.131491525423733</v>
      </c>
      <c r="Z1414" s="14">
        <v>75</v>
      </c>
      <c r="AA1414" s="2" t="str">
        <f>IF(V1414&gt;Z1414,"Yes","No")</f>
        <v>No</v>
      </c>
      <c r="AB1414" s="12">
        <f>V1414-Z1414</f>
        <v>-13.484839999999998</v>
      </c>
      <c r="AC1414" s="15" t="s">
        <v>130</v>
      </c>
      <c r="AD1414" s="15" t="s">
        <v>131</v>
      </c>
      <c r="AE1414" s="15" t="s">
        <v>858</v>
      </c>
      <c r="AF1414" s="12">
        <f>IF(AG1414="Rejected",0,IF(R1414="Corporate Card",0,V1414))</f>
        <v>0</v>
      </c>
      <c r="AG1414" s="15" t="s">
        <v>181</v>
      </c>
      <c r="AH1414" s="16">
        <v>45819</v>
      </c>
      <c r="AI1414" s="16"/>
      <c r="AJ1414" s="16"/>
      <c r="AK1414" s="17" t="str">
        <f>IF(AJ1414="","",AJ1414-AH1414)</f>
        <v/>
      </c>
    </row>
    <row r="1415" spans="1:37">
      <c r="A1415" s="2" t="s">
        <v>1848</v>
      </c>
      <c r="B1415" s="2" t="s">
        <v>189</v>
      </c>
      <c r="C1415" s="2" t="s">
        <v>190</v>
      </c>
      <c r="D1415" s="2" t="s">
        <v>171</v>
      </c>
      <c r="E1415" s="2" t="s">
        <v>191</v>
      </c>
      <c r="F1415" s="2" t="s">
        <v>173</v>
      </c>
      <c r="G1415" s="2" t="s">
        <v>1829</v>
      </c>
      <c r="H1415" s="2" t="s">
        <v>417</v>
      </c>
      <c r="I1415" s="2" t="s">
        <v>567</v>
      </c>
      <c r="J1415" s="2" t="s">
        <v>434</v>
      </c>
      <c r="K1415" s="9">
        <v>45815</v>
      </c>
      <c r="L1415" s="9">
        <v>45816</v>
      </c>
      <c r="M1415" s="9">
        <v>45816</v>
      </c>
      <c r="N1415" s="2" t="s">
        <v>1790</v>
      </c>
      <c r="O1415" s="2" t="s">
        <v>55</v>
      </c>
      <c r="P1415" s="2" t="s">
        <v>139</v>
      </c>
      <c r="Q1415" s="2" t="s">
        <v>217</v>
      </c>
      <c r="R1415" s="2" t="s">
        <v>128</v>
      </c>
      <c r="S1415" s="2" t="s">
        <v>436</v>
      </c>
      <c r="T1415" s="10">
        <v>1650</v>
      </c>
      <c r="U1415" s="11">
        <v>1.1780000000000001E-2</v>
      </c>
      <c r="V1415" s="12">
        <f>T1415*U1415</f>
        <v>19.437000000000001</v>
      </c>
      <c r="W1415" s="13">
        <v>0.18</v>
      </c>
      <c r="X1415" s="12">
        <f>V1415-(V1415/(1+W1415))</f>
        <v>2.964966101694916</v>
      </c>
      <c r="Y1415" s="12">
        <f>V1415-X1415</f>
        <v>16.472033898305085</v>
      </c>
      <c r="Z1415" s="14">
        <v>35</v>
      </c>
      <c r="AA1415" s="2" t="str">
        <f>IF(V1415&gt;Z1415,"Yes","No")</f>
        <v>No</v>
      </c>
      <c r="AB1415" s="12">
        <f>V1415-Z1415</f>
        <v>-15.562999999999999</v>
      </c>
      <c r="AC1415" s="15" t="s">
        <v>131</v>
      </c>
      <c r="AD1415" s="15" t="s">
        <v>131</v>
      </c>
      <c r="AE1415" s="15" t="s">
        <v>858</v>
      </c>
      <c r="AF1415" s="12">
        <f>IF(AG1415="Rejected",0,IF(R1415="Corporate Card",0,V1415))</f>
        <v>0</v>
      </c>
      <c r="AG1415" s="15" t="s">
        <v>181</v>
      </c>
      <c r="AH1415" s="16">
        <v>45819</v>
      </c>
      <c r="AI1415" s="16"/>
      <c r="AJ1415" s="16"/>
      <c r="AK1415" s="17" t="str">
        <f>IF(AJ1415="","",AJ1415-AH1415)</f>
        <v/>
      </c>
    </row>
    <row r="1416" spans="1:37">
      <c r="A1416" s="2" t="s">
        <v>1849</v>
      </c>
      <c r="B1416" s="2" t="s">
        <v>770</v>
      </c>
      <c r="C1416" s="2" t="s">
        <v>771</v>
      </c>
      <c r="D1416" s="2" t="s">
        <v>414</v>
      </c>
      <c r="E1416" s="2" t="s">
        <v>772</v>
      </c>
      <c r="F1416" s="2" t="s">
        <v>413</v>
      </c>
      <c r="G1416" s="2" t="s">
        <v>1834</v>
      </c>
      <c r="H1416" s="2" t="s">
        <v>379</v>
      </c>
      <c r="I1416" s="2" t="s">
        <v>1251</v>
      </c>
      <c r="J1416" s="2" t="s">
        <v>750</v>
      </c>
      <c r="K1416" s="9">
        <v>45816</v>
      </c>
      <c r="L1416" s="9">
        <v>45820</v>
      </c>
      <c r="M1416" s="9">
        <v>45817</v>
      </c>
      <c r="N1416" s="2" t="s">
        <v>1790</v>
      </c>
      <c r="O1416" s="2" t="s">
        <v>58</v>
      </c>
      <c r="P1416" s="2" t="s">
        <v>142</v>
      </c>
      <c r="Q1416" s="2" t="s">
        <v>224</v>
      </c>
      <c r="R1416" s="2" t="s">
        <v>128</v>
      </c>
      <c r="S1416" s="2" t="s">
        <v>198</v>
      </c>
      <c r="T1416" s="10">
        <v>20.87</v>
      </c>
      <c r="U1416" s="11">
        <v>1.085</v>
      </c>
      <c r="V1416" s="12">
        <f>T1416*U1416</f>
        <v>22.64395</v>
      </c>
      <c r="W1416" s="13">
        <v>0.19</v>
      </c>
      <c r="X1416" s="12">
        <f>V1416-(V1416/(1+W1416))</f>
        <v>3.6154205882352919</v>
      </c>
      <c r="Y1416" s="12">
        <f>V1416-X1416</f>
        <v>19.028529411764708</v>
      </c>
      <c r="Z1416" s="14">
        <v>60</v>
      </c>
      <c r="AA1416" s="2" t="str">
        <f>IF(V1416&gt;Z1416,"Yes","No")</f>
        <v>No</v>
      </c>
      <c r="AB1416" s="12">
        <f>V1416-Z1416</f>
        <v>-37.356049999999996</v>
      </c>
      <c r="AC1416" s="15" t="s">
        <v>130</v>
      </c>
      <c r="AD1416" s="15" t="s">
        <v>131</v>
      </c>
      <c r="AE1416" s="15" t="s">
        <v>132</v>
      </c>
      <c r="AF1416" s="12">
        <f>IF(AG1416="Rejected",0,IF(R1416="Corporate Card",0,V1416))</f>
        <v>0</v>
      </c>
      <c r="AG1416" s="15" t="s">
        <v>133</v>
      </c>
      <c r="AH1416" s="16">
        <v>45824</v>
      </c>
      <c r="AI1416" s="16">
        <v>45827</v>
      </c>
      <c r="AJ1416" s="16">
        <v>45835</v>
      </c>
      <c r="AK1416" s="17">
        <f>IF(AJ1416="","",AJ1416-AH1416)</f>
        <v>11</v>
      </c>
    </row>
    <row r="1417" spans="1:37">
      <c r="A1417" s="2" t="s">
        <v>1850</v>
      </c>
      <c r="B1417" s="2" t="s">
        <v>770</v>
      </c>
      <c r="C1417" s="2" t="s">
        <v>771</v>
      </c>
      <c r="D1417" s="2" t="s">
        <v>414</v>
      </c>
      <c r="E1417" s="2" t="s">
        <v>772</v>
      </c>
      <c r="F1417" s="2" t="s">
        <v>413</v>
      </c>
      <c r="G1417" s="2" t="s">
        <v>1834</v>
      </c>
      <c r="H1417" s="2" t="s">
        <v>379</v>
      </c>
      <c r="I1417" s="2" t="s">
        <v>1251</v>
      </c>
      <c r="J1417" s="2" t="s">
        <v>750</v>
      </c>
      <c r="K1417" s="9">
        <v>45816</v>
      </c>
      <c r="L1417" s="9">
        <v>45820</v>
      </c>
      <c r="M1417" s="9">
        <v>45817</v>
      </c>
      <c r="N1417" s="2" t="s">
        <v>1790</v>
      </c>
      <c r="O1417" s="2" t="s">
        <v>53</v>
      </c>
      <c r="P1417" s="2" t="s">
        <v>457</v>
      </c>
      <c r="Q1417" s="2" t="s">
        <v>468</v>
      </c>
      <c r="R1417" s="2" t="s">
        <v>128</v>
      </c>
      <c r="S1417" s="2" t="s">
        <v>198</v>
      </c>
      <c r="T1417" s="10">
        <v>833.12</v>
      </c>
      <c r="U1417" s="11">
        <v>1.085</v>
      </c>
      <c r="V1417" s="12">
        <f>T1417*U1417</f>
        <v>903.93520000000001</v>
      </c>
      <c r="W1417" s="13">
        <v>0.19</v>
      </c>
      <c r="X1417" s="12">
        <f>V1417-(V1417/(1+W1417))</f>
        <v>144.32578823529411</v>
      </c>
      <c r="Y1417" s="12">
        <f>V1417-X1417</f>
        <v>759.6094117647059</v>
      </c>
      <c r="Z1417" s="14">
        <v>1120</v>
      </c>
      <c r="AA1417" s="2" t="str">
        <f>IF(V1417&gt;Z1417,"Yes","No")</f>
        <v>No</v>
      </c>
      <c r="AB1417" s="12">
        <f>V1417-Z1417</f>
        <v>-216.06479999999999</v>
      </c>
      <c r="AC1417" s="15" t="s">
        <v>130</v>
      </c>
      <c r="AD1417" s="15" t="s">
        <v>131</v>
      </c>
      <c r="AE1417" s="15" t="s">
        <v>132</v>
      </c>
      <c r="AF1417" s="12">
        <f>IF(AG1417="Rejected",0,IF(R1417="Corporate Card",0,V1417))</f>
        <v>0</v>
      </c>
      <c r="AG1417" s="15" t="s">
        <v>133</v>
      </c>
      <c r="AH1417" s="16">
        <v>45824</v>
      </c>
      <c r="AI1417" s="16">
        <v>45827</v>
      </c>
      <c r="AJ1417" s="16">
        <v>45835</v>
      </c>
      <c r="AK1417" s="17">
        <f>IF(AJ1417="","",AJ1417-AH1417)</f>
        <v>11</v>
      </c>
    </row>
    <row r="1418" spans="1:37">
      <c r="A1418" s="2" t="s">
        <v>1851</v>
      </c>
      <c r="B1418" s="2" t="s">
        <v>770</v>
      </c>
      <c r="C1418" s="2" t="s">
        <v>771</v>
      </c>
      <c r="D1418" s="2" t="s">
        <v>414</v>
      </c>
      <c r="E1418" s="2" t="s">
        <v>772</v>
      </c>
      <c r="F1418" s="2" t="s">
        <v>413</v>
      </c>
      <c r="G1418" s="2" t="s">
        <v>1834</v>
      </c>
      <c r="H1418" s="2" t="s">
        <v>379</v>
      </c>
      <c r="I1418" s="2" t="s">
        <v>1251</v>
      </c>
      <c r="J1418" s="2" t="s">
        <v>750</v>
      </c>
      <c r="K1418" s="9">
        <v>45816</v>
      </c>
      <c r="L1418" s="9">
        <v>45820</v>
      </c>
      <c r="M1418" s="9">
        <v>45817</v>
      </c>
      <c r="N1418" s="2" t="s">
        <v>1790</v>
      </c>
      <c r="O1418" s="2" t="s">
        <v>54</v>
      </c>
      <c r="P1418" s="2" t="s">
        <v>139</v>
      </c>
      <c r="Q1418" s="2" t="s">
        <v>140</v>
      </c>
      <c r="R1418" s="2" t="s">
        <v>149</v>
      </c>
      <c r="S1418" s="2" t="s">
        <v>198</v>
      </c>
      <c r="T1418" s="10">
        <v>17.25</v>
      </c>
      <c r="U1418" s="11">
        <v>1.085</v>
      </c>
      <c r="V1418" s="12">
        <f>T1418*U1418</f>
        <v>18.716249999999999</v>
      </c>
      <c r="W1418" s="13">
        <v>0.19</v>
      </c>
      <c r="X1418" s="12">
        <f>V1418-(V1418/(1+W1418))</f>
        <v>2.9883088235294117</v>
      </c>
      <c r="Y1418" s="12">
        <f>V1418-X1418</f>
        <v>15.727941176470587</v>
      </c>
      <c r="Z1418" s="14">
        <v>25</v>
      </c>
      <c r="AA1418" s="2" t="str">
        <f>IF(V1418&gt;Z1418,"Yes","No")</f>
        <v>No</v>
      </c>
      <c r="AB1418" s="12">
        <f>V1418-Z1418</f>
        <v>-6.2837500000000013</v>
      </c>
      <c r="AC1418" s="15" t="s">
        <v>131</v>
      </c>
      <c r="AD1418" s="15" t="s">
        <v>131</v>
      </c>
      <c r="AE1418" s="15" t="s">
        <v>132</v>
      </c>
      <c r="AF1418" s="12">
        <f>IF(AG1418="Rejected",0,IF(R1418="Corporate Card",0,V1418))</f>
        <v>18.716249999999999</v>
      </c>
      <c r="AG1418" s="15" t="s">
        <v>133</v>
      </c>
      <c r="AH1418" s="16">
        <v>45824</v>
      </c>
      <c r="AI1418" s="16">
        <v>45827</v>
      </c>
      <c r="AJ1418" s="16">
        <v>45835</v>
      </c>
      <c r="AK1418" s="17">
        <f>IF(AJ1418="","",AJ1418-AH1418)</f>
        <v>11</v>
      </c>
    </row>
    <row r="1419" spans="1:37">
      <c r="A1419" s="2" t="s">
        <v>1852</v>
      </c>
      <c r="B1419" s="2" t="s">
        <v>770</v>
      </c>
      <c r="C1419" s="2" t="s">
        <v>771</v>
      </c>
      <c r="D1419" s="2" t="s">
        <v>414</v>
      </c>
      <c r="E1419" s="2" t="s">
        <v>772</v>
      </c>
      <c r="F1419" s="2" t="s">
        <v>413</v>
      </c>
      <c r="G1419" s="2" t="s">
        <v>1834</v>
      </c>
      <c r="H1419" s="2" t="s">
        <v>379</v>
      </c>
      <c r="I1419" s="2" t="s">
        <v>1251</v>
      </c>
      <c r="J1419" s="2" t="s">
        <v>750</v>
      </c>
      <c r="K1419" s="9">
        <v>45816</v>
      </c>
      <c r="L1419" s="9">
        <v>45820</v>
      </c>
      <c r="M1419" s="9">
        <v>45817</v>
      </c>
      <c r="N1419" s="2" t="s">
        <v>1790</v>
      </c>
      <c r="O1419" s="2" t="s">
        <v>56</v>
      </c>
      <c r="P1419" s="2" t="s">
        <v>151</v>
      </c>
      <c r="Q1419" s="2" t="s">
        <v>227</v>
      </c>
      <c r="R1419" s="2" t="s">
        <v>128</v>
      </c>
      <c r="S1419" s="2" t="s">
        <v>198</v>
      </c>
      <c r="T1419" s="10">
        <v>24.52</v>
      </c>
      <c r="U1419" s="11">
        <v>1.085</v>
      </c>
      <c r="V1419" s="12">
        <f>T1419*U1419</f>
        <v>26.604199999999999</v>
      </c>
      <c r="W1419" s="13">
        <v>0.19</v>
      </c>
      <c r="X1419" s="12">
        <f>V1419-(V1419/(1+W1419))</f>
        <v>4.2477294117647055</v>
      </c>
      <c r="Y1419" s="12">
        <f>V1419-X1419</f>
        <v>22.356470588235293</v>
      </c>
      <c r="Z1419" s="14">
        <v>75</v>
      </c>
      <c r="AA1419" s="2" t="str">
        <f>IF(V1419&gt;Z1419,"Yes","No")</f>
        <v>No</v>
      </c>
      <c r="AB1419" s="12">
        <f>V1419-Z1419</f>
        <v>-48.395800000000001</v>
      </c>
      <c r="AC1419" s="15" t="s">
        <v>130</v>
      </c>
      <c r="AD1419" s="15" t="s">
        <v>131</v>
      </c>
      <c r="AE1419" s="15" t="s">
        <v>132</v>
      </c>
      <c r="AF1419" s="12">
        <f>IF(AG1419="Rejected",0,IF(R1419="Corporate Card",0,V1419))</f>
        <v>0</v>
      </c>
      <c r="AG1419" s="15" t="s">
        <v>133</v>
      </c>
      <c r="AH1419" s="16">
        <v>45824</v>
      </c>
      <c r="AI1419" s="16">
        <v>45827</v>
      </c>
      <c r="AJ1419" s="16">
        <v>45835</v>
      </c>
      <c r="AK1419" s="17">
        <f>IF(AJ1419="","",AJ1419-AH1419)</f>
        <v>11</v>
      </c>
    </row>
    <row r="1420" spans="1:37">
      <c r="A1420" s="2" t="s">
        <v>1853</v>
      </c>
      <c r="B1420" s="2" t="s">
        <v>770</v>
      </c>
      <c r="C1420" s="2" t="s">
        <v>771</v>
      </c>
      <c r="D1420" s="2" t="s">
        <v>414</v>
      </c>
      <c r="E1420" s="2" t="s">
        <v>772</v>
      </c>
      <c r="F1420" s="2" t="s">
        <v>413</v>
      </c>
      <c r="G1420" s="2" t="s">
        <v>1834</v>
      </c>
      <c r="H1420" s="2" t="s">
        <v>379</v>
      </c>
      <c r="I1420" s="2" t="s">
        <v>1251</v>
      </c>
      <c r="J1420" s="2" t="s">
        <v>750</v>
      </c>
      <c r="K1420" s="9">
        <v>45816</v>
      </c>
      <c r="L1420" s="9">
        <v>45820</v>
      </c>
      <c r="M1420" s="9">
        <v>45817</v>
      </c>
      <c r="N1420" s="2" t="s">
        <v>1790</v>
      </c>
      <c r="O1420" s="2" t="s">
        <v>55</v>
      </c>
      <c r="P1420" s="2" t="s">
        <v>139</v>
      </c>
      <c r="Q1420" s="2" t="s">
        <v>187</v>
      </c>
      <c r="R1420" s="2" t="s">
        <v>128</v>
      </c>
      <c r="S1420" s="2" t="s">
        <v>198</v>
      </c>
      <c r="T1420" s="10">
        <v>14.79</v>
      </c>
      <c r="U1420" s="11">
        <v>1.085</v>
      </c>
      <c r="V1420" s="12">
        <f>T1420*U1420</f>
        <v>16.047149999999998</v>
      </c>
      <c r="W1420" s="13">
        <v>0.19</v>
      </c>
      <c r="X1420" s="12">
        <f>V1420-(V1420/(1+W1420))</f>
        <v>2.562149999999999</v>
      </c>
      <c r="Y1420" s="12">
        <f>V1420-X1420</f>
        <v>13.484999999999999</v>
      </c>
      <c r="Z1420" s="14">
        <v>35</v>
      </c>
      <c r="AA1420" s="2" t="str">
        <f>IF(V1420&gt;Z1420,"Yes","No")</f>
        <v>No</v>
      </c>
      <c r="AB1420" s="12">
        <f>V1420-Z1420</f>
        <v>-18.952850000000002</v>
      </c>
      <c r="AC1420" s="15" t="s">
        <v>130</v>
      </c>
      <c r="AD1420" s="15" t="s">
        <v>131</v>
      </c>
      <c r="AE1420" s="15" t="s">
        <v>132</v>
      </c>
      <c r="AF1420" s="12">
        <f>IF(AG1420="Rejected",0,IF(R1420="Corporate Card",0,V1420))</f>
        <v>0</v>
      </c>
      <c r="AG1420" s="15" t="s">
        <v>133</v>
      </c>
      <c r="AH1420" s="16">
        <v>45824</v>
      </c>
      <c r="AI1420" s="16">
        <v>45827</v>
      </c>
      <c r="AJ1420" s="16">
        <v>45835</v>
      </c>
      <c r="AK1420" s="17">
        <f>IF(AJ1420="","",AJ1420-AH1420)</f>
        <v>11</v>
      </c>
    </row>
    <row r="1421" spans="1:37">
      <c r="A1421" s="2" t="s">
        <v>1854</v>
      </c>
      <c r="B1421" s="2" t="s">
        <v>770</v>
      </c>
      <c r="C1421" s="2" t="s">
        <v>771</v>
      </c>
      <c r="D1421" s="2" t="s">
        <v>414</v>
      </c>
      <c r="E1421" s="2" t="s">
        <v>772</v>
      </c>
      <c r="F1421" s="2" t="s">
        <v>413</v>
      </c>
      <c r="G1421" s="2" t="s">
        <v>1810</v>
      </c>
      <c r="H1421" s="2" t="s">
        <v>448</v>
      </c>
      <c r="I1421" s="2" t="s">
        <v>651</v>
      </c>
      <c r="J1421" s="2" t="s">
        <v>652</v>
      </c>
      <c r="K1421" s="9">
        <v>45813</v>
      </c>
      <c r="L1421" s="9">
        <v>45818</v>
      </c>
      <c r="M1421" s="9">
        <v>45817</v>
      </c>
      <c r="N1421" s="2" t="s">
        <v>1790</v>
      </c>
      <c r="O1421" s="2" t="s">
        <v>57</v>
      </c>
      <c r="P1421" s="2" t="s">
        <v>398</v>
      </c>
      <c r="Q1421" s="2" t="s">
        <v>495</v>
      </c>
      <c r="R1421" s="2" t="s">
        <v>149</v>
      </c>
      <c r="S1421" s="2" t="s">
        <v>654</v>
      </c>
      <c r="T1421" s="10">
        <v>192.64</v>
      </c>
      <c r="U1421" s="11">
        <v>0.72799999999999998</v>
      </c>
      <c r="V1421" s="12">
        <f>T1421*U1421</f>
        <v>140.24191999999999</v>
      </c>
      <c r="W1421" s="13">
        <v>0.13</v>
      </c>
      <c r="X1421" s="12">
        <f>V1421-(V1421/(1+W1421))</f>
        <v>16.13402619469025</v>
      </c>
      <c r="Y1421" s="12">
        <f>V1421-X1421</f>
        <v>124.10789380530974</v>
      </c>
      <c r="Z1421" s="14">
        <v>200</v>
      </c>
      <c r="AA1421" s="2" t="str">
        <f>IF(V1421&gt;Z1421,"Yes","No")</f>
        <v>No</v>
      </c>
      <c r="AB1421" s="12">
        <f>V1421-Z1421</f>
        <v>-59.758080000000007</v>
      </c>
      <c r="AC1421" s="15" t="s">
        <v>130</v>
      </c>
      <c r="AD1421" s="15" t="s">
        <v>130</v>
      </c>
      <c r="AE1421" s="15" t="s">
        <v>260</v>
      </c>
      <c r="AF1421" s="12">
        <f>IF(AG1421="Rejected",0,IF(R1421="Corporate Card",0,V1421))</f>
        <v>140.24191999999999</v>
      </c>
      <c r="AG1421" s="15" t="s">
        <v>133</v>
      </c>
      <c r="AH1421" s="16">
        <v>45826</v>
      </c>
      <c r="AI1421" s="16">
        <v>45828</v>
      </c>
      <c r="AJ1421" s="16">
        <v>45837</v>
      </c>
      <c r="AK1421" s="17">
        <f>IF(AJ1421="","",AJ1421-AH1421)</f>
        <v>11</v>
      </c>
    </row>
    <row r="1422" spans="1:37">
      <c r="A1422" s="2" t="s">
        <v>1855</v>
      </c>
      <c r="B1422" s="2" t="s">
        <v>770</v>
      </c>
      <c r="C1422" s="2" t="s">
        <v>771</v>
      </c>
      <c r="D1422" s="2" t="s">
        <v>414</v>
      </c>
      <c r="E1422" s="2" t="s">
        <v>772</v>
      </c>
      <c r="F1422" s="2" t="s">
        <v>413</v>
      </c>
      <c r="G1422" s="2" t="s">
        <v>1810</v>
      </c>
      <c r="H1422" s="2" t="s">
        <v>448</v>
      </c>
      <c r="I1422" s="2" t="s">
        <v>651</v>
      </c>
      <c r="J1422" s="2" t="s">
        <v>652</v>
      </c>
      <c r="K1422" s="9">
        <v>45813</v>
      </c>
      <c r="L1422" s="9">
        <v>45818</v>
      </c>
      <c r="M1422" s="9">
        <v>45817</v>
      </c>
      <c r="N1422" s="2" t="s">
        <v>1790</v>
      </c>
      <c r="O1422" s="2" t="s">
        <v>58</v>
      </c>
      <c r="P1422" s="2" t="s">
        <v>142</v>
      </c>
      <c r="Q1422" s="2" t="s">
        <v>143</v>
      </c>
      <c r="R1422" s="2" t="s">
        <v>149</v>
      </c>
      <c r="S1422" s="2" t="s">
        <v>654</v>
      </c>
      <c r="T1422" s="10">
        <v>43.08</v>
      </c>
      <c r="U1422" s="11">
        <v>0.72799999999999998</v>
      </c>
      <c r="V1422" s="12">
        <f>T1422*U1422</f>
        <v>31.362239999999996</v>
      </c>
      <c r="W1422" s="13">
        <v>0.13</v>
      </c>
      <c r="X1422" s="12">
        <f>V1422-(V1422/(1+W1422))</f>
        <v>3.6080453097345107</v>
      </c>
      <c r="Y1422" s="12">
        <f>V1422-X1422</f>
        <v>27.754194690265486</v>
      </c>
      <c r="Z1422" s="14">
        <v>60</v>
      </c>
      <c r="AA1422" s="2" t="str">
        <f>IF(V1422&gt;Z1422,"Yes","No")</f>
        <v>No</v>
      </c>
      <c r="AB1422" s="12">
        <f>V1422-Z1422</f>
        <v>-28.637760000000004</v>
      </c>
      <c r="AC1422" s="15" t="s">
        <v>130</v>
      </c>
      <c r="AD1422" s="15" t="s">
        <v>130</v>
      </c>
      <c r="AE1422" s="15" t="s">
        <v>260</v>
      </c>
      <c r="AF1422" s="12">
        <f>IF(AG1422="Rejected",0,IF(R1422="Corporate Card",0,V1422))</f>
        <v>31.362239999999996</v>
      </c>
      <c r="AG1422" s="15" t="s">
        <v>133</v>
      </c>
      <c r="AH1422" s="16">
        <v>45826</v>
      </c>
      <c r="AI1422" s="16">
        <v>45828</v>
      </c>
      <c r="AJ1422" s="16">
        <v>45837</v>
      </c>
      <c r="AK1422" s="17">
        <f>IF(AJ1422="","",AJ1422-AH1422)</f>
        <v>11</v>
      </c>
    </row>
    <row r="1423" spans="1:37">
      <c r="A1423" s="2" t="s">
        <v>1856</v>
      </c>
      <c r="B1423" s="2" t="s">
        <v>770</v>
      </c>
      <c r="C1423" s="2" t="s">
        <v>771</v>
      </c>
      <c r="D1423" s="2" t="s">
        <v>414</v>
      </c>
      <c r="E1423" s="2" t="s">
        <v>772</v>
      </c>
      <c r="F1423" s="2" t="s">
        <v>413</v>
      </c>
      <c r="G1423" s="2" t="s">
        <v>1810</v>
      </c>
      <c r="H1423" s="2" t="s">
        <v>448</v>
      </c>
      <c r="I1423" s="2" t="s">
        <v>651</v>
      </c>
      <c r="J1423" s="2" t="s">
        <v>652</v>
      </c>
      <c r="K1423" s="9">
        <v>45813</v>
      </c>
      <c r="L1423" s="9">
        <v>45818</v>
      </c>
      <c r="M1423" s="9">
        <v>45817</v>
      </c>
      <c r="N1423" s="2" t="s">
        <v>1790</v>
      </c>
      <c r="O1423" s="2" t="s">
        <v>54</v>
      </c>
      <c r="P1423" s="2" t="s">
        <v>139</v>
      </c>
      <c r="Q1423" s="2" t="s">
        <v>148</v>
      </c>
      <c r="R1423" s="2" t="s">
        <v>137</v>
      </c>
      <c r="S1423" s="2" t="s">
        <v>654</v>
      </c>
      <c r="T1423" s="10">
        <v>37.729999999999997</v>
      </c>
      <c r="U1423" s="11">
        <v>0.72799999999999998</v>
      </c>
      <c r="V1423" s="12">
        <f>T1423*U1423</f>
        <v>27.467439999999996</v>
      </c>
      <c r="W1423" s="13">
        <v>0.13</v>
      </c>
      <c r="X1423" s="12">
        <f>V1423-(V1423/(1+W1423))</f>
        <v>3.1599709734513262</v>
      </c>
      <c r="Y1423" s="12">
        <f>V1423-X1423</f>
        <v>24.30746902654867</v>
      </c>
      <c r="Z1423" s="14">
        <v>25</v>
      </c>
      <c r="AA1423" s="2" t="str">
        <f>IF(V1423&gt;Z1423,"Yes","No")</f>
        <v>Yes</v>
      </c>
      <c r="AB1423" s="12">
        <f>V1423-Z1423</f>
        <v>2.4674399999999963</v>
      </c>
      <c r="AC1423" s="15" t="s">
        <v>130</v>
      </c>
      <c r="AD1423" s="15" t="s">
        <v>130</v>
      </c>
      <c r="AE1423" s="15" t="s">
        <v>260</v>
      </c>
      <c r="AF1423" s="12">
        <f>IF(AG1423="Rejected",0,IF(R1423="Corporate Card",0,V1423))</f>
        <v>27.467439999999996</v>
      </c>
      <c r="AG1423" s="15" t="s">
        <v>133</v>
      </c>
      <c r="AH1423" s="16">
        <v>45826</v>
      </c>
      <c r="AI1423" s="16">
        <v>45828</v>
      </c>
      <c r="AJ1423" s="16">
        <v>45837</v>
      </c>
      <c r="AK1423" s="17">
        <f>IF(AJ1423="","",AJ1423-AH1423)</f>
        <v>11</v>
      </c>
    </row>
    <row r="1424" spans="1:37">
      <c r="A1424" s="2" t="s">
        <v>1857</v>
      </c>
      <c r="B1424" s="2" t="s">
        <v>770</v>
      </c>
      <c r="C1424" s="2" t="s">
        <v>771</v>
      </c>
      <c r="D1424" s="2" t="s">
        <v>414</v>
      </c>
      <c r="E1424" s="2" t="s">
        <v>772</v>
      </c>
      <c r="F1424" s="2" t="s">
        <v>413</v>
      </c>
      <c r="G1424" s="2" t="s">
        <v>1810</v>
      </c>
      <c r="H1424" s="2" t="s">
        <v>448</v>
      </c>
      <c r="I1424" s="2" t="s">
        <v>651</v>
      </c>
      <c r="J1424" s="2" t="s">
        <v>652</v>
      </c>
      <c r="K1424" s="9">
        <v>45813</v>
      </c>
      <c r="L1424" s="9">
        <v>45818</v>
      </c>
      <c r="M1424" s="9">
        <v>45817</v>
      </c>
      <c r="N1424" s="2" t="s">
        <v>1790</v>
      </c>
      <c r="O1424" s="2" t="s">
        <v>56</v>
      </c>
      <c r="P1424" s="2" t="s">
        <v>165</v>
      </c>
      <c r="Q1424" s="2" t="s">
        <v>159</v>
      </c>
      <c r="R1424" s="2" t="s">
        <v>137</v>
      </c>
      <c r="S1424" s="2" t="s">
        <v>654</v>
      </c>
      <c r="T1424" s="10">
        <v>72.989999999999995</v>
      </c>
      <c r="U1424" s="11">
        <v>0.72799999999999998</v>
      </c>
      <c r="V1424" s="12">
        <f>T1424*U1424</f>
        <v>53.136719999999997</v>
      </c>
      <c r="W1424" s="13">
        <v>0.13</v>
      </c>
      <c r="X1424" s="12">
        <f>V1424-(V1424/(1+W1424))</f>
        <v>6.1130739823008824</v>
      </c>
      <c r="Y1424" s="12">
        <f>V1424-X1424</f>
        <v>47.023646017699114</v>
      </c>
      <c r="Z1424" s="14">
        <v>75</v>
      </c>
      <c r="AA1424" s="2" t="str">
        <f>IF(V1424&gt;Z1424,"Yes","No")</f>
        <v>No</v>
      </c>
      <c r="AB1424" s="12">
        <f>V1424-Z1424</f>
        <v>-21.863280000000003</v>
      </c>
      <c r="AC1424" s="15" t="s">
        <v>130</v>
      </c>
      <c r="AD1424" s="15" t="s">
        <v>130</v>
      </c>
      <c r="AE1424" s="15" t="s">
        <v>260</v>
      </c>
      <c r="AF1424" s="12">
        <f>IF(AG1424="Rejected",0,IF(R1424="Corporate Card",0,V1424))</f>
        <v>53.136719999999997</v>
      </c>
      <c r="AG1424" s="15" t="s">
        <v>133</v>
      </c>
      <c r="AH1424" s="16">
        <v>45826</v>
      </c>
      <c r="AI1424" s="16">
        <v>45828</v>
      </c>
      <c r="AJ1424" s="16">
        <v>45837</v>
      </c>
      <c r="AK1424" s="17">
        <f>IF(AJ1424="","",AJ1424-AH1424)</f>
        <v>11</v>
      </c>
    </row>
    <row r="1425" spans="1:37">
      <c r="A1425" s="2" t="s">
        <v>1858</v>
      </c>
      <c r="B1425" s="2" t="s">
        <v>770</v>
      </c>
      <c r="C1425" s="2" t="s">
        <v>771</v>
      </c>
      <c r="D1425" s="2" t="s">
        <v>414</v>
      </c>
      <c r="E1425" s="2" t="s">
        <v>772</v>
      </c>
      <c r="F1425" s="2" t="s">
        <v>413</v>
      </c>
      <c r="G1425" s="2" t="s">
        <v>1810</v>
      </c>
      <c r="H1425" s="2" t="s">
        <v>448</v>
      </c>
      <c r="I1425" s="2" t="s">
        <v>651</v>
      </c>
      <c r="J1425" s="2" t="s">
        <v>652</v>
      </c>
      <c r="K1425" s="9">
        <v>45813</v>
      </c>
      <c r="L1425" s="9">
        <v>45818</v>
      </c>
      <c r="M1425" s="9">
        <v>45817</v>
      </c>
      <c r="N1425" s="2" t="s">
        <v>1790</v>
      </c>
      <c r="O1425" s="2" t="s">
        <v>55</v>
      </c>
      <c r="P1425" s="2" t="s">
        <v>139</v>
      </c>
      <c r="Q1425" s="2" t="s">
        <v>217</v>
      </c>
      <c r="R1425" s="2" t="s">
        <v>128</v>
      </c>
      <c r="S1425" s="2" t="s">
        <v>654</v>
      </c>
      <c r="T1425" s="10">
        <v>45.41</v>
      </c>
      <c r="U1425" s="11">
        <v>0.72799999999999998</v>
      </c>
      <c r="V1425" s="12">
        <f>T1425*U1425</f>
        <v>33.058479999999996</v>
      </c>
      <c r="W1425" s="13">
        <v>0.13</v>
      </c>
      <c r="X1425" s="12">
        <f>V1425-(V1425/(1+W1425))</f>
        <v>3.803187964601765</v>
      </c>
      <c r="Y1425" s="12">
        <f>V1425-X1425</f>
        <v>29.255292035398231</v>
      </c>
      <c r="Z1425" s="14">
        <v>35</v>
      </c>
      <c r="AA1425" s="2" t="str">
        <f>IF(V1425&gt;Z1425,"Yes","No")</f>
        <v>No</v>
      </c>
      <c r="AB1425" s="12">
        <f>V1425-Z1425</f>
        <v>-1.9415200000000041</v>
      </c>
      <c r="AC1425" s="15" t="s">
        <v>130</v>
      </c>
      <c r="AD1425" s="15" t="s">
        <v>130</v>
      </c>
      <c r="AE1425" s="15" t="s">
        <v>260</v>
      </c>
      <c r="AF1425" s="12">
        <f>IF(AG1425="Rejected",0,IF(R1425="Corporate Card",0,V1425))</f>
        <v>0</v>
      </c>
      <c r="AG1425" s="15" t="s">
        <v>133</v>
      </c>
      <c r="AH1425" s="16">
        <v>45826</v>
      </c>
      <c r="AI1425" s="16">
        <v>45828</v>
      </c>
      <c r="AJ1425" s="16">
        <v>45837</v>
      </c>
      <c r="AK1425" s="17">
        <f>IF(AJ1425="","",AJ1425-AH1425)</f>
        <v>11</v>
      </c>
    </row>
    <row r="1426" spans="1:37">
      <c r="A1426" s="2" t="s">
        <v>1859</v>
      </c>
      <c r="B1426" s="2" t="s">
        <v>770</v>
      </c>
      <c r="C1426" s="2" t="s">
        <v>771</v>
      </c>
      <c r="D1426" s="2" t="s">
        <v>414</v>
      </c>
      <c r="E1426" s="2" t="s">
        <v>772</v>
      </c>
      <c r="F1426" s="2" t="s">
        <v>413</v>
      </c>
      <c r="G1426" s="2" t="s">
        <v>1834</v>
      </c>
      <c r="H1426" s="2" t="s">
        <v>379</v>
      </c>
      <c r="I1426" s="2" t="s">
        <v>1251</v>
      </c>
      <c r="J1426" s="2" t="s">
        <v>750</v>
      </c>
      <c r="K1426" s="9">
        <v>45816</v>
      </c>
      <c r="L1426" s="9">
        <v>45820</v>
      </c>
      <c r="M1426" s="9">
        <v>45818</v>
      </c>
      <c r="N1426" s="2" t="s">
        <v>1790</v>
      </c>
      <c r="O1426" s="2" t="s">
        <v>58</v>
      </c>
      <c r="P1426" s="2" t="s">
        <v>142</v>
      </c>
      <c r="Q1426" s="2" t="s">
        <v>296</v>
      </c>
      <c r="R1426" s="2" t="s">
        <v>128</v>
      </c>
      <c r="S1426" s="2" t="s">
        <v>198</v>
      </c>
      <c r="T1426" s="10">
        <v>73.12</v>
      </c>
      <c r="U1426" s="11">
        <v>1.085</v>
      </c>
      <c r="V1426" s="12">
        <f>T1426*U1426</f>
        <v>79.3352</v>
      </c>
      <c r="W1426" s="13">
        <v>0.19</v>
      </c>
      <c r="X1426" s="12">
        <f>V1426-(V1426/(1+W1426))</f>
        <v>12.66696470588235</v>
      </c>
      <c r="Y1426" s="12">
        <f>V1426-X1426</f>
        <v>66.66823529411765</v>
      </c>
      <c r="Z1426" s="14">
        <v>60</v>
      </c>
      <c r="AA1426" s="2" t="str">
        <f>IF(V1426&gt;Z1426,"Yes","No")</f>
        <v>Yes</v>
      </c>
      <c r="AB1426" s="12">
        <f>V1426-Z1426</f>
        <v>19.3352</v>
      </c>
      <c r="AC1426" s="15" t="s">
        <v>130</v>
      </c>
      <c r="AD1426" s="15" t="s">
        <v>131</v>
      </c>
      <c r="AE1426" s="15" t="s">
        <v>132</v>
      </c>
      <c r="AF1426" s="12">
        <f>IF(AG1426="Rejected",0,IF(R1426="Corporate Card",0,V1426))</f>
        <v>0</v>
      </c>
      <c r="AG1426" s="15" t="s">
        <v>133</v>
      </c>
      <c r="AH1426" s="16">
        <v>45824</v>
      </c>
      <c r="AI1426" s="16">
        <v>45827</v>
      </c>
      <c r="AJ1426" s="16">
        <v>45835</v>
      </c>
      <c r="AK1426" s="17">
        <f>IF(AJ1426="","",AJ1426-AH1426)</f>
        <v>11</v>
      </c>
    </row>
    <row r="1427" spans="1:37">
      <c r="A1427" s="2" t="s">
        <v>1860</v>
      </c>
      <c r="B1427" s="2" t="s">
        <v>770</v>
      </c>
      <c r="C1427" s="2" t="s">
        <v>771</v>
      </c>
      <c r="D1427" s="2" t="s">
        <v>414</v>
      </c>
      <c r="E1427" s="2" t="s">
        <v>772</v>
      </c>
      <c r="F1427" s="2" t="s">
        <v>413</v>
      </c>
      <c r="G1427" s="2" t="s">
        <v>1834</v>
      </c>
      <c r="H1427" s="2" t="s">
        <v>379</v>
      </c>
      <c r="I1427" s="2" t="s">
        <v>1251</v>
      </c>
      <c r="J1427" s="2" t="s">
        <v>750</v>
      </c>
      <c r="K1427" s="9">
        <v>45816</v>
      </c>
      <c r="L1427" s="9">
        <v>45820</v>
      </c>
      <c r="M1427" s="9">
        <v>45818</v>
      </c>
      <c r="N1427" s="2" t="s">
        <v>1790</v>
      </c>
      <c r="O1427" s="2" t="s">
        <v>54</v>
      </c>
      <c r="P1427" s="2" t="s">
        <v>139</v>
      </c>
      <c r="Q1427" s="2" t="s">
        <v>140</v>
      </c>
      <c r="R1427" s="2" t="s">
        <v>128</v>
      </c>
      <c r="S1427" s="2" t="s">
        <v>198</v>
      </c>
      <c r="T1427" s="10">
        <v>9.27</v>
      </c>
      <c r="U1427" s="11">
        <v>1.085</v>
      </c>
      <c r="V1427" s="12">
        <f>T1427*U1427</f>
        <v>10.05795</v>
      </c>
      <c r="W1427" s="13">
        <v>0.19</v>
      </c>
      <c r="X1427" s="12">
        <f>V1427-(V1427/(1+W1427))</f>
        <v>1.6058911764705872</v>
      </c>
      <c r="Y1427" s="12">
        <f>V1427-X1427</f>
        <v>8.4520588235294127</v>
      </c>
      <c r="Z1427" s="14">
        <v>25</v>
      </c>
      <c r="AA1427" s="2" t="str">
        <f>IF(V1427&gt;Z1427,"Yes","No")</f>
        <v>No</v>
      </c>
      <c r="AB1427" s="12">
        <f>V1427-Z1427</f>
        <v>-14.94205</v>
      </c>
      <c r="AC1427" s="15" t="s">
        <v>130</v>
      </c>
      <c r="AD1427" s="15" t="s">
        <v>131</v>
      </c>
      <c r="AE1427" s="15" t="s">
        <v>132</v>
      </c>
      <c r="AF1427" s="12">
        <f>IF(AG1427="Rejected",0,IF(R1427="Corporate Card",0,V1427))</f>
        <v>0</v>
      </c>
      <c r="AG1427" s="15" t="s">
        <v>133</v>
      </c>
      <c r="AH1427" s="16">
        <v>45824</v>
      </c>
      <c r="AI1427" s="16">
        <v>45827</v>
      </c>
      <c r="AJ1427" s="16">
        <v>45835</v>
      </c>
      <c r="AK1427" s="17">
        <f>IF(AJ1427="","",AJ1427-AH1427)</f>
        <v>11</v>
      </c>
    </row>
    <row r="1428" spans="1:37">
      <c r="A1428" s="2" t="s">
        <v>1861</v>
      </c>
      <c r="B1428" s="2" t="s">
        <v>770</v>
      </c>
      <c r="C1428" s="2" t="s">
        <v>771</v>
      </c>
      <c r="D1428" s="2" t="s">
        <v>414</v>
      </c>
      <c r="E1428" s="2" t="s">
        <v>772</v>
      </c>
      <c r="F1428" s="2" t="s">
        <v>413</v>
      </c>
      <c r="G1428" s="2" t="s">
        <v>1834</v>
      </c>
      <c r="H1428" s="2" t="s">
        <v>379</v>
      </c>
      <c r="I1428" s="2" t="s">
        <v>1251</v>
      </c>
      <c r="J1428" s="2" t="s">
        <v>750</v>
      </c>
      <c r="K1428" s="9">
        <v>45816</v>
      </c>
      <c r="L1428" s="9">
        <v>45820</v>
      </c>
      <c r="M1428" s="9">
        <v>45818</v>
      </c>
      <c r="N1428" s="2" t="s">
        <v>1790</v>
      </c>
      <c r="O1428" s="2" t="s">
        <v>55</v>
      </c>
      <c r="P1428" s="2" t="s">
        <v>139</v>
      </c>
      <c r="Q1428" s="2" t="s">
        <v>217</v>
      </c>
      <c r="R1428" s="2" t="s">
        <v>137</v>
      </c>
      <c r="S1428" s="2" t="s">
        <v>198</v>
      </c>
      <c r="T1428" s="10">
        <v>23.26</v>
      </c>
      <c r="U1428" s="11">
        <v>1.085</v>
      </c>
      <c r="V1428" s="12">
        <f>T1428*U1428</f>
        <v>25.237100000000002</v>
      </c>
      <c r="W1428" s="13">
        <v>0.19</v>
      </c>
      <c r="X1428" s="12">
        <f>V1428-(V1428/(1+W1428))</f>
        <v>4.0294529411764692</v>
      </c>
      <c r="Y1428" s="12">
        <f>V1428-X1428</f>
        <v>21.207647058823532</v>
      </c>
      <c r="Z1428" s="14">
        <v>35</v>
      </c>
      <c r="AA1428" s="2" t="str">
        <f>IF(V1428&gt;Z1428,"Yes","No")</f>
        <v>No</v>
      </c>
      <c r="AB1428" s="12">
        <f>V1428-Z1428</f>
        <v>-9.7628999999999984</v>
      </c>
      <c r="AC1428" s="15" t="s">
        <v>130</v>
      </c>
      <c r="AD1428" s="15" t="s">
        <v>131</v>
      </c>
      <c r="AE1428" s="15" t="s">
        <v>132</v>
      </c>
      <c r="AF1428" s="12">
        <f>IF(AG1428="Rejected",0,IF(R1428="Corporate Card",0,V1428))</f>
        <v>25.237100000000002</v>
      </c>
      <c r="AG1428" s="15" t="s">
        <v>133</v>
      </c>
      <c r="AH1428" s="16">
        <v>45824</v>
      </c>
      <c r="AI1428" s="16">
        <v>45827</v>
      </c>
      <c r="AJ1428" s="16">
        <v>45835</v>
      </c>
      <c r="AK1428" s="17">
        <f>IF(AJ1428="","",AJ1428-AH1428)</f>
        <v>11</v>
      </c>
    </row>
    <row r="1429" spans="1:37">
      <c r="A1429" s="2" t="s">
        <v>1862</v>
      </c>
      <c r="B1429" s="2" t="s">
        <v>770</v>
      </c>
      <c r="C1429" s="2" t="s">
        <v>771</v>
      </c>
      <c r="D1429" s="2" t="s">
        <v>414</v>
      </c>
      <c r="E1429" s="2" t="s">
        <v>772</v>
      </c>
      <c r="F1429" s="2" t="s">
        <v>413</v>
      </c>
      <c r="G1429" s="2" t="s">
        <v>1810</v>
      </c>
      <c r="H1429" s="2" t="s">
        <v>448</v>
      </c>
      <c r="I1429" s="2" t="s">
        <v>651</v>
      </c>
      <c r="J1429" s="2" t="s">
        <v>652</v>
      </c>
      <c r="K1429" s="9">
        <v>45813</v>
      </c>
      <c r="L1429" s="9">
        <v>45818</v>
      </c>
      <c r="M1429" s="9">
        <v>45818</v>
      </c>
      <c r="N1429" s="2" t="s">
        <v>1790</v>
      </c>
      <c r="O1429" s="2" t="s">
        <v>58</v>
      </c>
      <c r="P1429" s="2" t="s">
        <v>142</v>
      </c>
      <c r="Q1429" s="2" t="s">
        <v>156</v>
      </c>
      <c r="R1429" s="2" t="s">
        <v>137</v>
      </c>
      <c r="S1429" s="2" t="s">
        <v>654</v>
      </c>
      <c r="T1429" s="10">
        <v>36.299999999999997</v>
      </c>
      <c r="U1429" s="11">
        <v>0.72799999999999998</v>
      </c>
      <c r="V1429" s="12">
        <f>T1429*U1429</f>
        <v>26.426399999999997</v>
      </c>
      <c r="W1429" s="13">
        <v>0.13</v>
      </c>
      <c r="X1429" s="12">
        <f>V1429-(V1429/(1+W1429))</f>
        <v>3.0402053097345103</v>
      </c>
      <c r="Y1429" s="12">
        <f>V1429-X1429</f>
        <v>23.386194690265487</v>
      </c>
      <c r="Z1429" s="14">
        <v>60</v>
      </c>
      <c r="AA1429" s="2" t="str">
        <f>IF(V1429&gt;Z1429,"Yes","No")</f>
        <v>No</v>
      </c>
      <c r="AB1429" s="12">
        <f>V1429-Z1429</f>
        <v>-33.573599999999999</v>
      </c>
      <c r="AC1429" s="15" t="s">
        <v>130</v>
      </c>
      <c r="AD1429" s="15" t="s">
        <v>130</v>
      </c>
      <c r="AE1429" s="15" t="s">
        <v>260</v>
      </c>
      <c r="AF1429" s="12">
        <f>IF(AG1429="Rejected",0,IF(R1429="Corporate Card",0,V1429))</f>
        <v>26.426399999999997</v>
      </c>
      <c r="AG1429" s="15" t="s">
        <v>133</v>
      </c>
      <c r="AH1429" s="16">
        <v>45826</v>
      </c>
      <c r="AI1429" s="16">
        <v>45828</v>
      </c>
      <c r="AJ1429" s="16">
        <v>45837</v>
      </c>
      <c r="AK1429" s="17">
        <f>IF(AJ1429="","",AJ1429-AH1429)</f>
        <v>11</v>
      </c>
    </row>
    <row r="1430" spans="1:37">
      <c r="A1430" s="2" t="s">
        <v>1863</v>
      </c>
      <c r="B1430" s="2" t="s">
        <v>770</v>
      </c>
      <c r="C1430" s="2" t="s">
        <v>771</v>
      </c>
      <c r="D1430" s="2" t="s">
        <v>414</v>
      </c>
      <c r="E1430" s="2" t="s">
        <v>772</v>
      </c>
      <c r="F1430" s="2" t="s">
        <v>413</v>
      </c>
      <c r="G1430" s="2" t="s">
        <v>1810</v>
      </c>
      <c r="H1430" s="2" t="s">
        <v>448</v>
      </c>
      <c r="I1430" s="2" t="s">
        <v>651</v>
      </c>
      <c r="J1430" s="2" t="s">
        <v>652</v>
      </c>
      <c r="K1430" s="9">
        <v>45813</v>
      </c>
      <c r="L1430" s="9">
        <v>45818</v>
      </c>
      <c r="M1430" s="9">
        <v>45818</v>
      </c>
      <c r="N1430" s="2" t="s">
        <v>1790</v>
      </c>
      <c r="O1430" s="2" t="s">
        <v>56</v>
      </c>
      <c r="P1430" s="2" t="s">
        <v>245</v>
      </c>
      <c r="Q1430" s="2" t="s">
        <v>166</v>
      </c>
      <c r="R1430" s="2" t="s">
        <v>137</v>
      </c>
      <c r="S1430" s="2" t="s">
        <v>654</v>
      </c>
      <c r="T1430" s="10">
        <v>59.5</v>
      </c>
      <c r="U1430" s="11">
        <v>0.72799999999999998</v>
      </c>
      <c r="V1430" s="12">
        <f>T1430*U1430</f>
        <v>43.315999999999995</v>
      </c>
      <c r="W1430" s="13">
        <v>0.13</v>
      </c>
      <c r="X1430" s="12">
        <f>V1430-(V1430/(1+W1430))</f>
        <v>4.9832566371681395</v>
      </c>
      <c r="Y1430" s="12">
        <f>V1430-X1430</f>
        <v>38.332743362831856</v>
      </c>
      <c r="Z1430" s="14">
        <v>75</v>
      </c>
      <c r="AA1430" s="2" t="str">
        <f>IF(V1430&gt;Z1430,"Yes","No")</f>
        <v>No</v>
      </c>
      <c r="AB1430" s="12">
        <f>V1430-Z1430</f>
        <v>-31.684000000000005</v>
      </c>
      <c r="AC1430" s="15" t="s">
        <v>130</v>
      </c>
      <c r="AD1430" s="15" t="s">
        <v>130</v>
      </c>
      <c r="AE1430" s="15" t="s">
        <v>260</v>
      </c>
      <c r="AF1430" s="12">
        <f>IF(AG1430="Rejected",0,IF(R1430="Corporate Card",0,V1430))</f>
        <v>43.315999999999995</v>
      </c>
      <c r="AG1430" s="15" t="s">
        <v>133</v>
      </c>
      <c r="AH1430" s="16">
        <v>45826</v>
      </c>
      <c r="AI1430" s="16">
        <v>45828</v>
      </c>
      <c r="AJ1430" s="16">
        <v>45837</v>
      </c>
      <c r="AK1430" s="17">
        <f>IF(AJ1430="","",AJ1430-AH1430)</f>
        <v>11</v>
      </c>
    </row>
    <row r="1431" spans="1:37">
      <c r="A1431" s="2" t="s">
        <v>1864</v>
      </c>
      <c r="B1431" s="2" t="s">
        <v>770</v>
      </c>
      <c r="C1431" s="2" t="s">
        <v>771</v>
      </c>
      <c r="D1431" s="2" t="s">
        <v>414</v>
      </c>
      <c r="E1431" s="2" t="s">
        <v>772</v>
      </c>
      <c r="F1431" s="2" t="s">
        <v>413</v>
      </c>
      <c r="G1431" s="2" t="s">
        <v>1810</v>
      </c>
      <c r="H1431" s="2" t="s">
        <v>448</v>
      </c>
      <c r="I1431" s="2" t="s">
        <v>651</v>
      </c>
      <c r="J1431" s="2" t="s">
        <v>652</v>
      </c>
      <c r="K1431" s="9">
        <v>45813</v>
      </c>
      <c r="L1431" s="9">
        <v>45818</v>
      </c>
      <c r="M1431" s="9">
        <v>45818</v>
      </c>
      <c r="N1431" s="2" t="s">
        <v>1790</v>
      </c>
      <c r="O1431" s="2" t="s">
        <v>55</v>
      </c>
      <c r="P1431" s="2" t="s">
        <v>139</v>
      </c>
      <c r="Q1431" s="2" t="s">
        <v>187</v>
      </c>
      <c r="R1431" s="2" t="s">
        <v>128</v>
      </c>
      <c r="S1431" s="2" t="s">
        <v>654</v>
      </c>
      <c r="T1431" s="10">
        <v>23.97</v>
      </c>
      <c r="U1431" s="11">
        <v>0.72799999999999998</v>
      </c>
      <c r="V1431" s="12">
        <f>T1431*U1431</f>
        <v>17.45016</v>
      </c>
      <c r="W1431" s="13">
        <v>0.13</v>
      </c>
      <c r="X1431" s="12">
        <f>V1431-(V1431/(1+W1431))</f>
        <v>2.0075405309734506</v>
      </c>
      <c r="Y1431" s="12">
        <f>V1431-X1431</f>
        <v>15.44261946902655</v>
      </c>
      <c r="Z1431" s="14">
        <v>35</v>
      </c>
      <c r="AA1431" s="2" t="str">
        <f>IF(V1431&gt;Z1431,"Yes","No")</f>
        <v>No</v>
      </c>
      <c r="AB1431" s="12">
        <f>V1431-Z1431</f>
        <v>-17.54984</v>
      </c>
      <c r="AC1431" s="15" t="s">
        <v>130</v>
      </c>
      <c r="AD1431" s="15" t="s">
        <v>130</v>
      </c>
      <c r="AE1431" s="15" t="s">
        <v>260</v>
      </c>
      <c r="AF1431" s="12">
        <f>IF(AG1431="Rejected",0,IF(R1431="Corporate Card",0,V1431))</f>
        <v>0</v>
      </c>
      <c r="AG1431" s="15" t="s">
        <v>133</v>
      </c>
      <c r="AH1431" s="16">
        <v>45826</v>
      </c>
      <c r="AI1431" s="16">
        <v>45828</v>
      </c>
      <c r="AJ1431" s="16">
        <v>45837</v>
      </c>
      <c r="AK1431" s="17">
        <f>IF(AJ1431="","",AJ1431-AH1431)</f>
        <v>11</v>
      </c>
    </row>
    <row r="1432" spans="1:37">
      <c r="A1432" s="2" t="s">
        <v>1865</v>
      </c>
      <c r="B1432" s="2" t="s">
        <v>770</v>
      </c>
      <c r="C1432" s="2" t="s">
        <v>771</v>
      </c>
      <c r="D1432" s="2" t="s">
        <v>414</v>
      </c>
      <c r="E1432" s="2" t="s">
        <v>772</v>
      </c>
      <c r="F1432" s="2" t="s">
        <v>413</v>
      </c>
      <c r="G1432" s="2" t="s">
        <v>1834</v>
      </c>
      <c r="H1432" s="2" t="s">
        <v>379</v>
      </c>
      <c r="I1432" s="2" t="s">
        <v>1251</v>
      </c>
      <c r="J1432" s="2" t="s">
        <v>750</v>
      </c>
      <c r="K1432" s="9">
        <v>45816</v>
      </c>
      <c r="L1432" s="9">
        <v>45820</v>
      </c>
      <c r="M1432" s="9">
        <v>45819</v>
      </c>
      <c r="N1432" s="2" t="s">
        <v>1790</v>
      </c>
      <c r="O1432" s="2" t="s">
        <v>68</v>
      </c>
      <c r="P1432" s="2" t="s">
        <v>282</v>
      </c>
      <c r="Q1432" s="2" t="s">
        <v>283</v>
      </c>
      <c r="R1432" s="2" t="s">
        <v>128</v>
      </c>
      <c r="S1432" s="2" t="s">
        <v>198</v>
      </c>
      <c r="T1432" s="10">
        <v>18.59</v>
      </c>
      <c r="U1432" s="11">
        <v>1.085</v>
      </c>
      <c r="V1432" s="12">
        <f>T1432*U1432</f>
        <v>20.17015</v>
      </c>
      <c r="W1432" s="13">
        <v>0.19</v>
      </c>
      <c r="X1432" s="12">
        <f>V1432-(V1432/(1+W1432))</f>
        <v>3.2204441176470588</v>
      </c>
      <c r="Y1432" s="12">
        <f>V1432-X1432</f>
        <v>16.949705882352941</v>
      </c>
      <c r="Z1432" s="14">
        <v>30</v>
      </c>
      <c r="AA1432" s="2" t="str">
        <f>IF(V1432&gt;Z1432,"Yes","No")</f>
        <v>No</v>
      </c>
      <c r="AB1432" s="12">
        <f>V1432-Z1432</f>
        <v>-9.8298500000000004</v>
      </c>
      <c r="AC1432" s="15" t="s">
        <v>130</v>
      </c>
      <c r="AD1432" s="15" t="s">
        <v>131</v>
      </c>
      <c r="AE1432" s="15" t="s">
        <v>132</v>
      </c>
      <c r="AF1432" s="12">
        <f>IF(AG1432="Rejected",0,IF(R1432="Corporate Card",0,V1432))</f>
        <v>0</v>
      </c>
      <c r="AG1432" s="15" t="s">
        <v>133</v>
      </c>
      <c r="AH1432" s="16">
        <v>45824</v>
      </c>
      <c r="AI1432" s="16">
        <v>45827</v>
      </c>
      <c r="AJ1432" s="16">
        <v>45835</v>
      </c>
      <c r="AK1432" s="17">
        <f>IF(AJ1432="","",AJ1432-AH1432)</f>
        <v>11</v>
      </c>
    </row>
    <row r="1433" spans="1:37">
      <c r="A1433" s="2" t="s">
        <v>1866</v>
      </c>
      <c r="B1433" s="2" t="s">
        <v>770</v>
      </c>
      <c r="C1433" s="2" t="s">
        <v>771</v>
      </c>
      <c r="D1433" s="2" t="s">
        <v>414</v>
      </c>
      <c r="E1433" s="2" t="s">
        <v>772</v>
      </c>
      <c r="F1433" s="2" t="s">
        <v>413</v>
      </c>
      <c r="G1433" s="2" t="s">
        <v>1834</v>
      </c>
      <c r="H1433" s="2" t="s">
        <v>379</v>
      </c>
      <c r="I1433" s="2" t="s">
        <v>1251</v>
      </c>
      <c r="J1433" s="2" t="s">
        <v>750</v>
      </c>
      <c r="K1433" s="9">
        <v>45816</v>
      </c>
      <c r="L1433" s="9">
        <v>45820</v>
      </c>
      <c r="M1433" s="9">
        <v>45819</v>
      </c>
      <c r="N1433" s="2" t="s">
        <v>1790</v>
      </c>
      <c r="O1433" s="2" t="s">
        <v>54</v>
      </c>
      <c r="P1433" s="2" t="s">
        <v>139</v>
      </c>
      <c r="Q1433" s="2" t="s">
        <v>214</v>
      </c>
      <c r="R1433" s="2" t="s">
        <v>128</v>
      </c>
      <c r="S1433" s="2" t="s">
        <v>198</v>
      </c>
      <c r="T1433" s="10">
        <v>13.47</v>
      </c>
      <c r="U1433" s="11">
        <v>1.085</v>
      </c>
      <c r="V1433" s="12">
        <f>T1433*U1433</f>
        <v>14.61495</v>
      </c>
      <c r="W1433" s="13">
        <v>0.19</v>
      </c>
      <c r="X1433" s="12">
        <f>V1433-(V1433/(1+W1433))</f>
        <v>2.3334794117647046</v>
      </c>
      <c r="Y1433" s="12">
        <f>V1433-X1433</f>
        <v>12.281470588235296</v>
      </c>
      <c r="Z1433" s="14">
        <v>25</v>
      </c>
      <c r="AA1433" s="2" t="str">
        <f>IF(V1433&gt;Z1433,"Yes","No")</f>
        <v>No</v>
      </c>
      <c r="AB1433" s="12">
        <f>V1433-Z1433</f>
        <v>-10.38505</v>
      </c>
      <c r="AC1433" s="15" t="s">
        <v>130</v>
      </c>
      <c r="AD1433" s="15" t="s">
        <v>131</v>
      </c>
      <c r="AE1433" s="15" t="s">
        <v>132</v>
      </c>
      <c r="AF1433" s="12">
        <f>IF(AG1433="Rejected",0,IF(R1433="Corporate Card",0,V1433))</f>
        <v>0</v>
      </c>
      <c r="AG1433" s="15" t="s">
        <v>133</v>
      </c>
      <c r="AH1433" s="16">
        <v>45824</v>
      </c>
      <c r="AI1433" s="16">
        <v>45827</v>
      </c>
      <c r="AJ1433" s="16">
        <v>45835</v>
      </c>
      <c r="AK1433" s="17">
        <f>IF(AJ1433="","",AJ1433-AH1433)</f>
        <v>11</v>
      </c>
    </row>
    <row r="1434" spans="1:37">
      <c r="A1434" s="2" t="s">
        <v>1867</v>
      </c>
      <c r="B1434" s="2" t="s">
        <v>770</v>
      </c>
      <c r="C1434" s="2" t="s">
        <v>771</v>
      </c>
      <c r="D1434" s="2" t="s">
        <v>414</v>
      </c>
      <c r="E1434" s="2" t="s">
        <v>772</v>
      </c>
      <c r="F1434" s="2" t="s">
        <v>413</v>
      </c>
      <c r="G1434" s="2" t="s">
        <v>1834</v>
      </c>
      <c r="H1434" s="2" t="s">
        <v>379</v>
      </c>
      <c r="I1434" s="2" t="s">
        <v>1251</v>
      </c>
      <c r="J1434" s="2" t="s">
        <v>750</v>
      </c>
      <c r="K1434" s="9">
        <v>45816</v>
      </c>
      <c r="L1434" s="9">
        <v>45820</v>
      </c>
      <c r="M1434" s="9">
        <v>45819</v>
      </c>
      <c r="N1434" s="2" t="s">
        <v>1790</v>
      </c>
      <c r="O1434" s="2" t="s">
        <v>56</v>
      </c>
      <c r="P1434" s="2" t="s">
        <v>151</v>
      </c>
      <c r="Q1434" s="2" t="s">
        <v>227</v>
      </c>
      <c r="R1434" s="2" t="s">
        <v>149</v>
      </c>
      <c r="S1434" s="2" t="s">
        <v>198</v>
      </c>
      <c r="T1434" s="10">
        <v>25.22</v>
      </c>
      <c r="U1434" s="11">
        <v>1.085</v>
      </c>
      <c r="V1434" s="12">
        <f>T1434*U1434</f>
        <v>27.363699999999998</v>
      </c>
      <c r="W1434" s="13">
        <v>0.19</v>
      </c>
      <c r="X1434" s="12">
        <f>V1434-(V1434/(1+W1434))</f>
        <v>4.368994117647059</v>
      </c>
      <c r="Y1434" s="12">
        <f>V1434-X1434</f>
        <v>22.994705882352939</v>
      </c>
      <c r="Z1434" s="14">
        <v>75</v>
      </c>
      <c r="AA1434" s="2" t="str">
        <f>IF(V1434&gt;Z1434,"Yes","No")</f>
        <v>No</v>
      </c>
      <c r="AB1434" s="12">
        <f>V1434-Z1434</f>
        <v>-47.636300000000006</v>
      </c>
      <c r="AC1434" s="15" t="s">
        <v>130</v>
      </c>
      <c r="AD1434" s="15" t="s">
        <v>131</v>
      </c>
      <c r="AE1434" s="15" t="s">
        <v>132</v>
      </c>
      <c r="AF1434" s="12">
        <f>IF(AG1434="Rejected",0,IF(R1434="Corporate Card",0,V1434))</f>
        <v>27.363699999999998</v>
      </c>
      <c r="AG1434" s="15" t="s">
        <v>133</v>
      </c>
      <c r="AH1434" s="16">
        <v>45824</v>
      </c>
      <c r="AI1434" s="16">
        <v>45827</v>
      </c>
      <c r="AJ1434" s="16">
        <v>45835</v>
      </c>
      <c r="AK1434" s="17">
        <f>IF(AJ1434="","",AJ1434-AH1434)</f>
        <v>11</v>
      </c>
    </row>
    <row r="1435" spans="1:37">
      <c r="A1435" s="2" t="s">
        <v>1868</v>
      </c>
      <c r="B1435" s="2" t="s">
        <v>770</v>
      </c>
      <c r="C1435" s="2" t="s">
        <v>771</v>
      </c>
      <c r="D1435" s="2" t="s">
        <v>414</v>
      </c>
      <c r="E1435" s="2" t="s">
        <v>772</v>
      </c>
      <c r="F1435" s="2" t="s">
        <v>413</v>
      </c>
      <c r="G1435" s="2" t="s">
        <v>1834</v>
      </c>
      <c r="H1435" s="2" t="s">
        <v>379</v>
      </c>
      <c r="I1435" s="2" t="s">
        <v>1251</v>
      </c>
      <c r="J1435" s="2" t="s">
        <v>750</v>
      </c>
      <c r="K1435" s="9">
        <v>45816</v>
      </c>
      <c r="L1435" s="9">
        <v>45820</v>
      </c>
      <c r="M1435" s="9">
        <v>45819</v>
      </c>
      <c r="N1435" s="2" t="s">
        <v>1790</v>
      </c>
      <c r="O1435" s="2" t="s">
        <v>55</v>
      </c>
      <c r="P1435" s="2" t="s">
        <v>139</v>
      </c>
      <c r="Q1435" s="2" t="s">
        <v>187</v>
      </c>
      <c r="R1435" s="2" t="s">
        <v>128</v>
      </c>
      <c r="S1435" s="2" t="s">
        <v>198</v>
      </c>
      <c r="T1435" s="10">
        <v>26.68</v>
      </c>
      <c r="U1435" s="11">
        <v>1.085</v>
      </c>
      <c r="V1435" s="12">
        <f>T1435*U1435</f>
        <v>28.947799999999997</v>
      </c>
      <c r="W1435" s="13">
        <v>0.19</v>
      </c>
      <c r="X1435" s="12">
        <f>V1435-(V1435/(1+W1435))</f>
        <v>4.6219176470588224</v>
      </c>
      <c r="Y1435" s="12">
        <f>V1435-X1435</f>
        <v>24.325882352941175</v>
      </c>
      <c r="Z1435" s="14">
        <v>35</v>
      </c>
      <c r="AA1435" s="2" t="str">
        <f>IF(V1435&gt;Z1435,"Yes","No")</f>
        <v>No</v>
      </c>
      <c r="AB1435" s="12">
        <f>V1435-Z1435</f>
        <v>-6.0522000000000027</v>
      </c>
      <c r="AC1435" s="15" t="s">
        <v>130</v>
      </c>
      <c r="AD1435" s="15" t="s">
        <v>131</v>
      </c>
      <c r="AE1435" s="15" t="s">
        <v>132</v>
      </c>
      <c r="AF1435" s="12">
        <f>IF(AG1435="Rejected",0,IF(R1435="Corporate Card",0,V1435))</f>
        <v>0</v>
      </c>
      <c r="AG1435" s="15" t="s">
        <v>133</v>
      </c>
      <c r="AH1435" s="16">
        <v>45824</v>
      </c>
      <c r="AI1435" s="16">
        <v>45827</v>
      </c>
      <c r="AJ1435" s="16">
        <v>45835</v>
      </c>
      <c r="AK1435" s="17">
        <f>IF(AJ1435="","",AJ1435-AH1435)</f>
        <v>11</v>
      </c>
    </row>
    <row r="1436" spans="1:37">
      <c r="A1436" s="2" t="s">
        <v>1869</v>
      </c>
      <c r="B1436" s="2" t="s">
        <v>770</v>
      </c>
      <c r="C1436" s="2" t="s">
        <v>771</v>
      </c>
      <c r="D1436" s="2" t="s">
        <v>414</v>
      </c>
      <c r="E1436" s="2" t="s">
        <v>772</v>
      </c>
      <c r="F1436" s="2" t="s">
        <v>413</v>
      </c>
      <c r="G1436" s="2" t="s">
        <v>1834</v>
      </c>
      <c r="H1436" s="2" t="s">
        <v>379</v>
      </c>
      <c r="I1436" s="2" t="s">
        <v>1251</v>
      </c>
      <c r="J1436" s="2" t="s">
        <v>750</v>
      </c>
      <c r="K1436" s="9">
        <v>45816</v>
      </c>
      <c r="L1436" s="9">
        <v>45820</v>
      </c>
      <c r="M1436" s="9">
        <v>45820</v>
      </c>
      <c r="N1436" s="2" t="s">
        <v>1790</v>
      </c>
      <c r="O1436" s="2" t="s">
        <v>58</v>
      </c>
      <c r="P1436" s="2" t="s">
        <v>142</v>
      </c>
      <c r="Q1436" s="2" t="s">
        <v>203</v>
      </c>
      <c r="R1436" s="2" t="s">
        <v>149</v>
      </c>
      <c r="S1436" s="2" t="s">
        <v>198</v>
      </c>
      <c r="T1436" s="10">
        <v>51.3</v>
      </c>
      <c r="U1436" s="11">
        <v>1.085</v>
      </c>
      <c r="V1436" s="12">
        <f>T1436*U1436</f>
        <v>55.660499999999992</v>
      </c>
      <c r="W1436" s="13">
        <v>0.19</v>
      </c>
      <c r="X1436" s="12">
        <f>V1436-(V1436/(1+W1436))</f>
        <v>8.8869705882352932</v>
      </c>
      <c r="Y1436" s="12">
        <f>V1436-X1436</f>
        <v>46.773529411764699</v>
      </c>
      <c r="Z1436" s="14">
        <v>60</v>
      </c>
      <c r="AA1436" s="2" t="str">
        <f>IF(V1436&gt;Z1436,"Yes","No")</f>
        <v>No</v>
      </c>
      <c r="AB1436" s="12">
        <f>V1436-Z1436</f>
        <v>-4.3395000000000081</v>
      </c>
      <c r="AC1436" s="15" t="s">
        <v>130</v>
      </c>
      <c r="AD1436" s="15" t="s">
        <v>131</v>
      </c>
      <c r="AE1436" s="15" t="s">
        <v>132</v>
      </c>
      <c r="AF1436" s="12">
        <f>IF(AG1436="Rejected",0,IF(R1436="Corporate Card",0,V1436))</f>
        <v>55.660499999999992</v>
      </c>
      <c r="AG1436" s="15" t="s">
        <v>133</v>
      </c>
      <c r="AH1436" s="16">
        <v>45824</v>
      </c>
      <c r="AI1436" s="16">
        <v>45827</v>
      </c>
      <c r="AJ1436" s="16">
        <v>45835</v>
      </c>
      <c r="AK1436" s="17">
        <f>IF(AJ1436="","",AJ1436-AH1436)</f>
        <v>11</v>
      </c>
    </row>
    <row r="1437" spans="1:37">
      <c r="A1437" s="2" t="s">
        <v>1870</v>
      </c>
      <c r="B1437" s="2" t="s">
        <v>770</v>
      </c>
      <c r="C1437" s="2" t="s">
        <v>771</v>
      </c>
      <c r="D1437" s="2" t="s">
        <v>414</v>
      </c>
      <c r="E1437" s="2" t="s">
        <v>772</v>
      </c>
      <c r="F1437" s="2" t="s">
        <v>413</v>
      </c>
      <c r="G1437" s="2" t="s">
        <v>1834</v>
      </c>
      <c r="H1437" s="2" t="s">
        <v>379</v>
      </c>
      <c r="I1437" s="2" t="s">
        <v>1251</v>
      </c>
      <c r="J1437" s="2" t="s">
        <v>750</v>
      </c>
      <c r="K1437" s="9">
        <v>45816</v>
      </c>
      <c r="L1437" s="9">
        <v>45820</v>
      </c>
      <c r="M1437" s="9">
        <v>45820</v>
      </c>
      <c r="N1437" s="2" t="s">
        <v>1790</v>
      </c>
      <c r="O1437" s="2" t="s">
        <v>54</v>
      </c>
      <c r="P1437" s="2" t="s">
        <v>139</v>
      </c>
      <c r="Q1437" s="2" t="s">
        <v>140</v>
      </c>
      <c r="R1437" s="2" t="s">
        <v>137</v>
      </c>
      <c r="S1437" s="2" t="s">
        <v>198</v>
      </c>
      <c r="T1437" s="10">
        <v>18.55</v>
      </c>
      <c r="U1437" s="11">
        <v>1.085</v>
      </c>
      <c r="V1437" s="12">
        <f>T1437*U1437</f>
        <v>20.126750000000001</v>
      </c>
      <c r="W1437" s="13">
        <v>0.19</v>
      </c>
      <c r="X1437" s="12">
        <f>V1437-(V1437/(1+W1437))</f>
        <v>3.2135147058823534</v>
      </c>
      <c r="Y1437" s="12">
        <f>V1437-X1437</f>
        <v>16.913235294117648</v>
      </c>
      <c r="Z1437" s="14">
        <v>25</v>
      </c>
      <c r="AA1437" s="2" t="str">
        <f>IF(V1437&gt;Z1437,"Yes","No")</f>
        <v>No</v>
      </c>
      <c r="AB1437" s="12">
        <f>V1437-Z1437</f>
        <v>-4.8732499999999987</v>
      </c>
      <c r="AC1437" s="15" t="s">
        <v>130</v>
      </c>
      <c r="AD1437" s="15" t="s">
        <v>131</v>
      </c>
      <c r="AE1437" s="15" t="s">
        <v>132</v>
      </c>
      <c r="AF1437" s="12">
        <f>IF(AG1437="Rejected",0,IF(R1437="Corporate Card",0,V1437))</f>
        <v>20.126750000000001</v>
      </c>
      <c r="AG1437" s="15" t="s">
        <v>133</v>
      </c>
      <c r="AH1437" s="16">
        <v>45824</v>
      </c>
      <c r="AI1437" s="16">
        <v>45827</v>
      </c>
      <c r="AJ1437" s="16">
        <v>45835</v>
      </c>
      <c r="AK1437" s="17">
        <f>IF(AJ1437="","",AJ1437-AH1437)</f>
        <v>11</v>
      </c>
    </row>
    <row r="1438" spans="1:37">
      <c r="A1438" s="2" t="s">
        <v>1871</v>
      </c>
      <c r="B1438" s="2" t="s">
        <v>616</v>
      </c>
      <c r="C1438" s="2" t="s">
        <v>252</v>
      </c>
      <c r="D1438" s="2" t="s">
        <v>250</v>
      </c>
      <c r="E1438" s="2" t="s">
        <v>617</v>
      </c>
      <c r="F1438" s="2" t="s">
        <v>510</v>
      </c>
      <c r="G1438" s="2" t="s">
        <v>1872</v>
      </c>
      <c r="H1438" s="2" t="s">
        <v>291</v>
      </c>
      <c r="I1438" s="2" t="s">
        <v>380</v>
      </c>
      <c r="J1438" s="2" t="s">
        <v>381</v>
      </c>
      <c r="K1438" s="9">
        <v>45822</v>
      </c>
      <c r="L1438" s="9">
        <v>45829</v>
      </c>
      <c r="M1438" s="9">
        <v>45822</v>
      </c>
      <c r="N1438" s="2" t="s">
        <v>1790</v>
      </c>
      <c r="O1438" s="2" t="s">
        <v>52</v>
      </c>
      <c r="P1438" s="2" t="s">
        <v>382</v>
      </c>
      <c r="Q1438" s="2" t="s">
        <v>136</v>
      </c>
      <c r="R1438" s="2" t="s">
        <v>128</v>
      </c>
      <c r="S1438" s="2" t="s">
        <v>383</v>
      </c>
      <c r="T1438" s="10">
        <v>1021.12</v>
      </c>
      <c r="U1438" s="11">
        <v>1</v>
      </c>
      <c r="V1438" s="12">
        <f>T1438*U1438</f>
        <v>1021.12</v>
      </c>
      <c r="W1438" s="13">
        <v>0</v>
      </c>
      <c r="X1438" s="12">
        <f>V1438-(V1438/(1+W1438))</f>
        <v>0</v>
      </c>
      <c r="Y1438" s="12">
        <f>V1438-X1438</f>
        <v>1021.12</v>
      </c>
      <c r="Z1438" s="14">
        <v>1400</v>
      </c>
      <c r="AA1438" s="2" t="str">
        <f>IF(V1438&gt;Z1438,"Yes","No")</f>
        <v>No</v>
      </c>
      <c r="AB1438" s="12">
        <f>V1438-Z1438</f>
        <v>-378.88</v>
      </c>
      <c r="AC1438" s="15" t="s">
        <v>130</v>
      </c>
      <c r="AD1438" s="15" t="s">
        <v>130</v>
      </c>
      <c r="AE1438" s="15" t="s">
        <v>858</v>
      </c>
      <c r="AF1438" s="12">
        <f>IF(AG1438="Rejected",0,IF(R1438="Corporate Card",0,V1438))</f>
        <v>0</v>
      </c>
      <c r="AG1438" s="15" t="s">
        <v>133</v>
      </c>
      <c r="AH1438" s="16">
        <v>45830</v>
      </c>
      <c r="AI1438" s="16">
        <v>45834</v>
      </c>
      <c r="AJ1438" s="16">
        <v>45844</v>
      </c>
      <c r="AK1438" s="17">
        <f>IF(AJ1438="","",AJ1438-AH1438)</f>
        <v>14</v>
      </c>
    </row>
    <row r="1439" spans="1:37">
      <c r="A1439" s="2" t="s">
        <v>1873</v>
      </c>
      <c r="B1439" s="2" t="s">
        <v>616</v>
      </c>
      <c r="C1439" s="2" t="s">
        <v>252</v>
      </c>
      <c r="D1439" s="2" t="s">
        <v>250</v>
      </c>
      <c r="E1439" s="2" t="s">
        <v>617</v>
      </c>
      <c r="F1439" s="2" t="s">
        <v>510</v>
      </c>
      <c r="G1439" s="2" t="s">
        <v>1872</v>
      </c>
      <c r="H1439" s="2" t="s">
        <v>291</v>
      </c>
      <c r="I1439" s="2" t="s">
        <v>380</v>
      </c>
      <c r="J1439" s="2" t="s">
        <v>381</v>
      </c>
      <c r="K1439" s="9">
        <v>45822</v>
      </c>
      <c r="L1439" s="9">
        <v>45829</v>
      </c>
      <c r="M1439" s="9">
        <v>45822</v>
      </c>
      <c r="N1439" s="2" t="s">
        <v>1790</v>
      </c>
      <c r="O1439" s="2" t="s">
        <v>58</v>
      </c>
      <c r="P1439" s="2" t="s">
        <v>142</v>
      </c>
      <c r="Q1439" s="2" t="s">
        <v>143</v>
      </c>
      <c r="R1439" s="2" t="s">
        <v>137</v>
      </c>
      <c r="S1439" s="2" t="s">
        <v>383</v>
      </c>
      <c r="T1439" s="10">
        <v>38.42</v>
      </c>
      <c r="U1439" s="11">
        <v>1</v>
      </c>
      <c r="V1439" s="12">
        <f>T1439*U1439</f>
        <v>38.42</v>
      </c>
      <c r="W1439" s="13">
        <v>0</v>
      </c>
      <c r="X1439" s="12">
        <f>V1439-(V1439/(1+W1439))</f>
        <v>0</v>
      </c>
      <c r="Y1439" s="12">
        <f>V1439-X1439</f>
        <v>38.42</v>
      </c>
      <c r="Z1439" s="14">
        <v>60</v>
      </c>
      <c r="AA1439" s="2" t="str">
        <f>IF(V1439&gt;Z1439,"Yes","No")</f>
        <v>No</v>
      </c>
      <c r="AB1439" s="12">
        <f>V1439-Z1439</f>
        <v>-21.58</v>
      </c>
      <c r="AC1439" s="15" t="s">
        <v>130</v>
      </c>
      <c r="AD1439" s="15" t="s">
        <v>130</v>
      </c>
      <c r="AE1439" s="15" t="s">
        <v>858</v>
      </c>
      <c r="AF1439" s="12">
        <f>IF(AG1439="Rejected",0,IF(R1439="Corporate Card",0,V1439))</f>
        <v>38.42</v>
      </c>
      <c r="AG1439" s="15" t="s">
        <v>133</v>
      </c>
      <c r="AH1439" s="16">
        <v>45830</v>
      </c>
      <c r="AI1439" s="16">
        <v>45834</v>
      </c>
      <c r="AJ1439" s="16">
        <v>45844</v>
      </c>
      <c r="AK1439" s="17">
        <f>IF(AJ1439="","",AJ1439-AH1439)</f>
        <v>14</v>
      </c>
    </row>
    <row r="1440" spans="1:37">
      <c r="A1440" s="2" t="s">
        <v>1874</v>
      </c>
      <c r="B1440" s="2" t="s">
        <v>616</v>
      </c>
      <c r="C1440" s="2" t="s">
        <v>252</v>
      </c>
      <c r="D1440" s="2" t="s">
        <v>250</v>
      </c>
      <c r="E1440" s="2" t="s">
        <v>617</v>
      </c>
      <c r="F1440" s="2" t="s">
        <v>510</v>
      </c>
      <c r="G1440" s="2" t="s">
        <v>1872</v>
      </c>
      <c r="H1440" s="2" t="s">
        <v>291</v>
      </c>
      <c r="I1440" s="2" t="s">
        <v>380</v>
      </c>
      <c r="J1440" s="2" t="s">
        <v>381</v>
      </c>
      <c r="K1440" s="9">
        <v>45822</v>
      </c>
      <c r="L1440" s="9">
        <v>45829</v>
      </c>
      <c r="M1440" s="9">
        <v>45822</v>
      </c>
      <c r="N1440" s="2" t="s">
        <v>1790</v>
      </c>
      <c r="O1440" s="2" t="s">
        <v>54</v>
      </c>
      <c r="P1440" s="2" t="s">
        <v>139</v>
      </c>
      <c r="Q1440" s="2" t="s">
        <v>163</v>
      </c>
      <c r="R1440" s="2" t="s">
        <v>149</v>
      </c>
      <c r="S1440" s="2" t="s">
        <v>383</v>
      </c>
      <c r="T1440" s="10">
        <v>21.61</v>
      </c>
      <c r="U1440" s="11">
        <v>1</v>
      </c>
      <c r="V1440" s="12">
        <f>T1440*U1440</f>
        <v>21.61</v>
      </c>
      <c r="W1440" s="13">
        <v>0</v>
      </c>
      <c r="X1440" s="12">
        <f>V1440-(V1440/(1+W1440))</f>
        <v>0</v>
      </c>
      <c r="Y1440" s="12">
        <f>V1440-X1440</f>
        <v>21.61</v>
      </c>
      <c r="Z1440" s="14">
        <v>25</v>
      </c>
      <c r="AA1440" s="2" t="str">
        <f>IF(V1440&gt;Z1440,"Yes","No")</f>
        <v>No</v>
      </c>
      <c r="AB1440" s="12">
        <f>V1440-Z1440</f>
        <v>-3.3900000000000006</v>
      </c>
      <c r="AC1440" s="15" t="s">
        <v>130</v>
      </c>
      <c r="AD1440" s="15" t="s">
        <v>130</v>
      </c>
      <c r="AE1440" s="15" t="s">
        <v>858</v>
      </c>
      <c r="AF1440" s="12">
        <f>IF(AG1440="Rejected",0,IF(R1440="Corporate Card",0,V1440))</f>
        <v>21.61</v>
      </c>
      <c r="AG1440" s="15" t="s">
        <v>133</v>
      </c>
      <c r="AH1440" s="16">
        <v>45830</v>
      </c>
      <c r="AI1440" s="16">
        <v>45834</v>
      </c>
      <c r="AJ1440" s="16">
        <v>45844</v>
      </c>
      <c r="AK1440" s="17">
        <f>IF(AJ1440="","",AJ1440-AH1440)</f>
        <v>14</v>
      </c>
    </row>
    <row r="1441" spans="1:37">
      <c r="A1441" s="2" t="s">
        <v>1875</v>
      </c>
      <c r="B1441" s="2" t="s">
        <v>616</v>
      </c>
      <c r="C1441" s="2" t="s">
        <v>252</v>
      </c>
      <c r="D1441" s="2" t="s">
        <v>250</v>
      </c>
      <c r="E1441" s="2" t="s">
        <v>617</v>
      </c>
      <c r="F1441" s="2" t="s">
        <v>510</v>
      </c>
      <c r="G1441" s="2" t="s">
        <v>1872</v>
      </c>
      <c r="H1441" s="2" t="s">
        <v>291</v>
      </c>
      <c r="I1441" s="2" t="s">
        <v>380</v>
      </c>
      <c r="J1441" s="2" t="s">
        <v>381</v>
      </c>
      <c r="K1441" s="9">
        <v>45822</v>
      </c>
      <c r="L1441" s="9">
        <v>45829</v>
      </c>
      <c r="M1441" s="9">
        <v>45822</v>
      </c>
      <c r="N1441" s="2" t="s">
        <v>1790</v>
      </c>
      <c r="O1441" s="2" t="s">
        <v>56</v>
      </c>
      <c r="P1441" s="2" t="s">
        <v>231</v>
      </c>
      <c r="Q1441" s="2" t="s">
        <v>159</v>
      </c>
      <c r="R1441" s="2" t="s">
        <v>149</v>
      </c>
      <c r="S1441" s="2" t="s">
        <v>383</v>
      </c>
      <c r="T1441" s="10">
        <v>46.72</v>
      </c>
      <c r="U1441" s="11">
        <v>1</v>
      </c>
      <c r="V1441" s="12">
        <f>T1441*U1441</f>
        <v>46.72</v>
      </c>
      <c r="W1441" s="13">
        <v>0</v>
      </c>
      <c r="X1441" s="12">
        <f>V1441-(V1441/(1+W1441))</f>
        <v>0</v>
      </c>
      <c r="Y1441" s="12">
        <f>V1441-X1441</f>
        <v>46.72</v>
      </c>
      <c r="Z1441" s="14">
        <v>75</v>
      </c>
      <c r="AA1441" s="2" t="str">
        <f>IF(V1441&gt;Z1441,"Yes","No")</f>
        <v>No</v>
      </c>
      <c r="AB1441" s="12">
        <f>V1441-Z1441</f>
        <v>-28.28</v>
      </c>
      <c r="AC1441" s="15" t="s">
        <v>130</v>
      </c>
      <c r="AD1441" s="15" t="s">
        <v>130</v>
      </c>
      <c r="AE1441" s="15" t="s">
        <v>858</v>
      </c>
      <c r="AF1441" s="12">
        <f>IF(AG1441="Rejected",0,IF(R1441="Corporate Card",0,V1441))</f>
        <v>46.72</v>
      </c>
      <c r="AG1441" s="15" t="s">
        <v>133</v>
      </c>
      <c r="AH1441" s="16">
        <v>45830</v>
      </c>
      <c r="AI1441" s="16">
        <v>45834</v>
      </c>
      <c r="AJ1441" s="16">
        <v>45844</v>
      </c>
      <c r="AK1441" s="17">
        <f>IF(AJ1441="","",AJ1441-AH1441)</f>
        <v>14</v>
      </c>
    </row>
    <row r="1442" spans="1:37">
      <c r="A1442" s="2" t="s">
        <v>1876</v>
      </c>
      <c r="B1442" s="2" t="s">
        <v>616</v>
      </c>
      <c r="C1442" s="2" t="s">
        <v>252</v>
      </c>
      <c r="D1442" s="2" t="s">
        <v>250</v>
      </c>
      <c r="E1442" s="2" t="s">
        <v>617</v>
      </c>
      <c r="F1442" s="2" t="s">
        <v>510</v>
      </c>
      <c r="G1442" s="2" t="s">
        <v>1872</v>
      </c>
      <c r="H1442" s="2" t="s">
        <v>291</v>
      </c>
      <c r="I1442" s="2" t="s">
        <v>380</v>
      </c>
      <c r="J1442" s="2" t="s">
        <v>381</v>
      </c>
      <c r="K1442" s="9">
        <v>45822</v>
      </c>
      <c r="L1442" s="9">
        <v>45829</v>
      </c>
      <c r="M1442" s="9">
        <v>45822</v>
      </c>
      <c r="N1442" s="2" t="s">
        <v>1790</v>
      </c>
      <c r="O1442" s="2" t="s">
        <v>55</v>
      </c>
      <c r="P1442" s="2" t="s">
        <v>139</v>
      </c>
      <c r="Q1442" s="2" t="s">
        <v>217</v>
      </c>
      <c r="R1442" s="2" t="s">
        <v>128</v>
      </c>
      <c r="S1442" s="2" t="s">
        <v>383</v>
      </c>
      <c r="T1442" s="10">
        <v>22.35</v>
      </c>
      <c r="U1442" s="11">
        <v>1</v>
      </c>
      <c r="V1442" s="12">
        <f>T1442*U1442</f>
        <v>22.35</v>
      </c>
      <c r="W1442" s="13">
        <v>0</v>
      </c>
      <c r="X1442" s="12">
        <f>V1442-(V1442/(1+W1442))</f>
        <v>0</v>
      </c>
      <c r="Y1442" s="12">
        <f>V1442-X1442</f>
        <v>22.35</v>
      </c>
      <c r="Z1442" s="14">
        <v>35</v>
      </c>
      <c r="AA1442" s="2" t="str">
        <f>IF(V1442&gt;Z1442,"Yes","No")</f>
        <v>No</v>
      </c>
      <c r="AB1442" s="12">
        <f>V1442-Z1442</f>
        <v>-12.649999999999999</v>
      </c>
      <c r="AC1442" s="15" t="s">
        <v>130</v>
      </c>
      <c r="AD1442" s="15" t="s">
        <v>130</v>
      </c>
      <c r="AE1442" s="15" t="s">
        <v>858</v>
      </c>
      <c r="AF1442" s="12">
        <f>IF(AG1442="Rejected",0,IF(R1442="Corporate Card",0,V1442))</f>
        <v>0</v>
      </c>
      <c r="AG1442" s="15" t="s">
        <v>133</v>
      </c>
      <c r="AH1442" s="16">
        <v>45830</v>
      </c>
      <c r="AI1442" s="16">
        <v>45834</v>
      </c>
      <c r="AJ1442" s="16">
        <v>45844</v>
      </c>
      <c r="AK1442" s="17">
        <f>IF(AJ1442="","",AJ1442-AH1442)</f>
        <v>14</v>
      </c>
    </row>
    <row r="1443" spans="1:37">
      <c r="A1443" s="2" t="s">
        <v>1877</v>
      </c>
      <c r="B1443" s="2" t="s">
        <v>616</v>
      </c>
      <c r="C1443" s="2" t="s">
        <v>252</v>
      </c>
      <c r="D1443" s="2" t="s">
        <v>250</v>
      </c>
      <c r="E1443" s="2" t="s">
        <v>617</v>
      </c>
      <c r="F1443" s="2" t="s">
        <v>510</v>
      </c>
      <c r="G1443" s="2" t="s">
        <v>1872</v>
      </c>
      <c r="H1443" s="2" t="s">
        <v>291</v>
      </c>
      <c r="I1443" s="2" t="s">
        <v>380</v>
      </c>
      <c r="J1443" s="2" t="s">
        <v>381</v>
      </c>
      <c r="K1443" s="9">
        <v>45822</v>
      </c>
      <c r="L1443" s="9">
        <v>45829</v>
      </c>
      <c r="M1443" s="9">
        <v>45823</v>
      </c>
      <c r="N1443" s="2" t="s">
        <v>1790</v>
      </c>
      <c r="O1443" s="2" t="s">
        <v>59</v>
      </c>
      <c r="P1443" s="2" t="s">
        <v>301</v>
      </c>
      <c r="Q1443" s="2" t="s">
        <v>464</v>
      </c>
      <c r="R1443" s="2" t="s">
        <v>137</v>
      </c>
      <c r="S1443" s="2" t="s">
        <v>383</v>
      </c>
      <c r="T1443" s="10">
        <v>148.06</v>
      </c>
      <c r="U1443" s="11">
        <v>1</v>
      </c>
      <c r="V1443" s="12">
        <f>T1443*U1443</f>
        <v>148.06</v>
      </c>
      <c r="W1443" s="13">
        <v>0</v>
      </c>
      <c r="X1443" s="12">
        <f>V1443-(V1443/(1+W1443))</f>
        <v>0</v>
      </c>
      <c r="Y1443" s="12">
        <f>V1443-X1443</f>
        <v>148.06</v>
      </c>
      <c r="Z1443" s="14">
        <v>150</v>
      </c>
      <c r="AA1443" s="2" t="str">
        <f>IF(V1443&gt;Z1443,"Yes","No")</f>
        <v>No</v>
      </c>
      <c r="AB1443" s="12">
        <f>V1443-Z1443</f>
        <v>-1.9399999999999977</v>
      </c>
      <c r="AC1443" s="15" t="s">
        <v>130</v>
      </c>
      <c r="AD1443" s="15" t="s">
        <v>130</v>
      </c>
      <c r="AE1443" s="15" t="s">
        <v>858</v>
      </c>
      <c r="AF1443" s="12">
        <f>IF(AG1443="Rejected",0,IF(R1443="Corporate Card",0,V1443))</f>
        <v>148.06</v>
      </c>
      <c r="AG1443" s="15" t="s">
        <v>133</v>
      </c>
      <c r="AH1443" s="16">
        <v>45830</v>
      </c>
      <c r="AI1443" s="16">
        <v>45834</v>
      </c>
      <c r="AJ1443" s="16">
        <v>45844</v>
      </c>
      <c r="AK1443" s="17">
        <f>IF(AJ1443="","",AJ1443-AH1443)</f>
        <v>14</v>
      </c>
    </row>
    <row r="1444" spans="1:37">
      <c r="A1444" s="2" t="s">
        <v>1878</v>
      </c>
      <c r="B1444" s="2" t="s">
        <v>616</v>
      </c>
      <c r="C1444" s="2" t="s">
        <v>252</v>
      </c>
      <c r="D1444" s="2" t="s">
        <v>250</v>
      </c>
      <c r="E1444" s="2" t="s">
        <v>617</v>
      </c>
      <c r="F1444" s="2" t="s">
        <v>510</v>
      </c>
      <c r="G1444" s="2" t="s">
        <v>1872</v>
      </c>
      <c r="H1444" s="2" t="s">
        <v>291</v>
      </c>
      <c r="I1444" s="2" t="s">
        <v>380</v>
      </c>
      <c r="J1444" s="2" t="s">
        <v>381</v>
      </c>
      <c r="K1444" s="9">
        <v>45822</v>
      </c>
      <c r="L1444" s="9">
        <v>45829</v>
      </c>
      <c r="M1444" s="9">
        <v>45823</v>
      </c>
      <c r="N1444" s="2" t="s">
        <v>1790</v>
      </c>
      <c r="O1444" s="2" t="s">
        <v>53</v>
      </c>
      <c r="P1444" s="2" t="s">
        <v>208</v>
      </c>
      <c r="Q1444" s="2" t="s">
        <v>146</v>
      </c>
      <c r="R1444" s="2" t="s">
        <v>137</v>
      </c>
      <c r="S1444" s="2" t="s">
        <v>383</v>
      </c>
      <c r="T1444" s="10">
        <v>892.82</v>
      </c>
      <c r="U1444" s="11">
        <v>1</v>
      </c>
      <c r="V1444" s="12">
        <f>T1444*U1444</f>
        <v>892.82</v>
      </c>
      <c r="W1444" s="13">
        <v>0</v>
      </c>
      <c r="X1444" s="12">
        <f>V1444-(V1444/(1+W1444))</f>
        <v>0</v>
      </c>
      <c r="Y1444" s="12">
        <f>V1444-X1444</f>
        <v>892.82</v>
      </c>
      <c r="Z1444" s="14">
        <v>1960</v>
      </c>
      <c r="AA1444" s="2" t="str">
        <f>IF(V1444&gt;Z1444,"Yes","No")</f>
        <v>No</v>
      </c>
      <c r="AB1444" s="12">
        <f>V1444-Z1444</f>
        <v>-1067.1799999999998</v>
      </c>
      <c r="AC1444" s="15" t="s">
        <v>130</v>
      </c>
      <c r="AD1444" s="15" t="s">
        <v>130</v>
      </c>
      <c r="AE1444" s="15" t="s">
        <v>858</v>
      </c>
      <c r="AF1444" s="12">
        <f>IF(AG1444="Rejected",0,IF(R1444="Corporate Card",0,V1444))</f>
        <v>892.82</v>
      </c>
      <c r="AG1444" s="15" t="s">
        <v>133</v>
      </c>
      <c r="AH1444" s="16">
        <v>45830</v>
      </c>
      <c r="AI1444" s="16">
        <v>45834</v>
      </c>
      <c r="AJ1444" s="16">
        <v>45844</v>
      </c>
      <c r="AK1444" s="17">
        <f>IF(AJ1444="","",AJ1444-AH1444)</f>
        <v>14</v>
      </c>
    </row>
    <row r="1445" spans="1:37">
      <c r="A1445" s="2" t="s">
        <v>1879</v>
      </c>
      <c r="B1445" s="2" t="s">
        <v>616</v>
      </c>
      <c r="C1445" s="2" t="s">
        <v>252</v>
      </c>
      <c r="D1445" s="2" t="s">
        <v>250</v>
      </c>
      <c r="E1445" s="2" t="s">
        <v>617</v>
      </c>
      <c r="F1445" s="2" t="s">
        <v>510</v>
      </c>
      <c r="G1445" s="2" t="s">
        <v>1872</v>
      </c>
      <c r="H1445" s="2" t="s">
        <v>291</v>
      </c>
      <c r="I1445" s="2" t="s">
        <v>380</v>
      </c>
      <c r="J1445" s="2" t="s">
        <v>381</v>
      </c>
      <c r="K1445" s="9">
        <v>45822</v>
      </c>
      <c r="L1445" s="9">
        <v>45829</v>
      </c>
      <c r="M1445" s="9">
        <v>45823</v>
      </c>
      <c r="N1445" s="2" t="s">
        <v>1790</v>
      </c>
      <c r="O1445" s="2" t="s">
        <v>54</v>
      </c>
      <c r="P1445" s="2" t="s">
        <v>139</v>
      </c>
      <c r="Q1445" s="2" t="s">
        <v>163</v>
      </c>
      <c r="R1445" s="2" t="s">
        <v>128</v>
      </c>
      <c r="S1445" s="2" t="s">
        <v>383</v>
      </c>
      <c r="T1445" s="10">
        <v>9.69</v>
      </c>
      <c r="U1445" s="11">
        <v>1</v>
      </c>
      <c r="V1445" s="12">
        <f>T1445*U1445</f>
        <v>9.69</v>
      </c>
      <c r="W1445" s="13">
        <v>0</v>
      </c>
      <c r="X1445" s="12">
        <f>V1445-(V1445/(1+W1445))</f>
        <v>0</v>
      </c>
      <c r="Y1445" s="12">
        <f>V1445-X1445</f>
        <v>9.69</v>
      </c>
      <c r="Z1445" s="14">
        <v>25</v>
      </c>
      <c r="AA1445" s="2" t="str">
        <f>IF(V1445&gt;Z1445,"Yes","No")</f>
        <v>No</v>
      </c>
      <c r="AB1445" s="12">
        <f>V1445-Z1445</f>
        <v>-15.31</v>
      </c>
      <c r="AC1445" s="15" t="s">
        <v>130</v>
      </c>
      <c r="AD1445" s="15" t="s">
        <v>130</v>
      </c>
      <c r="AE1445" s="15" t="s">
        <v>858</v>
      </c>
      <c r="AF1445" s="12">
        <f>IF(AG1445="Rejected",0,IF(R1445="Corporate Card",0,V1445))</f>
        <v>0</v>
      </c>
      <c r="AG1445" s="15" t="s">
        <v>133</v>
      </c>
      <c r="AH1445" s="16">
        <v>45830</v>
      </c>
      <c r="AI1445" s="16">
        <v>45834</v>
      </c>
      <c r="AJ1445" s="16">
        <v>45844</v>
      </c>
      <c r="AK1445" s="17">
        <f>IF(AJ1445="","",AJ1445-AH1445)</f>
        <v>14</v>
      </c>
    </row>
    <row r="1446" spans="1:37">
      <c r="A1446" s="2" t="s">
        <v>1880</v>
      </c>
      <c r="B1446" s="2" t="s">
        <v>616</v>
      </c>
      <c r="C1446" s="2" t="s">
        <v>252</v>
      </c>
      <c r="D1446" s="2" t="s">
        <v>250</v>
      </c>
      <c r="E1446" s="2" t="s">
        <v>617</v>
      </c>
      <c r="F1446" s="2" t="s">
        <v>510</v>
      </c>
      <c r="G1446" s="2" t="s">
        <v>1872</v>
      </c>
      <c r="H1446" s="2" t="s">
        <v>291</v>
      </c>
      <c r="I1446" s="2" t="s">
        <v>380</v>
      </c>
      <c r="J1446" s="2" t="s">
        <v>381</v>
      </c>
      <c r="K1446" s="9">
        <v>45822</v>
      </c>
      <c r="L1446" s="9">
        <v>45829</v>
      </c>
      <c r="M1446" s="9">
        <v>45823</v>
      </c>
      <c r="N1446" s="2" t="s">
        <v>1790</v>
      </c>
      <c r="O1446" s="2" t="s">
        <v>56</v>
      </c>
      <c r="P1446" s="2" t="s">
        <v>165</v>
      </c>
      <c r="Q1446" s="2" t="s">
        <v>159</v>
      </c>
      <c r="R1446" s="2" t="s">
        <v>128</v>
      </c>
      <c r="S1446" s="2" t="s">
        <v>383</v>
      </c>
      <c r="T1446" s="10">
        <v>26.95</v>
      </c>
      <c r="U1446" s="11">
        <v>1</v>
      </c>
      <c r="V1446" s="12">
        <f>T1446*U1446</f>
        <v>26.95</v>
      </c>
      <c r="W1446" s="13">
        <v>0</v>
      </c>
      <c r="X1446" s="12">
        <f>V1446-(V1446/(1+W1446))</f>
        <v>0</v>
      </c>
      <c r="Y1446" s="12">
        <f>V1446-X1446</f>
        <v>26.95</v>
      </c>
      <c r="Z1446" s="14">
        <v>75</v>
      </c>
      <c r="AA1446" s="2" t="str">
        <f>IF(V1446&gt;Z1446,"Yes","No")</f>
        <v>No</v>
      </c>
      <c r="AB1446" s="12">
        <f>V1446-Z1446</f>
        <v>-48.05</v>
      </c>
      <c r="AC1446" s="15" t="s">
        <v>130</v>
      </c>
      <c r="AD1446" s="15" t="s">
        <v>130</v>
      </c>
      <c r="AE1446" s="15" t="s">
        <v>858</v>
      </c>
      <c r="AF1446" s="12">
        <f>IF(AG1446="Rejected",0,IF(R1446="Corporate Card",0,V1446))</f>
        <v>0</v>
      </c>
      <c r="AG1446" s="15" t="s">
        <v>133</v>
      </c>
      <c r="AH1446" s="16">
        <v>45830</v>
      </c>
      <c r="AI1446" s="16">
        <v>45834</v>
      </c>
      <c r="AJ1446" s="16">
        <v>45844</v>
      </c>
      <c r="AK1446" s="17">
        <f>IF(AJ1446="","",AJ1446-AH1446)</f>
        <v>14</v>
      </c>
    </row>
    <row r="1447" spans="1:37">
      <c r="A1447" s="2" t="s">
        <v>1881</v>
      </c>
      <c r="B1447" s="2" t="s">
        <v>616</v>
      </c>
      <c r="C1447" s="2" t="s">
        <v>252</v>
      </c>
      <c r="D1447" s="2" t="s">
        <v>250</v>
      </c>
      <c r="E1447" s="2" t="s">
        <v>617</v>
      </c>
      <c r="F1447" s="2" t="s">
        <v>510</v>
      </c>
      <c r="G1447" s="2" t="s">
        <v>1872</v>
      </c>
      <c r="H1447" s="2" t="s">
        <v>291</v>
      </c>
      <c r="I1447" s="2" t="s">
        <v>380</v>
      </c>
      <c r="J1447" s="2" t="s">
        <v>381</v>
      </c>
      <c r="K1447" s="9">
        <v>45822</v>
      </c>
      <c r="L1447" s="9">
        <v>45829</v>
      </c>
      <c r="M1447" s="9">
        <v>45823</v>
      </c>
      <c r="N1447" s="2" t="s">
        <v>1790</v>
      </c>
      <c r="O1447" s="2" t="s">
        <v>55</v>
      </c>
      <c r="P1447" s="2" t="s">
        <v>139</v>
      </c>
      <c r="Q1447" s="2" t="s">
        <v>161</v>
      </c>
      <c r="R1447" s="2" t="s">
        <v>128</v>
      </c>
      <c r="S1447" s="2" t="s">
        <v>383</v>
      </c>
      <c r="T1447" s="10">
        <v>17.829999999999998</v>
      </c>
      <c r="U1447" s="11">
        <v>1</v>
      </c>
      <c r="V1447" s="12">
        <f>T1447*U1447</f>
        <v>17.829999999999998</v>
      </c>
      <c r="W1447" s="13">
        <v>0</v>
      </c>
      <c r="X1447" s="12">
        <f>V1447-(V1447/(1+W1447))</f>
        <v>0</v>
      </c>
      <c r="Y1447" s="12">
        <f>V1447-X1447</f>
        <v>17.829999999999998</v>
      </c>
      <c r="Z1447" s="14">
        <v>35</v>
      </c>
      <c r="AA1447" s="2" t="str">
        <f>IF(V1447&gt;Z1447,"Yes","No")</f>
        <v>No</v>
      </c>
      <c r="AB1447" s="12">
        <f>V1447-Z1447</f>
        <v>-17.170000000000002</v>
      </c>
      <c r="AC1447" s="15" t="s">
        <v>130</v>
      </c>
      <c r="AD1447" s="15" t="s">
        <v>130</v>
      </c>
      <c r="AE1447" s="15" t="s">
        <v>858</v>
      </c>
      <c r="AF1447" s="12">
        <f>IF(AG1447="Rejected",0,IF(R1447="Corporate Card",0,V1447))</f>
        <v>0</v>
      </c>
      <c r="AG1447" s="15" t="s">
        <v>133</v>
      </c>
      <c r="AH1447" s="16">
        <v>45830</v>
      </c>
      <c r="AI1447" s="16">
        <v>45834</v>
      </c>
      <c r="AJ1447" s="16">
        <v>45844</v>
      </c>
      <c r="AK1447" s="17">
        <f>IF(AJ1447="","",AJ1447-AH1447)</f>
        <v>14</v>
      </c>
    </row>
    <row r="1448" spans="1:37">
      <c r="A1448" s="2" t="s">
        <v>1882</v>
      </c>
      <c r="B1448" s="2" t="s">
        <v>616</v>
      </c>
      <c r="C1448" s="2" t="s">
        <v>252</v>
      </c>
      <c r="D1448" s="2" t="s">
        <v>250</v>
      </c>
      <c r="E1448" s="2" t="s">
        <v>617</v>
      </c>
      <c r="F1448" s="2" t="s">
        <v>510</v>
      </c>
      <c r="G1448" s="2" t="s">
        <v>1872</v>
      </c>
      <c r="H1448" s="2" t="s">
        <v>291</v>
      </c>
      <c r="I1448" s="2" t="s">
        <v>380</v>
      </c>
      <c r="J1448" s="2" t="s">
        <v>381</v>
      </c>
      <c r="K1448" s="9">
        <v>45822</v>
      </c>
      <c r="L1448" s="9">
        <v>45829</v>
      </c>
      <c r="M1448" s="9">
        <v>45824</v>
      </c>
      <c r="N1448" s="2" t="s">
        <v>1790</v>
      </c>
      <c r="O1448" s="2" t="s">
        <v>58</v>
      </c>
      <c r="P1448" s="2" t="s">
        <v>142</v>
      </c>
      <c r="Q1448" s="2" t="s">
        <v>296</v>
      </c>
      <c r="R1448" s="2" t="s">
        <v>149</v>
      </c>
      <c r="S1448" s="2" t="s">
        <v>383</v>
      </c>
      <c r="T1448" s="10">
        <v>58.18</v>
      </c>
      <c r="U1448" s="11">
        <v>1</v>
      </c>
      <c r="V1448" s="12">
        <f>T1448*U1448</f>
        <v>58.18</v>
      </c>
      <c r="W1448" s="13">
        <v>0</v>
      </c>
      <c r="X1448" s="12">
        <f>V1448-(V1448/(1+W1448))</f>
        <v>0</v>
      </c>
      <c r="Y1448" s="12">
        <f>V1448-X1448</f>
        <v>58.18</v>
      </c>
      <c r="Z1448" s="14">
        <v>60</v>
      </c>
      <c r="AA1448" s="2" t="str">
        <f>IF(V1448&gt;Z1448,"Yes","No")</f>
        <v>No</v>
      </c>
      <c r="AB1448" s="12">
        <f>V1448-Z1448</f>
        <v>-1.8200000000000003</v>
      </c>
      <c r="AC1448" s="15" t="s">
        <v>130</v>
      </c>
      <c r="AD1448" s="15" t="s">
        <v>130</v>
      </c>
      <c r="AE1448" s="15" t="s">
        <v>858</v>
      </c>
      <c r="AF1448" s="12">
        <f>IF(AG1448="Rejected",0,IF(R1448="Corporate Card",0,V1448))</f>
        <v>58.18</v>
      </c>
      <c r="AG1448" s="15" t="s">
        <v>133</v>
      </c>
      <c r="AH1448" s="16">
        <v>45830</v>
      </c>
      <c r="AI1448" s="16">
        <v>45834</v>
      </c>
      <c r="AJ1448" s="16">
        <v>45844</v>
      </c>
      <c r="AK1448" s="17">
        <f>IF(AJ1448="","",AJ1448-AH1448)</f>
        <v>14</v>
      </c>
    </row>
    <row r="1449" spans="1:37">
      <c r="A1449" s="2" t="s">
        <v>1883</v>
      </c>
      <c r="B1449" s="2" t="s">
        <v>616</v>
      </c>
      <c r="C1449" s="2" t="s">
        <v>252</v>
      </c>
      <c r="D1449" s="2" t="s">
        <v>250</v>
      </c>
      <c r="E1449" s="2" t="s">
        <v>617</v>
      </c>
      <c r="F1449" s="2" t="s">
        <v>510</v>
      </c>
      <c r="G1449" s="2" t="s">
        <v>1872</v>
      </c>
      <c r="H1449" s="2" t="s">
        <v>291</v>
      </c>
      <c r="I1449" s="2" t="s">
        <v>380</v>
      </c>
      <c r="J1449" s="2" t="s">
        <v>381</v>
      </c>
      <c r="K1449" s="9">
        <v>45822</v>
      </c>
      <c r="L1449" s="9">
        <v>45829</v>
      </c>
      <c r="M1449" s="9">
        <v>45824</v>
      </c>
      <c r="N1449" s="2" t="s">
        <v>1790</v>
      </c>
      <c r="O1449" s="2" t="s">
        <v>56</v>
      </c>
      <c r="P1449" s="2" t="s">
        <v>245</v>
      </c>
      <c r="Q1449" s="2" t="s">
        <v>159</v>
      </c>
      <c r="R1449" s="2" t="s">
        <v>149</v>
      </c>
      <c r="S1449" s="2" t="s">
        <v>383</v>
      </c>
      <c r="T1449" s="10">
        <v>33.65</v>
      </c>
      <c r="U1449" s="11">
        <v>1</v>
      </c>
      <c r="V1449" s="12">
        <f>T1449*U1449</f>
        <v>33.65</v>
      </c>
      <c r="W1449" s="13">
        <v>0</v>
      </c>
      <c r="X1449" s="12">
        <f>V1449-(V1449/(1+W1449))</f>
        <v>0</v>
      </c>
      <c r="Y1449" s="12">
        <f>V1449-X1449</f>
        <v>33.65</v>
      </c>
      <c r="Z1449" s="14">
        <v>75</v>
      </c>
      <c r="AA1449" s="2" t="str">
        <f>IF(V1449&gt;Z1449,"Yes","No")</f>
        <v>No</v>
      </c>
      <c r="AB1449" s="12">
        <f>V1449-Z1449</f>
        <v>-41.35</v>
      </c>
      <c r="AC1449" s="15" t="s">
        <v>130</v>
      </c>
      <c r="AD1449" s="15" t="s">
        <v>130</v>
      </c>
      <c r="AE1449" s="15" t="s">
        <v>858</v>
      </c>
      <c r="AF1449" s="12">
        <f>IF(AG1449="Rejected",0,IF(R1449="Corporate Card",0,V1449))</f>
        <v>33.65</v>
      </c>
      <c r="AG1449" s="15" t="s">
        <v>133</v>
      </c>
      <c r="AH1449" s="16">
        <v>45830</v>
      </c>
      <c r="AI1449" s="16">
        <v>45834</v>
      </c>
      <c r="AJ1449" s="16">
        <v>45844</v>
      </c>
      <c r="AK1449" s="17">
        <f>IF(AJ1449="","",AJ1449-AH1449)</f>
        <v>14</v>
      </c>
    </row>
    <row r="1450" spans="1:37">
      <c r="A1450" s="2" t="s">
        <v>1884</v>
      </c>
      <c r="B1450" s="2" t="s">
        <v>616</v>
      </c>
      <c r="C1450" s="2" t="s">
        <v>252</v>
      </c>
      <c r="D1450" s="2" t="s">
        <v>250</v>
      </c>
      <c r="E1450" s="2" t="s">
        <v>617</v>
      </c>
      <c r="F1450" s="2" t="s">
        <v>510</v>
      </c>
      <c r="G1450" s="2" t="s">
        <v>1872</v>
      </c>
      <c r="H1450" s="2" t="s">
        <v>291</v>
      </c>
      <c r="I1450" s="2" t="s">
        <v>380</v>
      </c>
      <c r="J1450" s="2" t="s">
        <v>381</v>
      </c>
      <c r="K1450" s="9">
        <v>45822</v>
      </c>
      <c r="L1450" s="9">
        <v>45829</v>
      </c>
      <c r="M1450" s="9">
        <v>45824</v>
      </c>
      <c r="N1450" s="2" t="s">
        <v>1790</v>
      </c>
      <c r="O1450" s="2" t="s">
        <v>55</v>
      </c>
      <c r="P1450" s="2" t="s">
        <v>139</v>
      </c>
      <c r="Q1450" s="2" t="s">
        <v>154</v>
      </c>
      <c r="R1450" s="2" t="s">
        <v>149</v>
      </c>
      <c r="S1450" s="2" t="s">
        <v>383</v>
      </c>
      <c r="T1450" s="10">
        <v>15.02</v>
      </c>
      <c r="U1450" s="11">
        <v>1</v>
      </c>
      <c r="V1450" s="12">
        <f>T1450*U1450</f>
        <v>15.02</v>
      </c>
      <c r="W1450" s="13">
        <v>0</v>
      </c>
      <c r="X1450" s="12">
        <f>V1450-(V1450/(1+W1450))</f>
        <v>0</v>
      </c>
      <c r="Y1450" s="12">
        <f>V1450-X1450</f>
        <v>15.02</v>
      </c>
      <c r="Z1450" s="14">
        <v>35</v>
      </c>
      <c r="AA1450" s="2" t="str">
        <f>IF(V1450&gt;Z1450,"Yes","No")</f>
        <v>No</v>
      </c>
      <c r="AB1450" s="12">
        <f>V1450-Z1450</f>
        <v>-19.98</v>
      </c>
      <c r="AC1450" s="15" t="s">
        <v>130</v>
      </c>
      <c r="AD1450" s="15" t="s">
        <v>130</v>
      </c>
      <c r="AE1450" s="15" t="s">
        <v>858</v>
      </c>
      <c r="AF1450" s="12">
        <f>IF(AG1450="Rejected",0,IF(R1450="Corporate Card",0,V1450))</f>
        <v>15.02</v>
      </c>
      <c r="AG1450" s="15" t="s">
        <v>133</v>
      </c>
      <c r="AH1450" s="16">
        <v>45830</v>
      </c>
      <c r="AI1450" s="16">
        <v>45834</v>
      </c>
      <c r="AJ1450" s="16">
        <v>45844</v>
      </c>
      <c r="AK1450" s="17">
        <f>IF(AJ1450="","",AJ1450-AH1450)</f>
        <v>14</v>
      </c>
    </row>
    <row r="1451" spans="1:37">
      <c r="A1451" s="2" t="s">
        <v>1885</v>
      </c>
      <c r="B1451" s="2" t="s">
        <v>616</v>
      </c>
      <c r="C1451" s="2" t="s">
        <v>252</v>
      </c>
      <c r="D1451" s="2" t="s">
        <v>250</v>
      </c>
      <c r="E1451" s="2" t="s">
        <v>617</v>
      </c>
      <c r="F1451" s="2" t="s">
        <v>510</v>
      </c>
      <c r="G1451" s="2" t="s">
        <v>1872</v>
      </c>
      <c r="H1451" s="2" t="s">
        <v>291</v>
      </c>
      <c r="I1451" s="2" t="s">
        <v>380</v>
      </c>
      <c r="J1451" s="2" t="s">
        <v>381</v>
      </c>
      <c r="K1451" s="9">
        <v>45822</v>
      </c>
      <c r="L1451" s="9">
        <v>45829</v>
      </c>
      <c r="M1451" s="9">
        <v>45825</v>
      </c>
      <c r="N1451" s="2" t="s">
        <v>1790</v>
      </c>
      <c r="O1451" s="2" t="s">
        <v>58</v>
      </c>
      <c r="P1451" s="2" t="s">
        <v>142</v>
      </c>
      <c r="Q1451" s="2" t="s">
        <v>156</v>
      </c>
      <c r="R1451" s="2" t="s">
        <v>128</v>
      </c>
      <c r="S1451" s="2" t="s">
        <v>383</v>
      </c>
      <c r="T1451" s="10">
        <v>47.66</v>
      </c>
      <c r="U1451" s="11">
        <v>1</v>
      </c>
      <c r="V1451" s="12">
        <f>T1451*U1451</f>
        <v>47.66</v>
      </c>
      <c r="W1451" s="13">
        <v>0</v>
      </c>
      <c r="X1451" s="12">
        <f>V1451-(V1451/(1+W1451))</f>
        <v>0</v>
      </c>
      <c r="Y1451" s="12">
        <f>V1451-X1451</f>
        <v>47.66</v>
      </c>
      <c r="Z1451" s="14">
        <v>60</v>
      </c>
      <c r="AA1451" s="2" t="str">
        <f>IF(V1451&gt;Z1451,"Yes","No")</f>
        <v>No</v>
      </c>
      <c r="AB1451" s="12">
        <f>V1451-Z1451</f>
        <v>-12.340000000000003</v>
      </c>
      <c r="AC1451" s="15" t="s">
        <v>130</v>
      </c>
      <c r="AD1451" s="15" t="s">
        <v>130</v>
      </c>
      <c r="AE1451" s="15" t="s">
        <v>858</v>
      </c>
      <c r="AF1451" s="12">
        <f>IF(AG1451="Rejected",0,IF(R1451="Corporate Card",0,V1451))</f>
        <v>0</v>
      </c>
      <c r="AG1451" s="15" t="s">
        <v>133</v>
      </c>
      <c r="AH1451" s="16">
        <v>45830</v>
      </c>
      <c r="AI1451" s="16">
        <v>45834</v>
      </c>
      <c r="AJ1451" s="16">
        <v>45844</v>
      </c>
      <c r="AK1451" s="17">
        <f>IF(AJ1451="","",AJ1451-AH1451)</f>
        <v>14</v>
      </c>
    </row>
    <row r="1452" spans="1:37">
      <c r="A1452" s="2" t="s">
        <v>1886</v>
      </c>
      <c r="B1452" s="2" t="s">
        <v>616</v>
      </c>
      <c r="C1452" s="2" t="s">
        <v>252</v>
      </c>
      <c r="D1452" s="2" t="s">
        <v>250</v>
      </c>
      <c r="E1452" s="2" t="s">
        <v>617</v>
      </c>
      <c r="F1452" s="2" t="s">
        <v>510</v>
      </c>
      <c r="G1452" s="2" t="s">
        <v>1872</v>
      </c>
      <c r="H1452" s="2" t="s">
        <v>291</v>
      </c>
      <c r="I1452" s="2" t="s">
        <v>380</v>
      </c>
      <c r="J1452" s="2" t="s">
        <v>381</v>
      </c>
      <c r="K1452" s="9">
        <v>45822</v>
      </c>
      <c r="L1452" s="9">
        <v>45829</v>
      </c>
      <c r="M1452" s="9">
        <v>45825</v>
      </c>
      <c r="N1452" s="2" t="s">
        <v>1790</v>
      </c>
      <c r="O1452" s="2" t="s">
        <v>54</v>
      </c>
      <c r="P1452" s="2" t="s">
        <v>139</v>
      </c>
      <c r="Q1452" s="2" t="s">
        <v>163</v>
      </c>
      <c r="R1452" s="2" t="s">
        <v>128</v>
      </c>
      <c r="S1452" s="2" t="s">
        <v>383</v>
      </c>
      <c r="T1452" s="10">
        <v>21.11</v>
      </c>
      <c r="U1452" s="11">
        <v>1</v>
      </c>
      <c r="V1452" s="12">
        <f>T1452*U1452</f>
        <v>21.11</v>
      </c>
      <c r="W1452" s="13">
        <v>0</v>
      </c>
      <c r="X1452" s="12">
        <f>V1452-(V1452/(1+W1452))</f>
        <v>0</v>
      </c>
      <c r="Y1452" s="12">
        <f>V1452-X1452</f>
        <v>21.11</v>
      </c>
      <c r="Z1452" s="14">
        <v>25</v>
      </c>
      <c r="AA1452" s="2" t="str">
        <f>IF(V1452&gt;Z1452,"Yes","No")</f>
        <v>No</v>
      </c>
      <c r="AB1452" s="12">
        <f>V1452-Z1452</f>
        <v>-3.8900000000000006</v>
      </c>
      <c r="AC1452" s="15" t="s">
        <v>131</v>
      </c>
      <c r="AD1452" s="15" t="s">
        <v>130</v>
      </c>
      <c r="AE1452" s="15" t="s">
        <v>858</v>
      </c>
      <c r="AF1452" s="12">
        <f>IF(AG1452="Rejected",0,IF(R1452="Corporate Card",0,V1452))</f>
        <v>0</v>
      </c>
      <c r="AG1452" s="15" t="s">
        <v>133</v>
      </c>
      <c r="AH1452" s="16">
        <v>45830</v>
      </c>
      <c r="AI1452" s="16">
        <v>45834</v>
      </c>
      <c r="AJ1452" s="16">
        <v>45844</v>
      </c>
      <c r="AK1452" s="17">
        <f>IF(AJ1452="","",AJ1452-AH1452)</f>
        <v>14</v>
      </c>
    </row>
    <row r="1453" spans="1:37">
      <c r="A1453" s="2" t="s">
        <v>1887</v>
      </c>
      <c r="B1453" s="2" t="s">
        <v>616</v>
      </c>
      <c r="C1453" s="2" t="s">
        <v>252</v>
      </c>
      <c r="D1453" s="2" t="s">
        <v>250</v>
      </c>
      <c r="E1453" s="2" t="s">
        <v>617</v>
      </c>
      <c r="F1453" s="2" t="s">
        <v>510</v>
      </c>
      <c r="G1453" s="2" t="s">
        <v>1872</v>
      </c>
      <c r="H1453" s="2" t="s">
        <v>291</v>
      </c>
      <c r="I1453" s="2" t="s">
        <v>380</v>
      </c>
      <c r="J1453" s="2" t="s">
        <v>381</v>
      </c>
      <c r="K1453" s="9">
        <v>45822</v>
      </c>
      <c r="L1453" s="9">
        <v>45829</v>
      </c>
      <c r="M1453" s="9">
        <v>45825</v>
      </c>
      <c r="N1453" s="2" t="s">
        <v>1790</v>
      </c>
      <c r="O1453" s="2" t="s">
        <v>55</v>
      </c>
      <c r="P1453" s="2" t="s">
        <v>139</v>
      </c>
      <c r="Q1453" s="2" t="s">
        <v>154</v>
      </c>
      <c r="R1453" s="2" t="s">
        <v>128</v>
      </c>
      <c r="S1453" s="2" t="s">
        <v>383</v>
      </c>
      <c r="T1453" s="10">
        <v>15.84</v>
      </c>
      <c r="U1453" s="11">
        <v>1</v>
      </c>
      <c r="V1453" s="12">
        <f>T1453*U1453</f>
        <v>15.84</v>
      </c>
      <c r="W1453" s="13">
        <v>0</v>
      </c>
      <c r="X1453" s="12">
        <f>V1453-(V1453/(1+W1453))</f>
        <v>0</v>
      </c>
      <c r="Y1453" s="12">
        <f>V1453-X1453</f>
        <v>15.84</v>
      </c>
      <c r="Z1453" s="14">
        <v>35</v>
      </c>
      <c r="AA1453" s="2" t="str">
        <f>IF(V1453&gt;Z1453,"Yes","No")</f>
        <v>No</v>
      </c>
      <c r="AB1453" s="12">
        <f>V1453-Z1453</f>
        <v>-19.16</v>
      </c>
      <c r="AC1453" s="15" t="s">
        <v>130</v>
      </c>
      <c r="AD1453" s="15" t="s">
        <v>130</v>
      </c>
      <c r="AE1453" s="15" t="s">
        <v>858</v>
      </c>
      <c r="AF1453" s="12">
        <f>IF(AG1453="Rejected",0,IF(R1453="Corporate Card",0,V1453))</f>
        <v>0</v>
      </c>
      <c r="AG1453" s="15" t="s">
        <v>133</v>
      </c>
      <c r="AH1453" s="16">
        <v>45830</v>
      </c>
      <c r="AI1453" s="16">
        <v>45834</v>
      </c>
      <c r="AJ1453" s="16">
        <v>45844</v>
      </c>
      <c r="AK1453" s="17">
        <f>IF(AJ1453="","",AJ1453-AH1453)</f>
        <v>14</v>
      </c>
    </row>
    <row r="1454" spans="1:37">
      <c r="A1454" s="2" t="s">
        <v>1888</v>
      </c>
      <c r="B1454" s="2" t="s">
        <v>248</v>
      </c>
      <c r="C1454" s="2" t="s">
        <v>249</v>
      </c>
      <c r="D1454" s="2" t="s">
        <v>250</v>
      </c>
      <c r="E1454" s="2" t="s">
        <v>251</v>
      </c>
      <c r="F1454" s="2" t="s">
        <v>252</v>
      </c>
      <c r="G1454" s="2" t="s">
        <v>1889</v>
      </c>
      <c r="H1454" s="2" t="s">
        <v>417</v>
      </c>
      <c r="I1454" s="2" t="s">
        <v>1038</v>
      </c>
      <c r="J1454" s="2" t="s">
        <v>381</v>
      </c>
      <c r="K1454" s="9">
        <v>45825</v>
      </c>
      <c r="L1454" s="9">
        <v>45833</v>
      </c>
      <c r="M1454" s="9">
        <v>45825</v>
      </c>
      <c r="N1454" s="2" t="s">
        <v>1790</v>
      </c>
      <c r="O1454" s="2" t="s">
        <v>52</v>
      </c>
      <c r="P1454" s="2" t="s">
        <v>1039</v>
      </c>
      <c r="Q1454" s="2" t="s">
        <v>136</v>
      </c>
      <c r="R1454" s="2" t="s">
        <v>128</v>
      </c>
      <c r="S1454" s="2" t="s">
        <v>383</v>
      </c>
      <c r="T1454" s="10">
        <v>1094.98</v>
      </c>
      <c r="U1454" s="11">
        <v>1</v>
      </c>
      <c r="V1454" s="12">
        <f>T1454*U1454</f>
        <v>1094.98</v>
      </c>
      <c r="W1454" s="13">
        <v>0</v>
      </c>
      <c r="X1454" s="12">
        <f>V1454-(V1454/(1+W1454))</f>
        <v>0</v>
      </c>
      <c r="Y1454" s="12">
        <f>V1454-X1454</f>
        <v>1094.98</v>
      </c>
      <c r="Z1454" s="14">
        <v>1400</v>
      </c>
      <c r="AA1454" s="2" t="str">
        <f>IF(V1454&gt;Z1454,"Yes","No")</f>
        <v>No</v>
      </c>
      <c r="AB1454" s="12">
        <f>V1454-Z1454</f>
        <v>-305.02</v>
      </c>
      <c r="AC1454" s="15" t="s">
        <v>130</v>
      </c>
      <c r="AD1454" s="15" t="s">
        <v>130</v>
      </c>
      <c r="AE1454" s="15" t="s">
        <v>260</v>
      </c>
      <c r="AF1454" s="12">
        <f>IF(AG1454="Rejected",0,IF(R1454="Corporate Card",0,V1454))</f>
        <v>0</v>
      </c>
      <c r="AG1454" s="15" t="s">
        <v>133</v>
      </c>
      <c r="AH1454" s="16">
        <v>45842</v>
      </c>
      <c r="AI1454" s="16">
        <v>45843</v>
      </c>
      <c r="AJ1454" s="16">
        <v>45854</v>
      </c>
      <c r="AK1454" s="17">
        <f>IF(AJ1454="","",AJ1454-AH1454)</f>
        <v>12</v>
      </c>
    </row>
    <row r="1455" spans="1:37">
      <c r="A1455" s="2" t="s">
        <v>1890</v>
      </c>
      <c r="B1455" s="2" t="s">
        <v>248</v>
      </c>
      <c r="C1455" s="2" t="s">
        <v>249</v>
      </c>
      <c r="D1455" s="2" t="s">
        <v>250</v>
      </c>
      <c r="E1455" s="2" t="s">
        <v>251</v>
      </c>
      <c r="F1455" s="2" t="s">
        <v>252</v>
      </c>
      <c r="G1455" s="2" t="s">
        <v>1889</v>
      </c>
      <c r="H1455" s="2" t="s">
        <v>417</v>
      </c>
      <c r="I1455" s="2" t="s">
        <v>1038</v>
      </c>
      <c r="J1455" s="2" t="s">
        <v>381</v>
      </c>
      <c r="K1455" s="9">
        <v>45825</v>
      </c>
      <c r="L1455" s="9">
        <v>45833</v>
      </c>
      <c r="M1455" s="9">
        <v>45825</v>
      </c>
      <c r="N1455" s="2" t="s">
        <v>1790</v>
      </c>
      <c r="O1455" s="2" t="s">
        <v>58</v>
      </c>
      <c r="P1455" s="2" t="s">
        <v>142</v>
      </c>
      <c r="Q1455" s="2" t="s">
        <v>296</v>
      </c>
      <c r="R1455" s="2" t="s">
        <v>128</v>
      </c>
      <c r="S1455" s="2" t="s">
        <v>383</v>
      </c>
      <c r="T1455" s="10">
        <v>59.7</v>
      </c>
      <c r="U1455" s="11">
        <v>1</v>
      </c>
      <c r="V1455" s="12">
        <f>T1455*U1455</f>
        <v>59.7</v>
      </c>
      <c r="W1455" s="13">
        <v>0</v>
      </c>
      <c r="X1455" s="12">
        <f>V1455-(V1455/(1+W1455))</f>
        <v>0</v>
      </c>
      <c r="Y1455" s="12">
        <f>V1455-X1455</f>
        <v>59.7</v>
      </c>
      <c r="Z1455" s="14">
        <v>60</v>
      </c>
      <c r="AA1455" s="2" t="str">
        <f>IF(V1455&gt;Z1455,"Yes","No")</f>
        <v>No</v>
      </c>
      <c r="AB1455" s="12">
        <f>V1455-Z1455</f>
        <v>-0.29999999999999716</v>
      </c>
      <c r="AC1455" s="15" t="s">
        <v>130</v>
      </c>
      <c r="AD1455" s="15" t="s">
        <v>130</v>
      </c>
      <c r="AE1455" s="15" t="s">
        <v>260</v>
      </c>
      <c r="AF1455" s="12">
        <f>IF(AG1455="Rejected",0,IF(R1455="Corporate Card",0,V1455))</f>
        <v>0</v>
      </c>
      <c r="AG1455" s="15" t="s">
        <v>133</v>
      </c>
      <c r="AH1455" s="16">
        <v>45842</v>
      </c>
      <c r="AI1455" s="16">
        <v>45843</v>
      </c>
      <c r="AJ1455" s="16">
        <v>45854</v>
      </c>
      <c r="AK1455" s="17">
        <f>IF(AJ1455="","",AJ1455-AH1455)</f>
        <v>12</v>
      </c>
    </row>
    <row r="1456" spans="1:37">
      <c r="A1456" s="2" t="s">
        <v>1891</v>
      </c>
      <c r="B1456" s="2" t="s">
        <v>248</v>
      </c>
      <c r="C1456" s="2" t="s">
        <v>249</v>
      </c>
      <c r="D1456" s="2" t="s">
        <v>250</v>
      </c>
      <c r="E1456" s="2" t="s">
        <v>251</v>
      </c>
      <c r="F1456" s="2" t="s">
        <v>252</v>
      </c>
      <c r="G1456" s="2" t="s">
        <v>1889</v>
      </c>
      <c r="H1456" s="2" t="s">
        <v>417</v>
      </c>
      <c r="I1456" s="2" t="s">
        <v>1038</v>
      </c>
      <c r="J1456" s="2" t="s">
        <v>381</v>
      </c>
      <c r="K1456" s="9">
        <v>45825</v>
      </c>
      <c r="L1456" s="9">
        <v>45833</v>
      </c>
      <c r="M1456" s="9">
        <v>45825</v>
      </c>
      <c r="N1456" s="2" t="s">
        <v>1790</v>
      </c>
      <c r="O1456" s="2" t="s">
        <v>54</v>
      </c>
      <c r="P1456" s="2" t="s">
        <v>139</v>
      </c>
      <c r="Q1456" s="2" t="s">
        <v>148</v>
      </c>
      <c r="R1456" s="2" t="s">
        <v>149</v>
      </c>
      <c r="S1456" s="2" t="s">
        <v>383</v>
      </c>
      <c r="T1456" s="10">
        <v>21.53</v>
      </c>
      <c r="U1456" s="11">
        <v>1</v>
      </c>
      <c r="V1456" s="12">
        <f>T1456*U1456</f>
        <v>21.53</v>
      </c>
      <c r="W1456" s="13">
        <v>0</v>
      </c>
      <c r="X1456" s="12">
        <f>V1456-(V1456/(1+W1456))</f>
        <v>0</v>
      </c>
      <c r="Y1456" s="12">
        <f>V1456-X1456</f>
        <v>21.53</v>
      </c>
      <c r="Z1456" s="14">
        <v>25</v>
      </c>
      <c r="AA1456" s="2" t="str">
        <f>IF(V1456&gt;Z1456,"Yes","No")</f>
        <v>No</v>
      </c>
      <c r="AB1456" s="12">
        <f>V1456-Z1456</f>
        <v>-3.4699999999999989</v>
      </c>
      <c r="AC1456" s="15" t="s">
        <v>130</v>
      </c>
      <c r="AD1456" s="15" t="s">
        <v>130</v>
      </c>
      <c r="AE1456" s="15" t="s">
        <v>260</v>
      </c>
      <c r="AF1456" s="12">
        <f>IF(AG1456="Rejected",0,IF(R1456="Corporate Card",0,V1456))</f>
        <v>21.53</v>
      </c>
      <c r="AG1456" s="15" t="s">
        <v>133</v>
      </c>
      <c r="AH1456" s="16">
        <v>45842</v>
      </c>
      <c r="AI1456" s="16">
        <v>45843</v>
      </c>
      <c r="AJ1456" s="16">
        <v>45854</v>
      </c>
      <c r="AK1456" s="17">
        <f>IF(AJ1456="","",AJ1456-AH1456)</f>
        <v>12</v>
      </c>
    </row>
    <row r="1457" spans="1:37">
      <c r="A1457" s="2" t="s">
        <v>1892</v>
      </c>
      <c r="B1457" s="2" t="s">
        <v>248</v>
      </c>
      <c r="C1457" s="2" t="s">
        <v>249</v>
      </c>
      <c r="D1457" s="2" t="s">
        <v>250</v>
      </c>
      <c r="E1457" s="2" t="s">
        <v>251</v>
      </c>
      <c r="F1457" s="2" t="s">
        <v>252</v>
      </c>
      <c r="G1457" s="2" t="s">
        <v>1889</v>
      </c>
      <c r="H1457" s="2" t="s">
        <v>417</v>
      </c>
      <c r="I1457" s="2" t="s">
        <v>1038</v>
      </c>
      <c r="J1457" s="2" t="s">
        <v>381</v>
      </c>
      <c r="K1457" s="9">
        <v>45825</v>
      </c>
      <c r="L1457" s="9">
        <v>45833</v>
      </c>
      <c r="M1457" s="9">
        <v>45825</v>
      </c>
      <c r="N1457" s="2" t="s">
        <v>1790</v>
      </c>
      <c r="O1457" s="2" t="s">
        <v>56</v>
      </c>
      <c r="P1457" s="2" t="s">
        <v>245</v>
      </c>
      <c r="Q1457" s="2" t="s">
        <v>166</v>
      </c>
      <c r="R1457" s="2" t="s">
        <v>128</v>
      </c>
      <c r="S1457" s="2" t="s">
        <v>383</v>
      </c>
      <c r="T1457" s="10">
        <v>70.5</v>
      </c>
      <c r="U1457" s="11">
        <v>1</v>
      </c>
      <c r="V1457" s="12">
        <f>T1457*U1457</f>
        <v>70.5</v>
      </c>
      <c r="W1457" s="13">
        <v>0</v>
      </c>
      <c r="X1457" s="12">
        <f>V1457-(V1457/(1+W1457))</f>
        <v>0</v>
      </c>
      <c r="Y1457" s="12">
        <f>V1457-X1457</f>
        <v>70.5</v>
      </c>
      <c r="Z1457" s="14">
        <v>75</v>
      </c>
      <c r="AA1457" s="2" t="str">
        <f>IF(V1457&gt;Z1457,"Yes","No")</f>
        <v>No</v>
      </c>
      <c r="AB1457" s="12">
        <f>V1457-Z1457</f>
        <v>-4.5</v>
      </c>
      <c r="AC1457" s="15" t="s">
        <v>130</v>
      </c>
      <c r="AD1457" s="15" t="s">
        <v>130</v>
      </c>
      <c r="AE1457" s="15" t="s">
        <v>260</v>
      </c>
      <c r="AF1457" s="12">
        <f>IF(AG1457="Rejected",0,IF(R1457="Corporate Card",0,V1457))</f>
        <v>0</v>
      </c>
      <c r="AG1457" s="15" t="s">
        <v>133</v>
      </c>
      <c r="AH1457" s="16">
        <v>45842</v>
      </c>
      <c r="AI1457" s="16">
        <v>45843</v>
      </c>
      <c r="AJ1457" s="16">
        <v>45854</v>
      </c>
      <c r="AK1457" s="17">
        <f>IF(AJ1457="","",AJ1457-AH1457)</f>
        <v>12</v>
      </c>
    </row>
    <row r="1458" spans="1:37">
      <c r="A1458" s="2" t="s">
        <v>1893</v>
      </c>
      <c r="B1458" s="2" t="s">
        <v>248</v>
      </c>
      <c r="C1458" s="2" t="s">
        <v>249</v>
      </c>
      <c r="D1458" s="2" t="s">
        <v>250</v>
      </c>
      <c r="E1458" s="2" t="s">
        <v>251</v>
      </c>
      <c r="F1458" s="2" t="s">
        <v>252</v>
      </c>
      <c r="G1458" s="2" t="s">
        <v>1889</v>
      </c>
      <c r="H1458" s="2" t="s">
        <v>417</v>
      </c>
      <c r="I1458" s="2" t="s">
        <v>1038</v>
      </c>
      <c r="J1458" s="2" t="s">
        <v>381</v>
      </c>
      <c r="K1458" s="9">
        <v>45825</v>
      </c>
      <c r="L1458" s="9">
        <v>45833</v>
      </c>
      <c r="M1458" s="9">
        <v>45825</v>
      </c>
      <c r="N1458" s="2" t="s">
        <v>1790</v>
      </c>
      <c r="O1458" s="2" t="s">
        <v>55</v>
      </c>
      <c r="P1458" s="2" t="s">
        <v>139</v>
      </c>
      <c r="Q1458" s="2" t="s">
        <v>154</v>
      </c>
      <c r="R1458" s="2" t="s">
        <v>128</v>
      </c>
      <c r="S1458" s="2" t="s">
        <v>383</v>
      </c>
      <c r="T1458" s="10">
        <v>30.29</v>
      </c>
      <c r="U1458" s="11">
        <v>1</v>
      </c>
      <c r="V1458" s="12">
        <f>T1458*U1458</f>
        <v>30.29</v>
      </c>
      <c r="W1458" s="13">
        <v>0</v>
      </c>
      <c r="X1458" s="12">
        <f>V1458-(V1458/(1+W1458))</f>
        <v>0</v>
      </c>
      <c r="Y1458" s="12">
        <f>V1458-X1458</f>
        <v>30.29</v>
      </c>
      <c r="Z1458" s="14">
        <v>35</v>
      </c>
      <c r="AA1458" s="2" t="str">
        <f>IF(V1458&gt;Z1458,"Yes","No")</f>
        <v>No</v>
      </c>
      <c r="AB1458" s="12">
        <f>V1458-Z1458</f>
        <v>-4.7100000000000009</v>
      </c>
      <c r="AC1458" s="15" t="s">
        <v>130</v>
      </c>
      <c r="AD1458" s="15" t="s">
        <v>130</v>
      </c>
      <c r="AE1458" s="15" t="s">
        <v>260</v>
      </c>
      <c r="AF1458" s="12">
        <f>IF(AG1458="Rejected",0,IF(R1458="Corporate Card",0,V1458))</f>
        <v>0</v>
      </c>
      <c r="AG1458" s="15" t="s">
        <v>133</v>
      </c>
      <c r="AH1458" s="16">
        <v>45842</v>
      </c>
      <c r="AI1458" s="16">
        <v>45843</v>
      </c>
      <c r="AJ1458" s="16">
        <v>45854</v>
      </c>
      <c r="AK1458" s="17">
        <f>IF(AJ1458="","",AJ1458-AH1458)</f>
        <v>12</v>
      </c>
    </row>
    <row r="1459" spans="1:37">
      <c r="A1459" s="2" t="s">
        <v>1894</v>
      </c>
      <c r="B1459" s="2" t="s">
        <v>616</v>
      </c>
      <c r="C1459" s="2" t="s">
        <v>252</v>
      </c>
      <c r="D1459" s="2" t="s">
        <v>250</v>
      </c>
      <c r="E1459" s="2" t="s">
        <v>617</v>
      </c>
      <c r="F1459" s="2" t="s">
        <v>510</v>
      </c>
      <c r="G1459" s="2" t="s">
        <v>1872</v>
      </c>
      <c r="H1459" s="2" t="s">
        <v>291</v>
      </c>
      <c r="I1459" s="2" t="s">
        <v>380</v>
      </c>
      <c r="J1459" s="2" t="s">
        <v>381</v>
      </c>
      <c r="K1459" s="9">
        <v>45822</v>
      </c>
      <c r="L1459" s="9">
        <v>45829</v>
      </c>
      <c r="M1459" s="9">
        <v>45826</v>
      </c>
      <c r="N1459" s="2" t="s">
        <v>1790</v>
      </c>
      <c r="O1459" s="2" t="s">
        <v>54</v>
      </c>
      <c r="P1459" s="2" t="s">
        <v>139</v>
      </c>
      <c r="Q1459" s="2" t="s">
        <v>214</v>
      </c>
      <c r="R1459" s="2" t="s">
        <v>128</v>
      </c>
      <c r="S1459" s="2" t="s">
        <v>383</v>
      </c>
      <c r="T1459" s="10">
        <v>11.28</v>
      </c>
      <c r="U1459" s="11">
        <v>1</v>
      </c>
      <c r="V1459" s="12">
        <f>T1459*U1459</f>
        <v>11.28</v>
      </c>
      <c r="W1459" s="13">
        <v>0</v>
      </c>
      <c r="X1459" s="12">
        <f>V1459-(V1459/(1+W1459))</f>
        <v>0</v>
      </c>
      <c r="Y1459" s="12">
        <f>V1459-X1459</f>
        <v>11.28</v>
      </c>
      <c r="Z1459" s="14">
        <v>25</v>
      </c>
      <c r="AA1459" s="2" t="str">
        <f>IF(V1459&gt;Z1459,"Yes","No")</f>
        <v>No</v>
      </c>
      <c r="AB1459" s="12">
        <f>V1459-Z1459</f>
        <v>-13.72</v>
      </c>
      <c r="AC1459" s="15" t="s">
        <v>130</v>
      </c>
      <c r="AD1459" s="15" t="s">
        <v>130</v>
      </c>
      <c r="AE1459" s="15" t="s">
        <v>858</v>
      </c>
      <c r="AF1459" s="12">
        <f>IF(AG1459="Rejected",0,IF(R1459="Corporate Card",0,V1459))</f>
        <v>0</v>
      </c>
      <c r="AG1459" s="15" t="s">
        <v>133</v>
      </c>
      <c r="AH1459" s="16">
        <v>45830</v>
      </c>
      <c r="AI1459" s="16">
        <v>45834</v>
      </c>
      <c r="AJ1459" s="16">
        <v>45844</v>
      </c>
      <c r="AK1459" s="17">
        <f>IF(AJ1459="","",AJ1459-AH1459)</f>
        <v>14</v>
      </c>
    </row>
    <row r="1460" spans="1:37">
      <c r="A1460" s="2" t="s">
        <v>1895</v>
      </c>
      <c r="B1460" s="2" t="s">
        <v>616</v>
      </c>
      <c r="C1460" s="2" t="s">
        <v>252</v>
      </c>
      <c r="D1460" s="2" t="s">
        <v>250</v>
      </c>
      <c r="E1460" s="2" t="s">
        <v>617</v>
      </c>
      <c r="F1460" s="2" t="s">
        <v>510</v>
      </c>
      <c r="G1460" s="2" t="s">
        <v>1872</v>
      </c>
      <c r="H1460" s="2" t="s">
        <v>291</v>
      </c>
      <c r="I1460" s="2" t="s">
        <v>380</v>
      </c>
      <c r="J1460" s="2" t="s">
        <v>381</v>
      </c>
      <c r="K1460" s="9">
        <v>45822</v>
      </c>
      <c r="L1460" s="9">
        <v>45829</v>
      </c>
      <c r="M1460" s="9">
        <v>45826</v>
      </c>
      <c r="N1460" s="2" t="s">
        <v>1790</v>
      </c>
      <c r="O1460" s="2" t="s">
        <v>56</v>
      </c>
      <c r="P1460" s="2" t="s">
        <v>165</v>
      </c>
      <c r="Q1460" s="2" t="s">
        <v>166</v>
      </c>
      <c r="R1460" s="2" t="s">
        <v>137</v>
      </c>
      <c r="S1460" s="2" t="s">
        <v>383</v>
      </c>
      <c r="T1460" s="10">
        <v>52.21</v>
      </c>
      <c r="U1460" s="11">
        <v>1</v>
      </c>
      <c r="V1460" s="12">
        <f>T1460*U1460</f>
        <v>52.21</v>
      </c>
      <c r="W1460" s="13">
        <v>0</v>
      </c>
      <c r="X1460" s="12">
        <f>V1460-(V1460/(1+W1460))</f>
        <v>0</v>
      </c>
      <c r="Y1460" s="12">
        <f>V1460-X1460</f>
        <v>52.21</v>
      </c>
      <c r="Z1460" s="14">
        <v>75</v>
      </c>
      <c r="AA1460" s="2" t="str">
        <f>IF(V1460&gt;Z1460,"Yes","No")</f>
        <v>No</v>
      </c>
      <c r="AB1460" s="12">
        <f>V1460-Z1460</f>
        <v>-22.79</v>
      </c>
      <c r="AC1460" s="15" t="s">
        <v>130</v>
      </c>
      <c r="AD1460" s="15" t="s">
        <v>130</v>
      </c>
      <c r="AE1460" s="15" t="s">
        <v>858</v>
      </c>
      <c r="AF1460" s="12">
        <f>IF(AG1460="Rejected",0,IF(R1460="Corporate Card",0,V1460))</f>
        <v>52.21</v>
      </c>
      <c r="AG1460" s="15" t="s">
        <v>133</v>
      </c>
      <c r="AH1460" s="16">
        <v>45830</v>
      </c>
      <c r="AI1460" s="16">
        <v>45834</v>
      </c>
      <c r="AJ1460" s="16">
        <v>45844</v>
      </c>
      <c r="AK1460" s="17">
        <f>IF(AJ1460="","",AJ1460-AH1460)</f>
        <v>14</v>
      </c>
    </row>
    <row r="1461" spans="1:37">
      <c r="A1461" s="2" t="s">
        <v>1896</v>
      </c>
      <c r="B1461" s="2" t="s">
        <v>616</v>
      </c>
      <c r="C1461" s="2" t="s">
        <v>252</v>
      </c>
      <c r="D1461" s="2" t="s">
        <v>250</v>
      </c>
      <c r="E1461" s="2" t="s">
        <v>617</v>
      </c>
      <c r="F1461" s="2" t="s">
        <v>510</v>
      </c>
      <c r="G1461" s="2" t="s">
        <v>1872</v>
      </c>
      <c r="H1461" s="2" t="s">
        <v>291</v>
      </c>
      <c r="I1461" s="2" t="s">
        <v>380</v>
      </c>
      <c r="J1461" s="2" t="s">
        <v>381</v>
      </c>
      <c r="K1461" s="9">
        <v>45822</v>
      </c>
      <c r="L1461" s="9">
        <v>45829</v>
      </c>
      <c r="M1461" s="9">
        <v>45826</v>
      </c>
      <c r="N1461" s="2" t="s">
        <v>1790</v>
      </c>
      <c r="O1461" s="2" t="s">
        <v>55</v>
      </c>
      <c r="P1461" s="2" t="s">
        <v>139</v>
      </c>
      <c r="Q1461" s="2" t="s">
        <v>187</v>
      </c>
      <c r="R1461" s="2" t="s">
        <v>128</v>
      </c>
      <c r="S1461" s="2" t="s">
        <v>383</v>
      </c>
      <c r="T1461" s="10">
        <v>29.12</v>
      </c>
      <c r="U1461" s="11">
        <v>1</v>
      </c>
      <c r="V1461" s="12">
        <f>T1461*U1461</f>
        <v>29.12</v>
      </c>
      <c r="W1461" s="13">
        <v>0</v>
      </c>
      <c r="X1461" s="12">
        <f>V1461-(V1461/(1+W1461))</f>
        <v>0</v>
      </c>
      <c r="Y1461" s="12">
        <f>V1461-X1461</f>
        <v>29.12</v>
      </c>
      <c r="Z1461" s="14">
        <v>35</v>
      </c>
      <c r="AA1461" s="2" t="str">
        <f>IF(V1461&gt;Z1461,"Yes","No")</f>
        <v>No</v>
      </c>
      <c r="AB1461" s="12">
        <f>V1461-Z1461</f>
        <v>-5.879999999999999</v>
      </c>
      <c r="AC1461" s="15" t="s">
        <v>130</v>
      </c>
      <c r="AD1461" s="15" t="s">
        <v>130</v>
      </c>
      <c r="AE1461" s="15" t="s">
        <v>858</v>
      </c>
      <c r="AF1461" s="12">
        <f>IF(AG1461="Rejected",0,IF(R1461="Corporate Card",0,V1461))</f>
        <v>0</v>
      </c>
      <c r="AG1461" s="15" t="s">
        <v>133</v>
      </c>
      <c r="AH1461" s="16">
        <v>45830</v>
      </c>
      <c r="AI1461" s="16">
        <v>45834</v>
      </c>
      <c r="AJ1461" s="16">
        <v>45844</v>
      </c>
      <c r="AK1461" s="17">
        <f>IF(AJ1461="","",AJ1461-AH1461)</f>
        <v>14</v>
      </c>
    </row>
    <row r="1462" spans="1:37">
      <c r="A1462" s="2" t="s">
        <v>1897</v>
      </c>
      <c r="B1462" s="2" t="s">
        <v>248</v>
      </c>
      <c r="C1462" s="2" t="s">
        <v>249</v>
      </c>
      <c r="D1462" s="2" t="s">
        <v>250</v>
      </c>
      <c r="E1462" s="2" t="s">
        <v>251</v>
      </c>
      <c r="F1462" s="2" t="s">
        <v>252</v>
      </c>
      <c r="G1462" s="2" t="s">
        <v>1889</v>
      </c>
      <c r="H1462" s="2" t="s">
        <v>417</v>
      </c>
      <c r="I1462" s="2" t="s">
        <v>1038</v>
      </c>
      <c r="J1462" s="2" t="s">
        <v>381</v>
      </c>
      <c r="K1462" s="9">
        <v>45825</v>
      </c>
      <c r="L1462" s="9">
        <v>45833</v>
      </c>
      <c r="M1462" s="9">
        <v>45826</v>
      </c>
      <c r="N1462" s="2" t="s">
        <v>1790</v>
      </c>
      <c r="O1462" s="2" t="s">
        <v>58</v>
      </c>
      <c r="P1462" s="2" t="s">
        <v>142</v>
      </c>
      <c r="Q1462" s="2" t="s">
        <v>296</v>
      </c>
      <c r="R1462" s="2" t="s">
        <v>128</v>
      </c>
      <c r="S1462" s="2" t="s">
        <v>383</v>
      </c>
      <c r="T1462" s="10">
        <v>25.79</v>
      </c>
      <c r="U1462" s="11">
        <v>1</v>
      </c>
      <c r="V1462" s="12">
        <f>T1462*U1462</f>
        <v>25.79</v>
      </c>
      <c r="W1462" s="13">
        <v>0</v>
      </c>
      <c r="X1462" s="12">
        <f>V1462-(V1462/(1+W1462))</f>
        <v>0</v>
      </c>
      <c r="Y1462" s="12">
        <f>V1462-X1462</f>
        <v>25.79</v>
      </c>
      <c r="Z1462" s="14">
        <v>60</v>
      </c>
      <c r="AA1462" s="2" t="str">
        <f>IF(V1462&gt;Z1462,"Yes","No")</f>
        <v>No</v>
      </c>
      <c r="AB1462" s="12">
        <f>V1462-Z1462</f>
        <v>-34.21</v>
      </c>
      <c r="AC1462" s="15" t="s">
        <v>130</v>
      </c>
      <c r="AD1462" s="15" t="s">
        <v>130</v>
      </c>
      <c r="AE1462" s="15" t="s">
        <v>260</v>
      </c>
      <c r="AF1462" s="12">
        <f>IF(AG1462="Rejected",0,IF(R1462="Corporate Card",0,V1462))</f>
        <v>0</v>
      </c>
      <c r="AG1462" s="15" t="s">
        <v>133</v>
      </c>
      <c r="AH1462" s="16">
        <v>45842</v>
      </c>
      <c r="AI1462" s="16">
        <v>45843</v>
      </c>
      <c r="AJ1462" s="16">
        <v>45854</v>
      </c>
      <c r="AK1462" s="17">
        <f>IF(AJ1462="","",AJ1462-AH1462)</f>
        <v>12</v>
      </c>
    </row>
    <row r="1463" spans="1:37">
      <c r="A1463" s="2" t="s">
        <v>1898</v>
      </c>
      <c r="B1463" s="2" t="s">
        <v>248</v>
      </c>
      <c r="C1463" s="2" t="s">
        <v>249</v>
      </c>
      <c r="D1463" s="2" t="s">
        <v>250</v>
      </c>
      <c r="E1463" s="2" t="s">
        <v>251</v>
      </c>
      <c r="F1463" s="2" t="s">
        <v>252</v>
      </c>
      <c r="G1463" s="2" t="s">
        <v>1889</v>
      </c>
      <c r="H1463" s="2" t="s">
        <v>417</v>
      </c>
      <c r="I1463" s="2" t="s">
        <v>1038</v>
      </c>
      <c r="J1463" s="2" t="s">
        <v>381</v>
      </c>
      <c r="K1463" s="9">
        <v>45825</v>
      </c>
      <c r="L1463" s="9">
        <v>45833</v>
      </c>
      <c r="M1463" s="9">
        <v>45826</v>
      </c>
      <c r="N1463" s="2" t="s">
        <v>1790</v>
      </c>
      <c r="O1463" s="2" t="s">
        <v>53</v>
      </c>
      <c r="P1463" s="2" t="s">
        <v>669</v>
      </c>
      <c r="Q1463" s="2" t="s">
        <v>146</v>
      </c>
      <c r="R1463" s="2" t="s">
        <v>149</v>
      </c>
      <c r="S1463" s="2" t="s">
        <v>383</v>
      </c>
      <c r="T1463" s="10">
        <v>1756.94</v>
      </c>
      <c r="U1463" s="11">
        <v>1</v>
      </c>
      <c r="V1463" s="12">
        <f>T1463*U1463</f>
        <v>1756.94</v>
      </c>
      <c r="W1463" s="13">
        <v>0</v>
      </c>
      <c r="X1463" s="12">
        <f>V1463-(V1463/(1+W1463))</f>
        <v>0</v>
      </c>
      <c r="Y1463" s="12">
        <f>V1463-X1463</f>
        <v>1756.94</v>
      </c>
      <c r="Z1463" s="14">
        <v>2240</v>
      </c>
      <c r="AA1463" s="2" t="str">
        <f>IF(V1463&gt;Z1463,"Yes","No")</f>
        <v>No</v>
      </c>
      <c r="AB1463" s="12">
        <f>V1463-Z1463</f>
        <v>-483.05999999999995</v>
      </c>
      <c r="AC1463" s="15" t="s">
        <v>130</v>
      </c>
      <c r="AD1463" s="15" t="s">
        <v>130</v>
      </c>
      <c r="AE1463" s="15" t="s">
        <v>260</v>
      </c>
      <c r="AF1463" s="12">
        <f>IF(AG1463="Rejected",0,IF(R1463="Corporate Card",0,V1463))</f>
        <v>1756.94</v>
      </c>
      <c r="AG1463" s="15" t="s">
        <v>133</v>
      </c>
      <c r="AH1463" s="16">
        <v>45842</v>
      </c>
      <c r="AI1463" s="16">
        <v>45843</v>
      </c>
      <c r="AJ1463" s="16">
        <v>45854</v>
      </c>
      <c r="AK1463" s="17">
        <f>IF(AJ1463="","",AJ1463-AH1463)</f>
        <v>12</v>
      </c>
    </row>
    <row r="1464" spans="1:37">
      <c r="A1464" s="2" t="s">
        <v>1899</v>
      </c>
      <c r="B1464" s="2" t="s">
        <v>248</v>
      </c>
      <c r="C1464" s="2" t="s">
        <v>249</v>
      </c>
      <c r="D1464" s="2" t="s">
        <v>250</v>
      </c>
      <c r="E1464" s="2" t="s">
        <v>251</v>
      </c>
      <c r="F1464" s="2" t="s">
        <v>252</v>
      </c>
      <c r="G1464" s="2" t="s">
        <v>1889</v>
      </c>
      <c r="H1464" s="2" t="s">
        <v>417</v>
      </c>
      <c r="I1464" s="2" t="s">
        <v>1038</v>
      </c>
      <c r="J1464" s="2" t="s">
        <v>381</v>
      </c>
      <c r="K1464" s="9">
        <v>45825</v>
      </c>
      <c r="L1464" s="9">
        <v>45833</v>
      </c>
      <c r="M1464" s="9">
        <v>45826</v>
      </c>
      <c r="N1464" s="2" t="s">
        <v>1790</v>
      </c>
      <c r="O1464" s="2" t="s">
        <v>54</v>
      </c>
      <c r="P1464" s="2" t="s">
        <v>139</v>
      </c>
      <c r="Q1464" s="2" t="s">
        <v>140</v>
      </c>
      <c r="R1464" s="2" t="s">
        <v>149</v>
      </c>
      <c r="S1464" s="2" t="s">
        <v>383</v>
      </c>
      <c r="T1464" s="10">
        <v>12.77</v>
      </c>
      <c r="U1464" s="11">
        <v>1</v>
      </c>
      <c r="V1464" s="12">
        <f>T1464*U1464</f>
        <v>12.77</v>
      </c>
      <c r="W1464" s="13">
        <v>0</v>
      </c>
      <c r="X1464" s="12">
        <f>V1464-(V1464/(1+W1464))</f>
        <v>0</v>
      </c>
      <c r="Y1464" s="12">
        <f>V1464-X1464</f>
        <v>12.77</v>
      </c>
      <c r="Z1464" s="14">
        <v>25</v>
      </c>
      <c r="AA1464" s="2" t="str">
        <f>IF(V1464&gt;Z1464,"Yes","No")</f>
        <v>No</v>
      </c>
      <c r="AB1464" s="12">
        <f>V1464-Z1464</f>
        <v>-12.23</v>
      </c>
      <c r="AC1464" s="15" t="s">
        <v>130</v>
      </c>
      <c r="AD1464" s="15" t="s">
        <v>130</v>
      </c>
      <c r="AE1464" s="15" t="s">
        <v>260</v>
      </c>
      <c r="AF1464" s="12">
        <f>IF(AG1464="Rejected",0,IF(R1464="Corporate Card",0,V1464))</f>
        <v>12.77</v>
      </c>
      <c r="AG1464" s="15" t="s">
        <v>133</v>
      </c>
      <c r="AH1464" s="16">
        <v>45842</v>
      </c>
      <c r="AI1464" s="16">
        <v>45843</v>
      </c>
      <c r="AJ1464" s="16">
        <v>45854</v>
      </c>
      <c r="AK1464" s="17">
        <f>IF(AJ1464="","",AJ1464-AH1464)</f>
        <v>12</v>
      </c>
    </row>
    <row r="1465" spans="1:37">
      <c r="A1465" s="2" t="s">
        <v>1900</v>
      </c>
      <c r="B1465" s="2" t="s">
        <v>248</v>
      </c>
      <c r="C1465" s="2" t="s">
        <v>249</v>
      </c>
      <c r="D1465" s="2" t="s">
        <v>250</v>
      </c>
      <c r="E1465" s="2" t="s">
        <v>251</v>
      </c>
      <c r="F1465" s="2" t="s">
        <v>252</v>
      </c>
      <c r="G1465" s="2" t="s">
        <v>1889</v>
      </c>
      <c r="H1465" s="2" t="s">
        <v>417</v>
      </c>
      <c r="I1465" s="2" t="s">
        <v>1038</v>
      </c>
      <c r="J1465" s="2" t="s">
        <v>381</v>
      </c>
      <c r="K1465" s="9">
        <v>45825</v>
      </c>
      <c r="L1465" s="9">
        <v>45833</v>
      </c>
      <c r="M1465" s="9">
        <v>45826</v>
      </c>
      <c r="N1465" s="2" t="s">
        <v>1790</v>
      </c>
      <c r="O1465" s="2" t="s">
        <v>56</v>
      </c>
      <c r="P1465" s="2" t="s">
        <v>151</v>
      </c>
      <c r="Q1465" s="2" t="s">
        <v>166</v>
      </c>
      <c r="R1465" s="2" t="s">
        <v>149</v>
      </c>
      <c r="S1465" s="2" t="s">
        <v>383</v>
      </c>
      <c r="T1465" s="10">
        <v>58.13</v>
      </c>
      <c r="U1465" s="11">
        <v>1</v>
      </c>
      <c r="V1465" s="12">
        <f>T1465*U1465</f>
        <v>58.13</v>
      </c>
      <c r="W1465" s="13">
        <v>0</v>
      </c>
      <c r="X1465" s="12">
        <f>V1465-(V1465/(1+W1465))</f>
        <v>0</v>
      </c>
      <c r="Y1465" s="12">
        <f>V1465-X1465</f>
        <v>58.13</v>
      </c>
      <c r="Z1465" s="14">
        <v>75</v>
      </c>
      <c r="AA1465" s="2" t="str">
        <f>IF(V1465&gt;Z1465,"Yes","No")</f>
        <v>No</v>
      </c>
      <c r="AB1465" s="12">
        <f>V1465-Z1465</f>
        <v>-16.869999999999997</v>
      </c>
      <c r="AC1465" s="15" t="s">
        <v>130</v>
      </c>
      <c r="AD1465" s="15" t="s">
        <v>130</v>
      </c>
      <c r="AE1465" s="15" t="s">
        <v>260</v>
      </c>
      <c r="AF1465" s="12">
        <f>IF(AG1465="Rejected",0,IF(R1465="Corporate Card",0,V1465))</f>
        <v>58.13</v>
      </c>
      <c r="AG1465" s="15" t="s">
        <v>133</v>
      </c>
      <c r="AH1465" s="16">
        <v>45842</v>
      </c>
      <c r="AI1465" s="16">
        <v>45843</v>
      </c>
      <c r="AJ1465" s="16">
        <v>45854</v>
      </c>
      <c r="AK1465" s="17">
        <f>IF(AJ1465="","",AJ1465-AH1465)</f>
        <v>12</v>
      </c>
    </row>
    <row r="1466" spans="1:37">
      <c r="A1466" s="2" t="s">
        <v>1901</v>
      </c>
      <c r="B1466" s="2" t="s">
        <v>248</v>
      </c>
      <c r="C1466" s="2" t="s">
        <v>249</v>
      </c>
      <c r="D1466" s="2" t="s">
        <v>250</v>
      </c>
      <c r="E1466" s="2" t="s">
        <v>251</v>
      </c>
      <c r="F1466" s="2" t="s">
        <v>252</v>
      </c>
      <c r="G1466" s="2" t="s">
        <v>1889</v>
      </c>
      <c r="H1466" s="2" t="s">
        <v>417</v>
      </c>
      <c r="I1466" s="2" t="s">
        <v>1038</v>
      </c>
      <c r="J1466" s="2" t="s">
        <v>381</v>
      </c>
      <c r="K1466" s="9">
        <v>45825</v>
      </c>
      <c r="L1466" s="9">
        <v>45833</v>
      </c>
      <c r="M1466" s="9">
        <v>45826</v>
      </c>
      <c r="N1466" s="2" t="s">
        <v>1790</v>
      </c>
      <c r="O1466" s="2" t="s">
        <v>55</v>
      </c>
      <c r="P1466" s="2" t="s">
        <v>139</v>
      </c>
      <c r="Q1466" s="2" t="s">
        <v>161</v>
      </c>
      <c r="R1466" s="2" t="s">
        <v>149</v>
      </c>
      <c r="S1466" s="2" t="s">
        <v>383</v>
      </c>
      <c r="T1466" s="10">
        <v>44.19</v>
      </c>
      <c r="U1466" s="11">
        <v>1</v>
      </c>
      <c r="V1466" s="12">
        <f>T1466*U1466</f>
        <v>44.19</v>
      </c>
      <c r="W1466" s="13">
        <v>0</v>
      </c>
      <c r="X1466" s="12">
        <f>V1466-(V1466/(1+W1466))</f>
        <v>0</v>
      </c>
      <c r="Y1466" s="12">
        <f>V1466-X1466</f>
        <v>44.19</v>
      </c>
      <c r="Z1466" s="14">
        <v>35</v>
      </c>
      <c r="AA1466" s="2" t="str">
        <f>IF(V1466&gt;Z1466,"Yes","No")</f>
        <v>Yes</v>
      </c>
      <c r="AB1466" s="12">
        <f>V1466-Z1466</f>
        <v>9.1899999999999977</v>
      </c>
      <c r="AC1466" s="15" t="s">
        <v>130</v>
      </c>
      <c r="AD1466" s="15" t="s">
        <v>130</v>
      </c>
      <c r="AE1466" s="15" t="s">
        <v>260</v>
      </c>
      <c r="AF1466" s="12">
        <f>IF(AG1466="Rejected",0,IF(R1466="Corporate Card",0,V1466))</f>
        <v>44.19</v>
      </c>
      <c r="AG1466" s="15" t="s">
        <v>133</v>
      </c>
      <c r="AH1466" s="16">
        <v>45842</v>
      </c>
      <c r="AI1466" s="16">
        <v>45843</v>
      </c>
      <c r="AJ1466" s="16">
        <v>45854</v>
      </c>
      <c r="AK1466" s="17">
        <f>IF(AJ1466="","",AJ1466-AH1466)</f>
        <v>12</v>
      </c>
    </row>
    <row r="1467" spans="1:37">
      <c r="A1467" s="2" t="s">
        <v>1902</v>
      </c>
      <c r="B1467" s="2" t="s">
        <v>248</v>
      </c>
      <c r="C1467" s="2" t="s">
        <v>249</v>
      </c>
      <c r="D1467" s="2" t="s">
        <v>250</v>
      </c>
      <c r="E1467" s="2" t="s">
        <v>251</v>
      </c>
      <c r="F1467" s="2" t="s">
        <v>252</v>
      </c>
      <c r="G1467" s="2" t="s">
        <v>1889</v>
      </c>
      <c r="H1467" s="2" t="s">
        <v>417</v>
      </c>
      <c r="I1467" s="2" t="s">
        <v>1038</v>
      </c>
      <c r="J1467" s="2" t="s">
        <v>381</v>
      </c>
      <c r="K1467" s="9">
        <v>45825</v>
      </c>
      <c r="L1467" s="9">
        <v>45833</v>
      </c>
      <c r="M1467" s="9">
        <v>45826</v>
      </c>
      <c r="N1467" s="2" t="s">
        <v>1790</v>
      </c>
      <c r="O1467" s="2" t="s">
        <v>69</v>
      </c>
      <c r="P1467" s="2" t="s">
        <v>409</v>
      </c>
      <c r="Q1467" s="2" t="s">
        <v>410</v>
      </c>
      <c r="R1467" s="2" t="s">
        <v>137</v>
      </c>
      <c r="S1467" s="2" t="s">
        <v>383</v>
      </c>
      <c r="T1467" s="10">
        <v>75.739999999999995</v>
      </c>
      <c r="U1467" s="11">
        <v>1</v>
      </c>
      <c r="V1467" s="12">
        <f>T1467*U1467</f>
        <v>75.739999999999995</v>
      </c>
      <c r="W1467" s="13">
        <v>0</v>
      </c>
      <c r="X1467" s="12">
        <f>V1467-(V1467/(1+W1467))</f>
        <v>0</v>
      </c>
      <c r="Y1467" s="12">
        <f>V1467-X1467</f>
        <v>75.739999999999995</v>
      </c>
      <c r="Z1467" s="14">
        <v>60</v>
      </c>
      <c r="AA1467" s="2" t="str">
        <f>IF(V1467&gt;Z1467,"Yes","No")</f>
        <v>Yes</v>
      </c>
      <c r="AB1467" s="12">
        <f>V1467-Z1467</f>
        <v>15.739999999999995</v>
      </c>
      <c r="AC1467" s="15" t="s">
        <v>130</v>
      </c>
      <c r="AD1467" s="15" t="s">
        <v>130</v>
      </c>
      <c r="AE1467" s="15" t="s">
        <v>260</v>
      </c>
      <c r="AF1467" s="12">
        <f>IF(AG1467="Rejected",0,IF(R1467="Corporate Card",0,V1467))</f>
        <v>75.739999999999995</v>
      </c>
      <c r="AG1467" s="15" t="s">
        <v>133</v>
      </c>
      <c r="AH1467" s="16">
        <v>45842</v>
      </c>
      <c r="AI1467" s="16">
        <v>45843</v>
      </c>
      <c r="AJ1467" s="16">
        <v>45854</v>
      </c>
      <c r="AK1467" s="17">
        <f>IF(AJ1467="","",AJ1467-AH1467)</f>
        <v>12</v>
      </c>
    </row>
    <row r="1468" spans="1:37">
      <c r="A1468" s="2" t="s">
        <v>1903</v>
      </c>
      <c r="B1468" s="2" t="s">
        <v>616</v>
      </c>
      <c r="C1468" s="2" t="s">
        <v>252</v>
      </c>
      <c r="D1468" s="2" t="s">
        <v>250</v>
      </c>
      <c r="E1468" s="2" t="s">
        <v>617</v>
      </c>
      <c r="F1468" s="2" t="s">
        <v>510</v>
      </c>
      <c r="G1468" s="2" t="s">
        <v>1872</v>
      </c>
      <c r="H1468" s="2" t="s">
        <v>291</v>
      </c>
      <c r="I1468" s="2" t="s">
        <v>380</v>
      </c>
      <c r="J1468" s="2" t="s">
        <v>381</v>
      </c>
      <c r="K1468" s="9">
        <v>45822</v>
      </c>
      <c r="L1468" s="9">
        <v>45829</v>
      </c>
      <c r="M1468" s="9">
        <v>45827</v>
      </c>
      <c r="N1468" s="2" t="s">
        <v>1790</v>
      </c>
      <c r="O1468" s="2" t="s">
        <v>58</v>
      </c>
      <c r="P1468" s="2" t="s">
        <v>142</v>
      </c>
      <c r="Q1468" s="2" t="s">
        <v>156</v>
      </c>
      <c r="R1468" s="2" t="s">
        <v>128</v>
      </c>
      <c r="S1468" s="2" t="s">
        <v>383</v>
      </c>
      <c r="T1468" s="10">
        <v>22.03</v>
      </c>
      <c r="U1468" s="11">
        <v>1</v>
      </c>
      <c r="V1468" s="12">
        <f>T1468*U1468</f>
        <v>22.03</v>
      </c>
      <c r="W1468" s="13">
        <v>0</v>
      </c>
      <c r="X1468" s="12">
        <f>V1468-(V1468/(1+W1468))</f>
        <v>0</v>
      </c>
      <c r="Y1468" s="12">
        <f>V1468-X1468</f>
        <v>22.03</v>
      </c>
      <c r="Z1468" s="14">
        <v>60</v>
      </c>
      <c r="AA1468" s="2" t="str">
        <f>IF(V1468&gt;Z1468,"Yes","No")</f>
        <v>No</v>
      </c>
      <c r="AB1468" s="12">
        <f>V1468-Z1468</f>
        <v>-37.97</v>
      </c>
      <c r="AC1468" s="15" t="s">
        <v>131</v>
      </c>
      <c r="AD1468" s="15" t="s">
        <v>130</v>
      </c>
      <c r="AE1468" s="15" t="s">
        <v>858</v>
      </c>
      <c r="AF1468" s="12">
        <f>IF(AG1468="Rejected",0,IF(R1468="Corporate Card",0,V1468))</f>
        <v>0</v>
      </c>
      <c r="AG1468" s="15" t="s">
        <v>133</v>
      </c>
      <c r="AH1468" s="16">
        <v>45830</v>
      </c>
      <c r="AI1468" s="16">
        <v>45834</v>
      </c>
      <c r="AJ1468" s="16">
        <v>45844</v>
      </c>
      <c r="AK1468" s="17">
        <f>IF(AJ1468="","",AJ1468-AH1468)</f>
        <v>14</v>
      </c>
    </row>
    <row r="1469" spans="1:37">
      <c r="A1469" s="2" t="s">
        <v>1904</v>
      </c>
      <c r="B1469" s="2" t="s">
        <v>616</v>
      </c>
      <c r="C1469" s="2" t="s">
        <v>252</v>
      </c>
      <c r="D1469" s="2" t="s">
        <v>250</v>
      </c>
      <c r="E1469" s="2" t="s">
        <v>617</v>
      </c>
      <c r="F1469" s="2" t="s">
        <v>510</v>
      </c>
      <c r="G1469" s="2" t="s">
        <v>1872</v>
      </c>
      <c r="H1469" s="2" t="s">
        <v>291</v>
      </c>
      <c r="I1469" s="2" t="s">
        <v>380</v>
      </c>
      <c r="J1469" s="2" t="s">
        <v>381</v>
      </c>
      <c r="K1469" s="9">
        <v>45822</v>
      </c>
      <c r="L1469" s="9">
        <v>45829</v>
      </c>
      <c r="M1469" s="9">
        <v>45827</v>
      </c>
      <c r="N1469" s="2" t="s">
        <v>1790</v>
      </c>
      <c r="O1469" s="2" t="s">
        <v>54</v>
      </c>
      <c r="P1469" s="2" t="s">
        <v>139</v>
      </c>
      <c r="Q1469" s="2" t="s">
        <v>214</v>
      </c>
      <c r="R1469" s="2" t="s">
        <v>137</v>
      </c>
      <c r="S1469" s="2" t="s">
        <v>383</v>
      </c>
      <c r="T1469" s="10">
        <v>16.46</v>
      </c>
      <c r="U1469" s="11">
        <v>1</v>
      </c>
      <c r="V1469" s="12">
        <f>T1469*U1469</f>
        <v>16.46</v>
      </c>
      <c r="W1469" s="13">
        <v>0</v>
      </c>
      <c r="X1469" s="12">
        <f>V1469-(V1469/(1+W1469))</f>
        <v>0</v>
      </c>
      <c r="Y1469" s="12">
        <f>V1469-X1469</f>
        <v>16.46</v>
      </c>
      <c r="Z1469" s="14">
        <v>25</v>
      </c>
      <c r="AA1469" s="2" t="str">
        <f>IF(V1469&gt;Z1469,"Yes","No")</f>
        <v>No</v>
      </c>
      <c r="AB1469" s="12">
        <f>V1469-Z1469</f>
        <v>-8.5399999999999991</v>
      </c>
      <c r="AC1469" s="15" t="s">
        <v>130</v>
      </c>
      <c r="AD1469" s="15" t="s">
        <v>130</v>
      </c>
      <c r="AE1469" s="15" t="s">
        <v>858</v>
      </c>
      <c r="AF1469" s="12">
        <f>IF(AG1469="Rejected",0,IF(R1469="Corporate Card",0,V1469))</f>
        <v>16.46</v>
      </c>
      <c r="AG1469" s="15" t="s">
        <v>133</v>
      </c>
      <c r="AH1469" s="16">
        <v>45830</v>
      </c>
      <c r="AI1469" s="16">
        <v>45834</v>
      </c>
      <c r="AJ1469" s="16">
        <v>45844</v>
      </c>
      <c r="AK1469" s="17">
        <f>IF(AJ1469="","",AJ1469-AH1469)</f>
        <v>14</v>
      </c>
    </row>
    <row r="1470" spans="1:37">
      <c r="A1470" s="2" t="s">
        <v>1905</v>
      </c>
      <c r="B1470" s="2" t="s">
        <v>616</v>
      </c>
      <c r="C1470" s="2" t="s">
        <v>252</v>
      </c>
      <c r="D1470" s="2" t="s">
        <v>250</v>
      </c>
      <c r="E1470" s="2" t="s">
        <v>617</v>
      </c>
      <c r="F1470" s="2" t="s">
        <v>510</v>
      </c>
      <c r="G1470" s="2" t="s">
        <v>1872</v>
      </c>
      <c r="H1470" s="2" t="s">
        <v>291</v>
      </c>
      <c r="I1470" s="2" t="s">
        <v>380</v>
      </c>
      <c r="J1470" s="2" t="s">
        <v>381</v>
      </c>
      <c r="K1470" s="9">
        <v>45822</v>
      </c>
      <c r="L1470" s="9">
        <v>45829</v>
      </c>
      <c r="M1470" s="9">
        <v>45827</v>
      </c>
      <c r="N1470" s="2" t="s">
        <v>1790</v>
      </c>
      <c r="O1470" s="2" t="s">
        <v>56</v>
      </c>
      <c r="P1470" s="2" t="s">
        <v>151</v>
      </c>
      <c r="Q1470" s="2" t="s">
        <v>152</v>
      </c>
      <c r="R1470" s="2" t="s">
        <v>128</v>
      </c>
      <c r="S1470" s="2" t="s">
        <v>383</v>
      </c>
      <c r="T1470" s="10">
        <v>62.12</v>
      </c>
      <c r="U1470" s="11">
        <v>1</v>
      </c>
      <c r="V1470" s="12">
        <f>T1470*U1470</f>
        <v>62.12</v>
      </c>
      <c r="W1470" s="13">
        <v>0</v>
      </c>
      <c r="X1470" s="12">
        <f>V1470-(V1470/(1+W1470))</f>
        <v>0</v>
      </c>
      <c r="Y1470" s="12">
        <f>V1470-X1470</f>
        <v>62.12</v>
      </c>
      <c r="Z1470" s="14">
        <v>75</v>
      </c>
      <c r="AA1470" s="2" t="str">
        <f>IF(V1470&gt;Z1470,"Yes","No")</f>
        <v>No</v>
      </c>
      <c r="AB1470" s="12">
        <f>V1470-Z1470</f>
        <v>-12.880000000000003</v>
      </c>
      <c r="AC1470" s="15" t="s">
        <v>130</v>
      </c>
      <c r="AD1470" s="15" t="s">
        <v>130</v>
      </c>
      <c r="AE1470" s="15" t="s">
        <v>858</v>
      </c>
      <c r="AF1470" s="12">
        <f>IF(AG1470="Rejected",0,IF(R1470="Corporate Card",0,V1470))</f>
        <v>0</v>
      </c>
      <c r="AG1470" s="15" t="s">
        <v>133</v>
      </c>
      <c r="AH1470" s="16">
        <v>45830</v>
      </c>
      <c r="AI1470" s="16">
        <v>45834</v>
      </c>
      <c r="AJ1470" s="16">
        <v>45844</v>
      </c>
      <c r="AK1470" s="17">
        <f>IF(AJ1470="","",AJ1470-AH1470)</f>
        <v>14</v>
      </c>
    </row>
    <row r="1471" spans="1:37">
      <c r="A1471" s="2" t="s">
        <v>1906</v>
      </c>
      <c r="B1471" s="2" t="s">
        <v>616</v>
      </c>
      <c r="C1471" s="2" t="s">
        <v>252</v>
      </c>
      <c r="D1471" s="2" t="s">
        <v>250</v>
      </c>
      <c r="E1471" s="2" t="s">
        <v>617</v>
      </c>
      <c r="F1471" s="2" t="s">
        <v>510</v>
      </c>
      <c r="G1471" s="2" t="s">
        <v>1872</v>
      </c>
      <c r="H1471" s="2" t="s">
        <v>291</v>
      </c>
      <c r="I1471" s="2" t="s">
        <v>380</v>
      </c>
      <c r="J1471" s="2" t="s">
        <v>381</v>
      </c>
      <c r="K1471" s="9">
        <v>45822</v>
      </c>
      <c r="L1471" s="9">
        <v>45829</v>
      </c>
      <c r="M1471" s="9">
        <v>45827</v>
      </c>
      <c r="N1471" s="2" t="s">
        <v>1790</v>
      </c>
      <c r="O1471" s="2" t="s">
        <v>55</v>
      </c>
      <c r="P1471" s="2" t="s">
        <v>139</v>
      </c>
      <c r="Q1471" s="2" t="s">
        <v>187</v>
      </c>
      <c r="R1471" s="2" t="s">
        <v>149</v>
      </c>
      <c r="S1471" s="2" t="s">
        <v>383</v>
      </c>
      <c r="T1471" s="10">
        <v>24.54</v>
      </c>
      <c r="U1471" s="11">
        <v>1</v>
      </c>
      <c r="V1471" s="12">
        <f>T1471*U1471</f>
        <v>24.54</v>
      </c>
      <c r="W1471" s="13">
        <v>0</v>
      </c>
      <c r="X1471" s="12">
        <f>V1471-(V1471/(1+W1471))</f>
        <v>0</v>
      </c>
      <c r="Y1471" s="12">
        <f>V1471-X1471</f>
        <v>24.54</v>
      </c>
      <c r="Z1471" s="14">
        <v>35</v>
      </c>
      <c r="AA1471" s="2" t="str">
        <f>IF(V1471&gt;Z1471,"Yes","No")</f>
        <v>No</v>
      </c>
      <c r="AB1471" s="12">
        <f>V1471-Z1471</f>
        <v>-10.46</v>
      </c>
      <c r="AC1471" s="15" t="s">
        <v>130</v>
      </c>
      <c r="AD1471" s="15" t="s">
        <v>130</v>
      </c>
      <c r="AE1471" s="15" t="s">
        <v>858</v>
      </c>
      <c r="AF1471" s="12">
        <f>IF(AG1471="Rejected",0,IF(R1471="Corporate Card",0,V1471))</f>
        <v>24.54</v>
      </c>
      <c r="AG1471" s="15" t="s">
        <v>133</v>
      </c>
      <c r="AH1471" s="16">
        <v>45830</v>
      </c>
      <c r="AI1471" s="16">
        <v>45834</v>
      </c>
      <c r="AJ1471" s="16">
        <v>45844</v>
      </c>
      <c r="AK1471" s="17">
        <f>IF(AJ1471="","",AJ1471-AH1471)</f>
        <v>14</v>
      </c>
    </row>
    <row r="1472" spans="1:37">
      <c r="A1472" s="2" t="s">
        <v>1907</v>
      </c>
      <c r="B1472" s="2" t="s">
        <v>248</v>
      </c>
      <c r="C1472" s="2" t="s">
        <v>249</v>
      </c>
      <c r="D1472" s="2" t="s">
        <v>250</v>
      </c>
      <c r="E1472" s="2" t="s">
        <v>251</v>
      </c>
      <c r="F1472" s="2" t="s">
        <v>252</v>
      </c>
      <c r="G1472" s="2" t="s">
        <v>1889</v>
      </c>
      <c r="H1472" s="2" t="s">
        <v>417</v>
      </c>
      <c r="I1472" s="2" t="s">
        <v>1038</v>
      </c>
      <c r="J1472" s="2" t="s">
        <v>381</v>
      </c>
      <c r="K1472" s="9">
        <v>45825</v>
      </c>
      <c r="L1472" s="9">
        <v>45833</v>
      </c>
      <c r="M1472" s="9">
        <v>45827</v>
      </c>
      <c r="N1472" s="2" t="s">
        <v>1790</v>
      </c>
      <c r="O1472" s="2" t="s">
        <v>54</v>
      </c>
      <c r="P1472" s="2" t="s">
        <v>139</v>
      </c>
      <c r="Q1472" s="2" t="s">
        <v>214</v>
      </c>
      <c r="R1472" s="2" t="s">
        <v>137</v>
      </c>
      <c r="S1472" s="2" t="s">
        <v>383</v>
      </c>
      <c r="T1472" s="10">
        <v>8.98</v>
      </c>
      <c r="U1472" s="11">
        <v>1</v>
      </c>
      <c r="V1472" s="12">
        <f>T1472*U1472</f>
        <v>8.98</v>
      </c>
      <c r="W1472" s="13">
        <v>0</v>
      </c>
      <c r="X1472" s="12">
        <f>V1472-(V1472/(1+W1472))</f>
        <v>0</v>
      </c>
      <c r="Y1472" s="12">
        <f>V1472-X1472</f>
        <v>8.98</v>
      </c>
      <c r="Z1472" s="14">
        <v>25</v>
      </c>
      <c r="AA1472" s="2" t="str">
        <f>IF(V1472&gt;Z1472,"Yes","No")</f>
        <v>No</v>
      </c>
      <c r="AB1472" s="12">
        <f>V1472-Z1472</f>
        <v>-16.02</v>
      </c>
      <c r="AC1472" s="15" t="s">
        <v>130</v>
      </c>
      <c r="AD1472" s="15" t="s">
        <v>130</v>
      </c>
      <c r="AE1472" s="15" t="s">
        <v>260</v>
      </c>
      <c r="AF1472" s="12">
        <f>IF(AG1472="Rejected",0,IF(R1472="Corporate Card",0,V1472))</f>
        <v>8.98</v>
      </c>
      <c r="AG1472" s="15" t="s">
        <v>133</v>
      </c>
      <c r="AH1472" s="16">
        <v>45842</v>
      </c>
      <c r="AI1472" s="16">
        <v>45843</v>
      </c>
      <c r="AJ1472" s="16">
        <v>45854</v>
      </c>
      <c r="AK1472" s="17">
        <f>IF(AJ1472="","",AJ1472-AH1472)</f>
        <v>12</v>
      </c>
    </row>
    <row r="1473" spans="1:37">
      <c r="A1473" s="2" t="s">
        <v>1908</v>
      </c>
      <c r="B1473" s="2" t="s">
        <v>248</v>
      </c>
      <c r="C1473" s="2" t="s">
        <v>249</v>
      </c>
      <c r="D1473" s="2" t="s">
        <v>250</v>
      </c>
      <c r="E1473" s="2" t="s">
        <v>251</v>
      </c>
      <c r="F1473" s="2" t="s">
        <v>252</v>
      </c>
      <c r="G1473" s="2" t="s">
        <v>1889</v>
      </c>
      <c r="H1473" s="2" t="s">
        <v>417</v>
      </c>
      <c r="I1473" s="2" t="s">
        <v>1038</v>
      </c>
      <c r="J1473" s="2" t="s">
        <v>381</v>
      </c>
      <c r="K1473" s="9">
        <v>45825</v>
      </c>
      <c r="L1473" s="9">
        <v>45833</v>
      </c>
      <c r="M1473" s="9">
        <v>45827</v>
      </c>
      <c r="N1473" s="2" t="s">
        <v>1790</v>
      </c>
      <c r="O1473" s="2" t="s">
        <v>56</v>
      </c>
      <c r="P1473" s="2" t="s">
        <v>231</v>
      </c>
      <c r="Q1473" s="2" t="s">
        <v>166</v>
      </c>
      <c r="R1473" s="2" t="s">
        <v>128</v>
      </c>
      <c r="S1473" s="2" t="s">
        <v>383</v>
      </c>
      <c r="T1473" s="10">
        <v>60.74</v>
      </c>
      <c r="U1473" s="11">
        <v>1</v>
      </c>
      <c r="V1473" s="12">
        <f>T1473*U1473</f>
        <v>60.74</v>
      </c>
      <c r="W1473" s="13">
        <v>0</v>
      </c>
      <c r="X1473" s="12">
        <f>V1473-(V1473/(1+W1473))</f>
        <v>0</v>
      </c>
      <c r="Y1473" s="12">
        <f>V1473-X1473</f>
        <v>60.74</v>
      </c>
      <c r="Z1473" s="14">
        <v>75</v>
      </c>
      <c r="AA1473" s="2" t="str">
        <f>IF(V1473&gt;Z1473,"Yes","No")</f>
        <v>No</v>
      </c>
      <c r="AB1473" s="12">
        <f>V1473-Z1473</f>
        <v>-14.259999999999998</v>
      </c>
      <c r="AC1473" s="15" t="s">
        <v>130</v>
      </c>
      <c r="AD1473" s="15" t="s">
        <v>130</v>
      </c>
      <c r="AE1473" s="15" t="s">
        <v>260</v>
      </c>
      <c r="AF1473" s="12">
        <f>IF(AG1473="Rejected",0,IF(R1473="Corporate Card",0,V1473))</f>
        <v>0</v>
      </c>
      <c r="AG1473" s="15" t="s">
        <v>133</v>
      </c>
      <c r="AH1473" s="16">
        <v>45842</v>
      </c>
      <c r="AI1473" s="16">
        <v>45843</v>
      </c>
      <c r="AJ1473" s="16">
        <v>45854</v>
      </c>
      <c r="AK1473" s="17">
        <f>IF(AJ1473="","",AJ1473-AH1473)</f>
        <v>12</v>
      </c>
    </row>
    <row r="1474" spans="1:37">
      <c r="A1474" s="2" t="s">
        <v>1909</v>
      </c>
      <c r="B1474" s="2" t="s">
        <v>248</v>
      </c>
      <c r="C1474" s="2" t="s">
        <v>249</v>
      </c>
      <c r="D1474" s="2" t="s">
        <v>250</v>
      </c>
      <c r="E1474" s="2" t="s">
        <v>251</v>
      </c>
      <c r="F1474" s="2" t="s">
        <v>252</v>
      </c>
      <c r="G1474" s="2" t="s">
        <v>1889</v>
      </c>
      <c r="H1474" s="2" t="s">
        <v>417</v>
      </c>
      <c r="I1474" s="2" t="s">
        <v>1038</v>
      </c>
      <c r="J1474" s="2" t="s">
        <v>381</v>
      </c>
      <c r="K1474" s="9">
        <v>45825</v>
      </c>
      <c r="L1474" s="9">
        <v>45833</v>
      </c>
      <c r="M1474" s="9">
        <v>45827</v>
      </c>
      <c r="N1474" s="2" t="s">
        <v>1790</v>
      </c>
      <c r="O1474" s="2" t="s">
        <v>55</v>
      </c>
      <c r="P1474" s="2" t="s">
        <v>139</v>
      </c>
      <c r="Q1474" s="2" t="s">
        <v>154</v>
      </c>
      <c r="R1474" s="2" t="s">
        <v>137</v>
      </c>
      <c r="S1474" s="2" t="s">
        <v>383</v>
      </c>
      <c r="T1474" s="10">
        <v>32.57</v>
      </c>
      <c r="U1474" s="11">
        <v>1</v>
      </c>
      <c r="V1474" s="12">
        <f>T1474*U1474</f>
        <v>32.57</v>
      </c>
      <c r="W1474" s="13">
        <v>0</v>
      </c>
      <c r="X1474" s="12">
        <f>V1474-(V1474/(1+W1474))</f>
        <v>0</v>
      </c>
      <c r="Y1474" s="12">
        <f>V1474-X1474</f>
        <v>32.57</v>
      </c>
      <c r="Z1474" s="14">
        <v>35</v>
      </c>
      <c r="AA1474" s="2" t="str">
        <f>IF(V1474&gt;Z1474,"Yes","No")</f>
        <v>No</v>
      </c>
      <c r="AB1474" s="12">
        <f>V1474-Z1474</f>
        <v>-2.4299999999999997</v>
      </c>
      <c r="AC1474" s="15" t="s">
        <v>130</v>
      </c>
      <c r="AD1474" s="15" t="s">
        <v>130</v>
      </c>
      <c r="AE1474" s="15" t="s">
        <v>260</v>
      </c>
      <c r="AF1474" s="12">
        <f>IF(AG1474="Rejected",0,IF(R1474="Corporate Card",0,V1474))</f>
        <v>32.57</v>
      </c>
      <c r="AG1474" s="15" t="s">
        <v>133</v>
      </c>
      <c r="AH1474" s="16">
        <v>45842</v>
      </c>
      <c r="AI1474" s="16">
        <v>45843</v>
      </c>
      <c r="AJ1474" s="16">
        <v>45854</v>
      </c>
      <c r="AK1474" s="17">
        <f>IF(AJ1474="","",AJ1474-AH1474)</f>
        <v>12</v>
      </c>
    </row>
    <row r="1475" spans="1:37">
      <c r="A1475" s="2" t="s">
        <v>1910</v>
      </c>
      <c r="B1475" s="2" t="s">
        <v>616</v>
      </c>
      <c r="C1475" s="2" t="s">
        <v>252</v>
      </c>
      <c r="D1475" s="2" t="s">
        <v>250</v>
      </c>
      <c r="E1475" s="2" t="s">
        <v>617</v>
      </c>
      <c r="F1475" s="2" t="s">
        <v>510</v>
      </c>
      <c r="G1475" s="2" t="s">
        <v>1872</v>
      </c>
      <c r="H1475" s="2" t="s">
        <v>291</v>
      </c>
      <c r="I1475" s="2" t="s">
        <v>380</v>
      </c>
      <c r="J1475" s="2" t="s">
        <v>381</v>
      </c>
      <c r="K1475" s="9">
        <v>45822</v>
      </c>
      <c r="L1475" s="9">
        <v>45829</v>
      </c>
      <c r="M1475" s="9">
        <v>45828</v>
      </c>
      <c r="N1475" s="2" t="s">
        <v>1790</v>
      </c>
      <c r="O1475" s="2" t="s">
        <v>57</v>
      </c>
      <c r="P1475" s="2" t="s">
        <v>398</v>
      </c>
      <c r="Q1475" s="2" t="s">
        <v>1204</v>
      </c>
      <c r="R1475" s="2" t="s">
        <v>128</v>
      </c>
      <c r="S1475" s="2" t="s">
        <v>383</v>
      </c>
      <c r="T1475" s="10">
        <v>196.44</v>
      </c>
      <c r="U1475" s="11">
        <v>1</v>
      </c>
      <c r="V1475" s="12">
        <f>T1475*U1475</f>
        <v>196.44</v>
      </c>
      <c r="W1475" s="13">
        <v>0</v>
      </c>
      <c r="X1475" s="12">
        <f>V1475-(V1475/(1+W1475))</f>
        <v>0</v>
      </c>
      <c r="Y1475" s="12">
        <f>V1475-X1475</f>
        <v>196.44</v>
      </c>
      <c r="Z1475" s="14">
        <v>200</v>
      </c>
      <c r="AA1475" s="2" t="str">
        <f>IF(V1475&gt;Z1475,"Yes","No")</f>
        <v>No</v>
      </c>
      <c r="AB1475" s="12">
        <f>V1475-Z1475</f>
        <v>-3.5600000000000023</v>
      </c>
      <c r="AC1475" s="15" t="s">
        <v>130</v>
      </c>
      <c r="AD1475" s="15" t="s">
        <v>130</v>
      </c>
      <c r="AE1475" s="15" t="s">
        <v>858</v>
      </c>
      <c r="AF1475" s="12">
        <f>IF(AG1475="Rejected",0,IF(R1475="Corporate Card",0,V1475))</f>
        <v>0</v>
      </c>
      <c r="AG1475" s="15" t="s">
        <v>133</v>
      </c>
      <c r="AH1475" s="16">
        <v>45830</v>
      </c>
      <c r="AI1475" s="16">
        <v>45834</v>
      </c>
      <c r="AJ1475" s="16">
        <v>45844</v>
      </c>
      <c r="AK1475" s="17">
        <f>IF(AJ1475="","",AJ1475-AH1475)</f>
        <v>14</v>
      </c>
    </row>
    <row r="1476" spans="1:37">
      <c r="A1476" s="2" t="s">
        <v>1911</v>
      </c>
      <c r="B1476" s="2" t="s">
        <v>616</v>
      </c>
      <c r="C1476" s="2" t="s">
        <v>252</v>
      </c>
      <c r="D1476" s="2" t="s">
        <v>250</v>
      </c>
      <c r="E1476" s="2" t="s">
        <v>617</v>
      </c>
      <c r="F1476" s="2" t="s">
        <v>510</v>
      </c>
      <c r="G1476" s="2" t="s">
        <v>1872</v>
      </c>
      <c r="H1476" s="2" t="s">
        <v>291</v>
      </c>
      <c r="I1476" s="2" t="s">
        <v>380</v>
      </c>
      <c r="J1476" s="2" t="s">
        <v>381</v>
      </c>
      <c r="K1476" s="9">
        <v>45822</v>
      </c>
      <c r="L1476" s="9">
        <v>45829</v>
      </c>
      <c r="M1476" s="9">
        <v>45828</v>
      </c>
      <c r="N1476" s="2" t="s">
        <v>1790</v>
      </c>
      <c r="O1476" s="2" t="s">
        <v>67</v>
      </c>
      <c r="P1476" s="2" t="s">
        <v>401</v>
      </c>
      <c r="Q1476" s="2" t="s">
        <v>574</v>
      </c>
      <c r="R1476" s="2" t="s">
        <v>128</v>
      </c>
      <c r="S1476" s="2" t="s">
        <v>383</v>
      </c>
      <c r="T1476" s="10">
        <v>87.44</v>
      </c>
      <c r="U1476" s="11">
        <v>1</v>
      </c>
      <c r="V1476" s="12">
        <f>T1476*U1476</f>
        <v>87.44</v>
      </c>
      <c r="W1476" s="13">
        <v>0</v>
      </c>
      <c r="X1476" s="12">
        <f>V1476-(V1476/(1+W1476))</f>
        <v>0</v>
      </c>
      <c r="Y1476" s="12">
        <f>V1476-X1476</f>
        <v>87.44</v>
      </c>
      <c r="Z1476" s="14">
        <v>100</v>
      </c>
      <c r="AA1476" s="2" t="str">
        <f>IF(V1476&gt;Z1476,"Yes","No")</f>
        <v>No</v>
      </c>
      <c r="AB1476" s="12">
        <f>V1476-Z1476</f>
        <v>-12.560000000000002</v>
      </c>
      <c r="AC1476" s="15" t="s">
        <v>130</v>
      </c>
      <c r="AD1476" s="15" t="s">
        <v>130</v>
      </c>
      <c r="AE1476" s="15" t="s">
        <v>858</v>
      </c>
      <c r="AF1476" s="12">
        <f>IF(AG1476="Rejected",0,IF(R1476="Corporate Card",0,V1476))</f>
        <v>0</v>
      </c>
      <c r="AG1476" s="15" t="s">
        <v>133</v>
      </c>
      <c r="AH1476" s="16">
        <v>45830</v>
      </c>
      <c r="AI1476" s="16">
        <v>45834</v>
      </c>
      <c r="AJ1476" s="16">
        <v>45844</v>
      </c>
      <c r="AK1476" s="17">
        <f>IF(AJ1476="","",AJ1476-AH1476)</f>
        <v>14</v>
      </c>
    </row>
    <row r="1477" spans="1:37">
      <c r="A1477" s="2" t="s">
        <v>1912</v>
      </c>
      <c r="B1477" s="2" t="s">
        <v>616</v>
      </c>
      <c r="C1477" s="2" t="s">
        <v>252</v>
      </c>
      <c r="D1477" s="2" t="s">
        <v>250</v>
      </c>
      <c r="E1477" s="2" t="s">
        <v>617</v>
      </c>
      <c r="F1477" s="2" t="s">
        <v>510</v>
      </c>
      <c r="G1477" s="2" t="s">
        <v>1872</v>
      </c>
      <c r="H1477" s="2" t="s">
        <v>291</v>
      </c>
      <c r="I1477" s="2" t="s">
        <v>380</v>
      </c>
      <c r="J1477" s="2" t="s">
        <v>381</v>
      </c>
      <c r="K1477" s="9">
        <v>45822</v>
      </c>
      <c r="L1477" s="9">
        <v>45829</v>
      </c>
      <c r="M1477" s="9">
        <v>45828</v>
      </c>
      <c r="N1477" s="2" t="s">
        <v>1790</v>
      </c>
      <c r="O1477" s="2" t="s">
        <v>56</v>
      </c>
      <c r="P1477" s="2" t="s">
        <v>165</v>
      </c>
      <c r="Q1477" s="2" t="s">
        <v>227</v>
      </c>
      <c r="R1477" s="2" t="s">
        <v>128</v>
      </c>
      <c r="S1477" s="2" t="s">
        <v>383</v>
      </c>
      <c r="T1477" s="10">
        <v>56.77</v>
      </c>
      <c r="U1477" s="11">
        <v>1</v>
      </c>
      <c r="V1477" s="12">
        <f>T1477*U1477</f>
        <v>56.77</v>
      </c>
      <c r="W1477" s="13">
        <v>0</v>
      </c>
      <c r="X1477" s="12">
        <f>V1477-(V1477/(1+W1477))</f>
        <v>0</v>
      </c>
      <c r="Y1477" s="12">
        <f>V1477-X1477</f>
        <v>56.77</v>
      </c>
      <c r="Z1477" s="14">
        <v>75</v>
      </c>
      <c r="AA1477" s="2" t="str">
        <f>IF(V1477&gt;Z1477,"Yes","No")</f>
        <v>No</v>
      </c>
      <c r="AB1477" s="12">
        <f>V1477-Z1477</f>
        <v>-18.229999999999997</v>
      </c>
      <c r="AC1477" s="15" t="s">
        <v>130</v>
      </c>
      <c r="AD1477" s="15" t="s">
        <v>130</v>
      </c>
      <c r="AE1477" s="15" t="s">
        <v>858</v>
      </c>
      <c r="AF1477" s="12">
        <f>IF(AG1477="Rejected",0,IF(R1477="Corporate Card",0,V1477))</f>
        <v>0</v>
      </c>
      <c r="AG1477" s="15" t="s">
        <v>133</v>
      </c>
      <c r="AH1477" s="16">
        <v>45830</v>
      </c>
      <c r="AI1477" s="16">
        <v>45834</v>
      </c>
      <c r="AJ1477" s="16">
        <v>45844</v>
      </c>
      <c r="AK1477" s="17">
        <f>IF(AJ1477="","",AJ1477-AH1477)</f>
        <v>14</v>
      </c>
    </row>
    <row r="1478" spans="1:37">
      <c r="A1478" s="2" t="s">
        <v>1913</v>
      </c>
      <c r="B1478" s="2" t="s">
        <v>616</v>
      </c>
      <c r="C1478" s="2" t="s">
        <v>252</v>
      </c>
      <c r="D1478" s="2" t="s">
        <v>250</v>
      </c>
      <c r="E1478" s="2" t="s">
        <v>617</v>
      </c>
      <c r="F1478" s="2" t="s">
        <v>510</v>
      </c>
      <c r="G1478" s="2" t="s">
        <v>1872</v>
      </c>
      <c r="H1478" s="2" t="s">
        <v>291</v>
      </c>
      <c r="I1478" s="2" t="s">
        <v>380</v>
      </c>
      <c r="J1478" s="2" t="s">
        <v>381</v>
      </c>
      <c r="K1478" s="9">
        <v>45822</v>
      </c>
      <c r="L1478" s="9">
        <v>45829</v>
      </c>
      <c r="M1478" s="9">
        <v>45828</v>
      </c>
      <c r="N1478" s="2" t="s">
        <v>1790</v>
      </c>
      <c r="O1478" s="2" t="s">
        <v>55</v>
      </c>
      <c r="P1478" s="2" t="s">
        <v>139</v>
      </c>
      <c r="Q1478" s="2" t="s">
        <v>187</v>
      </c>
      <c r="R1478" s="2" t="s">
        <v>128</v>
      </c>
      <c r="S1478" s="2" t="s">
        <v>383</v>
      </c>
      <c r="T1478" s="10">
        <v>24.74</v>
      </c>
      <c r="U1478" s="11">
        <v>1</v>
      </c>
      <c r="V1478" s="12">
        <f>T1478*U1478</f>
        <v>24.74</v>
      </c>
      <c r="W1478" s="13">
        <v>0</v>
      </c>
      <c r="X1478" s="12">
        <f>V1478-(V1478/(1+W1478))</f>
        <v>0</v>
      </c>
      <c r="Y1478" s="12">
        <f>V1478-X1478</f>
        <v>24.74</v>
      </c>
      <c r="Z1478" s="14">
        <v>35</v>
      </c>
      <c r="AA1478" s="2" t="str">
        <f>IF(V1478&gt;Z1478,"Yes","No")</f>
        <v>No</v>
      </c>
      <c r="AB1478" s="12">
        <f>V1478-Z1478</f>
        <v>-10.260000000000002</v>
      </c>
      <c r="AC1478" s="15" t="s">
        <v>130</v>
      </c>
      <c r="AD1478" s="15" t="s">
        <v>130</v>
      </c>
      <c r="AE1478" s="15" t="s">
        <v>858</v>
      </c>
      <c r="AF1478" s="12">
        <f>IF(AG1478="Rejected",0,IF(R1478="Corporate Card",0,V1478))</f>
        <v>0</v>
      </c>
      <c r="AG1478" s="15" t="s">
        <v>133</v>
      </c>
      <c r="AH1478" s="16">
        <v>45830</v>
      </c>
      <c r="AI1478" s="16">
        <v>45834</v>
      </c>
      <c r="AJ1478" s="16">
        <v>45844</v>
      </c>
      <c r="AK1478" s="17">
        <f>IF(AJ1478="","",AJ1478-AH1478)</f>
        <v>14</v>
      </c>
    </row>
    <row r="1479" spans="1:37">
      <c r="A1479" s="2" t="s">
        <v>1914</v>
      </c>
      <c r="B1479" s="2" t="s">
        <v>248</v>
      </c>
      <c r="C1479" s="2" t="s">
        <v>249</v>
      </c>
      <c r="D1479" s="2" t="s">
        <v>250</v>
      </c>
      <c r="E1479" s="2" t="s">
        <v>251</v>
      </c>
      <c r="F1479" s="2" t="s">
        <v>252</v>
      </c>
      <c r="G1479" s="2" t="s">
        <v>1889</v>
      </c>
      <c r="H1479" s="2" t="s">
        <v>417</v>
      </c>
      <c r="I1479" s="2" t="s">
        <v>1038</v>
      </c>
      <c r="J1479" s="2" t="s">
        <v>381</v>
      </c>
      <c r="K1479" s="9">
        <v>45825</v>
      </c>
      <c r="L1479" s="9">
        <v>45833</v>
      </c>
      <c r="M1479" s="9">
        <v>45828</v>
      </c>
      <c r="N1479" s="2" t="s">
        <v>1790</v>
      </c>
      <c r="O1479" s="2" t="s">
        <v>68</v>
      </c>
      <c r="P1479" s="2" t="s">
        <v>282</v>
      </c>
      <c r="Q1479" s="2" t="s">
        <v>283</v>
      </c>
      <c r="R1479" s="2" t="s">
        <v>137</v>
      </c>
      <c r="S1479" s="2" t="s">
        <v>383</v>
      </c>
      <c r="T1479" s="10">
        <v>16.45</v>
      </c>
      <c r="U1479" s="11">
        <v>1</v>
      </c>
      <c r="V1479" s="12">
        <f>T1479*U1479</f>
        <v>16.45</v>
      </c>
      <c r="W1479" s="13">
        <v>0</v>
      </c>
      <c r="X1479" s="12">
        <f>V1479-(V1479/(1+W1479))</f>
        <v>0</v>
      </c>
      <c r="Y1479" s="12">
        <f>V1479-X1479</f>
        <v>16.45</v>
      </c>
      <c r="Z1479" s="14">
        <v>30</v>
      </c>
      <c r="AA1479" s="2" t="str">
        <f>IF(V1479&gt;Z1479,"Yes","No")</f>
        <v>No</v>
      </c>
      <c r="AB1479" s="12">
        <f>V1479-Z1479</f>
        <v>-13.55</v>
      </c>
      <c r="AC1479" s="15" t="s">
        <v>130</v>
      </c>
      <c r="AD1479" s="15" t="s">
        <v>130</v>
      </c>
      <c r="AE1479" s="15" t="s">
        <v>260</v>
      </c>
      <c r="AF1479" s="12">
        <f>IF(AG1479="Rejected",0,IF(R1479="Corporate Card",0,V1479))</f>
        <v>16.45</v>
      </c>
      <c r="AG1479" s="15" t="s">
        <v>133</v>
      </c>
      <c r="AH1479" s="16">
        <v>45842</v>
      </c>
      <c r="AI1479" s="16">
        <v>45843</v>
      </c>
      <c r="AJ1479" s="16">
        <v>45854</v>
      </c>
      <c r="AK1479" s="17">
        <f>IF(AJ1479="","",AJ1479-AH1479)</f>
        <v>12</v>
      </c>
    </row>
    <row r="1480" spans="1:37">
      <c r="A1480" s="2" t="s">
        <v>1915</v>
      </c>
      <c r="B1480" s="2" t="s">
        <v>248</v>
      </c>
      <c r="C1480" s="2" t="s">
        <v>249</v>
      </c>
      <c r="D1480" s="2" t="s">
        <v>250</v>
      </c>
      <c r="E1480" s="2" t="s">
        <v>251</v>
      </c>
      <c r="F1480" s="2" t="s">
        <v>252</v>
      </c>
      <c r="G1480" s="2" t="s">
        <v>1889</v>
      </c>
      <c r="H1480" s="2" t="s">
        <v>417</v>
      </c>
      <c r="I1480" s="2" t="s">
        <v>1038</v>
      </c>
      <c r="J1480" s="2" t="s">
        <v>381</v>
      </c>
      <c r="K1480" s="9">
        <v>45825</v>
      </c>
      <c r="L1480" s="9">
        <v>45833</v>
      </c>
      <c r="M1480" s="9">
        <v>45828</v>
      </c>
      <c r="N1480" s="2" t="s">
        <v>1790</v>
      </c>
      <c r="O1480" s="2" t="s">
        <v>54</v>
      </c>
      <c r="P1480" s="2" t="s">
        <v>139</v>
      </c>
      <c r="Q1480" s="2" t="s">
        <v>163</v>
      </c>
      <c r="R1480" s="2" t="s">
        <v>137</v>
      </c>
      <c r="S1480" s="2" t="s">
        <v>383</v>
      </c>
      <c r="T1480" s="10">
        <v>14.73</v>
      </c>
      <c r="U1480" s="11">
        <v>1</v>
      </c>
      <c r="V1480" s="12">
        <f>T1480*U1480</f>
        <v>14.73</v>
      </c>
      <c r="W1480" s="13">
        <v>0</v>
      </c>
      <c r="X1480" s="12">
        <f>V1480-(V1480/(1+W1480))</f>
        <v>0</v>
      </c>
      <c r="Y1480" s="12">
        <f>V1480-X1480</f>
        <v>14.73</v>
      </c>
      <c r="Z1480" s="14">
        <v>25</v>
      </c>
      <c r="AA1480" s="2" t="str">
        <f>IF(V1480&gt;Z1480,"Yes","No")</f>
        <v>No</v>
      </c>
      <c r="AB1480" s="12">
        <f>V1480-Z1480</f>
        <v>-10.27</v>
      </c>
      <c r="AC1480" s="15" t="s">
        <v>130</v>
      </c>
      <c r="AD1480" s="15" t="s">
        <v>130</v>
      </c>
      <c r="AE1480" s="15" t="s">
        <v>260</v>
      </c>
      <c r="AF1480" s="12">
        <f>IF(AG1480="Rejected",0,IF(R1480="Corporate Card",0,V1480))</f>
        <v>14.73</v>
      </c>
      <c r="AG1480" s="15" t="s">
        <v>133</v>
      </c>
      <c r="AH1480" s="16">
        <v>45842</v>
      </c>
      <c r="AI1480" s="16">
        <v>45843</v>
      </c>
      <c r="AJ1480" s="16">
        <v>45854</v>
      </c>
      <c r="AK1480" s="17">
        <f>IF(AJ1480="","",AJ1480-AH1480)</f>
        <v>12</v>
      </c>
    </row>
    <row r="1481" spans="1:37">
      <c r="A1481" s="2" t="s">
        <v>1916</v>
      </c>
      <c r="B1481" s="2" t="s">
        <v>616</v>
      </c>
      <c r="C1481" s="2" t="s">
        <v>252</v>
      </c>
      <c r="D1481" s="2" t="s">
        <v>250</v>
      </c>
      <c r="E1481" s="2" t="s">
        <v>617</v>
      </c>
      <c r="F1481" s="2" t="s">
        <v>510</v>
      </c>
      <c r="G1481" s="2" t="s">
        <v>1872</v>
      </c>
      <c r="H1481" s="2" t="s">
        <v>291</v>
      </c>
      <c r="I1481" s="2" t="s">
        <v>380</v>
      </c>
      <c r="J1481" s="2" t="s">
        <v>381</v>
      </c>
      <c r="K1481" s="9">
        <v>45822</v>
      </c>
      <c r="L1481" s="9">
        <v>45829</v>
      </c>
      <c r="M1481" s="9">
        <v>45829</v>
      </c>
      <c r="N1481" s="2" t="s">
        <v>1790</v>
      </c>
      <c r="O1481" s="2" t="s">
        <v>58</v>
      </c>
      <c r="P1481" s="2" t="s">
        <v>142</v>
      </c>
      <c r="Q1481" s="2" t="s">
        <v>296</v>
      </c>
      <c r="R1481" s="2" t="s">
        <v>128</v>
      </c>
      <c r="S1481" s="2" t="s">
        <v>383</v>
      </c>
      <c r="T1481" s="10">
        <v>74.599999999999994</v>
      </c>
      <c r="U1481" s="11">
        <v>1</v>
      </c>
      <c r="V1481" s="12">
        <f>T1481*U1481</f>
        <v>74.599999999999994</v>
      </c>
      <c r="W1481" s="13">
        <v>0</v>
      </c>
      <c r="X1481" s="12">
        <f>V1481-(V1481/(1+W1481))</f>
        <v>0</v>
      </c>
      <c r="Y1481" s="12">
        <f>V1481-X1481</f>
        <v>74.599999999999994</v>
      </c>
      <c r="Z1481" s="14">
        <v>60</v>
      </c>
      <c r="AA1481" s="2" t="str">
        <f>IF(V1481&gt;Z1481,"Yes","No")</f>
        <v>Yes</v>
      </c>
      <c r="AB1481" s="12">
        <f>V1481-Z1481</f>
        <v>14.599999999999994</v>
      </c>
      <c r="AC1481" s="15" t="s">
        <v>130</v>
      </c>
      <c r="AD1481" s="15" t="s">
        <v>130</v>
      </c>
      <c r="AE1481" s="15" t="s">
        <v>858</v>
      </c>
      <c r="AF1481" s="12">
        <f>IF(AG1481="Rejected",0,IF(R1481="Corporate Card",0,V1481))</f>
        <v>0</v>
      </c>
      <c r="AG1481" s="15" t="s">
        <v>133</v>
      </c>
      <c r="AH1481" s="16">
        <v>45830</v>
      </c>
      <c r="AI1481" s="16">
        <v>45834</v>
      </c>
      <c r="AJ1481" s="16">
        <v>45844</v>
      </c>
      <c r="AK1481" s="17">
        <f>IF(AJ1481="","",AJ1481-AH1481)</f>
        <v>14</v>
      </c>
    </row>
    <row r="1482" spans="1:37">
      <c r="A1482" s="2" t="s">
        <v>1917</v>
      </c>
      <c r="B1482" s="2" t="s">
        <v>616</v>
      </c>
      <c r="C1482" s="2" t="s">
        <v>252</v>
      </c>
      <c r="D1482" s="2" t="s">
        <v>250</v>
      </c>
      <c r="E1482" s="2" t="s">
        <v>617</v>
      </c>
      <c r="F1482" s="2" t="s">
        <v>510</v>
      </c>
      <c r="G1482" s="2" t="s">
        <v>1872</v>
      </c>
      <c r="H1482" s="2" t="s">
        <v>291</v>
      </c>
      <c r="I1482" s="2" t="s">
        <v>380</v>
      </c>
      <c r="J1482" s="2" t="s">
        <v>381</v>
      </c>
      <c r="K1482" s="9">
        <v>45822</v>
      </c>
      <c r="L1482" s="9">
        <v>45829</v>
      </c>
      <c r="M1482" s="9">
        <v>45829</v>
      </c>
      <c r="N1482" s="2" t="s">
        <v>1790</v>
      </c>
      <c r="O1482" s="2" t="s">
        <v>54</v>
      </c>
      <c r="P1482" s="2" t="s">
        <v>139</v>
      </c>
      <c r="Q1482" s="2" t="s">
        <v>214</v>
      </c>
      <c r="R1482" s="2" t="s">
        <v>128</v>
      </c>
      <c r="S1482" s="2" t="s">
        <v>383</v>
      </c>
      <c r="T1482" s="10">
        <v>19.239999999999998</v>
      </c>
      <c r="U1482" s="11">
        <v>1</v>
      </c>
      <c r="V1482" s="12">
        <f>T1482*U1482</f>
        <v>19.239999999999998</v>
      </c>
      <c r="W1482" s="13">
        <v>0</v>
      </c>
      <c r="X1482" s="12">
        <f>V1482-(V1482/(1+W1482))</f>
        <v>0</v>
      </c>
      <c r="Y1482" s="12">
        <f>V1482-X1482</f>
        <v>19.239999999999998</v>
      </c>
      <c r="Z1482" s="14">
        <v>25</v>
      </c>
      <c r="AA1482" s="2" t="str">
        <f>IF(V1482&gt;Z1482,"Yes","No")</f>
        <v>No</v>
      </c>
      <c r="AB1482" s="12">
        <f>V1482-Z1482</f>
        <v>-5.7600000000000016</v>
      </c>
      <c r="AC1482" s="15" t="s">
        <v>130</v>
      </c>
      <c r="AD1482" s="15" t="s">
        <v>130</v>
      </c>
      <c r="AE1482" s="15" t="s">
        <v>858</v>
      </c>
      <c r="AF1482" s="12">
        <f>IF(AG1482="Rejected",0,IF(R1482="Corporate Card",0,V1482))</f>
        <v>0</v>
      </c>
      <c r="AG1482" s="15" t="s">
        <v>133</v>
      </c>
      <c r="AH1482" s="16">
        <v>45830</v>
      </c>
      <c r="AI1482" s="16">
        <v>45834</v>
      </c>
      <c r="AJ1482" s="16">
        <v>45844</v>
      </c>
      <c r="AK1482" s="17">
        <f>IF(AJ1482="","",AJ1482-AH1482)</f>
        <v>14</v>
      </c>
    </row>
    <row r="1483" spans="1:37">
      <c r="A1483" s="2" t="s">
        <v>1918</v>
      </c>
      <c r="B1483" s="2" t="s">
        <v>616</v>
      </c>
      <c r="C1483" s="2" t="s">
        <v>252</v>
      </c>
      <c r="D1483" s="2" t="s">
        <v>250</v>
      </c>
      <c r="E1483" s="2" t="s">
        <v>617</v>
      </c>
      <c r="F1483" s="2" t="s">
        <v>510</v>
      </c>
      <c r="G1483" s="2" t="s">
        <v>1872</v>
      </c>
      <c r="H1483" s="2" t="s">
        <v>291</v>
      </c>
      <c r="I1483" s="2" t="s">
        <v>380</v>
      </c>
      <c r="J1483" s="2" t="s">
        <v>381</v>
      </c>
      <c r="K1483" s="9">
        <v>45822</v>
      </c>
      <c r="L1483" s="9">
        <v>45829</v>
      </c>
      <c r="M1483" s="9">
        <v>45829</v>
      </c>
      <c r="N1483" s="2" t="s">
        <v>1790</v>
      </c>
      <c r="O1483" s="2" t="s">
        <v>56</v>
      </c>
      <c r="P1483" s="2" t="s">
        <v>151</v>
      </c>
      <c r="Q1483" s="2" t="s">
        <v>166</v>
      </c>
      <c r="R1483" s="2" t="s">
        <v>137</v>
      </c>
      <c r="S1483" s="2" t="s">
        <v>383</v>
      </c>
      <c r="T1483" s="10">
        <v>34.619999999999997</v>
      </c>
      <c r="U1483" s="11">
        <v>1</v>
      </c>
      <c r="V1483" s="12">
        <f>T1483*U1483</f>
        <v>34.619999999999997</v>
      </c>
      <c r="W1483" s="13">
        <v>0</v>
      </c>
      <c r="X1483" s="12">
        <f>V1483-(V1483/(1+W1483))</f>
        <v>0</v>
      </c>
      <c r="Y1483" s="12">
        <f>V1483-X1483</f>
        <v>34.619999999999997</v>
      </c>
      <c r="Z1483" s="14">
        <v>75</v>
      </c>
      <c r="AA1483" s="2" t="str">
        <f>IF(V1483&gt;Z1483,"Yes","No")</f>
        <v>No</v>
      </c>
      <c r="AB1483" s="12">
        <f>V1483-Z1483</f>
        <v>-40.380000000000003</v>
      </c>
      <c r="AC1483" s="15" t="s">
        <v>130</v>
      </c>
      <c r="AD1483" s="15" t="s">
        <v>130</v>
      </c>
      <c r="AE1483" s="15" t="s">
        <v>858</v>
      </c>
      <c r="AF1483" s="12">
        <f>IF(AG1483="Rejected",0,IF(R1483="Corporate Card",0,V1483))</f>
        <v>34.619999999999997</v>
      </c>
      <c r="AG1483" s="15" t="s">
        <v>133</v>
      </c>
      <c r="AH1483" s="16">
        <v>45830</v>
      </c>
      <c r="AI1483" s="16">
        <v>45834</v>
      </c>
      <c r="AJ1483" s="16">
        <v>45844</v>
      </c>
      <c r="AK1483" s="17">
        <f>IF(AJ1483="","",AJ1483-AH1483)</f>
        <v>14</v>
      </c>
    </row>
    <row r="1484" spans="1:37">
      <c r="A1484" s="2" t="s">
        <v>1919</v>
      </c>
      <c r="B1484" s="2" t="s">
        <v>616</v>
      </c>
      <c r="C1484" s="2" t="s">
        <v>252</v>
      </c>
      <c r="D1484" s="2" t="s">
        <v>250</v>
      </c>
      <c r="E1484" s="2" t="s">
        <v>617</v>
      </c>
      <c r="F1484" s="2" t="s">
        <v>510</v>
      </c>
      <c r="G1484" s="2" t="s">
        <v>1872</v>
      </c>
      <c r="H1484" s="2" t="s">
        <v>291</v>
      </c>
      <c r="I1484" s="2" t="s">
        <v>380</v>
      </c>
      <c r="J1484" s="2" t="s">
        <v>381</v>
      </c>
      <c r="K1484" s="9">
        <v>45822</v>
      </c>
      <c r="L1484" s="9">
        <v>45829</v>
      </c>
      <c r="M1484" s="9">
        <v>45829</v>
      </c>
      <c r="N1484" s="2" t="s">
        <v>1790</v>
      </c>
      <c r="O1484" s="2" t="s">
        <v>55</v>
      </c>
      <c r="P1484" s="2" t="s">
        <v>139</v>
      </c>
      <c r="Q1484" s="2" t="s">
        <v>217</v>
      </c>
      <c r="R1484" s="2" t="s">
        <v>128</v>
      </c>
      <c r="S1484" s="2" t="s">
        <v>383</v>
      </c>
      <c r="T1484" s="10">
        <v>15.48</v>
      </c>
      <c r="U1484" s="11">
        <v>1</v>
      </c>
      <c r="V1484" s="12">
        <f>T1484*U1484</f>
        <v>15.48</v>
      </c>
      <c r="W1484" s="13">
        <v>0</v>
      </c>
      <c r="X1484" s="12">
        <f>V1484-(V1484/(1+W1484))</f>
        <v>0</v>
      </c>
      <c r="Y1484" s="12">
        <f>V1484-X1484</f>
        <v>15.48</v>
      </c>
      <c r="Z1484" s="14">
        <v>35</v>
      </c>
      <c r="AA1484" s="2" t="str">
        <f>IF(V1484&gt;Z1484,"Yes","No")</f>
        <v>No</v>
      </c>
      <c r="AB1484" s="12">
        <f>V1484-Z1484</f>
        <v>-19.52</v>
      </c>
      <c r="AC1484" s="15" t="s">
        <v>130</v>
      </c>
      <c r="AD1484" s="15" t="s">
        <v>130</v>
      </c>
      <c r="AE1484" s="15" t="s">
        <v>858</v>
      </c>
      <c r="AF1484" s="12">
        <f>IF(AG1484="Rejected",0,IF(R1484="Corporate Card",0,V1484))</f>
        <v>0</v>
      </c>
      <c r="AG1484" s="15" t="s">
        <v>133</v>
      </c>
      <c r="AH1484" s="16">
        <v>45830</v>
      </c>
      <c r="AI1484" s="16">
        <v>45834</v>
      </c>
      <c r="AJ1484" s="16">
        <v>45844</v>
      </c>
      <c r="AK1484" s="17">
        <f>IF(AJ1484="","",AJ1484-AH1484)</f>
        <v>14</v>
      </c>
    </row>
    <row r="1485" spans="1:37">
      <c r="A1485" s="2" t="s">
        <v>1920</v>
      </c>
      <c r="B1485" s="2" t="s">
        <v>248</v>
      </c>
      <c r="C1485" s="2" t="s">
        <v>249</v>
      </c>
      <c r="D1485" s="2" t="s">
        <v>250</v>
      </c>
      <c r="E1485" s="2" t="s">
        <v>251</v>
      </c>
      <c r="F1485" s="2" t="s">
        <v>252</v>
      </c>
      <c r="G1485" s="2" t="s">
        <v>1889</v>
      </c>
      <c r="H1485" s="2" t="s">
        <v>417</v>
      </c>
      <c r="I1485" s="2" t="s">
        <v>1038</v>
      </c>
      <c r="J1485" s="2" t="s">
        <v>381</v>
      </c>
      <c r="K1485" s="9">
        <v>45825</v>
      </c>
      <c r="L1485" s="9">
        <v>45833</v>
      </c>
      <c r="M1485" s="9">
        <v>45829</v>
      </c>
      <c r="N1485" s="2" t="s">
        <v>1790</v>
      </c>
      <c r="O1485" s="2" t="s">
        <v>54</v>
      </c>
      <c r="P1485" s="2" t="s">
        <v>139</v>
      </c>
      <c r="Q1485" s="2" t="s">
        <v>214</v>
      </c>
      <c r="R1485" s="2" t="s">
        <v>149</v>
      </c>
      <c r="S1485" s="2" t="s">
        <v>383</v>
      </c>
      <c r="T1485" s="10">
        <v>17.239999999999998</v>
      </c>
      <c r="U1485" s="11">
        <v>1</v>
      </c>
      <c r="V1485" s="12">
        <f>T1485*U1485</f>
        <v>17.239999999999998</v>
      </c>
      <c r="W1485" s="13">
        <v>0</v>
      </c>
      <c r="X1485" s="12">
        <f>V1485-(V1485/(1+W1485))</f>
        <v>0</v>
      </c>
      <c r="Y1485" s="12">
        <f>V1485-X1485</f>
        <v>17.239999999999998</v>
      </c>
      <c r="Z1485" s="14">
        <v>25</v>
      </c>
      <c r="AA1485" s="2" t="str">
        <f>IF(V1485&gt;Z1485,"Yes","No")</f>
        <v>No</v>
      </c>
      <c r="AB1485" s="12">
        <f>V1485-Z1485</f>
        <v>-7.7600000000000016</v>
      </c>
      <c r="AC1485" s="15" t="s">
        <v>130</v>
      </c>
      <c r="AD1485" s="15" t="s">
        <v>130</v>
      </c>
      <c r="AE1485" s="15" t="s">
        <v>260</v>
      </c>
      <c r="AF1485" s="12">
        <f>IF(AG1485="Rejected",0,IF(R1485="Corporate Card",0,V1485))</f>
        <v>17.239999999999998</v>
      </c>
      <c r="AG1485" s="15" t="s">
        <v>133</v>
      </c>
      <c r="AH1485" s="16">
        <v>45842</v>
      </c>
      <c r="AI1485" s="16">
        <v>45843</v>
      </c>
      <c r="AJ1485" s="16">
        <v>45854</v>
      </c>
      <c r="AK1485" s="17">
        <f>IF(AJ1485="","",AJ1485-AH1485)</f>
        <v>12</v>
      </c>
    </row>
    <row r="1486" spans="1:37">
      <c r="A1486" s="2" t="s">
        <v>1921</v>
      </c>
      <c r="B1486" s="2" t="s">
        <v>248</v>
      </c>
      <c r="C1486" s="2" t="s">
        <v>249</v>
      </c>
      <c r="D1486" s="2" t="s">
        <v>250</v>
      </c>
      <c r="E1486" s="2" t="s">
        <v>251</v>
      </c>
      <c r="F1486" s="2" t="s">
        <v>252</v>
      </c>
      <c r="G1486" s="2" t="s">
        <v>1889</v>
      </c>
      <c r="H1486" s="2" t="s">
        <v>417</v>
      </c>
      <c r="I1486" s="2" t="s">
        <v>1038</v>
      </c>
      <c r="J1486" s="2" t="s">
        <v>381</v>
      </c>
      <c r="K1486" s="9">
        <v>45825</v>
      </c>
      <c r="L1486" s="9">
        <v>45833</v>
      </c>
      <c r="M1486" s="9">
        <v>45829</v>
      </c>
      <c r="N1486" s="2" t="s">
        <v>1790</v>
      </c>
      <c r="O1486" s="2" t="s">
        <v>56</v>
      </c>
      <c r="P1486" s="2" t="s">
        <v>231</v>
      </c>
      <c r="Q1486" s="2" t="s">
        <v>166</v>
      </c>
      <c r="R1486" s="2" t="s">
        <v>149</v>
      </c>
      <c r="S1486" s="2" t="s">
        <v>383</v>
      </c>
      <c r="T1486" s="10">
        <v>26.55</v>
      </c>
      <c r="U1486" s="11">
        <v>1</v>
      </c>
      <c r="V1486" s="12">
        <f>T1486*U1486</f>
        <v>26.55</v>
      </c>
      <c r="W1486" s="13">
        <v>0</v>
      </c>
      <c r="X1486" s="12">
        <f>V1486-(V1486/(1+W1486))</f>
        <v>0</v>
      </c>
      <c r="Y1486" s="12">
        <f>V1486-X1486</f>
        <v>26.55</v>
      </c>
      <c r="Z1486" s="14">
        <v>75</v>
      </c>
      <c r="AA1486" s="2" t="str">
        <f>IF(V1486&gt;Z1486,"Yes","No")</f>
        <v>No</v>
      </c>
      <c r="AB1486" s="12">
        <f>V1486-Z1486</f>
        <v>-48.45</v>
      </c>
      <c r="AC1486" s="15" t="s">
        <v>130</v>
      </c>
      <c r="AD1486" s="15" t="s">
        <v>130</v>
      </c>
      <c r="AE1486" s="15" t="s">
        <v>260</v>
      </c>
      <c r="AF1486" s="12">
        <f>IF(AG1486="Rejected",0,IF(R1486="Corporate Card",0,V1486))</f>
        <v>26.55</v>
      </c>
      <c r="AG1486" s="15" t="s">
        <v>133</v>
      </c>
      <c r="AH1486" s="16">
        <v>45842</v>
      </c>
      <c r="AI1486" s="16">
        <v>45843</v>
      </c>
      <c r="AJ1486" s="16">
        <v>45854</v>
      </c>
      <c r="AK1486" s="17">
        <f>IF(AJ1486="","",AJ1486-AH1486)</f>
        <v>12</v>
      </c>
    </row>
    <row r="1487" spans="1:37">
      <c r="A1487" s="2" t="s">
        <v>1922</v>
      </c>
      <c r="B1487" s="2" t="s">
        <v>248</v>
      </c>
      <c r="C1487" s="2" t="s">
        <v>249</v>
      </c>
      <c r="D1487" s="2" t="s">
        <v>250</v>
      </c>
      <c r="E1487" s="2" t="s">
        <v>251</v>
      </c>
      <c r="F1487" s="2" t="s">
        <v>252</v>
      </c>
      <c r="G1487" s="2" t="s">
        <v>1889</v>
      </c>
      <c r="H1487" s="2" t="s">
        <v>417</v>
      </c>
      <c r="I1487" s="2" t="s">
        <v>1038</v>
      </c>
      <c r="J1487" s="2" t="s">
        <v>381</v>
      </c>
      <c r="K1487" s="9">
        <v>45825</v>
      </c>
      <c r="L1487" s="9">
        <v>45833</v>
      </c>
      <c r="M1487" s="9">
        <v>45829</v>
      </c>
      <c r="N1487" s="2" t="s">
        <v>1790</v>
      </c>
      <c r="O1487" s="2" t="s">
        <v>55</v>
      </c>
      <c r="P1487" s="2" t="s">
        <v>139</v>
      </c>
      <c r="Q1487" s="2" t="s">
        <v>154</v>
      </c>
      <c r="R1487" s="2" t="s">
        <v>149</v>
      </c>
      <c r="S1487" s="2" t="s">
        <v>383</v>
      </c>
      <c r="T1487" s="10">
        <v>27.1</v>
      </c>
      <c r="U1487" s="11">
        <v>1</v>
      </c>
      <c r="V1487" s="12">
        <f>T1487*U1487</f>
        <v>27.1</v>
      </c>
      <c r="W1487" s="13">
        <v>0</v>
      </c>
      <c r="X1487" s="12">
        <f>V1487-(V1487/(1+W1487))</f>
        <v>0</v>
      </c>
      <c r="Y1487" s="12">
        <f>V1487-X1487</f>
        <v>27.1</v>
      </c>
      <c r="Z1487" s="14">
        <v>35</v>
      </c>
      <c r="AA1487" s="2" t="str">
        <f>IF(V1487&gt;Z1487,"Yes","No")</f>
        <v>No</v>
      </c>
      <c r="AB1487" s="12">
        <f>V1487-Z1487</f>
        <v>-7.8999999999999986</v>
      </c>
      <c r="AC1487" s="15" t="s">
        <v>130</v>
      </c>
      <c r="AD1487" s="15" t="s">
        <v>130</v>
      </c>
      <c r="AE1487" s="15" t="s">
        <v>260</v>
      </c>
      <c r="AF1487" s="12">
        <f>IF(AG1487="Rejected",0,IF(R1487="Corporate Card",0,V1487))</f>
        <v>27.1</v>
      </c>
      <c r="AG1487" s="15" t="s">
        <v>133</v>
      </c>
      <c r="AH1487" s="16">
        <v>45842</v>
      </c>
      <c r="AI1487" s="16">
        <v>45843</v>
      </c>
      <c r="AJ1487" s="16">
        <v>45854</v>
      </c>
      <c r="AK1487" s="17">
        <f>IF(AJ1487="","",AJ1487-AH1487)</f>
        <v>12</v>
      </c>
    </row>
    <row r="1488" spans="1:37">
      <c r="A1488" s="2" t="s">
        <v>1923</v>
      </c>
      <c r="B1488" s="2" t="s">
        <v>248</v>
      </c>
      <c r="C1488" s="2" t="s">
        <v>249</v>
      </c>
      <c r="D1488" s="2" t="s">
        <v>250</v>
      </c>
      <c r="E1488" s="2" t="s">
        <v>251</v>
      </c>
      <c r="F1488" s="2" t="s">
        <v>252</v>
      </c>
      <c r="G1488" s="2" t="s">
        <v>1889</v>
      </c>
      <c r="H1488" s="2" t="s">
        <v>417</v>
      </c>
      <c r="I1488" s="2" t="s">
        <v>1038</v>
      </c>
      <c r="J1488" s="2" t="s">
        <v>381</v>
      </c>
      <c r="K1488" s="9">
        <v>45825</v>
      </c>
      <c r="L1488" s="9">
        <v>45833</v>
      </c>
      <c r="M1488" s="9">
        <v>45830</v>
      </c>
      <c r="N1488" s="2" t="s">
        <v>1790</v>
      </c>
      <c r="O1488" s="2" t="s">
        <v>54</v>
      </c>
      <c r="P1488" s="2" t="s">
        <v>139</v>
      </c>
      <c r="Q1488" s="2" t="s">
        <v>140</v>
      </c>
      <c r="R1488" s="2" t="s">
        <v>149</v>
      </c>
      <c r="S1488" s="2" t="s">
        <v>383</v>
      </c>
      <c r="T1488" s="10">
        <v>21.43</v>
      </c>
      <c r="U1488" s="11">
        <v>1</v>
      </c>
      <c r="V1488" s="12">
        <f>T1488*U1488</f>
        <v>21.43</v>
      </c>
      <c r="W1488" s="13">
        <v>0</v>
      </c>
      <c r="X1488" s="12">
        <f>V1488-(V1488/(1+W1488))</f>
        <v>0</v>
      </c>
      <c r="Y1488" s="12">
        <f>V1488-X1488</f>
        <v>21.43</v>
      </c>
      <c r="Z1488" s="14">
        <v>25</v>
      </c>
      <c r="AA1488" s="2" t="str">
        <f>IF(V1488&gt;Z1488,"Yes","No")</f>
        <v>No</v>
      </c>
      <c r="AB1488" s="12">
        <f>V1488-Z1488</f>
        <v>-3.5700000000000003</v>
      </c>
      <c r="AC1488" s="15" t="s">
        <v>130</v>
      </c>
      <c r="AD1488" s="15" t="s">
        <v>130</v>
      </c>
      <c r="AE1488" s="15" t="s">
        <v>260</v>
      </c>
      <c r="AF1488" s="12">
        <f>IF(AG1488="Rejected",0,IF(R1488="Corporate Card",0,V1488))</f>
        <v>21.43</v>
      </c>
      <c r="AG1488" s="15" t="s">
        <v>133</v>
      </c>
      <c r="AH1488" s="16">
        <v>45842</v>
      </c>
      <c r="AI1488" s="16">
        <v>45843</v>
      </c>
      <c r="AJ1488" s="16">
        <v>45854</v>
      </c>
      <c r="AK1488" s="17">
        <f>IF(AJ1488="","",AJ1488-AH1488)</f>
        <v>12</v>
      </c>
    </row>
    <row r="1489" spans="1:37">
      <c r="A1489" s="2" t="s">
        <v>1924</v>
      </c>
      <c r="B1489" s="2" t="s">
        <v>248</v>
      </c>
      <c r="C1489" s="2" t="s">
        <v>249</v>
      </c>
      <c r="D1489" s="2" t="s">
        <v>250</v>
      </c>
      <c r="E1489" s="2" t="s">
        <v>251</v>
      </c>
      <c r="F1489" s="2" t="s">
        <v>252</v>
      </c>
      <c r="G1489" s="2" t="s">
        <v>1889</v>
      </c>
      <c r="H1489" s="2" t="s">
        <v>417</v>
      </c>
      <c r="I1489" s="2" t="s">
        <v>1038</v>
      </c>
      <c r="J1489" s="2" t="s">
        <v>381</v>
      </c>
      <c r="K1489" s="9">
        <v>45825</v>
      </c>
      <c r="L1489" s="9">
        <v>45833</v>
      </c>
      <c r="M1489" s="9">
        <v>45830</v>
      </c>
      <c r="N1489" s="2" t="s">
        <v>1790</v>
      </c>
      <c r="O1489" s="2" t="s">
        <v>56</v>
      </c>
      <c r="P1489" s="2" t="s">
        <v>245</v>
      </c>
      <c r="Q1489" s="2" t="s">
        <v>166</v>
      </c>
      <c r="R1489" s="2" t="s">
        <v>128</v>
      </c>
      <c r="S1489" s="2" t="s">
        <v>383</v>
      </c>
      <c r="T1489" s="10">
        <v>42.79</v>
      </c>
      <c r="U1489" s="11">
        <v>1</v>
      </c>
      <c r="V1489" s="12">
        <f>T1489*U1489</f>
        <v>42.79</v>
      </c>
      <c r="W1489" s="13">
        <v>0</v>
      </c>
      <c r="X1489" s="12">
        <f>V1489-(V1489/(1+W1489))</f>
        <v>0</v>
      </c>
      <c r="Y1489" s="12">
        <f>V1489-X1489</f>
        <v>42.79</v>
      </c>
      <c r="Z1489" s="14">
        <v>75</v>
      </c>
      <c r="AA1489" s="2" t="str">
        <f>IF(V1489&gt;Z1489,"Yes","No")</f>
        <v>No</v>
      </c>
      <c r="AB1489" s="12">
        <f>V1489-Z1489</f>
        <v>-32.21</v>
      </c>
      <c r="AC1489" s="15" t="s">
        <v>130</v>
      </c>
      <c r="AD1489" s="15" t="s">
        <v>130</v>
      </c>
      <c r="AE1489" s="15" t="s">
        <v>260</v>
      </c>
      <c r="AF1489" s="12">
        <f>IF(AG1489="Rejected",0,IF(R1489="Corporate Card",0,V1489))</f>
        <v>0</v>
      </c>
      <c r="AG1489" s="15" t="s">
        <v>133</v>
      </c>
      <c r="AH1489" s="16">
        <v>45842</v>
      </c>
      <c r="AI1489" s="16">
        <v>45843</v>
      </c>
      <c r="AJ1489" s="16">
        <v>45854</v>
      </c>
      <c r="AK1489" s="17">
        <f>IF(AJ1489="","",AJ1489-AH1489)</f>
        <v>12</v>
      </c>
    </row>
    <row r="1490" spans="1:37">
      <c r="A1490" s="2" t="s">
        <v>1925</v>
      </c>
      <c r="B1490" s="2" t="s">
        <v>248</v>
      </c>
      <c r="C1490" s="2" t="s">
        <v>249</v>
      </c>
      <c r="D1490" s="2" t="s">
        <v>250</v>
      </c>
      <c r="E1490" s="2" t="s">
        <v>251</v>
      </c>
      <c r="F1490" s="2" t="s">
        <v>252</v>
      </c>
      <c r="G1490" s="2" t="s">
        <v>1889</v>
      </c>
      <c r="H1490" s="2" t="s">
        <v>417</v>
      </c>
      <c r="I1490" s="2" t="s">
        <v>1038</v>
      </c>
      <c r="J1490" s="2" t="s">
        <v>381</v>
      </c>
      <c r="K1490" s="9">
        <v>45825</v>
      </c>
      <c r="L1490" s="9">
        <v>45833</v>
      </c>
      <c r="M1490" s="9">
        <v>45830</v>
      </c>
      <c r="N1490" s="2" t="s">
        <v>1790</v>
      </c>
      <c r="O1490" s="2" t="s">
        <v>55</v>
      </c>
      <c r="P1490" s="2" t="s">
        <v>139</v>
      </c>
      <c r="Q1490" s="2" t="s">
        <v>154</v>
      </c>
      <c r="R1490" s="2" t="s">
        <v>137</v>
      </c>
      <c r="S1490" s="2" t="s">
        <v>383</v>
      </c>
      <c r="T1490" s="10">
        <v>29.75</v>
      </c>
      <c r="U1490" s="11">
        <v>1</v>
      </c>
      <c r="V1490" s="12">
        <f>T1490*U1490</f>
        <v>29.75</v>
      </c>
      <c r="W1490" s="13">
        <v>0</v>
      </c>
      <c r="X1490" s="12">
        <f>V1490-(V1490/(1+W1490))</f>
        <v>0</v>
      </c>
      <c r="Y1490" s="12">
        <f>V1490-X1490</f>
        <v>29.75</v>
      </c>
      <c r="Z1490" s="14">
        <v>35</v>
      </c>
      <c r="AA1490" s="2" t="str">
        <f>IF(V1490&gt;Z1490,"Yes","No")</f>
        <v>No</v>
      </c>
      <c r="AB1490" s="12">
        <f>V1490-Z1490</f>
        <v>-5.25</v>
      </c>
      <c r="AC1490" s="15" t="s">
        <v>130</v>
      </c>
      <c r="AD1490" s="15" t="s">
        <v>130</v>
      </c>
      <c r="AE1490" s="15" t="s">
        <v>260</v>
      </c>
      <c r="AF1490" s="12">
        <f>IF(AG1490="Rejected",0,IF(R1490="Corporate Card",0,V1490))</f>
        <v>29.75</v>
      </c>
      <c r="AG1490" s="15" t="s">
        <v>133</v>
      </c>
      <c r="AH1490" s="16">
        <v>45842</v>
      </c>
      <c r="AI1490" s="16">
        <v>45843</v>
      </c>
      <c r="AJ1490" s="16">
        <v>45854</v>
      </c>
      <c r="AK1490" s="17">
        <f>IF(AJ1490="","",AJ1490-AH1490)</f>
        <v>12</v>
      </c>
    </row>
    <row r="1491" spans="1:37">
      <c r="A1491" s="2" t="s">
        <v>1926</v>
      </c>
      <c r="B1491" s="2" t="s">
        <v>442</v>
      </c>
      <c r="C1491" s="2" t="s">
        <v>443</v>
      </c>
      <c r="D1491" s="2" t="s">
        <v>444</v>
      </c>
      <c r="E1491" s="2" t="s">
        <v>445</v>
      </c>
      <c r="F1491" s="2" t="s">
        <v>446</v>
      </c>
      <c r="G1491" s="2" t="s">
        <v>1927</v>
      </c>
      <c r="H1491" s="2" t="s">
        <v>448</v>
      </c>
      <c r="I1491" s="2" t="s">
        <v>619</v>
      </c>
      <c r="J1491" s="2" t="s">
        <v>381</v>
      </c>
      <c r="K1491" s="9">
        <v>45830</v>
      </c>
      <c r="L1491" s="9">
        <v>45837</v>
      </c>
      <c r="M1491" s="9">
        <v>45830</v>
      </c>
      <c r="N1491" s="2" t="s">
        <v>1790</v>
      </c>
      <c r="O1491" s="2" t="s">
        <v>52</v>
      </c>
      <c r="P1491" s="2" t="s">
        <v>620</v>
      </c>
      <c r="Q1491" s="2" t="s">
        <v>420</v>
      </c>
      <c r="R1491" s="2" t="s">
        <v>128</v>
      </c>
      <c r="S1491" s="2" t="s">
        <v>383</v>
      </c>
      <c r="T1491" s="10">
        <v>678.78</v>
      </c>
      <c r="U1491" s="11">
        <v>1</v>
      </c>
      <c r="V1491" s="12">
        <f>T1491*U1491</f>
        <v>678.78</v>
      </c>
      <c r="W1491" s="13">
        <v>0</v>
      </c>
      <c r="X1491" s="12">
        <f>V1491-(V1491/(1+W1491))</f>
        <v>0</v>
      </c>
      <c r="Y1491" s="12">
        <f>V1491-X1491</f>
        <v>678.78</v>
      </c>
      <c r="Z1491" s="14">
        <v>1400</v>
      </c>
      <c r="AA1491" s="2" t="str">
        <f>IF(V1491&gt;Z1491,"Yes","No")</f>
        <v>No</v>
      </c>
      <c r="AB1491" s="12">
        <f>V1491-Z1491</f>
        <v>-721.22</v>
      </c>
      <c r="AC1491" s="15" t="s">
        <v>130</v>
      </c>
      <c r="AD1491" s="15" t="s">
        <v>130</v>
      </c>
      <c r="AE1491" s="15" t="s">
        <v>858</v>
      </c>
      <c r="AF1491" s="12">
        <f>IF(AG1491="Rejected",0,IF(R1491="Corporate Card",0,V1491))</f>
        <v>0</v>
      </c>
      <c r="AG1491" s="15" t="s">
        <v>133</v>
      </c>
      <c r="AH1491" s="16">
        <v>45849</v>
      </c>
      <c r="AI1491" s="16">
        <v>45855</v>
      </c>
      <c r="AJ1491" s="16">
        <v>45861</v>
      </c>
      <c r="AK1491" s="17">
        <f>IF(AJ1491="","",AJ1491-AH1491)</f>
        <v>12</v>
      </c>
    </row>
    <row r="1492" spans="1:37">
      <c r="A1492" s="2" t="s">
        <v>1928</v>
      </c>
      <c r="B1492" s="2" t="s">
        <v>442</v>
      </c>
      <c r="C1492" s="2" t="s">
        <v>443</v>
      </c>
      <c r="D1492" s="2" t="s">
        <v>444</v>
      </c>
      <c r="E1492" s="2" t="s">
        <v>445</v>
      </c>
      <c r="F1492" s="2" t="s">
        <v>446</v>
      </c>
      <c r="G1492" s="2" t="s">
        <v>1927</v>
      </c>
      <c r="H1492" s="2" t="s">
        <v>448</v>
      </c>
      <c r="I1492" s="2" t="s">
        <v>619</v>
      </c>
      <c r="J1492" s="2" t="s">
        <v>381</v>
      </c>
      <c r="K1492" s="9">
        <v>45830</v>
      </c>
      <c r="L1492" s="9">
        <v>45837</v>
      </c>
      <c r="M1492" s="9">
        <v>45830</v>
      </c>
      <c r="N1492" s="2" t="s">
        <v>1790</v>
      </c>
      <c r="O1492" s="2" t="s">
        <v>64</v>
      </c>
      <c r="P1492" s="2" t="s">
        <v>135</v>
      </c>
      <c r="Q1492" s="2" t="s">
        <v>513</v>
      </c>
      <c r="R1492" s="2" t="s">
        <v>128</v>
      </c>
      <c r="S1492" s="2" t="s">
        <v>383</v>
      </c>
      <c r="T1492" s="10">
        <v>79.84</v>
      </c>
      <c r="U1492" s="11">
        <v>1</v>
      </c>
      <c r="V1492" s="12">
        <f>T1492*U1492</f>
        <v>79.84</v>
      </c>
      <c r="W1492" s="13">
        <v>0</v>
      </c>
      <c r="X1492" s="12">
        <f>V1492-(V1492/(1+W1492))</f>
        <v>0</v>
      </c>
      <c r="Y1492" s="12">
        <f>V1492-X1492</f>
        <v>79.84</v>
      </c>
      <c r="Z1492" s="14">
        <v>120</v>
      </c>
      <c r="AA1492" s="2" t="str">
        <f>IF(V1492&gt;Z1492,"Yes","No")</f>
        <v>No</v>
      </c>
      <c r="AB1492" s="12">
        <f>V1492-Z1492</f>
        <v>-40.159999999999997</v>
      </c>
      <c r="AC1492" s="15" t="s">
        <v>130</v>
      </c>
      <c r="AD1492" s="15" t="s">
        <v>130</v>
      </c>
      <c r="AE1492" s="15" t="s">
        <v>858</v>
      </c>
      <c r="AF1492" s="12">
        <f>IF(AG1492="Rejected",0,IF(R1492="Corporate Card",0,V1492))</f>
        <v>0</v>
      </c>
      <c r="AG1492" s="15" t="s">
        <v>133</v>
      </c>
      <c r="AH1492" s="16">
        <v>45849</v>
      </c>
      <c r="AI1492" s="16">
        <v>45855</v>
      </c>
      <c r="AJ1492" s="16">
        <v>45861</v>
      </c>
      <c r="AK1492" s="17">
        <f>IF(AJ1492="","",AJ1492-AH1492)</f>
        <v>12</v>
      </c>
    </row>
    <row r="1493" spans="1:37">
      <c r="A1493" s="2" t="s">
        <v>1929</v>
      </c>
      <c r="B1493" s="2" t="s">
        <v>442</v>
      </c>
      <c r="C1493" s="2" t="s">
        <v>443</v>
      </c>
      <c r="D1493" s="2" t="s">
        <v>444</v>
      </c>
      <c r="E1493" s="2" t="s">
        <v>445</v>
      </c>
      <c r="F1493" s="2" t="s">
        <v>446</v>
      </c>
      <c r="G1493" s="2" t="s">
        <v>1927</v>
      </c>
      <c r="H1493" s="2" t="s">
        <v>448</v>
      </c>
      <c r="I1493" s="2" t="s">
        <v>619</v>
      </c>
      <c r="J1493" s="2" t="s">
        <v>381</v>
      </c>
      <c r="K1493" s="9">
        <v>45830</v>
      </c>
      <c r="L1493" s="9">
        <v>45837</v>
      </c>
      <c r="M1493" s="9">
        <v>45830</v>
      </c>
      <c r="N1493" s="2" t="s">
        <v>1790</v>
      </c>
      <c r="O1493" s="2" t="s">
        <v>58</v>
      </c>
      <c r="P1493" s="2" t="s">
        <v>142</v>
      </c>
      <c r="Q1493" s="2" t="s">
        <v>203</v>
      </c>
      <c r="R1493" s="2" t="s">
        <v>128</v>
      </c>
      <c r="S1493" s="2" t="s">
        <v>383</v>
      </c>
      <c r="T1493" s="10">
        <v>32.18</v>
      </c>
      <c r="U1493" s="11">
        <v>1</v>
      </c>
      <c r="V1493" s="12">
        <f>T1493*U1493</f>
        <v>32.18</v>
      </c>
      <c r="W1493" s="13">
        <v>0</v>
      </c>
      <c r="X1493" s="12">
        <f>V1493-(V1493/(1+W1493))</f>
        <v>0</v>
      </c>
      <c r="Y1493" s="12">
        <f>V1493-X1493</f>
        <v>32.18</v>
      </c>
      <c r="Z1493" s="14">
        <v>60</v>
      </c>
      <c r="AA1493" s="2" t="str">
        <f>IF(V1493&gt;Z1493,"Yes","No")</f>
        <v>No</v>
      </c>
      <c r="AB1493" s="12">
        <f>V1493-Z1493</f>
        <v>-27.82</v>
      </c>
      <c r="AC1493" s="15" t="s">
        <v>130</v>
      </c>
      <c r="AD1493" s="15" t="s">
        <v>130</v>
      </c>
      <c r="AE1493" s="15" t="s">
        <v>858</v>
      </c>
      <c r="AF1493" s="12">
        <f>IF(AG1493="Rejected",0,IF(R1493="Corporate Card",0,V1493))</f>
        <v>0</v>
      </c>
      <c r="AG1493" s="15" t="s">
        <v>133</v>
      </c>
      <c r="AH1493" s="16">
        <v>45849</v>
      </c>
      <c r="AI1493" s="16">
        <v>45855</v>
      </c>
      <c r="AJ1493" s="16">
        <v>45861</v>
      </c>
      <c r="AK1493" s="17">
        <f>IF(AJ1493="","",AJ1493-AH1493)</f>
        <v>12</v>
      </c>
    </row>
    <row r="1494" spans="1:37">
      <c r="A1494" s="2" t="s">
        <v>1930</v>
      </c>
      <c r="B1494" s="2" t="s">
        <v>442</v>
      </c>
      <c r="C1494" s="2" t="s">
        <v>443</v>
      </c>
      <c r="D1494" s="2" t="s">
        <v>444</v>
      </c>
      <c r="E1494" s="2" t="s">
        <v>445</v>
      </c>
      <c r="F1494" s="2" t="s">
        <v>446</v>
      </c>
      <c r="G1494" s="2" t="s">
        <v>1927</v>
      </c>
      <c r="H1494" s="2" t="s">
        <v>448</v>
      </c>
      <c r="I1494" s="2" t="s">
        <v>619</v>
      </c>
      <c r="J1494" s="2" t="s">
        <v>381</v>
      </c>
      <c r="K1494" s="9">
        <v>45830</v>
      </c>
      <c r="L1494" s="9">
        <v>45837</v>
      </c>
      <c r="M1494" s="9">
        <v>45830</v>
      </c>
      <c r="N1494" s="2" t="s">
        <v>1790</v>
      </c>
      <c r="O1494" s="2" t="s">
        <v>54</v>
      </c>
      <c r="P1494" s="2" t="s">
        <v>139</v>
      </c>
      <c r="Q1494" s="2" t="s">
        <v>163</v>
      </c>
      <c r="R1494" s="2" t="s">
        <v>128</v>
      </c>
      <c r="S1494" s="2" t="s">
        <v>383</v>
      </c>
      <c r="T1494" s="10">
        <v>24.64</v>
      </c>
      <c r="U1494" s="11">
        <v>1</v>
      </c>
      <c r="V1494" s="12">
        <f>T1494*U1494</f>
        <v>24.64</v>
      </c>
      <c r="W1494" s="13">
        <v>0</v>
      </c>
      <c r="X1494" s="12">
        <f>V1494-(V1494/(1+W1494))</f>
        <v>0</v>
      </c>
      <c r="Y1494" s="12">
        <f>V1494-X1494</f>
        <v>24.64</v>
      </c>
      <c r="Z1494" s="14">
        <v>25</v>
      </c>
      <c r="AA1494" s="2" t="str">
        <f>IF(V1494&gt;Z1494,"Yes","No")</f>
        <v>No</v>
      </c>
      <c r="AB1494" s="12">
        <f>V1494-Z1494</f>
        <v>-0.35999999999999943</v>
      </c>
      <c r="AC1494" s="15" t="s">
        <v>130</v>
      </c>
      <c r="AD1494" s="15" t="s">
        <v>130</v>
      </c>
      <c r="AE1494" s="15" t="s">
        <v>858</v>
      </c>
      <c r="AF1494" s="12">
        <f>IF(AG1494="Rejected",0,IF(R1494="Corporate Card",0,V1494))</f>
        <v>0</v>
      </c>
      <c r="AG1494" s="15" t="s">
        <v>133</v>
      </c>
      <c r="AH1494" s="16">
        <v>45849</v>
      </c>
      <c r="AI1494" s="16">
        <v>45855</v>
      </c>
      <c r="AJ1494" s="16">
        <v>45861</v>
      </c>
      <c r="AK1494" s="17">
        <f>IF(AJ1494="","",AJ1494-AH1494)</f>
        <v>12</v>
      </c>
    </row>
    <row r="1495" spans="1:37">
      <c r="A1495" s="2" t="s">
        <v>1931</v>
      </c>
      <c r="B1495" s="2" t="s">
        <v>442</v>
      </c>
      <c r="C1495" s="2" t="s">
        <v>443</v>
      </c>
      <c r="D1495" s="2" t="s">
        <v>444</v>
      </c>
      <c r="E1495" s="2" t="s">
        <v>445</v>
      </c>
      <c r="F1495" s="2" t="s">
        <v>446</v>
      </c>
      <c r="G1495" s="2" t="s">
        <v>1927</v>
      </c>
      <c r="H1495" s="2" t="s">
        <v>448</v>
      </c>
      <c r="I1495" s="2" t="s">
        <v>619</v>
      </c>
      <c r="J1495" s="2" t="s">
        <v>381</v>
      </c>
      <c r="K1495" s="9">
        <v>45830</v>
      </c>
      <c r="L1495" s="9">
        <v>45837</v>
      </c>
      <c r="M1495" s="9">
        <v>45830</v>
      </c>
      <c r="N1495" s="2" t="s">
        <v>1790</v>
      </c>
      <c r="O1495" s="2" t="s">
        <v>55</v>
      </c>
      <c r="P1495" s="2" t="s">
        <v>139</v>
      </c>
      <c r="Q1495" s="2" t="s">
        <v>161</v>
      </c>
      <c r="R1495" s="2" t="s">
        <v>137</v>
      </c>
      <c r="S1495" s="2" t="s">
        <v>383</v>
      </c>
      <c r="T1495" s="10">
        <v>27.53</v>
      </c>
      <c r="U1495" s="11">
        <v>1</v>
      </c>
      <c r="V1495" s="12">
        <f>T1495*U1495</f>
        <v>27.53</v>
      </c>
      <c r="W1495" s="13">
        <v>0</v>
      </c>
      <c r="X1495" s="12">
        <f>V1495-(V1495/(1+W1495))</f>
        <v>0</v>
      </c>
      <c r="Y1495" s="12">
        <f>V1495-X1495</f>
        <v>27.53</v>
      </c>
      <c r="Z1495" s="14">
        <v>35</v>
      </c>
      <c r="AA1495" s="2" t="str">
        <f>IF(V1495&gt;Z1495,"Yes","No")</f>
        <v>No</v>
      </c>
      <c r="AB1495" s="12">
        <f>V1495-Z1495</f>
        <v>-7.4699999999999989</v>
      </c>
      <c r="AC1495" s="15" t="s">
        <v>130</v>
      </c>
      <c r="AD1495" s="15" t="s">
        <v>130</v>
      </c>
      <c r="AE1495" s="15" t="s">
        <v>858</v>
      </c>
      <c r="AF1495" s="12">
        <f>IF(AG1495="Rejected",0,IF(R1495="Corporate Card",0,V1495))</f>
        <v>27.53</v>
      </c>
      <c r="AG1495" s="15" t="s">
        <v>133</v>
      </c>
      <c r="AH1495" s="16">
        <v>45849</v>
      </c>
      <c r="AI1495" s="16">
        <v>45855</v>
      </c>
      <c r="AJ1495" s="16">
        <v>45861</v>
      </c>
      <c r="AK1495" s="17">
        <f>IF(AJ1495="","",AJ1495-AH1495)</f>
        <v>12</v>
      </c>
    </row>
    <row r="1496" spans="1:37">
      <c r="A1496" s="2" t="s">
        <v>1932</v>
      </c>
      <c r="B1496" s="2" t="s">
        <v>248</v>
      </c>
      <c r="C1496" s="2" t="s">
        <v>249</v>
      </c>
      <c r="D1496" s="2" t="s">
        <v>250</v>
      </c>
      <c r="E1496" s="2" t="s">
        <v>251</v>
      </c>
      <c r="F1496" s="2" t="s">
        <v>252</v>
      </c>
      <c r="G1496" s="2" t="s">
        <v>1889</v>
      </c>
      <c r="H1496" s="2" t="s">
        <v>417</v>
      </c>
      <c r="I1496" s="2" t="s">
        <v>1038</v>
      </c>
      <c r="J1496" s="2" t="s">
        <v>381</v>
      </c>
      <c r="K1496" s="9">
        <v>45825</v>
      </c>
      <c r="L1496" s="9">
        <v>45833</v>
      </c>
      <c r="M1496" s="9">
        <v>45831</v>
      </c>
      <c r="N1496" s="2" t="s">
        <v>1790</v>
      </c>
      <c r="O1496" s="2" t="s">
        <v>56</v>
      </c>
      <c r="P1496" s="2" t="s">
        <v>231</v>
      </c>
      <c r="Q1496" s="2" t="s">
        <v>166</v>
      </c>
      <c r="R1496" s="2" t="s">
        <v>128</v>
      </c>
      <c r="S1496" s="2" t="s">
        <v>383</v>
      </c>
      <c r="T1496" s="10">
        <v>54.3</v>
      </c>
      <c r="U1496" s="11">
        <v>1</v>
      </c>
      <c r="V1496" s="12">
        <f>T1496*U1496</f>
        <v>54.3</v>
      </c>
      <c r="W1496" s="13">
        <v>0</v>
      </c>
      <c r="X1496" s="12">
        <f>V1496-(V1496/(1+W1496))</f>
        <v>0</v>
      </c>
      <c r="Y1496" s="12">
        <f>V1496-X1496</f>
        <v>54.3</v>
      </c>
      <c r="Z1496" s="14">
        <v>75</v>
      </c>
      <c r="AA1496" s="2" t="str">
        <f>IF(V1496&gt;Z1496,"Yes","No")</f>
        <v>No</v>
      </c>
      <c r="AB1496" s="12">
        <f>V1496-Z1496</f>
        <v>-20.700000000000003</v>
      </c>
      <c r="AC1496" s="15" t="s">
        <v>130</v>
      </c>
      <c r="AD1496" s="15" t="s">
        <v>130</v>
      </c>
      <c r="AE1496" s="15" t="s">
        <v>260</v>
      </c>
      <c r="AF1496" s="12">
        <f>IF(AG1496="Rejected",0,IF(R1496="Corporate Card",0,V1496))</f>
        <v>0</v>
      </c>
      <c r="AG1496" s="15" t="s">
        <v>133</v>
      </c>
      <c r="AH1496" s="16">
        <v>45842</v>
      </c>
      <c r="AI1496" s="16">
        <v>45843</v>
      </c>
      <c r="AJ1496" s="16">
        <v>45854</v>
      </c>
      <c r="AK1496" s="17">
        <f>IF(AJ1496="","",AJ1496-AH1496)</f>
        <v>12</v>
      </c>
    </row>
    <row r="1497" spans="1:37">
      <c r="A1497" s="2" t="s">
        <v>1933</v>
      </c>
      <c r="B1497" s="2" t="s">
        <v>248</v>
      </c>
      <c r="C1497" s="2" t="s">
        <v>249</v>
      </c>
      <c r="D1497" s="2" t="s">
        <v>250</v>
      </c>
      <c r="E1497" s="2" t="s">
        <v>251</v>
      </c>
      <c r="F1497" s="2" t="s">
        <v>252</v>
      </c>
      <c r="G1497" s="2" t="s">
        <v>1889</v>
      </c>
      <c r="H1497" s="2" t="s">
        <v>417</v>
      </c>
      <c r="I1497" s="2" t="s">
        <v>1038</v>
      </c>
      <c r="J1497" s="2" t="s">
        <v>381</v>
      </c>
      <c r="K1497" s="9">
        <v>45825</v>
      </c>
      <c r="L1497" s="9">
        <v>45833</v>
      </c>
      <c r="M1497" s="9">
        <v>45831</v>
      </c>
      <c r="N1497" s="2" t="s">
        <v>1790</v>
      </c>
      <c r="O1497" s="2" t="s">
        <v>55</v>
      </c>
      <c r="P1497" s="2" t="s">
        <v>139</v>
      </c>
      <c r="Q1497" s="2" t="s">
        <v>217</v>
      </c>
      <c r="R1497" s="2" t="s">
        <v>128</v>
      </c>
      <c r="S1497" s="2" t="s">
        <v>383</v>
      </c>
      <c r="T1497" s="10">
        <v>13.83</v>
      </c>
      <c r="U1497" s="11">
        <v>1</v>
      </c>
      <c r="V1497" s="12">
        <f>T1497*U1497</f>
        <v>13.83</v>
      </c>
      <c r="W1497" s="13">
        <v>0</v>
      </c>
      <c r="X1497" s="12">
        <f>V1497-(V1497/(1+W1497))</f>
        <v>0</v>
      </c>
      <c r="Y1497" s="12">
        <f>V1497-X1497</f>
        <v>13.83</v>
      </c>
      <c r="Z1497" s="14">
        <v>35</v>
      </c>
      <c r="AA1497" s="2" t="str">
        <f>IF(V1497&gt;Z1497,"Yes","No")</f>
        <v>No</v>
      </c>
      <c r="AB1497" s="12">
        <f>V1497-Z1497</f>
        <v>-21.17</v>
      </c>
      <c r="AC1497" s="15" t="s">
        <v>130</v>
      </c>
      <c r="AD1497" s="15" t="s">
        <v>130</v>
      </c>
      <c r="AE1497" s="15" t="s">
        <v>260</v>
      </c>
      <c r="AF1497" s="12">
        <f>IF(AG1497="Rejected",0,IF(R1497="Corporate Card",0,V1497))</f>
        <v>0</v>
      </c>
      <c r="AG1497" s="15" t="s">
        <v>133</v>
      </c>
      <c r="AH1497" s="16">
        <v>45842</v>
      </c>
      <c r="AI1497" s="16">
        <v>45843</v>
      </c>
      <c r="AJ1497" s="16">
        <v>45854</v>
      </c>
      <c r="AK1497" s="17">
        <f>IF(AJ1497="","",AJ1497-AH1497)</f>
        <v>12</v>
      </c>
    </row>
    <row r="1498" spans="1:37">
      <c r="A1498" s="2" t="s">
        <v>1934</v>
      </c>
      <c r="B1498" s="2" t="s">
        <v>442</v>
      </c>
      <c r="C1498" s="2" t="s">
        <v>443</v>
      </c>
      <c r="D1498" s="2" t="s">
        <v>444</v>
      </c>
      <c r="E1498" s="2" t="s">
        <v>445</v>
      </c>
      <c r="F1498" s="2" t="s">
        <v>446</v>
      </c>
      <c r="G1498" s="2" t="s">
        <v>1927</v>
      </c>
      <c r="H1498" s="2" t="s">
        <v>448</v>
      </c>
      <c r="I1498" s="2" t="s">
        <v>619</v>
      </c>
      <c r="J1498" s="2" t="s">
        <v>381</v>
      </c>
      <c r="K1498" s="9">
        <v>45830</v>
      </c>
      <c r="L1498" s="9">
        <v>45837</v>
      </c>
      <c r="M1498" s="9">
        <v>45831</v>
      </c>
      <c r="N1498" s="2" t="s">
        <v>1790</v>
      </c>
      <c r="O1498" s="2" t="s">
        <v>58</v>
      </c>
      <c r="P1498" s="2" t="s">
        <v>142</v>
      </c>
      <c r="Q1498" s="2" t="s">
        <v>224</v>
      </c>
      <c r="R1498" s="2" t="s">
        <v>137</v>
      </c>
      <c r="S1498" s="2" t="s">
        <v>383</v>
      </c>
      <c r="T1498" s="10">
        <v>42.6</v>
      </c>
      <c r="U1498" s="11">
        <v>1</v>
      </c>
      <c r="V1498" s="12">
        <f>T1498*U1498</f>
        <v>42.6</v>
      </c>
      <c r="W1498" s="13">
        <v>0</v>
      </c>
      <c r="X1498" s="12">
        <f>V1498-(V1498/(1+W1498))</f>
        <v>0</v>
      </c>
      <c r="Y1498" s="12">
        <f>V1498-X1498</f>
        <v>42.6</v>
      </c>
      <c r="Z1498" s="14">
        <v>60</v>
      </c>
      <c r="AA1498" s="2" t="str">
        <f>IF(V1498&gt;Z1498,"Yes","No")</f>
        <v>No</v>
      </c>
      <c r="AB1498" s="12">
        <f>V1498-Z1498</f>
        <v>-17.399999999999999</v>
      </c>
      <c r="AC1498" s="15" t="s">
        <v>130</v>
      </c>
      <c r="AD1498" s="15" t="s">
        <v>130</v>
      </c>
      <c r="AE1498" s="15" t="s">
        <v>858</v>
      </c>
      <c r="AF1498" s="12">
        <f>IF(AG1498="Rejected",0,IF(R1498="Corporate Card",0,V1498))</f>
        <v>42.6</v>
      </c>
      <c r="AG1498" s="15" t="s">
        <v>133</v>
      </c>
      <c r="AH1498" s="16">
        <v>45849</v>
      </c>
      <c r="AI1498" s="16">
        <v>45855</v>
      </c>
      <c r="AJ1498" s="16">
        <v>45861</v>
      </c>
      <c r="AK1498" s="17">
        <f>IF(AJ1498="","",AJ1498-AH1498)</f>
        <v>12</v>
      </c>
    </row>
    <row r="1499" spans="1:37">
      <c r="A1499" s="2" t="s">
        <v>1935</v>
      </c>
      <c r="B1499" s="2" t="s">
        <v>442</v>
      </c>
      <c r="C1499" s="2" t="s">
        <v>443</v>
      </c>
      <c r="D1499" s="2" t="s">
        <v>444</v>
      </c>
      <c r="E1499" s="2" t="s">
        <v>445</v>
      </c>
      <c r="F1499" s="2" t="s">
        <v>446</v>
      </c>
      <c r="G1499" s="2" t="s">
        <v>1927</v>
      </c>
      <c r="H1499" s="2" t="s">
        <v>448</v>
      </c>
      <c r="I1499" s="2" t="s">
        <v>619</v>
      </c>
      <c r="J1499" s="2" t="s">
        <v>381</v>
      </c>
      <c r="K1499" s="9">
        <v>45830</v>
      </c>
      <c r="L1499" s="9">
        <v>45837</v>
      </c>
      <c r="M1499" s="9">
        <v>45831</v>
      </c>
      <c r="N1499" s="2" t="s">
        <v>1790</v>
      </c>
      <c r="O1499" s="2" t="s">
        <v>53</v>
      </c>
      <c r="P1499" s="2" t="s">
        <v>208</v>
      </c>
      <c r="Q1499" s="2" t="s">
        <v>146</v>
      </c>
      <c r="R1499" s="2" t="s">
        <v>128</v>
      </c>
      <c r="S1499" s="2" t="s">
        <v>383</v>
      </c>
      <c r="T1499" s="10">
        <v>1935.42</v>
      </c>
      <c r="U1499" s="11">
        <v>1</v>
      </c>
      <c r="V1499" s="12">
        <f>T1499*U1499</f>
        <v>1935.42</v>
      </c>
      <c r="W1499" s="13">
        <v>0</v>
      </c>
      <c r="X1499" s="12">
        <f>V1499-(V1499/(1+W1499))</f>
        <v>0</v>
      </c>
      <c r="Y1499" s="12">
        <f>V1499-X1499</f>
        <v>1935.42</v>
      </c>
      <c r="Z1499" s="14">
        <v>1960</v>
      </c>
      <c r="AA1499" s="2" t="str">
        <f>IF(V1499&gt;Z1499,"Yes","No")</f>
        <v>No</v>
      </c>
      <c r="AB1499" s="12">
        <f>V1499-Z1499</f>
        <v>-24.579999999999927</v>
      </c>
      <c r="AC1499" s="15" t="s">
        <v>130</v>
      </c>
      <c r="AD1499" s="15" t="s">
        <v>130</v>
      </c>
      <c r="AE1499" s="15" t="s">
        <v>858</v>
      </c>
      <c r="AF1499" s="12">
        <f>IF(AG1499="Rejected",0,IF(R1499="Corporate Card",0,V1499))</f>
        <v>0</v>
      </c>
      <c r="AG1499" s="15" t="s">
        <v>133</v>
      </c>
      <c r="AH1499" s="16">
        <v>45849</v>
      </c>
      <c r="AI1499" s="16">
        <v>45855</v>
      </c>
      <c r="AJ1499" s="16">
        <v>45861</v>
      </c>
      <c r="AK1499" s="17">
        <f>IF(AJ1499="","",AJ1499-AH1499)</f>
        <v>12</v>
      </c>
    </row>
    <row r="1500" spans="1:37">
      <c r="A1500" s="2" t="s">
        <v>1936</v>
      </c>
      <c r="B1500" s="2" t="s">
        <v>442</v>
      </c>
      <c r="C1500" s="2" t="s">
        <v>443</v>
      </c>
      <c r="D1500" s="2" t="s">
        <v>444</v>
      </c>
      <c r="E1500" s="2" t="s">
        <v>445</v>
      </c>
      <c r="F1500" s="2" t="s">
        <v>446</v>
      </c>
      <c r="G1500" s="2" t="s">
        <v>1927</v>
      </c>
      <c r="H1500" s="2" t="s">
        <v>448</v>
      </c>
      <c r="I1500" s="2" t="s">
        <v>619</v>
      </c>
      <c r="J1500" s="2" t="s">
        <v>381</v>
      </c>
      <c r="K1500" s="9">
        <v>45830</v>
      </c>
      <c r="L1500" s="9">
        <v>45837</v>
      </c>
      <c r="M1500" s="9">
        <v>45831</v>
      </c>
      <c r="N1500" s="2" t="s">
        <v>1790</v>
      </c>
      <c r="O1500" s="2" t="s">
        <v>54</v>
      </c>
      <c r="P1500" s="2" t="s">
        <v>139</v>
      </c>
      <c r="Q1500" s="2" t="s">
        <v>214</v>
      </c>
      <c r="R1500" s="2" t="s">
        <v>128</v>
      </c>
      <c r="S1500" s="2" t="s">
        <v>383</v>
      </c>
      <c r="T1500" s="10">
        <v>13.25</v>
      </c>
      <c r="U1500" s="11">
        <v>1</v>
      </c>
      <c r="V1500" s="12">
        <f>T1500*U1500</f>
        <v>13.25</v>
      </c>
      <c r="W1500" s="13">
        <v>0</v>
      </c>
      <c r="X1500" s="12">
        <f>V1500-(V1500/(1+W1500))</f>
        <v>0</v>
      </c>
      <c r="Y1500" s="12">
        <f>V1500-X1500</f>
        <v>13.25</v>
      </c>
      <c r="Z1500" s="14">
        <v>25</v>
      </c>
      <c r="AA1500" s="2" t="str">
        <f>IF(V1500&gt;Z1500,"Yes","No")</f>
        <v>No</v>
      </c>
      <c r="AB1500" s="12">
        <f>V1500-Z1500</f>
        <v>-11.75</v>
      </c>
      <c r="AC1500" s="15" t="s">
        <v>130</v>
      </c>
      <c r="AD1500" s="15" t="s">
        <v>130</v>
      </c>
      <c r="AE1500" s="15" t="s">
        <v>858</v>
      </c>
      <c r="AF1500" s="12">
        <f>IF(AG1500="Rejected",0,IF(R1500="Corporate Card",0,V1500))</f>
        <v>0</v>
      </c>
      <c r="AG1500" s="15" t="s">
        <v>133</v>
      </c>
      <c r="AH1500" s="16">
        <v>45849</v>
      </c>
      <c r="AI1500" s="16">
        <v>45855</v>
      </c>
      <c r="AJ1500" s="16">
        <v>45861</v>
      </c>
      <c r="AK1500" s="17">
        <f>IF(AJ1500="","",AJ1500-AH1500)</f>
        <v>12</v>
      </c>
    </row>
    <row r="1501" spans="1:37">
      <c r="A1501" s="2" t="s">
        <v>1937</v>
      </c>
      <c r="B1501" s="2" t="s">
        <v>442</v>
      </c>
      <c r="C1501" s="2" t="s">
        <v>443</v>
      </c>
      <c r="D1501" s="2" t="s">
        <v>444</v>
      </c>
      <c r="E1501" s="2" t="s">
        <v>445</v>
      </c>
      <c r="F1501" s="2" t="s">
        <v>446</v>
      </c>
      <c r="G1501" s="2" t="s">
        <v>1927</v>
      </c>
      <c r="H1501" s="2" t="s">
        <v>448</v>
      </c>
      <c r="I1501" s="2" t="s">
        <v>619</v>
      </c>
      <c r="J1501" s="2" t="s">
        <v>381</v>
      </c>
      <c r="K1501" s="9">
        <v>45830</v>
      </c>
      <c r="L1501" s="9">
        <v>45837</v>
      </c>
      <c r="M1501" s="9">
        <v>45831</v>
      </c>
      <c r="N1501" s="2" t="s">
        <v>1790</v>
      </c>
      <c r="O1501" s="2" t="s">
        <v>55</v>
      </c>
      <c r="P1501" s="2" t="s">
        <v>139</v>
      </c>
      <c r="Q1501" s="2" t="s">
        <v>217</v>
      </c>
      <c r="R1501" s="2" t="s">
        <v>128</v>
      </c>
      <c r="S1501" s="2" t="s">
        <v>383</v>
      </c>
      <c r="T1501" s="10">
        <v>13.97</v>
      </c>
      <c r="U1501" s="11">
        <v>1</v>
      </c>
      <c r="V1501" s="12">
        <f>T1501*U1501</f>
        <v>13.97</v>
      </c>
      <c r="W1501" s="13">
        <v>0</v>
      </c>
      <c r="X1501" s="12">
        <f>V1501-(V1501/(1+W1501))</f>
        <v>0</v>
      </c>
      <c r="Y1501" s="12">
        <f>V1501-X1501</f>
        <v>13.97</v>
      </c>
      <c r="Z1501" s="14">
        <v>35</v>
      </c>
      <c r="AA1501" s="2" t="str">
        <f>IF(V1501&gt;Z1501,"Yes","No")</f>
        <v>No</v>
      </c>
      <c r="AB1501" s="12">
        <f>V1501-Z1501</f>
        <v>-21.03</v>
      </c>
      <c r="AC1501" s="15" t="s">
        <v>131</v>
      </c>
      <c r="AD1501" s="15" t="s">
        <v>130</v>
      </c>
      <c r="AE1501" s="15" t="s">
        <v>858</v>
      </c>
      <c r="AF1501" s="12">
        <f>IF(AG1501="Rejected",0,IF(R1501="Corporate Card",0,V1501))</f>
        <v>0</v>
      </c>
      <c r="AG1501" s="15" t="s">
        <v>133</v>
      </c>
      <c r="AH1501" s="16">
        <v>45849</v>
      </c>
      <c r="AI1501" s="16">
        <v>45855</v>
      </c>
      <c r="AJ1501" s="16">
        <v>45861</v>
      </c>
      <c r="AK1501" s="17">
        <f>IF(AJ1501="","",AJ1501-AH1501)</f>
        <v>12</v>
      </c>
    </row>
    <row r="1502" spans="1:37">
      <c r="A1502" s="2" t="s">
        <v>1938</v>
      </c>
      <c r="B1502" s="2" t="s">
        <v>248</v>
      </c>
      <c r="C1502" s="2" t="s">
        <v>249</v>
      </c>
      <c r="D1502" s="2" t="s">
        <v>250</v>
      </c>
      <c r="E1502" s="2" t="s">
        <v>251</v>
      </c>
      <c r="F1502" s="2" t="s">
        <v>252</v>
      </c>
      <c r="G1502" s="2" t="s">
        <v>1889</v>
      </c>
      <c r="H1502" s="2" t="s">
        <v>417</v>
      </c>
      <c r="I1502" s="2" t="s">
        <v>1038</v>
      </c>
      <c r="J1502" s="2" t="s">
        <v>381</v>
      </c>
      <c r="K1502" s="9">
        <v>45825</v>
      </c>
      <c r="L1502" s="9">
        <v>45833</v>
      </c>
      <c r="M1502" s="9">
        <v>45832</v>
      </c>
      <c r="N1502" s="2" t="s">
        <v>1790</v>
      </c>
      <c r="O1502" s="2" t="s">
        <v>54</v>
      </c>
      <c r="P1502" s="2" t="s">
        <v>139</v>
      </c>
      <c r="Q1502" s="2" t="s">
        <v>214</v>
      </c>
      <c r="R1502" s="2" t="s">
        <v>149</v>
      </c>
      <c r="S1502" s="2" t="s">
        <v>383</v>
      </c>
      <c r="T1502" s="10">
        <v>14.53</v>
      </c>
      <c r="U1502" s="11">
        <v>1</v>
      </c>
      <c r="V1502" s="12">
        <f>T1502*U1502</f>
        <v>14.53</v>
      </c>
      <c r="W1502" s="13">
        <v>0</v>
      </c>
      <c r="X1502" s="12">
        <f>V1502-(V1502/(1+W1502))</f>
        <v>0</v>
      </c>
      <c r="Y1502" s="12">
        <f>V1502-X1502</f>
        <v>14.53</v>
      </c>
      <c r="Z1502" s="14">
        <v>25</v>
      </c>
      <c r="AA1502" s="2" t="str">
        <f>IF(V1502&gt;Z1502,"Yes","No")</f>
        <v>No</v>
      </c>
      <c r="AB1502" s="12">
        <f>V1502-Z1502</f>
        <v>-10.47</v>
      </c>
      <c r="AC1502" s="15" t="s">
        <v>130</v>
      </c>
      <c r="AD1502" s="15" t="s">
        <v>130</v>
      </c>
      <c r="AE1502" s="15" t="s">
        <v>260</v>
      </c>
      <c r="AF1502" s="12">
        <f>IF(AG1502="Rejected",0,IF(R1502="Corporate Card",0,V1502))</f>
        <v>14.53</v>
      </c>
      <c r="AG1502" s="15" t="s">
        <v>133</v>
      </c>
      <c r="AH1502" s="16">
        <v>45842</v>
      </c>
      <c r="AI1502" s="16">
        <v>45843</v>
      </c>
      <c r="AJ1502" s="16">
        <v>45854</v>
      </c>
      <c r="AK1502" s="17">
        <f>IF(AJ1502="","",AJ1502-AH1502)</f>
        <v>12</v>
      </c>
    </row>
    <row r="1503" spans="1:37">
      <c r="A1503" s="2" t="s">
        <v>1939</v>
      </c>
      <c r="B1503" s="2" t="s">
        <v>248</v>
      </c>
      <c r="C1503" s="2" t="s">
        <v>249</v>
      </c>
      <c r="D1503" s="2" t="s">
        <v>250</v>
      </c>
      <c r="E1503" s="2" t="s">
        <v>251</v>
      </c>
      <c r="F1503" s="2" t="s">
        <v>252</v>
      </c>
      <c r="G1503" s="2" t="s">
        <v>1889</v>
      </c>
      <c r="H1503" s="2" t="s">
        <v>417</v>
      </c>
      <c r="I1503" s="2" t="s">
        <v>1038</v>
      </c>
      <c r="J1503" s="2" t="s">
        <v>381</v>
      </c>
      <c r="K1503" s="9">
        <v>45825</v>
      </c>
      <c r="L1503" s="9">
        <v>45833</v>
      </c>
      <c r="M1503" s="9">
        <v>45832</v>
      </c>
      <c r="N1503" s="2" t="s">
        <v>1790</v>
      </c>
      <c r="O1503" s="2" t="s">
        <v>56</v>
      </c>
      <c r="P1503" s="2" t="s">
        <v>151</v>
      </c>
      <c r="Q1503" s="2" t="s">
        <v>152</v>
      </c>
      <c r="R1503" s="2" t="s">
        <v>128</v>
      </c>
      <c r="S1503" s="2" t="s">
        <v>383</v>
      </c>
      <c r="T1503" s="10">
        <v>60.96</v>
      </c>
      <c r="U1503" s="11">
        <v>1</v>
      </c>
      <c r="V1503" s="12">
        <f>T1503*U1503</f>
        <v>60.96</v>
      </c>
      <c r="W1503" s="13">
        <v>0</v>
      </c>
      <c r="X1503" s="12">
        <f>V1503-(V1503/(1+W1503))</f>
        <v>0</v>
      </c>
      <c r="Y1503" s="12">
        <f>V1503-X1503</f>
        <v>60.96</v>
      </c>
      <c r="Z1503" s="14">
        <v>75</v>
      </c>
      <c r="AA1503" s="2" t="str">
        <f>IF(V1503&gt;Z1503,"Yes","No")</f>
        <v>No</v>
      </c>
      <c r="AB1503" s="12">
        <f>V1503-Z1503</f>
        <v>-14.04</v>
      </c>
      <c r="AC1503" s="15" t="s">
        <v>130</v>
      </c>
      <c r="AD1503" s="15" t="s">
        <v>130</v>
      </c>
      <c r="AE1503" s="15" t="s">
        <v>260</v>
      </c>
      <c r="AF1503" s="12">
        <f>IF(AG1503="Rejected",0,IF(R1503="Corporate Card",0,V1503))</f>
        <v>0</v>
      </c>
      <c r="AG1503" s="15" t="s">
        <v>133</v>
      </c>
      <c r="AH1503" s="16">
        <v>45842</v>
      </c>
      <c r="AI1503" s="16">
        <v>45843</v>
      </c>
      <c r="AJ1503" s="16">
        <v>45854</v>
      </c>
      <c r="AK1503" s="17">
        <f>IF(AJ1503="","",AJ1503-AH1503)</f>
        <v>12</v>
      </c>
    </row>
    <row r="1504" spans="1:37">
      <c r="A1504" s="2" t="s">
        <v>1940</v>
      </c>
      <c r="B1504" s="2" t="s">
        <v>248</v>
      </c>
      <c r="C1504" s="2" t="s">
        <v>249</v>
      </c>
      <c r="D1504" s="2" t="s">
        <v>250</v>
      </c>
      <c r="E1504" s="2" t="s">
        <v>251</v>
      </c>
      <c r="F1504" s="2" t="s">
        <v>252</v>
      </c>
      <c r="G1504" s="2" t="s">
        <v>1889</v>
      </c>
      <c r="H1504" s="2" t="s">
        <v>417</v>
      </c>
      <c r="I1504" s="2" t="s">
        <v>1038</v>
      </c>
      <c r="J1504" s="2" t="s">
        <v>381</v>
      </c>
      <c r="K1504" s="9">
        <v>45825</v>
      </c>
      <c r="L1504" s="9">
        <v>45833</v>
      </c>
      <c r="M1504" s="9">
        <v>45832</v>
      </c>
      <c r="N1504" s="2" t="s">
        <v>1790</v>
      </c>
      <c r="O1504" s="2" t="s">
        <v>55</v>
      </c>
      <c r="P1504" s="2" t="s">
        <v>139</v>
      </c>
      <c r="Q1504" s="2" t="s">
        <v>161</v>
      </c>
      <c r="R1504" s="2" t="s">
        <v>128</v>
      </c>
      <c r="S1504" s="2" t="s">
        <v>383</v>
      </c>
      <c r="T1504" s="10">
        <v>33.15</v>
      </c>
      <c r="U1504" s="11">
        <v>1</v>
      </c>
      <c r="V1504" s="12">
        <f>T1504*U1504</f>
        <v>33.15</v>
      </c>
      <c r="W1504" s="13">
        <v>0</v>
      </c>
      <c r="X1504" s="12">
        <f>V1504-(V1504/(1+W1504))</f>
        <v>0</v>
      </c>
      <c r="Y1504" s="12">
        <f>V1504-X1504</f>
        <v>33.15</v>
      </c>
      <c r="Z1504" s="14">
        <v>35</v>
      </c>
      <c r="AA1504" s="2" t="str">
        <f>IF(V1504&gt;Z1504,"Yes","No")</f>
        <v>No</v>
      </c>
      <c r="AB1504" s="12">
        <f>V1504-Z1504</f>
        <v>-1.8500000000000014</v>
      </c>
      <c r="AC1504" s="15" t="s">
        <v>130</v>
      </c>
      <c r="AD1504" s="15" t="s">
        <v>130</v>
      </c>
      <c r="AE1504" s="15" t="s">
        <v>260</v>
      </c>
      <c r="AF1504" s="12">
        <f>IF(AG1504="Rejected",0,IF(R1504="Corporate Card",0,V1504))</f>
        <v>0</v>
      </c>
      <c r="AG1504" s="15" t="s">
        <v>133</v>
      </c>
      <c r="AH1504" s="16">
        <v>45842</v>
      </c>
      <c r="AI1504" s="16">
        <v>45843</v>
      </c>
      <c r="AJ1504" s="16">
        <v>45854</v>
      </c>
      <c r="AK1504" s="17">
        <f>IF(AJ1504="","",AJ1504-AH1504)</f>
        <v>12</v>
      </c>
    </row>
    <row r="1505" spans="1:37">
      <c r="A1505" s="2" t="s">
        <v>1941</v>
      </c>
      <c r="B1505" s="2" t="s">
        <v>442</v>
      </c>
      <c r="C1505" s="2" t="s">
        <v>443</v>
      </c>
      <c r="D1505" s="2" t="s">
        <v>444</v>
      </c>
      <c r="E1505" s="2" t="s">
        <v>445</v>
      </c>
      <c r="F1505" s="2" t="s">
        <v>446</v>
      </c>
      <c r="G1505" s="2" t="s">
        <v>1927</v>
      </c>
      <c r="H1505" s="2" t="s">
        <v>448</v>
      </c>
      <c r="I1505" s="2" t="s">
        <v>619</v>
      </c>
      <c r="J1505" s="2" t="s">
        <v>381</v>
      </c>
      <c r="K1505" s="9">
        <v>45830</v>
      </c>
      <c r="L1505" s="9">
        <v>45837</v>
      </c>
      <c r="M1505" s="9">
        <v>45832</v>
      </c>
      <c r="N1505" s="2" t="s">
        <v>1790</v>
      </c>
      <c r="O1505" s="2" t="s">
        <v>54</v>
      </c>
      <c r="P1505" s="2" t="s">
        <v>139</v>
      </c>
      <c r="Q1505" s="2" t="s">
        <v>140</v>
      </c>
      <c r="R1505" s="2" t="s">
        <v>149</v>
      </c>
      <c r="S1505" s="2" t="s">
        <v>383</v>
      </c>
      <c r="T1505" s="10">
        <v>14.17</v>
      </c>
      <c r="U1505" s="11">
        <v>1</v>
      </c>
      <c r="V1505" s="12">
        <f>T1505*U1505</f>
        <v>14.17</v>
      </c>
      <c r="W1505" s="13">
        <v>0</v>
      </c>
      <c r="X1505" s="12">
        <f>V1505-(V1505/(1+W1505))</f>
        <v>0</v>
      </c>
      <c r="Y1505" s="12">
        <f>V1505-X1505</f>
        <v>14.17</v>
      </c>
      <c r="Z1505" s="14">
        <v>25</v>
      </c>
      <c r="AA1505" s="2" t="str">
        <f>IF(V1505&gt;Z1505,"Yes","No")</f>
        <v>No</v>
      </c>
      <c r="AB1505" s="12">
        <f>V1505-Z1505</f>
        <v>-10.83</v>
      </c>
      <c r="AC1505" s="15" t="s">
        <v>130</v>
      </c>
      <c r="AD1505" s="15" t="s">
        <v>130</v>
      </c>
      <c r="AE1505" s="15" t="s">
        <v>858</v>
      </c>
      <c r="AF1505" s="12">
        <f>IF(AG1505="Rejected",0,IF(R1505="Corporate Card",0,V1505))</f>
        <v>14.17</v>
      </c>
      <c r="AG1505" s="15" t="s">
        <v>133</v>
      </c>
      <c r="AH1505" s="16">
        <v>45849</v>
      </c>
      <c r="AI1505" s="16">
        <v>45855</v>
      </c>
      <c r="AJ1505" s="16">
        <v>45861</v>
      </c>
      <c r="AK1505" s="17">
        <f>IF(AJ1505="","",AJ1505-AH1505)</f>
        <v>12</v>
      </c>
    </row>
    <row r="1506" spans="1:37">
      <c r="A1506" s="2" t="s">
        <v>1942</v>
      </c>
      <c r="B1506" s="2" t="s">
        <v>442</v>
      </c>
      <c r="C1506" s="2" t="s">
        <v>443</v>
      </c>
      <c r="D1506" s="2" t="s">
        <v>444</v>
      </c>
      <c r="E1506" s="2" t="s">
        <v>445</v>
      </c>
      <c r="F1506" s="2" t="s">
        <v>446</v>
      </c>
      <c r="G1506" s="2" t="s">
        <v>1927</v>
      </c>
      <c r="H1506" s="2" t="s">
        <v>448</v>
      </c>
      <c r="I1506" s="2" t="s">
        <v>619</v>
      </c>
      <c r="J1506" s="2" t="s">
        <v>381</v>
      </c>
      <c r="K1506" s="9">
        <v>45830</v>
      </c>
      <c r="L1506" s="9">
        <v>45837</v>
      </c>
      <c r="M1506" s="9">
        <v>45832</v>
      </c>
      <c r="N1506" s="2" t="s">
        <v>1790</v>
      </c>
      <c r="O1506" s="2" t="s">
        <v>56</v>
      </c>
      <c r="P1506" s="2" t="s">
        <v>165</v>
      </c>
      <c r="Q1506" s="2" t="s">
        <v>185</v>
      </c>
      <c r="R1506" s="2" t="s">
        <v>128</v>
      </c>
      <c r="S1506" s="2" t="s">
        <v>383</v>
      </c>
      <c r="T1506" s="10">
        <v>96.5</v>
      </c>
      <c r="U1506" s="11">
        <v>1</v>
      </c>
      <c r="V1506" s="12">
        <f>T1506*U1506</f>
        <v>96.5</v>
      </c>
      <c r="W1506" s="13">
        <v>0</v>
      </c>
      <c r="X1506" s="12">
        <f>V1506-(V1506/(1+W1506))</f>
        <v>0</v>
      </c>
      <c r="Y1506" s="12">
        <f>V1506-X1506</f>
        <v>96.5</v>
      </c>
      <c r="Z1506" s="14">
        <v>75</v>
      </c>
      <c r="AA1506" s="2" t="str">
        <f>IF(V1506&gt;Z1506,"Yes","No")</f>
        <v>Yes</v>
      </c>
      <c r="AB1506" s="12">
        <f>V1506-Z1506</f>
        <v>21.5</v>
      </c>
      <c r="AC1506" s="15" t="s">
        <v>130</v>
      </c>
      <c r="AD1506" s="15" t="s">
        <v>130</v>
      </c>
      <c r="AE1506" s="15" t="s">
        <v>858</v>
      </c>
      <c r="AF1506" s="12">
        <f>IF(AG1506="Rejected",0,IF(R1506="Corporate Card",0,V1506))</f>
        <v>0</v>
      </c>
      <c r="AG1506" s="15" t="s">
        <v>133</v>
      </c>
      <c r="AH1506" s="16">
        <v>45849</v>
      </c>
      <c r="AI1506" s="16">
        <v>45855</v>
      </c>
      <c r="AJ1506" s="16">
        <v>45861</v>
      </c>
      <c r="AK1506" s="17">
        <f>IF(AJ1506="","",AJ1506-AH1506)</f>
        <v>12</v>
      </c>
    </row>
    <row r="1507" spans="1:37">
      <c r="A1507" s="2" t="s">
        <v>1943</v>
      </c>
      <c r="B1507" s="2" t="s">
        <v>442</v>
      </c>
      <c r="C1507" s="2" t="s">
        <v>443</v>
      </c>
      <c r="D1507" s="2" t="s">
        <v>444</v>
      </c>
      <c r="E1507" s="2" t="s">
        <v>445</v>
      </c>
      <c r="F1507" s="2" t="s">
        <v>446</v>
      </c>
      <c r="G1507" s="2" t="s">
        <v>1927</v>
      </c>
      <c r="H1507" s="2" t="s">
        <v>448</v>
      </c>
      <c r="I1507" s="2" t="s">
        <v>619</v>
      </c>
      <c r="J1507" s="2" t="s">
        <v>381</v>
      </c>
      <c r="K1507" s="9">
        <v>45830</v>
      </c>
      <c r="L1507" s="9">
        <v>45837</v>
      </c>
      <c r="M1507" s="9">
        <v>45832</v>
      </c>
      <c r="N1507" s="2" t="s">
        <v>1790</v>
      </c>
      <c r="O1507" s="2" t="s">
        <v>55</v>
      </c>
      <c r="P1507" s="2" t="s">
        <v>139</v>
      </c>
      <c r="Q1507" s="2" t="s">
        <v>154</v>
      </c>
      <c r="R1507" s="2" t="s">
        <v>128</v>
      </c>
      <c r="S1507" s="2" t="s">
        <v>383</v>
      </c>
      <c r="T1507" s="10">
        <v>23.57</v>
      </c>
      <c r="U1507" s="11">
        <v>1</v>
      </c>
      <c r="V1507" s="12">
        <f>T1507*U1507</f>
        <v>23.57</v>
      </c>
      <c r="W1507" s="13">
        <v>0</v>
      </c>
      <c r="X1507" s="12">
        <f>V1507-(V1507/(1+W1507))</f>
        <v>0</v>
      </c>
      <c r="Y1507" s="12">
        <f>V1507-X1507</f>
        <v>23.57</v>
      </c>
      <c r="Z1507" s="14">
        <v>35</v>
      </c>
      <c r="AA1507" s="2" t="str">
        <f>IF(V1507&gt;Z1507,"Yes","No")</f>
        <v>No</v>
      </c>
      <c r="AB1507" s="12">
        <f>V1507-Z1507</f>
        <v>-11.43</v>
      </c>
      <c r="AC1507" s="15" t="s">
        <v>131</v>
      </c>
      <c r="AD1507" s="15" t="s">
        <v>130</v>
      </c>
      <c r="AE1507" s="15" t="s">
        <v>858</v>
      </c>
      <c r="AF1507" s="12">
        <f>IF(AG1507="Rejected",0,IF(R1507="Corporate Card",0,V1507))</f>
        <v>0</v>
      </c>
      <c r="AG1507" s="15" t="s">
        <v>133</v>
      </c>
      <c r="AH1507" s="16">
        <v>45849</v>
      </c>
      <c r="AI1507" s="16">
        <v>45855</v>
      </c>
      <c r="AJ1507" s="16">
        <v>45861</v>
      </c>
      <c r="AK1507" s="17">
        <f>IF(AJ1507="","",AJ1507-AH1507)</f>
        <v>12</v>
      </c>
    </row>
    <row r="1508" spans="1:37">
      <c r="A1508" s="2" t="s">
        <v>1944</v>
      </c>
      <c r="B1508" s="2" t="s">
        <v>248</v>
      </c>
      <c r="C1508" s="2" t="s">
        <v>249</v>
      </c>
      <c r="D1508" s="2" t="s">
        <v>250</v>
      </c>
      <c r="E1508" s="2" t="s">
        <v>251</v>
      </c>
      <c r="F1508" s="2" t="s">
        <v>252</v>
      </c>
      <c r="G1508" s="2" t="s">
        <v>1889</v>
      </c>
      <c r="H1508" s="2" t="s">
        <v>417</v>
      </c>
      <c r="I1508" s="2" t="s">
        <v>1038</v>
      </c>
      <c r="J1508" s="2" t="s">
        <v>381</v>
      </c>
      <c r="K1508" s="9">
        <v>45825</v>
      </c>
      <c r="L1508" s="9">
        <v>45833</v>
      </c>
      <c r="M1508" s="9">
        <v>45833</v>
      </c>
      <c r="N1508" s="2" t="s">
        <v>1790</v>
      </c>
      <c r="O1508" s="2" t="s">
        <v>58</v>
      </c>
      <c r="P1508" s="2" t="s">
        <v>142</v>
      </c>
      <c r="Q1508" s="2" t="s">
        <v>203</v>
      </c>
      <c r="R1508" s="2" t="s">
        <v>149</v>
      </c>
      <c r="S1508" s="2" t="s">
        <v>383</v>
      </c>
      <c r="T1508" s="10">
        <v>31.42</v>
      </c>
      <c r="U1508" s="11">
        <v>1</v>
      </c>
      <c r="V1508" s="12">
        <f>T1508*U1508</f>
        <v>31.42</v>
      </c>
      <c r="W1508" s="13">
        <v>0</v>
      </c>
      <c r="X1508" s="12">
        <f>V1508-(V1508/(1+W1508))</f>
        <v>0</v>
      </c>
      <c r="Y1508" s="12">
        <f>V1508-X1508</f>
        <v>31.42</v>
      </c>
      <c r="Z1508" s="14">
        <v>60</v>
      </c>
      <c r="AA1508" s="2" t="str">
        <f>IF(V1508&gt;Z1508,"Yes","No")</f>
        <v>No</v>
      </c>
      <c r="AB1508" s="12">
        <f>V1508-Z1508</f>
        <v>-28.58</v>
      </c>
      <c r="AC1508" s="15" t="s">
        <v>130</v>
      </c>
      <c r="AD1508" s="15" t="s">
        <v>130</v>
      </c>
      <c r="AE1508" s="15" t="s">
        <v>260</v>
      </c>
      <c r="AF1508" s="12">
        <f>IF(AG1508="Rejected",0,IF(R1508="Corporate Card",0,V1508))</f>
        <v>31.42</v>
      </c>
      <c r="AG1508" s="15" t="s">
        <v>133</v>
      </c>
      <c r="AH1508" s="16">
        <v>45842</v>
      </c>
      <c r="AI1508" s="16">
        <v>45843</v>
      </c>
      <c r="AJ1508" s="16">
        <v>45854</v>
      </c>
      <c r="AK1508" s="17">
        <f>IF(AJ1508="","",AJ1508-AH1508)</f>
        <v>12</v>
      </c>
    </row>
    <row r="1509" spans="1:37">
      <c r="A1509" s="2" t="s">
        <v>1945</v>
      </c>
      <c r="B1509" s="2" t="s">
        <v>248</v>
      </c>
      <c r="C1509" s="2" t="s">
        <v>249</v>
      </c>
      <c r="D1509" s="2" t="s">
        <v>250</v>
      </c>
      <c r="E1509" s="2" t="s">
        <v>251</v>
      </c>
      <c r="F1509" s="2" t="s">
        <v>252</v>
      </c>
      <c r="G1509" s="2" t="s">
        <v>1889</v>
      </c>
      <c r="H1509" s="2" t="s">
        <v>417</v>
      </c>
      <c r="I1509" s="2" t="s">
        <v>1038</v>
      </c>
      <c r="J1509" s="2" t="s">
        <v>381</v>
      </c>
      <c r="K1509" s="9">
        <v>45825</v>
      </c>
      <c r="L1509" s="9">
        <v>45833</v>
      </c>
      <c r="M1509" s="9">
        <v>45833</v>
      </c>
      <c r="N1509" s="2" t="s">
        <v>1790</v>
      </c>
      <c r="O1509" s="2" t="s">
        <v>54</v>
      </c>
      <c r="P1509" s="2" t="s">
        <v>139</v>
      </c>
      <c r="Q1509" s="2" t="s">
        <v>163</v>
      </c>
      <c r="R1509" s="2" t="s">
        <v>128</v>
      </c>
      <c r="S1509" s="2" t="s">
        <v>383</v>
      </c>
      <c r="T1509" s="10">
        <v>15.35</v>
      </c>
      <c r="U1509" s="11">
        <v>1</v>
      </c>
      <c r="V1509" s="12">
        <f>T1509*U1509</f>
        <v>15.35</v>
      </c>
      <c r="W1509" s="13">
        <v>0</v>
      </c>
      <c r="X1509" s="12">
        <f>V1509-(V1509/(1+W1509))</f>
        <v>0</v>
      </c>
      <c r="Y1509" s="12">
        <f>V1509-X1509</f>
        <v>15.35</v>
      </c>
      <c r="Z1509" s="14">
        <v>25</v>
      </c>
      <c r="AA1509" s="2" t="str">
        <f>IF(V1509&gt;Z1509,"Yes","No")</f>
        <v>No</v>
      </c>
      <c r="AB1509" s="12">
        <f>V1509-Z1509</f>
        <v>-9.65</v>
      </c>
      <c r="AC1509" s="15" t="s">
        <v>130</v>
      </c>
      <c r="AD1509" s="15" t="s">
        <v>130</v>
      </c>
      <c r="AE1509" s="15" t="s">
        <v>260</v>
      </c>
      <c r="AF1509" s="12">
        <f>IF(AG1509="Rejected",0,IF(R1509="Corporate Card",0,V1509))</f>
        <v>0</v>
      </c>
      <c r="AG1509" s="15" t="s">
        <v>133</v>
      </c>
      <c r="AH1509" s="16">
        <v>45842</v>
      </c>
      <c r="AI1509" s="16">
        <v>45843</v>
      </c>
      <c r="AJ1509" s="16">
        <v>45854</v>
      </c>
      <c r="AK1509" s="17">
        <f>IF(AJ1509="","",AJ1509-AH1509)</f>
        <v>12</v>
      </c>
    </row>
    <row r="1510" spans="1:37">
      <c r="A1510" s="2" t="s">
        <v>1946</v>
      </c>
      <c r="B1510" s="2" t="s">
        <v>248</v>
      </c>
      <c r="C1510" s="2" t="s">
        <v>249</v>
      </c>
      <c r="D1510" s="2" t="s">
        <v>250</v>
      </c>
      <c r="E1510" s="2" t="s">
        <v>251</v>
      </c>
      <c r="F1510" s="2" t="s">
        <v>252</v>
      </c>
      <c r="G1510" s="2" t="s">
        <v>1889</v>
      </c>
      <c r="H1510" s="2" t="s">
        <v>417</v>
      </c>
      <c r="I1510" s="2" t="s">
        <v>1038</v>
      </c>
      <c r="J1510" s="2" t="s">
        <v>381</v>
      </c>
      <c r="K1510" s="9">
        <v>45825</v>
      </c>
      <c r="L1510" s="9">
        <v>45833</v>
      </c>
      <c r="M1510" s="9">
        <v>45833</v>
      </c>
      <c r="N1510" s="2" t="s">
        <v>1790</v>
      </c>
      <c r="O1510" s="2" t="s">
        <v>56</v>
      </c>
      <c r="P1510" s="2" t="s">
        <v>151</v>
      </c>
      <c r="Q1510" s="2" t="s">
        <v>159</v>
      </c>
      <c r="R1510" s="2" t="s">
        <v>137</v>
      </c>
      <c r="S1510" s="2" t="s">
        <v>383</v>
      </c>
      <c r="T1510" s="10">
        <v>48.59</v>
      </c>
      <c r="U1510" s="11">
        <v>1</v>
      </c>
      <c r="V1510" s="12">
        <f>T1510*U1510</f>
        <v>48.59</v>
      </c>
      <c r="W1510" s="13">
        <v>0</v>
      </c>
      <c r="X1510" s="12">
        <f>V1510-(V1510/(1+W1510))</f>
        <v>0</v>
      </c>
      <c r="Y1510" s="12">
        <f>V1510-X1510</f>
        <v>48.59</v>
      </c>
      <c r="Z1510" s="14">
        <v>75</v>
      </c>
      <c r="AA1510" s="2" t="str">
        <f>IF(V1510&gt;Z1510,"Yes","No")</f>
        <v>No</v>
      </c>
      <c r="AB1510" s="12">
        <f>V1510-Z1510</f>
        <v>-26.409999999999997</v>
      </c>
      <c r="AC1510" s="15" t="s">
        <v>130</v>
      </c>
      <c r="AD1510" s="15" t="s">
        <v>130</v>
      </c>
      <c r="AE1510" s="15" t="s">
        <v>260</v>
      </c>
      <c r="AF1510" s="12">
        <f>IF(AG1510="Rejected",0,IF(R1510="Corporate Card",0,V1510))</f>
        <v>48.59</v>
      </c>
      <c r="AG1510" s="15" t="s">
        <v>133</v>
      </c>
      <c r="AH1510" s="16">
        <v>45842</v>
      </c>
      <c r="AI1510" s="16">
        <v>45843</v>
      </c>
      <c r="AJ1510" s="16">
        <v>45854</v>
      </c>
      <c r="AK1510" s="17">
        <f>IF(AJ1510="","",AJ1510-AH1510)</f>
        <v>12</v>
      </c>
    </row>
    <row r="1511" spans="1:37">
      <c r="A1511" s="2" t="s">
        <v>1947</v>
      </c>
      <c r="B1511" s="2" t="s">
        <v>248</v>
      </c>
      <c r="C1511" s="2" t="s">
        <v>249</v>
      </c>
      <c r="D1511" s="2" t="s">
        <v>250</v>
      </c>
      <c r="E1511" s="2" t="s">
        <v>251</v>
      </c>
      <c r="F1511" s="2" t="s">
        <v>252</v>
      </c>
      <c r="G1511" s="2" t="s">
        <v>1889</v>
      </c>
      <c r="H1511" s="2" t="s">
        <v>417</v>
      </c>
      <c r="I1511" s="2" t="s">
        <v>1038</v>
      </c>
      <c r="J1511" s="2" t="s">
        <v>381</v>
      </c>
      <c r="K1511" s="9">
        <v>45825</v>
      </c>
      <c r="L1511" s="9">
        <v>45833</v>
      </c>
      <c r="M1511" s="9">
        <v>45833</v>
      </c>
      <c r="N1511" s="2" t="s">
        <v>1790</v>
      </c>
      <c r="O1511" s="2" t="s">
        <v>55</v>
      </c>
      <c r="P1511" s="2" t="s">
        <v>139</v>
      </c>
      <c r="Q1511" s="2" t="s">
        <v>154</v>
      </c>
      <c r="R1511" s="2" t="s">
        <v>149</v>
      </c>
      <c r="S1511" s="2" t="s">
        <v>383</v>
      </c>
      <c r="T1511" s="10">
        <v>26.87</v>
      </c>
      <c r="U1511" s="11">
        <v>1</v>
      </c>
      <c r="V1511" s="12">
        <f>T1511*U1511</f>
        <v>26.87</v>
      </c>
      <c r="W1511" s="13">
        <v>0</v>
      </c>
      <c r="X1511" s="12">
        <f>V1511-(V1511/(1+W1511))</f>
        <v>0</v>
      </c>
      <c r="Y1511" s="12">
        <f>V1511-X1511</f>
        <v>26.87</v>
      </c>
      <c r="Z1511" s="14">
        <v>35</v>
      </c>
      <c r="AA1511" s="2" t="str">
        <f>IF(V1511&gt;Z1511,"Yes","No")</f>
        <v>No</v>
      </c>
      <c r="AB1511" s="12">
        <f>V1511-Z1511</f>
        <v>-8.129999999999999</v>
      </c>
      <c r="AC1511" s="15" t="s">
        <v>130</v>
      </c>
      <c r="AD1511" s="15" t="s">
        <v>130</v>
      </c>
      <c r="AE1511" s="15" t="s">
        <v>260</v>
      </c>
      <c r="AF1511" s="12">
        <f>IF(AG1511="Rejected",0,IF(R1511="Corporate Card",0,V1511))</f>
        <v>26.87</v>
      </c>
      <c r="AG1511" s="15" t="s">
        <v>133</v>
      </c>
      <c r="AH1511" s="16">
        <v>45842</v>
      </c>
      <c r="AI1511" s="16">
        <v>45843</v>
      </c>
      <c r="AJ1511" s="16">
        <v>45854</v>
      </c>
      <c r="AK1511" s="17">
        <f>IF(AJ1511="","",AJ1511-AH1511)</f>
        <v>12</v>
      </c>
    </row>
    <row r="1512" spans="1:37">
      <c r="A1512" s="2" t="s">
        <v>1948</v>
      </c>
      <c r="B1512" s="2" t="s">
        <v>442</v>
      </c>
      <c r="C1512" s="2" t="s">
        <v>443</v>
      </c>
      <c r="D1512" s="2" t="s">
        <v>444</v>
      </c>
      <c r="E1512" s="2" t="s">
        <v>445</v>
      </c>
      <c r="F1512" s="2" t="s">
        <v>446</v>
      </c>
      <c r="G1512" s="2" t="s">
        <v>1927</v>
      </c>
      <c r="H1512" s="2" t="s">
        <v>448</v>
      </c>
      <c r="I1512" s="2" t="s">
        <v>619</v>
      </c>
      <c r="J1512" s="2" t="s">
        <v>381</v>
      </c>
      <c r="K1512" s="9">
        <v>45830</v>
      </c>
      <c r="L1512" s="9">
        <v>45837</v>
      </c>
      <c r="M1512" s="9">
        <v>45833</v>
      </c>
      <c r="N1512" s="2" t="s">
        <v>1790</v>
      </c>
      <c r="O1512" s="2" t="s">
        <v>58</v>
      </c>
      <c r="P1512" s="2" t="s">
        <v>142</v>
      </c>
      <c r="Q1512" s="2" t="s">
        <v>224</v>
      </c>
      <c r="R1512" s="2" t="s">
        <v>128</v>
      </c>
      <c r="S1512" s="2" t="s">
        <v>383</v>
      </c>
      <c r="T1512" s="10">
        <v>29.81</v>
      </c>
      <c r="U1512" s="11">
        <v>1</v>
      </c>
      <c r="V1512" s="12">
        <f>T1512*U1512</f>
        <v>29.81</v>
      </c>
      <c r="W1512" s="13">
        <v>0</v>
      </c>
      <c r="X1512" s="12">
        <f>V1512-(V1512/(1+W1512))</f>
        <v>0</v>
      </c>
      <c r="Y1512" s="12">
        <f>V1512-X1512</f>
        <v>29.81</v>
      </c>
      <c r="Z1512" s="14">
        <v>60</v>
      </c>
      <c r="AA1512" s="2" t="str">
        <f>IF(V1512&gt;Z1512,"Yes","No")</f>
        <v>No</v>
      </c>
      <c r="AB1512" s="12">
        <f>V1512-Z1512</f>
        <v>-30.19</v>
      </c>
      <c r="AC1512" s="15" t="s">
        <v>131</v>
      </c>
      <c r="AD1512" s="15" t="s">
        <v>130</v>
      </c>
      <c r="AE1512" s="15" t="s">
        <v>858</v>
      </c>
      <c r="AF1512" s="12">
        <f>IF(AG1512="Rejected",0,IF(R1512="Corporate Card",0,V1512))</f>
        <v>0</v>
      </c>
      <c r="AG1512" s="15" t="s">
        <v>133</v>
      </c>
      <c r="AH1512" s="16">
        <v>45849</v>
      </c>
      <c r="AI1512" s="16">
        <v>45855</v>
      </c>
      <c r="AJ1512" s="16">
        <v>45861</v>
      </c>
      <c r="AK1512" s="17">
        <f>IF(AJ1512="","",AJ1512-AH1512)</f>
        <v>12</v>
      </c>
    </row>
    <row r="1513" spans="1:37">
      <c r="A1513" s="2" t="s">
        <v>1949</v>
      </c>
      <c r="B1513" s="2" t="s">
        <v>442</v>
      </c>
      <c r="C1513" s="2" t="s">
        <v>443</v>
      </c>
      <c r="D1513" s="2" t="s">
        <v>444</v>
      </c>
      <c r="E1513" s="2" t="s">
        <v>445</v>
      </c>
      <c r="F1513" s="2" t="s">
        <v>446</v>
      </c>
      <c r="G1513" s="2" t="s">
        <v>1927</v>
      </c>
      <c r="H1513" s="2" t="s">
        <v>448</v>
      </c>
      <c r="I1513" s="2" t="s">
        <v>619</v>
      </c>
      <c r="J1513" s="2" t="s">
        <v>381</v>
      </c>
      <c r="K1513" s="9">
        <v>45830</v>
      </c>
      <c r="L1513" s="9">
        <v>45837</v>
      </c>
      <c r="M1513" s="9">
        <v>45833</v>
      </c>
      <c r="N1513" s="2" t="s">
        <v>1790</v>
      </c>
      <c r="O1513" s="2" t="s">
        <v>68</v>
      </c>
      <c r="P1513" s="2" t="s">
        <v>282</v>
      </c>
      <c r="Q1513" s="2" t="s">
        <v>283</v>
      </c>
      <c r="R1513" s="2" t="s">
        <v>128</v>
      </c>
      <c r="S1513" s="2" t="s">
        <v>383</v>
      </c>
      <c r="T1513" s="10">
        <v>15.57</v>
      </c>
      <c r="U1513" s="11">
        <v>1</v>
      </c>
      <c r="V1513" s="12">
        <f>T1513*U1513</f>
        <v>15.57</v>
      </c>
      <c r="W1513" s="13">
        <v>0</v>
      </c>
      <c r="X1513" s="12">
        <f>V1513-(V1513/(1+W1513))</f>
        <v>0</v>
      </c>
      <c r="Y1513" s="12">
        <f>V1513-X1513</f>
        <v>15.57</v>
      </c>
      <c r="Z1513" s="14">
        <v>30</v>
      </c>
      <c r="AA1513" s="2" t="str">
        <f>IF(V1513&gt;Z1513,"Yes","No")</f>
        <v>No</v>
      </c>
      <c r="AB1513" s="12">
        <f>V1513-Z1513</f>
        <v>-14.43</v>
      </c>
      <c r="AC1513" s="15" t="s">
        <v>130</v>
      </c>
      <c r="AD1513" s="15" t="s">
        <v>130</v>
      </c>
      <c r="AE1513" s="15" t="s">
        <v>858</v>
      </c>
      <c r="AF1513" s="12">
        <f>IF(AG1513="Rejected",0,IF(R1513="Corporate Card",0,V1513))</f>
        <v>0</v>
      </c>
      <c r="AG1513" s="15" t="s">
        <v>133</v>
      </c>
      <c r="AH1513" s="16">
        <v>45849</v>
      </c>
      <c r="AI1513" s="16">
        <v>45855</v>
      </c>
      <c r="AJ1513" s="16">
        <v>45861</v>
      </c>
      <c r="AK1513" s="17">
        <f>IF(AJ1513="","",AJ1513-AH1513)</f>
        <v>12</v>
      </c>
    </row>
    <row r="1514" spans="1:37">
      <c r="A1514" s="2" t="s">
        <v>1950</v>
      </c>
      <c r="B1514" s="2" t="s">
        <v>442</v>
      </c>
      <c r="C1514" s="2" t="s">
        <v>443</v>
      </c>
      <c r="D1514" s="2" t="s">
        <v>444</v>
      </c>
      <c r="E1514" s="2" t="s">
        <v>445</v>
      </c>
      <c r="F1514" s="2" t="s">
        <v>446</v>
      </c>
      <c r="G1514" s="2" t="s">
        <v>1927</v>
      </c>
      <c r="H1514" s="2" t="s">
        <v>448</v>
      </c>
      <c r="I1514" s="2" t="s">
        <v>619</v>
      </c>
      <c r="J1514" s="2" t="s">
        <v>381</v>
      </c>
      <c r="K1514" s="9">
        <v>45830</v>
      </c>
      <c r="L1514" s="9">
        <v>45837</v>
      </c>
      <c r="M1514" s="9">
        <v>45833</v>
      </c>
      <c r="N1514" s="2" t="s">
        <v>1790</v>
      </c>
      <c r="O1514" s="2" t="s">
        <v>54</v>
      </c>
      <c r="P1514" s="2" t="s">
        <v>139</v>
      </c>
      <c r="Q1514" s="2" t="s">
        <v>140</v>
      </c>
      <c r="R1514" s="2" t="s">
        <v>149</v>
      </c>
      <c r="S1514" s="2" t="s">
        <v>383</v>
      </c>
      <c r="T1514" s="10">
        <v>17.95</v>
      </c>
      <c r="U1514" s="11">
        <v>1</v>
      </c>
      <c r="V1514" s="12">
        <f>T1514*U1514</f>
        <v>17.95</v>
      </c>
      <c r="W1514" s="13">
        <v>0</v>
      </c>
      <c r="X1514" s="12">
        <f>V1514-(V1514/(1+W1514))</f>
        <v>0</v>
      </c>
      <c r="Y1514" s="12">
        <f>V1514-X1514</f>
        <v>17.95</v>
      </c>
      <c r="Z1514" s="14">
        <v>25</v>
      </c>
      <c r="AA1514" s="2" t="str">
        <f>IF(V1514&gt;Z1514,"Yes","No")</f>
        <v>No</v>
      </c>
      <c r="AB1514" s="12">
        <f>V1514-Z1514</f>
        <v>-7.0500000000000007</v>
      </c>
      <c r="AC1514" s="15" t="s">
        <v>131</v>
      </c>
      <c r="AD1514" s="15" t="s">
        <v>130</v>
      </c>
      <c r="AE1514" s="15" t="s">
        <v>858</v>
      </c>
      <c r="AF1514" s="12">
        <f>IF(AG1514="Rejected",0,IF(R1514="Corporate Card",0,V1514))</f>
        <v>17.95</v>
      </c>
      <c r="AG1514" s="15" t="s">
        <v>133</v>
      </c>
      <c r="AH1514" s="16">
        <v>45849</v>
      </c>
      <c r="AI1514" s="16">
        <v>45855</v>
      </c>
      <c r="AJ1514" s="16">
        <v>45861</v>
      </c>
      <c r="AK1514" s="17">
        <f>IF(AJ1514="","",AJ1514-AH1514)</f>
        <v>12</v>
      </c>
    </row>
    <row r="1515" spans="1:37">
      <c r="A1515" s="2" t="s">
        <v>1951</v>
      </c>
      <c r="B1515" s="2" t="s">
        <v>442</v>
      </c>
      <c r="C1515" s="2" t="s">
        <v>443</v>
      </c>
      <c r="D1515" s="2" t="s">
        <v>444</v>
      </c>
      <c r="E1515" s="2" t="s">
        <v>445</v>
      </c>
      <c r="F1515" s="2" t="s">
        <v>446</v>
      </c>
      <c r="G1515" s="2" t="s">
        <v>1927</v>
      </c>
      <c r="H1515" s="2" t="s">
        <v>448</v>
      </c>
      <c r="I1515" s="2" t="s">
        <v>619</v>
      </c>
      <c r="J1515" s="2" t="s">
        <v>381</v>
      </c>
      <c r="K1515" s="9">
        <v>45830</v>
      </c>
      <c r="L1515" s="9">
        <v>45837</v>
      </c>
      <c r="M1515" s="9">
        <v>45833</v>
      </c>
      <c r="N1515" s="2" t="s">
        <v>1790</v>
      </c>
      <c r="O1515" s="2" t="s">
        <v>56</v>
      </c>
      <c r="P1515" s="2" t="s">
        <v>231</v>
      </c>
      <c r="Q1515" s="2" t="s">
        <v>227</v>
      </c>
      <c r="R1515" s="2" t="s">
        <v>149</v>
      </c>
      <c r="S1515" s="2" t="s">
        <v>383</v>
      </c>
      <c r="T1515" s="10">
        <v>41.96</v>
      </c>
      <c r="U1515" s="11">
        <v>1</v>
      </c>
      <c r="V1515" s="12">
        <f>T1515*U1515</f>
        <v>41.96</v>
      </c>
      <c r="W1515" s="13">
        <v>0</v>
      </c>
      <c r="X1515" s="12">
        <f>V1515-(V1515/(1+W1515))</f>
        <v>0</v>
      </c>
      <c r="Y1515" s="12">
        <f>V1515-X1515</f>
        <v>41.96</v>
      </c>
      <c r="Z1515" s="14">
        <v>75</v>
      </c>
      <c r="AA1515" s="2" t="str">
        <f>IF(V1515&gt;Z1515,"Yes","No")</f>
        <v>No</v>
      </c>
      <c r="AB1515" s="12">
        <f>V1515-Z1515</f>
        <v>-33.04</v>
      </c>
      <c r="AC1515" s="15" t="s">
        <v>130</v>
      </c>
      <c r="AD1515" s="15" t="s">
        <v>130</v>
      </c>
      <c r="AE1515" s="15" t="s">
        <v>858</v>
      </c>
      <c r="AF1515" s="12">
        <f>IF(AG1515="Rejected",0,IF(R1515="Corporate Card",0,V1515))</f>
        <v>41.96</v>
      </c>
      <c r="AG1515" s="15" t="s">
        <v>133</v>
      </c>
      <c r="AH1515" s="16">
        <v>45849</v>
      </c>
      <c r="AI1515" s="16">
        <v>45855</v>
      </c>
      <c r="AJ1515" s="16">
        <v>45861</v>
      </c>
      <c r="AK1515" s="17">
        <f>IF(AJ1515="","",AJ1515-AH1515)</f>
        <v>12</v>
      </c>
    </row>
    <row r="1516" spans="1:37">
      <c r="A1516" s="2" t="s">
        <v>1952</v>
      </c>
      <c r="B1516" s="2" t="s">
        <v>442</v>
      </c>
      <c r="C1516" s="2" t="s">
        <v>443</v>
      </c>
      <c r="D1516" s="2" t="s">
        <v>444</v>
      </c>
      <c r="E1516" s="2" t="s">
        <v>445</v>
      </c>
      <c r="F1516" s="2" t="s">
        <v>446</v>
      </c>
      <c r="G1516" s="2" t="s">
        <v>1927</v>
      </c>
      <c r="H1516" s="2" t="s">
        <v>448</v>
      </c>
      <c r="I1516" s="2" t="s">
        <v>619</v>
      </c>
      <c r="J1516" s="2" t="s">
        <v>381</v>
      </c>
      <c r="K1516" s="9">
        <v>45830</v>
      </c>
      <c r="L1516" s="9">
        <v>45837</v>
      </c>
      <c r="M1516" s="9">
        <v>45833</v>
      </c>
      <c r="N1516" s="2" t="s">
        <v>1790</v>
      </c>
      <c r="O1516" s="2" t="s">
        <v>55</v>
      </c>
      <c r="P1516" s="2" t="s">
        <v>139</v>
      </c>
      <c r="Q1516" s="2" t="s">
        <v>154</v>
      </c>
      <c r="R1516" s="2" t="s">
        <v>149</v>
      </c>
      <c r="S1516" s="2" t="s">
        <v>383</v>
      </c>
      <c r="T1516" s="10">
        <v>32.32</v>
      </c>
      <c r="U1516" s="11">
        <v>1</v>
      </c>
      <c r="V1516" s="12">
        <f>T1516*U1516</f>
        <v>32.32</v>
      </c>
      <c r="W1516" s="13">
        <v>0</v>
      </c>
      <c r="X1516" s="12">
        <f>V1516-(V1516/(1+W1516))</f>
        <v>0</v>
      </c>
      <c r="Y1516" s="12">
        <f>V1516-X1516</f>
        <v>32.32</v>
      </c>
      <c r="Z1516" s="14">
        <v>35</v>
      </c>
      <c r="AA1516" s="2" t="str">
        <f>IF(V1516&gt;Z1516,"Yes","No")</f>
        <v>No</v>
      </c>
      <c r="AB1516" s="12">
        <f>V1516-Z1516</f>
        <v>-2.6799999999999997</v>
      </c>
      <c r="AC1516" s="15" t="s">
        <v>131</v>
      </c>
      <c r="AD1516" s="15" t="s">
        <v>130</v>
      </c>
      <c r="AE1516" s="15" t="s">
        <v>858</v>
      </c>
      <c r="AF1516" s="12">
        <f>IF(AG1516="Rejected",0,IF(R1516="Corporate Card",0,V1516))</f>
        <v>32.32</v>
      </c>
      <c r="AG1516" s="15" t="s">
        <v>133</v>
      </c>
      <c r="AH1516" s="16">
        <v>45849</v>
      </c>
      <c r="AI1516" s="16">
        <v>45855</v>
      </c>
      <c r="AJ1516" s="16">
        <v>45861</v>
      </c>
      <c r="AK1516" s="17">
        <f>IF(AJ1516="","",AJ1516-AH1516)</f>
        <v>12</v>
      </c>
    </row>
    <row r="1517" spans="1:37">
      <c r="A1517" s="2" t="s">
        <v>1953</v>
      </c>
      <c r="B1517" s="2" t="s">
        <v>442</v>
      </c>
      <c r="C1517" s="2" t="s">
        <v>443</v>
      </c>
      <c r="D1517" s="2" t="s">
        <v>444</v>
      </c>
      <c r="E1517" s="2" t="s">
        <v>445</v>
      </c>
      <c r="F1517" s="2" t="s">
        <v>446</v>
      </c>
      <c r="G1517" s="2" t="s">
        <v>1927</v>
      </c>
      <c r="H1517" s="2" t="s">
        <v>448</v>
      </c>
      <c r="I1517" s="2" t="s">
        <v>619</v>
      </c>
      <c r="J1517" s="2" t="s">
        <v>381</v>
      </c>
      <c r="K1517" s="9">
        <v>45830</v>
      </c>
      <c r="L1517" s="9">
        <v>45837</v>
      </c>
      <c r="M1517" s="9">
        <v>45834</v>
      </c>
      <c r="N1517" s="2" t="s">
        <v>1790</v>
      </c>
      <c r="O1517" s="2" t="s">
        <v>58</v>
      </c>
      <c r="P1517" s="2" t="s">
        <v>142</v>
      </c>
      <c r="Q1517" s="2" t="s">
        <v>143</v>
      </c>
      <c r="R1517" s="2" t="s">
        <v>128</v>
      </c>
      <c r="S1517" s="2" t="s">
        <v>383</v>
      </c>
      <c r="T1517" s="10">
        <v>64.55</v>
      </c>
      <c r="U1517" s="11">
        <v>1</v>
      </c>
      <c r="V1517" s="12">
        <f>T1517*U1517</f>
        <v>64.55</v>
      </c>
      <c r="W1517" s="13">
        <v>0</v>
      </c>
      <c r="X1517" s="12">
        <f>V1517-(V1517/(1+W1517))</f>
        <v>0</v>
      </c>
      <c r="Y1517" s="12">
        <f>V1517-X1517</f>
        <v>64.55</v>
      </c>
      <c r="Z1517" s="14">
        <v>60</v>
      </c>
      <c r="AA1517" s="2" t="str">
        <f>IF(V1517&gt;Z1517,"Yes","No")</f>
        <v>Yes</v>
      </c>
      <c r="AB1517" s="12">
        <f>V1517-Z1517</f>
        <v>4.5499999999999972</v>
      </c>
      <c r="AC1517" s="15" t="s">
        <v>130</v>
      </c>
      <c r="AD1517" s="15" t="s">
        <v>130</v>
      </c>
      <c r="AE1517" s="15" t="s">
        <v>858</v>
      </c>
      <c r="AF1517" s="12">
        <f>IF(AG1517="Rejected",0,IF(R1517="Corporate Card",0,V1517))</f>
        <v>0</v>
      </c>
      <c r="AG1517" s="15" t="s">
        <v>133</v>
      </c>
      <c r="AH1517" s="16">
        <v>45849</v>
      </c>
      <c r="AI1517" s="16">
        <v>45855</v>
      </c>
      <c r="AJ1517" s="16">
        <v>45861</v>
      </c>
      <c r="AK1517" s="17">
        <f>IF(AJ1517="","",AJ1517-AH1517)</f>
        <v>12</v>
      </c>
    </row>
    <row r="1518" spans="1:37">
      <c r="A1518" s="2" t="s">
        <v>1954</v>
      </c>
      <c r="B1518" s="2" t="s">
        <v>442</v>
      </c>
      <c r="C1518" s="2" t="s">
        <v>443</v>
      </c>
      <c r="D1518" s="2" t="s">
        <v>444</v>
      </c>
      <c r="E1518" s="2" t="s">
        <v>445</v>
      </c>
      <c r="F1518" s="2" t="s">
        <v>446</v>
      </c>
      <c r="G1518" s="2" t="s">
        <v>1927</v>
      </c>
      <c r="H1518" s="2" t="s">
        <v>448</v>
      </c>
      <c r="I1518" s="2" t="s">
        <v>619</v>
      </c>
      <c r="J1518" s="2" t="s">
        <v>381</v>
      </c>
      <c r="K1518" s="9">
        <v>45830</v>
      </c>
      <c r="L1518" s="9">
        <v>45837</v>
      </c>
      <c r="M1518" s="9">
        <v>45834</v>
      </c>
      <c r="N1518" s="2" t="s">
        <v>1790</v>
      </c>
      <c r="O1518" s="2" t="s">
        <v>54</v>
      </c>
      <c r="P1518" s="2" t="s">
        <v>139</v>
      </c>
      <c r="Q1518" s="2" t="s">
        <v>214</v>
      </c>
      <c r="R1518" s="2" t="s">
        <v>128</v>
      </c>
      <c r="S1518" s="2" t="s">
        <v>383</v>
      </c>
      <c r="T1518" s="10">
        <v>11.41</v>
      </c>
      <c r="U1518" s="11">
        <v>1</v>
      </c>
      <c r="V1518" s="12">
        <f>T1518*U1518</f>
        <v>11.41</v>
      </c>
      <c r="W1518" s="13">
        <v>0</v>
      </c>
      <c r="X1518" s="12">
        <f>V1518-(V1518/(1+W1518))</f>
        <v>0</v>
      </c>
      <c r="Y1518" s="12">
        <f>V1518-X1518</f>
        <v>11.41</v>
      </c>
      <c r="Z1518" s="14">
        <v>25</v>
      </c>
      <c r="AA1518" s="2" t="str">
        <f>IF(V1518&gt;Z1518,"Yes","No")</f>
        <v>No</v>
      </c>
      <c r="AB1518" s="12">
        <f>V1518-Z1518</f>
        <v>-13.59</v>
      </c>
      <c r="AC1518" s="15" t="s">
        <v>130</v>
      </c>
      <c r="AD1518" s="15" t="s">
        <v>130</v>
      </c>
      <c r="AE1518" s="15" t="s">
        <v>858</v>
      </c>
      <c r="AF1518" s="12">
        <f>IF(AG1518="Rejected",0,IF(R1518="Corporate Card",0,V1518))</f>
        <v>0</v>
      </c>
      <c r="AG1518" s="15" t="s">
        <v>133</v>
      </c>
      <c r="AH1518" s="16">
        <v>45849</v>
      </c>
      <c r="AI1518" s="16">
        <v>45855</v>
      </c>
      <c r="AJ1518" s="16">
        <v>45861</v>
      </c>
      <c r="AK1518" s="17">
        <f>IF(AJ1518="","",AJ1518-AH1518)</f>
        <v>12</v>
      </c>
    </row>
    <row r="1519" spans="1:37">
      <c r="A1519" s="2" t="s">
        <v>1955</v>
      </c>
      <c r="B1519" s="2" t="s">
        <v>442</v>
      </c>
      <c r="C1519" s="2" t="s">
        <v>443</v>
      </c>
      <c r="D1519" s="2" t="s">
        <v>444</v>
      </c>
      <c r="E1519" s="2" t="s">
        <v>445</v>
      </c>
      <c r="F1519" s="2" t="s">
        <v>446</v>
      </c>
      <c r="G1519" s="2" t="s">
        <v>1927</v>
      </c>
      <c r="H1519" s="2" t="s">
        <v>448</v>
      </c>
      <c r="I1519" s="2" t="s">
        <v>619</v>
      </c>
      <c r="J1519" s="2" t="s">
        <v>381</v>
      </c>
      <c r="K1519" s="9">
        <v>45830</v>
      </c>
      <c r="L1519" s="9">
        <v>45837</v>
      </c>
      <c r="M1519" s="9">
        <v>45834</v>
      </c>
      <c r="N1519" s="2" t="s">
        <v>1790</v>
      </c>
      <c r="O1519" s="2" t="s">
        <v>56</v>
      </c>
      <c r="P1519" s="2" t="s">
        <v>231</v>
      </c>
      <c r="Q1519" s="2" t="s">
        <v>185</v>
      </c>
      <c r="R1519" s="2" t="s">
        <v>128</v>
      </c>
      <c r="S1519" s="2" t="s">
        <v>383</v>
      </c>
      <c r="T1519" s="10">
        <v>40.11</v>
      </c>
      <c r="U1519" s="11">
        <v>1</v>
      </c>
      <c r="V1519" s="12">
        <f>T1519*U1519</f>
        <v>40.11</v>
      </c>
      <c r="W1519" s="13">
        <v>0</v>
      </c>
      <c r="X1519" s="12">
        <f>V1519-(V1519/(1+W1519))</f>
        <v>0</v>
      </c>
      <c r="Y1519" s="12">
        <f>V1519-X1519</f>
        <v>40.11</v>
      </c>
      <c r="Z1519" s="14">
        <v>75</v>
      </c>
      <c r="AA1519" s="2" t="str">
        <f>IF(V1519&gt;Z1519,"Yes","No")</f>
        <v>No</v>
      </c>
      <c r="AB1519" s="12">
        <f>V1519-Z1519</f>
        <v>-34.89</v>
      </c>
      <c r="AC1519" s="15" t="s">
        <v>130</v>
      </c>
      <c r="AD1519" s="15" t="s">
        <v>130</v>
      </c>
      <c r="AE1519" s="15" t="s">
        <v>858</v>
      </c>
      <c r="AF1519" s="12">
        <f>IF(AG1519="Rejected",0,IF(R1519="Corporate Card",0,V1519))</f>
        <v>0</v>
      </c>
      <c r="AG1519" s="15" t="s">
        <v>133</v>
      </c>
      <c r="AH1519" s="16">
        <v>45849</v>
      </c>
      <c r="AI1519" s="16">
        <v>45855</v>
      </c>
      <c r="AJ1519" s="16">
        <v>45861</v>
      </c>
      <c r="AK1519" s="17">
        <f>IF(AJ1519="","",AJ1519-AH1519)</f>
        <v>12</v>
      </c>
    </row>
    <row r="1520" spans="1:37">
      <c r="A1520" s="2" t="s">
        <v>1956</v>
      </c>
      <c r="B1520" s="2" t="s">
        <v>442</v>
      </c>
      <c r="C1520" s="2" t="s">
        <v>443</v>
      </c>
      <c r="D1520" s="2" t="s">
        <v>444</v>
      </c>
      <c r="E1520" s="2" t="s">
        <v>445</v>
      </c>
      <c r="F1520" s="2" t="s">
        <v>446</v>
      </c>
      <c r="G1520" s="2" t="s">
        <v>1927</v>
      </c>
      <c r="H1520" s="2" t="s">
        <v>448</v>
      </c>
      <c r="I1520" s="2" t="s">
        <v>619</v>
      </c>
      <c r="J1520" s="2" t="s">
        <v>381</v>
      </c>
      <c r="K1520" s="9">
        <v>45830</v>
      </c>
      <c r="L1520" s="9">
        <v>45837</v>
      </c>
      <c r="M1520" s="9">
        <v>45834</v>
      </c>
      <c r="N1520" s="2" t="s">
        <v>1790</v>
      </c>
      <c r="O1520" s="2" t="s">
        <v>55</v>
      </c>
      <c r="P1520" s="2" t="s">
        <v>139</v>
      </c>
      <c r="Q1520" s="2" t="s">
        <v>161</v>
      </c>
      <c r="R1520" s="2" t="s">
        <v>128</v>
      </c>
      <c r="S1520" s="2" t="s">
        <v>383</v>
      </c>
      <c r="T1520" s="10">
        <v>17.22</v>
      </c>
      <c r="U1520" s="11">
        <v>1</v>
      </c>
      <c r="V1520" s="12">
        <f>T1520*U1520</f>
        <v>17.22</v>
      </c>
      <c r="W1520" s="13">
        <v>0</v>
      </c>
      <c r="X1520" s="12">
        <f>V1520-(V1520/(1+W1520))</f>
        <v>0</v>
      </c>
      <c r="Y1520" s="12">
        <f>V1520-X1520</f>
        <v>17.22</v>
      </c>
      <c r="Z1520" s="14">
        <v>35</v>
      </c>
      <c r="AA1520" s="2" t="str">
        <f>IF(V1520&gt;Z1520,"Yes","No")</f>
        <v>No</v>
      </c>
      <c r="AB1520" s="12">
        <f>V1520-Z1520</f>
        <v>-17.78</v>
      </c>
      <c r="AC1520" s="15" t="s">
        <v>131</v>
      </c>
      <c r="AD1520" s="15" t="s">
        <v>130</v>
      </c>
      <c r="AE1520" s="15" t="s">
        <v>858</v>
      </c>
      <c r="AF1520" s="12">
        <f>IF(AG1520="Rejected",0,IF(R1520="Corporate Card",0,V1520))</f>
        <v>0</v>
      </c>
      <c r="AG1520" s="15" t="s">
        <v>133</v>
      </c>
      <c r="AH1520" s="16">
        <v>45849</v>
      </c>
      <c r="AI1520" s="16">
        <v>45855</v>
      </c>
      <c r="AJ1520" s="16">
        <v>45861</v>
      </c>
      <c r="AK1520" s="17">
        <f>IF(AJ1520="","",AJ1520-AH1520)</f>
        <v>12</v>
      </c>
    </row>
    <row r="1521" spans="1:37">
      <c r="A1521" s="2" t="s">
        <v>1957</v>
      </c>
      <c r="B1521" s="2" t="s">
        <v>442</v>
      </c>
      <c r="C1521" s="2" t="s">
        <v>443</v>
      </c>
      <c r="D1521" s="2" t="s">
        <v>444</v>
      </c>
      <c r="E1521" s="2" t="s">
        <v>445</v>
      </c>
      <c r="F1521" s="2" t="s">
        <v>446</v>
      </c>
      <c r="G1521" s="2" t="s">
        <v>1927</v>
      </c>
      <c r="H1521" s="2" t="s">
        <v>448</v>
      </c>
      <c r="I1521" s="2" t="s">
        <v>619</v>
      </c>
      <c r="J1521" s="2" t="s">
        <v>381</v>
      </c>
      <c r="K1521" s="9">
        <v>45830</v>
      </c>
      <c r="L1521" s="9">
        <v>45837</v>
      </c>
      <c r="M1521" s="9">
        <v>45835</v>
      </c>
      <c r="N1521" s="2" t="s">
        <v>1790</v>
      </c>
      <c r="O1521" s="2" t="s">
        <v>58</v>
      </c>
      <c r="P1521" s="2" t="s">
        <v>142</v>
      </c>
      <c r="Q1521" s="2" t="s">
        <v>143</v>
      </c>
      <c r="R1521" s="2" t="s">
        <v>128</v>
      </c>
      <c r="S1521" s="2" t="s">
        <v>383</v>
      </c>
      <c r="T1521" s="10">
        <v>84.29</v>
      </c>
      <c r="U1521" s="11">
        <v>1</v>
      </c>
      <c r="V1521" s="12">
        <f>T1521*U1521</f>
        <v>84.29</v>
      </c>
      <c r="W1521" s="13">
        <v>0</v>
      </c>
      <c r="X1521" s="12">
        <f>V1521-(V1521/(1+W1521))</f>
        <v>0</v>
      </c>
      <c r="Y1521" s="12">
        <f>V1521-X1521</f>
        <v>84.29</v>
      </c>
      <c r="Z1521" s="14">
        <v>60</v>
      </c>
      <c r="AA1521" s="2" t="str">
        <f>IF(V1521&gt;Z1521,"Yes","No")</f>
        <v>Yes</v>
      </c>
      <c r="AB1521" s="12">
        <f>V1521-Z1521</f>
        <v>24.290000000000006</v>
      </c>
      <c r="AC1521" s="15" t="s">
        <v>130</v>
      </c>
      <c r="AD1521" s="15" t="s">
        <v>130</v>
      </c>
      <c r="AE1521" s="15" t="s">
        <v>858</v>
      </c>
      <c r="AF1521" s="12">
        <f>IF(AG1521="Rejected",0,IF(R1521="Corporate Card",0,V1521))</f>
        <v>0</v>
      </c>
      <c r="AG1521" s="15" t="s">
        <v>133</v>
      </c>
      <c r="AH1521" s="16">
        <v>45849</v>
      </c>
      <c r="AI1521" s="16">
        <v>45855</v>
      </c>
      <c r="AJ1521" s="16">
        <v>45861</v>
      </c>
      <c r="AK1521" s="17">
        <f>IF(AJ1521="","",AJ1521-AH1521)</f>
        <v>12</v>
      </c>
    </row>
    <row r="1522" spans="1:37">
      <c r="A1522" s="2" t="s">
        <v>1958</v>
      </c>
      <c r="B1522" s="2" t="s">
        <v>442</v>
      </c>
      <c r="C1522" s="2" t="s">
        <v>443</v>
      </c>
      <c r="D1522" s="2" t="s">
        <v>444</v>
      </c>
      <c r="E1522" s="2" t="s">
        <v>445</v>
      </c>
      <c r="F1522" s="2" t="s">
        <v>446</v>
      </c>
      <c r="G1522" s="2" t="s">
        <v>1927</v>
      </c>
      <c r="H1522" s="2" t="s">
        <v>448</v>
      </c>
      <c r="I1522" s="2" t="s">
        <v>619</v>
      </c>
      <c r="J1522" s="2" t="s">
        <v>381</v>
      </c>
      <c r="K1522" s="9">
        <v>45830</v>
      </c>
      <c r="L1522" s="9">
        <v>45837</v>
      </c>
      <c r="M1522" s="9">
        <v>45835</v>
      </c>
      <c r="N1522" s="2" t="s">
        <v>1790</v>
      </c>
      <c r="O1522" s="2" t="s">
        <v>54</v>
      </c>
      <c r="P1522" s="2" t="s">
        <v>139</v>
      </c>
      <c r="Q1522" s="2" t="s">
        <v>214</v>
      </c>
      <c r="R1522" s="2" t="s">
        <v>128</v>
      </c>
      <c r="S1522" s="2" t="s">
        <v>383</v>
      </c>
      <c r="T1522" s="10">
        <v>10.52</v>
      </c>
      <c r="U1522" s="11">
        <v>1</v>
      </c>
      <c r="V1522" s="12">
        <f>T1522*U1522</f>
        <v>10.52</v>
      </c>
      <c r="W1522" s="13">
        <v>0</v>
      </c>
      <c r="X1522" s="12">
        <f>V1522-(V1522/(1+W1522))</f>
        <v>0</v>
      </c>
      <c r="Y1522" s="12">
        <f>V1522-X1522</f>
        <v>10.52</v>
      </c>
      <c r="Z1522" s="14">
        <v>25</v>
      </c>
      <c r="AA1522" s="2" t="str">
        <f>IF(V1522&gt;Z1522,"Yes","No")</f>
        <v>No</v>
      </c>
      <c r="AB1522" s="12">
        <f>V1522-Z1522</f>
        <v>-14.48</v>
      </c>
      <c r="AC1522" s="15" t="s">
        <v>130</v>
      </c>
      <c r="AD1522" s="15" t="s">
        <v>130</v>
      </c>
      <c r="AE1522" s="15" t="s">
        <v>858</v>
      </c>
      <c r="AF1522" s="12">
        <f>IF(AG1522="Rejected",0,IF(R1522="Corporate Card",0,V1522))</f>
        <v>0</v>
      </c>
      <c r="AG1522" s="15" t="s">
        <v>133</v>
      </c>
      <c r="AH1522" s="16">
        <v>45849</v>
      </c>
      <c r="AI1522" s="16">
        <v>45855</v>
      </c>
      <c r="AJ1522" s="16">
        <v>45861</v>
      </c>
      <c r="AK1522" s="17">
        <f>IF(AJ1522="","",AJ1522-AH1522)</f>
        <v>12</v>
      </c>
    </row>
    <row r="1523" spans="1:37">
      <c r="A1523" s="2" t="s">
        <v>1959</v>
      </c>
      <c r="B1523" s="2" t="s">
        <v>442</v>
      </c>
      <c r="C1523" s="2" t="s">
        <v>443</v>
      </c>
      <c r="D1523" s="2" t="s">
        <v>444</v>
      </c>
      <c r="E1523" s="2" t="s">
        <v>445</v>
      </c>
      <c r="F1523" s="2" t="s">
        <v>446</v>
      </c>
      <c r="G1523" s="2" t="s">
        <v>1927</v>
      </c>
      <c r="H1523" s="2" t="s">
        <v>448</v>
      </c>
      <c r="I1523" s="2" t="s">
        <v>619</v>
      </c>
      <c r="J1523" s="2" t="s">
        <v>381</v>
      </c>
      <c r="K1523" s="9">
        <v>45830</v>
      </c>
      <c r="L1523" s="9">
        <v>45837</v>
      </c>
      <c r="M1523" s="9">
        <v>45835</v>
      </c>
      <c r="N1523" s="2" t="s">
        <v>1790</v>
      </c>
      <c r="O1523" s="2" t="s">
        <v>55</v>
      </c>
      <c r="P1523" s="2" t="s">
        <v>139</v>
      </c>
      <c r="Q1523" s="2" t="s">
        <v>154</v>
      </c>
      <c r="R1523" s="2" t="s">
        <v>128</v>
      </c>
      <c r="S1523" s="2" t="s">
        <v>383</v>
      </c>
      <c r="T1523" s="10">
        <v>43.86</v>
      </c>
      <c r="U1523" s="11">
        <v>1</v>
      </c>
      <c r="V1523" s="12">
        <f>T1523*U1523</f>
        <v>43.86</v>
      </c>
      <c r="W1523" s="13">
        <v>0</v>
      </c>
      <c r="X1523" s="12">
        <f>V1523-(V1523/(1+W1523))</f>
        <v>0</v>
      </c>
      <c r="Y1523" s="12">
        <f>V1523-X1523</f>
        <v>43.86</v>
      </c>
      <c r="Z1523" s="14">
        <v>35</v>
      </c>
      <c r="AA1523" s="2" t="str">
        <f>IF(V1523&gt;Z1523,"Yes","No")</f>
        <v>Yes</v>
      </c>
      <c r="AB1523" s="12">
        <f>V1523-Z1523</f>
        <v>8.86</v>
      </c>
      <c r="AC1523" s="15" t="s">
        <v>130</v>
      </c>
      <c r="AD1523" s="15" t="s">
        <v>130</v>
      </c>
      <c r="AE1523" s="15" t="s">
        <v>858</v>
      </c>
      <c r="AF1523" s="12">
        <f>IF(AG1523="Rejected",0,IF(R1523="Corporate Card",0,V1523))</f>
        <v>0</v>
      </c>
      <c r="AG1523" s="15" t="s">
        <v>133</v>
      </c>
      <c r="AH1523" s="16">
        <v>45849</v>
      </c>
      <c r="AI1523" s="16">
        <v>45855</v>
      </c>
      <c r="AJ1523" s="16">
        <v>45861</v>
      </c>
      <c r="AK1523" s="17">
        <f>IF(AJ1523="","",AJ1523-AH1523)</f>
        <v>12</v>
      </c>
    </row>
    <row r="1524" spans="1:37">
      <c r="A1524" s="2" t="s">
        <v>1960</v>
      </c>
      <c r="B1524" s="2" t="s">
        <v>442</v>
      </c>
      <c r="C1524" s="2" t="s">
        <v>443</v>
      </c>
      <c r="D1524" s="2" t="s">
        <v>444</v>
      </c>
      <c r="E1524" s="2" t="s">
        <v>445</v>
      </c>
      <c r="F1524" s="2" t="s">
        <v>446</v>
      </c>
      <c r="G1524" s="2" t="s">
        <v>1927</v>
      </c>
      <c r="H1524" s="2" t="s">
        <v>448</v>
      </c>
      <c r="I1524" s="2" t="s">
        <v>619</v>
      </c>
      <c r="J1524" s="2" t="s">
        <v>381</v>
      </c>
      <c r="K1524" s="9">
        <v>45830</v>
      </c>
      <c r="L1524" s="9">
        <v>45837</v>
      </c>
      <c r="M1524" s="9">
        <v>45836</v>
      </c>
      <c r="N1524" s="2" t="s">
        <v>1790</v>
      </c>
      <c r="O1524" s="2" t="s">
        <v>58</v>
      </c>
      <c r="P1524" s="2" t="s">
        <v>142</v>
      </c>
      <c r="Q1524" s="2" t="s">
        <v>156</v>
      </c>
      <c r="R1524" s="2" t="s">
        <v>149</v>
      </c>
      <c r="S1524" s="2" t="s">
        <v>383</v>
      </c>
      <c r="T1524" s="10">
        <v>49.75</v>
      </c>
      <c r="U1524" s="11">
        <v>1</v>
      </c>
      <c r="V1524" s="12">
        <f>T1524*U1524</f>
        <v>49.75</v>
      </c>
      <c r="W1524" s="13">
        <v>0</v>
      </c>
      <c r="X1524" s="12">
        <f>V1524-(V1524/(1+W1524))</f>
        <v>0</v>
      </c>
      <c r="Y1524" s="12">
        <f>V1524-X1524</f>
        <v>49.75</v>
      </c>
      <c r="Z1524" s="14">
        <v>60</v>
      </c>
      <c r="AA1524" s="2" t="str">
        <f>IF(V1524&gt;Z1524,"Yes","No")</f>
        <v>No</v>
      </c>
      <c r="AB1524" s="12">
        <f>V1524-Z1524</f>
        <v>-10.25</v>
      </c>
      <c r="AC1524" s="15" t="s">
        <v>130</v>
      </c>
      <c r="AD1524" s="15" t="s">
        <v>130</v>
      </c>
      <c r="AE1524" s="15" t="s">
        <v>858</v>
      </c>
      <c r="AF1524" s="12">
        <f>IF(AG1524="Rejected",0,IF(R1524="Corporate Card",0,V1524))</f>
        <v>49.75</v>
      </c>
      <c r="AG1524" s="15" t="s">
        <v>133</v>
      </c>
      <c r="AH1524" s="16">
        <v>45849</v>
      </c>
      <c r="AI1524" s="16">
        <v>45855</v>
      </c>
      <c r="AJ1524" s="16">
        <v>45861</v>
      </c>
      <c r="AK1524" s="17">
        <f>IF(AJ1524="","",AJ1524-AH1524)</f>
        <v>12</v>
      </c>
    </row>
    <row r="1525" spans="1:37">
      <c r="A1525" s="2" t="s">
        <v>1961</v>
      </c>
      <c r="B1525" s="2" t="s">
        <v>442</v>
      </c>
      <c r="C1525" s="2" t="s">
        <v>443</v>
      </c>
      <c r="D1525" s="2" t="s">
        <v>444</v>
      </c>
      <c r="E1525" s="2" t="s">
        <v>445</v>
      </c>
      <c r="F1525" s="2" t="s">
        <v>446</v>
      </c>
      <c r="G1525" s="2" t="s">
        <v>1927</v>
      </c>
      <c r="H1525" s="2" t="s">
        <v>448</v>
      </c>
      <c r="I1525" s="2" t="s">
        <v>619</v>
      </c>
      <c r="J1525" s="2" t="s">
        <v>381</v>
      </c>
      <c r="K1525" s="9">
        <v>45830</v>
      </c>
      <c r="L1525" s="9">
        <v>45837</v>
      </c>
      <c r="M1525" s="9">
        <v>45836</v>
      </c>
      <c r="N1525" s="2" t="s">
        <v>1790</v>
      </c>
      <c r="O1525" s="2" t="s">
        <v>54</v>
      </c>
      <c r="P1525" s="2" t="s">
        <v>139</v>
      </c>
      <c r="Q1525" s="2" t="s">
        <v>148</v>
      </c>
      <c r="R1525" s="2" t="s">
        <v>128</v>
      </c>
      <c r="S1525" s="2" t="s">
        <v>383</v>
      </c>
      <c r="T1525" s="10">
        <v>19.37</v>
      </c>
      <c r="U1525" s="11">
        <v>1</v>
      </c>
      <c r="V1525" s="12">
        <f>T1525*U1525</f>
        <v>19.37</v>
      </c>
      <c r="W1525" s="13">
        <v>0</v>
      </c>
      <c r="X1525" s="12">
        <f>V1525-(V1525/(1+W1525))</f>
        <v>0</v>
      </c>
      <c r="Y1525" s="12">
        <f>V1525-X1525</f>
        <v>19.37</v>
      </c>
      <c r="Z1525" s="14">
        <v>25</v>
      </c>
      <c r="AA1525" s="2" t="str">
        <f>IF(V1525&gt;Z1525,"Yes","No")</f>
        <v>No</v>
      </c>
      <c r="AB1525" s="12">
        <f>V1525-Z1525</f>
        <v>-5.629999999999999</v>
      </c>
      <c r="AC1525" s="15" t="s">
        <v>130</v>
      </c>
      <c r="AD1525" s="15" t="s">
        <v>130</v>
      </c>
      <c r="AE1525" s="15" t="s">
        <v>858</v>
      </c>
      <c r="AF1525" s="12">
        <f>IF(AG1525="Rejected",0,IF(R1525="Corporate Card",0,V1525))</f>
        <v>0</v>
      </c>
      <c r="AG1525" s="15" t="s">
        <v>133</v>
      </c>
      <c r="AH1525" s="16">
        <v>45849</v>
      </c>
      <c r="AI1525" s="16">
        <v>45855</v>
      </c>
      <c r="AJ1525" s="16">
        <v>45861</v>
      </c>
      <c r="AK1525" s="17">
        <f>IF(AJ1525="","",AJ1525-AH1525)</f>
        <v>12</v>
      </c>
    </row>
    <row r="1526" spans="1:37">
      <c r="A1526" s="2" t="s">
        <v>1962</v>
      </c>
      <c r="B1526" s="2" t="s">
        <v>442</v>
      </c>
      <c r="C1526" s="2" t="s">
        <v>443</v>
      </c>
      <c r="D1526" s="2" t="s">
        <v>444</v>
      </c>
      <c r="E1526" s="2" t="s">
        <v>445</v>
      </c>
      <c r="F1526" s="2" t="s">
        <v>446</v>
      </c>
      <c r="G1526" s="2" t="s">
        <v>1927</v>
      </c>
      <c r="H1526" s="2" t="s">
        <v>448</v>
      </c>
      <c r="I1526" s="2" t="s">
        <v>619</v>
      </c>
      <c r="J1526" s="2" t="s">
        <v>381</v>
      </c>
      <c r="K1526" s="9">
        <v>45830</v>
      </c>
      <c r="L1526" s="9">
        <v>45837</v>
      </c>
      <c r="M1526" s="9">
        <v>45836</v>
      </c>
      <c r="N1526" s="2" t="s">
        <v>1790</v>
      </c>
      <c r="O1526" s="2" t="s">
        <v>56</v>
      </c>
      <c r="P1526" s="2" t="s">
        <v>231</v>
      </c>
      <c r="Q1526" s="2" t="s">
        <v>152</v>
      </c>
      <c r="R1526" s="2" t="s">
        <v>149</v>
      </c>
      <c r="S1526" s="2" t="s">
        <v>383</v>
      </c>
      <c r="T1526" s="10">
        <v>40.97</v>
      </c>
      <c r="U1526" s="11">
        <v>1</v>
      </c>
      <c r="V1526" s="12">
        <f>T1526*U1526</f>
        <v>40.97</v>
      </c>
      <c r="W1526" s="13">
        <v>0</v>
      </c>
      <c r="X1526" s="12">
        <f>V1526-(V1526/(1+W1526))</f>
        <v>0</v>
      </c>
      <c r="Y1526" s="12">
        <f>V1526-X1526</f>
        <v>40.97</v>
      </c>
      <c r="Z1526" s="14">
        <v>75</v>
      </c>
      <c r="AA1526" s="2" t="str">
        <f>IF(V1526&gt;Z1526,"Yes","No")</f>
        <v>No</v>
      </c>
      <c r="AB1526" s="12">
        <f>V1526-Z1526</f>
        <v>-34.03</v>
      </c>
      <c r="AC1526" s="15" t="s">
        <v>130</v>
      </c>
      <c r="AD1526" s="15" t="s">
        <v>130</v>
      </c>
      <c r="AE1526" s="15" t="s">
        <v>858</v>
      </c>
      <c r="AF1526" s="12">
        <f>IF(AG1526="Rejected",0,IF(R1526="Corporate Card",0,V1526))</f>
        <v>40.97</v>
      </c>
      <c r="AG1526" s="15" t="s">
        <v>133</v>
      </c>
      <c r="AH1526" s="16">
        <v>45849</v>
      </c>
      <c r="AI1526" s="16">
        <v>45855</v>
      </c>
      <c r="AJ1526" s="16">
        <v>45861</v>
      </c>
      <c r="AK1526" s="17">
        <f>IF(AJ1526="","",AJ1526-AH1526)</f>
        <v>12</v>
      </c>
    </row>
    <row r="1527" spans="1:37">
      <c r="A1527" s="2" t="s">
        <v>1963</v>
      </c>
      <c r="B1527" s="2" t="s">
        <v>442</v>
      </c>
      <c r="C1527" s="2" t="s">
        <v>443</v>
      </c>
      <c r="D1527" s="2" t="s">
        <v>444</v>
      </c>
      <c r="E1527" s="2" t="s">
        <v>445</v>
      </c>
      <c r="F1527" s="2" t="s">
        <v>446</v>
      </c>
      <c r="G1527" s="2" t="s">
        <v>1927</v>
      </c>
      <c r="H1527" s="2" t="s">
        <v>448</v>
      </c>
      <c r="I1527" s="2" t="s">
        <v>619</v>
      </c>
      <c r="J1527" s="2" t="s">
        <v>381</v>
      </c>
      <c r="K1527" s="9">
        <v>45830</v>
      </c>
      <c r="L1527" s="9">
        <v>45837</v>
      </c>
      <c r="M1527" s="9">
        <v>45836</v>
      </c>
      <c r="N1527" s="2" t="s">
        <v>1790</v>
      </c>
      <c r="O1527" s="2" t="s">
        <v>55</v>
      </c>
      <c r="P1527" s="2" t="s">
        <v>139</v>
      </c>
      <c r="Q1527" s="2" t="s">
        <v>154</v>
      </c>
      <c r="R1527" s="2" t="s">
        <v>128</v>
      </c>
      <c r="S1527" s="2" t="s">
        <v>383</v>
      </c>
      <c r="T1527" s="10">
        <v>14.38</v>
      </c>
      <c r="U1527" s="11">
        <v>1</v>
      </c>
      <c r="V1527" s="12">
        <f>T1527*U1527</f>
        <v>14.38</v>
      </c>
      <c r="W1527" s="13">
        <v>0</v>
      </c>
      <c r="X1527" s="12">
        <f>V1527-(V1527/(1+W1527))</f>
        <v>0</v>
      </c>
      <c r="Y1527" s="12">
        <f>V1527-X1527</f>
        <v>14.38</v>
      </c>
      <c r="Z1527" s="14">
        <v>35</v>
      </c>
      <c r="AA1527" s="2" t="str">
        <f>IF(V1527&gt;Z1527,"Yes","No")</f>
        <v>No</v>
      </c>
      <c r="AB1527" s="12">
        <f>V1527-Z1527</f>
        <v>-20.619999999999997</v>
      </c>
      <c r="AC1527" s="15" t="s">
        <v>130</v>
      </c>
      <c r="AD1527" s="15" t="s">
        <v>130</v>
      </c>
      <c r="AE1527" s="15" t="s">
        <v>858</v>
      </c>
      <c r="AF1527" s="12">
        <f>IF(AG1527="Rejected",0,IF(R1527="Corporate Card",0,V1527))</f>
        <v>0</v>
      </c>
      <c r="AG1527" s="15" t="s">
        <v>133</v>
      </c>
      <c r="AH1527" s="16">
        <v>45849</v>
      </c>
      <c r="AI1527" s="16">
        <v>45855</v>
      </c>
      <c r="AJ1527" s="16">
        <v>45861</v>
      </c>
      <c r="AK1527" s="17">
        <f>IF(AJ1527="","",AJ1527-AH1527)</f>
        <v>12</v>
      </c>
    </row>
    <row r="1528" spans="1:37">
      <c r="A1528" s="2" t="s">
        <v>1964</v>
      </c>
      <c r="B1528" s="2" t="s">
        <v>287</v>
      </c>
      <c r="C1528" s="2" t="s">
        <v>288</v>
      </c>
      <c r="D1528" s="2" t="s">
        <v>171</v>
      </c>
      <c r="E1528" s="2" t="s">
        <v>289</v>
      </c>
      <c r="F1528" s="2" t="s">
        <v>173</v>
      </c>
      <c r="G1528" s="2" t="s">
        <v>1965</v>
      </c>
      <c r="H1528" s="2" t="s">
        <v>448</v>
      </c>
      <c r="I1528" s="2" t="s">
        <v>380</v>
      </c>
      <c r="J1528" s="2" t="s">
        <v>381</v>
      </c>
      <c r="K1528" s="9">
        <v>45837</v>
      </c>
      <c r="L1528" s="9">
        <v>45843</v>
      </c>
      <c r="M1528" s="9">
        <v>45837</v>
      </c>
      <c r="N1528" s="2" t="s">
        <v>1790</v>
      </c>
      <c r="O1528" s="2" t="s">
        <v>52</v>
      </c>
      <c r="P1528" s="2" t="s">
        <v>382</v>
      </c>
      <c r="Q1528" s="2" t="s">
        <v>513</v>
      </c>
      <c r="R1528" s="2" t="s">
        <v>128</v>
      </c>
      <c r="S1528" s="2" t="s">
        <v>383</v>
      </c>
      <c r="T1528" s="10">
        <v>712.17</v>
      </c>
      <c r="U1528" s="11">
        <v>1</v>
      </c>
      <c r="V1528" s="12">
        <f>T1528*U1528</f>
        <v>712.17</v>
      </c>
      <c r="W1528" s="13">
        <v>0</v>
      </c>
      <c r="X1528" s="12">
        <f>V1528-(V1528/(1+W1528))</f>
        <v>0</v>
      </c>
      <c r="Y1528" s="12">
        <f>V1528-X1528</f>
        <v>712.17</v>
      </c>
      <c r="Z1528" s="14">
        <v>1400</v>
      </c>
      <c r="AA1528" s="2" t="str">
        <f>IF(V1528&gt;Z1528,"Yes","No")</f>
        <v>No</v>
      </c>
      <c r="AB1528" s="12">
        <f>V1528-Z1528</f>
        <v>-687.83</v>
      </c>
      <c r="AC1528" s="15" t="s">
        <v>130</v>
      </c>
      <c r="AD1528" s="15" t="s">
        <v>131</v>
      </c>
      <c r="AE1528" s="15" t="s">
        <v>514</v>
      </c>
      <c r="AF1528" s="12">
        <f>IF(AG1528="Rejected",0,IF(R1528="Corporate Card",0,V1528))</f>
        <v>0</v>
      </c>
      <c r="AG1528" s="15" t="s">
        <v>133</v>
      </c>
      <c r="AH1528" s="16">
        <v>45845</v>
      </c>
      <c r="AI1528" s="16">
        <v>45853</v>
      </c>
      <c r="AJ1528" s="16">
        <v>45865</v>
      </c>
      <c r="AK1528" s="17">
        <f>IF(AJ1528="","",AJ1528-AH1528)</f>
        <v>20</v>
      </c>
    </row>
    <row r="1529" spans="1:37">
      <c r="A1529" s="2" t="s">
        <v>1966</v>
      </c>
      <c r="B1529" s="2" t="s">
        <v>287</v>
      </c>
      <c r="C1529" s="2" t="s">
        <v>288</v>
      </c>
      <c r="D1529" s="2" t="s">
        <v>171</v>
      </c>
      <c r="E1529" s="2" t="s">
        <v>289</v>
      </c>
      <c r="F1529" s="2" t="s">
        <v>173</v>
      </c>
      <c r="G1529" s="2" t="s">
        <v>1965</v>
      </c>
      <c r="H1529" s="2" t="s">
        <v>448</v>
      </c>
      <c r="I1529" s="2" t="s">
        <v>380</v>
      </c>
      <c r="J1529" s="2" t="s">
        <v>381</v>
      </c>
      <c r="K1529" s="9">
        <v>45837</v>
      </c>
      <c r="L1529" s="9">
        <v>45843</v>
      </c>
      <c r="M1529" s="9">
        <v>45837</v>
      </c>
      <c r="N1529" s="2" t="s">
        <v>1790</v>
      </c>
      <c r="O1529" s="2" t="s">
        <v>64</v>
      </c>
      <c r="P1529" s="2" t="s">
        <v>135</v>
      </c>
      <c r="Q1529" s="2" t="s">
        <v>513</v>
      </c>
      <c r="R1529" s="2" t="s">
        <v>137</v>
      </c>
      <c r="S1529" s="2" t="s">
        <v>383</v>
      </c>
      <c r="T1529" s="10">
        <v>72.989999999999995</v>
      </c>
      <c r="U1529" s="11">
        <v>1</v>
      </c>
      <c r="V1529" s="12">
        <f>T1529*U1529</f>
        <v>72.989999999999995</v>
      </c>
      <c r="W1529" s="13">
        <v>0</v>
      </c>
      <c r="X1529" s="12">
        <f>V1529-(V1529/(1+W1529))</f>
        <v>0</v>
      </c>
      <c r="Y1529" s="12">
        <f>V1529-X1529</f>
        <v>72.989999999999995</v>
      </c>
      <c r="Z1529" s="14">
        <v>120</v>
      </c>
      <c r="AA1529" s="2" t="str">
        <f>IF(V1529&gt;Z1529,"Yes","No")</f>
        <v>No</v>
      </c>
      <c r="AB1529" s="12">
        <f>V1529-Z1529</f>
        <v>-47.010000000000005</v>
      </c>
      <c r="AC1529" s="15" t="s">
        <v>130</v>
      </c>
      <c r="AD1529" s="15" t="s">
        <v>131</v>
      </c>
      <c r="AE1529" s="15" t="s">
        <v>514</v>
      </c>
      <c r="AF1529" s="12">
        <f>IF(AG1529="Rejected",0,IF(R1529="Corporate Card",0,V1529))</f>
        <v>72.989999999999995</v>
      </c>
      <c r="AG1529" s="15" t="s">
        <v>133</v>
      </c>
      <c r="AH1529" s="16">
        <v>45845</v>
      </c>
      <c r="AI1529" s="16">
        <v>45853</v>
      </c>
      <c r="AJ1529" s="16">
        <v>45865</v>
      </c>
      <c r="AK1529" s="17">
        <f>IF(AJ1529="","",AJ1529-AH1529)</f>
        <v>20</v>
      </c>
    </row>
    <row r="1530" spans="1:37">
      <c r="A1530" s="2" t="s">
        <v>1967</v>
      </c>
      <c r="B1530" s="2" t="s">
        <v>287</v>
      </c>
      <c r="C1530" s="2" t="s">
        <v>288</v>
      </c>
      <c r="D1530" s="2" t="s">
        <v>171</v>
      </c>
      <c r="E1530" s="2" t="s">
        <v>289</v>
      </c>
      <c r="F1530" s="2" t="s">
        <v>173</v>
      </c>
      <c r="G1530" s="2" t="s">
        <v>1965</v>
      </c>
      <c r="H1530" s="2" t="s">
        <v>448</v>
      </c>
      <c r="I1530" s="2" t="s">
        <v>380</v>
      </c>
      <c r="J1530" s="2" t="s">
        <v>381</v>
      </c>
      <c r="K1530" s="9">
        <v>45837</v>
      </c>
      <c r="L1530" s="9">
        <v>45843</v>
      </c>
      <c r="M1530" s="9">
        <v>45837</v>
      </c>
      <c r="N1530" s="2" t="s">
        <v>1790</v>
      </c>
      <c r="O1530" s="2" t="s">
        <v>58</v>
      </c>
      <c r="P1530" s="2" t="s">
        <v>142</v>
      </c>
      <c r="Q1530" s="2" t="s">
        <v>143</v>
      </c>
      <c r="R1530" s="2" t="s">
        <v>137</v>
      </c>
      <c r="S1530" s="2" t="s">
        <v>383</v>
      </c>
      <c r="T1530" s="10">
        <v>31.45</v>
      </c>
      <c r="U1530" s="11">
        <v>1</v>
      </c>
      <c r="V1530" s="12">
        <f>T1530*U1530</f>
        <v>31.45</v>
      </c>
      <c r="W1530" s="13">
        <v>0</v>
      </c>
      <c r="X1530" s="12">
        <f>V1530-(V1530/(1+W1530))</f>
        <v>0</v>
      </c>
      <c r="Y1530" s="12">
        <f>V1530-X1530</f>
        <v>31.45</v>
      </c>
      <c r="Z1530" s="14">
        <v>60</v>
      </c>
      <c r="AA1530" s="2" t="str">
        <f>IF(V1530&gt;Z1530,"Yes","No")</f>
        <v>No</v>
      </c>
      <c r="AB1530" s="12">
        <f>V1530-Z1530</f>
        <v>-28.55</v>
      </c>
      <c r="AC1530" s="15" t="s">
        <v>130</v>
      </c>
      <c r="AD1530" s="15" t="s">
        <v>131</v>
      </c>
      <c r="AE1530" s="15" t="s">
        <v>514</v>
      </c>
      <c r="AF1530" s="12">
        <f>IF(AG1530="Rejected",0,IF(R1530="Corporate Card",0,V1530))</f>
        <v>31.45</v>
      </c>
      <c r="AG1530" s="15" t="s">
        <v>133</v>
      </c>
      <c r="AH1530" s="16">
        <v>45845</v>
      </c>
      <c r="AI1530" s="16">
        <v>45853</v>
      </c>
      <c r="AJ1530" s="16">
        <v>45865</v>
      </c>
      <c r="AK1530" s="17">
        <f>IF(AJ1530="","",AJ1530-AH1530)</f>
        <v>20</v>
      </c>
    </row>
    <row r="1531" spans="1:37">
      <c r="A1531" s="2" t="s">
        <v>1968</v>
      </c>
      <c r="B1531" s="2" t="s">
        <v>287</v>
      </c>
      <c r="C1531" s="2" t="s">
        <v>288</v>
      </c>
      <c r="D1531" s="2" t="s">
        <v>171</v>
      </c>
      <c r="E1531" s="2" t="s">
        <v>289</v>
      </c>
      <c r="F1531" s="2" t="s">
        <v>173</v>
      </c>
      <c r="G1531" s="2" t="s">
        <v>1965</v>
      </c>
      <c r="H1531" s="2" t="s">
        <v>448</v>
      </c>
      <c r="I1531" s="2" t="s">
        <v>380</v>
      </c>
      <c r="J1531" s="2" t="s">
        <v>381</v>
      </c>
      <c r="K1531" s="9">
        <v>45837</v>
      </c>
      <c r="L1531" s="9">
        <v>45843</v>
      </c>
      <c r="M1531" s="9">
        <v>45837</v>
      </c>
      <c r="N1531" s="2" t="s">
        <v>1790</v>
      </c>
      <c r="O1531" s="2" t="s">
        <v>54</v>
      </c>
      <c r="P1531" s="2" t="s">
        <v>139</v>
      </c>
      <c r="Q1531" s="2" t="s">
        <v>140</v>
      </c>
      <c r="R1531" s="2" t="s">
        <v>128</v>
      </c>
      <c r="S1531" s="2" t="s">
        <v>383</v>
      </c>
      <c r="T1531" s="10">
        <v>19.829999999999998</v>
      </c>
      <c r="U1531" s="11">
        <v>1</v>
      </c>
      <c r="V1531" s="12">
        <f>T1531*U1531</f>
        <v>19.829999999999998</v>
      </c>
      <c r="W1531" s="13">
        <v>0</v>
      </c>
      <c r="X1531" s="12">
        <f>V1531-(V1531/(1+W1531))</f>
        <v>0</v>
      </c>
      <c r="Y1531" s="12">
        <f>V1531-X1531</f>
        <v>19.829999999999998</v>
      </c>
      <c r="Z1531" s="14">
        <v>25</v>
      </c>
      <c r="AA1531" s="2" t="str">
        <f>IF(V1531&gt;Z1531,"Yes","No")</f>
        <v>No</v>
      </c>
      <c r="AB1531" s="12">
        <f>V1531-Z1531</f>
        <v>-5.1700000000000017</v>
      </c>
      <c r="AC1531" s="15" t="s">
        <v>130</v>
      </c>
      <c r="AD1531" s="15" t="s">
        <v>131</v>
      </c>
      <c r="AE1531" s="15" t="s">
        <v>514</v>
      </c>
      <c r="AF1531" s="12">
        <f>IF(AG1531="Rejected",0,IF(R1531="Corporate Card",0,V1531))</f>
        <v>0</v>
      </c>
      <c r="AG1531" s="15" t="s">
        <v>133</v>
      </c>
      <c r="AH1531" s="16">
        <v>45845</v>
      </c>
      <c r="AI1531" s="16">
        <v>45853</v>
      </c>
      <c r="AJ1531" s="16">
        <v>45865</v>
      </c>
      <c r="AK1531" s="17">
        <f>IF(AJ1531="","",AJ1531-AH1531)</f>
        <v>20</v>
      </c>
    </row>
    <row r="1532" spans="1:37">
      <c r="A1532" s="2" t="s">
        <v>1969</v>
      </c>
      <c r="B1532" s="2" t="s">
        <v>287</v>
      </c>
      <c r="C1532" s="2" t="s">
        <v>288</v>
      </c>
      <c r="D1532" s="2" t="s">
        <v>171</v>
      </c>
      <c r="E1532" s="2" t="s">
        <v>289</v>
      </c>
      <c r="F1532" s="2" t="s">
        <v>173</v>
      </c>
      <c r="G1532" s="2" t="s">
        <v>1965</v>
      </c>
      <c r="H1532" s="2" t="s">
        <v>448</v>
      </c>
      <c r="I1532" s="2" t="s">
        <v>380</v>
      </c>
      <c r="J1532" s="2" t="s">
        <v>381</v>
      </c>
      <c r="K1532" s="9">
        <v>45837</v>
      </c>
      <c r="L1532" s="9">
        <v>45843</v>
      </c>
      <c r="M1532" s="9">
        <v>45837</v>
      </c>
      <c r="N1532" s="2" t="s">
        <v>1790</v>
      </c>
      <c r="O1532" s="2" t="s">
        <v>56</v>
      </c>
      <c r="P1532" s="2" t="s">
        <v>245</v>
      </c>
      <c r="Q1532" s="2" t="s">
        <v>185</v>
      </c>
      <c r="R1532" s="2" t="s">
        <v>137</v>
      </c>
      <c r="S1532" s="2" t="s">
        <v>383</v>
      </c>
      <c r="T1532" s="10">
        <v>27.3</v>
      </c>
      <c r="U1532" s="11">
        <v>1</v>
      </c>
      <c r="V1532" s="12">
        <f>T1532*U1532</f>
        <v>27.3</v>
      </c>
      <c r="W1532" s="13">
        <v>0</v>
      </c>
      <c r="X1532" s="12">
        <f>V1532-(V1532/(1+W1532))</f>
        <v>0</v>
      </c>
      <c r="Y1532" s="12">
        <f>V1532-X1532</f>
        <v>27.3</v>
      </c>
      <c r="Z1532" s="14">
        <v>75</v>
      </c>
      <c r="AA1532" s="2" t="str">
        <f>IF(V1532&gt;Z1532,"Yes","No")</f>
        <v>No</v>
      </c>
      <c r="AB1532" s="12">
        <f>V1532-Z1532</f>
        <v>-47.7</v>
      </c>
      <c r="AC1532" s="15" t="s">
        <v>130</v>
      </c>
      <c r="AD1532" s="15" t="s">
        <v>131</v>
      </c>
      <c r="AE1532" s="15" t="s">
        <v>514</v>
      </c>
      <c r="AF1532" s="12">
        <f>IF(AG1532="Rejected",0,IF(R1532="Corporate Card",0,V1532))</f>
        <v>27.3</v>
      </c>
      <c r="AG1532" s="15" t="s">
        <v>133</v>
      </c>
      <c r="AH1532" s="16">
        <v>45845</v>
      </c>
      <c r="AI1532" s="16">
        <v>45853</v>
      </c>
      <c r="AJ1532" s="16">
        <v>45865</v>
      </c>
      <c r="AK1532" s="17">
        <f>IF(AJ1532="","",AJ1532-AH1532)</f>
        <v>20</v>
      </c>
    </row>
    <row r="1533" spans="1:37">
      <c r="A1533" s="2" t="s">
        <v>1970</v>
      </c>
      <c r="B1533" s="2" t="s">
        <v>287</v>
      </c>
      <c r="C1533" s="2" t="s">
        <v>288</v>
      </c>
      <c r="D1533" s="2" t="s">
        <v>171</v>
      </c>
      <c r="E1533" s="2" t="s">
        <v>289</v>
      </c>
      <c r="F1533" s="2" t="s">
        <v>173</v>
      </c>
      <c r="G1533" s="2" t="s">
        <v>1965</v>
      </c>
      <c r="H1533" s="2" t="s">
        <v>448</v>
      </c>
      <c r="I1533" s="2" t="s">
        <v>380</v>
      </c>
      <c r="J1533" s="2" t="s">
        <v>381</v>
      </c>
      <c r="K1533" s="9">
        <v>45837</v>
      </c>
      <c r="L1533" s="9">
        <v>45843</v>
      </c>
      <c r="M1533" s="9">
        <v>45837</v>
      </c>
      <c r="N1533" s="2" t="s">
        <v>1790</v>
      </c>
      <c r="O1533" s="2" t="s">
        <v>55</v>
      </c>
      <c r="P1533" s="2" t="s">
        <v>139</v>
      </c>
      <c r="Q1533" s="2" t="s">
        <v>154</v>
      </c>
      <c r="R1533" s="2" t="s">
        <v>128</v>
      </c>
      <c r="S1533" s="2" t="s">
        <v>383</v>
      </c>
      <c r="T1533" s="10">
        <v>27.41</v>
      </c>
      <c r="U1533" s="11">
        <v>1</v>
      </c>
      <c r="V1533" s="12">
        <f>T1533*U1533</f>
        <v>27.41</v>
      </c>
      <c r="W1533" s="13">
        <v>0</v>
      </c>
      <c r="X1533" s="12">
        <f>V1533-(V1533/(1+W1533))</f>
        <v>0</v>
      </c>
      <c r="Y1533" s="12">
        <f>V1533-X1533</f>
        <v>27.41</v>
      </c>
      <c r="Z1533" s="14">
        <v>35</v>
      </c>
      <c r="AA1533" s="2" t="str">
        <f>IF(V1533&gt;Z1533,"Yes","No")</f>
        <v>No</v>
      </c>
      <c r="AB1533" s="12">
        <f>V1533-Z1533</f>
        <v>-7.59</v>
      </c>
      <c r="AC1533" s="15" t="s">
        <v>130</v>
      </c>
      <c r="AD1533" s="15" t="s">
        <v>131</v>
      </c>
      <c r="AE1533" s="15" t="s">
        <v>514</v>
      </c>
      <c r="AF1533" s="12">
        <f>IF(AG1533="Rejected",0,IF(R1533="Corporate Card",0,V1533))</f>
        <v>0</v>
      </c>
      <c r="AG1533" s="15" t="s">
        <v>133</v>
      </c>
      <c r="AH1533" s="16">
        <v>45845</v>
      </c>
      <c r="AI1533" s="16">
        <v>45853</v>
      </c>
      <c r="AJ1533" s="16">
        <v>45865</v>
      </c>
      <c r="AK1533" s="17">
        <f>IF(AJ1533="","",AJ1533-AH1533)</f>
        <v>20</v>
      </c>
    </row>
    <row r="1534" spans="1:37">
      <c r="A1534" s="2" t="s">
        <v>1971</v>
      </c>
      <c r="B1534" s="2" t="s">
        <v>442</v>
      </c>
      <c r="C1534" s="2" t="s">
        <v>443</v>
      </c>
      <c r="D1534" s="2" t="s">
        <v>444</v>
      </c>
      <c r="E1534" s="2" t="s">
        <v>445</v>
      </c>
      <c r="F1534" s="2" t="s">
        <v>446</v>
      </c>
      <c r="G1534" s="2" t="s">
        <v>1927</v>
      </c>
      <c r="H1534" s="2" t="s">
        <v>448</v>
      </c>
      <c r="I1534" s="2" t="s">
        <v>619</v>
      </c>
      <c r="J1534" s="2" t="s">
        <v>381</v>
      </c>
      <c r="K1534" s="9">
        <v>45830</v>
      </c>
      <c r="L1534" s="9">
        <v>45837</v>
      </c>
      <c r="M1534" s="9">
        <v>45837</v>
      </c>
      <c r="N1534" s="2" t="s">
        <v>1790</v>
      </c>
      <c r="O1534" s="2" t="s">
        <v>58</v>
      </c>
      <c r="P1534" s="2" t="s">
        <v>142</v>
      </c>
      <c r="Q1534" s="2" t="s">
        <v>224</v>
      </c>
      <c r="R1534" s="2" t="s">
        <v>128</v>
      </c>
      <c r="S1534" s="2" t="s">
        <v>383</v>
      </c>
      <c r="T1534" s="10">
        <v>48.3</v>
      </c>
      <c r="U1534" s="11">
        <v>1</v>
      </c>
      <c r="V1534" s="12">
        <f>T1534*U1534</f>
        <v>48.3</v>
      </c>
      <c r="W1534" s="13">
        <v>0</v>
      </c>
      <c r="X1534" s="12">
        <f>V1534-(V1534/(1+W1534))</f>
        <v>0</v>
      </c>
      <c r="Y1534" s="12">
        <f>V1534-X1534</f>
        <v>48.3</v>
      </c>
      <c r="Z1534" s="14">
        <v>60</v>
      </c>
      <c r="AA1534" s="2" t="str">
        <f>IF(V1534&gt;Z1534,"Yes","No")</f>
        <v>No</v>
      </c>
      <c r="AB1534" s="12">
        <f>V1534-Z1534</f>
        <v>-11.700000000000003</v>
      </c>
      <c r="AC1534" s="15" t="s">
        <v>130</v>
      </c>
      <c r="AD1534" s="15" t="s">
        <v>130</v>
      </c>
      <c r="AE1534" s="15" t="s">
        <v>858</v>
      </c>
      <c r="AF1534" s="12">
        <f>IF(AG1534="Rejected",0,IF(R1534="Corporate Card",0,V1534))</f>
        <v>0</v>
      </c>
      <c r="AG1534" s="15" t="s">
        <v>133</v>
      </c>
      <c r="AH1534" s="16">
        <v>45849</v>
      </c>
      <c r="AI1534" s="16">
        <v>45855</v>
      </c>
      <c r="AJ1534" s="16">
        <v>45861</v>
      </c>
      <c r="AK1534" s="17">
        <f>IF(AJ1534="","",AJ1534-AH1534)</f>
        <v>12</v>
      </c>
    </row>
    <row r="1535" spans="1:37">
      <c r="A1535" s="2" t="s">
        <v>1972</v>
      </c>
      <c r="B1535" s="2" t="s">
        <v>442</v>
      </c>
      <c r="C1535" s="2" t="s">
        <v>443</v>
      </c>
      <c r="D1535" s="2" t="s">
        <v>444</v>
      </c>
      <c r="E1535" s="2" t="s">
        <v>445</v>
      </c>
      <c r="F1535" s="2" t="s">
        <v>446</v>
      </c>
      <c r="G1535" s="2" t="s">
        <v>1927</v>
      </c>
      <c r="H1535" s="2" t="s">
        <v>448</v>
      </c>
      <c r="I1535" s="2" t="s">
        <v>619</v>
      </c>
      <c r="J1535" s="2" t="s">
        <v>381</v>
      </c>
      <c r="K1535" s="9">
        <v>45830</v>
      </c>
      <c r="L1535" s="9">
        <v>45837</v>
      </c>
      <c r="M1535" s="9">
        <v>45837</v>
      </c>
      <c r="N1535" s="2" t="s">
        <v>1790</v>
      </c>
      <c r="O1535" s="2" t="s">
        <v>54</v>
      </c>
      <c r="P1535" s="2" t="s">
        <v>139</v>
      </c>
      <c r="Q1535" s="2" t="s">
        <v>163</v>
      </c>
      <c r="R1535" s="2" t="s">
        <v>128</v>
      </c>
      <c r="S1535" s="2" t="s">
        <v>383</v>
      </c>
      <c r="T1535" s="10">
        <v>16.96</v>
      </c>
      <c r="U1535" s="11">
        <v>1</v>
      </c>
      <c r="V1535" s="12">
        <f>T1535*U1535</f>
        <v>16.96</v>
      </c>
      <c r="W1535" s="13">
        <v>0</v>
      </c>
      <c r="X1535" s="12">
        <f>V1535-(V1535/(1+W1535))</f>
        <v>0</v>
      </c>
      <c r="Y1535" s="12">
        <f>V1535-X1535</f>
        <v>16.96</v>
      </c>
      <c r="Z1535" s="14">
        <v>25</v>
      </c>
      <c r="AA1535" s="2" t="str">
        <f>IF(V1535&gt;Z1535,"Yes","No")</f>
        <v>No</v>
      </c>
      <c r="AB1535" s="12">
        <f>V1535-Z1535</f>
        <v>-8.0399999999999991</v>
      </c>
      <c r="AC1535" s="15" t="s">
        <v>130</v>
      </c>
      <c r="AD1535" s="15" t="s">
        <v>130</v>
      </c>
      <c r="AE1535" s="15" t="s">
        <v>858</v>
      </c>
      <c r="AF1535" s="12">
        <f>IF(AG1535="Rejected",0,IF(R1535="Corporate Card",0,V1535))</f>
        <v>0</v>
      </c>
      <c r="AG1535" s="15" t="s">
        <v>133</v>
      </c>
      <c r="AH1535" s="16">
        <v>45849</v>
      </c>
      <c r="AI1535" s="16">
        <v>45855</v>
      </c>
      <c r="AJ1535" s="16">
        <v>45861</v>
      </c>
      <c r="AK1535" s="17">
        <f>IF(AJ1535="","",AJ1535-AH1535)</f>
        <v>12</v>
      </c>
    </row>
    <row r="1536" spans="1:37">
      <c r="A1536" s="2" t="s">
        <v>1973</v>
      </c>
      <c r="B1536" s="2" t="s">
        <v>442</v>
      </c>
      <c r="C1536" s="2" t="s">
        <v>443</v>
      </c>
      <c r="D1536" s="2" t="s">
        <v>444</v>
      </c>
      <c r="E1536" s="2" t="s">
        <v>445</v>
      </c>
      <c r="F1536" s="2" t="s">
        <v>446</v>
      </c>
      <c r="G1536" s="2" t="s">
        <v>1927</v>
      </c>
      <c r="H1536" s="2" t="s">
        <v>448</v>
      </c>
      <c r="I1536" s="2" t="s">
        <v>619</v>
      </c>
      <c r="J1536" s="2" t="s">
        <v>381</v>
      </c>
      <c r="K1536" s="9">
        <v>45830</v>
      </c>
      <c r="L1536" s="9">
        <v>45837</v>
      </c>
      <c r="M1536" s="9">
        <v>45837</v>
      </c>
      <c r="N1536" s="2" t="s">
        <v>1790</v>
      </c>
      <c r="O1536" s="2" t="s">
        <v>56</v>
      </c>
      <c r="P1536" s="2" t="s">
        <v>165</v>
      </c>
      <c r="Q1536" s="2" t="s">
        <v>152</v>
      </c>
      <c r="R1536" s="2" t="s">
        <v>128</v>
      </c>
      <c r="S1536" s="2" t="s">
        <v>383</v>
      </c>
      <c r="T1536" s="10">
        <v>54.84</v>
      </c>
      <c r="U1536" s="11">
        <v>1</v>
      </c>
      <c r="V1536" s="12">
        <f>T1536*U1536</f>
        <v>54.84</v>
      </c>
      <c r="W1536" s="13">
        <v>0</v>
      </c>
      <c r="X1536" s="12">
        <f>V1536-(V1536/(1+W1536))</f>
        <v>0</v>
      </c>
      <c r="Y1536" s="12">
        <f>V1536-X1536</f>
        <v>54.84</v>
      </c>
      <c r="Z1536" s="14">
        <v>75</v>
      </c>
      <c r="AA1536" s="2" t="str">
        <f>IF(V1536&gt;Z1536,"Yes","No")</f>
        <v>No</v>
      </c>
      <c r="AB1536" s="12">
        <f>V1536-Z1536</f>
        <v>-20.159999999999997</v>
      </c>
      <c r="AC1536" s="15" t="s">
        <v>130</v>
      </c>
      <c r="AD1536" s="15" t="s">
        <v>130</v>
      </c>
      <c r="AE1536" s="15" t="s">
        <v>858</v>
      </c>
      <c r="AF1536" s="12">
        <f>IF(AG1536="Rejected",0,IF(R1536="Corporate Card",0,V1536))</f>
        <v>0</v>
      </c>
      <c r="AG1536" s="15" t="s">
        <v>133</v>
      </c>
      <c r="AH1536" s="16">
        <v>45849</v>
      </c>
      <c r="AI1536" s="16">
        <v>45855</v>
      </c>
      <c r="AJ1536" s="16">
        <v>45861</v>
      </c>
      <c r="AK1536" s="17">
        <f>IF(AJ1536="","",AJ1536-AH1536)</f>
        <v>12</v>
      </c>
    </row>
    <row r="1537" spans="1:37">
      <c r="A1537" s="2" t="s">
        <v>1974</v>
      </c>
      <c r="B1537" s="2" t="s">
        <v>442</v>
      </c>
      <c r="C1537" s="2" t="s">
        <v>443</v>
      </c>
      <c r="D1537" s="2" t="s">
        <v>444</v>
      </c>
      <c r="E1537" s="2" t="s">
        <v>445</v>
      </c>
      <c r="F1537" s="2" t="s">
        <v>446</v>
      </c>
      <c r="G1537" s="2" t="s">
        <v>1927</v>
      </c>
      <c r="H1537" s="2" t="s">
        <v>448</v>
      </c>
      <c r="I1537" s="2" t="s">
        <v>619</v>
      </c>
      <c r="J1537" s="2" t="s">
        <v>381</v>
      </c>
      <c r="K1537" s="9">
        <v>45830</v>
      </c>
      <c r="L1537" s="9">
        <v>45837</v>
      </c>
      <c r="M1537" s="9">
        <v>45837</v>
      </c>
      <c r="N1537" s="2" t="s">
        <v>1790</v>
      </c>
      <c r="O1537" s="2" t="s">
        <v>55</v>
      </c>
      <c r="P1537" s="2" t="s">
        <v>139</v>
      </c>
      <c r="Q1537" s="2" t="s">
        <v>154</v>
      </c>
      <c r="R1537" s="2" t="s">
        <v>128</v>
      </c>
      <c r="S1537" s="2" t="s">
        <v>383</v>
      </c>
      <c r="T1537" s="10">
        <v>34.799999999999997</v>
      </c>
      <c r="U1537" s="11">
        <v>1</v>
      </c>
      <c r="V1537" s="12">
        <f>T1537*U1537</f>
        <v>34.799999999999997</v>
      </c>
      <c r="W1537" s="13">
        <v>0</v>
      </c>
      <c r="X1537" s="12">
        <f>V1537-(V1537/(1+W1537))</f>
        <v>0</v>
      </c>
      <c r="Y1537" s="12">
        <f>V1537-X1537</f>
        <v>34.799999999999997</v>
      </c>
      <c r="Z1537" s="14">
        <v>35</v>
      </c>
      <c r="AA1537" s="2" t="str">
        <f>IF(V1537&gt;Z1537,"Yes","No")</f>
        <v>No</v>
      </c>
      <c r="AB1537" s="12">
        <f>V1537-Z1537</f>
        <v>-0.20000000000000284</v>
      </c>
      <c r="AC1537" s="15" t="s">
        <v>130</v>
      </c>
      <c r="AD1537" s="15" t="s">
        <v>130</v>
      </c>
      <c r="AE1537" s="15" t="s">
        <v>858</v>
      </c>
      <c r="AF1537" s="12">
        <f>IF(AG1537="Rejected",0,IF(R1537="Corporate Card",0,V1537))</f>
        <v>0</v>
      </c>
      <c r="AG1537" s="15" t="s">
        <v>133</v>
      </c>
      <c r="AH1537" s="16">
        <v>45849</v>
      </c>
      <c r="AI1537" s="16">
        <v>45855</v>
      </c>
      <c r="AJ1537" s="16">
        <v>45861</v>
      </c>
      <c r="AK1537" s="17">
        <f>IF(AJ1537="","",AJ1537-AH1537)</f>
        <v>12</v>
      </c>
    </row>
    <row r="1538" spans="1:37">
      <c r="A1538" s="2" t="s">
        <v>1975</v>
      </c>
      <c r="B1538" s="2" t="s">
        <v>287</v>
      </c>
      <c r="C1538" s="2" t="s">
        <v>288</v>
      </c>
      <c r="D1538" s="2" t="s">
        <v>171</v>
      </c>
      <c r="E1538" s="2" t="s">
        <v>289</v>
      </c>
      <c r="F1538" s="2" t="s">
        <v>173</v>
      </c>
      <c r="G1538" s="2" t="s">
        <v>1965</v>
      </c>
      <c r="H1538" s="2" t="s">
        <v>448</v>
      </c>
      <c r="I1538" s="2" t="s">
        <v>380</v>
      </c>
      <c r="J1538" s="2" t="s">
        <v>381</v>
      </c>
      <c r="K1538" s="9">
        <v>45837</v>
      </c>
      <c r="L1538" s="9">
        <v>45843</v>
      </c>
      <c r="M1538" s="9">
        <v>45838</v>
      </c>
      <c r="N1538" s="2" t="s">
        <v>1790</v>
      </c>
      <c r="O1538" s="2" t="s">
        <v>53</v>
      </c>
      <c r="P1538" s="2" t="s">
        <v>467</v>
      </c>
      <c r="Q1538" s="2" t="s">
        <v>146</v>
      </c>
      <c r="R1538" s="2" t="s">
        <v>128</v>
      </c>
      <c r="S1538" s="2" t="s">
        <v>383</v>
      </c>
      <c r="T1538" s="10">
        <v>770.12</v>
      </c>
      <c r="U1538" s="11">
        <v>1</v>
      </c>
      <c r="V1538" s="12">
        <f>T1538*U1538</f>
        <v>770.12</v>
      </c>
      <c r="W1538" s="13">
        <v>0</v>
      </c>
      <c r="X1538" s="12">
        <f>V1538-(V1538/(1+W1538))</f>
        <v>0</v>
      </c>
      <c r="Y1538" s="12">
        <f>V1538-X1538</f>
        <v>770.12</v>
      </c>
      <c r="Z1538" s="14">
        <v>1680</v>
      </c>
      <c r="AA1538" s="2" t="str">
        <f>IF(V1538&gt;Z1538,"Yes","No")</f>
        <v>No</v>
      </c>
      <c r="AB1538" s="12">
        <f>V1538-Z1538</f>
        <v>-909.88</v>
      </c>
      <c r="AC1538" s="15" t="s">
        <v>130</v>
      </c>
      <c r="AD1538" s="15" t="s">
        <v>131</v>
      </c>
      <c r="AE1538" s="15" t="s">
        <v>514</v>
      </c>
      <c r="AF1538" s="12">
        <f>IF(AG1538="Rejected",0,IF(R1538="Corporate Card",0,V1538))</f>
        <v>0</v>
      </c>
      <c r="AG1538" s="15" t="s">
        <v>133</v>
      </c>
      <c r="AH1538" s="16">
        <v>45845</v>
      </c>
      <c r="AI1538" s="16">
        <v>45853</v>
      </c>
      <c r="AJ1538" s="16">
        <v>45865</v>
      </c>
      <c r="AK1538" s="17">
        <f>IF(AJ1538="","",AJ1538-AH1538)</f>
        <v>20</v>
      </c>
    </row>
    <row r="1539" spans="1:37">
      <c r="A1539" s="2" t="s">
        <v>1976</v>
      </c>
      <c r="B1539" s="2" t="s">
        <v>287</v>
      </c>
      <c r="C1539" s="2" t="s">
        <v>288</v>
      </c>
      <c r="D1539" s="2" t="s">
        <v>171</v>
      </c>
      <c r="E1539" s="2" t="s">
        <v>289</v>
      </c>
      <c r="F1539" s="2" t="s">
        <v>173</v>
      </c>
      <c r="G1539" s="2" t="s">
        <v>1965</v>
      </c>
      <c r="H1539" s="2" t="s">
        <v>448</v>
      </c>
      <c r="I1539" s="2" t="s">
        <v>380</v>
      </c>
      <c r="J1539" s="2" t="s">
        <v>381</v>
      </c>
      <c r="K1539" s="9">
        <v>45837</v>
      </c>
      <c r="L1539" s="9">
        <v>45843</v>
      </c>
      <c r="M1539" s="9">
        <v>45838</v>
      </c>
      <c r="N1539" s="2" t="s">
        <v>1790</v>
      </c>
      <c r="O1539" s="2" t="s">
        <v>54</v>
      </c>
      <c r="P1539" s="2" t="s">
        <v>139</v>
      </c>
      <c r="Q1539" s="2" t="s">
        <v>140</v>
      </c>
      <c r="R1539" s="2" t="s">
        <v>128</v>
      </c>
      <c r="S1539" s="2" t="s">
        <v>383</v>
      </c>
      <c r="T1539" s="10">
        <v>13.11</v>
      </c>
      <c r="U1539" s="11">
        <v>1</v>
      </c>
      <c r="V1539" s="12">
        <f>T1539*U1539</f>
        <v>13.11</v>
      </c>
      <c r="W1539" s="13">
        <v>0</v>
      </c>
      <c r="X1539" s="12">
        <f>V1539-(V1539/(1+W1539))</f>
        <v>0</v>
      </c>
      <c r="Y1539" s="12">
        <f>V1539-X1539</f>
        <v>13.11</v>
      </c>
      <c r="Z1539" s="14">
        <v>25</v>
      </c>
      <c r="AA1539" s="2" t="str">
        <f>IF(V1539&gt;Z1539,"Yes","No")</f>
        <v>No</v>
      </c>
      <c r="AB1539" s="12">
        <f>V1539-Z1539</f>
        <v>-11.89</v>
      </c>
      <c r="AC1539" s="15" t="s">
        <v>130</v>
      </c>
      <c r="AD1539" s="15" t="s">
        <v>131</v>
      </c>
      <c r="AE1539" s="15" t="s">
        <v>514</v>
      </c>
      <c r="AF1539" s="12">
        <f>IF(AG1539="Rejected",0,IF(R1539="Corporate Card",0,V1539))</f>
        <v>0</v>
      </c>
      <c r="AG1539" s="15" t="s">
        <v>133</v>
      </c>
      <c r="AH1539" s="16">
        <v>45845</v>
      </c>
      <c r="AI1539" s="16">
        <v>45853</v>
      </c>
      <c r="AJ1539" s="16">
        <v>45865</v>
      </c>
      <c r="AK1539" s="17">
        <f>IF(AJ1539="","",AJ1539-AH1539)</f>
        <v>20</v>
      </c>
    </row>
    <row r="1540" spans="1:37">
      <c r="A1540" s="2" t="s">
        <v>1977</v>
      </c>
      <c r="B1540" s="2" t="s">
        <v>287</v>
      </c>
      <c r="C1540" s="2" t="s">
        <v>288</v>
      </c>
      <c r="D1540" s="2" t="s">
        <v>171</v>
      </c>
      <c r="E1540" s="2" t="s">
        <v>289</v>
      </c>
      <c r="F1540" s="2" t="s">
        <v>173</v>
      </c>
      <c r="G1540" s="2" t="s">
        <v>1965</v>
      </c>
      <c r="H1540" s="2" t="s">
        <v>448</v>
      </c>
      <c r="I1540" s="2" t="s">
        <v>380</v>
      </c>
      <c r="J1540" s="2" t="s">
        <v>381</v>
      </c>
      <c r="K1540" s="9">
        <v>45837</v>
      </c>
      <c r="L1540" s="9">
        <v>45843</v>
      </c>
      <c r="M1540" s="9">
        <v>45838</v>
      </c>
      <c r="N1540" s="2" t="s">
        <v>1790</v>
      </c>
      <c r="O1540" s="2" t="s">
        <v>56</v>
      </c>
      <c r="P1540" s="2" t="s">
        <v>165</v>
      </c>
      <c r="Q1540" s="2" t="s">
        <v>166</v>
      </c>
      <c r="R1540" s="2" t="s">
        <v>149</v>
      </c>
      <c r="S1540" s="2" t="s">
        <v>383</v>
      </c>
      <c r="T1540" s="10">
        <v>67.87</v>
      </c>
      <c r="U1540" s="11">
        <v>1</v>
      </c>
      <c r="V1540" s="12">
        <f>T1540*U1540</f>
        <v>67.87</v>
      </c>
      <c r="W1540" s="13">
        <v>0</v>
      </c>
      <c r="X1540" s="12">
        <f>V1540-(V1540/(1+W1540))</f>
        <v>0</v>
      </c>
      <c r="Y1540" s="12">
        <f>V1540-X1540</f>
        <v>67.87</v>
      </c>
      <c r="Z1540" s="14">
        <v>75</v>
      </c>
      <c r="AA1540" s="2" t="str">
        <f>IF(V1540&gt;Z1540,"Yes","No")</f>
        <v>No</v>
      </c>
      <c r="AB1540" s="12">
        <f>V1540-Z1540</f>
        <v>-7.1299999999999955</v>
      </c>
      <c r="AC1540" s="15" t="s">
        <v>130</v>
      </c>
      <c r="AD1540" s="15" t="s">
        <v>131</v>
      </c>
      <c r="AE1540" s="15" t="s">
        <v>514</v>
      </c>
      <c r="AF1540" s="12">
        <f>IF(AG1540="Rejected",0,IF(R1540="Corporate Card",0,V1540))</f>
        <v>67.87</v>
      </c>
      <c r="AG1540" s="15" t="s">
        <v>133</v>
      </c>
      <c r="AH1540" s="16">
        <v>45845</v>
      </c>
      <c r="AI1540" s="16">
        <v>45853</v>
      </c>
      <c r="AJ1540" s="16">
        <v>45865</v>
      </c>
      <c r="AK1540" s="17">
        <f>IF(AJ1540="","",AJ1540-AH1540)</f>
        <v>20</v>
      </c>
    </row>
    <row r="1541" spans="1:37">
      <c r="A1541" s="2" t="s">
        <v>1978</v>
      </c>
      <c r="B1541" s="2" t="s">
        <v>287</v>
      </c>
      <c r="C1541" s="2" t="s">
        <v>288</v>
      </c>
      <c r="D1541" s="2" t="s">
        <v>171</v>
      </c>
      <c r="E1541" s="2" t="s">
        <v>289</v>
      </c>
      <c r="F1541" s="2" t="s">
        <v>173</v>
      </c>
      <c r="G1541" s="2" t="s">
        <v>1965</v>
      </c>
      <c r="H1541" s="2" t="s">
        <v>448</v>
      </c>
      <c r="I1541" s="2" t="s">
        <v>380</v>
      </c>
      <c r="J1541" s="2" t="s">
        <v>381</v>
      </c>
      <c r="K1541" s="9">
        <v>45837</v>
      </c>
      <c r="L1541" s="9">
        <v>45843</v>
      </c>
      <c r="M1541" s="9">
        <v>45838</v>
      </c>
      <c r="N1541" s="2" t="s">
        <v>1790</v>
      </c>
      <c r="O1541" s="2" t="s">
        <v>55</v>
      </c>
      <c r="P1541" s="2" t="s">
        <v>139</v>
      </c>
      <c r="Q1541" s="2" t="s">
        <v>187</v>
      </c>
      <c r="R1541" s="2" t="s">
        <v>149</v>
      </c>
      <c r="S1541" s="2" t="s">
        <v>383</v>
      </c>
      <c r="T1541" s="10">
        <v>17.66</v>
      </c>
      <c r="U1541" s="11">
        <v>1</v>
      </c>
      <c r="V1541" s="12">
        <f>T1541*U1541</f>
        <v>17.66</v>
      </c>
      <c r="W1541" s="13">
        <v>0</v>
      </c>
      <c r="X1541" s="12">
        <f>V1541-(V1541/(1+W1541))</f>
        <v>0</v>
      </c>
      <c r="Y1541" s="12">
        <f>V1541-X1541</f>
        <v>17.66</v>
      </c>
      <c r="Z1541" s="14">
        <v>35</v>
      </c>
      <c r="AA1541" s="2" t="str">
        <f>IF(V1541&gt;Z1541,"Yes","No")</f>
        <v>No</v>
      </c>
      <c r="AB1541" s="12">
        <f>V1541-Z1541</f>
        <v>-17.34</v>
      </c>
      <c r="AC1541" s="15" t="s">
        <v>130</v>
      </c>
      <c r="AD1541" s="15" t="s">
        <v>131</v>
      </c>
      <c r="AE1541" s="15" t="s">
        <v>514</v>
      </c>
      <c r="AF1541" s="12">
        <f>IF(AG1541="Rejected",0,IF(R1541="Corporate Card",0,V1541))</f>
        <v>17.66</v>
      </c>
      <c r="AG1541" s="15" t="s">
        <v>133</v>
      </c>
      <c r="AH1541" s="16">
        <v>45845</v>
      </c>
      <c r="AI1541" s="16">
        <v>45853</v>
      </c>
      <c r="AJ1541" s="16">
        <v>45865</v>
      </c>
      <c r="AK1541" s="17">
        <f>IF(AJ1541="","",AJ1541-AH1541)</f>
        <v>20</v>
      </c>
    </row>
    <row r="1542" spans="1:37">
      <c r="A1542" s="2" t="s">
        <v>1979</v>
      </c>
      <c r="B1542" s="2" t="s">
        <v>863</v>
      </c>
      <c r="C1542" s="2" t="s">
        <v>864</v>
      </c>
      <c r="D1542" s="2" t="s">
        <v>865</v>
      </c>
      <c r="E1542" s="2" t="s">
        <v>866</v>
      </c>
      <c r="F1542" s="2" t="s">
        <v>867</v>
      </c>
      <c r="G1542" s="2" t="s">
        <v>1980</v>
      </c>
      <c r="H1542" s="2" t="s">
        <v>291</v>
      </c>
      <c r="I1542" s="2" t="s">
        <v>175</v>
      </c>
      <c r="J1542" s="2" t="s">
        <v>176</v>
      </c>
      <c r="K1542" s="9">
        <v>45838</v>
      </c>
      <c r="L1542" s="9">
        <v>45843</v>
      </c>
      <c r="M1542" s="9">
        <v>45838</v>
      </c>
      <c r="N1542" s="2" t="s">
        <v>1790</v>
      </c>
      <c r="O1542" s="2" t="s">
        <v>52</v>
      </c>
      <c r="P1542" s="2" t="s">
        <v>177</v>
      </c>
      <c r="Q1542" s="2" t="s">
        <v>258</v>
      </c>
      <c r="R1542" s="2" t="s">
        <v>128</v>
      </c>
      <c r="S1542" s="2" t="s">
        <v>179</v>
      </c>
      <c r="T1542" s="10">
        <v>11862.19</v>
      </c>
      <c r="U1542" s="11">
        <v>0.18099999999999999</v>
      </c>
      <c r="V1542" s="12">
        <f>T1542*U1542</f>
        <v>2147.0563900000002</v>
      </c>
      <c r="W1542" s="13">
        <v>0</v>
      </c>
      <c r="X1542" s="12">
        <f>V1542-(V1542/(1+W1542))</f>
        <v>0</v>
      </c>
      <c r="Y1542" s="12">
        <f>V1542-X1542</f>
        <v>2147.0563900000002</v>
      </c>
      <c r="Z1542" s="14">
        <v>1400</v>
      </c>
      <c r="AA1542" s="2" t="str">
        <f>IF(V1542&gt;Z1542,"Yes","No")</f>
        <v>Yes</v>
      </c>
      <c r="AB1542" s="12">
        <f>V1542-Z1542</f>
        <v>747.05639000000019</v>
      </c>
      <c r="AC1542" s="15" t="s">
        <v>131</v>
      </c>
      <c r="AD1542" s="15" t="s">
        <v>131</v>
      </c>
      <c r="AE1542" s="15" t="s">
        <v>132</v>
      </c>
      <c r="AF1542" s="12">
        <f>IF(AG1542="Rejected",0,IF(R1542="Corporate Card",0,V1542))</f>
        <v>0</v>
      </c>
      <c r="AG1542" s="15" t="s">
        <v>133</v>
      </c>
      <c r="AH1542" s="16">
        <v>45848</v>
      </c>
      <c r="AI1542" s="16">
        <v>45857</v>
      </c>
      <c r="AJ1542" s="16">
        <v>45867</v>
      </c>
      <c r="AK1542" s="17">
        <f>IF(AJ1542="","",AJ1542-AH1542)</f>
        <v>19</v>
      </c>
    </row>
    <row r="1543" spans="1:37">
      <c r="A1543" s="2" t="s">
        <v>1981</v>
      </c>
      <c r="B1543" s="2" t="s">
        <v>863</v>
      </c>
      <c r="C1543" s="2" t="s">
        <v>864</v>
      </c>
      <c r="D1543" s="2" t="s">
        <v>865</v>
      </c>
      <c r="E1543" s="2" t="s">
        <v>866</v>
      </c>
      <c r="F1543" s="2" t="s">
        <v>867</v>
      </c>
      <c r="G1543" s="2" t="s">
        <v>1980</v>
      </c>
      <c r="H1543" s="2" t="s">
        <v>291</v>
      </c>
      <c r="I1543" s="2" t="s">
        <v>175</v>
      </c>
      <c r="J1543" s="2" t="s">
        <v>176</v>
      </c>
      <c r="K1543" s="9">
        <v>45838</v>
      </c>
      <c r="L1543" s="9">
        <v>45843</v>
      </c>
      <c r="M1543" s="9">
        <v>45838</v>
      </c>
      <c r="N1543" s="2" t="s">
        <v>1790</v>
      </c>
      <c r="O1543" s="2" t="s">
        <v>58</v>
      </c>
      <c r="P1543" s="2" t="s">
        <v>142</v>
      </c>
      <c r="Q1543" s="2" t="s">
        <v>203</v>
      </c>
      <c r="R1543" s="2" t="s">
        <v>137</v>
      </c>
      <c r="S1543" s="2" t="s">
        <v>179</v>
      </c>
      <c r="T1543" s="10">
        <v>121.93</v>
      </c>
      <c r="U1543" s="11">
        <v>0.18099999999999999</v>
      </c>
      <c r="V1543" s="12">
        <f>T1543*U1543</f>
        <v>22.069330000000001</v>
      </c>
      <c r="W1543" s="13">
        <v>0.17</v>
      </c>
      <c r="X1543" s="12">
        <f>V1543-(V1543/(1+W1543))</f>
        <v>3.206654786324787</v>
      </c>
      <c r="Y1543" s="12">
        <f>V1543-X1543</f>
        <v>18.862675213675214</v>
      </c>
      <c r="Z1543" s="14">
        <v>60</v>
      </c>
      <c r="AA1543" s="2" t="str">
        <f>IF(V1543&gt;Z1543,"Yes","No")</f>
        <v>No</v>
      </c>
      <c r="AB1543" s="12">
        <f>V1543-Z1543</f>
        <v>-37.930669999999999</v>
      </c>
      <c r="AC1543" s="15" t="s">
        <v>130</v>
      </c>
      <c r="AD1543" s="15" t="s">
        <v>131</v>
      </c>
      <c r="AE1543" s="15" t="s">
        <v>132</v>
      </c>
      <c r="AF1543" s="12">
        <f>IF(AG1543="Rejected",0,IF(R1543="Corporate Card",0,V1543))</f>
        <v>22.069330000000001</v>
      </c>
      <c r="AG1543" s="15" t="s">
        <v>133</v>
      </c>
      <c r="AH1543" s="16">
        <v>45848</v>
      </c>
      <c r="AI1543" s="16">
        <v>45857</v>
      </c>
      <c r="AJ1543" s="16">
        <v>45867</v>
      </c>
      <c r="AK1543" s="17">
        <f>IF(AJ1543="","",AJ1543-AH1543)</f>
        <v>19</v>
      </c>
    </row>
    <row r="1544" spans="1:37">
      <c r="A1544" s="2" t="s">
        <v>1982</v>
      </c>
      <c r="B1544" s="2" t="s">
        <v>863</v>
      </c>
      <c r="C1544" s="2" t="s">
        <v>864</v>
      </c>
      <c r="D1544" s="2" t="s">
        <v>865</v>
      </c>
      <c r="E1544" s="2" t="s">
        <v>866</v>
      </c>
      <c r="F1544" s="2" t="s">
        <v>867</v>
      </c>
      <c r="G1544" s="2" t="s">
        <v>1980</v>
      </c>
      <c r="H1544" s="2" t="s">
        <v>291</v>
      </c>
      <c r="I1544" s="2" t="s">
        <v>175</v>
      </c>
      <c r="J1544" s="2" t="s">
        <v>176</v>
      </c>
      <c r="K1544" s="9">
        <v>45838</v>
      </c>
      <c r="L1544" s="9">
        <v>45843</v>
      </c>
      <c r="M1544" s="9">
        <v>45838</v>
      </c>
      <c r="N1544" s="2" t="s">
        <v>1790</v>
      </c>
      <c r="O1544" s="2" t="s">
        <v>54</v>
      </c>
      <c r="P1544" s="2" t="s">
        <v>139</v>
      </c>
      <c r="Q1544" s="2" t="s">
        <v>140</v>
      </c>
      <c r="R1544" s="2" t="s">
        <v>128</v>
      </c>
      <c r="S1544" s="2" t="s">
        <v>179</v>
      </c>
      <c r="T1544" s="10">
        <v>60.91</v>
      </c>
      <c r="U1544" s="11">
        <v>0.18099999999999999</v>
      </c>
      <c r="V1544" s="12">
        <f>T1544*U1544</f>
        <v>11.024709999999999</v>
      </c>
      <c r="W1544" s="13">
        <v>0.17</v>
      </c>
      <c r="X1544" s="12">
        <f>V1544-(V1544/(1+W1544))</f>
        <v>1.6018809401709397</v>
      </c>
      <c r="Y1544" s="12">
        <f>V1544-X1544</f>
        <v>9.4228290598290592</v>
      </c>
      <c r="Z1544" s="14">
        <v>25</v>
      </c>
      <c r="AA1544" s="2" t="str">
        <f>IF(V1544&gt;Z1544,"Yes","No")</f>
        <v>No</v>
      </c>
      <c r="AB1544" s="12">
        <f>V1544-Z1544</f>
        <v>-13.975290000000001</v>
      </c>
      <c r="AC1544" s="15" t="s">
        <v>130</v>
      </c>
      <c r="AD1544" s="15" t="s">
        <v>131</v>
      </c>
      <c r="AE1544" s="15" t="s">
        <v>132</v>
      </c>
      <c r="AF1544" s="12">
        <f>IF(AG1544="Rejected",0,IF(R1544="Corporate Card",0,V1544))</f>
        <v>0</v>
      </c>
      <c r="AG1544" s="15" t="s">
        <v>133</v>
      </c>
      <c r="AH1544" s="16">
        <v>45848</v>
      </c>
      <c r="AI1544" s="16">
        <v>45857</v>
      </c>
      <c r="AJ1544" s="16">
        <v>45867</v>
      </c>
      <c r="AK1544" s="17">
        <f>IF(AJ1544="","",AJ1544-AH1544)</f>
        <v>19</v>
      </c>
    </row>
    <row r="1545" spans="1:37">
      <c r="A1545" s="2" t="s">
        <v>1983</v>
      </c>
      <c r="B1545" s="2" t="s">
        <v>863</v>
      </c>
      <c r="C1545" s="2" t="s">
        <v>864</v>
      </c>
      <c r="D1545" s="2" t="s">
        <v>865</v>
      </c>
      <c r="E1545" s="2" t="s">
        <v>866</v>
      </c>
      <c r="F1545" s="2" t="s">
        <v>867</v>
      </c>
      <c r="G1545" s="2" t="s">
        <v>1980</v>
      </c>
      <c r="H1545" s="2" t="s">
        <v>291</v>
      </c>
      <c r="I1545" s="2" t="s">
        <v>175</v>
      </c>
      <c r="J1545" s="2" t="s">
        <v>176</v>
      </c>
      <c r="K1545" s="9">
        <v>45838</v>
      </c>
      <c r="L1545" s="9">
        <v>45843</v>
      </c>
      <c r="M1545" s="9">
        <v>45838</v>
      </c>
      <c r="N1545" s="2" t="s">
        <v>1790</v>
      </c>
      <c r="O1545" s="2" t="s">
        <v>56</v>
      </c>
      <c r="P1545" s="2" t="s">
        <v>231</v>
      </c>
      <c r="Q1545" s="2" t="s">
        <v>159</v>
      </c>
      <c r="R1545" s="2" t="s">
        <v>128</v>
      </c>
      <c r="S1545" s="2" t="s">
        <v>179</v>
      </c>
      <c r="T1545" s="10">
        <v>189</v>
      </c>
      <c r="U1545" s="11">
        <v>0.18099999999999999</v>
      </c>
      <c r="V1545" s="12">
        <f>T1545*U1545</f>
        <v>34.208999999999996</v>
      </c>
      <c r="W1545" s="13">
        <v>0.17</v>
      </c>
      <c r="X1545" s="12">
        <f>V1545-(V1545/(1+W1545))</f>
        <v>4.9705384615384602</v>
      </c>
      <c r="Y1545" s="12">
        <f>V1545-X1545</f>
        <v>29.238461538461536</v>
      </c>
      <c r="Z1545" s="14">
        <v>75</v>
      </c>
      <c r="AA1545" s="2" t="str">
        <f>IF(V1545&gt;Z1545,"Yes","No")</f>
        <v>No</v>
      </c>
      <c r="AB1545" s="12">
        <f>V1545-Z1545</f>
        <v>-40.791000000000004</v>
      </c>
      <c r="AC1545" s="15" t="s">
        <v>130</v>
      </c>
      <c r="AD1545" s="15" t="s">
        <v>131</v>
      </c>
      <c r="AE1545" s="15" t="s">
        <v>132</v>
      </c>
      <c r="AF1545" s="12">
        <f>IF(AG1545="Rejected",0,IF(R1545="Corporate Card",0,V1545))</f>
        <v>0</v>
      </c>
      <c r="AG1545" s="15" t="s">
        <v>133</v>
      </c>
      <c r="AH1545" s="16">
        <v>45848</v>
      </c>
      <c r="AI1545" s="16">
        <v>45857</v>
      </c>
      <c r="AJ1545" s="16">
        <v>45867</v>
      </c>
      <c r="AK1545" s="17">
        <f>IF(AJ1545="","",AJ1545-AH1545)</f>
        <v>19</v>
      </c>
    </row>
    <row r="1546" spans="1:37">
      <c r="A1546" s="2" t="s">
        <v>1984</v>
      </c>
      <c r="B1546" s="2" t="s">
        <v>863</v>
      </c>
      <c r="C1546" s="2" t="s">
        <v>864</v>
      </c>
      <c r="D1546" s="2" t="s">
        <v>865</v>
      </c>
      <c r="E1546" s="2" t="s">
        <v>866</v>
      </c>
      <c r="F1546" s="2" t="s">
        <v>867</v>
      </c>
      <c r="G1546" s="2" t="s">
        <v>1980</v>
      </c>
      <c r="H1546" s="2" t="s">
        <v>291</v>
      </c>
      <c r="I1546" s="2" t="s">
        <v>175</v>
      </c>
      <c r="J1546" s="2" t="s">
        <v>176</v>
      </c>
      <c r="K1546" s="9">
        <v>45838</v>
      </c>
      <c r="L1546" s="9">
        <v>45843</v>
      </c>
      <c r="M1546" s="9">
        <v>45838</v>
      </c>
      <c r="N1546" s="2" t="s">
        <v>1790</v>
      </c>
      <c r="O1546" s="2" t="s">
        <v>55</v>
      </c>
      <c r="P1546" s="2" t="s">
        <v>139</v>
      </c>
      <c r="Q1546" s="2" t="s">
        <v>217</v>
      </c>
      <c r="R1546" s="2" t="s">
        <v>128</v>
      </c>
      <c r="S1546" s="2" t="s">
        <v>179</v>
      </c>
      <c r="T1546" s="10">
        <v>125.72</v>
      </c>
      <c r="U1546" s="11">
        <v>0.18099999999999999</v>
      </c>
      <c r="V1546" s="12">
        <f>T1546*U1546</f>
        <v>22.755319999999998</v>
      </c>
      <c r="W1546" s="13">
        <v>0.17</v>
      </c>
      <c r="X1546" s="12">
        <f>V1546-(V1546/(1+W1546))</f>
        <v>3.3063285470085439</v>
      </c>
      <c r="Y1546" s="12">
        <f>V1546-X1546</f>
        <v>19.448991452991454</v>
      </c>
      <c r="Z1546" s="14">
        <v>35</v>
      </c>
      <c r="AA1546" s="2" t="str">
        <f>IF(V1546&gt;Z1546,"Yes","No")</f>
        <v>No</v>
      </c>
      <c r="AB1546" s="12">
        <f>V1546-Z1546</f>
        <v>-12.244680000000002</v>
      </c>
      <c r="AC1546" s="15" t="s">
        <v>130</v>
      </c>
      <c r="AD1546" s="15" t="s">
        <v>131</v>
      </c>
      <c r="AE1546" s="15" t="s">
        <v>132</v>
      </c>
      <c r="AF1546" s="12">
        <f>IF(AG1546="Rejected",0,IF(R1546="Corporate Card",0,V1546))</f>
        <v>0</v>
      </c>
      <c r="AG1546" s="15" t="s">
        <v>133</v>
      </c>
      <c r="AH1546" s="16">
        <v>45848</v>
      </c>
      <c r="AI1546" s="16">
        <v>45857</v>
      </c>
      <c r="AJ1546" s="16">
        <v>45867</v>
      </c>
      <c r="AK1546" s="17">
        <f>IF(AJ1546="","",AJ1546-AH1546)</f>
        <v>19</v>
      </c>
    </row>
    <row r="1547" spans="1:37">
      <c r="A1547" s="2" t="s">
        <v>1985</v>
      </c>
      <c r="B1547" s="2" t="s">
        <v>287</v>
      </c>
      <c r="C1547" s="2" t="s">
        <v>288</v>
      </c>
      <c r="D1547" s="2" t="s">
        <v>171</v>
      </c>
      <c r="E1547" s="2" t="s">
        <v>289</v>
      </c>
      <c r="F1547" s="2" t="s">
        <v>173</v>
      </c>
      <c r="G1547" s="2" t="s">
        <v>1965</v>
      </c>
      <c r="H1547" s="2" t="s">
        <v>448</v>
      </c>
      <c r="I1547" s="2" t="s">
        <v>380</v>
      </c>
      <c r="J1547" s="2" t="s">
        <v>381</v>
      </c>
      <c r="K1547" s="9">
        <v>45837</v>
      </c>
      <c r="L1547" s="9">
        <v>45843</v>
      </c>
      <c r="M1547" s="9">
        <v>45839</v>
      </c>
      <c r="N1547" s="2" t="s">
        <v>1986</v>
      </c>
      <c r="O1547" s="2" t="s">
        <v>56</v>
      </c>
      <c r="P1547" s="2" t="s">
        <v>165</v>
      </c>
      <c r="Q1547" s="2" t="s">
        <v>159</v>
      </c>
      <c r="R1547" s="2" t="s">
        <v>149</v>
      </c>
      <c r="S1547" s="2" t="s">
        <v>383</v>
      </c>
      <c r="T1547" s="10">
        <v>63.76</v>
      </c>
      <c r="U1547" s="11">
        <v>1</v>
      </c>
      <c r="V1547" s="12">
        <f>T1547*U1547</f>
        <v>63.76</v>
      </c>
      <c r="W1547" s="13">
        <v>0</v>
      </c>
      <c r="X1547" s="12">
        <f>V1547-(V1547/(1+W1547))</f>
        <v>0</v>
      </c>
      <c r="Y1547" s="12">
        <f>V1547-X1547</f>
        <v>63.76</v>
      </c>
      <c r="Z1547" s="14">
        <v>75</v>
      </c>
      <c r="AA1547" s="2" t="str">
        <f>IF(V1547&gt;Z1547,"Yes","No")</f>
        <v>No</v>
      </c>
      <c r="AB1547" s="12">
        <f>V1547-Z1547</f>
        <v>-11.240000000000002</v>
      </c>
      <c r="AC1547" s="15" t="s">
        <v>130</v>
      </c>
      <c r="AD1547" s="15" t="s">
        <v>131</v>
      </c>
      <c r="AE1547" s="15" t="s">
        <v>514</v>
      </c>
      <c r="AF1547" s="12">
        <f>IF(AG1547="Rejected",0,IF(R1547="Corporate Card",0,V1547))</f>
        <v>63.76</v>
      </c>
      <c r="AG1547" s="15" t="s">
        <v>133</v>
      </c>
      <c r="AH1547" s="16">
        <v>45845</v>
      </c>
      <c r="AI1547" s="16">
        <v>45853</v>
      </c>
      <c r="AJ1547" s="16">
        <v>45865</v>
      </c>
      <c r="AK1547" s="17">
        <f>IF(AJ1547="","",AJ1547-AH1547)</f>
        <v>20</v>
      </c>
    </row>
    <row r="1548" spans="1:37">
      <c r="A1548" s="2" t="s">
        <v>1987</v>
      </c>
      <c r="B1548" s="2" t="s">
        <v>287</v>
      </c>
      <c r="C1548" s="2" t="s">
        <v>288</v>
      </c>
      <c r="D1548" s="2" t="s">
        <v>171</v>
      </c>
      <c r="E1548" s="2" t="s">
        <v>289</v>
      </c>
      <c r="F1548" s="2" t="s">
        <v>173</v>
      </c>
      <c r="G1548" s="2" t="s">
        <v>1965</v>
      </c>
      <c r="H1548" s="2" t="s">
        <v>448</v>
      </c>
      <c r="I1548" s="2" t="s">
        <v>380</v>
      </c>
      <c r="J1548" s="2" t="s">
        <v>381</v>
      </c>
      <c r="K1548" s="9">
        <v>45837</v>
      </c>
      <c r="L1548" s="9">
        <v>45843</v>
      </c>
      <c r="M1548" s="9">
        <v>45839</v>
      </c>
      <c r="N1548" s="2" t="s">
        <v>1986</v>
      </c>
      <c r="O1548" s="2" t="s">
        <v>55</v>
      </c>
      <c r="P1548" s="2" t="s">
        <v>139</v>
      </c>
      <c r="Q1548" s="2" t="s">
        <v>217</v>
      </c>
      <c r="R1548" s="2" t="s">
        <v>149</v>
      </c>
      <c r="S1548" s="2" t="s">
        <v>383</v>
      </c>
      <c r="T1548" s="10">
        <v>12.81</v>
      </c>
      <c r="U1548" s="11">
        <v>1</v>
      </c>
      <c r="V1548" s="12">
        <f>T1548*U1548</f>
        <v>12.81</v>
      </c>
      <c r="W1548" s="13">
        <v>0</v>
      </c>
      <c r="X1548" s="12">
        <f>V1548-(V1548/(1+W1548))</f>
        <v>0</v>
      </c>
      <c r="Y1548" s="12">
        <f>V1548-X1548</f>
        <v>12.81</v>
      </c>
      <c r="Z1548" s="14">
        <v>35</v>
      </c>
      <c r="AA1548" s="2" t="str">
        <f>IF(V1548&gt;Z1548,"Yes","No")</f>
        <v>No</v>
      </c>
      <c r="AB1548" s="12">
        <f>V1548-Z1548</f>
        <v>-22.189999999999998</v>
      </c>
      <c r="AC1548" s="15" t="s">
        <v>130</v>
      </c>
      <c r="AD1548" s="15" t="s">
        <v>131</v>
      </c>
      <c r="AE1548" s="15" t="s">
        <v>514</v>
      </c>
      <c r="AF1548" s="12">
        <f>IF(AG1548="Rejected",0,IF(R1548="Corporate Card",0,V1548))</f>
        <v>12.81</v>
      </c>
      <c r="AG1548" s="15" t="s">
        <v>133</v>
      </c>
      <c r="AH1548" s="16">
        <v>45845</v>
      </c>
      <c r="AI1548" s="16">
        <v>45853</v>
      </c>
      <c r="AJ1548" s="16">
        <v>45865</v>
      </c>
      <c r="AK1548" s="17">
        <f>IF(AJ1548="","",AJ1548-AH1548)</f>
        <v>20</v>
      </c>
    </row>
    <row r="1549" spans="1:37">
      <c r="A1549" s="2" t="s">
        <v>1988</v>
      </c>
      <c r="B1549" s="2" t="s">
        <v>863</v>
      </c>
      <c r="C1549" s="2" t="s">
        <v>864</v>
      </c>
      <c r="D1549" s="2" t="s">
        <v>865</v>
      </c>
      <c r="E1549" s="2" t="s">
        <v>866</v>
      </c>
      <c r="F1549" s="2" t="s">
        <v>867</v>
      </c>
      <c r="G1549" s="2" t="s">
        <v>1980</v>
      </c>
      <c r="H1549" s="2" t="s">
        <v>291</v>
      </c>
      <c r="I1549" s="2" t="s">
        <v>175</v>
      </c>
      <c r="J1549" s="2" t="s">
        <v>176</v>
      </c>
      <c r="K1549" s="9">
        <v>45838</v>
      </c>
      <c r="L1549" s="9">
        <v>45843</v>
      </c>
      <c r="M1549" s="9">
        <v>45839</v>
      </c>
      <c r="N1549" s="2" t="s">
        <v>1986</v>
      </c>
      <c r="O1549" s="2" t="s">
        <v>60</v>
      </c>
      <c r="P1549" s="2" t="s">
        <v>1677</v>
      </c>
      <c r="Q1549" s="2" t="s">
        <v>503</v>
      </c>
      <c r="R1549" s="2" t="s">
        <v>128</v>
      </c>
      <c r="S1549" s="2" t="s">
        <v>179</v>
      </c>
      <c r="T1549" s="10">
        <v>1499.11</v>
      </c>
      <c r="U1549" s="11">
        <v>0.18099999999999999</v>
      </c>
      <c r="V1549" s="12">
        <f>T1549*U1549</f>
        <v>271.33891</v>
      </c>
      <c r="W1549" s="13">
        <v>0.17</v>
      </c>
      <c r="X1549" s="12">
        <f>V1549-(V1549/(1+W1549))</f>
        <v>39.425311709401683</v>
      </c>
      <c r="Y1549" s="12">
        <f>V1549-X1549</f>
        <v>231.91359829059832</v>
      </c>
      <c r="Z1549" s="14">
        <v>600</v>
      </c>
      <c r="AA1549" s="2" t="str">
        <f>IF(V1549&gt;Z1549,"Yes","No")</f>
        <v>No</v>
      </c>
      <c r="AB1549" s="12">
        <f>V1549-Z1549</f>
        <v>-328.66109</v>
      </c>
      <c r="AC1549" s="15" t="s">
        <v>130</v>
      </c>
      <c r="AD1549" s="15" t="s">
        <v>131</v>
      </c>
      <c r="AE1549" s="15" t="s">
        <v>132</v>
      </c>
      <c r="AF1549" s="12">
        <f>IF(AG1549="Rejected",0,IF(R1549="Corporate Card",0,V1549))</f>
        <v>0</v>
      </c>
      <c r="AG1549" s="15" t="s">
        <v>133</v>
      </c>
      <c r="AH1549" s="16">
        <v>45848</v>
      </c>
      <c r="AI1549" s="16">
        <v>45857</v>
      </c>
      <c r="AJ1549" s="16">
        <v>45867</v>
      </c>
      <c r="AK1549" s="17">
        <f>IF(AJ1549="","",AJ1549-AH1549)</f>
        <v>19</v>
      </c>
    </row>
    <row r="1550" spans="1:37">
      <c r="A1550" s="2" t="s">
        <v>1989</v>
      </c>
      <c r="B1550" s="2" t="s">
        <v>863</v>
      </c>
      <c r="C1550" s="2" t="s">
        <v>864</v>
      </c>
      <c r="D1550" s="2" t="s">
        <v>865</v>
      </c>
      <c r="E1550" s="2" t="s">
        <v>866</v>
      </c>
      <c r="F1550" s="2" t="s">
        <v>867</v>
      </c>
      <c r="G1550" s="2" t="s">
        <v>1980</v>
      </c>
      <c r="H1550" s="2" t="s">
        <v>291</v>
      </c>
      <c r="I1550" s="2" t="s">
        <v>175</v>
      </c>
      <c r="J1550" s="2" t="s">
        <v>176</v>
      </c>
      <c r="K1550" s="9">
        <v>45838</v>
      </c>
      <c r="L1550" s="9">
        <v>45843</v>
      </c>
      <c r="M1550" s="9">
        <v>45839</v>
      </c>
      <c r="N1550" s="2" t="s">
        <v>1986</v>
      </c>
      <c r="O1550" s="2" t="s">
        <v>53</v>
      </c>
      <c r="P1550" s="2" t="s">
        <v>271</v>
      </c>
      <c r="Q1550" s="2" t="s">
        <v>468</v>
      </c>
      <c r="R1550" s="2" t="s">
        <v>149</v>
      </c>
      <c r="S1550" s="2" t="s">
        <v>179</v>
      </c>
      <c r="T1550" s="10">
        <v>4364.9399999999996</v>
      </c>
      <c r="U1550" s="11">
        <v>0.18099999999999999</v>
      </c>
      <c r="V1550" s="12">
        <f>T1550*U1550</f>
        <v>790.05413999999985</v>
      </c>
      <c r="W1550" s="13">
        <v>0.17</v>
      </c>
      <c r="X1550" s="12">
        <f>V1550-(V1550/(1+W1550))</f>
        <v>114.7941912820512</v>
      </c>
      <c r="Y1550" s="12">
        <f>V1550-X1550</f>
        <v>675.25994871794865</v>
      </c>
      <c r="Z1550" s="14">
        <v>1400</v>
      </c>
      <c r="AA1550" s="2" t="str">
        <f>IF(V1550&gt;Z1550,"Yes","No")</f>
        <v>No</v>
      </c>
      <c r="AB1550" s="12">
        <f>V1550-Z1550</f>
        <v>-609.94586000000015</v>
      </c>
      <c r="AC1550" s="15" t="s">
        <v>130</v>
      </c>
      <c r="AD1550" s="15" t="s">
        <v>131</v>
      </c>
      <c r="AE1550" s="15" t="s">
        <v>132</v>
      </c>
      <c r="AF1550" s="12">
        <f>IF(AG1550="Rejected",0,IF(R1550="Corporate Card",0,V1550))</f>
        <v>790.05413999999985</v>
      </c>
      <c r="AG1550" s="15" t="s">
        <v>133</v>
      </c>
      <c r="AH1550" s="16">
        <v>45848</v>
      </c>
      <c r="AI1550" s="16">
        <v>45857</v>
      </c>
      <c r="AJ1550" s="16">
        <v>45867</v>
      </c>
      <c r="AK1550" s="17">
        <f>IF(AJ1550="","",AJ1550-AH1550)</f>
        <v>19</v>
      </c>
    </row>
    <row r="1551" spans="1:37">
      <c r="A1551" s="2" t="s">
        <v>1990</v>
      </c>
      <c r="B1551" s="2" t="s">
        <v>863</v>
      </c>
      <c r="C1551" s="2" t="s">
        <v>864</v>
      </c>
      <c r="D1551" s="2" t="s">
        <v>865</v>
      </c>
      <c r="E1551" s="2" t="s">
        <v>866</v>
      </c>
      <c r="F1551" s="2" t="s">
        <v>867</v>
      </c>
      <c r="G1551" s="2" t="s">
        <v>1980</v>
      </c>
      <c r="H1551" s="2" t="s">
        <v>291</v>
      </c>
      <c r="I1551" s="2" t="s">
        <v>175</v>
      </c>
      <c r="J1551" s="2" t="s">
        <v>176</v>
      </c>
      <c r="K1551" s="9">
        <v>45838</v>
      </c>
      <c r="L1551" s="9">
        <v>45843</v>
      </c>
      <c r="M1551" s="9">
        <v>45839</v>
      </c>
      <c r="N1551" s="2" t="s">
        <v>1986</v>
      </c>
      <c r="O1551" s="2" t="s">
        <v>65</v>
      </c>
      <c r="P1551" s="2" t="s">
        <v>211</v>
      </c>
      <c r="Q1551" s="2" t="s">
        <v>212</v>
      </c>
      <c r="R1551" s="2" t="s">
        <v>137</v>
      </c>
      <c r="S1551" s="2" t="s">
        <v>179</v>
      </c>
      <c r="T1551" s="10">
        <v>130.97</v>
      </c>
      <c r="U1551" s="11">
        <v>0.18099999999999999</v>
      </c>
      <c r="V1551" s="12">
        <f>T1551*U1551</f>
        <v>23.705569999999998</v>
      </c>
      <c r="W1551" s="13">
        <v>0.17</v>
      </c>
      <c r="X1551" s="12">
        <f>V1551-(V1551/(1+W1551))</f>
        <v>3.4443990598290597</v>
      </c>
      <c r="Y1551" s="12">
        <f>V1551-X1551</f>
        <v>20.261170940170938</v>
      </c>
      <c r="Z1551" s="14">
        <v>55</v>
      </c>
      <c r="AA1551" s="2" t="str">
        <f>IF(V1551&gt;Z1551,"Yes","No")</f>
        <v>No</v>
      </c>
      <c r="AB1551" s="12">
        <f>V1551-Z1551</f>
        <v>-31.294430000000002</v>
      </c>
      <c r="AC1551" s="15" t="s">
        <v>130</v>
      </c>
      <c r="AD1551" s="15" t="s">
        <v>131</v>
      </c>
      <c r="AE1551" s="15" t="s">
        <v>132</v>
      </c>
      <c r="AF1551" s="12">
        <f>IF(AG1551="Rejected",0,IF(R1551="Corporate Card",0,V1551))</f>
        <v>23.705569999999998</v>
      </c>
      <c r="AG1551" s="15" t="s">
        <v>133</v>
      </c>
      <c r="AH1551" s="16">
        <v>45848</v>
      </c>
      <c r="AI1551" s="16">
        <v>45857</v>
      </c>
      <c r="AJ1551" s="16">
        <v>45867</v>
      </c>
      <c r="AK1551" s="17">
        <f>IF(AJ1551="","",AJ1551-AH1551)</f>
        <v>19</v>
      </c>
    </row>
    <row r="1552" spans="1:37">
      <c r="A1552" s="2" t="s">
        <v>1991</v>
      </c>
      <c r="B1552" s="2" t="s">
        <v>863</v>
      </c>
      <c r="C1552" s="2" t="s">
        <v>864</v>
      </c>
      <c r="D1552" s="2" t="s">
        <v>865</v>
      </c>
      <c r="E1552" s="2" t="s">
        <v>866</v>
      </c>
      <c r="F1552" s="2" t="s">
        <v>867</v>
      </c>
      <c r="G1552" s="2" t="s">
        <v>1980</v>
      </c>
      <c r="H1552" s="2" t="s">
        <v>291</v>
      </c>
      <c r="I1552" s="2" t="s">
        <v>175</v>
      </c>
      <c r="J1552" s="2" t="s">
        <v>176</v>
      </c>
      <c r="K1552" s="9">
        <v>45838</v>
      </c>
      <c r="L1552" s="9">
        <v>45843</v>
      </c>
      <c r="M1552" s="9">
        <v>45839</v>
      </c>
      <c r="N1552" s="2" t="s">
        <v>1986</v>
      </c>
      <c r="O1552" s="2" t="s">
        <v>56</v>
      </c>
      <c r="P1552" s="2" t="s">
        <v>245</v>
      </c>
      <c r="Q1552" s="2" t="s">
        <v>159</v>
      </c>
      <c r="R1552" s="2" t="s">
        <v>149</v>
      </c>
      <c r="S1552" s="2" t="s">
        <v>179</v>
      </c>
      <c r="T1552" s="10">
        <v>261.92</v>
      </c>
      <c r="U1552" s="11">
        <v>0.18099999999999999</v>
      </c>
      <c r="V1552" s="12">
        <f>T1552*U1552</f>
        <v>47.407519999999998</v>
      </c>
      <c r="W1552" s="13">
        <v>0.17</v>
      </c>
      <c r="X1552" s="12">
        <f>V1552-(V1552/(1+W1552))</f>
        <v>6.8882721367521356</v>
      </c>
      <c r="Y1552" s="12">
        <f>V1552-X1552</f>
        <v>40.519247863247863</v>
      </c>
      <c r="Z1552" s="14">
        <v>75</v>
      </c>
      <c r="AA1552" s="2" t="str">
        <f>IF(V1552&gt;Z1552,"Yes","No")</f>
        <v>No</v>
      </c>
      <c r="AB1552" s="12">
        <f>V1552-Z1552</f>
        <v>-27.592480000000002</v>
      </c>
      <c r="AC1552" s="15" t="s">
        <v>130</v>
      </c>
      <c r="AD1552" s="15" t="s">
        <v>131</v>
      </c>
      <c r="AE1552" s="15" t="s">
        <v>132</v>
      </c>
      <c r="AF1552" s="12">
        <f>IF(AG1552="Rejected",0,IF(R1552="Corporate Card",0,V1552))</f>
        <v>47.407519999999998</v>
      </c>
      <c r="AG1552" s="15" t="s">
        <v>133</v>
      </c>
      <c r="AH1552" s="16">
        <v>45848</v>
      </c>
      <c r="AI1552" s="16">
        <v>45857</v>
      </c>
      <c r="AJ1552" s="16">
        <v>45867</v>
      </c>
      <c r="AK1552" s="17">
        <f>IF(AJ1552="","",AJ1552-AH1552)</f>
        <v>19</v>
      </c>
    </row>
    <row r="1553" spans="1:37">
      <c r="A1553" s="2" t="s">
        <v>1992</v>
      </c>
      <c r="B1553" s="2" t="s">
        <v>863</v>
      </c>
      <c r="C1553" s="2" t="s">
        <v>864</v>
      </c>
      <c r="D1553" s="2" t="s">
        <v>865</v>
      </c>
      <c r="E1553" s="2" t="s">
        <v>866</v>
      </c>
      <c r="F1553" s="2" t="s">
        <v>867</v>
      </c>
      <c r="G1553" s="2" t="s">
        <v>1980</v>
      </c>
      <c r="H1553" s="2" t="s">
        <v>291</v>
      </c>
      <c r="I1553" s="2" t="s">
        <v>175</v>
      </c>
      <c r="J1553" s="2" t="s">
        <v>176</v>
      </c>
      <c r="K1553" s="9">
        <v>45838</v>
      </c>
      <c r="L1553" s="9">
        <v>45843</v>
      </c>
      <c r="M1553" s="9">
        <v>45839</v>
      </c>
      <c r="N1553" s="2" t="s">
        <v>1986</v>
      </c>
      <c r="O1553" s="2" t="s">
        <v>55</v>
      </c>
      <c r="P1553" s="2" t="s">
        <v>139</v>
      </c>
      <c r="Q1553" s="2" t="s">
        <v>217</v>
      </c>
      <c r="R1553" s="2" t="s">
        <v>137</v>
      </c>
      <c r="S1553" s="2" t="s">
        <v>179</v>
      </c>
      <c r="T1553" s="10">
        <v>170.09</v>
      </c>
      <c r="U1553" s="11">
        <v>0.18099999999999999</v>
      </c>
      <c r="V1553" s="12">
        <f>T1553*U1553</f>
        <v>30.786290000000001</v>
      </c>
      <c r="W1553" s="13">
        <v>0.17</v>
      </c>
      <c r="X1553" s="12">
        <f>V1553-(V1553/(1+W1553))</f>
        <v>4.4732216239316216</v>
      </c>
      <c r="Y1553" s="12">
        <f>V1553-X1553</f>
        <v>26.313068376068379</v>
      </c>
      <c r="Z1553" s="14">
        <v>35</v>
      </c>
      <c r="AA1553" s="2" t="str">
        <f>IF(V1553&gt;Z1553,"Yes","No")</f>
        <v>No</v>
      </c>
      <c r="AB1553" s="12">
        <f>V1553-Z1553</f>
        <v>-4.213709999999999</v>
      </c>
      <c r="AC1553" s="15" t="s">
        <v>130</v>
      </c>
      <c r="AD1553" s="15" t="s">
        <v>131</v>
      </c>
      <c r="AE1553" s="15" t="s">
        <v>132</v>
      </c>
      <c r="AF1553" s="12">
        <f>IF(AG1553="Rejected",0,IF(R1553="Corporate Card",0,V1553))</f>
        <v>30.786290000000001</v>
      </c>
      <c r="AG1553" s="15" t="s">
        <v>133</v>
      </c>
      <c r="AH1553" s="16">
        <v>45848</v>
      </c>
      <c r="AI1553" s="16">
        <v>45857</v>
      </c>
      <c r="AJ1553" s="16">
        <v>45867</v>
      </c>
      <c r="AK1553" s="17">
        <f>IF(AJ1553="","",AJ1553-AH1553)</f>
        <v>19</v>
      </c>
    </row>
    <row r="1554" spans="1:37">
      <c r="A1554" s="2" t="s">
        <v>1993</v>
      </c>
      <c r="B1554" s="2" t="s">
        <v>287</v>
      </c>
      <c r="C1554" s="2" t="s">
        <v>288</v>
      </c>
      <c r="D1554" s="2" t="s">
        <v>171</v>
      </c>
      <c r="E1554" s="2" t="s">
        <v>289</v>
      </c>
      <c r="F1554" s="2" t="s">
        <v>173</v>
      </c>
      <c r="G1554" s="2" t="s">
        <v>1965</v>
      </c>
      <c r="H1554" s="2" t="s">
        <v>448</v>
      </c>
      <c r="I1554" s="2" t="s">
        <v>380</v>
      </c>
      <c r="J1554" s="2" t="s">
        <v>381</v>
      </c>
      <c r="K1554" s="9">
        <v>45837</v>
      </c>
      <c r="L1554" s="9">
        <v>45843</v>
      </c>
      <c r="M1554" s="9">
        <v>45840</v>
      </c>
      <c r="N1554" s="2" t="s">
        <v>1986</v>
      </c>
      <c r="O1554" s="2" t="s">
        <v>54</v>
      </c>
      <c r="P1554" s="2" t="s">
        <v>139</v>
      </c>
      <c r="Q1554" s="2" t="s">
        <v>140</v>
      </c>
      <c r="R1554" s="2" t="s">
        <v>128</v>
      </c>
      <c r="S1554" s="2" t="s">
        <v>383</v>
      </c>
      <c r="T1554" s="10">
        <v>9.9600000000000009</v>
      </c>
      <c r="U1554" s="11">
        <v>1</v>
      </c>
      <c r="V1554" s="12">
        <f>T1554*U1554</f>
        <v>9.9600000000000009</v>
      </c>
      <c r="W1554" s="13">
        <v>0</v>
      </c>
      <c r="X1554" s="12">
        <f>V1554-(V1554/(1+W1554))</f>
        <v>0</v>
      </c>
      <c r="Y1554" s="12">
        <f>V1554-X1554</f>
        <v>9.9600000000000009</v>
      </c>
      <c r="Z1554" s="14">
        <v>25</v>
      </c>
      <c r="AA1554" s="2" t="str">
        <f>IF(V1554&gt;Z1554,"Yes","No")</f>
        <v>No</v>
      </c>
      <c r="AB1554" s="12">
        <f>V1554-Z1554</f>
        <v>-15.04</v>
      </c>
      <c r="AC1554" s="15" t="s">
        <v>130</v>
      </c>
      <c r="AD1554" s="15" t="s">
        <v>131</v>
      </c>
      <c r="AE1554" s="15" t="s">
        <v>514</v>
      </c>
      <c r="AF1554" s="12">
        <f>IF(AG1554="Rejected",0,IF(R1554="Corporate Card",0,V1554))</f>
        <v>0</v>
      </c>
      <c r="AG1554" s="15" t="s">
        <v>133</v>
      </c>
      <c r="AH1554" s="16">
        <v>45845</v>
      </c>
      <c r="AI1554" s="16">
        <v>45853</v>
      </c>
      <c r="AJ1554" s="16">
        <v>45865</v>
      </c>
      <c r="AK1554" s="17">
        <f>IF(AJ1554="","",AJ1554-AH1554)</f>
        <v>20</v>
      </c>
    </row>
    <row r="1555" spans="1:37">
      <c r="A1555" s="2" t="s">
        <v>1994</v>
      </c>
      <c r="B1555" s="2" t="s">
        <v>287</v>
      </c>
      <c r="C1555" s="2" t="s">
        <v>288</v>
      </c>
      <c r="D1555" s="2" t="s">
        <v>171</v>
      </c>
      <c r="E1555" s="2" t="s">
        <v>289</v>
      </c>
      <c r="F1555" s="2" t="s">
        <v>173</v>
      </c>
      <c r="G1555" s="2" t="s">
        <v>1965</v>
      </c>
      <c r="H1555" s="2" t="s">
        <v>448</v>
      </c>
      <c r="I1555" s="2" t="s">
        <v>380</v>
      </c>
      <c r="J1555" s="2" t="s">
        <v>381</v>
      </c>
      <c r="K1555" s="9">
        <v>45837</v>
      </c>
      <c r="L1555" s="9">
        <v>45843</v>
      </c>
      <c r="M1555" s="9">
        <v>45840</v>
      </c>
      <c r="N1555" s="2" t="s">
        <v>1986</v>
      </c>
      <c r="O1555" s="2" t="s">
        <v>56</v>
      </c>
      <c r="P1555" s="2" t="s">
        <v>151</v>
      </c>
      <c r="Q1555" s="2" t="s">
        <v>166</v>
      </c>
      <c r="R1555" s="2" t="s">
        <v>149</v>
      </c>
      <c r="S1555" s="2" t="s">
        <v>383</v>
      </c>
      <c r="T1555" s="10">
        <v>41.1</v>
      </c>
      <c r="U1555" s="11">
        <v>1</v>
      </c>
      <c r="V1555" s="12">
        <f>T1555*U1555</f>
        <v>41.1</v>
      </c>
      <c r="W1555" s="13">
        <v>0</v>
      </c>
      <c r="X1555" s="12">
        <f>V1555-(V1555/(1+W1555))</f>
        <v>0</v>
      </c>
      <c r="Y1555" s="12">
        <f>V1555-X1555</f>
        <v>41.1</v>
      </c>
      <c r="Z1555" s="14">
        <v>75</v>
      </c>
      <c r="AA1555" s="2" t="str">
        <f>IF(V1555&gt;Z1555,"Yes","No")</f>
        <v>No</v>
      </c>
      <c r="AB1555" s="12">
        <f>V1555-Z1555</f>
        <v>-33.9</v>
      </c>
      <c r="AC1555" s="15" t="s">
        <v>130</v>
      </c>
      <c r="AD1555" s="15" t="s">
        <v>131</v>
      </c>
      <c r="AE1555" s="15" t="s">
        <v>514</v>
      </c>
      <c r="AF1555" s="12">
        <f>IF(AG1555="Rejected",0,IF(R1555="Corporate Card",0,V1555))</f>
        <v>41.1</v>
      </c>
      <c r="AG1555" s="15" t="s">
        <v>133</v>
      </c>
      <c r="AH1555" s="16">
        <v>45845</v>
      </c>
      <c r="AI1555" s="16">
        <v>45853</v>
      </c>
      <c r="AJ1555" s="16">
        <v>45865</v>
      </c>
      <c r="AK1555" s="17">
        <f>IF(AJ1555="","",AJ1555-AH1555)</f>
        <v>20</v>
      </c>
    </row>
    <row r="1556" spans="1:37">
      <c r="A1556" s="2" t="s">
        <v>1995</v>
      </c>
      <c r="B1556" s="2" t="s">
        <v>287</v>
      </c>
      <c r="C1556" s="2" t="s">
        <v>288</v>
      </c>
      <c r="D1556" s="2" t="s">
        <v>171</v>
      </c>
      <c r="E1556" s="2" t="s">
        <v>289</v>
      </c>
      <c r="F1556" s="2" t="s">
        <v>173</v>
      </c>
      <c r="G1556" s="2" t="s">
        <v>1965</v>
      </c>
      <c r="H1556" s="2" t="s">
        <v>448</v>
      </c>
      <c r="I1556" s="2" t="s">
        <v>380</v>
      </c>
      <c r="J1556" s="2" t="s">
        <v>381</v>
      </c>
      <c r="K1556" s="9">
        <v>45837</v>
      </c>
      <c r="L1556" s="9">
        <v>45843</v>
      </c>
      <c r="M1556" s="9">
        <v>45840</v>
      </c>
      <c r="N1556" s="2" t="s">
        <v>1986</v>
      </c>
      <c r="O1556" s="2" t="s">
        <v>55</v>
      </c>
      <c r="P1556" s="2" t="s">
        <v>139</v>
      </c>
      <c r="Q1556" s="2" t="s">
        <v>161</v>
      </c>
      <c r="R1556" s="2" t="s">
        <v>128</v>
      </c>
      <c r="S1556" s="2" t="s">
        <v>383</v>
      </c>
      <c r="T1556" s="10">
        <v>13.41</v>
      </c>
      <c r="U1556" s="11">
        <v>1</v>
      </c>
      <c r="V1556" s="12">
        <f>T1556*U1556</f>
        <v>13.41</v>
      </c>
      <c r="W1556" s="13">
        <v>0</v>
      </c>
      <c r="X1556" s="12">
        <f>V1556-(V1556/(1+W1556))</f>
        <v>0</v>
      </c>
      <c r="Y1556" s="12">
        <f>V1556-X1556</f>
        <v>13.41</v>
      </c>
      <c r="Z1556" s="14">
        <v>35</v>
      </c>
      <c r="AA1556" s="2" t="str">
        <f>IF(V1556&gt;Z1556,"Yes","No")</f>
        <v>No</v>
      </c>
      <c r="AB1556" s="12">
        <f>V1556-Z1556</f>
        <v>-21.59</v>
      </c>
      <c r="AC1556" s="15" t="s">
        <v>130</v>
      </c>
      <c r="AD1556" s="15" t="s">
        <v>131</v>
      </c>
      <c r="AE1556" s="15" t="s">
        <v>514</v>
      </c>
      <c r="AF1556" s="12">
        <f>IF(AG1556="Rejected",0,IF(R1556="Corporate Card",0,V1556))</f>
        <v>0</v>
      </c>
      <c r="AG1556" s="15" t="s">
        <v>133</v>
      </c>
      <c r="AH1556" s="16">
        <v>45845</v>
      </c>
      <c r="AI1556" s="16">
        <v>45853</v>
      </c>
      <c r="AJ1556" s="16">
        <v>45865</v>
      </c>
      <c r="AK1556" s="17">
        <f>IF(AJ1556="","",AJ1556-AH1556)</f>
        <v>20</v>
      </c>
    </row>
    <row r="1557" spans="1:37">
      <c r="A1557" s="2" t="s">
        <v>1996</v>
      </c>
      <c r="B1557" s="2" t="s">
        <v>863</v>
      </c>
      <c r="C1557" s="2" t="s">
        <v>864</v>
      </c>
      <c r="D1557" s="2" t="s">
        <v>865</v>
      </c>
      <c r="E1557" s="2" t="s">
        <v>866</v>
      </c>
      <c r="F1557" s="2" t="s">
        <v>867</v>
      </c>
      <c r="G1557" s="2" t="s">
        <v>1980</v>
      </c>
      <c r="H1557" s="2" t="s">
        <v>291</v>
      </c>
      <c r="I1557" s="2" t="s">
        <v>175</v>
      </c>
      <c r="J1557" s="2" t="s">
        <v>176</v>
      </c>
      <c r="K1557" s="9">
        <v>45838</v>
      </c>
      <c r="L1557" s="9">
        <v>45843</v>
      </c>
      <c r="M1557" s="9">
        <v>45840</v>
      </c>
      <c r="N1557" s="2" t="s">
        <v>1986</v>
      </c>
      <c r="O1557" s="2" t="s">
        <v>61</v>
      </c>
      <c r="P1557" s="2" t="s">
        <v>528</v>
      </c>
      <c r="Q1557" s="2" t="s">
        <v>1128</v>
      </c>
      <c r="R1557" s="2" t="s">
        <v>128</v>
      </c>
      <c r="S1557" s="2" t="s">
        <v>179</v>
      </c>
      <c r="T1557" s="10">
        <v>200.9</v>
      </c>
      <c r="U1557" s="11">
        <v>0.18099999999999999</v>
      </c>
      <c r="V1557" s="12">
        <f>T1557*U1557</f>
        <v>36.362900000000003</v>
      </c>
      <c r="W1557" s="13">
        <v>0</v>
      </c>
      <c r="X1557" s="12">
        <f>V1557-(V1557/(1+W1557))</f>
        <v>0</v>
      </c>
      <c r="Y1557" s="12">
        <f>V1557-X1557</f>
        <v>36.362900000000003</v>
      </c>
      <c r="Z1557" s="14">
        <v>90</v>
      </c>
      <c r="AA1557" s="2" t="str">
        <f>IF(V1557&gt;Z1557,"Yes","No")</f>
        <v>No</v>
      </c>
      <c r="AB1557" s="12">
        <f>V1557-Z1557</f>
        <v>-53.637099999999997</v>
      </c>
      <c r="AC1557" s="15" t="s">
        <v>130</v>
      </c>
      <c r="AD1557" s="15" t="s">
        <v>131</v>
      </c>
      <c r="AE1557" s="15" t="s">
        <v>132</v>
      </c>
      <c r="AF1557" s="12">
        <f>IF(AG1557="Rejected",0,IF(R1557="Corporate Card",0,V1557))</f>
        <v>0</v>
      </c>
      <c r="AG1557" s="15" t="s">
        <v>133</v>
      </c>
      <c r="AH1557" s="16">
        <v>45848</v>
      </c>
      <c r="AI1557" s="16">
        <v>45857</v>
      </c>
      <c r="AJ1557" s="16">
        <v>45867</v>
      </c>
      <c r="AK1557" s="17">
        <f>IF(AJ1557="","",AJ1557-AH1557)</f>
        <v>19</v>
      </c>
    </row>
    <row r="1558" spans="1:37">
      <c r="A1558" s="2" t="s">
        <v>1997</v>
      </c>
      <c r="B1558" s="2" t="s">
        <v>863</v>
      </c>
      <c r="C1558" s="2" t="s">
        <v>864</v>
      </c>
      <c r="D1558" s="2" t="s">
        <v>865</v>
      </c>
      <c r="E1558" s="2" t="s">
        <v>866</v>
      </c>
      <c r="F1558" s="2" t="s">
        <v>867</v>
      </c>
      <c r="G1558" s="2" t="s">
        <v>1980</v>
      </c>
      <c r="H1558" s="2" t="s">
        <v>291</v>
      </c>
      <c r="I1558" s="2" t="s">
        <v>175</v>
      </c>
      <c r="J1558" s="2" t="s">
        <v>176</v>
      </c>
      <c r="K1558" s="9">
        <v>45838</v>
      </c>
      <c r="L1558" s="9">
        <v>45843</v>
      </c>
      <c r="M1558" s="9">
        <v>45840</v>
      </c>
      <c r="N1558" s="2" t="s">
        <v>1986</v>
      </c>
      <c r="O1558" s="2" t="s">
        <v>54</v>
      </c>
      <c r="P1558" s="2" t="s">
        <v>139</v>
      </c>
      <c r="Q1558" s="2" t="s">
        <v>163</v>
      </c>
      <c r="R1558" s="2" t="s">
        <v>137</v>
      </c>
      <c r="S1558" s="2" t="s">
        <v>179</v>
      </c>
      <c r="T1558" s="10">
        <v>54.35</v>
      </c>
      <c r="U1558" s="11">
        <v>0.18099999999999999</v>
      </c>
      <c r="V1558" s="12">
        <f>T1558*U1558</f>
        <v>9.8373500000000007</v>
      </c>
      <c r="W1558" s="13">
        <v>0.17</v>
      </c>
      <c r="X1558" s="12">
        <f>V1558-(V1558/(1+W1558))</f>
        <v>1.4293585470085475</v>
      </c>
      <c r="Y1558" s="12">
        <f>V1558-X1558</f>
        <v>8.4079914529914532</v>
      </c>
      <c r="Z1558" s="14">
        <v>25</v>
      </c>
      <c r="AA1558" s="2" t="str">
        <f>IF(V1558&gt;Z1558,"Yes","No")</f>
        <v>No</v>
      </c>
      <c r="AB1558" s="12">
        <f>V1558-Z1558</f>
        <v>-15.162649999999999</v>
      </c>
      <c r="AC1558" s="15" t="s">
        <v>130</v>
      </c>
      <c r="AD1558" s="15" t="s">
        <v>131</v>
      </c>
      <c r="AE1558" s="15" t="s">
        <v>132</v>
      </c>
      <c r="AF1558" s="12">
        <f>IF(AG1558="Rejected",0,IF(R1558="Corporate Card",0,V1558))</f>
        <v>9.8373500000000007</v>
      </c>
      <c r="AG1558" s="15" t="s">
        <v>133</v>
      </c>
      <c r="AH1558" s="16">
        <v>45848</v>
      </c>
      <c r="AI1558" s="16">
        <v>45857</v>
      </c>
      <c r="AJ1558" s="16">
        <v>45867</v>
      </c>
      <c r="AK1558" s="17">
        <f>IF(AJ1558="","",AJ1558-AH1558)</f>
        <v>19</v>
      </c>
    </row>
    <row r="1559" spans="1:37">
      <c r="A1559" s="2" t="s">
        <v>1998</v>
      </c>
      <c r="B1559" s="2" t="s">
        <v>863</v>
      </c>
      <c r="C1559" s="2" t="s">
        <v>864</v>
      </c>
      <c r="D1559" s="2" t="s">
        <v>865</v>
      </c>
      <c r="E1559" s="2" t="s">
        <v>866</v>
      </c>
      <c r="F1559" s="2" t="s">
        <v>867</v>
      </c>
      <c r="G1559" s="2" t="s">
        <v>1980</v>
      </c>
      <c r="H1559" s="2" t="s">
        <v>291</v>
      </c>
      <c r="I1559" s="2" t="s">
        <v>175</v>
      </c>
      <c r="J1559" s="2" t="s">
        <v>176</v>
      </c>
      <c r="K1559" s="9">
        <v>45838</v>
      </c>
      <c r="L1559" s="9">
        <v>45843</v>
      </c>
      <c r="M1559" s="9">
        <v>45840</v>
      </c>
      <c r="N1559" s="2" t="s">
        <v>1986</v>
      </c>
      <c r="O1559" s="2" t="s">
        <v>56</v>
      </c>
      <c r="P1559" s="2" t="s">
        <v>165</v>
      </c>
      <c r="Q1559" s="2" t="s">
        <v>159</v>
      </c>
      <c r="R1559" s="2" t="s">
        <v>128</v>
      </c>
      <c r="S1559" s="2" t="s">
        <v>179</v>
      </c>
      <c r="T1559" s="10">
        <v>398.35</v>
      </c>
      <c r="U1559" s="11">
        <v>0.18099999999999999</v>
      </c>
      <c r="V1559" s="12">
        <f>T1559*U1559</f>
        <v>72.101349999999996</v>
      </c>
      <c r="W1559" s="13">
        <v>0.17</v>
      </c>
      <c r="X1559" s="12">
        <f>V1559-(V1559/(1+W1559))</f>
        <v>10.476264529914523</v>
      </c>
      <c r="Y1559" s="12">
        <f>V1559-X1559</f>
        <v>61.625085470085473</v>
      </c>
      <c r="Z1559" s="14">
        <v>75</v>
      </c>
      <c r="AA1559" s="2" t="str">
        <f>IF(V1559&gt;Z1559,"Yes","No")</f>
        <v>No</v>
      </c>
      <c r="AB1559" s="12">
        <f>V1559-Z1559</f>
        <v>-2.8986500000000035</v>
      </c>
      <c r="AC1559" s="15" t="s">
        <v>130</v>
      </c>
      <c r="AD1559" s="15" t="s">
        <v>131</v>
      </c>
      <c r="AE1559" s="15" t="s">
        <v>132</v>
      </c>
      <c r="AF1559" s="12">
        <f>IF(AG1559="Rejected",0,IF(R1559="Corporate Card",0,V1559))</f>
        <v>0</v>
      </c>
      <c r="AG1559" s="15" t="s">
        <v>133</v>
      </c>
      <c r="AH1559" s="16">
        <v>45848</v>
      </c>
      <c r="AI1559" s="16">
        <v>45857</v>
      </c>
      <c r="AJ1559" s="16">
        <v>45867</v>
      </c>
      <c r="AK1559" s="17">
        <f>IF(AJ1559="","",AJ1559-AH1559)</f>
        <v>19</v>
      </c>
    </row>
    <row r="1560" spans="1:37">
      <c r="A1560" s="2" t="s">
        <v>1999</v>
      </c>
      <c r="B1560" s="2" t="s">
        <v>863</v>
      </c>
      <c r="C1560" s="2" t="s">
        <v>864</v>
      </c>
      <c r="D1560" s="2" t="s">
        <v>865</v>
      </c>
      <c r="E1560" s="2" t="s">
        <v>866</v>
      </c>
      <c r="F1560" s="2" t="s">
        <v>867</v>
      </c>
      <c r="G1560" s="2" t="s">
        <v>1980</v>
      </c>
      <c r="H1560" s="2" t="s">
        <v>291</v>
      </c>
      <c r="I1560" s="2" t="s">
        <v>175</v>
      </c>
      <c r="J1560" s="2" t="s">
        <v>176</v>
      </c>
      <c r="K1560" s="9">
        <v>45838</v>
      </c>
      <c r="L1560" s="9">
        <v>45843</v>
      </c>
      <c r="M1560" s="9">
        <v>45840</v>
      </c>
      <c r="N1560" s="2" t="s">
        <v>1986</v>
      </c>
      <c r="O1560" s="2" t="s">
        <v>55</v>
      </c>
      <c r="P1560" s="2" t="s">
        <v>139</v>
      </c>
      <c r="Q1560" s="2" t="s">
        <v>161</v>
      </c>
      <c r="R1560" s="2" t="s">
        <v>137</v>
      </c>
      <c r="S1560" s="2" t="s">
        <v>179</v>
      </c>
      <c r="T1560" s="10">
        <v>139.84</v>
      </c>
      <c r="U1560" s="11">
        <v>0.18099999999999999</v>
      </c>
      <c r="V1560" s="12">
        <f>T1560*U1560</f>
        <v>25.311039999999998</v>
      </c>
      <c r="W1560" s="13">
        <v>0.17</v>
      </c>
      <c r="X1560" s="12">
        <f>V1560-(V1560/(1+W1560))</f>
        <v>3.677672478632477</v>
      </c>
      <c r="Y1560" s="12">
        <f>V1560-X1560</f>
        <v>21.633367521367521</v>
      </c>
      <c r="Z1560" s="14">
        <v>35</v>
      </c>
      <c r="AA1560" s="2" t="str">
        <f>IF(V1560&gt;Z1560,"Yes","No")</f>
        <v>No</v>
      </c>
      <c r="AB1560" s="12">
        <f>V1560-Z1560</f>
        <v>-9.6889600000000016</v>
      </c>
      <c r="AC1560" s="15" t="s">
        <v>130</v>
      </c>
      <c r="AD1560" s="15" t="s">
        <v>131</v>
      </c>
      <c r="AE1560" s="15" t="s">
        <v>132</v>
      </c>
      <c r="AF1560" s="12">
        <f>IF(AG1560="Rejected",0,IF(R1560="Corporate Card",0,V1560))</f>
        <v>25.311039999999998</v>
      </c>
      <c r="AG1560" s="15" t="s">
        <v>133</v>
      </c>
      <c r="AH1560" s="16">
        <v>45848</v>
      </c>
      <c r="AI1560" s="16">
        <v>45857</v>
      </c>
      <c r="AJ1560" s="16">
        <v>45867</v>
      </c>
      <c r="AK1560" s="17">
        <f>IF(AJ1560="","",AJ1560-AH1560)</f>
        <v>19</v>
      </c>
    </row>
    <row r="1561" spans="1:37">
      <c r="A1561" s="2" t="s">
        <v>2000</v>
      </c>
      <c r="B1561" s="2" t="s">
        <v>287</v>
      </c>
      <c r="C1561" s="2" t="s">
        <v>288</v>
      </c>
      <c r="D1561" s="2" t="s">
        <v>171</v>
      </c>
      <c r="E1561" s="2" t="s">
        <v>289</v>
      </c>
      <c r="F1561" s="2" t="s">
        <v>173</v>
      </c>
      <c r="G1561" s="2" t="s">
        <v>1965</v>
      </c>
      <c r="H1561" s="2" t="s">
        <v>448</v>
      </c>
      <c r="I1561" s="2" t="s">
        <v>380</v>
      </c>
      <c r="J1561" s="2" t="s">
        <v>381</v>
      </c>
      <c r="K1561" s="9">
        <v>45837</v>
      </c>
      <c r="L1561" s="9">
        <v>45843</v>
      </c>
      <c r="M1561" s="9">
        <v>45841</v>
      </c>
      <c r="N1561" s="2" t="s">
        <v>1986</v>
      </c>
      <c r="O1561" s="2" t="s">
        <v>58</v>
      </c>
      <c r="P1561" s="2" t="s">
        <v>142</v>
      </c>
      <c r="Q1561" s="2" t="s">
        <v>296</v>
      </c>
      <c r="R1561" s="2" t="s">
        <v>128</v>
      </c>
      <c r="S1561" s="2" t="s">
        <v>383</v>
      </c>
      <c r="T1561" s="10">
        <v>40.409999999999997</v>
      </c>
      <c r="U1561" s="11">
        <v>1</v>
      </c>
      <c r="V1561" s="12">
        <f>T1561*U1561</f>
        <v>40.409999999999997</v>
      </c>
      <c r="W1561" s="13">
        <v>0</v>
      </c>
      <c r="X1561" s="12">
        <f>V1561-(V1561/(1+W1561))</f>
        <v>0</v>
      </c>
      <c r="Y1561" s="12">
        <f>V1561-X1561</f>
        <v>40.409999999999997</v>
      </c>
      <c r="Z1561" s="14">
        <v>60</v>
      </c>
      <c r="AA1561" s="2" t="str">
        <f>IF(V1561&gt;Z1561,"Yes","No")</f>
        <v>No</v>
      </c>
      <c r="AB1561" s="12">
        <f>V1561-Z1561</f>
        <v>-19.590000000000003</v>
      </c>
      <c r="AC1561" s="15" t="s">
        <v>130</v>
      </c>
      <c r="AD1561" s="15" t="s">
        <v>131</v>
      </c>
      <c r="AE1561" s="15" t="s">
        <v>514</v>
      </c>
      <c r="AF1561" s="12">
        <f>IF(AG1561="Rejected",0,IF(R1561="Corporate Card",0,V1561))</f>
        <v>0</v>
      </c>
      <c r="AG1561" s="15" t="s">
        <v>133</v>
      </c>
      <c r="AH1561" s="16">
        <v>45845</v>
      </c>
      <c r="AI1561" s="16">
        <v>45853</v>
      </c>
      <c r="AJ1561" s="16">
        <v>45865</v>
      </c>
      <c r="AK1561" s="17">
        <f>IF(AJ1561="","",AJ1561-AH1561)</f>
        <v>20</v>
      </c>
    </row>
    <row r="1562" spans="1:37">
      <c r="A1562" s="2" t="s">
        <v>2001</v>
      </c>
      <c r="B1562" s="2" t="s">
        <v>287</v>
      </c>
      <c r="C1562" s="2" t="s">
        <v>288</v>
      </c>
      <c r="D1562" s="2" t="s">
        <v>171</v>
      </c>
      <c r="E1562" s="2" t="s">
        <v>289</v>
      </c>
      <c r="F1562" s="2" t="s">
        <v>173</v>
      </c>
      <c r="G1562" s="2" t="s">
        <v>1965</v>
      </c>
      <c r="H1562" s="2" t="s">
        <v>448</v>
      </c>
      <c r="I1562" s="2" t="s">
        <v>380</v>
      </c>
      <c r="J1562" s="2" t="s">
        <v>381</v>
      </c>
      <c r="K1562" s="9">
        <v>45837</v>
      </c>
      <c r="L1562" s="9">
        <v>45843</v>
      </c>
      <c r="M1562" s="9">
        <v>45841</v>
      </c>
      <c r="N1562" s="2" t="s">
        <v>1986</v>
      </c>
      <c r="O1562" s="2" t="s">
        <v>54</v>
      </c>
      <c r="P1562" s="2" t="s">
        <v>139</v>
      </c>
      <c r="Q1562" s="2" t="s">
        <v>148</v>
      </c>
      <c r="R1562" s="2" t="s">
        <v>128</v>
      </c>
      <c r="S1562" s="2" t="s">
        <v>383</v>
      </c>
      <c r="T1562" s="10">
        <v>35.880000000000003</v>
      </c>
      <c r="U1562" s="11">
        <v>1</v>
      </c>
      <c r="V1562" s="12">
        <f>T1562*U1562</f>
        <v>35.880000000000003</v>
      </c>
      <c r="W1562" s="13">
        <v>0</v>
      </c>
      <c r="X1562" s="12">
        <f>V1562-(V1562/(1+W1562))</f>
        <v>0</v>
      </c>
      <c r="Y1562" s="12">
        <f>V1562-X1562</f>
        <v>35.880000000000003</v>
      </c>
      <c r="Z1562" s="14">
        <v>25</v>
      </c>
      <c r="AA1562" s="2" t="str">
        <f>IF(V1562&gt;Z1562,"Yes","No")</f>
        <v>Yes</v>
      </c>
      <c r="AB1562" s="12">
        <f>V1562-Z1562</f>
        <v>10.880000000000003</v>
      </c>
      <c r="AC1562" s="15" t="s">
        <v>131</v>
      </c>
      <c r="AD1562" s="15" t="s">
        <v>131</v>
      </c>
      <c r="AE1562" s="15" t="s">
        <v>514</v>
      </c>
      <c r="AF1562" s="12">
        <f>IF(AG1562="Rejected",0,IF(R1562="Corporate Card",0,V1562))</f>
        <v>0</v>
      </c>
      <c r="AG1562" s="15" t="s">
        <v>133</v>
      </c>
      <c r="AH1562" s="16">
        <v>45845</v>
      </c>
      <c r="AI1562" s="16">
        <v>45853</v>
      </c>
      <c r="AJ1562" s="16">
        <v>45865</v>
      </c>
      <c r="AK1562" s="17">
        <f>IF(AJ1562="","",AJ1562-AH1562)</f>
        <v>20</v>
      </c>
    </row>
    <row r="1563" spans="1:37">
      <c r="A1563" s="2" t="s">
        <v>2002</v>
      </c>
      <c r="B1563" s="2" t="s">
        <v>287</v>
      </c>
      <c r="C1563" s="2" t="s">
        <v>288</v>
      </c>
      <c r="D1563" s="2" t="s">
        <v>171</v>
      </c>
      <c r="E1563" s="2" t="s">
        <v>289</v>
      </c>
      <c r="F1563" s="2" t="s">
        <v>173</v>
      </c>
      <c r="G1563" s="2" t="s">
        <v>1965</v>
      </c>
      <c r="H1563" s="2" t="s">
        <v>448</v>
      </c>
      <c r="I1563" s="2" t="s">
        <v>380</v>
      </c>
      <c r="J1563" s="2" t="s">
        <v>381</v>
      </c>
      <c r="K1563" s="9">
        <v>45837</v>
      </c>
      <c r="L1563" s="9">
        <v>45843</v>
      </c>
      <c r="M1563" s="9">
        <v>45841</v>
      </c>
      <c r="N1563" s="2" t="s">
        <v>1986</v>
      </c>
      <c r="O1563" s="2" t="s">
        <v>56</v>
      </c>
      <c r="P1563" s="2" t="s">
        <v>245</v>
      </c>
      <c r="Q1563" s="2" t="s">
        <v>227</v>
      </c>
      <c r="R1563" s="2" t="s">
        <v>128</v>
      </c>
      <c r="S1563" s="2" t="s">
        <v>383</v>
      </c>
      <c r="T1563" s="10">
        <v>49.93</v>
      </c>
      <c r="U1563" s="11">
        <v>1</v>
      </c>
      <c r="V1563" s="12">
        <f>T1563*U1563</f>
        <v>49.93</v>
      </c>
      <c r="W1563" s="13">
        <v>0</v>
      </c>
      <c r="X1563" s="12">
        <f>V1563-(V1563/(1+W1563))</f>
        <v>0</v>
      </c>
      <c r="Y1563" s="12">
        <f>V1563-X1563</f>
        <v>49.93</v>
      </c>
      <c r="Z1563" s="14">
        <v>75</v>
      </c>
      <c r="AA1563" s="2" t="str">
        <f>IF(V1563&gt;Z1563,"Yes","No")</f>
        <v>No</v>
      </c>
      <c r="AB1563" s="12">
        <f>V1563-Z1563</f>
        <v>-25.07</v>
      </c>
      <c r="AC1563" s="15" t="s">
        <v>131</v>
      </c>
      <c r="AD1563" s="15" t="s">
        <v>131</v>
      </c>
      <c r="AE1563" s="15" t="s">
        <v>514</v>
      </c>
      <c r="AF1563" s="12">
        <f>IF(AG1563="Rejected",0,IF(R1563="Corporate Card",0,V1563))</f>
        <v>0</v>
      </c>
      <c r="AG1563" s="15" t="s">
        <v>133</v>
      </c>
      <c r="AH1563" s="16">
        <v>45845</v>
      </c>
      <c r="AI1563" s="16">
        <v>45853</v>
      </c>
      <c r="AJ1563" s="16">
        <v>45865</v>
      </c>
      <c r="AK1563" s="17">
        <f>IF(AJ1563="","",AJ1563-AH1563)</f>
        <v>20</v>
      </c>
    </row>
    <row r="1564" spans="1:37">
      <c r="A1564" s="2" t="s">
        <v>2003</v>
      </c>
      <c r="B1564" s="2" t="s">
        <v>287</v>
      </c>
      <c r="C1564" s="2" t="s">
        <v>288</v>
      </c>
      <c r="D1564" s="2" t="s">
        <v>171</v>
      </c>
      <c r="E1564" s="2" t="s">
        <v>289</v>
      </c>
      <c r="F1564" s="2" t="s">
        <v>173</v>
      </c>
      <c r="G1564" s="2" t="s">
        <v>1965</v>
      </c>
      <c r="H1564" s="2" t="s">
        <v>448</v>
      </c>
      <c r="I1564" s="2" t="s">
        <v>380</v>
      </c>
      <c r="J1564" s="2" t="s">
        <v>381</v>
      </c>
      <c r="K1564" s="9">
        <v>45837</v>
      </c>
      <c r="L1564" s="9">
        <v>45843</v>
      </c>
      <c r="M1564" s="9">
        <v>45841</v>
      </c>
      <c r="N1564" s="2" t="s">
        <v>1986</v>
      </c>
      <c r="O1564" s="2" t="s">
        <v>55</v>
      </c>
      <c r="P1564" s="2" t="s">
        <v>139</v>
      </c>
      <c r="Q1564" s="2" t="s">
        <v>217</v>
      </c>
      <c r="R1564" s="2" t="s">
        <v>128</v>
      </c>
      <c r="S1564" s="2" t="s">
        <v>383</v>
      </c>
      <c r="T1564" s="10">
        <v>50.85</v>
      </c>
      <c r="U1564" s="11">
        <v>1</v>
      </c>
      <c r="V1564" s="12">
        <f>T1564*U1564</f>
        <v>50.85</v>
      </c>
      <c r="W1564" s="13">
        <v>0</v>
      </c>
      <c r="X1564" s="12">
        <f>V1564-(V1564/(1+W1564))</f>
        <v>0</v>
      </c>
      <c r="Y1564" s="12">
        <f>V1564-X1564</f>
        <v>50.85</v>
      </c>
      <c r="Z1564" s="14">
        <v>35</v>
      </c>
      <c r="AA1564" s="2" t="str">
        <f>IF(V1564&gt;Z1564,"Yes","No")</f>
        <v>Yes</v>
      </c>
      <c r="AB1564" s="12">
        <f>V1564-Z1564</f>
        <v>15.850000000000001</v>
      </c>
      <c r="AC1564" s="15" t="s">
        <v>130</v>
      </c>
      <c r="AD1564" s="15" t="s">
        <v>131</v>
      </c>
      <c r="AE1564" s="15" t="s">
        <v>514</v>
      </c>
      <c r="AF1564" s="12">
        <f>IF(AG1564="Rejected",0,IF(R1564="Corporate Card",0,V1564))</f>
        <v>0</v>
      </c>
      <c r="AG1564" s="15" t="s">
        <v>133</v>
      </c>
      <c r="AH1564" s="16">
        <v>45845</v>
      </c>
      <c r="AI1564" s="16">
        <v>45853</v>
      </c>
      <c r="AJ1564" s="16">
        <v>45865</v>
      </c>
      <c r="AK1564" s="17">
        <f>IF(AJ1564="","",AJ1564-AH1564)</f>
        <v>20</v>
      </c>
    </row>
    <row r="1565" spans="1:37">
      <c r="A1565" s="2" t="s">
        <v>2004</v>
      </c>
      <c r="B1565" s="2" t="s">
        <v>863</v>
      </c>
      <c r="C1565" s="2" t="s">
        <v>864</v>
      </c>
      <c r="D1565" s="2" t="s">
        <v>865</v>
      </c>
      <c r="E1565" s="2" t="s">
        <v>866</v>
      </c>
      <c r="F1565" s="2" t="s">
        <v>867</v>
      </c>
      <c r="G1565" s="2" t="s">
        <v>1980</v>
      </c>
      <c r="H1565" s="2" t="s">
        <v>291</v>
      </c>
      <c r="I1565" s="2" t="s">
        <v>175</v>
      </c>
      <c r="J1565" s="2" t="s">
        <v>176</v>
      </c>
      <c r="K1565" s="9">
        <v>45838</v>
      </c>
      <c r="L1565" s="9">
        <v>45843</v>
      </c>
      <c r="M1565" s="9">
        <v>45841</v>
      </c>
      <c r="N1565" s="2" t="s">
        <v>1986</v>
      </c>
      <c r="O1565" s="2" t="s">
        <v>58</v>
      </c>
      <c r="P1565" s="2" t="s">
        <v>142</v>
      </c>
      <c r="Q1565" s="2" t="s">
        <v>203</v>
      </c>
      <c r="R1565" s="2" t="s">
        <v>128</v>
      </c>
      <c r="S1565" s="2" t="s">
        <v>179</v>
      </c>
      <c r="T1565" s="10">
        <v>433.81</v>
      </c>
      <c r="U1565" s="11">
        <v>0.18099999999999999</v>
      </c>
      <c r="V1565" s="12">
        <f>T1565*U1565</f>
        <v>78.51961</v>
      </c>
      <c r="W1565" s="13">
        <v>0.17</v>
      </c>
      <c r="X1565" s="12">
        <f>V1565-(V1565/(1+W1565))</f>
        <v>11.408832222222216</v>
      </c>
      <c r="Y1565" s="12">
        <f>V1565-X1565</f>
        <v>67.110777777777784</v>
      </c>
      <c r="Z1565" s="14">
        <v>60</v>
      </c>
      <c r="AA1565" s="2" t="str">
        <f>IF(V1565&gt;Z1565,"Yes","No")</f>
        <v>Yes</v>
      </c>
      <c r="AB1565" s="12">
        <f>V1565-Z1565</f>
        <v>18.51961</v>
      </c>
      <c r="AC1565" s="15" t="s">
        <v>130</v>
      </c>
      <c r="AD1565" s="15" t="s">
        <v>131</v>
      </c>
      <c r="AE1565" s="15" t="s">
        <v>132</v>
      </c>
      <c r="AF1565" s="12">
        <f>IF(AG1565="Rejected",0,IF(R1565="Corporate Card",0,V1565))</f>
        <v>0</v>
      </c>
      <c r="AG1565" s="15" t="s">
        <v>133</v>
      </c>
      <c r="AH1565" s="16">
        <v>45848</v>
      </c>
      <c r="AI1565" s="16">
        <v>45857</v>
      </c>
      <c r="AJ1565" s="16">
        <v>45867</v>
      </c>
      <c r="AK1565" s="17">
        <f>IF(AJ1565="","",AJ1565-AH1565)</f>
        <v>19</v>
      </c>
    </row>
    <row r="1566" spans="1:37">
      <c r="A1566" s="2" t="s">
        <v>2005</v>
      </c>
      <c r="B1566" s="2" t="s">
        <v>863</v>
      </c>
      <c r="C1566" s="2" t="s">
        <v>864</v>
      </c>
      <c r="D1566" s="2" t="s">
        <v>865</v>
      </c>
      <c r="E1566" s="2" t="s">
        <v>866</v>
      </c>
      <c r="F1566" s="2" t="s">
        <v>867</v>
      </c>
      <c r="G1566" s="2" t="s">
        <v>1980</v>
      </c>
      <c r="H1566" s="2" t="s">
        <v>291</v>
      </c>
      <c r="I1566" s="2" t="s">
        <v>175</v>
      </c>
      <c r="J1566" s="2" t="s">
        <v>176</v>
      </c>
      <c r="K1566" s="9">
        <v>45838</v>
      </c>
      <c r="L1566" s="9">
        <v>45843</v>
      </c>
      <c r="M1566" s="9">
        <v>45841</v>
      </c>
      <c r="N1566" s="2" t="s">
        <v>1986</v>
      </c>
      <c r="O1566" s="2" t="s">
        <v>54</v>
      </c>
      <c r="P1566" s="2" t="s">
        <v>139</v>
      </c>
      <c r="Q1566" s="2" t="s">
        <v>140</v>
      </c>
      <c r="R1566" s="2" t="s">
        <v>128</v>
      </c>
      <c r="S1566" s="2" t="s">
        <v>179</v>
      </c>
      <c r="T1566" s="10">
        <v>90.68</v>
      </c>
      <c r="U1566" s="11">
        <v>0.18099999999999999</v>
      </c>
      <c r="V1566" s="12">
        <f>T1566*U1566</f>
        <v>16.413080000000001</v>
      </c>
      <c r="W1566" s="13">
        <v>0.17</v>
      </c>
      <c r="X1566" s="12">
        <f>V1566-(V1566/(1+W1566))</f>
        <v>2.3848064957264956</v>
      </c>
      <c r="Y1566" s="12">
        <f>V1566-X1566</f>
        <v>14.028273504273505</v>
      </c>
      <c r="Z1566" s="14">
        <v>25</v>
      </c>
      <c r="AA1566" s="2" t="str">
        <f>IF(V1566&gt;Z1566,"Yes","No")</f>
        <v>No</v>
      </c>
      <c r="AB1566" s="12">
        <f>V1566-Z1566</f>
        <v>-8.5869199999999992</v>
      </c>
      <c r="AC1566" s="15" t="s">
        <v>130</v>
      </c>
      <c r="AD1566" s="15" t="s">
        <v>131</v>
      </c>
      <c r="AE1566" s="15" t="s">
        <v>132</v>
      </c>
      <c r="AF1566" s="12">
        <f>IF(AG1566="Rejected",0,IF(R1566="Corporate Card",0,V1566))</f>
        <v>0</v>
      </c>
      <c r="AG1566" s="15" t="s">
        <v>133</v>
      </c>
      <c r="AH1566" s="16">
        <v>45848</v>
      </c>
      <c r="AI1566" s="16">
        <v>45857</v>
      </c>
      <c r="AJ1566" s="16">
        <v>45867</v>
      </c>
      <c r="AK1566" s="17">
        <f>IF(AJ1566="","",AJ1566-AH1566)</f>
        <v>19</v>
      </c>
    </row>
    <row r="1567" spans="1:37">
      <c r="A1567" s="2" t="s">
        <v>2006</v>
      </c>
      <c r="B1567" s="2" t="s">
        <v>863</v>
      </c>
      <c r="C1567" s="2" t="s">
        <v>864</v>
      </c>
      <c r="D1567" s="2" t="s">
        <v>865</v>
      </c>
      <c r="E1567" s="2" t="s">
        <v>866</v>
      </c>
      <c r="F1567" s="2" t="s">
        <v>867</v>
      </c>
      <c r="G1567" s="2" t="s">
        <v>1980</v>
      </c>
      <c r="H1567" s="2" t="s">
        <v>291</v>
      </c>
      <c r="I1567" s="2" t="s">
        <v>175</v>
      </c>
      <c r="J1567" s="2" t="s">
        <v>176</v>
      </c>
      <c r="K1567" s="9">
        <v>45838</v>
      </c>
      <c r="L1567" s="9">
        <v>45843</v>
      </c>
      <c r="M1567" s="9">
        <v>45841</v>
      </c>
      <c r="N1567" s="2" t="s">
        <v>1986</v>
      </c>
      <c r="O1567" s="2" t="s">
        <v>56</v>
      </c>
      <c r="P1567" s="2" t="s">
        <v>245</v>
      </c>
      <c r="Q1567" s="2" t="s">
        <v>185</v>
      </c>
      <c r="R1567" s="2" t="s">
        <v>128</v>
      </c>
      <c r="S1567" s="2" t="s">
        <v>179</v>
      </c>
      <c r="T1567" s="10">
        <v>161.61000000000001</v>
      </c>
      <c r="U1567" s="11">
        <v>0.18099999999999999</v>
      </c>
      <c r="V1567" s="12">
        <f>T1567*U1567</f>
        <v>29.25141</v>
      </c>
      <c r="W1567" s="13">
        <v>0.17</v>
      </c>
      <c r="X1567" s="12">
        <f>V1567-(V1567/(1+W1567))</f>
        <v>4.2502048717948711</v>
      </c>
      <c r="Y1567" s="12">
        <f>V1567-X1567</f>
        <v>25.001205128205129</v>
      </c>
      <c r="Z1567" s="14">
        <v>75</v>
      </c>
      <c r="AA1567" s="2" t="str">
        <f>IF(V1567&gt;Z1567,"Yes","No")</f>
        <v>No</v>
      </c>
      <c r="AB1567" s="12">
        <f>V1567-Z1567</f>
        <v>-45.74859</v>
      </c>
      <c r="AC1567" s="15" t="s">
        <v>130</v>
      </c>
      <c r="AD1567" s="15" t="s">
        <v>131</v>
      </c>
      <c r="AE1567" s="15" t="s">
        <v>132</v>
      </c>
      <c r="AF1567" s="12">
        <f>IF(AG1567="Rejected",0,IF(R1567="Corporate Card",0,V1567))</f>
        <v>0</v>
      </c>
      <c r="AG1567" s="15" t="s">
        <v>133</v>
      </c>
      <c r="AH1567" s="16">
        <v>45848</v>
      </c>
      <c r="AI1567" s="16">
        <v>45857</v>
      </c>
      <c r="AJ1567" s="16">
        <v>45867</v>
      </c>
      <c r="AK1567" s="17">
        <f>IF(AJ1567="","",AJ1567-AH1567)</f>
        <v>19</v>
      </c>
    </row>
    <row r="1568" spans="1:37">
      <c r="A1568" s="2" t="s">
        <v>2007</v>
      </c>
      <c r="B1568" s="2" t="s">
        <v>863</v>
      </c>
      <c r="C1568" s="2" t="s">
        <v>864</v>
      </c>
      <c r="D1568" s="2" t="s">
        <v>865</v>
      </c>
      <c r="E1568" s="2" t="s">
        <v>866</v>
      </c>
      <c r="F1568" s="2" t="s">
        <v>867</v>
      </c>
      <c r="G1568" s="2" t="s">
        <v>1980</v>
      </c>
      <c r="H1568" s="2" t="s">
        <v>291</v>
      </c>
      <c r="I1568" s="2" t="s">
        <v>175</v>
      </c>
      <c r="J1568" s="2" t="s">
        <v>176</v>
      </c>
      <c r="K1568" s="9">
        <v>45838</v>
      </c>
      <c r="L1568" s="9">
        <v>45843</v>
      </c>
      <c r="M1568" s="9">
        <v>45841</v>
      </c>
      <c r="N1568" s="2" t="s">
        <v>1986</v>
      </c>
      <c r="O1568" s="2" t="s">
        <v>55</v>
      </c>
      <c r="P1568" s="2" t="s">
        <v>139</v>
      </c>
      <c r="Q1568" s="2" t="s">
        <v>161</v>
      </c>
      <c r="R1568" s="2" t="s">
        <v>128</v>
      </c>
      <c r="S1568" s="2" t="s">
        <v>179</v>
      </c>
      <c r="T1568" s="10">
        <v>163.55000000000001</v>
      </c>
      <c r="U1568" s="11">
        <v>0.18099999999999999</v>
      </c>
      <c r="V1568" s="12">
        <f>T1568*U1568</f>
        <v>29.602550000000001</v>
      </c>
      <c r="W1568" s="13">
        <v>0.17</v>
      </c>
      <c r="X1568" s="12">
        <f>V1568-(V1568/(1+W1568))</f>
        <v>4.3012252136752132</v>
      </c>
      <c r="Y1568" s="12">
        <f>V1568-X1568</f>
        <v>25.301324786324788</v>
      </c>
      <c r="Z1568" s="14">
        <v>35</v>
      </c>
      <c r="AA1568" s="2" t="str">
        <f>IF(V1568&gt;Z1568,"Yes","No")</f>
        <v>No</v>
      </c>
      <c r="AB1568" s="12">
        <f>V1568-Z1568</f>
        <v>-5.3974499999999992</v>
      </c>
      <c r="AC1568" s="15" t="s">
        <v>130</v>
      </c>
      <c r="AD1568" s="15" t="s">
        <v>131</v>
      </c>
      <c r="AE1568" s="15" t="s">
        <v>132</v>
      </c>
      <c r="AF1568" s="12">
        <f>IF(AG1568="Rejected",0,IF(R1568="Corporate Card",0,V1568))</f>
        <v>0</v>
      </c>
      <c r="AG1568" s="15" t="s">
        <v>133</v>
      </c>
      <c r="AH1568" s="16">
        <v>45848</v>
      </c>
      <c r="AI1568" s="16">
        <v>45857</v>
      </c>
      <c r="AJ1568" s="16">
        <v>45867</v>
      </c>
      <c r="AK1568" s="17">
        <f>IF(AJ1568="","",AJ1568-AH1568)</f>
        <v>19</v>
      </c>
    </row>
    <row r="1569" spans="1:37">
      <c r="A1569" s="2" t="s">
        <v>2008</v>
      </c>
      <c r="B1569" s="2" t="s">
        <v>287</v>
      </c>
      <c r="C1569" s="2" t="s">
        <v>288</v>
      </c>
      <c r="D1569" s="2" t="s">
        <v>171</v>
      </c>
      <c r="E1569" s="2" t="s">
        <v>289</v>
      </c>
      <c r="F1569" s="2" t="s">
        <v>173</v>
      </c>
      <c r="G1569" s="2" t="s">
        <v>1965</v>
      </c>
      <c r="H1569" s="2" t="s">
        <v>448</v>
      </c>
      <c r="I1569" s="2" t="s">
        <v>380</v>
      </c>
      <c r="J1569" s="2" t="s">
        <v>381</v>
      </c>
      <c r="K1569" s="9">
        <v>45837</v>
      </c>
      <c r="L1569" s="9">
        <v>45843</v>
      </c>
      <c r="M1569" s="9">
        <v>45842</v>
      </c>
      <c r="N1569" s="2" t="s">
        <v>1986</v>
      </c>
      <c r="O1569" s="2" t="s">
        <v>57</v>
      </c>
      <c r="P1569" s="2" t="s">
        <v>398</v>
      </c>
      <c r="Q1569" s="2" t="s">
        <v>1204</v>
      </c>
      <c r="R1569" s="2" t="s">
        <v>137</v>
      </c>
      <c r="S1569" s="2" t="s">
        <v>383</v>
      </c>
      <c r="T1569" s="10">
        <v>148.91999999999999</v>
      </c>
      <c r="U1569" s="11">
        <v>1</v>
      </c>
      <c r="V1569" s="12">
        <f>T1569*U1569</f>
        <v>148.91999999999999</v>
      </c>
      <c r="W1569" s="13">
        <v>0</v>
      </c>
      <c r="X1569" s="12">
        <f>V1569-(V1569/(1+W1569))</f>
        <v>0</v>
      </c>
      <c r="Y1569" s="12">
        <f>V1569-X1569</f>
        <v>148.91999999999999</v>
      </c>
      <c r="Z1569" s="14">
        <v>200</v>
      </c>
      <c r="AA1569" s="2" t="str">
        <f>IF(V1569&gt;Z1569,"Yes","No")</f>
        <v>No</v>
      </c>
      <c r="AB1569" s="12">
        <f>V1569-Z1569</f>
        <v>-51.080000000000013</v>
      </c>
      <c r="AC1569" s="15" t="s">
        <v>130</v>
      </c>
      <c r="AD1569" s="15" t="s">
        <v>131</v>
      </c>
      <c r="AE1569" s="15" t="s">
        <v>514</v>
      </c>
      <c r="AF1569" s="12">
        <f>IF(AG1569="Rejected",0,IF(R1569="Corporate Card",0,V1569))</f>
        <v>148.91999999999999</v>
      </c>
      <c r="AG1569" s="15" t="s">
        <v>133</v>
      </c>
      <c r="AH1569" s="16">
        <v>45845</v>
      </c>
      <c r="AI1569" s="16">
        <v>45853</v>
      </c>
      <c r="AJ1569" s="16">
        <v>45865</v>
      </c>
      <c r="AK1569" s="17">
        <f>IF(AJ1569="","",AJ1569-AH1569)</f>
        <v>20</v>
      </c>
    </row>
    <row r="1570" spans="1:37">
      <c r="A1570" s="2" t="s">
        <v>2009</v>
      </c>
      <c r="B1570" s="2" t="s">
        <v>287</v>
      </c>
      <c r="C1570" s="2" t="s">
        <v>288</v>
      </c>
      <c r="D1570" s="2" t="s">
        <v>171</v>
      </c>
      <c r="E1570" s="2" t="s">
        <v>289</v>
      </c>
      <c r="F1570" s="2" t="s">
        <v>173</v>
      </c>
      <c r="G1570" s="2" t="s">
        <v>1965</v>
      </c>
      <c r="H1570" s="2" t="s">
        <v>448</v>
      </c>
      <c r="I1570" s="2" t="s">
        <v>380</v>
      </c>
      <c r="J1570" s="2" t="s">
        <v>381</v>
      </c>
      <c r="K1570" s="9">
        <v>45837</v>
      </c>
      <c r="L1570" s="9">
        <v>45843</v>
      </c>
      <c r="M1570" s="9">
        <v>45842</v>
      </c>
      <c r="N1570" s="2" t="s">
        <v>1986</v>
      </c>
      <c r="O1570" s="2" t="s">
        <v>58</v>
      </c>
      <c r="P1570" s="2" t="s">
        <v>142</v>
      </c>
      <c r="Q1570" s="2" t="s">
        <v>143</v>
      </c>
      <c r="R1570" s="2" t="s">
        <v>128</v>
      </c>
      <c r="S1570" s="2" t="s">
        <v>383</v>
      </c>
      <c r="T1570" s="10">
        <v>42.68</v>
      </c>
      <c r="U1570" s="11">
        <v>1</v>
      </c>
      <c r="V1570" s="12">
        <f>T1570*U1570</f>
        <v>42.68</v>
      </c>
      <c r="W1570" s="13">
        <v>0</v>
      </c>
      <c r="X1570" s="12">
        <f>V1570-(V1570/(1+W1570))</f>
        <v>0</v>
      </c>
      <c r="Y1570" s="12">
        <f>V1570-X1570</f>
        <v>42.68</v>
      </c>
      <c r="Z1570" s="14">
        <v>60</v>
      </c>
      <c r="AA1570" s="2" t="str">
        <f>IF(V1570&gt;Z1570,"Yes","No")</f>
        <v>No</v>
      </c>
      <c r="AB1570" s="12">
        <f>V1570-Z1570</f>
        <v>-17.32</v>
      </c>
      <c r="AC1570" s="15" t="s">
        <v>130</v>
      </c>
      <c r="AD1570" s="15" t="s">
        <v>131</v>
      </c>
      <c r="AE1570" s="15" t="s">
        <v>514</v>
      </c>
      <c r="AF1570" s="12">
        <f>IF(AG1570="Rejected",0,IF(R1570="Corporate Card",0,V1570))</f>
        <v>0</v>
      </c>
      <c r="AG1570" s="15" t="s">
        <v>133</v>
      </c>
      <c r="AH1570" s="16">
        <v>45845</v>
      </c>
      <c r="AI1570" s="16">
        <v>45853</v>
      </c>
      <c r="AJ1570" s="16">
        <v>45865</v>
      </c>
      <c r="AK1570" s="17">
        <f>IF(AJ1570="","",AJ1570-AH1570)</f>
        <v>20</v>
      </c>
    </row>
    <row r="1571" spans="1:37">
      <c r="A1571" s="2" t="s">
        <v>2010</v>
      </c>
      <c r="B1571" s="2" t="s">
        <v>287</v>
      </c>
      <c r="C1571" s="2" t="s">
        <v>288</v>
      </c>
      <c r="D1571" s="2" t="s">
        <v>171</v>
      </c>
      <c r="E1571" s="2" t="s">
        <v>289</v>
      </c>
      <c r="F1571" s="2" t="s">
        <v>173</v>
      </c>
      <c r="G1571" s="2" t="s">
        <v>1965</v>
      </c>
      <c r="H1571" s="2" t="s">
        <v>448</v>
      </c>
      <c r="I1571" s="2" t="s">
        <v>380</v>
      </c>
      <c r="J1571" s="2" t="s">
        <v>381</v>
      </c>
      <c r="K1571" s="9">
        <v>45837</v>
      </c>
      <c r="L1571" s="9">
        <v>45843</v>
      </c>
      <c r="M1571" s="9">
        <v>45842</v>
      </c>
      <c r="N1571" s="2" t="s">
        <v>1986</v>
      </c>
      <c r="O1571" s="2" t="s">
        <v>54</v>
      </c>
      <c r="P1571" s="2" t="s">
        <v>139</v>
      </c>
      <c r="Q1571" s="2" t="s">
        <v>140</v>
      </c>
      <c r="R1571" s="2" t="s">
        <v>128</v>
      </c>
      <c r="S1571" s="2" t="s">
        <v>383</v>
      </c>
      <c r="T1571" s="10">
        <v>27.24</v>
      </c>
      <c r="U1571" s="11">
        <v>1</v>
      </c>
      <c r="V1571" s="12">
        <f>T1571*U1571</f>
        <v>27.24</v>
      </c>
      <c r="W1571" s="13">
        <v>0</v>
      </c>
      <c r="X1571" s="12">
        <f>V1571-(V1571/(1+W1571))</f>
        <v>0</v>
      </c>
      <c r="Y1571" s="12">
        <f>V1571-X1571</f>
        <v>27.24</v>
      </c>
      <c r="Z1571" s="14">
        <v>25</v>
      </c>
      <c r="AA1571" s="2" t="str">
        <f>IF(V1571&gt;Z1571,"Yes","No")</f>
        <v>Yes</v>
      </c>
      <c r="AB1571" s="12">
        <f>V1571-Z1571</f>
        <v>2.2399999999999984</v>
      </c>
      <c r="AC1571" s="15" t="s">
        <v>130</v>
      </c>
      <c r="AD1571" s="15" t="s">
        <v>131</v>
      </c>
      <c r="AE1571" s="15" t="s">
        <v>514</v>
      </c>
      <c r="AF1571" s="12">
        <f>IF(AG1571="Rejected",0,IF(R1571="Corporate Card",0,V1571))</f>
        <v>0</v>
      </c>
      <c r="AG1571" s="15" t="s">
        <v>133</v>
      </c>
      <c r="AH1571" s="16">
        <v>45845</v>
      </c>
      <c r="AI1571" s="16">
        <v>45853</v>
      </c>
      <c r="AJ1571" s="16">
        <v>45865</v>
      </c>
      <c r="AK1571" s="17">
        <f>IF(AJ1571="","",AJ1571-AH1571)</f>
        <v>20</v>
      </c>
    </row>
    <row r="1572" spans="1:37">
      <c r="A1572" s="2" t="s">
        <v>2011</v>
      </c>
      <c r="B1572" s="2" t="s">
        <v>287</v>
      </c>
      <c r="C1572" s="2" t="s">
        <v>288</v>
      </c>
      <c r="D1572" s="2" t="s">
        <v>171</v>
      </c>
      <c r="E1572" s="2" t="s">
        <v>289</v>
      </c>
      <c r="F1572" s="2" t="s">
        <v>173</v>
      </c>
      <c r="G1572" s="2" t="s">
        <v>1965</v>
      </c>
      <c r="H1572" s="2" t="s">
        <v>448</v>
      </c>
      <c r="I1572" s="2" t="s">
        <v>380</v>
      </c>
      <c r="J1572" s="2" t="s">
        <v>381</v>
      </c>
      <c r="K1572" s="9">
        <v>45837</v>
      </c>
      <c r="L1572" s="9">
        <v>45843</v>
      </c>
      <c r="M1572" s="9">
        <v>45842</v>
      </c>
      <c r="N1572" s="2" t="s">
        <v>1986</v>
      </c>
      <c r="O1572" s="2" t="s">
        <v>56</v>
      </c>
      <c r="P1572" s="2" t="s">
        <v>165</v>
      </c>
      <c r="Q1572" s="2" t="s">
        <v>159</v>
      </c>
      <c r="R1572" s="2" t="s">
        <v>128</v>
      </c>
      <c r="S1572" s="2" t="s">
        <v>383</v>
      </c>
      <c r="T1572" s="10">
        <v>29.87</v>
      </c>
      <c r="U1572" s="11">
        <v>1</v>
      </c>
      <c r="V1572" s="12">
        <f>T1572*U1572</f>
        <v>29.87</v>
      </c>
      <c r="W1572" s="13">
        <v>0</v>
      </c>
      <c r="X1572" s="12">
        <f>V1572-(V1572/(1+W1572))</f>
        <v>0</v>
      </c>
      <c r="Y1572" s="12">
        <f>V1572-X1572</f>
        <v>29.87</v>
      </c>
      <c r="Z1572" s="14">
        <v>75</v>
      </c>
      <c r="AA1572" s="2" t="str">
        <f>IF(V1572&gt;Z1572,"Yes","No")</f>
        <v>No</v>
      </c>
      <c r="AB1572" s="12">
        <f>V1572-Z1572</f>
        <v>-45.129999999999995</v>
      </c>
      <c r="AC1572" s="15" t="s">
        <v>130</v>
      </c>
      <c r="AD1572" s="15" t="s">
        <v>131</v>
      </c>
      <c r="AE1572" s="15" t="s">
        <v>514</v>
      </c>
      <c r="AF1572" s="12">
        <f>IF(AG1572="Rejected",0,IF(R1572="Corporate Card",0,V1572))</f>
        <v>0</v>
      </c>
      <c r="AG1572" s="15" t="s">
        <v>133</v>
      </c>
      <c r="AH1572" s="16">
        <v>45845</v>
      </c>
      <c r="AI1572" s="16">
        <v>45853</v>
      </c>
      <c r="AJ1572" s="16">
        <v>45865</v>
      </c>
      <c r="AK1572" s="17">
        <f>IF(AJ1572="","",AJ1572-AH1572)</f>
        <v>20</v>
      </c>
    </row>
    <row r="1573" spans="1:37">
      <c r="A1573" s="2" t="s">
        <v>2012</v>
      </c>
      <c r="B1573" s="2" t="s">
        <v>287</v>
      </c>
      <c r="C1573" s="2" t="s">
        <v>288</v>
      </c>
      <c r="D1573" s="2" t="s">
        <v>171</v>
      </c>
      <c r="E1573" s="2" t="s">
        <v>289</v>
      </c>
      <c r="F1573" s="2" t="s">
        <v>173</v>
      </c>
      <c r="G1573" s="2" t="s">
        <v>1965</v>
      </c>
      <c r="H1573" s="2" t="s">
        <v>448</v>
      </c>
      <c r="I1573" s="2" t="s">
        <v>380</v>
      </c>
      <c r="J1573" s="2" t="s">
        <v>381</v>
      </c>
      <c r="K1573" s="9">
        <v>45837</v>
      </c>
      <c r="L1573" s="9">
        <v>45843</v>
      </c>
      <c r="M1573" s="9">
        <v>45842</v>
      </c>
      <c r="N1573" s="2" t="s">
        <v>1986</v>
      </c>
      <c r="O1573" s="2" t="s">
        <v>55</v>
      </c>
      <c r="P1573" s="2" t="s">
        <v>139</v>
      </c>
      <c r="Q1573" s="2" t="s">
        <v>154</v>
      </c>
      <c r="R1573" s="2" t="s">
        <v>137</v>
      </c>
      <c r="S1573" s="2" t="s">
        <v>383</v>
      </c>
      <c r="T1573" s="10">
        <v>30.14</v>
      </c>
      <c r="U1573" s="11">
        <v>1</v>
      </c>
      <c r="V1573" s="12">
        <f>T1573*U1573</f>
        <v>30.14</v>
      </c>
      <c r="W1573" s="13">
        <v>0</v>
      </c>
      <c r="X1573" s="12">
        <f>V1573-(V1573/(1+W1573))</f>
        <v>0</v>
      </c>
      <c r="Y1573" s="12">
        <f>V1573-X1573</f>
        <v>30.14</v>
      </c>
      <c r="Z1573" s="14">
        <v>35</v>
      </c>
      <c r="AA1573" s="2" t="str">
        <f>IF(V1573&gt;Z1573,"Yes","No")</f>
        <v>No</v>
      </c>
      <c r="AB1573" s="12">
        <f>V1573-Z1573</f>
        <v>-4.8599999999999994</v>
      </c>
      <c r="AC1573" s="15" t="s">
        <v>130</v>
      </c>
      <c r="AD1573" s="15" t="s">
        <v>131</v>
      </c>
      <c r="AE1573" s="15" t="s">
        <v>514</v>
      </c>
      <c r="AF1573" s="12">
        <f>IF(AG1573="Rejected",0,IF(R1573="Corporate Card",0,V1573))</f>
        <v>30.14</v>
      </c>
      <c r="AG1573" s="15" t="s">
        <v>133</v>
      </c>
      <c r="AH1573" s="16">
        <v>45845</v>
      </c>
      <c r="AI1573" s="16">
        <v>45853</v>
      </c>
      <c r="AJ1573" s="16">
        <v>45865</v>
      </c>
      <c r="AK1573" s="17">
        <f>IF(AJ1573="","",AJ1573-AH1573)</f>
        <v>20</v>
      </c>
    </row>
    <row r="1574" spans="1:37">
      <c r="A1574" s="2" t="s">
        <v>2013</v>
      </c>
      <c r="B1574" s="2" t="s">
        <v>863</v>
      </c>
      <c r="C1574" s="2" t="s">
        <v>864</v>
      </c>
      <c r="D1574" s="2" t="s">
        <v>865</v>
      </c>
      <c r="E1574" s="2" t="s">
        <v>866</v>
      </c>
      <c r="F1574" s="2" t="s">
        <v>867</v>
      </c>
      <c r="G1574" s="2" t="s">
        <v>1980</v>
      </c>
      <c r="H1574" s="2" t="s">
        <v>291</v>
      </c>
      <c r="I1574" s="2" t="s">
        <v>175</v>
      </c>
      <c r="J1574" s="2" t="s">
        <v>176</v>
      </c>
      <c r="K1574" s="9">
        <v>45838</v>
      </c>
      <c r="L1574" s="9">
        <v>45843</v>
      </c>
      <c r="M1574" s="9">
        <v>45842</v>
      </c>
      <c r="N1574" s="2" t="s">
        <v>1986</v>
      </c>
      <c r="O1574" s="2" t="s">
        <v>58</v>
      </c>
      <c r="P1574" s="2" t="s">
        <v>142</v>
      </c>
      <c r="Q1574" s="2" t="s">
        <v>203</v>
      </c>
      <c r="R1574" s="2" t="s">
        <v>128</v>
      </c>
      <c r="S1574" s="2" t="s">
        <v>179</v>
      </c>
      <c r="T1574" s="10">
        <v>128.49</v>
      </c>
      <c r="U1574" s="11">
        <v>0.18099999999999999</v>
      </c>
      <c r="V1574" s="12">
        <f>T1574*U1574</f>
        <v>23.256690000000003</v>
      </c>
      <c r="W1574" s="13">
        <v>0.17</v>
      </c>
      <c r="X1574" s="12">
        <f>V1574-(V1574/(1+W1574))</f>
        <v>3.3791771794871792</v>
      </c>
      <c r="Y1574" s="12">
        <f>V1574-X1574</f>
        <v>19.877512820512823</v>
      </c>
      <c r="Z1574" s="14">
        <v>60</v>
      </c>
      <c r="AA1574" s="2" t="str">
        <f>IF(V1574&gt;Z1574,"Yes","No")</f>
        <v>No</v>
      </c>
      <c r="AB1574" s="12">
        <f>V1574-Z1574</f>
        <v>-36.743309999999994</v>
      </c>
      <c r="AC1574" s="15" t="s">
        <v>130</v>
      </c>
      <c r="AD1574" s="15" t="s">
        <v>131</v>
      </c>
      <c r="AE1574" s="15" t="s">
        <v>132</v>
      </c>
      <c r="AF1574" s="12">
        <f>IF(AG1574="Rejected",0,IF(R1574="Corporate Card",0,V1574))</f>
        <v>0</v>
      </c>
      <c r="AG1574" s="15" t="s">
        <v>133</v>
      </c>
      <c r="AH1574" s="16">
        <v>45848</v>
      </c>
      <c r="AI1574" s="16">
        <v>45857</v>
      </c>
      <c r="AJ1574" s="16">
        <v>45867</v>
      </c>
      <c r="AK1574" s="17">
        <f>IF(AJ1574="","",AJ1574-AH1574)</f>
        <v>19</v>
      </c>
    </row>
    <row r="1575" spans="1:37">
      <c r="A1575" s="2" t="s">
        <v>2014</v>
      </c>
      <c r="B1575" s="2" t="s">
        <v>863</v>
      </c>
      <c r="C1575" s="2" t="s">
        <v>864</v>
      </c>
      <c r="D1575" s="2" t="s">
        <v>865</v>
      </c>
      <c r="E1575" s="2" t="s">
        <v>866</v>
      </c>
      <c r="F1575" s="2" t="s">
        <v>867</v>
      </c>
      <c r="G1575" s="2" t="s">
        <v>1980</v>
      </c>
      <c r="H1575" s="2" t="s">
        <v>291</v>
      </c>
      <c r="I1575" s="2" t="s">
        <v>175</v>
      </c>
      <c r="J1575" s="2" t="s">
        <v>176</v>
      </c>
      <c r="K1575" s="9">
        <v>45838</v>
      </c>
      <c r="L1575" s="9">
        <v>45843</v>
      </c>
      <c r="M1575" s="9">
        <v>45842</v>
      </c>
      <c r="N1575" s="2" t="s">
        <v>1986</v>
      </c>
      <c r="O1575" s="2" t="s">
        <v>54</v>
      </c>
      <c r="P1575" s="2" t="s">
        <v>139</v>
      </c>
      <c r="Q1575" s="2" t="s">
        <v>214</v>
      </c>
      <c r="R1575" s="2" t="s">
        <v>149</v>
      </c>
      <c r="S1575" s="2" t="s">
        <v>179</v>
      </c>
      <c r="T1575" s="10">
        <v>129.68</v>
      </c>
      <c r="U1575" s="11">
        <v>0.18099999999999999</v>
      </c>
      <c r="V1575" s="12">
        <f>T1575*U1575</f>
        <v>23.472080000000002</v>
      </c>
      <c r="W1575" s="13">
        <v>0.17</v>
      </c>
      <c r="X1575" s="12">
        <f>V1575-(V1575/(1+W1575))</f>
        <v>3.4104731623931599</v>
      </c>
      <c r="Y1575" s="12">
        <f>V1575-X1575</f>
        <v>20.061606837606842</v>
      </c>
      <c r="Z1575" s="14">
        <v>25</v>
      </c>
      <c r="AA1575" s="2" t="str">
        <f>IF(V1575&gt;Z1575,"Yes","No")</f>
        <v>No</v>
      </c>
      <c r="AB1575" s="12">
        <f>V1575-Z1575</f>
        <v>-1.5279199999999982</v>
      </c>
      <c r="AC1575" s="15" t="s">
        <v>130</v>
      </c>
      <c r="AD1575" s="15" t="s">
        <v>131</v>
      </c>
      <c r="AE1575" s="15" t="s">
        <v>132</v>
      </c>
      <c r="AF1575" s="12">
        <f>IF(AG1575="Rejected",0,IF(R1575="Corporate Card",0,V1575))</f>
        <v>23.472080000000002</v>
      </c>
      <c r="AG1575" s="15" t="s">
        <v>133</v>
      </c>
      <c r="AH1575" s="16">
        <v>45848</v>
      </c>
      <c r="AI1575" s="16">
        <v>45857</v>
      </c>
      <c r="AJ1575" s="16">
        <v>45867</v>
      </c>
      <c r="AK1575" s="17">
        <f>IF(AJ1575="","",AJ1575-AH1575)</f>
        <v>19</v>
      </c>
    </row>
    <row r="1576" spans="1:37">
      <c r="A1576" s="2" t="s">
        <v>2015</v>
      </c>
      <c r="B1576" s="2" t="s">
        <v>863</v>
      </c>
      <c r="C1576" s="2" t="s">
        <v>864</v>
      </c>
      <c r="D1576" s="2" t="s">
        <v>865</v>
      </c>
      <c r="E1576" s="2" t="s">
        <v>866</v>
      </c>
      <c r="F1576" s="2" t="s">
        <v>867</v>
      </c>
      <c r="G1576" s="2" t="s">
        <v>1980</v>
      </c>
      <c r="H1576" s="2" t="s">
        <v>291</v>
      </c>
      <c r="I1576" s="2" t="s">
        <v>175</v>
      </c>
      <c r="J1576" s="2" t="s">
        <v>176</v>
      </c>
      <c r="K1576" s="9">
        <v>45838</v>
      </c>
      <c r="L1576" s="9">
        <v>45843</v>
      </c>
      <c r="M1576" s="9">
        <v>45842</v>
      </c>
      <c r="N1576" s="2" t="s">
        <v>1986</v>
      </c>
      <c r="O1576" s="2" t="s">
        <v>56</v>
      </c>
      <c r="P1576" s="2" t="s">
        <v>165</v>
      </c>
      <c r="Q1576" s="2" t="s">
        <v>227</v>
      </c>
      <c r="R1576" s="2" t="s">
        <v>128</v>
      </c>
      <c r="S1576" s="2" t="s">
        <v>179</v>
      </c>
      <c r="T1576" s="10">
        <v>317.20999999999998</v>
      </c>
      <c r="U1576" s="11">
        <v>0.18099999999999999</v>
      </c>
      <c r="V1576" s="12">
        <f>T1576*U1576</f>
        <v>57.415009999999995</v>
      </c>
      <c r="W1576" s="13">
        <v>0.17</v>
      </c>
      <c r="X1576" s="12">
        <f>V1576-(V1576/(1+W1576))</f>
        <v>8.3423518803418801</v>
      </c>
      <c r="Y1576" s="12">
        <f>V1576-X1576</f>
        <v>49.072658119658115</v>
      </c>
      <c r="Z1576" s="14">
        <v>75</v>
      </c>
      <c r="AA1576" s="2" t="str">
        <f>IF(V1576&gt;Z1576,"Yes","No")</f>
        <v>No</v>
      </c>
      <c r="AB1576" s="12">
        <f>V1576-Z1576</f>
        <v>-17.584990000000005</v>
      </c>
      <c r="AC1576" s="15" t="s">
        <v>130</v>
      </c>
      <c r="AD1576" s="15" t="s">
        <v>131</v>
      </c>
      <c r="AE1576" s="15" t="s">
        <v>132</v>
      </c>
      <c r="AF1576" s="12">
        <f>IF(AG1576="Rejected",0,IF(R1576="Corporate Card",0,V1576))</f>
        <v>0</v>
      </c>
      <c r="AG1576" s="15" t="s">
        <v>133</v>
      </c>
      <c r="AH1576" s="16">
        <v>45848</v>
      </c>
      <c r="AI1576" s="16">
        <v>45857</v>
      </c>
      <c r="AJ1576" s="16">
        <v>45867</v>
      </c>
      <c r="AK1576" s="17">
        <f>IF(AJ1576="","",AJ1576-AH1576)</f>
        <v>19</v>
      </c>
    </row>
    <row r="1577" spans="1:37">
      <c r="A1577" s="2" t="s">
        <v>2016</v>
      </c>
      <c r="B1577" s="2" t="s">
        <v>863</v>
      </c>
      <c r="C1577" s="2" t="s">
        <v>864</v>
      </c>
      <c r="D1577" s="2" t="s">
        <v>865</v>
      </c>
      <c r="E1577" s="2" t="s">
        <v>866</v>
      </c>
      <c r="F1577" s="2" t="s">
        <v>867</v>
      </c>
      <c r="G1577" s="2" t="s">
        <v>1980</v>
      </c>
      <c r="H1577" s="2" t="s">
        <v>291</v>
      </c>
      <c r="I1577" s="2" t="s">
        <v>175</v>
      </c>
      <c r="J1577" s="2" t="s">
        <v>176</v>
      </c>
      <c r="K1577" s="9">
        <v>45838</v>
      </c>
      <c r="L1577" s="9">
        <v>45843</v>
      </c>
      <c r="M1577" s="9">
        <v>45842</v>
      </c>
      <c r="N1577" s="2" t="s">
        <v>1986</v>
      </c>
      <c r="O1577" s="2" t="s">
        <v>55</v>
      </c>
      <c r="P1577" s="2" t="s">
        <v>139</v>
      </c>
      <c r="Q1577" s="2" t="s">
        <v>217</v>
      </c>
      <c r="R1577" s="2" t="s">
        <v>137</v>
      </c>
      <c r="S1577" s="2" t="s">
        <v>179</v>
      </c>
      <c r="T1577" s="10">
        <v>169.95</v>
      </c>
      <c r="U1577" s="11">
        <v>0.18099999999999999</v>
      </c>
      <c r="V1577" s="12">
        <f>T1577*U1577</f>
        <v>30.760949999999998</v>
      </c>
      <c r="W1577" s="13">
        <v>0.17</v>
      </c>
      <c r="X1577" s="12">
        <f>V1577-(V1577/(1+W1577))</f>
        <v>4.4695397435897419</v>
      </c>
      <c r="Y1577" s="12">
        <f>V1577-X1577</f>
        <v>26.291410256410256</v>
      </c>
      <c r="Z1577" s="14">
        <v>35</v>
      </c>
      <c r="AA1577" s="2" t="str">
        <f>IF(V1577&gt;Z1577,"Yes","No")</f>
        <v>No</v>
      </c>
      <c r="AB1577" s="12">
        <f>V1577-Z1577</f>
        <v>-4.2390500000000024</v>
      </c>
      <c r="AC1577" s="15" t="s">
        <v>130</v>
      </c>
      <c r="AD1577" s="15" t="s">
        <v>131</v>
      </c>
      <c r="AE1577" s="15" t="s">
        <v>132</v>
      </c>
      <c r="AF1577" s="12">
        <f>IF(AG1577="Rejected",0,IF(R1577="Corporate Card",0,V1577))</f>
        <v>30.760949999999998</v>
      </c>
      <c r="AG1577" s="15" t="s">
        <v>133</v>
      </c>
      <c r="AH1577" s="16">
        <v>45848</v>
      </c>
      <c r="AI1577" s="16">
        <v>45857</v>
      </c>
      <c r="AJ1577" s="16">
        <v>45867</v>
      </c>
      <c r="AK1577" s="17">
        <f>IF(AJ1577="","",AJ1577-AH1577)</f>
        <v>19</v>
      </c>
    </row>
    <row r="1578" spans="1:37">
      <c r="A1578" s="2" t="s">
        <v>2017</v>
      </c>
      <c r="B1578" s="2" t="s">
        <v>616</v>
      </c>
      <c r="C1578" s="2" t="s">
        <v>252</v>
      </c>
      <c r="D1578" s="2" t="s">
        <v>250</v>
      </c>
      <c r="E1578" s="2" t="s">
        <v>617</v>
      </c>
      <c r="F1578" s="2" t="s">
        <v>510</v>
      </c>
      <c r="G1578" s="2" t="s">
        <v>2018</v>
      </c>
      <c r="H1578" s="2" t="s">
        <v>193</v>
      </c>
      <c r="I1578" s="2" t="s">
        <v>315</v>
      </c>
      <c r="J1578" s="2" t="s">
        <v>316</v>
      </c>
      <c r="K1578" s="9">
        <v>45843</v>
      </c>
      <c r="L1578" s="9">
        <v>45846</v>
      </c>
      <c r="M1578" s="9">
        <v>45843</v>
      </c>
      <c r="N1578" s="2" t="s">
        <v>1986</v>
      </c>
      <c r="O1578" s="2" t="s">
        <v>52</v>
      </c>
      <c r="P1578" s="2" t="s">
        <v>317</v>
      </c>
      <c r="Q1578" s="2" t="s">
        <v>258</v>
      </c>
      <c r="R1578" s="2" t="s">
        <v>128</v>
      </c>
      <c r="S1578" s="2" t="s">
        <v>318</v>
      </c>
      <c r="T1578" s="10">
        <v>3333.83</v>
      </c>
      <c r="U1578" s="11">
        <v>0.27229999999999999</v>
      </c>
      <c r="V1578" s="12">
        <f>T1578*U1578</f>
        <v>907.80190899999991</v>
      </c>
      <c r="W1578" s="13">
        <v>0</v>
      </c>
      <c r="X1578" s="12">
        <f>V1578-(V1578/(1+W1578))</f>
        <v>0</v>
      </c>
      <c r="Y1578" s="12">
        <f>V1578-X1578</f>
        <v>907.80190899999991</v>
      </c>
      <c r="Z1578" s="14">
        <v>1400</v>
      </c>
      <c r="AA1578" s="2" t="str">
        <f>IF(V1578&gt;Z1578,"Yes","No")</f>
        <v>No</v>
      </c>
      <c r="AB1578" s="12">
        <f>V1578-Z1578</f>
        <v>-492.19809100000009</v>
      </c>
      <c r="AC1578" s="15" t="s">
        <v>130</v>
      </c>
      <c r="AD1578" s="15" t="s">
        <v>130</v>
      </c>
      <c r="AE1578" s="15" t="s">
        <v>858</v>
      </c>
      <c r="AF1578" s="12">
        <f>IF(AG1578="Rejected",0,IF(R1578="Corporate Card",0,V1578))</f>
        <v>0</v>
      </c>
      <c r="AG1578" s="15" t="s">
        <v>133</v>
      </c>
      <c r="AH1578" s="16">
        <v>45851</v>
      </c>
      <c r="AI1578" s="16">
        <v>45858</v>
      </c>
      <c r="AJ1578" s="16">
        <v>45866</v>
      </c>
      <c r="AK1578" s="17">
        <f>IF(AJ1578="","",AJ1578-AH1578)</f>
        <v>15</v>
      </c>
    </row>
    <row r="1579" spans="1:37">
      <c r="A1579" s="2" t="s">
        <v>2019</v>
      </c>
      <c r="B1579" s="2" t="s">
        <v>616</v>
      </c>
      <c r="C1579" s="2" t="s">
        <v>252</v>
      </c>
      <c r="D1579" s="2" t="s">
        <v>250</v>
      </c>
      <c r="E1579" s="2" t="s">
        <v>617</v>
      </c>
      <c r="F1579" s="2" t="s">
        <v>510</v>
      </c>
      <c r="G1579" s="2" t="s">
        <v>2018</v>
      </c>
      <c r="H1579" s="2" t="s">
        <v>193</v>
      </c>
      <c r="I1579" s="2" t="s">
        <v>315</v>
      </c>
      <c r="J1579" s="2" t="s">
        <v>316</v>
      </c>
      <c r="K1579" s="9">
        <v>45843</v>
      </c>
      <c r="L1579" s="9">
        <v>45846</v>
      </c>
      <c r="M1579" s="9">
        <v>45843</v>
      </c>
      <c r="N1579" s="2" t="s">
        <v>1986</v>
      </c>
      <c r="O1579" s="2" t="s">
        <v>63</v>
      </c>
      <c r="P1579" s="2" t="s">
        <v>200</v>
      </c>
      <c r="Q1579" s="2" t="s">
        <v>1347</v>
      </c>
      <c r="R1579" s="2" t="s">
        <v>128</v>
      </c>
      <c r="S1579" s="2" t="s">
        <v>318</v>
      </c>
      <c r="T1579" s="10">
        <v>3744.12</v>
      </c>
      <c r="U1579" s="11">
        <v>0.27229999999999999</v>
      </c>
      <c r="V1579" s="12">
        <f>T1579*U1579</f>
        <v>1019.523876</v>
      </c>
      <c r="W1579" s="13">
        <v>0</v>
      </c>
      <c r="X1579" s="12">
        <f>V1579-(V1579/(1+W1579))</f>
        <v>0</v>
      </c>
      <c r="Y1579" s="12">
        <f>V1579-X1579</f>
        <v>1019.523876</v>
      </c>
      <c r="Z1579" s="14">
        <v>1200</v>
      </c>
      <c r="AA1579" s="2" t="str">
        <f>IF(V1579&gt;Z1579,"Yes","No")</f>
        <v>No</v>
      </c>
      <c r="AB1579" s="12">
        <f>V1579-Z1579</f>
        <v>-180.47612400000003</v>
      </c>
      <c r="AC1579" s="15" t="s">
        <v>130</v>
      </c>
      <c r="AD1579" s="15" t="s">
        <v>130</v>
      </c>
      <c r="AE1579" s="15" t="s">
        <v>858</v>
      </c>
      <c r="AF1579" s="12">
        <f>IF(AG1579="Rejected",0,IF(R1579="Corporate Card",0,V1579))</f>
        <v>0</v>
      </c>
      <c r="AG1579" s="15" t="s">
        <v>133</v>
      </c>
      <c r="AH1579" s="16">
        <v>45851</v>
      </c>
      <c r="AI1579" s="16">
        <v>45858</v>
      </c>
      <c r="AJ1579" s="16">
        <v>45866</v>
      </c>
      <c r="AK1579" s="17">
        <f>IF(AJ1579="","",AJ1579-AH1579)</f>
        <v>15</v>
      </c>
    </row>
    <row r="1580" spans="1:37">
      <c r="A1580" s="2" t="s">
        <v>2020</v>
      </c>
      <c r="B1580" s="2" t="s">
        <v>616</v>
      </c>
      <c r="C1580" s="2" t="s">
        <v>252</v>
      </c>
      <c r="D1580" s="2" t="s">
        <v>250</v>
      </c>
      <c r="E1580" s="2" t="s">
        <v>617</v>
      </c>
      <c r="F1580" s="2" t="s">
        <v>510</v>
      </c>
      <c r="G1580" s="2" t="s">
        <v>2018</v>
      </c>
      <c r="H1580" s="2" t="s">
        <v>193</v>
      </c>
      <c r="I1580" s="2" t="s">
        <v>315</v>
      </c>
      <c r="J1580" s="2" t="s">
        <v>316</v>
      </c>
      <c r="K1580" s="9">
        <v>45843</v>
      </c>
      <c r="L1580" s="9">
        <v>45846</v>
      </c>
      <c r="M1580" s="9">
        <v>45843</v>
      </c>
      <c r="N1580" s="2" t="s">
        <v>1986</v>
      </c>
      <c r="O1580" s="2" t="s">
        <v>54</v>
      </c>
      <c r="P1580" s="2" t="s">
        <v>139</v>
      </c>
      <c r="Q1580" s="2" t="s">
        <v>163</v>
      </c>
      <c r="R1580" s="2" t="s">
        <v>137</v>
      </c>
      <c r="S1580" s="2" t="s">
        <v>318</v>
      </c>
      <c r="T1580" s="10">
        <v>61.73</v>
      </c>
      <c r="U1580" s="11">
        <v>0.27229999999999999</v>
      </c>
      <c r="V1580" s="12">
        <f>T1580*U1580</f>
        <v>16.809078999999997</v>
      </c>
      <c r="W1580" s="13">
        <v>0.05</v>
      </c>
      <c r="X1580" s="12">
        <f>V1580-(V1580/(1+W1580))</f>
        <v>0.80043233333333319</v>
      </c>
      <c r="Y1580" s="12">
        <f>V1580-X1580</f>
        <v>16.008646666666664</v>
      </c>
      <c r="Z1580" s="14">
        <v>25</v>
      </c>
      <c r="AA1580" s="2" t="str">
        <f>IF(V1580&gt;Z1580,"Yes","No")</f>
        <v>No</v>
      </c>
      <c r="AB1580" s="12">
        <f>V1580-Z1580</f>
        <v>-8.190921000000003</v>
      </c>
      <c r="AC1580" s="15" t="s">
        <v>130</v>
      </c>
      <c r="AD1580" s="15" t="s">
        <v>130</v>
      </c>
      <c r="AE1580" s="15" t="s">
        <v>858</v>
      </c>
      <c r="AF1580" s="12">
        <f>IF(AG1580="Rejected",0,IF(R1580="Corporate Card",0,V1580))</f>
        <v>16.809078999999997</v>
      </c>
      <c r="AG1580" s="15" t="s">
        <v>133</v>
      </c>
      <c r="AH1580" s="16">
        <v>45851</v>
      </c>
      <c r="AI1580" s="16">
        <v>45858</v>
      </c>
      <c r="AJ1580" s="16">
        <v>45866</v>
      </c>
      <c r="AK1580" s="17">
        <f>IF(AJ1580="","",AJ1580-AH1580)</f>
        <v>15</v>
      </c>
    </row>
    <row r="1581" spans="1:37">
      <c r="A1581" s="2" t="s">
        <v>2021</v>
      </c>
      <c r="B1581" s="2" t="s">
        <v>616</v>
      </c>
      <c r="C1581" s="2" t="s">
        <v>252</v>
      </c>
      <c r="D1581" s="2" t="s">
        <v>250</v>
      </c>
      <c r="E1581" s="2" t="s">
        <v>617</v>
      </c>
      <c r="F1581" s="2" t="s">
        <v>510</v>
      </c>
      <c r="G1581" s="2" t="s">
        <v>2018</v>
      </c>
      <c r="H1581" s="2" t="s">
        <v>193</v>
      </c>
      <c r="I1581" s="2" t="s">
        <v>315</v>
      </c>
      <c r="J1581" s="2" t="s">
        <v>316</v>
      </c>
      <c r="K1581" s="9">
        <v>45843</v>
      </c>
      <c r="L1581" s="9">
        <v>45846</v>
      </c>
      <c r="M1581" s="9">
        <v>45843</v>
      </c>
      <c r="N1581" s="2" t="s">
        <v>1986</v>
      </c>
      <c r="O1581" s="2" t="s">
        <v>56</v>
      </c>
      <c r="P1581" s="2" t="s">
        <v>245</v>
      </c>
      <c r="Q1581" s="2" t="s">
        <v>159</v>
      </c>
      <c r="R1581" s="2" t="s">
        <v>128</v>
      </c>
      <c r="S1581" s="2" t="s">
        <v>318</v>
      </c>
      <c r="T1581" s="10">
        <v>379.5</v>
      </c>
      <c r="U1581" s="11">
        <v>0.27229999999999999</v>
      </c>
      <c r="V1581" s="12">
        <f>T1581*U1581</f>
        <v>103.33784999999999</v>
      </c>
      <c r="W1581" s="13">
        <v>0.05</v>
      </c>
      <c r="X1581" s="12">
        <f>V1581-(V1581/(1+W1581))</f>
        <v>4.9208500000000015</v>
      </c>
      <c r="Y1581" s="12">
        <f>V1581-X1581</f>
        <v>98.416999999999987</v>
      </c>
      <c r="Z1581" s="14">
        <v>75</v>
      </c>
      <c r="AA1581" s="2" t="str">
        <f>IF(V1581&gt;Z1581,"Yes","No")</f>
        <v>Yes</v>
      </c>
      <c r="AB1581" s="12">
        <f>V1581-Z1581</f>
        <v>28.337849999999989</v>
      </c>
      <c r="AC1581" s="15" t="s">
        <v>130</v>
      </c>
      <c r="AD1581" s="15" t="s">
        <v>130</v>
      </c>
      <c r="AE1581" s="15" t="s">
        <v>858</v>
      </c>
      <c r="AF1581" s="12">
        <f>IF(AG1581="Rejected",0,IF(R1581="Corporate Card",0,V1581))</f>
        <v>0</v>
      </c>
      <c r="AG1581" s="15" t="s">
        <v>133</v>
      </c>
      <c r="AH1581" s="16">
        <v>45851</v>
      </c>
      <c r="AI1581" s="16">
        <v>45858</v>
      </c>
      <c r="AJ1581" s="16">
        <v>45866</v>
      </c>
      <c r="AK1581" s="17">
        <f>IF(AJ1581="","",AJ1581-AH1581)</f>
        <v>15</v>
      </c>
    </row>
    <row r="1582" spans="1:37">
      <c r="A1582" s="2" t="s">
        <v>2022</v>
      </c>
      <c r="B1582" s="2" t="s">
        <v>287</v>
      </c>
      <c r="C1582" s="2" t="s">
        <v>288</v>
      </c>
      <c r="D1582" s="2" t="s">
        <v>171</v>
      </c>
      <c r="E1582" s="2" t="s">
        <v>289</v>
      </c>
      <c r="F1582" s="2" t="s">
        <v>173</v>
      </c>
      <c r="G1582" s="2" t="s">
        <v>1965</v>
      </c>
      <c r="H1582" s="2" t="s">
        <v>448</v>
      </c>
      <c r="I1582" s="2" t="s">
        <v>380</v>
      </c>
      <c r="J1582" s="2" t="s">
        <v>381</v>
      </c>
      <c r="K1582" s="9">
        <v>45837</v>
      </c>
      <c r="L1582" s="9">
        <v>45843</v>
      </c>
      <c r="M1582" s="9">
        <v>45843</v>
      </c>
      <c r="N1582" s="2" t="s">
        <v>1986</v>
      </c>
      <c r="O1582" s="2" t="s">
        <v>54</v>
      </c>
      <c r="P1582" s="2" t="s">
        <v>139</v>
      </c>
      <c r="Q1582" s="2" t="s">
        <v>163</v>
      </c>
      <c r="R1582" s="2" t="s">
        <v>128</v>
      </c>
      <c r="S1582" s="2" t="s">
        <v>383</v>
      </c>
      <c r="T1582" s="10">
        <v>8.9600000000000009</v>
      </c>
      <c r="U1582" s="11">
        <v>1</v>
      </c>
      <c r="V1582" s="12">
        <f>T1582*U1582</f>
        <v>8.9600000000000009</v>
      </c>
      <c r="W1582" s="13">
        <v>0</v>
      </c>
      <c r="X1582" s="12">
        <f>V1582-(V1582/(1+W1582))</f>
        <v>0</v>
      </c>
      <c r="Y1582" s="12">
        <f>V1582-X1582</f>
        <v>8.9600000000000009</v>
      </c>
      <c r="Z1582" s="14">
        <v>25</v>
      </c>
      <c r="AA1582" s="2" t="str">
        <f>IF(V1582&gt;Z1582,"Yes","No")</f>
        <v>No</v>
      </c>
      <c r="AB1582" s="12">
        <f>V1582-Z1582</f>
        <v>-16.04</v>
      </c>
      <c r="AC1582" s="15" t="s">
        <v>130</v>
      </c>
      <c r="AD1582" s="15" t="s">
        <v>131</v>
      </c>
      <c r="AE1582" s="15" t="s">
        <v>514</v>
      </c>
      <c r="AF1582" s="12">
        <f>IF(AG1582="Rejected",0,IF(R1582="Corporate Card",0,V1582))</f>
        <v>0</v>
      </c>
      <c r="AG1582" s="15" t="s">
        <v>133</v>
      </c>
      <c r="AH1582" s="16">
        <v>45845</v>
      </c>
      <c r="AI1582" s="16">
        <v>45853</v>
      </c>
      <c r="AJ1582" s="16">
        <v>45865</v>
      </c>
      <c r="AK1582" s="17">
        <f>IF(AJ1582="","",AJ1582-AH1582)</f>
        <v>20</v>
      </c>
    </row>
    <row r="1583" spans="1:37">
      <c r="A1583" s="2" t="s">
        <v>2023</v>
      </c>
      <c r="B1583" s="2" t="s">
        <v>287</v>
      </c>
      <c r="C1583" s="2" t="s">
        <v>288</v>
      </c>
      <c r="D1583" s="2" t="s">
        <v>171</v>
      </c>
      <c r="E1583" s="2" t="s">
        <v>289</v>
      </c>
      <c r="F1583" s="2" t="s">
        <v>173</v>
      </c>
      <c r="G1583" s="2" t="s">
        <v>1965</v>
      </c>
      <c r="H1583" s="2" t="s">
        <v>448</v>
      </c>
      <c r="I1583" s="2" t="s">
        <v>380</v>
      </c>
      <c r="J1583" s="2" t="s">
        <v>381</v>
      </c>
      <c r="K1583" s="9">
        <v>45837</v>
      </c>
      <c r="L1583" s="9">
        <v>45843</v>
      </c>
      <c r="M1583" s="9">
        <v>45843</v>
      </c>
      <c r="N1583" s="2" t="s">
        <v>1986</v>
      </c>
      <c r="O1583" s="2" t="s">
        <v>56</v>
      </c>
      <c r="P1583" s="2" t="s">
        <v>245</v>
      </c>
      <c r="Q1583" s="2" t="s">
        <v>152</v>
      </c>
      <c r="R1583" s="2" t="s">
        <v>137</v>
      </c>
      <c r="S1583" s="2" t="s">
        <v>383</v>
      </c>
      <c r="T1583" s="10">
        <v>68.55</v>
      </c>
      <c r="U1583" s="11">
        <v>1</v>
      </c>
      <c r="V1583" s="12">
        <f>T1583*U1583</f>
        <v>68.55</v>
      </c>
      <c r="W1583" s="13">
        <v>0</v>
      </c>
      <c r="X1583" s="12">
        <f>V1583-(V1583/(1+W1583))</f>
        <v>0</v>
      </c>
      <c r="Y1583" s="12">
        <f>V1583-X1583</f>
        <v>68.55</v>
      </c>
      <c r="Z1583" s="14">
        <v>75</v>
      </c>
      <c r="AA1583" s="2" t="str">
        <f>IF(V1583&gt;Z1583,"Yes","No")</f>
        <v>No</v>
      </c>
      <c r="AB1583" s="12">
        <f>V1583-Z1583</f>
        <v>-6.4500000000000028</v>
      </c>
      <c r="AC1583" s="15" t="s">
        <v>130</v>
      </c>
      <c r="AD1583" s="15" t="s">
        <v>131</v>
      </c>
      <c r="AE1583" s="15" t="s">
        <v>514</v>
      </c>
      <c r="AF1583" s="12">
        <f>IF(AG1583="Rejected",0,IF(R1583="Corporate Card",0,V1583))</f>
        <v>68.55</v>
      </c>
      <c r="AG1583" s="15" t="s">
        <v>133</v>
      </c>
      <c r="AH1583" s="16">
        <v>45845</v>
      </c>
      <c r="AI1583" s="16">
        <v>45853</v>
      </c>
      <c r="AJ1583" s="16">
        <v>45865</v>
      </c>
      <c r="AK1583" s="17">
        <f>IF(AJ1583="","",AJ1583-AH1583)</f>
        <v>20</v>
      </c>
    </row>
    <row r="1584" spans="1:37">
      <c r="A1584" s="2" t="s">
        <v>2024</v>
      </c>
      <c r="B1584" s="2" t="s">
        <v>287</v>
      </c>
      <c r="C1584" s="2" t="s">
        <v>288</v>
      </c>
      <c r="D1584" s="2" t="s">
        <v>171</v>
      </c>
      <c r="E1584" s="2" t="s">
        <v>289</v>
      </c>
      <c r="F1584" s="2" t="s">
        <v>173</v>
      </c>
      <c r="G1584" s="2" t="s">
        <v>1965</v>
      </c>
      <c r="H1584" s="2" t="s">
        <v>448</v>
      </c>
      <c r="I1584" s="2" t="s">
        <v>380</v>
      </c>
      <c r="J1584" s="2" t="s">
        <v>381</v>
      </c>
      <c r="K1584" s="9">
        <v>45837</v>
      </c>
      <c r="L1584" s="9">
        <v>45843</v>
      </c>
      <c r="M1584" s="9">
        <v>45843</v>
      </c>
      <c r="N1584" s="2" t="s">
        <v>1986</v>
      </c>
      <c r="O1584" s="2" t="s">
        <v>55</v>
      </c>
      <c r="P1584" s="2" t="s">
        <v>139</v>
      </c>
      <c r="Q1584" s="2" t="s">
        <v>217</v>
      </c>
      <c r="R1584" s="2" t="s">
        <v>128</v>
      </c>
      <c r="S1584" s="2" t="s">
        <v>383</v>
      </c>
      <c r="T1584" s="10">
        <v>34.74</v>
      </c>
      <c r="U1584" s="11">
        <v>1</v>
      </c>
      <c r="V1584" s="12">
        <f>T1584*U1584</f>
        <v>34.74</v>
      </c>
      <c r="W1584" s="13">
        <v>0</v>
      </c>
      <c r="X1584" s="12">
        <f>V1584-(V1584/(1+W1584))</f>
        <v>0</v>
      </c>
      <c r="Y1584" s="12">
        <f>V1584-X1584</f>
        <v>34.74</v>
      </c>
      <c r="Z1584" s="14">
        <v>35</v>
      </c>
      <c r="AA1584" s="2" t="str">
        <f>IF(V1584&gt;Z1584,"Yes","No")</f>
        <v>No</v>
      </c>
      <c r="AB1584" s="12">
        <f>V1584-Z1584</f>
        <v>-0.25999999999999801</v>
      </c>
      <c r="AC1584" s="15" t="s">
        <v>130</v>
      </c>
      <c r="AD1584" s="15" t="s">
        <v>131</v>
      </c>
      <c r="AE1584" s="15" t="s">
        <v>514</v>
      </c>
      <c r="AF1584" s="12">
        <f>IF(AG1584="Rejected",0,IF(R1584="Corporate Card",0,V1584))</f>
        <v>0</v>
      </c>
      <c r="AG1584" s="15" t="s">
        <v>133</v>
      </c>
      <c r="AH1584" s="16">
        <v>45845</v>
      </c>
      <c r="AI1584" s="16">
        <v>45853</v>
      </c>
      <c r="AJ1584" s="16">
        <v>45865</v>
      </c>
      <c r="AK1584" s="17">
        <f>IF(AJ1584="","",AJ1584-AH1584)</f>
        <v>20</v>
      </c>
    </row>
    <row r="1585" spans="1:37">
      <c r="A1585" s="2" t="s">
        <v>2025</v>
      </c>
      <c r="B1585" s="2" t="s">
        <v>287</v>
      </c>
      <c r="C1585" s="2" t="s">
        <v>288</v>
      </c>
      <c r="D1585" s="2" t="s">
        <v>171</v>
      </c>
      <c r="E1585" s="2" t="s">
        <v>289</v>
      </c>
      <c r="F1585" s="2" t="s">
        <v>173</v>
      </c>
      <c r="G1585" s="2" t="s">
        <v>2026</v>
      </c>
      <c r="H1585" s="2" t="s">
        <v>448</v>
      </c>
      <c r="I1585" s="2" t="s">
        <v>194</v>
      </c>
      <c r="J1585" s="2" t="s">
        <v>195</v>
      </c>
      <c r="K1585" s="9">
        <v>45843</v>
      </c>
      <c r="L1585" s="9">
        <v>45851</v>
      </c>
      <c r="M1585" s="9">
        <v>45843</v>
      </c>
      <c r="N1585" s="2" t="s">
        <v>1986</v>
      </c>
      <c r="O1585" s="2" t="s">
        <v>52</v>
      </c>
      <c r="P1585" s="2" t="s">
        <v>196</v>
      </c>
      <c r="Q1585" s="2" t="s">
        <v>513</v>
      </c>
      <c r="R1585" s="2" t="s">
        <v>128</v>
      </c>
      <c r="S1585" s="2" t="s">
        <v>198</v>
      </c>
      <c r="T1585" s="10">
        <v>1479.19</v>
      </c>
      <c r="U1585" s="11">
        <v>1.085</v>
      </c>
      <c r="V1585" s="12">
        <f>T1585*U1585</f>
        <v>1604.9211499999999</v>
      </c>
      <c r="W1585" s="13">
        <v>0</v>
      </c>
      <c r="X1585" s="12">
        <f>V1585-(V1585/(1+W1585))</f>
        <v>0</v>
      </c>
      <c r="Y1585" s="12">
        <f>V1585-X1585</f>
        <v>1604.9211499999999</v>
      </c>
      <c r="Z1585" s="14">
        <v>1400</v>
      </c>
      <c r="AA1585" s="2" t="str">
        <f>IF(V1585&gt;Z1585,"Yes","No")</f>
        <v>Yes</v>
      </c>
      <c r="AB1585" s="12">
        <f>V1585-Z1585</f>
        <v>204.9211499999999</v>
      </c>
      <c r="AC1585" s="15" t="s">
        <v>130</v>
      </c>
      <c r="AD1585" s="15" t="s">
        <v>131</v>
      </c>
      <c r="AE1585" s="15" t="s">
        <v>180</v>
      </c>
      <c r="AF1585" s="12">
        <f>IF(AG1585="Rejected",0,IF(R1585="Corporate Card",0,V1585))</f>
        <v>0</v>
      </c>
      <c r="AG1585" s="15" t="s">
        <v>133</v>
      </c>
      <c r="AH1585" s="16">
        <v>45863</v>
      </c>
      <c r="AI1585" s="16">
        <v>45865</v>
      </c>
      <c r="AJ1585" s="16">
        <v>45870</v>
      </c>
      <c r="AK1585" s="17">
        <f>IF(AJ1585="","",AJ1585-AH1585)</f>
        <v>7</v>
      </c>
    </row>
    <row r="1586" spans="1:37">
      <c r="A1586" s="2" t="s">
        <v>2027</v>
      </c>
      <c r="B1586" s="2" t="s">
        <v>287</v>
      </c>
      <c r="C1586" s="2" t="s">
        <v>288</v>
      </c>
      <c r="D1586" s="2" t="s">
        <v>171</v>
      </c>
      <c r="E1586" s="2" t="s">
        <v>289</v>
      </c>
      <c r="F1586" s="2" t="s">
        <v>173</v>
      </c>
      <c r="G1586" s="2" t="s">
        <v>2026</v>
      </c>
      <c r="H1586" s="2" t="s">
        <v>448</v>
      </c>
      <c r="I1586" s="2" t="s">
        <v>194</v>
      </c>
      <c r="J1586" s="2" t="s">
        <v>195</v>
      </c>
      <c r="K1586" s="9">
        <v>45843</v>
      </c>
      <c r="L1586" s="9">
        <v>45851</v>
      </c>
      <c r="M1586" s="9">
        <v>45843</v>
      </c>
      <c r="N1586" s="2" t="s">
        <v>1986</v>
      </c>
      <c r="O1586" s="2" t="s">
        <v>58</v>
      </c>
      <c r="P1586" s="2" t="s">
        <v>142</v>
      </c>
      <c r="Q1586" s="2" t="s">
        <v>224</v>
      </c>
      <c r="R1586" s="2" t="s">
        <v>128</v>
      </c>
      <c r="S1586" s="2" t="s">
        <v>198</v>
      </c>
      <c r="T1586" s="10">
        <v>64.03</v>
      </c>
      <c r="U1586" s="11">
        <v>1.085</v>
      </c>
      <c r="V1586" s="12">
        <f>T1586*U1586</f>
        <v>69.472549999999998</v>
      </c>
      <c r="W1586" s="13">
        <v>0.19</v>
      </c>
      <c r="X1586" s="12">
        <f>V1586-(V1586/(1+W1586))</f>
        <v>11.092255882352937</v>
      </c>
      <c r="Y1586" s="12">
        <f>V1586-X1586</f>
        <v>58.380294117647061</v>
      </c>
      <c r="Z1586" s="14">
        <v>60</v>
      </c>
      <c r="AA1586" s="2" t="str">
        <f>IF(V1586&gt;Z1586,"Yes","No")</f>
        <v>Yes</v>
      </c>
      <c r="AB1586" s="12">
        <f>V1586-Z1586</f>
        <v>9.4725499999999982</v>
      </c>
      <c r="AC1586" s="15" t="s">
        <v>130</v>
      </c>
      <c r="AD1586" s="15" t="s">
        <v>131</v>
      </c>
      <c r="AE1586" s="15" t="s">
        <v>180</v>
      </c>
      <c r="AF1586" s="12">
        <f>IF(AG1586="Rejected",0,IF(R1586="Corporate Card",0,V1586))</f>
        <v>0</v>
      </c>
      <c r="AG1586" s="15" t="s">
        <v>133</v>
      </c>
      <c r="AH1586" s="16">
        <v>45863</v>
      </c>
      <c r="AI1586" s="16">
        <v>45865</v>
      </c>
      <c r="AJ1586" s="16">
        <v>45870</v>
      </c>
      <c r="AK1586" s="17">
        <f>IF(AJ1586="","",AJ1586-AH1586)</f>
        <v>7</v>
      </c>
    </row>
    <row r="1587" spans="1:37">
      <c r="A1587" s="2" t="s">
        <v>2028</v>
      </c>
      <c r="B1587" s="2" t="s">
        <v>287</v>
      </c>
      <c r="C1587" s="2" t="s">
        <v>288</v>
      </c>
      <c r="D1587" s="2" t="s">
        <v>171</v>
      </c>
      <c r="E1587" s="2" t="s">
        <v>289</v>
      </c>
      <c r="F1587" s="2" t="s">
        <v>173</v>
      </c>
      <c r="G1587" s="2" t="s">
        <v>2026</v>
      </c>
      <c r="H1587" s="2" t="s">
        <v>448</v>
      </c>
      <c r="I1587" s="2" t="s">
        <v>194</v>
      </c>
      <c r="J1587" s="2" t="s">
        <v>195</v>
      </c>
      <c r="K1587" s="9">
        <v>45843</v>
      </c>
      <c r="L1587" s="9">
        <v>45851</v>
      </c>
      <c r="M1587" s="9">
        <v>45843</v>
      </c>
      <c r="N1587" s="2" t="s">
        <v>1986</v>
      </c>
      <c r="O1587" s="2" t="s">
        <v>54</v>
      </c>
      <c r="P1587" s="2" t="s">
        <v>139</v>
      </c>
      <c r="Q1587" s="2" t="s">
        <v>163</v>
      </c>
      <c r="R1587" s="2" t="s">
        <v>128</v>
      </c>
      <c r="S1587" s="2" t="s">
        <v>198</v>
      </c>
      <c r="T1587" s="10">
        <v>21.53</v>
      </c>
      <c r="U1587" s="11">
        <v>1.085</v>
      </c>
      <c r="V1587" s="12">
        <f>T1587*U1587</f>
        <v>23.360050000000001</v>
      </c>
      <c r="W1587" s="13">
        <v>0.19</v>
      </c>
      <c r="X1587" s="12">
        <f>V1587-(V1587/(1+W1587))</f>
        <v>3.72975588235294</v>
      </c>
      <c r="Y1587" s="12">
        <f>V1587-X1587</f>
        <v>19.630294117647061</v>
      </c>
      <c r="Z1587" s="14">
        <v>25</v>
      </c>
      <c r="AA1587" s="2" t="str">
        <f>IF(V1587&gt;Z1587,"Yes","No")</f>
        <v>No</v>
      </c>
      <c r="AB1587" s="12">
        <f>V1587-Z1587</f>
        <v>-1.6399499999999989</v>
      </c>
      <c r="AC1587" s="15" t="s">
        <v>130</v>
      </c>
      <c r="AD1587" s="15" t="s">
        <v>131</v>
      </c>
      <c r="AE1587" s="15" t="s">
        <v>180</v>
      </c>
      <c r="AF1587" s="12">
        <f>IF(AG1587="Rejected",0,IF(R1587="Corporate Card",0,V1587))</f>
        <v>0</v>
      </c>
      <c r="AG1587" s="15" t="s">
        <v>133</v>
      </c>
      <c r="AH1587" s="16">
        <v>45863</v>
      </c>
      <c r="AI1587" s="16">
        <v>45865</v>
      </c>
      <c r="AJ1587" s="16">
        <v>45870</v>
      </c>
      <c r="AK1587" s="17">
        <f>IF(AJ1587="","",AJ1587-AH1587)</f>
        <v>7</v>
      </c>
    </row>
    <row r="1588" spans="1:37">
      <c r="A1588" s="2" t="s">
        <v>2029</v>
      </c>
      <c r="B1588" s="2" t="s">
        <v>287</v>
      </c>
      <c r="C1588" s="2" t="s">
        <v>288</v>
      </c>
      <c r="D1588" s="2" t="s">
        <v>171</v>
      </c>
      <c r="E1588" s="2" t="s">
        <v>289</v>
      </c>
      <c r="F1588" s="2" t="s">
        <v>173</v>
      </c>
      <c r="G1588" s="2" t="s">
        <v>2026</v>
      </c>
      <c r="H1588" s="2" t="s">
        <v>448</v>
      </c>
      <c r="I1588" s="2" t="s">
        <v>194</v>
      </c>
      <c r="J1588" s="2" t="s">
        <v>195</v>
      </c>
      <c r="K1588" s="9">
        <v>45843</v>
      </c>
      <c r="L1588" s="9">
        <v>45851</v>
      </c>
      <c r="M1588" s="9">
        <v>45843</v>
      </c>
      <c r="N1588" s="2" t="s">
        <v>1986</v>
      </c>
      <c r="O1588" s="2" t="s">
        <v>55</v>
      </c>
      <c r="P1588" s="2" t="s">
        <v>139</v>
      </c>
      <c r="Q1588" s="2" t="s">
        <v>217</v>
      </c>
      <c r="R1588" s="2" t="s">
        <v>128</v>
      </c>
      <c r="S1588" s="2" t="s">
        <v>198</v>
      </c>
      <c r="T1588" s="10">
        <v>24.88</v>
      </c>
      <c r="U1588" s="11">
        <v>1.085</v>
      </c>
      <c r="V1588" s="12">
        <f>T1588*U1588</f>
        <v>26.994799999999998</v>
      </c>
      <c r="W1588" s="13">
        <v>0.19</v>
      </c>
      <c r="X1588" s="12">
        <f>V1588-(V1588/(1+W1588))</f>
        <v>4.3100941176470577</v>
      </c>
      <c r="Y1588" s="12">
        <f>V1588-X1588</f>
        <v>22.68470588235294</v>
      </c>
      <c r="Z1588" s="14">
        <v>35</v>
      </c>
      <c r="AA1588" s="2" t="str">
        <f>IF(V1588&gt;Z1588,"Yes","No")</f>
        <v>No</v>
      </c>
      <c r="AB1588" s="12">
        <f>V1588-Z1588</f>
        <v>-8.0052000000000021</v>
      </c>
      <c r="AC1588" s="15" t="s">
        <v>130</v>
      </c>
      <c r="AD1588" s="15" t="s">
        <v>131</v>
      </c>
      <c r="AE1588" s="15" t="s">
        <v>180</v>
      </c>
      <c r="AF1588" s="12">
        <f>IF(AG1588="Rejected",0,IF(R1588="Corporate Card",0,V1588))</f>
        <v>0</v>
      </c>
      <c r="AG1588" s="15" t="s">
        <v>133</v>
      </c>
      <c r="AH1588" s="16">
        <v>45863</v>
      </c>
      <c r="AI1588" s="16">
        <v>45865</v>
      </c>
      <c r="AJ1588" s="16">
        <v>45870</v>
      </c>
      <c r="AK1588" s="17">
        <f>IF(AJ1588="","",AJ1588-AH1588)</f>
        <v>7</v>
      </c>
    </row>
    <row r="1589" spans="1:37">
      <c r="A1589" s="2" t="s">
        <v>2030</v>
      </c>
      <c r="B1589" s="2" t="s">
        <v>287</v>
      </c>
      <c r="C1589" s="2" t="s">
        <v>288</v>
      </c>
      <c r="D1589" s="2" t="s">
        <v>171</v>
      </c>
      <c r="E1589" s="2" t="s">
        <v>289</v>
      </c>
      <c r="F1589" s="2" t="s">
        <v>173</v>
      </c>
      <c r="G1589" s="2" t="s">
        <v>2026</v>
      </c>
      <c r="H1589" s="2" t="s">
        <v>448</v>
      </c>
      <c r="I1589" s="2" t="s">
        <v>194</v>
      </c>
      <c r="J1589" s="2" t="s">
        <v>195</v>
      </c>
      <c r="K1589" s="9">
        <v>45843</v>
      </c>
      <c r="L1589" s="9">
        <v>45851</v>
      </c>
      <c r="M1589" s="9">
        <v>45843</v>
      </c>
      <c r="N1589" s="2" t="s">
        <v>1986</v>
      </c>
      <c r="O1589" s="2" t="s">
        <v>66</v>
      </c>
      <c r="P1589" s="2" t="s">
        <v>489</v>
      </c>
      <c r="Q1589" s="2" t="s">
        <v>490</v>
      </c>
      <c r="R1589" s="2" t="s">
        <v>149</v>
      </c>
      <c r="S1589" s="2" t="s">
        <v>198</v>
      </c>
      <c r="T1589" s="10">
        <v>116.2</v>
      </c>
      <c r="U1589" s="11">
        <v>1.085</v>
      </c>
      <c r="V1589" s="12">
        <f>T1589*U1589</f>
        <v>126.077</v>
      </c>
      <c r="W1589" s="13">
        <v>0</v>
      </c>
      <c r="X1589" s="12">
        <f>V1589-(V1589/(1+W1589))</f>
        <v>0</v>
      </c>
      <c r="Y1589" s="12">
        <f>V1589-X1589</f>
        <v>126.077</v>
      </c>
      <c r="Z1589" s="14">
        <v>250</v>
      </c>
      <c r="AA1589" s="2" t="str">
        <f>IF(V1589&gt;Z1589,"Yes","No")</f>
        <v>No</v>
      </c>
      <c r="AB1589" s="12">
        <f>V1589-Z1589</f>
        <v>-123.923</v>
      </c>
      <c r="AC1589" s="15" t="s">
        <v>130</v>
      </c>
      <c r="AD1589" s="15" t="s">
        <v>131</v>
      </c>
      <c r="AE1589" s="15" t="s">
        <v>180</v>
      </c>
      <c r="AF1589" s="12">
        <f>IF(AG1589="Rejected",0,IF(R1589="Corporate Card",0,V1589))</f>
        <v>126.077</v>
      </c>
      <c r="AG1589" s="15" t="s">
        <v>133</v>
      </c>
      <c r="AH1589" s="16">
        <v>45863</v>
      </c>
      <c r="AI1589" s="16">
        <v>45865</v>
      </c>
      <c r="AJ1589" s="16">
        <v>45870</v>
      </c>
      <c r="AK1589" s="17">
        <f>IF(AJ1589="","",AJ1589-AH1589)</f>
        <v>7</v>
      </c>
    </row>
    <row r="1590" spans="1:37">
      <c r="A1590" s="2" t="s">
        <v>2031</v>
      </c>
      <c r="B1590" s="2" t="s">
        <v>863</v>
      </c>
      <c r="C1590" s="2" t="s">
        <v>864</v>
      </c>
      <c r="D1590" s="2" t="s">
        <v>865</v>
      </c>
      <c r="E1590" s="2" t="s">
        <v>866</v>
      </c>
      <c r="F1590" s="2" t="s">
        <v>867</v>
      </c>
      <c r="G1590" s="2" t="s">
        <v>1980</v>
      </c>
      <c r="H1590" s="2" t="s">
        <v>291</v>
      </c>
      <c r="I1590" s="2" t="s">
        <v>175</v>
      </c>
      <c r="J1590" s="2" t="s">
        <v>176</v>
      </c>
      <c r="K1590" s="9">
        <v>45838</v>
      </c>
      <c r="L1590" s="9">
        <v>45843</v>
      </c>
      <c r="M1590" s="9">
        <v>45843</v>
      </c>
      <c r="N1590" s="2" t="s">
        <v>1986</v>
      </c>
      <c r="O1590" s="2" t="s">
        <v>58</v>
      </c>
      <c r="P1590" s="2" t="s">
        <v>142</v>
      </c>
      <c r="Q1590" s="2" t="s">
        <v>203</v>
      </c>
      <c r="R1590" s="2" t="s">
        <v>149</v>
      </c>
      <c r="S1590" s="2" t="s">
        <v>179</v>
      </c>
      <c r="T1590" s="10">
        <v>153.02000000000001</v>
      </c>
      <c r="U1590" s="11">
        <v>0.18099999999999999</v>
      </c>
      <c r="V1590" s="12">
        <f>T1590*U1590</f>
        <v>27.696619999999999</v>
      </c>
      <c r="W1590" s="13">
        <v>0.17</v>
      </c>
      <c r="X1590" s="12">
        <f>V1590-(V1590/(1+W1590))</f>
        <v>4.024295213675213</v>
      </c>
      <c r="Y1590" s="12">
        <f>V1590-X1590</f>
        <v>23.672324786324786</v>
      </c>
      <c r="Z1590" s="14">
        <v>60</v>
      </c>
      <c r="AA1590" s="2" t="str">
        <f>IF(V1590&gt;Z1590,"Yes","No")</f>
        <v>No</v>
      </c>
      <c r="AB1590" s="12">
        <f>V1590-Z1590</f>
        <v>-32.303380000000004</v>
      </c>
      <c r="AC1590" s="15" t="s">
        <v>130</v>
      </c>
      <c r="AD1590" s="15" t="s">
        <v>131</v>
      </c>
      <c r="AE1590" s="15" t="s">
        <v>132</v>
      </c>
      <c r="AF1590" s="12">
        <f>IF(AG1590="Rejected",0,IF(R1590="Corporate Card",0,V1590))</f>
        <v>27.696619999999999</v>
      </c>
      <c r="AG1590" s="15" t="s">
        <v>133</v>
      </c>
      <c r="AH1590" s="16">
        <v>45848</v>
      </c>
      <c r="AI1590" s="16">
        <v>45857</v>
      </c>
      <c r="AJ1590" s="16">
        <v>45867</v>
      </c>
      <c r="AK1590" s="17">
        <f>IF(AJ1590="","",AJ1590-AH1590)</f>
        <v>19</v>
      </c>
    </row>
    <row r="1591" spans="1:37">
      <c r="A1591" s="2" t="s">
        <v>2032</v>
      </c>
      <c r="B1591" s="2" t="s">
        <v>863</v>
      </c>
      <c r="C1591" s="2" t="s">
        <v>864</v>
      </c>
      <c r="D1591" s="2" t="s">
        <v>865</v>
      </c>
      <c r="E1591" s="2" t="s">
        <v>866</v>
      </c>
      <c r="F1591" s="2" t="s">
        <v>867</v>
      </c>
      <c r="G1591" s="2" t="s">
        <v>1980</v>
      </c>
      <c r="H1591" s="2" t="s">
        <v>291</v>
      </c>
      <c r="I1591" s="2" t="s">
        <v>175</v>
      </c>
      <c r="J1591" s="2" t="s">
        <v>176</v>
      </c>
      <c r="K1591" s="9">
        <v>45838</v>
      </c>
      <c r="L1591" s="9">
        <v>45843</v>
      </c>
      <c r="M1591" s="9">
        <v>45843</v>
      </c>
      <c r="N1591" s="2" t="s">
        <v>1986</v>
      </c>
      <c r="O1591" s="2" t="s">
        <v>54</v>
      </c>
      <c r="P1591" s="2" t="s">
        <v>139</v>
      </c>
      <c r="Q1591" s="2" t="s">
        <v>163</v>
      </c>
      <c r="R1591" s="2" t="s">
        <v>128</v>
      </c>
      <c r="S1591" s="2" t="s">
        <v>179</v>
      </c>
      <c r="T1591" s="10">
        <v>96.65</v>
      </c>
      <c r="U1591" s="11">
        <v>0.18099999999999999</v>
      </c>
      <c r="V1591" s="12">
        <f>T1591*U1591</f>
        <v>17.493649999999999</v>
      </c>
      <c r="W1591" s="13">
        <v>0.17</v>
      </c>
      <c r="X1591" s="12">
        <f>V1591-(V1591/(1+W1591))</f>
        <v>2.5418123931623917</v>
      </c>
      <c r="Y1591" s="12">
        <f>V1591-X1591</f>
        <v>14.951837606837607</v>
      </c>
      <c r="Z1591" s="14">
        <v>25</v>
      </c>
      <c r="AA1591" s="2" t="str">
        <f>IF(V1591&gt;Z1591,"Yes","No")</f>
        <v>No</v>
      </c>
      <c r="AB1591" s="12">
        <f>V1591-Z1591</f>
        <v>-7.5063500000000012</v>
      </c>
      <c r="AC1591" s="15" t="s">
        <v>131</v>
      </c>
      <c r="AD1591" s="15" t="s">
        <v>131</v>
      </c>
      <c r="AE1591" s="15" t="s">
        <v>132</v>
      </c>
      <c r="AF1591" s="12">
        <f>IF(AG1591="Rejected",0,IF(R1591="Corporate Card",0,V1591))</f>
        <v>0</v>
      </c>
      <c r="AG1591" s="15" t="s">
        <v>133</v>
      </c>
      <c r="AH1591" s="16">
        <v>45848</v>
      </c>
      <c r="AI1591" s="16">
        <v>45857</v>
      </c>
      <c r="AJ1591" s="16">
        <v>45867</v>
      </c>
      <c r="AK1591" s="17">
        <f>IF(AJ1591="","",AJ1591-AH1591)</f>
        <v>19</v>
      </c>
    </row>
    <row r="1592" spans="1:37">
      <c r="A1592" s="2" t="s">
        <v>2033</v>
      </c>
      <c r="B1592" s="2" t="s">
        <v>863</v>
      </c>
      <c r="C1592" s="2" t="s">
        <v>864</v>
      </c>
      <c r="D1592" s="2" t="s">
        <v>865</v>
      </c>
      <c r="E1592" s="2" t="s">
        <v>866</v>
      </c>
      <c r="F1592" s="2" t="s">
        <v>867</v>
      </c>
      <c r="G1592" s="2" t="s">
        <v>1980</v>
      </c>
      <c r="H1592" s="2" t="s">
        <v>291</v>
      </c>
      <c r="I1592" s="2" t="s">
        <v>175</v>
      </c>
      <c r="J1592" s="2" t="s">
        <v>176</v>
      </c>
      <c r="K1592" s="9">
        <v>45838</v>
      </c>
      <c r="L1592" s="9">
        <v>45843</v>
      </c>
      <c r="M1592" s="9">
        <v>45843</v>
      </c>
      <c r="N1592" s="2" t="s">
        <v>1986</v>
      </c>
      <c r="O1592" s="2" t="s">
        <v>55</v>
      </c>
      <c r="P1592" s="2" t="s">
        <v>139</v>
      </c>
      <c r="Q1592" s="2" t="s">
        <v>154</v>
      </c>
      <c r="R1592" s="2" t="s">
        <v>128</v>
      </c>
      <c r="S1592" s="2" t="s">
        <v>179</v>
      </c>
      <c r="T1592" s="10">
        <v>98.83</v>
      </c>
      <c r="U1592" s="11">
        <v>0.18099999999999999</v>
      </c>
      <c r="V1592" s="12">
        <f>T1592*U1592</f>
        <v>17.88823</v>
      </c>
      <c r="W1592" s="13">
        <v>0.17</v>
      </c>
      <c r="X1592" s="12">
        <f>V1592-(V1592/(1+W1592))</f>
        <v>2.599144529914529</v>
      </c>
      <c r="Y1592" s="12">
        <f>V1592-X1592</f>
        <v>15.289085470085471</v>
      </c>
      <c r="Z1592" s="14">
        <v>35</v>
      </c>
      <c r="AA1592" s="2" t="str">
        <f>IF(V1592&gt;Z1592,"Yes","No")</f>
        <v>No</v>
      </c>
      <c r="AB1592" s="12">
        <f>V1592-Z1592</f>
        <v>-17.11177</v>
      </c>
      <c r="AC1592" s="15" t="s">
        <v>130</v>
      </c>
      <c r="AD1592" s="15" t="s">
        <v>131</v>
      </c>
      <c r="AE1592" s="15" t="s">
        <v>132</v>
      </c>
      <c r="AF1592" s="12">
        <f>IF(AG1592="Rejected",0,IF(R1592="Corporate Card",0,V1592))</f>
        <v>0</v>
      </c>
      <c r="AG1592" s="15" t="s">
        <v>133</v>
      </c>
      <c r="AH1592" s="16">
        <v>45848</v>
      </c>
      <c r="AI1592" s="16">
        <v>45857</v>
      </c>
      <c r="AJ1592" s="16">
        <v>45867</v>
      </c>
      <c r="AK1592" s="17">
        <f>IF(AJ1592="","",AJ1592-AH1592)</f>
        <v>19</v>
      </c>
    </row>
    <row r="1593" spans="1:37">
      <c r="A1593" s="2" t="s">
        <v>2034</v>
      </c>
      <c r="B1593" s="2" t="s">
        <v>616</v>
      </c>
      <c r="C1593" s="2" t="s">
        <v>252</v>
      </c>
      <c r="D1593" s="2" t="s">
        <v>250</v>
      </c>
      <c r="E1593" s="2" t="s">
        <v>617</v>
      </c>
      <c r="F1593" s="2" t="s">
        <v>510</v>
      </c>
      <c r="G1593" s="2" t="s">
        <v>2018</v>
      </c>
      <c r="H1593" s="2" t="s">
        <v>193</v>
      </c>
      <c r="I1593" s="2" t="s">
        <v>315</v>
      </c>
      <c r="J1593" s="2" t="s">
        <v>316</v>
      </c>
      <c r="K1593" s="9">
        <v>45843</v>
      </c>
      <c r="L1593" s="9">
        <v>45846</v>
      </c>
      <c r="M1593" s="9">
        <v>45844</v>
      </c>
      <c r="N1593" s="2" t="s">
        <v>1986</v>
      </c>
      <c r="O1593" s="2" t="s">
        <v>53</v>
      </c>
      <c r="P1593" s="2" t="s">
        <v>145</v>
      </c>
      <c r="Q1593" s="2" t="s">
        <v>305</v>
      </c>
      <c r="R1593" s="2" t="s">
        <v>149</v>
      </c>
      <c r="S1593" s="2" t="s">
        <v>318</v>
      </c>
      <c r="T1593" s="10">
        <v>1538.55</v>
      </c>
      <c r="U1593" s="11">
        <v>0.27229999999999999</v>
      </c>
      <c r="V1593" s="12">
        <f>T1593*U1593</f>
        <v>418.94716499999998</v>
      </c>
      <c r="W1593" s="13">
        <v>0.05</v>
      </c>
      <c r="X1593" s="12">
        <f>V1593-(V1593/(1+W1593))</f>
        <v>19.949864999999988</v>
      </c>
      <c r="Y1593" s="12">
        <f>V1593-X1593</f>
        <v>398.9973</v>
      </c>
      <c r="Z1593" s="14">
        <v>840</v>
      </c>
      <c r="AA1593" s="2" t="str">
        <f>IF(V1593&gt;Z1593,"Yes","No")</f>
        <v>No</v>
      </c>
      <c r="AB1593" s="12">
        <f>V1593-Z1593</f>
        <v>-421.05283500000002</v>
      </c>
      <c r="AC1593" s="15" t="s">
        <v>130</v>
      </c>
      <c r="AD1593" s="15" t="s">
        <v>130</v>
      </c>
      <c r="AE1593" s="15" t="s">
        <v>858</v>
      </c>
      <c r="AF1593" s="12">
        <f>IF(AG1593="Rejected",0,IF(R1593="Corporate Card",0,V1593))</f>
        <v>418.94716499999998</v>
      </c>
      <c r="AG1593" s="15" t="s">
        <v>133</v>
      </c>
      <c r="AH1593" s="16">
        <v>45851</v>
      </c>
      <c r="AI1593" s="16">
        <v>45858</v>
      </c>
      <c r="AJ1593" s="16">
        <v>45866</v>
      </c>
      <c r="AK1593" s="17">
        <f>IF(AJ1593="","",AJ1593-AH1593)</f>
        <v>15</v>
      </c>
    </row>
    <row r="1594" spans="1:37">
      <c r="A1594" s="2" t="s">
        <v>2035</v>
      </c>
      <c r="B1594" s="2" t="s">
        <v>616</v>
      </c>
      <c r="C1594" s="2" t="s">
        <v>252</v>
      </c>
      <c r="D1594" s="2" t="s">
        <v>250</v>
      </c>
      <c r="E1594" s="2" t="s">
        <v>617</v>
      </c>
      <c r="F1594" s="2" t="s">
        <v>510</v>
      </c>
      <c r="G1594" s="2" t="s">
        <v>2018</v>
      </c>
      <c r="H1594" s="2" t="s">
        <v>193</v>
      </c>
      <c r="I1594" s="2" t="s">
        <v>315</v>
      </c>
      <c r="J1594" s="2" t="s">
        <v>316</v>
      </c>
      <c r="K1594" s="9">
        <v>45843</v>
      </c>
      <c r="L1594" s="9">
        <v>45846</v>
      </c>
      <c r="M1594" s="9">
        <v>45844</v>
      </c>
      <c r="N1594" s="2" t="s">
        <v>1986</v>
      </c>
      <c r="O1594" s="2" t="s">
        <v>54</v>
      </c>
      <c r="P1594" s="2" t="s">
        <v>139</v>
      </c>
      <c r="Q1594" s="2" t="s">
        <v>214</v>
      </c>
      <c r="R1594" s="2" t="s">
        <v>128</v>
      </c>
      <c r="S1594" s="2" t="s">
        <v>318</v>
      </c>
      <c r="T1594" s="10">
        <v>129.86000000000001</v>
      </c>
      <c r="U1594" s="11">
        <v>0.27229999999999999</v>
      </c>
      <c r="V1594" s="12">
        <f>T1594*U1594</f>
        <v>35.360878</v>
      </c>
      <c r="W1594" s="13">
        <v>0.05</v>
      </c>
      <c r="X1594" s="12">
        <f>V1594-(V1594/(1+W1594))</f>
        <v>1.6838513333333367</v>
      </c>
      <c r="Y1594" s="12">
        <f>V1594-X1594</f>
        <v>33.677026666666663</v>
      </c>
      <c r="Z1594" s="14">
        <v>25</v>
      </c>
      <c r="AA1594" s="2" t="str">
        <f>IF(V1594&gt;Z1594,"Yes","No")</f>
        <v>Yes</v>
      </c>
      <c r="AB1594" s="12">
        <f>V1594-Z1594</f>
        <v>10.360878</v>
      </c>
      <c r="AC1594" s="15" t="s">
        <v>130</v>
      </c>
      <c r="AD1594" s="15" t="s">
        <v>130</v>
      </c>
      <c r="AE1594" s="15" t="s">
        <v>858</v>
      </c>
      <c r="AF1594" s="12">
        <f>IF(AG1594="Rejected",0,IF(R1594="Corporate Card",0,V1594))</f>
        <v>0</v>
      </c>
      <c r="AG1594" s="15" t="s">
        <v>133</v>
      </c>
      <c r="AH1594" s="16">
        <v>45851</v>
      </c>
      <c r="AI1594" s="16">
        <v>45858</v>
      </c>
      <c r="AJ1594" s="16">
        <v>45866</v>
      </c>
      <c r="AK1594" s="17">
        <f>IF(AJ1594="","",AJ1594-AH1594)</f>
        <v>15</v>
      </c>
    </row>
    <row r="1595" spans="1:37">
      <c r="A1595" s="2" t="s">
        <v>2036</v>
      </c>
      <c r="B1595" s="2" t="s">
        <v>616</v>
      </c>
      <c r="C1595" s="2" t="s">
        <v>252</v>
      </c>
      <c r="D1595" s="2" t="s">
        <v>250</v>
      </c>
      <c r="E1595" s="2" t="s">
        <v>617</v>
      </c>
      <c r="F1595" s="2" t="s">
        <v>510</v>
      </c>
      <c r="G1595" s="2" t="s">
        <v>2018</v>
      </c>
      <c r="H1595" s="2" t="s">
        <v>193</v>
      </c>
      <c r="I1595" s="2" t="s">
        <v>315</v>
      </c>
      <c r="J1595" s="2" t="s">
        <v>316</v>
      </c>
      <c r="K1595" s="9">
        <v>45843</v>
      </c>
      <c r="L1595" s="9">
        <v>45846</v>
      </c>
      <c r="M1595" s="9">
        <v>45844</v>
      </c>
      <c r="N1595" s="2" t="s">
        <v>1986</v>
      </c>
      <c r="O1595" s="2" t="s">
        <v>56</v>
      </c>
      <c r="P1595" s="2" t="s">
        <v>231</v>
      </c>
      <c r="Q1595" s="2" t="s">
        <v>159</v>
      </c>
      <c r="R1595" s="2" t="s">
        <v>128</v>
      </c>
      <c r="S1595" s="2" t="s">
        <v>318</v>
      </c>
      <c r="T1595" s="10">
        <v>167.13</v>
      </c>
      <c r="U1595" s="11">
        <v>0.27229999999999999</v>
      </c>
      <c r="V1595" s="12">
        <f>T1595*U1595</f>
        <v>45.509498999999998</v>
      </c>
      <c r="W1595" s="13">
        <v>0.05</v>
      </c>
      <c r="X1595" s="12">
        <f>V1595-(V1595/(1+W1595))</f>
        <v>2.1671189999999996</v>
      </c>
      <c r="Y1595" s="12">
        <f>V1595-X1595</f>
        <v>43.342379999999999</v>
      </c>
      <c r="Z1595" s="14">
        <v>75</v>
      </c>
      <c r="AA1595" s="2" t="str">
        <f>IF(V1595&gt;Z1595,"Yes","No")</f>
        <v>No</v>
      </c>
      <c r="AB1595" s="12">
        <f>V1595-Z1595</f>
        <v>-29.490501000000002</v>
      </c>
      <c r="AC1595" s="15" t="s">
        <v>130</v>
      </c>
      <c r="AD1595" s="15" t="s">
        <v>130</v>
      </c>
      <c r="AE1595" s="15" t="s">
        <v>858</v>
      </c>
      <c r="AF1595" s="12">
        <f>IF(AG1595="Rejected",0,IF(R1595="Corporate Card",0,V1595))</f>
        <v>0</v>
      </c>
      <c r="AG1595" s="15" t="s">
        <v>133</v>
      </c>
      <c r="AH1595" s="16">
        <v>45851</v>
      </c>
      <c r="AI1595" s="16">
        <v>45858</v>
      </c>
      <c r="AJ1595" s="16">
        <v>45866</v>
      </c>
      <c r="AK1595" s="17">
        <f>IF(AJ1595="","",AJ1595-AH1595)</f>
        <v>15</v>
      </c>
    </row>
    <row r="1596" spans="1:37">
      <c r="A1596" s="2" t="s">
        <v>2037</v>
      </c>
      <c r="B1596" s="2" t="s">
        <v>616</v>
      </c>
      <c r="C1596" s="2" t="s">
        <v>252</v>
      </c>
      <c r="D1596" s="2" t="s">
        <v>250</v>
      </c>
      <c r="E1596" s="2" t="s">
        <v>617</v>
      </c>
      <c r="F1596" s="2" t="s">
        <v>510</v>
      </c>
      <c r="G1596" s="2" t="s">
        <v>2018</v>
      </c>
      <c r="H1596" s="2" t="s">
        <v>193</v>
      </c>
      <c r="I1596" s="2" t="s">
        <v>315</v>
      </c>
      <c r="J1596" s="2" t="s">
        <v>316</v>
      </c>
      <c r="K1596" s="9">
        <v>45843</v>
      </c>
      <c r="L1596" s="9">
        <v>45846</v>
      </c>
      <c r="M1596" s="9">
        <v>45844</v>
      </c>
      <c r="N1596" s="2" t="s">
        <v>1986</v>
      </c>
      <c r="O1596" s="2" t="s">
        <v>55</v>
      </c>
      <c r="P1596" s="2" t="s">
        <v>139</v>
      </c>
      <c r="Q1596" s="2" t="s">
        <v>187</v>
      </c>
      <c r="R1596" s="2" t="s">
        <v>128</v>
      </c>
      <c r="S1596" s="2" t="s">
        <v>318</v>
      </c>
      <c r="T1596" s="10">
        <v>121.85</v>
      </c>
      <c r="U1596" s="11">
        <v>0.27229999999999999</v>
      </c>
      <c r="V1596" s="12">
        <f>T1596*U1596</f>
        <v>33.179755</v>
      </c>
      <c r="W1596" s="13">
        <v>0.05</v>
      </c>
      <c r="X1596" s="12">
        <f>V1596-(V1596/(1+W1596))</f>
        <v>1.5799883333333362</v>
      </c>
      <c r="Y1596" s="12">
        <f>V1596-X1596</f>
        <v>31.599766666666664</v>
      </c>
      <c r="Z1596" s="14">
        <v>35</v>
      </c>
      <c r="AA1596" s="2" t="str">
        <f>IF(V1596&gt;Z1596,"Yes","No")</f>
        <v>No</v>
      </c>
      <c r="AB1596" s="12">
        <f>V1596-Z1596</f>
        <v>-1.8202449999999999</v>
      </c>
      <c r="AC1596" s="15" t="s">
        <v>130</v>
      </c>
      <c r="AD1596" s="15" t="s">
        <v>130</v>
      </c>
      <c r="AE1596" s="15" t="s">
        <v>858</v>
      </c>
      <c r="AF1596" s="12">
        <f>IF(AG1596="Rejected",0,IF(R1596="Corporate Card",0,V1596))</f>
        <v>0</v>
      </c>
      <c r="AG1596" s="15" t="s">
        <v>133</v>
      </c>
      <c r="AH1596" s="16">
        <v>45851</v>
      </c>
      <c r="AI1596" s="16">
        <v>45858</v>
      </c>
      <c r="AJ1596" s="16">
        <v>45866</v>
      </c>
      <c r="AK1596" s="17">
        <f>IF(AJ1596="","",AJ1596-AH1596)</f>
        <v>15</v>
      </c>
    </row>
    <row r="1597" spans="1:37">
      <c r="A1597" s="2" t="s">
        <v>2038</v>
      </c>
      <c r="B1597" s="2" t="s">
        <v>116</v>
      </c>
      <c r="C1597" s="2" t="s">
        <v>117</v>
      </c>
      <c r="D1597" s="2" t="s">
        <v>118</v>
      </c>
      <c r="E1597" s="2" t="s">
        <v>119</v>
      </c>
      <c r="F1597" s="2" t="s">
        <v>120</v>
      </c>
      <c r="G1597" s="2" t="s">
        <v>2039</v>
      </c>
      <c r="H1597" s="2" t="s">
        <v>803</v>
      </c>
      <c r="I1597" s="2" t="s">
        <v>418</v>
      </c>
      <c r="J1597" s="2" t="s">
        <v>381</v>
      </c>
      <c r="K1597" s="9">
        <v>45844</v>
      </c>
      <c r="L1597" s="9">
        <v>45847</v>
      </c>
      <c r="M1597" s="9">
        <v>45844</v>
      </c>
      <c r="N1597" s="2" t="s">
        <v>1986</v>
      </c>
      <c r="O1597" s="2" t="s">
        <v>52</v>
      </c>
      <c r="P1597" s="2" t="s">
        <v>419</v>
      </c>
      <c r="Q1597" s="2" t="s">
        <v>127</v>
      </c>
      <c r="R1597" s="2" t="s">
        <v>128</v>
      </c>
      <c r="S1597" s="2" t="s">
        <v>383</v>
      </c>
      <c r="T1597" s="10">
        <v>1299.81</v>
      </c>
      <c r="U1597" s="11">
        <v>1</v>
      </c>
      <c r="V1597" s="12">
        <f>T1597*U1597</f>
        <v>1299.81</v>
      </c>
      <c r="W1597" s="13">
        <v>0</v>
      </c>
      <c r="X1597" s="12">
        <f>V1597-(V1597/(1+W1597))</f>
        <v>0</v>
      </c>
      <c r="Y1597" s="12">
        <f>V1597-X1597</f>
        <v>1299.81</v>
      </c>
      <c r="Z1597" s="14">
        <v>1400</v>
      </c>
      <c r="AA1597" s="2" t="str">
        <f>IF(V1597&gt;Z1597,"Yes","No")</f>
        <v>No</v>
      </c>
      <c r="AB1597" s="12">
        <f>V1597-Z1597</f>
        <v>-100.19000000000005</v>
      </c>
      <c r="AC1597" s="15" t="s">
        <v>130</v>
      </c>
      <c r="AD1597" s="15" t="s">
        <v>131</v>
      </c>
      <c r="AE1597" s="15" t="s">
        <v>858</v>
      </c>
      <c r="AF1597" s="12">
        <f>IF(AG1597="Rejected",0,IF(R1597="Corporate Card",0,V1597))</f>
        <v>0</v>
      </c>
      <c r="AG1597" s="15" t="s">
        <v>133</v>
      </c>
      <c r="AH1597" s="16">
        <v>45859</v>
      </c>
      <c r="AI1597" s="16">
        <v>45866</v>
      </c>
      <c r="AJ1597" s="16">
        <v>45875</v>
      </c>
      <c r="AK1597" s="17">
        <f>IF(AJ1597="","",AJ1597-AH1597)</f>
        <v>16</v>
      </c>
    </row>
    <row r="1598" spans="1:37">
      <c r="A1598" s="2" t="s">
        <v>2040</v>
      </c>
      <c r="B1598" s="2" t="s">
        <v>116</v>
      </c>
      <c r="C1598" s="2" t="s">
        <v>117</v>
      </c>
      <c r="D1598" s="2" t="s">
        <v>118</v>
      </c>
      <c r="E1598" s="2" t="s">
        <v>119</v>
      </c>
      <c r="F1598" s="2" t="s">
        <v>120</v>
      </c>
      <c r="G1598" s="2" t="s">
        <v>2039</v>
      </c>
      <c r="H1598" s="2" t="s">
        <v>803</v>
      </c>
      <c r="I1598" s="2" t="s">
        <v>418</v>
      </c>
      <c r="J1598" s="2" t="s">
        <v>381</v>
      </c>
      <c r="K1598" s="9">
        <v>45844</v>
      </c>
      <c r="L1598" s="9">
        <v>45847</v>
      </c>
      <c r="M1598" s="9">
        <v>45844</v>
      </c>
      <c r="N1598" s="2" t="s">
        <v>1986</v>
      </c>
      <c r="O1598" s="2" t="s">
        <v>54</v>
      </c>
      <c r="P1598" s="2" t="s">
        <v>139</v>
      </c>
      <c r="Q1598" s="2" t="s">
        <v>163</v>
      </c>
      <c r="R1598" s="2" t="s">
        <v>128</v>
      </c>
      <c r="S1598" s="2" t="s">
        <v>383</v>
      </c>
      <c r="T1598" s="10">
        <v>19.690000000000001</v>
      </c>
      <c r="U1598" s="11">
        <v>1</v>
      </c>
      <c r="V1598" s="12">
        <f>T1598*U1598</f>
        <v>19.690000000000001</v>
      </c>
      <c r="W1598" s="13">
        <v>0</v>
      </c>
      <c r="X1598" s="12">
        <f>V1598-(V1598/(1+W1598))</f>
        <v>0</v>
      </c>
      <c r="Y1598" s="12">
        <f>V1598-X1598</f>
        <v>19.690000000000001</v>
      </c>
      <c r="Z1598" s="14">
        <v>25</v>
      </c>
      <c r="AA1598" s="2" t="str">
        <f>IF(V1598&gt;Z1598,"Yes","No")</f>
        <v>No</v>
      </c>
      <c r="AB1598" s="12">
        <f>V1598-Z1598</f>
        <v>-5.3099999999999987</v>
      </c>
      <c r="AC1598" s="15" t="s">
        <v>130</v>
      </c>
      <c r="AD1598" s="15" t="s">
        <v>131</v>
      </c>
      <c r="AE1598" s="15" t="s">
        <v>858</v>
      </c>
      <c r="AF1598" s="12">
        <f>IF(AG1598="Rejected",0,IF(R1598="Corporate Card",0,V1598))</f>
        <v>0</v>
      </c>
      <c r="AG1598" s="15" t="s">
        <v>133</v>
      </c>
      <c r="AH1598" s="16">
        <v>45859</v>
      </c>
      <c r="AI1598" s="16">
        <v>45866</v>
      </c>
      <c r="AJ1598" s="16">
        <v>45875</v>
      </c>
      <c r="AK1598" s="17">
        <f>IF(AJ1598="","",AJ1598-AH1598)</f>
        <v>16</v>
      </c>
    </row>
    <row r="1599" spans="1:37">
      <c r="A1599" s="2" t="s">
        <v>2041</v>
      </c>
      <c r="B1599" s="2" t="s">
        <v>116</v>
      </c>
      <c r="C1599" s="2" t="s">
        <v>117</v>
      </c>
      <c r="D1599" s="2" t="s">
        <v>118</v>
      </c>
      <c r="E1599" s="2" t="s">
        <v>119</v>
      </c>
      <c r="F1599" s="2" t="s">
        <v>120</v>
      </c>
      <c r="G1599" s="2" t="s">
        <v>2039</v>
      </c>
      <c r="H1599" s="2" t="s">
        <v>803</v>
      </c>
      <c r="I1599" s="2" t="s">
        <v>418</v>
      </c>
      <c r="J1599" s="2" t="s">
        <v>381</v>
      </c>
      <c r="K1599" s="9">
        <v>45844</v>
      </c>
      <c r="L1599" s="9">
        <v>45847</v>
      </c>
      <c r="M1599" s="9">
        <v>45844</v>
      </c>
      <c r="N1599" s="2" t="s">
        <v>1986</v>
      </c>
      <c r="O1599" s="2" t="s">
        <v>56</v>
      </c>
      <c r="P1599" s="2" t="s">
        <v>231</v>
      </c>
      <c r="Q1599" s="2" t="s">
        <v>152</v>
      </c>
      <c r="R1599" s="2" t="s">
        <v>128</v>
      </c>
      <c r="S1599" s="2" t="s">
        <v>383</v>
      </c>
      <c r="T1599" s="10">
        <v>46.4</v>
      </c>
      <c r="U1599" s="11">
        <v>1</v>
      </c>
      <c r="V1599" s="12">
        <f>T1599*U1599</f>
        <v>46.4</v>
      </c>
      <c r="W1599" s="13">
        <v>0</v>
      </c>
      <c r="X1599" s="12">
        <f>V1599-(V1599/(1+W1599))</f>
        <v>0</v>
      </c>
      <c r="Y1599" s="12">
        <f>V1599-X1599</f>
        <v>46.4</v>
      </c>
      <c r="Z1599" s="14">
        <v>75</v>
      </c>
      <c r="AA1599" s="2" t="str">
        <f>IF(V1599&gt;Z1599,"Yes","No")</f>
        <v>No</v>
      </c>
      <c r="AB1599" s="12">
        <f>V1599-Z1599</f>
        <v>-28.6</v>
      </c>
      <c r="AC1599" s="15" t="s">
        <v>130</v>
      </c>
      <c r="AD1599" s="15" t="s">
        <v>131</v>
      </c>
      <c r="AE1599" s="15" t="s">
        <v>858</v>
      </c>
      <c r="AF1599" s="12">
        <f>IF(AG1599="Rejected",0,IF(R1599="Corporate Card",0,V1599))</f>
        <v>0</v>
      </c>
      <c r="AG1599" s="15" t="s">
        <v>133</v>
      </c>
      <c r="AH1599" s="16">
        <v>45859</v>
      </c>
      <c r="AI1599" s="16">
        <v>45866</v>
      </c>
      <c r="AJ1599" s="16">
        <v>45875</v>
      </c>
      <c r="AK1599" s="17">
        <f>IF(AJ1599="","",AJ1599-AH1599)</f>
        <v>16</v>
      </c>
    </row>
    <row r="1600" spans="1:37">
      <c r="A1600" s="2" t="s">
        <v>2042</v>
      </c>
      <c r="B1600" s="2" t="s">
        <v>116</v>
      </c>
      <c r="C1600" s="2" t="s">
        <v>117</v>
      </c>
      <c r="D1600" s="2" t="s">
        <v>118</v>
      </c>
      <c r="E1600" s="2" t="s">
        <v>119</v>
      </c>
      <c r="F1600" s="2" t="s">
        <v>120</v>
      </c>
      <c r="G1600" s="2" t="s">
        <v>2039</v>
      </c>
      <c r="H1600" s="2" t="s">
        <v>803</v>
      </c>
      <c r="I1600" s="2" t="s">
        <v>418</v>
      </c>
      <c r="J1600" s="2" t="s">
        <v>381</v>
      </c>
      <c r="K1600" s="9">
        <v>45844</v>
      </c>
      <c r="L1600" s="9">
        <v>45847</v>
      </c>
      <c r="M1600" s="9">
        <v>45844</v>
      </c>
      <c r="N1600" s="2" t="s">
        <v>1986</v>
      </c>
      <c r="O1600" s="2" t="s">
        <v>55</v>
      </c>
      <c r="P1600" s="2" t="s">
        <v>139</v>
      </c>
      <c r="Q1600" s="2" t="s">
        <v>161</v>
      </c>
      <c r="R1600" s="2" t="s">
        <v>137</v>
      </c>
      <c r="S1600" s="2" t="s">
        <v>383</v>
      </c>
      <c r="T1600" s="10">
        <v>16.420000000000002</v>
      </c>
      <c r="U1600" s="11">
        <v>1</v>
      </c>
      <c r="V1600" s="12">
        <f>T1600*U1600</f>
        <v>16.420000000000002</v>
      </c>
      <c r="W1600" s="13">
        <v>0</v>
      </c>
      <c r="X1600" s="12">
        <f>V1600-(V1600/(1+W1600))</f>
        <v>0</v>
      </c>
      <c r="Y1600" s="12">
        <f>V1600-X1600</f>
        <v>16.420000000000002</v>
      </c>
      <c r="Z1600" s="14">
        <v>35</v>
      </c>
      <c r="AA1600" s="2" t="str">
        <f>IF(V1600&gt;Z1600,"Yes","No")</f>
        <v>No</v>
      </c>
      <c r="AB1600" s="12">
        <f>V1600-Z1600</f>
        <v>-18.579999999999998</v>
      </c>
      <c r="AC1600" s="15" t="s">
        <v>130</v>
      </c>
      <c r="AD1600" s="15" t="s">
        <v>131</v>
      </c>
      <c r="AE1600" s="15" t="s">
        <v>858</v>
      </c>
      <c r="AF1600" s="12">
        <f>IF(AG1600="Rejected",0,IF(R1600="Corporate Card",0,V1600))</f>
        <v>16.420000000000002</v>
      </c>
      <c r="AG1600" s="15" t="s">
        <v>133</v>
      </c>
      <c r="AH1600" s="16">
        <v>45859</v>
      </c>
      <c r="AI1600" s="16">
        <v>45866</v>
      </c>
      <c r="AJ1600" s="16">
        <v>45875</v>
      </c>
      <c r="AK1600" s="17">
        <f>IF(AJ1600="","",AJ1600-AH1600)</f>
        <v>16</v>
      </c>
    </row>
    <row r="1601" spans="1:37">
      <c r="A1601" s="2" t="s">
        <v>2043</v>
      </c>
      <c r="B1601" s="2" t="s">
        <v>287</v>
      </c>
      <c r="C1601" s="2" t="s">
        <v>288</v>
      </c>
      <c r="D1601" s="2" t="s">
        <v>171</v>
      </c>
      <c r="E1601" s="2" t="s">
        <v>289</v>
      </c>
      <c r="F1601" s="2" t="s">
        <v>173</v>
      </c>
      <c r="G1601" s="2" t="s">
        <v>2026</v>
      </c>
      <c r="H1601" s="2" t="s">
        <v>448</v>
      </c>
      <c r="I1601" s="2" t="s">
        <v>194</v>
      </c>
      <c r="J1601" s="2" t="s">
        <v>195</v>
      </c>
      <c r="K1601" s="9">
        <v>45843</v>
      </c>
      <c r="L1601" s="9">
        <v>45851</v>
      </c>
      <c r="M1601" s="9">
        <v>45844</v>
      </c>
      <c r="N1601" s="2" t="s">
        <v>1986</v>
      </c>
      <c r="O1601" s="2" t="s">
        <v>58</v>
      </c>
      <c r="P1601" s="2" t="s">
        <v>142</v>
      </c>
      <c r="Q1601" s="2" t="s">
        <v>224</v>
      </c>
      <c r="R1601" s="2" t="s">
        <v>149</v>
      </c>
      <c r="S1601" s="2" t="s">
        <v>198</v>
      </c>
      <c r="T1601" s="10">
        <v>35.65</v>
      </c>
      <c r="U1601" s="11">
        <v>1.085</v>
      </c>
      <c r="V1601" s="12">
        <f>T1601*U1601</f>
        <v>38.680249999999994</v>
      </c>
      <c r="W1601" s="13">
        <v>0.19</v>
      </c>
      <c r="X1601" s="12">
        <f>V1601-(V1601/(1+W1601))</f>
        <v>6.1758382352941155</v>
      </c>
      <c r="Y1601" s="12">
        <f>V1601-X1601</f>
        <v>32.504411764705878</v>
      </c>
      <c r="Z1601" s="14">
        <v>60</v>
      </c>
      <c r="AA1601" s="2" t="str">
        <f>IF(V1601&gt;Z1601,"Yes","No")</f>
        <v>No</v>
      </c>
      <c r="AB1601" s="12">
        <f>V1601-Z1601</f>
        <v>-21.319750000000006</v>
      </c>
      <c r="AC1601" s="15" t="s">
        <v>130</v>
      </c>
      <c r="AD1601" s="15" t="s">
        <v>131</v>
      </c>
      <c r="AE1601" s="15" t="s">
        <v>180</v>
      </c>
      <c r="AF1601" s="12">
        <f>IF(AG1601="Rejected",0,IF(R1601="Corporate Card",0,V1601))</f>
        <v>38.680249999999994</v>
      </c>
      <c r="AG1601" s="15" t="s">
        <v>133</v>
      </c>
      <c r="AH1601" s="16">
        <v>45863</v>
      </c>
      <c r="AI1601" s="16">
        <v>45865</v>
      </c>
      <c r="AJ1601" s="16">
        <v>45870</v>
      </c>
      <c r="AK1601" s="17">
        <f>IF(AJ1601="","",AJ1601-AH1601)</f>
        <v>7</v>
      </c>
    </row>
    <row r="1602" spans="1:37">
      <c r="A1602" s="2" t="s">
        <v>2044</v>
      </c>
      <c r="B1602" s="2" t="s">
        <v>287</v>
      </c>
      <c r="C1602" s="2" t="s">
        <v>288</v>
      </c>
      <c r="D1602" s="2" t="s">
        <v>171</v>
      </c>
      <c r="E1602" s="2" t="s">
        <v>289</v>
      </c>
      <c r="F1602" s="2" t="s">
        <v>173</v>
      </c>
      <c r="G1602" s="2" t="s">
        <v>2026</v>
      </c>
      <c r="H1602" s="2" t="s">
        <v>448</v>
      </c>
      <c r="I1602" s="2" t="s">
        <v>194</v>
      </c>
      <c r="J1602" s="2" t="s">
        <v>195</v>
      </c>
      <c r="K1602" s="9">
        <v>45843</v>
      </c>
      <c r="L1602" s="9">
        <v>45851</v>
      </c>
      <c r="M1602" s="9">
        <v>45844</v>
      </c>
      <c r="N1602" s="2" t="s">
        <v>1986</v>
      </c>
      <c r="O1602" s="2" t="s">
        <v>53</v>
      </c>
      <c r="P1602" s="2" t="s">
        <v>669</v>
      </c>
      <c r="Q1602" s="2" t="s">
        <v>458</v>
      </c>
      <c r="R1602" s="2" t="s">
        <v>128</v>
      </c>
      <c r="S1602" s="2" t="s">
        <v>198</v>
      </c>
      <c r="T1602" s="10">
        <v>1140.77</v>
      </c>
      <c r="U1602" s="11">
        <v>1.085</v>
      </c>
      <c r="V1602" s="12">
        <f>T1602*U1602</f>
        <v>1237.7354499999999</v>
      </c>
      <c r="W1602" s="13">
        <v>0.19</v>
      </c>
      <c r="X1602" s="12">
        <f>V1602-(V1602/(1+W1602))</f>
        <v>197.62162647058813</v>
      </c>
      <c r="Y1602" s="12">
        <f>V1602-X1602</f>
        <v>1040.1138235294118</v>
      </c>
      <c r="Z1602" s="14">
        <v>2240</v>
      </c>
      <c r="AA1602" s="2" t="str">
        <f>IF(V1602&gt;Z1602,"Yes","No")</f>
        <v>No</v>
      </c>
      <c r="AB1602" s="12">
        <f>V1602-Z1602</f>
        <v>-1002.2645500000001</v>
      </c>
      <c r="AC1602" s="15" t="s">
        <v>130</v>
      </c>
      <c r="AD1602" s="15" t="s">
        <v>131</v>
      </c>
      <c r="AE1602" s="15" t="s">
        <v>180</v>
      </c>
      <c r="AF1602" s="12">
        <f>IF(AG1602="Rejected",0,IF(R1602="Corporate Card",0,V1602))</f>
        <v>0</v>
      </c>
      <c r="AG1602" s="15" t="s">
        <v>133</v>
      </c>
      <c r="AH1602" s="16">
        <v>45863</v>
      </c>
      <c r="AI1602" s="16">
        <v>45865</v>
      </c>
      <c r="AJ1602" s="16">
        <v>45870</v>
      </c>
      <c r="AK1602" s="17">
        <f>IF(AJ1602="","",AJ1602-AH1602)</f>
        <v>7</v>
      </c>
    </row>
    <row r="1603" spans="1:37">
      <c r="A1603" s="2" t="s">
        <v>2045</v>
      </c>
      <c r="B1603" s="2" t="s">
        <v>287</v>
      </c>
      <c r="C1603" s="2" t="s">
        <v>288</v>
      </c>
      <c r="D1603" s="2" t="s">
        <v>171</v>
      </c>
      <c r="E1603" s="2" t="s">
        <v>289</v>
      </c>
      <c r="F1603" s="2" t="s">
        <v>173</v>
      </c>
      <c r="G1603" s="2" t="s">
        <v>2026</v>
      </c>
      <c r="H1603" s="2" t="s">
        <v>448</v>
      </c>
      <c r="I1603" s="2" t="s">
        <v>194</v>
      </c>
      <c r="J1603" s="2" t="s">
        <v>195</v>
      </c>
      <c r="K1603" s="9">
        <v>45843</v>
      </c>
      <c r="L1603" s="9">
        <v>45851</v>
      </c>
      <c r="M1603" s="9">
        <v>45844</v>
      </c>
      <c r="N1603" s="2" t="s">
        <v>1986</v>
      </c>
      <c r="O1603" s="2" t="s">
        <v>56</v>
      </c>
      <c r="P1603" s="2" t="s">
        <v>165</v>
      </c>
      <c r="Q1603" s="2" t="s">
        <v>185</v>
      </c>
      <c r="R1603" s="2" t="s">
        <v>128</v>
      </c>
      <c r="S1603" s="2" t="s">
        <v>198</v>
      </c>
      <c r="T1603" s="10">
        <v>44.25</v>
      </c>
      <c r="U1603" s="11">
        <v>1.085</v>
      </c>
      <c r="V1603" s="12">
        <f>T1603*U1603</f>
        <v>48.011249999999997</v>
      </c>
      <c r="W1603" s="13">
        <v>0.19</v>
      </c>
      <c r="X1603" s="12">
        <f>V1603-(V1603/(1+W1603))</f>
        <v>7.6656617647058809</v>
      </c>
      <c r="Y1603" s="12">
        <f>V1603-X1603</f>
        <v>40.345588235294116</v>
      </c>
      <c r="Z1603" s="14">
        <v>75</v>
      </c>
      <c r="AA1603" s="2" t="str">
        <f>IF(V1603&gt;Z1603,"Yes","No")</f>
        <v>No</v>
      </c>
      <c r="AB1603" s="12">
        <f>V1603-Z1603</f>
        <v>-26.988750000000003</v>
      </c>
      <c r="AC1603" s="15" t="s">
        <v>130</v>
      </c>
      <c r="AD1603" s="15" t="s">
        <v>131</v>
      </c>
      <c r="AE1603" s="15" t="s">
        <v>180</v>
      </c>
      <c r="AF1603" s="12">
        <f>IF(AG1603="Rejected",0,IF(R1603="Corporate Card",0,V1603))</f>
        <v>0</v>
      </c>
      <c r="AG1603" s="15" t="s">
        <v>133</v>
      </c>
      <c r="AH1603" s="16">
        <v>45863</v>
      </c>
      <c r="AI1603" s="16">
        <v>45865</v>
      </c>
      <c r="AJ1603" s="16">
        <v>45870</v>
      </c>
      <c r="AK1603" s="17">
        <f>IF(AJ1603="","",AJ1603-AH1603)</f>
        <v>7</v>
      </c>
    </row>
    <row r="1604" spans="1:37">
      <c r="A1604" s="2" t="s">
        <v>2046</v>
      </c>
      <c r="B1604" s="2" t="s">
        <v>287</v>
      </c>
      <c r="C1604" s="2" t="s">
        <v>288</v>
      </c>
      <c r="D1604" s="2" t="s">
        <v>171</v>
      </c>
      <c r="E1604" s="2" t="s">
        <v>289</v>
      </c>
      <c r="F1604" s="2" t="s">
        <v>173</v>
      </c>
      <c r="G1604" s="2" t="s">
        <v>2026</v>
      </c>
      <c r="H1604" s="2" t="s">
        <v>448</v>
      </c>
      <c r="I1604" s="2" t="s">
        <v>194</v>
      </c>
      <c r="J1604" s="2" t="s">
        <v>195</v>
      </c>
      <c r="K1604" s="9">
        <v>45843</v>
      </c>
      <c r="L1604" s="9">
        <v>45851</v>
      </c>
      <c r="M1604" s="9">
        <v>45844</v>
      </c>
      <c r="N1604" s="2" t="s">
        <v>1986</v>
      </c>
      <c r="O1604" s="2" t="s">
        <v>55</v>
      </c>
      <c r="P1604" s="2" t="s">
        <v>139</v>
      </c>
      <c r="Q1604" s="2" t="s">
        <v>217</v>
      </c>
      <c r="R1604" s="2" t="s">
        <v>149</v>
      </c>
      <c r="S1604" s="2" t="s">
        <v>198</v>
      </c>
      <c r="T1604" s="10">
        <v>12.84</v>
      </c>
      <c r="U1604" s="11">
        <v>1.085</v>
      </c>
      <c r="V1604" s="12">
        <f>T1604*U1604</f>
        <v>13.9314</v>
      </c>
      <c r="W1604" s="13">
        <v>0.19</v>
      </c>
      <c r="X1604" s="12">
        <f>V1604-(V1604/(1+W1604))</f>
        <v>2.2243411764705883</v>
      </c>
      <c r="Y1604" s="12">
        <f>V1604-X1604</f>
        <v>11.707058823529412</v>
      </c>
      <c r="Z1604" s="14">
        <v>35</v>
      </c>
      <c r="AA1604" s="2" t="str">
        <f>IF(V1604&gt;Z1604,"Yes","No")</f>
        <v>No</v>
      </c>
      <c r="AB1604" s="12">
        <f>V1604-Z1604</f>
        <v>-21.0686</v>
      </c>
      <c r="AC1604" s="15" t="s">
        <v>130</v>
      </c>
      <c r="AD1604" s="15" t="s">
        <v>131</v>
      </c>
      <c r="AE1604" s="15" t="s">
        <v>180</v>
      </c>
      <c r="AF1604" s="12">
        <f>IF(AG1604="Rejected",0,IF(R1604="Corporate Card",0,V1604))</f>
        <v>13.9314</v>
      </c>
      <c r="AG1604" s="15" t="s">
        <v>133</v>
      </c>
      <c r="AH1604" s="16">
        <v>45863</v>
      </c>
      <c r="AI1604" s="16">
        <v>45865</v>
      </c>
      <c r="AJ1604" s="16">
        <v>45870</v>
      </c>
      <c r="AK1604" s="17">
        <f>IF(AJ1604="","",AJ1604-AH1604)</f>
        <v>7</v>
      </c>
    </row>
    <row r="1605" spans="1:37">
      <c r="A1605" s="2" t="s">
        <v>2047</v>
      </c>
      <c r="B1605" s="2" t="s">
        <v>616</v>
      </c>
      <c r="C1605" s="2" t="s">
        <v>252</v>
      </c>
      <c r="D1605" s="2" t="s">
        <v>250</v>
      </c>
      <c r="E1605" s="2" t="s">
        <v>617</v>
      </c>
      <c r="F1605" s="2" t="s">
        <v>510</v>
      </c>
      <c r="G1605" s="2" t="s">
        <v>2018</v>
      </c>
      <c r="H1605" s="2" t="s">
        <v>193</v>
      </c>
      <c r="I1605" s="2" t="s">
        <v>315</v>
      </c>
      <c r="J1605" s="2" t="s">
        <v>316</v>
      </c>
      <c r="K1605" s="9">
        <v>45843</v>
      </c>
      <c r="L1605" s="9">
        <v>45846</v>
      </c>
      <c r="M1605" s="9">
        <v>45845</v>
      </c>
      <c r="N1605" s="2" t="s">
        <v>1986</v>
      </c>
      <c r="O1605" s="2" t="s">
        <v>57</v>
      </c>
      <c r="P1605" s="2" t="s">
        <v>398</v>
      </c>
      <c r="Q1605" s="2" t="s">
        <v>495</v>
      </c>
      <c r="R1605" s="2" t="s">
        <v>149</v>
      </c>
      <c r="S1605" s="2" t="s">
        <v>318</v>
      </c>
      <c r="T1605" s="10">
        <v>717.73</v>
      </c>
      <c r="U1605" s="11">
        <v>0.27229999999999999</v>
      </c>
      <c r="V1605" s="12">
        <f>T1605*U1605</f>
        <v>195.43787900000001</v>
      </c>
      <c r="W1605" s="13">
        <v>0.05</v>
      </c>
      <c r="X1605" s="12">
        <f>V1605-(V1605/(1+W1605))</f>
        <v>9.3065656666666712</v>
      </c>
      <c r="Y1605" s="12">
        <f>V1605-X1605</f>
        <v>186.13131333333334</v>
      </c>
      <c r="Z1605" s="14">
        <v>200</v>
      </c>
      <c r="AA1605" s="2" t="str">
        <f>IF(V1605&gt;Z1605,"Yes","No")</f>
        <v>No</v>
      </c>
      <c r="AB1605" s="12">
        <f>V1605-Z1605</f>
        <v>-4.5621209999999905</v>
      </c>
      <c r="AC1605" s="15" t="s">
        <v>130</v>
      </c>
      <c r="AD1605" s="15" t="s">
        <v>130</v>
      </c>
      <c r="AE1605" s="15" t="s">
        <v>858</v>
      </c>
      <c r="AF1605" s="12">
        <f>IF(AG1605="Rejected",0,IF(R1605="Corporate Card",0,V1605))</f>
        <v>195.43787900000001</v>
      </c>
      <c r="AG1605" s="15" t="s">
        <v>133</v>
      </c>
      <c r="AH1605" s="16">
        <v>45851</v>
      </c>
      <c r="AI1605" s="16">
        <v>45858</v>
      </c>
      <c r="AJ1605" s="16">
        <v>45866</v>
      </c>
      <c r="AK1605" s="17">
        <f>IF(AJ1605="","",AJ1605-AH1605)</f>
        <v>15</v>
      </c>
    </row>
    <row r="1606" spans="1:37">
      <c r="A1606" s="2" t="s">
        <v>2048</v>
      </c>
      <c r="B1606" s="2" t="s">
        <v>616</v>
      </c>
      <c r="C1606" s="2" t="s">
        <v>252</v>
      </c>
      <c r="D1606" s="2" t="s">
        <v>250</v>
      </c>
      <c r="E1606" s="2" t="s">
        <v>617</v>
      </c>
      <c r="F1606" s="2" t="s">
        <v>510</v>
      </c>
      <c r="G1606" s="2" t="s">
        <v>2018</v>
      </c>
      <c r="H1606" s="2" t="s">
        <v>193</v>
      </c>
      <c r="I1606" s="2" t="s">
        <v>315</v>
      </c>
      <c r="J1606" s="2" t="s">
        <v>316</v>
      </c>
      <c r="K1606" s="9">
        <v>45843</v>
      </c>
      <c r="L1606" s="9">
        <v>45846</v>
      </c>
      <c r="M1606" s="9">
        <v>45845</v>
      </c>
      <c r="N1606" s="2" t="s">
        <v>1986</v>
      </c>
      <c r="O1606" s="2" t="s">
        <v>54</v>
      </c>
      <c r="P1606" s="2" t="s">
        <v>139</v>
      </c>
      <c r="Q1606" s="2" t="s">
        <v>148</v>
      </c>
      <c r="R1606" s="2" t="s">
        <v>128</v>
      </c>
      <c r="S1606" s="2" t="s">
        <v>318</v>
      </c>
      <c r="T1606" s="10">
        <v>111.65</v>
      </c>
      <c r="U1606" s="11">
        <v>0.27229999999999999</v>
      </c>
      <c r="V1606" s="12">
        <f>T1606*U1606</f>
        <v>30.402294999999999</v>
      </c>
      <c r="W1606" s="13">
        <v>0.05</v>
      </c>
      <c r="X1606" s="12">
        <f>V1606-(V1606/(1+W1606))</f>
        <v>1.4477283333333339</v>
      </c>
      <c r="Y1606" s="12">
        <f>V1606-X1606</f>
        <v>28.954566666666665</v>
      </c>
      <c r="Z1606" s="14">
        <v>25</v>
      </c>
      <c r="AA1606" s="2" t="str">
        <f>IF(V1606&gt;Z1606,"Yes","No")</f>
        <v>Yes</v>
      </c>
      <c r="AB1606" s="12">
        <f>V1606-Z1606</f>
        <v>5.4022949999999987</v>
      </c>
      <c r="AC1606" s="15" t="s">
        <v>130</v>
      </c>
      <c r="AD1606" s="15" t="s">
        <v>130</v>
      </c>
      <c r="AE1606" s="15" t="s">
        <v>858</v>
      </c>
      <c r="AF1606" s="12">
        <f>IF(AG1606="Rejected",0,IF(R1606="Corporate Card",0,V1606))</f>
        <v>0</v>
      </c>
      <c r="AG1606" s="15" t="s">
        <v>133</v>
      </c>
      <c r="AH1606" s="16">
        <v>45851</v>
      </c>
      <c r="AI1606" s="16">
        <v>45858</v>
      </c>
      <c r="AJ1606" s="16">
        <v>45866</v>
      </c>
      <c r="AK1606" s="17">
        <f>IF(AJ1606="","",AJ1606-AH1606)</f>
        <v>15</v>
      </c>
    </row>
    <row r="1607" spans="1:37">
      <c r="A1607" s="2" t="s">
        <v>2049</v>
      </c>
      <c r="B1607" s="2" t="s">
        <v>616</v>
      </c>
      <c r="C1607" s="2" t="s">
        <v>252</v>
      </c>
      <c r="D1607" s="2" t="s">
        <v>250</v>
      </c>
      <c r="E1607" s="2" t="s">
        <v>617</v>
      </c>
      <c r="F1607" s="2" t="s">
        <v>510</v>
      </c>
      <c r="G1607" s="2" t="s">
        <v>2018</v>
      </c>
      <c r="H1607" s="2" t="s">
        <v>193</v>
      </c>
      <c r="I1607" s="2" t="s">
        <v>315</v>
      </c>
      <c r="J1607" s="2" t="s">
        <v>316</v>
      </c>
      <c r="K1607" s="9">
        <v>45843</v>
      </c>
      <c r="L1607" s="9">
        <v>45846</v>
      </c>
      <c r="M1607" s="9">
        <v>45845</v>
      </c>
      <c r="N1607" s="2" t="s">
        <v>1986</v>
      </c>
      <c r="O1607" s="2" t="s">
        <v>56</v>
      </c>
      <c r="P1607" s="2" t="s">
        <v>165</v>
      </c>
      <c r="Q1607" s="2" t="s">
        <v>227</v>
      </c>
      <c r="R1607" s="2" t="s">
        <v>149</v>
      </c>
      <c r="S1607" s="2" t="s">
        <v>318</v>
      </c>
      <c r="T1607" s="10">
        <v>101.21</v>
      </c>
      <c r="U1607" s="11">
        <v>0.27229999999999999</v>
      </c>
      <c r="V1607" s="12">
        <f>T1607*U1607</f>
        <v>27.559482999999997</v>
      </c>
      <c r="W1607" s="13">
        <v>0.05</v>
      </c>
      <c r="X1607" s="12">
        <f>V1607-(V1607/(1+W1607))</f>
        <v>1.3123563333333337</v>
      </c>
      <c r="Y1607" s="12">
        <f>V1607-X1607</f>
        <v>26.247126666666663</v>
      </c>
      <c r="Z1607" s="14">
        <v>75</v>
      </c>
      <c r="AA1607" s="2" t="str">
        <f>IF(V1607&gt;Z1607,"Yes","No")</f>
        <v>No</v>
      </c>
      <c r="AB1607" s="12">
        <f>V1607-Z1607</f>
        <v>-47.440517</v>
      </c>
      <c r="AC1607" s="15" t="s">
        <v>130</v>
      </c>
      <c r="AD1607" s="15" t="s">
        <v>130</v>
      </c>
      <c r="AE1607" s="15" t="s">
        <v>858</v>
      </c>
      <c r="AF1607" s="12">
        <f>IF(AG1607="Rejected",0,IF(R1607="Corporate Card",0,V1607))</f>
        <v>27.559482999999997</v>
      </c>
      <c r="AG1607" s="15" t="s">
        <v>133</v>
      </c>
      <c r="AH1607" s="16">
        <v>45851</v>
      </c>
      <c r="AI1607" s="16">
        <v>45858</v>
      </c>
      <c r="AJ1607" s="16">
        <v>45866</v>
      </c>
      <c r="AK1607" s="17">
        <f>IF(AJ1607="","",AJ1607-AH1607)</f>
        <v>15</v>
      </c>
    </row>
    <row r="1608" spans="1:37">
      <c r="A1608" s="2" t="s">
        <v>2050</v>
      </c>
      <c r="B1608" s="2" t="s">
        <v>616</v>
      </c>
      <c r="C1608" s="2" t="s">
        <v>252</v>
      </c>
      <c r="D1608" s="2" t="s">
        <v>250</v>
      </c>
      <c r="E1608" s="2" t="s">
        <v>617</v>
      </c>
      <c r="F1608" s="2" t="s">
        <v>510</v>
      </c>
      <c r="G1608" s="2" t="s">
        <v>2018</v>
      </c>
      <c r="H1608" s="2" t="s">
        <v>193</v>
      </c>
      <c r="I1608" s="2" t="s">
        <v>315</v>
      </c>
      <c r="J1608" s="2" t="s">
        <v>316</v>
      </c>
      <c r="K1608" s="9">
        <v>45843</v>
      </c>
      <c r="L1608" s="9">
        <v>45846</v>
      </c>
      <c r="M1608" s="9">
        <v>45845</v>
      </c>
      <c r="N1608" s="2" t="s">
        <v>1986</v>
      </c>
      <c r="O1608" s="2" t="s">
        <v>55</v>
      </c>
      <c r="P1608" s="2" t="s">
        <v>139</v>
      </c>
      <c r="Q1608" s="2" t="s">
        <v>217</v>
      </c>
      <c r="R1608" s="2" t="s">
        <v>128</v>
      </c>
      <c r="S1608" s="2" t="s">
        <v>318</v>
      </c>
      <c r="T1608" s="10">
        <v>125.1</v>
      </c>
      <c r="U1608" s="11">
        <v>0.27229999999999999</v>
      </c>
      <c r="V1608" s="12">
        <f>T1608*U1608</f>
        <v>34.064729999999997</v>
      </c>
      <c r="W1608" s="13">
        <v>0.05</v>
      </c>
      <c r="X1608" s="12">
        <f>V1608-(V1608/(1+W1608))</f>
        <v>1.6221299999999985</v>
      </c>
      <c r="Y1608" s="12">
        <f>V1608-X1608</f>
        <v>32.442599999999999</v>
      </c>
      <c r="Z1608" s="14">
        <v>35</v>
      </c>
      <c r="AA1608" s="2" t="str">
        <f>IF(V1608&gt;Z1608,"Yes","No")</f>
        <v>No</v>
      </c>
      <c r="AB1608" s="12">
        <f>V1608-Z1608</f>
        <v>-0.93527000000000271</v>
      </c>
      <c r="AC1608" s="15" t="s">
        <v>130</v>
      </c>
      <c r="AD1608" s="15" t="s">
        <v>130</v>
      </c>
      <c r="AE1608" s="15" t="s">
        <v>858</v>
      </c>
      <c r="AF1608" s="12">
        <f>IF(AG1608="Rejected",0,IF(R1608="Corporate Card",0,V1608))</f>
        <v>0</v>
      </c>
      <c r="AG1608" s="15" t="s">
        <v>133</v>
      </c>
      <c r="AH1608" s="16">
        <v>45851</v>
      </c>
      <c r="AI1608" s="16">
        <v>45858</v>
      </c>
      <c r="AJ1608" s="16">
        <v>45866</v>
      </c>
      <c r="AK1608" s="17">
        <f>IF(AJ1608="","",AJ1608-AH1608)</f>
        <v>15</v>
      </c>
    </row>
    <row r="1609" spans="1:37">
      <c r="A1609" s="2" t="s">
        <v>2051</v>
      </c>
      <c r="B1609" s="2" t="s">
        <v>116</v>
      </c>
      <c r="C1609" s="2" t="s">
        <v>117</v>
      </c>
      <c r="D1609" s="2" t="s">
        <v>118</v>
      </c>
      <c r="E1609" s="2" t="s">
        <v>119</v>
      </c>
      <c r="F1609" s="2" t="s">
        <v>120</v>
      </c>
      <c r="G1609" s="2" t="s">
        <v>2039</v>
      </c>
      <c r="H1609" s="2" t="s">
        <v>803</v>
      </c>
      <c r="I1609" s="2" t="s">
        <v>418</v>
      </c>
      <c r="J1609" s="2" t="s">
        <v>381</v>
      </c>
      <c r="K1609" s="9">
        <v>45844</v>
      </c>
      <c r="L1609" s="9">
        <v>45847</v>
      </c>
      <c r="M1609" s="9">
        <v>45845</v>
      </c>
      <c r="N1609" s="2" t="s">
        <v>1986</v>
      </c>
      <c r="O1609" s="2" t="s">
        <v>60</v>
      </c>
      <c r="P1609" s="2" t="s">
        <v>1567</v>
      </c>
      <c r="Q1609" s="2" t="s">
        <v>503</v>
      </c>
      <c r="R1609" s="2" t="s">
        <v>149</v>
      </c>
      <c r="S1609" s="2" t="s">
        <v>383</v>
      </c>
      <c r="T1609" s="10">
        <v>475.89</v>
      </c>
      <c r="U1609" s="11">
        <v>1</v>
      </c>
      <c r="V1609" s="12">
        <f>T1609*U1609</f>
        <v>475.89</v>
      </c>
      <c r="W1609" s="13">
        <v>0</v>
      </c>
      <c r="X1609" s="12">
        <f>V1609-(V1609/(1+W1609))</f>
        <v>0</v>
      </c>
      <c r="Y1609" s="12">
        <f>V1609-X1609</f>
        <v>475.89</v>
      </c>
      <c r="Z1609" s="14">
        <v>360</v>
      </c>
      <c r="AA1609" s="2" t="str">
        <f>IF(V1609&gt;Z1609,"Yes","No")</f>
        <v>Yes</v>
      </c>
      <c r="AB1609" s="12">
        <f>V1609-Z1609</f>
        <v>115.88999999999999</v>
      </c>
      <c r="AC1609" s="15" t="s">
        <v>130</v>
      </c>
      <c r="AD1609" s="15" t="s">
        <v>131</v>
      </c>
      <c r="AE1609" s="15" t="s">
        <v>858</v>
      </c>
      <c r="AF1609" s="12">
        <f>IF(AG1609="Rejected",0,IF(R1609="Corporate Card",0,V1609))</f>
        <v>475.89</v>
      </c>
      <c r="AG1609" s="15" t="s">
        <v>133</v>
      </c>
      <c r="AH1609" s="16">
        <v>45859</v>
      </c>
      <c r="AI1609" s="16">
        <v>45866</v>
      </c>
      <c r="AJ1609" s="16">
        <v>45875</v>
      </c>
      <c r="AK1609" s="17">
        <f>IF(AJ1609="","",AJ1609-AH1609)</f>
        <v>16</v>
      </c>
    </row>
    <row r="1610" spans="1:37">
      <c r="A1610" s="2" t="s">
        <v>2052</v>
      </c>
      <c r="B1610" s="2" t="s">
        <v>116</v>
      </c>
      <c r="C1610" s="2" t="s">
        <v>117</v>
      </c>
      <c r="D1610" s="2" t="s">
        <v>118</v>
      </c>
      <c r="E1610" s="2" t="s">
        <v>119</v>
      </c>
      <c r="F1610" s="2" t="s">
        <v>120</v>
      </c>
      <c r="G1610" s="2" t="s">
        <v>2039</v>
      </c>
      <c r="H1610" s="2" t="s">
        <v>803</v>
      </c>
      <c r="I1610" s="2" t="s">
        <v>418</v>
      </c>
      <c r="J1610" s="2" t="s">
        <v>381</v>
      </c>
      <c r="K1610" s="9">
        <v>45844</v>
      </c>
      <c r="L1610" s="9">
        <v>45847</v>
      </c>
      <c r="M1610" s="9">
        <v>45845</v>
      </c>
      <c r="N1610" s="2" t="s">
        <v>1986</v>
      </c>
      <c r="O1610" s="2" t="s">
        <v>58</v>
      </c>
      <c r="P1610" s="2" t="s">
        <v>142</v>
      </c>
      <c r="Q1610" s="2" t="s">
        <v>224</v>
      </c>
      <c r="R1610" s="2" t="s">
        <v>128</v>
      </c>
      <c r="S1610" s="2" t="s">
        <v>383</v>
      </c>
      <c r="T1610" s="10">
        <v>37.130000000000003</v>
      </c>
      <c r="U1610" s="11">
        <v>1</v>
      </c>
      <c r="V1610" s="12">
        <f>T1610*U1610</f>
        <v>37.130000000000003</v>
      </c>
      <c r="W1610" s="13">
        <v>0</v>
      </c>
      <c r="X1610" s="12">
        <f>V1610-(V1610/(1+W1610))</f>
        <v>0</v>
      </c>
      <c r="Y1610" s="12">
        <f>V1610-X1610</f>
        <v>37.130000000000003</v>
      </c>
      <c r="Z1610" s="14">
        <v>60</v>
      </c>
      <c r="AA1610" s="2" t="str">
        <f>IF(V1610&gt;Z1610,"Yes","No")</f>
        <v>No</v>
      </c>
      <c r="AB1610" s="12">
        <f>V1610-Z1610</f>
        <v>-22.869999999999997</v>
      </c>
      <c r="AC1610" s="15" t="s">
        <v>130</v>
      </c>
      <c r="AD1610" s="15" t="s">
        <v>131</v>
      </c>
      <c r="AE1610" s="15" t="s">
        <v>858</v>
      </c>
      <c r="AF1610" s="12">
        <f>IF(AG1610="Rejected",0,IF(R1610="Corporate Card",0,V1610))</f>
        <v>0</v>
      </c>
      <c r="AG1610" s="15" t="s">
        <v>133</v>
      </c>
      <c r="AH1610" s="16">
        <v>45859</v>
      </c>
      <c r="AI1610" s="16">
        <v>45866</v>
      </c>
      <c r="AJ1610" s="16">
        <v>45875</v>
      </c>
      <c r="AK1610" s="17">
        <f>IF(AJ1610="","",AJ1610-AH1610)</f>
        <v>16</v>
      </c>
    </row>
    <row r="1611" spans="1:37">
      <c r="A1611" s="2" t="s">
        <v>2053</v>
      </c>
      <c r="B1611" s="2" t="s">
        <v>116</v>
      </c>
      <c r="C1611" s="2" t="s">
        <v>117</v>
      </c>
      <c r="D1611" s="2" t="s">
        <v>118</v>
      </c>
      <c r="E1611" s="2" t="s">
        <v>119</v>
      </c>
      <c r="F1611" s="2" t="s">
        <v>120</v>
      </c>
      <c r="G1611" s="2" t="s">
        <v>2039</v>
      </c>
      <c r="H1611" s="2" t="s">
        <v>803</v>
      </c>
      <c r="I1611" s="2" t="s">
        <v>418</v>
      </c>
      <c r="J1611" s="2" t="s">
        <v>381</v>
      </c>
      <c r="K1611" s="9">
        <v>45844</v>
      </c>
      <c r="L1611" s="9">
        <v>45847</v>
      </c>
      <c r="M1611" s="9">
        <v>45845</v>
      </c>
      <c r="N1611" s="2" t="s">
        <v>1986</v>
      </c>
      <c r="O1611" s="2" t="s">
        <v>53</v>
      </c>
      <c r="P1611" s="2" t="s">
        <v>145</v>
      </c>
      <c r="Q1611" s="2" t="s">
        <v>468</v>
      </c>
      <c r="R1611" s="2" t="s">
        <v>128</v>
      </c>
      <c r="S1611" s="2" t="s">
        <v>383</v>
      </c>
      <c r="T1611" s="10">
        <v>1097.3</v>
      </c>
      <c r="U1611" s="11">
        <v>1</v>
      </c>
      <c r="V1611" s="12">
        <f>T1611*U1611</f>
        <v>1097.3</v>
      </c>
      <c r="W1611" s="13">
        <v>0</v>
      </c>
      <c r="X1611" s="12">
        <f>V1611-(V1611/(1+W1611))</f>
        <v>0</v>
      </c>
      <c r="Y1611" s="12">
        <f>V1611-X1611</f>
        <v>1097.3</v>
      </c>
      <c r="Z1611" s="14">
        <v>840</v>
      </c>
      <c r="AA1611" s="2" t="str">
        <f>IF(V1611&gt;Z1611,"Yes","No")</f>
        <v>Yes</v>
      </c>
      <c r="AB1611" s="12">
        <f>V1611-Z1611</f>
        <v>257.29999999999995</v>
      </c>
      <c r="AC1611" s="15" t="s">
        <v>130</v>
      </c>
      <c r="AD1611" s="15" t="s">
        <v>131</v>
      </c>
      <c r="AE1611" s="15" t="s">
        <v>858</v>
      </c>
      <c r="AF1611" s="12">
        <f>IF(AG1611="Rejected",0,IF(R1611="Corporate Card",0,V1611))</f>
        <v>0</v>
      </c>
      <c r="AG1611" s="15" t="s">
        <v>133</v>
      </c>
      <c r="AH1611" s="16">
        <v>45859</v>
      </c>
      <c r="AI1611" s="16">
        <v>45866</v>
      </c>
      <c r="AJ1611" s="16">
        <v>45875</v>
      </c>
      <c r="AK1611" s="17">
        <f>IF(AJ1611="","",AJ1611-AH1611)</f>
        <v>16</v>
      </c>
    </row>
    <row r="1612" spans="1:37">
      <c r="A1612" s="2" t="s">
        <v>2054</v>
      </c>
      <c r="B1612" s="2" t="s">
        <v>116</v>
      </c>
      <c r="C1612" s="2" t="s">
        <v>117</v>
      </c>
      <c r="D1612" s="2" t="s">
        <v>118</v>
      </c>
      <c r="E1612" s="2" t="s">
        <v>119</v>
      </c>
      <c r="F1612" s="2" t="s">
        <v>120</v>
      </c>
      <c r="G1612" s="2" t="s">
        <v>2039</v>
      </c>
      <c r="H1612" s="2" t="s">
        <v>803</v>
      </c>
      <c r="I1612" s="2" t="s">
        <v>418</v>
      </c>
      <c r="J1612" s="2" t="s">
        <v>381</v>
      </c>
      <c r="K1612" s="9">
        <v>45844</v>
      </c>
      <c r="L1612" s="9">
        <v>45847</v>
      </c>
      <c r="M1612" s="9">
        <v>45845</v>
      </c>
      <c r="N1612" s="2" t="s">
        <v>1986</v>
      </c>
      <c r="O1612" s="2" t="s">
        <v>54</v>
      </c>
      <c r="P1612" s="2" t="s">
        <v>139</v>
      </c>
      <c r="Q1612" s="2" t="s">
        <v>163</v>
      </c>
      <c r="R1612" s="2" t="s">
        <v>128</v>
      </c>
      <c r="S1612" s="2" t="s">
        <v>383</v>
      </c>
      <c r="T1612" s="10">
        <v>13.04</v>
      </c>
      <c r="U1612" s="11">
        <v>1</v>
      </c>
      <c r="V1612" s="12">
        <f>T1612*U1612</f>
        <v>13.04</v>
      </c>
      <c r="W1612" s="13">
        <v>0</v>
      </c>
      <c r="X1612" s="12">
        <f>V1612-(V1612/(1+W1612))</f>
        <v>0</v>
      </c>
      <c r="Y1612" s="12">
        <f>V1612-X1612</f>
        <v>13.04</v>
      </c>
      <c r="Z1612" s="14">
        <v>25</v>
      </c>
      <c r="AA1612" s="2" t="str">
        <f>IF(V1612&gt;Z1612,"Yes","No")</f>
        <v>No</v>
      </c>
      <c r="AB1612" s="12">
        <f>V1612-Z1612</f>
        <v>-11.96</v>
      </c>
      <c r="AC1612" s="15" t="s">
        <v>130</v>
      </c>
      <c r="AD1612" s="15" t="s">
        <v>131</v>
      </c>
      <c r="AE1612" s="15" t="s">
        <v>858</v>
      </c>
      <c r="AF1612" s="12">
        <f>IF(AG1612="Rejected",0,IF(R1612="Corporate Card",0,V1612))</f>
        <v>0</v>
      </c>
      <c r="AG1612" s="15" t="s">
        <v>133</v>
      </c>
      <c r="AH1612" s="16">
        <v>45859</v>
      </c>
      <c r="AI1612" s="16">
        <v>45866</v>
      </c>
      <c r="AJ1612" s="16">
        <v>45875</v>
      </c>
      <c r="AK1612" s="17">
        <f>IF(AJ1612="","",AJ1612-AH1612)</f>
        <v>16</v>
      </c>
    </row>
    <row r="1613" spans="1:37">
      <c r="A1613" s="2" t="s">
        <v>2055</v>
      </c>
      <c r="B1613" s="2" t="s">
        <v>116</v>
      </c>
      <c r="C1613" s="2" t="s">
        <v>117</v>
      </c>
      <c r="D1613" s="2" t="s">
        <v>118</v>
      </c>
      <c r="E1613" s="2" t="s">
        <v>119</v>
      </c>
      <c r="F1613" s="2" t="s">
        <v>120</v>
      </c>
      <c r="G1613" s="2" t="s">
        <v>2039</v>
      </c>
      <c r="H1613" s="2" t="s">
        <v>803</v>
      </c>
      <c r="I1613" s="2" t="s">
        <v>418</v>
      </c>
      <c r="J1613" s="2" t="s">
        <v>381</v>
      </c>
      <c r="K1613" s="9">
        <v>45844</v>
      </c>
      <c r="L1613" s="9">
        <v>45847</v>
      </c>
      <c r="M1613" s="9">
        <v>45845</v>
      </c>
      <c r="N1613" s="2" t="s">
        <v>1986</v>
      </c>
      <c r="O1613" s="2" t="s">
        <v>55</v>
      </c>
      <c r="P1613" s="2" t="s">
        <v>139</v>
      </c>
      <c r="Q1613" s="2" t="s">
        <v>161</v>
      </c>
      <c r="R1613" s="2" t="s">
        <v>128</v>
      </c>
      <c r="S1613" s="2" t="s">
        <v>383</v>
      </c>
      <c r="T1613" s="10">
        <v>20.07</v>
      </c>
      <c r="U1613" s="11">
        <v>1</v>
      </c>
      <c r="V1613" s="12">
        <f>T1613*U1613</f>
        <v>20.07</v>
      </c>
      <c r="W1613" s="13">
        <v>0</v>
      </c>
      <c r="X1613" s="12">
        <f>V1613-(V1613/(1+W1613))</f>
        <v>0</v>
      </c>
      <c r="Y1613" s="12">
        <f>V1613-X1613</f>
        <v>20.07</v>
      </c>
      <c r="Z1613" s="14">
        <v>35</v>
      </c>
      <c r="AA1613" s="2" t="str">
        <f>IF(V1613&gt;Z1613,"Yes","No")</f>
        <v>No</v>
      </c>
      <c r="AB1613" s="12">
        <f>V1613-Z1613</f>
        <v>-14.93</v>
      </c>
      <c r="AC1613" s="15" t="s">
        <v>130</v>
      </c>
      <c r="AD1613" s="15" t="s">
        <v>131</v>
      </c>
      <c r="AE1613" s="15" t="s">
        <v>858</v>
      </c>
      <c r="AF1613" s="12">
        <f>IF(AG1613="Rejected",0,IF(R1613="Corporate Card",0,V1613))</f>
        <v>0</v>
      </c>
      <c r="AG1613" s="15" t="s">
        <v>133</v>
      </c>
      <c r="AH1613" s="16">
        <v>45859</v>
      </c>
      <c r="AI1613" s="16">
        <v>45866</v>
      </c>
      <c r="AJ1613" s="16">
        <v>45875</v>
      </c>
      <c r="AK1613" s="17">
        <f>IF(AJ1613="","",AJ1613-AH1613)</f>
        <v>16</v>
      </c>
    </row>
    <row r="1614" spans="1:37">
      <c r="A1614" s="2" t="s">
        <v>2056</v>
      </c>
      <c r="B1614" s="2" t="s">
        <v>287</v>
      </c>
      <c r="C1614" s="2" t="s">
        <v>288</v>
      </c>
      <c r="D1614" s="2" t="s">
        <v>171</v>
      </c>
      <c r="E1614" s="2" t="s">
        <v>289</v>
      </c>
      <c r="F1614" s="2" t="s">
        <v>173</v>
      </c>
      <c r="G1614" s="2" t="s">
        <v>2057</v>
      </c>
      <c r="H1614" s="2" t="s">
        <v>254</v>
      </c>
      <c r="I1614" s="2" t="s">
        <v>1038</v>
      </c>
      <c r="J1614" s="2" t="s">
        <v>381</v>
      </c>
      <c r="K1614" s="9">
        <v>45845</v>
      </c>
      <c r="L1614" s="9">
        <v>45853</v>
      </c>
      <c r="M1614" s="9">
        <v>45845</v>
      </c>
      <c r="N1614" s="2" t="s">
        <v>1986</v>
      </c>
      <c r="O1614" s="2" t="s">
        <v>52</v>
      </c>
      <c r="P1614" s="2" t="s">
        <v>1039</v>
      </c>
      <c r="Q1614" s="2" t="s">
        <v>136</v>
      </c>
      <c r="R1614" s="2" t="s">
        <v>149</v>
      </c>
      <c r="S1614" s="2" t="s">
        <v>383</v>
      </c>
      <c r="T1614" s="10">
        <v>795.46</v>
      </c>
      <c r="U1614" s="11">
        <v>1</v>
      </c>
      <c r="V1614" s="12">
        <f>T1614*U1614</f>
        <v>795.46</v>
      </c>
      <c r="W1614" s="13">
        <v>0</v>
      </c>
      <c r="X1614" s="12">
        <f>V1614-(V1614/(1+W1614))</f>
        <v>0</v>
      </c>
      <c r="Y1614" s="12">
        <f>V1614-X1614</f>
        <v>795.46</v>
      </c>
      <c r="Z1614" s="14">
        <v>1400</v>
      </c>
      <c r="AA1614" s="2" t="str">
        <f>IF(V1614&gt;Z1614,"Yes","No")</f>
        <v>No</v>
      </c>
      <c r="AB1614" s="12">
        <f>V1614-Z1614</f>
        <v>-604.54</v>
      </c>
      <c r="AC1614" s="15" t="s">
        <v>130</v>
      </c>
      <c r="AD1614" s="15" t="s">
        <v>131</v>
      </c>
      <c r="AE1614" s="15" t="s">
        <v>260</v>
      </c>
      <c r="AF1614" s="12">
        <f>IF(AG1614="Rejected",0,IF(R1614="Corporate Card",0,V1614))</f>
        <v>795.46</v>
      </c>
      <c r="AG1614" s="15" t="s">
        <v>133</v>
      </c>
      <c r="AH1614" s="16">
        <v>45860</v>
      </c>
      <c r="AI1614" s="16">
        <v>45862</v>
      </c>
      <c r="AJ1614" s="16">
        <v>45876</v>
      </c>
      <c r="AK1614" s="17">
        <f>IF(AJ1614="","",AJ1614-AH1614)</f>
        <v>16</v>
      </c>
    </row>
    <row r="1615" spans="1:37">
      <c r="A1615" s="2" t="s">
        <v>2058</v>
      </c>
      <c r="B1615" s="2" t="s">
        <v>287</v>
      </c>
      <c r="C1615" s="2" t="s">
        <v>288</v>
      </c>
      <c r="D1615" s="2" t="s">
        <v>171</v>
      </c>
      <c r="E1615" s="2" t="s">
        <v>289</v>
      </c>
      <c r="F1615" s="2" t="s">
        <v>173</v>
      </c>
      <c r="G1615" s="2" t="s">
        <v>2057</v>
      </c>
      <c r="H1615" s="2" t="s">
        <v>254</v>
      </c>
      <c r="I1615" s="2" t="s">
        <v>1038</v>
      </c>
      <c r="J1615" s="2" t="s">
        <v>381</v>
      </c>
      <c r="K1615" s="9">
        <v>45845</v>
      </c>
      <c r="L1615" s="9">
        <v>45853</v>
      </c>
      <c r="M1615" s="9">
        <v>45845</v>
      </c>
      <c r="N1615" s="2" t="s">
        <v>1986</v>
      </c>
      <c r="O1615" s="2" t="s">
        <v>64</v>
      </c>
      <c r="P1615" s="2" t="s">
        <v>135</v>
      </c>
      <c r="Q1615" s="2" t="s">
        <v>513</v>
      </c>
      <c r="R1615" s="2" t="s">
        <v>137</v>
      </c>
      <c r="S1615" s="2" t="s">
        <v>383</v>
      </c>
      <c r="T1615" s="10">
        <v>87.57</v>
      </c>
      <c r="U1615" s="11">
        <v>1</v>
      </c>
      <c r="V1615" s="12">
        <f>T1615*U1615</f>
        <v>87.57</v>
      </c>
      <c r="W1615" s="13">
        <v>0</v>
      </c>
      <c r="X1615" s="12">
        <f>V1615-(V1615/(1+W1615))</f>
        <v>0</v>
      </c>
      <c r="Y1615" s="12">
        <f>V1615-X1615</f>
        <v>87.57</v>
      </c>
      <c r="Z1615" s="14">
        <v>120</v>
      </c>
      <c r="AA1615" s="2" t="str">
        <f>IF(V1615&gt;Z1615,"Yes","No")</f>
        <v>No</v>
      </c>
      <c r="AB1615" s="12">
        <f>V1615-Z1615</f>
        <v>-32.430000000000007</v>
      </c>
      <c r="AC1615" s="15" t="s">
        <v>130</v>
      </c>
      <c r="AD1615" s="15" t="s">
        <v>131</v>
      </c>
      <c r="AE1615" s="15" t="s">
        <v>260</v>
      </c>
      <c r="AF1615" s="12">
        <f>IF(AG1615="Rejected",0,IF(R1615="Corporate Card",0,V1615))</f>
        <v>87.57</v>
      </c>
      <c r="AG1615" s="15" t="s">
        <v>133</v>
      </c>
      <c r="AH1615" s="16">
        <v>45860</v>
      </c>
      <c r="AI1615" s="16">
        <v>45862</v>
      </c>
      <c r="AJ1615" s="16">
        <v>45876</v>
      </c>
      <c r="AK1615" s="17">
        <f>IF(AJ1615="","",AJ1615-AH1615)</f>
        <v>16</v>
      </c>
    </row>
    <row r="1616" spans="1:37">
      <c r="A1616" s="2" t="s">
        <v>2059</v>
      </c>
      <c r="B1616" s="2" t="s">
        <v>287</v>
      </c>
      <c r="C1616" s="2" t="s">
        <v>288</v>
      </c>
      <c r="D1616" s="2" t="s">
        <v>171</v>
      </c>
      <c r="E1616" s="2" t="s">
        <v>289</v>
      </c>
      <c r="F1616" s="2" t="s">
        <v>173</v>
      </c>
      <c r="G1616" s="2" t="s">
        <v>2057</v>
      </c>
      <c r="H1616" s="2" t="s">
        <v>254</v>
      </c>
      <c r="I1616" s="2" t="s">
        <v>1038</v>
      </c>
      <c r="J1616" s="2" t="s">
        <v>381</v>
      </c>
      <c r="K1616" s="9">
        <v>45845</v>
      </c>
      <c r="L1616" s="9">
        <v>45853</v>
      </c>
      <c r="M1616" s="9">
        <v>45845</v>
      </c>
      <c r="N1616" s="2" t="s">
        <v>1986</v>
      </c>
      <c r="O1616" s="2" t="s">
        <v>63</v>
      </c>
      <c r="P1616" s="2" t="s">
        <v>200</v>
      </c>
      <c r="Q1616" s="2" t="s">
        <v>557</v>
      </c>
      <c r="R1616" s="2" t="s">
        <v>128</v>
      </c>
      <c r="S1616" s="2" t="s">
        <v>383</v>
      </c>
      <c r="T1616" s="10">
        <v>1102.9100000000001</v>
      </c>
      <c r="U1616" s="11">
        <v>1</v>
      </c>
      <c r="V1616" s="12">
        <f>T1616*U1616</f>
        <v>1102.9100000000001</v>
      </c>
      <c r="W1616" s="13">
        <v>0</v>
      </c>
      <c r="X1616" s="12">
        <f>V1616-(V1616/(1+W1616))</f>
        <v>0</v>
      </c>
      <c r="Y1616" s="12">
        <f>V1616-X1616</f>
        <v>1102.9100000000001</v>
      </c>
      <c r="Z1616" s="14">
        <v>1200</v>
      </c>
      <c r="AA1616" s="2" t="str">
        <f>IF(V1616&gt;Z1616,"Yes","No")</f>
        <v>No</v>
      </c>
      <c r="AB1616" s="12">
        <f>V1616-Z1616</f>
        <v>-97.089999999999918</v>
      </c>
      <c r="AC1616" s="15" t="s">
        <v>130</v>
      </c>
      <c r="AD1616" s="15" t="s">
        <v>131</v>
      </c>
      <c r="AE1616" s="15" t="s">
        <v>260</v>
      </c>
      <c r="AF1616" s="12">
        <f>IF(AG1616="Rejected",0,IF(R1616="Corporate Card",0,V1616))</f>
        <v>0</v>
      </c>
      <c r="AG1616" s="15" t="s">
        <v>133</v>
      </c>
      <c r="AH1616" s="16">
        <v>45860</v>
      </c>
      <c r="AI1616" s="16">
        <v>45862</v>
      </c>
      <c r="AJ1616" s="16">
        <v>45876</v>
      </c>
      <c r="AK1616" s="17">
        <f>IF(AJ1616="","",AJ1616-AH1616)</f>
        <v>16</v>
      </c>
    </row>
    <row r="1617" spans="1:37">
      <c r="A1617" s="2" t="s">
        <v>2060</v>
      </c>
      <c r="B1617" s="2" t="s">
        <v>287</v>
      </c>
      <c r="C1617" s="2" t="s">
        <v>288</v>
      </c>
      <c r="D1617" s="2" t="s">
        <v>171</v>
      </c>
      <c r="E1617" s="2" t="s">
        <v>289</v>
      </c>
      <c r="F1617" s="2" t="s">
        <v>173</v>
      </c>
      <c r="G1617" s="2" t="s">
        <v>2057</v>
      </c>
      <c r="H1617" s="2" t="s">
        <v>254</v>
      </c>
      <c r="I1617" s="2" t="s">
        <v>1038</v>
      </c>
      <c r="J1617" s="2" t="s">
        <v>381</v>
      </c>
      <c r="K1617" s="9">
        <v>45845</v>
      </c>
      <c r="L1617" s="9">
        <v>45853</v>
      </c>
      <c r="M1617" s="9">
        <v>45845</v>
      </c>
      <c r="N1617" s="2" t="s">
        <v>1986</v>
      </c>
      <c r="O1617" s="2" t="s">
        <v>54</v>
      </c>
      <c r="P1617" s="2" t="s">
        <v>139</v>
      </c>
      <c r="Q1617" s="2" t="s">
        <v>163</v>
      </c>
      <c r="R1617" s="2" t="s">
        <v>149</v>
      </c>
      <c r="S1617" s="2" t="s">
        <v>383</v>
      </c>
      <c r="T1617" s="10">
        <v>16.38</v>
      </c>
      <c r="U1617" s="11">
        <v>1</v>
      </c>
      <c r="V1617" s="12">
        <f>T1617*U1617</f>
        <v>16.38</v>
      </c>
      <c r="W1617" s="13">
        <v>0</v>
      </c>
      <c r="X1617" s="12">
        <f>V1617-(V1617/(1+W1617))</f>
        <v>0</v>
      </c>
      <c r="Y1617" s="12">
        <f>V1617-X1617</f>
        <v>16.38</v>
      </c>
      <c r="Z1617" s="14">
        <v>25</v>
      </c>
      <c r="AA1617" s="2" t="str">
        <f>IF(V1617&gt;Z1617,"Yes","No")</f>
        <v>No</v>
      </c>
      <c r="AB1617" s="12">
        <f>V1617-Z1617</f>
        <v>-8.620000000000001</v>
      </c>
      <c r="AC1617" s="15" t="s">
        <v>130</v>
      </c>
      <c r="AD1617" s="15" t="s">
        <v>131</v>
      </c>
      <c r="AE1617" s="15" t="s">
        <v>260</v>
      </c>
      <c r="AF1617" s="12">
        <f>IF(AG1617="Rejected",0,IF(R1617="Corporate Card",0,V1617))</f>
        <v>16.38</v>
      </c>
      <c r="AG1617" s="15" t="s">
        <v>133</v>
      </c>
      <c r="AH1617" s="16">
        <v>45860</v>
      </c>
      <c r="AI1617" s="16">
        <v>45862</v>
      </c>
      <c r="AJ1617" s="16">
        <v>45876</v>
      </c>
      <c r="AK1617" s="17">
        <f>IF(AJ1617="","",AJ1617-AH1617)</f>
        <v>16</v>
      </c>
    </row>
    <row r="1618" spans="1:37">
      <c r="A1618" s="2" t="s">
        <v>2061</v>
      </c>
      <c r="B1618" s="2" t="s">
        <v>287</v>
      </c>
      <c r="C1618" s="2" t="s">
        <v>288</v>
      </c>
      <c r="D1618" s="2" t="s">
        <v>171</v>
      </c>
      <c r="E1618" s="2" t="s">
        <v>289</v>
      </c>
      <c r="F1618" s="2" t="s">
        <v>173</v>
      </c>
      <c r="G1618" s="2" t="s">
        <v>2057</v>
      </c>
      <c r="H1618" s="2" t="s">
        <v>254</v>
      </c>
      <c r="I1618" s="2" t="s">
        <v>1038</v>
      </c>
      <c r="J1618" s="2" t="s">
        <v>381</v>
      </c>
      <c r="K1618" s="9">
        <v>45845</v>
      </c>
      <c r="L1618" s="9">
        <v>45853</v>
      </c>
      <c r="M1618" s="9">
        <v>45845</v>
      </c>
      <c r="N1618" s="2" t="s">
        <v>1986</v>
      </c>
      <c r="O1618" s="2" t="s">
        <v>56</v>
      </c>
      <c r="P1618" s="2" t="s">
        <v>231</v>
      </c>
      <c r="Q1618" s="2" t="s">
        <v>185</v>
      </c>
      <c r="R1618" s="2" t="s">
        <v>149</v>
      </c>
      <c r="S1618" s="2" t="s">
        <v>383</v>
      </c>
      <c r="T1618" s="10">
        <v>33.47</v>
      </c>
      <c r="U1618" s="11">
        <v>1</v>
      </c>
      <c r="V1618" s="12">
        <f>T1618*U1618</f>
        <v>33.47</v>
      </c>
      <c r="W1618" s="13">
        <v>0</v>
      </c>
      <c r="X1618" s="12">
        <f>V1618-(V1618/(1+W1618))</f>
        <v>0</v>
      </c>
      <c r="Y1618" s="12">
        <f>V1618-X1618</f>
        <v>33.47</v>
      </c>
      <c r="Z1618" s="14">
        <v>75</v>
      </c>
      <c r="AA1618" s="2" t="str">
        <f>IF(V1618&gt;Z1618,"Yes","No")</f>
        <v>No</v>
      </c>
      <c r="AB1618" s="12">
        <f>V1618-Z1618</f>
        <v>-41.53</v>
      </c>
      <c r="AC1618" s="15" t="s">
        <v>130</v>
      </c>
      <c r="AD1618" s="15" t="s">
        <v>131</v>
      </c>
      <c r="AE1618" s="15" t="s">
        <v>260</v>
      </c>
      <c r="AF1618" s="12">
        <f>IF(AG1618="Rejected",0,IF(R1618="Corporate Card",0,V1618))</f>
        <v>33.47</v>
      </c>
      <c r="AG1618" s="15" t="s">
        <v>133</v>
      </c>
      <c r="AH1618" s="16">
        <v>45860</v>
      </c>
      <c r="AI1618" s="16">
        <v>45862</v>
      </c>
      <c r="AJ1618" s="16">
        <v>45876</v>
      </c>
      <c r="AK1618" s="17">
        <f>IF(AJ1618="","",AJ1618-AH1618)</f>
        <v>16</v>
      </c>
    </row>
    <row r="1619" spans="1:37">
      <c r="A1619" s="2" t="s">
        <v>2062</v>
      </c>
      <c r="B1619" s="2" t="s">
        <v>287</v>
      </c>
      <c r="C1619" s="2" t="s">
        <v>288</v>
      </c>
      <c r="D1619" s="2" t="s">
        <v>171</v>
      </c>
      <c r="E1619" s="2" t="s">
        <v>289</v>
      </c>
      <c r="F1619" s="2" t="s">
        <v>173</v>
      </c>
      <c r="G1619" s="2" t="s">
        <v>2057</v>
      </c>
      <c r="H1619" s="2" t="s">
        <v>254</v>
      </c>
      <c r="I1619" s="2" t="s">
        <v>1038</v>
      </c>
      <c r="J1619" s="2" t="s">
        <v>381</v>
      </c>
      <c r="K1619" s="9">
        <v>45845</v>
      </c>
      <c r="L1619" s="9">
        <v>45853</v>
      </c>
      <c r="M1619" s="9">
        <v>45845</v>
      </c>
      <c r="N1619" s="2" t="s">
        <v>1986</v>
      </c>
      <c r="O1619" s="2" t="s">
        <v>55</v>
      </c>
      <c r="P1619" s="2" t="s">
        <v>139</v>
      </c>
      <c r="Q1619" s="2" t="s">
        <v>217</v>
      </c>
      <c r="R1619" s="2" t="s">
        <v>137</v>
      </c>
      <c r="S1619" s="2" t="s">
        <v>383</v>
      </c>
      <c r="T1619" s="10">
        <v>28.77</v>
      </c>
      <c r="U1619" s="11">
        <v>1</v>
      </c>
      <c r="V1619" s="12">
        <f>T1619*U1619</f>
        <v>28.77</v>
      </c>
      <c r="W1619" s="13">
        <v>0</v>
      </c>
      <c r="X1619" s="12">
        <f>V1619-(V1619/(1+W1619))</f>
        <v>0</v>
      </c>
      <c r="Y1619" s="12">
        <f>V1619-X1619</f>
        <v>28.77</v>
      </c>
      <c r="Z1619" s="14">
        <v>35</v>
      </c>
      <c r="AA1619" s="2" t="str">
        <f>IF(V1619&gt;Z1619,"Yes","No")</f>
        <v>No</v>
      </c>
      <c r="AB1619" s="12">
        <f>V1619-Z1619</f>
        <v>-6.23</v>
      </c>
      <c r="AC1619" s="15" t="s">
        <v>130</v>
      </c>
      <c r="AD1619" s="15" t="s">
        <v>131</v>
      </c>
      <c r="AE1619" s="15" t="s">
        <v>260</v>
      </c>
      <c r="AF1619" s="12">
        <f>IF(AG1619="Rejected",0,IF(R1619="Corporate Card",0,V1619))</f>
        <v>28.77</v>
      </c>
      <c r="AG1619" s="15" t="s">
        <v>133</v>
      </c>
      <c r="AH1619" s="16">
        <v>45860</v>
      </c>
      <c r="AI1619" s="16">
        <v>45862</v>
      </c>
      <c r="AJ1619" s="16">
        <v>45876</v>
      </c>
      <c r="AK1619" s="17">
        <f>IF(AJ1619="","",AJ1619-AH1619)</f>
        <v>16</v>
      </c>
    </row>
    <row r="1620" spans="1:37">
      <c r="A1620" s="2" t="s">
        <v>2063</v>
      </c>
      <c r="B1620" s="2" t="s">
        <v>287</v>
      </c>
      <c r="C1620" s="2" t="s">
        <v>288</v>
      </c>
      <c r="D1620" s="2" t="s">
        <v>171</v>
      </c>
      <c r="E1620" s="2" t="s">
        <v>289</v>
      </c>
      <c r="F1620" s="2" t="s">
        <v>173</v>
      </c>
      <c r="G1620" s="2" t="s">
        <v>2026</v>
      </c>
      <c r="H1620" s="2" t="s">
        <v>448</v>
      </c>
      <c r="I1620" s="2" t="s">
        <v>194</v>
      </c>
      <c r="J1620" s="2" t="s">
        <v>195</v>
      </c>
      <c r="K1620" s="9">
        <v>45843</v>
      </c>
      <c r="L1620" s="9">
        <v>45851</v>
      </c>
      <c r="M1620" s="9">
        <v>45845</v>
      </c>
      <c r="N1620" s="2" t="s">
        <v>1986</v>
      </c>
      <c r="O1620" s="2" t="s">
        <v>58</v>
      </c>
      <c r="P1620" s="2" t="s">
        <v>142</v>
      </c>
      <c r="Q1620" s="2" t="s">
        <v>224</v>
      </c>
      <c r="R1620" s="2" t="s">
        <v>137</v>
      </c>
      <c r="S1620" s="2" t="s">
        <v>198</v>
      </c>
      <c r="T1620" s="10">
        <v>35.43</v>
      </c>
      <c r="U1620" s="11">
        <v>1.085</v>
      </c>
      <c r="V1620" s="12">
        <f>T1620*U1620</f>
        <v>38.441549999999999</v>
      </c>
      <c r="W1620" s="13">
        <v>0.19</v>
      </c>
      <c r="X1620" s="12">
        <f>V1620-(V1620/(1+W1620))</f>
        <v>6.137726470588234</v>
      </c>
      <c r="Y1620" s="12">
        <f>V1620-X1620</f>
        <v>32.303823529411765</v>
      </c>
      <c r="Z1620" s="14">
        <v>60</v>
      </c>
      <c r="AA1620" s="2" t="str">
        <f>IF(V1620&gt;Z1620,"Yes","No")</f>
        <v>No</v>
      </c>
      <c r="AB1620" s="12">
        <f>V1620-Z1620</f>
        <v>-21.558450000000001</v>
      </c>
      <c r="AC1620" s="15" t="s">
        <v>130</v>
      </c>
      <c r="AD1620" s="15" t="s">
        <v>131</v>
      </c>
      <c r="AE1620" s="15" t="s">
        <v>180</v>
      </c>
      <c r="AF1620" s="12">
        <f>IF(AG1620="Rejected",0,IF(R1620="Corporate Card",0,V1620))</f>
        <v>38.441549999999999</v>
      </c>
      <c r="AG1620" s="15" t="s">
        <v>133</v>
      </c>
      <c r="AH1620" s="16">
        <v>45863</v>
      </c>
      <c r="AI1620" s="16">
        <v>45865</v>
      </c>
      <c r="AJ1620" s="16">
        <v>45870</v>
      </c>
      <c r="AK1620" s="17">
        <f>IF(AJ1620="","",AJ1620-AH1620)</f>
        <v>7</v>
      </c>
    </row>
    <row r="1621" spans="1:37">
      <c r="A1621" s="2" t="s">
        <v>2064</v>
      </c>
      <c r="B1621" s="2" t="s">
        <v>287</v>
      </c>
      <c r="C1621" s="2" t="s">
        <v>288</v>
      </c>
      <c r="D1621" s="2" t="s">
        <v>171</v>
      </c>
      <c r="E1621" s="2" t="s">
        <v>289</v>
      </c>
      <c r="F1621" s="2" t="s">
        <v>173</v>
      </c>
      <c r="G1621" s="2" t="s">
        <v>2026</v>
      </c>
      <c r="H1621" s="2" t="s">
        <v>448</v>
      </c>
      <c r="I1621" s="2" t="s">
        <v>194</v>
      </c>
      <c r="J1621" s="2" t="s">
        <v>195</v>
      </c>
      <c r="K1621" s="9">
        <v>45843</v>
      </c>
      <c r="L1621" s="9">
        <v>45851</v>
      </c>
      <c r="M1621" s="9">
        <v>45845</v>
      </c>
      <c r="N1621" s="2" t="s">
        <v>1986</v>
      </c>
      <c r="O1621" s="2" t="s">
        <v>56</v>
      </c>
      <c r="P1621" s="2" t="s">
        <v>231</v>
      </c>
      <c r="Q1621" s="2" t="s">
        <v>227</v>
      </c>
      <c r="R1621" s="2" t="s">
        <v>128</v>
      </c>
      <c r="S1621" s="2" t="s">
        <v>198</v>
      </c>
      <c r="T1621" s="10">
        <v>49.56</v>
      </c>
      <c r="U1621" s="11">
        <v>1.085</v>
      </c>
      <c r="V1621" s="12">
        <f>T1621*U1621</f>
        <v>53.772600000000004</v>
      </c>
      <c r="W1621" s="13">
        <v>0.19</v>
      </c>
      <c r="X1621" s="12">
        <f>V1621-(V1621/(1+W1621))</f>
        <v>8.5855411764705849</v>
      </c>
      <c r="Y1621" s="12">
        <f>V1621-X1621</f>
        <v>45.187058823529419</v>
      </c>
      <c r="Z1621" s="14">
        <v>75</v>
      </c>
      <c r="AA1621" s="2" t="str">
        <f>IF(V1621&gt;Z1621,"Yes","No")</f>
        <v>No</v>
      </c>
      <c r="AB1621" s="12">
        <f>V1621-Z1621</f>
        <v>-21.227399999999996</v>
      </c>
      <c r="AC1621" s="15" t="s">
        <v>130</v>
      </c>
      <c r="AD1621" s="15" t="s">
        <v>131</v>
      </c>
      <c r="AE1621" s="15" t="s">
        <v>180</v>
      </c>
      <c r="AF1621" s="12">
        <f>IF(AG1621="Rejected",0,IF(R1621="Corporate Card",0,V1621))</f>
        <v>0</v>
      </c>
      <c r="AG1621" s="15" t="s">
        <v>133</v>
      </c>
      <c r="AH1621" s="16">
        <v>45863</v>
      </c>
      <c r="AI1621" s="16">
        <v>45865</v>
      </c>
      <c r="AJ1621" s="16">
        <v>45870</v>
      </c>
      <c r="AK1621" s="17">
        <f>IF(AJ1621="","",AJ1621-AH1621)</f>
        <v>7</v>
      </c>
    </row>
    <row r="1622" spans="1:37">
      <c r="A1622" s="2" t="s">
        <v>2065</v>
      </c>
      <c r="B1622" s="2" t="s">
        <v>287</v>
      </c>
      <c r="C1622" s="2" t="s">
        <v>288</v>
      </c>
      <c r="D1622" s="2" t="s">
        <v>171</v>
      </c>
      <c r="E1622" s="2" t="s">
        <v>289</v>
      </c>
      <c r="F1622" s="2" t="s">
        <v>173</v>
      </c>
      <c r="G1622" s="2" t="s">
        <v>2026</v>
      </c>
      <c r="H1622" s="2" t="s">
        <v>448</v>
      </c>
      <c r="I1622" s="2" t="s">
        <v>194</v>
      </c>
      <c r="J1622" s="2" t="s">
        <v>195</v>
      </c>
      <c r="K1622" s="9">
        <v>45843</v>
      </c>
      <c r="L1622" s="9">
        <v>45851</v>
      </c>
      <c r="M1622" s="9">
        <v>45845</v>
      </c>
      <c r="N1622" s="2" t="s">
        <v>1986</v>
      </c>
      <c r="O1622" s="2" t="s">
        <v>55</v>
      </c>
      <c r="P1622" s="2" t="s">
        <v>139</v>
      </c>
      <c r="Q1622" s="2" t="s">
        <v>217</v>
      </c>
      <c r="R1622" s="2" t="s">
        <v>137</v>
      </c>
      <c r="S1622" s="2" t="s">
        <v>198</v>
      </c>
      <c r="T1622" s="10">
        <v>12.75</v>
      </c>
      <c r="U1622" s="11">
        <v>1.085</v>
      </c>
      <c r="V1622" s="12">
        <f>T1622*U1622</f>
        <v>13.83375</v>
      </c>
      <c r="W1622" s="13">
        <v>0.19</v>
      </c>
      <c r="X1622" s="12">
        <f>V1622-(V1622/(1+W1622))</f>
        <v>2.2087500000000002</v>
      </c>
      <c r="Y1622" s="12">
        <f>V1622-X1622</f>
        <v>11.625</v>
      </c>
      <c r="Z1622" s="14">
        <v>35</v>
      </c>
      <c r="AA1622" s="2" t="str">
        <f>IF(V1622&gt;Z1622,"Yes","No")</f>
        <v>No</v>
      </c>
      <c r="AB1622" s="12">
        <f>V1622-Z1622</f>
        <v>-21.166249999999998</v>
      </c>
      <c r="AC1622" s="15" t="s">
        <v>130</v>
      </c>
      <c r="AD1622" s="15" t="s">
        <v>131</v>
      </c>
      <c r="AE1622" s="15" t="s">
        <v>180</v>
      </c>
      <c r="AF1622" s="12">
        <f>IF(AG1622="Rejected",0,IF(R1622="Corporate Card",0,V1622))</f>
        <v>13.83375</v>
      </c>
      <c r="AG1622" s="15" t="s">
        <v>133</v>
      </c>
      <c r="AH1622" s="16">
        <v>45863</v>
      </c>
      <c r="AI1622" s="16">
        <v>45865</v>
      </c>
      <c r="AJ1622" s="16">
        <v>45870</v>
      </c>
      <c r="AK1622" s="17">
        <f>IF(AJ1622="","",AJ1622-AH1622)</f>
        <v>7</v>
      </c>
    </row>
    <row r="1623" spans="1:37">
      <c r="A1623" s="2" t="s">
        <v>2066</v>
      </c>
      <c r="B1623" s="2" t="s">
        <v>616</v>
      </c>
      <c r="C1623" s="2" t="s">
        <v>252</v>
      </c>
      <c r="D1623" s="2" t="s">
        <v>250</v>
      </c>
      <c r="E1623" s="2" t="s">
        <v>617</v>
      </c>
      <c r="F1623" s="2" t="s">
        <v>510</v>
      </c>
      <c r="G1623" s="2" t="s">
        <v>2018</v>
      </c>
      <c r="H1623" s="2" t="s">
        <v>193</v>
      </c>
      <c r="I1623" s="2" t="s">
        <v>315</v>
      </c>
      <c r="J1623" s="2" t="s">
        <v>316</v>
      </c>
      <c r="K1623" s="9">
        <v>45843</v>
      </c>
      <c r="L1623" s="9">
        <v>45846</v>
      </c>
      <c r="M1623" s="9">
        <v>45846</v>
      </c>
      <c r="N1623" s="2" t="s">
        <v>1986</v>
      </c>
      <c r="O1623" s="2" t="s">
        <v>58</v>
      </c>
      <c r="P1623" s="2" t="s">
        <v>142</v>
      </c>
      <c r="Q1623" s="2" t="s">
        <v>156</v>
      </c>
      <c r="R1623" s="2" t="s">
        <v>128</v>
      </c>
      <c r="S1623" s="2" t="s">
        <v>318</v>
      </c>
      <c r="T1623" s="10">
        <v>102.44</v>
      </c>
      <c r="U1623" s="11">
        <v>0.27229999999999999</v>
      </c>
      <c r="V1623" s="12">
        <f>T1623*U1623</f>
        <v>27.894411999999999</v>
      </c>
      <c r="W1623" s="13">
        <v>0.05</v>
      </c>
      <c r="X1623" s="12">
        <f>V1623-(V1623/(1+W1623))</f>
        <v>1.3283053333333328</v>
      </c>
      <c r="Y1623" s="12">
        <f>V1623-X1623</f>
        <v>26.566106666666666</v>
      </c>
      <c r="Z1623" s="14">
        <v>60</v>
      </c>
      <c r="AA1623" s="2" t="str">
        <f>IF(V1623&gt;Z1623,"Yes","No")</f>
        <v>No</v>
      </c>
      <c r="AB1623" s="12">
        <f>V1623-Z1623</f>
        <v>-32.105587999999997</v>
      </c>
      <c r="AC1623" s="15" t="s">
        <v>130</v>
      </c>
      <c r="AD1623" s="15" t="s">
        <v>130</v>
      </c>
      <c r="AE1623" s="15" t="s">
        <v>858</v>
      </c>
      <c r="AF1623" s="12">
        <f>IF(AG1623="Rejected",0,IF(R1623="Corporate Card",0,V1623))</f>
        <v>0</v>
      </c>
      <c r="AG1623" s="15" t="s">
        <v>133</v>
      </c>
      <c r="AH1623" s="16">
        <v>45851</v>
      </c>
      <c r="AI1623" s="16">
        <v>45858</v>
      </c>
      <c r="AJ1623" s="16">
        <v>45866</v>
      </c>
      <c r="AK1623" s="17">
        <f>IF(AJ1623="","",AJ1623-AH1623)</f>
        <v>15</v>
      </c>
    </row>
    <row r="1624" spans="1:37">
      <c r="A1624" s="2" t="s">
        <v>2067</v>
      </c>
      <c r="B1624" s="2" t="s">
        <v>616</v>
      </c>
      <c r="C1624" s="2" t="s">
        <v>252</v>
      </c>
      <c r="D1624" s="2" t="s">
        <v>250</v>
      </c>
      <c r="E1624" s="2" t="s">
        <v>617</v>
      </c>
      <c r="F1624" s="2" t="s">
        <v>510</v>
      </c>
      <c r="G1624" s="2" t="s">
        <v>2018</v>
      </c>
      <c r="H1624" s="2" t="s">
        <v>193</v>
      </c>
      <c r="I1624" s="2" t="s">
        <v>315</v>
      </c>
      <c r="J1624" s="2" t="s">
        <v>316</v>
      </c>
      <c r="K1624" s="9">
        <v>45843</v>
      </c>
      <c r="L1624" s="9">
        <v>45846</v>
      </c>
      <c r="M1624" s="9">
        <v>45846</v>
      </c>
      <c r="N1624" s="2" t="s">
        <v>1986</v>
      </c>
      <c r="O1624" s="2" t="s">
        <v>56</v>
      </c>
      <c r="P1624" s="2" t="s">
        <v>165</v>
      </c>
      <c r="Q1624" s="2" t="s">
        <v>227</v>
      </c>
      <c r="R1624" s="2" t="s">
        <v>128</v>
      </c>
      <c r="S1624" s="2" t="s">
        <v>318</v>
      </c>
      <c r="T1624" s="10">
        <v>221.71</v>
      </c>
      <c r="U1624" s="11">
        <v>0.27229999999999999</v>
      </c>
      <c r="V1624" s="12">
        <f>T1624*U1624</f>
        <v>60.371632999999996</v>
      </c>
      <c r="W1624" s="13">
        <v>0.05</v>
      </c>
      <c r="X1624" s="12">
        <f>V1624-(V1624/(1+W1624))</f>
        <v>2.8748396666666665</v>
      </c>
      <c r="Y1624" s="12">
        <f>V1624-X1624</f>
        <v>57.496793333333329</v>
      </c>
      <c r="Z1624" s="14">
        <v>75</v>
      </c>
      <c r="AA1624" s="2" t="str">
        <f>IF(V1624&gt;Z1624,"Yes","No")</f>
        <v>No</v>
      </c>
      <c r="AB1624" s="12">
        <f>V1624-Z1624</f>
        <v>-14.628367000000004</v>
      </c>
      <c r="AC1624" s="15" t="s">
        <v>130</v>
      </c>
      <c r="AD1624" s="15" t="s">
        <v>130</v>
      </c>
      <c r="AE1624" s="15" t="s">
        <v>858</v>
      </c>
      <c r="AF1624" s="12">
        <f>IF(AG1624="Rejected",0,IF(R1624="Corporate Card",0,V1624))</f>
        <v>0</v>
      </c>
      <c r="AG1624" s="15" t="s">
        <v>133</v>
      </c>
      <c r="AH1624" s="16">
        <v>45851</v>
      </c>
      <c r="AI1624" s="16">
        <v>45858</v>
      </c>
      <c r="AJ1624" s="16">
        <v>45866</v>
      </c>
      <c r="AK1624" s="17">
        <f>IF(AJ1624="","",AJ1624-AH1624)</f>
        <v>15</v>
      </c>
    </row>
    <row r="1625" spans="1:37">
      <c r="A1625" s="2" t="s">
        <v>2068</v>
      </c>
      <c r="B1625" s="2" t="s">
        <v>616</v>
      </c>
      <c r="C1625" s="2" t="s">
        <v>252</v>
      </c>
      <c r="D1625" s="2" t="s">
        <v>250</v>
      </c>
      <c r="E1625" s="2" t="s">
        <v>617</v>
      </c>
      <c r="F1625" s="2" t="s">
        <v>510</v>
      </c>
      <c r="G1625" s="2" t="s">
        <v>2018</v>
      </c>
      <c r="H1625" s="2" t="s">
        <v>193</v>
      </c>
      <c r="I1625" s="2" t="s">
        <v>315</v>
      </c>
      <c r="J1625" s="2" t="s">
        <v>316</v>
      </c>
      <c r="K1625" s="9">
        <v>45843</v>
      </c>
      <c r="L1625" s="9">
        <v>45846</v>
      </c>
      <c r="M1625" s="9">
        <v>45846</v>
      </c>
      <c r="N1625" s="2" t="s">
        <v>1986</v>
      </c>
      <c r="O1625" s="2" t="s">
        <v>55</v>
      </c>
      <c r="P1625" s="2" t="s">
        <v>139</v>
      </c>
      <c r="Q1625" s="2" t="s">
        <v>187</v>
      </c>
      <c r="R1625" s="2" t="s">
        <v>128</v>
      </c>
      <c r="S1625" s="2" t="s">
        <v>318</v>
      </c>
      <c r="T1625" s="10">
        <v>153.4</v>
      </c>
      <c r="U1625" s="11">
        <v>0.27229999999999999</v>
      </c>
      <c r="V1625" s="12">
        <f>T1625*U1625</f>
        <v>41.770820000000001</v>
      </c>
      <c r="W1625" s="13">
        <v>0.05</v>
      </c>
      <c r="X1625" s="12">
        <f>V1625-(V1625/(1+W1625))</f>
        <v>1.9890866666666653</v>
      </c>
      <c r="Y1625" s="12">
        <f>V1625-X1625</f>
        <v>39.781733333333335</v>
      </c>
      <c r="Z1625" s="14">
        <v>35</v>
      </c>
      <c r="AA1625" s="2" t="str">
        <f>IF(V1625&gt;Z1625,"Yes","No")</f>
        <v>Yes</v>
      </c>
      <c r="AB1625" s="12">
        <f>V1625-Z1625</f>
        <v>6.7708200000000005</v>
      </c>
      <c r="AC1625" s="15" t="s">
        <v>130</v>
      </c>
      <c r="AD1625" s="15" t="s">
        <v>130</v>
      </c>
      <c r="AE1625" s="15" t="s">
        <v>858</v>
      </c>
      <c r="AF1625" s="12">
        <f>IF(AG1625="Rejected",0,IF(R1625="Corporate Card",0,V1625))</f>
        <v>0</v>
      </c>
      <c r="AG1625" s="15" t="s">
        <v>133</v>
      </c>
      <c r="AH1625" s="16">
        <v>45851</v>
      </c>
      <c r="AI1625" s="16">
        <v>45858</v>
      </c>
      <c r="AJ1625" s="16">
        <v>45866</v>
      </c>
      <c r="AK1625" s="17">
        <f>IF(AJ1625="","",AJ1625-AH1625)</f>
        <v>15</v>
      </c>
    </row>
    <row r="1626" spans="1:37">
      <c r="A1626" s="2" t="s">
        <v>2069</v>
      </c>
      <c r="B1626" s="2" t="s">
        <v>116</v>
      </c>
      <c r="C1626" s="2" t="s">
        <v>117</v>
      </c>
      <c r="D1626" s="2" t="s">
        <v>118</v>
      </c>
      <c r="E1626" s="2" t="s">
        <v>119</v>
      </c>
      <c r="F1626" s="2" t="s">
        <v>120</v>
      </c>
      <c r="G1626" s="2" t="s">
        <v>2039</v>
      </c>
      <c r="H1626" s="2" t="s">
        <v>803</v>
      </c>
      <c r="I1626" s="2" t="s">
        <v>418</v>
      </c>
      <c r="J1626" s="2" t="s">
        <v>381</v>
      </c>
      <c r="K1626" s="9">
        <v>45844</v>
      </c>
      <c r="L1626" s="9">
        <v>45847</v>
      </c>
      <c r="M1626" s="9">
        <v>45846</v>
      </c>
      <c r="N1626" s="2" t="s">
        <v>1986</v>
      </c>
      <c r="O1626" s="2" t="s">
        <v>58</v>
      </c>
      <c r="P1626" s="2" t="s">
        <v>142</v>
      </c>
      <c r="Q1626" s="2" t="s">
        <v>143</v>
      </c>
      <c r="R1626" s="2" t="s">
        <v>128</v>
      </c>
      <c r="S1626" s="2" t="s">
        <v>383</v>
      </c>
      <c r="T1626" s="10">
        <v>63.12</v>
      </c>
      <c r="U1626" s="11">
        <v>1</v>
      </c>
      <c r="V1626" s="12">
        <f>T1626*U1626</f>
        <v>63.12</v>
      </c>
      <c r="W1626" s="13">
        <v>0</v>
      </c>
      <c r="X1626" s="12">
        <f>V1626-(V1626/(1+W1626))</f>
        <v>0</v>
      </c>
      <c r="Y1626" s="12">
        <f>V1626-X1626</f>
        <v>63.12</v>
      </c>
      <c r="Z1626" s="14">
        <v>60</v>
      </c>
      <c r="AA1626" s="2" t="str">
        <f>IF(V1626&gt;Z1626,"Yes","No")</f>
        <v>Yes</v>
      </c>
      <c r="AB1626" s="12">
        <f>V1626-Z1626</f>
        <v>3.1199999999999974</v>
      </c>
      <c r="AC1626" s="15" t="s">
        <v>130</v>
      </c>
      <c r="AD1626" s="15" t="s">
        <v>131</v>
      </c>
      <c r="AE1626" s="15" t="s">
        <v>858</v>
      </c>
      <c r="AF1626" s="12">
        <f>IF(AG1626="Rejected",0,IF(R1626="Corporate Card",0,V1626))</f>
        <v>0</v>
      </c>
      <c r="AG1626" s="15" t="s">
        <v>133</v>
      </c>
      <c r="AH1626" s="16">
        <v>45859</v>
      </c>
      <c r="AI1626" s="16">
        <v>45866</v>
      </c>
      <c r="AJ1626" s="16">
        <v>45875</v>
      </c>
      <c r="AK1626" s="17">
        <f>IF(AJ1626="","",AJ1626-AH1626)</f>
        <v>16</v>
      </c>
    </row>
    <row r="1627" spans="1:37">
      <c r="A1627" s="2" t="s">
        <v>2070</v>
      </c>
      <c r="B1627" s="2" t="s">
        <v>116</v>
      </c>
      <c r="C1627" s="2" t="s">
        <v>117</v>
      </c>
      <c r="D1627" s="2" t="s">
        <v>118</v>
      </c>
      <c r="E1627" s="2" t="s">
        <v>119</v>
      </c>
      <c r="F1627" s="2" t="s">
        <v>120</v>
      </c>
      <c r="G1627" s="2" t="s">
        <v>2039</v>
      </c>
      <c r="H1627" s="2" t="s">
        <v>803</v>
      </c>
      <c r="I1627" s="2" t="s">
        <v>418</v>
      </c>
      <c r="J1627" s="2" t="s">
        <v>381</v>
      </c>
      <c r="K1627" s="9">
        <v>45844</v>
      </c>
      <c r="L1627" s="9">
        <v>45847</v>
      </c>
      <c r="M1627" s="9">
        <v>45846</v>
      </c>
      <c r="N1627" s="2" t="s">
        <v>1986</v>
      </c>
      <c r="O1627" s="2" t="s">
        <v>54</v>
      </c>
      <c r="P1627" s="2" t="s">
        <v>139</v>
      </c>
      <c r="Q1627" s="2" t="s">
        <v>163</v>
      </c>
      <c r="R1627" s="2" t="s">
        <v>137</v>
      </c>
      <c r="S1627" s="2" t="s">
        <v>383</v>
      </c>
      <c r="T1627" s="10">
        <v>18.579999999999998</v>
      </c>
      <c r="U1627" s="11">
        <v>1</v>
      </c>
      <c r="V1627" s="12">
        <f>T1627*U1627</f>
        <v>18.579999999999998</v>
      </c>
      <c r="W1627" s="13">
        <v>0</v>
      </c>
      <c r="X1627" s="12">
        <f>V1627-(V1627/(1+W1627))</f>
        <v>0</v>
      </c>
      <c r="Y1627" s="12">
        <f>V1627-X1627</f>
        <v>18.579999999999998</v>
      </c>
      <c r="Z1627" s="14">
        <v>25</v>
      </c>
      <c r="AA1627" s="2" t="str">
        <f>IF(V1627&gt;Z1627,"Yes","No")</f>
        <v>No</v>
      </c>
      <c r="AB1627" s="12">
        <f>V1627-Z1627</f>
        <v>-6.4200000000000017</v>
      </c>
      <c r="AC1627" s="15" t="s">
        <v>130</v>
      </c>
      <c r="AD1627" s="15" t="s">
        <v>131</v>
      </c>
      <c r="AE1627" s="15" t="s">
        <v>858</v>
      </c>
      <c r="AF1627" s="12">
        <f>IF(AG1627="Rejected",0,IF(R1627="Corporate Card",0,V1627))</f>
        <v>18.579999999999998</v>
      </c>
      <c r="AG1627" s="15" t="s">
        <v>133</v>
      </c>
      <c r="AH1627" s="16">
        <v>45859</v>
      </c>
      <c r="AI1627" s="16">
        <v>45866</v>
      </c>
      <c r="AJ1627" s="16">
        <v>45875</v>
      </c>
      <c r="AK1627" s="17">
        <f>IF(AJ1627="","",AJ1627-AH1627)</f>
        <v>16</v>
      </c>
    </row>
    <row r="1628" spans="1:37">
      <c r="A1628" s="2" t="s">
        <v>2071</v>
      </c>
      <c r="B1628" s="2" t="s">
        <v>116</v>
      </c>
      <c r="C1628" s="2" t="s">
        <v>117</v>
      </c>
      <c r="D1628" s="2" t="s">
        <v>118</v>
      </c>
      <c r="E1628" s="2" t="s">
        <v>119</v>
      </c>
      <c r="F1628" s="2" t="s">
        <v>120</v>
      </c>
      <c r="G1628" s="2" t="s">
        <v>2039</v>
      </c>
      <c r="H1628" s="2" t="s">
        <v>803</v>
      </c>
      <c r="I1628" s="2" t="s">
        <v>418</v>
      </c>
      <c r="J1628" s="2" t="s">
        <v>381</v>
      </c>
      <c r="K1628" s="9">
        <v>45844</v>
      </c>
      <c r="L1628" s="9">
        <v>45847</v>
      </c>
      <c r="M1628" s="9">
        <v>45846</v>
      </c>
      <c r="N1628" s="2" t="s">
        <v>1986</v>
      </c>
      <c r="O1628" s="2" t="s">
        <v>56</v>
      </c>
      <c r="P1628" s="2" t="s">
        <v>151</v>
      </c>
      <c r="Q1628" s="2" t="s">
        <v>185</v>
      </c>
      <c r="R1628" s="2" t="s">
        <v>149</v>
      </c>
      <c r="S1628" s="2" t="s">
        <v>383</v>
      </c>
      <c r="T1628" s="10">
        <v>106.35</v>
      </c>
      <c r="U1628" s="11">
        <v>1</v>
      </c>
      <c r="V1628" s="12">
        <f>T1628*U1628</f>
        <v>106.35</v>
      </c>
      <c r="W1628" s="13">
        <v>0</v>
      </c>
      <c r="X1628" s="12">
        <f>V1628-(V1628/(1+W1628))</f>
        <v>0</v>
      </c>
      <c r="Y1628" s="12">
        <f>V1628-X1628</f>
        <v>106.35</v>
      </c>
      <c r="Z1628" s="14">
        <v>75</v>
      </c>
      <c r="AA1628" s="2" t="str">
        <f>IF(V1628&gt;Z1628,"Yes","No")</f>
        <v>Yes</v>
      </c>
      <c r="AB1628" s="12">
        <f>V1628-Z1628</f>
        <v>31.349999999999994</v>
      </c>
      <c r="AC1628" s="15" t="s">
        <v>130</v>
      </c>
      <c r="AD1628" s="15" t="s">
        <v>131</v>
      </c>
      <c r="AE1628" s="15" t="s">
        <v>858</v>
      </c>
      <c r="AF1628" s="12">
        <f>IF(AG1628="Rejected",0,IF(R1628="Corporate Card",0,V1628))</f>
        <v>106.35</v>
      </c>
      <c r="AG1628" s="15" t="s">
        <v>133</v>
      </c>
      <c r="AH1628" s="16">
        <v>45859</v>
      </c>
      <c r="AI1628" s="16">
        <v>45866</v>
      </c>
      <c r="AJ1628" s="16">
        <v>45875</v>
      </c>
      <c r="AK1628" s="17">
        <f>IF(AJ1628="","",AJ1628-AH1628)</f>
        <v>16</v>
      </c>
    </row>
    <row r="1629" spans="1:37">
      <c r="A1629" s="2" t="s">
        <v>2072</v>
      </c>
      <c r="B1629" s="2" t="s">
        <v>116</v>
      </c>
      <c r="C1629" s="2" t="s">
        <v>117</v>
      </c>
      <c r="D1629" s="2" t="s">
        <v>118</v>
      </c>
      <c r="E1629" s="2" t="s">
        <v>119</v>
      </c>
      <c r="F1629" s="2" t="s">
        <v>120</v>
      </c>
      <c r="G1629" s="2" t="s">
        <v>2039</v>
      </c>
      <c r="H1629" s="2" t="s">
        <v>803</v>
      </c>
      <c r="I1629" s="2" t="s">
        <v>418</v>
      </c>
      <c r="J1629" s="2" t="s">
        <v>381</v>
      </c>
      <c r="K1629" s="9">
        <v>45844</v>
      </c>
      <c r="L1629" s="9">
        <v>45847</v>
      </c>
      <c r="M1629" s="9">
        <v>45846</v>
      </c>
      <c r="N1629" s="2" t="s">
        <v>1986</v>
      </c>
      <c r="O1629" s="2" t="s">
        <v>55</v>
      </c>
      <c r="P1629" s="2" t="s">
        <v>139</v>
      </c>
      <c r="Q1629" s="2" t="s">
        <v>161</v>
      </c>
      <c r="R1629" s="2" t="s">
        <v>128</v>
      </c>
      <c r="S1629" s="2" t="s">
        <v>383</v>
      </c>
      <c r="T1629" s="10">
        <v>24.05</v>
      </c>
      <c r="U1629" s="11">
        <v>1</v>
      </c>
      <c r="V1629" s="12">
        <f>T1629*U1629</f>
        <v>24.05</v>
      </c>
      <c r="W1629" s="13">
        <v>0</v>
      </c>
      <c r="X1629" s="12">
        <f>V1629-(V1629/(1+W1629))</f>
        <v>0</v>
      </c>
      <c r="Y1629" s="12">
        <f>V1629-X1629</f>
        <v>24.05</v>
      </c>
      <c r="Z1629" s="14">
        <v>35</v>
      </c>
      <c r="AA1629" s="2" t="str">
        <f>IF(V1629&gt;Z1629,"Yes","No")</f>
        <v>No</v>
      </c>
      <c r="AB1629" s="12">
        <f>V1629-Z1629</f>
        <v>-10.95</v>
      </c>
      <c r="AC1629" s="15" t="s">
        <v>130</v>
      </c>
      <c r="AD1629" s="15" t="s">
        <v>131</v>
      </c>
      <c r="AE1629" s="15" t="s">
        <v>858</v>
      </c>
      <c r="AF1629" s="12">
        <f>IF(AG1629="Rejected",0,IF(R1629="Corporate Card",0,V1629))</f>
        <v>0</v>
      </c>
      <c r="AG1629" s="15" t="s">
        <v>133</v>
      </c>
      <c r="AH1629" s="16">
        <v>45859</v>
      </c>
      <c r="AI1629" s="16">
        <v>45866</v>
      </c>
      <c r="AJ1629" s="16">
        <v>45875</v>
      </c>
      <c r="AK1629" s="17">
        <f>IF(AJ1629="","",AJ1629-AH1629)</f>
        <v>16</v>
      </c>
    </row>
    <row r="1630" spans="1:37">
      <c r="A1630" s="2" t="s">
        <v>2073</v>
      </c>
      <c r="B1630" s="2" t="s">
        <v>287</v>
      </c>
      <c r="C1630" s="2" t="s">
        <v>288</v>
      </c>
      <c r="D1630" s="2" t="s">
        <v>171</v>
      </c>
      <c r="E1630" s="2" t="s">
        <v>289</v>
      </c>
      <c r="F1630" s="2" t="s">
        <v>173</v>
      </c>
      <c r="G1630" s="2" t="s">
        <v>2057</v>
      </c>
      <c r="H1630" s="2" t="s">
        <v>254</v>
      </c>
      <c r="I1630" s="2" t="s">
        <v>1038</v>
      </c>
      <c r="J1630" s="2" t="s">
        <v>381</v>
      </c>
      <c r="K1630" s="9">
        <v>45845</v>
      </c>
      <c r="L1630" s="9">
        <v>45853</v>
      </c>
      <c r="M1630" s="9">
        <v>45846</v>
      </c>
      <c r="N1630" s="2" t="s">
        <v>1986</v>
      </c>
      <c r="O1630" s="2" t="s">
        <v>60</v>
      </c>
      <c r="P1630" s="2" t="s">
        <v>1055</v>
      </c>
      <c r="Q1630" s="2" t="s">
        <v>537</v>
      </c>
      <c r="R1630" s="2" t="s">
        <v>149</v>
      </c>
      <c r="S1630" s="2" t="s">
        <v>383</v>
      </c>
      <c r="T1630" s="10">
        <v>672.09</v>
      </c>
      <c r="U1630" s="11">
        <v>1</v>
      </c>
      <c r="V1630" s="12">
        <f>T1630*U1630</f>
        <v>672.09</v>
      </c>
      <c r="W1630" s="13">
        <v>0</v>
      </c>
      <c r="X1630" s="12">
        <f>V1630-(V1630/(1+W1630))</f>
        <v>0</v>
      </c>
      <c r="Y1630" s="12">
        <f>V1630-X1630</f>
        <v>672.09</v>
      </c>
      <c r="Z1630" s="14">
        <v>960</v>
      </c>
      <c r="AA1630" s="2" t="str">
        <f>IF(V1630&gt;Z1630,"Yes","No")</f>
        <v>No</v>
      </c>
      <c r="AB1630" s="12">
        <f>V1630-Z1630</f>
        <v>-287.90999999999997</v>
      </c>
      <c r="AC1630" s="15" t="s">
        <v>130</v>
      </c>
      <c r="AD1630" s="15" t="s">
        <v>131</v>
      </c>
      <c r="AE1630" s="15" t="s">
        <v>260</v>
      </c>
      <c r="AF1630" s="12">
        <f>IF(AG1630="Rejected",0,IF(R1630="Corporate Card",0,V1630))</f>
        <v>672.09</v>
      </c>
      <c r="AG1630" s="15" t="s">
        <v>133</v>
      </c>
      <c r="AH1630" s="16">
        <v>45860</v>
      </c>
      <c r="AI1630" s="16">
        <v>45862</v>
      </c>
      <c r="AJ1630" s="16">
        <v>45876</v>
      </c>
      <c r="AK1630" s="17">
        <f>IF(AJ1630="","",AJ1630-AH1630)</f>
        <v>16</v>
      </c>
    </row>
    <row r="1631" spans="1:37">
      <c r="A1631" s="2" t="s">
        <v>2074</v>
      </c>
      <c r="B1631" s="2" t="s">
        <v>287</v>
      </c>
      <c r="C1631" s="2" t="s">
        <v>288</v>
      </c>
      <c r="D1631" s="2" t="s">
        <v>171</v>
      </c>
      <c r="E1631" s="2" t="s">
        <v>289</v>
      </c>
      <c r="F1631" s="2" t="s">
        <v>173</v>
      </c>
      <c r="G1631" s="2" t="s">
        <v>2057</v>
      </c>
      <c r="H1631" s="2" t="s">
        <v>254</v>
      </c>
      <c r="I1631" s="2" t="s">
        <v>1038</v>
      </c>
      <c r="J1631" s="2" t="s">
        <v>381</v>
      </c>
      <c r="K1631" s="9">
        <v>45845</v>
      </c>
      <c r="L1631" s="9">
        <v>45853</v>
      </c>
      <c r="M1631" s="9">
        <v>45846</v>
      </c>
      <c r="N1631" s="2" t="s">
        <v>1986</v>
      </c>
      <c r="O1631" s="2" t="s">
        <v>58</v>
      </c>
      <c r="P1631" s="2" t="s">
        <v>142</v>
      </c>
      <c r="Q1631" s="2" t="s">
        <v>143</v>
      </c>
      <c r="R1631" s="2" t="s">
        <v>128</v>
      </c>
      <c r="S1631" s="2" t="s">
        <v>383</v>
      </c>
      <c r="T1631" s="10">
        <v>44.58</v>
      </c>
      <c r="U1631" s="11">
        <v>1</v>
      </c>
      <c r="V1631" s="12">
        <f>T1631*U1631</f>
        <v>44.58</v>
      </c>
      <c r="W1631" s="13">
        <v>0</v>
      </c>
      <c r="X1631" s="12">
        <f>V1631-(V1631/(1+W1631))</f>
        <v>0</v>
      </c>
      <c r="Y1631" s="12">
        <f>V1631-X1631</f>
        <v>44.58</v>
      </c>
      <c r="Z1631" s="14">
        <v>60</v>
      </c>
      <c r="AA1631" s="2" t="str">
        <f>IF(V1631&gt;Z1631,"Yes","No")</f>
        <v>No</v>
      </c>
      <c r="AB1631" s="12">
        <f>V1631-Z1631</f>
        <v>-15.420000000000002</v>
      </c>
      <c r="AC1631" s="15" t="s">
        <v>130</v>
      </c>
      <c r="AD1631" s="15" t="s">
        <v>131</v>
      </c>
      <c r="AE1631" s="15" t="s">
        <v>260</v>
      </c>
      <c r="AF1631" s="12">
        <f>IF(AG1631="Rejected",0,IF(R1631="Corporate Card",0,V1631))</f>
        <v>0</v>
      </c>
      <c r="AG1631" s="15" t="s">
        <v>133</v>
      </c>
      <c r="AH1631" s="16">
        <v>45860</v>
      </c>
      <c r="AI1631" s="16">
        <v>45862</v>
      </c>
      <c r="AJ1631" s="16">
        <v>45876</v>
      </c>
      <c r="AK1631" s="17">
        <f>IF(AJ1631="","",AJ1631-AH1631)</f>
        <v>16</v>
      </c>
    </row>
    <row r="1632" spans="1:37">
      <c r="A1632" s="2" t="s">
        <v>2075</v>
      </c>
      <c r="B1632" s="2" t="s">
        <v>287</v>
      </c>
      <c r="C1632" s="2" t="s">
        <v>288</v>
      </c>
      <c r="D1632" s="2" t="s">
        <v>171</v>
      </c>
      <c r="E1632" s="2" t="s">
        <v>289</v>
      </c>
      <c r="F1632" s="2" t="s">
        <v>173</v>
      </c>
      <c r="G1632" s="2" t="s">
        <v>2057</v>
      </c>
      <c r="H1632" s="2" t="s">
        <v>254</v>
      </c>
      <c r="I1632" s="2" t="s">
        <v>1038</v>
      </c>
      <c r="J1632" s="2" t="s">
        <v>381</v>
      </c>
      <c r="K1632" s="9">
        <v>45845</v>
      </c>
      <c r="L1632" s="9">
        <v>45853</v>
      </c>
      <c r="M1632" s="9">
        <v>45846</v>
      </c>
      <c r="N1632" s="2" t="s">
        <v>1986</v>
      </c>
      <c r="O1632" s="2" t="s">
        <v>53</v>
      </c>
      <c r="P1632" s="2" t="s">
        <v>669</v>
      </c>
      <c r="Q1632" s="2" t="s">
        <v>458</v>
      </c>
      <c r="R1632" s="2" t="s">
        <v>149</v>
      </c>
      <c r="S1632" s="2" t="s">
        <v>383</v>
      </c>
      <c r="T1632" s="10">
        <v>986.89</v>
      </c>
      <c r="U1632" s="11">
        <v>1</v>
      </c>
      <c r="V1632" s="12">
        <f>T1632*U1632</f>
        <v>986.89</v>
      </c>
      <c r="W1632" s="13">
        <v>0</v>
      </c>
      <c r="X1632" s="12">
        <f>V1632-(V1632/(1+W1632))</f>
        <v>0</v>
      </c>
      <c r="Y1632" s="12">
        <f>V1632-X1632</f>
        <v>986.89</v>
      </c>
      <c r="Z1632" s="14">
        <v>2240</v>
      </c>
      <c r="AA1632" s="2" t="str">
        <f>IF(V1632&gt;Z1632,"Yes","No")</f>
        <v>No</v>
      </c>
      <c r="AB1632" s="12">
        <f>V1632-Z1632</f>
        <v>-1253.1100000000001</v>
      </c>
      <c r="AC1632" s="15" t="s">
        <v>130</v>
      </c>
      <c r="AD1632" s="15" t="s">
        <v>131</v>
      </c>
      <c r="AE1632" s="15" t="s">
        <v>260</v>
      </c>
      <c r="AF1632" s="12">
        <f>IF(AG1632="Rejected",0,IF(R1632="Corporate Card",0,V1632))</f>
        <v>986.89</v>
      </c>
      <c r="AG1632" s="15" t="s">
        <v>133</v>
      </c>
      <c r="AH1632" s="16">
        <v>45860</v>
      </c>
      <c r="AI1632" s="16">
        <v>45862</v>
      </c>
      <c r="AJ1632" s="16">
        <v>45876</v>
      </c>
      <c r="AK1632" s="17">
        <f>IF(AJ1632="","",AJ1632-AH1632)</f>
        <v>16</v>
      </c>
    </row>
    <row r="1633" spans="1:37">
      <c r="A1633" s="2" t="s">
        <v>2076</v>
      </c>
      <c r="B1633" s="2" t="s">
        <v>287</v>
      </c>
      <c r="C1633" s="2" t="s">
        <v>288</v>
      </c>
      <c r="D1633" s="2" t="s">
        <v>171</v>
      </c>
      <c r="E1633" s="2" t="s">
        <v>289</v>
      </c>
      <c r="F1633" s="2" t="s">
        <v>173</v>
      </c>
      <c r="G1633" s="2" t="s">
        <v>2057</v>
      </c>
      <c r="H1633" s="2" t="s">
        <v>254</v>
      </c>
      <c r="I1633" s="2" t="s">
        <v>1038</v>
      </c>
      <c r="J1633" s="2" t="s">
        <v>381</v>
      </c>
      <c r="K1633" s="9">
        <v>45845</v>
      </c>
      <c r="L1633" s="9">
        <v>45853</v>
      </c>
      <c r="M1633" s="9">
        <v>45846</v>
      </c>
      <c r="N1633" s="2" t="s">
        <v>1986</v>
      </c>
      <c r="O1633" s="2" t="s">
        <v>54</v>
      </c>
      <c r="P1633" s="2" t="s">
        <v>139</v>
      </c>
      <c r="Q1633" s="2" t="s">
        <v>163</v>
      </c>
      <c r="R1633" s="2" t="s">
        <v>149</v>
      </c>
      <c r="S1633" s="2" t="s">
        <v>383</v>
      </c>
      <c r="T1633" s="10">
        <v>11.72</v>
      </c>
      <c r="U1633" s="11">
        <v>1</v>
      </c>
      <c r="V1633" s="12">
        <f>T1633*U1633</f>
        <v>11.72</v>
      </c>
      <c r="W1633" s="13">
        <v>0</v>
      </c>
      <c r="X1633" s="12">
        <f>V1633-(V1633/(1+W1633))</f>
        <v>0</v>
      </c>
      <c r="Y1633" s="12">
        <f>V1633-X1633</f>
        <v>11.72</v>
      </c>
      <c r="Z1633" s="14">
        <v>25</v>
      </c>
      <c r="AA1633" s="2" t="str">
        <f>IF(V1633&gt;Z1633,"Yes","No")</f>
        <v>No</v>
      </c>
      <c r="AB1633" s="12">
        <f>V1633-Z1633</f>
        <v>-13.28</v>
      </c>
      <c r="AC1633" s="15" t="s">
        <v>130</v>
      </c>
      <c r="AD1633" s="15" t="s">
        <v>131</v>
      </c>
      <c r="AE1633" s="15" t="s">
        <v>260</v>
      </c>
      <c r="AF1633" s="12">
        <f>IF(AG1633="Rejected",0,IF(R1633="Corporate Card",0,V1633))</f>
        <v>11.72</v>
      </c>
      <c r="AG1633" s="15" t="s">
        <v>133</v>
      </c>
      <c r="AH1633" s="16">
        <v>45860</v>
      </c>
      <c r="AI1633" s="16">
        <v>45862</v>
      </c>
      <c r="AJ1633" s="16">
        <v>45876</v>
      </c>
      <c r="AK1633" s="17">
        <f>IF(AJ1633="","",AJ1633-AH1633)</f>
        <v>16</v>
      </c>
    </row>
    <row r="1634" spans="1:37">
      <c r="A1634" s="2" t="s">
        <v>2077</v>
      </c>
      <c r="B1634" s="2" t="s">
        <v>287</v>
      </c>
      <c r="C1634" s="2" t="s">
        <v>288</v>
      </c>
      <c r="D1634" s="2" t="s">
        <v>171</v>
      </c>
      <c r="E1634" s="2" t="s">
        <v>289</v>
      </c>
      <c r="F1634" s="2" t="s">
        <v>173</v>
      </c>
      <c r="G1634" s="2" t="s">
        <v>2057</v>
      </c>
      <c r="H1634" s="2" t="s">
        <v>254</v>
      </c>
      <c r="I1634" s="2" t="s">
        <v>1038</v>
      </c>
      <c r="J1634" s="2" t="s">
        <v>381</v>
      </c>
      <c r="K1634" s="9">
        <v>45845</v>
      </c>
      <c r="L1634" s="9">
        <v>45853</v>
      </c>
      <c r="M1634" s="9">
        <v>45846</v>
      </c>
      <c r="N1634" s="2" t="s">
        <v>1986</v>
      </c>
      <c r="O1634" s="2" t="s">
        <v>55</v>
      </c>
      <c r="P1634" s="2" t="s">
        <v>139</v>
      </c>
      <c r="Q1634" s="2" t="s">
        <v>217</v>
      </c>
      <c r="R1634" s="2" t="s">
        <v>149</v>
      </c>
      <c r="S1634" s="2" t="s">
        <v>383</v>
      </c>
      <c r="T1634" s="10">
        <v>45.33</v>
      </c>
      <c r="U1634" s="11">
        <v>1</v>
      </c>
      <c r="V1634" s="12">
        <f>T1634*U1634</f>
        <v>45.33</v>
      </c>
      <c r="W1634" s="13">
        <v>0</v>
      </c>
      <c r="X1634" s="12">
        <f>V1634-(V1634/(1+W1634))</f>
        <v>0</v>
      </c>
      <c r="Y1634" s="12">
        <f>V1634-X1634</f>
        <v>45.33</v>
      </c>
      <c r="Z1634" s="14">
        <v>35</v>
      </c>
      <c r="AA1634" s="2" t="str">
        <f>IF(V1634&gt;Z1634,"Yes","No")</f>
        <v>Yes</v>
      </c>
      <c r="AB1634" s="12">
        <f>V1634-Z1634</f>
        <v>10.329999999999998</v>
      </c>
      <c r="AC1634" s="15" t="s">
        <v>130</v>
      </c>
      <c r="AD1634" s="15" t="s">
        <v>131</v>
      </c>
      <c r="AE1634" s="15" t="s">
        <v>260</v>
      </c>
      <c r="AF1634" s="12">
        <f>IF(AG1634="Rejected",0,IF(R1634="Corporate Card",0,V1634))</f>
        <v>45.33</v>
      </c>
      <c r="AG1634" s="15" t="s">
        <v>133</v>
      </c>
      <c r="AH1634" s="16">
        <v>45860</v>
      </c>
      <c r="AI1634" s="16">
        <v>45862</v>
      </c>
      <c r="AJ1634" s="16">
        <v>45876</v>
      </c>
      <c r="AK1634" s="17">
        <f>IF(AJ1634="","",AJ1634-AH1634)</f>
        <v>16</v>
      </c>
    </row>
    <row r="1635" spans="1:37">
      <c r="A1635" s="2" t="s">
        <v>2078</v>
      </c>
      <c r="B1635" s="2" t="s">
        <v>287</v>
      </c>
      <c r="C1635" s="2" t="s">
        <v>288</v>
      </c>
      <c r="D1635" s="2" t="s">
        <v>171</v>
      </c>
      <c r="E1635" s="2" t="s">
        <v>289</v>
      </c>
      <c r="F1635" s="2" t="s">
        <v>173</v>
      </c>
      <c r="G1635" s="2" t="s">
        <v>2026</v>
      </c>
      <c r="H1635" s="2" t="s">
        <v>448</v>
      </c>
      <c r="I1635" s="2" t="s">
        <v>194</v>
      </c>
      <c r="J1635" s="2" t="s">
        <v>195</v>
      </c>
      <c r="K1635" s="9">
        <v>45843</v>
      </c>
      <c r="L1635" s="9">
        <v>45851</v>
      </c>
      <c r="M1635" s="9">
        <v>45846</v>
      </c>
      <c r="N1635" s="2" t="s">
        <v>1986</v>
      </c>
      <c r="O1635" s="2" t="s">
        <v>58</v>
      </c>
      <c r="P1635" s="2" t="s">
        <v>142</v>
      </c>
      <c r="Q1635" s="2" t="s">
        <v>296</v>
      </c>
      <c r="R1635" s="2" t="s">
        <v>137</v>
      </c>
      <c r="S1635" s="2" t="s">
        <v>198</v>
      </c>
      <c r="T1635" s="10">
        <v>30.54</v>
      </c>
      <c r="U1635" s="11">
        <v>1.085</v>
      </c>
      <c r="V1635" s="12">
        <f>T1635*U1635</f>
        <v>33.135899999999999</v>
      </c>
      <c r="W1635" s="13">
        <v>0.19</v>
      </c>
      <c r="X1635" s="12">
        <f>V1635-(V1635/(1+W1635))</f>
        <v>5.2906058823529385</v>
      </c>
      <c r="Y1635" s="12">
        <f>V1635-X1635</f>
        <v>27.845294117647061</v>
      </c>
      <c r="Z1635" s="14">
        <v>60</v>
      </c>
      <c r="AA1635" s="2" t="str">
        <f>IF(V1635&gt;Z1635,"Yes","No")</f>
        <v>No</v>
      </c>
      <c r="AB1635" s="12">
        <f>V1635-Z1635</f>
        <v>-26.864100000000001</v>
      </c>
      <c r="AC1635" s="15" t="s">
        <v>130</v>
      </c>
      <c r="AD1635" s="15" t="s">
        <v>131</v>
      </c>
      <c r="AE1635" s="15" t="s">
        <v>180</v>
      </c>
      <c r="AF1635" s="12">
        <f>IF(AG1635="Rejected",0,IF(R1635="Corporate Card",0,V1635))</f>
        <v>33.135899999999999</v>
      </c>
      <c r="AG1635" s="15" t="s">
        <v>133</v>
      </c>
      <c r="AH1635" s="16">
        <v>45863</v>
      </c>
      <c r="AI1635" s="16">
        <v>45865</v>
      </c>
      <c r="AJ1635" s="16">
        <v>45870</v>
      </c>
      <c r="AK1635" s="17">
        <f>IF(AJ1635="","",AJ1635-AH1635)</f>
        <v>7</v>
      </c>
    </row>
    <row r="1636" spans="1:37">
      <c r="A1636" s="2" t="s">
        <v>2079</v>
      </c>
      <c r="B1636" s="2" t="s">
        <v>287</v>
      </c>
      <c r="C1636" s="2" t="s">
        <v>288</v>
      </c>
      <c r="D1636" s="2" t="s">
        <v>171</v>
      </c>
      <c r="E1636" s="2" t="s">
        <v>289</v>
      </c>
      <c r="F1636" s="2" t="s">
        <v>173</v>
      </c>
      <c r="G1636" s="2" t="s">
        <v>2026</v>
      </c>
      <c r="H1636" s="2" t="s">
        <v>448</v>
      </c>
      <c r="I1636" s="2" t="s">
        <v>194</v>
      </c>
      <c r="J1636" s="2" t="s">
        <v>195</v>
      </c>
      <c r="K1636" s="9">
        <v>45843</v>
      </c>
      <c r="L1636" s="9">
        <v>45851</v>
      </c>
      <c r="M1636" s="9">
        <v>45846</v>
      </c>
      <c r="N1636" s="2" t="s">
        <v>1986</v>
      </c>
      <c r="O1636" s="2" t="s">
        <v>54</v>
      </c>
      <c r="P1636" s="2" t="s">
        <v>139</v>
      </c>
      <c r="Q1636" s="2" t="s">
        <v>148</v>
      </c>
      <c r="R1636" s="2" t="s">
        <v>128</v>
      </c>
      <c r="S1636" s="2" t="s">
        <v>198</v>
      </c>
      <c r="T1636" s="10">
        <v>9.06</v>
      </c>
      <c r="U1636" s="11">
        <v>1.085</v>
      </c>
      <c r="V1636" s="12">
        <f>T1636*U1636</f>
        <v>9.8300999999999998</v>
      </c>
      <c r="W1636" s="13">
        <v>0.19</v>
      </c>
      <c r="X1636" s="12">
        <f>V1636-(V1636/(1+W1636))</f>
        <v>1.5695117647058812</v>
      </c>
      <c r="Y1636" s="12">
        <f>V1636-X1636</f>
        <v>8.2605882352941187</v>
      </c>
      <c r="Z1636" s="14">
        <v>25</v>
      </c>
      <c r="AA1636" s="2" t="str">
        <f>IF(V1636&gt;Z1636,"Yes","No")</f>
        <v>No</v>
      </c>
      <c r="AB1636" s="12">
        <f>V1636-Z1636</f>
        <v>-15.1699</v>
      </c>
      <c r="AC1636" s="15" t="s">
        <v>130</v>
      </c>
      <c r="AD1636" s="15" t="s">
        <v>131</v>
      </c>
      <c r="AE1636" s="15" t="s">
        <v>180</v>
      </c>
      <c r="AF1636" s="12">
        <f>IF(AG1636="Rejected",0,IF(R1636="Corporate Card",0,V1636))</f>
        <v>0</v>
      </c>
      <c r="AG1636" s="15" t="s">
        <v>133</v>
      </c>
      <c r="AH1636" s="16">
        <v>45863</v>
      </c>
      <c r="AI1636" s="16">
        <v>45865</v>
      </c>
      <c r="AJ1636" s="16">
        <v>45870</v>
      </c>
      <c r="AK1636" s="17">
        <f>IF(AJ1636="","",AJ1636-AH1636)</f>
        <v>7</v>
      </c>
    </row>
    <row r="1637" spans="1:37">
      <c r="A1637" s="2" t="s">
        <v>2080</v>
      </c>
      <c r="B1637" s="2" t="s">
        <v>287</v>
      </c>
      <c r="C1637" s="2" t="s">
        <v>288</v>
      </c>
      <c r="D1637" s="2" t="s">
        <v>171</v>
      </c>
      <c r="E1637" s="2" t="s">
        <v>289</v>
      </c>
      <c r="F1637" s="2" t="s">
        <v>173</v>
      </c>
      <c r="G1637" s="2" t="s">
        <v>2026</v>
      </c>
      <c r="H1637" s="2" t="s">
        <v>448</v>
      </c>
      <c r="I1637" s="2" t="s">
        <v>194</v>
      </c>
      <c r="J1637" s="2" t="s">
        <v>195</v>
      </c>
      <c r="K1637" s="9">
        <v>45843</v>
      </c>
      <c r="L1637" s="9">
        <v>45851</v>
      </c>
      <c r="M1637" s="9">
        <v>45846</v>
      </c>
      <c r="N1637" s="2" t="s">
        <v>1986</v>
      </c>
      <c r="O1637" s="2" t="s">
        <v>55</v>
      </c>
      <c r="P1637" s="2" t="s">
        <v>139</v>
      </c>
      <c r="Q1637" s="2" t="s">
        <v>217</v>
      </c>
      <c r="R1637" s="2" t="s">
        <v>128</v>
      </c>
      <c r="S1637" s="2" t="s">
        <v>198</v>
      </c>
      <c r="T1637" s="10">
        <v>16.28</v>
      </c>
      <c r="U1637" s="11">
        <v>1.085</v>
      </c>
      <c r="V1637" s="12">
        <f>T1637*U1637</f>
        <v>17.663800000000002</v>
      </c>
      <c r="W1637" s="13">
        <v>0.19</v>
      </c>
      <c r="X1637" s="12">
        <f>V1637-(V1637/(1+W1637))</f>
        <v>2.8202705882352941</v>
      </c>
      <c r="Y1637" s="12">
        <f>V1637-X1637</f>
        <v>14.843529411764708</v>
      </c>
      <c r="Z1637" s="14">
        <v>35</v>
      </c>
      <c r="AA1637" s="2" t="str">
        <f>IF(V1637&gt;Z1637,"Yes","No")</f>
        <v>No</v>
      </c>
      <c r="AB1637" s="12">
        <f>V1637-Z1637</f>
        <v>-17.336199999999998</v>
      </c>
      <c r="AC1637" s="15" t="s">
        <v>130</v>
      </c>
      <c r="AD1637" s="15" t="s">
        <v>131</v>
      </c>
      <c r="AE1637" s="15" t="s">
        <v>180</v>
      </c>
      <c r="AF1637" s="12">
        <f>IF(AG1637="Rejected",0,IF(R1637="Corporate Card",0,V1637))</f>
        <v>0</v>
      </c>
      <c r="AG1637" s="15" t="s">
        <v>133</v>
      </c>
      <c r="AH1637" s="16">
        <v>45863</v>
      </c>
      <c r="AI1637" s="16">
        <v>45865</v>
      </c>
      <c r="AJ1637" s="16">
        <v>45870</v>
      </c>
      <c r="AK1637" s="17">
        <f>IF(AJ1637="","",AJ1637-AH1637)</f>
        <v>7</v>
      </c>
    </row>
    <row r="1638" spans="1:37">
      <c r="A1638" s="2" t="s">
        <v>2081</v>
      </c>
      <c r="B1638" s="2" t="s">
        <v>116</v>
      </c>
      <c r="C1638" s="2" t="s">
        <v>117</v>
      </c>
      <c r="D1638" s="2" t="s">
        <v>118</v>
      </c>
      <c r="E1638" s="2" t="s">
        <v>119</v>
      </c>
      <c r="F1638" s="2" t="s">
        <v>120</v>
      </c>
      <c r="G1638" s="2" t="s">
        <v>2039</v>
      </c>
      <c r="H1638" s="2" t="s">
        <v>803</v>
      </c>
      <c r="I1638" s="2" t="s">
        <v>418</v>
      </c>
      <c r="J1638" s="2" t="s">
        <v>381</v>
      </c>
      <c r="K1638" s="9">
        <v>45844</v>
      </c>
      <c r="L1638" s="9">
        <v>45847</v>
      </c>
      <c r="M1638" s="9">
        <v>45847</v>
      </c>
      <c r="N1638" s="2" t="s">
        <v>1986</v>
      </c>
      <c r="O1638" s="2" t="s">
        <v>54</v>
      </c>
      <c r="P1638" s="2" t="s">
        <v>139</v>
      </c>
      <c r="Q1638" s="2" t="s">
        <v>163</v>
      </c>
      <c r="R1638" s="2" t="s">
        <v>149</v>
      </c>
      <c r="S1638" s="2" t="s">
        <v>383</v>
      </c>
      <c r="T1638" s="10">
        <v>27.35</v>
      </c>
      <c r="U1638" s="11">
        <v>1</v>
      </c>
      <c r="V1638" s="12">
        <f>T1638*U1638</f>
        <v>27.35</v>
      </c>
      <c r="W1638" s="13">
        <v>0</v>
      </c>
      <c r="X1638" s="12">
        <f>V1638-(V1638/(1+W1638))</f>
        <v>0</v>
      </c>
      <c r="Y1638" s="12">
        <f>V1638-X1638</f>
        <v>27.35</v>
      </c>
      <c r="Z1638" s="14">
        <v>25</v>
      </c>
      <c r="AA1638" s="2" t="str">
        <f>IF(V1638&gt;Z1638,"Yes","No")</f>
        <v>Yes</v>
      </c>
      <c r="AB1638" s="12">
        <f>V1638-Z1638</f>
        <v>2.3500000000000014</v>
      </c>
      <c r="AC1638" s="15" t="s">
        <v>130</v>
      </c>
      <c r="AD1638" s="15" t="s">
        <v>131</v>
      </c>
      <c r="AE1638" s="15" t="s">
        <v>858</v>
      </c>
      <c r="AF1638" s="12">
        <f>IF(AG1638="Rejected",0,IF(R1638="Corporate Card",0,V1638))</f>
        <v>27.35</v>
      </c>
      <c r="AG1638" s="15" t="s">
        <v>133</v>
      </c>
      <c r="AH1638" s="16">
        <v>45859</v>
      </c>
      <c r="AI1638" s="16">
        <v>45866</v>
      </c>
      <c r="AJ1638" s="16">
        <v>45875</v>
      </c>
      <c r="AK1638" s="17">
        <f>IF(AJ1638="","",AJ1638-AH1638)</f>
        <v>16</v>
      </c>
    </row>
    <row r="1639" spans="1:37">
      <c r="A1639" s="2" t="s">
        <v>2082</v>
      </c>
      <c r="B1639" s="2" t="s">
        <v>116</v>
      </c>
      <c r="C1639" s="2" t="s">
        <v>117</v>
      </c>
      <c r="D1639" s="2" t="s">
        <v>118</v>
      </c>
      <c r="E1639" s="2" t="s">
        <v>119</v>
      </c>
      <c r="F1639" s="2" t="s">
        <v>120</v>
      </c>
      <c r="G1639" s="2" t="s">
        <v>2039</v>
      </c>
      <c r="H1639" s="2" t="s">
        <v>803</v>
      </c>
      <c r="I1639" s="2" t="s">
        <v>418</v>
      </c>
      <c r="J1639" s="2" t="s">
        <v>381</v>
      </c>
      <c r="K1639" s="9">
        <v>45844</v>
      </c>
      <c r="L1639" s="9">
        <v>45847</v>
      </c>
      <c r="M1639" s="9">
        <v>45847</v>
      </c>
      <c r="N1639" s="2" t="s">
        <v>1986</v>
      </c>
      <c r="O1639" s="2" t="s">
        <v>56</v>
      </c>
      <c r="P1639" s="2" t="s">
        <v>231</v>
      </c>
      <c r="Q1639" s="2" t="s">
        <v>152</v>
      </c>
      <c r="R1639" s="2" t="s">
        <v>137</v>
      </c>
      <c r="S1639" s="2" t="s">
        <v>383</v>
      </c>
      <c r="T1639" s="10">
        <v>65.709999999999994</v>
      </c>
      <c r="U1639" s="11">
        <v>1</v>
      </c>
      <c r="V1639" s="12">
        <f>T1639*U1639</f>
        <v>65.709999999999994</v>
      </c>
      <c r="W1639" s="13">
        <v>0</v>
      </c>
      <c r="X1639" s="12">
        <f>V1639-(V1639/(1+W1639))</f>
        <v>0</v>
      </c>
      <c r="Y1639" s="12">
        <f>V1639-X1639</f>
        <v>65.709999999999994</v>
      </c>
      <c r="Z1639" s="14">
        <v>75</v>
      </c>
      <c r="AA1639" s="2" t="str">
        <f>IF(V1639&gt;Z1639,"Yes","No")</f>
        <v>No</v>
      </c>
      <c r="AB1639" s="12">
        <f>V1639-Z1639</f>
        <v>-9.2900000000000063</v>
      </c>
      <c r="AC1639" s="15" t="s">
        <v>130</v>
      </c>
      <c r="AD1639" s="15" t="s">
        <v>131</v>
      </c>
      <c r="AE1639" s="15" t="s">
        <v>858</v>
      </c>
      <c r="AF1639" s="12">
        <f>IF(AG1639="Rejected",0,IF(R1639="Corporate Card",0,V1639))</f>
        <v>65.709999999999994</v>
      </c>
      <c r="AG1639" s="15" t="s">
        <v>133</v>
      </c>
      <c r="AH1639" s="16">
        <v>45859</v>
      </c>
      <c r="AI1639" s="16">
        <v>45866</v>
      </c>
      <c r="AJ1639" s="16">
        <v>45875</v>
      </c>
      <c r="AK1639" s="17">
        <f>IF(AJ1639="","",AJ1639-AH1639)</f>
        <v>16</v>
      </c>
    </row>
    <row r="1640" spans="1:37">
      <c r="A1640" s="2" t="s">
        <v>2083</v>
      </c>
      <c r="B1640" s="2" t="s">
        <v>116</v>
      </c>
      <c r="C1640" s="2" t="s">
        <v>117</v>
      </c>
      <c r="D1640" s="2" t="s">
        <v>118</v>
      </c>
      <c r="E1640" s="2" t="s">
        <v>119</v>
      </c>
      <c r="F1640" s="2" t="s">
        <v>120</v>
      </c>
      <c r="G1640" s="2" t="s">
        <v>2039</v>
      </c>
      <c r="H1640" s="2" t="s">
        <v>803</v>
      </c>
      <c r="I1640" s="2" t="s">
        <v>418</v>
      </c>
      <c r="J1640" s="2" t="s">
        <v>381</v>
      </c>
      <c r="K1640" s="9">
        <v>45844</v>
      </c>
      <c r="L1640" s="9">
        <v>45847</v>
      </c>
      <c r="M1640" s="9">
        <v>45847</v>
      </c>
      <c r="N1640" s="2" t="s">
        <v>1986</v>
      </c>
      <c r="O1640" s="2" t="s">
        <v>55</v>
      </c>
      <c r="P1640" s="2" t="s">
        <v>139</v>
      </c>
      <c r="Q1640" s="2" t="s">
        <v>161</v>
      </c>
      <c r="R1640" s="2" t="s">
        <v>128</v>
      </c>
      <c r="S1640" s="2" t="s">
        <v>383</v>
      </c>
      <c r="T1640" s="10">
        <v>34.08</v>
      </c>
      <c r="U1640" s="11">
        <v>1</v>
      </c>
      <c r="V1640" s="12">
        <f>T1640*U1640</f>
        <v>34.08</v>
      </c>
      <c r="W1640" s="13">
        <v>0</v>
      </c>
      <c r="X1640" s="12">
        <f>V1640-(V1640/(1+W1640))</f>
        <v>0</v>
      </c>
      <c r="Y1640" s="12">
        <f>V1640-X1640</f>
        <v>34.08</v>
      </c>
      <c r="Z1640" s="14">
        <v>35</v>
      </c>
      <c r="AA1640" s="2" t="str">
        <f>IF(V1640&gt;Z1640,"Yes","No")</f>
        <v>No</v>
      </c>
      <c r="AB1640" s="12">
        <f>V1640-Z1640</f>
        <v>-0.92000000000000171</v>
      </c>
      <c r="AC1640" s="15" t="s">
        <v>130</v>
      </c>
      <c r="AD1640" s="15" t="s">
        <v>131</v>
      </c>
      <c r="AE1640" s="15" t="s">
        <v>858</v>
      </c>
      <c r="AF1640" s="12">
        <f>IF(AG1640="Rejected",0,IF(R1640="Corporate Card",0,V1640))</f>
        <v>0</v>
      </c>
      <c r="AG1640" s="15" t="s">
        <v>133</v>
      </c>
      <c r="AH1640" s="16">
        <v>45859</v>
      </c>
      <c r="AI1640" s="16">
        <v>45866</v>
      </c>
      <c r="AJ1640" s="16">
        <v>45875</v>
      </c>
      <c r="AK1640" s="17">
        <f>IF(AJ1640="","",AJ1640-AH1640)</f>
        <v>16</v>
      </c>
    </row>
    <row r="1641" spans="1:37">
      <c r="A1641" s="2" t="s">
        <v>2084</v>
      </c>
      <c r="B1641" s="2" t="s">
        <v>287</v>
      </c>
      <c r="C1641" s="2" t="s">
        <v>288</v>
      </c>
      <c r="D1641" s="2" t="s">
        <v>171</v>
      </c>
      <c r="E1641" s="2" t="s">
        <v>289</v>
      </c>
      <c r="F1641" s="2" t="s">
        <v>173</v>
      </c>
      <c r="G1641" s="2" t="s">
        <v>2057</v>
      </c>
      <c r="H1641" s="2" t="s">
        <v>254</v>
      </c>
      <c r="I1641" s="2" t="s">
        <v>1038</v>
      </c>
      <c r="J1641" s="2" t="s">
        <v>381</v>
      </c>
      <c r="K1641" s="9">
        <v>45845</v>
      </c>
      <c r="L1641" s="9">
        <v>45853</v>
      </c>
      <c r="M1641" s="9">
        <v>45847</v>
      </c>
      <c r="N1641" s="2" t="s">
        <v>1986</v>
      </c>
      <c r="O1641" s="2" t="s">
        <v>54</v>
      </c>
      <c r="P1641" s="2" t="s">
        <v>139</v>
      </c>
      <c r="Q1641" s="2" t="s">
        <v>140</v>
      </c>
      <c r="R1641" s="2" t="s">
        <v>128</v>
      </c>
      <c r="S1641" s="2" t="s">
        <v>383</v>
      </c>
      <c r="T1641" s="10">
        <v>15.95</v>
      </c>
      <c r="U1641" s="11">
        <v>1</v>
      </c>
      <c r="V1641" s="12">
        <f>T1641*U1641</f>
        <v>15.95</v>
      </c>
      <c r="W1641" s="13">
        <v>0</v>
      </c>
      <c r="X1641" s="12">
        <f>V1641-(V1641/(1+W1641))</f>
        <v>0</v>
      </c>
      <c r="Y1641" s="12">
        <f>V1641-X1641</f>
        <v>15.95</v>
      </c>
      <c r="Z1641" s="14">
        <v>25</v>
      </c>
      <c r="AA1641" s="2" t="str">
        <f>IF(V1641&gt;Z1641,"Yes","No")</f>
        <v>No</v>
      </c>
      <c r="AB1641" s="12">
        <f>V1641-Z1641</f>
        <v>-9.0500000000000007</v>
      </c>
      <c r="AC1641" s="15" t="s">
        <v>130</v>
      </c>
      <c r="AD1641" s="15" t="s">
        <v>131</v>
      </c>
      <c r="AE1641" s="15" t="s">
        <v>260</v>
      </c>
      <c r="AF1641" s="12">
        <f>IF(AG1641="Rejected",0,IF(R1641="Corporate Card",0,V1641))</f>
        <v>0</v>
      </c>
      <c r="AG1641" s="15" t="s">
        <v>133</v>
      </c>
      <c r="AH1641" s="16">
        <v>45860</v>
      </c>
      <c r="AI1641" s="16">
        <v>45862</v>
      </c>
      <c r="AJ1641" s="16">
        <v>45876</v>
      </c>
      <c r="AK1641" s="17">
        <f>IF(AJ1641="","",AJ1641-AH1641)</f>
        <v>16</v>
      </c>
    </row>
    <row r="1642" spans="1:37">
      <c r="A1642" s="2" t="s">
        <v>2085</v>
      </c>
      <c r="B1642" s="2" t="s">
        <v>287</v>
      </c>
      <c r="C1642" s="2" t="s">
        <v>288</v>
      </c>
      <c r="D1642" s="2" t="s">
        <v>171</v>
      </c>
      <c r="E1642" s="2" t="s">
        <v>289</v>
      </c>
      <c r="F1642" s="2" t="s">
        <v>173</v>
      </c>
      <c r="G1642" s="2" t="s">
        <v>2057</v>
      </c>
      <c r="H1642" s="2" t="s">
        <v>254</v>
      </c>
      <c r="I1642" s="2" t="s">
        <v>1038</v>
      </c>
      <c r="J1642" s="2" t="s">
        <v>381</v>
      </c>
      <c r="K1642" s="9">
        <v>45845</v>
      </c>
      <c r="L1642" s="9">
        <v>45853</v>
      </c>
      <c r="M1642" s="9">
        <v>45847</v>
      </c>
      <c r="N1642" s="2" t="s">
        <v>1986</v>
      </c>
      <c r="O1642" s="2" t="s">
        <v>56</v>
      </c>
      <c r="P1642" s="2" t="s">
        <v>231</v>
      </c>
      <c r="Q1642" s="2" t="s">
        <v>159</v>
      </c>
      <c r="R1642" s="2" t="s">
        <v>128</v>
      </c>
      <c r="S1642" s="2" t="s">
        <v>383</v>
      </c>
      <c r="T1642" s="10">
        <v>47.68</v>
      </c>
      <c r="U1642" s="11">
        <v>1</v>
      </c>
      <c r="V1642" s="12">
        <f>T1642*U1642</f>
        <v>47.68</v>
      </c>
      <c r="W1642" s="13">
        <v>0</v>
      </c>
      <c r="X1642" s="12">
        <f>V1642-(V1642/(1+W1642))</f>
        <v>0</v>
      </c>
      <c r="Y1642" s="12">
        <f>V1642-X1642</f>
        <v>47.68</v>
      </c>
      <c r="Z1642" s="14">
        <v>75</v>
      </c>
      <c r="AA1642" s="2" t="str">
        <f>IF(V1642&gt;Z1642,"Yes","No")</f>
        <v>No</v>
      </c>
      <c r="AB1642" s="12">
        <f>V1642-Z1642</f>
        <v>-27.32</v>
      </c>
      <c r="AC1642" s="15" t="s">
        <v>130</v>
      </c>
      <c r="AD1642" s="15" t="s">
        <v>131</v>
      </c>
      <c r="AE1642" s="15" t="s">
        <v>260</v>
      </c>
      <c r="AF1642" s="12">
        <f>IF(AG1642="Rejected",0,IF(R1642="Corporate Card",0,V1642))</f>
        <v>0</v>
      </c>
      <c r="AG1642" s="15" t="s">
        <v>133</v>
      </c>
      <c r="AH1642" s="16">
        <v>45860</v>
      </c>
      <c r="AI1642" s="16">
        <v>45862</v>
      </c>
      <c r="AJ1642" s="16">
        <v>45876</v>
      </c>
      <c r="AK1642" s="17">
        <f>IF(AJ1642="","",AJ1642-AH1642)</f>
        <v>16</v>
      </c>
    </row>
    <row r="1643" spans="1:37">
      <c r="A1643" s="2" t="s">
        <v>2086</v>
      </c>
      <c r="B1643" s="2" t="s">
        <v>287</v>
      </c>
      <c r="C1643" s="2" t="s">
        <v>288</v>
      </c>
      <c r="D1643" s="2" t="s">
        <v>171</v>
      </c>
      <c r="E1643" s="2" t="s">
        <v>289</v>
      </c>
      <c r="F1643" s="2" t="s">
        <v>173</v>
      </c>
      <c r="G1643" s="2" t="s">
        <v>2057</v>
      </c>
      <c r="H1643" s="2" t="s">
        <v>254</v>
      </c>
      <c r="I1643" s="2" t="s">
        <v>1038</v>
      </c>
      <c r="J1643" s="2" t="s">
        <v>381</v>
      </c>
      <c r="K1643" s="9">
        <v>45845</v>
      </c>
      <c r="L1643" s="9">
        <v>45853</v>
      </c>
      <c r="M1643" s="9">
        <v>45847</v>
      </c>
      <c r="N1643" s="2" t="s">
        <v>1986</v>
      </c>
      <c r="O1643" s="2" t="s">
        <v>55</v>
      </c>
      <c r="P1643" s="2" t="s">
        <v>139</v>
      </c>
      <c r="Q1643" s="2" t="s">
        <v>187</v>
      </c>
      <c r="R1643" s="2" t="s">
        <v>137</v>
      </c>
      <c r="S1643" s="2" t="s">
        <v>383</v>
      </c>
      <c r="T1643" s="10">
        <v>33.159999999999997</v>
      </c>
      <c r="U1643" s="11">
        <v>1</v>
      </c>
      <c r="V1643" s="12">
        <f>T1643*U1643</f>
        <v>33.159999999999997</v>
      </c>
      <c r="W1643" s="13">
        <v>0</v>
      </c>
      <c r="X1643" s="12">
        <f>V1643-(V1643/(1+W1643))</f>
        <v>0</v>
      </c>
      <c r="Y1643" s="12">
        <f>V1643-X1643</f>
        <v>33.159999999999997</v>
      </c>
      <c r="Z1643" s="14">
        <v>35</v>
      </c>
      <c r="AA1643" s="2" t="str">
        <f>IF(V1643&gt;Z1643,"Yes","No")</f>
        <v>No</v>
      </c>
      <c r="AB1643" s="12">
        <f>V1643-Z1643</f>
        <v>-1.8400000000000034</v>
      </c>
      <c r="AC1643" s="15" t="s">
        <v>130</v>
      </c>
      <c r="AD1643" s="15" t="s">
        <v>131</v>
      </c>
      <c r="AE1643" s="15" t="s">
        <v>260</v>
      </c>
      <c r="AF1643" s="12">
        <f>IF(AG1643="Rejected",0,IF(R1643="Corporate Card",0,V1643))</f>
        <v>33.159999999999997</v>
      </c>
      <c r="AG1643" s="15" t="s">
        <v>133</v>
      </c>
      <c r="AH1643" s="16">
        <v>45860</v>
      </c>
      <c r="AI1643" s="16">
        <v>45862</v>
      </c>
      <c r="AJ1643" s="16">
        <v>45876</v>
      </c>
      <c r="AK1643" s="17">
        <f>IF(AJ1643="","",AJ1643-AH1643)</f>
        <v>16</v>
      </c>
    </row>
    <row r="1644" spans="1:37">
      <c r="A1644" s="2" t="s">
        <v>2087</v>
      </c>
      <c r="B1644" s="2" t="s">
        <v>287</v>
      </c>
      <c r="C1644" s="2" t="s">
        <v>288</v>
      </c>
      <c r="D1644" s="2" t="s">
        <v>171</v>
      </c>
      <c r="E1644" s="2" t="s">
        <v>289</v>
      </c>
      <c r="F1644" s="2" t="s">
        <v>173</v>
      </c>
      <c r="G1644" s="2" t="s">
        <v>2026</v>
      </c>
      <c r="H1644" s="2" t="s">
        <v>448</v>
      </c>
      <c r="I1644" s="2" t="s">
        <v>194</v>
      </c>
      <c r="J1644" s="2" t="s">
        <v>195</v>
      </c>
      <c r="K1644" s="9">
        <v>45843</v>
      </c>
      <c r="L1644" s="9">
        <v>45851</v>
      </c>
      <c r="M1644" s="9">
        <v>45847</v>
      </c>
      <c r="N1644" s="2" t="s">
        <v>1986</v>
      </c>
      <c r="O1644" s="2" t="s">
        <v>58</v>
      </c>
      <c r="P1644" s="2" t="s">
        <v>142</v>
      </c>
      <c r="Q1644" s="2" t="s">
        <v>203</v>
      </c>
      <c r="R1644" s="2" t="s">
        <v>128</v>
      </c>
      <c r="S1644" s="2" t="s">
        <v>198</v>
      </c>
      <c r="T1644" s="10">
        <v>85.19</v>
      </c>
      <c r="U1644" s="11">
        <v>1.085</v>
      </c>
      <c r="V1644" s="12">
        <f>T1644*U1644</f>
        <v>92.431149999999988</v>
      </c>
      <c r="W1644" s="13">
        <v>0.19</v>
      </c>
      <c r="X1644" s="12">
        <f>V1644-(V1644/(1+W1644))</f>
        <v>14.757914705882342</v>
      </c>
      <c r="Y1644" s="12">
        <f>V1644-X1644</f>
        <v>77.673235294117646</v>
      </c>
      <c r="Z1644" s="14">
        <v>60</v>
      </c>
      <c r="AA1644" s="2" t="str">
        <f>IF(V1644&gt;Z1644,"Yes","No")</f>
        <v>Yes</v>
      </c>
      <c r="AB1644" s="12">
        <f>V1644-Z1644</f>
        <v>32.431149999999988</v>
      </c>
      <c r="AC1644" s="15" t="s">
        <v>130</v>
      </c>
      <c r="AD1644" s="15" t="s">
        <v>131</v>
      </c>
      <c r="AE1644" s="15" t="s">
        <v>180</v>
      </c>
      <c r="AF1644" s="12">
        <f>IF(AG1644="Rejected",0,IF(R1644="Corporate Card",0,V1644))</f>
        <v>0</v>
      </c>
      <c r="AG1644" s="15" t="s">
        <v>133</v>
      </c>
      <c r="AH1644" s="16">
        <v>45863</v>
      </c>
      <c r="AI1644" s="16">
        <v>45865</v>
      </c>
      <c r="AJ1644" s="16">
        <v>45870</v>
      </c>
      <c r="AK1644" s="17">
        <f>IF(AJ1644="","",AJ1644-AH1644)</f>
        <v>7</v>
      </c>
    </row>
    <row r="1645" spans="1:37">
      <c r="A1645" s="2" t="s">
        <v>2088</v>
      </c>
      <c r="B1645" s="2" t="s">
        <v>287</v>
      </c>
      <c r="C1645" s="2" t="s">
        <v>288</v>
      </c>
      <c r="D1645" s="2" t="s">
        <v>171</v>
      </c>
      <c r="E1645" s="2" t="s">
        <v>289</v>
      </c>
      <c r="F1645" s="2" t="s">
        <v>173</v>
      </c>
      <c r="G1645" s="2" t="s">
        <v>2026</v>
      </c>
      <c r="H1645" s="2" t="s">
        <v>448</v>
      </c>
      <c r="I1645" s="2" t="s">
        <v>194</v>
      </c>
      <c r="J1645" s="2" t="s">
        <v>195</v>
      </c>
      <c r="K1645" s="9">
        <v>45843</v>
      </c>
      <c r="L1645" s="9">
        <v>45851</v>
      </c>
      <c r="M1645" s="9">
        <v>45847</v>
      </c>
      <c r="N1645" s="2" t="s">
        <v>1986</v>
      </c>
      <c r="O1645" s="2" t="s">
        <v>54</v>
      </c>
      <c r="P1645" s="2" t="s">
        <v>139</v>
      </c>
      <c r="Q1645" s="2" t="s">
        <v>148</v>
      </c>
      <c r="R1645" s="2" t="s">
        <v>149</v>
      </c>
      <c r="S1645" s="2" t="s">
        <v>198</v>
      </c>
      <c r="T1645" s="10">
        <v>12.2</v>
      </c>
      <c r="U1645" s="11">
        <v>1.085</v>
      </c>
      <c r="V1645" s="12">
        <f>T1645*U1645</f>
        <v>13.236999999999998</v>
      </c>
      <c r="W1645" s="13">
        <v>0.19</v>
      </c>
      <c r="X1645" s="12">
        <f>V1645-(V1645/(1+W1645))</f>
        <v>2.1134705882352929</v>
      </c>
      <c r="Y1645" s="12">
        <f>V1645-X1645</f>
        <v>11.123529411764705</v>
      </c>
      <c r="Z1645" s="14">
        <v>25</v>
      </c>
      <c r="AA1645" s="2" t="str">
        <f>IF(V1645&gt;Z1645,"Yes","No")</f>
        <v>No</v>
      </c>
      <c r="AB1645" s="12">
        <f>V1645-Z1645</f>
        <v>-11.763000000000002</v>
      </c>
      <c r="AC1645" s="15" t="s">
        <v>130</v>
      </c>
      <c r="AD1645" s="15" t="s">
        <v>131</v>
      </c>
      <c r="AE1645" s="15" t="s">
        <v>180</v>
      </c>
      <c r="AF1645" s="12">
        <f>IF(AG1645="Rejected",0,IF(R1645="Corporate Card",0,V1645))</f>
        <v>13.236999999999998</v>
      </c>
      <c r="AG1645" s="15" t="s">
        <v>133</v>
      </c>
      <c r="AH1645" s="16">
        <v>45863</v>
      </c>
      <c r="AI1645" s="16">
        <v>45865</v>
      </c>
      <c r="AJ1645" s="16">
        <v>45870</v>
      </c>
      <c r="AK1645" s="17">
        <f>IF(AJ1645="","",AJ1645-AH1645)</f>
        <v>7</v>
      </c>
    </row>
    <row r="1646" spans="1:37">
      <c r="A1646" s="2" t="s">
        <v>2089</v>
      </c>
      <c r="B1646" s="2" t="s">
        <v>287</v>
      </c>
      <c r="C1646" s="2" t="s">
        <v>288</v>
      </c>
      <c r="D1646" s="2" t="s">
        <v>171</v>
      </c>
      <c r="E1646" s="2" t="s">
        <v>289</v>
      </c>
      <c r="F1646" s="2" t="s">
        <v>173</v>
      </c>
      <c r="G1646" s="2" t="s">
        <v>2026</v>
      </c>
      <c r="H1646" s="2" t="s">
        <v>448</v>
      </c>
      <c r="I1646" s="2" t="s">
        <v>194</v>
      </c>
      <c r="J1646" s="2" t="s">
        <v>195</v>
      </c>
      <c r="K1646" s="9">
        <v>45843</v>
      </c>
      <c r="L1646" s="9">
        <v>45851</v>
      </c>
      <c r="M1646" s="9">
        <v>45847</v>
      </c>
      <c r="N1646" s="2" t="s">
        <v>1986</v>
      </c>
      <c r="O1646" s="2" t="s">
        <v>56</v>
      </c>
      <c r="P1646" s="2" t="s">
        <v>245</v>
      </c>
      <c r="Q1646" s="2" t="s">
        <v>152</v>
      </c>
      <c r="R1646" s="2" t="s">
        <v>137</v>
      </c>
      <c r="S1646" s="2" t="s">
        <v>198</v>
      </c>
      <c r="T1646" s="10">
        <v>56.66</v>
      </c>
      <c r="U1646" s="11">
        <v>1.085</v>
      </c>
      <c r="V1646" s="12">
        <f>T1646*U1646</f>
        <v>61.476099999999995</v>
      </c>
      <c r="W1646" s="13">
        <v>0.19</v>
      </c>
      <c r="X1646" s="12">
        <f>V1646-(V1646/(1+W1646))</f>
        <v>9.8155117647058816</v>
      </c>
      <c r="Y1646" s="12">
        <f>V1646-X1646</f>
        <v>51.660588235294114</v>
      </c>
      <c r="Z1646" s="14">
        <v>75</v>
      </c>
      <c r="AA1646" s="2" t="str">
        <f>IF(V1646&gt;Z1646,"Yes","No")</f>
        <v>No</v>
      </c>
      <c r="AB1646" s="12">
        <f>V1646-Z1646</f>
        <v>-13.523900000000005</v>
      </c>
      <c r="AC1646" s="15" t="s">
        <v>130</v>
      </c>
      <c r="AD1646" s="15" t="s">
        <v>131</v>
      </c>
      <c r="AE1646" s="15" t="s">
        <v>180</v>
      </c>
      <c r="AF1646" s="12">
        <f>IF(AG1646="Rejected",0,IF(R1646="Corporate Card",0,V1646))</f>
        <v>61.476099999999995</v>
      </c>
      <c r="AG1646" s="15" t="s">
        <v>133</v>
      </c>
      <c r="AH1646" s="16">
        <v>45863</v>
      </c>
      <c r="AI1646" s="16">
        <v>45865</v>
      </c>
      <c r="AJ1646" s="16">
        <v>45870</v>
      </c>
      <c r="AK1646" s="17">
        <f>IF(AJ1646="","",AJ1646-AH1646)</f>
        <v>7</v>
      </c>
    </row>
    <row r="1647" spans="1:37">
      <c r="A1647" s="2" t="s">
        <v>2090</v>
      </c>
      <c r="B1647" s="2" t="s">
        <v>287</v>
      </c>
      <c r="C1647" s="2" t="s">
        <v>288</v>
      </c>
      <c r="D1647" s="2" t="s">
        <v>171</v>
      </c>
      <c r="E1647" s="2" t="s">
        <v>289</v>
      </c>
      <c r="F1647" s="2" t="s">
        <v>173</v>
      </c>
      <c r="G1647" s="2" t="s">
        <v>2026</v>
      </c>
      <c r="H1647" s="2" t="s">
        <v>448</v>
      </c>
      <c r="I1647" s="2" t="s">
        <v>194</v>
      </c>
      <c r="J1647" s="2" t="s">
        <v>195</v>
      </c>
      <c r="K1647" s="9">
        <v>45843</v>
      </c>
      <c r="L1647" s="9">
        <v>45851</v>
      </c>
      <c r="M1647" s="9">
        <v>45847</v>
      </c>
      <c r="N1647" s="2" t="s">
        <v>1986</v>
      </c>
      <c r="O1647" s="2" t="s">
        <v>55</v>
      </c>
      <c r="P1647" s="2" t="s">
        <v>139</v>
      </c>
      <c r="Q1647" s="2" t="s">
        <v>161</v>
      </c>
      <c r="R1647" s="2" t="s">
        <v>149</v>
      </c>
      <c r="S1647" s="2" t="s">
        <v>198</v>
      </c>
      <c r="T1647" s="10">
        <v>25.08</v>
      </c>
      <c r="U1647" s="11">
        <v>1.085</v>
      </c>
      <c r="V1647" s="12">
        <f>T1647*U1647</f>
        <v>27.211799999999997</v>
      </c>
      <c r="W1647" s="13">
        <v>0.19</v>
      </c>
      <c r="X1647" s="12">
        <f>V1647-(V1647/(1+W1647))</f>
        <v>4.3447411764705883</v>
      </c>
      <c r="Y1647" s="12">
        <f>V1647-X1647</f>
        <v>22.867058823529408</v>
      </c>
      <c r="Z1647" s="14">
        <v>35</v>
      </c>
      <c r="AA1647" s="2" t="str">
        <f>IF(V1647&gt;Z1647,"Yes","No")</f>
        <v>No</v>
      </c>
      <c r="AB1647" s="12">
        <f>V1647-Z1647</f>
        <v>-7.7882000000000033</v>
      </c>
      <c r="AC1647" s="15" t="s">
        <v>130</v>
      </c>
      <c r="AD1647" s="15" t="s">
        <v>131</v>
      </c>
      <c r="AE1647" s="15" t="s">
        <v>180</v>
      </c>
      <c r="AF1647" s="12">
        <f>IF(AG1647="Rejected",0,IF(R1647="Corporate Card",0,V1647))</f>
        <v>27.211799999999997</v>
      </c>
      <c r="AG1647" s="15" t="s">
        <v>133</v>
      </c>
      <c r="AH1647" s="16">
        <v>45863</v>
      </c>
      <c r="AI1647" s="16">
        <v>45865</v>
      </c>
      <c r="AJ1647" s="16">
        <v>45870</v>
      </c>
      <c r="AK1647" s="17">
        <f>IF(AJ1647="","",AJ1647-AH1647)</f>
        <v>7</v>
      </c>
    </row>
    <row r="1648" spans="1:37">
      <c r="A1648" s="2" t="s">
        <v>2091</v>
      </c>
      <c r="B1648" s="2" t="s">
        <v>287</v>
      </c>
      <c r="C1648" s="2" t="s">
        <v>288</v>
      </c>
      <c r="D1648" s="2" t="s">
        <v>171</v>
      </c>
      <c r="E1648" s="2" t="s">
        <v>289</v>
      </c>
      <c r="F1648" s="2" t="s">
        <v>173</v>
      </c>
      <c r="G1648" s="2" t="s">
        <v>2057</v>
      </c>
      <c r="H1648" s="2" t="s">
        <v>254</v>
      </c>
      <c r="I1648" s="2" t="s">
        <v>1038</v>
      </c>
      <c r="J1648" s="2" t="s">
        <v>381</v>
      </c>
      <c r="K1648" s="9">
        <v>45845</v>
      </c>
      <c r="L1648" s="9">
        <v>45853</v>
      </c>
      <c r="M1648" s="9">
        <v>45848</v>
      </c>
      <c r="N1648" s="2" t="s">
        <v>1986</v>
      </c>
      <c r="O1648" s="2" t="s">
        <v>58</v>
      </c>
      <c r="P1648" s="2" t="s">
        <v>142</v>
      </c>
      <c r="Q1648" s="2" t="s">
        <v>143</v>
      </c>
      <c r="R1648" s="2" t="s">
        <v>137</v>
      </c>
      <c r="S1648" s="2" t="s">
        <v>383</v>
      </c>
      <c r="T1648" s="10">
        <v>45.39</v>
      </c>
      <c r="U1648" s="11">
        <v>1</v>
      </c>
      <c r="V1648" s="12">
        <f>T1648*U1648</f>
        <v>45.39</v>
      </c>
      <c r="W1648" s="13">
        <v>0</v>
      </c>
      <c r="X1648" s="12">
        <f>V1648-(V1648/(1+W1648))</f>
        <v>0</v>
      </c>
      <c r="Y1648" s="12">
        <f>V1648-X1648</f>
        <v>45.39</v>
      </c>
      <c r="Z1648" s="14">
        <v>60</v>
      </c>
      <c r="AA1648" s="2" t="str">
        <f>IF(V1648&gt;Z1648,"Yes","No")</f>
        <v>No</v>
      </c>
      <c r="AB1648" s="12">
        <f>V1648-Z1648</f>
        <v>-14.61</v>
      </c>
      <c r="AC1648" s="15" t="s">
        <v>130</v>
      </c>
      <c r="AD1648" s="15" t="s">
        <v>131</v>
      </c>
      <c r="AE1648" s="15" t="s">
        <v>260</v>
      </c>
      <c r="AF1648" s="12">
        <f>IF(AG1648="Rejected",0,IF(R1648="Corporate Card",0,V1648))</f>
        <v>45.39</v>
      </c>
      <c r="AG1648" s="15" t="s">
        <v>133</v>
      </c>
      <c r="AH1648" s="16">
        <v>45860</v>
      </c>
      <c r="AI1648" s="16">
        <v>45862</v>
      </c>
      <c r="AJ1648" s="16">
        <v>45876</v>
      </c>
      <c r="AK1648" s="17">
        <f>IF(AJ1648="","",AJ1648-AH1648)</f>
        <v>16</v>
      </c>
    </row>
    <row r="1649" spans="1:37">
      <c r="A1649" s="2" t="s">
        <v>2092</v>
      </c>
      <c r="B1649" s="2" t="s">
        <v>287</v>
      </c>
      <c r="C1649" s="2" t="s">
        <v>288</v>
      </c>
      <c r="D1649" s="2" t="s">
        <v>171</v>
      </c>
      <c r="E1649" s="2" t="s">
        <v>289</v>
      </c>
      <c r="F1649" s="2" t="s">
        <v>173</v>
      </c>
      <c r="G1649" s="2" t="s">
        <v>2057</v>
      </c>
      <c r="H1649" s="2" t="s">
        <v>254</v>
      </c>
      <c r="I1649" s="2" t="s">
        <v>1038</v>
      </c>
      <c r="J1649" s="2" t="s">
        <v>381</v>
      </c>
      <c r="K1649" s="9">
        <v>45845</v>
      </c>
      <c r="L1649" s="9">
        <v>45853</v>
      </c>
      <c r="M1649" s="9">
        <v>45848</v>
      </c>
      <c r="N1649" s="2" t="s">
        <v>1986</v>
      </c>
      <c r="O1649" s="2" t="s">
        <v>54</v>
      </c>
      <c r="P1649" s="2" t="s">
        <v>139</v>
      </c>
      <c r="Q1649" s="2" t="s">
        <v>163</v>
      </c>
      <c r="R1649" s="2" t="s">
        <v>128</v>
      </c>
      <c r="S1649" s="2" t="s">
        <v>383</v>
      </c>
      <c r="T1649" s="10">
        <v>32.24</v>
      </c>
      <c r="U1649" s="11">
        <v>1</v>
      </c>
      <c r="V1649" s="12">
        <f>T1649*U1649</f>
        <v>32.24</v>
      </c>
      <c r="W1649" s="13">
        <v>0</v>
      </c>
      <c r="X1649" s="12">
        <f>V1649-(V1649/(1+W1649))</f>
        <v>0</v>
      </c>
      <c r="Y1649" s="12">
        <f>V1649-X1649</f>
        <v>32.24</v>
      </c>
      <c r="Z1649" s="14">
        <v>25</v>
      </c>
      <c r="AA1649" s="2" t="str">
        <f>IF(V1649&gt;Z1649,"Yes","No")</f>
        <v>Yes</v>
      </c>
      <c r="AB1649" s="12">
        <f>V1649-Z1649</f>
        <v>7.240000000000002</v>
      </c>
      <c r="AC1649" s="15" t="s">
        <v>130</v>
      </c>
      <c r="AD1649" s="15" t="s">
        <v>131</v>
      </c>
      <c r="AE1649" s="15" t="s">
        <v>260</v>
      </c>
      <c r="AF1649" s="12">
        <f>IF(AG1649="Rejected",0,IF(R1649="Corporate Card",0,V1649))</f>
        <v>0</v>
      </c>
      <c r="AG1649" s="15" t="s">
        <v>133</v>
      </c>
      <c r="AH1649" s="16">
        <v>45860</v>
      </c>
      <c r="AI1649" s="16">
        <v>45862</v>
      </c>
      <c r="AJ1649" s="16">
        <v>45876</v>
      </c>
      <c r="AK1649" s="17">
        <f>IF(AJ1649="","",AJ1649-AH1649)</f>
        <v>16</v>
      </c>
    </row>
    <row r="1650" spans="1:37">
      <c r="A1650" s="2" t="s">
        <v>2093</v>
      </c>
      <c r="B1650" s="2" t="s">
        <v>287</v>
      </c>
      <c r="C1650" s="2" t="s">
        <v>288</v>
      </c>
      <c r="D1650" s="2" t="s">
        <v>171</v>
      </c>
      <c r="E1650" s="2" t="s">
        <v>289</v>
      </c>
      <c r="F1650" s="2" t="s">
        <v>173</v>
      </c>
      <c r="G1650" s="2" t="s">
        <v>2057</v>
      </c>
      <c r="H1650" s="2" t="s">
        <v>254</v>
      </c>
      <c r="I1650" s="2" t="s">
        <v>1038</v>
      </c>
      <c r="J1650" s="2" t="s">
        <v>381</v>
      </c>
      <c r="K1650" s="9">
        <v>45845</v>
      </c>
      <c r="L1650" s="9">
        <v>45853</v>
      </c>
      <c r="M1650" s="9">
        <v>45848</v>
      </c>
      <c r="N1650" s="2" t="s">
        <v>1986</v>
      </c>
      <c r="O1650" s="2" t="s">
        <v>56</v>
      </c>
      <c r="P1650" s="2" t="s">
        <v>245</v>
      </c>
      <c r="Q1650" s="2" t="s">
        <v>185</v>
      </c>
      <c r="R1650" s="2" t="s">
        <v>137</v>
      </c>
      <c r="S1650" s="2" t="s">
        <v>383</v>
      </c>
      <c r="T1650" s="10">
        <v>38.299999999999997</v>
      </c>
      <c r="U1650" s="11">
        <v>1</v>
      </c>
      <c r="V1650" s="12">
        <f>T1650*U1650</f>
        <v>38.299999999999997</v>
      </c>
      <c r="W1650" s="13">
        <v>0</v>
      </c>
      <c r="X1650" s="12">
        <f>V1650-(V1650/(1+W1650))</f>
        <v>0</v>
      </c>
      <c r="Y1650" s="12">
        <f>V1650-X1650</f>
        <v>38.299999999999997</v>
      </c>
      <c r="Z1650" s="14">
        <v>75</v>
      </c>
      <c r="AA1650" s="2" t="str">
        <f>IF(V1650&gt;Z1650,"Yes","No")</f>
        <v>No</v>
      </c>
      <c r="AB1650" s="12">
        <f>V1650-Z1650</f>
        <v>-36.700000000000003</v>
      </c>
      <c r="AC1650" s="15" t="s">
        <v>130</v>
      </c>
      <c r="AD1650" s="15" t="s">
        <v>131</v>
      </c>
      <c r="AE1650" s="15" t="s">
        <v>260</v>
      </c>
      <c r="AF1650" s="12">
        <f>IF(AG1650="Rejected",0,IF(R1650="Corporate Card",0,V1650))</f>
        <v>38.299999999999997</v>
      </c>
      <c r="AG1650" s="15" t="s">
        <v>133</v>
      </c>
      <c r="AH1650" s="16">
        <v>45860</v>
      </c>
      <c r="AI1650" s="16">
        <v>45862</v>
      </c>
      <c r="AJ1650" s="16">
        <v>45876</v>
      </c>
      <c r="AK1650" s="17">
        <f>IF(AJ1650="","",AJ1650-AH1650)</f>
        <v>16</v>
      </c>
    </row>
    <row r="1651" spans="1:37">
      <c r="A1651" s="2" t="s">
        <v>2094</v>
      </c>
      <c r="B1651" s="2" t="s">
        <v>287</v>
      </c>
      <c r="C1651" s="2" t="s">
        <v>288</v>
      </c>
      <c r="D1651" s="2" t="s">
        <v>171</v>
      </c>
      <c r="E1651" s="2" t="s">
        <v>289</v>
      </c>
      <c r="F1651" s="2" t="s">
        <v>173</v>
      </c>
      <c r="G1651" s="2" t="s">
        <v>2026</v>
      </c>
      <c r="H1651" s="2" t="s">
        <v>448</v>
      </c>
      <c r="I1651" s="2" t="s">
        <v>194</v>
      </c>
      <c r="J1651" s="2" t="s">
        <v>195</v>
      </c>
      <c r="K1651" s="9">
        <v>45843</v>
      </c>
      <c r="L1651" s="9">
        <v>45851</v>
      </c>
      <c r="M1651" s="9">
        <v>45848</v>
      </c>
      <c r="N1651" s="2" t="s">
        <v>1986</v>
      </c>
      <c r="O1651" s="2" t="s">
        <v>58</v>
      </c>
      <c r="P1651" s="2" t="s">
        <v>142</v>
      </c>
      <c r="Q1651" s="2" t="s">
        <v>296</v>
      </c>
      <c r="R1651" s="2" t="s">
        <v>137</v>
      </c>
      <c r="S1651" s="2" t="s">
        <v>198</v>
      </c>
      <c r="T1651" s="10">
        <v>25.26</v>
      </c>
      <c r="U1651" s="11">
        <v>1.085</v>
      </c>
      <c r="V1651" s="12">
        <f>T1651*U1651</f>
        <v>27.4071</v>
      </c>
      <c r="W1651" s="13">
        <v>0.19</v>
      </c>
      <c r="X1651" s="12">
        <f>V1651-(V1651/(1+W1651))</f>
        <v>4.3759235294117644</v>
      </c>
      <c r="Y1651" s="12">
        <f>V1651-X1651</f>
        <v>23.031176470588235</v>
      </c>
      <c r="Z1651" s="14">
        <v>60</v>
      </c>
      <c r="AA1651" s="2" t="str">
        <f>IF(V1651&gt;Z1651,"Yes","No")</f>
        <v>No</v>
      </c>
      <c r="AB1651" s="12">
        <f>V1651-Z1651</f>
        <v>-32.5929</v>
      </c>
      <c r="AC1651" s="15" t="s">
        <v>130</v>
      </c>
      <c r="AD1651" s="15" t="s">
        <v>131</v>
      </c>
      <c r="AE1651" s="15" t="s">
        <v>180</v>
      </c>
      <c r="AF1651" s="12">
        <f>IF(AG1651="Rejected",0,IF(R1651="Corporate Card",0,V1651))</f>
        <v>27.4071</v>
      </c>
      <c r="AG1651" s="15" t="s">
        <v>133</v>
      </c>
      <c r="AH1651" s="16">
        <v>45863</v>
      </c>
      <c r="AI1651" s="16">
        <v>45865</v>
      </c>
      <c r="AJ1651" s="16">
        <v>45870</v>
      </c>
      <c r="AK1651" s="17">
        <f>IF(AJ1651="","",AJ1651-AH1651)</f>
        <v>7</v>
      </c>
    </row>
    <row r="1652" spans="1:37">
      <c r="A1652" s="2" t="s">
        <v>2095</v>
      </c>
      <c r="B1652" s="2" t="s">
        <v>287</v>
      </c>
      <c r="C1652" s="2" t="s">
        <v>288</v>
      </c>
      <c r="D1652" s="2" t="s">
        <v>171</v>
      </c>
      <c r="E1652" s="2" t="s">
        <v>289</v>
      </c>
      <c r="F1652" s="2" t="s">
        <v>173</v>
      </c>
      <c r="G1652" s="2" t="s">
        <v>2026</v>
      </c>
      <c r="H1652" s="2" t="s">
        <v>448</v>
      </c>
      <c r="I1652" s="2" t="s">
        <v>194</v>
      </c>
      <c r="J1652" s="2" t="s">
        <v>195</v>
      </c>
      <c r="K1652" s="9">
        <v>45843</v>
      </c>
      <c r="L1652" s="9">
        <v>45851</v>
      </c>
      <c r="M1652" s="9">
        <v>45848</v>
      </c>
      <c r="N1652" s="2" t="s">
        <v>1986</v>
      </c>
      <c r="O1652" s="2" t="s">
        <v>54</v>
      </c>
      <c r="P1652" s="2" t="s">
        <v>139</v>
      </c>
      <c r="Q1652" s="2" t="s">
        <v>140</v>
      </c>
      <c r="R1652" s="2" t="s">
        <v>128</v>
      </c>
      <c r="S1652" s="2" t="s">
        <v>198</v>
      </c>
      <c r="T1652" s="10">
        <v>8.91</v>
      </c>
      <c r="U1652" s="11">
        <v>1.085</v>
      </c>
      <c r="V1652" s="12">
        <f>T1652*U1652</f>
        <v>9.667349999999999</v>
      </c>
      <c r="W1652" s="13">
        <v>0.19</v>
      </c>
      <c r="X1652" s="12">
        <f>V1652-(V1652/(1+W1652))</f>
        <v>1.543526470588235</v>
      </c>
      <c r="Y1652" s="12">
        <f>V1652-X1652</f>
        <v>8.123823529411764</v>
      </c>
      <c r="Z1652" s="14">
        <v>25</v>
      </c>
      <c r="AA1652" s="2" t="str">
        <f>IF(V1652&gt;Z1652,"Yes","No")</f>
        <v>No</v>
      </c>
      <c r="AB1652" s="12">
        <f>V1652-Z1652</f>
        <v>-15.332650000000001</v>
      </c>
      <c r="AC1652" s="15" t="s">
        <v>130</v>
      </c>
      <c r="AD1652" s="15" t="s">
        <v>131</v>
      </c>
      <c r="AE1652" s="15" t="s">
        <v>180</v>
      </c>
      <c r="AF1652" s="12">
        <f>IF(AG1652="Rejected",0,IF(R1652="Corporate Card",0,V1652))</f>
        <v>0</v>
      </c>
      <c r="AG1652" s="15" t="s">
        <v>133</v>
      </c>
      <c r="AH1652" s="16">
        <v>45863</v>
      </c>
      <c r="AI1652" s="16">
        <v>45865</v>
      </c>
      <c r="AJ1652" s="16">
        <v>45870</v>
      </c>
      <c r="AK1652" s="17">
        <f>IF(AJ1652="","",AJ1652-AH1652)</f>
        <v>7</v>
      </c>
    </row>
    <row r="1653" spans="1:37">
      <c r="A1653" s="2" t="s">
        <v>2096</v>
      </c>
      <c r="B1653" s="2" t="s">
        <v>287</v>
      </c>
      <c r="C1653" s="2" t="s">
        <v>288</v>
      </c>
      <c r="D1653" s="2" t="s">
        <v>171</v>
      </c>
      <c r="E1653" s="2" t="s">
        <v>289</v>
      </c>
      <c r="F1653" s="2" t="s">
        <v>173</v>
      </c>
      <c r="G1653" s="2" t="s">
        <v>2026</v>
      </c>
      <c r="H1653" s="2" t="s">
        <v>448</v>
      </c>
      <c r="I1653" s="2" t="s">
        <v>194</v>
      </c>
      <c r="J1653" s="2" t="s">
        <v>195</v>
      </c>
      <c r="K1653" s="9">
        <v>45843</v>
      </c>
      <c r="L1653" s="9">
        <v>45851</v>
      </c>
      <c r="M1653" s="9">
        <v>45848</v>
      </c>
      <c r="N1653" s="2" t="s">
        <v>1986</v>
      </c>
      <c r="O1653" s="2" t="s">
        <v>56</v>
      </c>
      <c r="P1653" s="2" t="s">
        <v>231</v>
      </c>
      <c r="Q1653" s="2" t="s">
        <v>152</v>
      </c>
      <c r="R1653" s="2" t="s">
        <v>149</v>
      </c>
      <c r="S1653" s="2" t="s">
        <v>198</v>
      </c>
      <c r="T1653" s="10">
        <v>69.08</v>
      </c>
      <c r="U1653" s="11">
        <v>1.085</v>
      </c>
      <c r="V1653" s="12">
        <f>T1653*U1653</f>
        <v>74.951799999999992</v>
      </c>
      <c r="W1653" s="13">
        <v>0.19</v>
      </c>
      <c r="X1653" s="12">
        <f>V1653-(V1653/(1+W1653))</f>
        <v>11.967094117647058</v>
      </c>
      <c r="Y1653" s="12">
        <f>V1653-X1653</f>
        <v>62.984705882352934</v>
      </c>
      <c r="Z1653" s="14">
        <v>75</v>
      </c>
      <c r="AA1653" s="2" t="str">
        <f>IF(V1653&gt;Z1653,"Yes","No")</f>
        <v>No</v>
      </c>
      <c r="AB1653" s="12">
        <f>V1653-Z1653</f>
        <v>-4.8200000000008458E-2</v>
      </c>
      <c r="AC1653" s="15" t="s">
        <v>130</v>
      </c>
      <c r="AD1653" s="15" t="s">
        <v>131</v>
      </c>
      <c r="AE1653" s="15" t="s">
        <v>180</v>
      </c>
      <c r="AF1653" s="12">
        <f>IF(AG1653="Rejected",0,IF(R1653="Corporate Card",0,V1653))</f>
        <v>74.951799999999992</v>
      </c>
      <c r="AG1653" s="15" t="s">
        <v>133</v>
      </c>
      <c r="AH1653" s="16">
        <v>45863</v>
      </c>
      <c r="AI1653" s="16">
        <v>45865</v>
      </c>
      <c r="AJ1653" s="16">
        <v>45870</v>
      </c>
      <c r="AK1653" s="17">
        <f>IF(AJ1653="","",AJ1653-AH1653)</f>
        <v>7</v>
      </c>
    </row>
    <row r="1654" spans="1:37">
      <c r="A1654" s="2" t="s">
        <v>2097</v>
      </c>
      <c r="B1654" s="2" t="s">
        <v>287</v>
      </c>
      <c r="C1654" s="2" t="s">
        <v>288</v>
      </c>
      <c r="D1654" s="2" t="s">
        <v>171</v>
      </c>
      <c r="E1654" s="2" t="s">
        <v>289</v>
      </c>
      <c r="F1654" s="2" t="s">
        <v>173</v>
      </c>
      <c r="G1654" s="2" t="s">
        <v>2026</v>
      </c>
      <c r="H1654" s="2" t="s">
        <v>448</v>
      </c>
      <c r="I1654" s="2" t="s">
        <v>194</v>
      </c>
      <c r="J1654" s="2" t="s">
        <v>195</v>
      </c>
      <c r="K1654" s="9">
        <v>45843</v>
      </c>
      <c r="L1654" s="9">
        <v>45851</v>
      </c>
      <c r="M1654" s="9">
        <v>45848</v>
      </c>
      <c r="N1654" s="2" t="s">
        <v>1986</v>
      </c>
      <c r="O1654" s="2" t="s">
        <v>55</v>
      </c>
      <c r="P1654" s="2" t="s">
        <v>139</v>
      </c>
      <c r="Q1654" s="2" t="s">
        <v>217</v>
      </c>
      <c r="R1654" s="2" t="s">
        <v>128</v>
      </c>
      <c r="S1654" s="2" t="s">
        <v>198</v>
      </c>
      <c r="T1654" s="10">
        <v>12.55</v>
      </c>
      <c r="U1654" s="11">
        <v>1.085</v>
      </c>
      <c r="V1654" s="12">
        <f>T1654*U1654</f>
        <v>13.61675</v>
      </c>
      <c r="W1654" s="13">
        <v>0.19</v>
      </c>
      <c r="X1654" s="12">
        <f>V1654-(V1654/(1+W1654))</f>
        <v>2.1741029411764696</v>
      </c>
      <c r="Y1654" s="12">
        <f>V1654-X1654</f>
        <v>11.44264705882353</v>
      </c>
      <c r="Z1654" s="14">
        <v>35</v>
      </c>
      <c r="AA1654" s="2" t="str">
        <f>IF(V1654&gt;Z1654,"Yes","No")</f>
        <v>No</v>
      </c>
      <c r="AB1654" s="12">
        <f>V1654-Z1654</f>
        <v>-21.38325</v>
      </c>
      <c r="AC1654" s="15" t="s">
        <v>130</v>
      </c>
      <c r="AD1654" s="15" t="s">
        <v>131</v>
      </c>
      <c r="AE1654" s="15" t="s">
        <v>180</v>
      </c>
      <c r="AF1654" s="12">
        <f>IF(AG1654="Rejected",0,IF(R1654="Corporate Card",0,V1654))</f>
        <v>0</v>
      </c>
      <c r="AG1654" s="15" t="s">
        <v>133</v>
      </c>
      <c r="AH1654" s="16">
        <v>45863</v>
      </c>
      <c r="AI1654" s="16">
        <v>45865</v>
      </c>
      <c r="AJ1654" s="16">
        <v>45870</v>
      </c>
      <c r="AK1654" s="17">
        <f>IF(AJ1654="","",AJ1654-AH1654)</f>
        <v>7</v>
      </c>
    </row>
    <row r="1655" spans="1:37">
      <c r="A1655" s="2" t="s">
        <v>2098</v>
      </c>
      <c r="B1655" s="2" t="s">
        <v>310</v>
      </c>
      <c r="C1655" s="2" t="s">
        <v>311</v>
      </c>
      <c r="D1655" s="2" t="s">
        <v>118</v>
      </c>
      <c r="E1655" s="2" t="s">
        <v>312</v>
      </c>
      <c r="F1655" s="2" t="s">
        <v>313</v>
      </c>
      <c r="G1655" s="2" t="s">
        <v>2099</v>
      </c>
      <c r="H1655" s="2" t="s">
        <v>348</v>
      </c>
      <c r="I1655" s="2" t="s">
        <v>553</v>
      </c>
      <c r="J1655" s="2" t="s">
        <v>553</v>
      </c>
      <c r="K1655" s="9">
        <v>45848</v>
      </c>
      <c r="L1655" s="9">
        <v>45856</v>
      </c>
      <c r="M1655" s="9">
        <v>45848</v>
      </c>
      <c r="N1655" s="2" t="s">
        <v>1986</v>
      </c>
      <c r="O1655" s="2" t="s">
        <v>52</v>
      </c>
      <c r="P1655" s="2" t="s">
        <v>554</v>
      </c>
      <c r="Q1655" s="2" t="s">
        <v>178</v>
      </c>
      <c r="R1655" s="2" t="s">
        <v>137</v>
      </c>
      <c r="S1655" s="2" t="s">
        <v>555</v>
      </c>
      <c r="T1655" s="10">
        <v>1546.48</v>
      </c>
      <c r="U1655" s="11">
        <v>0.74299999999999999</v>
      </c>
      <c r="V1655" s="12">
        <f>T1655*U1655</f>
        <v>1149.0346400000001</v>
      </c>
      <c r="W1655" s="13">
        <v>0</v>
      </c>
      <c r="X1655" s="12">
        <f>V1655-(V1655/(1+W1655))</f>
        <v>0</v>
      </c>
      <c r="Y1655" s="12">
        <f>V1655-X1655</f>
        <v>1149.0346400000001</v>
      </c>
      <c r="Z1655" s="14">
        <v>1400</v>
      </c>
      <c r="AA1655" s="2" t="str">
        <f>IF(V1655&gt;Z1655,"Yes","No")</f>
        <v>No</v>
      </c>
      <c r="AB1655" s="12">
        <f>V1655-Z1655</f>
        <v>-250.96535999999992</v>
      </c>
      <c r="AC1655" s="15" t="s">
        <v>130</v>
      </c>
      <c r="AD1655" s="15" t="s">
        <v>130</v>
      </c>
      <c r="AE1655" s="15" t="s">
        <v>180</v>
      </c>
      <c r="AF1655" s="12">
        <f>IF(AG1655="Rejected",0,IF(R1655="Corporate Card",0,V1655))</f>
        <v>1149.0346400000001</v>
      </c>
      <c r="AG1655" s="15" t="s">
        <v>133</v>
      </c>
      <c r="AH1655" s="16">
        <v>45865</v>
      </c>
      <c r="AI1655" s="16">
        <v>45867</v>
      </c>
      <c r="AJ1655" s="16">
        <v>45876</v>
      </c>
      <c r="AK1655" s="17">
        <f>IF(AJ1655="","",AJ1655-AH1655)</f>
        <v>11</v>
      </c>
    </row>
    <row r="1656" spans="1:37">
      <c r="A1656" s="2" t="s">
        <v>2100</v>
      </c>
      <c r="B1656" s="2" t="s">
        <v>310</v>
      </c>
      <c r="C1656" s="2" t="s">
        <v>311</v>
      </c>
      <c r="D1656" s="2" t="s">
        <v>118</v>
      </c>
      <c r="E1656" s="2" t="s">
        <v>312</v>
      </c>
      <c r="F1656" s="2" t="s">
        <v>313</v>
      </c>
      <c r="G1656" s="2" t="s">
        <v>2099</v>
      </c>
      <c r="H1656" s="2" t="s">
        <v>348</v>
      </c>
      <c r="I1656" s="2" t="s">
        <v>553</v>
      </c>
      <c r="J1656" s="2" t="s">
        <v>553</v>
      </c>
      <c r="K1656" s="9">
        <v>45848</v>
      </c>
      <c r="L1656" s="9">
        <v>45856</v>
      </c>
      <c r="M1656" s="9">
        <v>45848</v>
      </c>
      <c r="N1656" s="2" t="s">
        <v>1986</v>
      </c>
      <c r="O1656" s="2" t="s">
        <v>54</v>
      </c>
      <c r="P1656" s="2" t="s">
        <v>139</v>
      </c>
      <c r="Q1656" s="2" t="s">
        <v>163</v>
      </c>
      <c r="R1656" s="2" t="s">
        <v>149</v>
      </c>
      <c r="S1656" s="2" t="s">
        <v>555</v>
      </c>
      <c r="T1656" s="10">
        <v>46.08</v>
      </c>
      <c r="U1656" s="11">
        <v>0.74299999999999999</v>
      </c>
      <c r="V1656" s="12">
        <f>T1656*U1656</f>
        <v>34.237439999999999</v>
      </c>
      <c r="W1656" s="13">
        <v>0.09</v>
      </c>
      <c r="X1656" s="12">
        <f>V1656-(V1656/(1+W1656))</f>
        <v>2.826944587155964</v>
      </c>
      <c r="Y1656" s="12">
        <f>V1656-X1656</f>
        <v>31.410495412844035</v>
      </c>
      <c r="Z1656" s="14">
        <v>25</v>
      </c>
      <c r="AA1656" s="2" t="str">
        <f>IF(V1656&gt;Z1656,"Yes","No")</f>
        <v>Yes</v>
      </c>
      <c r="AB1656" s="12">
        <f>V1656-Z1656</f>
        <v>9.2374399999999994</v>
      </c>
      <c r="AC1656" s="15" t="s">
        <v>130</v>
      </c>
      <c r="AD1656" s="15" t="s">
        <v>130</v>
      </c>
      <c r="AE1656" s="15" t="s">
        <v>180</v>
      </c>
      <c r="AF1656" s="12">
        <f>IF(AG1656="Rejected",0,IF(R1656="Corporate Card",0,V1656))</f>
        <v>34.237439999999999</v>
      </c>
      <c r="AG1656" s="15" t="s">
        <v>133</v>
      </c>
      <c r="AH1656" s="16">
        <v>45865</v>
      </c>
      <c r="AI1656" s="16">
        <v>45867</v>
      </c>
      <c r="AJ1656" s="16">
        <v>45876</v>
      </c>
      <c r="AK1656" s="17">
        <f>IF(AJ1656="","",AJ1656-AH1656)</f>
        <v>11</v>
      </c>
    </row>
    <row r="1657" spans="1:37">
      <c r="A1657" s="2" t="s">
        <v>2101</v>
      </c>
      <c r="B1657" s="2" t="s">
        <v>310</v>
      </c>
      <c r="C1657" s="2" t="s">
        <v>311</v>
      </c>
      <c r="D1657" s="2" t="s">
        <v>118</v>
      </c>
      <c r="E1657" s="2" t="s">
        <v>312</v>
      </c>
      <c r="F1657" s="2" t="s">
        <v>313</v>
      </c>
      <c r="G1657" s="2" t="s">
        <v>2099</v>
      </c>
      <c r="H1657" s="2" t="s">
        <v>348</v>
      </c>
      <c r="I1657" s="2" t="s">
        <v>553</v>
      </c>
      <c r="J1657" s="2" t="s">
        <v>553</v>
      </c>
      <c r="K1657" s="9">
        <v>45848</v>
      </c>
      <c r="L1657" s="9">
        <v>45856</v>
      </c>
      <c r="M1657" s="9">
        <v>45848</v>
      </c>
      <c r="N1657" s="2" t="s">
        <v>1986</v>
      </c>
      <c r="O1657" s="2" t="s">
        <v>56</v>
      </c>
      <c r="P1657" s="2" t="s">
        <v>165</v>
      </c>
      <c r="Q1657" s="2" t="s">
        <v>159</v>
      </c>
      <c r="R1657" s="2" t="s">
        <v>128</v>
      </c>
      <c r="S1657" s="2" t="s">
        <v>555</v>
      </c>
      <c r="T1657" s="10">
        <v>59.53</v>
      </c>
      <c r="U1657" s="11">
        <v>0.74299999999999999</v>
      </c>
      <c r="V1657" s="12">
        <f>T1657*U1657</f>
        <v>44.230789999999999</v>
      </c>
      <c r="W1657" s="13">
        <v>0.09</v>
      </c>
      <c r="X1657" s="12">
        <f>V1657-(V1657/(1+W1657))</f>
        <v>3.6520835779816565</v>
      </c>
      <c r="Y1657" s="12">
        <f>V1657-X1657</f>
        <v>40.578706422018342</v>
      </c>
      <c r="Z1657" s="14">
        <v>75</v>
      </c>
      <c r="AA1657" s="2" t="str">
        <f>IF(V1657&gt;Z1657,"Yes","No")</f>
        <v>No</v>
      </c>
      <c r="AB1657" s="12">
        <f>V1657-Z1657</f>
        <v>-30.769210000000001</v>
      </c>
      <c r="AC1657" s="15" t="s">
        <v>130</v>
      </c>
      <c r="AD1657" s="15" t="s">
        <v>130</v>
      </c>
      <c r="AE1657" s="15" t="s">
        <v>180</v>
      </c>
      <c r="AF1657" s="12">
        <f>IF(AG1657="Rejected",0,IF(R1657="Corporate Card",0,V1657))</f>
        <v>0</v>
      </c>
      <c r="AG1657" s="15" t="s">
        <v>133</v>
      </c>
      <c r="AH1657" s="16">
        <v>45865</v>
      </c>
      <c r="AI1657" s="16">
        <v>45867</v>
      </c>
      <c r="AJ1657" s="16">
        <v>45876</v>
      </c>
      <c r="AK1657" s="17">
        <f>IF(AJ1657="","",AJ1657-AH1657)</f>
        <v>11</v>
      </c>
    </row>
    <row r="1658" spans="1:37">
      <c r="A1658" s="2" t="s">
        <v>2102</v>
      </c>
      <c r="B1658" s="2" t="s">
        <v>310</v>
      </c>
      <c r="C1658" s="2" t="s">
        <v>311</v>
      </c>
      <c r="D1658" s="2" t="s">
        <v>118</v>
      </c>
      <c r="E1658" s="2" t="s">
        <v>312</v>
      </c>
      <c r="F1658" s="2" t="s">
        <v>313</v>
      </c>
      <c r="G1658" s="2" t="s">
        <v>2099</v>
      </c>
      <c r="H1658" s="2" t="s">
        <v>348</v>
      </c>
      <c r="I1658" s="2" t="s">
        <v>553</v>
      </c>
      <c r="J1658" s="2" t="s">
        <v>553</v>
      </c>
      <c r="K1658" s="9">
        <v>45848</v>
      </c>
      <c r="L1658" s="9">
        <v>45856</v>
      </c>
      <c r="M1658" s="9">
        <v>45848</v>
      </c>
      <c r="N1658" s="2" t="s">
        <v>1986</v>
      </c>
      <c r="O1658" s="2" t="s">
        <v>55</v>
      </c>
      <c r="P1658" s="2" t="s">
        <v>139</v>
      </c>
      <c r="Q1658" s="2" t="s">
        <v>161</v>
      </c>
      <c r="R1658" s="2" t="s">
        <v>128</v>
      </c>
      <c r="S1658" s="2" t="s">
        <v>555</v>
      </c>
      <c r="T1658" s="10">
        <v>18.02</v>
      </c>
      <c r="U1658" s="11">
        <v>0.74299999999999999</v>
      </c>
      <c r="V1658" s="12">
        <f>T1658*U1658</f>
        <v>13.388859999999999</v>
      </c>
      <c r="W1658" s="13">
        <v>0.09</v>
      </c>
      <c r="X1658" s="12">
        <f>V1658-(V1658/(1+W1658))</f>
        <v>1.105502201834863</v>
      </c>
      <c r="Y1658" s="12">
        <f>V1658-X1658</f>
        <v>12.283357798165136</v>
      </c>
      <c r="Z1658" s="14">
        <v>35</v>
      </c>
      <c r="AA1658" s="2" t="str">
        <f>IF(V1658&gt;Z1658,"Yes","No")</f>
        <v>No</v>
      </c>
      <c r="AB1658" s="12">
        <f>V1658-Z1658</f>
        <v>-21.611139999999999</v>
      </c>
      <c r="AC1658" s="15" t="s">
        <v>130</v>
      </c>
      <c r="AD1658" s="15" t="s">
        <v>130</v>
      </c>
      <c r="AE1658" s="15" t="s">
        <v>180</v>
      </c>
      <c r="AF1658" s="12">
        <f>IF(AG1658="Rejected",0,IF(R1658="Corporate Card",0,V1658))</f>
        <v>0</v>
      </c>
      <c r="AG1658" s="15" t="s">
        <v>133</v>
      </c>
      <c r="AH1658" s="16">
        <v>45865</v>
      </c>
      <c r="AI1658" s="16">
        <v>45867</v>
      </c>
      <c r="AJ1658" s="16">
        <v>45876</v>
      </c>
      <c r="AK1658" s="17">
        <f>IF(AJ1658="","",AJ1658-AH1658)</f>
        <v>11</v>
      </c>
    </row>
    <row r="1659" spans="1:37">
      <c r="A1659" s="2" t="s">
        <v>2103</v>
      </c>
      <c r="B1659" s="2" t="s">
        <v>287</v>
      </c>
      <c r="C1659" s="2" t="s">
        <v>288</v>
      </c>
      <c r="D1659" s="2" t="s">
        <v>171</v>
      </c>
      <c r="E1659" s="2" t="s">
        <v>289</v>
      </c>
      <c r="F1659" s="2" t="s">
        <v>173</v>
      </c>
      <c r="G1659" s="2" t="s">
        <v>2057</v>
      </c>
      <c r="H1659" s="2" t="s">
        <v>254</v>
      </c>
      <c r="I1659" s="2" t="s">
        <v>1038</v>
      </c>
      <c r="J1659" s="2" t="s">
        <v>381</v>
      </c>
      <c r="K1659" s="9">
        <v>45845</v>
      </c>
      <c r="L1659" s="9">
        <v>45853</v>
      </c>
      <c r="M1659" s="9">
        <v>45849</v>
      </c>
      <c r="N1659" s="2" t="s">
        <v>1986</v>
      </c>
      <c r="O1659" s="2" t="s">
        <v>58</v>
      </c>
      <c r="P1659" s="2" t="s">
        <v>142</v>
      </c>
      <c r="Q1659" s="2" t="s">
        <v>203</v>
      </c>
      <c r="R1659" s="2" t="s">
        <v>137</v>
      </c>
      <c r="S1659" s="2" t="s">
        <v>383</v>
      </c>
      <c r="T1659" s="10">
        <v>65.42</v>
      </c>
      <c r="U1659" s="11">
        <v>1</v>
      </c>
      <c r="V1659" s="12">
        <f>T1659*U1659</f>
        <v>65.42</v>
      </c>
      <c r="W1659" s="13">
        <v>0</v>
      </c>
      <c r="X1659" s="12">
        <f>V1659-(V1659/(1+W1659))</f>
        <v>0</v>
      </c>
      <c r="Y1659" s="12">
        <f>V1659-X1659</f>
        <v>65.42</v>
      </c>
      <c r="Z1659" s="14">
        <v>60</v>
      </c>
      <c r="AA1659" s="2" t="str">
        <f>IF(V1659&gt;Z1659,"Yes","No")</f>
        <v>Yes</v>
      </c>
      <c r="AB1659" s="12">
        <f>V1659-Z1659</f>
        <v>5.4200000000000017</v>
      </c>
      <c r="AC1659" s="15" t="s">
        <v>130</v>
      </c>
      <c r="AD1659" s="15" t="s">
        <v>131</v>
      </c>
      <c r="AE1659" s="15" t="s">
        <v>260</v>
      </c>
      <c r="AF1659" s="12">
        <f>IF(AG1659="Rejected",0,IF(R1659="Corporate Card",0,V1659))</f>
        <v>65.42</v>
      </c>
      <c r="AG1659" s="15" t="s">
        <v>133</v>
      </c>
      <c r="AH1659" s="16">
        <v>45860</v>
      </c>
      <c r="AI1659" s="16">
        <v>45862</v>
      </c>
      <c r="AJ1659" s="16">
        <v>45876</v>
      </c>
      <c r="AK1659" s="17">
        <f>IF(AJ1659="","",AJ1659-AH1659)</f>
        <v>16</v>
      </c>
    </row>
    <row r="1660" spans="1:37">
      <c r="A1660" s="2" t="s">
        <v>2104</v>
      </c>
      <c r="B1660" s="2" t="s">
        <v>287</v>
      </c>
      <c r="C1660" s="2" t="s">
        <v>288</v>
      </c>
      <c r="D1660" s="2" t="s">
        <v>171</v>
      </c>
      <c r="E1660" s="2" t="s">
        <v>289</v>
      </c>
      <c r="F1660" s="2" t="s">
        <v>173</v>
      </c>
      <c r="G1660" s="2" t="s">
        <v>2057</v>
      </c>
      <c r="H1660" s="2" t="s">
        <v>254</v>
      </c>
      <c r="I1660" s="2" t="s">
        <v>1038</v>
      </c>
      <c r="J1660" s="2" t="s">
        <v>381</v>
      </c>
      <c r="K1660" s="9">
        <v>45845</v>
      </c>
      <c r="L1660" s="9">
        <v>45853</v>
      </c>
      <c r="M1660" s="9">
        <v>45849</v>
      </c>
      <c r="N1660" s="2" t="s">
        <v>1986</v>
      </c>
      <c r="O1660" s="2" t="s">
        <v>54</v>
      </c>
      <c r="P1660" s="2" t="s">
        <v>139</v>
      </c>
      <c r="Q1660" s="2" t="s">
        <v>148</v>
      </c>
      <c r="R1660" s="2" t="s">
        <v>149</v>
      </c>
      <c r="S1660" s="2" t="s">
        <v>383</v>
      </c>
      <c r="T1660" s="10">
        <v>21.13</v>
      </c>
      <c r="U1660" s="11">
        <v>1</v>
      </c>
      <c r="V1660" s="12">
        <f>T1660*U1660</f>
        <v>21.13</v>
      </c>
      <c r="W1660" s="13">
        <v>0</v>
      </c>
      <c r="X1660" s="12">
        <f>V1660-(V1660/(1+W1660))</f>
        <v>0</v>
      </c>
      <c r="Y1660" s="12">
        <f>V1660-X1660</f>
        <v>21.13</v>
      </c>
      <c r="Z1660" s="14">
        <v>25</v>
      </c>
      <c r="AA1660" s="2" t="str">
        <f>IF(V1660&gt;Z1660,"Yes","No")</f>
        <v>No</v>
      </c>
      <c r="AB1660" s="12">
        <f>V1660-Z1660</f>
        <v>-3.870000000000001</v>
      </c>
      <c r="AC1660" s="15" t="s">
        <v>130</v>
      </c>
      <c r="AD1660" s="15" t="s">
        <v>131</v>
      </c>
      <c r="AE1660" s="15" t="s">
        <v>260</v>
      </c>
      <c r="AF1660" s="12">
        <f>IF(AG1660="Rejected",0,IF(R1660="Corporate Card",0,V1660))</f>
        <v>21.13</v>
      </c>
      <c r="AG1660" s="15" t="s">
        <v>133</v>
      </c>
      <c r="AH1660" s="16">
        <v>45860</v>
      </c>
      <c r="AI1660" s="16">
        <v>45862</v>
      </c>
      <c r="AJ1660" s="16">
        <v>45876</v>
      </c>
      <c r="AK1660" s="17">
        <f>IF(AJ1660="","",AJ1660-AH1660)</f>
        <v>16</v>
      </c>
    </row>
    <row r="1661" spans="1:37">
      <c r="A1661" s="2" t="s">
        <v>2105</v>
      </c>
      <c r="B1661" s="2" t="s">
        <v>287</v>
      </c>
      <c r="C1661" s="2" t="s">
        <v>288</v>
      </c>
      <c r="D1661" s="2" t="s">
        <v>171</v>
      </c>
      <c r="E1661" s="2" t="s">
        <v>289</v>
      </c>
      <c r="F1661" s="2" t="s">
        <v>173</v>
      </c>
      <c r="G1661" s="2" t="s">
        <v>2057</v>
      </c>
      <c r="H1661" s="2" t="s">
        <v>254</v>
      </c>
      <c r="I1661" s="2" t="s">
        <v>1038</v>
      </c>
      <c r="J1661" s="2" t="s">
        <v>381</v>
      </c>
      <c r="K1661" s="9">
        <v>45845</v>
      </c>
      <c r="L1661" s="9">
        <v>45853</v>
      </c>
      <c r="M1661" s="9">
        <v>45849</v>
      </c>
      <c r="N1661" s="2" t="s">
        <v>1986</v>
      </c>
      <c r="O1661" s="2" t="s">
        <v>56</v>
      </c>
      <c r="P1661" s="2" t="s">
        <v>245</v>
      </c>
      <c r="Q1661" s="2" t="s">
        <v>185</v>
      </c>
      <c r="R1661" s="2" t="s">
        <v>137</v>
      </c>
      <c r="S1661" s="2" t="s">
        <v>383</v>
      </c>
      <c r="T1661" s="10">
        <v>35.28</v>
      </c>
      <c r="U1661" s="11">
        <v>1</v>
      </c>
      <c r="V1661" s="12">
        <f>T1661*U1661</f>
        <v>35.28</v>
      </c>
      <c r="W1661" s="13">
        <v>0</v>
      </c>
      <c r="X1661" s="12">
        <f>V1661-(V1661/(1+W1661))</f>
        <v>0</v>
      </c>
      <c r="Y1661" s="12">
        <f>V1661-X1661</f>
        <v>35.28</v>
      </c>
      <c r="Z1661" s="14">
        <v>75</v>
      </c>
      <c r="AA1661" s="2" t="str">
        <f>IF(V1661&gt;Z1661,"Yes","No")</f>
        <v>No</v>
      </c>
      <c r="AB1661" s="12">
        <f>V1661-Z1661</f>
        <v>-39.72</v>
      </c>
      <c r="AC1661" s="15" t="s">
        <v>130</v>
      </c>
      <c r="AD1661" s="15" t="s">
        <v>131</v>
      </c>
      <c r="AE1661" s="15" t="s">
        <v>260</v>
      </c>
      <c r="AF1661" s="12">
        <f>IF(AG1661="Rejected",0,IF(R1661="Corporate Card",0,V1661))</f>
        <v>35.28</v>
      </c>
      <c r="AG1661" s="15" t="s">
        <v>133</v>
      </c>
      <c r="AH1661" s="16">
        <v>45860</v>
      </c>
      <c r="AI1661" s="16">
        <v>45862</v>
      </c>
      <c r="AJ1661" s="16">
        <v>45876</v>
      </c>
      <c r="AK1661" s="17">
        <f>IF(AJ1661="","",AJ1661-AH1661)</f>
        <v>16</v>
      </c>
    </row>
    <row r="1662" spans="1:37">
      <c r="A1662" s="2" t="s">
        <v>2106</v>
      </c>
      <c r="B1662" s="2" t="s">
        <v>287</v>
      </c>
      <c r="C1662" s="2" t="s">
        <v>288</v>
      </c>
      <c r="D1662" s="2" t="s">
        <v>171</v>
      </c>
      <c r="E1662" s="2" t="s">
        <v>289</v>
      </c>
      <c r="F1662" s="2" t="s">
        <v>173</v>
      </c>
      <c r="G1662" s="2" t="s">
        <v>2057</v>
      </c>
      <c r="H1662" s="2" t="s">
        <v>254</v>
      </c>
      <c r="I1662" s="2" t="s">
        <v>1038</v>
      </c>
      <c r="J1662" s="2" t="s">
        <v>381</v>
      </c>
      <c r="K1662" s="9">
        <v>45845</v>
      </c>
      <c r="L1662" s="9">
        <v>45853</v>
      </c>
      <c r="M1662" s="9">
        <v>45849</v>
      </c>
      <c r="N1662" s="2" t="s">
        <v>1986</v>
      </c>
      <c r="O1662" s="2" t="s">
        <v>55</v>
      </c>
      <c r="P1662" s="2" t="s">
        <v>139</v>
      </c>
      <c r="Q1662" s="2" t="s">
        <v>154</v>
      </c>
      <c r="R1662" s="2" t="s">
        <v>128</v>
      </c>
      <c r="S1662" s="2" t="s">
        <v>383</v>
      </c>
      <c r="T1662" s="10">
        <v>33.159999999999997</v>
      </c>
      <c r="U1662" s="11">
        <v>1</v>
      </c>
      <c r="V1662" s="12">
        <f>T1662*U1662</f>
        <v>33.159999999999997</v>
      </c>
      <c r="W1662" s="13">
        <v>0</v>
      </c>
      <c r="X1662" s="12">
        <f>V1662-(V1662/(1+W1662))</f>
        <v>0</v>
      </c>
      <c r="Y1662" s="12">
        <f>V1662-X1662</f>
        <v>33.159999999999997</v>
      </c>
      <c r="Z1662" s="14">
        <v>35</v>
      </c>
      <c r="AA1662" s="2" t="str">
        <f>IF(V1662&gt;Z1662,"Yes","No")</f>
        <v>No</v>
      </c>
      <c r="AB1662" s="12">
        <f>V1662-Z1662</f>
        <v>-1.8400000000000034</v>
      </c>
      <c r="AC1662" s="15" t="s">
        <v>130</v>
      </c>
      <c r="AD1662" s="15" t="s">
        <v>131</v>
      </c>
      <c r="AE1662" s="15" t="s">
        <v>260</v>
      </c>
      <c r="AF1662" s="12">
        <f>IF(AG1662="Rejected",0,IF(R1662="Corporate Card",0,V1662))</f>
        <v>0</v>
      </c>
      <c r="AG1662" s="15" t="s">
        <v>133</v>
      </c>
      <c r="AH1662" s="16">
        <v>45860</v>
      </c>
      <c r="AI1662" s="16">
        <v>45862</v>
      </c>
      <c r="AJ1662" s="16">
        <v>45876</v>
      </c>
      <c r="AK1662" s="17">
        <f>IF(AJ1662="","",AJ1662-AH1662)</f>
        <v>16</v>
      </c>
    </row>
    <row r="1663" spans="1:37">
      <c r="A1663" s="2" t="s">
        <v>2107</v>
      </c>
      <c r="B1663" s="2" t="s">
        <v>287</v>
      </c>
      <c r="C1663" s="2" t="s">
        <v>288</v>
      </c>
      <c r="D1663" s="2" t="s">
        <v>171</v>
      </c>
      <c r="E1663" s="2" t="s">
        <v>289</v>
      </c>
      <c r="F1663" s="2" t="s">
        <v>173</v>
      </c>
      <c r="G1663" s="2" t="s">
        <v>2026</v>
      </c>
      <c r="H1663" s="2" t="s">
        <v>448</v>
      </c>
      <c r="I1663" s="2" t="s">
        <v>194</v>
      </c>
      <c r="J1663" s="2" t="s">
        <v>195</v>
      </c>
      <c r="K1663" s="9">
        <v>45843</v>
      </c>
      <c r="L1663" s="9">
        <v>45851</v>
      </c>
      <c r="M1663" s="9">
        <v>45849</v>
      </c>
      <c r="N1663" s="2" t="s">
        <v>1986</v>
      </c>
      <c r="O1663" s="2" t="s">
        <v>54</v>
      </c>
      <c r="P1663" s="2" t="s">
        <v>139</v>
      </c>
      <c r="Q1663" s="2" t="s">
        <v>163</v>
      </c>
      <c r="R1663" s="2" t="s">
        <v>137</v>
      </c>
      <c r="S1663" s="2" t="s">
        <v>198</v>
      </c>
      <c r="T1663" s="10">
        <v>18.05</v>
      </c>
      <c r="U1663" s="11">
        <v>1.085</v>
      </c>
      <c r="V1663" s="12">
        <f>T1663*U1663</f>
        <v>19.584250000000001</v>
      </c>
      <c r="W1663" s="13">
        <v>0.19</v>
      </c>
      <c r="X1663" s="12">
        <f>V1663-(V1663/(1+W1663))</f>
        <v>3.1268970588235305</v>
      </c>
      <c r="Y1663" s="12">
        <f>V1663-X1663</f>
        <v>16.45735294117647</v>
      </c>
      <c r="Z1663" s="14">
        <v>25</v>
      </c>
      <c r="AA1663" s="2" t="str">
        <f>IF(V1663&gt;Z1663,"Yes","No")</f>
        <v>No</v>
      </c>
      <c r="AB1663" s="12">
        <f>V1663-Z1663</f>
        <v>-5.4157499999999992</v>
      </c>
      <c r="AC1663" s="15" t="s">
        <v>130</v>
      </c>
      <c r="AD1663" s="15" t="s">
        <v>131</v>
      </c>
      <c r="AE1663" s="15" t="s">
        <v>180</v>
      </c>
      <c r="AF1663" s="12">
        <f>IF(AG1663="Rejected",0,IF(R1663="Corporate Card",0,V1663))</f>
        <v>19.584250000000001</v>
      </c>
      <c r="AG1663" s="15" t="s">
        <v>133</v>
      </c>
      <c r="AH1663" s="16">
        <v>45863</v>
      </c>
      <c r="AI1663" s="16">
        <v>45865</v>
      </c>
      <c r="AJ1663" s="16">
        <v>45870</v>
      </c>
      <c r="AK1663" s="17">
        <f>IF(AJ1663="","",AJ1663-AH1663)</f>
        <v>7</v>
      </c>
    </row>
    <row r="1664" spans="1:37">
      <c r="A1664" s="2" t="s">
        <v>2108</v>
      </c>
      <c r="B1664" s="2" t="s">
        <v>287</v>
      </c>
      <c r="C1664" s="2" t="s">
        <v>288</v>
      </c>
      <c r="D1664" s="2" t="s">
        <v>171</v>
      </c>
      <c r="E1664" s="2" t="s">
        <v>289</v>
      </c>
      <c r="F1664" s="2" t="s">
        <v>173</v>
      </c>
      <c r="G1664" s="2" t="s">
        <v>2026</v>
      </c>
      <c r="H1664" s="2" t="s">
        <v>448</v>
      </c>
      <c r="I1664" s="2" t="s">
        <v>194</v>
      </c>
      <c r="J1664" s="2" t="s">
        <v>195</v>
      </c>
      <c r="K1664" s="9">
        <v>45843</v>
      </c>
      <c r="L1664" s="9">
        <v>45851</v>
      </c>
      <c r="M1664" s="9">
        <v>45849</v>
      </c>
      <c r="N1664" s="2" t="s">
        <v>1986</v>
      </c>
      <c r="O1664" s="2" t="s">
        <v>56</v>
      </c>
      <c r="P1664" s="2" t="s">
        <v>165</v>
      </c>
      <c r="Q1664" s="2" t="s">
        <v>159</v>
      </c>
      <c r="R1664" s="2" t="s">
        <v>128</v>
      </c>
      <c r="S1664" s="2" t="s">
        <v>198</v>
      </c>
      <c r="T1664" s="10">
        <v>51.59</v>
      </c>
      <c r="U1664" s="11">
        <v>1.085</v>
      </c>
      <c r="V1664" s="12">
        <f>T1664*U1664</f>
        <v>55.975149999999999</v>
      </c>
      <c r="W1664" s="13">
        <v>0.19</v>
      </c>
      <c r="X1664" s="12">
        <f>V1664-(V1664/(1+W1664))</f>
        <v>8.93720882352941</v>
      </c>
      <c r="Y1664" s="12">
        <f>V1664-X1664</f>
        <v>47.037941176470589</v>
      </c>
      <c r="Z1664" s="14">
        <v>75</v>
      </c>
      <c r="AA1664" s="2" t="str">
        <f>IF(V1664&gt;Z1664,"Yes","No")</f>
        <v>No</v>
      </c>
      <c r="AB1664" s="12">
        <f>V1664-Z1664</f>
        <v>-19.024850000000001</v>
      </c>
      <c r="AC1664" s="15" t="s">
        <v>130</v>
      </c>
      <c r="AD1664" s="15" t="s">
        <v>131</v>
      </c>
      <c r="AE1664" s="15" t="s">
        <v>180</v>
      </c>
      <c r="AF1664" s="12">
        <f>IF(AG1664="Rejected",0,IF(R1664="Corporate Card",0,V1664))</f>
        <v>0</v>
      </c>
      <c r="AG1664" s="15" t="s">
        <v>133</v>
      </c>
      <c r="AH1664" s="16">
        <v>45863</v>
      </c>
      <c r="AI1664" s="16">
        <v>45865</v>
      </c>
      <c r="AJ1664" s="16">
        <v>45870</v>
      </c>
      <c r="AK1664" s="17">
        <f>IF(AJ1664="","",AJ1664-AH1664)</f>
        <v>7</v>
      </c>
    </row>
    <row r="1665" spans="1:37">
      <c r="A1665" s="2" t="s">
        <v>2109</v>
      </c>
      <c r="B1665" s="2" t="s">
        <v>287</v>
      </c>
      <c r="C1665" s="2" t="s">
        <v>288</v>
      </c>
      <c r="D1665" s="2" t="s">
        <v>171</v>
      </c>
      <c r="E1665" s="2" t="s">
        <v>289</v>
      </c>
      <c r="F1665" s="2" t="s">
        <v>173</v>
      </c>
      <c r="G1665" s="2" t="s">
        <v>2026</v>
      </c>
      <c r="H1665" s="2" t="s">
        <v>448</v>
      </c>
      <c r="I1665" s="2" t="s">
        <v>194</v>
      </c>
      <c r="J1665" s="2" t="s">
        <v>195</v>
      </c>
      <c r="K1665" s="9">
        <v>45843</v>
      </c>
      <c r="L1665" s="9">
        <v>45851</v>
      </c>
      <c r="M1665" s="9">
        <v>45849</v>
      </c>
      <c r="N1665" s="2" t="s">
        <v>1986</v>
      </c>
      <c r="O1665" s="2" t="s">
        <v>55</v>
      </c>
      <c r="P1665" s="2" t="s">
        <v>139</v>
      </c>
      <c r="Q1665" s="2" t="s">
        <v>187</v>
      </c>
      <c r="R1665" s="2" t="s">
        <v>128</v>
      </c>
      <c r="S1665" s="2" t="s">
        <v>198</v>
      </c>
      <c r="T1665" s="10">
        <v>31.58</v>
      </c>
      <c r="U1665" s="11">
        <v>1.085</v>
      </c>
      <c r="V1665" s="12">
        <f>T1665*U1665</f>
        <v>34.264299999999999</v>
      </c>
      <c r="W1665" s="13">
        <v>0.19</v>
      </c>
      <c r="X1665" s="12">
        <f>V1665-(V1665/(1+W1665))</f>
        <v>5.4707705882352933</v>
      </c>
      <c r="Y1665" s="12">
        <f>V1665-X1665</f>
        <v>28.793529411764705</v>
      </c>
      <c r="Z1665" s="14">
        <v>35</v>
      </c>
      <c r="AA1665" s="2" t="str">
        <f>IF(V1665&gt;Z1665,"Yes","No")</f>
        <v>No</v>
      </c>
      <c r="AB1665" s="12">
        <f>V1665-Z1665</f>
        <v>-0.73570000000000135</v>
      </c>
      <c r="AC1665" s="15" t="s">
        <v>130</v>
      </c>
      <c r="AD1665" s="15" t="s">
        <v>131</v>
      </c>
      <c r="AE1665" s="15" t="s">
        <v>180</v>
      </c>
      <c r="AF1665" s="12">
        <f>IF(AG1665="Rejected",0,IF(R1665="Corporate Card",0,V1665))</f>
        <v>0</v>
      </c>
      <c r="AG1665" s="15" t="s">
        <v>133</v>
      </c>
      <c r="AH1665" s="16">
        <v>45863</v>
      </c>
      <c r="AI1665" s="16">
        <v>45865</v>
      </c>
      <c r="AJ1665" s="16">
        <v>45870</v>
      </c>
      <c r="AK1665" s="17">
        <f>IF(AJ1665="","",AJ1665-AH1665)</f>
        <v>7</v>
      </c>
    </row>
    <row r="1666" spans="1:37">
      <c r="A1666" s="2" t="s">
        <v>2110</v>
      </c>
      <c r="B1666" s="2" t="s">
        <v>375</v>
      </c>
      <c r="C1666" s="2" t="s">
        <v>376</v>
      </c>
      <c r="D1666" s="2" t="s">
        <v>344</v>
      </c>
      <c r="E1666" s="2" t="s">
        <v>377</v>
      </c>
      <c r="F1666" s="2" t="s">
        <v>346</v>
      </c>
      <c r="G1666" s="2" t="s">
        <v>2111</v>
      </c>
      <c r="H1666" s="2" t="s">
        <v>291</v>
      </c>
      <c r="I1666" s="2" t="s">
        <v>651</v>
      </c>
      <c r="J1666" s="2" t="s">
        <v>652</v>
      </c>
      <c r="K1666" s="9">
        <v>45849</v>
      </c>
      <c r="L1666" s="9">
        <v>45855</v>
      </c>
      <c r="M1666" s="9">
        <v>45849</v>
      </c>
      <c r="N1666" s="2" t="s">
        <v>1986</v>
      </c>
      <c r="O1666" s="2" t="s">
        <v>52</v>
      </c>
      <c r="P1666" s="2" t="s">
        <v>653</v>
      </c>
      <c r="Q1666" s="2" t="s">
        <v>513</v>
      </c>
      <c r="R1666" s="2" t="s">
        <v>137</v>
      </c>
      <c r="S1666" s="2" t="s">
        <v>654</v>
      </c>
      <c r="T1666" s="10">
        <v>2827.42</v>
      </c>
      <c r="U1666" s="11">
        <v>0.72799999999999998</v>
      </c>
      <c r="V1666" s="12">
        <f>T1666*U1666</f>
        <v>2058.3617599999998</v>
      </c>
      <c r="W1666" s="13">
        <v>0</v>
      </c>
      <c r="X1666" s="12">
        <f>V1666-(V1666/(1+W1666))</f>
        <v>0</v>
      </c>
      <c r="Y1666" s="12">
        <f>V1666-X1666</f>
        <v>2058.3617599999998</v>
      </c>
      <c r="Z1666" s="14">
        <v>1400</v>
      </c>
      <c r="AA1666" s="2" t="str">
        <f>IF(V1666&gt;Z1666,"Yes","No")</f>
        <v>Yes</v>
      </c>
      <c r="AB1666" s="12">
        <f>V1666-Z1666</f>
        <v>658.36175999999978</v>
      </c>
      <c r="AC1666" s="15" t="s">
        <v>130</v>
      </c>
      <c r="AD1666" s="15" t="s">
        <v>130</v>
      </c>
      <c r="AE1666" s="15" t="s">
        <v>260</v>
      </c>
      <c r="AF1666" s="12">
        <f>IF(AG1666="Rejected",0,IF(R1666="Corporate Card",0,V1666))</f>
        <v>2058.3617599999998</v>
      </c>
      <c r="AG1666" s="15" t="s">
        <v>133</v>
      </c>
      <c r="AH1666" s="16">
        <v>45856</v>
      </c>
      <c r="AI1666" s="16">
        <v>45862</v>
      </c>
      <c r="AJ1666" s="16">
        <v>45875</v>
      </c>
      <c r="AK1666" s="17">
        <f>IF(AJ1666="","",AJ1666-AH1666)</f>
        <v>19</v>
      </c>
    </row>
    <row r="1667" spans="1:37">
      <c r="A1667" s="2" t="s">
        <v>2112</v>
      </c>
      <c r="B1667" s="2" t="s">
        <v>375</v>
      </c>
      <c r="C1667" s="2" t="s">
        <v>376</v>
      </c>
      <c r="D1667" s="2" t="s">
        <v>344</v>
      </c>
      <c r="E1667" s="2" t="s">
        <v>377</v>
      </c>
      <c r="F1667" s="2" t="s">
        <v>346</v>
      </c>
      <c r="G1667" s="2" t="s">
        <v>2111</v>
      </c>
      <c r="H1667" s="2" t="s">
        <v>291</v>
      </c>
      <c r="I1667" s="2" t="s">
        <v>651</v>
      </c>
      <c r="J1667" s="2" t="s">
        <v>652</v>
      </c>
      <c r="K1667" s="9">
        <v>45849</v>
      </c>
      <c r="L1667" s="9">
        <v>45855</v>
      </c>
      <c r="M1667" s="9">
        <v>45849</v>
      </c>
      <c r="N1667" s="2" t="s">
        <v>1986</v>
      </c>
      <c r="O1667" s="2" t="s">
        <v>58</v>
      </c>
      <c r="P1667" s="2" t="s">
        <v>142</v>
      </c>
      <c r="Q1667" s="2" t="s">
        <v>203</v>
      </c>
      <c r="R1667" s="2" t="s">
        <v>128</v>
      </c>
      <c r="S1667" s="2" t="s">
        <v>654</v>
      </c>
      <c r="T1667" s="10">
        <v>63.77</v>
      </c>
      <c r="U1667" s="11">
        <v>0.72799999999999998</v>
      </c>
      <c r="V1667" s="12">
        <f>T1667*U1667</f>
        <v>46.42456</v>
      </c>
      <c r="W1667" s="13">
        <v>0.13</v>
      </c>
      <c r="X1667" s="12">
        <f>V1667-(V1667/(1+W1667))</f>
        <v>5.3408785840707935</v>
      </c>
      <c r="Y1667" s="12">
        <f>V1667-X1667</f>
        <v>41.083681415929206</v>
      </c>
      <c r="Z1667" s="14">
        <v>60</v>
      </c>
      <c r="AA1667" s="2" t="str">
        <f>IF(V1667&gt;Z1667,"Yes","No")</f>
        <v>No</v>
      </c>
      <c r="AB1667" s="12">
        <f>V1667-Z1667</f>
        <v>-13.57544</v>
      </c>
      <c r="AC1667" s="15" t="s">
        <v>130</v>
      </c>
      <c r="AD1667" s="15" t="s">
        <v>130</v>
      </c>
      <c r="AE1667" s="15" t="s">
        <v>260</v>
      </c>
      <c r="AF1667" s="12">
        <f>IF(AG1667="Rejected",0,IF(R1667="Corporate Card",0,V1667))</f>
        <v>0</v>
      </c>
      <c r="AG1667" s="15" t="s">
        <v>133</v>
      </c>
      <c r="AH1667" s="16">
        <v>45856</v>
      </c>
      <c r="AI1667" s="16">
        <v>45862</v>
      </c>
      <c r="AJ1667" s="16">
        <v>45875</v>
      </c>
      <c r="AK1667" s="17">
        <f>IF(AJ1667="","",AJ1667-AH1667)</f>
        <v>19</v>
      </c>
    </row>
    <row r="1668" spans="1:37">
      <c r="A1668" s="2" t="s">
        <v>2113</v>
      </c>
      <c r="B1668" s="2" t="s">
        <v>375</v>
      </c>
      <c r="C1668" s="2" t="s">
        <v>376</v>
      </c>
      <c r="D1668" s="2" t="s">
        <v>344</v>
      </c>
      <c r="E1668" s="2" t="s">
        <v>377</v>
      </c>
      <c r="F1668" s="2" t="s">
        <v>346</v>
      </c>
      <c r="G1668" s="2" t="s">
        <v>2111</v>
      </c>
      <c r="H1668" s="2" t="s">
        <v>291</v>
      </c>
      <c r="I1668" s="2" t="s">
        <v>651</v>
      </c>
      <c r="J1668" s="2" t="s">
        <v>652</v>
      </c>
      <c r="K1668" s="9">
        <v>45849</v>
      </c>
      <c r="L1668" s="9">
        <v>45855</v>
      </c>
      <c r="M1668" s="9">
        <v>45849</v>
      </c>
      <c r="N1668" s="2" t="s">
        <v>1986</v>
      </c>
      <c r="O1668" s="2" t="s">
        <v>54</v>
      </c>
      <c r="P1668" s="2" t="s">
        <v>139</v>
      </c>
      <c r="Q1668" s="2" t="s">
        <v>140</v>
      </c>
      <c r="R1668" s="2" t="s">
        <v>128</v>
      </c>
      <c r="S1668" s="2" t="s">
        <v>654</v>
      </c>
      <c r="T1668" s="10">
        <v>26.15</v>
      </c>
      <c r="U1668" s="11">
        <v>0.72799999999999998</v>
      </c>
      <c r="V1668" s="12">
        <f>T1668*U1668</f>
        <v>19.037199999999999</v>
      </c>
      <c r="W1668" s="13">
        <v>0.13</v>
      </c>
      <c r="X1668" s="12">
        <f>V1668-(V1668/(1+W1668))</f>
        <v>2.190120353982298</v>
      </c>
      <c r="Y1668" s="12">
        <f>V1668-X1668</f>
        <v>16.847079646017701</v>
      </c>
      <c r="Z1668" s="14">
        <v>25</v>
      </c>
      <c r="AA1668" s="2" t="str">
        <f>IF(V1668&gt;Z1668,"Yes","No")</f>
        <v>No</v>
      </c>
      <c r="AB1668" s="12">
        <f>V1668-Z1668</f>
        <v>-5.9628000000000014</v>
      </c>
      <c r="AC1668" s="15" t="s">
        <v>130</v>
      </c>
      <c r="AD1668" s="15" t="s">
        <v>130</v>
      </c>
      <c r="AE1668" s="15" t="s">
        <v>260</v>
      </c>
      <c r="AF1668" s="12">
        <f>IF(AG1668="Rejected",0,IF(R1668="Corporate Card",0,V1668))</f>
        <v>0</v>
      </c>
      <c r="AG1668" s="15" t="s">
        <v>133</v>
      </c>
      <c r="AH1668" s="16">
        <v>45856</v>
      </c>
      <c r="AI1668" s="16">
        <v>45862</v>
      </c>
      <c r="AJ1668" s="16">
        <v>45875</v>
      </c>
      <c r="AK1668" s="17">
        <f>IF(AJ1668="","",AJ1668-AH1668)</f>
        <v>19</v>
      </c>
    </row>
    <row r="1669" spans="1:37">
      <c r="A1669" s="2" t="s">
        <v>2114</v>
      </c>
      <c r="B1669" s="2" t="s">
        <v>375</v>
      </c>
      <c r="C1669" s="2" t="s">
        <v>376</v>
      </c>
      <c r="D1669" s="2" t="s">
        <v>344</v>
      </c>
      <c r="E1669" s="2" t="s">
        <v>377</v>
      </c>
      <c r="F1669" s="2" t="s">
        <v>346</v>
      </c>
      <c r="G1669" s="2" t="s">
        <v>2111</v>
      </c>
      <c r="H1669" s="2" t="s">
        <v>291</v>
      </c>
      <c r="I1669" s="2" t="s">
        <v>651</v>
      </c>
      <c r="J1669" s="2" t="s">
        <v>652</v>
      </c>
      <c r="K1669" s="9">
        <v>45849</v>
      </c>
      <c r="L1669" s="9">
        <v>45855</v>
      </c>
      <c r="M1669" s="9">
        <v>45849</v>
      </c>
      <c r="N1669" s="2" t="s">
        <v>1986</v>
      </c>
      <c r="O1669" s="2" t="s">
        <v>55</v>
      </c>
      <c r="P1669" s="2" t="s">
        <v>139</v>
      </c>
      <c r="Q1669" s="2" t="s">
        <v>187</v>
      </c>
      <c r="R1669" s="2" t="s">
        <v>128</v>
      </c>
      <c r="S1669" s="2" t="s">
        <v>654</v>
      </c>
      <c r="T1669" s="10">
        <v>27.21</v>
      </c>
      <c r="U1669" s="11">
        <v>0.72799999999999998</v>
      </c>
      <c r="V1669" s="12">
        <f>T1669*U1669</f>
        <v>19.808879999999998</v>
      </c>
      <c r="W1669" s="13">
        <v>0.13</v>
      </c>
      <c r="X1669" s="12">
        <f>V1669-(V1669/(1+W1669))</f>
        <v>2.278897699115042</v>
      </c>
      <c r="Y1669" s="12">
        <f>V1669-X1669</f>
        <v>17.529982300884956</v>
      </c>
      <c r="Z1669" s="14">
        <v>35</v>
      </c>
      <c r="AA1669" s="2" t="str">
        <f>IF(V1669&gt;Z1669,"Yes","No")</f>
        <v>No</v>
      </c>
      <c r="AB1669" s="12">
        <f>V1669-Z1669</f>
        <v>-15.191120000000002</v>
      </c>
      <c r="AC1669" s="15" t="s">
        <v>130</v>
      </c>
      <c r="AD1669" s="15" t="s">
        <v>130</v>
      </c>
      <c r="AE1669" s="15" t="s">
        <v>260</v>
      </c>
      <c r="AF1669" s="12">
        <f>IF(AG1669="Rejected",0,IF(R1669="Corporate Card",0,V1669))</f>
        <v>0</v>
      </c>
      <c r="AG1669" s="15" t="s">
        <v>133</v>
      </c>
      <c r="AH1669" s="16">
        <v>45856</v>
      </c>
      <c r="AI1669" s="16">
        <v>45862</v>
      </c>
      <c r="AJ1669" s="16">
        <v>45875</v>
      </c>
      <c r="AK1669" s="17">
        <f>IF(AJ1669="","",AJ1669-AH1669)</f>
        <v>19</v>
      </c>
    </row>
    <row r="1670" spans="1:37">
      <c r="A1670" s="2" t="s">
        <v>2115</v>
      </c>
      <c r="B1670" s="2" t="s">
        <v>310</v>
      </c>
      <c r="C1670" s="2" t="s">
        <v>311</v>
      </c>
      <c r="D1670" s="2" t="s">
        <v>118</v>
      </c>
      <c r="E1670" s="2" t="s">
        <v>312</v>
      </c>
      <c r="F1670" s="2" t="s">
        <v>313</v>
      </c>
      <c r="G1670" s="2" t="s">
        <v>2099</v>
      </c>
      <c r="H1670" s="2" t="s">
        <v>348</v>
      </c>
      <c r="I1670" s="2" t="s">
        <v>553</v>
      </c>
      <c r="J1670" s="2" t="s">
        <v>553</v>
      </c>
      <c r="K1670" s="9">
        <v>45848</v>
      </c>
      <c r="L1670" s="9">
        <v>45856</v>
      </c>
      <c r="M1670" s="9">
        <v>45849</v>
      </c>
      <c r="N1670" s="2" t="s">
        <v>1986</v>
      </c>
      <c r="O1670" s="2" t="s">
        <v>58</v>
      </c>
      <c r="P1670" s="2" t="s">
        <v>142</v>
      </c>
      <c r="Q1670" s="2" t="s">
        <v>203</v>
      </c>
      <c r="R1670" s="2" t="s">
        <v>128</v>
      </c>
      <c r="S1670" s="2" t="s">
        <v>555</v>
      </c>
      <c r="T1670" s="10">
        <v>50.49</v>
      </c>
      <c r="U1670" s="11">
        <v>0.74299999999999999</v>
      </c>
      <c r="V1670" s="12">
        <f>T1670*U1670</f>
        <v>37.514070000000004</v>
      </c>
      <c r="W1670" s="13">
        <v>0.09</v>
      </c>
      <c r="X1670" s="12">
        <f>V1670-(V1670/(1+W1670))</f>
        <v>3.0974920183486248</v>
      </c>
      <c r="Y1670" s="12">
        <f>V1670-X1670</f>
        <v>34.416577981651379</v>
      </c>
      <c r="Z1670" s="14">
        <v>60</v>
      </c>
      <c r="AA1670" s="2" t="str">
        <f>IF(V1670&gt;Z1670,"Yes","No")</f>
        <v>No</v>
      </c>
      <c r="AB1670" s="12">
        <f>V1670-Z1670</f>
        <v>-22.485929999999996</v>
      </c>
      <c r="AC1670" s="15" t="s">
        <v>130</v>
      </c>
      <c r="AD1670" s="15" t="s">
        <v>130</v>
      </c>
      <c r="AE1670" s="15" t="s">
        <v>180</v>
      </c>
      <c r="AF1670" s="12">
        <f>IF(AG1670="Rejected",0,IF(R1670="Corporate Card",0,V1670))</f>
        <v>0</v>
      </c>
      <c r="AG1670" s="15" t="s">
        <v>133</v>
      </c>
      <c r="AH1670" s="16">
        <v>45865</v>
      </c>
      <c r="AI1670" s="16">
        <v>45867</v>
      </c>
      <c r="AJ1670" s="16">
        <v>45876</v>
      </c>
      <c r="AK1670" s="17">
        <f>IF(AJ1670="","",AJ1670-AH1670)</f>
        <v>11</v>
      </c>
    </row>
    <row r="1671" spans="1:37">
      <c r="A1671" s="2" t="s">
        <v>2116</v>
      </c>
      <c r="B1671" s="2" t="s">
        <v>310</v>
      </c>
      <c r="C1671" s="2" t="s">
        <v>311</v>
      </c>
      <c r="D1671" s="2" t="s">
        <v>118</v>
      </c>
      <c r="E1671" s="2" t="s">
        <v>312</v>
      </c>
      <c r="F1671" s="2" t="s">
        <v>313</v>
      </c>
      <c r="G1671" s="2" t="s">
        <v>2099</v>
      </c>
      <c r="H1671" s="2" t="s">
        <v>348</v>
      </c>
      <c r="I1671" s="2" t="s">
        <v>553</v>
      </c>
      <c r="J1671" s="2" t="s">
        <v>553</v>
      </c>
      <c r="K1671" s="9">
        <v>45848</v>
      </c>
      <c r="L1671" s="9">
        <v>45856</v>
      </c>
      <c r="M1671" s="9">
        <v>45849</v>
      </c>
      <c r="N1671" s="2" t="s">
        <v>1986</v>
      </c>
      <c r="O1671" s="2" t="s">
        <v>53</v>
      </c>
      <c r="P1671" s="2" t="s">
        <v>669</v>
      </c>
      <c r="Q1671" s="2" t="s">
        <v>468</v>
      </c>
      <c r="R1671" s="2" t="s">
        <v>149</v>
      </c>
      <c r="S1671" s="2" t="s">
        <v>555</v>
      </c>
      <c r="T1671" s="10">
        <v>2548.36</v>
      </c>
      <c r="U1671" s="11">
        <v>0.74299999999999999</v>
      </c>
      <c r="V1671" s="12">
        <f>T1671*U1671</f>
        <v>1893.4314800000002</v>
      </c>
      <c r="W1671" s="13">
        <v>0.09</v>
      </c>
      <c r="X1671" s="12">
        <f>V1671-(V1671/(1+W1671))</f>
        <v>156.33837908256896</v>
      </c>
      <c r="Y1671" s="12">
        <f>V1671-X1671</f>
        <v>1737.0931009174312</v>
      </c>
      <c r="Z1671" s="14">
        <v>2240</v>
      </c>
      <c r="AA1671" s="2" t="str">
        <f>IF(V1671&gt;Z1671,"Yes","No")</f>
        <v>No</v>
      </c>
      <c r="AB1671" s="12">
        <f>V1671-Z1671</f>
        <v>-346.56851999999981</v>
      </c>
      <c r="AC1671" s="15" t="s">
        <v>130</v>
      </c>
      <c r="AD1671" s="15" t="s">
        <v>130</v>
      </c>
      <c r="AE1671" s="15" t="s">
        <v>180</v>
      </c>
      <c r="AF1671" s="12">
        <f>IF(AG1671="Rejected",0,IF(R1671="Corporate Card",0,V1671))</f>
        <v>1893.4314800000002</v>
      </c>
      <c r="AG1671" s="15" t="s">
        <v>133</v>
      </c>
      <c r="AH1671" s="16">
        <v>45865</v>
      </c>
      <c r="AI1671" s="16">
        <v>45867</v>
      </c>
      <c r="AJ1671" s="16">
        <v>45876</v>
      </c>
      <c r="AK1671" s="17">
        <f>IF(AJ1671="","",AJ1671-AH1671)</f>
        <v>11</v>
      </c>
    </row>
    <row r="1672" spans="1:37">
      <c r="A1672" s="2" t="s">
        <v>2117</v>
      </c>
      <c r="B1672" s="2" t="s">
        <v>310</v>
      </c>
      <c r="C1672" s="2" t="s">
        <v>311</v>
      </c>
      <c r="D1672" s="2" t="s">
        <v>118</v>
      </c>
      <c r="E1672" s="2" t="s">
        <v>312</v>
      </c>
      <c r="F1672" s="2" t="s">
        <v>313</v>
      </c>
      <c r="G1672" s="2" t="s">
        <v>2099</v>
      </c>
      <c r="H1672" s="2" t="s">
        <v>348</v>
      </c>
      <c r="I1672" s="2" t="s">
        <v>553</v>
      </c>
      <c r="J1672" s="2" t="s">
        <v>553</v>
      </c>
      <c r="K1672" s="9">
        <v>45848</v>
      </c>
      <c r="L1672" s="9">
        <v>45856</v>
      </c>
      <c r="M1672" s="9">
        <v>45849</v>
      </c>
      <c r="N1672" s="2" t="s">
        <v>1986</v>
      </c>
      <c r="O1672" s="2" t="s">
        <v>54</v>
      </c>
      <c r="P1672" s="2" t="s">
        <v>139</v>
      </c>
      <c r="Q1672" s="2" t="s">
        <v>214</v>
      </c>
      <c r="R1672" s="2" t="s">
        <v>128</v>
      </c>
      <c r="S1672" s="2" t="s">
        <v>555</v>
      </c>
      <c r="T1672" s="10">
        <v>28.49</v>
      </c>
      <c r="U1672" s="11">
        <v>0.74299999999999999</v>
      </c>
      <c r="V1672" s="12">
        <f>T1672*U1672</f>
        <v>21.16807</v>
      </c>
      <c r="W1672" s="13">
        <v>0.09</v>
      </c>
      <c r="X1672" s="12">
        <f>V1672-(V1672/(1+W1672))</f>
        <v>1.7478222935779826</v>
      </c>
      <c r="Y1672" s="12">
        <f>V1672-X1672</f>
        <v>19.420247706422018</v>
      </c>
      <c r="Z1672" s="14">
        <v>25</v>
      </c>
      <c r="AA1672" s="2" t="str">
        <f>IF(V1672&gt;Z1672,"Yes","No")</f>
        <v>No</v>
      </c>
      <c r="AB1672" s="12">
        <f>V1672-Z1672</f>
        <v>-3.8319299999999998</v>
      </c>
      <c r="AC1672" s="15" t="s">
        <v>130</v>
      </c>
      <c r="AD1672" s="15" t="s">
        <v>130</v>
      </c>
      <c r="AE1672" s="15" t="s">
        <v>180</v>
      </c>
      <c r="AF1672" s="12">
        <f>IF(AG1672="Rejected",0,IF(R1672="Corporate Card",0,V1672))</f>
        <v>0</v>
      </c>
      <c r="AG1672" s="15" t="s">
        <v>133</v>
      </c>
      <c r="AH1672" s="16">
        <v>45865</v>
      </c>
      <c r="AI1672" s="16">
        <v>45867</v>
      </c>
      <c r="AJ1672" s="16">
        <v>45876</v>
      </c>
      <c r="AK1672" s="17">
        <f>IF(AJ1672="","",AJ1672-AH1672)</f>
        <v>11</v>
      </c>
    </row>
    <row r="1673" spans="1:37">
      <c r="A1673" s="2" t="s">
        <v>2118</v>
      </c>
      <c r="B1673" s="2" t="s">
        <v>310</v>
      </c>
      <c r="C1673" s="2" t="s">
        <v>311</v>
      </c>
      <c r="D1673" s="2" t="s">
        <v>118</v>
      </c>
      <c r="E1673" s="2" t="s">
        <v>312</v>
      </c>
      <c r="F1673" s="2" t="s">
        <v>313</v>
      </c>
      <c r="G1673" s="2" t="s">
        <v>2099</v>
      </c>
      <c r="H1673" s="2" t="s">
        <v>348</v>
      </c>
      <c r="I1673" s="2" t="s">
        <v>553</v>
      </c>
      <c r="J1673" s="2" t="s">
        <v>553</v>
      </c>
      <c r="K1673" s="9">
        <v>45848</v>
      </c>
      <c r="L1673" s="9">
        <v>45856</v>
      </c>
      <c r="M1673" s="9">
        <v>45849</v>
      </c>
      <c r="N1673" s="2" t="s">
        <v>1986</v>
      </c>
      <c r="O1673" s="2" t="s">
        <v>56</v>
      </c>
      <c r="P1673" s="2" t="s">
        <v>231</v>
      </c>
      <c r="Q1673" s="2" t="s">
        <v>152</v>
      </c>
      <c r="R1673" s="2" t="s">
        <v>137</v>
      </c>
      <c r="S1673" s="2" t="s">
        <v>555</v>
      </c>
      <c r="T1673" s="10">
        <v>44.15</v>
      </c>
      <c r="U1673" s="11">
        <v>0.74299999999999999</v>
      </c>
      <c r="V1673" s="12">
        <f>T1673*U1673</f>
        <v>32.803449999999998</v>
      </c>
      <c r="W1673" s="13">
        <v>0.09</v>
      </c>
      <c r="X1673" s="12">
        <f>V1673-(V1673/(1+W1673))</f>
        <v>2.7085417431192695</v>
      </c>
      <c r="Y1673" s="12">
        <f>V1673-X1673</f>
        <v>30.094908256880728</v>
      </c>
      <c r="Z1673" s="14">
        <v>75</v>
      </c>
      <c r="AA1673" s="2" t="str">
        <f>IF(V1673&gt;Z1673,"Yes","No")</f>
        <v>No</v>
      </c>
      <c r="AB1673" s="12">
        <f>V1673-Z1673</f>
        <v>-42.196550000000002</v>
      </c>
      <c r="AC1673" s="15" t="s">
        <v>130</v>
      </c>
      <c r="AD1673" s="15" t="s">
        <v>130</v>
      </c>
      <c r="AE1673" s="15" t="s">
        <v>180</v>
      </c>
      <c r="AF1673" s="12">
        <f>IF(AG1673="Rejected",0,IF(R1673="Corporate Card",0,V1673))</f>
        <v>32.803449999999998</v>
      </c>
      <c r="AG1673" s="15" t="s">
        <v>133</v>
      </c>
      <c r="AH1673" s="16">
        <v>45865</v>
      </c>
      <c r="AI1673" s="16">
        <v>45867</v>
      </c>
      <c r="AJ1673" s="16">
        <v>45876</v>
      </c>
      <c r="AK1673" s="17">
        <f>IF(AJ1673="","",AJ1673-AH1673)</f>
        <v>11</v>
      </c>
    </row>
    <row r="1674" spans="1:37">
      <c r="A1674" s="2" t="s">
        <v>2119</v>
      </c>
      <c r="B1674" s="2" t="s">
        <v>310</v>
      </c>
      <c r="C1674" s="2" t="s">
        <v>311</v>
      </c>
      <c r="D1674" s="2" t="s">
        <v>118</v>
      </c>
      <c r="E1674" s="2" t="s">
        <v>312</v>
      </c>
      <c r="F1674" s="2" t="s">
        <v>313</v>
      </c>
      <c r="G1674" s="2" t="s">
        <v>2099</v>
      </c>
      <c r="H1674" s="2" t="s">
        <v>348</v>
      </c>
      <c r="I1674" s="2" t="s">
        <v>553</v>
      </c>
      <c r="J1674" s="2" t="s">
        <v>553</v>
      </c>
      <c r="K1674" s="9">
        <v>45848</v>
      </c>
      <c r="L1674" s="9">
        <v>45856</v>
      </c>
      <c r="M1674" s="9">
        <v>45849</v>
      </c>
      <c r="N1674" s="2" t="s">
        <v>1986</v>
      </c>
      <c r="O1674" s="2" t="s">
        <v>55</v>
      </c>
      <c r="P1674" s="2" t="s">
        <v>139</v>
      </c>
      <c r="Q1674" s="2" t="s">
        <v>154</v>
      </c>
      <c r="R1674" s="2" t="s">
        <v>128</v>
      </c>
      <c r="S1674" s="2" t="s">
        <v>555</v>
      </c>
      <c r="T1674" s="10">
        <v>39.6</v>
      </c>
      <c r="U1674" s="11">
        <v>0.74299999999999999</v>
      </c>
      <c r="V1674" s="12">
        <f>T1674*U1674</f>
        <v>29.422800000000002</v>
      </c>
      <c r="W1674" s="13">
        <v>0.09</v>
      </c>
      <c r="X1674" s="12">
        <f>V1674-(V1674/(1+W1674))</f>
        <v>2.4294055045871588</v>
      </c>
      <c r="Y1674" s="12">
        <f>V1674-X1674</f>
        <v>26.993394495412844</v>
      </c>
      <c r="Z1674" s="14">
        <v>35</v>
      </c>
      <c r="AA1674" s="2" t="str">
        <f>IF(V1674&gt;Z1674,"Yes","No")</f>
        <v>No</v>
      </c>
      <c r="AB1674" s="12">
        <f>V1674-Z1674</f>
        <v>-5.5771999999999977</v>
      </c>
      <c r="AC1674" s="15" t="s">
        <v>130</v>
      </c>
      <c r="AD1674" s="15" t="s">
        <v>130</v>
      </c>
      <c r="AE1674" s="15" t="s">
        <v>180</v>
      </c>
      <c r="AF1674" s="12">
        <f>IF(AG1674="Rejected",0,IF(R1674="Corporate Card",0,V1674))</f>
        <v>0</v>
      </c>
      <c r="AG1674" s="15" t="s">
        <v>133</v>
      </c>
      <c r="AH1674" s="16">
        <v>45865</v>
      </c>
      <c r="AI1674" s="16">
        <v>45867</v>
      </c>
      <c r="AJ1674" s="16">
        <v>45876</v>
      </c>
      <c r="AK1674" s="17">
        <f>IF(AJ1674="","",AJ1674-AH1674)</f>
        <v>11</v>
      </c>
    </row>
    <row r="1675" spans="1:37">
      <c r="A1675" s="2" t="s">
        <v>2120</v>
      </c>
      <c r="B1675" s="2" t="s">
        <v>287</v>
      </c>
      <c r="C1675" s="2" t="s">
        <v>288</v>
      </c>
      <c r="D1675" s="2" t="s">
        <v>171</v>
      </c>
      <c r="E1675" s="2" t="s">
        <v>289</v>
      </c>
      <c r="F1675" s="2" t="s">
        <v>173</v>
      </c>
      <c r="G1675" s="2" t="s">
        <v>2057</v>
      </c>
      <c r="H1675" s="2" t="s">
        <v>254</v>
      </c>
      <c r="I1675" s="2" t="s">
        <v>1038</v>
      </c>
      <c r="J1675" s="2" t="s">
        <v>381</v>
      </c>
      <c r="K1675" s="9">
        <v>45845</v>
      </c>
      <c r="L1675" s="9">
        <v>45853</v>
      </c>
      <c r="M1675" s="9">
        <v>45850</v>
      </c>
      <c r="N1675" s="2" t="s">
        <v>1986</v>
      </c>
      <c r="O1675" s="2" t="s">
        <v>56</v>
      </c>
      <c r="P1675" s="2" t="s">
        <v>231</v>
      </c>
      <c r="Q1675" s="2" t="s">
        <v>152</v>
      </c>
      <c r="R1675" s="2" t="s">
        <v>137</v>
      </c>
      <c r="S1675" s="2" t="s">
        <v>383</v>
      </c>
      <c r="T1675" s="10">
        <v>51.05</v>
      </c>
      <c r="U1675" s="11">
        <v>1</v>
      </c>
      <c r="V1675" s="12">
        <f>T1675*U1675</f>
        <v>51.05</v>
      </c>
      <c r="W1675" s="13">
        <v>0</v>
      </c>
      <c r="X1675" s="12">
        <f>V1675-(V1675/(1+W1675))</f>
        <v>0</v>
      </c>
      <c r="Y1675" s="12">
        <f>V1675-X1675</f>
        <v>51.05</v>
      </c>
      <c r="Z1675" s="14">
        <v>75</v>
      </c>
      <c r="AA1675" s="2" t="str">
        <f>IF(V1675&gt;Z1675,"Yes","No")</f>
        <v>No</v>
      </c>
      <c r="AB1675" s="12">
        <f>V1675-Z1675</f>
        <v>-23.950000000000003</v>
      </c>
      <c r="AC1675" s="15" t="s">
        <v>130</v>
      </c>
      <c r="AD1675" s="15" t="s">
        <v>131</v>
      </c>
      <c r="AE1675" s="15" t="s">
        <v>260</v>
      </c>
      <c r="AF1675" s="12">
        <f>IF(AG1675="Rejected",0,IF(R1675="Corporate Card",0,V1675))</f>
        <v>51.05</v>
      </c>
      <c r="AG1675" s="15" t="s">
        <v>133</v>
      </c>
      <c r="AH1675" s="16">
        <v>45860</v>
      </c>
      <c r="AI1675" s="16">
        <v>45862</v>
      </c>
      <c r="AJ1675" s="16">
        <v>45876</v>
      </c>
      <c r="AK1675" s="17">
        <f>IF(AJ1675="","",AJ1675-AH1675)</f>
        <v>16</v>
      </c>
    </row>
    <row r="1676" spans="1:37">
      <c r="A1676" s="2" t="s">
        <v>2121</v>
      </c>
      <c r="B1676" s="2" t="s">
        <v>287</v>
      </c>
      <c r="C1676" s="2" t="s">
        <v>288</v>
      </c>
      <c r="D1676" s="2" t="s">
        <v>171</v>
      </c>
      <c r="E1676" s="2" t="s">
        <v>289</v>
      </c>
      <c r="F1676" s="2" t="s">
        <v>173</v>
      </c>
      <c r="G1676" s="2" t="s">
        <v>2057</v>
      </c>
      <c r="H1676" s="2" t="s">
        <v>254</v>
      </c>
      <c r="I1676" s="2" t="s">
        <v>1038</v>
      </c>
      <c r="J1676" s="2" t="s">
        <v>381</v>
      </c>
      <c r="K1676" s="9">
        <v>45845</v>
      </c>
      <c r="L1676" s="9">
        <v>45853</v>
      </c>
      <c r="M1676" s="9">
        <v>45850</v>
      </c>
      <c r="N1676" s="2" t="s">
        <v>1986</v>
      </c>
      <c r="O1676" s="2" t="s">
        <v>55</v>
      </c>
      <c r="P1676" s="2" t="s">
        <v>139</v>
      </c>
      <c r="Q1676" s="2" t="s">
        <v>154</v>
      </c>
      <c r="R1676" s="2" t="s">
        <v>128</v>
      </c>
      <c r="S1676" s="2" t="s">
        <v>383</v>
      </c>
      <c r="T1676" s="10">
        <v>23.24</v>
      </c>
      <c r="U1676" s="11">
        <v>1</v>
      </c>
      <c r="V1676" s="12">
        <f>T1676*U1676</f>
        <v>23.24</v>
      </c>
      <c r="W1676" s="13">
        <v>0</v>
      </c>
      <c r="X1676" s="12">
        <f>V1676-(V1676/(1+W1676))</f>
        <v>0</v>
      </c>
      <c r="Y1676" s="12">
        <f>V1676-X1676</f>
        <v>23.24</v>
      </c>
      <c r="Z1676" s="14">
        <v>35</v>
      </c>
      <c r="AA1676" s="2" t="str">
        <f>IF(V1676&gt;Z1676,"Yes","No")</f>
        <v>No</v>
      </c>
      <c r="AB1676" s="12">
        <f>V1676-Z1676</f>
        <v>-11.760000000000002</v>
      </c>
      <c r="AC1676" s="15" t="s">
        <v>130</v>
      </c>
      <c r="AD1676" s="15" t="s">
        <v>131</v>
      </c>
      <c r="AE1676" s="15" t="s">
        <v>260</v>
      </c>
      <c r="AF1676" s="12">
        <f>IF(AG1676="Rejected",0,IF(R1676="Corporate Card",0,V1676))</f>
        <v>0</v>
      </c>
      <c r="AG1676" s="15" t="s">
        <v>133</v>
      </c>
      <c r="AH1676" s="16">
        <v>45860</v>
      </c>
      <c r="AI1676" s="16">
        <v>45862</v>
      </c>
      <c r="AJ1676" s="16">
        <v>45876</v>
      </c>
      <c r="AK1676" s="17">
        <f>IF(AJ1676="","",AJ1676-AH1676)</f>
        <v>16</v>
      </c>
    </row>
    <row r="1677" spans="1:37">
      <c r="A1677" s="2" t="s">
        <v>2122</v>
      </c>
      <c r="B1677" s="2" t="s">
        <v>287</v>
      </c>
      <c r="C1677" s="2" t="s">
        <v>288</v>
      </c>
      <c r="D1677" s="2" t="s">
        <v>171</v>
      </c>
      <c r="E1677" s="2" t="s">
        <v>289</v>
      </c>
      <c r="F1677" s="2" t="s">
        <v>173</v>
      </c>
      <c r="G1677" s="2" t="s">
        <v>2026</v>
      </c>
      <c r="H1677" s="2" t="s">
        <v>448</v>
      </c>
      <c r="I1677" s="2" t="s">
        <v>194</v>
      </c>
      <c r="J1677" s="2" t="s">
        <v>195</v>
      </c>
      <c r="K1677" s="9">
        <v>45843</v>
      </c>
      <c r="L1677" s="9">
        <v>45851</v>
      </c>
      <c r="M1677" s="9">
        <v>45850</v>
      </c>
      <c r="N1677" s="2" t="s">
        <v>1986</v>
      </c>
      <c r="O1677" s="2" t="s">
        <v>57</v>
      </c>
      <c r="P1677" s="2" t="s">
        <v>398</v>
      </c>
      <c r="Q1677" s="2" t="s">
        <v>399</v>
      </c>
      <c r="R1677" s="2" t="s">
        <v>128</v>
      </c>
      <c r="S1677" s="2" t="s">
        <v>198</v>
      </c>
      <c r="T1677" s="10">
        <v>65.010000000000005</v>
      </c>
      <c r="U1677" s="11">
        <v>1.085</v>
      </c>
      <c r="V1677" s="12">
        <f>T1677*U1677</f>
        <v>70.535849999999996</v>
      </c>
      <c r="W1677" s="13">
        <v>0.19</v>
      </c>
      <c r="X1677" s="12">
        <f>V1677-(V1677/(1+W1677))</f>
        <v>11.262026470588232</v>
      </c>
      <c r="Y1677" s="12">
        <f>V1677-X1677</f>
        <v>59.273823529411764</v>
      </c>
      <c r="Z1677" s="14">
        <v>200</v>
      </c>
      <c r="AA1677" s="2" t="str">
        <f>IF(V1677&gt;Z1677,"Yes","No")</f>
        <v>No</v>
      </c>
      <c r="AB1677" s="12">
        <f>V1677-Z1677</f>
        <v>-129.46415000000002</v>
      </c>
      <c r="AC1677" s="15" t="s">
        <v>130</v>
      </c>
      <c r="AD1677" s="15" t="s">
        <v>131</v>
      </c>
      <c r="AE1677" s="15" t="s">
        <v>180</v>
      </c>
      <c r="AF1677" s="12">
        <f>IF(AG1677="Rejected",0,IF(R1677="Corporate Card",0,V1677))</f>
        <v>0</v>
      </c>
      <c r="AG1677" s="15" t="s">
        <v>133</v>
      </c>
      <c r="AH1677" s="16">
        <v>45863</v>
      </c>
      <c r="AI1677" s="16">
        <v>45865</v>
      </c>
      <c r="AJ1677" s="16">
        <v>45870</v>
      </c>
      <c r="AK1677" s="17">
        <f>IF(AJ1677="","",AJ1677-AH1677)</f>
        <v>7</v>
      </c>
    </row>
    <row r="1678" spans="1:37">
      <c r="A1678" s="2" t="s">
        <v>2123</v>
      </c>
      <c r="B1678" s="2" t="s">
        <v>287</v>
      </c>
      <c r="C1678" s="2" t="s">
        <v>288</v>
      </c>
      <c r="D1678" s="2" t="s">
        <v>171</v>
      </c>
      <c r="E1678" s="2" t="s">
        <v>289</v>
      </c>
      <c r="F1678" s="2" t="s">
        <v>173</v>
      </c>
      <c r="G1678" s="2" t="s">
        <v>2026</v>
      </c>
      <c r="H1678" s="2" t="s">
        <v>448</v>
      </c>
      <c r="I1678" s="2" t="s">
        <v>194</v>
      </c>
      <c r="J1678" s="2" t="s">
        <v>195</v>
      </c>
      <c r="K1678" s="9">
        <v>45843</v>
      </c>
      <c r="L1678" s="9">
        <v>45851</v>
      </c>
      <c r="M1678" s="9">
        <v>45850</v>
      </c>
      <c r="N1678" s="2" t="s">
        <v>1986</v>
      </c>
      <c r="O1678" s="2" t="s">
        <v>58</v>
      </c>
      <c r="P1678" s="2" t="s">
        <v>142</v>
      </c>
      <c r="Q1678" s="2" t="s">
        <v>203</v>
      </c>
      <c r="R1678" s="2" t="s">
        <v>128</v>
      </c>
      <c r="S1678" s="2" t="s">
        <v>198</v>
      </c>
      <c r="T1678" s="10">
        <v>38.26</v>
      </c>
      <c r="U1678" s="11">
        <v>1.085</v>
      </c>
      <c r="V1678" s="12">
        <f>T1678*U1678</f>
        <v>41.512099999999997</v>
      </c>
      <c r="W1678" s="13">
        <v>0.19</v>
      </c>
      <c r="X1678" s="12">
        <f>V1678-(V1678/(1+W1678))</f>
        <v>6.6279823529411743</v>
      </c>
      <c r="Y1678" s="12">
        <f>V1678-X1678</f>
        <v>34.884117647058822</v>
      </c>
      <c r="Z1678" s="14">
        <v>60</v>
      </c>
      <c r="AA1678" s="2" t="str">
        <f>IF(V1678&gt;Z1678,"Yes","No")</f>
        <v>No</v>
      </c>
      <c r="AB1678" s="12">
        <f>V1678-Z1678</f>
        <v>-18.487900000000003</v>
      </c>
      <c r="AC1678" s="15" t="s">
        <v>130</v>
      </c>
      <c r="AD1678" s="15" t="s">
        <v>131</v>
      </c>
      <c r="AE1678" s="15" t="s">
        <v>180</v>
      </c>
      <c r="AF1678" s="12">
        <f>IF(AG1678="Rejected",0,IF(R1678="Corporate Card",0,V1678))</f>
        <v>0</v>
      </c>
      <c r="AG1678" s="15" t="s">
        <v>133</v>
      </c>
      <c r="AH1678" s="16">
        <v>45863</v>
      </c>
      <c r="AI1678" s="16">
        <v>45865</v>
      </c>
      <c r="AJ1678" s="16">
        <v>45870</v>
      </c>
      <c r="AK1678" s="17">
        <f>IF(AJ1678="","",AJ1678-AH1678)</f>
        <v>7</v>
      </c>
    </row>
    <row r="1679" spans="1:37">
      <c r="A1679" s="2" t="s">
        <v>2124</v>
      </c>
      <c r="B1679" s="2" t="s">
        <v>287</v>
      </c>
      <c r="C1679" s="2" t="s">
        <v>288</v>
      </c>
      <c r="D1679" s="2" t="s">
        <v>171</v>
      </c>
      <c r="E1679" s="2" t="s">
        <v>289</v>
      </c>
      <c r="F1679" s="2" t="s">
        <v>173</v>
      </c>
      <c r="G1679" s="2" t="s">
        <v>2026</v>
      </c>
      <c r="H1679" s="2" t="s">
        <v>448</v>
      </c>
      <c r="I1679" s="2" t="s">
        <v>194</v>
      </c>
      <c r="J1679" s="2" t="s">
        <v>195</v>
      </c>
      <c r="K1679" s="9">
        <v>45843</v>
      </c>
      <c r="L1679" s="9">
        <v>45851</v>
      </c>
      <c r="M1679" s="9">
        <v>45850</v>
      </c>
      <c r="N1679" s="2" t="s">
        <v>1986</v>
      </c>
      <c r="O1679" s="2" t="s">
        <v>54</v>
      </c>
      <c r="P1679" s="2" t="s">
        <v>139</v>
      </c>
      <c r="Q1679" s="2" t="s">
        <v>214</v>
      </c>
      <c r="R1679" s="2" t="s">
        <v>128</v>
      </c>
      <c r="S1679" s="2" t="s">
        <v>198</v>
      </c>
      <c r="T1679" s="10">
        <v>8.42</v>
      </c>
      <c r="U1679" s="11">
        <v>1.085</v>
      </c>
      <c r="V1679" s="12">
        <f>T1679*U1679</f>
        <v>9.1356999999999999</v>
      </c>
      <c r="W1679" s="13">
        <v>0.19</v>
      </c>
      <c r="X1679" s="12">
        <f>V1679-(V1679/(1+W1679))</f>
        <v>1.4586411764705876</v>
      </c>
      <c r="Y1679" s="12">
        <f>V1679-X1679</f>
        <v>7.6770588235294124</v>
      </c>
      <c r="Z1679" s="14">
        <v>25</v>
      </c>
      <c r="AA1679" s="2" t="str">
        <f>IF(V1679&gt;Z1679,"Yes","No")</f>
        <v>No</v>
      </c>
      <c r="AB1679" s="12">
        <f>V1679-Z1679</f>
        <v>-15.8643</v>
      </c>
      <c r="AC1679" s="15" t="s">
        <v>130</v>
      </c>
      <c r="AD1679" s="15" t="s">
        <v>131</v>
      </c>
      <c r="AE1679" s="15" t="s">
        <v>180</v>
      </c>
      <c r="AF1679" s="12">
        <f>IF(AG1679="Rejected",0,IF(R1679="Corporate Card",0,V1679))</f>
        <v>0</v>
      </c>
      <c r="AG1679" s="15" t="s">
        <v>133</v>
      </c>
      <c r="AH1679" s="16">
        <v>45863</v>
      </c>
      <c r="AI1679" s="16">
        <v>45865</v>
      </c>
      <c r="AJ1679" s="16">
        <v>45870</v>
      </c>
      <c r="AK1679" s="17">
        <f>IF(AJ1679="","",AJ1679-AH1679)</f>
        <v>7</v>
      </c>
    </row>
    <row r="1680" spans="1:37">
      <c r="A1680" s="2" t="s">
        <v>2125</v>
      </c>
      <c r="B1680" s="2" t="s">
        <v>287</v>
      </c>
      <c r="C1680" s="2" t="s">
        <v>288</v>
      </c>
      <c r="D1680" s="2" t="s">
        <v>171</v>
      </c>
      <c r="E1680" s="2" t="s">
        <v>289</v>
      </c>
      <c r="F1680" s="2" t="s">
        <v>173</v>
      </c>
      <c r="G1680" s="2" t="s">
        <v>2026</v>
      </c>
      <c r="H1680" s="2" t="s">
        <v>448</v>
      </c>
      <c r="I1680" s="2" t="s">
        <v>194</v>
      </c>
      <c r="J1680" s="2" t="s">
        <v>195</v>
      </c>
      <c r="K1680" s="9">
        <v>45843</v>
      </c>
      <c r="L1680" s="9">
        <v>45851</v>
      </c>
      <c r="M1680" s="9">
        <v>45850</v>
      </c>
      <c r="N1680" s="2" t="s">
        <v>1986</v>
      </c>
      <c r="O1680" s="2" t="s">
        <v>56</v>
      </c>
      <c r="P1680" s="2" t="s">
        <v>165</v>
      </c>
      <c r="Q1680" s="2" t="s">
        <v>166</v>
      </c>
      <c r="R1680" s="2" t="s">
        <v>149</v>
      </c>
      <c r="S1680" s="2" t="s">
        <v>198</v>
      </c>
      <c r="T1680" s="10">
        <v>42.81</v>
      </c>
      <c r="U1680" s="11">
        <v>1.085</v>
      </c>
      <c r="V1680" s="12">
        <f>T1680*U1680</f>
        <v>46.44885</v>
      </c>
      <c r="W1680" s="13">
        <v>0.19</v>
      </c>
      <c r="X1680" s="12">
        <f>V1680-(V1680/(1+W1680))</f>
        <v>7.4162029411764721</v>
      </c>
      <c r="Y1680" s="12">
        <f>V1680-X1680</f>
        <v>39.032647058823528</v>
      </c>
      <c r="Z1680" s="14">
        <v>75</v>
      </c>
      <c r="AA1680" s="2" t="str">
        <f>IF(V1680&gt;Z1680,"Yes","No")</f>
        <v>No</v>
      </c>
      <c r="AB1680" s="12">
        <f>V1680-Z1680</f>
        <v>-28.55115</v>
      </c>
      <c r="AC1680" s="15" t="s">
        <v>130</v>
      </c>
      <c r="AD1680" s="15" t="s">
        <v>131</v>
      </c>
      <c r="AE1680" s="15" t="s">
        <v>180</v>
      </c>
      <c r="AF1680" s="12">
        <f>IF(AG1680="Rejected",0,IF(R1680="Corporate Card",0,V1680))</f>
        <v>46.44885</v>
      </c>
      <c r="AG1680" s="15" t="s">
        <v>133</v>
      </c>
      <c r="AH1680" s="16">
        <v>45863</v>
      </c>
      <c r="AI1680" s="16">
        <v>45865</v>
      </c>
      <c r="AJ1680" s="16">
        <v>45870</v>
      </c>
      <c r="AK1680" s="17">
        <f>IF(AJ1680="","",AJ1680-AH1680)</f>
        <v>7</v>
      </c>
    </row>
    <row r="1681" spans="1:37">
      <c r="A1681" s="2" t="s">
        <v>2126</v>
      </c>
      <c r="B1681" s="2" t="s">
        <v>287</v>
      </c>
      <c r="C1681" s="2" t="s">
        <v>288</v>
      </c>
      <c r="D1681" s="2" t="s">
        <v>171</v>
      </c>
      <c r="E1681" s="2" t="s">
        <v>289</v>
      </c>
      <c r="F1681" s="2" t="s">
        <v>173</v>
      </c>
      <c r="G1681" s="2" t="s">
        <v>2026</v>
      </c>
      <c r="H1681" s="2" t="s">
        <v>448</v>
      </c>
      <c r="I1681" s="2" t="s">
        <v>194</v>
      </c>
      <c r="J1681" s="2" t="s">
        <v>195</v>
      </c>
      <c r="K1681" s="9">
        <v>45843</v>
      </c>
      <c r="L1681" s="9">
        <v>45851</v>
      </c>
      <c r="M1681" s="9">
        <v>45850</v>
      </c>
      <c r="N1681" s="2" t="s">
        <v>1986</v>
      </c>
      <c r="O1681" s="2" t="s">
        <v>55</v>
      </c>
      <c r="P1681" s="2" t="s">
        <v>139</v>
      </c>
      <c r="Q1681" s="2" t="s">
        <v>217</v>
      </c>
      <c r="R1681" s="2" t="s">
        <v>137</v>
      </c>
      <c r="S1681" s="2" t="s">
        <v>198</v>
      </c>
      <c r="T1681" s="10">
        <v>24.41</v>
      </c>
      <c r="U1681" s="11">
        <v>1.085</v>
      </c>
      <c r="V1681" s="12">
        <f>T1681*U1681</f>
        <v>26.484849999999998</v>
      </c>
      <c r="W1681" s="13">
        <v>0.19</v>
      </c>
      <c r="X1681" s="12">
        <f>V1681-(V1681/(1+W1681))</f>
        <v>4.2286735294117648</v>
      </c>
      <c r="Y1681" s="12">
        <f>V1681-X1681</f>
        <v>22.256176470588233</v>
      </c>
      <c r="Z1681" s="14">
        <v>35</v>
      </c>
      <c r="AA1681" s="2" t="str">
        <f>IF(V1681&gt;Z1681,"Yes","No")</f>
        <v>No</v>
      </c>
      <c r="AB1681" s="12">
        <f>V1681-Z1681</f>
        <v>-8.515150000000002</v>
      </c>
      <c r="AC1681" s="15" t="s">
        <v>130</v>
      </c>
      <c r="AD1681" s="15" t="s">
        <v>131</v>
      </c>
      <c r="AE1681" s="15" t="s">
        <v>180</v>
      </c>
      <c r="AF1681" s="12">
        <f>IF(AG1681="Rejected",0,IF(R1681="Corporate Card",0,V1681))</f>
        <v>26.484849999999998</v>
      </c>
      <c r="AG1681" s="15" t="s">
        <v>133</v>
      </c>
      <c r="AH1681" s="16">
        <v>45863</v>
      </c>
      <c r="AI1681" s="16">
        <v>45865</v>
      </c>
      <c r="AJ1681" s="16">
        <v>45870</v>
      </c>
      <c r="AK1681" s="17">
        <f>IF(AJ1681="","",AJ1681-AH1681)</f>
        <v>7</v>
      </c>
    </row>
    <row r="1682" spans="1:37">
      <c r="A1682" s="2" t="s">
        <v>2127</v>
      </c>
      <c r="B1682" s="2" t="s">
        <v>442</v>
      </c>
      <c r="C1682" s="2" t="s">
        <v>443</v>
      </c>
      <c r="D1682" s="2" t="s">
        <v>444</v>
      </c>
      <c r="E1682" s="2" t="s">
        <v>445</v>
      </c>
      <c r="F1682" s="2" t="s">
        <v>446</v>
      </c>
      <c r="G1682" s="2" t="s">
        <v>2128</v>
      </c>
      <c r="H1682" s="2" t="s">
        <v>348</v>
      </c>
      <c r="I1682" s="2" t="s">
        <v>380</v>
      </c>
      <c r="J1682" s="2" t="s">
        <v>381</v>
      </c>
      <c r="K1682" s="9">
        <v>45850</v>
      </c>
      <c r="L1682" s="9">
        <v>45852</v>
      </c>
      <c r="M1682" s="9">
        <v>45850</v>
      </c>
      <c r="N1682" s="2" t="s">
        <v>1986</v>
      </c>
      <c r="O1682" s="2" t="s">
        <v>52</v>
      </c>
      <c r="P1682" s="2" t="s">
        <v>382</v>
      </c>
      <c r="Q1682" s="2" t="s">
        <v>178</v>
      </c>
      <c r="R1682" s="2" t="s">
        <v>149</v>
      </c>
      <c r="S1682" s="2" t="s">
        <v>383</v>
      </c>
      <c r="T1682" s="10">
        <v>500.11</v>
      </c>
      <c r="U1682" s="11">
        <v>1</v>
      </c>
      <c r="V1682" s="12">
        <f>T1682*U1682</f>
        <v>500.11</v>
      </c>
      <c r="W1682" s="13">
        <v>0</v>
      </c>
      <c r="X1682" s="12">
        <f>V1682-(V1682/(1+W1682))</f>
        <v>0</v>
      </c>
      <c r="Y1682" s="12">
        <f>V1682-X1682</f>
        <v>500.11</v>
      </c>
      <c r="Z1682" s="14">
        <v>1400</v>
      </c>
      <c r="AA1682" s="2" t="str">
        <f>IF(V1682&gt;Z1682,"Yes","No")</f>
        <v>No</v>
      </c>
      <c r="AB1682" s="12">
        <f>V1682-Z1682</f>
        <v>-899.89</v>
      </c>
      <c r="AC1682" s="15" t="s">
        <v>130</v>
      </c>
      <c r="AD1682" s="15" t="s">
        <v>130</v>
      </c>
      <c r="AE1682" s="15" t="s">
        <v>180</v>
      </c>
      <c r="AF1682" s="12">
        <f>IF(AG1682="Rejected",0,IF(R1682="Corporate Card",0,V1682))</f>
        <v>500.11</v>
      </c>
      <c r="AG1682" s="15" t="s">
        <v>133</v>
      </c>
      <c r="AH1682" s="16">
        <v>45863</v>
      </c>
      <c r="AI1682" s="16">
        <v>45872</v>
      </c>
      <c r="AJ1682" s="16">
        <v>45881</v>
      </c>
      <c r="AK1682" s="17">
        <f>IF(AJ1682="","",AJ1682-AH1682)</f>
        <v>18</v>
      </c>
    </row>
    <row r="1683" spans="1:37">
      <c r="A1683" s="2" t="s">
        <v>2129</v>
      </c>
      <c r="B1683" s="2" t="s">
        <v>442</v>
      </c>
      <c r="C1683" s="2" t="s">
        <v>443</v>
      </c>
      <c r="D1683" s="2" t="s">
        <v>444</v>
      </c>
      <c r="E1683" s="2" t="s">
        <v>445</v>
      </c>
      <c r="F1683" s="2" t="s">
        <v>446</v>
      </c>
      <c r="G1683" s="2" t="s">
        <v>2128</v>
      </c>
      <c r="H1683" s="2" t="s">
        <v>348</v>
      </c>
      <c r="I1683" s="2" t="s">
        <v>380</v>
      </c>
      <c r="J1683" s="2" t="s">
        <v>381</v>
      </c>
      <c r="K1683" s="9">
        <v>45850</v>
      </c>
      <c r="L1683" s="9">
        <v>45852</v>
      </c>
      <c r="M1683" s="9">
        <v>45850</v>
      </c>
      <c r="N1683" s="2" t="s">
        <v>1986</v>
      </c>
      <c r="O1683" s="2" t="s">
        <v>58</v>
      </c>
      <c r="P1683" s="2" t="s">
        <v>142</v>
      </c>
      <c r="Q1683" s="2" t="s">
        <v>143</v>
      </c>
      <c r="R1683" s="2" t="s">
        <v>128</v>
      </c>
      <c r="S1683" s="2" t="s">
        <v>383</v>
      </c>
      <c r="T1683" s="10">
        <v>36.6</v>
      </c>
      <c r="U1683" s="11">
        <v>1</v>
      </c>
      <c r="V1683" s="12">
        <f>T1683*U1683</f>
        <v>36.6</v>
      </c>
      <c r="W1683" s="13">
        <v>0</v>
      </c>
      <c r="X1683" s="12">
        <f>V1683-(V1683/(1+W1683))</f>
        <v>0</v>
      </c>
      <c r="Y1683" s="12">
        <f>V1683-X1683</f>
        <v>36.6</v>
      </c>
      <c r="Z1683" s="14">
        <v>60</v>
      </c>
      <c r="AA1683" s="2" t="str">
        <f>IF(V1683&gt;Z1683,"Yes","No")</f>
        <v>No</v>
      </c>
      <c r="AB1683" s="12">
        <f>V1683-Z1683</f>
        <v>-23.4</v>
      </c>
      <c r="AC1683" s="15" t="s">
        <v>130</v>
      </c>
      <c r="AD1683" s="15" t="s">
        <v>130</v>
      </c>
      <c r="AE1683" s="15" t="s">
        <v>180</v>
      </c>
      <c r="AF1683" s="12">
        <f>IF(AG1683="Rejected",0,IF(R1683="Corporate Card",0,V1683))</f>
        <v>0</v>
      </c>
      <c r="AG1683" s="15" t="s">
        <v>133</v>
      </c>
      <c r="AH1683" s="16">
        <v>45863</v>
      </c>
      <c r="AI1683" s="16">
        <v>45872</v>
      </c>
      <c r="AJ1683" s="16">
        <v>45881</v>
      </c>
      <c r="AK1683" s="17">
        <f>IF(AJ1683="","",AJ1683-AH1683)</f>
        <v>18</v>
      </c>
    </row>
    <row r="1684" spans="1:37">
      <c r="A1684" s="2" t="s">
        <v>2130</v>
      </c>
      <c r="B1684" s="2" t="s">
        <v>442</v>
      </c>
      <c r="C1684" s="2" t="s">
        <v>443</v>
      </c>
      <c r="D1684" s="2" t="s">
        <v>444</v>
      </c>
      <c r="E1684" s="2" t="s">
        <v>445</v>
      </c>
      <c r="F1684" s="2" t="s">
        <v>446</v>
      </c>
      <c r="G1684" s="2" t="s">
        <v>2128</v>
      </c>
      <c r="H1684" s="2" t="s">
        <v>348</v>
      </c>
      <c r="I1684" s="2" t="s">
        <v>380</v>
      </c>
      <c r="J1684" s="2" t="s">
        <v>381</v>
      </c>
      <c r="K1684" s="9">
        <v>45850</v>
      </c>
      <c r="L1684" s="9">
        <v>45852</v>
      </c>
      <c r="M1684" s="9">
        <v>45850</v>
      </c>
      <c r="N1684" s="2" t="s">
        <v>1986</v>
      </c>
      <c r="O1684" s="2" t="s">
        <v>54</v>
      </c>
      <c r="P1684" s="2" t="s">
        <v>139</v>
      </c>
      <c r="Q1684" s="2" t="s">
        <v>140</v>
      </c>
      <c r="R1684" s="2" t="s">
        <v>128</v>
      </c>
      <c r="S1684" s="2" t="s">
        <v>383</v>
      </c>
      <c r="T1684" s="10">
        <v>15.57</v>
      </c>
      <c r="U1684" s="11">
        <v>1</v>
      </c>
      <c r="V1684" s="12">
        <f>T1684*U1684</f>
        <v>15.57</v>
      </c>
      <c r="W1684" s="13">
        <v>0</v>
      </c>
      <c r="X1684" s="12">
        <f>V1684-(V1684/(1+W1684))</f>
        <v>0</v>
      </c>
      <c r="Y1684" s="12">
        <f>V1684-X1684</f>
        <v>15.57</v>
      </c>
      <c r="Z1684" s="14">
        <v>25</v>
      </c>
      <c r="AA1684" s="2" t="str">
        <f>IF(V1684&gt;Z1684,"Yes","No")</f>
        <v>No</v>
      </c>
      <c r="AB1684" s="12">
        <f>V1684-Z1684</f>
        <v>-9.43</v>
      </c>
      <c r="AC1684" s="15" t="s">
        <v>130</v>
      </c>
      <c r="AD1684" s="15" t="s">
        <v>130</v>
      </c>
      <c r="AE1684" s="15" t="s">
        <v>180</v>
      </c>
      <c r="AF1684" s="12">
        <f>IF(AG1684="Rejected",0,IF(R1684="Corporate Card",0,V1684))</f>
        <v>0</v>
      </c>
      <c r="AG1684" s="15" t="s">
        <v>133</v>
      </c>
      <c r="AH1684" s="16">
        <v>45863</v>
      </c>
      <c r="AI1684" s="16">
        <v>45872</v>
      </c>
      <c r="AJ1684" s="16">
        <v>45881</v>
      </c>
      <c r="AK1684" s="17">
        <f>IF(AJ1684="","",AJ1684-AH1684)</f>
        <v>18</v>
      </c>
    </row>
    <row r="1685" spans="1:37">
      <c r="A1685" s="2" t="s">
        <v>2131</v>
      </c>
      <c r="B1685" s="2" t="s">
        <v>442</v>
      </c>
      <c r="C1685" s="2" t="s">
        <v>443</v>
      </c>
      <c r="D1685" s="2" t="s">
        <v>444</v>
      </c>
      <c r="E1685" s="2" t="s">
        <v>445</v>
      </c>
      <c r="F1685" s="2" t="s">
        <v>446</v>
      </c>
      <c r="G1685" s="2" t="s">
        <v>2128</v>
      </c>
      <c r="H1685" s="2" t="s">
        <v>348</v>
      </c>
      <c r="I1685" s="2" t="s">
        <v>380</v>
      </c>
      <c r="J1685" s="2" t="s">
        <v>381</v>
      </c>
      <c r="K1685" s="9">
        <v>45850</v>
      </c>
      <c r="L1685" s="9">
        <v>45852</v>
      </c>
      <c r="M1685" s="9">
        <v>45850</v>
      </c>
      <c r="N1685" s="2" t="s">
        <v>1986</v>
      </c>
      <c r="O1685" s="2" t="s">
        <v>56</v>
      </c>
      <c r="P1685" s="2" t="s">
        <v>165</v>
      </c>
      <c r="Q1685" s="2" t="s">
        <v>152</v>
      </c>
      <c r="R1685" s="2" t="s">
        <v>128</v>
      </c>
      <c r="S1685" s="2" t="s">
        <v>383</v>
      </c>
      <c r="T1685" s="10">
        <v>56.96</v>
      </c>
      <c r="U1685" s="11">
        <v>1</v>
      </c>
      <c r="V1685" s="12">
        <f>T1685*U1685</f>
        <v>56.96</v>
      </c>
      <c r="W1685" s="13">
        <v>0</v>
      </c>
      <c r="X1685" s="12">
        <f>V1685-(V1685/(1+W1685))</f>
        <v>0</v>
      </c>
      <c r="Y1685" s="12">
        <f>V1685-X1685</f>
        <v>56.96</v>
      </c>
      <c r="Z1685" s="14">
        <v>75</v>
      </c>
      <c r="AA1685" s="2" t="str">
        <f>IF(V1685&gt;Z1685,"Yes","No")</f>
        <v>No</v>
      </c>
      <c r="AB1685" s="12">
        <f>V1685-Z1685</f>
        <v>-18.04</v>
      </c>
      <c r="AC1685" s="15" t="s">
        <v>130</v>
      </c>
      <c r="AD1685" s="15" t="s">
        <v>130</v>
      </c>
      <c r="AE1685" s="15" t="s">
        <v>180</v>
      </c>
      <c r="AF1685" s="12">
        <f>IF(AG1685="Rejected",0,IF(R1685="Corporate Card",0,V1685))</f>
        <v>0</v>
      </c>
      <c r="AG1685" s="15" t="s">
        <v>133</v>
      </c>
      <c r="AH1685" s="16">
        <v>45863</v>
      </c>
      <c r="AI1685" s="16">
        <v>45872</v>
      </c>
      <c r="AJ1685" s="16">
        <v>45881</v>
      </c>
      <c r="AK1685" s="17">
        <f>IF(AJ1685="","",AJ1685-AH1685)</f>
        <v>18</v>
      </c>
    </row>
    <row r="1686" spans="1:37">
      <c r="A1686" s="2" t="s">
        <v>2132</v>
      </c>
      <c r="B1686" s="2" t="s">
        <v>442</v>
      </c>
      <c r="C1686" s="2" t="s">
        <v>443</v>
      </c>
      <c r="D1686" s="2" t="s">
        <v>444</v>
      </c>
      <c r="E1686" s="2" t="s">
        <v>445</v>
      </c>
      <c r="F1686" s="2" t="s">
        <v>446</v>
      </c>
      <c r="G1686" s="2" t="s">
        <v>2128</v>
      </c>
      <c r="H1686" s="2" t="s">
        <v>348</v>
      </c>
      <c r="I1686" s="2" t="s">
        <v>380</v>
      </c>
      <c r="J1686" s="2" t="s">
        <v>381</v>
      </c>
      <c r="K1686" s="9">
        <v>45850</v>
      </c>
      <c r="L1686" s="9">
        <v>45852</v>
      </c>
      <c r="M1686" s="9">
        <v>45850</v>
      </c>
      <c r="N1686" s="2" t="s">
        <v>1986</v>
      </c>
      <c r="O1686" s="2" t="s">
        <v>55</v>
      </c>
      <c r="P1686" s="2" t="s">
        <v>139</v>
      </c>
      <c r="Q1686" s="2" t="s">
        <v>161</v>
      </c>
      <c r="R1686" s="2" t="s">
        <v>128</v>
      </c>
      <c r="S1686" s="2" t="s">
        <v>383</v>
      </c>
      <c r="T1686" s="10">
        <v>24.2</v>
      </c>
      <c r="U1686" s="11">
        <v>1</v>
      </c>
      <c r="V1686" s="12">
        <f>T1686*U1686</f>
        <v>24.2</v>
      </c>
      <c r="W1686" s="13">
        <v>0</v>
      </c>
      <c r="X1686" s="12">
        <f>V1686-(V1686/(1+W1686))</f>
        <v>0</v>
      </c>
      <c r="Y1686" s="12">
        <f>V1686-X1686</f>
        <v>24.2</v>
      </c>
      <c r="Z1686" s="14">
        <v>35</v>
      </c>
      <c r="AA1686" s="2" t="str">
        <f>IF(V1686&gt;Z1686,"Yes","No")</f>
        <v>No</v>
      </c>
      <c r="AB1686" s="12">
        <f>V1686-Z1686</f>
        <v>-10.8</v>
      </c>
      <c r="AC1686" s="15" t="s">
        <v>130</v>
      </c>
      <c r="AD1686" s="15" t="s">
        <v>130</v>
      </c>
      <c r="AE1686" s="15" t="s">
        <v>180</v>
      </c>
      <c r="AF1686" s="12">
        <f>IF(AG1686="Rejected",0,IF(R1686="Corporate Card",0,V1686))</f>
        <v>0</v>
      </c>
      <c r="AG1686" s="15" t="s">
        <v>133</v>
      </c>
      <c r="AH1686" s="16">
        <v>45863</v>
      </c>
      <c r="AI1686" s="16">
        <v>45872</v>
      </c>
      <c r="AJ1686" s="16">
        <v>45881</v>
      </c>
      <c r="AK1686" s="17">
        <f>IF(AJ1686="","",AJ1686-AH1686)</f>
        <v>18</v>
      </c>
    </row>
    <row r="1687" spans="1:37">
      <c r="A1687" s="2" t="s">
        <v>2133</v>
      </c>
      <c r="B1687" s="2" t="s">
        <v>375</v>
      </c>
      <c r="C1687" s="2" t="s">
        <v>376</v>
      </c>
      <c r="D1687" s="2" t="s">
        <v>344</v>
      </c>
      <c r="E1687" s="2" t="s">
        <v>377</v>
      </c>
      <c r="F1687" s="2" t="s">
        <v>346</v>
      </c>
      <c r="G1687" s="2" t="s">
        <v>2111</v>
      </c>
      <c r="H1687" s="2" t="s">
        <v>291</v>
      </c>
      <c r="I1687" s="2" t="s">
        <v>651</v>
      </c>
      <c r="J1687" s="2" t="s">
        <v>652</v>
      </c>
      <c r="K1687" s="9">
        <v>45849</v>
      </c>
      <c r="L1687" s="9">
        <v>45855</v>
      </c>
      <c r="M1687" s="9">
        <v>45850</v>
      </c>
      <c r="N1687" s="2" t="s">
        <v>1986</v>
      </c>
      <c r="O1687" s="2" t="s">
        <v>60</v>
      </c>
      <c r="P1687" s="2" t="s">
        <v>2134</v>
      </c>
      <c r="Q1687" s="2" t="s">
        <v>702</v>
      </c>
      <c r="R1687" s="2" t="s">
        <v>128</v>
      </c>
      <c r="S1687" s="2" t="s">
        <v>654</v>
      </c>
      <c r="T1687" s="10">
        <v>1144.1199999999999</v>
      </c>
      <c r="U1687" s="11">
        <v>0.72799999999999998</v>
      </c>
      <c r="V1687" s="12">
        <f>T1687*U1687</f>
        <v>832.91935999999987</v>
      </c>
      <c r="W1687" s="13">
        <v>0.13</v>
      </c>
      <c r="X1687" s="12">
        <f>V1687-(V1687/(1+W1687))</f>
        <v>95.822581238937914</v>
      </c>
      <c r="Y1687" s="12">
        <f>V1687-X1687</f>
        <v>737.09677876106196</v>
      </c>
      <c r="Z1687" s="14">
        <v>720</v>
      </c>
      <c r="AA1687" s="2" t="str">
        <f>IF(V1687&gt;Z1687,"Yes","No")</f>
        <v>Yes</v>
      </c>
      <c r="AB1687" s="12">
        <f>V1687-Z1687</f>
        <v>112.91935999999987</v>
      </c>
      <c r="AC1687" s="15" t="s">
        <v>130</v>
      </c>
      <c r="AD1687" s="15" t="s">
        <v>130</v>
      </c>
      <c r="AE1687" s="15" t="s">
        <v>260</v>
      </c>
      <c r="AF1687" s="12">
        <f>IF(AG1687="Rejected",0,IF(R1687="Corporate Card",0,V1687))</f>
        <v>0</v>
      </c>
      <c r="AG1687" s="15" t="s">
        <v>133</v>
      </c>
      <c r="AH1687" s="16">
        <v>45856</v>
      </c>
      <c r="AI1687" s="16">
        <v>45862</v>
      </c>
      <c r="AJ1687" s="16">
        <v>45875</v>
      </c>
      <c r="AK1687" s="17">
        <f>IF(AJ1687="","",AJ1687-AH1687)</f>
        <v>19</v>
      </c>
    </row>
    <row r="1688" spans="1:37">
      <c r="A1688" s="2" t="s">
        <v>2135</v>
      </c>
      <c r="B1688" s="2" t="s">
        <v>375</v>
      </c>
      <c r="C1688" s="2" t="s">
        <v>376</v>
      </c>
      <c r="D1688" s="2" t="s">
        <v>344</v>
      </c>
      <c r="E1688" s="2" t="s">
        <v>377</v>
      </c>
      <c r="F1688" s="2" t="s">
        <v>346</v>
      </c>
      <c r="G1688" s="2" t="s">
        <v>2111</v>
      </c>
      <c r="H1688" s="2" t="s">
        <v>291</v>
      </c>
      <c r="I1688" s="2" t="s">
        <v>651</v>
      </c>
      <c r="J1688" s="2" t="s">
        <v>652</v>
      </c>
      <c r="K1688" s="9">
        <v>45849</v>
      </c>
      <c r="L1688" s="9">
        <v>45855</v>
      </c>
      <c r="M1688" s="9">
        <v>45850</v>
      </c>
      <c r="N1688" s="2" t="s">
        <v>1986</v>
      </c>
      <c r="O1688" s="2" t="s">
        <v>53</v>
      </c>
      <c r="P1688" s="2" t="s">
        <v>467</v>
      </c>
      <c r="Q1688" s="2" t="s">
        <v>468</v>
      </c>
      <c r="R1688" s="2" t="s">
        <v>128</v>
      </c>
      <c r="S1688" s="2" t="s">
        <v>654</v>
      </c>
      <c r="T1688" s="10">
        <v>941.73</v>
      </c>
      <c r="U1688" s="11">
        <v>0.72799999999999998</v>
      </c>
      <c r="V1688" s="12">
        <f>T1688*U1688</f>
        <v>685.57943999999998</v>
      </c>
      <c r="W1688" s="13">
        <v>0.13</v>
      </c>
      <c r="X1688" s="12">
        <f>V1688-(V1688/(1+W1688))</f>
        <v>78.871970973451312</v>
      </c>
      <c r="Y1688" s="12">
        <f>V1688-X1688</f>
        <v>606.70746902654867</v>
      </c>
      <c r="Z1688" s="14">
        <v>1680</v>
      </c>
      <c r="AA1688" s="2" t="str">
        <f>IF(V1688&gt;Z1688,"Yes","No")</f>
        <v>No</v>
      </c>
      <c r="AB1688" s="12">
        <f>V1688-Z1688</f>
        <v>-994.42056000000002</v>
      </c>
      <c r="AC1688" s="15" t="s">
        <v>130</v>
      </c>
      <c r="AD1688" s="15" t="s">
        <v>130</v>
      </c>
      <c r="AE1688" s="15" t="s">
        <v>260</v>
      </c>
      <c r="AF1688" s="12">
        <f>IF(AG1688="Rejected",0,IF(R1688="Corporate Card",0,V1688))</f>
        <v>0</v>
      </c>
      <c r="AG1688" s="15" t="s">
        <v>133</v>
      </c>
      <c r="AH1688" s="16">
        <v>45856</v>
      </c>
      <c r="AI1688" s="16">
        <v>45862</v>
      </c>
      <c r="AJ1688" s="16">
        <v>45875</v>
      </c>
      <c r="AK1688" s="17">
        <f>IF(AJ1688="","",AJ1688-AH1688)</f>
        <v>19</v>
      </c>
    </row>
    <row r="1689" spans="1:37">
      <c r="A1689" s="2" t="s">
        <v>2136</v>
      </c>
      <c r="B1689" s="2" t="s">
        <v>375</v>
      </c>
      <c r="C1689" s="2" t="s">
        <v>376</v>
      </c>
      <c r="D1689" s="2" t="s">
        <v>344</v>
      </c>
      <c r="E1689" s="2" t="s">
        <v>377</v>
      </c>
      <c r="F1689" s="2" t="s">
        <v>346</v>
      </c>
      <c r="G1689" s="2" t="s">
        <v>2111</v>
      </c>
      <c r="H1689" s="2" t="s">
        <v>291</v>
      </c>
      <c r="I1689" s="2" t="s">
        <v>651</v>
      </c>
      <c r="J1689" s="2" t="s">
        <v>652</v>
      </c>
      <c r="K1689" s="9">
        <v>45849</v>
      </c>
      <c r="L1689" s="9">
        <v>45855</v>
      </c>
      <c r="M1689" s="9">
        <v>45850</v>
      </c>
      <c r="N1689" s="2" t="s">
        <v>1986</v>
      </c>
      <c r="O1689" s="2" t="s">
        <v>56</v>
      </c>
      <c r="P1689" s="2" t="s">
        <v>231</v>
      </c>
      <c r="Q1689" s="2" t="s">
        <v>166</v>
      </c>
      <c r="R1689" s="2" t="s">
        <v>137</v>
      </c>
      <c r="S1689" s="2" t="s">
        <v>654</v>
      </c>
      <c r="T1689" s="10">
        <v>53.19</v>
      </c>
      <c r="U1689" s="11">
        <v>0.72799999999999998</v>
      </c>
      <c r="V1689" s="12">
        <f>T1689*U1689</f>
        <v>38.722319999999996</v>
      </c>
      <c r="W1689" s="13">
        <v>0.13</v>
      </c>
      <c r="X1689" s="12">
        <f>V1689-(V1689/(1+W1689))</f>
        <v>4.4547801769911501</v>
      </c>
      <c r="Y1689" s="12">
        <f>V1689-X1689</f>
        <v>34.267539823008846</v>
      </c>
      <c r="Z1689" s="14">
        <v>75</v>
      </c>
      <c r="AA1689" s="2" t="str">
        <f>IF(V1689&gt;Z1689,"Yes","No")</f>
        <v>No</v>
      </c>
      <c r="AB1689" s="12">
        <f>V1689-Z1689</f>
        <v>-36.277680000000004</v>
      </c>
      <c r="AC1689" s="15" t="s">
        <v>130</v>
      </c>
      <c r="AD1689" s="15" t="s">
        <v>130</v>
      </c>
      <c r="AE1689" s="15" t="s">
        <v>260</v>
      </c>
      <c r="AF1689" s="12">
        <f>IF(AG1689="Rejected",0,IF(R1689="Corporate Card",0,V1689))</f>
        <v>38.722319999999996</v>
      </c>
      <c r="AG1689" s="15" t="s">
        <v>133</v>
      </c>
      <c r="AH1689" s="16">
        <v>45856</v>
      </c>
      <c r="AI1689" s="16">
        <v>45862</v>
      </c>
      <c r="AJ1689" s="16">
        <v>45875</v>
      </c>
      <c r="AK1689" s="17">
        <f>IF(AJ1689="","",AJ1689-AH1689)</f>
        <v>19</v>
      </c>
    </row>
    <row r="1690" spans="1:37">
      <c r="A1690" s="2" t="s">
        <v>2137</v>
      </c>
      <c r="B1690" s="2" t="s">
        <v>375</v>
      </c>
      <c r="C1690" s="2" t="s">
        <v>376</v>
      </c>
      <c r="D1690" s="2" t="s">
        <v>344</v>
      </c>
      <c r="E1690" s="2" t="s">
        <v>377</v>
      </c>
      <c r="F1690" s="2" t="s">
        <v>346</v>
      </c>
      <c r="G1690" s="2" t="s">
        <v>2111</v>
      </c>
      <c r="H1690" s="2" t="s">
        <v>291</v>
      </c>
      <c r="I1690" s="2" t="s">
        <v>651</v>
      </c>
      <c r="J1690" s="2" t="s">
        <v>652</v>
      </c>
      <c r="K1690" s="9">
        <v>45849</v>
      </c>
      <c r="L1690" s="9">
        <v>45855</v>
      </c>
      <c r="M1690" s="9">
        <v>45850</v>
      </c>
      <c r="N1690" s="2" t="s">
        <v>1986</v>
      </c>
      <c r="O1690" s="2" t="s">
        <v>55</v>
      </c>
      <c r="P1690" s="2" t="s">
        <v>139</v>
      </c>
      <c r="Q1690" s="2" t="s">
        <v>161</v>
      </c>
      <c r="R1690" s="2" t="s">
        <v>128</v>
      </c>
      <c r="S1690" s="2" t="s">
        <v>654</v>
      </c>
      <c r="T1690" s="10">
        <v>22.22</v>
      </c>
      <c r="U1690" s="11">
        <v>0.72799999999999998</v>
      </c>
      <c r="V1690" s="12">
        <f>T1690*U1690</f>
        <v>16.176159999999999</v>
      </c>
      <c r="W1690" s="13">
        <v>0.13</v>
      </c>
      <c r="X1690" s="12">
        <f>V1690-(V1690/(1+W1690))</f>
        <v>1.8609741592920344</v>
      </c>
      <c r="Y1690" s="12">
        <f>V1690-X1690</f>
        <v>14.315185840707965</v>
      </c>
      <c r="Z1690" s="14">
        <v>35</v>
      </c>
      <c r="AA1690" s="2" t="str">
        <f>IF(V1690&gt;Z1690,"Yes","No")</f>
        <v>No</v>
      </c>
      <c r="AB1690" s="12">
        <f>V1690-Z1690</f>
        <v>-18.823840000000001</v>
      </c>
      <c r="AC1690" s="15" t="s">
        <v>130</v>
      </c>
      <c r="AD1690" s="15" t="s">
        <v>130</v>
      </c>
      <c r="AE1690" s="15" t="s">
        <v>260</v>
      </c>
      <c r="AF1690" s="12">
        <f>IF(AG1690="Rejected",0,IF(R1690="Corporate Card",0,V1690))</f>
        <v>0</v>
      </c>
      <c r="AG1690" s="15" t="s">
        <v>133</v>
      </c>
      <c r="AH1690" s="16">
        <v>45856</v>
      </c>
      <c r="AI1690" s="16">
        <v>45862</v>
      </c>
      <c r="AJ1690" s="16">
        <v>45875</v>
      </c>
      <c r="AK1690" s="17">
        <f>IF(AJ1690="","",AJ1690-AH1690)</f>
        <v>19</v>
      </c>
    </row>
    <row r="1691" spans="1:37">
      <c r="A1691" s="2" t="s">
        <v>2138</v>
      </c>
      <c r="B1691" s="2" t="s">
        <v>169</v>
      </c>
      <c r="C1691" s="2" t="s">
        <v>170</v>
      </c>
      <c r="D1691" s="2" t="s">
        <v>171</v>
      </c>
      <c r="E1691" s="2" t="s">
        <v>172</v>
      </c>
      <c r="F1691" s="2" t="s">
        <v>173</v>
      </c>
      <c r="G1691" s="2" t="s">
        <v>2139</v>
      </c>
      <c r="H1691" s="2" t="s">
        <v>193</v>
      </c>
      <c r="I1691" s="2" t="s">
        <v>651</v>
      </c>
      <c r="J1691" s="2" t="s">
        <v>652</v>
      </c>
      <c r="K1691" s="9">
        <v>45850</v>
      </c>
      <c r="L1691" s="9">
        <v>45858</v>
      </c>
      <c r="M1691" s="9">
        <v>45850</v>
      </c>
      <c r="N1691" s="2" t="s">
        <v>1986</v>
      </c>
      <c r="O1691" s="2" t="s">
        <v>52</v>
      </c>
      <c r="P1691" s="2" t="s">
        <v>653</v>
      </c>
      <c r="Q1691" s="2" t="s">
        <v>420</v>
      </c>
      <c r="R1691" s="2" t="s">
        <v>137</v>
      </c>
      <c r="S1691" s="2" t="s">
        <v>654</v>
      </c>
      <c r="T1691" s="10">
        <v>3265.18</v>
      </c>
      <c r="U1691" s="11">
        <v>0.72799999999999998</v>
      </c>
      <c r="V1691" s="12">
        <f>T1691*U1691</f>
        <v>2377.0510399999998</v>
      </c>
      <c r="W1691" s="13">
        <v>0</v>
      </c>
      <c r="X1691" s="12">
        <f>V1691-(V1691/(1+W1691))</f>
        <v>0</v>
      </c>
      <c r="Y1691" s="12">
        <f>V1691-X1691</f>
        <v>2377.0510399999998</v>
      </c>
      <c r="Z1691" s="14">
        <v>1400</v>
      </c>
      <c r="AA1691" s="2" t="str">
        <f>IF(V1691&gt;Z1691,"Yes","No")</f>
        <v>Yes</v>
      </c>
      <c r="AB1691" s="12">
        <f>V1691-Z1691</f>
        <v>977.05103999999983</v>
      </c>
      <c r="AC1691" s="15" t="s">
        <v>130</v>
      </c>
      <c r="AD1691" s="15" t="s">
        <v>130</v>
      </c>
      <c r="AE1691" s="15" t="s">
        <v>350</v>
      </c>
      <c r="AF1691" s="12">
        <f>IF(AG1691="Rejected",0,IF(R1691="Corporate Card",0,V1691))</f>
        <v>2377.0510399999998</v>
      </c>
      <c r="AG1691" s="15" t="s">
        <v>133</v>
      </c>
      <c r="AH1691" s="16">
        <v>45866</v>
      </c>
      <c r="AI1691" s="16">
        <v>45867</v>
      </c>
      <c r="AJ1691" s="16">
        <v>45875</v>
      </c>
      <c r="AK1691" s="17">
        <f>IF(AJ1691="","",AJ1691-AH1691)</f>
        <v>9</v>
      </c>
    </row>
    <row r="1692" spans="1:37">
      <c r="A1692" s="2" t="s">
        <v>2140</v>
      </c>
      <c r="B1692" s="2" t="s">
        <v>169</v>
      </c>
      <c r="C1692" s="2" t="s">
        <v>170</v>
      </c>
      <c r="D1692" s="2" t="s">
        <v>171</v>
      </c>
      <c r="E1692" s="2" t="s">
        <v>172</v>
      </c>
      <c r="F1692" s="2" t="s">
        <v>173</v>
      </c>
      <c r="G1692" s="2" t="s">
        <v>2139</v>
      </c>
      <c r="H1692" s="2" t="s">
        <v>193</v>
      </c>
      <c r="I1692" s="2" t="s">
        <v>651</v>
      </c>
      <c r="J1692" s="2" t="s">
        <v>652</v>
      </c>
      <c r="K1692" s="9">
        <v>45850</v>
      </c>
      <c r="L1692" s="9">
        <v>45858</v>
      </c>
      <c r="M1692" s="9">
        <v>45850</v>
      </c>
      <c r="N1692" s="2" t="s">
        <v>1986</v>
      </c>
      <c r="O1692" s="2" t="s">
        <v>63</v>
      </c>
      <c r="P1692" s="2" t="s">
        <v>200</v>
      </c>
      <c r="Q1692" s="2" t="s">
        <v>557</v>
      </c>
      <c r="R1692" s="2" t="s">
        <v>128</v>
      </c>
      <c r="S1692" s="2" t="s">
        <v>654</v>
      </c>
      <c r="T1692" s="10">
        <v>1642.47</v>
      </c>
      <c r="U1692" s="11">
        <v>0.72799999999999998</v>
      </c>
      <c r="V1692" s="12">
        <f>T1692*U1692</f>
        <v>1195.7181599999999</v>
      </c>
      <c r="W1692" s="13">
        <v>0</v>
      </c>
      <c r="X1692" s="12">
        <f>V1692-(V1692/(1+W1692))</f>
        <v>0</v>
      </c>
      <c r="Y1692" s="12">
        <f>V1692-X1692</f>
        <v>1195.7181599999999</v>
      </c>
      <c r="Z1692" s="14">
        <v>1200</v>
      </c>
      <c r="AA1692" s="2" t="str">
        <f>IF(V1692&gt;Z1692,"Yes","No")</f>
        <v>No</v>
      </c>
      <c r="AB1692" s="12">
        <f>V1692-Z1692</f>
        <v>-4.281840000000102</v>
      </c>
      <c r="AC1692" s="15" t="s">
        <v>130</v>
      </c>
      <c r="AD1692" s="15" t="s">
        <v>130</v>
      </c>
      <c r="AE1692" s="15" t="s">
        <v>350</v>
      </c>
      <c r="AF1692" s="12">
        <f>IF(AG1692="Rejected",0,IF(R1692="Corporate Card",0,V1692))</f>
        <v>0</v>
      </c>
      <c r="AG1692" s="15" t="s">
        <v>133</v>
      </c>
      <c r="AH1692" s="16">
        <v>45866</v>
      </c>
      <c r="AI1692" s="16">
        <v>45867</v>
      </c>
      <c r="AJ1692" s="16">
        <v>45875</v>
      </c>
      <c r="AK1692" s="17">
        <f>IF(AJ1692="","",AJ1692-AH1692)</f>
        <v>9</v>
      </c>
    </row>
    <row r="1693" spans="1:37">
      <c r="A1693" s="2" t="s">
        <v>2141</v>
      </c>
      <c r="B1693" s="2" t="s">
        <v>169</v>
      </c>
      <c r="C1693" s="2" t="s">
        <v>170</v>
      </c>
      <c r="D1693" s="2" t="s">
        <v>171</v>
      </c>
      <c r="E1693" s="2" t="s">
        <v>172</v>
      </c>
      <c r="F1693" s="2" t="s">
        <v>173</v>
      </c>
      <c r="G1693" s="2" t="s">
        <v>2139</v>
      </c>
      <c r="H1693" s="2" t="s">
        <v>193</v>
      </c>
      <c r="I1693" s="2" t="s">
        <v>651</v>
      </c>
      <c r="J1693" s="2" t="s">
        <v>652</v>
      </c>
      <c r="K1693" s="9">
        <v>45850</v>
      </c>
      <c r="L1693" s="9">
        <v>45858</v>
      </c>
      <c r="M1693" s="9">
        <v>45850</v>
      </c>
      <c r="N1693" s="2" t="s">
        <v>1986</v>
      </c>
      <c r="O1693" s="2" t="s">
        <v>58</v>
      </c>
      <c r="P1693" s="2" t="s">
        <v>142</v>
      </c>
      <c r="Q1693" s="2" t="s">
        <v>296</v>
      </c>
      <c r="R1693" s="2" t="s">
        <v>149</v>
      </c>
      <c r="S1693" s="2" t="s">
        <v>654</v>
      </c>
      <c r="T1693" s="10">
        <v>44.84</v>
      </c>
      <c r="U1693" s="11">
        <v>0.72799999999999998</v>
      </c>
      <c r="V1693" s="12">
        <f>T1693*U1693</f>
        <v>32.643520000000002</v>
      </c>
      <c r="W1693" s="13">
        <v>0.13</v>
      </c>
      <c r="X1693" s="12">
        <f>V1693-(V1693/(1+W1693))</f>
        <v>3.7554492035398219</v>
      </c>
      <c r="Y1693" s="12">
        <f>V1693-X1693</f>
        <v>28.88807079646018</v>
      </c>
      <c r="Z1693" s="14">
        <v>60</v>
      </c>
      <c r="AA1693" s="2" t="str">
        <f>IF(V1693&gt;Z1693,"Yes","No")</f>
        <v>No</v>
      </c>
      <c r="AB1693" s="12">
        <f>V1693-Z1693</f>
        <v>-27.356479999999998</v>
      </c>
      <c r="AC1693" s="15" t="s">
        <v>130</v>
      </c>
      <c r="AD1693" s="15" t="s">
        <v>130</v>
      </c>
      <c r="AE1693" s="15" t="s">
        <v>350</v>
      </c>
      <c r="AF1693" s="12">
        <f>IF(AG1693="Rejected",0,IF(R1693="Corporate Card",0,V1693))</f>
        <v>32.643520000000002</v>
      </c>
      <c r="AG1693" s="15" t="s">
        <v>133</v>
      </c>
      <c r="AH1693" s="16">
        <v>45866</v>
      </c>
      <c r="AI1693" s="16">
        <v>45867</v>
      </c>
      <c r="AJ1693" s="16">
        <v>45875</v>
      </c>
      <c r="AK1693" s="17">
        <f>IF(AJ1693="","",AJ1693-AH1693)</f>
        <v>9</v>
      </c>
    </row>
    <row r="1694" spans="1:37">
      <c r="A1694" s="2" t="s">
        <v>2142</v>
      </c>
      <c r="B1694" s="2" t="s">
        <v>169</v>
      </c>
      <c r="C1694" s="2" t="s">
        <v>170</v>
      </c>
      <c r="D1694" s="2" t="s">
        <v>171</v>
      </c>
      <c r="E1694" s="2" t="s">
        <v>172</v>
      </c>
      <c r="F1694" s="2" t="s">
        <v>173</v>
      </c>
      <c r="G1694" s="2" t="s">
        <v>2139</v>
      </c>
      <c r="H1694" s="2" t="s">
        <v>193</v>
      </c>
      <c r="I1694" s="2" t="s">
        <v>651</v>
      </c>
      <c r="J1694" s="2" t="s">
        <v>652</v>
      </c>
      <c r="K1694" s="9">
        <v>45850</v>
      </c>
      <c r="L1694" s="9">
        <v>45858</v>
      </c>
      <c r="M1694" s="9">
        <v>45850</v>
      </c>
      <c r="N1694" s="2" t="s">
        <v>1986</v>
      </c>
      <c r="O1694" s="2" t="s">
        <v>54</v>
      </c>
      <c r="P1694" s="2" t="s">
        <v>139</v>
      </c>
      <c r="Q1694" s="2" t="s">
        <v>140</v>
      </c>
      <c r="R1694" s="2" t="s">
        <v>149</v>
      </c>
      <c r="S1694" s="2" t="s">
        <v>654</v>
      </c>
      <c r="T1694" s="10">
        <v>21.42</v>
      </c>
      <c r="U1694" s="11">
        <v>0.72799999999999998</v>
      </c>
      <c r="V1694" s="12">
        <f>T1694*U1694</f>
        <v>15.593760000000001</v>
      </c>
      <c r="W1694" s="13">
        <v>0.13</v>
      </c>
      <c r="X1694" s="12">
        <f>V1694-(V1694/(1+W1694))</f>
        <v>1.7939723893805297</v>
      </c>
      <c r="Y1694" s="12">
        <f>V1694-X1694</f>
        <v>13.799787610619472</v>
      </c>
      <c r="Z1694" s="14">
        <v>25</v>
      </c>
      <c r="AA1694" s="2" t="str">
        <f>IF(V1694&gt;Z1694,"Yes","No")</f>
        <v>No</v>
      </c>
      <c r="AB1694" s="12">
        <f>V1694-Z1694</f>
        <v>-9.4062399999999986</v>
      </c>
      <c r="AC1694" s="15" t="s">
        <v>130</v>
      </c>
      <c r="AD1694" s="15" t="s">
        <v>130</v>
      </c>
      <c r="AE1694" s="15" t="s">
        <v>350</v>
      </c>
      <c r="AF1694" s="12">
        <f>IF(AG1694="Rejected",0,IF(R1694="Corporate Card",0,V1694))</f>
        <v>15.593760000000001</v>
      </c>
      <c r="AG1694" s="15" t="s">
        <v>133</v>
      </c>
      <c r="AH1694" s="16">
        <v>45866</v>
      </c>
      <c r="AI1694" s="16">
        <v>45867</v>
      </c>
      <c r="AJ1694" s="16">
        <v>45875</v>
      </c>
      <c r="AK1694" s="17">
        <f>IF(AJ1694="","",AJ1694-AH1694)</f>
        <v>9</v>
      </c>
    </row>
    <row r="1695" spans="1:37">
      <c r="A1695" s="2" t="s">
        <v>2143</v>
      </c>
      <c r="B1695" s="2" t="s">
        <v>169</v>
      </c>
      <c r="C1695" s="2" t="s">
        <v>170</v>
      </c>
      <c r="D1695" s="2" t="s">
        <v>171</v>
      </c>
      <c r="E1695" s="2" t="s">
        <v>172</v>
      </c>
      <c r="F1695" s="2" t="s">
        <v>173</v>
      </c>
      <c r="G1695" s="2" t="s">
        <v>2139</v>
      </c>
      <c r="H1695" s="2" t="s">
        <v>193</v>
      </c>
      <c r="I1695" s="2" t="s">
        <v>651</v>
      </c>
      <c r="J1695" s="2" t="s">
        <v>652</v>
      </c>
      <c r="K1695" s="9">
        <v>45850</v>
      </c>
      <c r="L1695" s="9">
        <v>45858</v>
      </c>
      <c r="M1695" s="9">
        <v>45850</v>
      </c>
      <c r="N1695" s="2" t="s">
        <v>1986</v>
      </c>
      <c r="O1695" s="2" t="s">
        <v>56</v>
      </c>
      <c r="P1695" s="2" t="s">
        <v>231</v>
      </c>
      <c r="Q1695" s="2" t="s">
        <v>159</v>
      </c>
      <c r="R1695" s="2" t="s">
        <v>137</v>
      </c>
      <c r="S1695" s="2" t="s">
        <v>654</v>
      </c>
      <c r="T1695" s="10">
        <v>49.99</v>
      </c>
      <c r="U1695" s="11">
        <v>0.72799999999999998</v>
      </c>
      <c r="V1695" s="12">
        <f>T1695*U1695</f>
        <v>36.392719999999997</v>
      </c>
      <c r="W1695" s="13">
        <v>0.13</v>
      </c>
      <c r="X1695" s="12">
        <f>V1695-(V1695/(1+W1695))</f>
        <v>4.1867730973451316</v>
      </c>
      <c r="Y1695" s="12">
        <f>V1695-X1695</f>
        <v>32.205946902654865</v>
      </c>
      <c r="Z1695" s="14">
        <v>75</v>
      </c>
      <c r="AA1695" s="2" t="str">
        <f>IF(V1695&gt;Z1695,"Yes","No")</f>
        <v>No</v>
      </c>
      <c r="AB1695" s="12">
        <f>V1695-Z1695</f>
        <v>-38.607280000000003</v>
      </c>
      <c r="AC1695" s="15" t="s">
        <v>130</v>
      </c>
      <c r="AD1695" s="15" t="s">
        <v>130</v>
      </c>
      <c r="AE1695" s="15" t="s">
        <v>350</v>
      </c>
      <c r="AF1695" s="12">
        <f>IF(AG1695="Rejected",0,IF(R1695="Corporate Card",0,V1695))</f>
        <v>36.392719999999997</v>
      </c>
      <c r="AG1695" s="15" t="s">
        <v>133</v>
      </c>
      <c r="AH1695" s="16">
        <v>45866</v>
      </c>
      <c r="AI1695" s="16">
        <v>45867</v>
      </c>
      <c r="AJ1695" s="16">
        <v>45875</v>
      </c>
      <c r="AK1695" s="17">
        <f>IF(AJ1695="","",AJ1695-AH1695)</f>
        <v>9</v>
      </c>
    </row>
    <row r="1696" spans="1:37">
      <c r="A1696" s="2" t="s">
        <v>2144</v>
      </c>
      <c r="B1696" s="2" t="s">
        <v>169</v>
      </c>
      <c r="C1696" s="2" t="s">
        <v>170</v>
      </c>
      <c r="D1696" s="2" t="s">
        <v>171</v>
      </c>
      <c r="E1696" s="2" t="s">
        <v>172</v>
      </c>
      <c r="F1696" s="2" t="s">
        <v>173</v>
      </c>
      <c r="G1696" s="2" t="s">
        <v>2139</v>
      </c>
      <c r="H1696" s="2" t="s">
        <v>193</v>
      </c>
      <c r="I1696" s="2" t="s">
        <v>651</v>
      </c>
      <c r="J1696" s="2" t="s">
        <v>652</v>
      </c>
      <c r="K1696" s="9">
        <v>45850</v>
      </c>
      <c r="L1696" s="9">
        <v>45858</v>
      </c>
      <c r="M1696" s="9">
        <v>45850</v>
      </c>
      <c r="N1696" s="2" t="s">
        <v>1986</v>
      </c>
      <c r="O1696" s="2" t="s">
        <v>55</v>
      </c>
      <c r="P1696" s="2" t="s">
        <v>139</v>
      </c>
      <c r="Q1696" s="2" t="s">
        <v>187</v>
      </c>
      <c r="R1696" s="2" t="s">
        <v>128</v>
      </c>
      <c r="S1696" s="2" t="s">
        <v>654</v>
      </c>
      <c r="T1696" s="10">
        <v>35.6</v>
      </c>
      <c r="U1696" s="11">
        <v>0.72799999999999998</v>
      </c>
      <c r="V1696" s="12">
        <f>T1696*U1696</f>
        <v>25.916800000000002</v>
      </c>
      <c r="W1696" s="13">
        <v>0.13</v>
      </c>
      <c r="X1696" s="12">
        <f>V1696-(V1696/(1+W1696))</f>
        <v>2.9815787610619466</v>
      </c>
      <c r="Y1696" s="12">
        <f>V1696-X1696</f>
        <v>22.935221238938055</v>
      </c>
      <c r="Z1696" s="14">
        <v>35</v>
      </c>
      <c r="AA1696" s="2" t="str">
        <f>IF(V1696&gt;Z1696,"Yes","No")</f>
        <v>No</v>
      </c>
      <c r="AB1696" s="12">
        <f>V1696-Z1696</f>
        <v>-9.0831999999999979</v>
      </c>
      <c r="AC1696" s="15" t="s">
        <v>130</v>
      </c>
      <c r="AD1696" s="15" t="s">
        <v>130</v>
      </c>
      <c r="AE1696" s="15" t="s">
        <v>350</v>
      </c>
      <c r="AF1696" s="12">
        <f>IF(AG1696="Rejected",0,IF(R1696="Corporate Card",0,V1696))</f>
        <v>0</v>
      </c>
      <c r="AG1696" s="15" t="s">
        <v>133</v>
      </c>
      <c r="AH1696" s="16">
        <v>45866</v>
      </c>
      <c r="AI1696" s="16">
        <v>45867</v>
      </c>
      <c r="AJ1696" s="16">
        <v>45875</v>
      </c>
      <c r="AK1696" s="17">
        <f>IF(AJ1696="","",AJ1696-AH1696)</f>
        <v>9</v>
      </c>
    </row>
    <row r="1697" spans="1:37">
      <c r="A1697" s="2" t="s">
        <v>2145</v>
      </c>
      <c r="B1697" s="2" t="s">
        <v>169</v>
      </c>
      <c r="C1697" s="2" t="s">
        <v>170</v>
      </c>
      <c r="D1697" s="2" t="s">
        <v>171</v>
      </c>
      <c r="E1697" s="2" t="s">
        <v>172</v>
      </c>
      <c r="F1697" s="2" t="s">
        <v>173</v>
      </c>
      <c r="G1697" s="2" t="s">
        <v>2139</v>
      </c>
      <c r="H1697" s="2" t="s">
        <v>193</v>
      </c>
      <c r="I1697" s="2" t="s">
        <v>651</v>
      </c>
      <c r="J1697" s="2" t="s">
        <v>652</v>
      </c>
      <c r="K1697" s="9">
        <v>45850</v>
      </c>
      <c r="L1697" s="9">
        <v>45858</v>
      </c>
      <c r="M1697" s="9">
        <v>45850</v>
      </c>
      <c r="N1697" s="2" t="s">
        <v>1986</v>
      </c>
      <c r="O1697" s="2" t="s">
        <v>66</v>
      </c>
      <c r="P1697" s="2" t="s">
        <v>489</v>
      </c>
      <c r="Q1697" s="2" t="s">
        <v>490</v>
      </c>
      <c r="R1697" s="2" t="s">
        <v>149</v>
      </c>
      <c r="S1697" s="2" t="s">
        <v>654</v>
      </c>
      <c r="T1697" s="10">
        <v>383.05</v>
      </c>
      <c r="U1697" s="11">
        <v>0.72799999999999998</v>
      </c>
      <c r="V1697" s="12">
        <f>T1697*U1697</f>
        <v>278.86040000000003</v>
      </c>
      <c r="W1697" s="13">
        <v>0</v>
      </c>
      <c r="X1697" s="12">
        <f>V1697-(V1697/(1+W1697))</f>
        <v>0</v>
      </c>
      <c r="Y1697" s="12">
        <f>V1697-X1697</f>
        <v>278.86040000000003</v>
      </c>
      <c r="Z1697" s="14">
        <v>250</v>
      </c>
      <c r="AA1697" s="2" t="str">
        <f>IF(V1697&gt;Z1697,"Yes","No")</f>
        <v>Yes</v>
      </c>
      <c r="AB1697" s="12">
        <f>V1697-Z1697</f>
        <v>28.860400000000027</v>
      </c>
      <c r="AC1697" s="15" t="s">
        <v>130</v>
      </c>
      <c r="AD1697" s="15" t="s">
        <v>130</v>
      </c>
      <c r="AE1697" s="15" t="s">
        <v>350</v>
      </c>
      <c r="AF1697" s="12">
        <f>IF(AG1697="Rejected",0,IF(R1697="Corporate Card",0,V1697))</f>
        <v>278.86040000000003</v>
      </c>
      <c r="AG1697" s="15" t="s">
        <v>133</v>
      </c>
      <c r="AH1697" s="16">
        <v>45866</v>
      </c>
      <c r="AI1697" s="16">
        <v>45867</v>
      </c>
      <c r="AJ1697" s="16">
        <v>45875</v>
      </c>
      <c r="AK1697" s="17">
        <f>IF(AJ1697="","",AJ1697-AH1697)</f>
        <v>9</v>
      </c>
    </row>
    <row r="1698" spans="1:37">
      <c r="A1698" s="2" t="s">
        <v>2146</v>
      </c>
      <c r="B1698" s="2" t="s">
        <v>310</v>
      </c>
      <c r="C1698" s="2" t="s">
        <v>311</v>
      </c>
      <c r="D1698" s="2" t="s">
        <v>118</v>
      </c>
      <c r="E1698" s="2" t="s">
        <v>312</v>
      </c>
      <c r="F1698" s="2" t="s">
        <v>313</v>
      </c>
      <c r="G1698" s="2" t="s">
        <v>2099</v>
      </c>
      <c r="H1698" s="2" t="s">
        <v>348</v>
      </c>
      <c r="I1698" s="2" t="s">
        <v>553</v>
      </c>
      <c r="J1698" s="2" t="s">
        <v>553</v>
      </c>
      <c r="K1698" s="9">
        <v>45848</v>
      </c>
      <c r="L1698" s="9">
        <v>45856</v>
      </c>
      <c r="M1698" s="9">
        <v>45850</v>
      </c>
      <c r="N1698" s="2" t="s">
        <v>1986</v>
      </c>
      <c r="O1698" s="2" t="s">
        <v>58</v>
      </c>
      <c r="P1698" s="2" t="s">
        <v>142</v>
      </c>
      <c r="Q1698" s="2" t="s">
        <v>156</v>
      </c>
      <c r="R1698" s="2" t="s">
        <v>149</v>
      </c>
      <c r="S1698" s="2" t="s">
        <v>555</v>
      </c>
      <c r="T1698" s="10">
        <v>45.55</v>
      </c>
      <c r="U1698" s="11">
        <v>0.74299999999999999</v>
      </c>
      <c r="V1698" s="12">
        <f>T1698*U1698</f>
        <v>33.843649999999997</v>
      </c>
      <c r="W1698" s="13">
        <v>0.09</v>
      </c>
      <c r="X1698" s="12">
        <f>V1698-(V1698/(1+W1698))</f>
        <v>2.7944298165137624</v>
      </c>
      <c r="Y1698" s="12">
        <f>V1698-X1698</f>
        <v>31.049220183486234</v>
      </c>
      <c r="Z1698" s="14">
        <v>60</v>
      </c>
      <c r="AA1698" s="2" t="str">
        <f>IF(V1698&gt;Z1698,"Yes","No")</f>
        <v>No</v>
      </c>
      <c r="AB1698" s="12">
        <f>V1698-Z1698</f>
        <v>-26.156350000000003</v>
      </c>
      <c r="AC1698" s="15" t="s">
        <v>130</v>
      </c>
      <c r="AD1698" s="15" t="s">
        <v>130</v>
      </c>
      <c r="AE1698" s="15" t="s">
        <v>180</v>
      </c>
      <c r="AF1698" s="12">
        <f>IF(AG1698="Rejected",0,IF(R1698="Corporate Card",0,V1698))</f>
        <v>33.843649999999997</v>
      </c>
      <c r="AG1698" s="15" t="s">
        <v>133</v>
      </c>
      <c r="AH1698" s="16">
        <v>45865</v>
      </c>
      <c r="AI1698" s="16">
        <v>45867</v>
      </c>
      <c r="AJ1698" s="16">
        <v>45876</v>
      </c>
      <c r="AK1698" s="17">
        <f>IF(AJ1698="","",AJ1698-AH1698)</f>
        <v>11</v>
      </c>
    </row>
    <row r="1699" spans="1:37">
      <c r="A1699" s="2" t="s">
        <v>2147</v>
      </c>
      <c r="B1699" s="2" t="s">
        <v>310</v>
      </c>
      <c r="C1699" s="2" t="s">
        <v>311</v>
      </c>
      <c r="D1699" s="2" t="s">
        <v>118</v>
      </c>
      <c r="E1699" s="2" t="s">
        <v>312</v>
      </c>
      <c r="F1699" s="2" t="s">
        <v>313</v>
      </c>
      <c r="G1699" s="2" t="s">
        <v>2099</v>
      </c>
      <c r="H1699" s="2" t="s">
        <v>348</v>
      </c>
      <c r="I1699" s="2" t="s">
        <v>553</v>
      </c>
      <c r="J1699" s="2" t="s">
        <v>553</v>
      </c>
      <c r="K1699" s="9">
        <v>45848</v>
      </c>
      <c r="L1699" s="9">
        <v>45856</v>
      </c>
      <c r="M1699" s="9">
        <v>45850</v>
      </c>
      <c r="N1699" s="2" t="s">
        <v>1986</v>
      </c>
      <c r="O1699" s="2" t="s">
        <v>54</v>
      </c>
      <c r="P1699" s="2" t="s">
        <v>139</v>
      </c>
      <c r="Q1699" s="2" t="s">
        <v>163</v>
      </c>
      <c r="R1699" s="2" t="s">
        <v>128</v>
      </c>
      <c r="S1699" s="2" t="s">
        <v>555</v>
      </c>
      <c r="T1699" s="10">
        <v>25.91</v>
      </c>
      <c r="U1699" s="11">
        <v>0.74299999999999999</v>
      </c>
      <c r="V1699" s="12">
        <f>T1699*U1699</f>
        <v>19.25113</v>
      </c>
      <c r="W1699" s="13">
        <v>0.09</v>
      </c>
      <c r="X1699" s="12">
        <f>V1699-(V1699/(1+W1699))</f>
        <v>1.5895428440366999</v>
      </c>
      <c r="Y1699" s="12">
        <f>V1699-X1699</f>
        <v>17.6615871559633</v>
      </c>
      <c r="Z1699" s="14">
        <v>25</v>
      </c>
      <c r="AA1699" s="2" t="str">
        <f>IF(V1699&gt;Z1699,"Yes","No")</f>
        <v>No</v>
      </c>
      <c r="AB1699" s="12">
        <f>V1699-Z1699</f>
        <v>-5.7488700000000001</v>
      </c>
      <c r="AC1699" s="15" t="s">
        <v>130</v>
      </c>
      <c r="AD1699" s="15" t="s">
        <v>130</v>
      </c>
      <c r="AE1699" s="15" t="s">
        <v>180</v>
      </c>
      <c r="AF1699" s="12">
        <f>IF(AG1699="Rejected",0,IF(R1699="Corporate Card",0,V1699))</f>
        <v>0</v>
      </c>
      <c r="AG1699" s="15" t="s">
        <v>133</v>
      </c>
      <c r="AH1699" s="16">
        <v>45865</v>
      </c>
      <c r="AI1699" s="16">
        <v>45867</v>
      </c>
      <c r="AJ1699" s="16">
        <v>45876</v>
      </c>
      <c r="AK1699" s="17">
        <f>IF(AJ1699="","",AJ1699-AH1699)</f>
        <v>11</v>
      </c>
    </row>
    <row r="1700" spans="1:37">
      <c r="A1700" s="2" t="s">
        <v>2148</v>
      </c>
      <c r="B1700" s="2" t="s">
        <v>310</v>
      </c>
      <c r="C1700" s="2" t="s">
        <v>311</v>
      </c>
      <c r="D1700" s="2" t="s">
        <v>118</v>
      </c>
      <c r="E1700" s="2" t="s">
        <v>312</v>
      </c>
      <c r="F1700" s="2" t="s">
        <v>313</v>
      </c>
      <c r="G1700" s="2" t="s">
        <v>2099</v>
      </c>
      <c r="H1700" s="2" t="s">
        <v>348</v>
      </c>
      <c r="I1700" s="2" t="s">
        <v>553</v>
      </c>
      <c r="J1700" s="2" t="s">
        <v>553</v>
      </c>
      <c r="K1700" s="9">
        <v>45848</v>
      </c>
      <c r="L1700" s="9">
        <v>45856</v>
      </c>
      <c r="M1700" s="9">
        <v>45850</v>
      </c>
      <c r="N1700" s="2" t="s">
        <v>1986</v>
      </c>
      <c r="O1700" s="2" t="s">
        <v>56</v>
      </c>
      <c r="P1700" s="2" t="s">
        <v>165</v>
      </c>
      <c r="Q1700" s="2" t="s">
        <v>185</v>
      </c>
      <c r="R1700" s="2" t="s">
        <v>128</v>
      </c>
      <c r="S1700" s="2" t="s">
        <v>555</v>
      </c>
      <c r="T1700" s="10">
        <v>55.82</v>
      </c>
      <c r="U1700" s="11">
        <v>0.74299999999999999</v>
      </c>
      <c r="V1700" s="12">
        <f>T1700*U1700</f>
        <v>41.474260000000001</v>
      </c>
      <c r="W1700" s="13">
        <v>0.09</v>
      </c>
      <c r="X1700" s="12">
        <f>V1700-(V1700/(1+W1700))</f>
        <v>3.4244801834862386</v>
      </c>
      <c r="Y1700" s="12">
        <f>V1700-X1700</f>
        <v>38.049779816513762</v>
      </c>
      <c r="Z1700" s="14">
        <v>75</v>
      </c>
      <c r="AA1700" s="2" t="str">
        <f>IF(V1700&gt;Z1700,"Yes","No")</f>
        <v>No</v>
      </c>
      <c r="AB1700" s="12">
        <f>V1700-Z1700</f>
        <v>-33.525739999999999</v>
      </c>
      <c r="AC1700" s="15" t="s">
        <v>130</v>
      </c>
      <c r="AD1700" s="15" t="s">
        <v>130</v>
      </c>
      <c r="AE1700" s="15" t="s">
        <v>180</v>
      </c>
      <c r="AF1700" s="12">
        <f>IF(AG1700="Rejected",0,IF(R1700="Corporate Card",0,V1700))</f>
        <v>0</v>
      </c>
      <c r="AG1700" s="15" t="s">
        <v>133</v>
      </c>
      <c r="AH1700" s="16">
        <v>45865</v>
      </c>
      <c r="AI1700" s="16">
        <v>45867</v>
      </c>
      <c r="AJ1700" s="16">
        <v>45876</v>
      </c>
      <c r="AK1700" s="17">
        <f>IF(AJ1700="","",AJ1700-AH1700)</f>
        <v>11</v>
      </c>
    </row>
    <row r="1701" spans="1:37">
      <c r="A1701" s="2" t="s">
        <v>2149</v>
      </c>
      <c r="B1701" s="2" t="s">
        <v>310</v>
      </c>
      <c r="C1701" s="2" t="s">
        <v>311</v>
      </c>
      <c r="D1701" s="2" t="s">
        <v>118</v>
      </c>
      <c r="E1701" s="2" t="s">
        <v>312</v>
      </c>
      <c r="F1701" s="2" t="s">
        <v>313</v>
      </c>
      <c r="G1701" s="2" t="s">
        <v>2099</v>
      </c>
      <c r="H1701" s="2" t="s">
        <v>348</v>
      </c>
      <c r="I1701" s="2" t="s">
        <v>553</v>
      </c>
      <c r="J1701" s="2" t="s">
        <v>553</v>
      </c>
      <c r="K1701" s="9">
        <v>45848</v>
      </c>
      <c r="L1701" s="9">
        <v>45856</v>
      </c>
      <c r="M1701" s="9">
        <v>45850</v>
      </c>
      <c r="N1701" s="2" t="s">
        <v>1986</v>
      </c>
      <c r="O1701" s="2" t="s">
        <v>55</v>
      </c>
      <c r="P1701" s="2" t="s">
        <v>139</v>
      </c>
      <c r="Q1701" s="2" t="s">
        <v>187</v>
      </c>
      <c r="R1701" s="2" t="s">
        <v>128</v>
      </c>
      <c r="S1701" s="2" t="s">
        <v>555</v>
      </c>
      <c r="T1701" s="10">
        <v>25.87</v>
      </c>
      <c r="U1701" s="11">
        <v>0.74299999999999999</v>
      </c>
      <c r="V1701" s="12">
        <f>T1701*U1701</f>
        <v>19.221410000000002</v>
      </c>
      <c r="W1701" s="13">
        <v>0.09</v>
      </c>
      <c r="X1701" s="12">
        <f>V1701-(V1701/(1+W1701))</f>
        <v>1.5870888990825698</v>
      </c>
      <c r="Y1701" s="12">
        <f>V1701-X1701</f>
        <v>17.634321100917433</v>
      </c>
      <c r="Z1701" s="14">
        <v>35</v>
      </c>
      <c r="AA1701" s="2" t="str">
        <f>IF(V1701&gt;Z1701,"Yes","No")</f>
        <v>No</v>
      </c>
      <c r="AB1701" s="12">
        <f>V1701-Z1701</f>
        <v>-15.778589999999998</v>
      </c>
      <c r="AC1701" s="15" t="s">
        <v>130</v>
      </c>
      <c r="AD1701" s="15" t="s">
        <v>130</v>
      </c>
      <c r="AE1701" s="15" t="s">
        <v>180</v>
      </c>
      <c r="AF1701" s="12">
        <f>IF(AG1701="Rejected",0,IF(R1701="Corporate Card",0,V1701))</f>
        <v>0</v>
      </c>
      <c r="AG1701" s="15" t="s">
        <v>133</v>
      </c>
      <c r="AH1701" s="16">
        <v>45865</v>
      </c>
      <c r="AI1701" s="16">
        <v>45867</v>
      </c>
      <c r="AJ1701" s="16">
        <v>45876</v>
      </c>
      <c r="AK1701" s="17">
        <f>IF(AJ1701="","",AJ1701-AH1701)</f>
        <v>11</v>
      </c>
    </row>
    <row r="1702" spans="1:37">
      <c r="A1702" s="2" t="s">
        <v>2150</v>
      </c>
      <c r="B1702" s="2" t="s">
        <v>287</v>
      </c>
      <c r="C1702" s="2" t="s">
        <v>288</v>
      </c>
      <c r="D1702" s="2" t="s">
        <v>171</v>
      </c>
      <c r="E1702" s="2" t="s">
        <v>289</v>
      </c>
      <c r="F1702" s="2" t="s">
        <v>173</v>
      </c>
      <c r="G1702" s="2" t="s">
        <v>2057</v>
      </c>
      <c r="H1702" s="2" t="s">
        <v>254</v>
      </c>
      <c r="I1702" s="2" t="s">
        <v>1038</v>
      </c>
      <c r="J1702" s="2" t="s">
        <v>381</v>
      </c>
      <c r="K1702" s="9">
        <v>45845</v>
      </c>
      <c r="L1702" s="9">
        <v>45853</v>
      </c>
      <c r="M1702" s="9">
        <v>45851</v>
      </c>
      <c r="N1702" s="2" t="s">
        <v>1986</v>
      </c>
      <c r="O1702" s="2" t="s">
        <v>58</v>
      </c>
      <c r="P1702" s="2" t="s">
        <v>142</v>
      </c>
      <c r="Q1702" s="2" t="s">
        <v>203</v>
      </c>
      <c r="R1702" s="2" t="s">
        <v>137</v>
      </c>
      <c r="S1702" s="2" t="s">
        <v>383</v>
      </c>
      <c r="T1702" s="10">
        <v>43.55</v>
      </c>
      <c r="U1702" s="11">
        <v>1</v>
      </c>
      <c r="V1702" s="12">
        <f>T1702*U1702</f>
        <v>43.55</v>
      </c>
      <c r="W1702" s="13">
        <v>0</v>
      </c>
      <c r="X1702" s="12">
        <f>V1702-(V1702/(1+W1702))</f>
        <v>0</v>
      </c>
      <c r="Y1702" s="12">
        <f>V1702-X1702</f>
        <v>43.55</v>
      </c>
      <c r="Z1702" s="14">
        <v>60</v>
      </c>
      <c r="AA1702" s="2" t="str">
        <f>IF(V1702&gt;Z1702,"Yes","No")</f>
        <v>No</v>
      </c>
      <c r="AB1702" s="12">
        <f>V1702-Z1702</f>
        <v>-16.450000000000003</v>
      </c>
      <c r="AC1702" s="15" t="s">
        <v>130</v>
      </c>
      <c r="AD1702" s="15" t="s">
        <v>131</v>
      </c>
      <c r="AE1702" s="15" t="s">
        <v>260</v>
      </c>
      <c r="AF1702" s="12">
        <f>IF(AG1702="Rejected",0,IF(R1702="Corporate Card",0,V1702))</f>
        <v>43.55</v>
      </c>
      <c r="AG1702" s="15" t="s">
        <v>133</v>
      </c>
      <c r="AH1702" s="16">
        <v>45860</v>
      </c>
      <c r="AI1702" s="16">
        <v>45862</v>
      </c>
      <c r="AJ1702" s="16">
        <v>45876</v>
      </c>
      <c r="AK1702" s="17">
        <f>IF(AJ1702="","",AJ1702-AH1702)</f>
        <v>16</v>
      </c>
    </row>
    <row r="1703" spans="1:37">
      <c r="A1703" s="2" t="s">
        <v>2151</v>
      </c>
      <c r="B1703" s="2" t="s">
        <v>287</v>
      </c>
      <c r="C1703" s="2" t="s">
        <v>288</v>
      </c>
      <c r="D1703" s="2" t="s">
        <v>171</v>
      </c>
      <c r="E1703" s="2" t="s">
        <v>289</v>
      </c>
      <c r="F1703" s="2" t="s">
        <v>173</v>
      </c>
      <c r="G1703" s="2" t="s">
        <v>2057</v>
      </c>
      <c r="H1703" s="2" t="s">
        <v>254</v>
      </c>
      <c r="I1703" s="2" t="s">
        <v>1038</v>
      </c>
      <c r="J1703" s="2" t="s">
        <v>381</v>
      </c>
      <c r="K1703" s="9">
        <v>45845</v>
      </c>
      <c r="L1703" s="9">
        <v>45853</v>
      </c>
      <c r="M1703" s="9">
        <v>45851</v>
      </c>
      <c r="N1703" s="2" t="s">
        <v>1986</v>
      </c>
      <c r="O1703" s="2" t="s">
        <v>54</v>
      </c>
      <c r="P1703" s="2" t="s">
        <v>139</v>
      </c>
      <c r="Q1703" s="2" t="s">
        <v>140</v>
      </c>
      <c r="R1703" s="2" t="s">
        <v>128</v>
      </c>
      <c r="S1703" s="2" t="s">
        <v>383</v>
      </c>
      <c r="T1703" s="10">
        <v>11.3</v>
      </c>
      <c r="U1703" s="11">
        <v>1</v>
      </c>
      <c r="V1703" s="12">
        <f>T1703*U1703</f>
        <v>11.3</v>
      </c>
      <c r="W1703" s="13">
        <v>0</v>
      </c>
      <c r="X1703" s="12">
        <f>V1703-(V1703/(1+W1703))</f>
        <v>0</v>
      </c>
      <c r="Y1703" s="12">
        <f>V1703-X1703</f>
        <v>11.3</v>
      </c>
      <c r="Z1703" s="14">
        <v>25</v>
      </c>
      <c r="AA1703" s="2" t="str">
        <f>IF(V1703&gt;Z1703,"Yes","No")</f>
        <v>No</v>
      </c>
      <c r="AB1703" s="12">
        <f>V1703-Z1703</f>
        <v>-13.7</v>
      </c>
      <c r="AC1703" s="15" t="s">
        <v>130</v>
      </c>
      <c r="AD1703" s="15" t="s">
        <v>131</v>
      </c>
      <c r="AE1703" s="15" t="s">
        <v>260</v>
      </c>
      <c r="AF1703" s="12">
        <f>IF(AG1703="Rejected",0,IF(R1703="Corporate Card",0,V1703))</f>
        <v>0</v>
      </c>
      <c r="AG1703" s="15" t="s">
        <v>133</v>
      </c>
      <c r="AH1703" s="16">
        <v>45860</v>
      </c>
      <c r="AI1703" s="16">
        <v>45862</v>
      </c>
      <c r="AJ1703" s="16">
        <v>45876</v>
      </c>
      <c r="AK1703" s="17">
        <f>IF(AJ1703="","",AJ1703-AH1703)</f>
        <v>16</v>
      </c>
    </row>
    <row r="1704" spans="1:37">
      <c r="A1704" s="2" t="s">
        <v>2152</v>
      </c>
      <c r="B1704" s="2" t="s">
        <v>287</v>
      </c>
      <c r="C1704" s="2" t="s">
        <v>288</v>
      </c>
      <c r="D1704" s="2" t="s">
        <v>171</v>
      </c>
      <c r="E1704" s="2" t="s">
        <v>289</v>
      </c>
      <c r="F1704" s="2" t="s">
        <v>173</v>
      </c>
      <c r="G1704" s="2" t="s">
        <v>2057</v>
      </c>
      <c r="H1704" s="2" t="s">
        <v>254</v>
      </c>
      <c r="I1704" s="2" t="s">
        <v>1038</v>
      </c>
      <c r="J1704" s="2" t="s">
        <v>381</v>
      </c>
      <c r="K1704" s="9">
        <v>45845</v>
      </c>
      <c r="L1704" s="9">
        <v>45853</v>
      </c>
      <c r="M1704" s="9">
        <v>45851</v>
      </c>
      <c r="N1704" s="2" t="s">
        <v>1986</v>
      </c>
      <c r="O1704" s="2" t="s">
        <v>56</v>
      </c>
      <c r="P1704" s="2" t="s">
        <v>231</v>
      </c>
      <c r="Q1704" s="2" t="s">
        <v>166</v>
      </c>
      <c r="R1704" s="2" t="s">
        <v>128</v>
      </c>
      <c r="S1704" s="2" t="s">
        <v>383</v>
      </c>
      <c r="T1704" s="10">
        <v>42.09</v>
      </c>
      <c r="U1704" s="11">
        <v>1</v>
      </c>
      <c r="V1704" s="12">
        <f>T1704*U1704</f>
        <v>42.09</v>
      </c>
      <c r="W1704" s="13">
        <v>0</v>
      </c>
      <c r="X1704" s="12">
        <f>V1704-(V1704/(1+W1704))</f>
        <v>0</v>
      </c>
      <c r="Y1704" s="12">
        <f>V1704-X1704</f>
        <v>42.09</v>
      </c>
      <c r="Z1704" s="14">
        <v>75</v>
      </c>
      <c r="AA1704" s="2" t="str">
        <f>IF(V1704&gt;Z1704,"Yes","No")</f>
        <v>No</v>
      </c>
      <c r="AB1704" s="12">
        <f>V1704-Z1704</f>
        <v>-32.909999999999997</v>
      </c>
      <c r="AC1704" s="15" t="s">
        <v>130</v>
      </c>
      <c r="AD1704" s="15" t="s">
        <v>131</v>
      </c>
      <c r="AE1704" s="15" t="s">
        <v>260</v>
      </c>
      <c r="AF1704" s="12">
        <f>IF(AG1704="Rejected",0,IF(R1704="Corporate Card",0,V1704))</f>
        <v>0</v>
      </c>
      <c r="AG1704" s="15" t="s">
        <v>133</v>
      </c>
      <c r="AH1704" s="16">
        <v>45860</v>
      </c>
      <c r="AI1704" s="16">
        <v>45862</v>
      </c>
      <c r="AJ1704" s="16">
        <v>45876</v>
      </c>
      <c r="AK1704" s="17">
        <f>IF(AJ1704="","",AJ1704-AH1704)</f>
        <v>16</v>
      </c>
    </row>
    <row r="1705" spans="1:37">
      <c r="A1705" s="2" t="s">
        <v>2153</v>
      </c>
      <c r="B1705" s="2" t="s">
        <v>287</v>
      </c>
      <c r="C1705" s="2" t="s">
        <v>288</v>
      </c>
      <c r="D1705" s="2" t="s">
        <v>171</v>
      </c>
      <c r="E1705" s="2" t="s">
        <v>289</v>
      </c>
      <c r="F1705" s="2" t="s">
        <v>173</v>
      </c>
      <c r="G1705" s="2" t="s">
        <v>2057</v>
      </c>
      <c r="H1705" s="2" t="s">
        <v>254</v>
      </c>
      <c r="I1705" s="2" t="s">
        <v>1038</v>
      </c>
      <c r="J1705" s="2" t="s">
        <v>381</v>
      </c>
      <c r="K1705" s="9">
        <v>45845</v>
      </c>
      <c r="L1705" s="9">
        <v>45853</v>
      </c>
      <c r="M1705" s="9">
        <v>45851</v>
      </c>
      <c r="N1705" s="2" t="s">
        <v>1986</v>
      </c>
      <c r="O1705" s="2" t="s">
        <v>55</v>
      </c>
      <c r="P1705" s="2" t="s">
        <v>139</v>
      </c>
      <c r="Q1705" s="2" t="s">
        <v>154</v>
      </c>
      <c r="R1705" s="2" t="s">
        <v>149</v>
      </c>
      <c r="S1705" s="2" t="s">
        <v>383</v>
      </c>
      <c r="T1705" s="10">
        <v>16.149999999999999</v>
      </c>
      <c r="U1705" s="11">
        <v>1</v>
      </c>
      <c r="V1705" s="12">
        <f>T1705*U1705</f>
        <v>16.149999999999999</v>
      </c>
      <c r="W1705" s="13">
        <v>0</v>
      </c>
      <c r="X1705" s="12">
        <f>V1705-(V1705/(1+W1705))</f>
        <v>0</v>
      </c>
      <c r="Y1705" s="12">
        <f>V1705-X1705</f>
        <v>16.149999999999999</v>
      </c>
      <c r="Z1705" s="14">
        <v>35</v>
      </c>
      <c r="AA1705" s="2" t="str">
        <f>IF(V1705&gt;Z1705,"Yes","No")</f>
        <v>No</v>
      </c>
      <c r="AB1705" s="12">
        <f>V1705-Z1705</f>
        <v>-18.850000000000001</v>
      </c>
      <c r="AC1705" s="15" t="s">
        <v>130</v>
      </c>
      <c r="AD1705" s="15" t="s">
        <v>131</v>
      </c>
      <c r="AE1705" s="15" t="s">
        <v>260</v>
      </c>
      <c r="AF1705" s="12">
        <f>IF(AG1705="Rejected",0,IF(R1705="Corporate Card",0,V1705))</f>
        <v>16.149999999999999</v>
      </c>
      <c r="AG1705" s="15" t="s">
        <v>133</v>
      </c>
      <c r="AH1705" s="16">
        <v>45860</v>
      </c>
      <c r="AI1705" s="16">
        <v>45862</v>
      </c>
      <c r="AJ1705" s="16">
        <v>45876</v>
      </c>
      <c r="AK1705" s="17">
        <f>IF(AJ1705="","",AJ1705-AH1705)</f>
        <v>16</v>
      </c>
    </row>
    <row r="1706" spans="1:37">
      <c r="A1706" s="2" t="s">
        <v>2154</v>
      </c>
      <c r="B1706" s="2" t="s">
        <v>287</v>
      </c>
      <c r="C1706" s="2" t="s">
        <v>288</v>
      </c>
      <c r="D1706" s="2" t="s">
        <v>171</v>
      </c>
      <c r="E1706" s="2" t="s">
        <v>289</v>
      </c>
      <c r="F1706" s="2" t="s">
        <v>173</v>
      </c>
      <c r="G1706" s="2" t="s">
        <v>2026</v>
      </c>
      <c r="H1706" s="2" t="s">
        <v>448</v>
      </c>
      <c r="I1706" s="2" t="s">
        <v>194</v>
      </c>
      <c r="J1706" s="2" t="s">
        <v>195</v>
      </c>
      <c r="K1706" s="9">
        <v>45843</v>
      </c>
      <c r="L1706" s="9">
        <v>45851</v>
      </c>
      <c r="M1706" s="9">
        <v>45851</v>
      </c>
      <c r="N1706" s="2" t="s">
        <v>1986</v>
      </c>
      <c r="O1706" s="2" t="s">
        <v>54</v>
      </c>
      <c r="P1706" s="2" t="s">
        <v>139</v>
      </c>
      <c r="Q1706" s="2" t="s">
        <v>214</v>
      </c>
      <c r="R1706" s="2" t="s">
        <v>128</v>
      </c>
      <c r="S1706" s="2" t="s">
        <v>198</v>
      </c>
      <c r="T1706" s="10">
        <v>11.99</v>
      </c>
      <c r="U1706" s="11">
        <v>1.085</v>
      </c>
      <c r="V1706" s="12">
        <f>T1706*U1706</f>
        <v>13.00915</v>
      </c>
      <c r="W1706" s="13">
        <v>0.19</v>
      </c>
      <c r="X1706" s="12">
        <f>V1706-(V1706/(1+W1706))</f>
        <v>2.0770911764705886</v>
      </c>
      <c r="Y1706" s="12">
        <f>V1706-X1706</f>
        <v>10.932058823529411</v>
      </c>
      <c r="Z1706" s="14">
        <v>25</v>
      </c>
      <c r="AA1706" s="2" t="str">
        <f>IF(V1706&gt;Z1706,"Yes","No")</f>
        <v>No</v>
      </c>
      <c r="AB1706" s="12">
        <f>V1706-Z1706</f>
        <v>-11.99085</v>
      </c>
      <c r="AC1706" s="15" t="s">
        <v>130</v>
      </c>
      <c r="AD1706" s="15" t="s">
        <v>131</v>
      </c>
      <c r="AE1706" s="15" t="s">
        <v>180</v>
      </c>
      <c r="AF1706" s="12">
        <f>IF(AG1706="Rejected",0,IF(R1706="Corporate Card",0,V1706))</f>
        <v>0</v>
      </c>
      <c r="AG1706" s="15" t="s">
        <v>133</v>
      </c>
      <c r="AH1706" s="16">
        <v>45863</v>
      </c>
      <c r="AI1706" s="16">
        <v>45865</v>
      </c>
      <c r="AJ1706" s="16">
        <v>45870</v>
      </c>
      <c r="AK1706" s="17">
        <f>IF(AJ1706="","",AJ1706-AH1706)</f>
        <v>7</v>
      </c>
    </row>
    <row r="1707" spans="1:37">
      <c r="A1707" s="2" t="s">
        <v>2155</v>
      </c>
      <c r="B1707" s="2" t="s">
        <v>287</v>
      </c>
      <c r="C1707" s="2" t="s">
        <v>288</v>
      </c>
      <c r="D1707" s="2" t="s">
        <v>171</v>
      </c>
      <c r="E1707" s="2" t="s">
        <v>289</v>
      </c>
      <c r="F1707" s="2" t="s">
        <v>173</v>
      </c>
      <c r="G1707" s="2" t="s">
        <v>2026</v>
      </c>
      <c r="H1707" s="2" t="s">
        <v>448</v>
      </c>
      <c r="I1707" s="2" t="s">
        <v>194</v>
      </c>
      <c r="J1707" s="2" t="s">
        <v>195</v>
      </c>
      <c r="K1707" s="9">
        <v>45843</v>
      </c>
      <c r="L1707" s="9">
        <v>45851</v>
      </c>
      <c r="M1707" s="9">
        <v>45851</v>
      </c>
      <c r="N1707" s="2" t="s">
        <v>1986</v>
      </c>
      <c r="O1707" s="2" t="s">
        <v>56</v>
      </c>
      <c r="P1707" s="2" t="s">
        <v>165</v>
      </c>
      <c r="Q1707" s="2" t="s">
        <v>166</v>
      </c>
      <c r="R1707" s="2" t="s">
        <v>137</v>
      </c>
      <c r="S1707" s="2" t="s">
        <v>198</v>
      </c>
      <c r="T1707" s="10">
        <v>39.06</v>
      </c>
      <c r="U1707" s="11">
        <v>1.085</v>
      </c>
      <c r="V1707" s="12">
        <f>T1707*U1707</f>
        <v>42.380099999999999</v>
      </c>
      <c r="W1707" s="13">
        <v>0.19</v>
      </c>
      <c r="X1707" s="12">
        <f>V1707-(V1707/(1+W1707))</f>
        <v>6.7665705882352896</v>
      </c>
      <c r="Y1707" s="12">
        <f>V1707-X1707</f>
        <v>35.613529411764709</v>
      </c>
      <c r="Z1707" s="14">
        <v>75</v>
      </c>
      <c r="AA1707" s="2" t="str">
        <f>IF(V1707&gt;Z1707,"Yes","No")</f>
        <v>No</v>
      </c>
      <c r="AB1707" s="12">
        <f>V1707-Z1707</f>
        <v>-32.619900000000001</v>
      </c>
      <c r="AC1707" s="15" t="s">
        <v>130</v>
      </c>
      <c r="AD1707" s="15" t="s">
        <v>131</v>
      </c>
      <c r="AE1707" s="15" t="s">
        <v>180</v>
      </c>
      <c r="AF1707" s="12">
        <f>IF(AG1707="Rejected",0,IF(R1707="Corporate Card",0,V1707))</f>
        <v>42.380099999999999</v>
      </c>
      <c r="AG1707" s="15" t="s">
        <v>133</v>
      </c>
      <c r="AH1707" s="16">
        <v>45863</v>
      </c>
      <c r="AI1707" s="16">
        <v>45865</v>
      </c>
      <c r="AJ1707" s="16">
        <v>45870</v>
      </c>
      <c r="AK1707" s="17">
        <f>IF(AJ1707="","",AJ1707-AH1707)</f>
        <v>7</v>
      </c>
    </row>
    <row r="1708" spans="1:37">
      <c r="A1708" s="2" t="s">
        <v>2156</v>
      </c>
      <c r="B1708" s="2" t="s">
        <v>442</v>
      </c>
      <c r="C1708" s="2" t="s">
        <v>443</v>
      </c>
      <c r="D1708" s="2" t="s">
        <v>444</v>
      </c>
      <c r="E1708" s="2" t="s">
        <v>445</v>
      </c>
      <c r="F1708" s="2" t="s">
        <v>446</v>
      </c>
      <c r="G1708" s="2" t="s">
        <v>2128</v>
      </c>
      <c r="H1708" s="2" t="s">
        <v>348</v>
      </c>
      <c r="I1708" s="2" t="s">
        <v>380</v>
      </c>
      <c r="J1708" s="2" t="s">
        <v>381</v>
      </c>
      <c r="K1708" s="9">
        <v>45850</v>
      </c>
      <c r="L1708" s="9">
        <v>45852</v>
      </c>
      <c r="M1708" s="9">
        <v>45851</v>
      </c>
      <c r="N1708" s="2" t="s">
        <v>1986</v>
      </c>
      <c r="O1708" s="2" t="s">
        <v>60</v>
      </c>
      <c r="P1708" s="2" t="s">
        <v>1643</v>
      </c>
      <c r="Q1708" s="2" t="s">
        <v>503</v>
      </c>
      <c r="R1708" s="2" t="s">
        <v>128</v>
      </c>
      <c r="S1708" s="2" t="s">
        <v>383</v>
      </c>
      <c r="T1708" s="10">
        <v>263.02999999999997</v>
      </c>
      <c r="U1708" s="11">
        <v>1</v>
      </c>
      <c r="V1708" s="12">
        <f>T1708*U1708</f>
        <v>263.02999999999997</v>
      </c>
      <c r="W1708" s="13">
        <v>0</v>
      </c>
      <c r="X1708" s="12">
        <f>V1708-(V1708/(1+W1708))</f>
        <v>0</v>
      </c>
      <c r="Y1708" s="12">
        <f>V1708-X1708</f>
        <v>263.02999999999997</v>
      </c>
      <c r="Z1708" s="14">
        <v>240</v>
      </c>
      <c r="AA1708" s="2" t="str">
        <f>IF(V1708&gt;Z1708,"Yes","No")</f>
        <v>Yes</v>
      </c>
      <c r="AB1708" s="12">
        <f>V1708-Z1708</f>
        <v>23.029999999999973</v>
      </c>
      <c r="AC1708" s="15" t="s">
        <v>130</v>
      </c>
      <c r="AD1708" s="15" t="s">
        <v>130</v>
      </c>
      <c r="AE1708" s="15" t="s">
        <v>180</v>
      </c>
      <c r="AF1708" s="12">
        <f>IF(AG1708="Rejected",0,IF(R1708="Corporate Card",0,V1708))</f>
        <v>0</v>
      </c>
      <c r="AG1708" s="15" t="s">
        <v>133</v>
      </c>
      <c r="AH1708" s="16">
        <v>45863</v>
      </c>
      <c r="AI1708" s="16">
        <v>45872</v>
      </c>
      <c r="AJ1708" s="16">
        <v>45881</v>
      </c>
      <c r="AK1708" s="17">
        <f>IF(AJ1708="","",AJ1708-AH1708)</f>
        <v>18</v>
      </c>
    </row>
    <row r="1709" spans="1:37">
      <c r="A1709" s="2" t="s">
        <v>2157</v>
      </c>
      <c r="B1709" s="2" t="s">
        <v>442</v>
      </c>
      <c r="C1709" s="2" t="s">
        <v>443</v>
      </c>
      <c r="D1709" s="2" t="s">
        <v>444</v>
      </c>
      <c r="E1709" s="2" t="s">
        <v>445</v>
      </c>
      <c r="F1709" s="2" t="s">
        <v>446</v>
      </c>
      <c r="G1709" s="2" t="s">
        <v>2128</v>
      </c>
      <c r="H1709" s="2" t="s">
        <v>348</v>
      </c>
      <c r="I1709" s="2" t="s">
        <v>380</v>
      </c>
      <c r="J1709" s="2" t="s">
        <v>381</v>
      </c>
      <c r="K1709" s="9">
        <v>45850</v>
      </c>
      <c r="L1709" s="9">
        <v>45852</v>
      </c>
      <c r="M1709" s="9">
        <v>45851</v>
      </c>
      <c r="N1709" s="2" t="s">
        <v>1986</v>
      </c>
      <c r="O1709" s="2" t="s">
        <v>58</v>
      </c>
      <c r="P1709" s="2" t="s">
        <v>142</v>
      </c>
      <c r="Q1709" s="2" t="s">
        <v>143</v>
      </c>
      <c r="R1709" s="2" t="s">
        <v>128</v>
      </c>
      <c r="S1709" s="2" t="s">
        <v>383</v>
      </c>
      <c r="T1709" s="10">
        <v>26.42</v>
      </c>
      <c r="U1709" s="11">
        <v>1</v>
      </c>
      <c r="V1709" s="12">
        <f>T1709*U1709</f>
        <v>26.42</v>
      </c>
      <c r="W1709" s="13">
        <v>0</v>
      </c>
      <c r="X1709" s="12">
        <f>V1709-(V1709/(1+W1709))</f>
        <v>0</v>
      </c>
      <c r="Y1709" s="12">
        <f>V1709-X1709</f>
        <v>26.42</v>
      </c>
      <c r="Z1709" s="14">
        <v>60</v>
      </c>
      <c r="AA1709" s="2" t="str">
        <f>IF(V1709&gt;Z1709,"Yes","No")</f>
        <v>No</v>
      </c>
      <c r="AB1709" s="12">
        <f>V1709-Z1709</f>
        <v>-33.58</v>
      </c>
      <c r="AC1709" s="15" t="s">
        <v>130</v>
      </c>
      <c r="AD1709" s="15" t="s">
        <v>130</v>
      </c>
      <c r="AE1709" s="15" t="s">
        <v>180</v>
      </c>
      <c r="AF1709" s="12">
        <f>IF(AG1709="Rejected",0,IF(R1709="Corporate Card",0,V1709))</f>
        <v>0</v>
      </c>
      <c r="AG1709" s="15" t="s">
        <v>133</v>
      </c>
      <c r="AH1709" s="16">
        <v>45863</v>
      </c>
      <c r="AI1709" s="16">
        <v>45872</v>
      </c>
      <c r="AJ1709" s="16">
        <v>45881</v>
      </c>
      <c r="AK1709" s="17">
        <f>IF(AJ1709="","",AJ1709-AH1709)</f>
        <v>18</v>
      </c>
    </row>
    <row r="1710" spans="1:37">
      <c r="A1710" s="2" t="s">
        <v>2158</v>
      </c>
      <c r="B1710" s="2" t="s">
        <v>442</v>
      </c>
      <c r="C1710" s="2" t="s">
        <v>443</v>
      </c>
      <c r="D1710" s="2" t="s">
        <v>444</v>
      </c>
      <c r="E1710" s="2" t="s">
        <v>445</v>
      </c>
      <c r="F1710" s="2" t="s">
        <v>446</v>
      </c>
      <c r="G1710" s="2" t="s">
        <v>2128</v>
      </c>
      <c r="H1710" s="2" t="s">
        <v>348</v>
      </c>
      <c r="I1710" s="2" t="s">
        <v>380</v>
      </c>
      <c r="J1710" s="2" t="s">
        <v>381</v>
      </c>
      <c r="K1710" s="9">
        <v>45850</v>
      </c>
      <c r="L1710" s="9">
        <v>45852</v>
      </c>
      <c r="M1710" s="9">
        <v>45851</v>
      </c>
      <c r="N1710" s="2" t="s">
        <v>1986</v>
      </c>
      <c r="O1710" s="2" t="s">
        <v>53</v>
      </c>
      <c r="P1710" s="2" t="s">
        <v>362</v>
      </c>
      <c r="Q1710" s="2" t="s">
        <v>146</v>
      </c>
      <c r="R1710" s="2" t="s">
        <v>128</v>
      </c>
      <c r="S1710" s="2" t="s">
        <v>383</v>
      </c>
      <c r="T1710" s="10">
        <v>226.12</v>
      </c>
      <c r="U1710" s="11">
        <v>1</v>
      </c>
      <c r="V1710" s="12">
        <f>T1710*U1710</f>
        <v>226.12</v>
      </c>
      <c r="W1710" s="13">
        <v>0</v>
      </c>
      <c r="X1710" s="12">
        <f>V1710-(V1710/(1+W1710))</f>
        <v>0</v>
      </c>
      <c r="Y1710" s="12">
        <f>V1710-X1710</f>
        <v>226.12</v>
      </c>
      <c r="Z1710" s="14">
        <v>560</v>
      </c>
      <c r="AA1710" s="2" t="str">
        <f>IF(V1710&gt;Z1710,"Yes","No")</f>
        <v>No</v>
      </c>
      <c r="AB1710" s="12">
        <f>V1710-Z1710</f>
        <v>-333.88</v>
      </c>
      <c r="AC1710" s="15" t="s">
        <v>131</v>
      </c>
      <c r="AD1710" s="15" t="s">
        <v>130</v>
      </c>
      <c r="AE1710" s="15" t="s">
        <v>180</v>
      </c>
      <c r="AF1710" s="12">
        <f>IF(AG1710="Rejected",0,IF(R1710="Corporate Card",0,V1710))</f>
        <v>0</v>
      </c>
      <c r="AG1710" s="15" t="s">
        <v>133</v>
      </c>
      <c r="AH1710" s="16">
        <v>45863</v>
      </c>
      <c r="AI1710" s="16">
        <v>45872</v>
      </c>
      <c r="AJ1710" s="16">
        <v>45881</v>
      </c>
      <c r="AK1710" s="17">
        <f>IF(AJ1710="","",AJ1710-AH1710)</f>
        <v>18</v>
      </c>
    </row>
    <row r="1711" spans="1:37">
      <c r="A1711" s="2" t="s">
        <v>2159</v>
      </c>
      <c r="B1711" s="2" t="s">
        <v>442</v>
      </c>
      <c r="C1711" s="2" t="s">
        <v>443</v>
      </c>
      <c r="D1711" s="2" t="s">
        <v>444</v>
      </c>
      <c r="E1711" s="2" t="s">
        <v>445</v>
      </c>
      <c r="F1711" s="2" t="s">
        <v>446</v>
      </c>
      <c r="G1711" s="2" t="s">
        <v>2128</v>
      </c>
      <c r="H1711" s="2" t="s">
        <v>348</v>
      </c>
      <c r="I1711" s="2" t="s">
        <v>380</v>
      </c>
      <c r="J1711" s="2" t="s">
        <v>381</v>
      </c>
      <c r="K1711" s="9">
        <v>45850</v>
      </c>
      <c r="L1711" s="9">
        <v>45852</v>
      </c>
      <c r="M1711" s="9">
        <v>45851</v>
      </c>
      <c r="N1711" s="2" t="s">
        <v>1986</v>
      </c>
      <c r="O1711" s="2" t="s">
        <v>54</v>
      </c>
      <c r="P1711" s="2" t="s">
        <v>139</v>
      </c>
      <c r="Q1711" s="2" t="s">
        <v>140</v>
      </c>
      <c r="R1711" s="2" t="s">
        <v>149</v>
      </c>
      <c r="S1711" s="2" t="s">
        <v>383</v>
      </c>
      <c r="T1711" s="10">
        <v>15.69</v>
      </c>
      <c r="U1711" s="11">
        <v>1</v>
      </c>
      <c r="V1711" s="12">
        <f>T1711*U1711</f>
        <v>15.69</v>
      </c>
      <c r="W1711" s="13">
        <v>0</v>
      </c>
      <c r="X1711" s="12">
        <f>V1711-(V1711/(1+W1711))</f>
        <v>0</v>
      </c>
      <c r="Y1711" s="12">
        <f>V1711-X1711</f>
        <v>15.69</v>
      </c>
      <c r="Z1711" s="14">
        <v>25</v>
      </c>
      <c r="AA1711" s="2" t="str">
        <f>IF(V1711&gt;Z1711,"Yes","No")</f>
        <v>No</v>
      </c>
      <c r="AB1711" s="12">
        <f>V1711-Z1711</f>
        <v>-9.31</v>
      </c>
      <c r="AC1711" s="15" t="s">
        <v>130</v>
      </c>
      <c r="AD1711" s="15" t="s">
        <v>130</v>
      </c>
      <c r="AE1711" s="15" t="s">
        <v>180</v>
      </c>
      <c r="AF1711" s="12">
        <f>IF(AG1711="Rejected",0,IF(R1711="Corporate Card",0,V1711))</f>
        <v>15.69</v>
      </c>
      <c r="AG1711" s="15" t="s">
        <v>133</v>
      </c>
      <c r="AH1711" s="16">
        <v>45863</v>
      </c>
      <c r="AI1711" s="16">
        <v>45872</v>
      </c>
      <c r="AJ1711" s="16">
        <v>45881</v>
      </c>
      <c r="AK1711" s="17">
        <f>IF(AJ1711="","",AJ1711-AH1711)</f>
        <v>18</v>
      </c>
    </row>
    <row r="1712" spans="1:37">
      <c r="A1712" s="2" t="s">
        <v>2160</v>
      </c>
      <c r="B1712" s="2" t="s">
        <v>442</v>
      </c>
      <c r="C1712" s="2" t="s">
        <v>443</v>
      </c>
      <c r="D1712" s="2" t="s">
        <v>444</v>
      </c>
      <c r="E1712" s="2" t="s">
        <v>445</v>
      </c>
      <c r="F1712" s="2" t="s">
        <v>446</v>
      </c>
      <c r="G1712" s="2" t="s">
        <v>2128</v>
      </c>
      <c r="H1712" s="2" t="s">
        <v>348</v>
      </c>
      <c r="I1712" s="2" t="s">
        <v>380</v>
      </c>
      <c r="J1712" s="2" t="s">
        <v>381</v>
      </c>
      <c r="K1712" s="9">
        <v>45850</v>
      </c>
      <c r="L1712" s="9">
        <v>45852</v>
      </c>
      <c r="M1712" s="9">
        <v>45851</v>
      </c>
      <c r="N1712" s="2" t="s">
        <v>1986</v>
      </c>
      <c r="O1712" s="2" t="s">
        <v>56</v>
      </c>
      <c r="P1712" s="2" t="s">
        <v>245</v>
      </c>
      <c r="Q1712" s="2" t="s">
        <v>159</v>
      </c>
      <c r="R1712" s="2" t="s">
        <v>149</v>
      </c>
      <c r="S1712" s="2" t="s">
        <v>383</v>
      </c>
      <c r="T1712" s="10">
        <v>41.63</v>
      </c>
      <c r="U1712" s="11">
        <v>1</v>
      </c>
      <c r="V1712" s="12">
        <f>T1712*U1712</f>
        <v>41.63</v>
      </c>
      <c r="W1712" s="13">
        <v>0</v>
      </c>
      <c r="X1712" s="12">
        <f>V1712-(V1712/(1+W1712))</f>
        <v>0</v>
      </c>
      <c r="Y1712" s="12">
        <f>V1712-X1712</f>
        <v>41.63</v>
      </c>
      <c r="Z1712" s="14">
        <v>75</v>
      </c>
      <c r="AA1712" s="2" t="str">
        <f>IF(V1712&gt;Z1712,"Yes","No")</f>
        <v>No</v>
      </c>
      <c r="AB1712" s="12">
        <f>V1712-Z1712</f>
        <v>-33.369999999999997</v>
      </c>
      <c r="AC1712" s="15" t="s">
        <v>130</v>
      </c>
      <c r="AD1712" s="15" t="s">
        <v>130</v>
      </c>
      <c r="AE1712" s="15" t="s">
        <v>180</v>
      </c>
      <c r="AF1712" s="12">
        <f>IF(AG1712="Rejected",0,IF(R1712="Corporate Card",0,V1712))</f>
        <v>41.63</v>
      </c>
      <c r="AG1712" s="15" t="s">
        <v>133</v>
      </c>
      <c r="AH1712" s="16">
        <v>45863</v>
      </c>
      <c r="AI1712" s="16">
        <v>45872</v>
      </c>
      <c r="AJ1712" s="16">
        <v>45881</v>
      </c>
      <c r="AK1712" s="17">
        <f>IF(AJ1712="","",AJ1712-AH1712)</f>
        <v>18</v>
      </c>
    </row>
    <row r="1713" spans="1:37">
      <c r="A1713" s="2" t="s">
        <v>2161</v>
      </c>
      <c r="B1713" s="2" t="s">
        <v>442</v>
      </c>
      <c r="C1713" s="2" t="s">
        <v>443</v>
      </c>
      <c r="D1713" s="2" t="s">
        <v>444</v>
      </c>
      <c r="E1713" s="2" t="s">
        <v>445</v>
      </c>
      <c r="F1713" s="2" t="s">
        <v>446</v>
      </c>
      <c r="G1713" s="2" t="s">
        <v>2128</v>
      </c>
      <c r="H1713" s="2" t="s">
        <v>348</v>
      </c>
      <c r="I1713" s="2" t="s">
        <v>380</v>
      </c>
      <c r="J1713" s="2" t="s">
        <v>381</v>
      </c>
      <c r="K1713" s="9">
        <v>45850</v>
      </c>
      <c r="L1713" s="9">
        <v>45852</v>
      </c>
      <c r="M1713" s="9">
        <v>45851</v>
      </c>
      <c r="N1713" s="2" t="s">
        <v>1986</v>
      </c>
      <c r="O1713" s="2" t="s">
        <v>55</v>
      </c>
      <c r="P1713" s="2" t="s">
        <v>139</v>
      </c>
      <c r="Q1713" s="2" t="s">
        <v>154</v>
      </c>
      <c r="R1713" s="2" t="s">
        <v>128</v>
      </c>
      <c r="S1713" s="2" t="s">
        <v>383</v>
      </c>
      <c r="T1713" s="10">
        <v>33.520000000000003</v>
      </c>
      <c r="U1713" s="11">
        <v>1</v>
      </c>
      <c r="V1713" s="12">
        <f>T1713*U1713</f>
        <v>33.520000000000003</v>
      </c>
      <c r="W1713" s="13">
        <v>0</v>
      </c>
      <c r="X1713" s="12">
        <f>V1713-(V1713/(1+W1713))</f>
        <v>0</v>
      </c>
      <c r="Y1713" s="12">
        <f>V1713-X1713</f>
        <v>33.520000000000003</v>
      </c>
      <c r="Z1713" s="14">
        <v>35</v>
      </c>
      <c r="AA1713" s="2" t="str">
        <f>IF(V1713&gt;Z1713,"Yes","No")</f>
        <v>No</v>
      </c>
      <c r="AB1713" s="12">
        <f>V1713-Z1713</f>
        <v>-1.4799999999999969</v>
      </c>
      <c r="AC1713" s="15" t="s">
        <v>130</v>
      </c>
      <c r="AD1713" s="15" t="s">
        <v>130</v>
      </c>
      <c r="AE1713" s="15" t="s">
        <v>180</v>
      </c>
      <c r="AF1713" s="12">
        <f>IF(AG1713="Rejected",0,IF(R1713="Corporate Card",0,V1713))</f>
        <v>0</v>
      </c>
      <c r="AG1713" s="15" t="s">
        <v>133</v>
      </c>
      <c r="AH1713" s="16">
        <v>45863</v>
      </c>
      <c r="AI1713" s="16">
        <v>45872</v>
      </c>
      <c r="AJ1713" s="16">
        <v>45881</v>
      </c>
      <c r="AK1713" s="17">
        <f>IF(AJ1713="","",AJ1713-AH1713)</f>
        <v>18</v>
      </c>
    </row>
    <row r="1714" spans="1:37">
      <c r="A1714" s="2" t="s">
        <v>2162</v>
      </c>
      <c r="B1714" s="2" t="s">
        <v>375</v>
      </c>
      <c r="C1714" s="2" t="s">
        <v>376</v>
      </c>
      <c r="D1714" s="2" t="s">
        <v>344</v>
      </c>
      <c r="E1714" s="2" t="s">
        <v>377</v>
      </c>
      <c r="F1714" s="2" t="s">
        <v>346</v>
      </c>
      <c r="G1714" s="2" t="s">
        <v>2111</v>
      </c>
      <c r="H1714" s="2" t="s">
        <v>291</v>
      </c>
      <c r="I1714" s="2" t="s">
        <v>651</v>
      </c>
      <c r="J1714" s="2" t="s">
        <v>652</v>
      </c>
      <c r="K1714" s="9">
        <v>45849</v>
      </c>
      <c r="L1714" s="9">
        <v>45855</v>
      </c>
      <c r="M1714" s="9">
        <v>45851</v>
      </c>
      <c r="N1714" s="2" t="s">
        <v>1986</v>
      </c>
      <c r="O1714" s="2" t="s">
        <v>61</v>
      </c>
      <c r="P1714" s="2" t="s">
        <v>528</v>
      </c>
      <c r="Q1714" s="2" t="s">
        <v>529</v>
      </c>
      <c r="R1714" s="2" t="s">
        <v>137</v>
      </c>
      <c r="S1714" s="2" t="s">
        <v>654</v>
      </c>
      <c r="T1714" s="10">
        <v>82.77</v>
      </c>
      <c r="U1714" s="11">
        <v>0.72799999999999998</v>
      </c>
      <c r="V1714" s="12">
        <f>T1714*U1714</f>
        <v>60.256559999999993</v>
      </c>
      <c r="W1714" s="13">
        <v>0</v>
      </c>
      <c r="X1714" s="12">
        <f>V1714-(V1714/(1+W1714))</f>
        <v>0</v>
      </c>
      <c r="Y1714" s="12">
        <f>V1714-X1714</f>
        <v>60.256559999999993</v>
      </c>
      <c r="Z1714" s="14">
        <v>90</v>
      </c>
      <c r="AA1714" s="2" t="str">
        <f>IF(V1714&gt;Z1714,"Yes","No")</f>
        <v>No</v>
      </c>
      <c r="AB1714" s="12">
        <f>V1714-Z1714</f>
        <v>-29.743440000000007</v>
      </c>
      <c r="AC1714" s="15" t="s">
        <v>130</v>
      </c>
      <c r="AD1714" s="15" t="s">
        <v>130</v>
      </c>
      <c r="AE1714" s="15" t="s">
        <v>260</v>
      </c>
      <c r="AF1714" s="12">
        <f>IF(AG1714="Rejected",0,IF(R1714="Corporate Card",0,V1714))</f>
        <v>60.256559999999993</v>
      </c>
      <c r="AG1714" s="15" t="s">
        <v>133</v>
      </c>
      <c r="AH1714" s="16">
        <v>45856</v>
      </c>
      <c r="AI1714" s="16">
        <v>45862</v>
      </c>
      <c r="AJ1714" s="16">
        <v>45875</v>
      </c>
      <c r="AK1714" s="17">
        <f>IF(AJ1714="","",AJ1714-AH1714)</f>
        <v>19</v>
      </c>
    </row>
    <row r="1715" spans="1:37">
      <c r="A1715" s="2" t="s">
        <v>2163</v>
      </c>
      <c r="B1715" s="2" t="s">
        <v>375</v>
      </c>
      <c r="C1715" s="2" t="s">
        <v>376</v>
      </c>
      <c r="D1715" s="2" t="s">
        <v>344</v>
      </c>
      <c r="E1715" s="2" t="s">
        <v>377</v>
      </c>
      <c r="F1715" s="2" t="s">
        <v>346</v>
      </c>
      <c r="G1715" s="2" t="s">
        <v>2111</v>
      </c>
      <c r="H1715" s="2" t="s">
        <v>291</v>
      </c>
      <c r="I1715" s="2" t="s">
        <v>651</v>
      </c>
      <c r="J1715" s="2" t="s">
        <v>652</v>
      </c>
      <c r="K1715" s="9">
        <v>45849</v>
      </c>
      <c r="L1715" s="9">
        <v>45855</v>
      </c>
      <c r="M1715" s="9">
        <v>45851</v>
      </c>
      <c r="N1715" s="2" t="s">
        <v>1986</v>
      </c>
      <c r="O1715" s="2" t="s">
        <v>58</v>
      </c>
      <c r="P1715" s="2" t="s">
        <v>142</v>
      </c>
      <c r="Q1715" s="2" t="s">
        <v>203</v>
      </c>
      <c r="R1715" s="2" t="s">
        <v>128</v>
      </c>
      <c r="S1715" s="2" t="s">
        <v>654</v>
      </c>
      <c r="T1715" s="10">
        <v>56.25</v>
      </c>
      <c r="U1715" s="11">
        <v>0.72799999999999998</v>
      </c>
      <c r="V1715" s="12">
        <f>T1715*U1715</f>
        <v>40.949999999999996</v>
      </c>
      <c r="W1715" s="13">
        <v>0.13</v>
      </c>
      <c r="X1715" s="12">
        <f>V1715-(V1715/(1+W1715))</f>
        <v>4.7110619469026531</v>
      </c>
      <c r="Y1715" s="12">
        <f>V1715-X1715</f>
        <v>36.238938053097343</v>
      </c>
      <c r="Z1715" s="14">
        <v>60</v>
      </c>
      <c r="AA1715" s="2" t="str">
        <f>IF(V1715&gt;Z1715,"Yes","No")</f>
        <v>No</v>
      </c>
      <c r="AB1715" s="12">
        <f>V1715-Z1715</f>
        <v>-19.050000000000004</v>
      </c>
      <c r="AC1715" s="15" t="s">
        <v>130</v>
      </c>
      <c r="AD1715" s="15" t="s">
        <v>130</v>
      </c>
      <c r="AE1715" s="15" t="s">
        <v>260</v>
      </c>
      <c r="AF1715" s="12">
        <f>IF(AG1715="Rejected",0,IF(R1715="Corporate Card",0,V1715))</f>
        <v>0</v>
      </c>
      <c r="AG1715" s="15" t="s">
        <v>133</v>
      </c>
      <c r="AH1715" s="16">
        <v>45856</v>
      </c>
      <c r="AI1715" s="16">
        <v>45862</v>
      </c>
      <c r="AJ1715" s="16">
        <v>45875</v>
      </c>
      <c r="AK1715" s="17">
        <f>IF(AJ1715="","",AJ1715-AH1715)</f>
        <v>19</v>
      </c>
    </row>
    <row r="1716" spans="1:37">
      <c r="A1716" s="2" t="s">
        <v>2164</v>
      </c>
      <c r="B1716" s="2" t="s">
        <v>375</v>
      </c>
      <c r="C1716" s="2" t="s">
        <v>376</v>
      </c>
      <c r="D1716" s="2" t="s">
        <v>344</v>
      </c>
      <c r="E1716" s="2" t="s">
        <v>377</v>
      </c>
      <c r="F1716" s="2" t="s">
        <v>346</v>
      </c>
      <c r="G1716" s="2" t="s">
        <v>2111</v>
      </c>
      <c r="H1716" s="2" t="s">
        <v>291</v>
      </c>
      <c r="I1716" s="2" t="s">
        <v>651</v>
      </c>
      <c r="J1716" s="2" t="s">
        <v>652</v>
      </c>
      <c r="K1716" s="9">
        <v>45849</v>
      </c>
      <c r="L1716" s="9">
        <v>45855</v>
      </c>
      <c r="M1716" s="9">
        <v>45851</v>
      </c>
      <c r="N1716" s="2" t="s">
        <v>1986</v>
      </c>
      <c r="O1716" s="2" t="s">
        <v>54</v>
      </c>
      <c r="P1716" s="2" t="s">
        <v>139</v>
      </c>
      <c r="Q1716" s="2" t="s">
        <v>148</v>
      </c>
      <c r="R1716" s="2" t="s">
        <v>149</v>
      </c>
      <c r="S1716" s="2" t="s">
        <v>654</v>
      </c>
      <c r="T1716" s="10">
        <v>14.11</v>
      </c>
      <c r="U1716" s="11">
        <v>0.72799999999999998</v>
      </c>
      <c r="V1716" s="12">
        <f>T1716*U1716</f>
        <v>10.272079999999999</v>
      </c>
      <c r="W1716" s="13">
        <v>0.13</v>
      </c>
      <c r="X1716" s="12">
        <f>V1716-(V1716/(1+W1716))</f>
        <v>1.1817437168141591</v>
      </c>
      <c r="Y1716" s="12">
        <f>V1716-X1716</f>
        <v>9.0903362831858399</v>
      </c>
      <c r="Z1716" s="14">
        <v>25</v>
      </c>
      <c r="AA1716" s="2" t="str">
        <f>IF(V1716&gt;Z1716,"Yes","No")</f>
        <v>No</v>
      </c>
      <c r="AB1716" s="12">
        <f>V1716-Z1716</f>
        <v>-14.727920000000001</v>
      </c>
      <c r="AC1716" s="15" t="s">
        <v>130</v>
      </c>
      <c r="AD1716" s="15" t="s">
        <v>130</v>
      </c>
      <c r="AE1716" s="15" t="s">
        <v>260</v>
      </c>
      <c r="AF1716" s="12">
        <f>IF(AG1716="Rejected",0,IF(R1716="Corporate Card",0,V1716))</f>
        <v>10.272079999999999</v>
      </c>
      <c r="AG1716" s="15" t="s">
        <v>133</v>
      </c>
      <c r="AH1716" s="16">
        <v>45856</v>
      </c>
      <c r="AI1716" s="16">
        <v>45862</v>
      </c>
      <c r="AJ1716" s="16">
        <v>45875</v>
      </c>
      <c r="AK1716" s="17">
        <f>IF(AJ1716="","",AJ1716-AH1716)</f>
        <v>19</v>
      </c>
    </row>
    <row r="1717" spans="1:37">
      <c r="A1717" s="2" t="s">
        <v>2165</v>
      </c>
      <c r="B1717" s="2" t="s">
        <v>375</v>
      </c>
      <c r="C1717" s="2" t="s">
        <v>376</v>
      </c>
      <c r="D1717" s="2" t="s">
        <v>344</v>
      </c>
      <c r="E1717" s="2" t="s">
        <v>377</v>
      </c>
      <c r="F1717" s="2" t="s">
        <v>346</v>
      </c>
      <c r="G1717" s="2" t="s">
        <v>2111</v>
      </c>
      <c r="H1717" s="2" t="s">
        <v>291</v>
      </c>
      <c r="I1717" s="2" t="s">
        <v>651</v>
      </c>
      <c r="J1717" s="2" t="s">
        <v>652</v>
      </c>
      <c r="K1717" s="9">
        <v>45849</v>
      </c>
      <c r="L1717" s="9">
        <v>45855</v>
      </c>
      <c r="M1717" s="9">
        <v>45851</v>
      </c>
      <c r="N1717" s="2" t="s">
        <v>1986</v>
      </c>
      <c r="O1717" s="2" t="s">
        <v>56</v>
      </c>
      <c r="P1717" s="2" t="s">
        <v>231</v>
      </c>
      <c r="Q1717" s="2" t="s">
        <v>159</v>
      </c>
      <c r="R1717" s="2" t="s">
        <v>128</v>
      </c>
      <c r="S1717" s="2" t="s">
        <v>654</v>
      </c>
      <c r="T1717" s="10">
        <v>59.02</v>
      </c>
      <c r="U1717" s="11">
        <v>0.72799999999999998</v>
      </c>
      <c r="V1717" s="12">
        <f>T1717*U1717</f>
        <v>42.966560000000001</v>
      </c>
      <c r="W1717" s="13">
        <v>0.13</v>
      </c>
      <c r="X1717" s="12">
        <f>V1717-(V1717/(1+W1717))</f>
        <v>4.9430555752212371</v>
      </c>
      <c r="Y1717" s="12">
        <f>V1717-X1717</f>
        <v>38.023504424778764</v>
      </c>
      <c r="Z1717" s="14">
        <v>75</v>
      </c>
      <c r="AA1717" s="2" t="str">
        <f>IF(V1717&gt;Z1717,"Yes","No")</f>
        <v>No</v>
      </c>
      <c r="AB1717" s="12">
        <f>V1717-Z1717</f>
        <v>-32.033439999999999</v>
      </c>
      <c r="AC1717" s="15" t="s">
        <v>130</v>
      </c>
      <c r="AD1717" s="15" t="s">
        <v>130</v>
      </c>
      <c r="AE1717" s="15" t="s">
        <v>260</v>
      </c>
      <c r="AF1717" s="12">
        <f>IF(AG1717="Rejected",0,IF(R1717="Corporate Card",0,V1717))</f>
        <v>0</v>
      </c>
      <c r="AG1717" s="15" t="s">
        <v>133</v>
      </c>
      <c r="AH1717" s="16">
        <v>45856</v>
      </c>
      <c r="AI1717" s="16">
        <v>45862</v>
      </c>
      <c r="AJ1717" s="16">
        <v>45875</v>
      </c>
      <c r="AK1717" s="17">
        <f>IF(AJ1717="","",AJ1717-AH1717)</f>
        <v>19</v>
      </c>
    </row>
    <row r="1718" spans="1:37">
      <c r="A1718" s="2" t="s">
        <v>2166</v>
      </c>
      <c r="B1718" s="2" t="s">
        <v>375</v>
      </c>
      <c r="C1718" s="2" t="s">
        <v>376</v>
      </c>
      <c r="D1718" s="2" t="s">
        <v>344</v>
      </c>
      <c r="E1718" s="2" t="s">
        <v>377</v>
      </c>
      <c r="F1718" s="2" t="s">
        <v>346</v>
      </c>
      <c r="G1718" s="2" t="s">
        <v>2111</v>
      </c>
      <c r="H1718" s="2" t="s">
        <v>291</v>
      </c>
      <c r="I1718" s="2" t="s">
        <v>651</v>
      </c>
      <c r="J1718" s="2" t="s">
        <v>652</v>
      </c>
      <c r="K1718" s="9">
        <v>45849</v>
      </c>
      <c r="L1718" s="9">
        <v>45855</v>
      </c>
      <c r="M1718" s="9">
        <v>45851</v>
      </c>
      <c r="N1718" s="2" t="s">
        <v>1986</v>
      </c>
      <c r="O1718" s="2" t="s">
        <v>55</v>
      </c>
      <c r="P1718" s="2" t="s">
        <v>139</v>
      </c>
      <c r="Q1718" s="2" t="s">
        <v>187</v>
      </c>
      <c r="R1718" s="2" t="s">
        <v>149</v>
      </c>
      <c r="S1718" s="2" t="s">
        <v>654</v>
      </c>
      <c r="T1718" s="10">
        <v>56.97</v>
      </c>
      <c r="U1718" s="11">
        <v>0.72799999999999998</v>
      </c>
      <c r="V1718" s="12">
        <f>T1718*U1718</f>
        <v>41.474159999999998</v>
      </c>
      <c r="W1718" s="13">
        <v>0.13</v>
      </c>
      <c r="X1718" s="12">
        <f>V1718-(V1718/(1+W1718))</f>
        <v>4.7713635398230068</v>
      </c>
      <c r="Y1718" s="12">
        <f>V1718-X1718</f>
        <v>36.702796460176991</v>
      </c>
      <c r="Z1718" s="14">
        <v>35</v>
      </c>
      <c r="AA1718" s="2" t="str">
        <f>IF(V1718&gt;Z1718,"Yes","No")</f>
        <v>Yes</v>
      </c>
      <c r="AB1718" s="12">
        <f>V1718-Z1718</f>
        <v>6.4741599999999977</v>
      </c>
      <c r="AC1718" s="15" t="s">
        <v>130</v>
      </c>
      <c r="AD1718" s="15" t="s">
        <v>130</v>
      </c>
      <c r="AE1718" s="15" t="s">
        <v>260</v>
      </c>
      <c r="AF1718" s="12">
        <f>IF(AG1718="Rejected",0,IF(R1718="Corporate Card",0,V1718))</f>
        <v>41.474159999999998</v>
      </c>
      <c r="AG1718" s="15" t="s">
        <v>133</v>
      </c>
      <c r="AH1718" s="16">
        <v>45856</v>
      </c>
      <c r="AI1718" s="16">
        <v>45862</v>
      </c>
      <c r="AJ1718" s="16">
        <v>45875</v>
      </c>
      <c r="AK1718" s="17">
        <f>IF(AJ1718="","",AJ1718-AH1718)</f>
        <v>19</v>
      </c>
    </row>
    <row r="1719" spans="1:37">
      <c r="A1719" s="2" t="s">
        <v>2167</v>
      </c>
      <c r="B1719" s="2" t="s">
        <v>375</v>
      </c>
      <c r="C1719" s="2" t="s">
        <v>376</v>
      </c>
      <c r="D1719" s="2" t="s">
        <v>344</v>
      </c>
      <c r="E1719" s="2" t="s">
        <v>377</v>
      </c>
      <c r="F1719" s="2" t="s">
        <v>346</v>
      </c>
      <c r="G1719" s="2" t="s">
        <v>2111</v>
      </c>
      <c r="H1719" s="2" t="s">
        <v>291</v>
      </c>
      <c r="I1719" s="2" t="s">
        <v>651</v>
      </c>
      <c r="J1719" s="2" t="s">
        <v>652</v>
      </c>
      <c r="K1719" s="9">
        <v>45849</v>
      </c>
      <c r="L1719" s="9">
        <v>45855</v>
      </c>
      <c r="M1719" s="9">
        <v>45851</v>
      </c>
      <c r="N1719" s="2" t="s">
        <v>1986</v>
      </c>
      <c r="O1719" s="2" t="s">
        <v>62</v>
      </c>
      <c r="P1719" s="2" t="s">
        <v>533</v>
      </c>
      <c r="Q1719" s="2" t="s">
        <v>548</v>
      </c>
      <c r="R1719" s="2" t="s">
        <v>137</v>
      </c>
      <c r="S1719" s="2" t="s">
        <v>654</v>
      </c>
      <c r="T1719" s="10">
        <v>24.4</v>
      </c>
      <c r="U1719" s="11">
        <v>0.72799999999999998</v>
      </c>
      <c r="V1719" s="12">
        <f>T1719*U1719</f>
        <v>17.763199999999998</v>
      </c>
      <c r="W1719" s="13">
        <v>0.13</v>
      </c>
      <c r="X1719" s="12">
        <f>V1719-(V1719/(1+W1719))</f>
        <v>2.0435539823008835</v>
      </c>
      <c r="Y1719" s="12">
        <f>V1719-X1719</f>
        <v>15.719646017699114</v>
      </c>
      <c r="Z1719" s="14">
        <v>45</v>
      </c>
      <c r="AA1719" s="2" t="str">
        <f>IF(V1719&gt;Z1719,"Yes","No")</f>
        <v>No</v>
      </c>
      <c r="AB1719" s="12">
        <f>V1719-Z1719</f>
        <v>-27.236800000000002</v>
      </c>
      <c r="AC1719" s="15" t="s">
        <v>130</v>
      </c>
      <c r="AD1719" s="15" t="s">
        <v>130</v>
      </c>
      <c r="AE1719" s="15" t="s">
        <v>260</v>
      </c>
      <c r="AF1719" s="12">
        <f>IF(AG1719="Rejected",0,IF(R1719="Corporate Card",0,V1719))</f>
        <v>17.763199999999998</v>
      </c>
      <c r="AG1719" s="15" t="s">
        <v>133</v>
      </c>
      <c r="AH1719" s="16">
        <v>45856</v>
      </c>
      <c r="AI1719" s="16">
        <v>45862</v>
      </c>
      <c r="AJ1719" s="16">
        <v>45875</v>
      </c>
      <c r="AK1719" s="17">
        <f>IF(AJ1719="","",AJ1719-AH1719)</f>
        <v>19</v>
      </c>
    </row>
    <row r="1720" spans="1:37">
      <c r="A1720" s="2" t="s">
        <v>2168</v>
      </c>
      <c r="B1720" s="2" t="s">
        <v>169</v>
      </c>
      <c r="C1720" s="2" t="s">
        <v>170</v>
      </c>
      <c r="D1720" s="2" t="s">
        <v>171</v>
      </c>
      <c r="E1720" s="2" t="s">
        <v>172</v>
      </c>
      <c r="F1720" s="2" t="s">
        <v>173</v>
      </c>
      <c r="G1720" s="2" t="s">
        <v>2139</v>
      </c>
      <c r="H1720" s="2" t="s">
        <v>193</v>
      </c>
      <c r="I1720" s="2" t="s">
        <v>651</v>
      </c>
      <c r="J1720" s="2" t="s">
        <v>652</v>
      </c>
      <c r="K1720" s="9">
        <v>45850</v>
      </c>
      <c r="L1720" s="9">
        <v>45858</v>
      </c>
      <c r="M1720" s="9">
        <v>45851</v>
      </c>
      <c r="N1720" s="2" t="s">
        <v>1986</v>
      </c>
      <c r="O1720" s="2" t="s">
        <v>53</v>
      </c>
      <c r="P1720" s="2" t="s">
        <v>669</v>
      </c>
      <c r="Q1720" s="2" t="s">
        <v>458</v>
      </c>
      <c r="R1720" s="2" t="s">
        <v>128</v>
      </c>
      <c r="S1720" s="2" t="s">
        <v>654</v>
      </c>
      <c r="T1720" s="10">
        <v>1633.8</v>
      </c>
      <c r="U1720" s="11">
        <v>0.72799999999999998</v>
      </c>
      <c r="V1720" s="12">
        <f>T1720*U1720</f>
        <v>1189.4063999999998</v>
      </c>
      <c r="W1720" s="13">
        <v>0.13</v>
      </c>
      <c r="X1720" s="12">
        <f>V1720-(V1720/(1+W1720))</f>
        <v>136.83436460176972</v>
      </c>
      <c r="Y1720" s="12">
        <f>V1720-X1720</f>
        <v>1052.5720353982301</v>
      </c>
      <c r="Z1720" s="14">
        <v>2240</v>
      </c>
      <c r="AA1720" s="2" t="str">
        <f>IF(V1720&gt;Z1720,"Yes","No")</f>
        <v>No</v>
      </c>
      <c r="AB1720" s="12">
        <f>V1720-Z1720</f>
        <v>-1050.5936000000002</v>
      </c>
      <c r="AC1720" s="15" t="s">
        <v>130</v>
      </c>
      <c r="AD1720" s="15" t="s">
        <v>130</v>
      </c>
      <c r="AE1720" s="15" t="s">
        <v>350</v>
      </c>
      <c r="AF1720" s="12">
        <f>IF(AG1720="Rejected",0,IF(R1720="Corporate Card",0,V1720))</f>
        <v>0</v>
      </c>
      <c r="AG1720" s="15" t="s">
        <v>133</v>
      </c>
      <c r="AH1720" s="16">
        <v>45866</v>
      </c>
      <c r="AI1720" s="16">
        <v>45867</v>
      </c>
      <c r="AJ1720" s="16">
        <v>45875</v>
      </c>
      <c r="AK1720" s="17">
        <f>IF(AJ1720="","",AJ1720-AH1720)</f>
        <v>9</v>
      </c>
    </row>
    <row r="1721" spans="1:37">
      <c r="A1721" s="2" t="s">
        <v>2169</v>
      </c>
      <c r="B1721" s="2" t="s">
        <v>169</v>
      </c>
      <c r="C1721" s="2" t="s">
        <v>170</v>
      </c>
      <c r="D1721" s="2" t="s">
        <v>171</v>
      </c>
      <c r="E1721" s="2" t="s">
        <v>172</v>
      </c>
      <c r="F1721" s="2" t="s">
        <v>173</v>
      </c>
      <c r="G1721" s="2" t="s">
        <v>2139</v>
      </c>
      <c r="H1721" s="2" t="s">
        <v>193</v>
      </c>
      <c r="I1721" s="2" t="s">
        <v>651</v>
      </c>
      <c r="J1721" s="2" t="s">
        <v>652</v>
      </c>
      <c r="K1721" s="9">
        <v>45850</v>
      </c>
      <c r="L1721" s="9">
        <v>45858</v>
      </c>
      <c r="M1721" s="9">
        <v>45851</v>
      </c>
      <c r="N1721" s="2" t="s">
        <v>1986</v>
      </c>
      <c r="O1721" s="2" t="s">
        <v>56</v>
      </c>
      <c r="P1721" s="2" t="s">
        <v>165</v>
      </c>
      <c r="Q1721" s="2" t="s">
        <v>227</v>
      </c>
      <c r="R1721" s="2" t="s">
        <v>149</v>
      </c>
      <c r="S1721" s="2" t="s">
        <v>654</v>
      </c>
      <c r="T1721" s="10">
        <v>39.54</v>
      </c>
      <c r="U1721" s="11">
        <v>0.72799999999999998</v>
      </c>
      <c r="V1721" s="12">
        <f>T1721*U1721</f>
        <v>28.785119999999999</v>
      </c>
      <c r="W1721" s="13">
        <v>0.13</v>
      </c>
      <c r="X1721" s="12">
        <f>V1721-(V1721/(1+W1721))</f>
        <v>3.3115624778761052</v>
      </c>
      <c r="Y1721" s="12">
        <f>V1721-X1721</f>
        <v>25.473557522123894</v>
      </c>
      <c r="Z1721" s="14">
        <v>75</v>
      </c>
      <c r="AA1721" s="2" t="str">
        <f>IF(V1721&gt;Z1721,"Yes","No")</f>
        <v>No</v>
      </c>
      <c r="AB1721" s="12">
        <f>V1721-Z1721</f>
        <v>-46.214880000000001</v>
      </c>
      <c r="AC1721" s="15" t="s">
        <v>130</v>
      </c>
      <c r="AD1721" s="15" t="s">
        <v>130</v>
      </c>
      <c r="AE1721" s="15" t="s">
        <v>350</v>
      </c>
      <c r="AF1721" s="12">
        <f>IF(AG1721="Rejected",0,IF(R1721="Corporate Card",0,V1721))</f>
        <v>28.785119999999999</v>
      </c>
      <c r="AG1721" s="15" t="s">
        <v>133</v>
      </c>
      <c r="AH1721" s="16">
        <v>45866</v>
      </c>
      <c r="AI1721" s="16">
        <v>45867</v>
      </c>
      <c r="AJ1721" s="16">
        <v>45875</v>
      </c>
      <c r="AK1721" s="17">
        <f>IF(AJ1721="","",AJ1721-AH1721)</f>
        <v>9</v>
      </c>
    </row>
    <row r="1722" spans="1:37">
      <c r="A1722" s="2" t="s">
        <v>2170</v>
      </c>
      <c r="B1722" s="2" t="s">
        <v>169</v>
      </c>
      <c r="C1722" s="2" t="s">
        <v>170</v>
      </c>
      <c r="D1722" s="2" t="s">
        <v>171</v>
      </c>
      <c r="E1722" s="2" t="s">
        <v>172</v>
      </c>
      <c r="F1722" s="2" t="s">
        <v>173</v>
      </c>
      <c r="G1722" s="2" t="s">
        <v>2139</v>
      </c>
      <c r="H1722" s="2" t="s">
        <v>193</v>
      </c>
      <c r="I1722" s="2" t="s">
        <v>651</v>
      </c>
      <c r="J1722" s="2" t="s">
        <v>652</v>
      </c>
      <c r="K1722" s="9">
        <v>45850</v>
      </c>
      <c r="L1722" s="9">
        <v>45858</v>
      </c>
      <c r="M1722" s="9">
        <v>45851</v>
      </c>
      <c r="N1722" s="2" t="s">
        <v>1986</v>
      </c>
      <c r="O1722" s="2" t="s">
        <v>55</v>
      </c>
      <c r="P1722" s="2" t="s">
        <v>139</v>
      </c>
      <c r="Q1722" s="2" t="s">
        <v>217</v>
      </c>
      <c r="R1722" s="2" t="s">
        <v>128</v>
      </c>
      <c r="S1722" s="2" t="s">
        <v>654</v>
      </c>
      <c r="T1722" s="10">
        <v>47.17</v>
      </c>
      <c r="U1722" s="11">
        <v>0.72799999999999998</v>
      </c>
      <c r="V1722" s="12">
        <f>T1722*U1722</f>
        <v>34.339759999999998</v>
      </c>
      <c r="W1722" s="13">
        <v>0.13</v>
      </c>
      <c r="X1722" s="12">
        <f>V1722-(V1722/(1+W1722))</f>
        <v>3.9505918584070763</v>
      </c>
      <c r="Y1722" s="12">
        <f>V1722-X1722</f>
        <v>30.389168141592922</v>
      </c>
      <c r="Z1722" s="14">
        <v>35</v>
      </c>
      <c r="AA1722" s="2" t="str">
        <f>IF(V1722&gt;Z1722,"Yes","No")</f>
        <v>No</v>
      </c>
      <c r="AB1722" s="12">
        <f>V1722-Z1722</f>
        <v>-0.66024000000000171</v>
      </c>
      <c r="AC1722" s="15" t="s">
        <v>130</v>
      </c>
      <c r="AD1722" s="15" t="s">
        <v>130</v>
      </c>
      <c r="AE1722" s="15" t="s">
        <v>350</v>
      </c>
      <c r="AF1722" s="12">
        <f>IF(AG1722="Rejected",0,IF(R1722="Corporate Card",0,V1722))</f>
        <v>0</v>
      </c>
      <c r="AG1722" s="15" t="s">
        <v>133</v>
      </c>
      <c r="AH1722" s="16">
        <v>45866</v>
      </c>
      <c r="AI1722" s="16">
        <v>45867</v>
      </c>
      <c r="AJ1722" s="16">
        <v>45875</v>
      </c>
      <c r="AK1722" s="17">
        <f>IF(AJ1722="","",AJ1722-AH1722)</f>
        <v>9</v>
      </c>
    </row>
    <row r="1723" spans="1:37">
      <c r="A1723" s="2" t="s">
        <v>2171</v>
      </c>
      <c r="B1723" s="2" t="s">
        <v>310</v>
      </c>
      <c r="C1723" s="2" t="s">
        <v>311</v>
      </c>
      <c r="D1723" s="2" t="s">
        <v>118</v>
      </c>
      <c r="E1723" s="2" t="s">
        <v>312</v>
      </c>
      <c r="F1723" s="2" t="s">
        <v>313</v>
      </c>
      <c r="G1723" s="2" t="s">
        <v>2099</v>
      </c>
      <c r="H1723" s="2" t="s">
        <v>348</v>
      </c>
      <c r="I1723" s="2" t="s">
        <v>553</v>
      </c>
      <c r="J1723" s="2" t="s">
        <v>553</v>
      </c>
      <c r="K1723" s="9">
        <v>45848</v>
      </c>
      <c r="L1723" s="9">
        <v>45856</v>
      </c>
      <c r="M1723" s="9">
        <v>45851</v>
      </c>
      <c r="N1723" s="2" t="s">
        <v>1986</v>
      </c>
      <c r="O1723" s="2" t="s">
        <v>58</v>
      </c>
      <c r="P1723" s="2" t="s">
        <v>142</v>
      </c>
      <c r="Q1723" s="2" t="s">
        <v>203</v>
      </c>
      <c r="R1723" s="2" t="s">
        <v>128</v>
      </c>
      <c r="S1723" s="2" t="s">
        <v>555</v>
      </c>
      <c r="T1723" s="10">
        <v>69.75</v>
      </c>
      <c r="U1723" s="11">
        <v>0.74299999999999999</v>
      </c>
      <c r="V1723" s="12">
        <f>T1723*U1723</f>
        <v>51.824249999999999</v>
      </c>
      <c r="W1723" s="13">
        <v>0.09</v>
      </c>
      <c r="X1723" s="12">
        <f>V1723-(V1723/(1+W1723))</f>
        <v>4.279066513761471</v>
      </c>
      <c r="Y1723" s="12">
        <f>V1723-X1723</f>
        <v>47.545183486238528</v>
      </c>
      <c r="Z1723" s="14">
        <v>60</v>
      </c>
      <c r="AA1723" s="2" t="str">
        <f>IF(V1723&gt;Z1723,"Yes","No")</f>
        <v>No</v>
      </c>
      <c r="AB1723" s="12">
        <f>V1723-Z1723</f>
        <v>-8.1757500000000007</v>
      </c>
      <c r="AC1723" s="15" t="s">
        <v>130</v>
      </c>
      <c r="AD1723" s="15" t="s">
        <v>130</v>
      </c>
      <c r="AE1723" s="15" t="s">
        <v>180</v>
      </c>
      <c r="AF1723" s="12">
        <f>IF(AG1723="Rejected",0,IF(R1723="Corporate Card",0,V1723))</f>
        <v>0</v>
      </c>
      <c r="AG1723" s="15" t="s">
        <v>133</v>
      </c>
      <c r="AH1723" s="16">
        <v>45865</v>
      </c>
      <c r="AI1723" s="16">
        <v>45867</v>
      </c>
      <c r="AJ1723" s="16">
        <v>45876</v>
      </c>
      <c r="AK1723" s="17">
        <f>IF(AJ1723="","",AJ1723-AH1723)</f>
        <v>11</v>
      </c>
    </row>
    <row r="1724" spans="1:37">
      <c r="A1724" s="2" t="s">
        <v>2172</v>
      </c>
      <c r="B1724" s="2" t="s">
        <v>310</v>
      </c>
      <c r="C1724" s="2" t="s">
        <v>311</v>
      </c>
      <c r="D1724" s="2" t="s">
        <v>118</v>
      </c>
      <c r="E1724" s="2" t="s">
        <v>312</v>
      </c>
      <c r="F1724" s="2" t="s">
        <v>313</v>
      </c>
      <c r="G1724" s="2" t="s">
        <v>2099</v>
      </c>
      <c r="H1724" s="2" t="s">
        <v>348</v>
      </c>
      <c r="I1724" s="2" t="s">
        <v>553</v>
      </c>
      <c r="J1724" s="2" t="s">
        <v>553</v>
      </c>
      <c r="K1724" s="9">
        <v>45848</v>
      </c>
      <c r="L1724" s="9">
        <v>45856</v>
      </c>
      <c r="M1724" s="9">
        <v>45851</v>
      </c>
      <c r="N1724" s="2" t="s">
        <v>1986</v>
      </c>
      <c r="O1724" s="2" t="s">
        <v>54</v>
      </c>
      <c r="P1724" s="2" t="s">
        <v>139</v>
      </c>
      <c r="Q1724" s="2" t="s">
        <v>214</v>
      </c>
      <c r="R1724" s="2" t="s">
        <v>137</v>
      </c>
      <c r="S1724" s="2" t="s">
        <v>555</v>
      </c>
      <c r="T1724" s="10">
        <v>24.26</v>
      </c>
      <c r="U1724" s="11">
        <v>0.74299999999999999</v>
      </c>
      <c r="V1724" s="12">
        <f>T1724*U1724</f>
        <v>18.025180000000002</v>
      </c>
      <c r="W1724" s="13">
        <v>0.09</v>
      </c>
      <c r="X1724" s="12">
        <f>V1724-(V1724/(1+W1724))</f>
        <v>1.4883176146789019</v>
      </c>
      <c r="Y1724" s="12">
        <f>V1724-X1724</f>
        <v>16.536862385321101</v>
      </c>
      <c r="Z1724" s="14">
        <v>25</v>
      </c>
      <c r="AA1724" s="2" t="str">
        <f>IF(V1724&gt;Z1724,"Yes","No")</f>
        <v>No</v>
      </c>
      <c r="AB1724" s="12">
        <f>V1724-Z1724</f>
        <v>-6.9748199999999976</v>
      </c>
      <c r="AC1724" s="15" t="s">
        <v>130</v>
      </c>
      <c r="AD1724" s="15" t="s">
        <v>130</v>
      </c>
      <c r="AE1724" s="15" t="s">
        <v>180</v>
      </c>
      <c r="AF1724" s="12">
        <f>IF(AG1724="Rejected",0,IF(R1724="Corporate Card",0,V1724))</f>
        <v>18.025180000000002</v>
      </c>
      <c r="AG1724" s="15" t="s">
        <v>133</v>
      </c>
      <c r="AH1724" s="16">
        <v>45865</v>
      </c>
      <c r="AI1724" s="16">
        <v>45867</v>
      </c>
      <c r="AJ1724" s="16">
        <v>45876</v>
      </c>
      <c r="AK1724" s="17">
        <f>IF(AJ1724="","",AJ1724-AH1724)</f>
        <v>11</v>
      </c>
    </row>
    <row r="1725" spans="1:37">
      <c r="A1725" s="2" t="s">
        <v>2173</v>
      </c>
      <c r="B1725" s="2" t="s">
        <v>310</v>
      </c>
      <c r="C1725" s="2" t="s">
        <v>311</v>
      </c>
      <c r="D1725" s="2" t="s">
        <v>118</v>
      </c>
      <c r="E1725" s="2" t="s">
        <v>312</v>
      </c>
      <c r="F1725" s="2" t="s">
        <v>313</v>
      </c>
      <c r="G1725" s="2" t="s">
        <v>2099</v>
      </c>
      <c r="H1725" s="2" t="s">
        <v>348</v>
      </c>
      <c r="I1725" s="2" t="s">
        <v>553</v>
      </c>
      <c r="J1725" s="2" t="s">
        <v>553</v>
      </c>
      <c r="K1725" s="9">
        <v>45848</v>
      </c>
      <c r="L1725" s="9">
        <v>45856</v>
      </c>
      <c r="M1725" s="9">
        <v>45851</v>
      </c>
      <c r="N1725" s="2" t="s">
        <v>1986</v>
      </c>
      <c r="O1725" s="2" t="s">
        <v>55</v>
      </c>
      <c r="P1725" s="2" t="s">
        <v>139</v>
      </c>
      <c r="Q1725" s="2" t="s">
        <v>161</v>
      </c>
      <c r="R1725" s="2" t="s">
        <v>128</v>
      </c>
      <c r="S1725" s="2" t="s">
        <v>555</v>
      </c>
      <c r="T1725" s="10">
        <v>38.65</v>
      </c>
      <c r="U1725" s="11">
        <v>0.74299999999999999</v>
      </c>
      <c r="V1725" s="12">
        <f>T1725*U1725</f>
        <v>28.716949999999997</v>
      </c>
      <c r="W1725" s="13">
        <v>0.09</v>
      </c>
      <c r="X1725" s="12">
        <f>V1725-(V1725/(1+W1725))</f>
        <v>2.3711243119266072</v>
      </c>
      <c r="Y1725" s="12">
        <f>V1725-X1725</f>
        <v>26.34582568807339</v>
      </c>
      <c r="Z1725" s="14">
        <v>35</v>
      </c>
      <c r="AA1725" s="2" t="str">
        <f>IF(V1725&gt;Z1725,"Yes","No")</f>
        <v>No</v>
      </c>
      <c r="AB1725" s="12">
        <f>V1725-Z1725</f>
        <v>-6.2830500000000029</v>
      </c>
      <c r="AC1725" s="15" t="s">
        <v>131</v>
      </c>
      <c r="AD1725" s="15" t="s">
        <v>130</v>
      </c>
      <c r="AE1725" s="15" t="s">
        <v>180</v>
      </c>
      <c r="AF1725" s="12">
        <f>IF(AG1725="Rejected",0,IF(R1725="Corporate Card",0,V1725))</f>
        <v>0</v>
      </c>
      <c r="AG1725" s="15" t="s">
        <v>133</v>
      </c>
      <c r="AH1725" s="16">
        <v>45865</v>
      </c>
      <c r="AI1725" s="16">
        <v>45867</v>
      </c>
      <c r="AJ1725" s="16">
        <v>45876</v>
      </c>
      <c r="AK1725" s="17">
        <f>IF(AJ1725="","",AJ1725-AH1725)</f>
        <v>11</v>
      </c>
    </row>
    <row r="1726" spans="1:37">
      <c r="A1726" s="2" t="s">
        <v>2174</v>
      </c>
      <c r="B1726" s="2" t="s">
        <v>287</v>
      </c>
      <c r="C1726" s="2" t="s">
        <v>288</v>
      </c>
      <c r="D1726" s="2" t="s">
        <v>171</v>
      </c>
      <c r="E1726" s="2" t="s">
        <v>289</v>
      </c>
      <c r="F1726" s="2" t="s">
        <v>173</v>
      </c>
      <c r="G1726" s="2" t="s">
        <v>2057</v>
      </c>
      <c r="H1726" s="2" t="s">
        <v>254</v>
      </c>
      <c r="I1726" s="2" t="s">
        <v>1038</v>
      </c>
      <c r="J1726" s="2" t="s">
        <v>381</v>
      </c>
      <c r="K1726" s="9">
        <v>45845</v>
      </c>
      <c r="L1726" s="9">
        <v>45853</v>
      </c>
      <c r="M1726" s="9">
        <v>45852</v>
      </c>
      <c r="N1726" s="2" t="s">
        <v>1986</v>
      </c>
      <c r="O1726" s="2" t="s">
        <v>57</v>
      </c>
      <c r="P1726" s="2" t="s">
        <v>398</v>
      </c>
      <c r="Q1726" s="2" t="s">
        <v>495</v>
      </c>
      <c r="R1726" s="2" t="s">
        <v>137</v>
      </c>
      <c r="S1726" s="2" t="s">
        <v>383</v>
      </c>
      <c r="T1726" s="10">
        <v>133.9</v>
      </c>
      <c r="U1726" s="11">
        <v>1</v>
      </c>
      <c r="V1726" s="12">
        <f>T1726*U1726</f>
        <v>133.9</v>
      </c>
      <c r="W1726" s="13">
        <v>0</v>
      </c>
      <c r="X1726" s="12">
        <f>V1726-(V1726/(1+W1726))</f>
        <v>0</v>
      </c>
      <c r="Y1726" s="12">
        <f>V1726-X1726</f>
        <v>133.9</v>
      </c>
      <c r="Z1726" s="14">
        <v>200</v>
      </c>
      <c r="AA1726" s="2" t="str">
        <f>IF(V1726&gt;Z1726,"Yes","No")</f>
        <v>No</v>
      </c>
      <c r="AB1726" s="12">
        <f>V1726-Z1726</f>
        <v>-66.099999999999994</v>
      </c>
      <c r="AC1726" s="15" t="s">
        <v>130</v>
      </c>
      <c r="AD1726" s="15" t="s">
        <v>131</v>
      </c>
      <c r="AE1726" s="15" t="s">
        <v>260</v>
      </c>
      <c r="AF1726" s="12">
        <f>IF(AG1726="Rejected",0,IF(R1726="Corporate Card",0,V1726))</f>
        <v>133.9</v>
      </c>
      <c r="AG1726" s="15" t="s">
        <v>133</v>
      </c>
      <c r="AH1726" s="16">
        <v>45860</v>
      </c>
      <c r="AI1726" s="16">
        <v>45862</v>
      </c>
      <c r="AJ1726" s="16">
        <v>45876</v>
      </c>
      <c r="AK1726" s="17">
        <f>IF(AJ1726="","",AJ1726-AH1726)</f>
        <v>16</v>
      </c>
    </row>
    <row r="1727" spans="1:37">
      <c r="A1727" s="2" t="s">
        <v>2175</v>
      </c>
      <c r="B1727" s="2" t="s">
        <v>287</v>
      </c>
      <c r="C1727" s="2" t="s">
        <v>288</v>
      </c>
      <c r="D1727" s="2" t="s">
        <v>171</v>
      </c>
      <c r="E1727" s="2" t="s">
        <v>289</v>
      </c>
      <c r="F1727" s="2" t="s">
        <v>173</v>
      </c>
      <c r="G1727" s="2" t="s">
        <v>2057</v>
      </c>
      <c r="H1727" s="2" t="s">
        <v>254</v>
      </c>
      <c r="I1727" s="2" t="s">
        <v>1038</v>
      </c>
      <c r="J1727" s="2" t="s">
        <v>381</v>
      </c>
      <c r="K1727" s="9">
        <v>45845</v>
      </c>
      <c r="L1727" s="9">
        <v>45853</v>
      </c>
      <c r="M1727" s="9">
        <v>45852</v>
      </c>
      <c r="N1727" s="2" t="s">
        <v>1986</v>
      </c>
      <c r="O1727" s="2" t="s">
        <v>67</v>
      </c>
      <c r="P1727" s="2" t="s">
        <v>401</v>
      </c>
      <c r="Q1727" s="2" t="s">
        <v>402</v>
      </c>
      <c r="R1727" s="2" t="s">
        <v>128</v>
      </c>
      <c r="S1727" s="2" t="s">
        <v>383</v>
      </c>
      <c r="T1727" s="10">
        <v>95.8</v>
      </c>
      <c r="U1727" s="11">
        <v>1</v>
      </c>
      <c r="V1727" s="12">
        <f>T1727*U1727</f>
        <v>95.8</v>
      </c>
      <c r="W1727" s="13">
        <v>0</v>
      </c>
      <c r="X1727" s="12">
        <f>V1727-(V1727/(1+W1727))</f>
        <v>0</v>
      </c>
      <c r="Y1727" s="12">
        <f>V1727-X1727</f>
        <v>95.8</v>
      </c>
      <c r="Z1727" s="14">
        <v>100</v>
      </c>
      <c r="AA1727" s="2" t="str">
        <f>IF(V1727&gt;Z1727,"Yes","No")</f>
        <v>No</v>
      </c>
      <c r="AB1727" s="12">
        <f>V1727-Z1727</f>
        <v>-4.2000000000000028</v>
      </c>
      <c r="AC1727" s="15" t="s">
        <v>130</v>
      </c>
      <c r="AD1727" s="15" t="s">
        <v>131</v>
      </c>
      <c r="AE1727" s="15" t="s">
        <v>260</v>
      </c>
      <c r="AF1727" s="12">
        <f>IF(AG1727="Rejected",0,IF(R1727="Corporate Card",0,V1727))</f>
        <v>0</v>
      </c>
      <c r="AG1727" s="15" t="s">
        <v>133</v>
      </c>
      <c r="AH1727" s="16">
        <v>45860</v>
      </c>
      <c r="AI1727" s="16">
        <v>45862</v>
      </c>
      <c r="AJ1727" s="16">
        <v>45876</v>
      </c>
      <c r="AK1727" s="17">
        <f>IF(AJ1727="","",AJ1727-AH1727)</f>
        <v>16</v>
      </c>
    </row>
    <row r="1728" spans="1:37">
      <c r="A1728" s="2" t="s">
        <v>2176</v>
      </c>
      <c r="B1728" s="2" t="s">
        <v>287</v>
      </c>
      <c r="C1728" s="2" t="s">
        <v>288</v>
      </c>
      <c r="D1728" s="2" t="s">
        <v>171</v>
      </c>
      <c r="E1728" s="2" t="s">
        <v>289</v>
      </c>
      <c r="F1728" s="2" t="s">
        <v>173</v>
      </c>
      <c r="G1728" s="2" t="s">
        <v>2057</v>
      </c>
      <c r="H1728" s="2" t="s">
        <v>254</v>
      </c>
      <c r="I1728" s="2" t="s">
        <v>1038</v>
      </c>
      <c r="J1728" s="2" t="s">
        <v>381</v>
      </c>
      <c r="K1728" s="9">
        <v>45845</v>
      </c>
      <c r="L1728" s="9">
        <v>45853</v>
      </c>
      <c r="M1728" s="9">
        <v>45852</v>
      </c>
      <c r="N1728" s="2" t="s">
        <v>1986</v>
      </c>
      <c r="O1728" s="2" t="s">
        <v>58</v>
      </c>
      <c r="P1728" s="2" t="s">
        <v>142</v>
      </c>
      <c r="Q1728" s="2" t="s">
        <v>224</v>
      </c>
      <c r="R1728" s="2" t="s">
        <v>128</v>
      </c>
      <c r="S1728" s="2" t="s">
        <v>383</v>
      </c>
      <c r="T1728" s="10">
        <v>31.98</v>
      </c>
      <c r="U1728" s="11">
        <v>1</v>
      </c>
      <c r="V1728" s="12">
        <f>T1728*U1728</f>
        <v>31.98</v>
      </c>
      <c r="W1728" s="13">
        <v>0</v>
      </c>
      <c r="X1728" s="12">
        <f>V1728-(V1728/(1+W1728))</f>
        <v>0</v>
      </c>
      <c r="Y1728" s="12">
        <f>V1728-X1728</f>
        <v>31.98</v>
      </c>
      <c r="Z1728" s="14">
        <v>60</v>
      </c>
      <c r="AA1728" s="2" t="str">
        <f>IF(V1728&gt;Z1728,"Yes","No")</f>
        <v>No</v>
      </c>
      <c r="AB1728" s="12">
        <f>V1728-Z1728</f>
        <v>-28.02</v>
      </c>
      <c r="AC1728" s="15" t="s">
        <v>131</v>
      </c>
      <c r="AD1728" s="15" t="s">
        <v>131</v>
      </c>
      <c r="AE1728" s="15" t="s">
        <v>260</v>
      </c>
      <c r="AF1728" s="12">
        <f>IF(AG1728="Rejected",0,IF(R1728="Corporate Card",0,V1728))</f>
        <v>0</v>
      </c>
      <c r="AG1728" s="15" t="s">
        <v>133</v>
      </c>
      <c r="AH1728" s="16">
        <v>45860</v>
      </c>
      <c r="AI1728" s="16">
        <v>45862</v>
      </c>
      <c r="AJ1728" s="16">
        <v>45876</v>
      </c>
      <c r="AK1728" s="17">
        <f>IF(AJ1728="","",AJ1728-AH1728)</f>
        <v>16</v>
      </c>
    </row>
    <row r="1729" spans="1:37">
      <c r="A1729" s="2" t="s">
        <v>2177</v>
      </c>
      <c r="B1729" s="2" t="s">
        <v>287</v>
      </c>
      <c r="C1729" s="2" t="s">
        <v>288</v>
      </c>
      <c r="D1729" s="2" t="s">
        <v>171</v>
      </c>
      <c r="E1729" s="2" t="s">
        <v>289</v>
      </c>
      <c r="F1729" s="2" t="s">
        <v>173</v>
      </c>
      <c r="G1729" s="2" t="s">
        <v>2057</v>
      </c>
      <c r="H1729" s="2" t="s">
        <v>254</v>
      </c>
      <c r="I1729" s="2" t="s">
        <v>1038</v>
      </c>
      <c r="J1729" s="2" t="s">
        <v>381</v>
      </c>
      <c r="K1729" s="9">
        <v>45845</v>
      </c>
      <c r="L1729" s="9">
        <v>45853</v>
      </c>
      <c r="M1729" s="9">
        <v>45852</v>
      </c>
      <c r="N1729" s="2" t="s">
        <v>1986</v>
      </c>
      <c r="O1729" s="2" t="s">
        <v>54</v>
      </c>
      <c r="P1729" s="2" t="s">
        <v>139</v>
      </c>
      <c r="Q1729" s="2" t="s">
        <v>163</v>
      </c>
      <c r="R1729" s="2" t="s">
        <v>149</v>
      </c>
      <c r="S1729" s="2" t="s">
        <v>383</v>
      </c>
      <c r="T1729" s="10">
        <v>16.989999999999998</v>
      </c>
      <c r="U1729" s="11">
        <v>1</v>
      </c>
      <c r="V1729" s="12">
        <f>T1729*U1729</f>
        <v>16.989999999999998</v>
      </c>
      <c r="W1729" s="13">
        <v>0</v>
      </c>
      <c r="X1729" s="12">
        <f>V1729-(V1729/(1+W1729))</f>
        <v>0</v>
      </c>
      <c r="Y1729" s="12">
        <f>V1729-X1729</f>
        <v>16.989999999999998</v>
      </c>
      <c r="Z1729" s="14">
        <v>25</v>
      </c>
      <c r="AA1729" s="2" t="str">
        <f>IF(V1729&gt;Z1729,"Yes","No")</f>
        <v>No</v>
      </c>
      <c r="AB1729" s="12">
        <f>V1729-Z1729</f>
        <v>-8.0100000000000016</v>
      </c>
      <c r="AC1729" s="15" t="s">
        <v>130</v>
      </c>
      <c r="AD1729" s="15" t="s">
        <v>131</v>
      </c>
      <c r="AE1729" s="15" t="s">
        <v>260</v>
      </c>
      <c r="AF1729" s="12">
        <f>IF(AG1729="Rejected",0,IF(R1729="Corporate Card",0,V1729))</f>
        <v>16.989999999999998</v>
      </c>
      <c r="AG1729" s="15" t="s">
        <v>133</v>
      </c>
      <c r="AH1729" s="16">
        <v>45860</v>
      </c>
      <c r="AI1729" s="16">
        <v>45862</v>
      </c>
      <c r="AJ1729" s="16">
        <v>45876</v>
      </c>
      <c r="AK1729" s="17">
        <f>IF(AJ1729="","",AJ1729-AH1729)</f>
        <v>16</v>
      </c>
    </row>
    <row r="1730" spans="1:37">
      <c r="A1730" s="2" t="s">
        <v>2178</v>
      </c>
      <c r="B1730" s="2" t="s">
        <v>287</v>
      </c>
      <c r="C1730" s="2" t="s">
        <v>288</v>
      </c>
      <c r="D1730" s="2" t="s">
        <v>171</v>
      </c>
      <c r="E1730" s="2" t="s">
        <v>289</v>
      </c>
      <c r="F1730" s="2" t="s">
        <v>173</v>
      </c>
      <c r="G1730" s="2" t="s">
        <v>2057</v>
      </c>
      <c r="H1730" s="2" t="s">
        <v>254</v>
      </c>
      <c r="I1730" s="2" t="s">
        <v>1038</v>
      </c>
      <c r="J1730" s="2" t="s">
        <v>381</v>
      </c>
      <c r="K1730" s="9">
        <v>45845</v>
      </c>
      <c r="L1730" s="9">
        <v>45853</v>
      </c>
      <c r="M1730" s="9">
        <v>45852</v>
      </c>
      <c r="N1730" s="2" t="s">
        <v>1986</v>
      </c>
      <c r="O1730" s="2" t="s">
        <v>56</v>
      </c>
      <c r="P1730" s="2" t="s">
        <v>245</v>
      </c>
      <c r="Q1730" s="2" t="s">
        <v>166</v>
      </c>
      <c r="R1730" s="2" t="s">
        <v>128</v>
      </c>
      <c r="S1730" s="2" t="s">
        <v>383</v>
      </c>
      <c r="T1730" s="10">
        <v>38.369999999999997</v>
      </c>
      <c r="U1730" s="11">
        <v>1</v>
      </c>
      <c r="V1730" s="12">
        <f>T1730*U1730</f>
        <v>38.369999999999997</v>
      </c>
      <c r="W1730" s="13">
        <v>0</v>
      </c>
      <c r="X1730" s="12">
        <f>V1730-(V1730/(1+W1730))</f>
        <v>0</v>
      </c>
      <c r="Y1730" s="12">
        <f>V1730-X1730</f>
        <v>38.369999999999997</v>
      </c>
      <c r="Z1730" s="14">
        <v>75</v>
      </c>
      <c r="AA1730" s="2" t="str">
        <f>IF(V1730&gt;Z1730,"Yes","No")</f>
        <v>No</v>
      </c>
      <c r="AB1730" s="12">
        <f>V1730-Z1730</f>
        <v>-36.630000000000003</v>
      </c>
      <c r="AC1730" s="15" t="s">
        <v>130</v>
      </c>
      <c r="AD1730" s="15" t="s">
        <v>131</v>
      </c>
      <c r="AE1730" s="15" t="s">
        <v>260</v>
      </c>
      <c r="AF1730" s="12">
        <f>IF(AG1730="Rejected",0,IF(R1730="Corporate Card",0,V1730))</f>
        <v>0</v>
      </c>
      <c r="AG1730" s="15" t="s">
        <v>133</v>
      </c>
      <c r="AH1730" s="16">
        <v>45860</v>
      </c>
      <c r="AI1730" s="16">
        <v>45862</v>
      </c>
      <c r="AJ1730" s="16">
        <v>45876</v>
      </c>
      <c r="AK1730" s="17">
        <f>IF(AJ1730="","",AJ1730-AH1730)</f>
        <v>16</v>
      </c>
    </row>
    <row r="1731" spans="1:37">
      <c r="A1731" s="2" t="s">
        <v>2179</v>
      </c>
      <c r="B1731" s="2" t="s">
        <v>287</v>
      </c>
      <c r="C1731" s="2" t="s">
        <v>288</v>
      </c>
      <c r="D1731" s="2" t="s">
        <v>171</v>
      </c>
      <c r="E1731" s="2" t="s">
        <v>289</v>
      </c>
      <c r="F1731" s="2" t="s">
        <v>173</v>
      </c>
      <c r="G1731" s="2" t="s">
        <v>2057</v>
      </c>
      <c r="H1731" s="2" t="s">
        <v>254</v>
      </c>
      <c r="I1731" s="2" t="s">
        <v>1038</v>
      </c>
      <c r="J1731" s="2" t="s">
        <v>381</v>
      </c>
      <c r="K1731" s="9">
        <v>45845</v>
      </c>
      <c r="L1731" s="9">
        <v>45853</v>
      </c>
      <c r="M1731" s="9">
        <v>45852</v>
      </c>
      <c r="N1731" s="2" t="s">
        <v>1986</v>
      </c>
      <c r="O1731" s="2" t="s">
        <v>55</v>
      </c>
      <c r="P1731" s="2" t="s">
        <v>139</v>
      </c>
      <c r="Q1731" s="2" t="s">
        <v>187</v>
      </c>
      <c r="R1731" s="2" t="s">
        <v>128</v>
      </c>
      <c r="S1731" s="2" t="s">
        <v>383</v>
      </c>
      <c r="T1731" s="10">
        <v>25.99</v>
      </c>
      <c r="U1731" s="11">
        <v>1</v>
      </c>
      <c r="V1731" s="12">
        <f>T1731*U1731</f>
        <v>25.99</v>
      </c>
      <c r="W1731" s="13">
        <v>0</v>
      </c>
      <c r="X1731" s="12">
        <f>V1731-(V1731/(1+W1731))</f>
        <v>0</v>
      </c>
      <c r="Y1731" s="12">
        <f>V1731-X1731</f>
        <v>25.99</v>
      </c>
      <c r="Z1731" s="14">
        <v>35</v>
      </c>
      <c r="AA1731" s="2" t="str">
        <f>IF(V1731&gt;Z1731,"Yes","No")</f>
        <v>No</v>
      </c>
      <c r="AB1731" s="12">
        <f>V1731-Z1731</f>
        <v>-9.0100000000000016</v>
      </c>
      <c r="AC1731" s="15" t="s">
        <v>131</v>
      </c>
      <c r="AD1731" s="15" t="s">
        <v>131</v>
      </c>
      <c r="AE1731" s="15" t="s">
        <v>260</v>
      </c>
      <c r="AF1731" s="12">
        <f>IF(AG1731="Rejected",0,IF(R1731="Corporate Card",0,V1731))</f>
        <v>0</v>
      </c>
      <c r="AG1731" s="15" t="s">
        <v>133</v>
      </c>
      <c r="AH1731" s="16">
        <v>45860</v>
      </c>
      <c r="AI1731" s="16">
        <v>45862</v>
      </c>
      <c r="AJ1731" s="16">
        <v>45876</v>
      </c>
      <c r="AK1731" s="17">
        <f>IF(AJ1731="","",AJ1731-AH1731)</f>
        <v>16</v>
      </c>
    </row>
    <row r="1732" spans="1:37">
      <c r="A1732" s="2" t="s">
        <v>2180</v>
      </c>
      <c r="B1732" s="2" t="s">
        <v>442</v>
      </c>
      <c r="C1732" s="2" t="s">
        <v>443</v>
      </c>
      <c r="D1732" s="2" t="s">
        <v>444</v>
      </c>
      <c r="E1732" s="2" t="s">
        <v>445</v>
      </c>
      <c r="F1732" s="2" t="s">
        <v>446</v>
      </c>
      <c r="G1732" s="2" t="s">
        <v>2128</v>
      </c>
      <c r="H1732" s="2" t="s">
        <v>348</v>
      </c>
      <c r="I1732" s="2" t="s">
        <v>380</v>
      </c>
      <c r="J1732" s="2" t="s">
        <v>381</v>
      </c>
      <c r="K1732" s="9">
        <v>45850</v>
      </c>
      <c r="L1732" s="9">
        <v>45852</v>
      </c>
      <c r="M1732" s="9">
        <v>45852</v>
      </c>
      <c r="N1732" s="2" t="s">
        <v>1986</v>
      </c>
      <c r="O1732" s="2" t="s">
        <v>58</v>
      </c>
      <c r="P1732" s="2" t="s">
        <v>142</v>
      </c>
      <c r="Q1732" s="2" t="s">
        <v>203</v>
      </c>
      <c r="R1732" s="2" t="s">
        <v>128</v>
      </c>
      <c r="S1732" s="2" t="s">
        <v>383</v>
      </c>
      <c r="T1732" s="10">
        <v>21.37</v>
      </c>
      <c r="U1732" s="11">
        <v>1</v>
      </c>
      <c r="V1732" s="12">
        <f>T1732*U1732</f>
        <v>21.37</v>
      </c>
      <c r="W1732" s="13">
        <v>0</v>
      </c>
      <c r="X1732" s="12">
        <f>V1732-(V1732/(1+W1732))</f>
        <v>0</v>
      </c>
      <c r="Y1732" s="12">
        <f>V1732-X1732</f>
        <v>21.37</v>
      </c>
      <c r="Z1732" s="14">
        <v>60</v>
      </c>
      <c r="AA1732" s="2" t="str">
        <f>IF(V1732&gt;Z1732,"Yes","No")</f>
        <v>No</v>
      </c>
      <c r="AB1732" s="12">
        <f>V1732-Z1732</f>
        <v>-38.629999999999995</v>
      </c>
      <c r="AC1732" s="15" t="s">
        <v>130</v>
      </c>
      <c r="AD1732" s="15" t="s">
        <v>130</v>
      </c>
      <c r="AE1732" s="15" t="s">
        <v>180</v>
      </c>
      <c r="AF1732" s="12">
        <f>IF(AG1732="Rejected",0,IF(R1732="Corporate Card",0,V1732))</f>
        <v>0</v>
      </c>
      <c r="AG1732" s="15" t="s">
        <v>133</v>
      </c>
      <c r="AH1732" s="16">
        <v>45863</v>
      </c>
      <c r="AI1732" s="16">
        <v>45872</v>
      </c>
      <c r="AJ1732" s="16">
        <v>45881</v>
      </c>
      <c r="AK1732" s="17">
        <f>IF(AJ1732="","",AJ1732-AH1732)</f>
        <v>18</v>
      </c>
    </row>
    <row r="1733" spans="1:37">
      <c r="A1733" s="2" t="s">
        <v>2181</v>
      </c>
      <c r="B1733" s="2" t="s">
        <v>442</v>
      </c>
      <c r="C1733" s="2" t="s">
        <v>443</v>
      </c>
      <c r="D1733" s="2" t="s">
        <v>444</v>
      </c>
      <c r="E1733" s="2" t="s">
        <v>445</v>
      </c>
      <c r="F1733" s="2" t="s">
        <v>446</v>
      </c>
      <c r="G1733" s="2" t="s">
        <v>2128</v>
      </c>
      <c r="H1733" s="2" t="s">
        <v>348</v>
      </c>
      <c r="I1733" s="2" t="s">
        <v>380</v>
      </c>
      <c r="J1733" s="2" t="s">
        <v>381</v>
      </c>
      <c r="K1733" s="9">
        <v>45850</v>
      </c>
      <c r="L1733" s="9">
        <v>45852</v>
      </c>
      <c r="M1733" s="9">
        <v>45852</v>
      </c>
      <c r="N1733" s="2" t="s">
        <v>1986</v>
      </c>
      <c r="O1733" s="2" t="s">
        <v>55</v>
      </c>
      <c r="P1733" s="2" t="s">
        <v>139</v>
      </c>
      <c r="Q1733" s="2" t="s">
        <v>187</v>
      </c>
      <c r="R1733" s="2" t="s">
        <v>128</v>
      </c>
      <c r="S1733" s="2" t="s">
        <v>383</v>
      </c>
      <c r="T1733" s="10">
        <v>32.33</v>
      </c>
      <c r="U1733" s="11">
        <v>1</v>
      </c>
      <c r="V1733" s="12">
        <f>T1733*U1733</f>
        <v>32.33</v>
      </c>
      <c r="W1733" s="13">
        <v>0</v>
      </c>
      <c r="X1733" s="12">
        <f>V1733-(V1733/(1+W1733))</f>
        <v>0</v>
      </c>
      <c r="Y1733" s="12">
        <f>V1733-X1733</f>
        <v>32.33</v>
      </c>
      <c r="Z1733" s="14">
        <v>35</v>
      </c>
      <c r="AA1733" s="2" t="str">
        <f>IF(V1733&gt;Z1733,"Yes","No")</f>
        <v>No</v>
      </c>
      <c r="AB1733" s="12">
        <f>V1733-Z1733</f>
        <v>-2.6700000000000017</v>
      </c>
      <c r="AC1733" s="15" t="s">
        <v>131</v>
      </c>
      <c r="AD1733" s="15" t="s">
        <v>130</v>
      </c>
      <c r="AE1733" s="15" t="s">
        <v>180</v>
      </c>
      <c r="AF1733" s="12">
        <f>IF(AG1733="Rejected",0,IF(R1733="Corporate Card",0,V1733))</f>
        <v>0</v>
      </c>
      <c r="AG1733" s="15" t="s">
        <v>133</v>
      </c>
      <c r="AH1733" s="16">
        <v>45863</v>
      </c>
      <c r="AI1733" s="16">
        <v>45872</v>
      </c>
      <c r="AJ1733" s="16">
        <v>45881</v>
      </c>
      <c r="AK1733" s="17">
        <f>IF(AJ1733="","",AJ1733-AH1733)</f>
        <v>18</v>
      </c>
    </row>
    <row r="1734" spans="1:37">
      <c r="A1734" s="2" t="s">
        <v>2182</v>
      </c>
      <c r="B1734" s="2" t="s">
        <v>442</v>
      </c>
      <c r="C1734" s="2" t="s">
        <v>443</v>
      </c>
      <c r="D1734" s="2" t="s">
        <v>444</v>
      </c>
      <c r="E1734" s="2" t="s">
        <v>445</v>
      </c>
      <c r="F1734" s="2" t="s">
        <v>446</v>
      </c>
      <c r="G1734" s="2" t="s">
        <v>2128</v>
      </c>
      <c r="H1734" s="2" t="s">
        <v>348</v>
      </c>
      <c r="I1734" s="2" t="s">
        <v>380</v>
      </c>
      <c r="J1734" s="2" t="s">
        <v>381</v>
      </c>
      <c r="K1734" s="9">
        <v>45850</v>
      </c>
      <c r="L1734" s="9">
        <v>45852</v>
      </c>
      <c r="M1734" s="9">
        <v>45852</v>
      </c>
      <c r="N1734" s="2" t="s">
        <v>1986</v>
      </c>
      <c r="O1734" s="2" t="s">
        <v>62</v>
      </c>
      <c r="P1734" s="2" t="s">
        <v>533</v>
      </c>
      <c r="Q1734" s="2" t="s">
        <v>534</v>
      </c>
      <c r="R1734" s="2" t="s">
        <v>128</v>
      </c>
      <c r="S1734" s="2" t="s">
        <v>383</v>
      </c>
      <c r="T1734" s="10">
        <v>23.47</v>
      </c>
      <c r="U1734" s="11">
        <v>1</v>
      </c>
      <c r="V1734" s="12">
        <f>T1734*U1734</f>
        <v>23.47</v>
      </c>
      <c r="W1734" s="13">
        <v>0</v>
      </c>
      <c r="X1734" s="12">
        <f>V1734-(V1734/(1+W1734))</f>
        <v>0</v>
      </c>
      <c r="Y1734" s="12">
        <f>V1734-X1734</f>
        <v>23.47</v>
      </c>
      <c r="Z1734" s="14">
        <v>45</v>
      </c>
      <c r="AA1734" s="2" t="str">
        <f>IF(V1734&gt;Z1734,"Yes","No")</f>
        <v>No</v>
      </c>
      <c r="AB1734" s="12">
        <f>V1734-Z1734</f>
        <v>-21.53</v>
      </c>
      <c r="AC1734" s="15" t="s">
        <v>130</v>
      </c>
      <c r="AD1734" s="15" t="s">
        <v>130</v>
      </c>
      <c r="AE1734" s="15" t="s">
        <v>180</v>
      </c>
      <c r="AF1734" s="12">
        <f>IF(AG1734="Rejected",0,IF(R1734="Corporate Card",0,V1734))</f>
        <v>0</v>
      </c>
      <c r="AG1734" s="15" t="s">
        <v>133</v>
      </c>
      <c r="AH1734" s="16">
        <v>45863</v>
      </c>
      <c r="AI1734" s="16">
        <v>45872</v>
      </c>
      <c r="AJ1734" s="16">
        <v>45881</v>
      </c>
      <c r="AK1734" s="17">
        <f>IF(AJ1734="","",AJ1734-AH1734)</f>
        <v>18</v>
      </c>
    </row>
    <row r="1735" spans="1:37">
      <c r="A1735" s="2" t="s">
        <v>2183</v>
      </c>
      <c r="B1735" s="2" t="s">
        <v>375</v>
      </c>
      <c r="C1735" s="2" t="s">
        <v>376</v>
      </c>
      <c r="D1735" s="2" t="s">
        <v>344</v>
      </c>
      <c r="E1735" s="2" t="s">
        <v>377</v>
      </c>
      <c r="F1735" s="2" t="s">
        <v>346</v>
      </c>
      <c r="G1735" s="2" t="s">
        <v>2111</v>
      </c>
      <c r="H1735" s="2" t="s">
        <v>291</v>
      </c>
      <c r="I1735" s="2" t="s">
        <v>651</v>
      </c>
      <c r="J1735" s="2" t="s">
        <v>652</v>
      </c>
      <c r="K1735" s="9">
        <v>45849</v>
      </c>
      <c r="L1735" s="9">
        <v>45855</v>
      </c>
      <c r="M1735" s="9">
        <v>45852</v>
      </c>
      <c r="N1735" s="2" t="s">
        <v>1986</v>
      </c>
      <c r="O1735" s="2" t="s">
        <v>68</v>
      </c>
      <c r="P1735" s="2" t="s">
        <v>282</v>
      </c>
      <c r="Q1735" s="2" t="s">
        <v>283</v>
      </c>
      <c r="R1735" s="2" t="s">
        <v>128</v>
      </c>
      <c r="S1735" s="2" t="s">
        <v>654</v>
      </c>
      <c r="T1735" s="10">
        <v>17.5</v>
      </c>
      <c r="U1735" s="11">
        <v>0.72799999999999998</v>
      </c>
      <c r="V1735" s="12">
        <f>T1735*U1735</f>
        <v>12.74</v>
      </c>
      <c r="W1735" s="13">
        <v>0.13</v>
      </c>
      <c r="X1735" s="12">
        <f>V1735-(V1735/(1+W1735))</f>
        <v>1.4656637168141575</v>
      </c>
      <c r="Y1735" s="12">
        <f>V1735-X1735</f>
        <v>11.274336283185843</v>
      </c>
      <c r="Z1735" s="14">
        <v>30</v>
      </c>
      <c r="AA1735" s="2" t="str">
        <f>IF(V1735&gt;Z1735,"Yes","No")</f>
        <v>No</v>
      </c>
      <c r="AB1735" s="12">
        <f>V1735-Z1735</f>
        <v>-17.259999999999998</v>
      </c>
      <c r="AC1735" s="15" t="s">
        <v>130</v>
      </c>
      <c r="AD1735" s="15" t="s">
        <v>130</v>
      </c>
      <c r="AE1735" s="15" t="s">
        <v>260</v>
      </c>
      <c r="AF1735" s="12">
        <f>IF(AG1735="Rejected",0,IF(R1735="Corporate Card",0,V1735))</f>
        <v>0</v>
      </c>
      <c r="AG1735" s="15" t="s">
        <v>133</v>
      </c>
      <c r="AH1735" s="16">
        <v>45856</v>
      </c>
      <c r="AI1735" s="16">
        <v>45862</v>
      </c>
      <c r="AJ1735" s="16">
        <v>45875</v>
      </c>
      <c r="AK1735" s="17">
        <f>IF(AJ1735="","",AJ1735-AH1735)</f>
        <v>19</v>
      </c>
    </row>
    <row r="1736" spans="1:37">
      <c r="A1736" s="2" t="s">
        <v>2184</v>
      </c>
      <c r="B1736" s="2" t="s">
        <v>375</v>
      </c>
      <c r="C1736" s="2" t="s">
        <v>376</v>
      </c>
      <c r="D1736" s="2" t="s">
        <v>344</v>
      </c>
      <c r="E1736" s="2" t="s">
        <v>377</v>
      </c>
      <c r="F1736" s="2" t="s">
        <v>346</v>
      </c>
      <c r="G1736" s="2" t="s">
        <v>2111</v>
      </c>
      <c r="H1736" s="2" t="s">
        <v>291</v>
      </c>
      <c r="I1736" s="2" t="s">
        <v>651</v>
      </c>
      <c r="J1736" s="2" t="s">
        <v>652</v>
      </c>
      <c r="K1736" s="9">
        <v>45849</v>
      </c>
      <c r="L1736" s="9">
        <v>45855</v>
      </c>
      <c r="M1736" s="9">
        <v>45852</v>
      </c>
      <c r="N1736" s="2" t="s">
        <v>1986</v>
      </c>
      <c r="O1736" s="2" t="s">
        <v>54</v>
      </c>
      <c r="P1736" s="2" t="s">
        <v>139</v>
      </c>
      <c r="Q1736" s="2" t="s">
        <v>140</v>
      </c>
      <c r="R1736" s="2" t="s">
        <v>149</v>
      </c>
      <c r="S1736" s="2" t="s">
        <v>654</v>
      </c>
      <c r="T1736" s="10">
        <v>33.72</v>
      </c>
      <c r="U1736" s="11">
        <v>0.72799999999999998</v>
      </c>
      <c r="V1736" s="12">
        <f>T1736*U1736</f>
        <v>24.548159999999999</v>
      </c>
      <c r="W1736" s="13">
        <v>0.13</v>
      </c>
      <c r="X1736" s="12">
        <f>V1736-(V1736/(1+W1736))</f>
        <v>2.8241246017699098</v>
      </c>
      <c r="Y1736" s="12">
        <f>V1736-X1736</f>
        <v>21.72403539823009</v>
      </c>
      <c r="Z1736" s="14">
        <v>25</v>
      </c>
      <c r="AA1736" s="2" t="str">
        <f>IF(V1736&gt;Z1736,"Yes","No")</f>
        <v>No</v>
      </c>
      <c r="AB1736" s="12">
        <f>V1736-Z1736</f>
        <v>-0.45184000000000069</v>
      </c>
      <c r="AC1736" s="15" t="s">
        <v>130</v>
      </c>
      <c r="AD1736" s="15" t="s">
        <v>130</v>
      </c>
      <c r="AE1736" s="15" t="s">
        <v>260</v>
      </c>
      <c r="AF1736" s="12">
        <f>IF(AG1736="Rejected",0,IF(R1736="Corporate Card",0,V1736))</f>
        <v>24.548159999999999</v>
      </c>
      <c r="AG1736" s="15" t="s">
        <v>133</v>
      </c>
      <c r="AH1736" s="16">
        <v>45856</v>
      </c>
      <c r="AI1736" s="16">
        <v>45862</v>
      </c>
      <c r="AJ1736" s="16">
        <v>45875</v>
      </c>
      <c r="AK1736" s="17">
        <f>IF(AJ1736="","",AJ1736-AH1736)</f>
        <v>19</v>
      </c>
    </row>
    <row r="1737" spans="1:37">
      <c r="A1737" s="2" t="s">
        <v>2185</v>
      </c>
      <c r="B1737" s="2" t="s">
        <v>375</v>
      </c>
      <c r="C1737" s="2" t="s">
        <v>376</v>
      </c>
      <c r="D1737" s="2" t="s">
        <v>344</v>
      </c>
      <c r="E1737" s="2" t="s">
        <v>377</v>
      </c>
      <c r="F1737" s="2" t="s">
        <v>346</v>
      </c>
      <c r="G1737" s="2" t="s">
        <v>2111</v>
      </c>
      <c r="H1737" s="2" t="s">
        <v>291</v>
      </c>
      <c r="I1737" s="2" t="s">
        <v>651</v>
      </c>
      <c r="J1737" s="2" t="s">
        <v>652</v>
      </c>
      <c r="K1737" s="9">
        <v>45849</v>
      </c>
      <c r="L1737" s="9">
        <v>45855</v>
      </c>
      <c r="M1737" s="9">
        <v>45852</v>
      </c>
      <c r="N1737" s="2" t="s">
        <v>1986</v>
      </c>
      <c r="O1737" s="2" t="s">
        <v>55</v>
      </c>
      <c r="P1737" s="2" t="s">
        <v>139</v>
      </c>
      <c r="Q1737" s="2" t="s">
        <v>217</v>
      </c>
      <c r="R1737" s="2" t="s">
        <v>128</v>
      </c>
      <c r="S1737" s="2" t="s">
        <v>654</v>
      </c>
      <c r="T1737" s="10">
        <v>44.2</v>
      </c>
      <c r="U1737" s="11">
        <v>0.72799999999999998</v>
      </c>
      <c r="V1737" s="12">
        <f>T1737*U1737</f>
        <v>32.177599999999998</v>
      </c>
      <c r="W1737" s="13">
        <v>0.13</v>
      </c>
      <c r="X1737" s="12">
        <f>V1737-(V1737/(1+W1737))</f>
        <v>3.7018477876106175</v>
      </c>
      <c r="Y1737" s="12">
        <f>V1737-X1737</f>
        <v>28.475752212389381</v>
      </c>
      <c r="Z1737" s="14">
        <v>35</v>
      </c>
      <c r="AA1737" s="2" t="str">
        <f>IF(V1737&gt;Z1737,"Yes","No")</f>
        <v>No</v>
      </c>
      <c r="AB1737" s="12">
        <f>V1737-Z1737</f>
        <v>-2.8224000000000018</v>
      </c>
      <c r="AC1737" s="15" t="s">
        <v>130</v>
      </c>
      <c r="AD1737" s="15" t="s">
        <v>130</v>
      </c>
      <c r="AE1737" s="15" t="s">
        <v>260</v>
      </c>
      <c r="AF1737" s="12">
        <f>IF(AG1737="Rejected",0,IF(R1737="Corporate Card",0,V1737))</f>
        <v>0</v>
      </c>
      <c r="AG1737" s="15" t="s">
        <v>133</v>
      </c>
      <c r="AH1737" s="16">
        <v>45856</v>
      </c>
      <c r="AI1737" s="16">
        <v>45862</v>
      </c>
      <c r="AJ1737" s="16">
        <v>45875</v>
      </c>
      <c r="AK1737" s="17">
        <f>IF(AJ1737="","",AJ1737-AH1737)</f>
        <v>19</v>
      </c>
    </row>
    <row r="1738" spans="1:37">
      <c r="A1738" s="2" t="s">
        <v>2186</v>
      </c>
      <c r="B1738" s="2" t="s">
        <v>169</v>
      </c>
      <c r="C1738" s="2" t="s">
        <v>170</v>
      </c>
      <c r="D1738" s="2" t="s">
        <v>171</v>
      </c>
      <c r="E1738" s="2" t="s">
        <v>172</v>
      </c>
      <c r="F1738" s="2" t="s">
        <v>173</v>
      </c>
      <c r="G1738" s="2" t="s">
        <v>2139</v>
      </c>
      <c r="H1738" s="2" t="s">
        <v>193</v>
      </c>
      <c r="I1738" s="2" t="s">
        <v>651</v>
      </c>
      <c r="J1738" s="2" t="s">
        <v>652</v>
      </c>
      <c r="K1738" s="9">
        <v>45850</v>
      </c>
      <c r="L1738" s="9">
        <v>45858</v>
      </c>
      <c r="M1738" s="9">
        <v>45852</v>
      </c>
      <c r="N1738" s="2" t="s">
        <v>1986</v>
      </c>
      <c r="O1738" s="2" t="s">
        <v>58</v>
      </c>
      <c r="P1738" s="2" t="s">
        <v>142</v>
      </c>
      <c r="Q1738" s="2" t="s">
        <v>224</v>
      </c>
      <c r="R1738" s="2" t="s">
        <v>128</v>
      </c>
      <c r="S1738" s="2" t="s">
        <v>654</v>
      </c>
      <c r="T1738" s="10">
        <v>32.56</v>
      </c>
      <c r="U1738" s="11">
        <v>0.72799999999999998</v>
      </c>
      <c r="V1738" s="12">
        <f>T1738*U1738</f>
        <v>23.703680000000002</v>
      </c>
      <c r="W1738" s="13">
        <v>0.13</v>
      </c>
      <c r="X1738" s="12">
        <f>V1738-(V1738/(1+W1738))</f>
        <v>2.7269720353982301</v>
      </c>
      <c r="Y1738" s="12">
        <f>V1738-X1738</f>
        <v>20.976707964601772</v>
      </c>
      <c r="Z1738" s="14">
        <v>60</v>
      </c>
      <c r="AA1738" s="2" t="str">
        <f>IF(V1738&gt;Z1738,"Yes","No")</f>
        <v>No</v>
      </c>
      <c r="AB1738" s="12">
        <f>V1738-Z1738</f>
        <v>-36.296319999999994</v>
      </c>
      <c r="AC1738" s="15" t="s">
        <v>130</v>
      </c>
      <c r="AD1738" s="15" t="s">
        <v>130</v>
      </c>
      <c r="AE1738" s="15" t="s">
        <v>350</v>
      </c>
      <c r="AF1738" s="12">
        <f>IF(AG1738="Rejected",0,IF(R1738="Corporate Card",0,V1738))</f>
        <v>0</v>
      </c>
      <c r="AG1738" s="15" t="s">
        <v>133</v>
      </c>
      <c r="AH1738" s="16">
        <v>45866</v>
      </c>
      <c r="AI1738" s="16">
        <v>45867</v>
      </c>
      <c r="AJ1738" s="16">
        <v>45875</v>
      </c>
      <c r="AK1738" s="17">
        <f>IF(AJ1738="","",AJ1738-AH1738)</f>
        <v>9</v>
      </c>
    </row>
    <row r="1739" spans="1:37">
      <c r="A1739" s="2" t="s">
        <v>2187</v>
      </c>
      <c r="B1739" s="2" t="s">
        <v>310</v>
      </c>
      <c r="C1739" s="2" t="s">
        <v>311</v>
      </c>
      <c r="D1739" s="2" t="s">
        <v>118</v>
      </c>
      <c r="E1739" s="2" t="s">
        <v>312</v>
      </c>
      <c r="F1739" s="2" t="s">
        <v>313</v>
      </c>
      <c r="G1739" s="2" t="s">
        <v>2099</v>
      </c>
      <c r="H1739" s="2" t="s">
        <v>348</v>
      </c>
      <c r="I1739" s="2" t="s">
        <v>553</v>
      </c>
      <c r="J1739" s="2" t="s">
        <v>553</v>
      </c>
      <c r="K1739" s="9">
        <v>45848</v>
      </c>
      <c r="L1739" s="9">
        <v>45856</v>
      </c>
      <c r="M1739" s="9">
        <v>45852</v>
      </c>
      <c r="N1739" s="2" t="s">
        <v>1986</v>
      </c>
      <c r="O1739" s="2" t="s">
        <v>58</v>
      </c>
      <c r="P1739" s="2" t="s">
        <v>142</v>
      </c>
      <c r="Q1739" s="2" t="s">
        <v>224</v>
      </c>
      <c r="R1739" s="2" t="s">
        <v>128</v>
      </c>
      <c r="S1739" s="2" t="s">
        <v>555</v>
      </c>
      <c r="T1739" s="10">
        <v>66.09</v>
      </c>
      <c r="U1739" s="11">
        <v>0.74299999999999999</v>
      </c>
      <c r="V1739" s="12">
        <f>T1739*U1739</f>
        <v>49.104870000000005</v>
      </c>
      <c r="W1739" s="13">
        <v>0.09</v>
      </c>
      <c r="X1739" s="12">
        <f>V1739-(V1739/(1+W1739))</f>
        <v>4.0545305504587219</v>
      </c>
      <c r="Y1739" s="12">
        <f>V1739-X1739</f>
        <v>45.050339449541283</v>
      </c>
      <c r="Z1739" s="14">
        <v>60</v>
      </c>
      <c r="AA1739" s="2" t="str">
        <f>IF(V1739&gt;Z1739,"Yes","No")</f>
        <v>No</v>
      </c>
      <c r="AB1739" s="12">
        <f>V1739-Z1739</f>
        <v>-10.895129999999995</v>
      </c>
      <c r="AC1739" s="15" t="s">
        <v>130</v>
      </c>
      <c r="AD1739" s="15" t="s">
        <v>130</v>
      </c>
      <c r="AE1739" s="15" t="s">
        <v>180</v>
      </c>
      <c r="AF1739" s="12">
        <f>IF(AG1739="Rejected",0,IF(R1739="Corporate Card",0,V1739))</f>
        <v>0</v>
      </c>
      <c r="AG1739" s="15" t="s">
        <v>133</v>
      </c>
      <c r="AH1739" s="16">
        <v>45865</v>
      </c>
      <c r="AI1739" s="16">
        <v>45867</v>
      </c>
      <c r="AJ1739" s="16">
        <v>45876</v>
      </c>
      <c r="AK1739" s="17">
        <f>IF(AJ1739="","",AJ1739-AH1739)</f>
        <v>11</v>
      </c>
    </row>
    <row r="1740" spans="1:37">
      <c r="A1740" s="2" t="s">
        <v>2188</v>
      </c>
      <c r="B1740" s="2" t="s">
        <v>310</v>
      </c>
      <c r="C1740" s="2" t="s">
        <v>311</v>
      </c>
      <c r="D1740" s="2" t="s">
        <v>118</v>
      </c>
      <c r="E1740" s="2" t="s">
        <v>312</v>
      </c>
      <c r="F1740" s="2" t="s">
        <v>313</v>
      </c>
      <c r="G1740" s="2" t="s">
        <v>2099</v>
      </c>
      <c r="H1740" s="2" t="s">
        <v>348</v>
      </c>
      <c r="I1740" s="2" t="s">
        <v>553</v>
      </c>
      <c r="J1740" s="2" t="s">
        <v>553</v>
      </c>
      <c r="K1740" s="9">
        <v>45848</v>
      </c>
      <c r="L1740" s="9">
        <v>45856</v>
      </c>
      <c r="M1740" s="9">
        <v>45852</v>
      </c>
      <c r="N1740" s="2" t="s">
        <v>1986</v>
      </c>
      <c r="O1740" s="2" t="s">
        <v>54</v>
      </c>
      <c r="P1740" s="2" t="s">
        <v>139</v>
      </c>
      <c r="Q1740" s="2" t="s">
        <v>214</v>
      </c>
      <c r="R1740" s="2" t="s">
        <v>128</v>
      </c>
      <c r="S1740" s="2" t="s">
        <v>555</v>
      </c>
      <c r="T1740" s="10">
        <v>32.909999999999997</v>
      </c>
      <c r="U1740" s="11">
        <v>0.74299999999999999</v>
      </c>
      <c r="V1740" s="12">
        <f>T1740*U1740</f>
        <v>24.452129999999997</v>
      </c>
      <c r="W1740" s="13">
        <v>0.09</v>
      </c>
      <c r="X1740" s="12">
        <f>V1740-(V1740/(1+W1740))</f>
        <v>2.018983211009175</v>
      </c>
      <c r="Y1740" s="12">
        <f>V1740-X1740</f>
        <v>22.433146788990822</v>
      </c>
      <c r="Z1740" s="14">
        <v>25</v>
      </c>
      <c r="AA1740" s="2" t="str">
        <f>IF(V1740&gt;Z1740,"Yes","No")</f>
        <v>No</v>
      </c>
      <c r="AB1740" s="12">
        <f>V1740-Z1740</f>
        <v>-0.54787000000000319</v>
      </c>
      <c r="AC1740" s="15" t="s">
        <v>130</v>
      </c>
      <c r="AD1740" s="15" t="s">
        <v>130</v>
      </c>
      <c r="AE1740" s="15" t="s">
        <v>180</v>
      </c>
      <c r="AF1740" s="12">
        <f>IF(AG1740="Rejected",0,IF(R1740="Corporate Card",0,V1740))</f>
        <v>0</v>
      </c>
      <c r="AG1740" s="15" t="s">
        <v>133</v>
      </c>
      <c r="AH1740" s="16">
        <v>45865</v>
      </c>
      <c r="AI1740" s="16">
        <v>45867</v>
      </c>
      <c r="AJ1740" s="16">
        <v>45876</v>
      </c>
      <c r="AK1740" s="17">
        <f>IF(AJ1740="","",AJ1740-AH1740)</f>
        <v>11</v>
      </c>
    </row>
    <row r="1741" spans="1:37">
      <c r="A1741" s="2" t="s">
        <v>2189</v>
      </c>
      <c r="B1741" s="2" t="s">
        <v>310</v>
      </c>
      <c r="C1741" s="2" t="s">
        <v>311</v>
      </c>
      <c r="D1741" s="2" t="s">
        <v>118</v>
      </c>
      <c r="E1741" s="2" t="s">
        <v>312</v>
      </c>
      <c r="F1741" s="2" t="s">
        <v>313</v>
      </c>
      <c r="G1741" s="2" t="s">
        <v>2099</v>
      </c>
      <c r="H1741" s="2" t="s">
        <v>348</v>
      </c>
      <c r="I1741" s="2" t="s">
        <v>553</v>
      </c>
      <c r="J1741" s="2" t="s">
        <v>553</v>
      </c>
      <c r="K1741" s="9">
        <v>45848</v>
      </c>
      <c r="L1741" s="9">
        <v>45856</v>
      </c>
      <c r="M1741" s="9">
        <v>45852</v>
      </c>
      <c r="N1741" s="2" t="s">
        <v>1986</v>
      </c>
      <c r="O1741" s="2" t="s">
        <v>56</v>
      </c>
      <c r="P1741" s="2" t="s">
        <v>245</v>
      </c>
      <c r="Q1741" s="2" t="s">
        <v>166</v>
      </c>
      <c r="R1741" s="2" t="s">
        <v>128</v>
      </c>
      <c r="S1741" s="2" t="s">
        <v>555</v>
      </c>
      <c r="T1741" s="10">
        <v>86.39</v>
      </c>
      <c r="U1741" s="11">
        <v>0.74299999999999999</v>
      </c>
      <c r="V1741" s="12">
        <f>T1741*U1741</f>
        <v>64.18777</v>
      </c>
      <c r="W1741" s="13">
        <v>0.09</v>
      </c>
      <c r="X1741" s="12">
        <f>V1741-(V1741/(1+W1741))</f>
        <v>5.2999076146789008</v>
      </c>
      <c r="Y1741" s="12">
        <f>V1741-X1741</f>
        <v>58.8878623853211</v>
      </c>
      <c r="Z1741" s="14">
        <v>75</v>
      </c>
      <c r="AA1741" s="2" t="str">
        <f>IF(V1741&gt;Z1741,"Yes","No")</f>
        <v>No</v>
      </c>
      <c r="AB1741" s="12">
        <f>V1741-Z1741</f>
        <v>-10.81223</v>
      </c>
      <c r="AC1741" s="15" t="s">
        <v>130</v>
      </c>
      <c r="AD1741" s="15" t="s">
        <v>130</v>
      </c>
      <c r="AE1741" s="15" t="s">
        <v>180</v>
      </c>
      <c r="AF1741" s="12">
        <f>IF(AG1741="Rejected",0,IF(R1741="Corporate Card",0,V1741))</f>
        <v>0</v>
      </c>
      <c r="AG1741" s="15" t="s">
        <v>133</v>
      </c>
      <c r="AH1741" s="16">
        <v>45865</v>
      </c>
      <c r="AI1741" s="16">
        <v>45867</v>
      </c>
      <c r="AJ1741" s="16">
        <v>45876</v>
      </c>
      <c r="AK1741" s="17">
        <f>IF(AJ1741="","",AJ1741-AH1741)</f>
        <v>11</v>
      </c>
    </row>
    <row r="1742" spans="1:37">
      <c r="A1742" s="2" t="s">
        <v>2190</v>
      </c>
      <c r="B1742" s="2" t="s">
        <v>310</v>
      </c>
      <c r="C1742" s="2" t="s">
        <v>311</v>
      </c>
      <c r="D1742" s="2" t="s">
        <v>118</v>
      </c>
      <c r="E1742" s="2" t="s">
        <v>312</v>
      </c>
      <c r="F1742" s="2" t="s">
        <v>313</v>
      </c>
      <c r="G1742" s="2" t="s">
        <v>2099</v>
      </c>
      <c r="H1742" s="2" t="s">
        <v>348</v>
      </c>
      <c r="I1742" s="2" t="s">
        <v>553</v>
      </c>
      <c r="J1742" s="2" t="s">
        <v>553</v>
      </c>
      <c r="K1742" s="9">
        <v>45848</v>
      </c>
      <c r="L1742" s="9">
        <v>45856</v>
      </c>
      <c r="M1742" s="9">
        <v>45852</v>
      </c>
      <c r="N1742" s="2" t="s">
        <v>1986</v>
      </c>
      <c r="O1742" s="2" t="s">
        <v>55</v>
      </c>
      <c r="P1742" s="2" t="s">
        <v>139</v>
      </c>
      <c r="Q1742" s="2" t="s">
        <v>161</v>
      </c>
      <c r="R1742" s="2" t="s">
        <v>149</v>
      </c>
      <c r="S1742" s="2" t="s">
        <v>555</v>
      </c>
      <c r="T1742" s="10">
        <v>25.3</v>
      </c>
      <c r="U1742" s="11">
        <v>0.74299999999999999</v>
      </c>
      <c r="V1742" s="12">
        <f>T1742*U1742</f>
        <v>18.797900000000002</v>
      </c>
      <c r="W1742" s="13">
        <v>0.09</v>
      </c>
      <c r="X1742" s="12">
        <f>V1742-(V1742/(1+W1742))</f>
        <v>1.5521201834862417</v>
      </c>
      <c r="Y1742" s="12">
        <f>V1742-X1742</f>
        <v>17.24577981651376</v>
      </c>
      <c r="Z1742" s="14">
        <v>35</v>
      </c>
      <c r="AA1742" s="2" t="str">
        <f>IF(V1742&gt;Z1742,"Yes","No")</f>
        <v>No</v>
      </c>
      <c r="AB1742" s="12">
        <f>V1742-Z1742</f>
        <v>-16.202099999999998</v>
      </c>
      <c r="AC1742" s="15" t="s">
        <v>130</v>
      </c>
      <c r="AD1742" s="15" t="s">
        <v>130</v>
      </c>
      <c r="AE1742" s="15" t="s">
        <v>180</v>
      </c>
      <c r="AF1742" s="12">
        <f>IF(AG1742="Rejected",0,IF(R1742="Corporate Card",0,V1742))</f>
        <v>18.797900000000002</v>
      </c>
      <c r="AG1742" s="15" t="s">
        <v>133</v>
      </c>
      <c r="AH1742" s="16">
        <v>45865</v>
      </c>
      <c r="AI1742" s="16">
        <v>45867</v>
      </c>
      <c r="AJ1742" s="16">
        <v>45876</v>
      </c>
      <c r="AK1742" s="17">
        <f>IF(AJ1742="","",AJ1742-AH1742)</f>
        <v>11</v>
      </c>
    </row>
    <row r="1743" spans="1:37">
      <c r="A1743" s="2" t="s">
        <v>2191</v>
      </c>
      <c r="B1743" s="2" t="s">
        <v>287</v>
      </c>
      <c r="C1743" s="2" t="s">
        <v>288</v>
      </c>
      <c r="D1743" s="2" t="s">
        <v>171</v>
      </c>
      <c r="E1743" s="2" t="s">
        <v>289</v>
      </c>
      <c r="F1743" s="2" t="s">
        <v>173</v>
      </c>
      <c r="G1743" s="2" t="s">
        <v>2057</v>
      </c>
      <c r="H1743" s="2" t="s">
        <v>254</v>
      </c>
      <c r="I1743" s="2" t="s">
        <v>1038</v>
      </c>
      <c r="J1743" s="2" t="s">
        <v>381</v>
      </c>
      <c r="K1743" s="9">
        <v>45845</v>
      </c>
      <c r="L1743" s="9">
        <v>45853</v>
      </c>
      <c r="M1743" s="9">
        <v>45853</v>
      </c>
      <c r="N1743" s="2" t="s">
        <v>1986</v>
      </c>
      <c r="O1743" s="2" t="s">
        <v>58</v>
      </c>
      <c r="P1743" s="2" t="s">
        <v>142</v>
      </c>
      <c r="Q1743" s="2" t="s">
        <v>203</v>
      </c>
      <c r="R1743" s="2" t="s">
        <v>149</v>
      </c>
      <c r="S1743" s="2" t="s">
        <v>383</v>
      </c>
      <c r="T1743" s="10">
        <v>35.840000000000003</v>
      </c>
      <c r="U1743" s="11">
        <v>1</v>
      </c>
      <c r="V1743" s="12">
        <f>T1743*U1743</f>
        <v>35.840000000000003</v>
      </c>
      <c r="W1743" s="13">
        <v>0</v>
      </c>
      <c r="X1743" s="12">
        <f>V1743-(V1743/(1+W1743))</f>
        <v>0</v>
      </c>
      <c r="Y1743" s="12">
        <f>V1743-X1743</f>
        <v>35.840000000000003</v>
      </c>
      <c r="Z1743" s="14">
        <v>60</v>
      </c>
      <c r="AA1743" s="2" t="str">
        <f>IF(V1743&gt;Z1743,"Yes","No")</f>
        <v>No</v>
      </c>
      <c r="AB1743" s="12">
        <f>V1743-Z1743</f>
        <v>-24.159999999999997</v>
      </c>
      <c r="AC1743" s="15" t="s">
        <v>130</v>
      </c>
      <c r="AD1743" s="15" t="s">
        <v>131</v>
      </c>
      <c r="AE1743" s="15" t="s">
        <v>260</v>
      </c>
      <c r="AF1743" s="12">
        <f>IF(AG1743="Rejected",0,IF(R1743="Corporate Card",0,V1743))</f>
        <v>35.840000000000003</v>
      </c>
      <c r="AG1743" s="15" t="s">
        <v>133</v>
      </c>
      <c r="AH1743" s="16">
        <v>45860</v>
      </c>
      <c r="AI1743" s="16">
        <v>45862</v>
      </c>
      <c r="AJ1743" s="16">
        <v>45876</v>
      </c>
      <c r="AK1743" s="17">
        <f>IF(AJ1743="","",AJ1743-AH1743)</f>
        <v>16</v>
      </c>
    </row>
    <row r="1744" spans="1:37">
      <c r="A1744" s="2" t="s">
        <v>2192</v>
      </c>
      <c r="B1744" s="2" t="s">
        <v>287</v>
      </c>
      <c r="C1744" s="2" t="s">
        <v>288</v>
      </c>
      <c r="D1744" s="2" t="s">
        <v>171</v>
      </c>
      <c r="E1744" s="2" t="s">
        <v>289</v>
      </c>
      <c r="F1744" s="2" t="s">
        <v>173</v>
      </c>
      <c r="G1744" s="2" t="s">
        <v>2057</v>
      </c>
      <c r="H1744" s="2" t="s">
        <v>254</v>
      </c>
      <c r="I1744" s="2" t="s">
        <v>1038</v>
      </c>
      <c r="J1744" s="2" t="s">
        <v>381</v>
      </c>
      <c r="K1744" s="9">
        <v>45845</v>
      </c>
      <c r="L1744" s="9">
        <v>45853</v>
      </c>
      <c r="M1744" s="9">
        <v>45853</v>
      </c>
      <c r="N1744" s="2" t="s">
        <v>1986</v>
      </c>
      <c r="O1744" s="2" t="s">
        <v>56</v>
      </c>
      <c r="P1744" s="2" t="s">
        <v>245</v>
      </c>
      <c r="Q1744" s="2" t="s">
        <v>159</v>
      </c>
      <c r="R1744" s="2" t="s">
        <v>128</v>
      </c>
      <c r="S1744" s="2" t="s">
        <v>383</v>
      </c>
      <c r="T1744" s="10">
        <v>60.9</v>
      </c>
      <c r="U1744" s="11">
        <v>1</v>
      </c>
      <c r="V1744" s="12">
        <f>T1744*U1744</f>
        <v>60.9</v>
      </c>
      <c r="W1744" s="13">
        <v>0</v>
      </c>
      <c r="X1744" s="12">
        <f>V1744-(V1744/(1+W1744))</f>
        <v>0</v>
      </c>
      <c r="Y1744" s="12">
        <f>V1744-X1744</f>
        <v>60.9</v>
      </c>
      <c r="Z1744" s="14">
        <v>75</v>
      </c>
      <c r="AA1744" s="2" t="str">
        <f>IF(V1744&gt;Z1744,"Yes","No")</f>
        <v>No</v>
      </c>
      <c r="AB1744" s="12">
        <f>V1744-Z1744</f>
        <v>-14.100000000000001</v>
      </c>
      <c r="AC1744" s="15" t="s">
        <v>130</v>
      </c>
      <c r="AD1744" s="15" t="s">
        <v>131</v>
      </c>
      <c r="AE1744" s="15" t="s">
        <v>260</v>
      </c>
      <c r="AF1744" s="12">
        <f>IF(AG1744="Rejected",0,IF(R1744="Corporate Card",0,V1744))</f>
        <v>0</v>
      </c>
      <c r="AG1744" s="15" t="s">
        <v>133</v>
      </c>
      <c r="AH1744" s="16">
        <v>45860</v>
      </c>
      <c r="AI1744" s="16">
        <v>45862</v>
      </c>
      <c r="AJ1744" s="16">
        <v>45876</v>
      </c>
      <c r="AK1744" s="17">
        <f>IF(AJ1744="","",AJ1744-AH1744)</f>
        <v>16</v>
      </c>
    </row>
    <row r="1745" spans="1:37">
      <c r="A1745" s="2" t="s">
        <v>2193</v>
      </c>
      <c r="B1745" s="2" t="s">
        <v>287</v>
      </c>
      <c r="C1745" s="2" t="s">
        <v>288</v>
      </c>
      <c r="D1745" s="2" t="s">
        <v>171</v>
      </c>
      <c r="E1745" s="2" t="s">
        <v>289</v>
      </c>
      <c r="F1745" s="2" t="s">
        <v>173</v>
      </c>
      <c r="G1745" s="2" t="s">
        <v>2057</v>
      </c>
      <c r="H1745" s="2" t="s">
        <v>254</v>
      </c>
      <c r="I1745" s="2" t="s">
        <v>1038</v>
      </c>
      <c r="J1745" s="2" t="s">
        <v>381</v>
      </c>
      <c r="K1745" s="9">
        <v>45845</v>
      </c>
      <c r="L1745" s="9">
        <v>45853</v>
      </c>
      <c r="M1745" s="9">
        <v>45853</v>
      </c>
      <c r="N1745" s="2" t="s">
        <v>1986</v>
      </c>
      <c r="O1745" s="2" t="s">
        <v>55</v>
      </c>
      <c r="P1745" s="2" t="s">
        <v>139</v>
      </c>
      <c r="Q1745" s="2" t="s">
        <v>161</v>
      </c>
      <c r="R1745" s="2" t="s">
        <v>128</v>
      </c>
      <c r="S1745" s="2" t="s">
        <v>383</v>
      </c>
      <c r="T1745" s="10">
        <v>29.28</v>
      </c>
      <c r="U1745" s="11">
        <v>1</v>
      </c>
      <c r="V1745" s="12">
        <f>T1745*U1745</f>
        <v>29.28</v>
      </c>
      <c r="W1745" s="13">
        <v>0</v>
      </c>
      <c r="X1745" s="12">
        <f>V1745-(V1745/(1+W1745))</f>
        <v>0</v>
      </c>
      <c r="Y1745" s="12">
        <f>V1745-X1745</f>
        <v>29.28</v>
      </c>
      <c r="Z1745" s="14">
        <v>35</v>
      </c>
      <c r="AA1745" s="2" t="str">
        <f>IF(V1745&gt;Z1745,"Yes","No")</f>
        <v>No</v>
      </c>
      <c r="AB1745" s="12">
        <f>V1745-Z1745</f>
        <v>-5.7199999999999989</v>
      </c>
      <c r="AC1745" s="15" t="s">
        <v>130</v>
      </c>
      <c r="AD1745" s="15" t="s">
        <v>131</v>
      </c>
      <c r="AE1745" s="15" t="s">
        <v>260</v>
      </c>
      <c r="AF1745" s="12">
        <f>IF(AG1745="Rejected",0,IF(R1745="Corporate Card",0,V1745))</f>
        <v>0</v>
      </c>
      <c r="AG1745" s="15" t="s">
        <v>133</v>
      </c>
      <c r="AH1745" s="16">
        <v>45860</v>
      </c>
      <c r="AI1745" s="16">
        <v>45862</v>
      </c>
      <c r="AJ1745" s="16">
        <v>45876</v>
      </c>
      <c r="AK1745" s="17">
        <f>IF(AJ1745="","",AJ1745-AH1745)</f>
        <v>16</v>
      </c>
    </row>
    <row r="1746" spans="1:37">
      <c r="A1746" s="2" t="s">
        <v>2194</v>
      </c>
      <c r="B1746" s="2" t="s">
        <v>375</v>
      </c>
      <c r="C1746" s="2" t="s">
        <v>376</v>
      </c>
      <c r="D1746" s="2" t="s">
        <v>344</v>
      </c>
      <c r="E1746" s="2" t="s">
        <v>377</v>
      </c>
      <c r="F1746" s="2" t="s">
        <v>346</v>
      </c>
      <c r="G1746" s="2" t="s">
        <v>2111</v>
      </c>
      <c r="H1746" s="2" t="s">
        <v>291</v>
      </c>
      <c r="I1746" s="2" t="s">
        <v>651</v>
      </c>
      <c r="J1746" s="2" t="s">
        <v>652</v>
      </c>
      <c r="K1746" s="9">
        <v>45849</v>
      </c>
      <c r="L1746" s="9">
        <v>45855</v>
      </c>
      <c r="M1746" s="9">
        <v>45853</v>
      </c>
      <c r="N1746" s="2" t="s">
        <v>1986</v>
      </c>
      <c r="O1746" s="2" t="s">
        <v>54</v>
      </c>
      <c r="P1746" s="2" t="s">
        <v>139</v>
      </c>
      <c r="Q1746" s="2" t="s">
        <v>148</v>
      </c>
      <c r="R1746" s="2" t="s">
        <v>128</v>
      </c>
      <c r="S1746" s="2" t="s">
        <v>654</v>
      </c>
      <c r="T1746" s="10">
        <v>12.43</v>
      </c>
      <c r="U1746" s="11">
        <v>0.72799999999999998</v>
      </c>
      <c r="V1746" s="12">
        <f>T1746*U1746</f>
        <v>9.0490399999999998</v>
      </c>
      <c r="W1746" s="13">
        <v>0.13</v>
      </c>
      <c r="X1746" s="12">
        <f>V1746-(V1746/(1+W1746))</f>
        <v>1.0410399999999989</v>
      </c>
      <c r="Y1746" s="12">
        <f>V1746-X1746</f>
        <v>8.0080000000000009</v>
      </c>
      <c r="Z1746" s="14">
        <v>25</v>
      </c>
      <c r="AA1746" s="2" t="str">
        <f>IF(V1746&gt;Z1746,"Yes","No")</f>
        <v>No</v>
      </c>
      <c r="AB1746" s="12">
        <f>V1746-Z1746</f>
        <v>-15.95096</v>
      </c>
      <c r="AC1746" s="15" t="s">
        <v>130</v>
      </c>
      <c r="AD1746" s="15" t="s">
        <v>130</v>
      </c>
      <c r="AE1746" s="15" t="s">
        <v>260</v>
      </c>
      <c r="AF1746" s="12">
        <f>IF(AG1746="Rejected",0,IF(R1746="Corporate Card",0,V1746))</f>
        <v>0</v>
      </c>
      <c r="AG1746" s="15" t="s">
        <v>133</v>
      </c>
      <c r="AH1746" s="16">
        <v>45856</v>
      </c>
      <c r="AI1746" s="16">
        <v>45862</v>
      </c>
      <c r="AJ1746" s="16">
        <v>45875</v>
      </c>
      <c r="AK1746" s="17">
        <f>IF(AJ1746="","",AJ1746-AH1746)</f>
        <v>19</v>
      </c>
    </row>
    <row r="1747" spans="1:37">
      <c r="A1747" s="2" t="s">
        <v>2195</v>
      </c>
      <c r="B1747" s="2" t="s">
        <v>375</v>
      </c>
      <c r="C1747" s="2" t="s">
        <v>376</v>
      </c>
      <c r="D1747" s="2" t="s">
        <v>344</v>
      </c>
      <c r="E1747" s="2" t="s">
        <v>377</v>
      </c>
      <c r="F1747" s="2" t="s">
        <v>346</v>
      </c>
      <c r="G1747" s="2" t="s">
        <v>2111</v>
      </c>
      <c r="H1747" s="2" t="s">
        <v>291</v>
      </c>
      <c r="I1747" s="2" t="s">
        <v>651</v>
      </c>
      <c r="J1747" s="2" t="s">
        <v>652</v>
      </c>
      <c r="K1747" s="9">
        <v>45849</v>
      </c>
      <c r="L1747" s="9">
        <v>45855</v>
      </c>
      <c r="M1747" s="9">
        <v>45853</v>
      </c>
      <c r="N1747" s="2" t="s">
        <v>1986</v>
      </c>
      <c r="O1747" s="2" t="s">
        <v>55</v>
      </c>
      <c r="P1747" s="2" t="s">
        <v>139</v>
      </c>
      <c r="Q1747" s="2" t="s">
        <v>187</v>
      </c>
      <c r="R1747" s="2" t="s">
        <v>149</v>
      </c>
      <c r="S1747" s="2" t="s">
        <v>654</v>
      </c>
      <c r="T1747" s="10">
        <v>70.31</v>
      </c>
      <c r="U1747" s="11">
        <v>0.72799999999999998</v>
      </c>
      <c r="V1747" s="12">
        <f>T1747*U1747</f>
        <v>51.185679999999998</v>
      </c>
      <c r="W1747" s="13">
        <v>0.13</v>
      </c>
      <c r="X1747" s="12">
        <f>V1747-(V1747/(1+W1747))</f>
        <v>5.8886180530973391</v>
      </c>
      <c r="Y1747" s="12">
        <f>V1747-X1747</f>
        <v>45.297061946902659</v>
      </c>
      <c r="Z1747" s="14">
        <v>35</v>
      </c>
      <c r="AA1747" s="2" t="str">
        <f>IF(V1747&gt;Z1747,"Yes","No")</f>
        <v>Yes</v>
      </c>
      <c r="AB1747" s="12">
        <f>V1747-Z1747</f>
        <v>16.185679999999998</v>
      </c>
      <c r="AC1747" s="15" t="s">
        <v>130</v>
      </c>
      <c r="AD1747" s="15" t="s">
        <v>130</v>
      </c>
      <c r="AE1747" s="15" t="s">
        <v>260</v>
      </c>
      <c r="AF1747" s="12">
        <f>IF(AG1747="Rejected",0,IF(R1747="Corporate Card",0,V1747))</f>
        <v>51.185679999999998</v>
      </c>
      <c r="AG1747" s="15" t="s">
        <v>133</v>
      </c>
      <c r="AH1747" s="16">
        <v>45856</v>
      </c>
      <c r="AI1747" s="16">
        <v>45862</v>
      </c>
      <c r="AJ1747" s="16">
        <v>45875</v>
      </c>
      <c r="AK1747" s="17">
        <f>IF(AJ1747="","",AJ1747-AH1747)</f>
        <v>19</v>
      </c>
    </row>
    <row r="1748" spans="1:37">
      <c r="A1748" s="2" t="s">
        <v>2196</v>
      </c>
      <c r="B1748" s="2" t="s">
        <v>169</v>
      </c>
      <c r="C1748" s="2" t="s">
        <v>170</v>
      </c>
      <c r="D1748" s="2" t="s">
        <v>171</v>
      </c>
      <c r="E1748" s="2" t="s">
        <v>172</v>
      </c>
      <c r="F1748" s="2" t="s">
        <v>173</v>
      </c>
      <c r="G1748" s="2" t="s">
        <v>2139</v>
      </c>
      <c r="H1748" s="2" t="s">
        <v>193</v>
      </c>
      <c r="I1748" s="2" t="s">
        <v>651</v>
      </c>
      <c r="J1748" s="2" t="s">
        <v>652</v>
      </c>
      <c r="K1748" s="9">
        <v>45850</v>
      </c>
      <c r="L1748" s="9">
        <v>45858</v>
      </c>
      <c r="M1748" s="9">
        <v>45853</v>
      </c>
      <c r="N1748" s="2" t="s">
        <v>1986</v>
      </c>
      <c r="O1748" s="2" t="s">
        <v>56</v>
      </c>
      <c r="P1748" s="2" t="s">
        <v>165</v>
      </c>
      <c r="Q1748" s="2" t="s">
        <v>159</v>
      </c>
      <c r="R1748" s="2" t="s">
        <v>128</v>
      </c>
      <c r="S1748" s="2" t="s">
        <v>654</v>
      </c>
      <c r="T1748" s="10">
        <v>67</v>
      </c>
      <c r="U1748" s="11">
        <v>0.72799999999999998</v>
      </c>
      <c r="V1748" s="12">
        <f>T1748*U1748</f>
        <v>48.775999999999996</v>
      </c>
      <c r="W1748" s="13">
        <v>0.13</v>
      </c>
      <c r="X1748" s="12">
        <f>V1748-(V1748/(1+W1748))</f>
        <v>5.6113982300884899</v>
      </c>
      <c r="Y1748" s="12">
        <f>V1748-X1748</f>
        <v>43.164601769911506</v>
      </c>
      <c r="Z1748" s="14">
        <v>75</v>
      </c>
      <c r="AA1748" s="2" t="str">
        <f>IF(V1748&gt;Z1748,"Yes","No")</f>
        <v>No</v>
      </c>
      <c r="AB1748" s="12">
        <f>V1748-Z1748</f>
        <v>-26.224000000000004</v>
      </c>
      <c r="AC1748" s="15" t="s">
        <v>130</v>
      </c>
      <c r="AD1748" s="15" t="s">
        <v>130</v>
      </c>
      <c r="AE1748" s="15" t="s">
        <v>350</v>
      </c>
      <c r="AF1748" s="12">
        <f>IF(AG1748="Rejected",0,IF(R1748="Corporate Card",0,V1748))</f>
        <v>0</v>
      </c>
      <c r="AG1748" s="15" t="s">
        <v>133</v>
      </c>
      <c r="AH1748" s="16">
        <v>45866</v>
      </c>
      <c r="AI1748" s="16">
        <v>45867</v>
      </c>
      <c r="AJ1748" s="16">
        <v>45875</v>
      </c>
      <c r="AK1748" s="17">
        <f>IF(AJ1748="","",AJ1748-AH1748)</f>
        <v>9</v>
      </c>
    </row>
    <row r="1749" spans="1:37">
      <c r="A1749" s="2" t="s">
        <v>2197</v>
      </c>
      <c r="B1749" s="2" t="s">
        <v>169</v>
      </c>
      <c r="C1749" s="2" t="s">
        <v>170</v>
      </c>
      <c r="D1749" s="2" t="s">
        <v>171</v>
      </c>
      <c r="E1749" s="2" t="s">
        <v>172</v>
      </c>
      <c r="F1749" s="2" t="s">
        <v>173</v>
      </c>
      <c r="G1749" s="2" t="s">
        <v>2139</v>
      </c>
      <c r="H1749" s="2" t="s">
        <v>193</v>
      </c>
      <c r="I1749" s="2" t="s">
        <v>651</v>
      </c>
      <c r="J1749" s="2" t="s">
        <v>652</v>
      </c>
      <c r="K1749" s="9">
        <v>45850</v>
      </c>
      <c r="L1749" s="9">
        <v>45858</v>
      </c>
      <c r="M1749" s="9">
        <v>45853</v>
      </c>
      <c r="N1749" s="2" t="s">
        <v>1986</v>
      </c>
      <c r="O1749" s="2" t="s">
        <v>55</v>
      </c>
      <c r="P1749" s="2" t="s">
        <v>139</v>
      </c>
      <c r="Q1749" s="2" t="s">
        <v>154</v>
      </c>
      <c r="R1749" s="2" t="s">
        <v>137</v>
      </c>
      <c r="S1749" s="2" t="s">
        <v>654</v>
      </c>
      <c r="T1749" s="10">
        <v>35.99</v>
      </c>
      <c r="U1749" s="11">
        <v>0.72799999999999998</v>
      </c>
      <c r="V1749" s="12">
        <f>T1749*U1749</f>
        <v>26.20072</v>
      </c>
      <c r="W1749" s="13">
        <v>0.13</v>
      </c>
      <c r="X1749" s="12">
        <f>V1749-(V1749/(1+W1749))</f>
        <v>3.0142421238938049</v>
      </c>
      <c r="Y1749" s="12">
        <f>V1749-X1749</f>
        <v>23.186477876106196</v>
      </c>
      <c r="Z1749" s="14">
        <v>35</v>
      </c>
      <c r="AA1749" s="2" t="str">
        <f>IF(V1749&gt;Z1749,"Yes","No")</f>
        <v>No</v>
      </c>
      <c r="AB1749" s="12">
        <f>V1749-Z1749</f>
        <v>-8.7992799999999995</v>
      </c>
      <c r="AC1749" s="15" t="s">
        <v>130</v>
      </c>
      <c r="AD1749" s="15" t="s">
        <v>130</v>
      </c>
      <c r="AE1749" s="15" t="s">
        <v>350</v>
      </c>
      <c r="AF1749" s="12">
        <f>IF(AG1749="Rejected",0,IF(R1749="Corporate Card",0,V1749))</f>
        <v>26.20072</v>
      </c>
      <c r="AG1749" s="15" t="s">
        <v>133</v>
      </c>
      <c r="AH1749" s="16">
        <v>45866</v>
      </c>
      <c r="AI1749" s="16">
        <v>45867</v>
      </c>
      <c r="AJ1749" s="16">
        <v>45875</v>
      </c>
      <c r="AK1749" s="17">
        <f>IF(AJ1749="","",AJ1749-AH1749)</f>
        <v>9</v>
      </c>
    </row>
    <row r="1750" spans="1:37">
      <c r="A1750" s="2" t="s">
        <v>2198</v>
      </c>
      <c r="B1750" s="2" t="s">
        <v>310</v>
      </c>
      <c r="C1750" s="2" t="s">
        <v>311</v>
      </c>
      <c r="D1750" s="2" t="s">
        <v>118</v>
      </c>
      <c r="E1750" s="2" t="s">
        <v>312</v>
      </c>
      <c r="F1750" s="2" t="s">
        <v>313</v>
      </c>
      <c r="G1750" s="2" t="s">
        <v>2099</v>
      </c>
      <c r="H1750" s="2" t="s">
        <v>348</v>
      </c>
      <c r="I1750" s="2" t="s">
        <v>553</v>
      </c>
      <c r="J1750" s="2" t="s">
        <v>553</v>
      </c>
      <c r="K1750" s="9">
        <v>45848</v>
      </c>
      <c r="L1750" s="9">
        <v>45856</v>
      </c>
      <c r="M1750" s="9">
        <v>45853</v>
      </c>
      <c r="N1750" s="2" t="s">
        <v>1986</v>
      </c>
      <c r="O1750" s="2" t="s">
        <v>58</v>
      </c>
      <c r="P1750" s="2" t="s">
        <v>142</v>
      </c>
      <c r="Q1750" s="2" t="s">
        <v>296</v>
      </c>
      <c r="R1750" s="2" t="s">
        <v>149</v>
      </c>
      <c r="S1750" s="2" t="s">
        <v>555</v>
      </c>
      <c r="T1750" s="10">
        <v>56.16</v>
      </c>
      <c r="U1750" s="11">
        <v>0.74299999999999999</v>
      </c>
      <c r="V1750" s="12">
        <f>T1750*U1750</f>
        <v>41.726879999999994</v>
      </c>
      <c r="W1750" s="13">
        <v>0.09</v>
      </c>
      <c r="X1750" s="12">
        <f>V1750-(V1750/(1+W1750))</f>
        <v>3.4453387155963355</v>
      </c>
      <c r="Y1750" s="12">
        <f>V1750-X1750</f>
        <v>38.281541284403659</v>
      </c>
      <c r="Z1750" s="14">
        <v>60</v>
      </c>
      <c r="AA1750" s="2" t="str">
        <f>IF(V1750&gt;Z1750,"Yes","No")</f>
        <v>No</v>
      </c>
      <c r="AB1750" s="12">
        <f>V1750-Z1750</f>
        <v>-18.273120000000006</v>
      </c>
      <c r="AC1750" s="15" t="s">
        <v>130</v>
      </c>
      <c r="AD1750" s="15" t="s">
        <v>130</v>
      </c>
      <c r="AE1750" s="15" t="s">
        <v>180</v>
      </c>
      <c r="AF1750" s="12">
        <f>IF(AG1750="Rejected",0,IF(R1750="Corporate Card",0,V1750))</f>
        <v>41.726879999999994</v>
      </c>
      <c r="AG1750" s="15" t="s">
        <v>133</v>
      </c>
      <c r="AH1750" s="16">
        <v>45865</v>
      </c>
      <c r="AI1750" s="16">
        <v>45867</v>
      </c>
      <c r="AJ1750" s="16">
        <v>45876</v>
      </c>
      <c r="AK1750" s="17">
        <f>IF(AJ1750="","",AJ1750-AH1750)</f>
        <v>11</v>
      </c>
    </row>
    <row r="1751" spans="1:37">
      <c r="A1751" s="2" t="s">
        <v>2199</v>
      </c>
      <c r="B1751" s="2" t="s">
        <v>310</v>
      </c>
      <c r="C1751" s="2" t="s">
        <v>311</v>
      </c>
      <c r="D1751" s="2" t="s">
        <v>118</v>
      </c>
      <c r="E1751" s="2" t="s">
        <v>312</v>
      </c>
      <c r="F1751" s="2" t="s">
        <v>313</v>
      </c>
      <c r="G1751" s="2" t="s">
        <v>2099</v>
      </c>
      <c r="H1751" s="2" t="s">
        <v>348</v>
      </c>
      <c r="I1751" s="2" t="s">
        <v>553</v>
      </c>
      <c r="J1751" s="2" t="s">
        <v>553</v>
      </c>
      <c r="K1751" s="9">
        <v>45848</v>
      </c>
      <c r="L1751" s="9">
        <v>45856</v>
      </c>
      <c r="M1751" s="9">
        <v>45853</v>
      </c>
      <c r="N1751" s="2" t="s">
        <v>1986</v>
      </c>
      <c r="O1751" s="2" t="s">
        <v>54</v>
      </c>
      <c r="P1751" s="2" t="s">
        <v>139</v>
      </c>
      <c r="Q1751" s="2" t="s">
        <v>214</v>
      </c>
      <c r="R1751" s="2" t="s">
        <v>149</v>
      </c>
      <c r="S1751" s="2" t="s">
        <v>555</v>
      </c>
      <c r="T1751" s="10">
        <v>26.07</v>
      </c>
      <c r="U1751" s="11">
        <v>0.74299999999999999</v>
      </c>
      <c r="V1751" s="12">
        <f>T1751*U1751</f>
        <v>19.370010000000001</v>
      </c>
      <c r="W1751" s="13">
        <v>0.09</v>
      </c>
      <c r="X1751" s="12">
        <f>V1751-(V1751/(1+W1751))</f>
        <v>1.5993586238532131</v>
      </c>
      <c r="Y1751" s="12">
        <f>V1751-X1751</f>
        <v>17.770651376146787</v>
      </c>
      <c r="Z1751" s="14">
        <v>25</v>
      </c>
      <c r="AA1751" s="2" t="str">
        <f>IF(V1751&gt;Z1751,"Yes","No")</f>
        <v>No</v>
      </c>
      <c r="AB1751" s="12">
        <f>V1751-Z1751</f>
        <v>-5.6299899999999994</v>
      </c>
      <c r="AC1751" s="15" t="s">
        <v>130</v>
      </c>
      <c r="AD1751" s="15" t="s">
        <v>130</v>
      </c>
      <c r="AE1751" s="15" t="s">
        <v>180</v>
      </c>
      <c r="AF1751" s="12">
        <f>IF(AG1751="Rejected",0,IF(R1751="Corporate Card",0,V1751))</f>
        <v>19.370010000000001</v>
      </c>
      <c r="AG1751" s="15" t="s">
        <v>133</v>
      </c>
      <c r="AH1751" s="16">
        <v>45865</v>
      </c>
      <c r="AI1751" s="16">
        <v>45867</v>
      </c>
      <c r="AJ1751" s="16">
        <v>45876</v>
      </c>
      <c r="AK1751" s="17">
        <f>IF(AJ1751="","",AJ1751-AH1751)</f>
        <v>11</v>
      </c>
    </row>
    <row r="1752" spans="1:37">
      <c r="A1752" s="2" t="s">
        <v>2200</v>
      </c>
      <c r="B1752" s="2" t="s">
        <v>310</v>
      </c>
      <c r="C1752" s="2" t="s">
        <v>311</v>
      </c>
      <c r="D1752" s="2" t="s">
        <v>118</v>
      </c>
      <c r="E1752" s="2" t="s">
        <v>312</v>
      </c>
      <c r="F1752" s="2" t="s">
        <v>313</v>
      </c>
      <c r="G1752" s="2" t="s">
        <v>2099</v>
      </c>
      <c r="H1752" s="2" t="s">
        <v>348</v>
      </c>
      <c r="I1752" s="2" t="s">
        <v>553</v>
      </c>
      <c r="J1752" s="2" t="s">
        <v>553</v>
      </c>
      <c r="K1752" s="9">
        <v>45848</v>
      </c>
      <c r="L1752" s="9">
        <v>45856</v>
      </c>
      <c r="M1752" s="9">
        <v>45853</v>
      </c>
      <c r="N1752" s="2" t="s">
        <v>1986</v>
      </c>
      <c r="O1752" s="2" t="s">
        <v>55</v>
      </c>
      <c r="P1752" s="2" t="s">
        <v>139</v>
      </c>
      <c r="Q1752" s="2" t="s">
        <v>161</v>
      </c>
      <c r="R1752" s="2" t="s">
        <v>128</v>
      </c>
      <c r="S1752" s="2" t="s">
        <v>555</v>
      </c>
      <c r="T1752" s="10">
        <v>31.7</v>
      </c>
      <c r="U1752" s="11">
        <v>0.74299999999999999</v>
      </c>
      <c r="V1752" s="12">
        <f>T1752*U1752</f>
        <v>23.553100000000001</v>
      </c>
      <c r="W1752" s="13">
        <v>0.09</v>
      </c>
      <c r="X1752" s="12">
        <f>V1752-(V1752/(1+W1752))</f>
        <v>1.9447513761467903</v>
      </c>
      <c r="Y1752" s="12">
        <f>V1752-X1752</f>
        <v>21.60834862385321</v>
      </c>
      <c r="Z1752" s="14">
        <v>35</v>
      </c>
      <c r="AA1752" s="2" t="str">
        <f>IF(V1752&gt;Z1752,"Yes","No")</f>
        <v>No</v>
      </c>
      <c r="AB1752" s="12">
        <f>V1752-Z1752</f>
        <v>-11.446899999999999</v>
      </c>
      <c r="AC1752" s="15" t="s">
        <v>130</v>
      </c>
      <c r="AD1752" s="15" t="s">
        <v>130</v>
      </c>
      <c r="AE1752" s="15" t="s">
        <v>180</v>
      </c>
      <c r="AF1752" s="12">
        <f>IF(AG1752="Rejected",0,IF(R1752="Corporate Card",0,V1752))</f>
        <v>0</v>
      </c>
      <c r="AG1752" s="15" t="s">
        <v>133</v>
      </c>
      <c r="AH1752" s="16">
        <v>45865</v>
      </c>
      <c r="AI1752" s="16">
        <v>45867</v>
      </c>
      <c r="AJ1752" s="16">
        <v>45876</v>
      </c>
      <c r="AK1752" s="17">
        <f>IF(AJ1752="","",AJ1752-AH1752)</f>
        <v>11</v>
      </c>
    </row>
    <row r="1753" spans="1:37">
      <c r="A1753" s="2" t="s">
        <v>2201</v>
      </c>
      <c r="B1753" s="2" t="s">
        <v>375</v>
      </c>
      <c r="C1753" s="2" t="s">
        <v>376</v>
      </c>
      <c r="D1753" s="2" t="s">
        <v>344</v>
      </c>
      <c r="E1753" s="2" t="s">
        <v>377</v>
      </c>
      <c r="F1753" s="2" t="s">
        <v>346</v>
      </c>
      <c r="G1753" s="2" t="s">
        <v>2111</v>
      </c>
      <c r="H1753" s="2" t="s">
        <v>291</v>
      </c>
      <c r="I1753" s="2" t="s">
        <v>651</v>
      </c>
      <c r="J1753" s="2" t="s">
        <v>652</v>
      </c>
      <c r="K1753" s="9">
        <v>45849</v>
      </c>
      <c r="L1753" s="9">
        <v>45855</v>
      </c>
      <c r="M1753" s="9">
        <v>45854</v>
      </c>
      <c r="N1753" s="2" t="s">
        <v>1986</v>
      </c>
      <c r="O1753" s="2" t="s">
        <v>57</v>
      </c>
      <c r="P1753" s="2" t="s">
        <v>398</v>
      </c>
      <c r="Q1753" s="2" t="s">
        <v>1204</v>
      </c>
      <c r="R1753" s="2" t="s">
        <v>128</v>
      </c>
      <c r="S1753" s="2" t="s">
        <v>654</v>
      </c>
      <c r="T1753" s="10">
        <v>183.57</v>
      </c>
      <c r="U1753" s="11">
        <v>0.72799999999999998</v>
      </c>
      <c r="V1753" s="12">
        <f>T1753*U1753</f>
        <v>133.63896</v>
      </c>
      <c r="W1753" s="13">
        <v>0.13</v>
      </c>
      <c r="X1753" s="12">
        <f>V1753-(V1753/(1+W1753))</f>
        <v>15.374393628318572</v>
      </c>
      <c r="Y1753" s="12">
        <f>V1753-X1753</f>
        <v>118.26456637168143</v>
      </c>
      <c r="Z1753" s="14">
        <v>200</v>
      </c>
      <c r="AA1753" s="2" t="str">
        <f>IF(V1753&gt;Z1753,"Yes","No")</f>
        <v>No</v>
      </c>
      <c r="AB1753" s="12">
        <f>V1753-Z1753</f>
        <v>-66.361040000000003</v>
      </c>
      <c r="AC1753" s="15" t="s">
        <v>130</v>
      </c>
      <c r="AD1753" s="15" t="s">
        <v>130</v>
      </c>
      <c r="AE1753" s="15" t="s">
        <v>260</v>
      </c>
      <c r="AF1753" s="12">
        <f>IF(AG1753="Rejected",0,IF(R1753="Corporate Card",0,V1753))</f>
        <v>0</v>
      </c>
      <c r="AG1753" s="15" t="s">
        <v>133</v>
      </c>
      <c r="AH1753" s="16">
        <v>45856</v>
      </c>
      <c r="AI1753" s="16">
        <v>45862</v>
      </c>
      <c r="AJ1753" s="16">
        <v>45875</v>
      </c>
      <c r="AK1753" s="17">
        <f>IF(AJ1753="","",AJ1753-AH1753)</f>
        <v>19</v>
      </c>
    </row>
    <row r="1754" spans="1:37">
      <c r="A1754" s="2" t="s">
        <v>2202</v>
      </c>
      <c r="B1754" s="2" t="s">
        <v>375</v>
      </c>
      <c r="C1754" s="2" t="s">
        <v>376</v>
      </c>
      <c r="D1754" s="2" t="s">
        <v>344</v>
      </c>
      <c r="E1754" s="2" t="s">
        <v>377</v>
      </c>
      <c r="F1754" s="2" t="s">
        <v>346</v>
      </c>
      <c r="G1754" s="2" t="s">
        <v>2111</v>
      </c>
      <c r="H1754" s="2" t="s">
        <v>291</v>
      </c>
      <c r="I1754" s="2" t="s">
        <v>651</v>
      </c>
      <c r="J1754" s="2" t="s">
        <v>652</v>
      </c>
      <c r="K1754" s="9">
        <v>45849</v>
      </c>
      <c r="L1754" s="9">
        <v>45855</v>
      </c>
      <c r="M1754" s="9">
        <v>45854</v>
      </c>
      <c r="N1754" s="2" t="s">
        <v>1986</v>
      </c>
      <c r="O1754" s="2" t="s">
        <v>58</v>
      </c>
      <c r="P1754" s="2" t="s">
        <v>142</v>
      </c>
      <c r="Q1754" s="2" t="s">
        <v>156</v>
      </c>
      <c r="R1754" s="2" t="s">
        <v>128</v>
      </c>
      <c r="S1754" s="2" t="s">
        <v>654</v>
      </c>
      <c r="T1754" s="10">
        <v>71.06</v>
      </c>
      <c r="U1754" s="11">
        <v>0.72799999999999998</v>
      </c>
      <c r="V1754" s="12">
        <f>T1754*U1754</f>
        <v>51.731679999999997</v>
      </c>
      <c r="W1754" s="13">
        <v>0.13</v>
      </c>
      <c r="X1754" s="12">
        <f>V1754-(V1754/(1+W1754))</f>
        <v>5.9514322123893777</v>
      </c>
      <c r="Y1754" s="12">
        <f>V1754-X1754</f>
        <v>45.78024778761062</v>
      </c>
      <c r="Z1754" s="14">
        <v>60</v>
      </c>
      <c r="AA1754" s="2" t="str">
        <f>IF(V1754&gt;Z1754,"Yes","No")</f>
        <v>No</v>
      </c>
      <c r="AB1754" s="12">
        <f>V1754-Z1754</f>
        <v>-8.2683200000000028</v>
      </c>
      <c r="AC1754" s="15" t="s">
        <v>131</v>
      </c>
      <c r="AD1754" s="15" t="s">
        <v>130</v>
      </c>
      <c r="AE1754" s="15" t="s">
        <v>260</v>
      </c>
      <c r="AF1754" s="12">
        <f>IF(AG1754="Rejected",0,IF(R1754="Corporate Card",0,V1754))</f>
        <v>0</v>
      </c>
      <c r="AG1754" s="15" t="s">
        <v>133</v>
      </c>
      <c r="AH1754" s="16">
        <v>45856</v>
      </c>
      <c r="AI1754" s="16">
        <v>45862</v>
      </c>
      <c r="AJ1754" s="16">
        <v>45875</v>
      </c>
      <c r="AK1754" s="17">
        <f>IF(AJ1754="","",AJ1754-AH1754)</f>
        <v>19</v>
      </c>
    </row>
    <row r="1755" spans="1:37">
      <c r="A1755" s="2" t="s">
        <v>2203</v>
      </c>
      <c r="B1755" s="2" t="s">
        <v>375</v>
      </c>
      <c r="C1755" s="2" t="s">
        <v>376</v>
      </c>
      <c r="D1755" s="2" t="s">
        <v>344</v>
      </c>
      <c r="E1755" s="2" t="s">
        <v>377</v>
      </c>
      <c r="F1755" s="2" t="s">
        <v>346</v>
      </c>
      <c r="G1755" s="2" t="s">
        <v>2111</v>
      </c>
      <c r="H1755" s="2" t="s">
        <v>291</v>
      </c>
      <c r="I1755" s="2" t="s">
        <v>651</v>
      </c>
      <c r="J1755" s="2" t="s">
        <v>652</v>
      </c>
      <c r="K1755" s="9">
        <v>45849</v>
      </c>
      <c r="L1755" s="9">
        <v>45855</v>
      </c>
      <c r="M1755" s="9">
        <v>45854</v>
      </c>
      <c r="N1755" s="2" t="s">
        <v>1986</v>
      </c>
      <c r="O1755" s="2" t="s">
        <v>54</v>
      </c>
      <c r="P1755" s="2" t="s">
        <v>139</v>
      </c>
      <c r="Q1755" s="2" t="s">
        <v>148</v>
      </c>
      <c r="R1755" s="2" t="s">
        <v>137</v>
      </c>
      <c r="S1755" s="2" t="s">
        <v>654</v>
      </c>
      <c r="T1755" s="10">
        <v>15.45</v>
      </c>
      <c r="U1755" s="11">
        <v>0.72799999999999998</v>
      </c>
      <c r="V1755" s="12">
        <f>T1755*U1755</f>
        <v>11.247599999999998</v>
      </c>
      <c r="W1755" s="13">
        <v>0.13</v>
      </c>
      <c r="X1755" s="12">
        <f>V1755-(V1755/(1+W1755))</f>
        <v>1.2939716814159272</v>
      </c>
      <c r="Y1755" s="12">
        <f>V1755-X1755</f>
        <v>9.9536283185840713</v>
      </c>
      <c r="Z1755" s="14">
        <v>25</v>
      </c>
      <c r="AA1755" s="2" t="str">
        <f>IF(V1755&gt;Z1755,"Yes","No")</f>
        <v>No</v>
      </c>
      <c r="AB1755" s="12">
        <f>V1755-Z1755</f>
        <v>-13.752400000000002</v>
      </c>
      <c r="AC1755" s="15" t="s">
        <v>130</v>
      </c>
      <c r="AD1755" s="15" t="s">
        <v>130</v>
      </c>
      <c r="AE1755" s="15" t="s">
        <v>260</v>
      </c>
      <c r="AF1755" s="12">
        <f>IF(AG1755="Rejected",0,IF(R1755="Corporate Card",0,V1755))</f>
        <v>11.247599999999998</v>
      </c>
      <c r="AG1755" s="15" t="s">
        <v>133</v>
      </c>
      <c r="AH1755" s="16">
        <v>45856</v>
      </c>
      <c r="AI1755" s="16">
        <v>45862</v>
      </c>
      <c r="AJ1755" s="16">
        <v>45875</v>
      </c>
      <c r="AK1755" s="17">
        <f>IF(AJ1755="","",AJ1755-AH1755)</f>
        <v>19</v>
      </c>
    </row>
    <row r="1756" spans="1:37">
      <c r="A1756" s="2" t="s">
        <v>2204</v>
      </c>
      <c r="B1756" s="2" t="s">
        <v>375</v>
      </c>
      <c r="C1756" s="2" t="s">
        <v>376</v>
      </c>
      <c r="D1756" s="2" t="s">
        <v>344</v>
      </c>
      <c r="E1756" s="2" t="s">
        <v>377</v>
      </c>
      <c r="F1756" s="2" t="s">
        <v>346</v>
      </c>
      <c r="G1756" s="2" t="s">
        <v>2111</v>
      </c>
      <c r="H1756" s="2" t="s">
        <v>291</v>
      </c>
      <c r="I1756" s="2" t="s">
        <v>651</v>
      </c>
      <c r="J1756" s="2" t="s">
        <v>652</v>
      </c>
      <c r="K1756" s="9">
        <v>45849</v>
      </c>
      <c r="L1756" s="9">
        <v>45855</v>
      </c>
      <c r="M1756" s="9">
        <v>45854</v>
      </c>
      <c r="N1756" s="2" t="s">
        <v>1986</v>
      </c>
      <c r="O1756" s="2" t="s">
        <v>56</v>
      </c>
      <c r="P1756" s="2" t="s">
        <v>165</v>
      </c>
      <c r="Q1756" s="2" t="s">
        <v>166</v>
      </c>
      <c r="R1756" s="2" t="s">
        <v>128</v>
      </c>
      <c r="S1756" s="2" t="s">
        <v>654</v>
      </c>
      <c r="T1756" s="10">
        <v>97.56</v>
      </c>
      <c r="U1756" s="11">
        <v>0.72799999999999998</v>
      </c>
      <c r="V1756" s="12">
        <f>T1756*U1756</f>
        <v>71.023679999999999</v>
      </c>
      <c r="W1756" s="13">
        <v>0.13</v>
      </c>
      <c r="X1756" s="12">
        <f>V1756-(V1756/(1+W1756))</f>
        <v>8.1708658407079611</v>
      </c>
      <c r="Y1756" s="12">
        <f>V1756-X1756</f>
        <v>62.852814159292038</v>
      </c>
      <c r="Z1756" s="14">
        <v>75</v>
      </c>
      <c r="AA1756" s="2" t="str">
        <f>IF(V1756&gt;Z1756,"Yes","No")</f>
        <v>No</v>
      </c>
      <c r="AB1756" s="12">
        <f>V1756-Z1756</f>
        <v>-3.9763200000000012</v>
      </c>
      <c r="AC1756" s="15" t="s">
        <v>130</v>
      </c>
      <c r="AD1756" s="15" t="s">
        <v>130</v>
      </c>
      <c r="AE1756" s="15" t="s">
        <v>260</v>
      </c>
      <c r="AF1756" s="12">
        <f>IF(AG1756="Rejected",0,IF(R1756="Corporate Card",0,V1756))</f>
        <v>0</v>
      </c>
      <c r="AG1756" s="15" t="s">
        <v>133</v>
      </c>
      <c r="AH1756" s="16">
        <v>45856</v>
      </c>
      <c r="AI1756" s="16">
        <v>45862</v>
      </c>
      <c r="AJ1756" s="16">
        <v>45875</v>
      </c>
      <c r="AK1756" s="17">
        <f>IF(AJ1756="","",AJ1756-AH1756)</f>
        <v>19</v>
      </c>
    </row>
    <row r="1757" spans="1:37">
      <c r="A1757" s="2" t="s">
        <v>2205</v>
      </c>
      <c r="B1757" s="2" t="s">
        <v>375</v>
      </c>
      <c r="C1757" s="2" t="s">
        <v>376</v>
      </c>
      <c r="D1757" s="2" t="s">
        <v>344</v>
      </c>
      <c r="E1757" s="2" t="s">
        <v>377</v>
      </c>
      <c r="F1757" s="2" t="s">
        <v>346</v>
      </c>
      <c r="G1757" s="2" t="s">
        <v>2111</v>
      </c>
      <c r="H1757" s="2" t="s">
        <v>291</v>
      </c>
      <c r="I1757" s="2" t="s">
        <v>651</v>
      </c>
      <c r="J1757" s="2" t="s">
        <v>652</v>
      </c>
      <c r="K1757" s="9">
        <v>45849</v>
      </c>
      <c r="L1757" s="9">
        <v>45855</v>
      </c>
      <c r="M1757" s="9">
        <v>45854</v>
      </c>
      <c r="N1757" s="2" t="s">
        <v>1986</v>
      </c>
      <c r="O1757" s="2" t="s">
        <v>55</v>
      </c>
      <c r="P1757" s="2" t="s">
        <v>139</v>
      </c>
      <c r="Q1757" s="2" t="s">
        <v>154</v>
      </c>
      <c r="R1757" s="2" t="s">
        <v>128</v>
      </c>
      <c r="S1757" s="2" t="s">
        <v>654</v>
      </c>
      <c r="T1757" s="10">
        <v>43.4</v>
      </c>
      <c r="U1757" s="11">
        <v>0.72799999999999998</v>
      </c>
      <c r="V1757" s="12">
        <f>T1757*U1757</f>
        <v>31.595199999999998</v>
      </c>
      <c r="W1757" s="13">
        <v>0.13</v>
      </c>
      <c r="X1757" s="12">
        <f>V1757-(V1757/(1+W1757))</f>
        <v>3.6348460176991111</v>
      </c>
      <c r="Y1757" s="12">
        <f>V1757-X1757</f>
        <v>27.960353982300887</v>
      </c>
      <c r="Z1757" s="14">
        <v>35</v>
      </c>
      <c r="AA1757" s="2" t="str">
        <f>IF(V1757&gt;Z1757,"Yes","No")</f>
        <v>No</v>
      </c>
      <c r="AB1757" s="12">
        <f>V1757-Z1757</f>
        <v>-3.4048000000000016</v>
      </c>
      <c r="AC1757" s="15" t="s">
        <v>131</v>
      </c>
      <c r="AD1757" s="15" t="s">
        <v>130</v>
      </c>
      <c r="AE1757" s="15" t="s">
        <v>260</v>
      </c>
      <c r="AF1757" s="12">
        <f>IF(AG1757="Rejected",0,IF(R1757="Corporate Card",0,V1757))</f>
        <v>0</v>
      </c>
      <c r="AG1757" s="15" t="s">
        <v>133</v>
      </c>
      <c r="AH1757" s="16">
        <v>45856</v>
      </c>
      <c r="AI1757" s="16">
        <v>45862</v>
      </c>
      <c r="AJ1757" s="16">
        <v>45875</v>
      </c>
      <c r="AK1757" s="17">
        <f>IF(AJ1757="","",AJ1757-AH1757)</f>
        <v>19</v>
      </c>
    </row>
    <row r="1758" spans="1:37">
      <c r="A1758" s="2" t="s">
        <v>2206</v>
      </c>
      <c r="B1758" s="2" t="s">
        <v>169</v>
      </c>
      <c r="C1758" s="2" t="s">
        <v>170</v>
      </c>
      <c r="D1758" s="2" t="s">
        <v>171</v>
      </c>
      <c r="E1758" s="2" t="s">
        <v>172</v>
      </c>
      <c r="F1758" s="2" t="s">
        <v>173</v>
      </c>
      <c r="G1758" s="2" t="s">
        <v>2139</v>
      </c>
      <c r="H1758" s="2" t="s">
        <v>193</v>
      </c>
      <c r="I1758" s="2" t="s">
        <v>651</v>
      </c>
      <c r="J1758" s="2" t="s">
        <v>652</v>
      </c>
      <c r="K1758" s="9">
        <v>45850</v>
      </c>
      <c r="L1758" s="9">
        <v>45858</v>
      </c>
      <c r="M1758" s="9">
        <v>45854</v>
      </c>
      <c r="N1758" s="2" t="s">
        <v>1986</v>
      </c>
      <c r="O1758" s="2" t="s">
        <v>58</v>
      </c>
      <c r="P1758" s="2" t="s">
        <v>142</v>
      </c>
      <c r="Q1758" s="2" t="s">
        <v>296</v>
      </c>
      <c r="R1758" s="2" t="s">
        <v>128</v>
      </c>
      <c r="S1758" s="2" t="s">
        <v>654</v>
      </c>
      <c r="T1758" s="10">
        <v>56.47</v>
      </c>
      <c r="U1758" s="11">
        <v>0.72799999999999998</v>
      </c>
      <c r="V1758" s="12">
        <f>T1758*U1758</f>
        <v>41.11016</v>
      </c>
      <c r="W1758" s="13">
        <v>0.13</v>
      </c>
      <c r="X1758" s="12">
        <f>V1758-(V1758/(1+W1758))</f>
        <v>4.7294874336283144</v>
      </c>
      <c r="Y1758" s="12">
        <f>V1758-X1758</f>
        <v>36.380672566371686</v>
      </c>
      <c r="Z1758" s="14">
        <v>60</v>
      </c>
      <c r="AA1758" s="2" t="str">
        <f>IF(V1758&gt;Z1758,"Yes","No")</f>
        <v>No</v>
      </c>
      <c r="AB1758" s="12">
        <f>V1758-Z1758</f>
        <v>-18.88984</v>
      </c>
      <c r="AC1758" s="15" t="s">
        <v>130</v>
      </c>
      <c r="AD1758" s="15" t="s">
        <v>130</v>
      </c>
      <c r="AE1758" s="15" t="s">
        <v>350</v>
      </c>
      <c r="AF1758" s="12">
        <f>IF(AG1758="Rejected",0,IF(R1758="Corporate Card",0,V1758))</f>
        <v>0</v>
      </c>
      <c r="AG1758" s="15" t="s">
        <v>133</v>
      </c>
      <c r="AH1758" s="16">
        <v>45866</v>
      </c>
      <c r="AI1758" s="16">
        <v>45867</v>
      </c>
      <c r="AJ1758" s="16">
        <v>45875</v>
      </c>
      <c r="AK1758" s="17">
        <f>IF(AJ1758="","",AJ1758-AH1758)</f>
        <v>9</v>
      </c>
    </row>
    <row r="1759" spans="1:37">
      <c r="A1759" s="2" t="s">
        <v>2207</v>
      </c>
      <c r="B1759" s="2" t="s">
        <v>169</v>
      </c>
      <c r="C1759" s="2" t="s">
        <v>170</v>
      </c>
      <c r="D1759" s="2" t="s">
        <v>171</v>
      </c>
      <c r="E1759" s="2" t="s">
        <v>172</v>
      </c>
      <c r="F1759" s="2" t="s">
        <v>173</v>
      </c>
      <c r="G1759" s="2" t="s">
        <v>2139</v>
      </c>
      <c r="H1759" s="2" t="s">
        <v>193</v>
      </c>
      <c r="I1759" s="2" t="s">
        <v>651</v>
      </c>
      <c r="J1759" s="2" t="s">
        <v>652</v>
      </c>
      <c r="K1759" s="9">
        <v>45850</v>
      </c>
      <c r="L1759" s="9">
        <v>45858</v>
      </c>
      <c r="M1759" s="9">
        <v>45854</v>
      </c>
      <c r="N1759" s="2" t="s">
        <v>1986</v>
      </c>
      <c r="O1759" s="2" t="s">
        <v>56</v>
      </c>
      <c r="P1759" s="2" t="s">
        <v>231</v>
      </c>
      <c r="Q1759" s="2" t="s">
        <v>159</v>
      </c>
      <c r="R1759" s="2" t="s">
        <v>137</v>
      </c>
      <c r="S1759" s="2" t="s">
        <v>654</v>
      </c>
      <c r="T1759" s="10">
        <v>84.11</v>
      </c>
      <c r="U1759" s="11">
        <v>0.72799999999999998</v>
      </c>
      <c r="V1759" s="12">
        <f>T1759*U1759</f>
        <v>61.232079999999996</v>
      </c>
      <c r="W1759" s="13">
        <v>0.13</v>
      </c>
      <c r="X1759" s="12">
        <f>V1759-(V1759/(1+W1759))</f>
        <v>7.044398584070791</v>
      </c>
      <c r="Y1759" s="12">
        <f>V1759-X1759</f>
        <v>54.187681415929205</v>
      </c>
      <c r="Z1759" s="14">
        <v>75</v>
      </c>
      <c r="AA1759" s="2" t="str">
        <f>IF(V1759&gt;Z1759,"Yes","No")</f>
        <v>No</v>
      </c>
      <c r="AB1759" s="12">
        <f>V1759-Z1759</f>
        <v>-13.767920000000004</v>
      </c>
      <c r="AC1759" s="15" t="s">
        <v>130</v>
      </c>
      <c r="AD1759" s="15" t="s">
        <v>130</v>
      </c>
      <c r="AE1759" s="15" t="s">
        <v>350</v>
      </c>
      <c r="AF1759" s="12">
        <f>IF(AG1759="Rejected",0,IF(R1759="Corporate Card",0,V1759))</f>
        <v>61.232079999999996</v>
      </c>
      <c r="AG1759" s="15" t="s">
        <v>133</v>
      </c>
      <c r="AH1759" s="16">
        <v>45866</v>
      </c>
      <c r="AI1759" s="16">
        <v>45867</v>
      </c>
      <c r="AJ1759" s="16">
        <v>45875</v>
      </c>
      <c r="AK1759" s="17">
        <f>IF(AJ1759="","",AJ1759-AH1759)</f>
        <v>9</v>
      </c>
    </row>
    <row r="1760" spans="1:37">
      <c r="A1760" s="2" t="s">
        <v>2208</v>
      </c>
      <c r="B1760" s="2" t="s">
        <v>169</v>
      </c>
      <c r="C1760" s="2" t="s">
        <v>170</v>
      </c>
      <c r="D1760" s="2" t="s">
        <v>171</v>
      </c>
      <c r="E1760" s="2" t="s">
        <v>172</v>
      </c>
      <c r="F1760" s="2" t="s">
        <v>173</v>
      </c>
      <c r="G1760" s="2" t="s">
        <v>2139</v>
      </c>
      <c r="H1760" s="2" t="s">
        <v>193</v>
      </c>
      <c r="I1760" s="2" t="s">
        <v>651</v>
      </c>
      <c r="J1760" s="2" t="s">
        <v>652</v>
      </c>
      <c r="K1760" s="9">
        <v>45850</v>
      </c>
      <c r="L1760" s="9">
        <v>45858</v>
      </c>
      <c r="M1760" s="9">
        <v>45854</v>
      </c>
      <c r="N1760" s="2" t="s">
        <v>1986</v>
      </c>
      <c r="O1760" s="2" t="s">
        <v>55</v>
      </c>
      <c r="P1760" s="2" t="s">
        <v>139</v>
      </c>
      <c r="Q1760" s="2" t="s">
        <v>217</v>
      </c>
      <c r="R1760" s="2" t="s">
        <v>128</v>
      </c>
      <c r="S1760" s="2" t="s">
        <v>654</v>
      </c>
      <c r="T1760" s="10">
        <v>32.44</v>
      </c>
      <c r="U1760" s="11">
        <v>0.72799999999999998</v>
      </c>
      <c r="V1760" s="12">
        <f>T1760*U1760</f>
        <v>23.616319999999998</v>
      </c>
      <c r="W1760" s="13">
        <v>0.13</v>
      </c>
      <c r="X1760" s="12">
        <f>V1760-(V1760/(1+W1760))</f>
        <v>2.7169217699115009</v>
      </c>
      <c r="Y1760" s="12">
        <f>V1760-X1760</f>
        <v>20.899398230088497</v>
      </c>
      <c r="Z1760" s="14">
        <v>35</v>
      </c>
      <c r="AA1760" s="2" t="str">
        <f>IF(V1760&gt;Z1760,"Yes","No")</f>
        <v>No</v>
      </c>
      <c r="AB1760" s="12">
        <f>V1760-Z1760</f>
        <v>-11.383680000000002</v>
      </c>
      <c r="AC1760" s="15" t="s">
        <v>130</v>
      </c>
      <c r="AD1760" s="15" t="s">
        <v>130</v>
      </c>
      <c r="AE1760" s="15" t="s">
        <v>350</v>
      </c>
      <c r="AF1760" s="12">
        <f>IF(AG1760="Rejected",0,IF(R1760="Corporate Card",0,V1760))</f>
        <v>0</v>
      </c>
      <c r="AG1760" s="15" t="s">
        <v>133</v>
      </c>
      <c r="AH1760" s="16">
        <v>45866</v>
      </c>
      <c r="AI1760" s="16">
        <v>45867</v>
      </c>
      <c r="AJ1760" s="16">
        <v>45875</v>
      </c>
      <c r="AK1760" s="17">
        <f>IF(AJ1760="","",AJ1760-AH1760)</f>
        <v>9</v>
      </c>
    </row>
    <row r="1761" spans="1:37">
      <c r="A1761" s="2" t="s">
        <v>2209</v>
      </c>
      <c r="B1761" s="2" t="s">
        <v>310</v>
      </c>
      <c r="C1761" s="2" t="s">
        <v>311</v>
      </c>
      <c r="D1761" s="2" t="s">
        <v>118</v>
      </c>
      <c r="E1761" s="2" t="s">
        <v>312</v>
      </c>
      <c r="F1761" s="2" t="s">
        <v>313</v>
      </c>
      <c r="G1761" s="2" t="s">
        <v>2099</v>
      </c>
      <c r="H1761" s="2" t="s">
        <v>348</v>
      </c>
      <c r="I1761" s="2" t="s">
        <v>553</v>
      </c>
      <c r="J1761" s="2" t="s">
        <v>553</v>
      </c>
      <c r="K1761" s="9">
        <v>45848</v>
      </c>
      <c r="L1761" s="9">
        <v>45856</v>
      </c>
      <c r="M1761" s="9">
        <v>45854</v>
      </c>
      <c r="N1761" s="2" t="s">
        <v>1986</v>
      </c>
      <c r="O1761" s="2" t="s">
        <v>54</v>
      </c>
      <c r="P1761" s="2" t="s">
        <v>139</v>
      </c>
      <c r="Q1761" s="2" t="s">
        <v>148</v>
      </c>
      <c r="R1761" s="2" t="s">
        <v>128</v>
      </c>
      <c r="S1761" s="2" t="s">
        <v>555</v>
      </c>
      <c r="T1761" s="10">
        <v>32.99</v>
      </c>
      <c r="U1761" s="11">
        <v>0.74299999999999999</v>
      </c>
      <c r="V1761" s="12">
        <f>T1761*U1761</f>
        <v>24.511570000000003</v>
      </c>
      <c r="W1761" s="13">
        <v>0.09</v>
      </c>
      <c r="X1761" s="12">
        <f>V1761-(V1761/(1+W1761))</f>
        <v>2.0238911009174316</v>
      </c>
      <c r="Y1761" s="12">
        <f>V1761-X1761</f>
        <v>22.487678899082571</v>
      </c>
      <c r="Z1761" s="14">
        <v>25</v>
      </c>
      <c r="AA1761" s="2" t="str">
        <f>IF(V1761&gt;Z1761,"Yes","No")</f>
        <v>No</v>
      </c>
      <c r="AB1761" s="12">
        <f>V1761-Z1761</f>
        <v>-0.48842999999999748</v>
      </c>
      <c r="AC1761" s="15" t="s">
        <v>130</v>
      </c>
      <c r="AD1761" s="15" t="s">
        <v>130</v>
      </c>
      <c r="AE1761" s="15" t="s">
        <v>180</v>
      </c>
      <c r="AF1761" s="12">
        <f>IF(AG1761="Rejected",0,IF(R1761="Corporate Card",0,V1761))</f>
        <v>0</v>
      </c>
      <c r="AG1761" s="15" t="s">
        <v>133</v>
      </c>
      <c r="AH1761" s="16">
        <v>45865</v>
      </c>
      <c r="AI1761" s="16">
        <v>45867</v>
      </c>
      <c r="AJ1761" s="16">
        <v>45876</v>
      </c>
      <c r="AK1761" s="17">
        <f>IF(AJ1761="","",AJ1761-AH1761)</f>
        <v>11</v>
      </c>
    </row>
    <row r="1762" spans="1:37">
      <c r="A1762" s="2" t="s">
        <v>2210</v>
      </c>
      <c r="B1762" s="2" t="s">
        <v>310</v>
      </c>
      <c r="C1762" s="2" t="s">
        <v>311</v>
      </c>
      <c r="D1762" s="2" t="s">
        <v>118</v>
      </c>
      <c r="E1762" s="2" t="s">
        <v>312</v>
      </c>
      <c r="F1762" s="2" t="s">
        <v>313</v>
      </c>
      <c r="G1762" s="2" t="s">
        <v>2099</v>
      </c>
      <c r="H1762" s="2" t="s">
        <v>348</v>
      </c>
      <c r="I1762" s="2" t="s">
        <v>553</v>
      </c>
      <c r="J1762" s="2" t="s">
        <v>553</v>
      </c>
      <c r="K1762" s="9">
        <v>45848</v>
      </c>
      <c r="L1762" s="9">
        <v>45856</v>
      </c>
      <c r="M1762" s="9">
        <v>45854</v>
      </c>
      <c r="N1762" s="2" t="s">
        <v>1986</v>
      </c>
      <c r="O1762" s="2" t="s">
        <v>55</v>
      </c>
      <c r="P1762" s="2" t="s">
        <v>139</v>
      </c>
      <c r="Q1762" s="2" t="s">
        <v>154</v>
      </c>
      <c r="R1762" s="2" t="s">
        <v>128</v>
      </c>
      <c r="S1762" s="2" t="s">
        <v>555</v>
      </c>
      <c r="T1762" s="10">
        <v>33.33</v>
      </c>
      <c r="U1762" s="11">
        <v>0.74299999999999999</v>
      </c>
      <c r="V1762" s="12">
        <f>T1762*U1762</f>
        <v>24.764189999999999</v>
      </c>
      <c r="W1762" s="13">
        <v>0.09</v>
      </c>
      <c r="X1762" s="12">
        <f>V1762-(V1762/(1+W1762))</f>
        <v>2.044749633027525</v>
      </c>
      <c r="Y1762" s="12">
        <f>V1762-X1762</f>
        <v>22.719440366972474</v>
      </c>
      <c r="Z1762" s="14">
        <v>35</v>
      </c>
      <c r="AA1762" s="2" t="str">
        <f>IF(V1762&gt;Z1762,"Yes","No")</f>
        <v>No</v>
      </c>
      <c r="AB1762" s="12">
        <f>V1762-Z1762</f>
        <v>-10.235810000000001</v>
      </c>
      <c r="AC1762" s="15" t="s">
        <v>130</v>
      </c>
      <c r="AD1762" s="15" t="s">
        <v>130</v>
      </c>
      <c r="AE1762" s="15" t="s">
        <v>180</v>
      </c>
      <c r="AF1762" s="12">
        <f>IF(AG1762="Rejected",0,IF(R1762="Corporate Card",0,V1762))</f>
        <v>0</v>
      </c>
      <c r="AG1762" s="15" t="s">
        <v>133</v>
      </c>
      <c r="AH1762" s="16">
        <v>45865</v>
      </c>
      <c r="AI1762" s="16">
        <v>45867</v>
      </c>
      <c r="AJ1762" s="16">
        <v>45876</v>
      </c>
      <c r="AK1762" s="17">
        <f>IF(AJ1762="","",AJ1762-AH1762)</f>
        <v>11</v>
      </c>
    </row>
    <row r="1763" spans="1:37">
      <c r="A1763" s="2" t="s">
        <v>2211</v>
      </c>
      <c r="B1763" s="2" t="s">
        <v>2212</v>
      </c>
      <c r="C1763" s="2" t="s">
        <v>346</v>
      </c>
      <c r="D1763" s="2" t="s">
        <v>344</v>
      </c>
      <c r="E1763" s="2" t="s">
        <v>2213</v>
      </c>
      <c r="F1763" s="2" t="s">
        <v>313</v>
      </c>
      <c r="G1763" s="2" t="s">
        <v>2214</v>
      </c>
      <c r="H1763" s="2" t="s">
        <v>748</v>
      </c>
      <c r="I1763" s="2" t="s">
        <v>380</v>
      </c>
      <c r="J1763" s="2" t="s">
        <v>381</v>
      </c>
      <c r="K1763" s="9">
        <v>45855</v>
      </c>
      <c r="L1763" s="9">
        <v>45860</v>
      </c>
      <c r="M1763" s="9">
        <v>45855</v>
      </c>
      <c r="N1763" s="2" t="s">
        <v>1986</v>
      </c>
      <c r="O1763" s="2" t="s">
        <v>52</v>
      </c>
      <c r="P1763" s="2" t="s">
        <v>382</v>
      </c>
      <c r="Q1763" s="2" t="s">
        <v>197</v>
      </c>
      <c r="R1763" s="2" t="s">
        <v>128</v>
      </c>
      <c r="S1763" s="2" t="s">
        <v>383</v>
      </c>
      <c r="T1763" s="10">
        <v>946.62</v>
      </c>
      <c r="U1763" s="11">
        <v>1</v>
      </c>
      <c r="V1763" s="12">
        <f>T1763*U1763</f>
        <v>946.62</v>
      </c>
      <c r="W1763" s="13">
        <v>0</v>
      </c>
      <c r="X1763" s="12">
        <f>V1763-(V1763/(1+W1763))</f>
        <v>0</v>
      </c>
      <c r="Y1763" s="12">
        <f>V1763-X1763</f>
        <v>946.62</v>
      </c>
      <c r="Z1763" s="14">
        <v>1400</v>
      </c>
      <c r="AA1763" s="2" t="str">
        <f>IF(V1763&gt;Z1763,"Yes","No")</f>
        <v>No</v>
      </c>
      <c r="AB1763" s="12">
        <f>V1763-Z1763</f>
        <v>-453.38</v>
      </c>
      <c r="AC1763" s="15" t="s">
        <v>130</v>
      </c>
      <c r="AD1763" s="15" t="s">
        <v>130</v>
      </c>
      <c r="AE1763" s="15" t="s">
        <v>421</v>
      </c>
      <c r="AF1763" s="12">
        <f>IF(AG1763="Rejected",0,IF(R1763="Corporate Card",0,V1763))</f>
        <v>0</v>
      </c>
      <c r="AG1763" s="15" t="s">
        <v>133</v>
      </c>
      <c r="AH1763" s="16">
        <v>45871</v>
      </c>
      <c r="AI1763" s="16">
        <v>45872</v>
      </c>
      <c r="AJ1763" s="16">
        <v>45879</v>
      </c>
      <c r="AK1763" s="17">
        <f>IF(AJ1763="","",AJ1763-AH1763)</f>
        <v>8</v>
      </c>
    </row>
    <row r="1764" spans="1:37">
      <c r="A1764" s="2" t="s">
        <v>2215</v>
      </c>
      <c r="B1764" s="2" t="s">
        <v>2212</v>
      </c>
      <c r="C1764" s="2" t="s">
        <v>346</v>
      </c>
      <c r="D1764" s="2" t="s">
        <v>344</v>
      </c>
      <c r="E1764" s="2" t="s">
        <v>2213</v>
      </c>
      <c r="F1764" s="2" t="s">
        <v>313</v>
      </c>
      <c r="G1764" s="2" t="s">
        <v>2214</v>
      </c>
      <c r="H1764" s="2" t="s">
        <v>748</v>
      </c>
      <c r="I1764" s="2" t="s">
        <v>380</v>
      </c>
      <c r="J1764" s="2" t="s">
        <v>381</v>
      </c>
      <c r="K1764" s="9">
        <v>45855</v>
      </c>
      <c r="L1764" s="9">
        <v>45860</v>
      </c>
      <c r="M1764" s="9">
        <v>45855</v>
      </c>
      <c r="N1764" s="2" t="s">
        <v>1986</v>
      </c>
      <c r="O1764" s="2" t="s">
        <v>54</v>
      </c>
      <c r="P1764" s="2" t="s">
        <v>139</v>
      </c>
      <c r="Q1764" s="2" t="s">
        <v>163</v>
      </c>
      <c r="R1764" s="2" t="s">
        <v>128</v>
      </c>
      <c r="S1764" s="2" t="s">
        <v>383</v>
      </c>
      <c r="T1764" s="10">
        <v>16.87</v>
      </c>
      <c r="U1764" s="11">
        <v>1</v>
      </c>
      <c r="V1764" s="12">
        <f>T1764*U1764</f>
        <v>16.87</v>
      </c>
      <c r="W1764" s="13">
        <v>0</v>
      </c>
      <c r="X1764" s="12">
        <f>V1764-(V1764/(1+W1764))</f>
        <v>0</v>
      </c>
      <c r="Y1764" s="12">
        <f>V1764-X1764</f>
        <v>16.87</v>
      </c>
      <c r="Z1764" s="14">
        <v>25</v>
      </c>
      <c r="AA1764" s="2" t="str">
        <f>IF(V1764&gt;Z1764,"Yes","No")</f>
        <v>No</v>
      </c>
      <c r="AB1764" s="12">
        <f>V1764-Z1764</f>
        <v>-8.129999999999999</v>
      </c>
      <c r="AC1764" s="15" t="s">
        <v>130</v>
      </c>
      <c r="AD1764" s="15" t="s">
        <v>130</v>
      </c>
      <c r="AE1764" s="15" t="s">
        <v>421</v>
      </c>
      <c r="AF1764" s="12">
        <f>IF(AG1764="Rejected",0,IF(R1764="Corporate Card",0,V1764))</f>
        <v>0</v>
      </c>
      <c r="AG1764" s="15" t="s">
        <v>133</v>
      </c>
      <c r="AH1764" s="16">
        <v>45871</v>
      </c>
      <c r="AI1764" s="16">
        <v>45872</v>
      </c>
      <c r="AJ1764" s="16">
        <v>45879</v>
      </c>
      <c r="AK1764" s="17">
        <f>IF(AJ1764="","",AJ1764-AH1764)</f>
        <v>8</v>
      </c>
    </row>
    <row r="1765" spans="1:37">
      <c r="A1765" s="2" t="s">
        <v>2216</v>
      </c>
      <c r="B1765" s="2" t="s">
        <v>2212</v>
      </c>
      <c r="C1765" s="2" t="s">
        <v>346</v>
      </c>
      <c r="D1765" s="2" t="s">
        <v>344</v>
      </c>
      <c r="E1765" s="2" t="s">
        <v>2213</v>
      </c>
      <c r="F1765" s="2" t="s">
        <v>313</v>
      </c>
      <c r="G1765" s="2" t="s">
        <v>2214</v>
      </c>
      <c r="H1765" s="2" t="s">
        <v>748</v>
      </c>
      <c r="I1765" s="2" t="s">
        <v>380</v>
      </c>
      <c r="J1765" s="2" t="s">
        <v>381</v>
      </c>
      <c r="K1765" s="9">
        <v>45855</v>
      </c>
      <c r="L1765" s="9">
        <v>45860</v>
      </c>
      <c r="M1765" s="9">
        <v>45855</v>
      </c>
      <c r="N1765" s="2" t="s">
        <v>1986</v>
      </c>
      <c r="O1765" s="2" t="s">
        <v>56</v>
      </c>
      <c r="P1765" s="2" t="s">
        <v>245</v>
      </c>
      <c r="Q1765" s="2" t="s">
        <v>227</v>
      </c>
      <c r="R1765" s="2" t="s">
        <v>128</v>
      </c>
      <c r="S1765" s="2" t="s">
        <v>383</v>
      </c>
      <c r="T1765" s="10">
        <v>39.6</v>
      </c>
      <c r="U1765" s="11">
        <v>1</v>
      </c>
      <c r="V1765" s="12">
        <f>T1765*U1765</f>
        <v>39.6</v>
      </c>
      <c r="W1765" s="13">
        <v>0</v>
      </c>
      <c r="X1765" s="12">
        <f>V1765-(V1765/(1+W1765))</f>
        <v>0</v>
      </c>
      <c r="Y1765" s="12">
        <f>V1765-X1765</f>
        <v>39.6</v>
      </c>
      <c r="Z1765" s="14">
        <v>75</v>
      </c>
      <c r="AA1765" s="2" t="str">
        <f>IF(V1765&gt;Z1765,"Yes","No")</f>
        <v>No</v>
      </c>
      <c r="AB1765" s="12">
        <f>V1765-Z1765</f>
        <v>-35.4</v>
      </c>
      <c r="AC1765" s="15" t="s">
        <v>130</v>
      </c>
      <c r="AD1765" s="15" t="s">
        <v>130</v>
      </c>
      <c r="AE1765" s="15" t="s">
        <v>421</v>
      </c>
      <c r="AF1765" s="12">
        <f>IF(AG1765="Rejected",0,IF(R1765="Corporate Card",0,V1765))</f>
        <v>0</v>
      </c>
      <c r="AG1765" s="15" t="s">
        <v>133</v>
      </c>
      <c r="AH1765" s="16">
        <v>45871</v>
      </c>
      <c r="AI1765" s="16">
        <v>45872</v>
      </c>
      <c r="AJ1765" s="16">
        <v>45879</v>
      </c>
      <c r="AK1765" s="17">
        <f>IF(AJ1765="","",AJ1765-AH1765)</f>
        <v>8</v>
      </c>
    </row>
    <row r="1766" spans="1:37">
      <c r="A1766" s="2" t="s">
        <v>2217</v>
      </c>
      <c r="B1766" s="2" t="s">
        <v>2212</v>
      </c>
      <c r="C1766" s="2" t="s">
        <v>346</v>
      </c>
      <c r="D1766" s="2" t="s">
        <v>344</v>
      </c>
      <c r="E1766" s="2" t="s">
        <v>2213</v>
      </c>
      <c r="F1766" s="2" t="s">
        <v>313</v>
      </c>
      <c r="G1766" s="2" t="s">
        <v>2214</v>
      </c>
      <c r="H1766" s="2" t="s">
        <v>748</v>
      </c>
      <c r="I1766" s="2" t="s">
        <v>380</v>
      </c>
      <c r="J1766" s="2" t="s">
        <v>381</v>
      </c>
      <c r="K1766" s="9">
        <v>45855</v>
      </c>
      <c r="L1766" s="9">
        <v>45860</v>
      </c>
      <c r="M1766" s="9">
        <v>45855</v>
      </c>
      <c r="N1766" s="2" t="s">
        <v>1986</v>
      </c>
      <c r="O1766" s="2" t="s">
        <v>55</v>
      </c>
      <c r="P1766" s="2" t="s">
        <v>139</v>
      </c>
      <c r="Q1766" s="2" t="s">
        <v>154</v>
      </c>
      <c r="R1766" s="2" t="s">
        <v>128</v>
      </c>
      <c r="S1766" s="2" t="s">
        <v>383</v>
      </c>
      <c r="T1766" s="10">
        <v>26.35</v>
      </c>
      <c r="U1766" s="11">
        <v>1</v>
      </c>
      <c r="V1766" s="12">
        <f>T1766*U1766</f>
        <v>26.35</v>
      </c>
      <c r="W1766" s="13">
        <v>0</v>
      </c>
      <c r="X1766" s="12">
        <f>V1766-(V1766/(1+W1766))</f>
        <v>0</v>
      </c>
      <c r="Y1766" s="12">
        <f>V1766-X1766</f>
        <v>26.35</v>
      </c>
      <c r="Z1766" s="14">
        <v>35</v>
      </c>
      <c r="AA1766" s="2" t="str">
        <f>IF(V1766&gt;Z1766,"Yes","No")</f>
        <v>No</v>
      </c>
      <c r="AB1766" s="12">
        <f>V1766-Z1766</f>
        <v>-8.6499999999999986</v>
      </c>
      <c r="AC1766" s="15" t="s">
        <v>131</v>
      </c>
      <c r="AD1766" s="15" t="s">
        <v>130</v>
      </c>
      <c r="AE1766" s="15" t="s">
        <v>421</v>
      </c>
      <c r="AF1766" s="12">
        <f>IF(AG1766="Rejected",0,IF(R1766="Corporate Card",0,V1766))</f>
        <v>0</v>
      </c>
      <c r="AG1766" s="15" t="s">
        <v>133</v>
      </c>
      <c r="AH1766" s="16">
        <v>45871</v>
      </c>
      <c r="AI1766" s="16">
        <v>45872</v>
      </c>
      <c r="AJ1766" s="16">
        <v>45879</v>
      </c>
      <c r="AK1766" s="17">
        <f>IF(AJ1766="","",AJ1766-AH1766)</f>
        <v>8</v>
      </c>
    </row>
    <row r="1767" spans="1:37">
      <c r="A1767" s="2" t="s">
        <v>2218</v>
      </c>
      <c r="B1767" s="2" t="s">
        <v>375</v>
      </c>
      <c r="C1767" s="2" t="s">
        <v>376</v>
      </c>
      <c r="D1767" s="2" t="s">
        <v>344</v>
      </c>
      <c r="E1767" s="2" t="s">
        <v>377</v>
      </c>
      <c r="F1767" s="2" t="s">
        <v>346</v>
      </c>
      <c r="G1767" s="2" t="s">
        <v>2111</v>
      </c>
      <c r="H1767" s="2" t="s">
        <v>291</v>
      </c>
      <c r="I1767" s="2" t="s">
        <v>651</v>
      </c>
      <c r="J1767" s="2" t="s">
        <v>652</v>
      </c>
      <c r="K1767" s="9">
        <v>45849</v>
      </c>
      <c r="L1767" s="9">
        <v>45855</v>
      </c>
      <c r="M1767" s="9">
        <v>45855</v>
      </c>
      <c r="N1767" s="2" t="s">
        <v>1986</v>
      </c>
      <c r="O1767" s="2" t="s">
        <v>58</v>
      </c>
      <c r="P1767" s="2" t="s">
        <v>142</v>
      </c>
      <c r="Q1767" s="2" t="s">
        <v>203</v>
      </c>
      <c r="R1767" s="2" t="s">
        <v>149</v>
      </c>
      <c r="S1767" s="2" t="s">
        <v>654</v>
      </c>
      <c r="T1767" s="10">
        <v>66.599999999999994</v>
      </c>
      <c r="U1767" s="11">
        <v>0.72799999999999998</v>
      </c>
      <c r="V1767" s="12">
        <f>T1767*U1767</f>
        <v>48.484799999999993</v>
      </c>
      <c r="W1767" s="13">
        <v>0.13</v>
      </c>
      <c r="X1767" s="12">
        <f>V1767-(V1767/(1+W1767))</f>
        <v>5.5778973451327403</v>
      </c>
      <c r="Y1767" s="12">
        <f>V1767-X1767</f>
        <v>42.906902654867253</v>
      </c>
      <c r="Z1767" s="14">
        <v>60</v>
      </c>
      <c r="AA1767" s="2" t="str">
        <f>IF(V1767&gt;Z1767,"Yes","No")</f>
        <v>No</v>
      </c>
      <c r="AB1767" s="12">
        <f>V1767-Z1767</f>
        <v>-11.515200000000007</v>
      </c>
      <c r="AC1767" s="15" t="s">
        <v>130</v>
      </c>
      <c r="AD1767" s="15" t="s">
        <v>130</v>
      </c>
      <c r="AE1767" s="15" t="s">
        <v>260</v>
      </c>
      <c r="AF1767" s="12">
        <f>IF(AG1767="Rejected",0,IF(R1767="Corporate Card",0,V1767))</f>
        <v>48.484799999999993</v>
      </c>
      <c r="AG1767" s="15" t="s">
        <v>133</v>
      </c>
      <c r="AH1767" s="16">
        <v>45856</v>
      </c>
      <c r="AI1767" s="16">
        <v>45862</v>
      </c>
      <c r="AJ1767" s="16">
        <v>45875</v>
      </c>
      <c r="AK1767" s="17">
        <f>IF(AJ1767="","",AJ1767-AH1767)</f>
        <v>19</v>
      </c>
    </row>
    <row r="1768" spans="1:37">
      <c r="A1768" s="2" t="s">
        <v>2219</v>
      </c>
      <c r="B1768" s="2" t="s">
        <v>375</v>
      </c>
      <c r="C1768" s="2" t="s">
        <v>376</v>
      </c>
      <c r="D1768" s="2" t="s">
        <v>344</v>
      </c>
      <c r="E1768" s="2" t="s">
        <v>377</v>
      </c>
      <c r="F1768" s="2" t="s">
        <v>346</v>
      </c>
      <c r="G1768" s="2" t="s">
        <v>2111</v>
      </c>
      <c r="H1768" s="2" t="s">
        <v>291</v>
      </c>
      <c r="I1768" s="2" t="s">
        <v>651</v>
      </c>
      <c r="J1768" s="2" t="s">
        <v>652</v>
      </c>
      <c r="K1768" s="9">
        <v>45849</v>
      </c>
      <c r="L1768" s="9">
        <v>45855</v>
      </c>
      <c r="M1768" s="9">
        <v>45855</v>
      </c>
      <c r="N1768" s="2" t="s">
        <v>1986</v>
      </c>
      <c r="O1768" s="2" t="s">
        <v>54</v>
      </c>
      <c r="P1768" s="2" t="s">
        <v>139</v>
      </c>
      <c r="Q1768" s="2" t="s">
        <v>163</v>
      </c>
      <c r="R1768" s="2" t="s">
        <v>149</v>
      </c>
      <c r="S1768" s="2" t="s">
        <v>654</v>
      </c>
      <c r="T1768" s="10">
        <v>14.43</v>
      </c>
      <c r="U1768" s="11">
        <v>0.72799999999999998</v>
      </c>
      <c r="V1768" s="12">
        <f>T1768*U1768</f>
        <v>10.505039999999999</v>
      </c>
      <c r="W1768" s="13">
        <v>0.13</v>
      </c>
      <c r="X1768" s="12">
        <f>V1768-(V1768/(1+W1768))</f>
        <v>1.2085444247787596</v>
      </c>
      <c r="Y1768" s="12">
        <f>V1768-X1768</f>
        <v>9.2964955752212397</v>
      </c>
      <c r="Z1768" s="14">
        <v>25</v>
      </c>
      <c r="AA1768" s="2" t="str">
        <f>IF(V1768&gt;Z1768,"Yes","No")</f>
        <v>No</v>
      </c>
      <c r="AB1768" s="12">
        <f>V1768-Z1768</f>
        <v>-14.494960000000001</v>
      </c>
      <c r="AC1768" s="15" t="s">
        <v>130</v>
      </c>
      <c r="AD1768" s="15" t="s">
        <v>130</v>
      </c>
      <c r="AE1768" s="15" t="s">
        <v>260</v>
      </c>
      <c r="AF1768" s="12">
        <f>IF(AG1768="Rejected",0,IF(R1768="Corporate Card",0,V1768))</f>
        <v>10.505039999999999</v>
      </c>
      <c r="AG1768" s="15" t="s">
        <v>133</v>
      </c>
      <c r="AH1768" s="16">
        <v>45856</v>
      </c>
      <c r="AI1768" s="16">
        <v>45862</v>
      </c>
      <c r="AJ1768" s="16">
        <v>45875</v>
      </c>
      <c r="AK1768" s="17">
        <f>IF(AJ1768="","",AJ1768-AH1768)</f>
        <v>19</v>
      </c>
    </row>
    <row r="1769" spans="1:37">
      <c r="A1769" s="2" t="s">
        <v>2220</v>
      </c>
      <c r="B1769" s="2" t="s">
        <v>375</v>
      </c>
      <c r="C1769" s="2" t="s">
        <v>376</v>
      </c>
      <c r="D1769" s="2" t="s">
        <v>344</v>
      </c>
      <c r="E1769" s="2" t="s">
        <v>377</v>
      </c>
      <c r="F1769" s="2" t="s">
        <v>346</v>
      </c>
      <c r="G1769" s="2" t="s">
        <v>2111</v>
      </c>
      <c r="H1769" s="2" t="s">
        <v>291</v>
      </c>
      <c r="I1769" s="2" t="s">
        <v>651</v>
      </c>
      <c r="J1769" s="2" t="s">
        <v>652</v>
      </c>
      <c r="K1769" s="9">
        <v>45849</v>
      </c>
      <c r="L1769" s="9">
        <v>45855</v>
      </c>
      <c r="M1769" s="9">
        <v>45855</v>
      </c>
      <c r="N1769" s="2" t="s">
        <v>1986</v>
      </c>
      <c r="O1769" s="2" t="s">
        <v>56</v>
      </c>
      <c r="P1769" s="2" t="s">
        <v>151</v>
      </c>
      <c r="Q1769" s="2" t="s">
        <v>166</v>
      </c>
      <c r="R1769" s="2" t="s">
        <v>149</v>
      </c>
      <c r="S1769" s="2" t="s">
        <v>654</v>
      </c>
      <c r="T1769" s="10">
        <v>52.45</v>
      </c>
      <c r="U1769" s="11">
        <v>0.72799999999999998</v>
      </c>
      <c r="V1769" s="12">
        <f>T1769*U1769</f>
        <v>38.183599999999998</v>
      </c>
      <c r="W1769" s="13">
        <v>0.13</v>
      </c>
      <c r="X1769" s="12">
        <f>V1769-(V1769/(1+W1769))</f>
        <v>4.3928035398230065</v>
      </c>
      <c r="Y1769" s="12">
        <f>V1769-X1769</f>
        <v>33.790796460176992</v>
      </c>
      <c r="Z1769" s="14">
        <v>75</v>
      </c>
      <c r="AA1769" s="2" t="str">
        <f>IF(V1769&gt;Z1769,"Yes","No")</f>
        <v>No</v>
      </c>
      <c r="AB1769" s="12">
        <f>V1769-Z1769</f>
        <v>-36.816400000000002</v>
      </c>
      <c r="AC1769" s="15" t="s">
        <v>130</v>
      </c>
      <c r="AD1769" s="15" t="s">
        <v>130</v>
      </c>
      <c r="AE1769" s="15" t="s">
        <v>260</v>
      </c>
      <c r="AF1769" s="12">
        <f>IF(AG1769="Rejected",0,IF(R1769="Corporate Card",0,V1769))</f>
        <v>38.183599999999998</v>
      </c>
      <c r="AG1769" s="15" t="s">
        <v>133</v>
      </c>
      <c r="AH1769" s="16">
        <v>45856</v>
      </c>
      <c r="AI1769" s="16">
        <v>45862</v>
      </c>
      <c r="AJ1769" s="16">
        <v>45875</v>
      </c>
      <c r="AK1769" s="17">
        <f>IF(AJ1769="","",AJ1769-AH1769)</f>
        <v>19</v>
      </c>
    </row>
    <row r="1770" spans="1:37">
      <c r="A1770" s="2" t="s">
        <v>2221</v>
      </c>
      <c r="B1770" s="2" t="s">
        <v>169</v>
      </c>
      <c r="C1770" s="2" t="s">
        <v>170</v>
      </c>
      <c r="D1770" s="2" t="s">
        <v>171</v>
      </c>
      <c r="E1770" s="2" t="s">
        <v>172</v>
      </c>
      <c r="F1770" s="2" t="s">
        <v>173</v>
      </c>
      <c r="G1770" s="2" t="s">
        <v>2139</v>
      </c>
      <c r="H1770" s="2" t="s">
        <v>193</v>
      </c>
      <c r="I1770" s="2" t="s">
        <v>651</v>
      </c>
      <c r="J1770" s="2" t="s">
        <v>652</v>
      </c>
      <c r="K1770" s="9">
        <v>45850</v>
      </c>
      <c r="L1770" s="9">
        <v>45858</v>
      </c>
      <c r="M1770" s="9">
        <v>45855</v>
      </c>
      <c r="N1770" s="2" t="s">
        <v>1986</v>
      </c>
      <c r="O1770" s="2" t="s">
        <v>58</v>
      </c>
      <c r="P1770" s="2" t="s">
        <v>142</v>
      </c>
      <c r="Q1770" s="2" t="s">
        <v>296</v>
      </c>
      <c r="R1770" s="2" t="s">
        <v>128</v>
      </c>
      <c r="S1770" s="2" t="s">
        <v>654</v>
      </c>
      <c r="T1770" s="10">
        <v>57.49</v>
      </c>
      <c r="U1770" s="11">
        <v>0.72799999999999998</v>
      </c>
      <c r="V1770" s="12">
        <f>T1770*U1770</f>
        <v>41.852719999999998</v>
      </c>
      <c r="W1770" s="13">
        <v>0.13</v>
      </c>
      <c r="X1770" s="12">
        <f>V1770-(V1770/(1+W1770))</f>
        <v>4.814914690265482</v>
      </c>
      <c r="Y1770" s="12">
        <f>V1770-X1770</f>
        <v>37.037805309734516</v>
      </c>
      <c r="Z1770" s="14">
        <v>60</v>
      </c>
      <c r="AA1770" s="2" t="str">
        <f>IF(V1770&gt;Z1770,"Yes","No")</f>
        <v>No</v>
      </c>
      <c r="AB1770" s="12">
        <f>V1770-Z1770</f>
        <v>-18.147280000000002</v>
      </c>
      <c r="AC1770" s="15" t="s">
        <v>130</v>
      </c>
      <c r="AD1770" s="15" t="s">
        <v>130</v>
      </c>
      <c r="AE1770" s="15" t="s">
        <v>350</v>
      </c>
      <c r="AF1770" s="12">
        <f>IF(AG1770="Rejected",0,IF(R1770="Corporate Card",0,V1770))</f>
        <v>0</v>
      </c>
      <c r="AG1770" s="15" t="s">
        <v>133</v>
      </c>
      <c r="AH1770" s="16">
        <v>45866</v>
      </c>
      <c r="AI1770" s="16">
        <v>45867</v>
      </c>
      <c r="AJ1770" s="16">
        <v>45875</v>
      </c>
      <c r="AK1770" s="17">
        <f>IF(AJ1770="","",AJ1770-AH1770)</f>
        <v>9</v>
      </c>
    </row>
    <row r="1771" spans="1:37">
      <c r="A1771" s="2" t="s">
        <v>2222</v>
      </c>
      <c r="B1771" s="2" t="s">
        <v>169</v>
      </c>
      <c r="C1771" s="2" t="s">
        <v>170</v>
      </c>
      <c r="D1771" s="2" t="s">
        <v>171</v>
      </c>
      <c r="E1771" s="2" t="s">
        <v>172</v>
      </c>
      <c r="F1771" s="2" t="s">
        <v>173</v>
      </c>
      <c r="G1771" s="2" t="s">
        <v>2139</v>
      </c>
      <c r="H1771" s="2" t="s">
        <v>193</v>
      </c>
      <c r="I1771" s="2" t="s">
        <v>651</v>
      </c>
      <c r="J1771" s="2" t="s">
        <v>652</v>
      </c>
      <c r="K1771" s="9">
        <v>45850</v>
      </c>
      <c r="L1771" s="9">
        <v>45858</v>
      </c>
      <c r="M1771" s="9">
        <v>45855</v>
      </c>
      <c r="N1771" s="2" t="s">
        <v>1986</v>
      </c>
      <c r="O1771" s="2" t="s">
        <v>56</v>
      </c>
      <c r="P1771" s="2" t="s">
        <v>245</v>
      </c>
      <c r="Q1771" s="2" t="s">
        <v>166</v>
      </c>
      <c r="R1771" s="2" t="s">
        <v>128</v>
      </c>
      <c r="S1771" s="2" t="s">
        <v>654</v>
      </c>
      <c r="T1771" s="10">
        <v>102.52</v>
      </c>
      <c r="U1771" s="11">
        <v>0.72799999999999998</v>
      </c>
      <c r="V1771" s="12">
        <f>T1771*U1771</f>
        <v>74.634559999999993</v>
      </c>
      <c r="W1771" s="13">
        <v>0.13</v>
      </c>
      <c r="X1771" s="12">
        <f>V1771-(V1771/(1+W1771))</f>
        <v>8.5862768141592909</v>
      </c>
      <c r="Y1771" s="12">
        <f>V1771-X1771</f>
        <v>66.048283185840702</v>
      </c>
      <c r="Z1771" s="14">
        <v>75</v>
      </c>
      <c r="AA1771" s="2" t="str">
        <f>IF(V1771&gt;Z1771,"Yes","No")</f>
        <v>No</v>
      </c>
      <c r="AB1771" s="12">
        <f>V1771-Z1771</f>
        <v>-0.36544000000000665</v>
      </c>
      <c r="AC1771" s="15" t="s">
        <v>131</v>
      </c>
      <c r="AD1771" s="15" t="s">
        <v>130</v>
      </c>
      <c r="AE1771" s="15" t="s">
        <v>350</v>
      </c>
      <c r="AF1771" s="12">
        <f>IF(AG1771="Rejected",0,IF(R1771="Corporate Card",0,V1771))</f>
        <v>0</v>
      </c>
      <c r="AG1771" s="15" t="s">
        <v>133</v>
      </c>
      <c r="AH1771" s="16">
        <v>45866</v>
      </c>
      <c r="AI1771" s="16">
        <v>45867</v>
      </c>
      <c r="AJ1771" s="16">
        <v>45875</v>
      </c>
      <c r="AK1771" s="17">
        <f>IF(AJ1771="","",AJ1771-AH1771)</f>
        <v>9</v>
      </c>
    </row>
    <row r="1772" spans="1:37">
      <c r="A1772" s="2" t="s">
        <v>2223</v>
      </c>
      <c r="B1772" s="2" t="s">
        <v>310</v>
      </c>
      <c r="C1772" s="2" t="s">
        <v>311</v>
      </c>
      <c r="D1772" s="2" t="s">
        <v>118</v>
      </c>
      <c r="E1772" s="2" t="s">
        <v>312</v>
      </c>
      <c r="F1772" s="2" t="s">
        <v>313</v>
      </c>
      <c r="G1772" s="2" t="s">
        <v>2099</v>
      </c>
      <c r="H1772" s="2" t="s">
        <v>348</v>
      </c>
      <c r="I1772" s="2" t="s">
        <v>553</v>
      </c>
      <c r="J1772" s="2" t="s">
        <v>553</v>
      </c>
      <c r="K1772" s="9">
        <v>45848</v>
      </c>
      <c r="L1772" s="9">
        <v>45856</v>
      </c>
      <c r="M1772" s="9">
        <v>45855</v>
      </c>
      <c r="N1772" s="2" t="s">
        <v>1986</v>
      </c>
      <c r="O1772" s="2" t="s">
        <v>67</v>
      </c>
      <c r="P1772" s="2" t="s">
        <v>401</v>
      </c>
      <c r="Q1772" s="2" t="s">
        <v>574</v>
      </c>
      <c r="R1772" s="2" t="s">
        <v>128</v>
      </c>
      <c r="S1772" s="2" t="s">
        <v>555</v>
      </c>
      <c r="T1772" s="10">
        <v>116.94</v>
      </c>
      <c r="U1772" s="11">
        <v>0.74299999999999999</v>
      </c>
      <c r="V1772" s="12">
        <f>T1772*U1772</f>
        <v>86.886420000000001</v>
      </c>
      <c r="W1772" s="13">
        <v>0.09</v>
      </c>
      <c r="X1772" s="12">
        <f>V1772-(V1772/(1+W1772))</f>
        <v>7.1741080733945068</v>
      </c>
      <c r="Y1772" s="12">
        <f>V1772-X1772</f>
        <v>79.712311926605494</v>
      </c>
      <c r="Z1772" s="14">
        <v>100</v>
      </c>
      <c r="AA1772" s="2" t="str">
        <f>IF(V1772&gt;Z1772,"Yes","No")</f>
        <v>No</v>
      </c>
      <c r="AB1772" s="12">
        <f>V1772-Z1772</f>
        <v>-13.113579999999999</v>
      </c>
      <c r="AC1772" s="15" t="s">
        <v>130</v>
      </c>
      <c r="AD1772" s="15" t="s">
        <v>130</v>
      </c>
      <c r="AE1772" s="15" t="s">
        <v>180</v>
      </c>
      <c r="AF1772" s="12">
        <f>IF(AG1772="Rejected",0,IF(R1772="Corporate Card",0,V1772))</f>
        <v>0</v>
      </c>
      <c r="AG1772" s="15" t="s">
        <v>133</v>
      </c>
      <c r="AH1772" s="16">
        <v>45865</v>
      </c>
      <c r="AI1772" s="16">
        <v>45867</v>
      </c>
      <c r="AJ1772" s="16">
        <v>45876</v>
      </c>
      <c r="AK1772" s="17">
        <f>IF(AJ1772="","",AJ1772-AH1772)</f>
        <v>11</v>
      </c>
    </row>
    <row r="1773" spans="1:37">
      <c r="A1773" s="2" t="s">
        <v>2224</v>
      </c>
      <c r="B1773" s="2" t="s">
        <v>310</v>
      </c>
      <c r="C1773" s="2" t="s">
        <v>311</v>
      </c>
      <c r="D1773" s="2" t="s">
        <v>118</v>
      </c>
      <c r="E1773" s="2" t="s">
        <v>312</v>
      </c>
      <c r="F1773" s="2" t="s">
        <v>313</v>
      </c>
      <c r="G1773" s="2" t="s">
        <v>2099</v>
      </c>
      <c r="H1773" s="2" t="s">
        <v>348</v>
      </c>
      <c r="I1773" s="2" t="s">
        <v>553</v>
      </c>
      <c r="J1773" s="2" t="s">
        <v>553</v>
      </c>
      <c r="K1773" s="9">
        <v>45848</v>
      </c>
      <c r="L1773" s="9">
        <v>45856</v>
      </c>
      <c r="M1773" s="9">
        <v>45855</v>
      </c>
      <c r="N1773" s="2" t="s">
        <v>1986</v>
      </c>
      <c r="O1773" s="2" t="s">
        <v>58</v>
      </c>
      <c r="P1773" s="2" t="s">
        <v>142</v>
      </c>
      <c r="Q1773" s="2" t="s">
        <v>203</v>
      </c>
      <c r="R1773" s="2" t="s">
        <v>128</v>
      </c>
      <c r="S1773" s="2" t="s">
        <v>555</v>
      </c>
      <c r="T1773" s="10">
        <v>41.74</v>
      </c>
      <c r="U1773" s="11">
        <v>0.74299999999999999</v>
      </c>
      <c r="V1773" s="12">
        <f>T1773*U1773</f>
        <v>31.012820000000001</v>
      </c>
      <c r="W1773" s="13">
        <v>0.09</v>
      </c>
      <c r="X1773" s="12">
        <f>V1773-(V1773/(1+W1773))</f>
        <v>2.5606915596330282</v>
      </c>
      <c r="Y1773" s="12">
        <f>V1773-X1773</f>
        <v>28.452128440366973</v>
      </c>
      <c r="Z1773" s="14">
        <v>60</v>
      </c>
      <c r="AA1773" s="2" t="str">
        <f>IF(V1773&gt;Z1773,"Yes","No")</f>
        <v>No</v>
      </c>
      <c r="AB1773" s="12">
        <f>V1773-Z1773</f>
        <v>-28.987179999999999</v>
      </c>
      <c r="AC1773" s="15" t="s">
        <v>130</v>
      </c>
      <c r="AD1773" s="15" t="s">
        <v>130</v>
      </c>
      <c r="AE1773" s="15" t="s">
        <v>180</v>
      </c>
      <c r="AF1773" s="12">
        <f>IF(AG1773="Rejected",0,IF(R1773="Corporate Card",0,V1773))</f>
        <v>0</v>
      </c>
      <c r="AG1773" s="15" t="s">
        <v>133</v>
      </c>
      <c r="AH1773" s="16">
        <v>45865</v>
      </c>
      <c r="AI1773" s="16">
        <v>45867</v>
      </c>
      <c r="AJ1773" s="16">
        <v>45876</v>
      </c>
      <c r="AK1773" s="17">
        <f>IF(AJ1773="","",AJ1773-AH1773)</f>
        <v>11</v>
      </c>
    </row>
    <row r="1774" spans="1:37">
      <c r="A1774" s="2" t="s">
        <v>2225</v>
      </c>
      <c r="B1774" s="2" t="s">
        <v>310</v>
      </c>
      <c r="C1774" s="2" t="s">
        <v>311</v>
      </c>
      <c r="D1774" s="2" t="s">
        <v>118</v>
      </c>
      <c r="E1774" s="2" t="s">
        <v>312</v>
      </c>
      <c r="F1774" s="2" t="s">
        <v>313</v>
      </c>
      <c r="G1774" s="2" t="s">
        <v>2099</v>
      </c>
      <c r="H1774" s="2" t="s">
        <v>348</v>
      </c>
      <c r="I1774" s="2" t="s">
        <v>553</v>
      </c>
      <c r="J1774" s="2" t="s">
        <v>553</v>
      </c>
      <c r="K1774" s="9">
        <v>45848</v>
      </c>
      <c r="L1774" s="9">
        <v>45856</v>
      </c>
      <c r="M1774" s="9">
        <v>45855</v>
      </c>
      <c r="N1774" s="2" t="s">
        <v>1986</v>
      </c>
      <c r="O1774" s="2" t="s">
        <v>54</v>
      </c>
      <c r="P1774" s="2" t="s">
        <v>139</v>
      </c>
      <c r="Q1774" s="2" t="s">
        <v>163</v>
      </c>
      <c r="R1774" s="2" t="s">
        <v>128</v>
      </c>
      <c r="S1774" s="2" t="s">
        <v>555</v>
      </c>
      <c r="T1774" s="10">
        <v>19.399999999999999</v>
      </c>
      <c r="U1774" s="11">
        <v>0.74299999999999999</v>
      </c>
      <c r="V1774" s="12">
        <f>T1774*U1774</f>
        <v>14.414199999999999</v>
      </c>
      <c r="W1774" s="13">
        <v>0.09</v>
      </c>
      <c r="X1774" s="12">
        <f>V1774-(V1774/(1+W1774))</f>
        <v>1.1901633027522944</v>
      </c>
      <c r="Y1774" s="12">
        <f>V1774-X1774</f>
        <v>13.224036697247705</v>
      </c>
      <c r="Z1774" s="14">
        <v>25</v>
      </c>
      <c r="AA1774" s="2" t="str">
        <f>IF(V1774&gt;Z1774,"Yes","No")</f>
        <v>No</v>
      </c>
      <c r="AB1774" s="12">
        <f>V1774-Z1774</f>
        <v>-10.585800000000001</v>
      </c>
      <c r="AC1774" s="15" t="s">
        <v>130</v>
      </c>
      <c r="AD1774" s="15" t="s">
        <v>130</v>
      </c>
      <c r="AE1774" s="15" t="s">
        <v>180</v>
      </c>
      <c r="AF1774" s="12">
        <f>IF(AG1774="Rejected",0,IF(R1774="Corporate Card",0,V1774))</f>
        <v>0</v>
      </c>
      <c r="AG1774" s="15" t="s">
        <v>133</v>
      </c>
      <c r="AH1774" s="16">
        <v>45865</v>
      </c>
      <c r="AI1774" s="16">
        <v>45867</v>
      </c>
      <c r="AJ1774" s="16">
        <v>45876</v>
      </c>
      <c r="AK1774" s="17">
        <f>IF(AJ1774="","",AJ1774-AH1774)</f>
        <v>11</v>
      </c>
    </row>
    <row r="1775" spans="1:37">
      <c r="A1775" s="2" t="s">
        <v>2226</v>
      </c>
      <c r="B1775" s="2" t="s">
        <v>310</v>
      </c>
      <c r="C1775" s="2" t="s">
        <v>311</v>
      </c>
      <c r="D1775" s="2" t="s">
        <v>118</v>
      </c>
      <c r="E1775" s="2" t="s">
        <v>312</v>
      </c>
      <c r="F1775" s="2" t="s">
        <v>313</v>
      </c>
      <c r="G1775" s="2" t="s">
        <v>2099</v>
      </c>
      <c r="H1775" s="2" t="s">
        <v>348</v>
      </c>
      <c r="I1775" s="2" t="s">
        <v>553</v>
      </c>
      <c r="J1775" s="2" t="s">
        <v>553</v>
      </c>
      <c r="K1775" s="9">
        <v>45848</v>
      </c>
      <c r="L1775" s="9">
        <v>45856</v>
      </c>
      <c r="M1775" s="9">
        <v>45855</v>
      </c>
      <c r="N1775" s="2" t="s">
        <v>1986</v>
      </c>
      <c r="O1775" s="2" t="s">
        <v>56</v>
      </c>
      <c r="P1775" s="2" t="s">
        <v>151</v>
      </c>
      <c r="Q1775" s="2" t="s">
        <v>227</v>
      </c>
      <c r="R1775" s="2" t="s">
        <v>137</v>
      </c>
      <c r="S1775" s="2" t="s">
        <v>555</v>
      </c>
      <c r="T1775" s="10">
        <v>63.09</v>
      </c>
      <c r="U1775" s="11">
        <v>0.74299999999999999</v>
      </c>
      <c r="V1775" s="12">
        <f>T1775*U1775</f>
        <v>46.875869999999999</v>
      </c>
      <c r="W1775" s="13">
        <v>0.09</v>
      </c>
      <c r="X1775" s="12">
        <f>V1775-(V1775/(1+W1775))</f>
        <v>3.8704846788990821</v>
      </c>
      <c r="Y1775" s="12">
        <f>V1775-X1775</f>
        <v>43.005385321100917</v>
      </c>
      <c r="Z1775" s="14">
        <v>75</v>
      </c>
      <c r="AA1775" s="2" t="str">
        <f>IF(V1775&gt;Z1775,"Yes","No")</f>
        <v>No</v>
      </c>
      <c r="AB1775" s="12">
        <f>V1775-Z1775</f>
        <v>-28.124130000000001</v>
      </c>
      <c r="AC1775" s="15" t="s">
        <v>130</v>
      </c>
      <c r="AD1775" s="15" t="s">
        <v>130</v>
      </c>
      <c r="AE1775" s="15" t="s">
        <v>180</v>
      </c>
      <c r="AF1775" s="12">
        <f>IF(AG1775="Rejected",0,IF(R1775="Corporate Card",0,V1775))</f>
        <v>46.875869999999999</v>
      </c>
      <c r="AG1775" s="15" t="s">
        <v>133</v>
      </c>
      <c r="AH1775" s="16">
        <v>45865</v>
      </c>
      <c r="AI1775" s="16">
        <v>45867</v>
      </c>
      <c r="AJ1775" s="16">
        <v>45876</v>
      </c>
      <c r="AK1775" s="17">
        <f>IF(AJ1775="","",AJ1775-AH1775)</f>
        <v>11</v>
      </c>
    </row>
    <row r="1776" spans="1:37">
      <c r="A1776" s="2" t="s">
        <v>2227</v>
      </c>
      <c r="B1776" s="2" t="s">
        <v>310</v>
      </c>
      <c r="C1776" s="2" t="s">
        <v>311</v>
      </c>
      <c r="D1776" s="2" t="s">
        <v>118</v>
      </c>
      <c r="E1776" s="2" t="s">
        <v>312</v>
      </c>
      <c r="F1776" s="2" t="s">
        <v>313</v>
      </c>
      <c r="G1776" s="2" t="s">
        <v>2099</v>
      </c>
      <c r="H1776" s="2" t="s">
        <v>348</v>
      </c>
      <c r="I1776" s="2" t="s">
        <v>553</v>
      </c>
      <c r="J1776" s="2" t="s">
        <v>553</v>
      </c>
      <c r="K1776" s="9">
        <v>45848</v>
      </c>
      <c r="L1776" s="9">
        <v>45856</v>
      </c>
      <c r="M1776" s="9">
        <v>45855</v>
      </c>
      <c r="N1776" s="2" t="s">
        <v>1986</v>
      </c>
      <c r="O1776" s="2" t="s">
        <v>55</v>
      </c>
      <c r="P1776" s="2" t="s">
        <v>139</v>
      </c>
      <c r="Q1776" s="2" t="s">
        <v>187</v>
      </c>
      <c r="R1776" s="2" t="s">
        <v>137</v>
      </c>
      <c r="S1776" s="2" t="s">
        <v>555</v>
      </c>
      <c r="T1776" s="10">
        <v>26.23</v>
      </c>
      <c r="U1776" s="11">
        <v>0.74299999999999999</v>
      </c>
      <c r="V1776" s="12">
        <f>T1776*U1776</f>
        <v>19.488890000000001</v>
      </c>
      <c r="W1776" s="13">
        <v>0.09</v>
      </c>
      <c r="X1776" s="12">
        <f>V1776-(V1776/(1+W1776))</f>
        <v>1.6091744036697264</v>
      </c>
      <c r="Y1776" s="12">
        <f>V1776-X1776</f>
        <v>17.879715596330275</v>
      </c>
      <c r="Z1776" s="14">
        <v>35</v>
      </c>
      <c r="AA1776" s="2" t="str">
        <f>IF(V1776&gt;Z1776,"Yes","No")</f>
        <v>No</v>
      </c>
      <c r="AB1776" s="12">
        <f>V1776-Z1776</f>
        <v>-15.511109999999999</v>
      </c>
      <c r="AC1776" s="15" t="s">
        <v>130</v>
      </c>
      <c r="AD1776" s="15" t="s">
        <v>130</v>
      </c>
      <c r="AE1776" s="15" t="s">
        <v>180</v>
      </c>
      <c r="AF1776" s="12">
        <f>IF(AG1776="Rejected",0,IF(R1776="Corporate Card",0,V1776))</f>
        <v>19.488890000000001</v>
      </c>
      <c r="AG1776" s="15" t="s">
        <v>133</v>
      </c>
      <c r="AH1776" s="16">
        <v>45865</v>
      </c>
      <c r="AI1776" s="16">
        <v>45867</v>
      </c>
      <c r="AJ1776" s="16">
        <v>45876</v>
      </c>
      <c r="AK1776" s="17">
        <f>IF(AJ1776="","",AJ1776-AH1776)</f>
        <v>11</v>
      </c>
    </row>
    <row r="1777" spans="1:37">
      <c r="A1777" s="2" t="s">
        <v>2228</v>
      </c>
      <c r="B1777" s="2" t="s">
        <v>2212</v>
      </c>
      <c r="C1777" s="2" t="s">
        <v>346</v>
      </c>
      <c r="D1777" s="2" t="s">
        <v>344</v>
      </c>
      <c r="E1777" s="2" t="s">
        <v>2213</v>
      </c>
      <c r="F1777" s="2" t="s">
        <v>313</v>
      </c>
      <c r="G1777" s="2" t="s">
        <v>2214</v>
      </c>
      <c r="H1777" s="2" t="s">
        <v>748</v>
      </c>
      <c r="I1777" s="2" t="s">
        <v>380</v>
      </c>
      <c r="J1777" s="2" t="s">
        <v>381</v>
      </c>
      <c r="K1777" s="9">
        <v>45855</v>
      </c>
      <c r="L1777" s="9">
        <v>45860</v>
      </c>
      <c r="M1777" s="9">
        <v>45856</v>
      </c>
      <c r="N1777" s="2" t="s">
        <v>1986</v>
      </c>
      <c r="O1777" s="2" t="s">
        <v>59</v>
      </c>
      <c r="P1777" s="2" t="s">
        <v>301</v>
      </c>
      <c r="Q1777" s="2" t="s">
        <v>464</v>
      </c>
      <c r="R1777" s="2" t="s">
        <v>149</v>
      </c>
      <c r="S1777" s="2" t="s">
        <v>383</v>
      </c>
      <c r="T1777" s="10">
        <v>172.55</v>
      </c>
      <c r="U1777" s="11">
        <v>1</v>
      </c>
      <c r="V1777" s="12">
        <f>T1777*U1777</f>
        <v>172.55</v>
      </c>
      <c r="W1777" s="13">
        <v>0</v>
      </c>
      <c r="X1777" s="12">
        <f>V1777-(V1777/(1+W1777))</f>
        <v>0</v>
      </c>
      <c r="Y1777" s="12">
        <f>V1777-X1777</f>
        <v>172.55</v>
      </c>
      <c r="Z1777" s="14">
        <v>150</v>
      </c>
      <c r="AA1777" s="2" t="str">
        <f>IF(V1777&gt;Z1777,"Yes","No")</f>
        <v>Yes</v>
      </c>
      <c r="AB1777" s="12">
        <f>V1777-Z1777</f>
        <v>22.550000000000011</v>
      </c>
      <c r="AC1777" s="15" t="s">
        <v>130</v>
      </c>
      <c r="AD1777" s="15" t="s">
        <v>130</v>
      </c>
      <c r="AE1777" s="15" t="s">
        <v>421</v>
      </c>
      <c r="AF1777" s="12">
        <f>IF(AG1777="Rejected",0,IF(R1777="Corporate Card",0,V1777))</f>
        <v>172.55</v>
      </c>
      <c r="AG1777" s="15" t="s">
        <v>133</v>
      </c>
      <c r="AH1777" s="16">
        <v>45871</v>
      </c>
      <c r="AI1777" s="16">
        <v>45872</v>
      </c>
      <c r="AJ1777" s="16">
        <v>45879</v>
      </c>
      <c r="AK1777" s="17">
        <f>IF(AJ1777="","",AJ1777-AH1777)</f>
        <v>8</v>
      </c>
    </row>
    <row r="1778" spans="1:37">
      <c r="A1778" s="2" t="s">
        <v>2229</v>
      </c>
      <c r="B1778" s="2" t="s">
        <v>2212</v>
      </c>
      <c r="C1778" s="2" t="s">
        <v>346</v>
      </c>
      <c r="D1778" s="2" t="s">
        <v>344</v>
      </c>
      <c r="E1778" s="2" t="s">
        <v>2213</v>
      </c>
      <c r="F1778" s="2" t="s">
        <v>313</v>
      </c>
      <c r="G1778" s="2" t="s">
        <v>2214</v>
      </c>
      <c r="H1778" s="2" t="s">
        <v>748</v>
      </c>
      <c r="I1778" s="2" t="s">
        <v>380</v>
      </c>
      <c r="J1778" s="2" t="s">
        <v>381</v>
      </c>
      <c r="K1778" s="9">
        <v>45855</v>
      </c>
      <c r="L1778" s="9">
        <v>45860</v>
      </c>
      <c r="M1778" s="9">
        <v>45856</v>
      </c>
      <c r="N1778" s="2" t="s">
        <v>1986</v>
      </c>
      <c r="O1778" s="2" t="s">
        <v>53</v>
      </c>
      <c r="P1778" s="2" t="s">
        <v>271</v>
      </c>
      <c r="Q1778" s="2" t="s">
        <v>305</v>
      </c>
      <c r="R1778" s="2" t="s">
        <v>149</v>
      </c>
      <c r="S1778" s="2" t="s">
        <v>383</v>
      </c>
      <c r="T1778" s="10">
        <v>784.92</v>
      </c>
      <c r="U1778" s="11">
        <v>1</v>
      </c>
      <c r="V1778" s="12">
        <f>T1778*U1778</f>
        <v>784.92</v>
      </c>
      <c r="W1778" s="13">
        <v>0</v>
      </c>
      <c r="X1778" s="12">
        <f>V1778-(V1778/(1+W1778))</f>
        <v>0</v>
      </c>
      <c r="Y1778" s="12">
        <f>V1778-X1778</f>
        <v>784.92</v>
      </c>
      <c r="Z1778" s="14">
        <v>1400</v>
      </c>
      <c r="AA1778" s="2" t="str">
        <f>IF(V1778&gt;Z1778,"Yes","No")</f>
        <v>No</v>
      </c>
      <c r="AB1778" s="12">
        <f>V1778-Z1778</f>
        <v>-615.08000000000004</v>
      </c>
      <c r="AC1778" s="15" t="s">
        <v>130</v>
      </c>
      <c r="AD1778" s="15" t="s">
        <v>130</v>
      </c>
      <c r="AE1778" s="15" t="s">
        <v>421</v>
      </c>
      <c r="AF1778" s="12">
        <f>IF(AG1778="Rejected",0,IF(R1778="Corporate Card",0,V1778))</f>
        <v>784.92</v>
      </c>
      <c r="AG1778" s="15" t="s">
        <v>133</v>
      </c>
      <c r="AH1778" s="16">
        <v>45871</v>
      </c>
      <c r="AI1778" s="16">
        <v>45872</v>
      </c>
      <c r="AJ1778" s="16">
        <v>45879</v>
      </c>
      <c r="AK1778" s="17">
        <f>IF(AJ1778="","",AJ1778-AH1778)</f>
        <v>8</v>
      </c>
    </row>
    <row r="1779" spans="1:37">
      <c r="A1779" s="2" t="s">
        <v>2230</v>
      </c>
      <c r="B1779" s="2" t="s">
        <v>2212</v>
      </c>
      <c r="C1779" s="2" t="s">
        <v>346</v>
      </c>
      <c r="D1779" s="2" t="s">
        <v>344</v>
      </c>
      <c r="E1779" s="2" t="s">
        <v>2213</v>
      </c>
      <c r="F1779" s="2" t="s">
        <v>313</v>
      </c>
      <c r="G1779" s="2" t="s">
        <v>2214</v>
      </c>
      <c r="H1779" s="2" t="s">
        <v>748</v>
      </c>
      <c r="I1779" s="2" t="s">
        <v>380</v>
      </c>
      <c r="J1779" s="2" t="s">
        <v>381</v>
      </c>
      <c r="K1779" s="9">
        <v>45855</v>
      </c>
      <c r="L1779" s="9">
        <v>45860</v>
      </c>
      <c r="M1779" s="9">
        <v>45856</v>
      </c>
      <c r="N1779" s="2" t="s">
        <v>1986</v>
      </c>
      <c r="O1779" s="2" t="s">
        <v>54</v>
      </c>
      <c r="P1779" s="2" t="s">
        <v>139</v>
      </c>
      <c r="Q1779" s="2" t="s">
        <v>148</v>
      </c>
      <c r="R1779" s="2" t="s">
        <v>149</v>
      </c>
      <c r="S1779" s="2" t="s">
        <v>383</v>
      </c>
      <c r="T1779" s="10">
        <v>15.08</v>
      </c>
      <c r="U1779" s="11">
        <v>1</v>
      </c>
      <c r="V1779" s="12">
        <f>T1779*U1779</f>
        <v>15.08</v>
      </c>
      <c r="W1779" s="13">
        <v>0</v>
      </c>
      <c r="X1779" s="12">
        <f>V1779-(V1779/(1+W1779))</f>
        <v>0</v>
      </c>
      <c r="Y1779" s="12">
        <f>V1779-X1779</f>
        <v>15.08</v>
      </c>
      <c r="Z1779" s="14">
        <v>25</v>
      </c>
      <c r="AA1779" s="2" t="str">
        <f>IF(V1779&gt;Z1779,"Yes","No")</f>
        <v>No</v>
      </c>
      <c r="AB1779" s="12">
        <f>V1779-Z1779</f>
        <v>-9.92</v>
      </c>
      <c r="AC1779" s="15" t="s">
        <v>130</v>
      </c>
      <c r="AD1779" s="15" t="s">
        <v>130</v>
      </c>
      <c r="AE1779" s="15" t="s">
        <v>421</v>
      </c>
      <c r="AF1779" s="12">
        <f>IF(AG1779="Rejected",0,IF(R1779="Corporate Card",0,V1779))</f>
        <v>15.08</v>
      </c>
      <c r="AG1779" s="15" t="s">
        <v>133</v>
      </c>
      <c r="AH1779" s="16">
        <v>45871</v>
      </c>
      <c r="AI1779" s="16">
        <v>45872</v>
      </c>
      <c r="AJ1779" s="16">
        <v>45879</v>
      </c>
      <c r="AK1779" s="17">
        <f>IF(AJ1779="","",AJ1779-AH1779)</f>
        <v>8</v>
      </c>
    </row>
    <row r="1780" spans="1:37">
      <c r="A1780" s="2" t="s">
        <v>2231</v>
      </c>
      <c r="B1780" s="2" t="s">
        <v>2212</v>
      </c>
      <c r="C1780" s="2" t="s">
        <v>346</v>
      </c>
      <c r="D1780" s="2" t="s">
        <v>344</v>
      </c>
      <c r="E1780" s="2" t="s">
        <v>2213</v>
      </c>
      <c r="F1780" s="2" t="s">
        <v>313</v>
      </c>
      <c r="G1780" s="2" t="s">
        <v>2214</v>
      </c>
      <c r="H1780" s="2" t="s">
        <v>748</v>
      </c>
      <c r="I1780" s="2" t="s">
        <v>380</v>
      </c>
      <c r="J1780" s="2" t="s">
        <v>381</v>
      </c>
      <c r="K1780" s="9">
        <v>45855</v>
      </c>
      <c r="L1780" s="9">
        <v>45860</v>
      </c>
      <c r="M1780" s="9">
        <v>45856</v>
      </c>
      <c r="N1780" s="2" t="s">
        <v>1986</v>
      </c>
      <c r="O1780" s="2" t="s">
        <v>56</v>
      </c>
      <c r="P1780" s="2" t="s">
        <v>151</v>
      </c>
      <c r="Q1780" s="2" t="s">
        <v>152</v>
      </c>
      <c r="R1780" s="2" t="s">
        <v>137</v>
      </c>
      <c r="S1780" s="2" t="s">
        <v>383</v>
      </c>
      <c r="T1780" s="10">
        <v>50.94</v>
      </c>
      <c r="U1780" s="11">
        <v>1</v>
      </c>
      <c r="V1780" s="12">
        <f>T1780*U1780</f>
        <v>50.94</v>
      </c>
      <c r="W1780" s="13">
        <v>0</v>
      </c>
      <c r="X1780" s="12">
        <f>V1780-(V1780/(1+W1780))</f>
        <v>0</v>
      </c>
      <c r="Y1780" s="12">
        <f>V1780-X1780</f>
        <v>50.94</v>
      </c>
      <c r="Z1780" s="14">
        <v>75</v>
      </c>
      <c r="AA1780" s="2" t="str">
        <f>IF(V1780&gt;Z1780,"Yes","No")</f>
        <v>No</v>
      </c>
      <c r="AB1780" s="12">
        <f>V1780-Z1780</f>
        <v>-24.060000000000002</v>
      </c>
      <c r="AC1780" s="15" t="s">
        <v>130</v>
      </c>
      <c r="AD1780" s="15" t="s">
        <v>130</v>
      </c>
      <c r="AE1780" s="15" t="s">
        <v>421</v>
      </c>
      <c r="AF1780" s="12">
        <f>IF(AG1780="Rejected",0,IF(R1780="Corporate Card",0,V1780))</f>
        <v>50.94</v>
      </c>
      <c r="AG1780" s="15" t="s">
        <v>133</v>
      </c>
      <c r="AH1780" s="16">
        <v>45871</v>
      </c>
      <c r="AI1780" s="16">
        <v>45872</v>
      </c>
      <c r="AJ1780" s="16">
        <v>45879</v>
      </c>
      <c r="AK1780" s="17">
        <f>IF(AJ1780="","",AJ1780-AH1780)</f>
        <v>8</v>
      </c>
    </row>
    <row r="1781" spans="1:37">
      <c r="A1781" s="2" t="s">
        <v>2232</v>
      </c>
      <c r="B1781" s="2" t="s">
        <v>2212</v>
      </c>
      <c r="C1781" s="2" t="s">
        <v>346</v>
      </c>
      <c r="D1781" s="2" t="s">
        <v>344</v>
      </c>
      <c r="E1781" s="2" t="s">
        <v>2213</v>
      </c>
      <c r="F1781" s="2" t="s">
        <v>313</v>
      </c>
      <c r="G1781" s="2" t="s">
        <v>2214</v>
      </c>
      <c r="H1781" s="2" t="s">
        <v>748</v>
      </c>
      <c r="I1781" s="2" t="s">
        <v>380</v>
      </c>
      <c r="J1781" s="2" t="s">
        <v>381</v>
      </c>
      <c r="K1781" s="9">
        <v>45855</v>
      </c>
      <c r="L1781" s="9">
        <v>45860</v>
      </c>
      <c r="M1781" s="9">
        <v>45856</v>
      </c>
      <c r="N1781" s="2" t="s">
        <v>1986</v>
      </c>
      <c r="O1781" s="2" t="s">
        <v>55</v>
      </c>
      <c r="P1781" s="2" t="s">
        <v>139</v>
      </c>
      <c r="Q1781" s="2" t="s">
        <v>154</v>
      </c>
      <c r="R1781" s="2" t="s">
        <v>128</v>
      </c>
      <c r="S1781" s="2" t="s">
        <v>383</v>
      </c>
      <c r="T1781" s="10">
        <v>26.53</v>
      </c>
      <c r="U1781" s="11">
        <v>1</v>
      </c>
      <c r="V1781" s="12">
        <f>T1781*U1781</f>
        <v>26.53</v>
      </c>
      <c r="W1781" s="13">
        <v>0</v>
      </c>
      <c r="X1781" s="12">
        <f>V1781-(V1781/(1+W1781))</f>
        <v>0</v>
      </c>
      <c r="Y1781" s="12">
        <f>V1781-X1781</f>
        <v>26.53</v>
      </c>
      <c r="Z1781" s="14">
        <v>35</v>
      </c>
      <c r="AA1781" s="2" t="str">
        <f>IF(V1781&gt;Z1781,"Yes","No")</f>
        <v>No</v>
      </c>
      <c r="AB1781" s="12">
        <f>V1781-Z1781</f>
        <v>-8.4699999999999989</v>
      </c>
      <c r="AC1781" s="15" t="s">
        <v>130</v>
      </c>
      <c r="AD1781" s="15" t="s">
        <v>130</v>
      </c>
      <c r="AE1781" s="15" t="s">
        <v>421</v>
      </c>
      <c r="AF1781" s="12">
        <f>IF(AG1781="Rejected",0,IF(R1781="Corporate Card",0,V1781))</f>
        <v>0</v>
      </c>
      <c r="AG1781" s="15" t="s">
        <v>133</v>
      </c>
      <c r="AH1781" s="16">
        <v>45871</v>
      </c>
      <c r="AI1781" s="16">
        <v>45872</v>
      </c>
      <c r="AJ1781" s="16">
        <v>45879</v>
      </c>
      <c r="AK1781" s="17">
        <f>IF(AJ1781="","",AJ1781-AH1781)</f>
        <v>8</v>
      </c>
    </row>
    <row r="1782" spans="1:37">
      <c r="A1782" s="2" t="s">
        <v>2233</v>
      </c>
      <c r="B1782" s="2" t="s">
        <v>1749</v>
      </c>
      <c r="C1782" s="2" t="s">
        <v>1750</v>
      </c>
      <c r="D1782" s="2" t="s">
        <v>118</v>
      </c>
      <c r="E1782" s="2" t="s">
        <v>119</v>
      </c>
      <c r="F1782" s="2" t="s">
        <v>120</v>
      </c>
      <c r="G1782" s="2" t="s">
        <v>2234</v>
      </c>
      <c r="H1782" s="2" t="s">
        <v>379</v>
      </c>
      <c r="I1782" s="2" t="s">
        <v>175</v>
      </c>
      <c r="J1782" s="2" t="s">
        <v>176</v>
      </c>
      <c r="K1782" s="9">
        <v>45856</v>
      </c>
      <c r="L1782" s="9">
        <v>45861</v>
      </c>
      <c r="M1782" s="9">
        <v>45856</v>
      </c>
      <c r="N1782" s="2" t="s">
        <v>1986</v>
      </c>
      <c r="O1782" s="2" t="s">
        <v>52</v>
      </c>
      <c r="P1782" s="2" t="s">
        <v>177</v>
      </c>
      <c r="Q1782" s="2" t="s">
        <v>197</v>
      </c>
      <c r="R1782" s="2" t="s">
        <v>128</v>
      </c>
      <c r="S1782" s="2" t="s">
        <v>179</v>
      </c>
      <c r="T1782" s="10">
        <v>12908.13</v>
      </c>
      <c r="U1782" s="11">
        <v>0.18099999999999999</v>
      </c>
      <c r="V1782" s="12">
        <f>T1782*U1782</f>
        <v>2336.3715299999999</v>
      </c>
      <c r="W1782" s="13">
        <v>0</v>
      </c>
      <c r="X1782" s="12">
        <f>V1782-(V1782/(1+W1782))</f>
        <v>0</v>
      </c>
      <c r="Y1782" s="12">
        <f>V1782-X1782</f>
        <v>2336.3715299999999</v>
      </c>
      <c r="Z1782" s="14">
        <v>1400</v>
      </c>
      <c r="AA1782" s="2" t="str">
        <f>IF(V1782&gt;Z1782,"Yes","No")</f>
        <v>Yes</v>
      </c>
      <c r="AB1782" s="12">
        <f>V1782-Z1782</f>
        <v>936.37152999999989</v>
      </c>
      <c r="AC1782" s="15" t="s">
        <v>130</v>
      </c>
      <c r="AD1782" s="15" t="s">
        <v>130</v>
      </c>
      <c r="AE1782" s="15" t="s">
        <v>858</v>
      </c>
      <c r="AF1782" s="12">
        <f>IF(AG1782="Rejected",0,IF(R1782="Corporate Card",0,V1782))</f>
        <v>0</v>
      </c>
      <c r="AG1782" s="15" t="s">
        <v>804</v>
      </c>
      <c r="AH1782" s="16">
        <v>45862</v>
      </c>
      <c r="AI1782" s="16"/>
      <c r="AJ1782" s="16"/>
      <c r="AK1782" s="17" t="str">
        <f>IF(AJ1782="","",AJ1782-AH1782)</f>
        <v/>
      </c>
    </row>
    <row r="1783" spans="1:37">
      <c r="A1783" s="2" t="s">
        <v>2235</v>
      </c>
      <c r="B1783" s="2" t="s">
        <v>1749</v>
      </c>
      <c r="C1783" s="2" t="s">
        <v>1750</v>
      </c>
      <c r="D1783" s="2" t="s">
        <v>118</v>
      </c>
      <c r="E1783" s="2" t="s">
        <v>119</v>
      </c>
      <c r="F1783" s="2" t="s">
        <v>120</v>
      </c>
      <c r="G1783" s="2" t="s">
        <v>2234</v>
      </c>
      <c r="H1783" s="2" t="s">
        <v>379</v>
      </c>
      <c r="I1783" s="2" t="s">
        <v>175</v>
      </c>
      <c r="J1783" s="2" t="s">
        <v>176</v>
      </c>
      <c r="K1783" s="9">
        <v>45856</v>
      </c>
      <c r="L1783" s="9">
        <v>45861</v>
      </c>
      <c r="M1783" s="9">
        <v>45856</v>
      </c>
      <c r="N1783" s="2" t="s">
        <v>1986</v>
      </c>
      <c r="O1783" s="2" t="s">
        <v>56</v>
      </c>
      <c r="P1783" s="2" t="s">
        <v>245</v>
      </c>
      <c r="Q1783" s="2" t="s">
        <v>152</v>
      </c>
      <c r="R1783" s="2" t="s">
        <v>128</v>
      </c>
      <c r="S1783" s="2" t="s">
        <v>179</v>
      </c>
      <c r="T1783" s="10">
        <v>157.26</v>
      </c>
      <c r="U1783" s="11">
        <v>0.18099999999999999</v>
      </c>
      <c r="V1783" s="12">
        <f>T1783*U1783</f>
        <v>28.464059999999996</v>
      </c>
      <c r="W1783" s="13">
        <v>0.17</v>
      </c>
      <c r="X1783" s="12">
        <f>V1783-(V1783/(1+W1783))</f>
        <v>4.1358035897435883</v>
      </c>
      <c r="Y1783" s="12">
        <f>V1783-X1783</f>
        <v>24.328256410256408</v>
      </c>
      <c r="Z1783" s="14">
        <v>75</v>
      </c>
      <c r="AA1783" s="2" t="str">
        <f>IF(V1783&gt;Z1783,"Yes","No")</f>
        <v>No</v>
      </c>
      <c r="AB1783" s="12">
        <f>V1783-Z1783</f>
        <v>-46.535940000000004</v>
      </c>
      <c r="AC1783" s="15" t="s">
        <v>130</v>
      </c>
      <c r="AD1783" s="15" t="s">
        <v>130</v>
      </c>
      <c r="AE1783" s="15" t="s">
        <v>858</v>
      </c>
      <c r="AF1783" s="12">
        <f>IF(AG1783="Rejected",0,IF(R1783="Corporate Card",0,V1783))</f>
        <v>0</v>
      </c>
      <c r="AG1783" s="15" t="s">
        <v>804</v>
      </c>
      <c r="AH1783" s="16">
        <v>45862</v>
      </c>
      <c r="AI1783" s="16"/>
      <c r="AJ1783" s="16"/>
      <c r="AK1783" s="17" t="str">
        <f>IF(AJ1783="","",AJ1783-AH1783)</f>
        <v/>
      </c>
    </row>
    <row r="1784" spans="1:37">
      <c r="A1784" s="2" t="s">
        <v>2236</v>
      </c>
      <c r="B1784" s="2" t="s">
        <v>1749</v>
      </c>
      <c r="C1784" s="2" t="s">
        <v>1750</v>
      </c>
      <c r="D1784" s="2" t="s">
        <v>118</v>
      </c>
      <c r="E1784" s="2" t="s">
        <v>119</v>
      </c>
      <c r="F1784" s="2" t="s">
        <v>120</v>
      </c>
      <c r="G1784" s="2" t="s">
        <v>2234</v>
      </c>
      <c r="H1784" s="2" t="s">
        <v>379</v>
      </c>
      <c r="I1784" s="2" t="s">
        <v>175</v>
      </c>
      <c r="J1784" s="2" t="s">
        <v>176</v>
      </c>
      <c r="K1784" s="9">
        <v>45856</v>
      </c>
      <c r="L1784" s="9">
        <v>45861</v>
      </c>
      <c r="M1784" s="9">
        <v>45856</v>
      </c>
      <c r="N1784" s="2" t="s">
        <v>1986</v>
      </c>
      <c r="O1784" s="2" t="s">
        <v>55</v>
      </c>
      <c r="P1784" s="2" t="s">
        <v>139</v>
      </c>
      <c r="Q1784" s="2" t="s">
        <v>187</v>
      </c>
      <c r="R1784" s="2" t="s">
        <v>128</v>
      </c>
      <c r="S1784" s="2" t="s">
        <v>179</v>
      </c>
      <c r="T1784" s="10">
        <v>121.61</v>
      </c>
      <c r="U1784" s="11">
        <v>0.18099999999999999</v>
      </c>
      <c r="V1784" s="12">
        <f>T1784*U1784</f>
        <v>22.011409999999998</v>
      </c>
      <c r="W1784" s="13">
        <v>0.17</v>
      </c>
      <c r="X1784" s="12">
        <f>V1784-(V1784/(1+W1784))</f>
        <v>3.19823905982906</v>
      </c>
      <c r="Y1784" s="12">
        <f>V1784-X1784</f>
        <v>18.813170940170938</v>
      </c>
      <c r="Z1784" s="14">
        <v>35</v>
      </c>
      <c r="AA1784" s="2" t="str">
        <f>IF(V1784&gt;Z1784,"Yes","No")</f>
        <v>No</v>
      </c>
      <c r="AB1784" s="12">
        <f>V1784-Z1784</f>
        <v>-12.988590000000002</v>
      </c>
      <c r="AC1784" s="15" t="s">
        <v>130</v>
      </c>
      <c r="AD1784" s="15" t="s">
        <v>130</v>
      </c>
      <c r="AE1784" s="15" t="s">
        <v>858</v>
      </c>
      <c r="AF1784" s="12">
        <f>IF(AG1784="Rejected",0,IF(R1784="Corporate Card",0,V1784))</f>
        <v>0</v>
      </c>
      <c r="AG1784" s="15" t="s">
        <v>804</v>
      </c>
      <c r="AH1784" s="16">
        <v>45862</v>
      </c>
      <c r="AI1784" s="16"/>
      <c r="AJ1784" s="16"/>
      <c r="AK1784" s="17" t="str">
        <f>IF(AJ1784="","",AJ1784-AH1784)</f>
        <v/>
      </c>
    </row>
    <row r="1785" spans="1:37">
      <c r="A1785" s="2" t="s">
        <v>2237</v>
      </c>
      <c r="B1785" s="2" t="s">
        <v>1749</v>
      </c>
      <c r="C1785" s="2" t="s">
        <v>1750</v>
      </c>
      <c r="D1785" s="2" t="s">
        <v>118</v>
      </c>
      <c r="E1785" s="2" t="s">
        <v>119</v>
      </c>
      <c r="F1785" s="2" t="s">
        <v>120</v>
      </c>
      <c r="G1785" s="2" t="s">
        <v>2234</v>
      </c>
      <c r="H1785" s="2" t="s">
        <v>379</v>
      </c>
      <c r="I1785" s="2" t="s">
        <v>175</v>
      </c>
      <c r="J1785" s="2" t="s">
        <v>176</v>
      </c>
      <c r="K1785" s="9">
        <v>45856</v>
      </c>
      <c r="L1785" s="9">
        <v>45861</v>
      </c>
      <c r="M1785" s="9">
        <v>45856</v>
      </c>
      <c r="N1785" s="2" t="s">
        <v>1986</v>
      </c>
      <c r="O1785" s="2" t="s">
        <v>66</v>
      </c>
      <c r="P1785" s="2" t="s">
        <v>489</v>
      </c>
      <c r="Q1785" s="2" t="s">
        <v>490</v>
      </c>
      <c r="R1785" s="2" t="s">
        <v>149</v>
      </c>
      <c r="S1785" s="2" t="s">
        <v>179</v>
      </c>
      <c r="T1785" s="10">
        <v>794.09</v>
      </c>
      <c r="U1785" s="11">
        <v>0.18099999999999999</v>
      </c>
      <c r="V1785" s="12">
        <f>T1785*U1785</f>
        <v>143.73029</v>
      </c>
      <c r="W1785" s="13">
        <v>0</v>
      </c>
      <c r="X1785" s="12">
        <f>V1785-(V1785/(1+W1785))</f>
        <v>0</v>
      </c>
      <c r="Y1785" s="12">
        <f>V1785-X1785</f>
        <v>143.73029</v>
      </c>
      <c r="Z1785" s="14">
        <v>250</v>
      </c>
      <c r="AA1785" s="2" t="str">
        <f>IF(V1785&gt;Z1785,"Yes","No")</f>
        <v>No</v>
      </c>
      <c r="AB1785" s="12">
        <f>V1785-Z1785</f>
        <v>-106.26971</v>
      </c>
      <c r="AC1785" s="15" t="s">
        <v>131</v>
      </c>
      <c r="AD1785" s="15" t="s">
        <v>130</v>
      </c>
      <c r="AE1785" s="15" t="s">
        <v>858</v>
      </c>
      <c r="AF1785" s="12">
        <f>IF(AG1785="Rejected",0,IF(R1785="Corporate Card",0,V1785))</f>
        <v>0</v>
      </c>
      <c r="AG1785" s="15" t="s">
        <v>804</v>
      </c>
      <c r="AH1785" s="16">
        <v>45862</v>
      </c>
      <c r="AI1785" s="16"/>
      <c r="AJ1785" s="16"/>
      <c r="AK1785" s="17" t="str">
        <f>IF(AJ1785="","",AJ1785-AH1785)</f>
        <v/>
      </c>
    </row>
    <row r="1786" spans="1:37">
      <c r="A1786" s="2" t="s">
        <v>2238</v>
      </c>
      <c r="B1786" s="2" t="s">
        <v>169</v>
      </c>
      <c r="C1786" s="2" t="s">
        <v>170</v>
      </c>
      <c r="D1786" s="2" t="s">
        <v>171</v>
      </c>
      <c r="E1786" s="2" t="s">
        <v>172</v>
      </c>
      <c r="F1786" s="2" t="s">
        <v>173</v>
      </c>
      <c r="G1786" s="2" t="s">
        <v>2139</v>
      </c>
      <c r="H1786" s="2" t="s">
        <v>193</v>
      </c>
      <c r="I1786" s="2" t="s">
        <v>651</v>
      </c>
      <c r="J1786" s="2" t="s">
        <v>652</v>
      </c>
      <c r="K1786" s="9">
        <v>45850</v>
      </c>
      <c r="L1786" s="9">
        <v>45858</v>
      </c>
      <c r="M1786" s="9">
        <v>45856</v>
      </c>
      <c r="N1786" s="2" t="s">
        <v>1986</v>
      </c>
      <c r="O1786" s="2" t="s">
        <v>54</v>
      </c>
      <c r="P1786" s="2" t="s">
        <v>139</v>
      </c>
      <c r="Q1786" s="2" t="s">
        <v>140</v>
      </c>
      <c r="R1786" s="2" t="s">
        <v>128</v>
      </c>
      <c r="S1786" s="2" t="s">
        <v>654</v>
      </c>
      <c r="T1786" s="10">
        <v>40.32</v>
      </c>
      <c r="U1786" s="11">
        <v>0.72799999999999998</v>
      </c>
      <c r="V1786" s="12">
        <f>T1786*U1786</f>
        <v>29.352959999999999</v>
      </c>
      <c r="W1786" s="13">
        <v>0.13</v>
      </c>
      <c r="X1786" s="12">
        <f>V1786-(V1786/(1+W1786))</f>
        <v>3.3768892035398217</v>
      </c>
      <c r="Y1786" s="12">
        <f>V1786-X1786</f>
        <v>25.976070796460178</v>
      </c>
      <c r="Z1786" s="14">
        <v>25</v>
      </c>
      <c r="AA1786" s="2" t="str">
        <f>IF(V1786&gt;Z1786,"Yes","No")</f>
        <v>Yes</v>
      </c>
      <c r="AB1786" s="12">
        <f>V1786-Z1786</f>
        <v>4.3529599999999995</v>
      </c>
      <c r="AC1786" s="15" t="s">
        <v>130</v>
      </c>
      <c r="AD1786" s="15" t="s">
        <v>130</v>
      </c>
      <c r="AE1786" s="15" t="s">
        <v>350</v>
      </c>
      <c r="AF1786" s="12">
        <f>IF(AG1786="Rejected",0,IF(R1786="Corporate Card",0,V1786))</f>
        <v>0</v>
      </c>
      <c r="AG1786" s="15" t="s">
        <v>133</v>
      </c>
      <c r="AH1786" s="16">
        <v>45866</v>
      </c>
      <c r="AI1786" s="16">
        <v>45867</v>
      </c>
      <c r="AJ1786" s="16">
        <v>45875</v>
      </c>
      <c r="AK1786" s="17">
        <f>IF(AJ1786="","",AJ1786-AH1786)</f>
        <v>9</v>
      </c>
    </row>
    <row r="1787" spans="1:37">
      <c r="A1787" s="2" t="s">
        <v>2239</v>
      </c>
      <c r="B1787" s="2" t="s">
        <v>169</v>
      </c>
      <c r="C1787" s="2" t="s">
        <v>170</v>
      </c>
      <c r="D1787" s="2" t="s">
        <v>171</v>
      </c>
      <c r="E1787" s="2" t="s">
        <v>172</v>
      </c>
      <c r="F1787" s="2" t="s">
        <v>173</v>
      </c>
      <c r="G1787" s="2" t="s">
        <v>2139</v>
      </c>
      <c r="H1787" s="2" t="s">
        <v>193</v>
      </c>
      <c r="I1787" s="2" t="s">
        <v>651</v>
      </c>
      <c r="J1787" s="2" t="s">
        <v>652</v>
      </c>
      <c r="K1787" s="9">
        <v>45850</v>
      </c>
      <c r="L1787" s="9">
        <v>45858</v>
      </c>
      <c r="M1787" s="9">
        <v>45856</v>
      </c>
      <c r="N1787" s="2" t="s">
        <v>1986</v>
      </c>
      <c r="O1787" s="2" t="s">
        <v>56</v>
      </c>
      <c r="P1787" s="2" t="s">
        <v>245</v>
      </c>
      <c r="Q1787" s="2" t="s">
        <v>159</v>
      </c>
      <c r="R1787" s="2" t="s">
        <v>128</v>
      </c>
      <c r="S1787" s="2" t="s">
        <v>654</v>
      </c>
      <c r="T1787" s="10">
        <v>61.75</v>
      </c>
      <c r="U1787" s="11">
        <v>0.72799999999999998</v>
      </c>
      <c r="V1787" s="12">
        <f>T1787*U1787</f>
        <v>44.954000000000001</v>
      </c>
      <c r="W1787" s="13">
        <v>0.13</v>
      </c>
      <c r="X1787" s="12">
        <f>V1787-(V1787/(1+W1787))</f>
        <v>5.1716991150442411</v>
      </c>
      <c r="Y1787" s="12">
        <f>V1787-X1787</f>
        <v>39.78230088495576</v>
      </c>
      <c r="Z1787" s="14">
        <v>75</v>
      </c>
      <c r="AA1787" s="2" t="str">
        <f>IF(V1787&gt;Z1787,"Yes","No")</f>
        <v>No</v>
      </c>
      <c r="AB1787" s="12">
        <f>V1787-Z1787</f>
        <v>-30.045999999999999</v>
      </c>
      <c r="AC1787" s="15" t="s">
        <v>130</v>
      </c>
      <c r="AD1787" s="15" t="s">
        <v>130</v>
      </c>
      <c r="AE1787" s="15" t="s">
        <v>350</v>
      </c>
      <c r="AF1787" s="12">
        <f>IF(AG1787="Rejected",0,IF(R1787="Corporate Card",0,V1787))</f>
        <v>0</v>
      </c>
      <c r="AG1787" s="15" t="s">
        <v>133</v>
      </c>
      <c r="AH1787" s="16">
        <v>45866</v>
      </c>
      <c r="AI1787" s="16">
        <v>45867</v>
      </c>
      <c r="AJ1787" s="16">
        <v>45875</v>
      </c>
      <c r="AK1787" s="17">
        <f>IF(AJ1787="","",AJ1787-AH1787)</f>
        <v>9</v>
      </c>
    </row>
    <row r="1788" spans="1:37">
      <c r="A1788" s="2" t="s">
        <v>2240</v>
      </c>
      <c r="B1788" s="2" t="s">
        <v>169</v>
      </c>
      <c r="C1788" s="2" t="s">
        <v>170</v>
      </c>
      <c r="D1788" s="2" t="s">
        <v>171</v>
      </c>
      <c r="E1788" s="2" t="s">
        <v>172</v>
      </c>
      <c r="F1788" s="2" t="s">
        <v>173</v>
      </c>
      <c r="G1788" s="2" t="s">
        <v>2139</v>
      </c>
      <c r="H1788" s="2" t="s">
        <v>193</v>
      </c>
      <c r="I1788" s="2" t="s">
        <v>651</v>
      </c>
      <c r="J1788" s="2" t="s">
        <v>652</v>
      </c>
      <c r="K1788" s="9">
        <v>45850</v>
      </c>
      <c r="L1788" s="9">
        <v>45858</v>
      </c>
      <c r="M1788" s="9">
        <v>45856</v>
      </c>
      <c r="N1788" s="2" t="s">
        <v>1986</v>
      </c>
      <c r="O1788" s="2" t="s">
        <v>55</v>
      </c>
      <c r="P1788" s="2" t="s">
        <v>139</v>
      </c>
      <c r="Q1788" s="2" t="s">
        <v>154</v>
      </c>
      <c r="R1788" s="2" t="s">
        <v>128</v>
      </c>
      <c r="S1788" s="2" t="s">
        <v>654</v>
      </c>
      <c r="T1788" s="10">
        <v>39.32</v>
      </c>
      <c r="U1788" s="11">
        <v>0.72799999999999998</v>
      </c>
      <c r="V1788" s="12">
        <f>T1788*U1788</f>
        <v>28.624959999999998</v>
      </c>
      <c r="W1788" s="13">
        <v>0.13</v>
      </c>
      <c r="X1788" s="12">
        <f>V1788-(V1788/(1+W1788))</f>
        <v>3.2931369911504405</v>
      </c>
      <c r="Y1788" s="12">
        <f>V1788-X1788</f>
        <v>25.331823008849558</v>
      </c>
      <c r="Z1788" s="14">
        <v>35</v>
      </c>
      <c r="AA1788" s="2" t="str">
        <f>IF(V1788&gt;Z1788,"Yes","No")</f>
        <v>No</v>
      </c>
      <c r="AB1788" s="12">
        <f>V1788-Z1788</f>
        <v>-6.375040000000002</v>
      </c>
      <c r="AC1788" s="15" t="s">
        <v>130</v>
      </c>
      <c r="AD1788" s="15" t="s">
        <v>130</v>
      </c>
      <c r="AE1788" s="15" t="s">
        <v>350</v>
      </c>
      <c r="AF1788" s="12">
        <f>IF(AG1788="Rejected",0,IF(R1788="Corporate Card",0,V1788))</f>
        <v>0</v>
      </c>
      <c r="AG1788" s="15" t="s">
        <v>133</v>
      </c>
      <c r="AH1788" s="16">
        <v>45866</v>
      </c>
      <c r="AI1788" s="16">
        <v>45867</v>
      </c>
      <c r="AJ1788" s="16">
        <v>45875</v>
      </c>
      <c r="AK1788" s="17">
        <f>IF(AJ1788="","",AJ1788-AH1788)</f>
        <v>9</v>
      </c>
    </row>
    <row r="1789" spans="1:37">
      <c r="A1789" s="2" t="s">
        <v>2241</v>
      </c>
      <c r="B1789" s="2" t="s">
        <v>310</v>
      </c>
      <c r="C1789" s="2" t="s">
        <v>311</v>
      </c>
      <c r="D1789" s="2" t="s">
        <v>118</v>
      </c>
      <c r="E1789" s="2" t="s">
        <v>312</v>
      </c>
      <c r="F1789" s="2" t="s">
        <v>313</v>
      </c>
      <c r="G1789" s="2" t="s">
        <v>2099</v>
      </c>
      <c r="H1789" s="2" t="s">
        <v>348</v>
      </c>
      <c r="I1789" s="2" t="s">
        <v>553</v>
      </c>
      <c r="J1789" s="2" t="s">
        <v>553</v>
      </c>
      <c r="K1789" s="9">
        <v>45848</v>
      </c>
      <c r="L1789" s="9">
        <v>45856</v>
      </c>
      <c r="M1789" s="9">
        <v>45856</v>
      </c>
      <c r="N1789" s="2" t="s">
        <v>1986</v>
      </c>
      <c r="O1789" s="2" t="s">
        <v>54</v>
      </c>
      <c r="P1789" s="2" t="s">
        <v>139</v>
      </c>
      <c r="Q1789" s="2" t="s">
        <v>140</v>
      </c>
      <c r="R1789" s="2" t="s">
        <v>128</v>
      </c>
      <c r="S1789" s="2" t="s">
        <v>555</v>
      </c>
      <c r="T1789" s="10">
        <v>25.02</v>
      </c>
      <c r="U1789" s="11">
        <v>0.74299999999999999</v>
      </c>
      <c r="V1789" s="12">
        <f>T1789*U1789</f>
        <v>18.589859999999998</v>
      </c>
      <c r="W1789" s="13">
        <v>0.09</v>
      </c>
      <c r="X1789" s="12">
        <f>V1789-(V1789/(1+W1789))</f>
        <v>1.5349425688073417</v>
      </c>
      <c r="Y1789" s="12">
        <f>V1789-X1789</f>
        <v>17.054917431192656</v>
      </c>
      <c r="Z1789" s="14">
        <v>25</v>
      </c>
      <c r="AA1789" s="2" t="str">
        <f>IF(V1789&gt;Z1789,"Yes","No")</f>
        <v>No</v>
      </c>
      <c r="AB1789" s="12">
        <f>V1789-Z1789</f>
        <v>-6.4101400000000019</v>
      </c>
      <c r="AC1789" s="15" t="s">
        <v>130</v>
      </c>
      <c r="AD1789" s="15" t="s">
        <v>130</v>
      </c>
      <c r="AE1789" s="15" t="s">
        <v>180</v>
      </c>
      <c r="AF1789" s="12">
        <f>IF(AG1789="Rejected",0,IF(R1789="Corporate Card",0,V1789))</f>
        <v>0</v>
      </c>
      <c r="AG1789" s="15" t="s">
        <v>133</v>
      </c>
      <c r="AH1789" s="16">
        <v>45865</v>
      </c>
      <c r="AI1789" s="16">
        <v>45867</v>
      </c>
      <c r="AJ1789" s="16">
        <v>45876</v>
      </c>
      <c r="AK1789" s="17">
        <f>IF(AJ1789="","",AJ1789-AH1789)</f>
        <v>11</v>
      </c>
    </row>
    <row r="1790" spans="1:37">
      <c r="A1790" s="2" t="s">
        <v>2242</v>
      </c>
      <c r="B1790" s="2" t="s">
        <v>310</v>
      </c>
      <c r="C1790" s="2" t="s">
        <v>311</v>
      </c>
      <c r="D1790" s="2" t="s">
        <v>118</v>
      </c>
      <c r="E1790" s="2" t="s">
        <v>312</v>
      </c>
      <c r="F1790" s="2" t="s">
        <v>313</v>
      </c>
      <c r="G1790" s="2" t="s">
        <v>2099</v>
      </c>
      <c r="H1790" s="2" t="s">
        <v>348</v>
      </c>
      <c r="I1790" s="2" t="s">
        <v>553</v>
      </c>
      <c r="J1790" s="2" t="s">
        <v>553</v>
      </c>
      <c r="K1790" s="9">
        <v>45848</v>
      </c>
      <c r="L1790" s="9">
        <v>45856</v>
      </c>
      <c r="M1790" s="9">
        <v>45856</v>
      </c>
      <c r="N1790" s="2" t="s">
        <v>1986</v>
      </c>
      <c r="O1790" s="2" t="s">
        <v>56</v>
      </c>
      <c r="P1790" s="2" t="s">
        <v>245</v>
      </c>
      <c r="Q1790" s="2" t="s">
        <v>166</v>
      </c>
      <c r="R1790" s="2" t="s">
        <v>149</v>
      </c>
      <c r="S1790" s="2" t="s">
        <v>555</v>
      </c>
      <c r="T1790" s="10">
        <v>93.58</v>
      </c>
      <c r="U1790" s="11">
        <v>0.74299999999999999</v>
      </c>
      <c r="V1790" s="12">
        <f>T1790*U1790</f>
        <v>69.529939999999996</v>
      </c>
      <c r="W1790" s="13">
        <v>0.09</v>
      </c>
      <c r="X1790" s="12">
        <f>V1790-(V1790/(1+W1790))</f>
        <v>5.7410042201834912</v>
      </c>
      <c r="Y1790" s="12">
        <f>V1790-X1790</f>
        <v>63.788935779816505</v>
      </c>
      <c r="Z1790" s="14">
        <v>75</v>
      </c>
      <c r="AA1790" s="2" t="str">
        <f>IF(V1790&gt;Z1790,"Yes","No")</f>
        <v>No</v>
      </c>
      <c r="AB1790" s="12">
        <f>V1790-Z1790</f>
        <v>-5.4700600000000037</v>
      </c>
      <c r="AC1790" s="15" t="s">
        <v>130</v>
      </c>
      <c r="AD1790" s="15" t="s">
        <v>130</v>
      </c>
      <c r="AE1790" s="15" t="s">
        <v>180</v>
      </c>
      <c r="AF1790" s="12">
        <f>IF(AG1790="Rejected",0,IF(R1790="Corporate Card",0,V1790))</f>
        <v>69.529939999999996</v>
      </c>
      <c r="AG1790" s="15" t="s">
        <v>133</v>
      </c>
      <c r="AH1790" s="16">
        <v>45865</v>
      </c>
      <c r="AI1790" s="16">
        <v>45867</v>
      </c>
      <c r="AJ1790" s="16">
        <v>45876</v>
      </c>
      <c r="AK1790" s="17">
        <f>IF(AJ1790="","",AJ1790-AH1790)</f>
        <v>11</v>
      </c>
    </row>
    <row r="1791" spans="1:37">
      <c r="A1791" s="2" t="s">
        <v>2243</v>
      </c>
      <c r="B1791" s="2" t="s">
        <v>310</v>
      </c>
      <c r="C1791" s="2" t="s">
        <v>311</v>
      </c>
      <c r="D1791" s="2" t="s">
        <v>118</v>
      </c>
      <c r="E1791" s="2" t="s">
        <v>312</v>
      </c>
      <c r="F1791" s="2" t="s">
        <v>313</v>
      </c>
      <c r="G1791" s="2" t="s">
        <v>2099</v>
      </c>
      <c r="H1791" s="2" t="s">
        <v>348</v>
      </c>
      <c r="I1791" s="2" t="s">
        <v>553</v>
      </c>
      <c r="J1791" s="2" t="s">
        <v>553</v>
      </c>
      <c r="K1791" s="9">
        <v>45848</v>
      </c>
      <c r="L1791" s="9">
        <v>45856</v>
      </c>
      <c r="M1791" s="9">
        <v>45856</v>
      </c>
      <c r="N1791" s="2" t="s">
        <v>1986</v>
      </c>
      <c r="O1791" s="2" t="s">
        <v>55</v>
      </c>
      <c r="P1791" s="2" t="s">
        <v>139</v>
      </c>
      <c r="Q1791" s="2" t="s">
        <v>154</v>
      </c>
      <c r="R1791" s="2" t="s">
        <v>128</v>
      </c>
      <c r="S1791" s="2" t="s">
        <v>555</v>
      </c>
      <c r="T1791" s="10">
        <v>19.11</v>
      </c>
      <c r="U1791" s="11">
        <v>0.74299999999999999</v>
      </c>
      <c r="V1791" s="12">
        <f>T1791*U1791</f>
        <v>14.198729999999999</v>
      </c>
      <c r="W1791" s="13">
        <v>0.09</v>
      </c>
      <c r="X1791" s="12">
        <f>V1791-(V1791/(1+W1791))</f>
        <v>1.1723722018348628</v>
      </c>
      <c r="Y1791" s="12">
        <f>V1791-X1791</f>
        <v>13.026357798165137</v>
      </c>
      <c r="Z1791" s="14">
        <v>35</v>
      </c>
      <c r="AA1791" s="2" t="str">
        <f>IF(V1791&gt;Z1791,"Yes","No")</f>
        <v>No</v>
      </c>
      <c r="AB1791" s="12">
        <f>V1791-Z1791</f>
        <v>-20.801270000000002</v>
      </c>
      <c r="AC1791" s="15" t="s">
        <v>130</v>
      </c>
      <c r="AD1791" s="15" t="s">
        <v>130</v>
      </c>
      <c r="AE1791" s="15" t="s">
        <v>180</v>
      </c>
      <c r="AF1791" s="12">
        <f>IF(AG1791="Rejected",0,IF(R1791="Corporate Card",0,V1791))</f>
        <v>0</v>
      </c>
      <c r="AG1791" s="15" t="s">
        <v>133</v>
      </c>
      <c r="AH1791" s="16">
        <v>45865</v>
      </c>
      <c r="AI1791" s="16">
        <v>45867</v>
      </c>
      <c r="AJ1791" s="16">
        <v>45876</v>
      </c>
      <c r="AK1791" s="17">
        <f>IF(AJ1791="","",AJ1791-AH1791)</f>
        <v>11</v>
      </c>
    </row>
    <row r="1792" spans="1:37">
      <c r="A1792" s="2" t="s">
        <v>2244</v>
      </c>
      <c r="B1792" s="2" t="s">
        <v>2212</v>
      </c>
      <c r="C1792" s="2" t="s">
        <v>346</v>
      </c>
      <c r="D1792" s="2" t="s">
        <v>344</v>
      </c>
      <c r="E1792" s="2" t="s">
        <v>2213</v>
      </c>
      <c r="F1792" s="2" t="s">
        <v>313</v>
      </c>
      <c r="G1792" s="2" t="s">
        <v>2214</v>
      </c>
      <c r="H1792" s="2" t="s">
        <v>748</v>
      </c>
      <c r="I1792" s="2" t="s">
        <v>380</v>
      </c>
      <c r="J1792" s="2" t="s">
        <v>381</v>
      </c>
      <c r="K1792" s="9">
        <v>45855</v>
      </c>
      <c r="L1792" s="9">
        <v>45860</v>
      </c>
      <c r="M1792" s="9">
        <v>45857</v>
      </c>
      <c r="N1792" s="2" t="s">
        <v>1986</v>
      </c>
      <c r="O1792" s="2" t="s">
        <v>58</v>
      </c>
      <c r="P1792" s="2" t="s">
        <v>142</v>
      </c>
      <c r="Q1792" s="2" t="s">
        <v>156</v>
      </c>
      <c r="R1792" s="2" t="s">
        <v>128</v>
      </c>
      <c r="S1792" s="2" t="s">
        <v>383</v>
      </c>
      <c r="T1792" s="10">
        <v>38.36</v>
      </c>
      <c r="U1792" s="11">
        <v>1</v>
      </c>
      <c r="V1792" s="12">
        <f>T1792*U1792</f>
        <v>38.36</v>
      </c>
      <c r="W1792" s="13">
        <v>0</v>
      </c>
      <c r="X1792" s="12">
        <f>V1792-(V1792/(1+W1792))</f>
        <v>0</v>
      </c>
      <c r="Y1792" s="12">
        <f>V1792-X1792</f>
        <v>38.36</v>
      </c>
      <c r="Z1792" s="14">
        <v>60</v>
      </c>
      <c r="AA1792" s="2" t="str">
        <f>IF(V1792&gt;Z1792,"Yes","No")</f>
        <v>No</v>
      </c>
      <c r="AB1792" s="12">
        <f>V1792-Z1792</f>
        <v>-21.64</v>
      </c>
      <c r="AC1792" s="15" t="s">
        <v>130</v>
      </c>
      <c r="AD1792" s="15" t="s">
        <v>130</v>
      </c>
      <c r="AE1792" s="15" t="s">
        <v>421</v>
      </c>
      <c r="AF1792" s="12">
        <f>IF(AG1792="Rejected",0,IF(R1792="Corporate Card",0,V1792))</f>
        <v>0</v>
      </c>
      <c r="AG1792" s="15" t="s">
        <v>133</v>
      </c>
      <c r="AH1792" s="16">
        <v>45871</v>
      </c>
      <c r="AI1792" s="16">
        <v>45872</v>
      </c>
      <c r="AJ1792" s="16">
        <v>45879</v>
      </c>
      <c r="AK1792" s="17">
        <f>IF(AJ1792="","",AJ1792-AH1792)</f>
        <v>8</v>
      </c>
    </row>
    <row r="1793" spans="1:37">
      <c r="A1793" s="2" t="s">
        <v>2245</v>
      </c>
      <c r="B1793" s="2" t="s">
        <v>2212</v>
      </c>
      <c r="C1793" s="2" t="s">
        <v>346</v>
      </c>
      <c r="D1793" s="2" t="s">
        <v>344</v>
      </c>
      <c r="E1793" s="2" t="s">
        <v>2213</v>
      </c>
      <c r="F1793" s="2" t="s">
        <v>313</v>
      </c>
      <c r="G1793" s="2" t="s">
        <v>2214</v>
      </c>
      <c r="H1793" s="2" t="s">
        <v>748</v>
      </c>
      <c r="I1793" s="2" t="s">
        <v>380</v>
      </c>
      <c r="J1793" s="2" t="s">
        <v>381</v>
      </c>
      <c r="K1793" s="9">
        <v>45855</v>
      </c>
      <c r="L1793" s="9">
        <v>45860</v>
      </c>
      <c r="M1793" s="9">
        <v>45857</v>
      </c>
      <c r="N1793" s="2" t="s">
        <v>1986</v>
      </c>
      <c r="O1793" s="2" t="s">
        <v>54</v>
      </c>
      <c r="P1793" s="2" t="s">
        <v>139</v>
      </c>
      <c r="Q1793" s="2" t="s">
        <v>140</v>
      </c>
      <c r="R1793" s="2" t="s">
        <v>149</v>
      </c>
      <c r="S1793" s="2" t="s">
        <v>383</v>
      </c>
      <c r="T1793" s="10">
        <v>17.39</v>
      </c>
      <c r="U1793" s="11">
        <v>1</v>
      </c>
      <c r="V1793" s="12">
        <f>T1793*U1793</f>
        <v>17.39</v>
      </c>
      <c r="W1793" s="13">
        <v>0</v>
      </c>
      <c r="X1793" s="12">
        <f>V1793-(V1793/(1+W1793))</f>
        <v>0</v>
      </c>
      <c r="Y1793" s="12">
        <f>V1793-X1793</f>
        <v>17.39</v>
      </c>
      <c r="Z1793" s="14">
        <v>25</v>
      </c>
      <c r="AA1793" s="2" t="str">
        <f>IF(V1793&gt;Z1793,"Yes","No")</f>
        <v>No</v>
      </c>
      <c r="AB1793" s="12">
        <f>V1793-Z1793</f>
        <v>-7.6099999999999994</v>
      </c>
      <c r="AC1793" s="15" t="s">
        <v>130</v>
      </c>
      <c r="AD1793" s="15" t="s">
        <v>130</v>
      </c>
      <c r="AE1793" s="15" t="s">
        <v>421</v>
      </c>
      <c r="AF1793" s="12">
        <f>IF(AG1793="Rejected",0,IF(R1793="Corporate Card",0,V1793))</f>
        <v>17.39</v>
      </c>
      <c r="AG1793" s="15" t="s">
        <v>133</v>
      </c>
      <c r="AH1793" s="16">
        <v>45871</v>
      </c>
      <c r="AI1793" s="16">
        <v>45872</v>
      </c>
      <c r="AJ1793" s="16">
        <v>45879</v>
      </c>
      <c r="AK1793" s="17">
        <f>IF(AJ1793="","",AJ1793-AH1793)</f>
        <v>8</v>
      </c>
    </row>
    <row r="1794" spans="1:37">
      <c r="A1794" s="2" t="s">
        <v>2246</v>
      </c>
      <c r="B1794" s="2" t="s">
        <v>2212</v>
      </c>
      <c r="C1794" s="2" t="s">
        <v>346</v>
      </c>
      <c r="D1794" s="2" t="s">
        <v>344</v>
      </c>
      <c r="E1794" s="2" t="s">
        <v>2213</v>
      </c>
      <c r="F1794" s="2" t="s">
        <v>313</v>
      </c>
      <c r="G1794" s="2" t="s">
        <v>2214</v>
      </c>
      <c r="H1794" s="2" t="s">
        <v>748</v>
      </c>
      <c r="I1794" s="2" t="s">
        <v>380</v>
      </c>
      <c r="J1794" s="2" t="s">
        <v>381</v>
      </c>
      <c r="K1794" s="9">
        <v>45855</v>
      </c>
      <c r="L1794" s="9">
        <v>45860</v>
      </c>
      <c r="M1794" s="9">
        <v>45857</v>
      </c>
      <c r="N1794" s="2" t="s">
        <v>1986</v>
      </c>
      <c r="O1794" s="2" t="s">
        <v>56</v>
      </c>
      <c r="P1794" s="2" t="s">
        <v>151</v>
      </c>
      <c r="Q1794" s="2" t="s">
        <v>227</v>
      </c>
      <c r="R1794" s="2" t="s">
        <v>128</v>
      </c>
      <c r="S1794" s="2" t="s">
        <v>383</v>
      </c>
      <c r="T1794" s="10">
        <v>85.41</v>
      </c>
      <c r="U1794" s="11">
        <v>1</v>
      </c>
      <c r="V1794" s="12">
        <f>T1794*U1794</f>
        <v>85.41</v>
      </c>
      <c r="W1794" s="13">
        <v>0</v>
      </c>
      <c r="X1794" s="12">
        <f>V1794-(V1794/(1+W1794))</f>
        <v>0</v>
      </c>
      <c r="Y1794" s="12">
        <f>V1794-X1794</f>
        <v>85.41</v>
      </c>
      <c r="Z1794" s="14">
        <v>75</v>
      </c>
      <c r="AA1794" s="2" t="str">
        <f>IF(V1794&gt;Z1794,"Yes","No")</f>
        <v>Yes</v>
      </c>
      <c r="AB1794" s="12">
        <f>V1794-Z1794</f>
        <v>10.409999999999997</v>
      </c>
      <c r="AC1794" s="15" t="s">
        <v>130</v>
      </c>
      <c r="AD1794" s="15" t="s">
        <v>130</v>
      </c>
      <c r="AE1794" s="15" t="s">
        <v>421</v>
      </c>
      <c r="AF1794" s="12">
        <f>IF(AG1794="Rejected",0,IF(R1794="Corporate Card",0,V1794))</f>
        <v>0</v>
      </c>
      <c r="AG1794" s="15" t="s">
        <v>133</v>
      </c>
      <c r="AH1794" s="16">
        <v>45871</v>
      </c>
      <c r="AI1794" s="16">
        <v>45872</v>
      </c>
      <c r="AJ1794" s="16">
        <v>45879</v>
      </c>
      <c r="AK1794" s="17">
        <f>IF(AJ1794="","",AJ1794-AH1794)</f>
        <v>8</v>
      </c>
    </row>
    <row r="1795" spans="1:37">
      <c r="A1795" s="2" t="s">
        <v>2247</v>
      </c>
      <c r="B1795" s="2" t="s">
        <v>2212</v>
      </c>
      <c r="C1795" s="2" t="s">
        <v>346</v>
      </c>
      <c r="D1795" s="2" t="s">
        <v>344</v>
      </c>
      <c r="E1795" s="2" t="s">
        <v>2213</v>
      </c>
      <c r="F1795" s="2" t="s">
        <v>313</v>
      </c>
      <c r="G1795" s="2" t="s">
        <v>2214</v>
      </c>
      <c r="H1795" s="2" t="s">
        <v>748</v>
      </c>
      <c r="I1795" s="2" t="s">
        <v>380</v>
      </c>
      <c r="J1795" s="2" t="s">
        <v>381</v>
      </c>
      <c r="K1795" s="9">
        <v>45855</v>
      </c>
      <c r="L1795" s="9">
        <v>45860</v>
      </c>
      <c r="M1795" s="9">
        <v>45857</v>
      </c>
      <c r="N1795" s="2" t="s">
        <v>1986</v>
      </c>
      <c r="O1795" s="2" t="s">
        <v>55</v>
      </c>
      <c r="P1795" s="2" t="s">
        <v>139</v>
      </c>
      <c r="Q1795" s="2" t="s">
        <v>187</v>
      </c>
      <c r="R1795" s="2" t="s">
        <v>137</v>
      </c>
      <c r="S1795" s="2" t="s">
        <v>383</v>
      </c>
      <c r="T1795" s="10">
        <v>15.76</v>
      </c>
      <c r="U1795" s="11">
        <v>1</v>
      </c>
      <c r="V1795" s="12">
        <f>T1795*U1795</f>
        <v>15.76</v>
      </c>
      <c r="W1795" s="13">
        <v>0</v>
      </c>
      <c r="X1795" s="12">
        <f>V1795-(V1795/(1+W1795))</f>
        <v>0</v>
      </c>
      <c r="Y1795" s="12">
        <f>V1795-X1795</f>
        <v>15.76</v>
      </c>
      <c r="Z1795" s="14">
        <v>35</v>
      </c>
      <c r="AA1795" s="2" t="str">
        <f>IF(V1795&gt;Z1795,"Yes","No")</f>
        <v>No</v>
      </c>
      <c r="AB1795" s="12">
        <f>V1795-Z1795</f>
        <v>-19.240000000000002</v>
      </c>
      <c r="AC1795" s="15" t="s">
        <v>130</v>
      </c>
      <c r="AD1795" s="15" t="s">
        <v>130</v>
      </c>
      <c r="AE1795" s="15" t="s">
        <v>421</v>
      </c>
      <c r="AF1795" s="12">
        <f>IF(AG1795="Rejected",0,IF(R1795="Corporate Card",0,V1795))</f>
        <v>15.76</v>
      </c>
      <c r="AG1795" s="15" t="s">
        <v>133</v>
      </c>
      <c r="AH1795" s="16">
        <v>45871</v>
      </c>
      <c r="AI1795" s="16">
        <v>45872</v>
      </c>
      <c r="AJ1795" s="16">
        <v>45879</v>
      </c>
      <c r="AK1795" s="17">
        <f>IF(AJ1795="","",AJ1795-AH1795)</f>
        <v>8</v>
      </c>
    </row>
    <row r="1796" spans="1:37">
      <c r="A1796" s="2" t="s">
        <v>2248</v>
      </c>
      <c r="B1796" s="2" t="s">
        <v>1749</v>
      </c>
      <c r="C1796" s="2" t="s">
        <v>1750</v>
      </c>
      <c r="D1796" s="2" t="s">
        <v>118</v>
      </c>
      <c r="E1796" s="2" t="s">
        <v>119</v>
      </c>
      <c r="F1796" s="2" t="s">
        <v>120</v>
      </c>
      <c r="G1796" s="2" t="s">
        <v>2234</v>
      </c>
      <c r="H1796" s="2" t="s">
        <v>379</v>
      </c>
      <c r="I1796" s="2" t="s">
        <v>175</v>
      </c>
      <c r="J1796" s="2" t="s">
        <v>176</v>
      </c>
      <c r="K1796" s="9">
        <v>45856</v>
      </c>
      <c r="L1796" s="9">
        <v>45861</v>
      </c>
      <c r="M1796" s="9">
        <v>45857</v>
      </c>
      <c r="N1796" s="2" t="s">
        <v>1986</v>
      </c>
      <c r="O1796" s="2" t="s">
        <v>53</v>
      </c>
      <c r="P1796" s="2" t="s">
        <v>271</v>
      </c>
      <c r="Q1796" s="2" t="s">
        <v>272</v>
      </c>
      <c r="R1796" s="2" t="s">
        <v>128</v>
      </c>
      <c r="S1796" s="2" t="s">
        <v>179</v>
      </c>
      <c r="T1796" s="10">
        <v>3855.24</v>
      </c>
      <c r="U1796" s="11">
        <v>0.18099999999999999</v>
      </c>
      <c r="V1796" s="12">
        <f>T1796*U1796</f>
        <v>697.79843999999991</v>
      </c>
      <c r="W1796" s="13">
        <v>0.17</v>
      </c>
      <c r="X1796" s="12">
        <f>V1796-(V1796/(1+W1796))</f>
        <v>101.38951692307683</v>
      </c>
      <c r="Y1796" s="12">
        <f>V1796-X1796</f>
        <v>596.40892307692309</v>
      </c>
      <c r="Z1796" s="14">
        <v>1400</v>
      </c>
      <c r="AA1796" s="2" t="str">
        <f>IF(V1796&gt;Z1796,"Yes","No")</f>
        <v>No</v>
      </c>
      <c r="AB1796" s="12">
        <f>V1796-Z1796</f>
        <v>-702.20156000000009</v>
      </c>
      <c r="AC1796" s="15" t="s">
        <v>130</v>
      </c>
      <c r="AD1796" s="15" t="s">
        <v>130</v>
      </c>
      <c r="AE1796" s="15" t="s">
        <v>858</v>
      </c>
      <c r="AF1796" s="12">
        <f>IF(AG1796="Rejected",0,IF(R1796="Corporate Card",0,V1796))</f>
        <v>0</v>
      </c>
      <c r="AG1796" s="15" t="s">
        <v>804</v>
      </c>
      <c r="AH1796" s="16">
        <v>45862</v>
      </c>
      <c r="AI1796" s="16"/>
      <c r="AJ1796" s="16"/>
      <c r="AK1796" s="17" t="str">
        <f>IF(AJ1796="","",AJ1796-AH1796)</f>
        <v/>
      </c>
    </row>
    <row r="1797" spans="1:37">
      <c r="A1797" s="2" t="s">
        <v>2249</v>
      </c>
      <c r="B1797" s="2" t="s">
        <v>1749</v>
      </c>
      <c r="C1797" s="2" t="s">
        <v>1750</v>
      </c>
      <c r="D1797" s="2" t="s">
        <v>118</v>
      </c>
      <c r="E1797" s="2" t="s">
        <v>119</v>
      </c>
      <c r="F1797" s="2" t="s">
        <v>120</v>
      </c>
      <c r="G1797" s="2" t="s">
        <v>2234</v>
      </c>
      <c r="H1797" s="2" t="s">
        <v>379</v>
      </c>
      <c r="I1797" s="2" t="s">
        <v>175</v>
      </c>
      <c r="J1797" s="2" t="s">
        <v>176</v>
      </c>
      <c r="K1797" s="9">
        <v>45856</v>
      </c>
      <c r="L1797" s="9">
        <v>45861</v>
      </c>
      <c r="M1797" s="9">
        <v>45857</v>
      </c>
      <c r="N1797" s="2" t="s">
        <v>1986</v>
      </c>
      <c r="O1797" s="2" t="s">
        <v>56</v>
      </c>
      <c r="P1797" s="2" t="s">
        <v>245</v>
      </c>
      <c r="Q1797" s="2" t="s">
        <v>159</v>
      </c>
      <c r="R1797" s="2" t="s">
        <v>128</v>
      </c>
      <c r="S1797" s="2" t="s">
        <v>179</v>
      </c>
      <c r="T1797" s="10">
        <v>246.1</v>
      </c>
      <c r="U1797" s="11">
        <v>0.18099999999999999</v>
      </c>
      <c r="V1797" s="12">
        <f>T1797*U1797</f>
        <v>44.5441</v>
      </c>
      <c r="W1797" s="13">
        <v>0.17</v>
      </c>
      <c r="X1797" s="12">
        <f>V1797-(V1797/(1+W1797))</f>
        <v>6.4722196581196556</v>
      </c>
      <c r="Y1797" s="12">
        <f>V1797-X1797</f>
        <v>38.071880341880345</v>
      </c>
      <c r="Z1797" s="14">
        <v>75</v>
      </c>
      <c r="AA1797" s="2" t="str">
        <f>IF(V1797&gt;Z1797,"Yes","No")</f>
        <v>No</v>
      </c>
      <c r="AB1797" s="12">
        <f>V1797-Z1797</f>
        <v>-30.4559</v>
      </c>
      <c r="AC1797" s="15" t="s">
        <v>130</v>
      </c>
      <c r="AD1797" s="15" t="s">
        <v>130</v>
      </c>
      <c r="AE1797" s="15" t="s">
        <v>858</v>
      </c>
      <c r="AF1797" s="12">
        <f>IF(AG1797="Rejected",0,IF(R1797="Corporate Card",0,V1797))</f>
        <v>0</v>
      </c>
      <c r="AG1797" s="15" t="s">
        <v>804</v>
      </c>
      <c r="AH1797" s="16">
        <v>45862</v>
      </c>
      <c r="AI1797" s="16"/>
      <c r="AJ1797" s="16"/>
      <c r="AK1797" s="17" t="str">
        <f>IF(AJ1797="","",AJ1797-AH1797)</f>
        <v/>
      </c>
    </row>
    <row r="1798" spans="1:37">
      <c r="A1798" s="2" t="s">
        <v>2250</v>
      </c>
      <c r="B1798" s="2" t="s">
        <v>1749</v>
      </c>
      <c r="C1798" s="2" t="s">
        <v>1750</v>
      </c>
      <c r="D1798" s="2" t="s">
        <v>118</v>
      </c>
      <c r="E1798" s="2" t="s">
        <v>119</v>
      </c>
      <c r="F1798" s="2" t="s">
        <v>120</v>
      </c>
      <c r="G1798" s="2" t="s">
        <v>2234</v>
      </c>
      <c r="H1798" s="2" t="s">
        <v>379</v>
      </c>
      <c r="I1798" s="2" t="s">
        <v>175</v>
      </c>
      <c r="J1798" s="2" t="s">
        <v>176</v>
      </c>
      <c r="K1798" s="9">
        <v>45856</v>
      </c>
      <c r="L1798" s="9">
        <v>45861</v>
      </c>
      <c r="M1798" s="9">
        <v>45857</v>
      </c>
      <c r="N1798" s="2" t="s">
        <v>1986</v>
      </c>
      <c r="O1798" s="2" t="s">
        <v>55</v>
      </c>
      <c r="P1798" s="2" t="s">
        <v>139</v>
      </c>
      <c r="Q1798" s="2" t="s">
        <v>187</v>
      </c>
      <c r="R1798" s="2" t="s">
        <v>128</v>
      </c>
      <c r="S1798" s="2" t="s">
        <v>179</v>
      </c>
      <c r="T1798" s="10">
        <v>178.36</v>
      </c>
      <c r="U1798" s="11">
        <v>0.18099999999999999</v>
      </c>
      <c r="V1798" s="12">
        <f>T1798*U1798</f>
        <v>32.283160000000002</v>
      </c>
      <c r="W1798" s="13">
        <v>0.17</v>
      </c>
      <c r="X1798" s="12">
        <f>V1798-(V1798/(1+W1798))</f>
        <v>4.6907155555555526</v>
      </c>
      <c r="Y1798" s="12">
        <f>V1798-X1798</f>
        <v>27.59244444444445</v>
      </c>
      <c r="Z1798" s="14">
        <v>35</v>
      </c>
      <c r="AA1798" s="2" t="str">
        <f>IF(V1798&gt;Z1798,"Yes","No")</f>
        <v>No</v>
      </c>
      <c r="AB1798" s="12">
        <f>V1798-Z1798</f>
        <v>-2.7168399999999977</v>
      </c>
      <c r="AC1798" s="15" t="s">
        <v>130</v>
      </c>
      <c r="AD1798" s="15" t="s">
        <v>130</v>
      </c>
      <c r="AE1798" s="15" t="s">
        <v>858</v>
      </c>
      <c r="AF1798" s="12">
        <f>IF(AG1798="Rejected",0,IF(R1798="Corporate Card",0,V1798))</f>
        <v>0</v>
      </c>
      <c r="AG1798" s="15" t="s">
        <v>804</v>
      </c>
      <c r="AH1798" s="16">
        <v>45862</v>
      </c>
      <c r="AI1798" s="16"/>
      <c r="AJ1798" s="16"/>
      <c r="AK1798" s="17" t="str">
        <f>IF(AJ1798="","",AJ1798-AH1798)</f>
        <v/>
      </c>
    </row>
    <row r="1799" spans="1:37">
      <c r="A1799" s="2" t="s">
        <v>2251</v>
      </c>
      <c r="B1799" s="2" t="s">
        <v>169</v>
      </c>
      <c r="C1799" s="2" t="s">
        <v>170</v>
      </c>
      <c r="D1799" s="2" t="s">
        <v>171</v>
      </c>
      <c r="E1799" s="2" t="s">
        <v>172</v>
      </c>
      <c r="F1799" s="2" t="s">
        <v>173</v>
      </c>
      <c r="G1799" s="2" t="s">
        <v>2139</v>
      </c>
      <c r="H1799" s="2" t="s">
        <v>193</v>
      </c>
      <c r="I1799" s="2" t="s">
        <v>651</v>
      </c>
      <c r="J1799" s="2" t="s">
        <v>652</v>
      </c>
      <c r="K1799" s="9">
        <v>45850</v>
      </c>
      <c r="L1799" s="9">
        <v>45858</v>
      </c>
      <c r="M1799" s="9">
        <v>45857</v>
      </c>
      <c r="N1799" s="2" t="s">
        <v>1986</v>
      </c>
      <c r="O1799" s="2" t="s">
        <v>57</v>
      </c>
      <c r="P1799" s="2" t="s">
        <v>398</v>
      </c>
      <c r="Q1799" s="2" t="s">
        <v>399</v>
      </c>
      <c r="R1799" s="2" t="s">
        <v>149</v>
      </c>
      <c r="S1799" s="2" t="s">
        <v>654</v>
      </c>
      <c r="T1799" s="10">
        <v>183.05</v>
      </c>
      <c r="U1799" s="11">
        <v>0.72799999999999998</v>
      </c>
      <c r="V1799" s="12">
        <f>T1799*U1799</f>
        <v>133.2604</v>
      </c>
      <c r="W1799" s="13">
        <v>0.13</v>
      </c>
      <c r="X1799" s="12">
        <f>V1799-(V1799/(1+W1799))</f>
        <v>15.330842477876089</v>
      </c>
      <c r="Y1799" s="12">
        <f>V1799-X1799</f>
        <v>117.92955752212391</v>
      </c>
      <c r="Z1799" s="14">
        <v>200</v>
      </c>
      <c r="AA1799" s="2" t="str">
        <f>IF(V1799&gt;Z1799,"Yes","No")</f>
        <v>No</v>
      </c>
      <c r="AB1799" s="12">
        <f>V1799-Z1799</f>
        <v>-66.739599999999996</v>
      </c>
      <c r="AC1799" s="15" t="s">
        <v>131</v>
      </c>
      <c r="AD1799" s="15" t="s">
        <v>130</v>
      </c>
      <c r="AE1799" s="15" t="s">
        <v>350</v>
      </c>
      <c r="AF1799" s="12">
        <f>IF(AG1799="Rejected",0,IF(R1799="Corporate Card",0,V1799))</f>
        <v>133.2604</v>
      </c>
      <c r="AG1799" s="15" t="s">
        <v>133</v>
      </c>
      <c r="AH1799" s="16">
        <v>45866</v>
      </c>
      <c r="AI1799" s="16">
        <v>45867</v>
      </c>
      <c r="AJ1799" s="16">
        <v>45875</v>
      </c>
      <c r="AK1799" s="17">
        <f>IF(AJ1799="","",AJ1799-AH1799)</f>
        <v>9</v>
      </c>
    </row>
    <row r="1800" spans="1:37">
      <c r="A1800" s="2" t="s">
        <v>2252</v>
      </c>
      <c r="B1800" s="2" t="s">
        <v>169</v>
      </c>
      <c r="C1800" s="2" t="s">
        <v>170</v>
      </c>
      <c r="D1800" s="2" t="s">
        <v>171</v>
      </c>
      <c r="E1800" s="2" t="s">
        <v>172</v>
      </c>
      <c r="F1800" s="2" t="s">
        <v>173</v>
      </c>
      <c r="G1800" s="2" t="s">
        <v>2139</v>
      </c>
      <c r="H1800" s="2" t="s">
        <v>193</v>
      </c>
      <c r="I1800" s="2" t="s">
        <v>651</v>
      </c>
      <c r="J1800" s="2" t="s">
        <v>652</v>
      </c>
      <c r="K1800" s="9">
        <v>45850</v>
      </c>
      <c r="L1800" s="9">
        <v>45858</v>
      </c>
      <c r="M1800" s="9">
        <v>45857</v>
      </c>
      <c r="N1800" s="2" t="s">
        <v>1986</v>
      </c>
      <c r="O1800" s="2" t="s">
        <v>54</v>
      </c>
      <c r="P1800" s="2" t="s">
        <v>139</v>
      </c>
      <c r="Q1800" s="2" t="s">
        <v>140</v>
      </c>
      <c r="R1800" s="2" t="s">
        <v>128</v>
      </c>
      <c r="S1800" s="2" t="s">
        <v>654</v>
      </c>
      <c r="T1800" s="10">
        <v>24.25</v>
      </c>
      <c r="U1800" s="11">
        <v>0.72799999999999998</v>
      </c>
      <c r="V1800" s="12">
        <f>T1800*U1800</f>
        <v>17.654</v>
      </c>
      <c r="W1800" s="13">
        <v>0.13</v>
      </c>
      <c r="X1800" s="12">
        <f>V1800-(V1800/(1+W1800))</f>
        <v>2.0309911504424765</v>
      </c>
      <c r="Y1800" s="12">
        <f>V1800-X1800</f>
        <v>15.623008849557523</v>
      </c>
      <c r="Z1800" s="14">
        <v>25</v>
      </c>
      <c r="AA1800" s="2" t="str">
        <f>IF(V1800&gt;Z1800,"Yes","No")</f>
        <v>No</v>
      </c>
      <c r="AB1800" s="12">
        <f>V1800-Z1800</f>
        <v>-7.3460000000000001</v>
      </c>
      <c r="AC1800" s="15" t="s">
        <v>130</v>
      </c>
      <c r="AD1800" s="15" t="s">
        <v>130</v>
      </c>
      <c r="AE1800" s="15" t="s">
        <v>350</v>
      </c>
      <c r="AF1800" s="12">
        <f>IF(AG1800="Rejected",0,IF(R1800="Corporate Card",0,V1800))</f>
        <v>0</v>
      </c>
      <c r="AG1800" s="15" t="s">
        <v>133</v>
      </c>
      <c r="AH1800" s="16">
        <v>45866</v>
      </c>
      <c r="AI1800" s="16">
        <v>45867</v>
      </c>
      <c r="AJ1800" s="16">
        <v>45875</v>
      </c>
      <c r="AK1800" s="17">
        <f>IF(AJ1800="","",AJ1800-AH1800)</f>
        <v>9</v>
      </c>
    </row>
    <row r="1801" spans="1:37">
      <c r="A1801" s="2" t="s">
        <v>2253</v>
      </c>
      <c r="B1801" s="2" t="s">
        <v>169</v>
      </c>
      <c r="C1801" s="2" t="s">
        <v>170</v>
      </c>
      <c r="D1801" s="2" t="s">
        <v>171</v>
      </c>
      <c r="E1801" s="2" t="s">
        <v>172</v>
      </c>
      <c r="F1801" s="2" t="s">
        <v>173</v>
      </c>
      <c r="G1801" s="2" t="s">
        <v>2139</v>
      </c>
      <c r="H1801" s="2" t="s">
        <v>193</v>
      </c>
      <c r="I1801" s="2" t="s">
        <v>651</v>
      </c>
      <c r="J1801" s="2" t="s">
        <v>652</v>
      </c>
      <c r="K1801" s="9">
        <v>45850</v>
      </c>
      <c r="L1801" s="9">
        <v>45858</v>
      </c>
      <c r="M1801" s="9">
        <v>45857</v>
      </c>
      <c r="N1801" s="2" t="s">
        <v>1986</v>
      </c>
      <c r="O1801" s="2" t="s">
        <v>56</v>
      </c>
      <c r="P1801" s="2" t="s">
        <v>245</v>
      </c>
      <c r="Q1801" s="2" t="s">
        <v>152</v>
      </c>
      <c r="R1801" s="2" t="s">
        <v>128</v>
      </c>
      <c r="S1801" s="2" t="s">
        <v>654</v>
      </c>
      <c r="T1801" s="10">
        <v>124.74</v>
      </c>
      <c r="U1801" s="11">
        <v>0.72799999999999998</v>
      </c>
      <c r="V1801" s="12">
        <f>T1801*U1801</f>
        <v>90.810719999999989</v>
      </c>
      <c r="W1801" s="13">
        <v>0.13</v>
      </c>
      <c r="X1801" s="12">
        <f>V1801-(V1801/(1+W1801))</f>
        <v>10.447250973451318</v>
      </c>
      <c r="Y1801" s="12">
        <f>V1801-X1801</f>
        <v>80.363469026548671</v>
      </c>
      <c r="Z1801" s="14">
        <v>75</v>
      </c>
      <c r="AA1801" s="2" t="str">
        <f>IF(V1801&gt;Z1801,"Yes","No")</f>
        <v>Yes</v>
      </c>
      <c r="AB1801" s="12">
        <f>V1801-Z1801</f>
        <v>15.810719999999989</v>
      </c>
      <c r="AC1801" s="15" t="s">
        <v>130</v>
      </c>
      <c r="AD1801" s="15" t="s">
        <v>130</v>
      </c>
      <c r="AE1801" s="15" t="s">
        <v>350</v>
      </c>
      <c r="AF1801" s="12">
        <f>IF(AG1801="Rejected",0,IF(R1801="Corporate Card",0,V1801))</f>
        <v>0</v>
      </c>
      <c r="AG1801" s="15" t="s">
        <v>133</v>
      </c>
      <c r="AH1801" s="16">
        <v>45866</v>
      </c>
      <c r="AI1801" s="16">
        <v>45867</v>
      </c>
      <c r="AJ1801" s="16">
        <v>45875</v>
      </c>
      <c r="AK1801" s="17">
        <f>IF(AJ1801="","",AJ1801-AH1801)</f>
        <v>9</v>
      </c>
    </row>
    <row r="1802" spans="1:37">
      <c r="A1802" s="2" t="s">
        <v>2254</v>
      </c>
      <c r="B1802" s="2" t="s">
        <v>169</v>
      </c>
      <c r="C1802" s="2" t="s">
        <v>170</v>
      </c>
      <c r="D1802" s="2" t="s">
        <v>171</v>
      </c>
      <c r="E1802" s="2" t="s">
        <v>172</v>
      </c>
      <c r="F1802" s="2" t="s">
        <v>173</v>
      </c>
      <c r="G1802" s="2" t="s">
        <v>2139</v>
      </c>
      <c r="H1802" s="2" t="s">
        <v>193</v>
      </c>
      <c r="I1802" s="2" t="s">
        <v>651</v>
      </c>
      <c r="J1802" s="2" t="s">
        <v>652</v>
      </c>
      <c r="K1802" s="9">
        <v>45850</v>
      </c>
      <c r="L1802" s="9">
        <v>45858</v>
      </c>
      <c r="M1802" s="9">
        <v>45857</v>
      </c>
      <c r="N1802" s="2" t="s">
        <v>1986</v>
      </c>
      <c r="O1802" s="2" t="s">
        <v>55</v>
      </c>
      <c r="P1802" s="2" t="s">
        <v>139</v>
      </c>
      <c r="Q1802" s="2" t="s">
        <v>154</v>
      </c>
      <c r="R1802" s="2" t="s">
        <v>128</v>
      </c>
      <c r="S1802" s="2" t="s">
        <v>654</v>
      </c>
      <c r="T1802" s="10">
        <v>42.2</v>
      </c>
      <c r="U1802" s="11">
        <v>0.72799999999999998</v>
      </c>
      <c r="V1802" s="12">
        <f>T1802*U1802</f>
        <v>30.721600000000002</v>
      </c>
      <c r="W1802" s="13">
        <v>0.13</v>
      </c>
      <c r="X1802" s="12">
        <f>V1802-(V1802/(1+W1802))</f>
        <v>3.534343362831855</v>
      </c>
      <c r="Y1802" s="12">
        <f>V1802-X1802</f>
        <v>27.187256637168147</v>
      </c>
      <c r="Z1802" s="14">
        <v>35</v>
      </c>
      <c r="AA1802" s="2" t="str">
        <f>IF(V1802&gt;Z1802,"Yes","No")</f>
        <v>No</v>
      </c>
      <c r="AB1802" s="12">
        <f>V1802-Z1802</f>
        <v>-4.2783999999999978</v>
      </c>
      <c r="AC1802" s="15" t="s">
        <v>130</v>
      </c>
      <c r="AD1802" s="15" t="s">
        <v>130</v>
      </c>
      <c r="AE1802" s="15" t="s">
        <v>350</v>
      </c>
      <c r="AF1802" s="12">
        <f>IF(AG1802="Rejected",0,IF(R1802="Corporate Card",0,V1802))</f>
        <v>0</v>
      </c>
      <c r="AG1802" s="15" t="s">
        <v>133</v>
      </c>
      <c r="AH1802" s="16">
        <v>45866</v>
      </c>
      <c r="AI1802" s="16">
        <v>45867</v>
      </c>
      <c r="AJ1802" s="16">
        <v>45875</v>
      </c>
      <c r="AK1802" s="17">
        <f>IF(AJ1802="","",AJ1802-AH1802)</f>
        <v>9</v>
      </c>
    </row>
    <row r="1803" spans="1:37">
      <c r="A1803" s="2" t="s">
        <v>2255</v>
      </c>
      <c r="B1803" s="2" t="s">
        <v>2212</v>
      </c>
      <c r="C1803" s="2" t="s">
        <v>346</v>
      </c>
      <c r="D1803" s="2" t="s">
        <v>344</v>
      </c>
      <c r="E1803" s="2" t="s">
        <v>2213</v>
      </c>
      <c r="F1803" s="2" t="s">
        <v>313</v>
      </c>
      <c r="G1803" s="2" t="s">
        <v>2214</v>
      </c>
      <c r="H1803" s="2" t="s">
        <v>748</v>
      </c>
      <c r="I1803" s="2" t="s">
        <v>380</v>
      </c>
      <c r="J1803" s="2" t="s">
        <v>381</v>
      </c>
      <c r="K1803" s="9">
        <v>45855</v>
      </c>
      <c r="L1803" s="9">
        <v>45860</v>
      </c>
      <c r="M1803" s="9">
        <v>45858</v>
      </c>
      <c r="N1803" s="2" t="s">
        <v>1986</v>
      </c>
      <c r="O1803" s="2" t="s">
        <v>68</v>
      </c>
      <c r="P1803" s="2" t="s">
        <v>282</v>
      </c>
      <c r="Q1803" s="2" t="s">
        <v>283</v>
      </c>
      <c r="R1803" s="2" t="s">
        <v>149</v>
      </c>
      <c r="S1803" s="2" t="s">
        <v>383</v>
      </c>
      <c r="T1803" s="10">
        <v>43.32</v>
      </c>
      <c r="U1803" s="11">
        <v>1</v>
      </c>
      <c r="V1803" s="12">
        <f>T1803*U1803</f>
        <v>43.32</v>
      </c>
      <c r="W1803" s="13">
        <v>0</v>
      </c>
      <c r="X1803" s="12">
        <f>V1803-(V1803/(1+W1803))</f>
        <v>0</v>
      </c>
      <c r="Y1803" s="12">
        <f>V1803-X1803</f>
        <v>43.32</v>
      </c>
      <c r="Z1803" s="14">
        <v>30</v>
      </c>
      <c r="AA1803" s="2" t="str">
        <f>IF(V1803&gt;Z1803,"Yes","No")</f>
        <v>Yes</v>
      </c>
      <c r="AB1803" s="12">
        <f>V1803-Z1803</f>
        <v>13.32</v>
      </c>
      <c r="AC1803" s="15" t="s">
        <v>130</v>
      </c>
      <c r="AD1803" s="15" t="s">
        <v>130</v>
      </c>
      <c r="AE1803" s="15" t="s">
        <v>421</v>
      </c>
      <c r="AF1803" s="12">
        <f>IF(AG1803="Rejected",0,IF(R1803="Corporate Card",0,V1803))</f>
        <v>43.32</v>
      </c>
      <c r="AG1803" s="15" t="s">
        <v>133</v>
      </c>
      <c r="AH1803" s="16">
        <v>45871</v>
      </c>
      <c r="AI1803" s="16">
        <v>45872</v>
      </c>
      <c r="AJ1803" s="16">
        <v>45879</v>
      </c>
      <c r="AK1803" s="17">
        <f>IF(AJ1803="","",AJ1803-AH1803)</f>
        <v>8</v>
      </c>
    </row>
    <row r="1804" spans="1:37">
      <c r="A1804" s="2" t="s">
        <v>2256</v>
      </c>
      <c r="B1804" s="2" t="s">
        <v>2212</v>
      </c>
      <c r="C1804" s="2" t="s">
        <v>346</v>
      </c>
      <c r="D1804" s="2" t="s">
        <v>344</v>
      </c>
      <c r="E1804" s="2" t="s">
        <v>2213</v>
      </c>
      <c r="F1804" s="2" t="s">
        <v>313</v>
      </c>
      <c r="G1804" s="2" t="s">
        <v>2214</v>
      </c>
      <c r="H1804" s="2" t="s">
        <v>748</v>
      </c>
      <c r="I1804" s="2" t="s">
        <v>380</v>
      </c>
      <c r="J1804" s="2" t="s">
        <v>381</v>
      </c>
      <c r="K1804" s="9">
        <v>45855</v>
      </c>
      <c r="L1804" s="9">
        <v>45860</v>
      </c>
      <c r="M1804" s="9">
        <v>45858</v>
      </c>
      <c r="N1804" s="2" t="s">
        <v>1986</v>
      </c>
      <c r="O1804" s="2" t="s">
        <v>54</v>
      </c>
      <c r="P1804" s="2" t="s">
        <v>139</v>
      </c>
      <c r="Q1804" s="2" t="s">
        <v>140</v>
      </c>
      <c r="R1804" s="2" t="s">
        <v>137</v>
      </c>
      <c r="S1804" s="2" t="s">
        <v>383</v>
      </c>
      <c r="T1804" s="10">
        <v>22.89</v>
      </c>
      <c r="U1804" s="11">
        <v>1</v>
      </c>
      <c r="V1804" s="12">
        <f>T1804*U1804</f>
        <v>22.89</v>
      </c>
      <c r="W1804" s="13">
        <v>0</v>
      </c>
      <c r="X1804" s="12">
        <f>V1804-(V1804/(1+W1804))</f>
        <v>0</v>
      </c>
      <c r="Y1804" s="12">
        <f>V1804-X1804</f>
        <v>22.89</v>
      </c>
      <c r="Z1804" s="14">
        <v>25</v>
      </c>
      <c r="AA1804" s="2" t="str">
        <f>IF(V1804&gt;Z1804,"Yes","No")</f>
        <v>No</v>
      </c>
      <c r="AB1804" s="12">
        <f>V1804-Z1804</f>
        <v>-2.1099999999999994</v>
      </c>
      <c r="AC1804" s="15" t="s">
        <v>130</v>
      </c>
      <c r="AD1804" s="15" t="s">
        <v>130</v>
      </c>
      <c r="AE1804" s="15" t="s">
        <v>421</v>
      </c>
      <c r="AF1804" s="12">
        <f>IF(AG1804="Rejected",0,IF(R1804="Corporate Card",0,V1804))</f>
        <v>22.89</v>
      </c>
      <c r="AG1804" s="15" t="s">
        <v>133</v>
      </c>
      <c r="AH1804" s="16">
        <v>45871</v>
      </c>
      <c r="AI1804" s="16">
        <v>45872</v>
      </c>
      <c r="AJ1804" s="16">
        <v>45879</v>
      </c>
      <c r="AK1804" s="17">
        <f>IF(AJ1804="","",AJ1804-AH1804)</f>
        <v>8</v>
      </c>
    </row>
    <row r="1805" spans="1:37">
      <c r="A1805" s="2" t="s">
        <v>2257</v>
      </c>
      <c r="B1805" s="2" t="s">
        <v>2212</v>
      </c>
      <c r="C1805" s="2" t="s">
        <v>346</v>
      </c>
      <c r="D1805" s="2" t="s">
        <v>344</v>
      </c>
      <c r="E1805" s="2" t="s">
        <v>2213</v>
      </c>
      <c r="F1805" s="2" t="s">
        <v>313</v>
      </c>
      <c r="G1805" s="2" t="s">
        <v>2214</v>
      </c>
      <c r="H1805" s="2" t="s">
        <v>748</v>
      </c>
      <c r="I1805" s="2" t="s">
        <v>380</v>
      </c>
      <c r="J1805" s="2" t="s">
        <v>381</v>
      </c>
      <c r="K1805" s="9">
        <v>45855</v>
      </c>
      <c r="L1805" s="9">
        <v>45860</v>
      </c>
      <c r="M1805" s="9">
        <v>45858</v>
      </c>
      <c r="N1805" s="2" t="s">
        <v>1986</v>
      </c>
      <c r="O1805" s="2" t="s">
        <v>56</v>
      </c>
      <c r="P1805" s="2" t="s">
        <v>245</v>
      </c>
      <c r="Q1805" s="2" t="s">
        <v>152</v>
      </c>
      <c r="R1805" s="2" t="s">
        <v>128</v>
      </c>
      <c r="S1805" s="2" t="s">
        <v>383</v>
      </c>
      <c r="T1805" s="10">
        <v>34.020000000000003</v>
      </c>
      <c r="U1805" s="11">
        <v>1</v>
      </c>
      <c r="V1805" s="12">
        <f>T1805*U1805</f>
        <v>34.020000000000003</v>
      </c>
      <c r="W1805" s="13">
        <v>0</v>
      </c>
      <c r="X1805" s="12">
        <f>V1805-(V1805/(1+W1805))</f>
        <v>0</v>
      </c>
      <c r="Y1805" s="12">
        <f>V1805-X1805</f>
        <v>34.020000000000003</v>
      </c>
      <c r="Z1805" s="14">
        <v>75</v>
      </c>
      <c r="AA1805" s="2" t="str">
        <f>IF(V1805&gt;Z1805,"Yes","No")</f>
        <v>No</v>
      </c>
      <c r="AB1805" s="12">
        <f>V1805-Z1805</f>
        <v>-40.98</v>
      </c>
      <c r="AC1805" s="15" t="s">
        <v>130</v>
      </c>
      <c r="AD1805" s="15" t="s">
        <v>130</v>
      </c>
      <c r="AE1805" s="15" t="s">
        <v>421</v>
      </c>
      <c r="AF1805" s="12">
        <f>IF(AG1805="Rejected",0,IF(R1805="Corporate Card",0,V1805))</f>
        <v>0</v>
      </c>
      <c r="AG1805" s="15" t="s">
        <v>133</v>
      </c>
      <c r="AH1805" s="16">
        <v>45871</v>
      </c>
      <c r="AI1805" s="16">
        <v>45872</v>
      </c>
      <c r="AJ1805" s="16">
        <v>45879</v>
      </c>
      <c r="AK1805" s="17">
        <f>IF(AJ1805="","",AJ1805-AH1805)</f>
        <v>8</v>
      </c>
    </row>
    <row r="1806" spans="1:37">
      <c r="A1806" s="2" t="s">
        <v>2258</v>
      </c>
      <c r="B1806" s="2" t="s">
        <v>2212</v>
      </c>
      <c r="C1806" s="2" t="s">
        <v>346</v>
      </c>
      <c r="D1806" s="2" t="s">
        <v>344</v>
      </c>
      <c r="E1806" s="2" t="s">
        <v>2213</v>
      </c>
      <c r="F1806" s="2" t="s">
        <v>313</v>
      </c>
      <c r="G1806" s="2" t="s">
        <v>2214</v>
      </c>
      <c r="H1806" s="2" t="s">
        <v>748</v>
      </c>
      <c r="I1806" s="2" t="s">
        <v>380</v>
      </c>
      <c r="J1806" s="2" t="s">
        <v>381</v>
      </c>
      <c r="K1806" s="9">
        <v>45855</v>
      </c>
      <c r="L1806" s="9">
        <v>45860</v>
      </c>
      <c r="M1806" s="9">
        <v>45858</v>
      </c>
      <c r="N1806" s="2" t="s">
        <v>1986</v>
      </c>
      <c r="O1806" s="2" t="s">
        <v>55</v>
      </c>
      <c r="P1806" s="2" t="s">
        <v>139</v>
      </c>
      <c r="Q1806" s="2" t="s">
        <v>161</v>
      </c>
      <c r="R1806" s="2" t="s">
        <v>137</v>
      </c>
      <c r="S1806" s="2" t="s">
        <v>383</v>
      </c>
      <c r="T1806" s="10">
        <v>16.43</v>
      </c>
      <c r="U1806" s="11">
        <v>1</v>
      </c>
      <c r="V1806" s="12">
        <f>T1806*U1806</f>
        <v>16.43</v>
      </c>
      <c r="W1806" s="13">
        <v>0</v>
      </c>
      <c r="X1806" s="12">
        <f>V1806-(V1806/(1+W1806))</f>
        <v>0</v>
      </c>
      <c r="Y1806" s="12">
        <f>V1806-X1806</f>
        <v>16.43</v>
      </c>
      <c r="Z1806" s="14">
        <v>35</v>
      </c>
      <c r="AA1806" s="2" t="str">
        <f>IF(V1806&gt;Z1806,"Yes","No")</f>
        <v>No</v>
      </c>
      <c r="AB1806" s="12">
        <f>V1806-Z1806</f>
        <v>-18.57</v>
      </c>
      <c r="AC1806" s="15" t="s">
        <v>130</v>
      </c>
      <c r="AD1806" s="15" t="s">
        <v>130</v>
      </c>
      <c r="AE1806" s="15" t="s">
        <v>421</v>
      </c>
      <c r="AF1806" s="12">
        <f>IF(AG1806="Rejected",0,IF(R1806="Corporate Card",0,V1806))</f>
        <v>16.43</v>
      </c>
      <c r="AG1806" s="15" t="s">
        <v>133</v>
      </c>
      <c r="AH1806" s="16">
        <v>45871</v>
      </c>
      <c r="AI1806" s="16">
        <v>45872</v>
      </c>
      <c r="AJ1806" s="16">
        <v>45879</v>
      </c>
      <c r="AK1806" s="17">
        <f>IF(AJ1806="","",AJ1806-AH1806)</f>
        <v>8</v>
      </c>
    </row>
    <row r="1807" spans="1:37">
      <c r="A1807" s="2" t="s">
        <v>2259</v>
      </c>
      <c r="B1807" s="2" t="s">
        <v>1749</v>
      </c>
      <c r="C1807" s="2" t="s">
        <v>1750</v>
      </c>
      <c r="D1807" s="2" t="s">
        <v>118</v>
      </c>
      <c r="E1807" s="2" t="s">
        <v>119</v>
      </c>
      <c r="F1807" s="2" t="s">
        <v>120</v>
      </c>
      <c r="G1807" s="2" t="s">
        <v>2234</v>
      </c>
      <c r="H1807" s="2" t="s">
        <v>379</v>
      </c>
      <c r="I1807" s="2" t="s">
        <v>175</v>
      </c>
      <c r="J1807" s="2" t="s">
        <v>176</v>
      </c>
      <c r="K1807" s="9">
        <v>45856</v>
      </c>
      <c r="L1807" s="9">
        <v>45861</v>
      </c>
      <c r="M1807" s="9">
        <v>45858</v>
      </c>
      <c r="N1807" s="2" t="s">
        <v>1986</v>
      </c>
      <c r="O1807" s="2" t="s">
        <v>58</v>
      </c>
      <c r="P1807" s="2" t="s">
        <v>142</v>
      </c>
      <c r="Q1807" s="2" t="s">
        <v>203</v>
      </c>
      <c r="R1807" s="2" t="s">
        <v>149</v>
      </c>
      <c r="S1807" s="2" t="s">
        <v>179</v>
      </c>
      <c r="T1807" s="10">
        <v>303.39</v>
      </c>
      <c r="U1807" s="11">
        <v>0.18099999999999999</v>
      </c>
      <c r="V1807" s="12">
        <f>T1807*U1807</f>
        <v>54.913589999999999</v>
      </c>
      <c r="W1807" s="13">
        <v>0.17</v>
      </c>
      <c r="X1807" s="12">
        <f>V1807-(V1807/(1+W1807))</f>
        <v>7.9788976923076902</v>
      </c>
      <c r="Y1807" s="12">
        <f>V1807-X1807</f>
        <v>46.934692307692309</v>
      </c>
      <c r="Z1807" s="14">
        <v>60</v>
      </c>
      <c r="AA1807" s="2" t="str">
        <f>IF(V1807&gt;Z1807,"Yes","No")</f>
        <v>No</v>
      </c>
      <c r="AB1807" s="12">
        <f>V1807-Z1807</f>
        <v>-5.0864100000000008</v>
      </c>
      <c r="AC1807" s="15" t="s">
        <v>130</v>
      </c>
      <c r="AD1807" s="15" t="s">
        <v>130</v>
      </c>
      <c r="AE1807" s="15" t="s">
        <v>858</v>
      </c>
      <c r="AF1807" s="12">
        <f>IF(AG1807="Rejected",0,IF(R1807="Corporate Card",0,V1807))</f>
        <v>0</v>
      </c>
      <c r="AG1807" s="15" t="s">
        <v>804</v>
      </c>
      <c r="AH1807" s="16">
        <v>45862</v>
      </c>
      <c r="AI1807" s="16"/>
      <c r="AJ1807" s="16"/>
      <c r="AK1807" s="17" t="str">
        <f>IF(AJ1807="","",AJ1807-AH1807)</f>
        <v/>
      </c>
    </row>
    <row r="1808" spans="1:37">
      <c r="A1808" s="2" t="s">
        <v>2260</v>
      </c>
      <c r="B1808" s="2" t="s">
        <v>1749</v>
      </c>
      <c r="C1808" s="2" t="s">
        <v>1750</v>
      </c>
      <c r="D1808" s="2" t="s">
        <v>118</v>
      </c>
      <c r="E1808" s="2" t="s">
        <v>119</v>
      </c>
      <c r="F1808" s="2" t="s">
        <v>120</v>
      </c>
      <c r="G1808" s="2" t="s">
        <v>2234</v>
      </c>
      <c r="H1808" s="2" t="s">
        <v>379</v>
      </c>
      <c r="I1808" s="2" t="s">
        <v>175</v>
      </c>
      <c r="J1808" s="2" t="s">
        <v>176</v>
      </c>
      <c r="K1808" s="9">
        <v>45856</v>
      </c>
      <c r="L1808" s="9">
        <v>45861</v>
      </c>
      <c r="M1808" s="9">
        <v>45858</v>
      </c>
      <c r="N1808" s="2" t="s">
        <v>1986</v>
      </c>
      <c r="O1808" s="2" t="s">
        <v>54</v>
      </c>
      <c r="P1808" s="2" t="s">
        <v>139</v>
      </c>
      <c r="Q1808" s="2" t="s">
        <v>163</v>
      </c>
      <c r="R1808" s="2" t="s">
        <v>128</v>
      </c>
      <c r="S1808" s="2" t="s">
        <v>179</v>
      </c>
      <c r="T1808" s="10">
        <v>73</v>
      </c>
      <c r="U1808" s="11">
        <v>0.18099999999999999</v>
      </c>
      <c r="V1808" s="12">
        <f>T1808*U1808</f>
        <v>13.212999999999999</v>
      </c>
      <c r="W1808" s="13">
        <v>0.17</v>
      </c>
      <c r="X1808" s="12">
        <f>V1808-(V1808/(1+W1808))</f>
        <v>1.9198376068376053</v>
      </c>
      <c r="Y1808" s="12">
        <f>V1808-X1808</f>
        <v>11.293162393162394</v>
      </c>
      <c r="Z1808" s="14">
        <v>25</v>
      </c>
      <c r="AA1808" s="2" t="str">
        <f>IF(V1808&gt;Z1808,"Yes","No")</f>
        <v>No</v>
      </c>
      <c r="AB1808" s="12">
        <f>V1808-Z1808</f>
        <v>-11.787000000000001</v>
      </c>
      <c r="AC1808" s="15" t="s">
        <v>130</v>
      </c>
      <c r="AD1808" s="15" t="s">
        <v>130</v>
      </c>
      <c r="AE1808" s="15" t="s">
        <v>858</v>
      </c>
      <c r="AF1808" s="12">
        <f>IF(AG1808="Rejected",0,IF(R1808="Corporate Card",0,V1808))</f>
        <v>0</v>
      </c>
      <c r="AG1808" s="15" t="s">
        <v>804</v>
      </c>
      <c r="AH1808" s="16">
        <v>45862</v>
      </c>
      <c r="AI1808" s="16"/>
      <c r="AJ1808" s="16"/>
      <c r="AK1808" s="17" t="str">
        <f>IF(AJ1808="","",AJ1808-AH1808)</f>
        <v/>
      </c>
    </row>
    <row r="1809" spans="1:37">
      <c r="A1809" s="2" t="s">
        <v>2261</v>
      </c>
      <c r="B1809" s="2" t="s">
        <v>1749</v>
      </c>
      <c r="C1809" s="2" t="s">
        <v>1750</v>
      </c>
      <c r="D1809" s="2" t="s">
        <v>118</v>
      </c>
      <c r="E1809" s="2" t="s">
        <v>119</v>
      </c>
      <c r="F1809" s="2" t="s">
        <v>120</v>
      </c>
      <c r="G1809" s="2" t="s">
        <v>2234</v>
      </c>
      <c r="H1809" s="2" t="s">
        <v>379</v>
      </c>
      <c r="I1809" s="2" t="s">
        <v>175</v>
      </c>
      <c r="J1809" s="2" t="s">
        <v>176</v>
      </c>
      <c r="K1809" s="9">
        <v>45856</v>
      </c>
      <c r="L1809" s="9">
        <v>45861</v>
      </c>
      <c r="M1809" s="9">
        <v>45858</v>
      </c>
      <c r="N1809" s="2" t="s">
        <v>1986</v>
      </c>
      <c r="O1809" s="2" t="s">
        <v>56</v>
      </c>
      <c r="P1809" s="2" t="s">
        <v>151</v>
      </c>
      <c r="Q1809" s="2" t="s">
        <v>227</v>
      </c>
      <c r="R1809" s="2" t="s">
        <v>128</v>
      </c>
      <c r="S1809" s="2" t="s">
        <v>179</v>
      </c>
      <c r="T1809" s="10">
        <v>376.62</v>
      </c>
      <c r="U1809" s="11">
        <v>0.18099999999999999</v>
      </c>
      <c r="V1809" s="12">
        <f>T1809*U1809</f>
        <v>68.168220000000005</v>
      </c>
      <c r="W1809" s="13">
        <v>0.17</v>
      </c>
      <c r="X1809" s="12">
        <f>V1809-(V1809/(1+W1809))</f>
        <v>9.9047841025641006</v>
      </c>
      <c r="Y1809" s="12">
        <f>V1809-X1809</f>
        <v>58.263435897435905</v>
      </c>
      <c r="Z1809" s="14">
        <v>75</v>
      </c>
      <c r="AA1809" s="2" t="str">
        <f>IF(V1809&gt;Z1809,"Yes","No")</f>
        <v>No</v>
      </c>
      <c r="AB1809" s="12">
        <f>V1809-Z1809</f>
        <v>-6.8317799999999949</v>
      </c>
      <c r="AC1809" s="15" t="s">
        <v>130</v>
      </c>
      <c r="AD1809" s="15" t="s">
        <v>130</v>
      </c>
      <c r="AE1809" s="15" t="s">
        <v>858</v>
      </c>
      <c r="AF1809" s="12">
        <f>IF(AG1809="Rejected",0,IF(R1809="Corporate Card",0,V1809))</f>
        <v>0</v>
      </c>
      <c r="AG1809" s="15" t="s">
        <v>804</v>
      </c>
      <c r="AH1809" s="16">
        <v>45862</v>
      </c>
      <c r="AI1809" s="16"/>
      <c r="AJ1809" s="16"/>
      <c r="AK1809" s="17" t="str">
        <f>IF(AJ1809="","",AJ1809-AH1809)</f>
        <v/>
      </c>
    </row>
    <row r="1810" spans="1:37">
      <c r="A1810" s="2" t="s">
        <v>2262</v>
      </c>
      <c r="B1810" s="2" t="s">
        <v>1749</v>
      </c>
      <c r="C1810" s="2" t="s">
        <v>1750</v>
      </c>
      <c r="D1810" s="2" t="s">
        <v>118</v>
      </c>
      <c r="E1810" s="2" t="s">
        <v>119</v>
      </c>
      <c r="F1810" s="2" t="s">
        <v>120</v>
      </c>
      <c r="G1810" s="2" t="s">
        <v>2234</v>
      </c>
      <c r="H1810" s="2" t="s">
        <v>379</v>
      </c>
      <c r="I1810" s="2" t="s">
        <v>175</v>
      </c>
      <c r="J1810" s="2" t="s">
        <v>176</v>
      </c>
      <c r="K1810" s="9">
        <v>45856</v>
      </c>
      <c r="L1810" s="9">
        <v>45861</v>
      </c>
      <c r="M1810" s="9">
        <v>45858</v>
      </c>
      <c r="N1810" s="2" t="s">
        <v>1986</v>
      </c>
      <c r="O1810" s="2" t="s">
        <v>55</v>
      </c>
      <c r="P1810" s="2" t="s">
        <v>139</v>
      </c>
      <c r="Q1810" s="2" t="s">
        <v>154</v>
      </c>
      <c r="R1810" s="2" t="s">
        <v>149</v>
      </c>
      <c r="S1810" s="2" t="s">
        <v>179</v>
      </c>
      <c r="T1810" s="10">
        <v>138.87</v>
      </c>
      <c r="U1810" s="11">
        <v>0.18099999999999999</v>
      </c>
      <c r="V1810" s="12">
        <f>T1810*U1810</f>
        <v>25.135470000000002</v>
      </c>
      <c r="W1810" s="13">
        <v>0.17</v>
      </c>
      <c r="X1810" s="12">
        <f>V1810-(V1810/(1+W1810))</f>
        <v>3.6521623076923078</v>
      </c>
      <c r="Y1810" s="12">
        <f>V1810-X1810</f>
        <v>21.483307692307694</v>
      </c>
      <c r="Z1810" s="14">
        <v>35</v>
      </c>
      <c r="AA1810" s="2" t="str">
        <f>IF(V1810&gt;Z1810,"Yes","No")</f>
        <v>No</v>
      </c>
      <c r="AB1810" s="12">
        <f>V1810-Z1810</f>
        <v>-9.8645299999999985</v>
      </c>
      <c r="AC1810" s="15" t="s">
        <v>130</v>
      </c>
      <c r="AD1810" s="15" t="s">
        <v>130</v>
      </c>
      <c r="AE1810" s="15" t="s">
        <v>858</v>
      </c>
      <c r="AF1810" s="12">
        <f>IF(AG1810="Rejected",0,IF(R1810="Corporate Card",0,V1810))</f>
        <v>0</v>
      </c>
      <c r="AG1810" s="15" t="s">
        <v>804</v>
      </c>
      <c r="AH1810" s="16">
        <v>45862</v>
      </c>
      <c r="AI1810" s="16"/>
      <c r="AJ1810" s="16"/>
      <c r="AK1810" s="17" t="str">
        <f>IF(AJ1810="","",AJ1810-AH1810)</f>
        <v/>
      </c>
    </row>
    <row r="1811" spans="1:37">
      <c r="A1811" s="2" t="s">
        <v>2263</v>
      </c>
      <c r="B1811" s="2" t="s">
        <v>169</v>
      </c>
      <c r="C1811" s="2" t="s">
        <v>170</v>
      </c>
      <c r="D1811" s="2" t="s">
        <v>171</v>
      </c>
      <c r="E1811" s="2" t="s">
        <v>172</v>
      </c>
      <c r="F1811" s="2" t="s">
        <v>173</v>
      </c>
      <c r="G1811" s="2" t="s">
        <v>2139</v>
      </c>
      <c r="H1811" s="2" t="s">
        <v>193</v>
      </c>
      <c r="I1811" s="2" t="s">
        <v>651</v>
      </c>
      <c r="J1811" s="2" t="s">
        <v>652</v>
      </c>
      <c r="K1811" s="9">
        <v>45850</v>
      </c>
      <c r="L1811" s="9">
        <v>45858</v>
      </c>
      <c r="M1811" s="9">
        <v>45858</v>
      </c>
      <c r="N1811" s="2" t="s">
        <v>1986</v>
      </c>
      <c r="O1811" s="2" t="s">
        <v>58</v>
      </c>
      <c r="P1811" s="2" t="s">
        <v>142</v>
      </c>
      <c r="Q1811" s="2" t="s">
        <v>156</v>
      </c>
      <c r="R1811" s="2" t="s">
        <v>149</v>
      </c>
      <c r="S1811" s="2" t="s">
        <v>654</v>
      </c>
      <c r="T1811" s="10">
        <v>39.770000000000003</v>
      </c>
      <c r="U1811" s="11">
        <v>0.72799999999999998</v>
      </c>
      <c r="V1811" s="12">
        <f>T1811*U1811</f>
        <v>28.952560000000002</v>
      </c>
      <c r="W1811" s="13">
        <v>0.13</v>
      </c>
      <c r="X1811" s="12">
        <f>V1811-(V1811/(1+W1811))</f>
        <v>3.3308254867256615</v>
      </c>
      <c r="Y1811" s="12">
        <f>V1811-X1811</f>
        <v>25.62173451327434</v>
      </c>
      <c r="Z1811" s="14">
        <v>60</v>
      </c>
      <c r="AA1811" s="2" t="str">
        <f>IF(V1811&gt;Z1811,"Yes","No")</f>
        <v>No</v>
      </c>
      <c r="AB1811" s="12">
        <f>V1811-Z1811</f>
        <v>-31.047439999999998</v>
      </c>
      <c r="AC1811" s="15" t="s">
        <v>130</v>
      </c>
      <c r="AD1811" s="15" t="s">
        <v>130</v>
      </c>
      <c r="AE1811" s="15" t="s">
        <v>350</v>
      </c>
      <c r="AF1811" s="12">
        <f>IF(AG1811="Rejected",0,IF(R1811="Corporate Card",0,V1811))</f>
        <v>28.952560000000002</v>
      </c>
      <c r="AG1811" s="15" t="s">
        <v>133</v>
      </c>
      <c r="AH1811" s="16">
        <v>45866</v>
      </c>
      <c r="AI1811" s="16">
        <v>45867</v>
      </c>
      <c r="AJ1811" s="16">
        <v>45875</v>
      </c>
      <c r="AK1811" s="17">
        <f>IF(AJ1811="","",AJ1811-AH1811)</f>
        <v>9</v>
      </c>
    </row>
    <row r="1812" spans="1:37">
      <c r="A1812" s="2" t="s">
        <v>2264</v>
      </c>
      <c r="B1812" s="2" t="s">
        <v>169</v>
      </c>
      <c r="C1812" s="2" t="s">
        <v>170</v>
      </c>
      <c r="D1812" s="2" t="s">
        <v>171</v>
      </c>
      <c r="E1812" s="2" t="s">
        <v>172</v>
      </c>
      <c r="F1812" s="2" t="s">
        <v>173</v>
      </c>
      <c r="G1812" s="2" t="s">
        <v>2139</v>
      </c>
      <c r="H1812" s="2" t="s">
        <v>193</v>
      </c>
      <c r="I1812" s="2" t="s">
        <v>651</v>
      </c>
      <c r="J1812" s="2" t="s">
        <v>652</v>
      </c>
      <c r="K1812" s="9">
        <v>45850</v>
      </c>
      <c r="L1812" s="9">
        <v>45858</v>
      </c>
      <c r="M1812" s="9">
        <v>45858</v>
      </c>
      <c r="N1812" s="2" t="s">
        <v>1986</v>
      </c>
      <c r="O1812" s="2" t="s">
        <v>54</v>
      </c>
      <c r="P1812" s="2" t="s">
        <v>139</v>
      </c>
      <c r="Q1812" s="2" t="s">
        <v>140</v>
      </c>
      <c r="R1812" s="2" t="s">
        <v>128</v>
      </c>
      <c r="S1812" s="2" t="s">
        <v>654</v>
      </c>
      <c r="T1812" s="10">
        <v>31.46</v>
      </c>
      <c r="U1812" s="11">
        <v>0.72799999999999998</v>
      </c>
      <c r="V1812" s="12">
        <f>T1812*U1812</f>
        <v>22.90288</v>
      </c>
      <c r="W1812" s="13">
        <v>0.13</v>
      </c>
      <c r="X1812" s="12">
        <f>V1812-(V1812/(1+W1812))</f>
        <v>2.6348446017699096</v>
      </c>
      <c r="Y1812" s="12">
        <f>V1812-X1812</f>
        <v>20.26803539823009</v>
      </c>
      <c r="Z1812" s="14">
        <v>25</v>
      </c>
      <c r="AA1812" s="2" t="str">
        <f>IF(V1812&gt;Z1812,"Yes","No")</f>
        <v>No</v>
      </c>
      <c r="AB1812" s="12">
        <f>V1812-Z1812</f>
        <v>-2.0971200000000003</v>
      </c>
      <c r="AC1812" s="15" t="s">
        <v>130</v>
      </c>
      <c r="AD1812" s="15" t="s">
        <v>130</v>
      </c>
      <c r="AE1812" s="15" t="s">
        <v>350</v>
      </c>
      <c r="AF1812" s="12">
        <f>IF(AG1812="Rejected",0,IF(R1812="Corporate Card",0,V1812))</f>
        <v>0</v>
      </c>
      <c r="AG1812" s="15" t="s">
        <v>133</v>
      </c>
      <c r="AH1812" s="16">
        <v>45866</v>
      </c>
      <c r="AI1812" s="16">
        <v>45867</v>
      </c>
      <c r="AJ1812" s="16">
        <v>45875</v>
      </c>
      <c r="AK1812" s="17">
        <f>IF(AJ1812="","",AJ1812-AH1812)</f>
        <v>9</v>
      </c>
    </row>
    <row r="1813" spans="1:37">
      <c r="A1813" s="2" t="s">
        <v>2265</v>
      </c>
      <c r="B1813" s="2" t="s">
        <v>169</v>
      </c>
      <c r="C1813" s="2" t="s">
        <v>170</v>
      </c>
      <c r="D1813" s="2" t="s">
        <v>171</v>
      </c>
      <c r="E1813" s="2" t="s">
        <v>172</v>
      </c>
      <c r="F1813" s="2" t="s">
        <v>173</v>
      </c>
      <c r="G1813" s="2" t="s">
        <v>2139</v>
      </c>
      <c r="H1813" s="2" t="s">
        <v>193</v>
      </c>
      <c r="I1813" s="2" t="s">
        <v>651</v>
      </c>
      <c r="J1813" s="2" t="s">
        <v>652</v>
      </c>
      <c r="K1813" s="9">
        <v>45850</v>
      </c>
      <c r="L1813" s="9">
        <v>45858</v>
      </c>
      <c r="M1813" s="9">
        <v>45858</v>
      </c>
      <c r="N1813" s="2" t="s">
        <v>1986</v>
      </c>
      <c r="O1813" s="2" t="s">
        <v>56</v>
      </c>
      <c r="P1813" s="2" t="s">
        <v>151</v>
      </c>
      <c r="Q1813" s="2" t="s">
        <v>166</v>
      </c>
      <c r="R1813" s="2" t="s">
        <v>149</v>
      </c>
      <c r="S1813" s="2" t="s">
        <v>654</v>
      </c>
      <c r="T1813" s="10">
        <v>96.07</v>
      </c>
      <c r="U1813" s="11">
        <v>0.72799999999999998</v>
      </c>
      <c r="V1813" s="12">
        <f>T1813*U1813</f>
        <v>69.938959999999994</v>
      </c>
      <c r="W1813" s="13">
        <v>0.13</v>
      </c>
      <c r="X1813" s="12">
        <f>V1813-(V1813/(1+W1813))</f>
        <v>8.0460750442477789</v>
      </c>
      <c r="Y1813" s="12">
        <f>V1813-X1813</f>
        <v>61.892884955752216</v>
      </c>
      <c r="Z1813" s="14">
        <v>75</v>
      </c>
      <c r="AA1813" s="2" t="str">
        <f>IF(V1813&gt;Z1813,"Yes","No")</f>
        <v>No</v>
      </c>
      <c r="AB1813" s="12">
        <f>V1813-Z1813</f>
        <v>-5.0610400000000055</v>
      </c>
      <c r="AC1813" s="15" t="s">
        <v>130</v>
      </c>
      <c r="AD1813" s="15" t="s">
        <v>130</v>
      </c>
      <c r="AE1813" s="15" t="s">
        <v>350</v>
      </c>
      <c r="AF1813" s="12">
        <f>IF(AG1813="Rejected",0,IF(R1813="Corporate Card",0,V1813))</f>
        <v>69.938959999999994</v>
      </c>
      <c r="AG1813" s="15" t="s">
        <v>133</v>
      </c>
      <c r="AH1813" s="16">
        <v>45866</v>
      </c>
      <c r="AI1813" s="16">
        <v>45867</v>
      </c>
      <c r="AJ1813" s="16">
        <v>45875</v>
      </c>
      <c r="AK1813" s="17">
        <f>IF(AJ1813="","",AJ1813-AH1813)</f>
        <v>9</v>
      </c>
    </row>
    <row r="1814" spans="1:37">
      <c r="A1814" s="2" t="s">
        <v>2266</v>
      </c>
      <c r="B1814" s="2" t="s">
        <v>169</v>
      </c>
      <c r="C1814" s="2" t="s">
        <v>170</v>
      </c>
      <c r="D1814" s="2" t="s">
        <v>171</v>
      </c>
      <c r="E1814" s="2" t="s">
        <v>172</v>
      </c>
      <c r="F1814" s="2" t="s">
        <v>173</v>
      </c>
      <c r="G1814" s="2" t="s">
        <v>2139</v>
      </c>
      <c r="H1814" s="2" t="s">
        <v>193</v>
      </c>
      <c r="I1814" s="2" t="s">
        <v>651</v>
      </c>
      <c r="J1814" s="2" t="s">
        <v>652</v>
      </c>
      <c r="K1814" s="9">
        <v>45850</v>
      </c>
      <c r="L1814" s="9">
        <v>45858</v>
      </c>
      <c r="M1814" s="9">
        <v>45858</v>
      </c>
      <c r="N1814" s="2" t="s">
        <v>1986</v>
      </c>
      <c r="O1814" s="2" t="s">
        <v>55</v>
      </c>
      <c r="P1814" s="2" t="s">
        <v>139</v>
      </c>
      <c r="Q1814" s="2" t="s">
        <v>217</v>
      </c>
      <c r="R1814" s="2" t="s">
        <v>128</v>
      </c>
      <c r="S1814" s="2" t="s">
        <v>654</v>
      </c>
      <c r="T1814" s="10">
        <v>33.46</v>
      </c>
      <c r="U1814" s="11">
        <v>0.72799999999999998</v>
      </c>
      <c r="V1814" s="12">
        <f>T1814*U1814</f>
        <v>24.358879999999999</v>
      </c>
      <c r="W1814" s="13">
        <v>0.13</v>
      </c>
      <c r="X1814" s="12">
        <f>V1814-(V1814/(1+W1814))</f>
        <v>2.8023490265486721</v>
      </c>
      <c r="Y1814" s="12">
        <f>V1814-X1814</f>
        <v>21.556530973451327</v>
      </c>
      <c r="Z1814" s="14">
        <v>35</v>
      </c>
      <c r="AA1814" s="2" t="str">
        <f>IF(V1814&gt;Z1814,"Yes","No")</f>
        <v>No</v>
      </c>
      <c r="AB1814" s="12">
        <f>V1814-Z1814</f>
        <v>-10.641120000000001</v>
      </c>
      <c r="AC1814" s="15" t="s">
        <v>131</v>
      </c>
      <c r="AD1814" s="15" t="s">
        <v>130</v>
      </c>
      <c r="AE1814" s="15" t="s">
        <v>350</v>
      </c>
      <c r="AF1814" s="12">
        <f>IF(AG1814="Rejected",0,IF(R1814="Corporate Card",0,V1814))</f>
        <v>0</v>
      </c>
      <c r="AG1814" s="15" t="s">
        <v>133</v>
      </c>
      <c r="AH1814" s="16">
        <v>45866</v>
      </c>
      <c r="AI1814" s="16">
        <v>45867</v>
      </c>
      <c r="AJ1814" s="16">
        <v>45875</v>
      </c>
      <c r="AK1814" s="17">
        <f>IF(AJ1814="","",AJ1814-AH1814)</f>
        <v>9</v>
      </c>
    </row>
    <row r="1815" spans="1:37">
      <c r="A1815" s="2" t="s">
        <v>2267</v>
      </c>
      <c r="B1815" s="2" t="s">
        <v>2212</v>
      </c>
      <c r="C1815" s="2" t="s">
        <v>346</v>
      </c>
      <c r="D1815" s="2" t="s">
        <v>344</v>
      </c>
      <c r="E1815" s="2" t="s">
        <v>2213</v>
      </c>
      <c r="F1815" s="2" t="s">
        <v>313</v>
      </c>
      <c r="G1815" s="2" t="s">
        <v>2214</v>
      </c>
      <c r="H1815" s="2" t="s">
        <v>748</v>
      </c>
      <c r="I1815" s="2" t="s">
        <v>380</v>
      </c>
      <c r="J1815" s="2" t="s">
        <v>381</v>
      </c>
      <c r="K1815" s="9">
        <v>45855</v>
      </c>
      <c r="L1815" s="9">
        <v>45860</v>
      </c>
      <c r="M1815" s="9">
        <v>45859</v>
      </c>
      <c r="N1815" s="2" t="s">
        <v>1986</v>
      </c>
      <c r="O1815" s="2" t="s">
        <v>67</v>
      </c>
      <c r="P1815" s="2" t="s">
        <v>401</v>
      </c>
      <c r="Q1815" s="2" t="s">
        <v>574</v>
      </c>
      <c r="R1815" s="2" t="s">
        <v>128</v>
      </c>
      <c r="S1815" s="2" t="s">
        <v>383</v>
      </c>
      <c r="T1815" s="10">
        <v>38.29</v>
      </c>
      <c r="U1815" s="11">
        <v>1</v>
      </c>
      <c r="V1815" s="12">
        <f>T1815*U1815</f>
        <v>38.29</v>
      </c>
      <c r="W1815" s="13">
        <v>0</v>
      </c>
      <c r="X1815" s="12">
        <f>V1815-(V1815/(1+W1815))</f>
        <v>0</v>
      </c>
      <c r="Y1815" s="12">
        <f>V1815-X1815</f>
        <v>38.29</v>
      </c>
      <c r="Z1815" s="14">
        <v>100</v>
      </c>
      <c r="AA1815" s="2" t="str">
        <f>IF(V1815&gt;Z1815,"Yes","No")</f>
        <v>No</v>
      </c>
      <c r="AB1815" s="12">
        <f>V1815-Z1815</f>
        <v>-61.71</v>
      </c>
      <c r="AC1815" s="15" t="s">
        <v>130</v>
      </c>
      <c r="AD1815" s="15" t="s">
        <v>130</v>
      </c>
      <c r="AE1815" s="15" t="s">
        <v>421</v>
      </c>
      <c r="AF1815" s="12">
        <f>IF(AG1815="Rejected",0,IF(R1815="Corporate Card",0,V1815))</f>
        <v>0</v>
      </c>
      <c r="AG1815" s="15" t="s">
        <v>133</v>
      </c>
      <c r="AH1815" s="16">
        <v>45871</v>
      </c>
      <c r="AI1815" s="16">
        <v>45872</v>
      </c>
      <c r="AJ1815" s="16">
        <v>45879</v>
      </c>
      <c r="AK1815" s="17">
        <f>IF(AJ1815="","",AJ1815-AH1815)</f>
        <v>8</v>
      </c>
    </row>
    <row r="1816" spans="1:37">
      <c r="A1816" s="2" t="s">
        <v>2268</v>
      </c>
      <c r="B1816" s="2" t="s">
        <v>2212</v>
      </c>
      <c r="C1816" s="2" t="s">
        <v>346</v>
      </c>
      <c r="D1816" s="2" t="s">
        <v>344</v>
      </c>
      <c r="E1816" s="2" t="s">
        <v>2213</v>
      </c>
      <c r="F1816" s="2" t="s">
        <v>313</v>
      </c>
      <c r="G1816" s="2" t="s">
        <v>2214</v>
      </c>
      <c r="H1816" s="2" t="s">
        <v>748</v>
      </c>
      <c r="I1816" s="2" t="s">
        <v>380</v>
      </c>
      <c r="J1816" s="2" t="s">
        <v>381</v>
      </c>
      <c r="K1816" s="9">
        <v>45855</v>
      </c>
      <c r="L1816" s="9">
        <v>45860</v>
      </c>
      <c r="M1816" s="9">
        <v>45859</v>
      </c>
      <c r="N1816" s="2" t="s">
        <v>1986</v>
      </c>
      <c r="O1816" s="2" t="s">
        <v>58</v>
      </c>
      <c r="P1816" s="2" t="s">
        <v>142</v>
      </c>
      <c r="Q1816" s="2" t="s">
        <v>203</v>
      </c>
      <c r="R1816" s="2" t="s">
        <v>128</v>
      </c>
      <c r="S1816" s="2" t="s">
        <v>383</v>
      </c>
      <c r="T1816" s="10">
        <v>34.03</v>
      </c>
      <c r="U1816" s="11">
        <v>1</v>
      </c>
      <c r="V1816" s="12">
        <f>T1816*U1816</f>
        <v>34.03</v>
      </c>
      <c r="W1816" s="13">
        <v>0</v>
      </c>
      <c r="X1816" s="12">
        <f>V1816-(V1816/(1+W1816))</f>
        <v>0</v>
      </c>
      <c r="Y1816" s="12">
        <f>V1816-X1816</f>
        <v>34.03</v>
      </c>
      <c r="Z1816" s="14">
        <v>60</v>
      </c>
      <c r="AA1816" s="2" t="str">
        <f>IF(V1816&gt;Z1816,"Yes","No")</f>
        <v>No</v>
      </c>
      <c r="AB1816" s="12">
        <f>V1816-Z1816</f>
        <v>-25.97</v>
      </c>
      <c r="AC1816" s="15" t="s">
        <v>130</v>
      </c>
      <c r="AD1816" s="15" t="s">
        <v>130</v>
      </c>
      <c r="AE1816" s="15" t="s">
        <v>421</v>
      </c>
      <c r="AF1816" s="12">
        <f>IF(AG1816="Rejected",0,IF(R1816="Corporate Card",0,V1816))</f>
        <v>0</v>
      </c>
      <c r="AG1816" s="15" t="s">
        <v>133</v>
      </c>
      <c r="AH1816" s="16">
        <v>45871</v>
      </c>
      <c r="AI1816" s="16">
        <v>45872</v>
      </c>
      <c r="AJ1816" s="16">
        <v>45879</v>
      </c>
      <c r="AK1816" s="17">
        <f>IF(AJ1816="","",AJ1816-AH1816)</f>
        <v>8</v>
      </c>
    </row>
    <row r="1817" spans="1:37">
      <c r="A1817" s="2" t="s">
        <v>2269</v>
      </c>
      <c r="B1817" s="2" t="s">
        <v>2212</v>
      </c>
      <c r="C1817" s="2" t="s">
        <v>346</v>
      </c>
      <c r="D1817" s="2" t="s">
        <v>344</v>
      </c>
      <c r="E1817" s="2" t="s">
        <v>2213</v>
      </c>
      <c r="F1817" s="2" t="s">
        <v>313</v>
      </c>
      <c r="G1817" s="2" t="s">
        <v>2214</v>
      </c>
      <c r="H1817" s="2" t="s">
        <v>748</v>
      </c>
      <c r="I1817" s="2" t="s">
        <v>380</v>
      </c>
      <c r="J1817" s="2" t="s">
        <v>381</v>
      </c>
      <c r="K1817" s="9">
        <v>45855</v>
      </c>
      <c r="L1817" s="9">
        <v>45860</v>
      </c>
      <c r="M1817" s="9">
        <v>45859</v>
      </c>
      <c r="N1817" s="2" t="s">
        <v>1986</v>
      </c>
      <c r="O1817" s="2" t="s">
        <v>54</v>
      </c>
      <c r="P1817" s="2" t="s">
        <v>139</v>
      </c>
      <c r="Q1817" s="2" t="s">
        <v>148</v>
      </c>
      <c r="R1817" s="2" t="s">
        <v>128</v>
      </c>
      <c r="S1817" s="2" t="s">
        <v>383</v>
      </c>
      <c r="T1817" s="10">
        <v>12.84</v>
      </c>
      <c r="U1817" s="11">
        <v>1</v>
      </c>
      <c r="V1817" s="12">
        <f>T1817*U1817</f>
        <v>12.84</v>
      </c>
      <c r="W1817" s="13">
        <v>0</v>
      </c>
      <c r="X1817" s="12">
        <f>V1817-(V1817/(1+W1817))</f>
        <v>0</v>
      </c>
      <c r="Y1817" s="12">
        <f>V1817-X1817</f>
        <v>12.84</v>
      </c>
      <c r="Z1817" s="14">
        <v>25</v>
      </c>
      <c r="AA1817" s="2" t="str">
        <f>IF(V1817&gt;Z1817,"Yes","No")</f>
        <v>No</v>
      </c>
      <c r="AB1817" s="12">
        <f>V1817-Z1817</f>
        <v>-12.16</v>
      </c>
      <c r="AC1817" s="15" t="s">
        <v>130</v>
      </c>
      <c r="AD1817" s="15" t="s">
        <v>130</v>
      </c>
      <c r="AE1817" s="15" t="s">
        <v>421</v>
      </c>
      <c r="AF1817" s="12">
        <f>IF(AG1817="Rejected",0,IF(R1817="Corporate Card",0,V1817))</f>
        <v>0</v>
      </c>
      <c r="AG1817" s="15" t="s">
        <v>133</v>
      </c>
      <c r="AH1817" s="16">
        <v>45871</v>
      </c>
      <c r="AI1817" s="16">
        <v>45872</v>
      </c>
      <c r="AJ1817" s="16">
        <v>45879</v>
      </c>
      <c r="AK1817" s="17">
        <f>IF(AJ1817="","",AJ1817-AH1817)</f>
        <v>8</v>
      </c>
    </row>
    <row r="1818" spans="1:37">
      <c r="A1818" s="2" t="s">
        <v>2270</v>
      </c>
      <c r="B1818" s="2" t="s">
        <v>2212</v>
      </c>
      <c r="C1818" s="2" t="s">
        <v>346</v>
      </c>
      <c r="D1818" s="2" t="s">
        <v>344</v>
      </c>
      <c r="E1818" s="2" t="s">
        <v>2213</v>
      </c>
      <c r="F1818" s="2" t="s">
        <v>313</v>
      </c>
      <c r="G1818" s="2" t="s">
        <v>2214</v>
      </c>
      <c r="H1818" s="2" t="s">
        <v>748</v>
      </c>
      <c r="I1818" s="2" t="s">
        <v>380</v>
      </c>
      <c r="J1818" s="2" t="s">
        <v>381</v>
      </c>
      <c r="K1818" s="9">
        <v>45855</v>
      </c>
      <c r="L1818" s="9">
        <v>45860</v>
      </c>
      <c r="M1818" s="9">
        <v>45859</v>
      </c>
      <c r="N1818" s="2" t="s">
        <v>1986</v>
      </c>
      <c r="O1818" s="2" t="s">
        <v>56</v>
      </c>
      <c r="P1818" s="2" t="s">
        <v>245</v>
      </c>
      <c r="Q1818" s="2" t="s">
        <v>152</v>
      </c>
      <c r="R1818" s="2" t="s">
        <v>128</v>
      </c>
      <c r="S1818" s="2" t="s">
        <v>383</v>
      </c>
      <c r="T1818" s="10">
        <v>59.47</v>
      </c>
      <c r="U1818" s="11">
        <v>1</v>
      </c>
      <c r="V1818" s="12">
        <f>T1818*U1818</f>
        <v>59.47</v>
      </c>
      <c r="W1818" s="13">
        <v>0</v>
      </c>
      <c r="X1818" s="12">
        <f>V1818-(V1818/(1+W1818))</f>
        <v>0</v>
      </c>
      <c r="Y1818" s="12">
        <f>V1818-X1818</f>
        <v>59.47</v>
      </c>
      <c r="Z1818" s="14">
        <v>75</v>
      </c>
      <c r="AA1818" s="2" t="str">
        <f>IF(V1818&gt;Z1818,"Yes","No")</f>
        <v>No</v>
      </c>
      <c r="AB1818" s="12">
        <f>V1818-Z1818</f>
        <v>-15.530000000000001</v>
      </c>
      <c r="AC1818" s="15" t="s">
        <v>130</v>
      </c>
      <c r="AD1818" s="15" t="s">
        <v>130</v>
      </c>
      <c r="AE1818" s="15" t="s">
        <v>421</v>
      </c>
      <c r="AF1818" s="12">
        <f>IF(AG1818="Rejected",0,IF(R1818="Corporate Card",0,V1818))</f>
        <v>0</v>
      </c>
      <c r="AG1818" s="15" t="s">
        <v>133</v>
      </c>
      <c r="AH1818" s="16">
        <v>45871</v>
      </c>
      <c r="AI1818" s="16">
        <v>45872</v>
      </c>
      <c r="AJ1818" s="16">
        <v>45879</v>
      </c>
      <c r="AK1818" s="17">
        <f>IF(AJ1818="","",AJ1818-AH1818)</f>
        <v>8</v>
      </c>
    </row>
    <row r="1819" spans="1:37">
      <c r="A1819" s="2" t="s">
        <v>2271</v>
      </c>
      <c r="B1819" s="2" t="s">
        <v>2212</v>
      </c>
      <c r="C1819" s="2" t="s">
        <v>346</v>
      </c>
      <c r="D1819" s="2" t="s">
        <v>344</v>
      </c>
      <c r="E1819" s="2" t="s">
        <v>2213</v>
      </c>
      <c r="F1819" s="2" t="s">
        <v>313</v>
      </c>
      <c r="G1819" s="2" t="s">
        <v>2214</v>
      </c>
      <c r="H1819" s="2" t="s">
        <v>748</v>
      </c>
      <c r="I1819" s="2" t="s">
        <v>380</v>
      </c>
      <c r="J1819" s="2" t="s">
        <v>381</v>
      </c>
      <c r="K1819" s="9">
        <v>45855</v>
      </c>
      <c r="L1819" s="9">
        <v>45860</v>
      </c>
      <c r="M1819" s="9">
        <v>45859</v>
      </c>
      <c r="N1819" s="2" t="s">
        <v>1986</v>
      </c>
      <c r="O1819" s="2" t="s">
        <v>55</v>
      </c>
      <c r="P1819" s="2" t="s">
        <v>139</v>
      </c>
      <c r="Q1819" s="2" t="s">
        <v>154</v>
      </c>
      <c r="R1819" s="2" t="s">
        <v>128</v>
      </c>
      <c r="S1819" s="2" t="s">
        <v>383</v>
      </c>
      <c r="T1819" s="10">
        <v>53.6</v>
      </c>
      <c r="U1819" s="11">
        <v>1</v>
      </c>
      <c r="V1819" s="12">
        <f>T1819*U1819</f>
        <v>53.6</v>
      </c>
      <c r="W1819" s="13">
        <v>0</v>
      </c>
      <c r="X1819" s="12">
        <f>V1819-(V1819/(1+W1819))</f>
        <v>0</v>
      </c>
      <c r="Y1819" s="12">
        <f>V1819-X1819</f>
        <v>53.6</v>
      </c>
      <c r="Z1819" s="14">
        <v>35</v>
      </c>
      <c r="AA1819" s="2" t="str">
        <f>IF(V1819&gt;Z1819,"Yes","No")</f>
        <v>Yes</v>
      </c>
      <c r="AB1819" s="12">
        <f>V1819-Z1819</f>
        <v>18.600000000000001</v>
      </c>
      <c r="AC1819" s="15" t="s">
        <v>130</v>
      </c>
      <c r="AD1819" s="15" t="s">
        <v>130</v>
      </c>
      <c r="AE1819" s="15" t="s">
        <v>421</v>
      </c>
      <c r="AF1819" s="12">
        <f>IF(AG1819="Rejected",0,IF(R1819="Corporate Card",0,V1819))</f>
        <v>0</v>
      </c>
      <c r="AG1819" s="15" t="s">
        <v>133</v>
      </c>
      <c r="AH1819" s="16">
        <v>45871</v>
      </c>
      <c r="AI1819" s="16">
        <v>45872</v>
      </c>
      <c r="AJ1819" s="16">
        <v>45879</v>
      </c>
      <c r="AK1819" s="17">
        <f>IF(AJ1819="","",AJ1819-AH1819)</f>
        <v>8</v>
      </c>
    </row>
    <row r="1820" spans="1:37">
      <c r="A1820" s="2" t="s">
        <v>2272</v>
      </c>
      <c r="B1820" s="2" t="s">
        <v>1749</v>
      </c>
      <c r="C1820" s="2" t="s">
        <v>1750</v>
      </c>
      <c r="D1820" s="2" t="s">
        <v>118</v>
      </c>
      <c r="E1820" s="2" t="s">
        <v>119</v>
      </c>
      <c r="F1820" s="2" t="s">
        <v>120</v>
      </c>
      <c r="G1820" s="2" t="s">
        <v>2234</v>
      </c>
      <c r="H1820" s="2" t="s">
        <v>379</v>
      </c>
      <c r="I1820" s="2" t="s">
        <v>175</v>
      </c>
      <c r="J1820" s="2" t="s">
        <v>176</v>
      </c>
      <c r="K1820" s="9">
        <v>45856</v>
      </c>
      <c r="L1820" s="9">
        <v>45861</v>
      </c>
      <c r="M1820" s="9">
        <v>45859</v>
      </c>
      <c r="N1820" s="2" t="s">
        <v>1986</v>
      </c>
      <c r="O1820" s="2" t="s">
        <v>68</v>
      </c>
      <c r="P1820" s="2" t="s">
        <v>282</v>
      </c>
      <c r="Q1820" s="2" t="s">
        <v>283</v>
      </c>
      <c r="R1820" s="2" t="s">
        <v>137</v>
      </c>
      <c r="S1820" s="2" t="s">
        <v>179</v>
      </c>
      <c r="T1820" s="10">
        <v>63.09</v>
      </c>
      <c r="U1820" s="11">
        <v>0.18099999999999999</v>
      </c>
      <c r="V1820" s="12">
        <f>T1820*U1820</f>
        <v>11.41929</v>
      </c>
      <c r="W1820" s="13">
        <v>0.17</v>
      </c>
      <c r="X1820" s="12">
        <f>V1820-(V1820/(1+W1820))</f>
        <v>1.6592130769230771</v>
      </c>
      <c r="Y1820" s="12">
        <f>V1820-X1820</f>
        <v>9.7600769230769231</v>
      </c>
      <c r="Z1820" s="14">
        <v>30</v>
      </c>
      <c r="AA1820" s="2" t="str">
        <f>IF(V1820&gt;Z1820,"Yes","No")</f>
        <v>No</v>
      </c>
      <c r="AB1820" s="12">
        <f>V1820-Z1820</f>
        <v>-18.58071</v>
      </c>
      <c r="AC1820" s="15" t="s">
        <v>130</v>
      </c>
      <c r="AD1820" s="15" t="s">
        <v>130</v>
      </c>
      <c r="AE1820" s="15" t="s">
        <v>858</v>
      </c>
      <c r="AF1820" s="12">
        <f>IF(AG1820="Rejected",0,IF(R1820="Corporate Card",0,V1820))</f>
        <v>0</v>
      </c>
      <c r="AG1820" s="15" t="s">
        <v>804</v>
      </c>
      <c r="AH1820" s="16">
        <v>45862</v>
      </c>
      <c r="AI1820" s="16"/>
      <c r="AJ1820" s="16"/>
      <c r="AK1820" s="17" t="str">
        <f>IF(AJ1820="","",AJ1820-AH1820)</f>
        <v/>
      </c>
    </row>
    <row r="1821" spans="1:37">
      <c r="A1821" s="2" t="s">
        <v>2273</v>
      </c>
      <c r="B1821" s="2" t="s">
        <v>1749</v>
      </c>
      <c r="C1821" s="2" t="s">
        <v>1750</v>
      </c>
      <c r="D1821" s="2" t="s">
        <v>118</v>
      </c>
      <c r="E1821" s="2" t="s">
        <v>119</v>
      </c>
      <c r="F1821" s="2" t="s">
        <v>120</v>
      </c>
      <c r="G1821" s="2" t="s">
        <v>2234</v>
      </c>
      <c r="H1821" s="2" t="s">
        <v>379</v>
      </c>
      <c r="I1821" s="2" t="s">
        <v>175</v>
      </c>
      <c r="J1821" s="2" t="s">
        <v>176</v>
      </c>
      <c r="K1821" s="9">
        <v>45856</v>
      </c>
      <c r="L1821" s="9">
        <v>45861</v>
      </c>
      <c r="M1821" s="9">
        <v>45859</v>
      </c>
      <c r="N1821" s="2" t="s">
        <v>1986</v>
      </c>
      <c r="O1821" s="2" t="s">
        <v>54</v>
      </c>
      <c r="P1821" s="2" t="s">
        <v>139</v>
      </c>
      <c r="Q1821" s="2" t="s">
        <v>148</v>
      </c>
      <c r="R1821" s="2" t="s">
        <v>137</v>
      </c>
      <c r="S1821" s="2" t="s">
        <v>179</v>
      </c>
      <c r="T1821" s="10">
        <v>114.68</v>
      </c>
      <c r="U1821" s="11">
        <v>0.18099999999999999</v>
      </c>
      <c r="V1821" s="12">
        <f>T1821*U1821</f>
        <v>20.757080000000002</v>
      </c>
      <c r="W1821" s="13">
        <v>0.17</v>
      </c>
      <c r="X1821" s="12">
        <f>V1821-(V1821/(1+W1821))</f>
        <v>3.0159859829059812</v>
      </c>
      <c r="Y1821" s="12">
        <f>V1821-X1821</f>
        <v>17.741094017094021</v>
      </c>
      <c r="Z1821" s="14">
        <v>25</v>
      </c>
      <c r="AA1821" s="2" t="str">
        <f>IF(V1821&gt;Z1821,"Yes","No")</f>
        <v>No</v>
      </c>
      <c r="AB1821" s="12">
        <f>V1821-Z1821</f>
        <v>-4.242919999999998</v>
      </c>
      <c r="AC1821" s="15" t="s">
        <v>130</v>
      </c>
      <c r="AD1821" s="15" t="s">
        <v>130</v>
      </c>
      <c r="AE1821" s="15" t="s">
        <v>858</v>
      </c>
      <c r="AF1821" s="12">
        <f>IF(AG1821="Rejected",0,IF(R1821="Corporate Card",0,V1821))</f>
        <v>0</v>
      </c>
      <c r="AG1821" s="15" t="s">
        <v>804</v>
      </c>
      <c r="AH1821" s="16">
        <v>45862</v>
      </c>
      <c r="AI1821" s="16"/>
      <c r="AJ1821" s="16"/>
      <c r="AK1821" s="17" t="str">
        <f>IF(AJ1821="","",AJ1821-AH1821)</f>
        <v/>
      </c>
    </row>
    <row r="1822" spans="1:37">
      <c r="A1822" s="2" t="s">
        <v>2274</v>
      </c>
      <c r="B1822" s="2" t="s">
        <v>1749</v>
      </c>
      <c r="C1822" s="2" t="s">
        <v>1750</v>
      </c>
      <c r="D1822" s="2" t="s">
        <v>118</v>
      </c>
      <c r="E1822" s="2" t="s">
        <v>119</v>
      </c>
      <c r="F1822" s="2" t="s">
        <v>120</v>
      </c>
      <c r="G1822" s="2" t="s">
        <v>2234</v>
      </c>
      <c r="H1822" s="2" t="s">
        <v>379</v>
      </c>
      <c r="I1822" s="2" t="s">
        <v>175</v>
      </c>
      <c r="J1822" s="2" t="s">
        <v>176</v>
      </c>
      <c r="K1822" s="9">
        <v>45856</v>
      </c>
      <c r="L1822" s="9">
        <v>45861</v>
      </c>
      <c r="M1822" s="9">
        <v>45859</v>
      </c>
      <c r="N1822" s="2" t="s">
        <v>1986</v>
      </c>
      <c r="O1822" s="2" t="s">
        <v>56</v>
      </c>
      <c r="P1822" s="2" t="s">
        <v>231</v>
      </c>
      <c r="Q1822" s="2" t="s">
        <v>152</v>
      </c>
      <c r="R1822" s="2" t="s">
        <v>128</v>
      </c>
      <c r="S1822" s="2" t="s">
        <v>179</v>
      </c>
      <c r="T1822" s="10">
        <v>264.38</v>
      </c>
      <c r="U1822" s="11">
        <v>0.18099999999999999</v>
      </c>
      <c r="V1822" s="12">
        <f>T1822*U1822</f>
        <v>47.852779999999996</v>
      </c>
      <c r="W1822" s="13">
        <v>0.17</v>
      </c>
      <c r="X1822" s="12">
        <f>V1822-(V1822/(1+W1822))</f>
        <v>6.9529680341880322</v>
      </c>
      <c r="Y1822" s="12">
        <f>V1822-X1822</f>
        <v>40.899811965811963</v>
      </c>
      <c r="Z1822" s="14">
        <v>75</v>
      </c>
      <c r="AA1822" s="2" t="str">
        <f>IF(V1822&gt;Z1822,"Yes","No")</f>
        <v>No</v>
      </c>
      <c r="AB1822" s="12">
        <f>V1822-Z1822</f>
        <v>-27.147220000000004</v>
      </c>
      <c r="AC1822" s="15" t="s">
        <v>130</v>
      </c>
      <c r="AD1822" s="15" t="s">
        <v>130</v>
      </c>
      <c r="AE1822" s="15" t="s">
        <v>858</v>
      </c>
      <c r="AF1822" s="12">
        <f>IF(AG1822="Rejected",0,IF(R1822="Corporate Card",0,V1822))</f>
        <v>0</v>
      </c>
      <c r="AG1822" s="15" t="s">
        <v>804</v>
      </c>
      <c r="AH1822" s="16">
        <v>45862</v>
      </c>
      <c r="AI1822" s="16"/>
      <c r="AJ1822" s="16"/>
      <c r="AK1822" s="17" t="str">
        <f>IF(AJ1822="","",AJ1822-AH1822)</f>
        <v/>
      </c>
    </row>
    <row r="1823" spans="1:37">
      <c r="A1823" s="2" t="s">
        <v>2275</v>
      </c>
      <c r="B1823" s="2" t="s">
        <v>1749</v>
      </c>
      <c r="C1823" s="2" t="s">
        <v>1750</v>
      </c>
      <c r="D1823" s="2" t="s">
        <v>118</v>
      </c>
      <c r="E1823" s="2" t="s">
        <v>119</v>
      </c>
      <c r="F1823" s="2" t="s">
        <v>120</v>
      </c>
      <c r="G1823" s="2" t="s">
        <v>2234</v>
      </c>
      <c r="H1823" s="2" t="s">
        <v>379</v>
      </c>
      <c r="I1823" s="2" t="s">
        <v>175</v>
      </c>
      <c r="J1823" s="2" t="s">
        <v>176</v>
      </c>
      <c r="K1823" s="9">
        <v>45856</v>
      </c>
      <c r="L1823" s="9">
        <v>45861</v>
      </c>
      <c r="M1823" s="9">
        <v>45859</v>
      </c>
      <c r="N1823" s="2" t="s">
        <v>1986</v>
      </c>
      <c r="O1823" s="2" t="s">
        <v>55</v>
      </c>
      <c r="P1823" s="2" t="s">
        <v>139</v>
      </c>
      <c r="Q1823" s="2" t="s">
        <v>187</v>
      </c>
      <c r="R1823" s="2" t="s">
        <v>128</v>
      </c>
      <c r="S1823" s="2" t="s">
        <v>179</v>
      </c>
      <c r="T1823" s="10">
        <v>101.86</v>
      </c>
      <c r="U1823" s="11">
        <v>0.18099999999999999</v>
      </c>
      <c r="V1823" s="12">
        <f>T1823*U1823</f>
        <v>18.43666</v>
      </c>
      <c r="W1823" s="13">
        <v>0.17</v>
      </c>
      <c r="X1823" s="12">
        <f>V1823-(V1823/(1+W1823))</f>
        <v>2.6788309401709398</v>
      </c>
      <c r="Y1823" s="12">
        <f>V1823-X1823</f>
        <v>15.75782905982906</v>
      </c>
      <c r="Z1823" s="14">
        <v>35</v>
      </c>
      <c r="AA1823" s="2" t="str">
        <f>IF(V1823&gt;Z1823,"Yes","No")</f>
        <v>No</v>
      </c>
      <c r="AB1823" s="12">
        <f>V1823-Z1823</f>
        <v>-16.56334</v>
      </c>
      <c r="AC1823" s="15" t="s">
        <v>130</v>
      </c>
      <c r="AD1823" s="15" t="s">
        <v>130</v>
      </c>
      <c r="AE1823" s="15" t="s">
        <v>858</v>
      </c>
      <c r="AF1823" s="12">
        <f>IF(AG1823="Rejected",0,IF(R1823="Corporate Card",0,V1823))</f>
        <v>0</v>
      </c>
      <c r="AG1823" s="15" t="s">
        <v>804</v>
      </c>
      <c r="AH1823" s="16">
        <v>45862</v>
      </c>
      <c r="AI1823" s="16"/>
      <c r="AJ1823" s="16"/>
      <c r="AK1823" s="17" t="str">
        <f>IF(AJ1823="","",AJ1823-AH1823)</f>
        <v/>
      </c>
    </row>
    <row r="1824" spans="1:37">
      <c r="A1824" s="2" t="s">
        <v>2276</v>
      </c>
      <c r="B1824" s="2" t="s">
        <v>2212</v>
      </c>
      <c r="C1824" s="2" t="s">
        <v>346</v>
      </c>
      <c r="D1824" s="2" t="s">
        <v>344</v>
      </c>
      <c r="E1824" s="2" t="s">
        <v>2213</v>
      </c>
      <c r="F1824" s="2" t="s">
        <v>313</v>
      </c>
      <c r="G1824" s="2" t="s">
        <v>2214</v>
      </c>
      <c r="H1824" s="2" t="s">
        <v>748</v>
      </c>
      <c r="I1824" s="2" t="s">
        <v>380</v>
      </c>
      <c r="J1824" s="2" t="s">
        <v>381</v>
      </c>
      <c r="K1824" s="9">
        <v>45855</v>
      </c>
      <c r="L1824" s="9">
        <v>45860</v>
      </c>
      <c r="M1824" s="9">
        <v>45860</v>
      </c>
      <c r="N1824" s="2" t="s">
        <v>1986</v>
      </c>
      <c r="O1824" s="2" t="s">
        <v>58</v>
      </c>
      <c r="P1824" s="2" t="s">
        <v>142</v>
      </c>
      <c r="Q1824" s="2" t="s">
        <v>203</v>
      </c>
      <c r="R1824" s="2" t="s">
        <v>128</v>
      </c>
      <c r="S1824" s="2" t="s">
        <v>383</v>
      </c>
      <c r="T1824" s="10">
        <v>38.229999999999997</v>
      </c>
      <c r="U1824" s="11">
        <v>1</v>
      </c>
      <c r="V1824" s="12">
        <f>T1824*U1824</f>
        <v>38.229999999999997</v>
      </c>
      <c r="W1824" s="13">
        <v>0</v>
      </c>
      <c r="X1824" s="12">
        <f>V1824-(V1824/(1+W1824))</f>
        <v>0</v>
      </c>
      <c r="Y1824" s="12">
        <f>V1824-X1824</f>
        <v>38.229999999999997</v>
      </c>
      <c r="Z1824" s="14">
        <v>60</v>
      </c>
      <c r="AA1824" s="2" t="str">
        <f>IF(V1824&gt;Z1824,"Yes","No")</f>
        <v>No</v>
      </c>
      <c r="AB1824" s="12">
        <f>V1824-Z1824</f>
        <v>-21.770000000000003</v>
      </c>
      <c r="AC1824" s="15" t="s">
        <v>130</v>
      </c>
      <c r="AD1824" s="15" t="s">
        <v>130</v>
      </c>
      <c r="AE1824" s="15" t="s">
        <v>421</v>
      </c>
      <c r="AF1824" s="12">
        <f>IF(AG1824="Rejected",0,IF(R1824="Corporate Card",0,V1824))</f>
        <v>0</v>
      </c>
      <c r="AG1824" s="15" t="s">
        <v>133</v>
      </c>
      <c r="AH1824" s="16">
        <v>45871</v>
      </c>
      <c r="AI1824" s="16">
        <v>45872</v>
      </c>
      <c r="AJ1824" s="16">
        <v>45879</v>
      </c>
      <c r="AK1824" s="17">
        <f>IF(AJ1824="","",AJ1824-AH1824)</f>
        <v>8</v>
      </c>
    </row>
    <row r="1825" spans="1:37">
      <c r="A1825" s="2" t="s">
        <v>2277</v>
      </c>
      <c r="B1825" s="2" t="s">
        <v>2212</v>
      </c>
      <c r="C1825" s="2" t="s">
        <v>346</v>
      </c>
      <c r="D1825" s="2" t="s">
        <v>344</v>
      </c>
      <c r="E1825" s="2" t="s">
        <v>2213</v>
      </c>
      <c r="F1825" s="2" t="s">
        <v>313</v>
      </c>
      <c r="G1825" s="2" t="s">
        <v>2214</v>
      </c>
      <c r="H1825" s="2" t="s">
        <v>748</v>
      </c>
      <c r="I1825" s="2" t="s">
        <v>380</v>
      </c>
      <c r="J1825" s="2" t="s">
        <v>381</v>
      </c>
      <c r="K1825" s="9">
        <v>45855</v>
      </c>
      <c r="L1825" s="9">
        <v>45860</v>
      </c>
      <c r="M1825" s="9">
        <v>45860</v>
      </c>
      <c r="N1825" s="2" t="s">
        <v>1986</v>
      </c>
      <c r="O1825" s="2" t="s">
        <v>54</v>
      </c>
      <c r="P1825" s="2" t="s">
        <v>139</v>
      </c>
      <c r="Q1825" s="2" t="s">
        <v>163</v>
      </c>
      <c r="R1825" s="2" t="s">
        <v>128</v>
      </c>
      <c r="S1825" s="2" t="s">
        <v>383</v>
      </c>
      <c r="T1825" s="10">
        <v>32.450000000000003</v>
      </c>
      <c r="U1825" s="11">
        <v>1</v>
      </c>
      <c r="V1825" s="12">
        <f>T1825*U1825</f>
        <v>32.450000000000003</v>
      </c>
      <c r="W1825" s="13">
        <v>0</v>
      </c>
      <c r="X1825" s="12">
        <f>V1825-(V1825/(1+W1825))</f>
        <v>0</v>
      </c>
      <c r="Y1825" s="12">
        <f>V1825-X1825</f>
        <v>32.450000000000003</v>
      </c>
      <c r="Z1825" s="14">
        <v>25</v>
      </c>
      <c r="AA1825" s="2" t="str">
        <f>IF(V1825&gt;Z1825,"Yes","No")</f>
        <v>Yes</v>
      </c>
      <c r="AB1825" s="12">
        <f>V1825-Z1825</f>
        <v>7.4500000000000028</v>
      </c>
      <c r="AC1825" s="15" t="s">
        <v>130</v>
      </c>
      <c r="AD1825" s="15" t="s">
        <v>130</v>
      </c>
      <c r="AE1825" s="15" t="s">
        <v>421</v>
      </c>
      <c r="AF1825" s="12">
        <f>IF(AG1825="Rejected",0,IF(R1825="Corporate Card",0,V1825))</f>
        <v>0</v>
      </c>
      <c r="AG1825" s="15" t="s">
        <v>133</v>
      </c>
      <c r="AH1825" s="16">
        <v>45871</v>
      </c>
      <c r="AI1825" s="16">
        <v>45872</v>
      </c>
      <c r="AJ1825" s="16">
        <v>45879</v>
      </c>
      <c r="AK1825" s="17">
        <f>IF(AJ1825="","",AJ1825-AH1825)</f>
        <v>8</v>
      </c>
    </row>
    <row r="1826" spans="1:37">
      <c r="A1826" s="2" t="s">
        <v>2278</v>
      </c>
      <c r="B1826" s="2" t="s">
        <v>2212</v>
      </c>
      <c r="C1826" s="2" t="s">
        <v>346</v>
      </c>
      <c r="D1826" s="2" t="s">
        <v>344</v>
      </c>
      <c r="E1826" s="2" t="s">
        <v>2213</v>
      </c>
      <c r="F1826" s="2" t="s">
        <v>313</v>
      </c>
      <c r="G1826" s="2" t="s">
        <v>2214</v>
      </c>
      <c r="H1826" s="2" t="s">
        <v>748</v>
      </c>
      <c r="I1826" s="2" t="s">
        <v>380</v>
      </c>
      <c r="J1826" s="2" t="s">
        <v>381</v>
      </c>
      <c r="K1826" s="9">
        <v>45855</v>
      </c>
      <c r="L1826" s="9">
        <v>45860</v>
      </c>
      <c r="M1826" s="9">
        <v>45860</v>
      </c>
      <c r="N1826" s="2" t="s">
        <v>1986</v>
      </c>
      <c r="O1826" s="2" t="s">
        <v>55</v>
      </c>
      <c r="P1826" s="2" t="s">
        <v>139</v>
      </c>
      <c r="Q1826" s="2" t="s">
        <v>187</v>
      </c>
      <c r="R1826" s="2" t="s">
        <v>128</v>
      </c>
      <c r="S1826" s="2" t="s">
        <v>383</v>
      </c>
      <c r="T1826" s="10">
        <v>34.94</v>
      </c>
      <c r="U1826" s="11">
        <v>1</v>
      </c>
      <c r="V1826" s="12">
        <f>T1826*U1826</f>
        <v>34.94</v>
      </c>
      <c r="W1826" s="13">
        <v>0</v>
      </c>
      <c r="X1826" s="12">
        <f>V1826-(V1826/(1+W1826))</f>
        <v>0</v>
      </c>
      <c r="Y1826" s="12">
        <f>V1826-X1826</f>
        <v>34.94</v>
      </c>
      <c r="Z1826" s="14">
        <v>35</v>
      </c>
      <c r="AA1826" s="2" t="str">
        <f>IF(V1826&gt;Z1826,"Yes","No")</f>
        <v>No</v>
      </c>
      <c r="AB1826" s="12">
        <f>V1826-Z1826</f>
        <v>-6.0000000000002274E-2</v>
      </c>
      <c r="AC1826" s="15" t="s">
        <v>130</v>
      </c>
      <c r="AD1826" s="15" t="s">
        <v>130</v>
      </c>
      <c r="AE1826" s="15" t="s">
        <v>421</v>
      </c>
      <c r="AF1826" s="12">
        <f>IF(AG1826="Rejected",0,IF(R1826="Corporate Card",0,V1826))</f>
        <v>0</v>
      </c>
      <c r="AG1826" s="15" t="s">
        <v>133</v>
      </c>
      <c r="AH1826" s="16">
        <v>45871</v>
      </c>
      <c r="AI1826" s="16">
        <v>45872</v>
      </c>
      <c r="AJ1826" s="16">
        <v>45879</v>
      </c>
      <c r="AK1826" s="17">
        <f>IF(AJ1826="","",AJ1826-AH1826)</f>
        <v>8</v>
      </c>
    </row>
    <row r="1827" spans="1:37">
      <c r="A1827" s="2" t="s">
        <v>2279</v>
      </c>
      <c r="B1827" s="2" t="s">
        <v>1749</v>
      </c>
      <c r="C1827" s="2" t="s">
        <v>1750</v>
      </c>
      <c r="D1827" s="2" t="s">
        <v>118</v>
      </c>
      <c r="E1827" s="2" t="s">
        <v>119</v>
      </c>
      <c r="F1827" s="2" t="s">
        <v>120</v>
      </c>
      <c r="G1827" s="2" t="s">
        <v>2234</v>
      </c>
      <c r="H1827" s="2" t="s">
        <v>379</v>
      </c>
      <c r="I1827" s="2" t="s">
        <v>175</v>
      </c>
      <c r="J1827" s="2" t="s">
        <v>176</v>
      </c>
      <c r="K1827" s="9">
        <v>45856</v>
      </c>
      <c r="L1827" s="9">
        <v>45861</v>
      </c>
      <c r="M1827" s="9">
        <v>45860</v>
      </c>
      <c r="N1827" s="2" t="s">
        <v>1986</v>
      </c>
      <c r="O1827" s="2" t="s">
        <v>57</v>
      </c>
      <c r="P1827" s="2" t="s">
        <v>398</v>
      </c>
      <c r="Q1827" s="2" t="s">
        <v>399</v>
      </c>
      <c r="R1827" s="2" t="s">
        <v>137</v>
      </c>
      <c r="S1827" s="2" t="s">
        <v>179</v>
      </c>
      <c r="T1827" s="10">
        <v>925.8</v>
      </c>
      <c r="U1827" s="11">
        <v>0.18099999999999999</v>
      </c>
      <c r="V1827" s="12">
        <f>T1827*U1827</f>
        <v>167.56979999999999</v>
      </c>
      <c r="W1827" s="13">
        <v>0.17</v>
      </c>
      <c r="X1827" s="12">
        <f>V1827-(V1827/(1+W1827))</f>
        <v>24.347748717948718</v>
      </c>
      <c r="Y1827" s="12">
        <f>V1827-X1827</f>
        <v>143.22205128205127</v>
      </c>
      <c r="Z1827" s="14">
        <v>200</v>
      </c>
      <c r="AA1827" s="2" t="str">
        <f>IF(V1827&gt;Z1827,"Yes","No")</f>
        <v>No</v>
      </c>
      <c r="AB1827" s="12">
        <f>V1827-Z1827</f>
        <v>-32.430200000000013</v>
      </c>
      <c r="AC1827" s="15" t="s">
        <v>131</v>
      </c>
      <c r="AD1827" s="15" t="s">
        <v>130</v>
      </c>
      <c r="AE1827" s="15" t="s">
        <v>858</v>
      </c>
      <c r="AF1827" s="12">
        <f>IF(AG1827="Rejected",0,IF(R1827="Corporate Card",0,V1827))</f>
        <v>0</v>
      </c>
      <c r="AG1827" s="15" t="s">
        <v>804</v>
      </c>
      <c r="AH1827" s="16">
        <v>45862</v>
      </c>
      <c r="AI1827" s="16"/>
      <c r="AJ1827" s="16"/>
      <c r="AK1827" s="17" t="str">
        <f>IF(AJ1827="","",AJ1827-AH1827)</f>
        <v/>
      </c>
    </row>
    <row r="1828" spans="1:37">
      <c r="A1828" s="2" t="s">
        <v>2280</v>
      </c>
      <c r="B1828" s="2" t="s">
        <v>1749</v>
      </c>
      <c r="C1828" s="2" t="s">
        <v>1750</v>
      </c>
      <c r="D1828" s="2" t="s">
        <v>118</v>
      </c>
      <c r="E1828" s="2" t="s">
        <v>119</v>
      </c>
      <c r="F1828" s="2" t="s">
        <v>120</v>
      </c>
      <c r="G1828" s="2" t="s">
        <v>2234</v>
      </c>
      <c r="H1828" s="2" t="s">
        <v>379</v>
      </c>
      <c r="I1828" s="2" t="s">
        <v>175</v>
      </c>
      <c r="J1828" s="2" t="s">
        <v>176</v>
      </c>
      <c r="K1828" s="9">
        <v>45856</v>
      </c>
      <c r="L1828" s="9">
        <v>45861</v>
      </c>
      <c r="M1828" s="9">
        <v>45860</v>
      </c>
      <c r="N1828" s="2" t="s">
        <v>1986</v>
      </c>
      <c r="O1828" s="2" t="s">
        <v>58</v>
      </c>
      <c r="P1828" s="2" t="s">
        <v>142</v>
      </c>
      <c r="Q1828" s="2" t="s">
        <v>296</v>
      </c>
      <c r="R1828" s="2" t="s">
        <v>128</v>
      </c>
      <c r="S1828" s="2" t="s">
        <v>179</v>
      </c>
      <c r="T1828" s="10">
        <v>214.29</v>
      </c>
      <c r="U1828" s="11">
        <v>0.18099999999999999</v>
      </c>
      <c r="V1828" s="12">
        <f>T1828*U1828</f>
        <v>38.786490000000001</v>
      </c>
      <c r="W1828" s="13">
        <v>0.17</v>
      </c>
      <c r="X1828" s="12">
        <f>V1828-(V1828/(1+W1828))</f>
        <v>5.6356438461538474</v>
      </c>
      <c r="Y1828" s="12">
        <f>V1828-X1828</f>
        <v>33.150846153846153</v>
      </c>
      <c r="Z1828" s="14">
        <v>60</v>
      </c>
      <c r="AA1828" s="2" t="str">
        <f>IF(V1828&gt;Z1828,"Yes","No")</f>
        <v>No</v>
      </c>
      <c r="AB1828" s="12">
        <f>V1828-Z1828</f>
        <v>-21.213509999999999</v>
      </c>
      <c r="AC1828" s="15" t="s">
        <v>130</v>
      </c>
      <c r="AD1828" s="15" t="s">
        <v>130</v>
      </c>
      <c r="AE1828" s="15" t="s">
        <v>858</v>
      </c>
      <c r="AF1828" s="12">
        <f>IF(AG1828="Rejected",0,IF(R1828="Corporate Card",0,V1828))</f>
        <v>0</v>
      </c>
      <c r="AG1828" s="15" t="s">
        <v>804</v>
      </c>
      <c r="AH1828" s="16">
        <v>45862</v>
      </c>
      <c r="AI1828" s="16"/>
      <c r="AJ1828" s="16"/>
      <c r="AK1828" s="17" t="str">
        <f>IF(AJ1828="","",AJ1828-AH1828)</f>
        <v/>
      </c>
    </row>
    <row r="1829" spans="1:37">
      <c r="A1829" s="2" t="s">
        <v>2281</v>
      </c>
      <c r="B1829" s="2" t="s">
        <v>1749</v>
      </c>
      <c r="C1829" s="2" t="s">
        <v>1750</v>
      </c>
      <c r="D1829" s="2" t="s">
        <v>118</v>
      </c>
      <c r="E1829" s="2" t="s">
        <v>119</v>
      </c>
      <c r="F1829" s="2" t="s">
        <v>120</v>
      </c>
      <c r="G1829" s="2" t="s">
        <v>2234</v>
      </c>
      <c r="H1829" s="2" t="s">
        <v>379</v>
      </c>
      <c r="I1829" s="2" t="s">
        <v>175</v>
      </c>
      <c r="J1829" s="2" t="s">
        <v>176</v>
      </c>
      <c r="K1829" s="9">
        <v>45856</v>
      </c>
      <c r="L1829" s="9">
        <v>45861</v>
      </c>
      <c r="M1829" s="9">
        <v>45860</v>
      </c>
      <c r="N1829" s="2" t="s">
        <v>1986</v>
      </c>
      <c r="O1829" s="2" t="s">
        <v>54</v>
      </c>
      <c r="P1829" s="2" t="s">
        <v>139</v>
      </c>
      <c r="Q1829" s="2" t="s">
        <v>214</v>
      </c>
      <c r="R1829" s="2" t="s">
        <v>149</v>
      </c>
      <c r="S1829" s="2" t="s">
        <v>179</v>
      </c>
      <c r="T1829" s="10">
        <v>130.13</v>
      </c>
      <c r="U1829" s="11">
        <v>0.18099999999999999</v>
      </c>
      <c r="V1829" s="12">
        <f>T1829*U1829</f>
        <v>23.553529999999999</v>
      </c>
      <c r="W1829" s="13">
        <v>0.17</v>
      </c>
      <c r="X1829" s="12">
        <f>V1829-(V1829/(1+W1829))</f>
        <v>3.4223077777777746</v>
      </c>
      <c r="Y1829" s="12">
        <f>V1829-X1829</f>
        <v>20.131222222222224</v>
      </c>
      <c r="Z1829" s="14">
        <v>25</v>
      </c>
      <c r="AA1829" s="2" t="str">
        <f>IF(V1829&gt;Z1829,"Yes","No")</f>
        <v>No</v>
      </c>
      <c r="AB1829" s="12">
        <f>V1829-Z1829</f>
        <v>-1.4464700000000015</v>
      </c>
      <c r="AC1829" s="15" t="s">
        <v>130</v>
      </c>
      <c r="AD1829" s="15" t="s">
        <v>130</v>
      </c>
      <c r="AE1829" s="15" t="s">
        <v>858</v>
      </c>
      <c r="AF1829" s="12">
        <f>IF(AG1829="Rejected",0,IF(R1829="Corporate Card",0,V1829))</f>
        <v>0</v>
      </c>
      <c r="AG1829" s="15" t="s">
        <v>804</v>
      </c>
      <c r="AH1829" s="16">
        <v>45862</v>
      </c>
      <c r="AI1829" s="16"/>
      <c r="AJ1829" s="16"/>
      <c r="AK1829" s="17" t="str">
        <f>IF(AJ1829="","",AJ1829-AH1829)</f>
        <v/>
      </c>
    </row>
    <row r="1830" spans="1:37">
      <c r="A1830" s="2" t="s">
        <v>2282</v>
      </c>
      <c r="B1830" s="2" t="s">
        <v>1749</v>
      </c>
      <c r="C1830" s="2" t="s">
        <v>1750</v>
      </c>
      <c r="D1830" s="2" t="s">
        <v>118</v>
      </c>
      <c r="E1830" s="2" t="s">
        <v>119</v>
      </c>
      <c r="F1830" s="2" t="s">
        <v>120</v>
      </c>
      <c r="G1830" s="2" t="s">
        <v>2234</v>
      </c>
      <c r="H1830" s="2" t="s">
        <v>379</v>
      </c>
      <c r="I1830" s="2" t="s">
        <v>175</v>
      </c>
      <c r="J1830" s="2" t="s">
        <v>176</v>
      </c>
      <c r="K1830" s="9">
        <v>45856</v>
      </c>
      <c r="L1830" s="9">
        <v>45861</v>
      </c>
      <c r="M1830" s="9">
        <v>45860</v>
      </c>
      <c r="N1830" s="2" t="s">
        <v>1986</v>
      </c>
      <c r="O1830" s="2" t="s">
        <v>56</v>
      </c>
      <c r="P1830" s="2" t="s">
        <v>245</v>
      </c>
      <c r="Q1830" s="2" t="s">
        <v>152</v>
      </c>
      <c r="R1830" s="2" t="s">
        <v>149</v>
      </c>
      <c r="S1830" s="2" t="s">
        <v>179</v>
      </c>
      <c r="T1830" s="10">
        <v>241.63</v>
      </c>
      <c r="U1830" s="11">
        <v>0.18099999999999999</v>
      </c>
      <c r="V1830" s="12">
        <f>T1830*U1830</f>
        <v>43.735029999999995</v>
      </c>
      <c r="W1830" s="13">
        <v>0.17</v>
      </c>
      <c r="X1830" s="12">
        <f>V1830-(V1830/(1+W1830))</f>
        <v>6.354662478632477</v>
      </c>
      <c r="Y1830" s="12">
        <f>V1830-X1830</f>
        <v>37.380367521367518</v>
      </c>
      <c r="Z1830" s="14">
        <v>75</v>
      </c>
      <c r="AA1830" s="2" t="str">
        <f>IF(V1830&gt;Z1830,"Yes","No")</f>
        <v>No</v>
      </c>
      <c r="AB1830" s="12">
        <f>V1830-Z1830</f>
        <v>-31.264970000000005</v>
      </c>
      <c r="AC1830" s="15" t="s">
        <v>130</v>
      </c>
      <c r="AD1830" s="15" t="s">
        <v>130</v>
      </c>
      <c r="AE1830" s="15" t="s">
        <v>858</v>
      </c>
      <c r="AF1830" s="12">
        <f>IF(AG1830="Rejected",0,IF(R1830="Corporate Card",0,V1830))</f>
        <v>0</v>
      </c>
      <c r="AG1830" s="15" t="s">
        <v>804</v>
      </c>
      <c r="AH1830" s="16">
        <v>45862</v>
      </c>
      <c r="AI1830" s="16"/>
      <c r="AJ1830" s="16"/>
      <c r="AK1830" s="17" t="str">
        <f>IF(AJ1830="","",AJ1830-AH1830)</f>
        <v/>
      </c>
    </row>
    <row r="1831" spans="1:37">
      <c r="A1831" s="2" t="s">
        <v>2283</v>
      </c>
      <c r="B1831" s="2" t="s">
        <v>1749</v>
      </c>
      <c r="C1831" s="2" t="s">
        <v>1750</v>
      </c>
      <c r="D1831" s="2" t="s">
        <v>118</v>
      </c>
      <c r="E1831" s="2" t="s">
        <v>119</v>
      </c>
      <c r="F1831" s="2" t="s">
        <v>120</v>
      </c>
      <c r="G1831" s="2" t="s">
        <v>2234</v>
      </c>
      <c r="H1831" s="2" t="s">
        <v>379</v>
      </c>
      <c r="I1831" s="2" t="s">
        <v>175</v>
      </c>
      <c r="J1831" s="2" t="s">
        <v>176</v>
      </c>
      <c r="K1831" s="9">
        <v>45856</v>
      </c>
      <c r="L1831" s="9">
        <v>45861</v>
      </c>
      <c r="M1831" s="9">
        <v>45860</v>
      </c>
      <c r="N1831" s="2" t="s">
        <v>1986</v>
      </c>
      <c r="O1831" s="2" t="s">
        <v>55</v>
      </c>
      <c r="P1831" s="2" t="s">
        <v>139</v>
      </c>
      <c r="Q1831" s="2" t="s">
        <v>187</v>
      </c>
      <c r="R1831" s="2" t="s">
        <v>128</v>
      </c>
      <c r="S1831" s="2" t="s">
        <v>179</v>
      </c>
      <c r="T1831" s="10">
        <v>107.41</v>
      </c>
      <c r="U1831" s="11">
        <v>0.18099999999999999</v>
      </c>
      <c r="V1831" s="12">
        <f>T1831*U1831</f>
        <v>19.441209999999998</v>
      </c>
      <c r="W1831" s="13">
        <v>0.17</v>
      </c>
      <c r="X1831" s="12">
        <f>V1831-(V1831/(1+W1831))</f>
        <v>2.8247911965811952</v>
      </c>
      <c r="Y1831" s="12">
        <f>V1831-X1831</f>
        <v>16.616418803418803</v>
      </c>
      <c r="Z1831" s="14">
        <v>35</v>
      </c>
      <c r="AA1831" s="2" t="str">
        <f>IF(V1831&gt;Z1831,"Yes","No")</f>
        <v>No</v>
      </c>
      <c r="AB1831" s="12">
        <f>V1831-Z1831</f>
        <v>-15.558790000000002</v>
      </c>
      <c r="AC1831" s="15" t="s">
        <v>130</v>
      </c>
      <c r="AD1831" s="15" t="s">
        <v>130</v>
      </c>
      <c r="AE1831" s="15" t="s">
        <v>858</v>
      </c>
      <c r="AF1831" s="12">
        <f>IF(AG1831="Rejected",0,IF(R1831="Corporate Card",0,V1831))</f>
        <v>0</v>
      </c>
      <c r="AG1831" s="15" t="s">
        <v>804</v>
      </c>
      <c r="AH1831" s="16">
        <v>45862</v>
      </c>
      <c r="AI1831" s="16"/>
      <c r="AJ1831" s="16"/>
      <c r="AK1831" s="17" t="str">
        <f>IF(AJ1831="","",AJ1831-AH1831)</f>
        <v/>
      </c>
    </row>
    <row r="1832" spans="1:37">
      <c r="A1832" s="2" t="s">
        <v>2284</v>
      </c>
      <c r="B1832" s="2" t="s">
        <v>1749</v>
      </c>
      <c r="C1832" s="2" t="s">
        <v>1750</v>
      </c>
      <c r="D1832" s="2" t="s">
        <v>118</v>
      </c>
      <c r="E1832" s="2" t="s">
        <v>119</v>
      </c>
      <c r="F1832" s="2" t="s">
        <v>120</v>
      </c>
      <c r="G1832" s="2" t="s">
        <v>2234</v>
      </c>
      <c r="H1832" s="2" t="s">
        <v>379</v>
      </c>
      <c r="I1832" s="2" t="s">
        <v>175</v>
      </c>
      <c r="J1832" s="2" t="s">
        <v>176</v>
      </c>
      <c r="K1832" s="9">
        <v>45856</v>
      </c>
      <c r="L1832" s="9">
        <v>45861</v>
      </c>
      <c r="M1832" s="9">
        <v>45861</v>
      </c>
      <c r="N1832" s="2" t="s">
        <v>1986</v>
      </c>
      <c r="O1832" s="2" t="s">
        <v>56</v>
      </c>
      <c r="P1832" s="2" t="s">
        <v>151</v>
      </c>
      <c r="Q1832" s="2" t="s">
        <v>159</v>
      </c>
      <c r="R1832" s="2" t="s">
        <v>128</v>
      </c>
      <c r="S1832" s="2" t="s">
        <v>179</v>
      </c>
      <c r="T1832" s="10">
        <v>171.53</v>
      </c>
      <c r="U1832" s="11">
        <v>0.18099999999999999</v>
      </c>
      <c r="V1832" s="12">
        <f>T1832*U1832</f>
        <v>31.04693</v>
      </c>
      <c r="W1832" s="13">
        <v>0.17</v>
      </c>
      <c r="X1832" s="12">
        <f>V1832-(V1832/(1+W1832))</f>
        <v>4.511092393162393</v>
      </c>
      <c r="Y1832" s="12">
        <f>V1832-X1832</f>
        <v>26.535837606837607</v>
      </c>
      <c r="Z1832" s="14">
        <v>75</v>
      </c>
      <c r="AA1832" s="2" t="str">
        <f>IF(V1832&gt;Z1832,"Yes","No")</f>
        <v>No</v>
      </c>
      <c r="AB1832" s="12">
        <f>V1832-Z1832</f>
        <v>-43.953069999999997</v>
      </c>
      <c r="AC1832" s="15" t="s">
        <v>130</v>
      </c>
      <c r="AD1832" s="15" t="s">
        <v>130</v>
      </c>
      <c r="AE1832" s="15" t="s">
        <v>858</v>
      </c>
      <c r="AF1832" s="12">
        <f>IF(AG1832="Rejected",0,IF(R1832="Corporate Card",0,V1832))</f>
        <v>0</v>
      </c>
      <c r="AG1832" s="15" t="s">
        <v>804</v>
      </c>
      <c r="AH1832" s="16">
        <v>45862</v>
      </c>
      <c r="AI1832" s="16"/>
      <c r="AJ1832" s="16"/>
      <c r="AK1832" s="17" t="str">
        <f>IF(AJ1832="","",AJ1832-AH1832)</f>
        <v/>
      </c>
    </row>
    <row r="1833" spans="1:37">
      <c r="A1833" s="2" t="s">
        <v>2285</v>
      </c>
      <c r="B1833" s="2" t="s">
        <v>1749</v>
      </c>
      <c r="C1833" s="2" t="s">
        <v>1750</v>
      </c>
      <c r="D1833" s="2" t="s">
        <v>118</v>
      </c>
      <c r="E1833" s="2" t="s">
        <v>119</v>
      </c>
      <c r="F1833" s="2" t="s">
        <v>120</v>
      </c>
      <c r="G1833" s="2" t="s">
        <v>2234</v>
      </c>
      <c r="H1833" s="2" t="s">
        <v>379</v>
      </c>
      <c r="I1833" s="2" t="s">
        <v>175</v>
      </c>
      <c r="J1833" s="2" t="s">
        <v>176</v>
      </c>
      <c r="K1833" s="9">
        <v>45856</v>
      </c>
      <c r="L1833" s="9">
        <v>45861</v>
      </c>
      <c r="M1833" s="9">
        <v>45861</v>
      </c>
      <c r="N1833" s="2" t="s">
        <v>1986</v>
      </c>
      <c r="O1833" s="2" t="s">
        <v>55</v>
      </c>
      <c r="P1833" s="2" t="s">
        <v>139</v>
      </c>
      <c r="Q1833" s="2" t="s">
        <v>161</v>
      </c>
      <c r="R1833" s="2" t="s">
        <v>128</v>
      </c>
      <c r="S1833" s="2" t="s">
        <v>179</v>
      </c>
      <c r="T1833" s="10">
        <v>118.81</v>
      </c>
      <c r="U1833" s="11">
        <v>0.18099999999999999</v>
      </c>
      <c r="V1833" s="12">
        <f>T1833*U1833</f>
        <v>21.50461</v>
      </c>
      <c r="W1833" s="13">
        <v>0.17</v>
      </c>
      <c r="X1833" s="12">
        <f>V1833-(V1833/(1+W1833))</f>
        <v>3.1246014529914525</v>
      </c>
      <c r="Y1833" s="12">
        <f>V1833-X1833</f>
        <v>18.380008547008547</v>
      </c>
      <c r="Z1833" s="14">
        <v>35</v>
      </c>
      <c r="AA1833" s="2" t="str">
        <f>IF(V1833&gt;Z1833,"Yes","No")</f>
        <v>No</v>
      </c>
      <c r="AB1833" s="12">
        <f>V1833-Z1833</f>
        <v>-13.49539</v>
      </c>
      <c r="AC1833" s="15" t="s">
        <v>130</v>
      </c>
      <c r="AD1833" s="15" t="s">
        <v>130</v>
      </c>
      <c r="AE1833" s="15" t="s">
        <v>858</v>
      </c>
      <c r="AF1833" s="12">
        <f>IF(AG1833="Rejected",0,IF(R1833="Corporate Card",0,V1833))</f>
        <v>0</v>
      </c>
      <c r="AG1833" s="15" t="s">
        <v>804</v>
      </c>
      <c r="AH1833" s="16">
        <v>45862</v>
      </c>
      <c r="AI1833" s="16"/>
      <c r="AJ1833" s="16"/>
      <c r="AK1833" s="17" t="str">
        <f>IF(AJ1833="","",AJ1833-AH1833)</f>
        <v/>
      </c>
    </row>
    <row r="1834" spans="1:37">
      <c r="A1834" s="2" t="s">
        <v>2286</v>
      </c>
      <c r="B1834" s="2" t="s">
        <v>287</v>
      </c>
      <c r="C1834" s="2" t="s">
        <v>288</v>
      </c>
      <c r="D1834" s="2" t="s">
        <v>171</v>
      </c>
      <c r="E1834" s="2" t="s">
        <v>289</v>
      </c>
      <c r="F1834" s="2" t="s">
        <v>173</v>
      </c>
      <c r="G1834" s="2" t="s">
        <v>2287</v>
      </c>
      <c r="H1834" s="2" t="s">
        <v>748</v>
      </c>
      <c r="I1834" s="2" t="s">
        <v>175</v>
      </c>
      <c r="J1834" s="2" t="s">
        <v>176</v>
      </c>
      <c r="K1834" s="9">
        <v>45864</v>
      </c>
      <c r="L1834" s="9">
        <v>45872</v>
      </c>
      <c r="M1834" s="9">
        <v>45864</v>
      </c>
      <c r="N1834" s="2" t="s">
        <v>1986</v>
      </c>
      <c r="O1834" s="2" t="s">
        <v>52</v>
      </c>
      <c r="P1834" s="2" t="s">
        <v>177</v>
      </c>
      <c r="Q1834" s="2" t="s">
        <v>258</v>
      </c>
      <c r="R1834" s="2" t="s">
        <v>128</v>
      </c>
      <c r="S1834" s="2" t="s">
        <v>179</v>
      </c>
      <c r="T1834" s="10">
        <v>9959.17</v>
      </c>
      <c r="U1834" s="11">
        <v>0.18099999999999999</v>
      </c>
      <c r="V1834" s="12">
        <f>T1834*U1834</f>
        <v>1802.60977</v>
      </c>
      <c r="W1834" s="13">
        <v>0</v>
      </c>
      <c r="X1834" s="12">
        <f>V1834-(V1834/(1+W1834))</f>
        <v>0</v>
      </c>
      <c r="Y1834" s="12">
        <f>V1834-X1834</f>
        <v>1802.60977</v>
      </c>
      <c r="Z1834" s="14">
        <v>1400</v>
      </c>
      <c r="AA1834" s="2" t="str">
        <f>IF(V1834&gt;Z1834,"Yes","No")</f>
        <v>Yes</v>
      </c>
      <c r="AB1834" s="12">
        <f>V1834-Z1834</f>
        <v>402.60977000000003</v>
      </c>
      <c r="AC1834" s="15" t="s">
        <v>130</v>
      </c>
      <c r="AD1834" s="15" t="s">
        <v>130</v>
      </c>
      <c r="AE1834" s="15" t="s">
        <v>437</v>
      </c>
      <c r="AF1834" s="12">
        <f>IF(AG1834="Rejected",0,IF(R1834="Corporate Card",0,V1834))</f>
        <v>0</v>
      </c>
      <c r="AG1834" s="15" t="s">
        <v>181</v>
      </c>
      <c r="AH1834" s="16">
        <v>45880</v>
      </c>
      <c r="AI1834" s="16"/>
      <c r="AJ1834" s="16"/>
      <c r="AK1834" s="17" t="str">
        <f>IF(AJ1834="","",AJ1834-AH1834)</f>
        <v/>
      </c>
    </row>
    <row r="1835" spans="1:37">
      <c r="A1835" s="2" t="s">
        <v>2288</v>
      </c>
      <c r="B1835" s="2" t="s">
        <v>287</v>
      </c>
      <c r="C1835" s="2" t="s">
        <v>288</v>
      </c>
      <c r="D1835" s="2" t="s">
        <v>171</v>
      </c>
      <c r="E1835" s="2" t="s">
        <v>289</v>
      </c>
      <c r="F1835" s="2" t="s">
        <v>173</v>
      </c>
      <c r="G1835" s="2" t="s">
        <v>2287</v>
      </c>
      <c r="H1835" s="2" t="s">
        <v>748</v>
      </c>
      <c r="I1835" s="2" t="s">
        <v>175</v>
      </c>
      <c r="J1835" s="2" t="s">
        <v>176</v>
      </c>
      <c r="K1835" s="9">
        <v>45864</v>
      </c>
      <c r="L1835" s="9">
        <v>45872</v>
      </c>
      <c r="M1835" s="9">
        <v>45864</v>
      </c>
      <c r="N1835" s="2" t="s">
        <v>1986</v>
      </c>
      <c r="O1835" s="2" t="s">
        <v>64</v>
      </c>
      <c r="P1835" s="2" t="s">
        <v>135</v>
      </c>
      <c r="Q1835" s="2" t="s">
        <v>136</v>
      </c>
      <c r="R1835" s="2" t="s">
        <v>137</v>
      </c>
      <c r="S1835" s="2" t="s">
        <v>179</v>
      </c>
      <c r="T1835" s="10">
        <v>508.6</v>
      </c>
      <c r="U1835" s="11">
        <v>0.18099999999999999</v>
      </c>
      <c r="V1835" s="12">
        <f>T1835*U1835</f>
        <v>92.056600000000003</v>
      </c>
      <c r="W1835" s="13">
        <v>0</v>
      </c>
      <c r="X1835" s="12">
        <f>V1835-(V1835/(1+W1835))</f>
        <v>0</v>
      </c>
      <c r="Y1835" s="12">
        <f>V1835-X1835</f>
        <v>92.056600000000003</v>
      </c>
      <c r="Z1835" s="14">
        <v>120</v>
      </c>
      <c r="AA1835" s="2" t="str">
        <f>IF(V1835&gt;Z1835,"Yes","No")</f>
        <v>No</v>
      </c>
      <c r="AB1835" s="12">
        <f>V1835-Z1835</f>
        <v>-27.943399999999997</v>
      </c>
      <c r="AC1835" s="15" t="s">
        <v>130</v>
      </c>
      <c r="AD1835" s="15" t="s">
        <v>130</v>
      </c>
      <c r="AE1835" s="15" t="s">
        <v>437</v>
      </c>
      <c r="AF1835" s="12">
        <f>IF(AG1835="Rejected",0,IF(R1835="Corporate Card",0,V1835))</f>
        <v>92.056600000000003</v>
      </c>
      <c r="AG1835" s="15" t="s">
        <v>181</v>
      </c>
      <c r="AH1835" s="16">
        <v>45880</v>
      </c>
      <c r="AI1835" s="16"/>
      <c r="AJ1835" s="16"/>
      <c r="AK1835" s="17" t="str">
        <f>IF(AJ1835="","",AJ1835-AH1835)</f>
        <v/>
      </c>
    </row>
    <row r="1836" spans="1:37">
      <c r="A1836" s="2" t="s">
        <v>2289</v>
      </c>
      <c r="B1836" s="2" t="s">
        <v>287</v>
      </c>
      <c r="C1836" s="2" t="s">
        <v>288</v>
      </c>
      <c r="D1836" s="2" t="s">
        <v>171</v>
      </c>
      <c r="E1836" s="2" t="s">
        <v>289</v>
      </c>
      <c r="F1836" s="2" t="s">
        <v>173</v>
      </c>
      <c r="G1836" s="2" t="s">
        <v>2287</v>
      </c>
      <c r="H1836" s="2" t="s">
        <v>748</v>
      </c>
      <c r="I1836" s="2" t="s">
        <v>175</v>
      </c>
      <c r="J1836" s="2" t="s">
        <v>176</v>
      </c>
      <c r="K1836" s="9">
        <v>45864</v>
      </c>
      <c r="L1836" s="9">
        <v>45872</v>
      </c>
      <c r="M1836" s="9">
        <v>45864</v>
      </c>
      <c r="N1836" s="2" t="s">
        <v>1986</v>
      </c>
      <c r="O1836" s="2" t="s">
        <v>58</v>
      </c>
      <c r="P1836" s="2" t="s">
        <v>142</v>
      </c>
      <c r="Q1836" s="2" t="s">
        <v>143</v>
      </c>
      <c r="R1836" s="2" t="s">
        <v>137</v>
      </c>
      <c r="S1836" s="2" t="s">
        <v>179</v>
      </c>
      <c r="T1836" s="10">
        <v>448.84</v>
      </c>
      <c r="U1836" s="11">
        <v>0.18099999999999999</v>
      </c>
      <c r="V1836" s="12">
        <f>T1836*U1836</f>
        <v>81.240039999999993</v>
      </c>
      <c r="W1836" s="13">
        <v>0.17</v>
      </c>
      <c r="X1836" s="12">
        <f>V1836-(V1836/(1+W1836))</f>
        <v>11.80410837606837</v>
      </c>
      <c r="Y1836" s="12">
        <f>V1836-X1836</f>
        <v>69.435931623931623</v>
      </c>
      <c r="Z1836" s="14">
        <v>60</v>
      </c>
      <c r="AA1836" s="2" t="str">
        <f>IF(V1836&gt;Z1836,"Yes","No")</f>
        <v>Yes</v>
      </c>
      <c r="AB1836" s="12">
        <f>V1836-Z1836</f>
        <v>21.240039999999993</v>
      </c>
      <c r="AC1836" s="15" t="s">
        <v>130</v>
      </c>
      <c r="AD1836" s="15" t="s">
        <v>130</v>
      </c>
      <c r="AE1836" s="15" t="s">
        <v>437</v>
      </c>
      <c r="AF1836" s="12">
        <f>IF(AG1836="Rejected",0,IF(R1836="Corporate Card",0,V1836))</f>
        <v>81.240039999999993</v>
      </c>
      <c r="AG1836" s="15" t="s">
        <v>181</v>
      </c>
      <c r="AH1836" s="16">
        <v>45880</v>
      </c>
      <c r="AI1836" s="16"/>
      <c r="AJ1836" s="16"/>
      <c r="AK1836" s="17" t="str">
        <f>IF(AJ1836="","",AJ1836-AH1836)</f>
        <v/>
      </c>
    </row>
    <row r="1837" spans="1:37">
      <c r="A1837" s="2" t="s">
        <v>2290</v>
      </c>
      <c r="B1837" s="2" t="s">
        <v>287</v>
      </c>
      <c r="C1837" s="2" t="s">
        <v>288</v>
      </c>
      <c r="D1837" s="2" t="s">
        <v>171</v>
      </c>
      <c r="E1837" s="2" t="s">
        <v>289</v>
      </c>
      <c r="F1837" s="2" t="s">
        <v>173</v>
      </c>
      <c r="G1837" s="2" t="s">
        <v>2287</v>
      </c>
      <c r="H1837" s="2" t="s">
        <v>748</v>
      </c>
      <c r="I1837" s="2" t="s">
        <v>175</v>
      </c>
      <c r="J1837" s="2" t="s">
        <v>176</v>
      </c>
      <c r="K1837" s="9">
        <v>45864</v>
      </c>
      <c r="L1837" s="9">
        <v>45872</v>
      </c>
      <c r="M1837" s="9">
        <v>45864</v>
      </c>
      <c r="N1837" s="2" t="s">
        <v>1986</v>
      </c>
      <c r="O1837" s="2" t="s">
        <v>54</v>
      </c>
      <c r="P1837" s="2" t="s">
        <v>139</v>
      </c>
      <c r="Q1837" s="2" t="s">
        <v>148</v>
      </c>
      <c r="R1837" s="2" t="s">
        <v>128</v>
      </c>
      <c r="S1837" s="2" t="s">
        <v>179</v>
      </c>
      <c r="T1837" s="10">
        <v>93.75</v>
      </c>
      <c r="U1837" s="11">
        <v>0.18099999999999999</v>
      </c>
      <c r="V1837" s="12">
        <f>T1837*U1837</f>
        <v>16.96875</v>
      </c>
      <c r="W1837" s="13">
        <v>0.17</v>
      </c>
      <c r="X1837" s="12">
        <f>V1837-(V1837/(1+W1837))</f>
        <v>2.4655448717948705</v>
      </c>
      <c r="Y1837" s="12">
        <f>V1837-X1837</f>
        <v>14.50320512820513</v>
      </c>
      <c r="Z1837" s="14">
        <v>25</v>
      </c>
      <c r="AA1837" s="2" t="str">
        <f>IF(V1837&gt;Z1837,"Yes","No")</f>
        <v>No</v>
      </c>
      <c r="AB1837" s="12">
        <f>V1837-Z1837</f>
        <v>-8.03125</v>
      </c>
      <c r="AC1837" s="15" t="s">
        <v>130</v>
      </c>
      <c r="AD1837" s="15" t="s">
        <v>130</v>
      </c>
      <c r="AE1837" s="15" t="s">
        <v>437</v>
      </c>
      <c r="AF1837" s="12">
        <f>IF(AG1837="Rejected",0,IF(R1837="Corporate Card",0,V1837))</f>
        <v>0</v>
      </c>
      <c r="AG1837" s="15" t="s">
        <v>181</v>
      </c>
      <c r="AH1837" s="16">
        <v>45880</v>
      </c>
      <c r="AI1837" s="16"/>
      <c r="AJ1837" s="16"/>
      <c r="AK1837" s="17" t="str">
        <f>IF(AJ1837="","",AJ1837-AH1837)</f>
        <v/>
      </c>
    </row>
    <row r="1838" spans="1:37">
      <c r="A1838" s="2" t="s">
        <v>2291</v>
      </c>
      <c r="B1838" s="2" t="s">
        <v>287</v>
      </c>
      <c r="C1838" s="2" t="s">
        <v>288</v>
      </c>
      <c r="D1838" s="2" t="s">
        <v>171</v>
      </c>
      <c r="E1838" s="2" t="s">
        <v>289</v>
      </c>
      <c r="F1838" s="2" t="s">
        <v>173</v>
      </c>
      <c r="G1838" s="2" t="s">
        <v>2287</v>
      </c>
      <c r="H1838" s="2" t="s">
        <v>748</v>
      </c>
      <c r="I1838" s="2" t="s">
        <v>175</v>
      </c>
      <c r="J1838" s="2" t="s">
        <v>176</v>
      </c>
      <c r="K1838" s="9">
        <v>45864</v>
      </c>
      <c r="L1838" s="9">
        <v>45872</v>
      </c>
      <c r="M1838" s="9">
        <v>45864</v>
      </c>
      <c r="N1838" s="2" t="s">
        <v>1986</v>
      </c>
      <c r="O1838" s="2" t="s">
        <v>56</v>
      </c>
      <c r="P1838" s="2" t="s">
        <v>151</v>
      </c>
      <c r="Q1838" s="2" t="s">
        <v>152</v>
      </c>
      <c r="R1838" s="2" t="s">
        <v>128</v>
      </c>
      <c r="S1838" s="2" t="s">
        <v>179</v>
      </c>
      <c r="T1838" s="10">
        <v>283.55</v>
      </c>
      <c r="U1838" s="11">
        <v>0.18099999999999999</v>
      </c>
      <c r="V1838" s="12">
        <f>T1838*U1838</f>
        <v>51.32255</v>
      </c>
      <c r="W1838" s="13">
        <v>0.17</v>
      </c>
      <c r="X1838" s="12">
        <f>V1838-(V1838/(1+W1838))</f>
        <v>7.4571226495726464</v>
      </c>
      <c r="Y1838" s="12">
        <f>V1838-X1838</f>
        <v>43.865427350427353</v>
      </c>
      <c r="Z1838" s="14">
        <v>75</v>
      </c>
      <c r="AA1838" s="2" t="str">
        <f>IF(V1838&gt;Z1838,"Yes","No")</f>
        <v>No</v>
      </c>
      <c r="AB1838" s="12">
        <f>V1838-Z1838</f>
        <v>-23.67745</v>
      </c>
      <c r="AC1838" s="15" t="s">
        <v>130</v>
      </c>
      <c r="AD1838" s="15" t="s">
        <v>130</v>
      </c>
      <c r="AE1838" s="15" t="s">
        <v>437</v>
      </c>
      <c r="AF1838" s="12">
        <f>IF(AG1838="Rejected",0,IF(R1838="Corporate Card",0,V1838))</f>
        <v>0</v>
      </c>
      <c r="AG1838" s="15" t="s">
        <v>181</v>
      </c>
      <c r="AH1838" s="16">
        <v>45880</v>
      </c>
      <c r="AI1838" s="16"/>
      <c r="AJ1838" s="16"/>
      <c r="AK1838" s="17" t="str">
        <f>IF(AJ1838="","",AJ1838-AH1838)</f>
        <v/>
      </c>
    </row>
    <row r="1839" spans="1:37">
      <c r="A1839" s="2" t="s">
        <v>2292</v>
      </c>
      <c r="B1839" s="2" t="s">
        <v>287</v>
      </c>
      <c r="C1839" s="2" t="s">
        <v>288</v>
      </c>
      <c r="D1839" s="2" t="s">
        <v>171</v>
      </c>
      <c r="E1839" s="2" t="s">
        <v>289</v>
      </c>
      <c r="F1839" s="2" t="s">
        <v>173</v>
      </c>
      <c r="G1839" s="2" t="s">
        <v>2287</v>
      </c>
      <c r="H1839" s="2" t="s">
        <v>748</v>
      </c>
      <c r="I1839" s="2" t="s">
        <v>175</v>
      </c>
      <c r="J1839" s="2" t="s">
        <v>176</v>
      </c>
      <c r="K1839" s="9">
        <v>45864</v>
      </c>
      <c r="L1839" s="9">
        <v>45872</v>
      </c>
      <c r="M1839" s="9">
        <v>45864</v>
      </c>
      <c r="N1839" s="2" t="s">
        <v>1986</v>
      </c>
      <c r="O1839" s="2" t="s">
        <v>55</v>
      </c>
      <c r="P1839" s="2" t="s">
        <v>139</v>
      </c>
      <c r="Q1839" s="2" t="s">
        <v>161</v>
      </c>
      <c r="R1839" s="2" t="s">
        <v>149</v>
      </c>
      <c r="S1839" s="2" t="s">
        <v>179</v>
      </c>
      <c r="T1839" s="10">
        <v>155.57</v>
      </c>
      <c r="U1839" s="11">
        <v>0.18099999999999999</v>
      </c>
      <c r="V1839" s="12">
        <f>T1839*U1839</f>
        <v>28.158169999999998</v>
      </c>
      <c r="W1839" s="13">
        <v>0.17</v>
      </c>
      <c r="X1839" s="12">
        <f>V1839-(V1839/(1+W1839))</f>
        <v>4.0913580341880333</v>
      </c>
      <c r="Y1839" s="12">
        <f>V1839-X1839</f>
        <v>24.066811965811965</v>
      </c>
      <c r="Z1839" s="14">
        <v>35</v>
      </c>
      <c r="AA1839" s="2" t="str">
        <f>IF(V1839&gt;Z1839,"Yes","No")</f>
        <v>No</v>
      </c>
      <c r="AB1839" s="12">
        <f>V1839-Z1839</f>
        <v>-6.8418300000000016</v>
      </c>
      <c r="AC1839" s="15" t="s">
        <v>131</v>
      </c>
      <c r="AD1839" s="15" t="s">
        <v>130</v>
      </c>
      <c r="AE1839" s="15" t="s">
        <v>437</v>
      </c>
      <c r="AF1839" s="12">
        <f>IF(AG1839="Rejected",0,IF(R1839="Corporate Card",0,V1839))</f>
        <v>28.158169999999998</v>
      </c>
      <c r="AG1839" s="15" t="s">
        <v>181</v>
      </c>
      <c r="AH1839" s="16">
        <v>45880</v>
      </c>
      <c r="AI1839" s="16"/>
      <c r="AJ1839" s="16"/>
      <c r="AK1839" s="17" t="str">
        <f>IF(AJ1839="","",AJ1839-AH1839)</f>
        <v/>
      </c>
    </row>
    <row r="1840" spans="1:37">
      <c r="A1840" s="2" t="s">
        <v>2293</v>
      </c>
      <c r="B1840" s="2" t="s">
        <v>287</v>
      </c>
      <c r="C1840" s="2" t="s">
        <v>288</v>
      </c>
      <c r="D1840" s="2" t="s">
        <v>171</v>
      </c>
      <c r="E1840" s="2" t="s">
        <v>289</v>
      </c>
      <c r="F1840" s="2" t="s">
        <v>173</v>
      </c>
      <c r="G1840" s="2" t="s">
        <v>2287</v>
      </c>
      <c r="H1840" s="2" t="s">
        <v>748</v>
      </c>
      <c r="I1840" s="2" t="s">
        <v>175</v>
      </c>
      <c r="J1840" s="2" t="s">
        <v>176</v>
      </c>
      <c r="K1840" s="9">
        <v>45864</v>
      </c>
      <c r="L1840" s="9">
        <v>45872</v>
      </c>
      <c r="M1840" s="9">
        <v>45865</v>
      </c>
      <c r="N1840" s="2" t="s">
        <v>1986</v>
      </c>
      <c r="O1840" s="2" t="s">
        <v>58</v>
      </c>
      <c r="P1840" s="2" t="s">
        <v>142</v>
      </c>
      <c r="Q1840" s="2" t="s">
        <v>203</v>
      </c>
      <c r="R1840" s="2" t="s">
        <v>128</v>
      </c>
      <c r="S1840" s="2" t="s">
        <v>179</v>
      </c>
      <c r="T1840" s="10">
        <v>238.72</v>
      </c>
      <c r="U1840" s="11">
        <v>0.18099999999999999</v>
      </c>
      <c r="V1840" s="12">
        <f>T1840*U1840</f>
        <v>43.208320000000001</v>
      </c>
      <c r="W1840" s="13">
        <v>0.17</v>
      </c>
      <c r="X1840" s="12">
        <f>V1840-(V1840/(1+W1840))</f>
        <v>6.2781319658119656</v>
      </c>
      <c r="Y1840" s="12">
        <f>V1840-X1840</f>
        <v>36.930188034188035</v>
      </c>
      <c r="Z1840" s="14">
        <v>60</v>
      </c>
      <c r="AA1840" s="2" t="str">
        <f>IF(V1840&gt;Z1840,"Yes","No")</f>
        <v>No</v>
      </c>
      <c r="AB1840" s="12">
        <f>V1840-Z1840</f>
        <v>-16.791679999999999</v>
      </c>
      <c r="AC1840" s="15" t="s">
        <v>130</v>
      </c>
      <c r="AD1840" s="15" t="s">
        <v>130</v>
      </c>
      <c r="AE1840" s="15" t="s">
        <v>437</v>
      </c>
      <c r="AF1840" s="12">
        <f>IF(AG1840="Rejected",0,IF(R1840="Corporate Card",0,V1840))</f>
        <v>0</v>
      </c>
      <c r="AG1840" s="15" t="s">
        <v>181</v>
      </c>
      <c r="AH1840" s="16">
        <v>45880</v>
      </c>
      <c r="AI1840" s="16"/>
      <c r="AJ1840" s="16"/>
      <c r="AK1840" s="17" t="str">
        <f>IF(AJ1840="","",AJ1840-AH1840)</f>
        <v/>
      </c>
    </row>
    <row r="1841" spans="1:37">
      <c r="A1841" s="2" t="s">
        <v>2294</v>
      </c>
      <c r="B1841" s="2" t="s">
        <v>287</v>
      </c>
      <c r="C1841" s="2" t="s">
        <v>288</v>
      </c>
      <c r="D1841" s="2" t="s">
        <v>171</v>
      </c>
      <c r="E1841" s="2" t="s">
        <v>289</v>
      </c>
      <c r="F1841" s="2" t="s">
        <v>173</v>
      </c>
      <c r="G1841" s="2" t="s">
        <v>2287</v>
      </c>
      <c r="H1841" s="2" t="s">
        <v>748</v>
      </c>
      <c r="I1841" s="2" t="s">
        <v>175</v>
      </c>
      <c r="J1841" s="2" t="s">
        <v>176</v>
      </c>
      <c r="K1841" s="9">
        <v>45864</v>
      </c>
      <c r="L1841" s="9">
        <v>45872</v>
      </c>
      <c r="M1841" s="9">
        <v>45865</v>
      </c>
      <c r="N1841" s="2" t="s">
        <v>1986</v>
      </c>
      <c r="O1841" s="2" t="s">
        <v>53</v>
      </c>
      <c r="P1841" s="2" t="s">
        <v>669</v>
      </c>
      <c r="Q1841" s="2" t="s">
        <v>305</v>
      </c>
      <c r="R1841" s="2" t="s">
        <v>128</v>
      </c>
      <c r="S1841" s="2" t="s">
        <v>179</v>
      </c>
      <c r="T1841" s="10">
        <v>5754.49</v>
      </c>
      <c r="U1841" s="11">
        <v>0.18099999999999999</v>
      </c>
      <c r="V1841" s="12">
        <f>T1841*U1841</f>
        <v>1041.56269</v>
      </c>
      <c r="W1841" s="13">
        <v>0.17</v>
      </c>
      <c r="X1841" s="12">
        <f>V1841-(V1841/(1+W1841))</f>
        <v>151.33816863247853</v>
      </c>
      <c r="Y1841" s="12">
        <f>V1841-X1841</f>
        <v>890.22452136752145</v>
      </c>
      <c r="Z1841" s="14">
        <v>2240</v>
      </c>
      <c r="AA1841" s="2" t="str">
        <f>IF(V1841&gt;Z1841,"Yes","No")</f>
        <v>No</v>
      </c>
      <c r="AB1841" s="12">
        <f>V1841-Z1841</f>
        <v>-1198.43731</v>
      </c>
      <c r="AC1841" s="15" t="s">
        <v>130</v>
      </c>
      <c r="AD1841" s="15" t="s">
        <v>130</v>
      </c>
      <c r="AE1841" s="15" t="s">
        <v>437</v>
      </c>
      <c r="AF1841" s="12">
        <f>IF(AG1841="Rejected",0,IF(R1841="Corporate Card",0,V1841))</f>
        <v>0</v>
      </c>
      <c r="AG1841" s="15" t="s">
        <v>181</v>
      </c>
      <c r="AH1841" s="16">
        <v>45880</v>
      </c>
      <c r="AI1841" s="16"/>
      <c r="AJ1841" s="16"/>
      <c r="AK1841" s="17" t="str">
        <f>IF(AJ1841="","",AJ1841-AH1841)</f>
        <v/>
      </c>
    </row>
    <row r="1842" spans="1:37">
      <c r="A1842" s="2" t="s">
        <v>2295</v>
      </c>
      <c r="B1842" s="2" t="s">
        <v>287</v>
      </c>
      <c r="C1842" s="2" t="s">
        <v>288</v>
      </c>
      <c r="D1842" s="2" t="s">
        <v>171</v>
      </c>
      <c r="E1842" s="2" t="s">
        <v>289</v>
      </c>
      <c r="F1842" s="2" t="s">
        <v>173</v>
      </c>
      <c r="G1842" s="2" t="s">
        <v>2287</v>
      </c>
      <c r="H1842" s="2" t="s">
        <v>748</v>
      </c>
      <c r="I1842" s="2" t="s">
        <v>175</v>
      </c>
      <c r="J1842" s="2" t="s">
        <v>176</v>
      </c>
      <c r="K1842" s="9">
        <v>45864</v>
      </c>
      <c r="L1842" s="9">
        <v>45872</v>
      </c>
      <c r="M1842" s="9">
        <v>45865</v>
      </c>
      <c r="N1842" s="2" t="s">
        <v>1986</v>
      </c>
      <c r="O1842" s="2" t="s">
        <v>54</v>
      </c>
      <c r="P1842" s="2" t="s">
        <v>139</v>
      </c>
      <c r="Q1842" s="2" t="s">
        <v>163</v>
      </c>
      <c r="R1842" s="2" t="s">
        <v>137</v>
      </c>
      <c r="S1842" s="2" t="s">
        <v>179</v>
      </c>
      <c r="T1842" s="10">
        <v>156.88999999999999</v>
      </c>
      <c r="U1842" s="11">
        <v>0.18099999999999999</v>
      </c>
      <c r="V1842" s="12">
        <f>T1842*U1842</f>
        <v>28.397089999999995</v>
      </c>
      <c r="W1842" s="13">
        <v>0.17</v>
      </c>
      <c r="X1842" s="12">
        <f>V1842-(V1842/(1+W1842))</f>
        <v>4.1260729059829053</v>
      </c>
      <c r="Y1842" s="12">
        <f>V1842-X1842</f>
        <v>24.27101709401709</v>
      </c>
      <c r="Z1842" s="14">
        <v>25</v>
      </c>
      <c r="AA1842" s="2" t="str">
        <f>IF(V1842&gt;Z1842,"Yes","No")</f>
        <v>Yes</v>
      </c>
      <c r="AB1842" s="12">
        <f>V1842-Z1842</f>
        <v>3.3970899999999951</v>
      </c>
      <c r="AC1842" s="15" t="s">
        <v>130</v>
      </c>
      <c r="AD1842" s="15" t="s">
        <v>130</v>
      </c>
      <c r="AE1842" s="15" t="s">
        <v>437</v>
      </c>
      <c r="AF1842" s="12">
        <f>IF(AG1842="Rejected",0,IF(R1842="Corporate Card",0,V1842))</f>
        <v>28.397089999999995</v>
      </c>
      <c r="AG1842" s="15" t="s">
        <v>181</v>
      </c>
      <c r="AH1842" s="16">
        <v>45880</v>
      </c>
      <c r="AI1842" s="16"/>
      <c r="AJ1842" s="16"/>
      <c r="AK1842" s="17" t="str">
        <f>IF(AJ1842="","",AJ1842-AH1842)</f>
        <v/>
      </c>
    </row>
    <row r="1843" spans="1:37">
      <c r="A1843" s="2" t="s">
        <v>2296</v>
      </c>
      <c r="B1843" s="2" t="s">
        <v>287</v>
      </c>
      <c r="C1843" s="2" t="s">
        <v>288</v>
      </c>
      <c r="D1843" s="2" t="s">
        <v>171</v>
      </c>
      <c r="E1843" s="2" t="s">
        <v>289</v>
      </c>
      <c r="F1843" s="2" t="s">
        <v>173</v>
      </c>
      <c r="G1843" s="2" t="s">
        <v>2287</v>
      </c>
      <c r="H1843" s="2" t="s">
        <v>748</v>
      </c>
      <c r="I1843" s="2" t="s">
        <v>175</v>
      </c>
      <c r="J1843" s="2" t="s">
        <v>176</v>
      </c>
      <c r="K1843" s="9">
        <v>45864</v>
      </c>
      <c r="L1843" s="9">
        <v>45872</v>
      </c>
      <c r="M1843" s="9">
        <v>45865</v>
      </c>
      <c r="N1843" s="2" t="s">
        <v>1986</v>
      </c>
      <c r="O1843" s="2" t="s">
        <v>56</v>
      </c>
      <c r="P1843" s="2" t="s">
        <v>231</v>
      </c>
      <c r="Q1843" s="2" t="s">
        <v>159</v>
      </c>
      <c r="R1843" s="2" t="s">
        <v>128</v>
      </c>
      <c r="S1843" s="2" t="s">
        <v>179</v>
      </c>
      <c r="T1843" s="10">
        <v>239.39</v>
      </c>
      <c r="U1843" s="11">
        <v>0.18099999999999999</v>
      </c>
      <c r="V1843" s="12">
        <f>T1843*U1843</f>
        <v>43.329589999999996</v>
      </c>
      <c r="W1843" s="13">
        <v>0.17</v>
      </c>
      <c r="X1843" s="12">
        <f>V1843-(V1843/(1+W1843))</f>
        <v>6.2957523931623882</v>
      </c>
      <c r="Y1843" s="12">
        <f>V1843-X1843</f>
        <v>37.033837606837608</v>
      </c>
      <c r="Z1843" s="14">
        <v>75</v>
      </c>
      <c r="AA1843" s="2" t="str">
        <f>IF(V1843&gt;Z1843,"Yes","No")</f>
        <v>No</v>
      </c>
      <c r="AB1843" s="12">
        <f>V1843-Z1843</f>
        <v>-31.670410000000004</v>
      </c>
      <c r="AC1843" s="15" t="s">
        <v>130</v>
      </c>
      <c r="AD1843" s="15" t="s">
        <v>130</v>
      </c>
      <c r="AE1843" s="15" t="s">
        <v>437</v>
      </c>
      <c r="AF1843" s="12">
        <f>IF(AG1843="Rejected",0,IF(R1843="Corporate Card",0,V1843))</f>
        <v>0</v>
      </c>
      <c r="AG1843" s="15" t="s">
        <v>181</v>
      </c>
      <c r="AH1843" s="16">
        <v>45880</v>
      </c>
      <c r="AI1843" s="16"/>
      <c r="AJ1843" s="16"/>
      <c r="AK1843" s="17" t="str">
        <f>IF(AJ1843="","",AJ1843-AH1843)</f>
        <v/>
      </c>
    </row>
    <row r="1844" spans="1:37">
      <c r="A1844" s="2" t="s">
        <v>2297</v>
      </c>
      <c r="B1844" s="2" t="s">
        <v>287</v>
      </c>
      <c r="C1844" s="2" t="s">
        <v>288</v>
      </c>
      <c r="D1844" s="2" t="s">
        <v>171</v>
      </c>
      <c r="E1844" s="2" t="s">
        <v>289</v>
      </c>
      <c r="F1844" s="2" t="s">
        <v>173</v>
      </c>
      <c r="G1844" s="2" t="s">
        <v>2287</v>
      </c>
      <c r="H1844" s="2" t="s">
        <v>748</v>
      </c>
      <c r="I1844" s="2" t="s">
        <v>175</v>
      </c>
      <c r="J1844" s="2" t="s">
        <v>176</v>
      </c>
      <c r="K1844" s="9">
        <v>45864</v>
      </c>
      <c r="L1844" s="9">
        <v>45872</v>
      </c>
      <c r="M1844" s="9">
        <v>45866</v>
      </c>
      <c r="N1844" s="2" t="s">
        <v>1986</v>
      </c>
      <c r="O1844" s="2" t="s">
        <v>54</v>
      </c>
      <c r="P1844" s="2" t="s">
        <v>139</v>
      </c>
      <c r="Q1844" s="2" t="s">
        <v>163</v>
      </c>
      <c r="R1844" s="2" t="s">
        <v>149</v>
      </c>
      <c r="S1844" s="2" t="s">
        <v>179</v>
      </c>
      <c r="T1844" s="10">
        <v>91.88</v>
      </c>
      <c r="U1844" s="11">
        <v>0.18099999999999999</v>
      </c>
      <c r="V1844" s="12">
        <f>T1844*U1844</f>
        <v>16.630279999999999</v>
      </c>
      <c r="W1844" s="13">
        <v>0.17</v>
      </c>
      <c r="X1844" s="12">
        <f>V1844-(V1844/(1+W1844))</f>
        <v>2.4163654700854682</v>
      </c>
      <c r="Y1844" s="12">
        <f>V1844-X1844</f>
        <v>14.213914529914531</v>
      </c>
      <c r="Z1844" s="14">
        <v>25</v>
      </c>
      <c r="AA1844" s="2" t="str">
        <f>IF(V1844&gt;Z1844,"Yes","No")</f>
        <v>No</v>
      </c>
      <c r="AB1844" s="12">
        <f>V1844-Z1844</f>
        <v>-8.3697200000000009</v>
      </c>
      <c r="AC1844" s="15" t="s">
        <v>130</v>
      </c>
      <c r="AD1844" s="15" t="s">
        <v>130</v>
      </c>
      <c r="AE1844" s="15" t="s">
        <v>437</v>
      </c>
      <c r="AF1844" s="12">
        <f>IF(AG1844="Rejected",0,IF(R1844="Corporate Card",0,V1844))</f>
        <v>16.630279999999999</v>
      </c>
      <c r="AG1844" s="15" t="s">
        <v>181</v>
      </c>
      <c r="AH1844" s="16">
        <v>45880</v>
      </c>
      <c r="AI1844" s="16"/>
      <c r="AJ1844" s="16"/>
      <c r="AK1844" s="17" t="str">
        <f>IF(AJ1844="","",AJ1844-AH1844)</f>
        <v/>
      </c>
    </row>
    <row r="1845" spans="1:37">
      <c r="A1845" s="2" t="s">
        <v>2298</v>
      </c>
      <c r="B1845" s="2" t="s">
        <v>287</v>
      </c>
      <c r="C1845" s="2" t="s">
        <v>288</v>
      </c>
      <c r="D1845" s="2" t="s">
        <v>171</v>
      </c>
      <c r="E1845" s="2" t="s">
        <v>289</v>
      </c>
      <c r="F1845" s="2" t="s">
        <v>173</v>
      </c>
      <c r="G1845" s="2" t="s">
        <v>2287</v>
      </c>
      <c r="H1845" s="2" t="s">
        <v>748</v>
      </c>
      <c r="I1845" s="2" t="s">
        <v>175</v>
      </c>
      <c r="J1845" s="2" t="s">
        <v>176</v>
      </c>
      <c r="K1845" s="9">
        <v>45864</v>
      </c>
      <c r="L1845" s="9">
        <v>45872</v>
      </c>
      <c r="M1845" s="9">
        <v>45866</v>
      </c>
      <c r="N1845" s="2" t="s">
        <v>1986</v>
      </c>
      <c r="O1845" s="2" t="s">
        <v>56</v>
      </c>
      <c r="P1845" s="2" t="s">
        <v>231</v>
      </c>
      <c r="Q1845" s="2" t="s">
        <v>152</v>
      </c>
      <c r="R1845" s="2" t="s">
        <v>128</v>
      </c>
      <c r="S1845" s="2" t="s">
        <v>179</v>
      </c>
      <c r="T1845" s="10">
        <v>351.01</v>
      </c>
      <c r="U1845" s="11">
        <v>0.18099999999999999</v>
      </c>
      <c r="V1845" s="12">
        <f>T1845*U1845</f>
        <v>63.532809999999998</v>
      </c>
      <c r="W1845" s="13">
        <v>0.17</v>
      </c>
      <c r="X1845" s="12">
        <f>V1845-(V1845/(1+W1845))</f>
        <v>9.2312629914529865</v>
      </c>
      <c r="Y1845" s="12">
        <f>V1845-X1845</f>
        <v>54.301547008547011</v>
      </c>
      <c r="Z1845" s="14">
        <v>75</v>
      </c>
      <c r="AA1845" s="2" t="str">
        <f>IF(V1845&gt;Z1845,"Yes","No")</f>
        <v>No</v>
      </c>
      <c r="AB1845" s="12">
        <f>V1845-Z1845</f>
        <v>-11.467190000000002</v>
      </c>
      <c r="AC1845" s="15" t="s">
        <v>130</v>
      </c>
      <c r="AD1845" s="15" t="s">
        <v>130</v>
      </c>
      <c r="AE1845" s="15" t="s">
        <v>437</v>
      </c>
      <c r="AF1845" s="12">
        <f>IF(AG1845="Rejected",0,IF(R1845="Corporate Card",0,V1845))</f>
        <v>0</v>
      </c>
      <c r="AG1845" s="15" t="s">
        <v>181</v>
      </c>
      <c r="AH1845" s="16">
        <v>45880</v>
      </c>
      <c r="AI1845" s="16"/>
      <c r="AJ1845" s="16"/>
      <c r="AK1845" s="17" t="str">
        <f>IF(AJ1845="","",AJ1845-AH1845)</f>
        <v/>
      </c>
    </row>
    <row r="1846" spans="1:37">
      <c r="A1846" s="2" t="s">
        <v>2299</v>
      </c>
      <c r="B1846" s="2" t="s">
        <v>287</v>
      </c>
      <c r="C1846" s="2" t="s">
        <v>288</v>
      </c>
      <c r="D1846" s="2" t="s">
        <v>171</v>
      </c>
      <c r="E1846" s="2" t="s">
        <v>289</v>
      </c>
      <c r="F1846" s="2" t="s">
        <v>173</v>
      </c>
      <c r="G1846" s="2" t="s">
        <v>2287</v>
      </c>
      <c r="H1846" s="2" t="s">
        <v>748</v>
      </c>
      <c r="I1846" s="2" t="s">
        <v>175</v>
      </c>
      <c r="J1846" s="2" t="s">
        <v>176</v>
      </c>
      <c r="K1846" s="9">
        <v>45864</v>
      </c>
      <c r="L1846" s="9">
        <v>45872</v>
      </c>
      <c r="M1846" s="9">
        <v>45866</v>
      </c>
      <c r="N1846" s="2" t="s">
        <v>1986</v>
      </c>
      <c r="O1846" s="2" t="s">
        <v>55</v>
      </c>
      <c r="P1846" s="2" t="s">
        <v>139</v>
      </c>
      <c r="Q1846" s="2" t="s">
        <v>187</v>
      </c>
      <c r="R1846" s="2" t="s">
        <v>128</v>
      </c>
      <c r="S1846" s="2" t="s">
        <v>179</v>
      </c>
      <c r="T1846" s="10">
        <v>114.76</v>
      </c>
      <c r="U1846" s="11">
        <v>0.18099999999999999</v>
      </c>
      <c r="V1846" s="12">
        <f>T1846*U1846</f>
        <v>20.771560000000001</v>
      </c>
      <c r="W1846" s="13">
        <v>0.17</v>
      </c>
      <c r="X1846" s="12">
        <f>V1846-(V1846/(1+W1846))</f>
        <v>3.0180899145299129</v>
      </c>
      <c r="Y1846" s="12">
        <f>V1846-X1846</f>
        <v>17.753470085470088</v>
      </c>
      <c r="Z1846" s="14">
        <v>35</v>
      </c>
      <c r="AA1846" s="2" t="str">
        <f>IF(V1846&gt;Z1846,"Yes","No")</f>
        <v>No</v>
      </c>
      <c r="AB1846" s="12">
        <f>V1846-Z1846</f>
        <v>-14.228439999999999</v>
      </c>
      <c r="AC1846" s="15" t="s">
        <v>130</v>
      </c>
      <c r="AD1846" s="15" t="s">
        <v>130</v>
      </c>
      <c r="AE1846" s="15" t="s">
        <v>437</v>
      </c>
      <c r="AF1846" s="12">
        <f>IF(AG1846="Rejected",0,IF(R1846="Corporate Card",0,V1846))</f>
        <v>0</v>
      </c>
      <c r="AG1846" s="15" t="s">
        <v>181</v>
      </c>
      <c r="AH1846" s="16">
        <v>45880</v>
      </c>
      <c r="AI1846" s="16"/>
      <c r="AJ1846" s="16"/>
      <c r="AK1846" s="17" t="str">
        <f>IF(AJ1846="","",AJ1846-AH1846)</f>
        <v/>
      </c>
    </row>
    <row r="1847" spans="1:37">
      <c r="A1847" s="2" t="s">
        <v>2300</v>
      </c>
      <c r="B1847" s="2" t="s">
        <v>287</v>
      </c>
      <c r="C1847" s="2" t="s">
        <v>288</v>
      </c>
      <c r="D1847" s="2" t="s">
        <v>171</v>
      </c>
      <c r="E1847" s="2" t="s">
        <v>289</v>
      </c>
      <c r="F1847" s="2" t="s">
        <v>173</v>
      </c>
      <c r="G1847" s="2" t="s">
        <v>2287</v>
      </c>
      <c r="H1847" s="2" t="s">
        <v>748</v>
      </c>
      <c r="I1847" s="2" t="s">
        <v>175</v>
      </c>
      <c r="J1847" s="2" t="s">
        <v>176</v>
      </c>
      <c r="K1847" s="9">
        <v>45864</v>
      </c>
      <c r="L1847" s="9">
        <v>45872</v>
      </c>
      <c r="M1847" s="9">
        <v>45867</v>
      </c>
      <c r="N1847" s="2" t="s">
        <v>1986</v>
      </c>
      <c r="O1847" s="2" t="s">
        <v>54</v>
      </c>
      <c r="P1847" s="2" t="s">
        <v>139</v>
      </c>
      <c r="Q1847" s="2" t="s">
        <v>140</v>
      </c>
      <c r="R1847" s="2" t="s">
        <v>137</v>
      </c>
      <c r="S1847" s="2" t="s">
        <v>179</v>
      </c>
      <c r="T1847" s="10">
        <v>118.13</v>
      </c>
      <c r="U1847" s="11">
        <v>0.18099999999999999</v>
      </c>
      <c r="V1847" s="12">
        <f>T1847*U1847</f>
        <v>21.381529999999998</v>
      </c>
      <c r="W1847" s="13">
        <v>0.17</v>
      </c>
      <c r="X1847" s="12">
        <f>V1847-(V1847/(1+W1847))</f>
        <v>3.1067180341880345</v>
      </c>
      <c r="Y1847" s="12">
        <f>V1847-X1847</f>
        <v>18.274811965811963</v>
      </c>
      <c r="Z1847" s="14">
        <v>25</v>
      </c>
      <c r="AA1847" s="2" t="str">
        <f>IF(V1847&gt;Z1847,"Yes","No")</f>
        <v>No</v>
      </c>
      <c r="AB1847" s="12">
        <f>V1847-Z1847</f>
        <v>-3.6184700000000021</v>
      </c>
      <c r="AC1847" s="15" t="s">
        <v>130</v>
      </c>
      <c r="AD1847" s="15" t="s">
        <v>130</v>
      </c>
      <c r="AE1847" s="15" t="s">
        <v>437</v>
      </c>
      <c r="AF1847" s="12">
        <f>IF(AG1847="Rejected",0,IF(R1847="Corporate Card",0,V1847))</f>
        <v>21.381529999999998</v>
      </c>
      <c r="AG1847" s="15" t="s">
        <v>181</v>
      </c>
      <c r="AH1847" s="16">
        <v>45880</v>
      </c>
      <c r="AI1847" s="16"/>
      <c r="AJ1847" s="16"/>
      <c r="AK1847" s="17" t="str">
        <f>IF(AJ1847="","",AJ1847-AH1847)</f>
        <v/>
      </c>
    </row>
    <row r="1848" spans="1:37">
      <c r="A1848" s="2" t="s">
        <v>2301</v>
      </c>
      <c r="B1848" s="2" t="s">
        <v>287</v>
      </c>
      <c r="C1848" s="2" t="s">
        <v>288</v>
      </c>
      <c r="D1848" s="2" t="s">
        <v>171</v>
      </c>
      <c r="E1848" s="2" t="s">
        <v>289</v>
      </c>
      <c r="F1848" s="2" t="s">
        <v>173</v>
      </c>
      <c r="G1848" s="2" t="s">
        <v>2287</v>
      </c>
      <c r="H1848" s="2" t="s">
        <v>748</v>
      </c>
      <c r="I1848" s="2" t="s">
        <v>175</v>
      </c>
      <c r="J1848" s="2" t="s">
        <v>176</v>
      </c>
      <c r="K1848" s="9">
        <v>45864</v>
      </c>
      <c r="L1848" s="9">
        <v>45872</v>
      </c>
      <c r="M1848" s="9">
        <v>45867</v>
      </c>
      <c r="N1848" s="2" t="s">
        <v>1986</v>
      </c>
      <c r="O1848" s="2" t="s">
        <v>56</v>
      </c>
      <c r="P1848" s="2" t="s">
        <v>151</v>
      </c>
      <c r="Q1848" s="2" t="s">
        <v>152</v>
      </c>
      <c r="R1848" s="2" t="s">
        <v>128</v>
      </c>
      <c r="S1848" s="2" t="s">
        <v>179</v>
      </c>
      <c r="T1848" s="10">
        <v>215.32</v>
      </c>
      <c r="U1848" s="11">
        <v>0.18099999999999999</v>
      </c>
      <c r="V1848" s="12">
        <f>T1848*U1848</f>
        <v>38.972919999999995</v>
      </c>
      <c r="W1848" s="13">
        <v>0.17</v>
      </c>
      <c r="X1848" s="12">
        <f>V1848-(V1848/(1+W1848))</f>
        <v>5.6627319658119646</v>
      </c>
      <c r="Y1848" s="12">
        <f>V1848-X1848</f>
        <v>33.31018803418803</v>
      </c>
      <c r="Z1848" s="14">
        <v>75</v>
      </c>
      <c r="AA1848" s="2" t="str">
        <f>IF(V1848&gt;Z1848,"Yes","No")</f>
        <v>No</v>
      </c>
      <c r="AB1848" s="12">
        <f>V1848-Z1848</f>
        <v>-36.027080000000005</v>
      </c>
      <c r="AC1848" s="15" t="s">
        <v>130</v>
      </c>
      <c r="AD1848" s="15" t="s">
        <v>130</v>
      </c>
      <c r="AE1848" s="15" t="s">
        <v>437</v>
      </c>
      <c r="AF1848" s="12">
        <f>IF(AG1848="Rejected",0,IF(R1848="Corporate Card",0,V1848))</f>
        <v>0</v>
      </c>
      <c r="AG1848" s="15" t="s">
        <v>181</v>
      </c>
      <c r="AH1848" s="16">
        <v>45880</v>
      </c>
      <c r="AI1848" s="16"/>
      <c r="AJ1848" s="16"/>
      <c r="AK1848" s="17" t="str">
        <f>IF(AJ1848="","",AJ1848-AH1848)</f>
        <v/>
      </c>
    </row>
    <row r="1849" spans="1:37">
      <c r="A1849" s="2" t="s">
        <v>2302</v>
      </c>
      <c r="B1849" s="2" t="s">
        <v>287</v>
      </c>
      <c r="C1849" s="2" t="s">
        <v>288</v>
      </c>
      <c r="D1849" s="2" t="s">
        <v>171</v>
      </c>
      <c r="E1849" s="2" t="s">
        <v>289</v>
      </c>
      <c r="F1849" s="2" t="s">
        <v>173</v>
      </c>
      <c r="G1849" s="2" t="s">
        <v>2287</v>
      </c>
      <c r="H1849" s="2" t="s">
        <v>748</v>
      </c>
      <c r="I1849" s="2" t="s">
        <v>175</v>
      </c>
      <c r="J1849" s="2" t="s">
        <v>176</v>
      </c>
      <c r="K1849" s="9">
        <v>45864</v>
      </c>
      <c r="L1849" s="9">
        <v>45872</v>
      </c>
      <c r="M1849" s="9">
        <v>45867</v>
      </c>
      <c r="N1849" s="2" t="s">
        <v>1986</v>
      </c>
      <c r="O1849" s="2" t="s">
        <v>55</v>
      </c>
      <c r="P1849" s="2" t="s">
        <v>139</v>
      </c>
      <c r="Q1849" s="2" t="s">
        <v>154</v>
      </c>
      <c r="R1849" s="2" t="s">
        <v>128</v>
      </c>
      <c r="S1849" s="2" t="s">
        <v>179</v>
      </c>
      <c r="T1849" s="10">
        <v>96.67</v>
      </c>
      <c r="U1849" s="11">
        <v>0.18099999999999999</v>
      </c>
      <c r="V1849" s="12">
        <f>T1849*U1849</f>
        <v>17.49727</v>
      </c>
      <c r="W1849" s="13">
        <v>0.17</v>
      </c>
      <c r="X1849" s="12">
        <f>V1849-(V1849/(1+W1849))</f>
        <v>2.5423383760683755</v>
      </c>
      <c r="Y1849" s="12">
        <f>V1849-X1849</f>
        <v>14.954931623931625</v>
      </c>
      <c r="Z1849" s="14">
        <v>35</v>
      </c>
      <c r="AA1849" s="2" t="str">
        <f>IF(V1849&gt;Z1849,"Yes","No")</f>
        <v>No</v>
      </c>
      <c r="AB1849" s="12">
        <f>V1849-Z1849</f>
        <v>-17.50273</v>
      </c>
      <c r="AC1849" s="15" t="s">
        <v>130</v>
      </c>
      <c r="AD1849" s="15" t="s">
        <v>130</v>
      </c>
      <c r="AE1849" s="15" t="s">
        <v>437</v>
      </c>
      <c r="AF1849" s="12">
        <f>IF(AG1849="Rejected",0,IF(R1849="Corporate Card",0,V1849))</f>
        <v>0</v>
      </c>
      <c r="AG1849" s="15" t="s">
        <v>181</v>
      </c>
      <c r="AH1849" s="16">
        <v>45880</v>
      </c>
      <c r="AI1849" s="16"/>
      <c r="AJ1849" s="16"/>
      <c r="AK1849" s="17" t="str">
        <f>IF(AJ1849="","",AJ1849-AH1849)</f>
        <v/>
      </c>
    </row>
    <row r="1850" spans="1:37">
      <c r="A1850" s="2" t="s">
        <v>2303</v>
      </c>
      <c r="B1850" s="2" t="s">
        <v>287</v>
      </c>
      <c r="C1850" s="2" t="s">
        <v>288</v>
      </c>
      <c r="D1850" s="2" t="s">
        <v>171</v>
      </c>
      <c r="E1850" s="2" t="s">
        <v>289</v>
      </c>
      <c r="F1850" s="2" t="s">
        <v>173</v>
      </c>
      <c r="G1850" s="2" t="s">
        <v>2287</v>
      </c>
      <c r="H1850" s="2" t="s">
        <v>748</v>
      </c>
      <c r="I1850" s="2" t="s">
        <v>175</v>
      </c>
      <c r="J1850" s="2" t="s">
        <v>176</v>
      </c>
      <c r="K1850" s="9">
        <v>45864</v>
      </c>
      <c r="L1850" s="9">
        <v>45872</v>
      </c>
      <c r="M1850" s="9">
        <v>45868</v>
      </c>
      <c r="N1850" s="2" t="s">
        <v>1986</v>
      </c>
      <c r="O1850" s="2" t="s">
        <v>54</v>
      </c>
      <c r="P1850" s="2" t="s">
        <v>139</v>
      </c>
      <c r="Q1850" s="2" t="s">
        <v>163</v>
      </c>
      <c r="R1850" s="2" t="s">
        <v>128</v>
      </c>
      <c r="S1850" s="2" t="s">
        <v>179</v>
      </c>
      <c r="T1850" s="10">
        <v>152.21</v>
      </c>
      <c r="U1850" s="11">
        <v>0.18099999999999999</v>
      </c>
      <c r="V1850" s="12">
        <f>T1850*U1850</f>
        <v>27.55001</v>
      </c>
      <c r="W1850" s="13">
        <v>0.17</v>
      </c>
      <c r="X1850" s="12">
        <f>V1850-(V1850/(1+W1850))</f>
        <v>4.0029929059829037</v>
      </c>
      <c r="Y1850" s="12">
        <f>V1850-X1850</f>
        <v>23.547017094017097</v>
      </c>
      <c r="Z1850" s="14">
        <v>25</v>
      </c>
      <c r="AA1850" s="2" t="str">
        <f>IF(V1850&gt;Z1850,"Yes","No")</f>
        <v>Yes</v>
      </c>
      <c r="AB1850" s="12">
        <f>V1850-Z1850</f>
        <v>2.5500100000000003</v>
      </c>
      <c r="AC1850" s="15" t="s">
        <v>130</v>
      </c>
      <c r="AD1850" s="15" t="s">
        <v>130</v>
      </c>
      <c r="AE1850" s="15" t="s">
        <v>437</v>
      </c>
      <c r="AF1850" s="12">
        <f>IF(AG1850="Rejected",0,IF(R1850="Corporate Card",0,V1850))</f>
        <v>0</v>
      </c>
      <c r="AG1850" s="15" t="s">
        <v>181</v>
      </c>
      <c r="AH1850" s="16">
        <v>45880</v>
      </c>
      <c r="AI1850" s="16"/>
      <c r="AJ1850" s="16"/>
      <c r="AK1850" s="17" t="str">
        <f>IF(AJ1850="","",AJ1850-AH1850)</f>
        <v/>
      </c>
    </row>
    <row r="1851" spans="1:37">
      <c r="A1851" s="2" t="s">
        <v>2304</v>
      </c>
      <c r="B1851" s="2" t="s">
        <v>287</v>
      </c>
      <c r="C1851" s="2" t="s">
        <v>288</v>
      </c>
      <c r="D1851" s="2" t="s">
        <v>171</v>
      </c>
      <c r="E1851" s="2" t="s">
        <v>289</v>
      </c>
      <c r="F1851" s="2" t="s">
        <v>173</v>
      </c>
      <c r="G1851" s="2" t="s">
        <v>2287</v>
      </c>
      <c r="H1851" s="2" t="s">
        <v>748</v>
      </c>
      <c r="I1851" s="2" t="s">
        <v>175</v>
      </c>
      <c r="J1851" s="2" t="s">
        <v>176</v>
      </c>
      <c r="K1851" s="9">
        <v>45864</v>
      </c>
      <c r="L1851" s="9">
        <v>45872</v>
      </c>
      <c r="M1851" s="9">
        <v>45868</v>
      </c>
      <c r="N1851" s="2" t="s">
        <v>1986</v>
      </c>
      <c r="O1851" s="2" t="s">
        <v>56</v>
      </c>
      <c r="P1851" s="2" t="s">
        <v>231</v>
      </c>
      <c r="Q1851" s="2" t="s">
        <v>159</v>
      </c>
      <c r="R1851" s="2" t="s">
        <v>128</v>
      </c>
      <c r="S1851" s="2" t="s">
        <v>179</v>
      </c>
      <c r="T1851" s="10">
        <v>200.4</v>
      </c>
      <c r="U1851" s="11">
        <v>0.18099999999999999</v>
      </c>
      <c r="V1851" s="12">
        <f>T1851*U1851</f>
        <v>36.272399999999998</v>
      </c>
      <c r="W1851" s="13">
        <v>0.17</v>
      </c>
      <c r="X1851" s="12">
        <f>V1851-(V1851/(1+W1851))</f>
        <v>5.2703487179487141</v>
      </c>
      <c r="Y1851" s="12">
        <f>V1851-X1851</f>
        <v>31.002051282051283</v>
      </c>
      <c r="Z1851" s="14">
        <v>75</v>
      </c>
      <c r="AA1851" s="2" t="str">
        <f>IF(V1851&gt;Z1851,"Yes","No")</f>
        <v>No</v>
      </c>
      <c r="AB1851" s="12">
        <f>V1851-Z1851</f>
        <v>-38.727600000000002</v>
      </c>
      <c r="AC1851" s="15" t="s">
        <v>130</v>
      </c>
      <c r="AD1851" s="15" t="s">
        <v>130</v>
      </c>
      <c r="AE1851" s="15" t="s">
        <v>437</v>
      </c>
      <c r="AF1851" s="12">
        <f>IF(AG1851="Rejected",0,IF(R1851="Corporate Card",0,V1851))</f>
        <v>0</v>
      </c>
      <c r="AG1851" s="15" t="s">
        <v>181</v>
      </c>
      <c r="AH1851" s="16">
        <v>45880</v>
      </c>
      <c r="AI1851" s="16"/>
      <c r="AJ1851" s="16"/>
      <c r="AK1851" s="17" t="str">
        <f>IF(AJ1851="","",AJ1851-AH1851)</f>
        <v/>
      </c>
    </row>
    <row r="1852" spans="1:37">
      <c r="A1852" s="2" t="s">
        <v>2305</v>
      </c>
      <c r="B1852" s="2" t="s">
        <v>287</v>
      </c>
      <c r="C1852" s="2" t="s">
        <v>288</v>
      </c>
      <c r="D1852" s="2" t="s">
        <v>171</v>
      </c>
      <c r="E1852" s="2" t="s">
        <v>289</v>
      </c>
      <c r="F1852" s="2" t="s">
        <v>173</v>
      </c>
      <c r="G1852" s="2" t="s">
        <v>2287</v>
      </c>
      <c r="H1852" s="2" t="s">
        <v>748</v>
      </c>
      <c r="I1852" s="2" t="s">
        <v>175</v>
      </c>
      <c r="J1852" s="2" t="s">
        <v>176</v>
      </c>
      <c r="K1852" s="9">
        <v>45864</v>
      </c>
      <c r="L1852" s="9">
        <v>45872</v>
      </c>
      <c r="M1852" s="9">
        <v>45868</v>
      </c>
      <c r="N1852" s="2" t="s">
        <v>1986</v>
      </c>
      <c r="O1852" s="2" t="s">
        <v>55</v>
      </c>
      <c r="P1852" s="2" t="s">
        <v>139</v>
      </c>
      <c r="Q1852" s="2" t="s">
        <v>161</v>
      </c>
      <c r="R1852" s="2" t="s">
        <v>137</v>
      </c>
      <c r="S1852" s="2" t="s">
        <v>179</v>
      </c>
      <c r="T1852" s="10">
        <v>69.42</v>
      </c>
      <c r="U1852" s="11">
        <v>0.18099999999999999</v>
      </c>
      <c r="V1852" s="12">
        <f>T1852*U1852</f>
        <v>12.565020000000001</v>
      </c>
      <c r="W1852" s="13">
        <v>0.17</v>
      </c>
      <c r="X1852" s="12">
        <f>V1852-(V1852/(1+W1852))</f>
        <v>1.825686666666666</v>
      </c>
      <c r="Y1852" s="12">
        <f>V1852-X1852</f>
        <v>10.739333333333335</v>
      </c>
      <c r="Z1852" s="14">
        <v>35</v>
      </c>
      <c r="AA1852" s="2" t="str">
        <f>IF(V1852&gt;Z1852,"Yes","No")</f>
        <v>No</v>
      </c>
      <c r="AB1852" s="12">
        <f>V1852-Z1852</f>
        <v>-22.434979999999999</v>
      </c>
      <c r="AC1852" s="15" t="s">
        <v>130</v>
      </c>
      <c r="AD1852" s="15" t="s">
        <v>130</v>
      </c>
      <c r="AE1852" s="15" t="s">
        <v>437</v>
      </c>
      <c r="AF1852" s="12">
        <f>IF(AG1852="Rejected",0,IF(R1852="Corporate Card",0,V1852))</f>
        <v>12.565020000000001</v>
      </c>
      <c r="AG1852" s="15" t="s">
        <v>181</v>
      </c>
      <c r="AH1852" s="16">
        <v>45880</v>
      </c>
      <c r="AI1852" s="16"/>
      <c r="AJ1852" s="16"/>
      <c r="AK1852" s="17" t="str">
        <f>IF(AJ1852="","",AJ1852-AH1852)</f>
        <v/>
      </c>
    </row>
    <row r="1853" spans="1:37">
      <c r="A1853" s="2" t="s">
        <v>2306</v>
      </c>
      <c r="B1853" s="2" t="s">
        <v>287</v>
      </c>
      <c r="C1853" s="2" t="s">
        <v>288</v>
      </c>
      <c r="D1853" s="2" t="s">
        <v>171</v>
      </c>
      <c r="E1853" s="2" t="s">
        <v>289</v>
      </c>
      <c r="F1853" s="2" t="s">
        <v>173</v>
      </c>
      <c r="G1853" s="2" t="s">
        <v>2287</v>
      </c>
      <c r="H1853" s="2" t="s">
        <v>748</v>
      </c>
      <c r="I1853" s="2" t="s">
        <v>175</v>
      </c>
      <c r="J1853" s="2" t="s">
        <v>176</v>
      </c>
      <c r="K1853" s="9">
        <v>45864</v>
      </c>
      <c r="L1853" s="9">
        <v>45872</v>
      </c>
      <c r="M1853" s="9">
        <v>45869</v>
      </c>
      <c r="N1853" s="2" t="s">
        <v>1986</v>
      </c>
      <c r="O1853" s="2" t="s">
        <v>56</v>
      </c>
      <c r="P1853" s="2" t="s">
        <v>151</v>
      </c>
      <c r="Q1853" s="2" t="s">
        <v>185</v>
      </c>
      <c r="R1853" s="2" t="s">
        <v>149</v>
      </c>
      <c r="S1853" s="2" t="s">
        <v>179</v>
      </c>
      <c r="T1853" s="10">
        <v>341.54</v>
      </c>
      <c r="U1853" s="11">
        <v>0.18099999999999999</v>
      </c>
      <c r="V1853" s="12">
        <f>T1853*U1853</f>
        <v>61.818739999999998</v>
      </c>
      <c r="W1853" s="13">
        <v>0.17</v>
      </c>
      <c r="X1853" s="12">
        <f>V1853-(V1853/(1+W1853))</f>
        <v>8.9822100854700793</v>
      </c>
      <c r="Y1853" s="12">
        <f>V1853-X1853</f>
        <v>52.836529914529919</v>
      </c>
      <c r="Z1853" s="14">
        <v>75</v>
      </c>
      <c r="AA1853" s="2" t="str">
        <f>IF(V1853&gt;Z1853,"Yes","No")</f>
        <v>No</v>
      </c>
      <c r="AB1853" s="12">
        <f>V1853-Z1853</f>
        <v>-13.181260000000002</v>
      </c>
      <c r="AC1853" s="15" t="s">
        <v>130</v>
      </c>
      <c r="AD1853" s="15" t="s">
        <v>130</v>
      </c>
      <c r="AE1853" s="15" t="s">
        <v>437</v>
      </c>
      <c r="AF1853" s="12">
        <f>IF(AG1853="Rejected",0,IF(R1853="Corporate Card",0,V1853))</f>
        <v>61.818739999999998</v>
      </c>
      <c r="AG1853" s="15" t="s">
        <v>181</v>
      </c>
      <c r="AH1853" s="16">
        <v>45880</v>
      </c>
      <c r="AI1853" s="16"/>
      <c r="AJ1853" s="16"/>
      <c r="AK1853" s="17" t="str">
        <f>IF(AJ1853="","",AJ1853-AH1853)</f>
        <v/>
      </c>
    </row>
    <row r="1854" spans="1:37">
      <c r="A1854" s="2" t="s">
        <v>2307</v>
      </c>
      <c r="B1854" s="2" t="s">
        <v>442</v>
      </c>
      <c r="C1854" s="2" t="s">
        <v>443</v>
      </c>
      <c r="D1854" s="2" t="s">
        <v>444</v>
      </c>
      <c r="E1854" s="2" t="s">
        <v>445</v>
      </c>
      <c r="F1854" s="2" t="s">
        <v>446</v>
      </c>
      <c r="G1854" s="2" t="s">
        <v>2308</v>
      </c>
      <c r="H1854" s="2" t="s">
        <v>291</v>
      </c>
      <c r="I1854" s="2" t="s">
        <v>1038</v>
      </c>
      <c r="J1854" s="2" t="s">
        <v>381</v>
      </c>
      <c r="K1854" s="9">
        <v>45869</v>
      </c>
      <c r="L1854" s="9">
        <v>45870</v>
      </c>
      <c r="M1854" s="9">
        <v>45869</v>
      </c>
      <c r="N1854" s="2" t="s">
        <v>1986</v>
      </c>
      <c r="O1854" s="2" t="s">
        <v>52</v>
      </c>
      <c r="P1854" s="2" t="s">
        <v>1039</v>
      </c>
      <c r="Q1854" s="2" t="s">
        <v>349</v>
      </c>
      <c r="R1854" s="2" t="s">
        <v>149</v>
      </c>
      <c r="S1854" s="2" t="s">
        <v>383</v>
      </c>
      <c r="T1854" s="10">
        <v>1182.79</v>
      </c>
      <c r="U1854" s="11">
        <v>1</v>
      </c>
      <c r="V1854" s="12">
        <f>T1854*U1854</f>
        <v>1182.79</v>
      </c>
      <c r="W1854" s="13">
        <v>0</v>
      </c>
      <c r="X1854" s="12">
        <f>V1854-(V1854/(1+W1854))</f>
        <v>0</v>
      </c>
      <c r="Y1854" s="12">
        <f>V1854-X1854</f>
        <v>1182.79</v>
      </c>
      <c r="Z1854" s="14">
        <v>1400</v>
      </c>
      <c r="AA1854" s="2" t="str">
        <f>IF(V1854&gt;Z1854,"Yes","No")</f>
        <v>No</v>
      </c>
      <c r="AB1854" s="12">
        <f>V1854-Z1854</f>
        <v>-217.21000000000004</v>
      </c>
      <c r="AC1854" s="15" t="s">
        <v>130</v>
      </c>
      <c r="AD1854" s="15" t="s">
        <v>131</v>
      </c>
      <c r="AE1854" s="15" t="s">
        <v>437</v>
      </c>
      <c r="AF1854" s="12">
        <f>IF(AG1854="Rejected",0,IF(R1854="Corporate Card",0,V1854))</f>
        <v>1182.79</v>
      </c>
      <c r="AG1854" s="15" t="s">
        <v>133</v>
      </c>
      <c r="AH1854" s="16">
        <v>45879</v>
      </c>
      <c r="AI1854" s="16">
        <v>45888</v>
      </c>
      <c r="AJ1854" s="16">
        <v>45897</v>
      </c>
      <c r="AK1854" s="17">
        <f>IF(AJ1854="","",AJ1854-AH1854)</f>
        <v>18</v>
      </c>
    </row>
    <row r="1855" spans="1:37">
      <c r="A1855" s="2" t="s">
        <v>2309</v>
      </c>
      <c r="B1855" s="2" t="s">
        <v>442</v>
      </c>
      <c r="C1855" s="2" t="s">
        <v>443</v>
      </c>
      <c r="D1855" s="2" t="s">
        <v>444</v>
      </c>
      <c r="E1855" s="2" t="s">
        <v>445</v>
      </c>
      <c r="F1855" s="2" t="s">
        <v>446</v>
      </c>
      <c r="G1855" s="2" t="s">
        <v>2308</v>
      </c>
      <c r="H1855" s="2" t="s">
        <v>291</v>
      </c>
      <c r="I1855" s="2" t="s">
        <v>1038</v>
      </c>
      <c r="J1855" s="2" t="s">
        <v>381</v>
      </c>
      <c r="K1855" s="9">
        <v>45869</v>
      </c>
      <c r="L1855" s="9">
        <v>45870</v>
      </c>
      <c r="M1855" s="9">
        <v>45869</v>
      </c>
      <c r="N1855" s="2" t="s">
        <v>1986</v>
      </c>
      <c r="O1855" s="2" t="s">
        <v>64</v>
      </c>
      <c r="P1855" s="2" t="s">
        <v>135</v>
      </c>
      <c r="Q1855" s="2" t="s">
        <v>127</v>
      </c>
      <c r="R1855" s="2" t="s">
        <v>137</v>
      </c>
      <c r="S1855" s="2" t="s">
        <v>383</v>
      </c>
      <c r="T1855" s="10">
        <v>89.39</v>
      </c>
      <c r="U1855" s="11">
        <v>1</v>
      </c>
      <c r="V1855" s="12">
        <f>T1855*U1855</f>
        <v>89.39</v>
      </c>
      <c r="W1855" s="13">
        <v>0</v>
      </c>
      <c r="X1855" s="12">
        <f>V1855-(V1855/(1+W1855))</f>
        <v>0</v>
      </c>
      <c r="Y1855" s="12">
        <f>V1855-X1855</f>
        <v>89.39</v>
      </c>
      <c r="Z1855" s="14">
        <v>120</v>
      </c>
      <c r="AA1855" s="2" t="str">
        <f>IF(V1855&gt;Z1855,"Yes","No")</f>
        <v>No</v>
      </c>
      <c r="AB1855" s="12">
        <f>V1855-Z1855</f>
        <v>-30.61</v>
      </c>
      <c r="AC1855" s="15" t="s">
        <v>131</v>
      </c>
      <c r="AD1855" s="15" t="s">
        <v>131</v>
      </c>
      <c r="AE1855" s="15" t="s">
        <v>437</v>
      </c>
      <c r="AF1855" s="12">
        <f>IF(AG1855="Rejected",0,IF(R1855="Corporate Card",0,V1855))</f>
        <v>89.39</v>
      </c>
      <c r="AG1855" s="15" t="s">
        <v>133</v>
      </c>
      <c r="AH1855" s="16">
        <v>45879</v>
      </c>
      <c r="AI1855" s="16">
        <v>45888</v>
      </c>
      <c r="AJ1855" s="16">
        <v>45897</v>
      </c>
      <c r="AK1855" s="17">
        <f>IF(AJ1855="","",AJ1855-AH1855)</f>
        <v>18</v>
      </c>
    </row>
    <row r="1856" spans="1:37">
      <c r="A1856" s="2" t="s">
        <v>2310</v>
      </c>
      <c r="B1856" s="2" t="s">
        <v>442</v>
      </c>
      <c r="C1856" s="2" t="s">
        <v>443</v>
      </c>
      <c r="D1856" s="2" t="s">
        <v>444</v>
      </c>
      <c r="E1856" s="2" t="s">
        <v>445</v>
      </c>
      <c r="F1856" s="2" t="s">
        <v>446</v>
      </c>
      <c r="G1856" s="2" t="s">
        <v>2308</v>
      </c>
      <c r="H1856" s="2" t="s">
        <v>291</v>
      </c>
      <c r="I1856" s="2" t="s">
        <v>1038</v>
      </c>
      <c r="J1856" s="2" t="s">
        <v>381</v>
      </c>
      <c r="K1856" s="9">
        <v>45869</v>
      </c>
      <c r="L1856" s="9">
        <v>45870</v>
      </c>
      <c r="M1856" s="9">
        <v>45869</v>
      </c>
      <c r="N1856" s="2" t="s">
        <v>1986</v>
      </c>
      <c r="O1856" s="2" t="s">
        <v>58</v>
      </c>
      <c r="P1856" s="2" t="s">
        <v>142</v>
      </c>
      <c r="Q1856" s="2" t="s">
        <v>224</v>
      </c>
      <c r="R1856" s="2" t="s">
        <v>128</v>
      </c>
      <c r="S1856" s="2" t="s">
        <v>383</v>
      </c>
      <c r="T1856" s="10">
        <v>27.89</v>
      </c>
      <c r="U1856" s="11">
        <v>1</v>
      </c>
      <c r="V1856" s="12">
        <f>T1856*U1856</f>
        <v>27.89</v>
      </c>
      <c r="W1856" s="13">
        <v>0</v>
      </c>
      <c r="X1856" s="12">
        <f>V1856-(V1856/(1+W1856))</f>
        <v>0</v>
      </c>
      <c r="Y1856" s="12">
        <f>V1856-X1856</f>
        <v>27.89</v>
      </c>
      <c r="Z1856" s="14">
        <v>60</v>
      </c>
      <c r="AA1856" s="2" t="str">
        <f>IF(V1856&gt;Z1856,"Yes","No")</f>
        <v>No</v>
      </c>
      <c r="AB1856" s="12">
        <f>V1856-Z1856</f>
        <v>-32.11</v>
      </c>
      <c r="AC1856" s="15" t="s">
        <v>130</v>
      </c>
      <c r="AD1856" s="15" t="s">
        <v>131</v>
      </c>
      <c r="AE1856" s="15" t="s">
        <v>437</v>
      </c>
      <c r="AF1856" s="12">
        <f>IF(AG1856="Rejected",0,IF(R1856="Corporate Card",0,V1856))</f>
        <v>0</v>
      </c>
      <c r="AG1856" s="15" t="s">
        <v>133</v>
      </c>
      <c r="AH1856" s="16">
        <v>45879</v>
      </c>
      <c r="AI1856" s="16">
        <v>45888</v>
      </c>
      <c r="AJ1856" s="16">
        <v>45897</v>
      </c>
      <c r="AK1856" s="17">
        <f>IF(AJ1856="","",AJ1856-AH1856)</f>
        <v>18</v>
      </c>
    </row>
    <row r="1857" spans="1:37">
      <c r="A1857" s="2" t="s">
        <v>2311</v>
      </c>
      <c r="B1857" s="2" t="s">
        <v>442</v>
      </c>
      <c r="C1857" s="2" t="s">
        <v>443</v>
      </c>
      <c r="D1857" s="2" t="s">
        <v>444</v>
      </c>
      <c r="E1857" s="2" t="s">
        <v>445</v>
      </c>
      <c r="F1857" s="2" t="s">
        <v>446</v>
      </c>
      <c r="G1857" s="2" t="s">
        <v>2308</v>
      </c>
      <c r="H1857" s="2" t="s">
        <v>291</v>
      </c>
      <c r="I1857" s="2" t="s">
        <v>1038</v>
      </c>
      <c r="J1857" s="2" t="s">
        <v>381</v>
      </c>
      <c r="K1857" s="9">
        <v>45869</v>
      </c>
      <c r="L1857" s="9">
        <v>45870</v>
      </c>
      <c r="M1857" s="9">
        <v>45869</v>
      </c>
      <c r="N1857" s="2" t="s">
        <v>1986</v>
      </c>
      <c r="O1857" s="2" t="s">
        <v>54</v>
      </c>
      <c r="P1857" s="2" t="s">
        <v>139</v>
      </c>
      <c r="Q1857" s="2" t="s">
        <v>148</v>
      </c>
      <c r="R1857" s="2" t="s">
        <v>137</v>
      </c>
      <c r="S1857" s="2" t="s">
        <v>383</v>
      </c>
      <c r="T1857" s="10">
        <v>38.380000000000003</v>
      </c>
      <c r="U1857" s="11">
        <v>1</v>
      </c>
      <c r="V1857" s="12">
        <f>T1857*U1857</f>
        <v>38.380000000000003</v>
      </c>
      <c r="W1857" s="13">
        <v>0</v>
      </c>
      <c r="X1857" s="12">
        <f>V1857-(V1857/(1+W1857))</f>
        <v>0</v>
      </c>
      <c r="Y1857" s="12">
        <f>V1857-X1857</f>
        <v>38.380000000000003</v>
      </c>
      <c r="Z1857" s="14">
        <v>25</v>
      </c>
      <c r="AA1857" s="2" t="str">
        <f>IF(V1857&gt;Z1857,"Yes","No")</f>
        <v>Yes</v>
      </c>
      <c r="AB1857" s="12">
        <f>V1857-Z1857</f>
        <v>13.380000000000003</v>
      </c>
      <c r="AC1857" s="15" t="s">
        <v>130</v>
      </c>
      <c r="AD1857" s="15" t="s">
        <v>131</v>
      </c>
      <c r="AE1857" s="15" t="s">
        <v>437</v>
      </c>
      <c r="AF1857" s="12">
        <f>IF(AG1857="Rejected",0,IF(R1857="Corporate Card",0,V1857))</f>
        <v>38.380000000000003</v>
      </c>
      <c r="AG1857" s="15" t="s">
        <v>133</v>
      </c>
      <c r="AH1857" s="16">
        <v>45879</v>
      </c>
      <c r="AI1857" s="16">
        <v>45888</v>
      </c>
      <c r="AJ1857" s="16">
        <v>45897</v>
      </c>
      <c r="AK1857" s="17">
        <f>IF(AJ1857="","",AJ1857-AH1857)</f>
        <v>18</v>
      </c>
    </row>
    <row r="1858" spans="1:37">
      <c r="A1858" s="2" t="s">
        <v>2312</v>
      </c>
      <c r="B1858" s="2" t="s">
        <v>882</v>
      </c>
      <c r="C1858" s="2" t="s">
        <v>446</v>
      </c>
      <c r="D1858" s="2" t="s">
        <v>444</v>
      </c>
      <c r="E1858" s="2" t="s">
        <v>883</v>
      </c>
      <c r="F1858" s="2" t="s">
        <v>313</v>
      </c>
      <c r="G1858" s="2" t="s">
        <v>2313</v>
      </c>
      <c r="H1858" s="2" t="s">
        <v>448</v>
      </c>
      <c r="I1858" s="2" t="s">
        <v>194</v>
      </c>
      <c r="J1858" s="2" t="s">
        <v>195</v>
      </c>
      <c r="K1858" s="9">
        <v>45870</v>
      </c>
      <c r="L1858" s="9">
        <v>45874</v>
      </c>
      <c r="M1858" s="9">
        <v>45870</v>
      </c>
      <c r="N1858" s="2" t="s">
        <v>2314</v>
      </c>
      <c r="O1858" s="2" t="s">
        <v>52</v>
      </c>
      <c r="P1858" s="2" t="s">
        <v>196</v>
      </c>
      <c r="Q1858" s="2" t="s">
        <v>420</v>
      </c>
      <c r="R1858" s="2" t="s">
        <v>137</v>
      </c>
      <c r="S1858" s="2" t="s">
        <v>198</v>
      </c>
      <c r="T1858" s="10">
        <v>1866.19</v>
      </c>
      <c r="U1858" s="11">
        <v>1.085</v>
      </c>
      <c r="V1858" s="12">
        <f>T1858*U1858</f>
        <v>2024.8161499999999</v>
      </c>
      <c r="W1858" s="13">
        <v>0</v>
      </c>
      <c r="X1858" s="12">
        <f>V1858-(V1858/(1+W1858))</f>
        <v>0</v>
      </c>
      <c r="Y1858" s="12">
        <f>V1858-X1858</f>
        <v>2024.8161499999999</v>
      </c>
      <c r="Z1858" s="14">
        <v>1400</v>
      </c>
      <c r="AA1858" s="2" t="str">
        <f>IF(V1858&gt;Z1858,"Yes","No")</f>
        <v>Yes</v>
      </c>
      <c r="AB1858" s="12">
        <f>V1858-Z1858</f>
        <v>624.81614999999988</v>
      </c>
      <c r="AC1858" s="15" t="s">
        <v>130</v>
      </c>
      <c r="AD1858" s="15" t="s">
        <v>131</v>
      </c>
      <c r="AE1858" s="15" t="s">
        <v>350</v>
      </c>
      <c r="AF1858" s="12">
        <f>IF(AG1858="Rejected",0,IF(R1858="Corporate Card",0,V1858))</f>
        <v>2024.8161499999999</v>
      </c>
      <c r="AG1858" s="15" t="s">
        <v>133</v>
      </c>
      <c r="AH1858" s="16">
        <v>45882</v>
      </c>
      <c r="AI1858" s="16">
        <v>45888</v>
      </c>
      <c r="AJ1858" s="16">
        <v>45896</v>
      </c>
      <c r="AK1858" s="17">
        <f>IF(AJ1858="","",AJ1858-AH1858)</f>
        <v>14</v>
      </c>
    </row>
    <row r="1859" spans="1:37">
      <c r="A1859" s="2" t="s">
        <v>2315</v>
      </c>
      <c r="B1859" s="2" t="s">
        <v>882</v>
      </c>
      <c r="C1859" s="2" t="s">
        <v>446</v>
      </c>
      <c r="D1859" s="2" t="s">
        <v>444</v>
      </c>
      <c r="E1859" s="2" t="s">
        <v>883</v>
      </c>
      <c r="F1859" s="2" t="s">
        <v>313</v>
      </c>
      <c r="G1859" s="2" t="s">
        <v>2313</v>
      </c>
      <c r="H1859" s="2" t="s">
        <v>448</v>
      </c>
      <c r="I1859" s="2" t="s">
        <v>194</v>
      </c>
      <c r="J1859" s="2" t="s">
        <v>195</v>
      </c>
      <c r="K1859" s="9">
        <v>45870</v>
      </c>
      <c r="L1859" s="9">
        <v>45874</v>
      </c>
      <c r="M1859" s="9">
        <v>45870</v>
      </c>
      <c r="N1859" s="2" t="s">
        <v>2314</v>
      </c>
      <c r="O1859" s="2" t="s">
        <v>54</v>
      </c>
      <c r="P1859" s="2" t="s">
        <v>139</v>
      </c>
      <c r="Q1859" s="2" t="s">
        <v>214</v>
      </c>
      <c r="R1859" s="2" t="s">
        <v>137</v>
      </c>
      <c r="S1859" s="2" t="s">
        <v>198</v>
      </c>
      <c r="T1859" s="10">
        <v>18.02</v>
      </c>
      <c r="U1859" s="11">
        <v>1.085</v>
      </c>
      <c r="V1859" s="12">
        <f>T1859*U1859</f>
        <v>19.5517</v>
      </c>
      <c r="W1859" s="13">
        <v>0.19</v>
      </c>
      <c r="X1859" s="12">
        <f>V1859-(V1859/(1+W1859))</f>
        <v>3.1217000000000006</v>
      </c>
      <c r="Y1859" s="12">
        <f>V1859-X1859</f>
        <v>16.43</v>
      </c>
      <c r="Z1859" s="14">
        <v>25</v>
      </c>
      <c r="AA1859" s="2" t="str">
        <f>IF(V1859&gt;Z1859,"Yes","No")</f>
        <v>No</v>
      </c>
      <c r="AB1859" s="12">
        <f>V1859-Z1859</f>
        <v>-5.4482999999999997</v>
      </c>
      <c r="AC1859" s="15" t="s">
        <v>130</v>
      </c>
      <c r="AD1859" s="15" t="s">
        <v>131</v>
      </c>
      <c r="AE1859" s="15" t="s">
        <v>350</v>
      </c>
      <c r="AF1859" s="12">
        <f>IF(AG1859="Rejected",0,IF(R1859="Corporate Card",0,V1859))</f>
        <v>19.5517</v>
      </c>
      <c r="AG1859" s="15" t="s">
        <v>133</v>
      </c>
      <c r="AH1859" s="16">
        <v>45882</v>
      </c>
      <c r="AI1859" s="16">
        <v>45888</v>
      </c>
      <c r="AJ1859" s="16">
        <v>45896</v>
      </c>
      <c r="AK1859" s="17">
        <f>IF(AJ1859="","",AJ1859-AH1859)</f>
        <v>14</v>
      </c>
    </row>
    <row r="1860" spans="1:37">
      <c r="A1860" s="2" t="s">
        <v>2316</v>
      </c>
      <c r="B1860" s="2" t="s">
        <v>882</v>
      </c>
      <c r="C1860" s="2" t="s">
        <v>446</v>
      </c>
      <c r="D1860" s="2" t="s">
        <v>444</v>
      </c>
      <c r="E1860" s="2" t="s">
        <v>883</v>
      </c>
      <c r="F1860" s="2" t="s">
        <v>313</v>
      </c>
      <c r="G1860" s="2" t="s">
        <v>2313</v>
      </c>
      <c r="H1860" s="2" t="s">
        <v>448</v>
      </c>
      <c r="I1860" s="2" t="s">
        <v>194</v>
      </c>
      <c r="J1860" s="2" t="s">
        <v>195</v>
      </c>
      <c r="K1860" s="9">
        <v>45870</v>
      </c>
      <c r="L1860" s="9">
        <v>45874</v>
      </c>
      <c r="M1860" s="9">
        <v>45870</v>
      </c>
      <c r="N1860" s="2" t="s">
        <v>2314</v>
      </c>
      <c r="O1860" s="2" t="s">
        <v>56</v>
      </c>
      <c r="P1860" s="2" t="s">
        <v>165</v>
      </c>
      <c r="Q1860" s="2" t="s">
        <v>227</v>
      </c>
      <c r="R1860" s="2" t="s">
        <v>128</v>
      </c>
      <c r="S1860" s="2" t="s">
        <v>198</v>
      </c>
      <c r="T1860" s="10">
        <v>66.92</v>
      </c>
      <c r="U1860" s="11">
        <v>1.085</v>
      </c>
      <c r="V1860" s="12">
        <f>T1860*U1860</f>
        <v>72.608199999999997</v>
      </c>
      <c r="W1860" s="13">
        <v>0.19</v>
      </c>
      <c r="X1860" s="12">
        <f>V1860-(V1860/(1+W1860))</f>
        <v>11.592905882352937</v>
      </c>
      <c r="Y1860" s="12">
        <f>V1860-X1860</f>
        <v>61.015294117647059</v>
      </c>
      <c r="Z1860" s="14">
        <v>75</v>
      </c>
      <c r="AA1860" s="2" t="str">
        <f>IF(V1860&gt;Z1860,"Yes","No")</f>
        <v>No</v>
      </c>
      <c r="AB1860" s="12">
        <f>V1860-Z1860</f>
        <v>-2.3918000000000035</v>
      </c>
      <c r="AC1860" s="15" t="s">
        <v>130</v>
      </c>
      <c r="AD1860" s="15" t="s">
        <v>131</v>
      </c>
      <c r="AE1860" s="15" t="s">
        <v>350</v>
      </c>
      <c r="AF1860" s="12">
        <f>IF(AG1860="Rejected",0,IF(R1860="Corporate Card",0,V1860))</f>
        <v>0</v>
      </c>
      <c r="AG1860" s="15" t="s">
        <v>133</v>
      </c>
      <c r="AH1860" s="16">
        <v>45882</v>
      </c>
      <c r="AI1860" s="16">
        <v>45888</v>
      </c>
      <c r="AJ1860" s="16">
        <v>45896</v>
      </c>
      <c r="AK1860" s="17">
        <f>IF(AJ1860="","",AJ1860-AH1860)</f>
        <v>14</v>
      </c>
    </row>
    <row r="1861" spans="1:37">
      <c r="A1861" s="2" t="s">
        <v>2317</v>
      </c>
      <c r="B1861" s="2" t="s">
        <v>882</v>
      </c>
      <c r="C1861" s="2" t="s">
        <v>446</v>
      </c>
      <c r="D1861" s="2" t="s">
        <v>444</v>
      </c>
      <c r="E1861" s="2" t="s">
        <v>883</v>
      </c>
      <c r="F1861" s="2" t="s">
        <v>313</v>
      </c>
      <c r="G1861" s="2" t="s">
        <v>2313</v>
      </c>
      <c r="H1861" s="2" t="s">
        <v>448</v>
      </c>
      <c r="I1861" s="2" t="s">
        <v>194</v>
      </c>
      <c r="J1861" s="2" t="s">
        <v>195</v>
      </c>
      <c r="K1861" s="9">
        <v>45870</v>
      </c>
      <c r="L1861" s="9">
        <v>45874</v>
      </c>
      <c r="M1861" s="9">
        <v>45870</v>
      </c>
      <c r="N1861" s="2" t="s">
        <v>2314</v>
      </c>
      <c r="O1861" s="2" t="s">
        <v>55</v>
      </c>
      <c r="P1861" s="2" t="s">
        <v>139</v>
      </c>
      <c r="Q1861" s="2" t="s">
        <v>187</v>
      </c>
      <c r="R1861" s="2" t="s">
        <v>128</v>
      </c>
      <c r="S1861" s="2" t="s">
        <v>198</v>
      </c>
      <c r="T1861" s="10">
        <v>27.59</v>
      </c>
      <c r="U1861" s="11">
        <v>1.085</v>
      </c>
      <c r="V1861" s="12">
        <f>T1861*U1861</f>
        <v>29.93515</v>
      </c>
      <c r="W1861" s="13">
        <v>0.19</v>
      </c>
      <c r="X1861" s="12">
        <f>V1861-(V1861/(1+W1861))</f>
        <v>4.7795617647058819</v>
      </c>
      <c r="Y1861" s="12">
        <f>V1861-X1861</f>
        <v>25.155588235294118</v>
      </c>
      <c r="Z1861" s="14">
        <v>35</v>
      </c>
      <c r="AA1861" s="2" t="str">
        <f>IF(V1861&gt;Z1861,"Yes","No")</f>
        <v>No</v>
      </c>
      <c r="AB1861" s="12">
        <f>V1861-Z1861</f>
        <v>-5.0648499999999999</v>
      </c>
      <c r="AC1861" s="15" t="s">
        <v>130</v>
      </c>
      <c r="AD1861" s="15" t="s">
        <v>131</v>
      </c>
      <c r="AE1861" s="15" t="s">
        <v>350</v>
      </c>
      <c r="AF1861" s="12">
        <f>IF(AG1861="Rejected",0,IF(R1861="Corporate Card",0,V1861))</f>
        <v>0</v>
      </c>
      <c r="AG1861" s="15" t="s">
        <v>133</v>
      </c>
      <c r="AH1861" s="16">
        <v>45882</v>
      </c>
      <c r="AI1861" s="16">
        <v>45888</v>
      </c>
      <c r="AJ1861" s="16">
        <v>45896</v>
      </c>
      <c r="AK1861" s="17">
        <f>IF(AJ1861="","",AJ1861-AH1861)</f>
        <v>14</v>
      </c>
    </row>
    <row r="1862" spans="1:37">
      <c r="A1862" s="2" t="s">
        <v>2318</v>
      </c>
      <c r="B1862" s="2" t="s">
        <v>882</v>
      </c>
      <c r="C1862" s="2" t="s">
        <v>446</v>
      </c>
      <c r="D1862" s="2" t="s">
        <v>444</v>
      </c>
      <c r="E1862" s="2" t="s">
        <v>883</v>
      </c>
      <c r="F1862" s="2" t="s">
        <v>313</v>
      </c>
      <c r="G1862" s="2" t="s">
        <v>2313</v>
      </c>
      <c r="H1862" s="2" t="s">
        <v>448</v>
      </c>
      <c r="I1862" s="2" t="s">
        <v>194</v>
      </c>
      <c r="J1862" s="2" t="s">
        <v>195</v>
      </c>
      <c r="K1862" s="9">
        <v>45870</v>
      </c>
      <c r="L1862" s="9">
        <v>45874</v>
      </c>
      <c r="M1862" s="9">
        <v>45870</v>
      </c>
      <c r="N1862" s="2" t="s">
        <v>2314</v>
      </c>
      <c r="O1862" s="2" t="s">
        <v>66</v>
      </c>
      <c r="P1862" s="2" t="s">
        <v>489</v>
      </c>
      <c r="Q1862" s="2" t="s">
        <v>490</v>
      </c>
      <c r="R1862" s="2" t="s">
        <v>128</v>
      </c>
      <c r="S1862" s="2" t="s">
        <v>198</v>
      </c>
      <c r="T1862" s="10">
        <v>111.61</v>
      </c>
      <c r="U1862" s="11">
        <v>1.085</v>
      </c>
      <c r="V1862" s="12">
        <f>T1862*U1862</f>
        <v>121.09684999999999</v>
      </c>
      <c r="W1862" s="13">
        <v>0</v>
      </c>
      <c r="X1862" s="12">
        <f>V1862-(V1862/(1+W1862))</f>
        <v>0</v>
      </c>
      <c r="Y1862" s="12">
        <f>V1862-X1862</f>
        <v>121.09684999999999</v>
      </c>
      <c r="Z1862" s="14">
        <v>250</v>
      </c>
      <c r="AA1862" s="2" t="str">
        <f>IF(V1862&gt;Z1862,"Yes","No")</f>
        <v>No</v>
      </c>
      <c r="AB1862" s="12">
        <f>V1862-Z1862</f>
        <v>-128.90315000000001</v>
      </c>
      <c r="AC1862" s="15" t="s">
        <v>130</v>
      </c>
      <c r="AD1862" s="15" t="s">
        <v>131</v>
      </c>
      <c r="AE1862" s="15" t="s">
        <v>350</v>
      </c>
      <c r="AF1862" s="12">
        <f>IF(AG1862="Rejected",0,IF(R1862="Corporate Card",0,V1862))</f>
        <v>0</v>
      </c>
      <c r="AG1862" s="15" t="s">
        <v>133</v>
      </c>
      <c r="AH1862" s="16">
        <v>45882</v>
      </c>
      <c r="AI1862" s="16">
        <v>45888</v>
      </c>
      <c r="AJ1862" s="16">
        <v>45896</v>
      </c>
      <c r="AK1862" s="17">
        <f>IF(AJ1862="","",AJ1862-AH1862)</f>
        <v>14</v>
      </c>
    </row>
    <row r="1863" spans="1:37">
      <c r="A1863" s="2" t="s">
        <v>2319</v>
      </c>
      <c r="B1863" s="2" t="s">
        <v>287</v>
      </c>
      <c r="C1863" s="2" t="s">
        <v>288</v>
      </c>
      <c r="D1863" s="2" t="s">
        <v>171</v>
      </c>
      <c r="E1863" s="2" t="s">
        <v>289</v>
      </c>
      <c r="F1863" s="2" t="s">
        <v>173</v>
      </c>
      <c r="G1863" s="2" t="s">
        <v>2287</v>
      </c>
      <c r="H1863" s="2" t="s">
        <v>748</v>
      </c>
      <c r="I1863" s="2" t="s">
        <v>175</v>
      </c>
      <c r="J1863" s="2" t="s">
        <v>176</v>
      </c>
      <c r="K1863" s="9">
        <v>45864</v>
      </c>
      <c r="L1863" s="9">
        <v>45872</v>
      </c>
      <c r="M1863" s="9">
        <v>45870</v>
      </c>
      <c r="N1863" s="2" t="s">
        <v>2314</v>
      </c>
      <c r="O1863" s="2" t="s">
        <v>56</v>
      </c>
      <c r="P1863" s="2" t="s">
        <v>231</v>
      </c>
      <c r="Q1863" s="2" t="s">
        <v>159</v>
      </c>
      <c r="R1863" s="2" t="s">
        <v>149</v>
      </c>
      <c r="S1863" s="2" t="s">
        <v>179</v>
      </c>
      <c r="T1863" s="10">
        <v>387.74</v>
      </c>
      <c r="U1863" s="11">
        <v>0.18099999999999999</v>
      </c>
      <c r="V1863" s="12">
        <f>T1863*U1863</f>
        <v>70.180939999999993</v>
      </c>
      <c r="W1863" s="13">
        <v>0.17</v>
      </c>
      <c r="X1863" s="12">
        <f>V1863-(V1863/(1+W1863))</f>
        <v>10.197230598290595</v>
      </c>
      <c r="Y1863" s="12">
        <f>V1863-X1863</f>
        <v>59.983709401709397</v>
      </c>
      <c r="Z1863" s="14">
        <v>75</v>
      </c>
      <c r="AA1863" s="2" t="str">
        <f>IF(V1863&gt;Z1863,"Yes","No")</f>
        <v>No</v>
      </c>
      <c r="AB1863" s="12">
        <f>V1863-Z1863</f>
        <v>-4.8190600000000074</v>
      </c>
      <c r="AC1863" s="15" t="s">
        <v>130</v>
      </c>
      <c r="AD1863" s="15" t="s">
        <v>130</v>
      </c>
      <c r="AE1863" s="15" t="s">
        <v>437</v>
      </c>
      <c r="AF1863" s="12">
        <f>IF(AG1863="Rejected",0,IF(R1863="Corporate Card",0,V1863))</f>
        <v>70.180939999999993</v>
      </c>
      <c r="AG1863" s="15" t="s">
        <v>181</v>
      </c>
      <c r="AH1863" s="16">
        <v>45880</v>
      </c>
      <c r="AI1863" s="16"/>
      <c r="AJ1863" s="16"/>
      <c r="AK1863" s="17" t="str">
        <f>IF(AJ1863="","",AJ1863-AH1863)</f>
        <v/>
      </c>
    </row>
    <row r="1864" spans="1:37">
      <c r="A1864" s="2" t="s">
        <v>2320</v>
      </c>
      <c r="B1864" s="2" t="s">
        <v>442</v>
      </c>
      <c r="C1864" s="2" t="s">
        <v>443</v>
      </c>
      <c r="D1864" s="2" t="s">
        <v>444</v>
      </c>
      <c r="E1864" s="2" t="s">
        <v>445</v>
      </c>
      <c r="F1864" s="2" t="s">
        <v>446</v>
      </c>
      <c r="G1864" s="2" t="s">
        <v>2308</v>
      </c>
      <c r="H1864" s="2" t="s">
        <v>291</v>
      </c>
      <c r="I1864" s="2" t="s">
        <v>1038</v>
      </c>
      <c r="J1864" s="2" t="s">
        <v>381</v>
      </c>
      <c r="K1864" s="9">
        <v>45869</v>
      </c>
      <c r="L1864" s="9">
        <v>45870</v>
      </c>
      <c r="M1864" s="9">
        <v>45870</v>
      </c>
      <c r="N1864" s="2" t="s">
        <v>2314</v>
      </c>
      <c r="O1864" s="2" t="s">
        <v>57</v>
      </c>
      <c r="P1864" s="2" t="s">
        <v>398</v>
      </c>
      <c r="Q1864" s="2" t="s">
        <v>1204</v>
      </c>
      <c r="R1864" s="2" t="s">
        <v>149</v>
      </c>
      <c r="S1864" s="2" t="s">
        <v>383</v>
      </c>
      <c r="T1864" s="10">
        <v>196.03</v>
      </c>
      <c r="U1864" s="11">
        <v>1</v>
      </c>
      <c r="V1864" s="12">
        <f>T1864*U1864</f>
        <v>196.03</v>
      </c>
      <c r="W1864" s="13">
        <v>0</v>
      </c>
      <c r="X1864" s="12">
        <f>V1864-(V1864/(1+W1864))</f>
        <v>0</v>
      </c>
      <c r="Y1864" s="12">
        <f>V1864-X1864</f>
        <v>196.03</v>
      </c>
      <c r="Z1864" s="14">
        <v>200</v>
      </c>
      <c r="AA1864" s="2" t="str">
        <f>IF(V1864&gt;Z1864,"Yes","No")</f>
        <v>No</v>
      </c>
      <c r="AB1864" s="12">
        <f>V1864-Z1864</f>
        <v>-3.9699999999999989</v>
      </c>
      <c r="AC1864" s="15" t="s">
        <v>130</v>
      </c>
      <c r="AD1864" s="15" t="s">
        <v>131</v>
      </c>
      <c r="AE1864" s="15" t="s">
        <v>437</v>
      </c>
      <c r="AF1864" s="12">
        <f>IF(AG1864="Rejected",0,IF(R1864="Corporate Card",0,V1864))</f>
        <v>196.03</v>
      </c>
      <c r="AG1864" s="15" t="s">
        <v>133</v>
      </c>
      <c r="AH1864" s="16">
        <v>45879</v>
      </c>
      <c r="AI1864" s="16">
        <v>45888</v>
      </c>
      <c r="AJ1864" s="16">
        <v>45897</v>
      </c>
      <c r="AK1864" s="17">
        <f>IF(AJ1864="","",AJ1864-AH1864)</f>
        <v>18</v>
      </c>
    </row>
    <row r="1865" spans="1:37">
      <c r="A1865" s="2" t="s">
        <v>2321</v>
      </c>
      <c r="B1865" s="2" t="s">
        <v>442</v>
      </c>
      <c r="C1865" s="2" t="s">
        <v>443</v>
      </c>
      <c r="D1865" s="2" t="s">
        <v>444</v>
      </c>
      <c r="E1865" s="2" t="s">
        <v>445</v>
      </c>
      <c r="F1865" s="2" t="s">
        <v>446</v>
      </c>
      <c r="G1865" s="2" t="s">
        <v>2308</v>
      </c>
      <c r="H1865" s="2" t="s">
        <v>291</v>
      </c>
      <c r="I1865" s="2" t="s">
        <v>1038</v>
      </c>
      <c r="J1865" s="2" t="s">
        <v>381</v>
      </c>
      <c r="K1865" s="9">
        <v>45869</v>
      </c>
      <c r="L1865" s="9">
        <v>45870</v>
      </c>
      <c r="M1865" s="9">
        <v>45870</v>
      </c>
      <c r="N1865" s="2" t="s">
        <v>2314</v>
      </c>
      <c r="O1865" s="2" t="s">
        <v>67</v>
      </c>
      <c r="P1865" s="2" t="s">
        <v>401</v>
      </c>
      <c r="Q1865" s="2" t="s">
        <v>574</v>
      </c>
      <c r="R1865" s="2" t="s">
        <v>128</v>
      </c>
      <c r="S1865" s="2" t="s">
        <v>383</v>
      </c>
      <c r="T1865" s="10">
        <v>94.71</v>
      </c>
      <c r="U1865" s="11">
        <v>1</v>
      </c>
      <c r="V1865" s="12">
        <f>T1865*U1865</f>
        <v>94.71</v>
      </c>
      <c r="W1865" s="13">
        <v>0</v>
      </c>
      <c r="X1865" s="12">
        <f>V1865-(V1865/(1+W1865))</f>
        <v>0</v>
      </c>
      <c r="Y1865" s="12">
        <f>V1865-X1865</f>
        <v>94.71</v>
      </c>
      <c r="Z1865" s="14">
        <v>100</v>
      </c>
      <c r="AA1865" s="2" t="str">
        <f>IF(V1865&gt;Z1865,"Yes","No")</f>
        <v>No</v>
      </c>
      <c r="AB1865" s="12">
        <f>V1865-Z1865</f>
        <v>-5.2900000000000063</v>
      </c>
      <c r="AC1865" s="15" t="s">
        <v>130</v>
      </c>
      <c r="AD1865" s="15" t="s">
        <v>131</v>
      </c>
      <c r="AE1865" s="15" t="s">
        <v>437</v>
      </c>
      <c r="AF1865" s="12">
        <f>IF(AG1865="Rejected",0,IF(R1865="Corporate Card",0,V1865))</f>
        <v>0</v>
      </c>
      <c r="AG1865" s="15" t="s">
        <v>133</v>
      </c>
      <c r="AH1865" s="16">
        <v>45879</v>
      </c>
      <c r="AI1865" s="16">
        <v>45888</v>
      </c>
      <c r="AJ1865" s="16">
        <v>45897</v>
      </c>
      <c r="AK1865" s="17">
        <f>IF(AJ1865="","",AJ1865-AH1865)</f>
        <v>18</v>
      </c>
    </row>
    <row r="1866" spans="1:37">
      <c r="A1866" s="2" t="s">
        <v>2322</v>
      </c>
      <c r="B1866" s="2" t="s">
        <v>442</v>
      </c>
      <c r="C1866" s="2" t="s">
        <v>443</v>
      </c>
      <c r="D1866" s="2" t="s">
        <v>444</v>
      </c>
      <c r="E1866" s="2" t="s">
        <v>445</v>
      </c>
      <c r="F1866" s="2" t="s">
        <v>446</v>
      </c>
      <c r="G1866" s="2" t="s">
        <v>2308</v>
      </c>
      <c r="H1866" s="2" t="s">
        <v>291</v>
      </c>
      <c r="I1866" s="2" t="s">
        <v>1038</v>
      </c>
      <c r="J1866" s="2" t="s">
        <v>381</v>
      </c>
      <c r="K1866" s="9">
        <v>45869</v>
      </c>
      <c r="L1866" s="9">
        <v>45870</v>
      </c>
      <c r="M1866" s="9">
        <v>45870</v>
      </c>
      <c r="N1866" s="2" t="s">
        <v>2314</v>
      </c>
      <c r="O1866" s="2" t="s">
        <v>58</v>
      </c>
      <c r="P1866" s="2" t="s">
        <v>142</v>
      </c>
      <c r="Q1866" s="2" t="s">
        <v>224</v>
      </c>
      <c r="R1866" s="2" t="s">
        <v>137</v>
      </c>
      <c r="S1866" s="2" t="s">
        <v>383</v>
      </c>
      <c r="T1866" s="10">
        <v>46.56</v>
      </c>
      <c r="U1866" s="11">
        <v>1</v>
      </c>
      <c r="V1866" s="12">
        <f>T1866*U1866</f>
        <v>46.56</v>
      </c>
      <c r="W1866" s="13">
        <v>0</v>
      </c>
      <c r="X1866" s="12">
        <f>V1866-(V1866/(1+W1866))</f>
        <v>0</v>
      </c>
      <c r="Y1866" s="12">
        <f>V1866-X1866</f>
        <v>46.56</v>
      </c>
      <c r="Z1866" s="14">
        <v>60</v>
      </c>
      <c r="AA1866" s="2" t="str">
        <f>IF(V1866&gt;Z1866,"Yes","No")</f>
        <v>No</v>
      </c>
      <c r="AB1866" s="12">
        <f>V1866-Z1866</f>
        <v>-13.439999999999998</v>
      </c>
      <c r="AC1866" s="15" t="s">
        <v>130</v>
      </c>
      <c r="AD1866" s="15" t="s">
        <v>131</v>
      </c>
      <c r="AE1866" s="15" t="s">
        <v>437</v>
      </c>
      <c r="AF1866" s="12">
        <f>IF(AG1866="Rejected",0,IF(R1866="Corporate Card",0,V1866))</f>
        <v>46.56</v>
      </c>
      <c r="AG1866" s="15" t="s">
        <v>133</v>
      </c>
      <c r="AH1866" s="16">
        <v>45879</v>
      </c>
      <c r="AI1866" s="16">
        <v>45888</v>
      </c>
      <c r="AJ1866" s="16">
        <v>45897</v>
      </c>
      <c r="AK1866" s="17">
        <f>IF(AJ1866="","",AJ1866-AH1866)</f>
        <v>18</v>
      </c>
    </row>
    <row r="1867" spans="1:37">
      <c r="A1867" s="2" t="s">
        <v>2323</v>
      </c>
      <c r="B1867" s="2" t="s">
        <v>442</v>
      </c>
      <c r="C1867" s="2" t="s">
        <v>443</v>
      </c>
      <c r="D1867" s="2" t="s">
        <v>444</v>
      </c>
      <c r="E1867" s="2" t="s">
        <v>445</v>
      </c>
      <c r="F1867" s="2" t="s">
        <v>446</v>
      </c>
      <c r="G1867" s="2" t="s">
        <v>2308</v>
      </c>
      <c r="H1867" s="2" t="s">
        <v>291</v>
      </c>
      <c r="I1867" s="2" t="s">
        <v>1038</v>
      </c>
      <c r="J1867" s="2" t="s">
        <v>381</v>
      </c>
      <c r="K1867" s="9">
        <v>45869</v>
      </c>
      <c r="L1867" s="9">
        <v>45870</v>
      </c>
      <c r="M1867" s="9">
        <v>45870</v>
      </c>
      <c r="N1867" s="2" t="s">
        <v>2314</v>
      </c>
      <c r="O1867" s="2" t="s">
        <v>53</v>
      </c>
      <c r="P1867" s="2" t="s">
        <v>405</v>
      </c>
      <c r="Q1867" s="2" t="s">
        <v>220</v>
      </c>
      <c r="R1867" s="2" t="s">
        <v>137</v>
      </c>
      <c r="S1867" s="2" t="s">
        <v>383</v>
      </c>
      <c r="T1867" s="10">
        <v>400.15</v>
      </c>
      <c r="U1867" s="11">
        <v>1</v>
      </c>
      <c r="V1867" s="12">
        <f>T1867*U1867</f>
        <v>400.15</v>
      </c>
      <c r="W1867" s="13">
        <v>0</v>
      </c>
      <c r="X1867" s="12">
        <f>V1867-(V1867/(1+W1867))</f>
        <v>0</v>
      </c>
      <c r="Y1867" s="12">
        <f>V1867-X1867</f>
        <v>400.15</v>
      </c>
      <c r="Z1867" s="14">
        <v>280</v>
      </c>
      <c r="AA1867" s="2" t="str">
        <f>IF(V1867&gt;Z1867,"Yes","No")</f>
        <v>Yes</v>
      </c>
      <c r="AB1867" s="12">
        <f>V1867-Z1867</f>
        <v>120.14999999999998</v>
      </c>
      <c r="AC1867" s="15" t="s">
        <v>130</v>
      </c>
      <c r="AD1867" s="15" t="s">
        <v>131</v>
      </c>
      <c r="AE1867" s="15" t="s">
        <v>437</v>
      </c>
      <c r="AF1867" s="12">
        <f>IF(AG1867="Rejected",0,IF(R1867="Corporate Card",0,V1867))</f>
        <v>400.15</v>
      </c>
      <c r="AG1867" s="15" t="s">
        <v>133</v>
      </c>
      <c r="AH1867" s="16">
        <v>45879</v>
      </c>
      <c r="AI1867" s="16">
        <v>45888</v>
      </c>
      <c r="AJ1867" s="16">
        <v>45897</v>
      </c>
      <c r="AK1867" s="17">
        <f>IF(AJ1867="","",AJ1867-AH1867)</f>
        <v>18</v>
      </c>
    </row>
    <row r="1868" spans="1:37">
      <c r="A1868" s="2" t="s">
        <v>2324</v>
      </c>
      <c r="B1868" s="2" t="s">
        <v>442</v>
      </c>
      <c r="C1868" s="2" t="s">
        <v>443</v>
      </c>
      <c r="D1868" s="2" t="s">
        <v>444</v>
      </c>
      <c r="E1868" s="2" t="s">
        <v>445</v>
      </c>
      <c r="F1868" s="2" t="s">
        <v>446</v>
      </c>
      <c r="G1868" s="2" t="s">
        <v>2308</v>
      </c>
      <c r="H1868" s="2" t="s">
        <v>291</v>
      </c>
      <c r="I1868" s="2" t="s">
        <v>1038</v>
      </c>
      <c r="J1868" s="2" t="s">
        <v>381</v>
      </c>
      <c r="K1868" s="9">
        <v>45869</v>
      </c>
      <c r="L1868" s="9">
        <v>45870</v>
      </c>
      <c r="M1868" s="9">
        <v>45870</v>
      </c>
      <c r="N1868" s="2" t="s">
        <v>2314</v>
      </c>
      <c r="O1868" s="2" t="s">
        <v>56</v>
      </c>
      <c r="P1868" s="2" t="s">
        <v>151</v>
      </c>
      <c r="Q1868" s="2" t="s">
        <v>166</v>
      </c>
      <c r="R1868" s="2" t="s">
        <v>128</v>
      </c>
      <c r="S1868" s="2" t="s">
        <v>383</v>
      </c>
      <c r="T1868" s="10">
        <v>43.46</v>
      </c>
      <c r="U1868" s="11">
        <v>1</v>
      </c>
      <c r="V1868" s="12">
        <f>T1868*U1868</f>
        <v>43.46</v>
      </c>
      <c r="W1868" s="13">
        <v>0</v>
      </c>
      <c r="X1868" s="12">
        <f>V1868-(V1868/(1+W1868))</f>
        <v>0</v>
      </c>
      <c r="Y1868" s="12">
        <f>V1868-X1868</f>
        <v>43.46</v>
      </c>
      <c r="Z1868" s="14">
        <v>75</v>
      </c>
      <c r="AA1868" s="2" t="str">
        <f>IF(V1868&gt;Z1868,"Yes","No")</f>
        <v>No</v>
      </c>
      <c r="AB1868" s="12">
        <f>V1868-Z1868</f>
        <v>-31.54</v>
      </c>
      <c r="AC1868" s="15" t="s">
        <v>130</v>
      </c>
      <c r="AD1868" s="15" t="s">
        <v>131</v>
      </c>
      <c r="AE1868" s="15" t="s">
        <v>437</v>
      </c>
      <c r="AF1868" s="12">
        <f>IF(AG1868="Rejected",0,IF(R1868="Corporate Card",0,V1868))</f>
        <v>0</v>
      </c>
      <c r="AG1868" s="15" t="s">
        <v>133</v>
      </c>
      <c r="AH1868" s="16">
        <v>45879</v>
      </c>
      <c r="AI1868" s="16">
        <v>45888</v>
      </c>
      <c r="AJ1868" s="16">
        <v>45897</v>
      </c>
      <c r="AK1868" s="17">
        <f>IF(AJ1868="","",AJ1868-AH1868)</f>
        <v>18</v>
      </c>
    </row>
    <row r="1869" spans="1:37">
      <c r="A1869" s="2" t="s">
        <v>2325</v>
      </c>
      <c r="B1869" s="2" t="s">
        <v>442</v>
      </c>
      <c r="C1869" s="2" t="s">
        <v>443</v>
      </c>
      <c r="D1869" s="2" t="s">
        <v>444</v>
      </c>
      <c r="E1869" s="2" t="s">
        <v>445</v>
      </c>
      <c r="F1869" s="2" t="s">
        <v>446</v>
      </c>
      <c r="G1869" s="2" t="s">
        <v>2308</v>
      </c>
      <c r="H1869" s="2" t="s">
        <v>291</v>
      </c>
      <c r="I1869" s="2" t="s">
        <v>1038</v>
      </c>
      <c r="J1869" s="2" t="s">
        <v>381</v>
      </c>
      <c r="K1869" s="9">
        <v>45869</v>
      </c>
      <c r="L1869" s="9">
        <v>45870</v>
      </c>
      <c r="M1869" s="9">
        <v>45870</v>
      </c>
      <c r="N1869" s="2" t="s">
        <v>2314</v>
      </c>
      <c r="O1869" s="2" t="s">
        <v>55</v>
      </c>
      <c r="P1869" s="2" t="s">
        <v>139</v>
      </c>
      <c r="Q1869" s="2" t="s">
        <v>217</v>
      </c>
      <c r="R1869" s="2" t="s">
        <v>149</v>
      </c>
      <c r="S1869" s="2" t="s">
        <v>383</v>
      </c>
      <c r="T1869" s="10">
        <v>20.74</v>
      </c>
      <c r="U1869" s="11">
        <v>1</v>
      </c>
      <c r="V1869" s="12">
        <f>T1869*U1869</f>
        <v>20.74</v>
      </c>
      <c r="W1869" s="13">
        <v>0</v>
      </c>
      <c r="X1869" s="12">
        <f>V1869-(V1869/(1+W1869))</f>
        <v>0</v>
      </c>
      <c r="Y1869" s="12">
        <f>V1869-X1869</f>
        <v>20.74</v>
      </c>
      <c r="Z1869" s="14">
        <v>35</v>
      </c>
      <c r="AA1869" s="2" t="str">
        <f>IF(V1869&gt;Z1869,"Yes","No")</f>
        <v>No</v>
      </c>
      <c r="AB1869" s="12">
        <f>V1869-Z1869</f>
        <v>-14.260000000000002</v>
      </c>
      <c r="AC1869" s="15" t="s">
        <v>130</v>
      </c>
      <c r="AD1869" s="15" t="s">
        <v>131</v>
      </c>
      <c r="AE1869" s="15" t="s">
        <v>437</v>
      </c>
      <c r="AF1869" s="12">
        <f>IF(AG1869="Rejected",0,IF(R1869="Corporate Card",0,V1869))</f>
        <v>20.74</v>
      </c>
      <c r="AG1869" s="15" t="s">
        <v>133</v>
      </c>
      <c r="AH1869" s="16">
        <v>45879</v>
      </c>
      <c r="AI1869" s="16">
        <v>45888</v>
      </c>
      <c r="AJ1869" s="16">
        <v>45897</v>
      </c>
      <c r="AK1869" s="17">
        <f>IF(AJ1869="","",AJ1869-AH1869)</f>
        <v>18</v>
      </c>
    </row>
    <row r="1870" spans="1:37">
      <c r="A1870" s="2" t="s">
        <v>2326</v>
      </c>
      <c r="B1870" s="2" t="s">
        <v>863</v>
      </c>
      <c r="C1870" s="2" t="s">
        <v>864</v>
      </c>
      <c r="D1870" s="2" t="s">
        <v>865</v>
      </c>
      <c r="E1870" s="2" t="s">
        <v>866</v>
      </c>
      <c r="F1870" s="2" t="s">
        <v>867</v>
      </c>
      <c r="G1870" s="2" t="s">
        <v>2327</v>
      </c>
      <c r="H1870" s="2" t="s">
        <v>193</v>
      </c>
      <c r="I1870" s="2" t="s">
        <v>1251</v>
      </c>
      <c r="J1870" s="2" t="s">
        <v>750</v>
      </c>
      <c r="K1870" s="9">
        <v>45871</v>
      </c>
      <c r="L1870" s="9">
        <v>45877</v>
      </c>
      <c r="M1870" s="9">
        <v>45871</v>
      </c>
      <c r="N1870" s="2" t="s">
        <v>2314</v>
      </c>
      <c r="O1870" s="2" t="s">
        <v>52</v>
      </c>
      <c r="P1870" s="2" t="s">
        <v>1252</v>
      </c>
      <c r="Q1870" s="2" t="s">
        <v>178</v>
      </c>
      <c r="R1870" s="2" t="s">
        <v>128</v>
      </c>
      <c r="S1870" s="2" t="s">
        <v>198</v>
      </c>
      <c r="T1870" s="10">
        <v>3939.49</v>
      </c>
      <c r="U1870" s="11">
        <v>1.085</v>
      </c>
      <c r="V1870" s="12">
        <f>T1870*U1870</f>
        <v>4274.3466499999995</v>
      </c>
      <c r="W1870" s="13">
        <v>0</v>
      </c>
      <c r="X1870" s="12">
        <f>V1870-(V1870/(1+W1870))</f>
        <v>0</v>
      </c>
      <c r="Y1870" s="12">
        <f>V1870-X1870</f>
        <v>4274.3466499999995</v>
      </c>
      <c r="Z1870" s="14">
        <v>1400</v>
      </c>
      <c r="AA1870" s="2" t="str">
        <f>IF(V1870&gt;Z1870,"Yes","No")</f>
        <v>Yes</v>
      </c>
      <c r="AB1870" s="12">
        <f>V1870-Z1870</f>
        <v>2874.3466499999995</v>
      </c>
      <c r="AC1870" s="15" t="s">
        <v>130</v>
      </c>
      <c r="AD1870" s="15" t="s">
        <v>130</v>
      </c>
      <c r="AE1870" s="15" t="s">
        <v>421</v>
      </c>
      <c r="AF1870" s="12">
        <f>IF(AG1870="Rejected",0,IF(R1870="Corporate Card",0,V1870))</f>
        <v>0</v>
      </c>
      <c r="AG1870" s="15" t="s">
        <v>133</v>
      </c>
      <c r="AH1870" s="16">
        <v>45886</v>
      </c>
      <c r="AI1870" s="16">
        <v>45887</v>
      </c>
      <c r="AJ1870" s="16">
        <v>45897</v>
      </c>
      <c r="AK1870" s="17">
        <f>IF(AJ1870="","",AJ1870-AH1870)</f>
        <v>11</v>
      </c>
    </row>
    <row r="1871" spans="1:37">
      <c r="A1871" s="2" t="s">
        <v>2328</v>
      </c>
      <c r="B1871" s="2" t="s">
        <v>863</v>
      </c>
      <c r="C1871" s="2" t="s">
        <v>864</v>
      </c>
      <c r="D1871" s="2" t="s">
        <v>865</v>
      </c>
      <c r="E1871" s="2" t="s">
        <v>866</v>
      </c>
      <c r="F1871" s="2" t="s">
        <v>867</v>
      </c>
      <c r="G1871" s="2" t="s">
        <v>2327</v>
      </c>
      <c r="H1871" s="2" t="s">
        <v>193</v>
      </c>
      <c r="I1871" s="2" t="s">
        <v>1251</v>
      </c>
      <c r="J1871" s="2" t="s">
        <v>750</v>
      </c>
      <c r="K1871" s="9">
        <v>45871</v>
      </c>
      <c r="L1871" s="9">
        <v>45877</v>
      </c>
      <c r="M1871" s="9">
        <v>45871</v>
      </c>
      <c r="N1871" s="2" t="s">
        <v>2314</v>
      </c>
      <c r="O1871" s="2" t="s">
        <v>63</v>
      </c>
      <c r="P1871" s="2" t="s">
        <v>200</v>
      </c>
      <c r="Q1871" s="2" t="s">
        <v>201</v>
      </c>
      <c r="R1871" s="2" t="s">
        <v>149</v>
      </c>
      <c r="S1871" s="2" t="s">
        <v>198</v>
      </c>
      <c r="T1871" s="10">
        <v>1060.27</v>
      </c>
      <c r="U1871" s="11">
        <v>1.085</v>
      </c>
      <c r="V1871" s="12">
        <f>T1871*U1871</f>
        <v>1150.3929499999999</v>
      </c>
      <c r="W1871" s="13">
        <v>0</v>
      </c>
      <c r="X1871" s="12">
        <f>V1871-(V1871/(1+W1871))</f>
        <v>0</v>
      </c>
      <c r="Y1871" s="12">
        <f>V1871-X1871</f>
        <v>1150.3929499999999</v>
      </c>
      <c r="Z1871" s="14">
        <v>1200</v>
      </c>
      <c r="AA1871" s="2" t="str">
        <f>IF(V1871&gt;Z1871,"Yes","No")</f>
        <v>No</v>
      </c>
      <c r="AB1871" s="12">
        <f>V1871-Z1871</f>
        <v>-49.607050000000072</v>
      </c>
      <c r="AC1871" s="15" t="s">
        <v>130</v>
      </c>
      <c r="AD1871" s="15" t="s">
        <v>130</v>
      </c>
      <c r="AE1871" s="15" t="s">
        <v>421</v>
      </c>
      <c r="AF1871" s="12">
        <f>IF(AG1871="Rejected",0,IF(R1871="Corporate Card",0,V1871))</f>
        <v>1150.3929499999999</v>
      </c>
      <c r="AG1871" s="15" t="s">
        <v>133</v>
      </c>
      <c r="AH1871" s="16">
        <v>45886</v>
      </c>
      <c r="AI1871" s="16">
        <v>45887</v>
      </c>
      <c r="AJ1871" s="16">
        <v>45897</v>
      </c>
      <c r="AK1871" s="17">
        <f>IF(AJ1871="","",AJ1871-AH1871)</f>
        <v>11</v>
      </c>
    </row>
    <row r="1872" spans="1:37">
      <c r="A1872" s="2" t="s">
        <v>2329</v>
      </c>
      <c r="B1872" s="2" t="s">
        <v>863</v>
      </c>
      <c r="C1872" s="2" t="s">
        <v>864</v>
      </c>
      <c r="D1872" s="2" t="s">
        <v>865</v>
      </c>
      <c r="E1872" s="2" t="s">
        <v>866</v>
      </c>
      <c r="F1872" s="2" t="s">
        <v>867</v>
      </c>
      <c r="G1872" s="2" t="s">
        <v>2327</v>
      </c>
      <c r="H1872" s="2" t="s">
        <v>193</v>
      </c>
      <c r="I1872" s="2" t="s">
        <v>1251</v>
      </c>
      <c r="J1872" s="2" t="s">
        <v>750</v>
      </c>
      <c r="K1872" s="9">
        <v>45871</v>
      </c>
      <c r="L1872" s="9">
        <v>45877</v>
      </c>
      <c r="M1872" s="9">
        <v>45871</v>
      </c>
      <c r="N1872" s="2" t="s">
        <v>2314</v>
      </c>
      <c r="O1872" s="2" t="s">
        <v>58</v>
      </c>
      <c r="P1872" s="2" t="s">
        <v>142</v>
      </c>
      <c r="Q1872" s="2" t="s">
        <v>224</v>
      </c>
      <c r="R1872" s="2" t="s">
        <v>128</v>
      </c>
      <c r="S1872" s="2" t="s">
        <v>198</v>
      </c>
      <c r="T1872" s="10">
        <v>52.44</v>
      </c>
      <c r="U1872" s="11">
        <v>1.085</v>
      </c>
      <c r="V1872" s="12">
        <f>T1872*U1872</f>
        <v>56.897399999999998</v>
      </c>
      <c r="W1872" s="13">
        <v>0.19</v>
      </c>
      <c r="X1872" s="12">
        <f>V1872-(V1872/(1+W1872))</f>
        <v>9.0844588235294097</v>
      </c>
      <c r="Y1872" s="12">
        <f>V1872-X1872</f>
        <v>47.812941176470588</v>
      </c>
      <c r="Z1872" s="14">
        <v>60</v>
      </c>
      <c r="AA1872" s="2" t="str">
        <f>IF(V1872&gt;Z1872,"Yes","No")</f>
        <v>No</v>
      </c>
      <c r="AB1872" s="12">
        <f>V1872-Z1872</f>
        <v>-3.1026000000000025</v>
      </c>
      <c r="AC1872" s="15" t="s">
        <v>130</v>
      </c>
      <c r="AD1872" s="15" t="s">
        <v>130</v>
      </c>
      <c r="AE1872" s="15" t="s">
        <v>421</v>
      </c>
      <c r="AF1872" s="12">
        <f>IF(AG1872="Rejected",0,IF(R1872="Corporate Card",0,V1872))</f>
        <v>0</v>
      </c>
      <c r="AG1872" s="15" t="s">
        <v>133</v>
      </c>
      <c r="AH1872" s="16">
        <v>45886</v>
      </c>
      <c r="AI1872" s="16">
        <v>45887</v>
      </c>
      <c r="AJ1872" s="16">
        <v>45897</v>
      </c>
      <c r="AK1872" s="17">
        <f>IF(AJ1872="","",AJ1872-AH1872)</f>
        <v>11</v>
      </c>
    </row>
    <row r="1873" spans="1:37">
      <c r="A1873" s="2" t="s">
        <v>2330</v>
      </c>
      <c r="B1873" s="2" t="s">
        <v>863</v>
      </c>
      <c r="C1873" s="2" t="s">
        <v>864</v>
      </c>
      <c r="D1873" s="2" t="s">
        <v>865</v>
      </c>
      <c r="E1873" s="2" t="s">
        <v>866</v>
      </c>
      <c r="F1873" s="2" t="s">
        <v>867</v>
      </c>
      <c r="G1873" s="2" t="s">
        <v>2327</v>
      </c>
      <c r="H1873" s="2" t="s">
        <v>193</v>
      </c>
      <c r="I1873" s="2" t="s">
        <v>1251</v>
      </c>
      <c r="J1873" s="2" t="s">
        <v>750</v>
      </c>
      <c r="K1873" s="9">
        <v>45871</v>
      </c>
      <c r="L1873" s="9">
        <v>45877</v>
      </c>
      <c r="M1873" s="9">
        <v>45871</v>
      </c>
      <c r="N1873" s="2" t="s">
        <v>2314</v>
      </c>
      <c r="O1873" s="2" t="s">
        <v>56</v>
      </c>
      <c r="P1873" s="2" t="s">
        <v>151</v>
      </c>
      <c r="Q1873" s="2" t="s">
        <v>227</v>
      </c>
      <c r="R1873" s="2" t="s">
        <v>149</v>
      </c>
      <c r="S1873" s="2" t="s">
        <v>198</v>
      </c>
      <c r="T1873" s="10">
        <v>95.09</v>
      </c>
      <c r="U1873" s="11">
        <v>1.085</v>
      </c>
      <c r="V1873" s="12">
        <f>T1873*U1873</f>
        <v>103.17265</v>
      </c>
      <c r="W1873" s="13">
        <v>0.19</v>
      </c>
      <c r="X1873" s="12">
        <f>V1873-(V1873/(1+W1873))</f>
        <v>16.47294411764706</v>
      </c>
      <c r="Y1873" s="12">
        <f>V1873-X1873</f>
        <v>86.699705882352944</v>
      </c>
      <c r="Z1873" s="14">
        <v>75</v>
      </c>
      <c r="AA1873" s="2" t="str">
        <f>IF(V1873&gt;Z1873,"Yes","No")</f>
        <v>Yes</v>
      </c>
      <c r="AB1873" s="12">
        <f>V1873-Z1873</f>
        <v>28.172650000000004</v>
      </c>
      <c r="AC1873" s="15" t="s">
        <v>130</v>
      </c>
      <c r="AD1873" s="15" t="s">
        <v>130</v>
      </c>
      <c r="AE1873" s="15" t="s">
        <v>421</v>
      </c>
      <c r="AF1873" s="12">
        <f>IF(AG1873="Rejected",0,IF(R1873="Corporate Card",0,V1873))</f>
        <v>103.17265</v>
      </c>
      <c r="AG1873" s="15" t="s">
        <v>133</v>
      </c>
      <c r="AH1873" s="16">
        <v>45886</v>
      </c>
      <c r="AI1873" s="16">
        <v>45887</v>
      </c>
      <c r="AJ1873" s="16">
        <v>45897</v>
      </c>
      <c r="AK1873" s="17">
        <f>IF(AJ1873="","",AJ1873-AH1873)</f>
        <v>11</v>
      </c>
    </row>
    <row r="1874" spans="1:37">
      <c r="A1874" s="2" t="s">
        <v>2331</v>
      </c>
      <c r="B1874" s="2" t="s">
        <v>863</v>
      </c>
      <c r="C1874" s="2" t="s">
        <v>864</v>
      </c>
      <c r="D1874" s="2" t="s">
        <v>865</v>
      </c>
      <c r="E1874" s="2" t="s">
        <v>866</v>
      </c>
      <c r="F1874" s="2" t="s">
        <v>867</v>
      </c>
      <c r="G1874" s="2" t="s">
        <v>2327</v>
      </c>
      <c r="H1874" s="2" t="s">
        <v>193</v>
      </c>
      <c r="I1874" s="2" t="s">
        <v>1251</v>
      </c>
      <c r="J1874" s="2" t="s">
        <v>750</v>
      </c>
      <c r="K1874" s="9">
        <v>45871</v>
      </c>
      <c r="L1874" s="9">
        <v>45877</v>
      </c>
      <c r="M1874" s="9">
        <v>45871</v>
      </c>
      <c r="N1874" s="2" t="s">
        <v>2314</v>
      </c>
      <c r="O1874" s="2" t="s">
        <v>55</v>
      </c>
      <c r="P1874" s="2" t="s">
        <v>139</v>
      </c>
      <c r="Q1874" s="2" t="s">
        <v>217</v>
      </c>
      <c r="R1874" s="2" t="s">
        <v>128</v>
      </c>
      <c r="S1874" s="2" t="s">
        <v>198</v>
      </c>
      <c r="T1874" s="10">
        <v>17.850000000000001</v>
      </c>
      <c r="U1874" s="11">
        <v>1.085</v>
      </c>
      <c r="V1874" s="12">
        <f>T1874*U1874</f>
        <v>19.367250000000002</v>
      </c>
      <c r="W1874" s="13">
        <v>0.19</v>
      </c>
      <c r="X1874" s="12">
        <f>V1874-(V1874/(1+W1874))</f>
        <v>3.0922499999999999</v>
      </c>
      <c r="Y1874" s="12">
        <f>V1874-X1874</f>
        <v>16.275000000000002</v>
      </c>
      <c r="Z1874" s="14">
        <v>35</v>
      </c>
      <c r="AA1874" s="2" t="str">
        <f>IF(V1874&gt;Z1874,"Yes","No")</f>
        <v>No</v>
      </c>
      <c r="AB1874" s="12">
        <f>V1874-Z1874</f>
        <v>-15.632749999999998</v>
      </c>
      <c r="AC1874" s="15" t="s">
        <v>130</v>
      </c>
      <c r="AD1874" s="15" t="s">
        <v>130</v>
      </c>
      <c r="AE1874" s="15" t="s">
        <v>421</v>
      </c>
      <c r="AF1874" s="12">
        <f>IF(AG1874="Rejected",0,IF(R1874="Corporate Card",0,V1874))</f>
        <v>0</v>
      </c>
      <c r="AG1874" s="15" t="s">
        <v>133</v>
      </c>
      <c r="AH1874" s="16">
        <v>45886</v>
      </c>
      <c r="AI1874" s="16">
        <v>45887</v>
      </c>
      <c r="AJ1874" s="16">
        <v>45897</v>
      </c>
      <c r="AK1874" s="17">
        <f>IF(AJ1874="","",AJ1874-AH1874)</f>
        <v>11</v>
      </c>
    </row>
    <row r="1875" spans="1:37">
      <c r="A1875" s="2" t="s">
        <v>2332</v>
      </c>
      <c r="B1875" s="2" t="s">
        <v>882</v>
      </c>
      <c r="C1875" s="2" t="s">
        <v>446</v>
      </c>
      <c r="D1875" s="2" t="s">
        <v>444</v>
      </c>
      <c r="E1875" s="2" t="s">
        <v>883</v>
      </c>
      <c r="F1875" s="2" t="s">
        <v>313</v>
      </c>
      <c r="G1875" s="2" t="s">
        <v>2313</v>
      </c>
      <c r="H1875" s="2" t="s">
        <v>448</v>
      </c>
      <c r="I1875" s="2" t="s">
        <v>194</v>
      </c>
      <c r="J1875" s="2" t="s">
        <v>195</v>
      </c>
      <c r="K1875" s="9">
        <v>45870</v>
      </c>
      <c r="L1875" s="9">
        <v>45874</v>
      </c>
      <c r="M1875" s="9">
        <v>45871</v>
      </c>
      <c r="N1875" s="2" t="s">
        <v>2314</v>
      </c>
      <c r="O1875" s="2" t="s">
        <v>53</v>
      </c>
      <c r="P1875" s="2" t="s">
        <v>457</v>
      </c>
      <c r="Q1875" s="2" t="s">
        <v>146</v>
      </c>
      <c r="R1875" s="2" t="s">
        <v>137</v>
      </c>
      <c r="S1875" s="2" t="s">
        <v>198</v>
      </c>
      <c r="T1875" s="10">
        <v>513.95000000000005</v>
      </c>
      <c r="U1875" s="11">
        <v>1.085</v>
      </c>
      <c r="V1875" s="12">
        <f>T1875*U1875</f>
        <v>557.63575000000003</v>
      </c>
      <c r="W1875" s="13">
        <v>0.19</v>
      </c>
      <c r="X1875" s="12">
        <f>V1875-(V1875/(1+W1875))</f>
        <v>89.034279411764714</v>
      </c>
      <c r="Y1875" s="12">
        <f>V1875-X1875</f>
        <v>468.60147058823532</v>
      </c>
      <c r="Z1875" s="14">
        <v>1120</v>
      </c>
      <c r="AA1875" s="2" t="str">
        <f>IF(V1875&gt;Z1875,"Yes","No")</f>
        <v>No</v>
      </c>
      <c r="AB1875" s="12">
        <f>V1875-Z1875</f>
        <v>-562.36424999999997</v>
      </c>
      <c r="AC1875" s="15" t="s">
        <v>130</v>
      </c>
      <c r="AD1875" s="15" t="s">
        <v>131</v>
      </c>
      <c r="AE1875" s="15" t="s">
        <v>350</v>
      </c>
      <c r="AF1875" s="12">
        <f>IF(AG1875="Rejected",0,IF(R1875="Corporate Card",0,V1875))</f>
        <v>557.63575000000003</v>
      </c>
      <c r="AG1875" s="15" t="s">
        <v>133</v>
      </c>
      <c r="AH1875" s="16">
        <v>45882</v>
      </c>
      <c r="AI1875" s="16">
        <v>45888</v>
      </c>
      <c r="AJ1875" s="16">
        <v>45896</v>
      </c>
      <c r="AK1875" s="17">
        <f>IF(AJ1875="","",AJ1875-AH1875)</f>
        <v>14</v>
      </c>
    </row>
    <row r="1876" spans="1:37">
      <c r="A1876" s="2" t="s">
        <v>2333</v>
      </c>
      <c r="B1876" s="2" t="s">
        <v>882</v>
      </c>
      <c r="C1876" s="2" t="s">
        <v>446</v>
      </c>
      <c r="D1876" s="2" t="s">
        <v>444</v>
      </c>
      <c r="E1876" s="2" t="s">
        <v>883</v>
      </c>
      <c r="F1876" s="2" t="s">
        <v>313</v>
      </c>
      <c r="G1876" s="2" t="s">
        <v>2313</v>
      </c>
      <c r="H1876" s="2" t="s">
        <v>448</v>
      </c>
      <c r="I1876" s="2" t="s">
        <v>194</v>
      </c>
      <c r="J1876" s="2" t="s">
        <v>195</v>
      </c>
      <c r="K1876" s="9">
        <v>45870</v>
      </c>
      <c r="L1876" s="9">
        <v>45874</v>
      </c>
      <c r="M1876" s="9">
        <v>45871</v>
      </c>
      <c r="N1876" s="2" t="s">
        <v>2314</v>
      </c>
      <c r="O1876" s="2" t="s">
        <v>54</v>
      </c>
      <c r="P1876" s="2" t="s">
        <v>139</v>
      </c>
      <c r="Q1876" s="2" t="s">
        <v>163</v>
      </c>
      <c r="R1876" s="2" t="s">
        <v>149</v>
      </c>
      <c r="S1876" s="2" t="s">
        <v>198</v>
      </c>
      <c r="T1876" s="10">
        <v>11.11</v>
      </c>
      <c r="U1876" s="11">
        <v>1.085</v>
      </c>
      <c r="V1876" s="12">
        <f>T1876*U1876</f>
        <v>12.054349999999999</v>
      </c>
      <c r="W1876" s="13">
        <v>0.19</v>
      </c>
      <c r="X1876" s="12">
        <f>V1876-(V1876/(1+W1876))</f>
        <v>1.924644117647059</v>
      </c>
      <c r="Y1876" s="12">
        <f>V1876-X1876</f>
        <v>10.12970588235294</v>
      </c>
      <c r="Z1876" s="14">
        <v>25</v>
      </c>
      <c r="AA1876" s="2" t="str">
        <f>IF(V1876&gt;Z1876,"Yes","No")</f>
        <v>No</v>
      </c>
      <c r="AB1876" s="12">
        <f>V1876-Z1876</f>
        <v>-12.945650000000001</v>
      </c>
      <c r="AC1876" s="15" t="s">
        <v>130</v>
      </c>
      <c r="AD1876" s="15" t="s">
        <v>131</v>
      </c>
      <c r="AE1876" s="15" t="s">
        <v>350</v>
      </c>
      <c r="AF1876" s="12">
        <f>IF(AG1876="Rejected",0,IF(R1876="Corporate Card",0,V1876))</f>
        <v>12.054349999999999</v>
      </c>
      <c r="AG1876" s="15" t="s">
        <v>133</v>
      </c>
      <c r="AH1876" s="16">
        <v>45882</v>
      </c>
      <c r="AI1876" s="16">
        <v>45888</v>
      </c>
      <c r="AJ1876" s="16">
        <v>45896</v>
      </c>
      <c r="AK1876" s="17">
        <f>IF(AJ1876="","",AJ1876-AH1876)</f>
        <v>14</v>
      </c>
    </row>
    <row r="1877" spans="1:37">
      <c r="A1877" s="2" t="s">
        <v>2334</v>
      </c>
      <c r="B1877" s="2" t="s">
        <v>882</v>
      </c>
      <c r="C1877" s="2" t="s">
        <v>446</v>
      </c>
      <c r="D1877" s="2" t="s">
        <v>444</v>
      </c>
      <c r="E1877" s="2" t="s">
        <v>883</v>
      </c>
      <c r="F1877" s="2" t="s">
        <v>313</v>
      </c>
      <c r="G1877" s="2" t="s">
        <v>2313</v>
      </c>
      <c r="H1877" s="2" t="s">
        <v>448</v>
      </c>
      <c r="I1877" s="2" t="s">
        <v>194</v>
      </c>
      <c r="J1877" s="2" t="s">
        <v>195</v>
      </c>
      <c r="K1877" s="9">
        <v>45870</v>
      </c>
      <c r="L1877" s="9">
        <v>45874</v>
      </c>
      <c r="M1877" s="9">
        <v>45871</v>
      </c>
      <c r="N1877" s="2" t="s">
        <v>2314</v>
      </c>
      <c r="O1877" s="2" t="s">
        <v>56</v>
      </c>
      <c r="P1877" s="2" t="s">
        <v>231</v>
      </c>
      <c r="Q1877" s="2" t="s">
        <v>152</v>
      </c>
      <c r="R1877" s="2" t="s">
        <v>128</v>
      </c>
      <c r="S1877" s="2" t="s">
        <v>198</v>
      </c>
      <c r="T1877" s="10">
        <v>54.76</v>
      </c>
      <c r="U1877" s="11">
        <v>1.085</v>
      </c>
      <c r="V1877" s="12">
        <f>T1877*U1877</f>
        <v>59.414599999999993</v>
      </c>
      <c r="W1877" s="13">
        <v>0.19</v>
      </c>
      <c r="X1877" s="12">
        <f>V1877-(V1877/(1+W1877))</f>
        <v>9.4863647058823517</v>
      </c>
      <c r="Y1877" s="12">
        <f>V1877-X1877</f>
        <v>49.928235294117641</v>
      </c>
      <c r="Z1877" s="14">
        <v>75</v>
      </c>
      <c r="AA1877" s="2" t="str">
        <f>IF(V1877&gt;Z1877,"Yes","No")</f>
        <v>No</v>
      </c>
      <c r="AB1877" s="12">
        <f>V1877-Z1877</f>
        <v>-15.585400000000007</v>
      </c>
      <c r="AC1877" s="15" t="s">
        <v>130</v>
      </c>
      <c r="AD1877" s="15" t="s">
        <v>131</v>
      </c>
      <c r="AE1877" s="15" t="s">
        <v>350</v>
      </c>
      <c r="AF1877" s="12">
        <f>IF(AG1877="Rejected",0,IF(R1877="Corporate Card",0,V1877))</f>
        <v>0</v>
      </c>
      <c r="AG1877" s="15" t="s">
        <v>133</v>
      </c>
      <c r="AH1877" s="16">
        <v>45882</v>
      </c>
      <c r="AI1877" s="16">
        <v>45888</v>
      </c>
      <c r="AJ1877" s="16">
        <v>45896</v>
      </c>
      <c r="AK1877" s="17">
        <f>IF(AJ1877="","",AJ1877-AH1877)</f>
        <v>14</v>
      </c>
    </row>
    <row r="1878" spans="1:37">
      <c r="A1878" s="2" t="s">
        <v>2335</v>
      </c>
      <c r="B1878" s="2" t="s">
        <v>882</v>
      </c>
      <c r="C1878" s="2" t="s">
        <v>446</v>
      </c>
      <c r="D1878" s="2" t="s">
        <v>444</v>
      </c>
      <c r="E1878" s="2" t="s">
        <v>883</v>
      </c>
      <c r="F1878" s="2" t="s">
        <v>313</v>
      </c>
      <c r="G1878" s="2" t="s">
        <v>2313</v>
      </c>
      <c r="H1878" s="2" t="s">
        <v>448</v>
      </c>
      <c r="I1878" s="2" t="s">
        <v>194</v>
      </c>
      <c r="J1878" s="2" t="s">
        <v>195</v>
      </c>
      <c r="K1878" s="9">
        <v>45870</v>
      </c>
      <c r="L1878" s="9">
        <v>45874</v>
      </c>
      <c r="M1878" s="9">
        <v>45871</v>
      </c>
      <c r="N1878" s="2" t="s">
        <v>2314</v>
      </c>
      <c r="O1878" s="2" t="s">
        <v>55</v>
      </c>
      <c r="P1878" s="2" t="s">
        <v>139</v>
      </c>
      <c r="Q1878" s="2" t="s">
        <v>187</v>
      </c>
      <c r="R1878" s="2" t="s">
        <v>128</v>
      </c>
      <c r="S1878" s="2" t="s">
        <v>198</v>
      </c>
      <c r="T1878" s="10">
        <v>24.2</v>
      </c>
      <c r="U1878" s="11">
        <v>1.085</v>
      </c>
      <c r="V1878" s="12">
        <f>T1878*U1878</f>
        <v>26.256999999999998</v>
      </c>
      <c r="W1878" s="13">
        <v>0.19</v>
      </c>
      <c r="X1878" s="12">
        <f>V1878-(V1878/(1+W1878))</f>
        <v>4.1922941176470587</v>
      </c>
      <c r="Y1878" s="12">
        <f>V1878-X1878</f>
        <v>22.064705882352939</v>
      </c>
      <c r="Z1878" s="14">
        <v>35</v>
      </c>
      <c r="AA1878" s="2" t="str">
        <f>IF(V1878&gt;Z1878,"Yes","No")</f>
        <v>No</v>
      </c>
      <c r="AB1878" s="12">
        <f>V1878-Z1878</f>
        <v>-8.7430000000000021</v>
      </c>
      <c r="AC1878" s="15" t="s">
        <v>130</v>
      </c>
      <c r="AD1878" s="15" t="s">
        <v>131</v>
      </c>
      <c r="AE1878" s="15" t="s">
        <v>350</v>
      </c>
      <c r="AF1878" s="12">
        <f>IF(AG1878="Rejected",0,IF(R1878="Corporate Card",0,V1878))</f>
        <v>0</v>
      </c>
      <c r="AG1878" s="15" t="s">
        <v>133</v>
      </c>
      <c r="AH1878" s="16">
        <v>45882</v>
      </c>
      <c r="AI1878" s="16">
        <v>45888</v>
      </c>
      <c r="AJ1878" s="16">
        <v>45896</v>
      </c>
      <c r="AK1878" s="17">
        <f>IF(AJ1878="","",AJ1878-AH1878)</f>
        <v>14</v>
      </c>
    </row>
    <row r="1879" spans="1:37">
      <c r="A1879" s="2" t="s">
        <v>2336</v>
      </c>
      <c r="B1879" s="2" t="s">
        <v>287</v>
      </c>
      <c r="C1879" s="2" t="s">
        <v>288</v>
      </c>
      <c r="D1879" s="2" t="s">
        <v>171</v>
      </c>
      <c r="E1879" s="2" t="s">
        <v>289</v>
      </c>
      <c r="F1879" s="2" t="s">
        <v>173</v>
      </c>
      <c r="G1879" s="2" t="s">
        <v>2287</v>
      </c>
      <c r="H1879" s="2" t="s">
        <v>748</v>
      </c>
      <c r="I1879" s="2" t="s">
        <v>175</v>
      </c>
      <c r="J1879" s="2" t="s">
        <v>176</v>
      </c>
      <c r="K1879" s="9">
        <v>45864</v>
      </c>
      <c r="L1879" s="9">
        <v>45872</v>
      </c>
      <c r="M1879" s="9">
        <v>45871</v>
      </c>
      <c r="N1879" s="2" t="s">
        <v>2314</v>
      </c>
      <c r="O1879" s="2" t="s">
        <v>67</v>
      </c>
      <c r="P1879" s="2" t="s">
        <v>401</v>
      </c>
      <c r="Q1879" s="2" t="s">
        <v>402</v>
      </c>
      <c r="R1879" s="2" t="s">
        <v>128</v>
      </c>
      <c r="S1879" s="2" t="s">
        <v>179</v>
      </c>
      <c r="T1879" s="10">
        <v>281.63</v>
      </c>
      <c r="U1879" s="11">
        <v>0.18099999999999999</v>
      </c>
      <c r="V1879" s="12">
        <f>T1879*U1879</f>
        <v>50.975029999999997</v>
      </c>
      <c r="W1879" s="13">
        <v>0.17</v>
      </c>
      <c r="X1879" s="12">
        <f>V1879-(V1879/(1+W1879))</f>
        <v>7.4066282905982845</v>
      </c>
      <c r="Y1879" s="12">
        <f>V1879-X1879</f>
        <v>43.568401709401712</v>
      </c>
      <c r="Z1879" s="14">
        <v>100</v>
      </c>
      <c r="AA1879" s="2" t="str">
        <f>IF(V1879&gt;Z1879,"Yes","No")</f>
        <v>No</v>
      </c>
      <c r="AB1879" s="12">
        <f>V1879-Z1879</f>
        <v>-49.024970000000003</v>
      </c>
      <c r="AC1879" s="15" t="s">
        <v>130</v>
      </c>
      <c r="AD1879" s="15" t="s">
        <v>130</v>
      </c>
      <c r="AE1879" s="15" t="s">
        <v>437</v>
      </c>
      <c r="AF1879" s="12">
        <f>IF(AG1879="Rejected",0,IF(R1879="Corporate Card",0,V1879))</f>
        <v>0</v>
      </c>
      <c r="AG1879" s="15" t="s">
        <v>181</v>
      </c>
      <c r="AH1879" s="16">
        <v>45880</v>
      </c>
      <c r="AI1879" s="16"/>
      <c r="AJ1879" s="16"/>
      <c r="AK1879" s="17" t="str">
        <f>IF(AJ1879="","",AJ1879-AH1879)</f>
        <v/>
      </c>
    </row>
    <row r="1880" spans="1:37">
      <c r="A1880" s="2" t="s">
        <v>2337</v>
      </c>
      <c r="B1880" s="2" t="s">
        <v>287</v>
      </c>
      <c r="C1880" s="2" t="s">
        <v>288</v>
      </c>
      <c r="D1880" s="2" t="s">
        <v>171</v>
      </c>
      <c r="E1880" s="2" t="s">
        <v>289</v>
      </c>
      <c r="F1880" s="2" t="s">
        <v>173</v>
      </c>
      <c r="G1880" s="2" t="s">
        <v>2287</v>
      </c>
      <c r="H1880" s="2" t="s">
        <v>748</v>
      </c>
      <c r="I1880" s="2" t="s">
        <v>175</v>
      </c>
      <c r="J1880" s="2" t="s">
        <v>176</v>
      </c>
      <c r="K1880" s="9">
        <v>45864</v>
      </c>
      <c r="L1880" s="9">
        <v>45872</v>
      </c>
      <c r="M1880" s="9">
        <v>45871</v>
      </c>
      <c r="N1880" s="2" t="s">
        <v>2314</v>
      </c>
      <c r="O1880" s="2" t="s">
        <v>54</v>
      </c>
      <c r="P1880" s="2" t="s">
        <v>139</v>
      </c>
      <c r="Q1880" s="2" t="s">
        <v>140</v>
      </c>
      <c r="R1880" s="2" t="s">
        <v>137</v>
      </c>
      <c r="S1880" s="2" t="s">
        <v>179</v>
      </c>
      <c r="T1880" s="10">
        <v>137.11000000000001</v>
      </c>
      <c r="U1880" s="11">
        <v>0.18099999999999999</v>
      </c>
      <c r="V1880" s="12">
        <f>T1880*U1880</f>
        <v>24.81691</v>
      </c>
      <c r="W1880" s="13">
        <v>0.17</v>
      </c>
      <c r="X1880" s="12">
        <f>V1880-(V1880/(1+W1880))</f>
        <v>3.6058758119658094</v>
      </c>
      <c r="Y1880" s="12">
        <f>V1880-X1880</f>
        <v>21.211034188034191</v>
      </c>
      <c r="Z1880" s="14">
        <v>25</v>
      </c>
      <c r="AA1880" s="2" t="str">
        <f>IF(V1880&gt;Z1880,"Yes","No")</f>
        <v>No</v>
      </c>
      <c r="AB1880" s="12">
        <f>V1880-Z1880</f>
        <v>-0.18308999999999997</v>
      </c>
      <c r="AC1880" s="15" t="s">
        <v>130</v>
      </c>
      <c r="AD1880" s="15" t="s">
        <v>130</v>
      </c>
      <c r="AE1880" s="15" t="s">
        <v>437</v>
      </c>
      <c r="AF1880" s="12">
        <f>IF(AG1880="Rejected",0,IF(R1880="Corporate Card",0,V1880))</f>
        <v>24.81691</v>
      </c>
      <c r="AG1880" s="15" t="s">
        <v>181</v>
      </c>
      <c r="AH1880" s="16">
        <v>45880</v>
      </c>
      <c r="AI1880" s="16"/>
      <c r="AJ1880" s="16"/>
      <c r="AK1880" s="17" t="str">
        <f>IF(AJ1880="","",AJ1880-AH1880)</f>
        <v/>
      </c>
    </row>
    <row r="1881" spans="1:37">
      <c r="A1881" s="2" t="s">
        <v>2338</v>
      </c>
      <c r="B1881" s="2" t="s">
        <v>287</v>
      </c>
      <c r="C1881" s="2" t="s">
        <v>288</v>
      </c>
      <c r="D1881" s="2" t="s">
        <v>171</v>
      </c>
      <c r="E1881" s="2" t="s">
        <v>289</v>
      </c>
      <c r="F1881" s="2" t="s">
        <v>173</v>
      </c>
      <c r="G1881" s="2" t="s">
        <v>2287</v>
      </c>
      <c r="H1881" s="2" t="s">
        <v>748</v>
      </c>
      <c r="I1881" s="2" t="s">
        <v>175</v>
      </c>
      <c r="J1881" s="2" t="s">
        <v>176</v>
      </c>
      <c r="K1881" s="9">
        <v>45864</v>
      </c>
      <c r="L1881" s="9">
        <v>45872</v>
      </c>
      <c r="M1881" s="9">
        <v>45871</v>
      </c>
      <c r="N1881" s="2" t="s">
        <v>2314</v>
      </c>
      <c r="O1881" s="2" t="s">
        <v>56</v>
      </c>
      <c r="P1881" s="2" t="s">
        <v>165</v>
      </c>
      <c r="Q1881" s="2" t="s">
        <v>185</v>
      </c>
      <c r="R1881" s="2" t="s">
        <v>128</v>
      </c>
      <c r="S1881" s="2" t="s">
        <v>179</v>
      </c>
      <c r="T1881" s="10">
        <v>375.45</v>
      </c>
      <c r="U1881" s="11">
        <v>0.18099999999999999</v>
      </c>
      <c r="V1881" s="12">
        <f>T1881*U1881</f>
        <v>67.95644999999999</v>
      </c>
      <c r="W1881" s="13">
        <v>0.17</v>
      </c>
      <c r="X1881" s="12">
        <f>V1881-(V1881/(1+W1881))</f>
        <v>9.8740141025640966</v>
      </c>
      <c r="Y1881" s="12">
        <f>V1881-X1881</f>
        <v>58.082435897435893</v>
      </c>
      <c r="Z1881" s="14">
        <v>75</v>
      </c>
      <c r="AA1881" s="2" t="str">
        <f>IF(V1881&gt;Z1881,"Yes","No")</f>
        <v>No</v>
      </c>
      <c r="AB1881" s="12">
        <f>V1881-Z1881</f>
        <v>-7.0435500000000104</v>
      </c>
      <c r="AC1881" s="15" t="s">
        <v>130</v>
      </c>
      <c r="AD1881" s="15" t="s">
        <v>130</v>
      </c>
      <c r="AE1881" s="15" t="s">
        <v>437</v>
      </c>
      <c r="AF1881" s="12">
        <f>IF(AG1881="Rejected",0,IF(R1881="Corporate Card",0,V1881))</f>
        <v>0</v>
      </c>
      <c r="AG1881" s="15" t="s">
        <v>181</v>
      </c>
      <c r="AH1881" s="16">
        <v>45880</v>
      </c>
      <c r="AI1881" s="16"/>
      <c r="AJ1881" s="16"/>
      <c r="AK1881" s="17" t="str">
        <f>IF(AJ1881="","",AJ1881-AH1881)</f>
        <v/>
      </c>
    </row>
    <row r="1882" spans="1:37">
      <c r="A1882" s="2" t="s">
        <v>2339</v>
      </c>
      <c r="B1882" s="2" t="s">
        <v>287</v>
      </c>
      <c r="C1882" s="2" t="s">
        <v>288</v>
      </c>
      <c r="D1882" s="2" t="s">
        <v>171</v>
      </c>
      <c r="E1882" s="2" t="s">
        <v>289</v>
      </c>
      <c r="F1882" s="2" t="s">
        <v>173</v>
      </c>
      <c r="G1882" s="2" t="s">
        <v>2287</v>
      </c>
      <c r="H1882" s="2" t="s">
        <v>748</v>
      </c>
      <c r="I1882" s="2" t="s">
        <v>175</v>
      </c>
      <c r="J1882" s="2" t="s">
        <v>176</v>
      </c>
      <c r="K1882" s="9">
        <v>45864</v>
      </c>
      <c r="L1882" s="9">
        <v>45872</v>
      </c>
      <c r="M1882" s="9">
        <v>45871</v>
      </c>
      <c r="N1882" s="2" t="s">
        <v>2314</v>
      </c>
      <c r="O1882" s="2" t="s">
        <v>55</v>
      </c>
      <c r="P1882" s="2" t="s">
        <v>139</v>
      </c>
      <c r="Q1882" s="2" t="s">
        <v>187</v>
      </c>
      <c r="R1882" s="2" t="s">
        <v>128</v>
      </c>
      <c r="S1882" s="2" t="s">
        <v>179</v>
      </c>
      <c r="T1882" s="10">
        <v>185.72</v>
      </c>
      <c r="U1882" s="11">
        <v>0.18099999999999999</v>
      </c>
      <c r="V1882" s="12">
        <f>T1882*U1882</f>
        <v>33.615319999999997</v>
      </c>
      <c r="W1882" s="13">
        <v>0.17</v>
      </c>
      <c r="X1882" s="12">
        <f>V1882-(V1882/(1+W1882))</f>
        <v>4.8842772649572623</v>
      </c>
      <c r="Y1882" s="12">
        <f>V1882-X1882</f>
        <v>28.731042735042735</v>
      </c>
      <c r="Z1882" s="14">
        <v>35</v>
      </c>
      <c r="AA1882" s="2" t="str">
        <f>IF(V1882&gt;Z1882,"Yes","No")</f>
        <v>No</v>
      </c>
      <c r="AB1882" s="12">
        <f>V1882-Z1882</f>
        <v>-1.384680000000003</v>
      </c>
      <c r="AC1882" s="15" t="s">
        <v>130</v>
      </c>
      <c r="AD1882" s="15" t="s">
        <v>130</v>
      </c>
      <c r="AE1882" s="15" t="s">
        <v>437</v>
      </c>
      <c r="AF1882" s="12">
        <f>IF(AG1882="Rejected",0,IF(R1882="Corporate Card",0,V1882))</f>
        <v>0</v>
      </c>
      <c r="AG1882" s="15" t="s">
        <v>181</v>
      </c>
      <c r="AH1882" s="16">
        <v>45880</v>
      </c>
      <c r="AI1882" s="16"/>
      <c r="AJ1882" s="16"/>
      <c r="AK1882" s="17" t="str">
        <f>IF(AJ1882="","",AJ1882-AH1882)</f>
        <v/>
      </c>
    </row>
    <row r="1883" spans="1:37">
      <c r="A1883" s="2" t="s">
        <v>2340</v>
      </c>
      <c r="B1883" s="2" t="s">
        <v>863</v>
      </c>
      <c r="C1883" s="2" t="s">
        <v>864</v>
      </c>
      <c r="D1883" s="2" t="s">
        <v>865</v>
      </c>
      <c r="E1883" s="2" t="s">
        <v>866</v>
      </c>
      <c r="F1883" s="2" t="s">
        <v>867</v>
      </c>
      <c r="G1883" s="2" t="s">
        <v>2327</v>
      </c>
      <c r="H1883" s="2" t="s">
        <v>193</v>
      </c>
      <c r="I1883" s="2" t="s">
        <v>1251</v>
      </c>
      <c r="J1883" s="2" t="s">
        <v>750</v>
      </c>
      <c r="K1883" s="9">
        <v>45871</v>
      </c>
      <c r="L1883" s="9">
        <v>45877</v>
      </c>
      <c r="M1883" s="9">
        <v>45872</v>
      </c>
      <c r="N1883" s="2" t="s">
        <v>2314</v>
      </c>
      <c r="O1883" s="2" t="s">
        <v>59</v>
      </c>
      <c r="P1883" s="2" t="s">
        <v>301</v>
      </c>
      <c r="Q1883" s="2" t="s">
        <v>581</v>
      </c>
      <c r="R1883" s="2" t="s">
        <v>128</v>
      </c>
      <c r="S1883" s="2" t="s">
        <v>198</v>
      </c>
      <c r="T1883" s="10">
        <v>82.15</v>
      </c>
      <c r="U1883" s="11">
        <v>1.085</v>
      </c>
      <c r="V1883" s="12">
        <f>T1883*U1883</f>
        <v>89.132750000000001</v>
      </c>
      <c r="W1883" s="13">
        <v>0.19</v>
      </c>
      <c r="X1883" s="12">
        <f>V1883-(V1883/(1+W1883))</f>
        <v>14.231279411764703</v>
      </c>
      <c r="Y1883" s="12">
        <f>V1883-X1883</f>
        <v>74.901470588235298</v>
      </c>
      <c r="Z1883" s="14">
        <v>150</v>
      </c>
      <c r="AA1883" s="2" t="str">
        <f>IF(V1883&gt;Z1883,"Yes","No")</f>
        <v>No</v>
      </c>
      <c r="AB1883" s="12">
        <f>V1883-Z1883</f>
        <v>-60.867249999999999</v>
      </c>
      <c r="AC1883" s="15" t="s">
        <v>130</v>
      </c>
      <c r="AD1883" s="15" t="s">
        <v>130</v>
      </c>
      <c r="AE1883" s="15" t="s">
        <v>421</v>
      </c>
      <c r="AF1883" s="12">
        <f>IF(AG1883="Rejected",0,IF(R1883="Corporate Card",0,V1883))</f>
        <v>0</v>
      </c>
      <c r="AG1883" s="15" t="s">
        <v>133</v>
      </c>
      <c r="AH1883" s="16">
        <v>45886</v>
      </c>
      <c r="AI1883" s="16">
        <v>45887</v>
      </c>
      <c r="AJ1883" s="16">
        <v>45897</v>
      </c>
      <c r="AK1883" s="17">
        <f>IF(AJ1883="","",AJ1883-AH1883)</f>
        <v>11</v>
      </c>
    </row>
    <row r="1884" spans="1:37">
      <c r="A1884" s="2" t="s">
        <v>2341</v>
      </c>
      <c r="B1884" s="2" t="s">
        <v>863</v>
      </c>
      <c r="C1884" s="2" t="s">
        <v>864</v>
      </c>
      <c r="D1884" s="2" t="s">
        <v>865</v>
      </c>
      <c r="E1884" s="2" t="s">
        <v>866</v>
      </c>
      <c r="F1884" s="2" t="s">
        <v>867</v>
      </c>
      <c r="G1884" s="2" t="s">
        <v>2327</v>
      </c>
      <c r="H1884" s="2" t="s">
        <v>193</v>
      </c>
      <c r="I1884" s="2" t="s">
        <v>1251</v>
      </c>
      <c r="J1884" s="2" t="s">
        <v>750</v>
      </c>
      <c r="K1884" s="9">
        <v>45871</v>
      </c>
      <c r="L1884" s="9">
        <v>45877</v>
      </c>
      <c r="M1884" s="9">
        <v>45872</v>
      </c>
      <c r="N1884" s="2" t="s">
        <v>2314</v>
      </c>
      <c r="O1884" s="2" t="s">
        <v>58</v>
      </c>
      <c r="P1884" s="2" t="s">
        <v>142</v>
      </c>
      <c r="Q1884" s="2" t="s">
        <v>203</v>
      </c>
      <c r="R1884" s="2" t="s">
        <v>128</v>
      </c>
      <c r="S1884" s="2" t="s">
        <v>198</v>
      </c>
      <c r="T1884" s="10">
        <v>31.18</v>
      </c>
      <c r="U1884" s="11">
        <v>1.085</v>
      </c>
      <c r="V1884" s="12">
        <f>T1884*U1884</f>
        <v>33.830300000000001</v>
      </c>
      <c r="W1884" s="13">
        <v>0.19</v>
      </c>
      <c r="X1884" s="12">
        <f>V1884-(V1884/(1+W1884))</f>
        <v>5.4014764705882357</v>
      </c>
      <c r="Y1884" s="12">
        <f>V1884-X1884</f>
        <v>28.428823529411765</v>
      </c>
      <c r="Z1884" s="14">
        <v>60</v>
      </c>
      <c r="AA1884" s="2" t="str">
        <f>IF(V1884&gt;Z1884,"Yes","No")</f>
        <v>No</v>
      </c>
      <c r="AB1884" s="12">
        <f>V1884-Z1884</f>
        <v>-26.169699999999999</v>
      </c>
      <c r="AC1884" s="15" t="s">
        <v>130</v>
      </c>
      <c r="AD1884" s="15" t="s">
        <v>130</v>
      </c>
      <c r="AE1884" s="15" t="s">
        <v>421</v>
      </c>
      <c r="AF1884" s="12">
        <f>IF(AG1884="Rejected",0,IF(R1884="Corporate Card",0,V1884))</f>
        <v>0</v>
      </c>
      <c r="AG1884" s="15" t="s">
        <v>133</v>
      </c>
      <c r="AH1884" s="16">
        <v>45886</v>
      </c>
      <c r="AI1884" s="16">
        <v>45887</v>
      </c>
      <c r="AJ1884" s="16">
        <v>45897</v>
      </c>
      <c r="AK1884" s="17">
        <f>IF(AJ1884="","",AJ1884-AH1884)</f>
        <v>11</v>
      </c>
    </row>
    <row r="1885" spans="1:37">
      <c r="A1885" s="2" t="s">
        <v>2342</v>
      </c>
      <c r="B1885" s="2" t="s">
        <v>863</v>
      </c>
      <c r="C1885" s="2" t="s">
        <v>864</v>
      </c>
      <c r="D1885" s="2" t="s">
        <v>865</v>
      </c>
      <c r="E1885" s="2" t="s">
        <v>866</v>
      </c>
      <c r="F1885" s="2" t="s">
        <v>867</v>
      </c>
      <c r="G1885" s="2" t="s">
        <v>2327</v>
      </c>
      <c r="H1885" s="2" t="s">
        <v>193</v>
      </c>
      <c r="I1885" s="2" t="s">
        <v>1251</v>
      </c>
      <c r="J1885" s="2" t="s">
        <v>750</v>
      </c>
      <c r="K1885" s="9">
        <v>45871</v>
      </c>
      <c r="L1885" s="9">
        <v>45877</v>
      </c>
      <c r="M1885" s="9">
        <v>45872</v>
      </c>
      <c r="N1885" s="2" t="s">
        <v>2314</v>
      </c>
      <c r="O1885" s="2" t="s">
        <v>53</v>
      </c>
      <c r="P1885" s="2" t="s">
        <v>467</v>
      </c>
      <c r="Q1885" s="2" t="s">
        <v>305</v>
      </c>
      <c r="R1885" s="2" t="s">
        <v>137</v>
      </c>
      <c r="S1885" s="2" t="s">
        <v>198</v>
      </c>
      <c r="T1885" s="10">
        <v>1215.3599999999999</v>
      </c>
      <c r="U1885" s="11">
        <v>1.085</v>
      </c>
      <c r="V1885" s="12">
        <f>T1885*U1885</f>
        <v>1318.6655999999998</v>
      </c>
      <c r="W1885" s="13">
        <v>0.19</v>
      </c>
      <c r="X1885" s="12">
        <f>V1885-(V1885/(1+W1885))</f>
        <v>210.54324705882345</v>
      </c>
      <c r="Y1885" s="12">
        <f>V1885-X1885</f>
        <v>1108.1223529411764</v>
      </c>
      <c r="Z1885" s="14">
        <v>1680</v>
      </c>
      <c r="AA1885" s="2" t="str">
        <f>IF(V1885&gt;Z1885,"Yes","No")</f>
        <v>No</v>
      </c>
      <c r="AB1885" s="12">
        <f>V1885-Z1885</f>
        <v>-361.33440000000019</v>
      </c>
      <c r="AC1885" s="15" t="s">
        <v>130</v>
      </c>
      <c r="AD1885" s="15" t="s">
        <v>130</v>
      </c>
      <c r="AE1885" s="15" t="s">
        <v>421</v>
      </c>
      <c r="AF1885" s="12">
        <f>IF(AG1885="Rejected",0,IF(R1885="Corporate Card",0,V1885))</f>
        <v>1318.6655999999998</v>
      </c>
      <c r="AG1885" s="15" t="s">
        <v>133</v>
      </c>
      <c r="AH1885" s="16">
        <v>45886</v>
      </c>
      <c r="AI1885" s="16">
        <v>45887</v>
      </c>
      <c r="AJ1885" s="16">
        <v>45897</v>
      </c>
      <c r="AK1885" s="17">
        <f>IF(AJ1885="","",AJ1885-AH1885)</f>
        <v>11</v>
      </c>
    </row>
    <row r="1886" spans="1:37">
      <c r="A1886" s="2" t="s">
        <v>2343</v>
      </c>
      <c r="B1886" s="2" t="s">
        <v>863</v>
      </c>
      <c r="C1886" s="2" t="s">
        <v>864</v>
      </c>
      <c r="D1886" s="2" t="s">
        <v>865</v>
      </c>
      <c r="E1886" s="2" t="s">
        <v>866</v>
      </c>
      <c r="F1886" s="2" t="s">
        <v>867</v>
      </c>
      <c r="G1886" s="2" t="s">
        <v>2327</v>
      </c>
      <c r="H1886" s="2" t="s">
        <v>193</v>
      </c>
      <c r="I1886" s="2" t="s">
        <v>1251</v>
      </c>
      <c r="J1886" s="2" t="s">
        <v>750</v>
      </c>
      <c r="K1886" s="9">
        <v>45871</v>
      </c>
      <c r="L1886" s="9">
        <v>45877</v>
      </c>
      <c r="M1886" s="9">
        <v>45872</v>
      </c>
      <c r="N1886" s="2" t="s">
        <v>2314</v>
      </c>
      <c r="O1886" s="2" t="s">
        <v>54</v>
      </c>
      <c r="P1886" s="2" t="s">
        <v>139</v>
      </c>
      <c r="Q1886" s="2" t="s">
        <v>140</v>
      </c>
      <c r="R1886" s="2" t="s">
        <v>128</v>
      </c>
      <c r="S1886" s="2" t="s">
        <v>198</v>
      </c>
      <c r="T1886" s="10">
        <v>26.35</v>
      </c>
      <c r="U1886" s="11">
        <v>1.085</v>
      </c>
      <c r="V1886" s="12">
        <f>T1886*U1886</f>
        <v>28.589750000000002</v>
      </c>
      <c r="W1886" s="13">
        <v>0.19</v>
      </c>
      <c r="X1886" s="12">
        <f>V1886-(V1886/(1+W1886))</f>
        <v>4.5647500000000001</v>
      </c>
      <c r="Y1886" s="12">
        <f>V1886-X1886</f>
        <v>24.025000000000002</v>
      </c>
      <c r="Z1886" s="14">
        <v>25</v>
      </c>
      <c r="AA1886" s="2" t="str">
        <f>IF(V1886&gt;Z1886,"Yes","No")</f>
        <v>Yes</v>
      </c>
      <c r="AB1886" s="12">
        <f>V1886-Z1886</f>
        <v>3.5897500000000022</v>
      </c>
      <c r="AC1886" s="15" t="s">
        <v>130</v>
      </c>
      <c r="AD1886" s="15" t="s">
        <v>130</v>
      </c>
      <c r="AE1886" s="15" t="s">
        <v>421</v>
      </c>
      <c r="AF1886" s="12">
        <f>IF(AG1886="Rejected",0,IF(R1886="Corporate Card",0,V1886))</f>
        <v>0</v>
      </c>
      <c r="AG1886" s="15" t="s">
        <v>133</v>
      </c>
      <c r="AH1886" s="16">
        <v>45886</v>
      </c>
      <c r="AI1886" s="16">
        <v>45887</v>
      </c>
      <c r="AJ1886" s="16">
        <v>45897</v>
      </c>
      <c r="AK1886" s="17">
        <f>IF(AJ1886="","",AJ1886-AH1886)</f>
        <v>11</v>
      </c>
    </row>
    <row r="1887" spans="1:37">
      <c r="A1887" s="2" t="s">
        <v>2344</v>
      </c>
      <c r="B1887" s="2" t="s">
        <v>863</v>
      </c>
      <c r="C1887" s="2" t="s">
        <v>864</v>
      </c>
      <c r="D1887" s="2" t="s">
        <v>865</v>
      </c>
      <c r="E1887" s="2" t="s">
        <v>866</v>
      </c>
      <c r="F1887" s="2" t="s">
        <v>867</v>
      </c>
      <c r="G1887" s="2" t="s">
        <v>2327</v>
      </c>
      <c r="H1887" s="2" t="s">
        <v>193</v>
      </c>
      <c r="I1887" s="2" t="s">
        <v>1251</v>
      </c>
      <c r="J1887" s="2" t="s">
        <v>750</v>
      </c>
      <c r="K1887" s="9">
        <v>45871</v>
      </c>
      <c r="L1887" s="9">
        <v>45877</v>
      </c>
      <c r="M1887" s="9">
        <v>45872</v>
      </c>
      <c r="N1887" s="2" t="s">
        <v>2314</v>
      </c>
      <c r="O1887" s="2" t="s">
        <v>56</v>
      </c>
      <c r="P1887" s="2" t="s">
        <v>231</v>
      </c>
      <c r="Q1887" s="2" t="s">
        <v>159</v>
      </c>
      <c r="R1887" s="2" t="s">
        <v>128</v>
      </c>
      <c r="S1887" s="2" t="s">
        <v>198</v>
      </c>
      <c r="T1887" s="10">
        <v>47.07</v>
      </c>
      <c r="U1887" s="11">
        <v>1.085</v>
      </c>
      <c r="V1887" s="12">
        <f>T1887*U1887</f>
        <v>51.070949999999996</v>
      </c>
      <c r="W1887" s="13">
        <v>0.19</v>
      </c>
      <c r="X1887" s="12">
        <f>V1887-(V1887/(1+W1887))</f>
        <v>8.1541852941176458</v>
      </c>
      <c r="Y1887" s="12">
        <f>V1887-X1887</f>
        <v>42.91676470588235</v>
      </c>
      <c r="Z1887" s="14">
        <v>75</v>
      </c>
      <c r="AA1887" s="2" t="str">
        <f>IF(V1887&gt;Z1887,"Yes","No")</f>
        <v>No</v>
      </c>
      <c r="AB1887" s="12">
        <f>V1887-Z1887</f>
        <v>-23.929050000000004</v>
      </c>
      <c r="AC1887" s="15" t="s">
        <v>130</v>
      </c>
      <c r="AD1887" s="15" t="s">
        <v>130</v>
      </c>
      <c r="AE1887" s="15" t="s">
        <v>421</v>
      </c>
      <c r="AF1887" s="12">
        <f>IF(AG1887="Rejected",0,IF(R1887="Corporate Card",0,V1887))</f>
        <v>0</v>
      </c>
      <c r="AG1887" s="15" t="s">
        <v>133</v>
      </c>
      <c r="AH1887" s="16">
        <v>45886</v>
      </c>
      <c r="AI1887" s="16">
        <v>45887</v>
      </c>
      <c r="AJ1887" s="16">
        <v>45897</v>
      </c>
      <c r="AK1887" s="17">
        <f>IF(AJ1887="","",AJ1887-AH1887)</f>
        <v>11</v>
      </c>
    </row>
    <row r="1888" spans="1:37">
      <c r="A1888" s="2" t="s">
        <v>2345</v>
      </c>
      <c r="B1888" s="2" t="s">
        <v>863</v>
      </c>
      <c r="C1888" s="2" t="s">
        <v>864</v>
      </c>
      <c r="D1888" s="2" t="s">
        <v>865</v>
      </c>
      <c r="E1888" s="2" t="s">
        <v>866</v>
      </c>
      <c r="F1888" s="2" t="s">
        <v>867</v>
      </c>
      <c r="G1888" s="2" t="s">
        <v>2327</v>
      </c>
      <c r="H1888" s="2" t="s">
        <v>193</v>
      </c>
      <c r="I1888" s="2" t="s">
        <v>1251</v>
      </c>
      <c r="J1888" s="2" t="s">
        <v>750</v>
      </c>
      <c r="K1888" s="9">
        <v>45871</v>
      </c>
      <c r="L1888" s="9">
        <v>45877</v>
      </c>
      <c r="M1888" s="9">
        <v>45872</v>
      </c>
      <c r="N1888" s="2" t="s">
        <v>2314</v>
      </c>
      <c r="O1888" s="2" t="s">
        <v>55</v>
      </c>
      <c r="P1888" s="2" t="s">
        <v>139</v>
      </c>
      <c r="Q1888" s="2" t="s">
        <v>217</v>
      </c>
      <c r="R1888" s="2" t="s">
        <v>128</v>
      </c>
      <c r="S1888" s="2" t="s">
        <v>198</v>
      </c>
      <c r="T1888" s="10">
        <v>12.8</v>
      </c>
      <c r="U1888" s="11">
        <v>1.085</v>
      </c>
      <c r="V1888" s="12">
        <f>T1888*U1888</f>
        <v>13.888</v>
      </c>
      <c r="W1888" s="13">
        <v>0.19</v>
      </c>
      <c r="X1888" s="12">
        <f>V1888-(V1888/(1+W1888))</f>
        <v>2.2174117647058811</v>
      </c>
      <c r="Y1888" s="12">
        <f>V1888-X1888</f>
        <v>11.670588235294119</v>
      </c>
      <c r="Z1888" s="14">
        <v>35</v>
      </c>
      <c r="AA1888" s="2" t="str">
        <f>IF(V1888&gt;Z1888,"Yes","No")</f>
        <v>No</v>
      </c>
      <c r="AB1888" s="12">
        <f>V1888-Z1888</f>
        <v>-21.112000000000002</v>
      </c>
      <c r="AC1888" s="15" t="s">
        <v>131</v>
      </c>
      <c r="AD1888" s="15" t="s">
        <v>130</v>
      </c>
      <c r="AE1888" s="15" t="s">
        <v>421</v>
      </c>
      <c r="AF1888" s="12">
        <f>IF(AG1888="Rejected",0,IF(R1888="Corporate Card",0,V1888))</f>
        <v>0</v>
      </c>
      <c r="AG1888" s="15" t="s">
        <v>133</v>
      </c>
      <c r="AH1888" s="16">
        <v>45886</v>
      </c>
      <c r="AI1888" s="16">
        <v>45887</v>
      </c>
      <c r="AJ1888" s="16">
        <v>45897</v>
      </c>
      <c r="AK1888" s="17">
        <f>IF(AJ1888="","",AJ1888-AH1888)</f>
        <v>11</v>
      </c>
    </row>
    <row r="1889" spans="1:37">
      <c r="A1889" s="2" t="s">
        <v>2346</v>
      </c>
      <c r="B1889" s="2" t="s">
        <v>863</v>
      </c>
      <c r="C1889" s="2" t="s">
        <v>864</v>
      </c>
      <c r="D1889" s="2" t="s">
        <v>865</v>
      </c>
      <c r="E1889" s="2" t="s">
        <v>866</v>
      </c>
      <c r="F1889" s="2" t="s">
        <v>867</v>
      </c>
      <c r="G1889" s="2" t="s">
        <v>2327</v>
      </c>
      <c r="H1889" s="2" t="s">
        <v>193</v>
      </c>
      <c r="I1889" s="2" t="s">
        <v>1251</v>
      </c>
      <c r="J1889" s="2" t="s">
        <v>750</v>
      </c>
      <c r="K1889" s="9">
        <v>45871</v>
      </c>
      <c r="L1889" s="9">
        <v>45877</v>
      </c>
      <c r="M1889" s="9">
        <v>45872</v>
      </c>
      <c r="N1889" s="2" t="s">
        <v>2314</v>
      </c>
      <c r="O1889" s="2" t="s">
        <v>69</v>
      </c>
      <c r="P1889" s="2" t="s">
        <v>409</v>
      </c>
      <c r="Q1889" s="2" t="s">
        <v>1191</v>
      </c>
      <c r="R1889" s="2" t="s">
        <v>128</v>
      </c>
      <c r="S1889" s="2" t="s">
        <v>198</v>
      </c>
      <c r="T1889" s="10">
        <v>47.2</v>
      </c>
      <c r="U1889" s="11">
        <v>1.085</v>
      </c>
      <c r="V1889" s="12">
        <f>T1889*U1889</f>
        <v>51.212000000000003</v>
      </c>
      <c r="W1889" s="13">
        <v>0.19</v>
      </c>
      <c r="X1889" s="12">
        <f>V1889-(V1889/(1+W1889))</f>
        <v>8.176705882352941</v>
      </c>
      <c r="Y1889" s="12">
        <f>V1889-X1889</f>
        <v>43.035294117647062</v>
      </c>
      <c r="Z1889" s="14">
        <v>60</v>
      </c>
      <c r="AA1889" s="2" t="str">
        <f>IF(V1889&gt;Z1889,"Yes","No")</f>
        <v>No</v>
      </c>
      <c r="AB1889" s="12">
        <f>V1889-Z1889</f>
        <v>-8.7879999999999967</v>
      </c>
      <c r="AC1889" s="15" t="s">
        <v>130</v>
      </c>
      <c r="AD1889" s="15" t="s">
        <v>130</v>
      </c>
      <c r="AE1889" s="15" t="s">
        <v>421</v>
      </c>
      <c r="AF1889" s="12">
        <f>IF(AG1889="Rejected",0,IF(R1889="Corporate Card",0,V1889))</f>
        <v>0</v>
      </c>
      <c r="AG1889" s="15" t="s">
        <v>133</v>
      </c>
      <c r="AH1889" s="16">
        <v>45886</v>
      </c>
      <c r="AI1889" s="16">
        <v>45887</v>
      </c>
      <c r="AJ1889" s="16">
        <v>45897</v>
      </c>
      <c r="AK1889" s="17">
        <f>IF(AJ1889="","",AJ1889-AH1889)</f>
        <v>11</v>
      </c>
    </row>
    <row r="1890" spans="1:37">
      <c r="A1890" s="2" t="s">
        <v>2347</v>
      </c>
      <c r="B1890" s="2" t="s">
        <v>882</v>
      </c>
      <c r="C1890" s="2" t="s">
        <v>446</v>
      </c>
      <c r="D1890" s="2" t="s">
        <v>444</v>
      </c>
      <c r="E1890" s="2" t="s">
        <v>883</v>
      </c>
      <c r="F1890" s="2" t="s">
        <v>313</v>
      </c>
      <c r="G1890" s="2" t="s">
        <v>2313</v>
      </c>
      <c r="H1890" s="2" t="s">
        <v>448</v>
      </c>
      <c r="I1890" s="2" t="s">
        <v>194</v>
      </c>
      <c r="J1890" s="2" t="s">
        <v>195</v>
      </c>
      <c r="K1890" s="9">
        <v>45870</v>
      </c>
      <c r="L1890" s="9">
        <v>45874</v>
      </c>
      <c r="M1890" s="9">
        <v>45872</v>
      </c>
      <c r="N1890" s="2" t="s">
        <v>2314</v>
      </c>
      <c r="O1890" s="2" t="s">
        <v>58</v>
      </c>
      <c r="P1890" s="2" t="s">
        <v>142</v>
      </c>
      <c r="Q1890" s="2" t="s">
        <v>156</v>
      </c>
      <c r="R1890" s="2" t="s">
        <v>128</v>
      </c>
      <c r="S1890" s="2" t="s">
        <v>198</v>
      </c>
      <c r="T1890" s="10">
        <v>72.02</v>
      </c>
      <c r="U1890" s="11">
        <v>1.085</v>
      </c>
      <c r="V1890" s="12">
        <f>T1890*U1890</f>
        <v>78.1417</v>
      </c>
      <c r="W1890" s="13">
        <v>0.19</v>
      </c>
      <c r="X1890" s="12">
        <f>V1890-(V1890/(1+W1890))</f>
        <v>12.476405882352935</v>
      </c>
      <c r="Y1890" s="12">
        <f>V1890-X1890</f>
        <v>65.665294117647065</v>
      </c>
      <c r="Z1890" s="14">
        <v>60</v>
      </c>
      <c r="AA1890" s="2" t="str">
        <f>IF(V1890&gt;Z1890,"Yes","No")</f>
        <v>Yes</v>
      </c>
      <c r="AB1890" s="12">
        <f>V1890-Z1890</f>
        <v>18.1417</v>
      </c>
      <c r="AC1890" s="15" t="s">
        <v>130</v>
      </c>
      <c r="AD1890" s="15" t="s">
        <v>131</v>
      </c>
      <c r="AE1890" s="15" t="s">
        <v>350</v>
      </c>
      <c r="AF1890" s="12">
        <f>IF(AG1890="Rejected",0,IF(R1890="Corporate Card",0,V1890))</f>
        <v>0</v>
      </c>
      <c r="AG1890" s="15" t="s">
        <v>133</v>
      </c>
      <c r="AH1890" s="16">
        <v>45882</v>
      </c>
      <c r="AI1890" s="16">
        <v>45888</v>
      </c>
      <c r="AJ1890" s="16">
        <v>45896</v>
      </c>
      <c r="AK1890" s="17">
        <f>IF(AJ1890="","",AJ1890-AH1890)</f>
        <v>14</v>
      </c>
    </row>
    <row r="1891" spans="1:37">
      <c r="A1891" s="2" t="s">
        <v>2348</v>
      </c>
      <c r="B1891" s="2" t="s">
        <v>882</v>
      </c>
      <c r="C1891" s="2" t="s">
        <v>446</v>
      </c>
      <c r="D1891" s="2" t="s">
        <v>444</v>
      </c>
      <c r="E1891" s="2" t="s">
        <v>883</v>
      </c>
      <c r="F1891" s="2" t="s">
        <v>313</v>
      </c>
      <c r="G1891" s="2" t="s">
        <v>2313</v>
      </c>
      <c r="H1891" s="2" t="s">
        <v>448</v>
      </c>
      <c r="I1891" s="2" t="s">
        <v>194</v>
      </c>
      <c r="J1891" s="2" t="s">
        <v>195</v>
      </c>
      <c r="K1891" s="9">
        <v>45870</v>
      </c>
      <c r="L1891" s="9">
        <v>45874</v>
      </c>
      <c r="M1891" s="9">
        <v>45872</v>
      </c>
      <c r="N1891" s="2" t="s">
        <v>2314</v>
      </c>
      <c r="O1891" s="2" t="s">
        <v>54</v>
      </c>
      <c r="P1891" s="2" t="s">
        <v>139</v>
      </c>
      <c r="Q1891" s="2" t="s">
        <v>163</v>
      </c>
      <c r="R1891" s="2" t="s">
        <v>128</v>
      </c>
      <c r="S1891" s="2" t="s">
        <v>198</v>
      </c>
      <c r="T1891" s="10">
        <v>27.97</v>
      </c>
      <c r="U1891" s="11">
        <v>1.085</v>
      </c>
      <c r="V1891" s="12">
        <f>T1891*U1891</f>
        <v>30.347449999999998</v>
      </c>
      <c r="W1891" s="13">
        <v>0.19</v>
      </c>
      <c r="X1891" s="12">
        <f>V1891-(V1891/(1+W1891))</f>
        <v>4.8453911764705886</v>
      </c>
      <c r="Y1891" s="12">
        <f>V1891-X1891</f>
        <v>25.50205882352941</v>
      </c>
      <c r="Z1891" s="14">
        <v>25</v>
      </c>
      <c r="AA1891" s="2" t="str">
        <f>IF(V1891&gt;Z1891,"Yes","No")</f>
        <v>Yes</v>
      </c>
      <c r="AB1891" s="12">
        <f>V1891-Z1891</f>
        <v>5.3474499999999985</v>
      </c>
      <c r="AC1891" s="15" t="s">
        <v>130</v>
      </c>
      <c r="AD1891" s="15" t="s">
        <v>131</v>
      </c>
      <c r="AE1891" s="15" t="s">
        <v>350</v>
      </c>
      <c r="AF1891" s="12">
        <f>IF(AG1891="Rejected",0,IF(R1891="Corporate Card",0,V1891))</f>
        <v>0</v>
      </c>
      <c r="AG1891" s="15" t="s">
        <v>133</v>
      </c>
      <c r="AH1891" s="16">
        <v>45882</v>
      </c>
      <c r="AI1891" s="16">
        <v>45888</v>
      </c>
      <c r="AJ1891" s="16">
        <v>45896</v>
      </c>
      <c r="AK1891" s="17">
        <f>IF(AJ1891="","",AJ1891-AH1891)</f>
        <v>14</v>
      </c>
    </row>
    <row r="1892" spans="1:37">
      <c r="A1892" s="2" t="s">
        <v>2349</v>
      </c>
      <c r="B1892" s="2" t="s">
        <v>882</v>
      </c>
      <c r="C1892" s="2" t="s">
        <v>446</v>
      </c>
      <c r="D1892" s="2" t="s">
        <v>444</v>
      </c>
      <c r="E1892" s="2" t="s">
        <v>883</v>
      </c>
      <c r="F1892" s="2" t="s">
        <v>313</v>
      </c>
      <c r="G1892" s="2" t="s">
        <v>2313</v>
      </c>
      <c r="H1892" s="2" t="s">
        <v>448</v>
      </c>
      <c r="I1892" s="2" t="s">
        <v>194</v>
      </c>
      <c r="J1892" s="2" t="s">
        <v>195</v>
      </c>
      <c r="K1892" s="9">
        <v>45870</v>
      </c>
      <c r="L1892" s="9">
        <v>45874</v>
      </c>
      <c r="M1892" s="9">
        <v>45872</v>
      </c>
      <c r="N1892" s="2" t="s">
        <v>2314</v>
      </c>
      <c r="O1892" s="2" t="s">
        <v>56</v>
      </c>
      <c r="P1892" s="2" t="s">
        <v>151</v>
      </c>
      <c r="Q1892" s="2" t="s">
        <v>185</v>
      </c>
      <c r="R1892" s="2" t="s">
        <v>128</v>
      </c>
      <c r="S1892" s="2" t="s">
        <v>198</v>
      </c>
      <c r="T1892" s="10">
        <v>29.58</v>
      </c>
      <c r="U1892" s="11">
        <v>1.085</v>
      </c>
      <c r="V1892" s="12">
        <f>T1892*U1892</f>
        <v>32.094299999999997</v>
      </c>
      <c r="W1892" s="13">
        <v>0.19</v>
      </c>
      <c r="X1892" s="12">
        <f>V1892-(V1892/(1+W1892))</f>
        <v>5.1242999999999981</v>
      </c>
      <c r="Y1892" s="12">
        <f>V1892-X1892</f>
        <v>26.97</v>
      </c>
      <c r="Z1892" s="14">
        <v>75</v>
      </c>
      <c r="AA1892" s="2" t="str">
        <f>IF(V1892&gt;Z1892,"Yes","No")</f>
        <v>No</v>
      </c>
      <c r="AB1892" s="12">
        <f>V1892-Z1892</f>
        <v>-42.905700000000003</v>
      </c>
      <c r="AC1892" s="15" t="s">
        <v>130</v>
      </c>
      <c r="AD1892" s="15" t="s">
        <v>131</v>
      </c>
      <c r="AE1892" s="15" t="s">
        <v>350</v>
      </c>
      <c r="AF1892" s="12">
        <f>IF(AG1892="Rejected",0,IF(R1892="Corporate Card",0,V1892))</f>
        <v>0</v>
      </c>
      <c r="AG1892" s="15" t="s">
        <v>133</v>
      </c>
      <c r="AH1892" s="16">
        <v>45882</v>
      </c>
      <c r="AI1892" s="16">
        <v>45888</v>
      </c>
      <c r="AJ1892" s="16">
        <v>45896</v>
      </c>
      <c r="AK1892" s="17">
        <f>IF(AJ1892="","",AJ1892-AH1892)</f>
        <v>14</v>
      </c>
    </row>
    <row r="1893" spans="1:37">
      <c r="A1893" s="2" t="s">
        <v>2350</v>
      </c>
      <c r="B1893" s="2" t="s">
        <v>882</v>
      </c>
      <c r="C1893" s="2" t="s">
        <v>446</v>
      </c>
      <c r="D1893" s="2" t="s">
        <v>444</v>
      </c>
      <c r="E1893" s="2" t="s">
        <v>883</v>
      </c>
      <c r="F1893" s="2" t="s">
        <v>313</v>
      </c>
      <c r="G1893" s="2" t="s">
        <v>2313</v>
      </c>
      <c r="H1893" s="2" t="s">
        <v>448</v>
      </c>
      <c r="I1893" s="2" t="s">
        <v>194</v>
      </c>
      <c r="J1893" s="2" t="s">
        <v>195</v>
      </c>
      <c r="K1893" s="9">
        <v>45870</v>
      </c>
      <c r="L1893" s="9">
        <v>45874</v>
      </c>
      <c r="M1893" s="9">
        <v>45872</v>
      </c>
      <c r="N1893" s="2" t="s">
        <v>2314</v>
      </c>
      <c r="O1893" s="2" t="s">
        <v>55</v>
      </c>
      <c r="P1893" s="2" t="s">
        <v>139</v>
      </c>
      <c r="Q1893" s="2" t="s">
        <v>187</v>
      </c>
      <c r="R1893" s="2" t="s">
        <v>128</v>
      </c>
      <c r="S1893" s="2" t="s">
        <v>198</v>
      </c>
      <c r="T1893" s="10">
        <v>18.690000000000001</v>
      </c>
      <c r="U1893" s="11">
        <v>1.085</v>
      </c>
      <c r="V1893" s="12">
        <f>T1893*U1893</f>
        <v>20.278649999999999</v>
      </c>
      <c r="W1893" s="13">
        <v>0.19</v>
      </c>
      <c r="X1893" s="12">
        <f>V1893-(V1893/(1+W1893))</f>
        <v>3.2377676470588241</v>
      </c>
      <c r="Y1893" s="12">
        <f>V1893-X1893</f>
        <v>17.040882352941175</v>
      </c>
      <c r="Z1893" s="14">
        <v>35</v>
      </c>
      <c r="AA1893" s="2" t="str">
        <f>IF(V1893&gt;Z1893,"Yes","No")</f>
        <v>No</v>
      </c>
      <c r="AB1893" s="12">
        <f>V1893-Z1893</f>
        <v>-14.721350000000001</v>
      </c>
      <c r="AC1893" s="15" t="s">
        <v>130</v>
      </c>
      <c r="AD1893" s="15" t="s">
        <v>131</v>
      </c>
      <c r="AE1893" s="15" t="s">
        <v>350</v>
      </c>
      <c r="AF1893" s="12">
        <f>IF(AG1893="Rejected",0,IF(R1893="Corporate Card",0,V1893))</f>
        <v>0</v>
      </c>
      <c r="AG1893" s="15" t="s">
        <v>133</v>
      </c>
      <c r="AH1893" s="16">
        <v>45882</v>
      </c>
      <c r="AI1893" s="16">
        <v>45888</v>
      </c>
      <c r="AJ1893" s="16">
        <v>45896</v>
      </c>
      <c r="AK1893" s="17">
        <f>IF(AJ1893="","",AJ1893-AH1893)</f>
        <v>14</v>
      </c>
    </row>
    <row r="1894" spans="1:37">
      <c r="A1894" s="2" t="s">
        <v>2351</v>
      </c>
      <c r="B1894" s="2" t="s">
        <v>287</v>
      </c>
      <c r="C1894" s="2" t="s">
        <v>288</v>
      </c>
      <c r="D1894" s="2" t="s">
        <v>171</v>
      </c>
      <c r="E1894" s="2" t="s">
        <v>289</v>
      </c>
      <c r="F1894" s="2" t="s">
        <v>173</v>
      </c>
      <c r="G1894" s="2" t="s">
        <v>2287</v>
      </c>
      <c r="H1894" s="2" t="s">
        <v>748</v>
      </c>
      <c r="I1894" s="2" t="s">
        <v>175</v>
      </c>
      <c r="J1894" s="2" t="s">
        <v>176</v>
      </c>
      <c r="K1894" s="9">
        <v>45864</v>
      </c>
      <c r="L1894" s="9">
        <v>45872</v>
      </c>
      <c r="M1894" s="9">
        <v>45872</v>
      </c>
      <c r="N1894" s="2" t="s">
        <v>2314</v>
      </c>
      <c r="O1894" s="2" t="s">
        <v>58</v>
      </c>
      <c r="P1894" s="2" t="s">
        <v>142</v>
      </c>
      <c r="Q1894" s="2" t="s">
        <v>296</v>
      </c>
      <c r="R1894" s="2" t="s">
        <v>137</v>
      </c>
      <c r="S1894" s="2" t="s">
        <v>179</v>
      </c>
      <c r="T1894" s="10">
        <v>202.18</v>
      </c>
      <c r="U1894" s="11">
        <v>0.18099999999999999</v>
      </c>
      <c r="V1894" s="12">
        <f>T1894*U1894</f>
        <v>36.594580000000001</v>
      </c>
      <c r="W1894" s="13">
        <v>0.17</v>
      </c>
      <c r="X1894" s="12">
        <f>V1894-(V1894/(1+W1894))</f>
        <v>5.3171611965811962</v>
      </c>
      <c r="Y1894" s="12">
        <f>V1894-X1894</f>
        <v>31.277418803418804</v>
      </c>
      <c r="Z1894" s="14">
        <v>60</v>
      </c>
      <c r="AA1894" s="2" t="str">
        <f>IF(V1894&gt;Z1894,"Yes","No")</f>
        <v>No</v>
      </c>
      <c r="AB1894" s="12">
        <f>V1894-Z1894</f>
        <v>-23.405419999999999</v>
      </c>
      <c r="AC1894" s="15" t="s">
        <v>131</v>
      </c>
      <c r="AD1894" s="15" t="s">
        <v>130</v>
      </c>
      <c r="AE1894" s="15" t="s">
        <v>437</v>
      </c>
      <c r="AF1894" s="12">
        <f>IF(AG1894="Rejected",0,IF(R1894="Corporate Card",0,V1894))</f>
        <v>36.594580000000001</v>
      </c>
      <c r="AG1894" s="15" t="s">
        <v>181</v>
      </c>
      <c r="AH1894" s="16">
        <v>45880</v>
      </c>
      <c r="AI1894" s="16"/>
      <c r="AJ1894" s="16"/>
      <c r="AK1894" s="17" t="str">
        <f>IF(AJ1894="","",AJ1894-AH1894)</f>
        <v/>
      </c>
    </row>
    <row r="1895" spans="1:37">
      <c r="A1895" s="2" t="s">
        <v>2352</v>
      </c>
      <c r="B1895" s="2" t="s">
        <v>287</v>
      </c>
      <c r="C1895" s="2" t="s">
        <v>288</v>
      </c>
      <c r="D1895" s="2" t="s">
        <v>171</v>
      </c>
      <c r="E1895" s="2" t="s">
        <v>289</v>
      </c>
      <c r="F1895" s="2" t="s">
        <v>173</v>
      </c>
      <c r="G1895" s="2" t="s">
        <v>2287</v>
      </c>
      <c r="H1895" s="2" t="s">
        <v>748</v>
      </c>
      <c r="I1895" s="2" t="s">
        <v>175</v>
      </c>
      <c r="J1895" s="2" t="s">
        <v>176</v>
      </c>
      <c r="K1895" s="9">
        <v>45864</v>
      </c>
      <c r="L1895" s="9">
        <v>45872</v>
      </c>
      <c r="M1895" s="9">
        <v>45872</v>
      </c>
      <c r="N1895" s="2" t="s">
        <v>2314</v>
      </c>
      <c r="O1895" s="2" t="s">
        <v>54</v>
      </c>
      <c r="P1895" s="2" t="s">
        <v>139</v>
      </c>
      <c r="Q1895" s="2" t="s">
        <v>163</v>
      </c>
      <c r="R1895" s="2" t="s">
        <v>149</v>
      </c>
      <c r="S1895" s="2" t="s">
        <v>179</v>
      </c>
      <c r="T1895" s="10">
        <v>49.3</v>
      </c>
      <c r="U1895" s="11">
        <v>0.18099999999999999</v>
      </c>
      <c r="V1895" s="12">
        <f>T1895*U1895</f>
        <v>8.9232999999999993</v>
      </c>
      <c r="W1895" s="13">
        <v>0.17</v>
      </c>
      <c r="X1895" s="12">
        <f>V1895-(V1895/(1+W1895))</f>
        <v>1.2965478632478629</v>
      </c>
      <c r="Y1895" s="12">
        <f>V1895-X1895</f>
        <v>7.6267521367521365</v>
      </c>
      <c r="Z1895" s="14">
        <v>25</v>
      </c>
      <c r="AA1895" s="2" t="str">
        <f>IF(V1895&gt;Z1895,"Yes","No")</f>
        <v>No</v>
      </c>
      <c r="AB1895" s="12">
        <f>V1895-Z1895</f>
        <v>-16.076700000000002</v>
      </c>
      <c r="AC1895" s="15" t="s">
        <v>130</v>
      </c>
      <c r="AD1895" s="15" t="s">
        <v>130</v>
      </c>
      <c r="AE1895" s="15" t="s">
        <v>437</v>
      </c>
      <c r="AF1895" s="12">
        <f>IF(AG1895="Rejected",0,IF(R1895="Corporate Card",0,V1895))</f>
        <v>8.9232999999999993</v>
      </c>
      <c r="AG1895" s="15" t="s">
        <v>181</v>
      </c>
      <c r="AH1895" s="16">
        <v>45880</v>
      </c>
      <c r="AI1895" s="16"/>
      <c r="AJ1895" s="16"/>
      <c r="AK1895" s="17" t="str">
        <f>IF(AJ1895="","",AJ1895-AH1895)</f>
        <v/>
      </c>
    </row>
    <row r="1896" spans="1:37">
      <c r="A1896" s="2" t="s">
        <v>2353</v>
      </c>
      <c r="B1896" s="2" t="s">
        <v>287</v>
      </c>
      <c r="C1896" s="2" t="s">
        <v>288</v>
      </c>
      <c r="D1896" s="2" t="s">
        <v>171</v>
      </c>
      <c r="E1896" s="2" t="s">
        <v>289</v>
      </c>
      <c r="F1896" s="2" t="s">
        <v>173</v>
      </c>
      <c r="G1896" s="2" t="s">
        <v>2287</v>
      </c>
      <c r="H1896" s="2" t="s">
        <v>748</v>
      </c>
      <c r="I1896" s="2" t="s">
        <v>175</v>
      </c>
      <c r="J1896" s="2" t="s">
        <v>176</v>
      </c>
      <c r="K1896" s="9">
        <v>45864</v>
      </c>
      <c r="L1896" s="9">
        <v>45872</v>
      </c>
      <c r="M1896" s="9">
        <v>45872</v>
      </c>
      <c r="N1896" s="2" t="s">
        <v>2314</v>
      </c>
      <c r="O1896" s="2" t="s">
        <v>55</v>
      </c>
      <c r="P1896" s="2" t="s">
        <v>139</v>
      </c>
      <c r="Q1896" s="2" t="s">
        <v>217</v>
      </c>
      <c r="R1896" s="2" t="s">
        <v>128</v>
      </c>
      <c r="S1896" s="2" t="s">
        <v>179</v>
      </c>
      <c r="T1896" s="10">
        <v>181.31</v>
      </c>
      <c r="U1896" s="11">
        <v>0.18099999999999999</v>
      </c>
      <c r="V1896" s="12">
        <f>T1896*U1896</f>
        <v>32.81711</v>
      </c>
      <c r="W1896" s="13">
        <v>0.17</v>
      </c>
      <c r="X1896" s="12">
        <f>V1896-(V1896/(1+W1896))</f>
        <v>4.7682980341880317</v>
      </c>
      <c r="Y1896" s="12">
        <f>V1896-X1896</f>
        <v>28.048811965811968</v>
      </c>
      <c r="Z1896" s="14">
        <v>35</v>
      </c>
      <c r="AA1896" s="2" t="str">
        <f>IF(V1896&gt;Z1896,"Yes","No")</f>
        <v>No</v>
      </c>
      <c r="AB1896" s="12">
        <f>V1896-Z1896</f>
        <v>-2.1828900000000004</v>
      </c>
      <c r="AC1896" s="15" t="s">
        <v>130</v>
      </c>
      <c r="AD1896" s="15" t="s">
        <v>130</v>
      </c>
      <c r="AE1896" s="15" t="s">
        <v>437</v>
      </c>
      <c r="AF1896" s="12">
        <f>IF(AG1896="Rejected",0,IF(R1896="Corporate Card",0,V1896))</f>
        <v>0</v>
      </c>
      <c r="AG1896" s="15" t="s">
        <v>181</v>
      </c>
      <c r="AH1896" s="16">
        <v>45880</v>
      </c>
      <c r="AI1896" s="16"/>
      <c r="AJ1896" s="16"/>
      <c r="AK1896" s="17" t="str">
        <f>IF(AJ1896="","",AJ1896-AH1896)</f>
        <v/>
      </c>
    </row>
    <row r="1897" spans="1:37">
      <c r="A1897" s="2" t="s">
        <v>2354</v>
      </c>
      <c r="B1897" s="2" t="s">
        <v>863</v>
      </c>
      <c r="C1897" s="2" t="s">
        <v>864</v>
      </c>
      <c r="D1897" s="2" t="s">
        <v>865</v>
      </c>
      <c r="E1897" s="2" t="s">
        <v>866</v>
      </c>
      <c r="F1897" s="2" t="s">
        <v>867</v>
      </c>
      <c r="G1897" s="2" t="s">
        <v>2327</v>
      </c>
      <c r="H1897" s="2" t="s">
        <v>193</v>
      </c>
      <c r="I1897" s="2" t="s">
        <v>1251</v>
      </c>
      <c r="J1897" s="2" t="s">
        <v>750</v>
      </c>
      <c r="K1897" s="9">
        <v>45871</v>
      </c>
      <c r="L1897" s="9">
        <v>45877</v>
      </c>
      <c r="M1897" s="9">
        <v>45873</v>
      </c>
      <c r="N1897" s="2" t="s">
        <v>2314</v>
      </c>
      <c r="O1897" s="2" t="s">
        <v>54</v>
      </c>
      <c r="P1897" s="2" t="s">
        <v>139</v>
      </c>
      <c r="Q1897" s="2" t="s">
        <v>148</v>
      </c>
      <c r="R1897" s="2" t="s">
        <v>137</v>
      </c>
      <c r="S1897" s="2" t="s">
        <v>198</v>
      </c>
      <c r="T1897" s="10">
        <v>19.399999999999999</v>
      </c>
      <c r="U1897" s="11">
        <v>1.085</v>
      </c>
      <c r="V1897" s="12">
        <f>T1897*U1897</f>
        <v>21.048999999999999</v>
      </c>
      <c r="W1897" s="13">
        <v>0.19</v>
      </c>
      <c r="X1897" s="12">
        <f>V1897-(V1897/(1+W1897))</f>
        <v>3.3607647058823531</v>
      </c>
      <c r="Y1897" s="12">
        <f>V1897-X1897</f>
        <v>17.688235294117646</v>
      </c>
      <c r="Z1897" s="14">
        <v>25</v>
      </c>
      <c r="AA1897" s="2" t="str">
        <f>IF(V1897&gt;Z1897,"Yes","No")</f>
        <v>No</v>
      </c>
      <c r="AB1897" s="12">
        <f>V1897-Z1897</f>
        <v>-3.9510000000000005</v>
      </c>
      <c r="AC1897" s="15" t="s">
        <v>130</v>
      </c>
      <c r="AD1897" s="15" t="s">
        <v>130</v>
      </c>
      <c r="AE1897" s="15" t="s">
        <v>421</v>
      </c>
      <c r="AF1897" s="12">
        <f>IF(AG1897="Rejected",0,IF(R1897="Corporate Card",0,V1897))</f>
        <v>21.048999999999999</v>
      </c>
      <c r="AG1897" s="15" t="s">
        <v>133</v>
      </c>
      <c r="AH1897" s="16">
        <v>45886</v>
      </c>
      <c r="AI1897" s="16">
        <v>45887</v>
      </c>
      <c r="AJ1897" s="16">
        <v>45897</v>
      </c>
      <c r="AK1897" s="17">
        <f>IF(AJ1897="","",AJ1897-AH1897)</f>
        <v>11</v>
      </c>
    </row>
    <row r="1898" spans="1:37">
      <c r="A1898" s="2" t="s">
        <v>2355</v>
      </c>
      <c r="B1898" s="2" t="s">
        <v>863</v>
      </c>
      <c r="C1898" s="2" t="s">
        <v>864</v>
      </c>
      <c r="D1898" s="2" t="s">
        <v>865</v>
      </c>
      <c r="E1898" s="2" t="s">
        <v>866</v>
      </c>
      <c r="F1898" s="2" t="s">
        <v>867</v>
      </c>
      <c r="G1898" s="2" t="s">
        <v>2327</v>
      </c>
      <c r="H1898" s="2" t="s">
        <v>193</v>
      </c>
      <c r="I1898" s="2" t="s">
        <v>1251</v>
      </c>
      <c r="J1898" s="2" t="s">
        <v>750</v>
      </c>
      <c r="K1898" s="9">
        <v>45871</v>
      </c>
      <c r="L1898" s="9">
        <v>45877</v>
      </c>
      <c r="M1898" s="9">
        <v>45873</v>
      </c>
      <c r="N1898" s="2" t="s">
        <v>2314</v>
      </c>
      <c r="O1898" s="2" t="s">
        <v>56</v>
      </c>
      <c r="P1898" s="2" t="s">
        <v>231</v>
      </c>
      <c r="Q1898" s="2" t="s">
        <v>227</v>
      </c>
      <c r="R1898" s="2" t="s">
        <v>128</v>
      </c>
      <c r="S1898" s="2" t="s">
        <v>198</v>
      </c>
      <c r="T1898" s="10">
        <v>36.78</v>
      </c>
      <c r="U1898" s="11">
        <v>1.085</v>
      </c>
      <c r="V1898" s="12">
        <f>T1898*U1898</f>
        <v>39.906300000000002</v>
      </c>
      <c r="W1898" s="13">
        <v>0.19</v>
      </c>
      <c r="X1898" s="12">
        <f>V1898-(V1898/(1+W1898))</f>
        <v>6.3715941176470565</v>
      </c>
      <c r="Y1898" s="12">
        <f>V1898-X1898</f>
        <v>33.534705882352945</v>
      </c>
      <c r="Z1898" s="14">
        <v>75</v>
      </c>
      <c r="AA1898" s="2" t="str">
        <f>IF(V1898&gt;Z1898,"Yes","No")</f>
        <v>No</v>
      </c>
      <c r="AB1898" s="12">
        <f>V1898-Z1898</f>
        <v>-35.093699999999998</v>
      </c>
      <c r="AC1898" s="15" t="s">
        <v>130</v>
      </c>
      <c r="AD1898" s="15" t="s">
        <v>130</v>
      </c>
      <c r="AE1898" s="15" t="s">
        <v>421</v>
      </c>
      <c r="AF1898" s="12">
        <f>IF(AG1898="Rejected",0,IF(R1898="Corporate Card",0,V1898))</f>
        <v>0</v>
      </c>
      <c r="AG1898" s="15" t="s">
        <v>133</v>
      </c>
      <c r="AH1898" s="16">
        <v>45886</v>
      </c>
      <c r="AI1898" s="16">
        <v>45887</v>
      </c>
      <c r="AJ1898" s="16">
        <v>45897</v>
      </c>
      <c r="AK1898" s="17">
        <f>IF(AJ1898="","",AJ1898-AH1898)</f>
        <v>11</v>
      </c>
    </row>
    <row r="1899" spans="1:37">
      <c r="A1899" s="2" t="s">
        <v>2356</v>
      </c>
      <c r="B1899" s="2" t="s">
        <v>863</v>
      </c>
      <c r="C1899" s="2" t="s">
        <v>864</v>
      </c>
      <c r="D1899" s="2" t="s">
        <v>865</v>
      </c>
      <c r="E1899" s="2" t="s">
        <v>866</v>
      </c>
      <c r="F1899" s="2" t="s">
        <v>867</v>
      </c>
      <c r="G1899" s="2" t="s">
        <v>2327</v>
      </c>
      <c r="H1899" s="2" t="s">
        <v>193</v>
      </c>
      <c r="I1899" s="2" t="s">
        <v>1251</v>
      </c>
      <c r="J1899" s="2" t="s">
        <v>750</v>
      </c>
      <c r="K1899" s="9">
        <v>45871</v>
      </c>
      <c r="L1899" s="9">
        <v>45877</v>
      </c>
      <c r="M1899" s="9">
        <v>45873</v>
      </c>
      <c r="N1899" s="2" t="s">
        <v>2314</v>
      </c>
      <c r="O1899" s="2" t="s">
        <v>55</v>
      </c>
      <c r="P1899" s="2" t="s">
        <v>139</v>
      </c>
      <c r="Q1899" s="2" t="s">
        <v>161</v>
      </c>
      <c r="R1899" s="2" t="s">
        <v>137</v>
      </c>
      <c r="S1899" s="2" t="s">
        <v>198</v>
      </c>
      <c r="T1899" s="10">
        <v>18.28</v>
      </c>
      <c r="U1899" s="11">
        <v>1.085</v>
      </c>
      <c r="V1899" s="12">
        <f>T1899*U1899</f>
        <v>19.8338</v>
      </c>
      <c r="W1899" s="13">
        <v>0.19</v>
      </c>
      <c r="X1899" s="12">
        <f>V1899-(V1899/(1+W1899))</f>
        <v>3.1667411764705875</v>
      </c>
      <c r="Y1899" s="12">
        <f>V1899-X1899</f>
        <v>16.667058823529413</v>
      </c>
      <c r="Z1899" s="14">
        <v>35</v>
      </c>
      <c r="AA1899" s="2" t="str">
        <f>IF(V1899&gt;Z1899,"Yes","No")</f>
        <v>No</v>
      </c>
      <c r="AB1899" s="12">
        <f>V1899-Z1899</f>
        <v>-15.1662</v>
      </c>
      <c r="AC1899" s="15" t="s">
        <v>130</v>
      </c>
      <c r="AD1899" s="15" t="s">
        <v>130</v>
      </c>
      <c r="AE1899" s="15" t="s">
        <v>421</v>
      </c>
      <c r="AF1899" s="12">
        <f>IF(AG1899="Rejected",0,IF(R1899="Corporate Card",0,V1899))</f>
        <v>19.8338</v>
      </c>
      <c r="AG1899" s="15" t="s">
        <v>133</v>
      </c>
      <c r="AH1899" s="16">
        <v>45886</v>
      </c>
      <c r="AI1899" s="16">
        <v>45887</v>
      </c>
      <c r="AJ1899" s="16">
        <v>45897</v>
      </c>
      <c r="AK1899" s="17">
        <f>IF(AJ1899="","",AJ1899-AH1899)</f>
        <v>11</v>
      </c>
    </row>
    <row r="1900" spans="1:37">
      <c r="A1900" s="2" t="s">
        <v>2357</v>
      </c>
      <c r="B1900" s="2" t="s">
        <v>882</v>
      </c>
      <c r="C1900" s="2" t="s">
        <v>446</v>
      </c>
      <c r="D1900" s="2" t="s">
        <v>444</v>
      </c>
      <c r="E1900" s="2" t="s">
        <v>883</v>
      </c>
      <c r="F1900" s="2" t="s">
        <v>313</v>
      </c>
      <c r="G1900" s="2" t="s">
        <v>2313</v>
      </c>
      <c r="H1900" s="2" t="s">
        <v>448</v>
      </c>
      <c r="I1900" s="2" t="s">
        <v>194</v>
      </c>
      <c r="J1900" s="2" t="s">
        <v>195</v>
      </c>
      <c r="K1900" s="9">
        <v>45870</v>
      </c>
      <c r="L1900" s="9">
        <v>45874</v>
      </c>
      <c r="M1900" s="9">
        <v>45873</v>
      </c>
      <c r="N1900" s="2" t="s">
        <v>2314</v>
      </c>
      <c r="O1900" s="2" t="s">
        <v>57</v>
      </c>
      <c r="P1900" s="2" t="s">
        <v>398</v>
      </c>
      <c r="Q1900" s="2" t="s">
        <v>399</v>
      </c>
      <c r="R1900" s="2" t="s">
        <v>128</v>
      </c>
      <c r="S1900" s="2" t="s">
        <v>198</v>
      </c>
      <c r="T1900" s="10">
        <v>81.7</v>
      </c>
      <c r="U1900" s="11">
        <v>1.085</v>
      </c>
      <c r="V1900" s="12">
        <f>T1900*U1900</f>
        <v>88.644499999999994</v>
      </c>
      <c r="W1900" s="13">
        <v>0.19</v>
      </c>
      <c r="X1900" s="12">
        <f>V1900-(V1900/(1+W1900))</f>
        <v>14.153323529411765</v>
      </c>
      <c r="Y1900" s="12">
        <f>V1900-X1900</f>
        <v>74.491176470588229</v>
      </c>
      <c r="Z1900" s="14">
        <v>200</v>
      </c>
      <c r="AA1900" s="2" t="str">
        <f>IF(V1900&gt;Z1900,"Yes","No")</f>
        <v>No</v>
      </c>
      <c r="AB1900" s="12">
        <f>V1900-Z1900</f>
        <v>-111.35550000000001</v>
      </c>
      <c r="AC1900" s="15" t="s">
        <v>130</v>
      </c>
      <c r="AD1900" s="15" t="s">
        <v>131</v>
      </c>
      <c r="AE1900" s="15" t="s">
        <v>350</v>
      </c>
      <c r="AF1900" s="12">
        <f>IF(AG1900="Rejected",0,IF(R1900="Corporate Card",0,V1900))</f>
        <v>0</v>
      </c>
      <c r="AG1900" s="15" t="s">
        <v>133</v>
      </c>
      <c r="AH1900" s="16">
        <v>45882</v>
      </c>
      <c r="AI1900" s="16">
        <v>45888</v>
      </c>
      <c r="AJ1900" s="16">
        <v>45896</v>
      </c>
      <c r="AK1900" s="17">
        <f>IF(AJ1900="","",AJ1900-AH1900)</f>
        <v>14</v>
      </c>
    </row>
    <row r="1901" spans="1:37">
      <c r="A1901" s="2" t="s">
        <v>2358</v>
      </c>
      <c r="B1901" s="2" t="s">
        <v>882</v>
      </c>
      <c r="C1901" s="2" t="s">
        <v>446</v>
      </c>
      <c r="D1901" s="2" t="s">
        <v>444</v>
      </c>
      <c r="E1901" s="2" t="s">
        <v>883</v>
      </c>
      <c r="F1901" s="2" t="s">
        <v>313</v>
      </c>
      <c r="G1901" s="2" t="s">
        <v>2313</v>
      </c>
      <c r="H1901" s="2" t="s">
        <v>448</v>
      </c>
      <c r="I1901" s="2" t="s">
        <v>194</v>
      </c>
      <c r="J1901" s="2" t="s">
        <v>195</v>
      </c>
      <c r="K1901" s="9">
        <v>45870</v>
      </c>
      <c r="L1901" s="9">
        <v>45874</v>
      </c>
      <c r="M1901" s="9">
        <v>45873</v>
      </c>
      <c r="N1901" s="2" t="s">
        <v>2314</v>
      </c>
      <c r="O1901" s="2" t="s">
        <v>54</v>
      </c>
      <c r="P1901" s="2" t="s">
        <v>139</v>
      </c>
      <c r="Q1901" s="2" t="s">
        <v>163</v>
      </c>
      <c r="R1901" s="2" t="s">
        <v>128</v>
      </c>
      <c r="S1901" s="2" t="s">
        <v>198</v>
      </c>
      <c r="T1901" s="10">
        <v>14.77</v>
      </c>
      <c r="U1901" s="11">
        <v>1.085</v>
      </c>
      <c r="V1901" s="12">
        <f>T1901*U1901</f>
        <v>16.025449999999999</v>
      </c>
      <c r="W1901" s="13">
        <v>0.19</v>
      </c>
      <c r="X1901" s="12">
        <f>V1901-(V1901/(1+W1901))</f>
        <v>2.5586852941176463</v>
      </c>
      <c r="Y1901" s="12">
        <f>V1901-X1901</f>
        <v>13.466764705882353</v>
      </c>
      <c r="Z1901" s="14">
        <v>25</v>
      </c>
      <c r="AA1901" s="2" t="str">
        <f>IF(V1901&gt;Z1901,"Yes","No")</f>
        <v>No</v>
      </c>
      <c r="AB1901" s="12">
        <f>V1901-Z1901</f>
        <v>-8.9745500000000007</v>
      </c>
      <c r="AC1901" s="15" t="s">
        <v>131</v>
      </c>
      <c r="AD1901" s="15" t="s">
        <v>131</v>
      </c>
      <c r="AE1901" s="15" t="s">
        <v>350</v>
      </c>
      <c r="AF1901" s="12">
        <f>IF(AG1901="Rejected",0,IF(R1901="Corporate Card",0,V1901))</f>
        <v>0</v>
      </c>
      <c r="AG1901" s="15" t="s">
        <v>133</v>
      </c>
      <c r="AH1901" s="16">
        <v>45882</v>
      </c>
      <c r="AI1901" s="16">
        <v>45888</v>
      </c>
      <c r="AJ1901" s="16">
        <v>45896</v>
      </c>
      <c r="AK1901" s="17">
        <f>IF(AJ1901="","",AJ1901-AH1901)</f>
        <v>14</v>
      </c>
    </row>
    <row r="1902" spans="1:37">
      <c r="A1902" s="2" t="s">
        <v>2359</v>
      </c>
      <c r="B1902" s="2" t="s">
        <v>882</v>
      </c>
      <c r="C1902" s="2" t="s">
        <v>446</v>
      </c>
      <c r="D1902" s="2" t="s">
        <v>444</v>
      </c>
      <c r="E1902" s="2" t="s">
        <v>883</v>
      </c>
      <c r="F1902" s="2" t="s">
        <v>313</v>
      </c>
      <c r="G1902" s="2" t="s">
        <v>2313</v>
      </c>
      <c r="H1902" s="2" t="s">
        <v>448</v>
      </c>
      <c r="I1902" s="2" t="s">
        <v>194</v>
      </c>
      <c r="J1902" s="2" t="s">
        <v>195</v>
      </c>
      <c r="K1902" s="9">
        <v>45870</v>
      </c>
      <c r="L1902" s="9">
        <v>45874</v>
      </c>
      <c r="M1902" s="9">
        <v>45873</v>
      </c>
      <c r="N1902" s="2" t="s">
        <v>2314</v>
      </c>
      <c r="O1902" s="2" t="s">
        <v>56</v>
      </c>
      <c r="P1902" s="2" t="s">
        <v>245</v>
      </c>
      <c r="Q1902" s="2" t="s">
        <v>152</v>
      </c>
      <c r="R1902" s="2" t="s">
        <v>149</v>
      </c>
      <c r="S1902" s="2" t="s">
        <v>198</v>
      </c>
      <c r="T1902" s="10">
        <v>106.51</v>
      </c>
      <c r="U1902" s="11">
        <v>1.085</v>
      </c>
      <c r="V1902" s="12">
        <f>T1902*U1902</f>
        <v>115.56335</v>
      </c>
      <c r="W1902" s="13">
        <v>0.19</v>
      </c>
      <c r="X1902" s="12">
        <f>V1902-(V1902/(1+W1902))</f>
        <v>18.45129117647059</v>
      </c>
      <c r="Y1902" s="12">
        <f>V1902-X1902</f>
        <v>97.112058823529409</v>
      </c>
      <c r="Z1902" s="14">
        <v>75</v>
      </c>
      <c r="AA1902" s="2" t="str">
        <f>IF(V1902&gt;Z1902,"Yes","No")</f>
        <v>Yes</v>
      </c>
      <c r="AB1902" s="12">
        <f>V1902-Z1902</f>
        <v>40.56335</v>
      </c>
      <c r="AC1902" s="15" t="s">
        <v>130</v>
      </c>
      <c r="AD1902" s="15" t="s">
        <v>131</v>
      </c>
      <c r="AE1902" s="15" t="s">
        <v>350</v>
      </c>
      <c r="AF1902" s="12">
        <f>IF(AG1902="Rejected",0,IF(R1902="Corporate Card",0,V1902))</f>
        <v>115.56335</v>
      </c>
      <c r="AG1902" s="15" t="s">
        <v>133</v>
      </c>
      <c r="AH1902" s="16">
        <v>45882</v>
      </c>
      <c r="AI1902" s="16">
        <v>45888</v>
      </c>
      <c r="AJ1902" s="16">
        <v>45896</v>
      </c>
      <c r="AK1902" s="17">
        <f>IF(AJ1902="","",AJ1902-AH1902)</f>
        <v>14</v>
      </c>
    </row>
    <row r="1903" spans="1:37">
      <c r="A1903" s="2" t="s">
        <v>2360</v>
      </c>
      <c r="B1903" s="2" t="s">
        <v>882</v>
      </c>
      <c r="C1903" s="2" t="s">
        <v>446</v>
      </c>
      <c r="D1903" s="2" t="s">
        <v>444</v>
      </c>
      <c r="E1903" s="2" t="s">
        <v>883</v>
      </c>
      <c r="F1903" s="2" t="s">
        <v>313</v>
      </c>
      <c r="G1903" s="2" t="s">
        <v>2313</v>
      </c>
      <c r="H1903" s="2" t="s">
        <v>448</v>
      </c>
      <c r="I1903" s="2" t="s">
        <v>194</v>
      </c>
      <c r="J1903" s="2" t="s">
        <v>195</v>
      </c>
      <c r="K1903" s="9">
        <v>45870</v>
      </c>
      <c r="L1903" s="9">
        <v>45874</v>
      </c>
      <c r="M1903" s="9">
        <v>45873</v>
      </c>
      <c r="N1903" s="2" t="s">
        <v>2314</v>
      </c>
      <c r="O1903" s="2" t="s">
        <v>55</v>
      </c>
      <c r="P1903" s="2" t="s">
        <v>139</v>
      </c>
      <c r="Q1903" s="2" t="s">
        <v>187</v>
      </c>
      <c r="R1903" s="2" t="s">
        <v>128</v>
      </c>
      <c r="S1903" s="2" t="s">
        <v>198</v>
      </c>
      <c r="T1903" s="10">
        <v>25.78</v>
      </c>
      <c r="U1903" s="11">
        <v>1.085</v>
      </c>
      <c r="V1903" s="12">
        <f>T1903*U1903</f>
        <v>27.971299999999999</v>
      </c>
      <c r="W1903" s="13">
        <v>0.19</v>
      </c>
      <c r="X1903" s="12">
        <f>V1903-(V1903/(1+W1903))</f>
        <v>4.4660058823529383</v>
      </c>
      <c r="Y1903" s="12">
        <f>V1903-X1903</f>
        <v>23.505294117647061</v>
      </c>
      <c r="Z1903" s="14">
        <v>35</v>
      </c>
      <c r="AA1903" s="2" t="str">
        <f>IF(V1903&gt;Z1903,"Yes","No")</f>
        <v>No</v>
      </c>
      <c r="AB1903" s="12">
        <f>V1903-Z1903</f>
        <v>-7.0287000000000006</v>
      </c>
      <c r="AC1903" s="15" t="s">
        <v>130</v>
      </c>
      <c r="AD1903" s="15" t="s">
        <v>131</v>
      </c>
      <c r="AE1903" s="15" t="s">
        <v>350</v>
      </c>
      <c r="AF1903" s="12">
        <f>IF(AG1903="Rejected",0,IF(R1903="Corporate Card",0,V1903))</f>
        <v>0</v>
      </c>
      <c r="AG1903" s="15" t="s">
        <v>133</v>
      </c>
      <c r="AH1903" s="16">
        <v>45882</v>
      </c>
      <c r="AI1903" s="16">
        <v>45888</v>
      </c>
      <c r="AJ1903" s="16">
        <v>45896</v>
      </c>
      <c r="AK1903" s="17">
        <f>IF(AJ1903="","",AJ1903-AH1903)</f>
        <v>14</v>
      </c>
    </row>
    <row r="1904" spans="1:37">
      <c r="A1904" s="2" t="s">
        <v>2361</v>
      </c>
      <c r="B1904" s="2" t="s">
        <v>863</v>
      </c>
      <c r="C1904" s="2" t="s">
        <v>864</v>
      </c>
      <c r="D1904" s="2" t="s">
        <v>865</v>
      </c>
      <c r="E1904" s="2" t="s">
        <v>866</v>
      </c>
      <c r="F1904" s="2" t="s">
        <v>867</v>
      </c>
      <c r="G1904" s="2" t="s">
        <v>2327</v>
      </c>
      <c r="H1904" s="2" t="s">
        <v>193</v>
      </c>
      <c r="I1904" s="2" t="s">
        <v>1251</v>
      </c>
      <c r="J1904" s="2" t="s">
        <v>750</v>
      </c>
      <c r="K1904" s="9">
        <v>45871</v>
      </c>
      <c r="L1904" s="9">
        <v>45877</v>
      </c>
      <c r="M1904" s="9">
        <v>45874</v>
      </c>
      <c r="N1904" s="2" t="s">
        <v>2314</v>
      </c>
      <c r="O1904" s="2" t="s">
        <v>54</v>
      </c>
      <c r="P1904" s="2" t="s">
        <v>139</v>
      </c>
      <c r="Q1904" s="2" t="s">
        <v>163</v>
      </c>
      <c r="R1904" s="2" t="s">
        <v>128</v>
      </c>
      <c r="S1904" s="2" t="s">
        <v>198</v>
      </c>
      <c r="T1904" s="10">
        <v>16.96</v>
      </c>
      <c r="U1904" s="11">
        <v>1.085</v>
      </c>
      <c r="V1904" s="12">
        <f>T1904*U1904</f>
        <v>18.401600000000002</v>
      </c>
      <c r="W1904" s="13">
        <v>0.19</v>
      </c>
      <c r="X1904" s="12">
        <f>V1904-(V1904/(1+W1904))</f>
        <v>2.9380705882352931</v>
      </c>
      <c r="Y1904" s="12">
        <f>V1904-X1904</f>
        <v>15.463529411764709</v>
      </c>
      <c r="Z1904" s="14">
        <v>25</v>
      </c>
      <c r="AA1904" s="2" t="str">
        <f>IF(V1904&gt;Z1904,"Yes","No")</f>
        <v>No</v>
      </c>
      <c r="AB1904" s="12">
        <f>V1904-Z1904</f>
        <v>-6.598399999999998</v>
      </c>
      <c r="AC1904" s="15" t="s">
        <v>130</v>
      </c>
      <c r="AD1904" s="15" t="s">
        <v>130</v>
      </c>
      <c r="AE1904" s="15" t="s">
        <v>421</v>
      </c>
      <c r="AF1904" s="12">
        <f>IF(AG1904="Rejected",0,IF(R1904="Corporate Card",0,V1904))</f>
        <v>0</v>
      </c>
      <c r="AG1904" s="15" t="s">
        <v>133</v>
      </c>
      <c r="AH1904" s="16">
        <v>45886</v>
      </c>
      <c r="AI1904" s="16">
        <v>45887</v>
      </c>
      <c r="AJ1904" s="16">
        <v>45897</v>
      </c>
      <c r="AK1904" s="17">
        <f>IF(AJ1904="","",AJ1904-AH1904)</f>
        <v>11</v>
      </c>
    </row>
    <row r="1905" spans="1:37">
      <c r="A1905" s="2" t="s">
        <v>2362</v>
      </c>
      <c r="B1905" s="2" t="s">
        <v>863</v>
      </c>
      <c r="C1905" s="2" t="s">
        <v>864</v>
      </c>
      <c r="D1905" s="2" t="s">
        <v>865</v>
      </c>
      <c r="E1905" s="2" t="s">
        <v>866</v>
      </c>
      <c r="F1905" s="2" t="s">
        <v>867</v>
      </c>
      <c r="G1905" s="2" t="s">
        <v>2327</v>
      </c>
      <c r="H1905" s="2" t="s">
        <v>193</v>
      </c>
      <c r="I1905" s="2" t="s">
        <v>1251</v>
      </c>
      <c r="J1905" s="2" t="s">
        <v>750</v>
      </c>
      <c r="K1905" s="9">
        <v>45871</v>
      </c>
      <c r="L1905" s="9">
        <v>45877</v>
      </c>
      <c r="M1905" s="9">
        <v>45874</v>
      </c>
      <c r="N1905" s="2" t="s">
        <v>2314</v>
      </c>
      <c r="O1905" s="2" t="s">
        <v>56</v>
      </c>
      <c r="P1905" s="2" t="s">
        <v>245</v>
      </c>
      <c r="Q1905" s="2" t="s">
        <v>166</v>
      </c>
      <c r="R1905" s="2" t="s">
        <v>137</v>
      </c>
      <c r="S1905" s="2" t="s">
        <v>198</v>
      </c>
      <c r="T1905" s="10">
        <v>37.270000000000003</v>
      </c>
      <c r="U1905" s="11">
        <v>1.085</v>
      </c>
      <c r="V1905" s="12">
        <f>T1905*U1905</f>
        <v>40.437950000000001</v>
      </c>
      <c r="W1905" s="13">
        <v>0.19</v>
      </c>
      <c r="X1905" s="12">
        <f>V1905-(V1905/(1+W1905))</f>
        <v>6.456479411764704</v>
      </c>
      <c r="Y1905" s="12">
        <f>V1905-X1905</f>
        <v>33.981470588235297</v>
      </c>
      <c r="Z1905" s="14">
        <v>75</v>
      </c>
      <c r="AA1905" s="2" t="str">
        <f>IF(V1905&gt;Z1905,"Yes","No")</f>
        <v>No</v>
      </c>
      <c r="AB1905" s="12">
        <f>V1905-Z1905</f>
        <v>-34.562049999999999</v>
      </c>
      <c r="AC1905" s="15" t="s">
        <v>131</v>
      </c>
      <c r="AD1905" s="15" t="s">
        <v>130</v>
      </c>
      <c r="AE1905" s="15" t="s">
        <v>421</v>
      </c>
      <c r="AF1905" s="12">
        <f>IF(AG1905="Rejected",0,IF(R1905="Corporate Card",0,V1905))</f>
        <v>40.437950000000001</v>
      </c>
      <c r="AG1905" s="15" t="s">
        <v>133</v>
      </c>
      <c r="AH1905" s="16">
        <v>45886</v>
      </c>
      <c r="AI1905" s="16">
        <v>45887</v>
      </c>
      <c r="AJ1905" s="16">
        <v>45897</v>
      </c>
      <c r="AK1905" s="17">
        <f>IF(AJ1905="","",AJ1905-AH1905)</f>
        <v>11</v>
      </c>
    </row>
    <row r="1906" spans="1:37">
      <c r="A1906" s="2" t="s">
        <v>2363</v>
      </c>
      <c r="B1906" s="2" t="s">
        <v>863</v>
      </c>
      <c r="C1906" s="2" t="s">
        <v>864</v>
      </c>
      <c r="D1906" s="2" t="s">
        <v>865</v>
      </c>
      <c r="E1906" s="2" t="s">
        <v>866</v>
      </c>
      <c r="F1906" s="2" t="s">
        <v>867</v>
      </c>
      <c r="G1906" s="2" t="s">
        <v>2327</v>
      </c>
      <c r="H1906" s="2" t="s">
        <v>193</v>
      </c>
      <c r="I1906" s="2" t="s">
        <v>1251</v>
      </c>
      <c r="J1906" s="2" t="s">
        <v>750</v>
      </c>
      <c r="K1906" s="9">
        <v>45871</v>
      </c>
      <c r="L1906" s="9">
        <v>45877</v>
      </c>
      <c r="M1906" s="9">
        <v>45874</v>
      </c>
      <c r="N1906" s="2" t="s">
        <v>2314</v>
      </c>
      <c r="O1906" s="2" t="s">
        <v>55</v>
      </c>
      <c r="P1906" s="2" t="s">
        <v>139</v>
      </c>
      <c r="Q1906" s="2" t="s">
        <v>161</v>
      </c>
      <c r="R1906" s="2" t="s">
        <v>128</v>
      </c>
      <c r="S1906" s="2" t="s">
        <v>198</v>
      </c>
      <c r="T1906" s="10">
        <v>19.41</v>
      </c>
      <c r="U1906" s="11">
        <v>1.085</v>
      </c>
      <c r="V1906" s="12">
        <f>T1906*U1906</f>
        <v>21.059850000000001</v>
      </c>
      <c r="W1906" s="13">
        <v>0.19</v>
      </c>
      <c r="X1906" s="12">
        <f>V1906-(V1906/(1+W1906))</f>
        <v>3.3624970588235286</v>
      </c>
      <c r="Y1906" s="12">
        <f>V1906-X1906</f>
        <v>17.697352941176472</v>
      </c>
      <c r="Z1906" s="14">
        <v>35</v>
      </c>
      <c r="AA1906" s="2" t="str">
        <f>IF(V1906&gt;Z1906,"Yes","No")</f>
        <v>No</v>
      </c>
      <c r="AB1906" s="12">
        <f>V1906-Z1906</f>
        <v>-13.940149999999999</v>
      </c>
      <c r="AC1906" s="15" t="s">
        <v>130</v>
      </c>
      <c r="AD1906" s="15" t="s">
        <v>130</v>
      </c>
      <c r="AE1906" s="15" t="s">
        <v>421</v>
      </c>
      <c r="AF1906" s="12">
        <f>IF(AG1906="Rejected",0,IF(R1906="Corporate Card",0,V1906))</f>
        <v>0</v>
      </c>
      <c r="AG1906" s="15" t="s">
        <v>133</v>
      </c>
      <c r="AH1906" s="16">
        <v>45886</v>
      </c>
      <c r="AI1906" s="16">
        <v>45887</v>
      </c>
      <c r="AJ1906" s="16">
        <v>45897</v>
      </c>
      <c r="AK1906" s="17">
        <f>IF(AJ1906="","",AJ1906-AH1906)</f>
        <v>11</v>
      </c>
    </row>
    <row r="1907" spans="1:37">
      <c r="A1907" s="2" t="s">
        <v>2364</v>
      </c>
      <c r="B1907" s="2" t="s">
        <v>882</v>
      </c>
      <c r="C1907" s="2" t="s">
        <v>446</v>
      </c>
      <c r="D1907" s="2" t="s">
        <v>444</v>
      </c>
      <c r="E1907" s="2" t="s">
        <v>883</v>
      </c>
      <c r="F1907" s="2" t="s">
        <v>313</v>
      </c>
      <c r="G1907" s="2" t="s">
        <v>2313</v>
      </c>
      <c r="H1907" s="2" t="s">
        <v>448</v>
      </c>
      <c r="I1907" s="2" t="s">
        <v>194</v>
      </c>
      <c r="J1907" s="2" t="s">
        <v>195</v>
      </c>
      <c r="K1907" s="9">
        <v>45870</v>
      </c>
      <c r="L1907" s="9">
        <v>45874</v>
      </c>
      <c r="M1907" s="9">
        <v>45874</v>
      </c>
      <c r="N1907" s="2" t="s">
        <v>2314</v>
      </c>
      <c r="O1907" s="2" t="s">
        <v>54</v>
      </c>
      <c r="P1907" s="2" t="s">
        <v>139</v>
      </c>
      <c r="Q1907" s="2" t="s">
        <v>140</v>
      </c>
      <c r="R1907" s="2" t="s">
        <v>149</v>
      </c>
      <c r="S1907" s="2" t="s">
        <v>198</v>
      </c>
      <c r="T1907" s="10">
        <v>11.24</v>
      </c>
      <c r="U1907" s="11">
        <v>1.085</v>
      </c>
      <c r="V1907" s="12">
        <f>T1907*U1907</f>
        <v>12.195399999999999</v>
      </c>
      <c r="W1907" s="13">
        <v>0.19</v>
      </c>
      <c r="X1907" s="12">
        <f>V1907-(V1907/(1+W1907))</f>
        <v>1.9471647058823525</v>
      </c>
      <c r="Y1907" s="12">
        <f>V1907-X1907</f>
        <v>10.248235294117647</v>
      </c>
      <c r="Z1907" s="14">
        <v>25</v>
      </c>
      <c r="AA1907" s="2" t="str">
        <f>IF(V1907&gt;Z1907,"Yes","No")</f>
        <v>No</v>
      </c>
      <c r="AB1907" s="12">
        <f>V1907-Z1907</f>
        <v>-12.804600000000001</v>
      </c>
      <c r="AC1907" s="15" t="s">
        <v>130</v>
      </c>
      <c r="AD1907" s="15" t="s">
        <v>131</v>
      </c>
      <c r="AE1907" s="15" t="s">
        <v>350</v>
      </c>
      <c r="AF1907" s="12">
        <f>IF(AG1907="Rejected",0,IF(R1907="Corporate Card",0,V1907))</f>
        <v>12.195399999999999</v>
      </c>
      <c r="AG1907" s="15" t="s">
        <v>133</v>
      </c>
      <c r="AH1907" s="16">
        <v>45882</v>
      </c>
      <c r="AI1907" s="16">
        <v>45888</v>
      </c>
      <c r="AJ1907" s="16">
        <v>45896</v>
      </c>
      <c r="AK1907" s="17">
        <f>IF(AJ1907="","",AJ1907-AH1907)</f>
        <v>14</v>
      </c>
    </row>
    <row r="1908" spans="1:37">
      <c r="A1908" s="2" t="s">
        <v>2365</v>
      </c>
      <c r="B1908" s="2" t="s">
        <v>882</v>
      </c>
      <c r="C1908" s="2" t="s">
        <v>446</v>
      </c>
      <c r="D1908" s="2" t="s">
        <v>444</v>
      </c>
      <c r="E1908" s="2" t="s">
        <v>883</v>
      </c>
      <c r="F1908" s="2" t="s">
        <v>313</v>
      </c>
      <c r="G1908" s="2" t="s">
        <v>2313</v>
      </c>
      <c r="H1908" s="2" t="s">
        <v>448</v>
      </c>
      <c r="I1908" s="2" t="s">
        <v>194</v>
      </c>
      <c r="J1908" s="2" t="s">
        <v>195</v>
      </c>
      <c r="K1908" s="9">
        <v>45870</v>
      </c>
      <c r="L1908" s="9">
        <v>45874</v>
      </c>
      <c r="M1908" s="9">
        <v>45874</v>
      </c>
      <c r="N1908" s="2" t="s">
        <v>2314</v>
      </c>
      <c r="O1908" s="2" t="s">
        <v>56</v>
      </c>
      <c r="P1908" s="2" t="s">
        <v>151</v>
      </c>
      <c r="Q1908" s="2" t="s">
        <v>152</v>
      </c>
      <c r="R1908" s="2" t="s">
        <v>128</v>
      </c>
      <c r="S1908" s="2" t="s">
        <v>198</v>
      </c>
      <c r="T1908" s="10">
        <v>41.45</v>
      </c>
      <c r="U1908" s="11">
        <v>1.085</v>
      </c>
      <c r="V1908" s="12">
        <f>T1908*U1908</f>
        <v>44.97325</v>
      </c>
      <c r="W1908" s="13">
        <v>0.19</v>
      </c>
      <c r="X1908" s="12">
        <f>V1908-(V1908/(1+W1908))</f>
        <v>7.1806029411764669</v>
      </c>
      <c r="Y1908" s="12">
        <f>V1908-X1908</f>
        <v>37.792647058823533</v>
      </c>
      <c r="Z1908" s="14">
        <v>75</v>
      </c>
      <c r="AA1908" s="2" t="str">
        <f>IF(V1908&gt;Z1908,"Yes","No")</f>
        <v>No</v>
      </c>
      <c r="AB1908" s="12">
        <f>V1908-Z1908</f>
        <v>-30.02675</v>
      </c>
      <c r="AC1908" s="15" t="s">
        <v>130</v>
      </c>
      <c r="AD1908" s="15" t="s">
        <v>131</v>
      </c>
      <c r="AE1908" s="15" t="s">
        <v>350</v>
      </c>
      <c r="AF1908" s="12">
        <f>IF(AG1908="Rejected",0,IF(R1908="Corporate Card",0,V1908))</f>
        <v>0</v>
      </c>
      <c r="AG1908" s="15" t="s">
        <v>133</v>
      </c>
      <c r="AH1908" s="16">
        <v>45882</v>
      </c>
      <c r="AI1908" s="16">
        <v>45888</v>
      </c>
      <c r="AJ1908" s="16">
        <v>45896</v>
      </c>
      <c r="AK1908" s="17">
        <f>IF(AJ1908="","",AJ1908-AH1908)</f>
        <v>14</v>
      </c>
    </row>
    <row r="1909" spans="1:37">
      <c r="A1909" s="2" t="s">
        <v>2366</v>
      </c>
      <c r="B1909" s="2" t="s">
        <v>882</v>
      </c>
      <c r="C1909" s="2" t="s">
        <v>446</v>
      </c>
      <c r="D1909" s="2" t="s">
        <v>444</v>
      </c>
      <c r="E1909" s="2" t="s">
        <v>883</v>
      </c>
      <c r="F1909" s="2" t="s">
        <v>313</v>
      </c>
      <c r="G1909" s="2" t="s">
        <v>2313</v>
      </c>
      <c r="H1909" s="2" t="s">
        <v>448</v>
      </c>
      <c r="I1909" s="2" t="s">
        <v>194</v>
      </c>
      <c r="J1909" s="2" t="s">
        <v>195</v>
      </c>
      <c r="K1909" s="9">
        <v>45870</v>
      </c>
      <c r="L1909" s="9">
        <v>45874</v>
      </c>
      <c r="M1909" s="9">
        <v>45874</v>
      </c>
      <c r="N1909" s="2" t="s">
        <v>2314</v>
      </c>
      <c r="O1909" s="2" t="s">
        <v>55</v>
      </c>
      <c r="P1909" s="2" t="s">
        <v>139</v>
      </c>
      <c r="Q1909" s="2" t="s">
        <v>161</v>
      </c>
      <c r="R1909" s="2" t="s">
        <v>128</v>
      </c>
      <c r="S1909" s="2" t="s">
        <v>198</v>
      </c>
      <c r="T1909" s="10">
        <v>13.01</v>
      </c>
      <c r="U1909" s="11">
        <v>1.085</v>
      </c>
      <c r="V1909" s="12">
        <f>T1909*U1909</f>
        <v>14.11585</v>
      </c>
      <c r="W1909" s="13">
        <v>0.19</v>
      </c>
      <c r="X1909" s="12">
        <f>V1909-(V1909/(1+W1909))</f>
        <v>2.2537911764705871</v>
      </c>
      <c r="Y1909" s="12">
        <f>V1909-X1909</f>
        <v>11.862058823529413</v>
      </c>
      <c r="Z1909" s="14">
        <v>35</v>
      </c>
      <c r="AA1909" s="2" t="str">
        <f>IF(V1909&gt;Z1909,"Yes","No")</f>
        <v>No</v>
      </c>
      <c r="AB1909" s="12">
        <f>V1909-Z1909</f>
        <v>-20.884149999999998</v>
      </c>
      <c r="AC1909" s="15" t="s">
        <v>130</v>
      </c>
      <c r="AD1909" s="15" t="s">
        <v>131</v>
      </c>
      <c r="AE1909" s="15" t="s">
        <v>350</v>
      </c>
      <c r="AF1909" s="12">
        <f>IF(AG1909="Rejected",0,IF(R1909="Corporate Card",0,V1909))</f>
        <v>0</v>
      </c>
      <c r="AG1909" s="15" t="s">
        <v>133</v>
      </c>
      <c r="AH1909" s="16">
        <v>45882</v>
      </c>
      <c r="AI1909" s="16">
        <v>45888</v>
      </c>
      <c r="AJ1909" s="16">
        <v>45896</v>
      </c>
      <c r="AK1909" s="17">
        <f>IF(AJ1909="","",AJ1909-AH1909)</f>
        <v>14</v>
      </c>
    </row>
    <row r="1910" spans="1:37">
      <c r="A1910" s="2" t="s">
        <v>2367</v>
      </c>
      <c r="B1910" s="2" t="s">
        <v>863</v>
      </c>
      <c r="C1910" s="2" t="s">
        <v>864</v>
      </c>
      <c r="D1910" s="2" t="s">
        <v>865</v>
      </c>
      <c r="E1910" s="2" t="s">
        <v>866</v>
      </c>
      <c r="F1910" s="2" t="s">
        <v>867</v>
      </c>
      <c r="G1910" s="2" t="s">
        <v>2327</v>
      </c>
      <c r="H1910" s="2" t="s">
        <v>193</v>
      </c>
      <c r="I1910" s="2" t="s">
        <v>1251</v>
      </c>
      <c r="J1910" s="2" t="s">
        <v>750</v>
      </c>
      <c r="K1910" s="9">
        <v>45871</v>
      </c>
      <c r="L1910" s="9">
        <v>45877</v>
      </c>
      <c r="M1910" s="9">
        <v>45875</v>
      </c>
      <c r="N1910" s="2" t="s">
        <v>2314</v>
      </c>
      <c r="O1910" s="2" t="s">
        <v>54</v>
      </c>
      <c r="P1910" s="2" t="s">
        <v>139</v>
      </c>
      <c r="Q1910" s="2" t="s">
        <v>214</v>
      </c>
      <c r="R1910" s="2" t="s">
        <v>128</v>
      </c>
      <c r="S1910" s="2" t="s">
        <v>198</v>
      </c>
      <c r="T1910" s="10">
        <v>15.16</v>
      </c>
      <c r="U1910" s="11">
        <v>1.085</v>
      </c>
      <c r="V1910" s="12">
        <f>T1910*U1910</f>
        <v>16.448599999999999</v>
      </c>
      <c r="W1910" s="13">
        <v>0.19</v>
      </c>
      <c r="X1910" s="12">
        <f>V1910-(V1910/(1+W1910))</f>
        <v>2.6262470588235285</v>
      </c>
      <c r="Y1910" s="12">
        <f>V1910-X1910</f>
        <v>13.822352941176471</v>
      </c>
      <c r="Z1910" s="14">
        <v>25</v>
      </c>
      <c r="AA1910" s="2" t="str">
        <f>IF(V1910&gt;Z1910,"Yes","No")</f>
        <v>No</v>
      </c>
      <c r="AB1910" s="12">
        <f>V1910-Z1910</f>
        <v>-8.551400000000001</v>
      </c>
      <c r="AC1910" s="15" t="s">
        <v>130</v>
      </c>
      <c r="AD1910" s="15" t="s">
        <v>130</v>
      </c>
      <c r="AE1910" s="15" t="s">
        <v>421</v>
      </c>
      <c r="AF1910" s="12">
        <f>IF(AG1910="Rejected",0,IF(R1910="Corporate Card",0,V1910))</f>
        <v>0</v>
      </c>
      <c r="AG1910" s="15" t="s">
        <v>133</v>
      </c>
      <c r="AH1910" s="16">
        <v>45886</v>
      </c>
      <c r="AI1910" s="16">
        <v>45887</v>
      </c>
      <c r="AJ1910" s="16">
        <v>45897</v>
      </c>
      <c r="AK1910" s="17">
        <f>IF(AJ1910="","",AJ1910-AH1910)</f>
        <v>11</v>
      </c>
    </row>
    <row r="1911" spans="1:37">
      <c r="A1911" s="2" t="s">
        <v>2368</v>
      </c>
      <c r="B1911" s="2" t="s">
        <v>863</v>
      </c>
      <c r="C1911" s="2" t="s">
        <v>864</v>
      </c>
      <c r="D1911" s="2" t="s">
        <v>865</v>
      </c>
      <c r="E1911" s="2" t="s">
        <v>866</v>
      </c>
      <c r="F1911" s="2" t="s">
        <v>867</v>
      </c>
      <c r="G1911" s="2" t="s">
        <v>2327</v>
      </c>
      <c r="H1911" s="2" t="s">
        <v>193</v>
      </c>
      <c r="I1911" s="2" t="s">
        <v>1251</v>
      </c>
      <c r="J1911" s="2" t="s">
        <v>750</v>
      </c>
      <c r="K1911" s="9">
        <v>45871</v>
      </c>
      <c r="L1911" s="9">
        <v>45877</v>
      </c>
      <c r="M1911" s="9">
        <v>45875</v>
      </c>
      <c r="N1911" s="2" t="s">
        <v>2314</v>
      </c>
      <c r="O1911" s="2" t="s">
        <v>56</v>
      </c>
      <c r="P1911" s="2" t="s">
        <v>151</v>
      </c>
      <c r="Q1911" s="2" t="s">
        <v>159</v>
      </c>
      <c r="R1911" s="2" t="s">
        <v>128</v>
      </c>
      <c r="S1911" s="2" t="s">
        <v>198</v>
      </c>
      <c r="T1911" s="10">
        <v>31.33</v>
      </c>
      <c r="U1911" s="11">
        <v>1.085</v>
      </c>
      <c r="V1911" s="12">
        <f>T1911*U1911</f>
        <v>33.993049999999997</v>
      </c>
      <c r="W1911" s="13">
        <v>0.19</v>
      </c>
      <c r="X1911" s="12">
        <f>V1911-(V1911/(1+W1911))</f>
        <v>5.4274617647058818</v>
      </c>
      <c r="Y1911" s="12">
        <f>V1911-X1911</f>
        <v>28.565588235294115</v>
      </c>
      <c r="Z1911" s="14">
        <v>75</v>
      </c>
      <c r="AA1911" s="2" t="str">
        <f>IF(V1911&gt;Z1911,"Yes","No")</f>
        <v>No</v>
      </c>
      <c r="AB1911" s="12">
        <f>V1911-Z1911</f>
        <v>-41.006950000000003</v>
      </c>
      <c r="AC1911" s="15" t="s">
        <v>130</v>
      </c>
      <c r="AD1911" s="15" t="s">
        <v>130</v>
      </c>
      <c r="AE1911" s="15" t="s">
        <v>421</v>
      </c>
      <c r="AF1911" s="12">
        <f>IF(AG1911="Rejected",0,IF(R1911="Corporate Card",0,V1911))</f>
        <v>0</v>
      </c>
      <c r="AG1911" s="15" t="s">
        <v>133</v>
      </c>
      <c r="AH1911" s="16">
        <v>45886</v>
      </c>
      <c r="AI1911" s="16">
        <v>45887</v>
      </c>
      <c r="AJ1911" s="16">
        <v>45897</v>
      </c>
      <c r="AK1911" s="17">
        <f>IF(AJ1911="","",AJ1911-AH1911)</f>
        <v>11</v>
      </c>
    </row>
    <row r="1912" spans="1:37">
      <c r="A1912" s="2" t="s">
        <v>2369</v>
      </c>
      <c r="B1912" s="2" t="s">
        <v>863</v>
      </c>
      <c r="C1912" s="2" t="s">
        <v>864</v>
      </c>
      <c r="D1912" s="2" t="s">
        <v>865</v>
      </c>
      <c r="E1912" s="2" t="s">
        <v>866</v>
      </c>
      <c r="F1912" s="2" t="s">
        <v>867</v>
      </c>
      <c r="G1912" s="2" t="s">
        <v>2327</v>
      </c>
      <c r="H1912" s="2" t="s">
        <v>193</v>
      </c>
      <c r="I1912" s="2" t="s">
        <v>1251</v>
      </c>
      <c r="J1912" s="2" t="s">
        <v>750</v>
      </c>
      <c r="K1912" s="9">
        <v>45871</v>
      </c>
      <c r="L1912" s="9">
        <v>45877</v>
      </c>
      <c r="M1912" s="9">
        <v>45875</v>
      </c>
      <c r="N1912" s="2" t="s">
        <v>2314</v>
      </c>
      <c r="O1912" s="2" t="s">
        <v>55</v>
      </c>
      <c r="P1912" s="2" t="s">
        <v>139</v>
      </c>
      <c r="Q1912" s="2" t="s">
        <v>154</v>
      </c>
      <c r="R1912" s="2" t="s">
        <v>128</v>
      </c>
      <c r="S1912" s="2" t="s">
        <v>198</v>
      </c>
      <c r="T1912" s="10">
        <v>23.49</v>
      </c>
      <c r="U1912" s="11">
        <v>1.085</v>
      </c>
      <c r="V1912" s="12">
        <f>T1912*U1912</f>
        <v>25.486649999999997</v>
      </c>
      <c r="W1912" s="13">
        <v>0.19</v>
      </c>
      <c r="X1912" s="12">
        <f>V1912-(V1912/(1+W1912))</f>
        <v>4.0692970588235298</v>
      </c>
      <c r="Y1912" s="12">
        <f>V1912-X1912</f>
        <v>21.417352941176468</v>
      </c>
      <c r="Z1912" s="14">
        <v>35</v>
      </c>
      <c r="AA1912" s="2" t="str">
        <f>IF(V1912&gt;Z1912,"Yes","No")</f>
        <v>No</v>
      </c>
      <c r="AB1912" s="12">
        <f>V1912-Z1912</f>
        <v>-9.5133500000000026</v>
      </c>
      <c r="AC1912" s="15" t="s">
        <v>130</v>
      </c>
      <c r="AD1912" s="15" t="s">
        <v>130</v>
      </c>
      <c r="AE1912" s="15" t="s">
        <v>421</v>
      </c>
      <c r="AF1912" s="12">
        <f>IF(AG1912="Rejected",0,IF(R1912="Corporate Card",0,V1912))</f>
        <v>0</v>
      </c>
      <c r="AG1912" s="15" t="s">
        <v>133</v>
      </c>
      <c r="AH1912" s="16">
        <v>45886</v>
      </c>
      <c r="AI1912" s="16">
        <v>45887</v>
      </c>
      <c r="AJ1912" s="16">
        <v>45897</v>
      </c>
      <c r="AK1912" s="17">
        <f>IF(AJ1912="","",AJ1912-AH1912)</f>
        <v>11</v>
      </c>
    </row>
    <row r="1913" spans="1:37">
      <c r="A1913" s="2" t="s">
        <v>2370</v>
      </c>
      <c r="B1913" s="2" t="s">
        <v>863</v>
      </c>
      <c r="C1913" s="2" t="s">
        <v>864</v>
      </c>
      <c r="D1913" s="2" t="s">
        <v>865</v>
      </c>
      <c r="E1913" s="2" t="s">
        <v>866</v>
      </c>
      <c r="F1913" s="2" t="s">
        <v>867</v>
      </c>
      <c r="G1913" s="2" t="s">
        <v>2327</v>
      </c>
      <c r="H1913" s="2" t="s">
        <v>193</v>
      </c>
      <c r="I1913" s="2" t="s">
        <v>1251</v>
      </c>
      <c r="J1913" s="2" t="s">
        <v>750</v>
      </c>
      <c r="K1913" s="9">
        <v>45871</v>
      </c>
      <c r="L1913" s="9">
        <v>45877</v>
      </c>
      <c r="M1913" s="9">
        <v>45876</v>
      </c>
      <c r="N1913" s="2" t="s">
        <v>2314</v>
      </c>
      <c r="O1913" s="2" t="s">
        <v>54</v>
      </c>
      <c r="P1913" s="2" t="s">
        <v>139</v>
      </c>
      <c r="Q1913" s="2" t="s">
        <v>214</v>
      </c>
      <c r="R1913" s="2" t="s">
        <v>137</v>
      </c>
      <c r="S1913" s="2" t="s">
        <v>198</v>
      </c>
      <c r="T1913" s="10">
        <v>17.8</v>
      </c>
      <c r="U1913" s="11">
        <v>1.085</v>
      </c>
      <c r="V1913" s="12">
        <f>T1913*U1913</f>
        <v>19.312999999999999</v>
      </c>
      <c r="W1913" s="13">
        <v>0.19</v>
      </c>
      <c r="X1913" s="12">
        <f>V1913-(V1913/(1+W1913))</f>
        <v>3.0835882352941155</v>
      </c>
      <c r="Y1913" s="12">
        <f>V1913-X1913</f>
        <v>16.229411764705883</v>
      </c>
      <c r="Z1913" s="14">
        <v>25</v>
      </c>
      <c r="AA1913" s="2" t="str">
        <f>IF(V1913&gt;Z1913,"Yes","No")</f>
        <v>No</v>
      </c>
      <c r="AB1913" s="12">
        <f>V1913-Z1913</f>
        <v>-5.6870000000000012</v>
      </c>
      <c r="AC1913" s="15" t="s">
        <v>130</v>
      </c>
      <c r="AD1913" s="15" t="s">
        <v>130</v>
      </c>
      <c r="AE1913" s="15" t="s">
        <v>421</v>
      </c>
      <c r="AF1913" s="12">
        <f>IF(AG1913="Rejected",0,IF(R1913="Corporate Card",0,V1913))</f>
        <v>19.312999999999999</v>
      </c>
      <c r="AG1913" s="15" t="s">
        <v>133</v>
      </c>
      <c r="AH1913" s="16">
        <v>45886</v>
      </c>
      <c r="AI1913" s="16">
        <v>45887</v>
      </c>
      <c r="AJ1913" s="16">
        <v>45897</v>
      </c>
      <c r="AK1913" s="17">
        <f>IF(AJ1913="","",AJ1913-AH1913)</f>
        <v>11</v>
      </c>
    </row>
    <row r="1914" spans="1:37">
      <c r="A1914" s="2" t="s">
        <v>2371</v>
      </c>
      <c r="B1914" s="2" t="s">
        <v>863</v>
      </c>
      <c r="C1914" s="2" t="s">
        <v>864</v>
      </c>
      <c r="D1914" s="2" t="s">
        <v>865</v>
      </c>
      <c r="E1914" s="2" t="s">
        <v>866</v>
      </c>
      <c r="F1914" s="2" t="s">
        <v>867</v>
      </c>
      <c r="G1914" s="2" t="s">
        <v>2327</v>
      </c>
      <c r="H1914" s="2" t="s">
        <v>193</v>
      </c>
      <c r="I1914" s="2" t="s">
        <v>1251</v>
      </c>
      <c r="J1914" s="2" t="s">
        <v>750</v>
      </c>
      <c r="K1914" s="9">
        <v>45871</v>
      </c>
      <c r="L1914" s="9">
        <v>45877</v>
      </c>
      <c r="M1914" s="9">
        <v>45876</v>
      </c>
      <c r="N1914" s="2" t="s">
        <v>2314</v>
      </c>
      <c r="O1914" s="2" t="s">
        <v>56</v>
      </c>
      <c r="P1914" s="2" t="s">
        <v>245</v>
      </c>
      <c r="Q1914" s="2" t="s">
        <v>227</v>
      </c>
      <c r="R1914" s="2" t="s">
        <v>137</v>
      </c>
      <c r="S1914" s="2" t="s">
        <v>198</v>
      </c>
      <c r="T1914" s="10">
        <v>50.61</v>
      </c>
      <c r="U1914" s="11">
        <v>1.085</v>
      </c>
      <c r="V1914" s="12">
        <f>T1914*U1914</f>
        <v>54.911849999999994</v>
      </c>
      <c r="W1914" s="13">
        <v>0.19</v>
      </c>
      <c r="X1914" s="12">
        <f>V1914-(V1914/(1+W1914))</f>
        <v>8.7674382352941151</v>
      </c>
      <c r="Y1914" s="12">
        <f>V1914-X1914</f>
        <v>46.144411764705879</v>
      </c>
      <c r="Z1914" s="14">
        <v>75</v>
      </c>
      <c r="AA1914" s="2" t="str">
        <f>IF(V1914&gt;Z1914,"Yes","No")</f>
        <v>No</v>
      </c>
      <c r="AB1914" s="12">
        <f>V1914-Z1914</f>
        <v>-20.088150000000006</v>
      </c>
      <c r="AC1914" s="15" t="s">
        <v>130</v>
      </c>
      <c r="AD1914" s="15" t="s">
        <v>130</v>
      </c>
      <c r="AE1914" s="15" t="s">
        <v>421</v>
      </c>
      <c r="AF1914" s="12">
        <f>IF(AG1914="Rejected",0,IF(R1914="Corporate Card",0,V1914))</f>
        <v>54.911849999999994</v>
      </c>
      <c r="AG1914" s="15" t="s">
        <v>133</v>
      </c>
      <c r="AH1914" s="16">
        <v>45886</v>
      </c>
      <c r="AI1914" s="16">
        <v>45887</v>
      </c>
      <c r="AJ1914" s="16">
        <v>45897</v>
      </c>
      <c r="AK1914" s="17">
        <f>IF(AJ1914="","",AJ1914-AH1914)</f>
        <v>11</v>
      </c>
    </row>
    <row r="1915" spans="1:37">
      <c r="A1915" s="2" t="s">
        <v>2372</v>
      </c>
      <c r="B1915" s="2" t="s">
        <v>863</v>
      </c>
      <c r="C1915" s="2" t="s">
        <v>864</v>
      </c>
      <c r="D1915" s="2" t="s">
        <v>865</v>
      </c>
      <c r="E1915" s="2" t="s">
        <v>866</v>
      </c>
      <c r="F1915" s="2" t="s">
        <v>867</v>
      </c>
      <c r="G1915" s="2" t="s">
        <v>2327</v>
      </c>
      <c r="H1915" s="2" t="s">
        <v>193</v>
      </c>
      <c r="I1915" s="2" t="s">
        <v>1251</v>
      </c>
      <c r="J1915" s="2" t="s">
        <v>750</v>
      </c>
      <c r="K1915" s="9">
        <v>45871</v>
      </c>
      <c r="L1915" s="9">
        <v>45877</v>
      </c>
      <c r="M1915" s="9">
        <v>45876</v>
      </c>
      <c r="N1915" s="2" t="s">
        <v>2314</v>
      </c>
      <c r="O1915" s="2" t="s">
        <v>55</v>
      </c>
      <c r="P1915" s="2" t="s">
        <v>139</v>
      </c>
      <c r="Q1915" s="2" t="s">
        <v>161</v>
      </c>
      <c r="R1915" s="2" t="s">
        <v>128</v>
      </c>
      <c r="S1915" s="2" t="s">
        <v>198</v>
      </c>
      <c r="T1915" s="10">
        <v>19.89</v>
      </c>
      <c r="U1915" s="11">
        <v>1.085</v>
      </c>
      <c r="V1915" s="12">
        <f>T1915*U1915</f>
        <v>21.580649999999999</v>
      </c>
      <c r="W1915" s="13">
        <v>0.19</v>
      </c>
      <c r="X1915" s="12">
        <f>V1915-(V1915/(1+W1915))</f>
        <v>3.4456500000000005</v>
      </c>
      <c r="Y1915" s="12">
        <f>V1915-X1915</f>
        <v>18.134999999999998</v>
      </c>
      <c r="Z1915" s="14">
        <v>35</v>
      </c>
      <c r="AA1915" s="2" t="str">
        <f>IF(V1915&gt;Z1915,"Yes","No")</f>
        <v>No</v>
      </c>
      <c r="AB1915" s="12">
        <f>V1915-Z1915</f>
        <v>-13.419350000000001</v>
      </c>
      <c r="AC1915" s="15" t="s">
        <v>130</v>
      </c>
      <c r="AD1915" s="15" t="s">
        <v>130</v>
      </c>
      <c r="AE1915" s="15" t="s">
        <v>421</v>
      </c>
      <c r="AF1915" s="12">
        <f>IF(AG1915="Rejected",0,IF(R1915="Corporate Card",0,V1915))</f>
        <v>0</v>
      </c>
      <c r="AG1915" s="15" t="s">
        <v>133</v>
      </c>
      <c r="AH1915" s="16">
        <v>45886</v>
      </c>
      <c r="AI1915" s="16">
        <v>45887</v>
      </c>
      <c r="AJ1915" s="16">
        <v>45897</v>
      </c>
      <c r="AK1915" s="17">
        <f>IF(AJ1915="","",AJ1915-AH1915)</f>
        <v>11</v>
      </c>
    </row>
    <row r="1916" spans="1:37">
      <c r="A1916" s="2" t="s">
        <v>2373</v>
      </c>
      <c r="B1916" s="2" t="s">
        <v>863</v>
      </c>
      <c r="C1916" s="2" t="s">
        <v>864</v>
      </c>
      <c r="D1916" s="2" t="s">
        <v>865</v>
      </c>
      <c r="E1916" s="2" t="s">
        <v>866</v>
      </c>
      <c r="F1916" s="2" t="s">
        <v>867</v>
      </c>
      <c r="G1916" s="2" t="s">
        <v>2327</v>
      </c>
      <c r="H1916" s="2" t="s">
        <v>193</v>
      </c>
      <c r="I1916" s="2" t="s">
        <v>1251</v>
      </c>
      <c r="J1916" s="2" t="s">
        <v>750</v>
      </c>
      <c r="K1916" s="9">
        <v>45871</v>
      </c>
      <c r="L1916" s="9">
        <v>45877</v>
      </c>
      <c r="M1916" s="9">
        <v>45877</v>
      </c>
      <c r="N1916" s="2" t="s">
        <v>2314</v>
      </c>
      <c r="O1916" s="2" t="s">
        <v>54</v>
      </c>
      <c r="P1916" s="2" t="s">
        <v>139</v>
      </c>
      <c r="Q1916" s="2" t="s">
        <v>148</v>
      </c>
      <c r="R1916" s="2" t="s">
        <v>128</v>
      </c>
      <c r="S1916" s="2" t="s">
        <v>198</v>
      </c>
      <c r="T1916" s="10">
        <v>11.41</v>
      </c>
      <c r="U1916" s="11">
        <v>1.085</v>
      </c>
      <c r="V1916" s="12">
        <f>T1916*U1916</f>
        <v>12.379849999999999</v>
      </c>
      <c r="W1916" s="13">
        <v>0.19</v>
      </c>
      <c r="X1916" s="12">
        <f>V1916-(V1916/(1+W1916))</f>
        <v>1.9766147058823531</v>
      </c>
      <c r="Y1916" s="12">
        <f>V1916-X1916</f>
        <v>10.403235294117646</v>
      </c>
      <c r="Z1916" s="14">
        <v>25</v>
      </c>
      <c r="AA1916" s="2" t="str">
        <f>IF(V1916&gt;Z1916,"Yes","No")</f>
        <v>No</v>
      </c>
      <c r="AB1916" s="12">
        <f>V1916-Z1916</f>
        <v>-12.620150000000001</v>
      </c>
      <c r="AC1916" s="15" t="s">
        <v>130</v>
      </c>
      <c r="AD1916" s="15" t="s">
        <v>130</v>
      </c>
      <c r="AE1916" s="15" t="s">
        <v>421</v>
      </c>
      <c r="AF1916" s="12">
        <f>IF(AG1916="Rejected",0,IF(R1916="Corporate Card",0,V1916))</f>
        <v>0</v>
      </c>
      <c r="AG1916" s="15" t="s">
        <v>133</v>
      </c>
      <c r="AH1916" s="16">
        <v>45886</v>
      </c>
      <c r="AI1916" s="16">
        <v>45887</v>
      </c>
      <c r="AJ1916" s="16">
        <v>45897</v>
      </c>
      <c r="AK1916" s="17">
        <f>IF(AJ1916="","",AJ1916-AH1916)</f>
        <v>11</v>
      </c>
    </row>
    <row r="1917" spans="1:37">
      <c r="A1917" s="2" t="s">
        <v>2374</v>
      </c>
      <c r="B1917" s="2" t="s">
        <v>863</v>
      </c>
      <c r="C1917" s="2" t="s">
        <v>864</v>
      </c>
      <c r="D1917" s="2" t="s">
        <v>865</v>
      </c>
      <c r="E1917" s="2" t="s">
        <v>866</v>
      </c>
      <c r="F1917" s="2" t="s">
        <v>867</v>
      </c>
      <c r="G1917" s="2" t="s">
        <v>2327</v>
      </c>
      <c r="H1917" s="2" t="s">
        <v>193</v>
      </c>
      <c r="I1917" s="2" t="s">
        <v>1251</v>
      </c>
      <c r="J1917" s="2" t="s">
        <v>750</v>
      </c>
      <c r="K1917" s="9">
        <v>45871</v>
      </c>
      <c r="L1917" s="9">
        <v>45877</v>
      </c>
      <c r="M1917" s="9">
        <v>45877</v>
      </c>
      <c r="N1917" s="2" t="s">
        <v>2314</v>
      </c>
      <c r="O1917" s="2" t="s">
        <v>56</v>
      </c>
      <c r="P1917" s="2" t="s">
        <v>165</v>
      </c>
      <c r="Q1917" s="2" t="s">
        <v>185</v>
      </c>
      <c r="R1917" s="2" t="s">
        <v>128</v>
      </c>
      <c r="S1917" s="2" t="s">
        <v>198</v>
      </c>
      <c r="T1917" s="10">
        <v>41.54</v>
      </c>
      <c r="U1917" s="11">
        <v>1.085</v>
      </c>
      <c r="V1917" s="12">
        <f>T1917*U1917</f>
        <v>45.070899999999995</v>
      </c>
      <c r="W1917" s="13">
        <v>0.19</v>
      </c>
      <c r="X1917" s="12">
        <f>V1917-(V1917/(1+W1917))</f>
        <v>7.1961941176470532</v>
      </c>
      <c r="Y1917" s="12">
        <f>V1917-X1917</f>
        <v>37.874705882352941</v>
      </c>
      <c r="Z1917" s="14">
        <v>75</v>
      </c>
      <c r="AA1917" s="2" t="str">
        <f>IF(V1917&gt;Z1917,"Yes","No")</f>
        <v>No</v>
      </c>
      <c r="AB1917" s="12">
        <f>V1917-Z1917</f>
        <v>-29.929100000000005</v>
      </c>
      <c r="AC1917" s="15" t="s">
        <v>131</v>
      </c>
      <c r="AD1917" s="15" t="s">
        <v>130</v>
      </c>
      <c r="AE1917" s="15" t="s">
        <v>421</v>
      </c>
      <c r="AF1917" s="12">
        <f>IF(AG1917="Rejected",0,IF(R1917="Corporate Card",0,V1917))</f>
        <v>0</v>
      </c>
      <c r="AG1917" s="15" t="s">
        <v>133</v>
      </c>
      <c r="AH1917" s="16">
        <v>45886</v>
      </c>
      <c r="AI1917" s="16">
        <v>45887</v>
      </c>
      <c r="AJ1917" s="16">
        <v>45897</v>
      </c>
      <c r="AK1917" s="17">
        <f>IF(AJ1917="","",AJ1917-AH1917)</f>
        <v>11</v>
      </c>
    </row>
    <row r="1918" spans="1:37">
      <c r="A1918" s="2" t="s">
        <v>2375</v>
      </c>
      <c r="B1918" s="2" t="s">
        <v>863</v>
      </c>
      <c r="C1918" s="2" t="s">
        <v>864</v>
      </c>
      <c r="D1918" s="2" t="s">
        <v>865</v>
      </c>
      <c r="E1918" s="2" t="s">
        <v>866</v>
      </c>
      <c r="F1918" s="2" t="s">
        <v>867</v>
      </c>
      <c r="G1918" s="2" t="s">
        <v>2327</v>
      </c>
      <c r="H1918" s="2" t="s">
        <v>193</v>
      </c>
      <c r="I1918" s="2" t="s">
        <v>1251</v>
      </c>
      <c r="J1918" s="2" t="s">
        <v>750</v>
      </c>
      <c r="K1918" s="9">
        <v>45871</v>
      </c>
      <c r="L1918" s="9">
        <v>45877</v>
      </c>
      <c r="M1918" s="9">
        <v>45877</v>
      </c>
      <c r="N1918" s="2" t="s">
        <v>2314</v>
      </c>
      <c r="O1918" s="2" t="s">
        <v>55</v>
      </c>
      <c r="P1918" s="2" t="s">
        <v>139</v>
      </c>
      <c r="Q1918" s="2" t="s">
        <v>161</v>
      </c>
      <c r="R1918" s="2" t="s">
        <v>149</v>
      </c>
      <c r="S1918" s="2" t="s">
        <v>198</v>
      </c>
      <c r="T1918" s="10">
        <v>27.63</v>
      </c>
      <c r="U1918" s="11">
        <v>1.085</v>
      </c>
      <c r="V1918" s="12">
        <f>T1918*U1918</f>
        <v>29.978549999999998</v>
      </c>
      <c r="W1918" s="13">
        <v>0.19</v>
      </c>
      <c r="X1918" s="12">
        <f>V1918-(V1918/(1+W1918))</f>
        <v>4.7864911764705873</v>
      </c>
      <c r="Y1918" s="12">
        <f>V1918-X1918</f>
        <v>25.192058823529411</v>
      </c>
      <c r="Z1918" s="14">
        <v>35</v>
      </c>
      <c r="AA1918" s="2" t="str">
        <f>IF(V1918&gt;Z1918,"Yes","No")</f>
        <v>No</v>
      </c>
      <c r="AB1918" s="12">
        <f>V1918-Z1918</f>
        <v>-5.0214500000000015</v>
      </c>
      <c r="AC1918" s="15" t="s">
        <v>130</v>
      </c>
      <c r="AD1918" s="15" t="s">
        <v>130</v>
      </c>
      <c r="AE1918" s="15" t="s">
        <v>421</v>
      </c>
      <c r="AF1918" s="12">
        <f>IF(AG1918="Rejected",0,IF(R1918="Corporate Card",0,V1918))</f>
        <v>29.978549999999998</v>
      </c>
      <c r="AG1918" s="15" t="s">
        <v>133</v>
      </c>
      <c r="AH1918" s="16">
        <v>45886</v>
      </c>
      <c r="AI1918" s="16">
        <v>45887</v>
      </c>
      <c r="AJ1918" s="16">
        <v>45897</v>
      </c>
      <c r="AK1918" s="17">
        <f>IF(AJ1918="","",AJ1918-AH1918)</f>
        <v>11</v>
      </c>
    </row>
    <row r="1919" spans="1:37">
      <c r="A1919" s="2" t="s">
        <v>2376</v>
      </c>
      <c r="B1919" s="2" t="s">
        <v>550</v>
      </c>
      <c r="C1919" s="2" t="s">
        <v>551</v>
      </c>
      <c r="D1919" s="2" t="s">
        <v>171</v>
      </c>
      <c r="E1919" s="2" t="s">
        <v>172</v>
      </c>
      <c r="F1919" s="2" t="s">
        <v>173</v>
      </c>
      <c r="G1919" s="2" t="s">
        <v>2377</v>
      </c>
      <c r="H1919" s="2" t="s">
        <v>254</v>
      </c>
      <c r="I1919" s="2" t="s">
        <v>651</v>
      </c>
      <c r="J1919" s="2" t="s">
        <v>652</v>
      </c>
      <c r="K1919" s="9">
        <v>45880</v>
      </c>
      <c r="L1919" s="9">
        <v>45882</v>
      </c>
      <c r="M1919" s="9">
        <v>45880</v>
      </c>
      <c r="N1919" s="2" t="s">
        <v>2314</v>
      </c>
      <c r="O1919" s="2" t="s">
        <v>52</v>
      </c>
      <c r="P1919" s="2" t="s">
        <v>653</v>
      </c>
      <c r="Q1919" s="2" t="s">
        <v>197</v>
      </c>
      <c r="R1919" s="2" t="s">
        <v>149</v>
      </c>
      <c r="S1919" s="2" t="s">
        <v>654</v>
      </c>
      <c r="T1919" s="10">
        <v>1212.01</v>
      </c>
      <c r="U1919" s="11">
        <v>0.72799999999999998</v>
      </c>
      <c r="V1919" s="12">
        <f>T1919*U1919</f>
        <v>882.34327999999994</v>
      </c>
      <c r="W1919" s="13">
        <v>0</v>
      </c>
      <c r="X1919" s="12">
        <f>V1919-(V1919/(1+W1919))</f>
        <v>0</v>
      </c>
      <c r="Y1919" s="12">
        <f>V1919-X1919</f>
        <v>882.34327999999994</v>
      </c>
      <c r="Z1919" s="14">
        <v>1400</v>
      </c>
      <c r="AA1919" s="2" t="str">
        <f>IF(V1919&gt;Z1919,"Yes","No")</f>
        <v>No</v>
      </c>
      <c r="AB1919" s="12">
        <f>V1919-Z1919</f>
        <v>-517.65672000000006</v>
      </c>
      <c r="AC1919" s="15" t="s">
        <v>130</v>
      </c>
      <c r="AD1919" s="15" t="s">
        <v>130</v>
      </c>
      <c r="AE1919" s="15" t="s">
        <v>260</v>
      </c>
      <c r="AF1919" s="12">
        <f>IF(AG1919="Rejected",0,IF(R1919="Corporate Card",0,V1919))</f>
        <v>882.34327999999994</v>
      </c>
      <c r="AG1919" s="15" t="s">
        <v>133</v>
      </c>
      <c r="AH1919" s="16">
        <v>45885</v>
      </c>
      <c r="AI1919" s="16">
        <v>45893</v>
      </c>
      <c r="AJ1919" s="16">
        <v>45895</v>
      </c>
      <c r="AK1919" s="17">
        <f>IF(AJ1919="","",AJ1919-AH1919)</f>
        <v>10</v>
      </c>
    </row>
    <row r="1920" spans="1:37">
      <c r="A1920" s="2" t="s">
        <v>2378</v>
      </c>
      <c r="B1920" s="2" t="s">
        <v>550</v>
      </c>
      <c r="C1920" s="2" t="s">
        <v>551</v>
      </c>
      <c r="D1920" s="2" t="s">
        <v>171</v>
      </c>
      <c r="E1920" s="2" t="s">
        <v>172</v>
      </c>
      <c r="F1920" s="2" t="s">
        <v>173</v>
      </c>
      <c r="G1920" s="2" t="s">
        <v>2377</v>
      </c>
      <c r="H1920" s="2" t="s">
        <v>254</v>
      </c>
      <c r="I1920" s="2" t="s">
        <v>651</v>
      </c>
      <c r="J1920" s="2" t="s">
        <v>652</v>
      </c>
      <c r="K1920" s="9">
        <v>45880</v>
      </c>
      <c r="L1920" s="9">
        <v>45882</v>
      </c>
      <c r="M1920" s="9">
        <v>45880</v>
      </c>
      <c r="N1920" s="2" t="s">
        <v>2314</v>
      </c>
      <c r="O1920" s="2" t="s">
        <v>63</v>
      </c>
      <c r="P1920" s="2" t="s">
        <v>200</v>
      </c>
      <c r="Q1920" s="2" t="s">
        <v>1347</v>
      </c>
      <c r="R1920" s="2" t="s">
        <v>128</v>
      </c>
      <c r="S1920" s="2" t="s">
        <v>654</v>
      </c>
      <c r="T1920" s="10">
        <v>1150.1300000000001</v>
      </c>
      <c r="U1920" s="11">
        <v>0.72799999999999998</v>
      </c>
      <c r="V1920" s="12">
        <f>T1920*U1920</f>
        <v>837.29464000000007</v>
      </c>
      <c r="W1920" s="13">
        <v>0</v>
      </c>
      <c r="X1920" s="12">
        <f>V1920-(V1920/(1+W1920))</f>
        <v>0</v>
      </c>
      <c r="Y1920" s="12">
        <f>V1920-X1920</f>
        <v>837.29464000000007</v>
      </c>
      <c r="Z1920" s="14">
        <v>1200</v>
      </c>
      <c r="AA1920" s="2" t="str">
        <f>IF(V1920&gt;Z1920,"Yes","No")</f>
        <v>No</v>
      </c>
      <c r="AB1920" s="12">
        <f>V1920-Z1920</f>
        <v>-362.70535999999993</v>
      </c>
      <c r="AC1920" s="15" t="s">
        <v>130</v>
      </c>
      <c r="AD1920" s="15" t="s">
        <v>130</v>
      </c>
      <c r="AE1920" s="15" t="s">
        <v>260</v>
      </c>
      <c r="AF1920" s="12">
        <f>IF(AG1920="Rejected",0,IF(R1920="Corporate Card",0,V1920))</f>
        <v>0</v>
      </c>
      <c r="AG1920" s="15" t="s">
        <v>133</v>
      </c>
      <c r="AH1920" s="16">
        <v>45885</v>
      </c>
      <c r="AI1920" s="16">
        <v>45893</v>
      </c>
      <c r="AJ1920" s="16">
        <v>45895</v>
      </c>
      <c r="AK1920" s="17">
        <f>IF(AJ1920="","",AJ1920-AH1920)</f>
        <v>10</v>
      </c>
    </row>
    <row r="1921" spans="1:37">
      <c r="A1921" s="2" t="s">
        <v>2379</v>
      </c>
      <c r="B1921" s="2" t="s">
        <v>550</v>
      </c>
      <c r="C1921" s="2" t="s">
        <v>551</v>
      </c>
      <c r="D1921" s="2" t="s">
        <v>171</v>
      </c>
      <c r="E1921" s="2" t="s">
        <v>172</v>
      </c>
      <c r="F1921" s="2" t="s">
        <v>173</v>
      </c>
      <c r="G1921" s="2" t="s">
        <v>2377</v>
      </c>
      <c r="H1921" s="2" t="s">
        <v>254</v>
      </c>
      <c r="I1921" s="2" t="s">
        <v>651</v>
      </c>
      <c r="J1921" s="2" t="s">
        <v>652</v>
      </c>
      <c r="K1921" s="9">
        <v>45880</v>
      </c>
      <c r="L1921" s="9">
        <v>45882</v>
      </c>
      <c r="M1921" s="9">
        <v>45880</v>
      </c>
      <c r="N1921" s="2" t="s">
        <v>2314</v>
      </c>
      <c r="O1921" s="2" t="s">
        <v>54</v>
      </c>
      <c r="P1921" s="2" t="s">
        <v>139</v>
      </c>
      <c r="Q1921" s="2" t="s">
        <v>148</v>
      </c>
      <c r="R1921" s="2" t="s">
        <v>149</v>
      </c>
      <c r="S1921" s="2" t="s">
        <v>654</v>
      </c>
      <c r="T1921" s="10">
        <v>29.91</v>
      </c>
      <c r="U1921" s="11">
        <v>0.72799999999999998</v>
      </c>
      <c r="V1921" s="12">
        <f>T1921*U1921</f>
        <v>21.774480000000001</v>
      </c>
      <c r="W1921" s="13">
        <v>0.13</v>
      </c>
      <c r="X1921" s="12">
        <f>V1921-(V1921/(1+W1921))</f>
        <v>2.5050286725663682</v>
      </c>
      <c r="Y1921" s="12">
        <f>V1921-X1921</f>
        <v>19.269451327433632</v>
      </c>
      <c r="Z1921" s="14">
        <v>25</v>
      </c>
      <c r="AA1921" s="2" t="str">
        <f>IF(V1921&gt;Z1921,"Yes","No")</f>
        <v>No</v>
      </c>
      <c r="AB1921" s="12">
        <f>V1921-Z1921</f>
        <v>-3.2255199999999995</v>
      </c>
      <c r="AC1921" s="15" t="s">
        <v>131</v>
      </c>
      <c r="AD1921" s="15" t="s">
        <v>130</v>
      </c>
      <c r="AE1921" s="15" t="s">
        <v>260</v>
      </c>
      <c r="AF1921" s="12">
        <f>IF(AG1921="Rejected",0,IF(R1921="Corporate Card",0,V1921))</f>
        <v>21.774480000000001</v>
      </c>
      <c r="AG1921" s="15" t="s">
        <v>133</v>
      </c>
      <c r="AH1921" s="16">
        <v>45885</v>
      </c>
      <c r="AI1921" s="16">
        <v>45893</v>
      </c>
      <c r="AJ1921" s="16">
        <v>45895</v>
      </c>
      <c r="AK1921" s="17">
        <f>IF(AJ1921="","",AJ1921-AH1921)</f>
        <v>10</v>
      </c>
    </row>
    <row r="1922" spans="1:37">
      <c r="A1922" s="2" t="s">
        <v>2380</v>
      </c>
      <c r="B1922" s="2" t="s">
        <v>550</v>
      </c>
      <c r="C1922" s="2" t="s">
        <v>551</v>
      </c>
      <c r="D1922" s="2" t="s">
        <v>171</v>
      </c>
      <c r="E1922" s="2" t="s">
        <v>172</v>
      </c>
      <c r="F1922" s="2" t="s">
        <v>173</v>
      </c>
      <c r="G1922" s="2" t="s">
        <v>2377</v>
      </c>
      <c r="H1922" s="2" t="s">
        <v>254</v>
      </c>
      <c r="I1922" s="2" t="s">
        <v>651</v>
      </c>
      <c r="J1922" s="2" t="s">
        <v>652</v>
      </c>
      <c r="K1922" s="9">
        <v>45880</v>
      </c>
      <c r="L1922" s="9">
        <v>45882</v>
      </c>
      <c r="M1922" s="9">
        <v>45880</v>
      </c>
      <c r="N1922" s="2" t="s">
        <v>2314</v>
      </c>
      <c r="O1922" s="2" t="s">
        <v>56</v>
      </c>
      <c r="P1922" s="2" t="s">
        <v>151</v>
      </c>
      <c r="Q1922" s="2" t="s">
        <v>166</v>
      </c>
      <c r="R1922" s="2" t="s">
        <v>128</v>
      </c>
      <c r="S1922" s="2" t="s">
        <v>654</v>
      </c>
      <c r="T1922" s="10">
        <v>121.09</v>
      </c>
      <c r="U1922" s="11">
        <v>0.72799999999999998</v>
      </c>
      <c r="V1922" s="12">
        <f>T1922*U1922</f>
        <v>88.15352</v>
      </c>
      <c r="W1922" s="13">
        <v>0.13</v>
      </c>
      <c r="X1922" s="12">
        <f>V1922-(V1922/(1+W1922))</f>
        <v>10.141555398230082</v>
      </c>
      <c r="Y1922" s="12">
        <f>V1922-X1922</f>
        <v>78.011964601769918</v>
      </c>
      <c r="Z1922" s="14">
        <v>75</v>
      </c>
      <c r="AA1922" s="2" t="str">
        <f>IF(V1922&gt;Z1922,"Yes","No")</f>
        <v>Yes</v>
      </c>
      <c r="AB1922" s="12">
        <f>V1922-Z1922</f>
        <v>13.15352</v>
      </c>
      <c r="AC1922" s="15" t="s">
        <v>130</v>
      </c>
      <c r="AD1922" s="15" t="s">
        <v>130</v>
      </c>
      <c r="AE1922" s="15" t="s">
        <v>260</v>
      </c>
      <c r="AF1922" s="12">
        <f>IF(AG1922="Rejected",0,IF(R1922="Corporate Card",0,V1922))</f>
        <v>0</v>
      </c>
      <c r="AG1922" s="15" t="s">
        <v>133</v>
      </c>
      <c r="AH1922" s="16">
        <v>45885</v>
      </c>
      <c r="AI1922" s="16">
        <v>45893</v>
      </c>
      <c r="AJ1922" s="16">
        <v>45895</v>
      </c>
      <c r="AK1922" s="17">
        <f>IF(AJ1922="","",AJ1922-AH1922)</f>
        <v>10</v>
      </c>
    </row>
    <row r="1923" spans="1:37">
      <c r="A1923" s="2" t="s">
        <v>2381</v>
      </c>
      <c r="B1923" s="2" t="s">
        <v>550</v>
      </c>
      <c r="C1923" s="2" t="s">
        <v>551</v>
      </c>
      <c r="D1923" s="2" t="s">
        <v>171</v>
      </c>
      <c r="E1923" s="2" t="s">
        <v>172</v>
      </c>
      <c r="F1923" s="2" t="s">
        <v>173</v>
      </c>
      <c r="G1923" s="2" t="s">
        <v>2377</v>
      </c>
      <c r="H1923" s="2" t="s">
        <v>254</v>
      </c>
      <c r="I1923" s="2" t="s">
        <v>651</v>
      </c>
      <c r="J1923" s="2" t="s">
        <v>652</v>
      </c>
      <c r="K1923" s="9">
        <v>45880</v>
      </c>
      <c r="L1923" s="9">
        <v>45882</v>
      </c>
      <c r="M1923" s="9">
        <v>45881</v>
      </c>
      <c r="N1923" s="2" t="s">
        <v>2314</v>
      </c>
      <c r="O1923" s="2" t="s">
        <v>60</v>
      </c>
      <c r="P1923" s="2" t="s">
        <v>1643</v>
      </c>
      <c r="Q1923" s="2" t="s">
        <v>503</v>
      </c>
      <c r="R1923" s="2" t="s">
        <v>128</v>
      </c>
      <c r="S1923" s="2" t="s">
        <v>654</v>
      </c>
      <c r="T1923" s="10">
        <v>274.22000000000003</v>
      </c>
      <c r="U1923" s="11">
        <v>0.72799999999999998</v>
      </c>
      <c r="V1923" s="12">
        <f>T1923*U1923</f>
        <v>199.63216000000003</v>
      </c>
      <c r="W1923" s="13">
        <v>0.13</v>
      </c>
      <c r="X1923" s="12">
        <f>V1923-(V1923/(1+W1923))</f>
        <v>22.966531681415916</v>
      </c>
      <c r="Y1923" s="12">
        <f>V1923-X1923</f>
        <v>176.66562831858411</v>
      </c>
      <c r="Z1923" s="14">
        <v>240</v>
      </c>
      <c r="AA1923" s="2" t="str">
        <f>IF(V1923&gt;Z1923,"Yes","No")</f>
        <v>No</v>
      </c>
      <c r="AB1923" s="12">
        <f>V1923-Z1923</f>
        <v>-40.367839999999973</v>
      </c>
      <c r="AC1923" s="15" t="s">
        <v>131</v>
      </c>
      <c r="AD1923" s="15" t="s">
        <v>130</v>
      </c>
      <c r="AE1923" s="15" t="s">
        <v>260</v>
      </c>
      <c r="AF1923" s="12">
        <f>IF(AG1923="Rejected",0,IF(R1923="Corporate Card",0,V1923))</f>
        <v>0</v>
      </c>
      <c r="AG1923" s="15" t="s">
        <v>133</v>
      </c>
      <c r="AH1923" s="16">
        <v>45885</v>
      </c>
      <c r="AI1923" s="16">
        <v>45893</v>
      </c>
      <c r="AJ1923" s="16">
        <v>45895</v>
      </c>
      <c r="AK1923" s="17">
        <f>IF(AJ1923="","",AJ1923-AH1923)</f>
        <v>10</v>
      </c>
    </row>
    <row r="1924" spans="1:37">
      <c r="A1924" s="2" t="s">
        <v>2382</v>
      </c>
      <c r="B1924" s="2" t="s">
        <v>550</v>
      </c>
      <c r="C1924" s="2" t="s">
        <v>551</v>
      </c>
      <c r="D1924" s="2" t="s">
        <v>171</v>
      </c>
      <c r="E1924" s="2" t="s">
        <v>172</v>
      </c>
      <c r="F1924" s="2" t="s">
        <v>173</v>
      </c>
      <c r="G1924" s="2" t="s">
        <v>2377</v>
      </c>
      <c r="H1924" s="2" t="s">
        <v>254</v>
      </c>
      <c r="I1924" s="2" t="s">
        <v>651</v>
      </c>
      <c r="J1924" s="2" t="s">
        <v>652</v>
      </c>
      <c r="K1924" s="9">
        <v>45880</v>
      </c>
      <c r="L1924" s="9">
        <v>45882</v>
      </c>
      <c r="M1924" s="9">
        <v>45881</v>
      </c>
      <c r="N1924" s="2" t="s">
        <v>2314</v>
      </c>
      <c r="O1924" s="2" t="s">
        <v>57</v>
      </c>
      <c r="P1924" s="2" t="s">
        <v>398</v>
      </c>
      <c r="Q1924" s="2" t="s">
        <v>1204</v>
      </c>
      <c r="R1924" s="2" t="s">
        <v>128</v>
      </c>
      <c r="S1924" s="2" t="s">
        <v>654</v>
      </c>
      <c r="T1924" s="10">
        <v>114.66</v>
      </c>
      <c r="U1924" s="11">
        <v>0.72799999999999998</v>
      </c>
      <c r="V1924" s="12">
        <f>T1924*U1924</f>
        <v>83.47247999999999</v>
      </c>
      <c r="W1924" s="13">
        <v>0.13</v>
      </c>
      <c r="X1924" s="12">
        <f>V1924-(V1924/(1+W1924))</f>
        <v>9.6030286725663672</v>
      </c>
      <c r="Y1924" s="12">
        <f>V1924-X1924</f>
        <v>73.869451327433623</v>
      </c>
      <c r="Z1924" s="14">
        <v>200</v>
      </c>
      <c r="AA1924" s="2" t="str">
        <f>IF(V1924&gt;Z1924,"Yes","No")</f>
        <v>No</v>
      </c>
      <c r="AB1924" s="12">
        <f>V1924-Z1924</f>
        <v>-116.52752000000001</v>
      </c>
      <c r="AC1924" s="15" t="s">
        <v>130</v>
      </c>
      <c r="AD1924" s="15" t="s">
        <v>130</v>
      </c>
      <c r="AE1924" s="15" t="s">
        <v>260</v>
      </c>
      <c r="AF1924" s="12">
        <f>IF(AG1924="Rejected",0,IF(R1924="Corporate Card",0,V1924))</f>
        <v>0</v>
      </c>
      <c r="AG1924" s="15" t="s">
        <v>133</v>
      </c>
      <c r="AH1924" s="16">
        <v>45885</v>
      </c>
      <c r="AI1924" s="16">
        <v>45893</v>
      </c>
      <c r="AJ1924" s="16">
        <v>45895</v>
      </c>
      <c r="AK1924" s="17">
        <f>IF(AJ1924="","",AJ1924-AH1924)</f>
        <v>10</v>
      </c>
    </row>
    <row r="1925" spans="1:37">
      <c r="A1925" s="2" t="s">
        <v>2383</v>
      </c>
      <c r="B1925" s="2" t="s">
        <v>550</v>
      </c>
      <c r="C1925" s="2" t="s">
        <v>551</v>
      </c>
      <c r="D1925" s="2" t="s">
        <v>171</v>
      </c>
      <c r="E1925" s="2" t="s">
        <v>172</v>
      </c>
      <c r="F1925" s="2" t="s">
        <v>173</v>
      </c>
      <c r="G1925" s="2" t="s">
        <v>2377</v>
      </c>
      <c r="H1925" s="2" t="s">
        <v>254</v>
      </c>
      <c r="I1925" s="2" t="s">
        <v>651</v>
      </c>
      <c r="J1925" s="2" t="s">
        <v>652</v>
      </c>
      <c r="K1925" s="9">
        <v>45880</v>
      </c>
      <c r="L1925" s="9">
        <v>45882</v>
      </c>
      <c r="M1925" s="9">
        <v>45881</v>
      </c>
      <c r="N1925" s="2" t="s">
        <v>2314</v>
      </c>
      <c r="O1925" s="2" t="s">
        <v>58</v>
      </c>
      <c r="P1925" s="2" t="s">
        <v>142</v>
      </c>
      <c r="Q1925" s="2" t="s">
        <v>143</v>
      </c>
      <c r="R1925" s="2" t="s">
        <v>128</v>
      </c>
      <c r="S1925" s="2" t="s">
        <v>654</v>
      </c>
      <c r="T1925" s="10">
        <v>51.57</v>
      </c>
      <c r="U1925" s="11">
        <v>0.72799999999999998</v>
      </c>
      <c r="V1925" s="12">
        <f>T1925*U1925</f>
        <v>37.542960000000001</v>
      </c>
      <c r="W1925" s="13">
        <v>0.13</v>
      </c>
      <c r="X1925" s="12">
        <f>V1925-(V1925/(1+W1925))</f>
        <v>4.3191015929203544</v>
      </c>
      <c r="Y1925" s="12">
        <f>V1925-X1925</f>
        <v>33.223858407079646</v>
      </c>
      <c r="Z1925" s="14">
        <v>60</v>
      </c>
      <c r="AA1925" s="2" t="str">
        <f>IF(V1925&gt;Z1925,"Yes","No")</f>
        <v>No</v>
      </c>
      <c r="AB1925" s="12">
        <f>V1925-Z1925</f>
        <v>-22.457039999999999</v>
      </c>
      <c r="AC1925" s="15" t="s">
        <v>130</v>
      </c>
      <c r="AD1925" s="15" t="s">
        <v>130</v>
      </c>
      <c r="AE1925" s="15" t="s">
        <v>260</v>
      </c>
      <c r="AF1925" s="12">
        <f>IF(AG1925="Rejected",0,IF(R1925="Corporate Card",0,V1925))</f>
        <v>0</v>
      </c>
      <c r="AG1925" s="15" t="s">
        <v>133</v>
      </c>
      <c r="AH1925" s="16">
        <v>45885</v>
      </c>
      <c r="AI1925" s="16">
        <v>45893</v>
      </c>
      <c r="AJ1925" s="16">
        <v>45895</v>
      </c>
      <c r="AK1925" s="17">
        <f>IF(AJ1925="","",AJ1925-AH1925)</f>
        <v>10</v>
      </c>
    </row>
    <row r="1926" spans="1:37">
      <c r="A1926" s="2" t="s">
        <v>2384</v>
      </c>
      <c r="B1926" s="2" t="s">
        <v>550</v>
      </c>
      <c r="C1926" s="2" t="s">
        <v>551</v>
      </c>
      <c r="D1926" s="2" t="s">
        <v>171</v>
      </c>
      <c r="E1926" s="2" t="s">
        <v>172</v>
      </c>
      <c r="F1926" s="2" t="s">
        <v>173</v>
      </c>
      <c r="G1926" s="2" t="s">
        <v>2377</v>
      </c>
      <c r="H1926" s="2" t="s">
        <v>254</v>
      </c>
      <c r="I1926" s="2" t="s">
        <v>651</v>
      </c>
      <c r="J1926" s="2" t="s">
        <v>652</v>
      </c>
      <c r="K1926" s="9">
        <v>45880</v>
      </c>
      <c r="L1926" s="9">
        <v>45882</v>
      </c>
      <c r="M1926" s="9">
        <v>45881</v>
      </c>
      <c r="N1926" s="2" t="s">
        <v>2314</v>
      </c>
      <c r="O1926" s="2" t="s">
        <v>53</v>
      </c>
      <c r="P1926" s="2" t="s">
        <v>362</v>
      </c>
      <c r="Q1926" s="2" t="s">
        <v>146</v>
      </c>
      <c r="R1926" s="2" t="s">
        <v>128</v>
      </c>
      <c r="S1926" s="2" t="s">
        <v>654</v>
      </c>
      <c r="T1926" s="10">
        <v>438.77</v>
      </c>
      <c r="U1926" s="11">
        <v>0.72799999999999998</v>
      </c>
      <c r="V1926" s="12">
        <f>T1926*U1926</f>
        <v>319.42455999999999</v>
      </c>
      <c r="W1926" s="13">
        <v>0.13</v>
      </c>
      <c r="X1926" s="12">
        <f>V1926-(V1926/(1+W1926))</f>
        <v>36.747958230088443</v>
      </c>
      <c r="Y1926" s="12">
        <f>V1926-X1926</f>
        <v>282.67660176991154</v>
      </c>
      <c r="Z1926" s="14">
        <v>560</v>
      </c>
      <c r="AA1926" s="2" t="str">
        <f>IF(V1926&gt;Z1926,"Yes","No")</f>
        <v>No</v>
      </c>
      <c r="AB1926" s="12">
        <f>V1926-Z1926</f>
        <v>-240.57544000000001</v>
      </c>
      <c r="AC1926" s="15" t="s">
        <v>130</v>
      </c>
      <c r="AD1926" s="15" t="s">
        <v>130</v>
      </c>
      <c r="AE1926" s="15" t="s">
        <v>260</v>
      </c>
      <c r="AF1926" s="12">
        <f>IF(AG1926="Rejected",0,IF(R1926="Corporate Card",0,V1926))</f>
        <v>0</v>
      </c>
      <c r="AG1926" s="15" t="s">
        <v>133</v>
      </c>
      <c r="AH1926" s="16">
        <v>45885</v>
      </c>
      <c r="AI1926" s="16">
        <v>45893</v>
      </c>
      <c r="AJ1926" s="16">
        <v>45895</v>
      </c>
      <c r="AK1926" s="17">
        <f>IF(AJ1926="","",AJ1926-AH1926)</f>
        <v>10</v>
      </c>
    </row>
    <row r="1927" spans="1:37">
      <c r="A1927" s="2" t="s">
        <v>2385</v>
      </c>
      <c r="B1927" s="2" t="s">
        <v>550</v>
      </c>
      <c r="C1927" s="2" t="s">
        <v>551</v>
      </c>
      <c r="D1927" s="2" t="s">
        <v>171</v>
      </c>
      <c r="E1927" s="2" t="s">
        <v>172</v>
      </c>
      <c r="F1927" s="2" t="s">
        <v>173</v>
      </c>
      <c r="G1927" s="2" t="s">
        <v>2377</v>
      </c>
      <c r="H1927" s="2" t="s">
        <v>254</v>
      </c>
      <c r="I1927" s="2" t="s">
        <v>651</v>
      </c>
      <c r="J1927" s="2" t="s">
        <v>652</v>
      </c>
      <c r="K1927" s="9">
        <v>45880</v>
      </c>
      <c r="L1927" s="9">
        <v>45882</v>
      </c>
      <c r="M1927" s="9">
        <v>45881</v>
      </c>
      <c r="N1927" s="2" t="s">
        <v>2314</v>
      </c>
      <c r="O1927" s="2" t="s">
        <v>65</v>
      </c>
      <c r="P1927" s="2" t="s">
        <v>211</v>
      </c>
      <c r="Q1927" s="2" t="s">
        <v>212</v>
      </c>
      <c r="R1927" s="2" t="s">
        <v>128</v>
      </c>
      <c r="S1927" s="2" t="s">
        <v>654</v>
      </c>
      <c r="T1927" s="10">
        <v>43</v>
      </c>
      <c r="U1927" s="11">
        <v>0.72799999999999998</v>
      </c>
      <c r="V1927" s="12">
        <f>T1927*U1927</f>
        <v>31.303999999999998</v>
      </c>
      <c r="W1927" s="13">
        <v>0.13</v>
      </c>
      <c r="X1927" s="12">
        <f>V1927-(V1927/(1+W1927))</f>
        <v>3.6013451327433614</v>
      </c>
      <c r="Y1927" s="12">
        <f>V1927-X1927</f>
        <v>27.702654867256637</v>
      </c>
      <c r="Z1927" s="14">
        <v>55</v>
      </c>
      <c r="AA1927" s="2" t="str">
        <f>IF(V1927&gt;Z1927,"Yes","No")</f>
        <v>No</v>
      </c>
      <c r="AB1927" s="12">
        <f>V1927-Z1927</f>
        <v>-23.696000000000002</v>
      </c>
      <c r="AC1927" s="15" t="s">
        <v>130</v>
      </c>
      <c r="AD1927" s="15" t="s">
        <v>130</v>
      </c>
      <c r="AE1927" s="15" t="s">
        <v>260</v>
      </c>
      <c r="AF1927" s="12">
        <f>IF(AG1927="Rejected",0,IF(R1927="Corporate Card",0,V1927))</f>
        <v>0</v>
      </c>
      <c r="AG1927" s="15" t="s">
        <v>133</v>
      </c>
      <c r="AH1927" s="16">
        <v>45885</v>
      </c>
      <c r="AI1927" s="16">
        <v>45893</v>
      </c>
      <c r="AJ1927" s="16">
        <v>45895</v>
      </c>
      <c r="AK1927" s="17">
        <f>IF(AJ1927="","",AJ1927-AH1927)</f>
        <v>10</v>
      </c>
    </row>
    <row r="1928" spans="1:37">
      <c r="A1928" s="2" t="s">
        <v>2386</v>
      </c>
      <c r="B1928" s="2" t="s">
        <v>550</v>
      </c>
      <c r="C1928" s="2" t="s">
        <v>551</v>
      </c>
      <c r="D1928" s="2" t="s">
        <v>171</v>
      </c>
      <c r="E1928" s="2" t="s">
        <v>172</v>
      </c>
      <c r="F1928" s="2" t="s">
        <v>173</v>
      </c>
      <c r="G1928" s="2" t="s">
        <v>2377</v>
      </c>
      <c r="H1928" s="2" t="s">
        <v>254</v>
      </c>
      <c r="I1928" s="2" t="s">
        <v>651</v>
      </c>
      <c r="J1928" s="2" t="s">
        <v>652</v>
      </c>
      <c r="K1928" s="9">
        <v>45880</v>
      </c>
      <c r="L1928" s="9">
        <v>45882</v>
      </c>
      <c r="M1928" s="9">
        <v>45881</v>
      </c>
      <c r="N1928" s="2" t="s">
        <v>2314</v>
      </c>
      <c r="O1928" s="2" t="s">
        <v>56</v>
      </c>
      <c r="P1928" s="2" t="s">
        <v>245</v>
      </c>
      <c r="Q1928" s="2" t="s">
        <v>227</v>
      </c>
      <c r="R1928" s="2" t="s">
        <v>128</v>
      </c>
      <c r="S1928" s="2" t="s">
        <v>654</v>
      </c>
      <c r="T1928" s="10">
        <v>71.13</v>
      </c>
      <c r="U1928" s="11">
        <v>0.72799999999999998</v>
      </c>
      <c r="V1928" s="12">
        <f>T1928*U1928</f>
        <v>51.782639999999994</v>
      </c>
      <c r="W1928" s="13">
        <v>0.13</v>
      </c>
      <c r="X1928" s="12">
        <f>V1928-(V1928/(1+W1928))</f>
        <v>5.9572948672566355</v>
      </c>
      <c r="Y1928" s="12">
        <f>V1928-X1928</f>
        <v>45.825345132743358</v>
      </c>
      <c r="Z1928" s="14">
        <v>75</v>
      </c>
      <c r="AA1928" s="2" t="str">
        <f>IF(V1928&gt;Z1928,"Yes","No")</f>
        <v>No</v>
      </c>
      <c r="AB1928" s="12">
        <f>V1928-Z1928</f>
        <v>-23.217360000000006</v>
      </c>
      <c r="AC1928" s="15" t="s">
        <v>130</v>
      </c>
      <c r="AD1928" s="15" t="s">
        <v>130</v>
      </c>
      <c r="AE1928" s="15" t="s">
        <v>260</v>
      </c>
      <c r="AF1928" s="12">
        <f>IF(AG1928="Rejected",0,IF(R1928="Corporate Card",0,V1928))</f>
        <v>0</v>
      </c>
      <c r="AG1928" s="15" t="s">
        <v>133</v>
      </c>
      <c r="AH1928" s="16">
        <v>45885</v>
      </c>
      <c r="AI1928" s="16">
        <v>45893</v>
      </c>
      <c r="AJ1928" s="16">
        <v>45895</v>
      </c>
      <c r="AK1928" s="17">
        <f>IF(AJ1928="","",AJ1928-AH1928)</f>
        <v>10</v>
      </c>
    </row>
    <row r="1929" spans="1:37">
      <c r="A1929" s="2" t="s">
        <v>2387</v>
      </c>
      <c r="B1929" s="2" t="s">
        <v>550</v>
      </c>
      <c r="C1929" s="2" t="s">
        <v>551</v>
      </c>
      <c r="D1929" s="2" t="s">
        <v>171</v>
      </c>
      <c r="E1929" s="2" t="s">
        <v>172</v>
      </c>
      <c r="F1929" s="2" t="s">
        <v>173</v>
      </c>
      <c r="G1929" s="2" t="s">
        <v>2377</v>
      </c>
      <c r="H1929" s="2" t="s">
        <v>254</v>
      </c>
      <c r="I1929" s="2" t="s">
        <v>651</v>
      </c>
      <c r="J1929" s="2" t="s">
        <v>652</v>
      </c>
      <c r="K1929" s="9">
        <v>45880</v>
      </c>
      <c r="L1929" s="9">
        <v>45882</v>
      </c>
      <c r="M1929" s="9">
        <v>45881</v>
      </c>
      <c r="N1929" s="2" t="s">
        <v>2314</v>
      </c>
      <c r="O1929" s="2" t="s">
        <v>55</v>
      </c>
      <c r="P1929" s="2" t="s">
        <v>139</v>
      </c>
      <c r="Q1929" s="2" t="s">
        <v>161</v>
      </c>
      <c r="R1929" s="2" t="s">
        <v>137</v>
      </c>
      <c r="S1929" s="2" t="s">
        <v>654</v>
      </c>
      <c r="T1929" s="10">
        <v>44.89</v>
      </c>
      <c r="U1929" s="11">
        <v>0.72799999999999998</v>
      </c>
      <c r="V1929" s="12">
        <f>T1929*U1929</f>
        <v>32.679920000000003</v>
      </c>
      <c r="W1929" s="13">
        <v>0.13</v>
      </c>
      <c r="X1929" s="12">
        <f>V1929-(V1929/(1+W1929))</f>
        <v>3.7596368141592897</v>
      </c>
      <c r="Y1929" s="12">
        <f>V1929-X1929</f>
        <v>28.920283185840713</v>
      </c>
      <c r="Z1929" s="14">
        <v>35</v>
      </c>
      <c r="AA1929" s="2" t="str">
        <f>IF(V1929&gt;Z1929,"Yes","No")</f>
        <v>No</v>
      </c>
      <c r="AB1929" s="12">
        <f>V1929-Z1929</f>
        <v>-2.3200799999999973</v>
      </c>
      <c r="AC1929" s="15" t="s">
        <v>130</v>
      </c>
      <c r="AD1929" s="15" t="s">
        <v>130</v>
      </c>
      <c r="AE1929" s="15" t="s">
        <v>260</v>
      </c>
      <c r="AF1929" s="12">
        <f>IF(AG1929="Rejected",0,IF(R1929="Corporate Card",0,V1929))</f>
        <v>32.679920000000003</v>
      </c>
      <c r="AG1929" s="15" t="s">
        <v>133</v>
      </c>
      <c r="AH1929" s="16">
        <v>45885</v>
      </c>
      <c r="AI1929" s="16">
        <v>45893</v>
      </c>
      <c r="AJ1929" s="16">
        <v>45895</v>
      </c>
      <c r="AK1929" s="17">
        <f>IF(AJ1929="","",AJ1929-AH1929)</f>
        <v>10</v>
      </c>
    </row>
    <row r="1930" spans="1:37">
      <c r="A1930" s="2" t="s">
        <v>2388</v>
      </c>
      <c r="B1930" s="2" t="s">
        <v>310</v>
      </c>
      <c r="C1930" s="2" t="s">
        <v>311</v>
      </c>
      <c r="D1930" s="2" t="s">
        <v>118</v>
      </c>
      <c r="E1930" s="2" t="s">
        <v>312</v>
      </c>
      <c r="F1930" s="2" t="s">
        <v>313</v>
      </c>
      <c r="G1930" s="2" t="s">
        <v>2389</v>
      </c>
      <c r="H1930" s="2" t="s">
        <v>122</v>
      </c>
      <c r="I1930" s="2" t="s">
        <v>651</v>
      </c>
      <c r="J1930" s="2" t="s">
        <v>652</v>
      </c>
      <c r="K1930" s="9">
        <v>45881</v>
      </c>
      <c r="L1930" s="9">
        <v>45882</v>
      </c>
      <c r="M1930" s="9">
        <v>45881</v>
      </c>
      <c r="N1930" s="2" t="s">
        <v>2314</v>
      </c>
      <c r="O1930" s="2" t="s">
        <v>52</v>
      </c>
      <c r="P1930" s="2" t="s">
        <v>653</v>
      </c>
      <c r="Q1930" s="2" t="s">
        <v>136</v>
      </c>
      <c r="R1930" s="2" t="s">
        <v>128</v>
      </c>
      <c r="S1930" s="2" t="s">
        <v>654</v>
      </c>
      <c r="T1930" s="10">
        <v>3032.44</v>
      </c>
      <c r="U1930" s="11">
        <v>0.72799999999999998</v>
      </c>
      <c r="V1930" s="12">
        <f>T1930*U1930</f>
        <v>2207.6163200000001</v>
      </c>
      <c r="W1930" s="13">
        <v>0</v>
      </c>
      <c r="X1930" s="12">
        <f>V1930-(V1930/(1+W1930))</f>
        <v>0</v>
      </c>
      <c r="Y1930" s="12">
        <f>V1930-X1930</f>
        <v>2207.6163200000001</v>
      </c>
      <c r="Z1930" s="14">
        <v>1400</v>
      </c>
      <c r="AA1930" s="2" t="str">
        <f>IF(V1930&gt;Z1930,"Yes","No")</f>
        <v>Yes</v>
      </c>
      <c r="AB1930" s="12">
        <f>V1930-Z1930</f>
        <v>807.61632000000009</v>
      </c>
      <c r="AC1930" s="15" t="s">
        <v>130</v>
      </c>
      <c r="AD1930" s="15" t="s">
        <v>130</v>
      </c>
      <c r="AE1930" s="15" t="s">
        <v>350</v>
      </c>
      <c r="AF1930" s="12">
        <f>IF(AG1930="Rejected",0,IF(R1930="Corporate Card",0,V1930))</f>
        <v>0</v>
      </c>
      <c r="AG1930" s="15" t="s">
        <v>133</v>
      </c>
      <c r="AH1930" s="16">
        <v>45886</v>
      </c>
      <c r="AI1930" s="16">
        <v>45892</v>
      </c>
      <c r="AJ1930" s="16">
        <v>45904</v>
      </c>
      <c r="AK1930" s="17">
        <f>IF(AJ1930="","",AJ1930-AH1930)</f>
        <v>18</v>
      </c>
    </row>
    <row r="1931" spans="1:37">
      <c r="A1931" s="2" t="s">
        <v>2390</v>
      </c>
      <c r="B1931" s="2" t="s">
        <v>310</v>
      </c>
      <c r="C1931" s="2" t="s">
        <v>311</v>
      </c>
      <c r="D1931" s="2" t="s">
        <v>118</v>
      </c>
      <c r="E1931" s="2" t="s">
        <v>312</v>
      </c>
      <c r="F1931" s="2" t="s">
        <v>313</v>
      </c>
      <c r="G1931" s="2" t="s">
        <v>2389</v>
      </c>
      <c r="H1931" s="2" t="s">
        <v>122</v>
      </c>
      <c r="I1931" s="2" t="s">
        <v>651</v>
      </c>
      <c r="J1931" s="2" t="s">
        <v>652</v>
      </c>
      <c r="K1931" s="9">
        <v>45881</v>
      </c>
      <c r="L1931" s="9">
        <v>45882</v>
      </c>
      <c r="M1931" s="9">
        <v>45881</v>
      </c>
      <c r="N1931" s="2" t="s">
        <v>2314</v>
      </c>
      <c r="O1931" s="2" t="s">
        <v>54</v>
      </c>
      <c r="P1931" s="2" t="s">
        <v>139</v>
      </c>
      <c r="Q1931" s="2" t="s">
        <v>140</v>
      </c>
      <c r="R1931" s="2" t="s">
        <v>128</v>
      </c>
      <c r="S1931" s="2" t="s">
        <v>654</v>
      </c>
      <c r="T1931" s="10">
        <v>28.94</v>
      </c>
      <c r="U1931" s="11">
        <v>0.72799999999999998</v>
      </c>
      <c r="V1931" s="12">
        <f>T1931*U1931</f>
        <v>21.06832</v>
      </c>
      <c r="W1931" s="13">
        <v>0.13</v>
      </c>
      <c r="X1931" s="12">
        <f>V1931-(V1931/(1+W1931))</f>
        <v>2.4237890265486719</v>
      </c>
      <c r="Y1931" s="12">
        <f>V1931-X1931</f>
        <v>18.644530973451328</v>
      </c>
      <c r="Z1931" s="14">
        <v>25</v>
      </c>
      <c r="AA1931" s="2" t="str">
        <f>IF(V1931&gt;Z1931,"Yes","No")</f>
        <v>No</v>
      </c>
      <c r="AB1931" s="12">
        <f>V1931-Z1931</f>
        <v>-3.9316800000000001</v>
      </c>
      <c r="AC1931" s="15" t="s">
        <v>130</v>
      </c>
      <c r="AD1931" s="15" t="s">
        <v>130</v>
      </c>
      <c r="AE1931" s="15" t="s">
        <v>350</v>
      </c>
      <c r="AF1931" s="12">
        <f>IF(AG1931="Rejected",0,IF(R1931="Corporate Card",0,V1931))</f>
        <v>0</v>
      </c>
      <c r="AG1931" s="15" t="s">
        <v>133</v>
      </c>
      <c r="AH1931" s="16">
        <v>45886</v>
      </c>
      <c r="AI1931" s="16">
        <v>45892</v>
      </c>
      <c r="AJ1931" s="16">
        <v>45904</v>
      </c>
      <c r="AK1931" s="17">
        <f>IF(AJ1931="","",AJ1931-AH1931)</f>
        <v>18</v>
      </c>
    </row>
    <row r="1932" spans="1:37">
      <c r="A1932" s="2" t="s">
        <v>2391</v>
      </c>
      <c r="B1932" s="2" t="s">
        <v>310</v>
      </c>
      <c r="C1932" s="2" t="s">
        <v>311</v>
      </c>
      <c r="D1932" s="2" t="s">
        <v>118</v>
      </c>
      <c r="E1932" s="2" t="s">
        <v>312</v>
      </c>
      <c r="F1932" s="2" t="s">
        <v>313</v>
      </c>
      <c r="G1932" s="2" t="s">
        <v>2389</v>
      </c>
      <c r="H1932" s="2" t="s">
        <v>122</v>
      </c>
      <c r="I1932" s="2" t="s">
        <v>651</v>
      </c>
      <c r="J1932" s="2" t="s">
        <v>652</v>
      </c>
      <c r="K1932" s="9">
        <v>45881</v>
      </c>
      <c r="L1932" s="9">
        <v>45882</v>
      </c>
      <c r="M1932" s="9">
        <v>45881</v>
      </c>
      <c r="N1932" s="2" t="s">
        <v>2314</v>
      </c>
      <c r="O1932" s="2" t="s">
        <v>55</v>
      </c>
      <c r="P1932" s="2" t="s">
        <v>139</v>
      </c>
      <c r="Q1932" s="2" t="s">
        <v>217</v>
      </c>
      <c r="R1932" s="2" t="s">
        <v>128</v>
      </c>
      <c r="S1932" s="2" t="s">
        <v>654</v>
      </c>
      <c r="T1932" s="10">
        <v>31.48</v>
      </c>
      <c r="U1932" s="11">
        <v>0.72799999999999998</v>
      </c>
      <c r="V1932" s="12">
        <f>T1932*U1932</f>
        <v>22.917439999999999</v>
      </c>
      <c r="W1932" s="13">
        <v>0.13</v>
      </c>
      <c r="X1932" s="12">
        <f>V1932-(V1932/(1+W1932))</f>
        <v>2.6365196460176961</v>
      </c>
      <c r="Y1932" s="12">
        <f>V1932-X1932</f>
        <v>20.280920353982303</v>
      </c>
      <c r="Z1932" s="14">
        <v>35</v>
      </c>
      <c r="AA1932" s="2" t="str">
        <f>IF(V1932&gt;Z1932,"Yes","No")</f>
        <v>No</v>
      </c>
      <c r="AB1932" s="12">
        <f>V1932-Z1932</f>
        <v>-12.082560000000001</v>
      </c>
      <c r="AC1932" s="15" t="s">
        <v>130</v>
      </c>
      <c r="AD1932" s="15" t="s">
        <v>130</v>
      </c>
      <c r="AE1932" s="15" t="s">
        <v>350</v>
      </c>
      <c r="AF1932" s="12">
        <f>IF(AG1932="Rejected",0,IF(R1932="Corporate Card",0,V1932))</f>
        <v>0</v>
      </c>
      <c r="AG1932" s="15" t="s">
        <v>133</v>
      </c>
      <c r="AH1932" s="16">
        <v>45886</v>
      </c>
      <c r="AI1932" s="16">
        <v>45892</v>
      </c>
      <c r="AJ1932" s="16">
        <v>45904</v>
      </c>
      <c r="AK1932" s="17">
        <f>IF(AJ1932="","",AJ1932-AH1932)</f>
        <v>18</v>
      </c>
    </row>
    <row r="1933" spans="1:37">
      <c r="A1933" s="2" t="s">
        <v>2392</v>
      </c>
      <c r="B1933" s="2" t="s">
        <v>882</v>
      </c>
      <c r="C1933" s="2" t="s">
        <v>446</v>
      </c>
      <c r="D1933" s="2" t="s">
        <v>444</v>
      </c>
      <c r="E1933" s="2" t="s">
        <v>883</v>
      </c>
      <c r="F1933" s="2" t="s">
        <v>313</v>
      </c>
      <c r="G1933" s="2" t="s">
        <v>2393</v>
      </c>
      <c r="H1933" s="2" t="s">
        <v>122</v>
      </c>
      <c r="I1933" s="2" t="s">
        <v>380</v>
      </c>
      <c r="J1933" s="2" t="s">
        <v>381</v>
      </c>
      <c r="K1933" s="9">
        <v>45882</v>
      </c>
      <c r="L1933" s="9">
        <v>45886</v>
      </c>
      <c r="M1933" s="9">
        <v>45882</v>
      </c>
      <c r="N1933" s="2" t="s">
        <v>2314</v>
      </c>
      <c r="O1933" s="2" t="s">
        <v>52</v>
      </c>
      <c r="P1933" s="2" t="s">
        <v>382</v>
      </c>
      <c r="Q1933" s="2" t="s">
        <v>258</v>
      </c>
      <c r="R1933" s="2" t="s">
        <v>128</v>
      </c>
      <c r="S1933" s="2" t="s">
        <v>383</v>
      </c>
      <c r="T1933" s="10">
        <v>827.74</v>
      </c>
      <c r="U1933" s="11">
        <v>1</v>
      </c>
      <c r="V1933" s="12">
        <f>T1933*U1933</f>
        <v>827.74</v>
      </c>
      <c r="W1933" s="13">
        <v>0</v>
      </c>
      <c r="X1933" s="12">
        <f>V1933-(V1933/(1+W1933))</f>
        <v>0</v>
      </c>
      <c r="Y1933" s="12">
        <f>V1933-X1933</f>
        <v>827.74</v>
      </c>
      <c r="Z1933" s="14">
        <v>1400</v>
      </c>
      <c r="AA1933" s="2" t="str">
        <f>IF(V1933&gt;Z1933,"Yes","No")</f>
        <v>No</v>
      </c>
      <c r="AB1933" s="12">
        <f>V1933-Z1933</f>
        <v>-572.26</v>
      </c>
      <c r="AC1933" s="15" t="s">
        <v>131</v>
      </c>
      <c r="AD1933" s="15" t="s">
        <v>130</v>
      </c>
      <c r="AE1933" s="15" t="s">
        <v>180</v>
      </c>
      <c r="AF1933" s="12">
        <f>IF(AG1933="Rejected",0,IF(R1933="Corporate Card",0,V1933))</f>
        <v>0</v>
      </c>
      <c r="AG1933" s="15" t="s">
        <v>133</v>
      </c>
      <c r="AH1933" s="16">
        <v>45898</v>
      </c>
      <c r="AI1933" s="16">
        <v>45906</v>
      </c>
      <c r="AJ1933" s="16">
        <v>45908</v>
      </c>
      <c r="AK1933" s="17">
        <f>IF(AJ1933="","",AJ1933-AH1933)</f>
        <v>10</v>
      </c>
    </row>
    <row r="1934" spans="1:37">
      <c r="A1934" s="2" t="s">
        <v>2394</v>
      </c>
      <c r="B1934" s="2" t="s">
        <v>882</v>
      </c>
      <c r="C1934" s="2" t="s">
        <v>446</v>
      </c>
      <c r="D1934" s="2" t="s">
        <v>444</v>
      </c>
      <c r="E1934" s="2" t="s">
        <v>883</v>
      </c>
      <c r="F1934" s="2" t="s">
        <v>313</v>
      </c>
      <c r="G1934" s="2" t="s">
        <v>2393</v>
      </c>
      <c r="H1934" s="2" t="s">
        <v>122</v>
      </c>
      <c r="I1934" s="2" t="s">
        <v>380</v>
      </c>
      <c r="J1934" s="2" t="s">
        <v>381</v>
      </c>
      <c r="K1934" s="9">
        <v>45882</v>
      </c>
      <c r="L1934" s="9">
        <v>45886</v>
      </c>
      <c r="M1934" s="9">
        <v>45882</v>
      </c>
      <c r="N1934" s="2" t="s">
        <v>2314</v>
      </c>
      <c r="O1934" s="2" t="s">
        <v>64</v>
      </c>
      <c r="P1934" s="2" t="s">
        <v>135</v>
      </c>
      <c r="Q1934" s="2" t="s">
        <v>136</v>
      </c>
      <c r="R1934" s="2" t="s">
        <v>128</v>
      </c>
      <c r="S1934" s="2" t="s">
        <v>383</v>
      </c>
      <c r="T1934" s="10">
        <v>97.41</v>
      </c>
      <c r="U1934" s="11">
        <v>1</v>
      </c>
      <c r="V1934" s="12">
        <f>T1934*U1934</f>
        <v>97.41</v>
      </c>
      <c r="W1934" s="13">
        <v>0</v>
      </c>
      <c r="X1934" s="12">
        <f>V1934-(V1934/(1+W1934))</f>
        <v>0</v>
      </c>
      <c r="Y1934" s="12">
        <f>V1934-X1934</f>
        <v>97.41</v>
      </c>
      <c r="Z1934" s="14">
        <v>120</v>
      </c>
      <c r="AA1934" s="2" t="str">
        <f>IF(V1934&gt;Z1934,"Yes","No")</f>
        <v>No</v>
      </c>
      <c r="AB1934" s="12">
        <f>V1934-Z1934</f>
        <v>-22.590000000000003</v>
      </c>
      <c r="AC1934" s="15" t="s">
        <v>130</v>
      </c>
      <c r="AD1934" s="15" t="s">
        <v>130</v>
      </c>
      <c r="AE1934" s="15" t="s">
        <v>180</v>
      </c>
      <c r="AF1934" s="12">
        <f>IF(AG1934="Rejected",0,IF(R1934="Corporate Card",0,V1934))</f>
        <v>0</v>
      </c>
      <c r="AG1934" s="15" t="s">
        <v>133</v>
      </c>
      <c r="AH1934" s="16">
        <v>45898</v>
      </c>
      <c r="AI1934" s="16">
        <v>45906</v>
      </c>
      <c r="AJ1934" s="16">
        <v>45908</v>
      </c>
      <c r="AK1934" s="17">
        <f>IF(AJ1934="","",AJ1934-AH1934)</f>
        <v>10</v>
      </c>
    </row>
    <row r="1935" spans="1:37">
      <c r="A1935" s="2" t="s">
        <v>2395</v>
      </c>
      <c r="B1935" s="2" t="s">
        <v>882</v>
      </c>
      <c r="C1935" s="2" t="s">
        <v>446</v>
      </c>
      <c r="D1935" s="2" t="s">
        <v>444</v>
      </c>
      <c r="E1935" s="2" t="s">
        <v>883</v>
      </c>
      <c r="F1935" s="2" t="s">
        <v>313</v>
      </c>
      <c r="G1935" s="2" t="s">
        <v>2393</v>
      </c>
      <c r="H1935" s="2" t="s">
        <v>122</v>
      </c>
      <c r="I1935" s="2" t="s">
        <v>380</v>
      </c>
      <c r="J1935" s="2" t="s">
        <v>381</v>
      </c>
      <c r="K1935" s="9">
        <v>45882</v>
      </c>
      <c r="L1935" s="9">
        <v>45886</v>
      </c>
      <c r="M1935" s="9">
        <v>45882</v>
      </c>
      <c r="N1935" s="2" t="s">
        <v>2314</v>
      </c>
      <c r="O1935" s="2" t="s">
        <v>58</v>
      </c>
      <c r="P1935" s="2" t="s">
        <v>142</v>
      </c>
      <c r="Q1935" s="2" t="s">
        <v>224</v>
      </c>
      <c r="R1935" s="2" t="s">
        <v>137</v>
      </c>
      <c r="S1935" s="2" t="s">
        <v>383</v>
      </c>
      <c r="T1935" s="10">
        <v>50.6</v>
      </c>
      <c r="U1935" s="11">
        <v>1</v>
      </c>
      <c r="V1935" s="12">
        <f>T1935*U1935</f>
        <v>50.6</v>
      </c>
      <c r="W1935" s="13">
        <v>0</v>
      </c>
      <c r="X1935" s="12">
        <f>V1935-(V1935/(1+W1935))</f>
        <v>0</v>
      </c>
      <c r="Y1935" s="12">
        <f>V1935-X1935</f>
        <v>50.6</v>
      </c>
      <c r="Z1935" s="14">
        <v>60</v>
      </c>
      <c r="AA1935" s="2" t="str">
        <f>IF(V1935&gt;Z1935,"Yes","No")</f>
        <v>No</v>
      </c>
      <c r="AB1935" s="12">
        <f>V1935-Z1935</f>
        <v>-9.3999999999999986</v>
      </c>
      <c r="AC1935" s="15" t="s">
        <v>130</v>
      </c>
      <c r="AD1935" s="15" t="s">
        <v>130</v>
      </c>
      <c r="AE1935" s="15" t="s">
        <v>180</v>
      </c>
      <c r="AF1935" s="12">
        <f>IF(AG1935="Rejected",0,IF(R1935="Corporate Card",0,V1935))</f>
        <v>50.6</v>
      </c>
      <c r="AG1935" s="15" t="s">
        <v>133</v>
      </c>
      <c r="AH1935" s="16">
        <v>45898</v>
      </c>
      <c r="AI1935" s="16">
        <v>45906</v>
      </c>
      <c r="AJ1935" s="16">
        <v>45908</v>
      </c>
      <c r="AK1935" s="17">
        <f>IF(AJ1935="","",AJ1935-AH1935)</f>
        <v>10</v>
      </c>
    </row>
    <row r="1936" spans="1:37">
      <c r="A1936" s="2" t="s">
        <v>2396</v>
      </c>
      <c r="B1936" s="2" t="s">
        <v>882</v>
      </c>
      <c r="C1936" s="2" t="s">
        <v>446</v>
      </c>
      <c r="D1936" s="2" t="s">
        <v>444</v>
      </c>
      <c r="E1936" s="2" t="s">
        <v>883</v>
      </c>
      <c r="F1936" s="2" t="s">
        <v>313</v>
      </c>
      <c r="G1936" s="2" t="s">
        <v>2393</v>
      </c>
      <c r="H1936" s="2" t="s">
        <v>122</v>
      </c>
      <c r="I1936" s="2" t="s">
        <v>380</v>
      </c>
      <c r="J1936" s="2" t="s">
        <v>381</v>
      </c>
      <c r="K1936" s="9">
        <v>45882</v>
      </c>
      <c r="L1936" s="9">
        <v>45886</v>
      </c>
      <c r="M1936" s="9">
        <v>45882</v>
      </c>
      <c r="N1936" s="2" t="s">
        <v>2314</v>
      </c>
      <c r="O1936" s="2" t="s">
        <v>54</v>
      </c>
      <c r="P1936" s="2" t="s">
        <v>139</v>
      </c>
      <c r="Q1936" s="2" t="s">
        <v>148</v>
      </c>
      <c r="R1936" s="2" t="s">
        <v>128</v>
      </c>
      <c r="S1936" s="2" t="s">
        <v>383</v>
      </c>
      <c r="T1936" s="10">
        <v>23.54</v>
      </c>
      <c r="U1936" s="11">
        <v>1</v>
      </c>
      <c r="V1936" s="12">
        <f>T1936*U1936</f>
        <v>23.54</v>
      </c>
      <c r="W1936" s="13">
        <v>0</v>
      </c>
      <c r="X1936" s="12">
        <f>V1936-(V1936/(1+W1936))</f>
        <v>0</v>
      </c>
      <c r="Y1936" s="12">
        <f>V1936-X1936</f>
        <v>23.54</v>
      </c>
      <c r="Z1936" s="14">
        <v>25</v>
      </c>
      <c r="AA1936" s="2" t="str">
        <f>IF(V1936&gt;Z1936,"Yes","No")</f>
        <v>No</v>
      </c>
      <c r="AB1936" s="12">
        <f>V1936-Z1936</f>
        <v>-1.4600000000000009</v>
      </c>
      <c r="AC1936" s="15" t="s">
        <v>130</v>
      </c>
      <c r="AD1936" s="15" t="s">
        <v>130</v>
      </c>
      <c r="AE1936" s="15" t="s">
        <v>180</v>
      </c>
      <c r="AF1936" s="12">
        <f>IF(AG1936="Rejected",0,IF(R1936="Corporate Card",0,V1936))</f>
        <v>0</v>
      </c>
      <c r="AG1936" s="15" t="s">
        <v>133</v>
      </c>
      <c r="AH1936" s="16">
        <v>45898</v>
      </c>
      <c r="AI1936" s="16">
        <v>45906</v>
      </c>
      <c r="AJ1936" s="16">
        <v>45908</v>
      </c>
      <c r="AK1936" s="17">
        <f>IF(AJ1936="","",AJ1936-AH1936)</f>
        <v>10</v>
      </c>
    </row>
    <row r="1937" spans="1:37">
      <c r="A1937" s="2" t="s">
        <v>2397</v>
      </c>
      <c r="B1937" s="2" t="s">
        <v>882</v>
      </c>
      <c r="C1937" s="2" t="s">
        <v>446</v>
      </c>
      <c r="D1937" s="2" t="s">
        <v>444</v>
      </c>
      <c r="E1937" s="2" t="s">
        <v>883</v>
      </c>
      <c r="F1937" s="2" t="s">
        <v>313</v>
      </c>
      <c r="G1937" s="2" t="s">
        <v>2393</v>
      </c>
      <c r="H1937" s="2" t="s">
        <v>122</v>
      </c>
      <c r="I1937" s="2" t="s">
        <v>380</v>
      </c>
      <c r="J1937" s="2" t="s">
        <v>381</v>
      </c>
      <c r="K1937" s="9">
        <v>45882</v>
      </c>
      <c r="L1937" s="9">
        <v>45886</v>
      </c>
      <c r="M1937" s="9">
        <v>45882</v>
      </c>
      <c r="N1937" s="2" t="s">
        <v>2314</v>
      </c>
      <c r="O1937" s="2" t="s">
        <v>56</v>
      </c>
      <c r="P1937" s="2" t="s">
        <v>151</v>
      </c>
      <c r="Q1937" s="2" t="s">
        <v>166</v>
      </c>
      <c r="R1937" s="2" t="s">
        <v>137</v>
      </c>
      <c r="S1937" s="2" t="s">
        <v>383</v>
      </c>
      <c r="T1937" s="10">
        <v>52.87</v>
      </c>
      <c r="U1937" s="11">
        <v>1</v>
      </c>
      <c r="V1937" s="12">
        <f>T1937*U1937</f>
        <v>52.87</v>
      </c>
      <c r="W1937" s="13">
        <v>0</v>
      </c>
      <c r="X1937" s="12">
        <f>V1937-(V1937/(1+W1937))</f>
        <v>0</v>
      </c>
      <c r="Y1937" s="12">
        <f>V1937-X1937</f>
        <v>52.87</v>
      </c>
      <c r="Z1937" s="14">
        <v>75</v>
      </c>
      <c r="AA1937" s="2" t="str">
        <f>IF(V1937&gt;Z1937,"Yes","No")</f>
        <v>No</v>
      </c>
      <c r="AB1937" s="12">
        <f>V1937-Z1937</f>
        <v>-22.130000000000003</v>
      </c>
      <c r="AC1937" s="15" t="s">
        <v>130</v>
      </c>
      <c r="AD1937" s="15" t="s">
        <v>130</v>
      </c>
      <c r="AE1937" s="15" t="s">
        <v>180</v>
      </c>
      <c r="AF1937" s="12">
        <f>IF(AG1937="Rejected",0,IF(R1937="Corporate Card",0,V1937))</f>
        <v>52.87</v>
      </c>
      <c r="AG1937" s="15" t="s">
        <v>133</v>
      </c>
      <c r="AH1937" s="16">
        <v>45898</v>
      </c>
      <c r="AI1937" s="16">
        <v>45906</v>
      </c>
      <c r="AJ1937" s="16">
        <v>45908</v>
      </c>
      <c r="AK1937" s="17">
        <f>IF(AJ1937="","",AJ1937-AH1937)</f>
        <v>10</v>
      </c>
    </row>
    <row r="1938" spans="1:37">
      <c r="A1938" s="2" t="s">
        <v>2398</v>
      </c>
      <c r="B1938" s="2" t="s">
        <v>2399</v>
      </c>
      <c r="C1938" s="2" t="s">
        <v>120</v>
      </c>
      <c r="D1938" s="2" t="s">
        <v>118</v>
      </c>
      <c r="E1938" s="2" t="s">
        <v>2400</v>
      </c>
      <c r="F1938" s="2" t="s">
        <v>311</v>
      </c>
      <c r="G1938" s="2" t="s">
        <v>2401</v>
      </c>
      <c r="H1938" s="2" t="s">
        <v>448</v>
      </c>
      <c r="I1938" s="2" t="s">
        <v>749</v>
      </c>
      <c r="J1938" s="2" t="s">
        <v>750</v>
      </c>
      <c r="K1938" s="9">
        <v>45882</v>
      </c>
      <c r="L1938" s="9">
        <v>45889</v>
      </c>
      <c r="M1938" s="9">
        <v>45882</v>
      </c>
      <c r="N1938" s="2" t="s">
        <v>2314</v>
      </c>
      <c r="O1938" s="2" t="s">
        <v>52</v>
      </c>
      <c r="P1938" s="2" t="s">
        <v>751</v>
      </c>
      <c r="Q1938" s="2" t="s">
        <v>420</v>
      </c>
      <c r="R1938" s="2" t="s">
        <v>149</v>
      </c>
      <c r="S1938" s="2" t="s">
        <v>198</v>
      </c>
      <c r="T1938" s="10">
        <v>2603.06</v>
      </c>
      <c r="U1938" s="11">
        <v>1.085</v>
      </c>
      <c r="V1938" s="12">
        <f>T1938*U1938</f>
        <v>2824.3200999999999</v>
      </c>
      <c r="W1938" s="13">
        <v>0</v>
      </c>
      <c r="X1938" s="12">
        <f>V1938-(V1938/(1+W1938))</f>
        <v>0</v>
      </c>
      <c r="Y1938" s="12">
        <f>V1938-X1938</f>
        <v>2824.3200999999999</v>
      </c>
      <c r="Z1938" s="14">
        <v>1400</v>
      </c>
      <c r="AA1938" s="2" t="str">
        <f>IF(V1938&gt;Z1938,"Yes","No")</f>
        <v>Yes</v>
      </c>
      <c r="AB1938" s="12">
        <f>V1938-Z1938</f>
        <v>1424.3200999999999</v>
      </c>
      <c r="AC1938" s="15" t="s">
        <v>130</v>
      </c>
      <c r="AD1938" s="15" t="s">
        <v>130</v>
      </c>
      <c r="AE1938" s="15" t="s">
        <v>421</v>
      </c>
      <c r="AF1938" s="12">
        <f>IF(AG1938="Rejected",0,IF(R1938="Corporate Card",0,V1938))</f>
        <v>2824.3200999999999</v>
      </c>
      <c r="AG1938" s="15" t="s">
        <v>133</v>
      </c>
      <c r="AH1938" s="16">
        <v>45899</v>
      </c>
      <c r="AI1938" s="16">
        <v>45904</v>
      </c>
      <c r="AJ1938" s="16">
        <v>45913</v>
      </c>
      <c r="AK1938" s="17">
        <f>IF(AJ1938="","",AJ1938-AH1938)</f>
        <v>14</v>
      </c>
    </row>
    <row r="1939" spans="1:37">
      <c r="A1939" s="2" t="s">
        <v>2402</v>
      </c>
      <c r="B1939" s="2" t="s">
        <v>2399</v>
      </c>
      <c r="C1939" s="2" t="s">
        <v>120</v>
      </c>
      <c r="D1939" s="2" t="s">
        <v>118</v>
      </c>
      <c r="E1939" s="2" t="s">
        <v>2400</v>
      </c>
      <c r="F1939" s="2" t="s">
        <v>311</v>
      </c>
      <c r="G1939" s="2" t="s">
        <v>2401</v>
      </c>
      <c r="H1939" s="2" t="s">
        <v>448</v>
      </c>
      <c r="I1939" s="2" t="s">
        <v>749</v>
      </c>
      <c r="J1939" s="2" t="s">
        <v>750</v>
      </c>
      <c r="K1939" s="9">
        <v>45882</v>
      </c>
      <c r="L1939" s="9">
        <v>45889</v>
      </c>
      <c r="M1939" s="9">
        <v>45882</v>
      </c>
      <c r="N1939" s="2" t="s">
        <v>2314</v>
      </c>
      <c r="O1939" s="2" t="s">
        <v>64</v>
      </c>
      <c r="P1939" s="2" t="s">
        <v>135</v>
      </c>
      <c r="Q1939" s="2" t="s">
        <v>420</v>
      </c>
      <c r="R1939" s="2" t="s">
        <v>149</v>
      </c>
      <c r="S1939" s="2" t="s">
        <v>198</v>
      </c>
      <c r="T1939" s="10">
        <v>75.650000000000006</v>
      </c>
      <c r="U1939" s="11">
        <v>1.085</v>
      </c>
      <c r="V1939" s="12">
        <f>T1939*U1939</f>
        <v>82.080250000000007</v>
      </c>
      <c r="W1939" s="13">
        <v>0</v>
      </c>
      <c r="X1939" s="12">
        <f>V1939-(V1939/(1+W1939))</f>
        <v>0</v>
      </c>
      <c r="Y1939" s="12">
        <f>V1939-X1939</f>
        <v>82.080250000000007</v>
      </c>
      <c r="Z1939" s="14">
        <v>120</v>
      </c>
      <c r="AA1939" s="2" t="str">
        <f>IF(V1939&gt;Z1939,"Yes","No")</f>
        <v>No</v>
      </c>
      <c r="AB1939" s="12">
        <f>V1939-Z1939</f>
        <v>-37.919749999999993</v>
      </c>
      <c r="AC1939" s="15" t="s">
        <v>130</v>
      </c>
      <c r="AD1939" s="15" t="s">
        <v>130</v>
      </c>
      <c r="AE1939" s="15" t="s">
        <v>421</v>
      </c>
      <c r="AF1939" s="12">
        <f>IF(AG1939="Rejected",0,IF(R1939="Corporate Card",0,V1939))</f>
        <v>82.080250000000007</v>
      </c>
      <c r="AG1939" s="15" t="s">
        <v>133</v>
      </c>
      <c r="AH1939" s="16">
        <v>45899</v>
      </c>
      <c r="AI1939" s="16">
        <v>45904</v>
      </c>
      <c r="AJ1939" s="16">
        <v>45913</v>
      </c>
      <c r="AK1939" s="17">
        <f>IF(AJ1939="","",AJ1939-AH1939)</f>
        <v>14</v>
      </c>
    </row>
    <row r="1940" spans="1:37">
      <c r="A1940" s="2" t="s">
        <v>2403</v>
      </c>
      <c r="B1940" s="2" t="s">
        <v>2399</v>
      </c>
      <c r="C1940" s="2" t="s">
        <v>120</v>
      </c>
      <c r="D1940" s="2" t="s">
        <v>118</v>
      </c>
      <c r="E1940" s="2" t="s">
        <v>2400</v>
      </c>
      <c r="F1940" s="2" t="s">
        <v>311</v>
      </c>
      <c r="G1940" s="2" t="s">
        <v>2401</v>
      </c>
      <c r="H1940" s="2" t="s">
        <v>448</v>
      </c>
      <c r="I1940" s="2" t="s">
        <v>749</v>
      </c>
      <c r="J1940" s="2" t="s">
        <v>750</v>
      </c>
      <c r="K1940" s="9">
        <v>45882</v>
      </c>
      <c r="L1940" s="9">
        <v>45889</v>
      </c>
      <c r="M1940" s="9">
        <v>45882</v>
      </c>
      <c r="N1940" s="2" t="s">
        <v>2314</v>
      </c>
      <c r="O1940" s="2" t="s">
        <v>56</v>
      </c>
      <c r="P1940" s="2" t="s">
        <v>151</v>
      </c>
      <c r="Q1940" s="2" t="s">
        <v>159</v>
      </c>
      <c r="R1940" s="2" t="s">
        <v>149</v>
      </c>
      <c r="S1940" s="2" t="s">
        <v>198</v>
      </c>
      <c r="T1940" s="10">
        <v>96.41</v>
      </c>
      <c r="U1940" s="11">
        <v>1.085</v>
      </c>
      <c r="V1940" s="12">
        <f>T1940*U1940</f>
        <v>104.60485</v>
      </c>
      <c r="W1940" s="13">
        <v>0.19</v>
      </c>
      <c r="X1940" s="12">
        <f>V1940-(V1940/(1+W1940))</f>
        <v>16.701614705882349</v>
      </c>
      <c r="Y1940" s="12">
        <f>V1940-X1940</f>
        <v>87.90323529411765</v>
      </c>
      <c r="Z1940" s="14">
        <v>75</v>
      </c>
      <c r="AA1940" s="2" t="str">
        <f>IF(V1940&gt;Z1940,"Yes","No")</f>
        <v>Yes</v>
      </c>
      <c r="AB1940" s="12">
        <f>V1940-Z1940</f>
        <v>29.604849999999999</v>
      </c>
      <c r="AC1940" s="15" t="s">
        <v>131</v>
      </c>
      <c r="AD1940" s="15" t="s">
        <v>130</v>
      </c>
      <c r="AE1940" s="15" t="s">
        <v>421</v>
      </c>
      <c r="AF1940" s="12">
        <f>IF(AG1940="Rejected",0,IF(R1940="Corporate Card",0,V1940))</f>
        <v>104.60485</v>
      </c>
      <c r="AG1940" s="15" t="s">
        <v>133</v>
      </c>
      <c r="AH1940" s="16">
        <v>45899</v>
      </c>
      <c r="AI1940" s="16">
        <v>45904</v>
      </c>
      <c r="AJ1940" s="16">
        <v>45913</v>
      </c>
      <c r="AK1940" s="17">
        <f>IF(AJ1940="","",AJ1940-AH1940)</f>
        <v>14</v>
      </c>
    </row>
    <row r="1941" spans="1:37">
      <c r="A1941" s="2" t="s">
        <v>2404</v>
      </c>
      <c r="B1941" s="2" t="s">
        <v>2399</v>
      </c>
      <c r="C1941" s="2" t="s">
        <v>120</v>
      </c>
      <c r="D1941" s="2" t="s">
        <v>118</v>
      </c>
      <c r="E1941" s="2" t="s">
        <v>2400</v>
      </c>
      <c r="F1941" s="2" t="s">
        <v>311</v>
      </c>
      <c r="G1941" s="2" t="s">
        <v>2401</v>
      </c>
      <c r="H1941" s="2" t="s">
        <v>448</v>
      </c>
      <c r="I1941" s="2" t="s">
        <v>749</v>
      </c>
      <c r="J1941" s="2" t="s">
        <v>750</v>
      </c>
      <c r="K1941" s="9">
        <v>45882</v>
      </c>
      <c r="L1941" s="9">
        <v>45889</v>
      </c>
      <c r="M1941" s="9">
        <v>45882</v>
      </c>
      <c r="N1941" s="2" t="s">
        <v>2314</v>
      </c>
      <c r="O1941" s="2" t="s">
        <v>66</v>
      </c>
      <c r="P1941" s="2" t="s">
        <v>489</v>
      </c>
      <c r="Q1941" s="2" t="s">
        <v>490</v>
      </c>
      <c r="R1941" s="2" t="s">
        <v>128</v>
      </c>
      <c r="S1941" s="2" t="s">
        <v>198</v>
      </c>
      <c r="T1941" s="10">
        <v>137.72999999999999</v>
      </c>
      <c r="U1941" s="11">
        <v>1.085</v>
      </c>
      <c r="V1941" s="12">
        <f>T1941*U1941</f>
        <v>149.43704999999997</v>
      </c>
      <c r="W1941" s="13">
        <v>0</v>
      </c>
      <c r="X1941" s="12">
        <f>V1941-(V1941/(1+W1941))</f>
        <v>0</v>
      </c>
      <c r="Y1941" s="12">
        <f>V1941-X1941</f>
        <v>149.43704999999997</v>
      </c>
      <c r="Z1941" s="14">
        <v>250</v>
      </c>
      <c r="AA1941" s="2" t="str">
        <f>IF(V1941&gt;Z1941,"Yes","No")</f>
        <v>No</v>
      </c>
      <c r="AB1941" s="12">
        <f>V1941-Z1941</f>
        <v>-100.56295000000003</v>
      </c>
      <c r="AC1941" s="15" t="s">
        <v>130</v>
      </c>
      <c r="AD1941" s="15" t="s">
        <v>130</v>
      </c>
      <c r="AE1941" s="15" t="s">
        <v>421</v>
      </c>
      <c r="AF1941" s="12">
        <f>IF(AG1941="Rejected",0,IF(R1941="Corporate Card",0,V1941))</f>
        <v>0</v>
      </c>
      <c r="AG1941" s="15" t="s">
        <v>133</v>
      </c>
      <c r="AH1941" s="16">
        <v>45899</v>
      </c>
      <c r="AI1941" s="16">
        <v>45904</v>
      </c>
      <c r="AJ1941" s="16">
        <v>45913</v>
      </c>
      <c r="AK1941" s="17">
        <f>IF(AJ1941="","",AJ1941-AH1941)</f>
        <v>14</v>
      </c>
    </row>
    <row r="1942" spans="1:37">
      <c r="A1942" s="2" t="s">
        <v>2405</v>
      </c>
      <c r="B1942" s="2" t="s">
        <v>550</v>
      </c>
      <c r="C1942" s="2" t="s">
        <v>551</v>
      </c>
      <c r="D1942" s="2" t="s">
        <v>171</v>
      </c>
      <c r="E1942" s="2" t="s">
        <v>172</v>
      </c>
      <c r="F1942" s="2" t="s">
        <v>173</v>
      </c>
      <c r="G1942" s="2" t="s">
        <v>2377</v>
      </c>
      <c r="H1942" s="2" t="s">
        <v>254</v>
      </c>
      <c r="I1942" s="2" t="s">
        <v>651</v>
      </c>
      <c r="J1942" s="2" t="s">
        <v>652</v>
      </c>
      <c r="K1942" s="9">
        <v>45880</v>
      </c>
      <c r="L1942" s="9">
        <v>45882</v>
      </c>
      <c r="M1942" s="9">
        <v>45882</v>
      </c>
      <c r="N1942" s="2" t="s">
        <v>2314</v>
      </c>
      <c r="O1942" s="2" t="s">
        <v>61</v>
      </c>
      <c r="P1942" s="2" t="s">
        <v>528</v>
      </c>
      <c r="Q1942" s="2" t="s">
        <v>1128</v>
      </c>
      <c r="R1942" s="2" t="s">
        <v>149</v>
      </c>
      <c r="S1942" s="2" t="s">
        <v>654</v>
      </c>
      <c r="T1942" s="10">
        <v>62.39</v>
      </c>
      <c r="U1942" s="11">
        <v>0.72799999999999998</v>
      </c>
      <c r="V1942" s="12">
        <f>T1942*U1942</f>
        <v>45.419919999999998</v>
      </c>
      <c r="W1942" s="13">
        <v>0</v>
      </c>
      <c r="X1942" s="12">
        <f>V1942-(V1942/(1+W1942))</f>
        <v>0</v>
      </c>
      <c r="Y1942" s="12">
        <f>V1942-X1942</f>
        <v>45.419919999999998</v>
      </c>
      <c r="Z1942" s="14">
        <v>90</v>
      </c>
      <c r="AA1942" s="2" t="str">
        <f>IF(V1942&gt;Z1942,"Yes","No")</f>
        <v>No</v>
      </c>
      <c r="AB1942" s="12">
        <f>V1942-Z1942</f>
        <v>-44.580080000000002</v>
      </c>
      <c r="AC1942" s="15" t="s">
        <v>130</v>
      </c>
      <c r="AD1942" s="15" t="s">
        <v>130</v>
      </c>
      <c r="AE1942" s="15" t="s">
        <v>260</v>
      </c>
      <c r="AF1942" s="12">
        <f>IF(AG1942="Rejected",0,IF(R1942="Corporate Card",0,V1942))</f>
        <v>45.419919999999998</v>
      </c>
      <c r="AG1942" s="15" t="s">
        <v>133</v>
      </c>
      <c r="AH1942" s="16">
        <v>45885</v>
      </c>
      <c r="AI1942" s="16">
        <v>45893</v>
      </c>
      <c r="AJ1942" s="16">
        <v>45895</v>
      </c>
      <c r="AK1942" s="17">
        <f>IF(AJ1942="","",AJ1942-AH1942)</f>
        <v>10</v>
      </c>
    </row>
    <row r="1943" spans="1:37">
      <c r="A1943" s="2" t="s">
        <v>2406</v>
      </c>
      <c r="B1943" s="2" t="s">
        <v>550</v>
      </c>
      <c r="C1943" s="2" t="s">
        <v>551</v>
      </c>
      <c r="D1943" s="2" t="s">
        <v>171</v>
      </c>
      <c r="E1943" s="2" t="s">
        <v>172</v>
      </c>
      <c r="F1943" s="2" t="s">
        <v>173</v>
      </c>
      <c r="G1943" s="2" t="s">
        <v>2377</v>
      </c>
      <c r="H1943" s="2" t="s">
        <v>254</v>
      </c>
      <c r="I1943" s="2" t="s">
        <v>651</v>
      </c>
      <c r="J1943" s="2" t="s">
        <v>652</v>
      </c>
      <c r="K1943" s="9">
        <v>45880</v>
      </c>
      <c r="L1943" s="9">
        <v>45882</v>
      </c>
      <c r="M1943" s="9">
        <v>45882</v>
      </c>
      <c r="N1943" s="2" t="s">
        <v>2314</v>
      </c>
      <c r="O1943" s="2" t="s">
        <v>58</v>
      </c>
      <c r="P1943" s="2" t="s">
        <v>142</v>
      </c>
      <c r="Q1943" s="2" t="s">
        <v>143</v>
      </c>
      <c r="R1943" s="2" t="s">
        <v>128</v>
      </c>
      <c r="S1943" s="2" t="s">
        <v>654</v>
      </c>
      <c r="T1943" s="10">
        <v>37.479999999999997</v>
      </c>
      <c r="U1943" s="11">
        <v>0.72799999999999998</v>
      </c>
      <c r="V1943" s="12">
        <f>T1943*U1943</f>
        <v>27.285439999999998</v>
      </c>
      <c r="W1943" s="13">
        <v>0.13</v>
      </c>
      <c r="X1943" s="12">
        <f>V1943-(V1943/(1+W1943))</f>
        <v>3.13903292035398</v>
      </c>
      <c r="Y1943" s="12">
        <f>V1943-X1943</f>
        <v>24.146407079646018</v>
      </c>
      <c r="Z1943" s="14">
        <v>60</v>
      </c>
      <c r="AA1943" s="2" t="str">
        <f>IF(V1943&gt;Z1943,"Yes","No")</f>
        <v>No</v>
      </c>
      <c r="AB1943" s="12">
        <f>V1943-Z1943</f>
        <v>-32.714560000000006</v>
      </c>
      <c r="AC1943" s="15" t="s">
        <v>130</v>
      </c>
      <c r="AD1943" s="15" t="s">
        <v>130</v>
      </c>
      <c r="AE1943" s="15" t="s">
        <v>260</v>
      </c>
      <c r="AF1943" s="12">
        <f>IF(AG1943="Rejected",0,IF(R1943="Corporate Card",0,V1943))</f>
        <v>0</v>
      </c>
      <c r="AG1943" s="15" t="s">
        <v>133</v>
      </c>
      <c r="AH1943" s="16">
        <v>45885</v>
      </c>
      <c r="AI1943" s="16">
        <v>45893</v>
      </c>
      <c r="AJ1943" s="16">
        <v>45895</v>
      </c>
      <c r="AK1943" s="17">
        <f>IF(AJ1943="","",AJ1943-AH1943)</f>
        <v>10</v>
      </c>
    </row>
    <row r="1944" spans="1:37">
      <c r="A1944" s="2" t="s">
        <v>2407</v>
      </c>
      <c r="B1944" s="2" t="s">
        <v>550</v>
      </c>
      <c r="C1944" s="2" t="s">
        <v>551</v>
      </c>
      <c r="D1944" s="2" t="s">
        <v>171</v>
      </c>
      <c r="E1944" s="2" t="s">
        <v>172</v>
      </c>
      <c r="F1944" s="2" t="s">
        <v>173</v>
      </c>
      <c r="G1944" s="2" t="s">
        <v>2377</v>
      </c>
      <c r="H1944" s="2" t="s">
        <v>254</v>
      </c>
      <c r="I1944" s="2" t="s">
        <v>651</v>
      </c>
      <c r="J1944" s="2" t="s">
        <v>652</v>
      </c>
      <c r="K1944" s="9">
        <v>45880</v>
      </c>
      <c r="L1944" s="9">
        <v>45882</v>
      </c>
      <c r="M1944" s="9">
        <v>45882</v>
      </c>
      <c r="N1944" s="2" t="s">
        <v>2314</v>
      </c>
      <c r="O1944" s="2" t="s">
        <v>54</v>
      </c>
      <c r="P1944" s="2" t="s">
        <v>139</v>
      </c>
      <c r="Q1944" s="2" t="s">
        <v>148</v>
      </c>
      <c r="R1944" s="2" t="s">
        <v>149</v>
      </c>
      <c r="S1944" s="2" t="s">
        <v>654</v>
      </c>
      <c r="T1944" s="10">
        <v>15.36</v>
      </c>
      <c r="U1944" s="11">
        <v>0.72799999999999998</v>
      </c>
      <c r="V1944" s="12">
        <f>T1944*U1944</f>
        <v>11.182079999999999</v>
      </c>
      <c r="W1944" s="13">
        <v>0.13</v>
      </c>
      <c r="X1944" s="12">
        <f>V1944-(V1944/(1+W1944))</f>
        <v>1.2864339823008848</v>
      </c>
      <c r="Y1944" s="12">
        <f>V1944-X1944</f>
        <v>9.8956460176991143</v>
      </c>
      <c r="Z1944" s="14">
        <v>25</v>
      </c>
      <c r="AA1944" s="2" t="str">
        <f>IF(V1944&gt;Z1944,"Yes","No")</f>
        <v>No</v>
      </c>
      <c r="AB1944" s="12">
        <f>V1944-Z1944</f>
        <v>-13.817920000000001</v>
      </c>
      <c r="AC1944" s="15" t="s">
        <v>130</v>
      </c>
      <c r="AD1944" s="15" t="s">
        <v>130</v>
      </c>
      <c r="AE1944" s="15" t="s">
        <v>260</v>
      </c>
      <c r="AF1944" s="12">
        <f>IF(AG1944="Rejected",0,IF(R1944="Corporate Card",0,V1944))</f>
        <v>11.182079999999999</v>
      </c>
      <c r="AG1944" s="15" t="s">
        <v>133</v>
      </c>
      <c r="AH1944" s="16">
        <v>45885</v>
      </c>
      <c r="AI1944" s="16">
        <v>45893</v>
      </c>
      <c r="AJ1944" s="16">
        <v>45895</v>
      </c>
      <c r="AK1944" s="17">
        <f>IF(AJ1944="","",AJ1944-AH1944)</f>
        <v>10</v>
      </c>
    </row>
    <row r="1945" spans="1:37">
      <c r="A1945" s="2" t="s">
        <v>2408</v>
      </c>
      <c r="B1945" s="2" t="s">
        <v>550</v>
      </c>
      <c r="C1945" s="2" t="s">
        <v>551</v>
      </c>
      <c r="D1945" s="2" t="s">
        <v>171</v>
      </c>
      <c r="E1945" s="2" t="s">
        <v>172</v>
      </c>
      <c r="F1945" s="2" t="s">
        <v>173</v>
      </c>
      <c r="G1945" s="2" t="s">
        <v>2377</v>
      </c>
      <c r="H1945" s="2" t="s">
        <v>254</v>
      </c>
      <c r="I1945" s="2" t="s">
        <v>651</v>
      </c>
      <c r="J1945" s="2" t="s">
        <v>652</v>
      </c>
      <c r="K1945" s="9">
        <v>45880</v>
      </c>
      <c r="L1945" s="9">
        <v>45882</v>
      </c>
      <c r="M1945" s="9">
        <v>45882</v>
      </c>
      <c r="N1945" s="2" t="s">
        <v>2314</v>
      </c>
      <c r="O1945" s="2" t="s">
        <v>55</v>
      </c>
      <c r="P1945" s="2" t="s">
        <v>139</v>
      </c>
      <c r="Q1945" s="2" t="s">
        <v>154</v>
      </c>
      <c r="R1945" s="2" t="s">
        <v>149</v>
      </c>
      <c r="S1945" s="2" t="s">
        <v>654</v>
      </c>
      <c r="T1945" s="10">
        <v>25.38</v>
      </c>
      <c r="U1945" s="11">
        <v>0.72799999999999998</v>
      </c>
      <c r="V1945" s="12">
        <f>T1945*U1945</f>
        <v>18.47664</v>
      </c>
      <c r="W1945" s="13">
        <v>0.13</v>
      </c>
      <c r="X1945" s="12">
        <f>V1945-(V1945/(1+W1945))</f>
        <v>2.1256311504424765</v>
      </c>
      <c r="Y1945" s="12">
        <f>V1945-X1945</f>
        <v>16.351008849557523</v>
      </c>
      <c r="Z1945" s="14">
        <v>35</v>
      </c>
      <c r="AA1945" s="2" t="str">
        <f>IF(V1945&gt;Z1945,"Yes","No")</f>
        <v>No</v>
      </c>
      <c r="AB1945" s="12">
        <f>V1945-Z1945</f>
        <v>-16.52336</v>
      </c>
      <c r="AC1945" s="15" t="s">
        <v>130</v>
      </c>
      <c r="AD1945" s="15" t="s">
        <v>130</v>
      </c>
      <c r="AE1945" s="15" t="s">
        <v>260</v>
      </c>
      <c r="AF1945" s="12">
        <f>IF(AG1945="Rejected",0,IF(R1945="Corporate Card",0,V1945))</f>
        <v>18.47664</v>
      </c>
      <c r="AG1945" s="15" t="s">
        <v>133</v>
      </c>
      <c r="AH1945" s="16">
        <v>45885</v>
      </c>
      <c r="AI1945" s="16">
        <v>45893</v>
      </c>
      <c r="AJ1945" s="16">
        <v>45895</v>
      </c>
      <c r="AK1945" s="17">
        <f>IF(AJ1945="","",AJ1945-AH1945)</f>
        <v>10</v>
      </c>
    </row>
    <row r="1946" spans="1:37">
      <c r="A1946" s="2" t="s">
        <v>2409</v>
      </c>
      <c r="B1946" s="2" t="s">
        <v>550</v>
      </c>
      <c r="C1946" s="2" t="s">
        <v>551</v>
      </c>
      <c r="D1946" s="2" t="s">
        <v>171</v>
      </c>
      <c r="E1946" s="2" t="s">
        <v>172</v>
      </c>
      <c r="F1946" s="2" t="s">
        <v>173</v>
      </c>
      <c r="G1946" s="2" t="s">
        <v>2377</v>
      </c>
      <c r="H1946" s="2" t="s">
        <v>254</v>
      </c>
      <c r="I1946" s="2" t="s">
        <v>651</v>
      </c>
      <c r="J1946" s="2" t="s">
        <v>652</v>
      </c>
      <c r="K1946" s="9">
        <v>45880</v>
      </c>
      <c r="L1946" s="9">
        <v>45882</v>
      </c>
      <c r="M1946" s="9">
        <v>45882</v>
      </c>
      <c r="N1946" s="2" t="s">
        <v>2314</v>
      </c>
      <c r="O1946" s="2" t="s">
        <v>62</v>
      </c>
      <c r="P1946" s="2" t="s">
        <v>533</v>
      </c>
      <c r="Q1946" s="2" t="s">
        <v>1133</v>
      </c>
      <c r="R1946" s="2" t="s">
        <v>149</v>
      </c>
      <c r="S1946" s="2" t="s">
        <v>654</v>
      </c>
      <c r="T1946" s="10">
        <v>35.93</v>
      </c>
      <c r="U1946" s="11">
        <v>0.72799999999999998</v>
      </c>
      <c r="V1946" s="12">
        <f>T1946*U1946</f>
        <v>26.157039999999999</v>
      </c>
      <c r="W1946" s="13">
        <v>0.13</v>
      </c>
      <c r="X1946" s="12">
        <f>V1946-(V1946/(1+W1946))</f>
        <v>3.0092169911504385</v>
      </c>
      <c r="Y1946" s="12">
        <f>V1946-X1946</f>
        <v>23.14782300884956</v>
      </c>
      <c r="Z1946" s="14">
        <v>45</v>
      </c>
      <c r="AA1946" s="2" t="str">
        <f>IF(V1946&gt;Z1946,"Yes","No")</f>
        <v>No</v>
      </c>
      <c r="AB1946" s="12">
        <f>V1946-Z1946</f>
        <v>-18.842960000000001</v>
      </c>
      <c r="AC1946" s="15" t="s">
        <v>130</v>
      </c>
      <c r="AD1946" s="15" t="s">
        <v>130</v>
      </c>
      <c r="AE1946" s="15" t="s">
        <v>260</v>
      </c>
      <c r="AF1946" s="12">
        <f>IF(AG1946="Rejected",0,IF(R1946="Corporate Card",0,V1946))</f>
        <v>26.157039999999999</v>
      </c>
      <c r="AG1946" s="15" t="s">
        <v>133</v>
      </c>
      <c r="AH1946" s="16">
        <v>45885</v>
      </c>
      <c r="AI1946" s="16">
        <v>45893</v>
      </c>
      <c r="AJ1946" s="16">
        <v>45895</v>
      </c>
      <c r="AK1946" s="17">
        <f>IF(AJ1946="","",AJ1946-AH1946)</f>
        <v>10</v>
      </c>
    </row>
    <row r="1947" spans="1:37">
      <c r="A1947" s="2" t="s">
        <v>2410</v>
      </c>
      <c r="B1947" s="2" t="s">
        <v>310</v>
      </c>
      <c r="C1947" s="2" t="s">
        <v>311</v>
      </c>
      <c r="D1947" s="2" t="s">
        <v>118</v>
      </c>
      <c r="E1947" s="2" t="s">
        <v>312</v>
      </c>
      <c r="F1947" s="2" t="s">
        <v>313</v>
      </c>
      <c r="G1947" s="2" t="s">
        <v>2389</v>
      </c>
      <c r="H1947" s="2" t="s">
        <v>122</v>
      </c>
      <c r="I1947" s="2" t="s">
        <v>651</v>
      </c>
      <c r="J1947" s="2" t="s">
        <v>652</v>
      </c>
      <c r="K1947" s="9">
        <v>45881</v>
      </c>
      <c r="L1947" s="9">
        <v>45882</v>
      </c>
      <c r="M1947" s="9">
        <v>45882</v>
      </c>
      <c r="N1947" s="2" t="s">
        <v>2314</v>
      </c>
      <c r="O1947" s="2" t="s">
        <v>58</v>
      </c>
      <c r="P1947" s="2" t="s">
        <v>142</v>
      </c>
      <c r="Q1947" s="2" t="s">
        <v>224</v>
      </c>
      <c r="R1947" s="2" t="s">
        <v>137</v>
      </c>
      <c r="S1947" s="2" t="s">
        <v>654</v>
      </c>
      <c r="T1947" s="10">
        <v>31.29</v>
      </c>
      <c r="U1947" s="11">
        <v>0.72799999999999998</v>
      </c>
      <c r="V1947" s="12">
        <f>T1947*U1947</f>
        <v>22.779119999999999</v>
      </c>
      <c r="W1947" s="13">
        <v>0.13</v>
      </c>
      <c r="X1947" s="12">
        <f>V1947-(V1947/(1+W1947))</f>
        <v>2.6206067256637162</v>
      </c>
      <c r="Y1947" s="12">
        <f>V1947-X1947</f>
        <v>20.158513274336283</v>
      </c>
      <c r="Z1947" s="14">
        <v>60</v>
      </c>
      <c r="AA1947" s="2" t="str">
        <f>IF(V1947&gt;Z1947,"Yes","No")</f>
        <v>No</v>
      </c>
      <c r="AB1947" s="12">
        <f>V1947-Z1947</f>
        <v>-37.220880000000001</v>
      </c>
      <c r="AC1947" s="15" t="s">
        <v>130</v>
      </c>
      <c r="AD1947" s="15" t="s">
        <v>130</v>
      </c>
      <c r="AE1947" s="15" t="s">
        <v>350</v>
      </c>
      <c r="AF1947" s="12">
        <f>IF(AG1947="Rejected",0,IF(R1947="Corporate Card",0,V1947))</f>
        <v>22.779119999999999</v>
      </c>
      <c r="AG1947" s="15" t="s">
        <v>133</v>
      </c>
      <c r="AH1947" s="16">
        <v>45886</v>
      </c>
      <c r="AI1947" s="16">
        <v>45892</v>
      </c>
      <c r="AJ1947" s="16">
        <v>45904</v>
      </c>
      <c r="AK1947" s="17">
        <f>IF(AJ1947="","",AJ1947-AH1947)</f>
        <v>18</v>
      </c>
    </row>
    <row r="1948" spans="1:37">
      <c r="A1948" s="2" t="s">
        <v>2411</v>
      </c>
      <c r="B1948" s="2" t="s">
        <v>310</v>
      </c>
      <c r="C1948" s="2" t="s">
        <v>311</v>
      </c>
      <c r="D1948" s="2" t="s">
        <v>118</v>
      </c>
      <c r="E1948" s="2" t="s">
        <v>312</v>
      </c>
      <c r="F1948" s="2" t="s">
        <v>313</v>
      </c>
      <c r="G1948" s="2" t="s">
        <v>2389</v>
      </c>
      <c r="H1948" s="2" t="s">
        <v>122</v>
      </c>
      <c r="I1948" s="2" t="s">
        <v>651</v>
      </c>
      <c r="J1948" s="2" t="s">
        <v>652</v>
      </c>
      <c r="K1948" s="9">
        <v>45881</v>
      </c>
      <c r="L1948" s="9">
        <v>45882</v>
      </c>
      <c r="M1948" s="9">
        <v>45882</v>
      </c>
      <c r="N1948" s="2" t="s">
        <v>2314</v>
      </c>
      <c r="O1948" s="2" t="s">
        <v>53</v>
      </c>
      <c r="P1948" s="2" t="s">
        <v>405</v>
      </c>
      <c r="Q1948" s="2" t="s">
        <v>209</v>
      </c>
      <c r="R1948" s="2" t="s">
        <v>149</v>
      </c>
      <c r="S1948" s="2" t="s">
        <v>654</v>
      </c>
      <c r="T1948" s="10">
        <v>245.54</v>
      </c>
      <c r="U1948" s="11">
        <v>0.72799999999999998</v>
      </c>
      <c r="V1948" s="12">
        <f>T1948*U1948</f>
        <v>178.75312</v>
      </c>
      <c r="W1948" s="13">
        <v>0.13</v>
      </c>
      <c r="X1948" s="12">
        <f>V1948-(V1948/(1+W1948))</f>
        <v>20.564518230088481</v>
      </c>
      <c r="Y1948" s="12">
        <f>V1948-X1948</f>
        <v>158.18860176991151</v>
      </c>
      <c r="Z1948" s="14">
        <v>280</v>
      </c>
      <c r="AA1948" s="2" t="str">
        <f>IF(V1948&gt;Z1948,"Yes","No")</f>
        <v>No</v>
      </c>
      <c r="AB1948" s="12">
        <f>V1948-Z1948</f>
        <v>-101.24688</v>
      </c>
      <c r="AC1948" s="15" t="s">
        <v>130</v>
      </c>
      <c r="AD1948" s="15" t="s">
        <v>130</v>
      </c>
      <c r="AE1948" s="15" t="s">
        <v>350</v>
      </c>
      <c r="AF1948" s="12">
        <f>IF(AG1948="Rejected",0,IF(R1948="Corporate Card",0,V1948))</f>
        <v>178.75312</v>
      </c>
      <c r="AG1948" s="15" t="s">
        <v>133</v>
      </c>
      <c r="AH1948" s="16">
        <v>45886</v>
      </c>
      <c r="AI1948" s="16">
        <v>45892</v>
      </c>
      <c r="AJ1948" s="16">
        <v>45904</v>
      </c>
      <c r="AK1948" s="17">
        <f>IF(AJ1948="","",AJ1948-AH1948)</f>
        <v>18</v>
      </c>
    </row>
    <row r="1949" spans="1:37">
      <c r="A1949" s="2" t="s">
        <v>2412</v>
      </c>
      <c r="B1949" s="2" t="s">
        <v>310</v>
      </c>
      <c r="C1949" s="2" t="s">
        <v>311</v>
      </c>
      <c r="D1949" s="2" t="s">
        <v>118</v>
      </c>
      <c r="E1949" s="2" t="s">
        <v>312</v>
      </c>
      <c r="F1949" s="2" t="s">
        <v>313</v>
      </c>
      <c r="G1949" s="2" t="s">
        <v>2389</v>
      </c>
      <c r="H1949" s="2" t="s">
        <v>122</v>
      </c>
      <c r="I1949" s="2" t="s">
        <v>651</v>
      </c>
      <c r="J1949" s="2" t="s">
        <v>652</v>
      </c>
      <c r="K1949" s="9">
        <v>45881</v>
      </c>
      <c r="L1949" s="9">
        <v>45882</v>
      </c>
      <c r="M1949" s="9">
        <v>45882</v>
      </c>
      <c r="N1949" s="2" t="s">
        <v>2314</v>
      </c>
      <c r="O1949" s="2" t="s">
        <v>65</v>
      </c>
      <c r="P1949" s="2" t="s">
        <v>211</v>
      </c>
      <c r="Q1949" s="2" t="s">
        <v>212</v>
      </c>
      <c r="R1949" s="2" t="s">
        <v>128</v>
      </c>
      <c r="S1949" s="2" t="s">
        <v>654</v>
      </c>
      <c r="T1949" s="10">
        <v>57.24</v>
      </c>
      <c r="U1949" s="11">
        <v>0.72799999999999998</v>
      </c>
      <c r="V1949" s="12">
        <f>T1949*U1949</f>
        <v>41.670720000000003</v>
      </c>
      <c r="W1949" s="13">
        <v>0.13</v>
      </c>
      <c r="X1949" s="12">
        <f>V1949-(V1949/(1+W1949))</f>
        <v>4.7939766371681358</v>
      </c>
      <c r="Y1949" s="12">
        <f>V1949-X1949</f>
        <v>36.876743362831867</v>
      </c>
      <c r="Z1949" s="14">
        <v>55</v>
      </c>
      <c r="AA1949" s="2" t="str">
        <f>IF(V1949&gt;Z1949,"Yes","No")</f>
        <v>No</v>
      </c>
      <c r="AB1949" s="12">
        <f>V1949-Z1949</f>
        <v>-13.329279999999997</v>
      </c>
      <c r="AC1949" s="15" t="s">
        <v>130</v>
      </c>
      <c r="AD1949" s="15" t="s">
        <v>130</v>
      </c>
      <c r="AE1949" s="15" t="s">
        <v>350</v>
      </c>
      <c r="AF1949" s="12">
        <f>IF(AG1949="Rejected",0,IF(R1949="Corporate Card",0,V1949))</f>
        <v>0</v>
      </c>
      <c r="AG1949" s="15" t="s">
        <v>133</v>
      </c>
      <c r="AH1949" s="16">
        <v>45886</v>
      </c>
      <c r="AI1949" s="16">
        <v>45892</v>
      </c>
      <c r="AJ1949" s="16">
        <v>45904</v>
      </c>
      <c r="AK1949" s="17">
        <f>IF(AJ1949="","",AJ1949-AH1949)</f>
        <v>18</v>
      </c>
    </row>
    <row r="1950" spans="1:37">
      <c r="A1950" s="2" t="s">
        <v>2413</v>
      </c>
      <c r="B1950" s="2" t="s">
        <v>310</v>
      </c>
      <c r="C1950" s="2" t="s">
        <v>311</v>
      </c>
      <c r="D1950" s="2" t="s">
        <v>118</v>
      </c>
      <c r="E1950" s="2" t="s">
        <v>312</v>
      </c>
      <c r="F1950" s="2" t="s">
        <v>313</v>
      </c>
      <c r="G1950" s="2" t="s">
        <v>2389</v>
      </c>
      <c r="H1950" s="2" t="s">
        <v>122</v>
      </c>
      <c r="I1950" s="2" t="s">
        <v>651</v>
      </c>
      <c r="J1950" s="2" t="s">
        <v>652</v>
      </c>
      <c r="K1950" s="9">
        <v>45881</v>
      </c>
      <c r="L1950" s="9">
        <v>45882</v>
      </c>
      <c r="M1950" s="9">
        <v>45882</v>
      </c>
      <c r="N1950" s="2" t="s">
        <v>2314</v>
      </c>
      <c r="O1950" s="2" t="s">
        <v>54</v>
      </c>
      <c r="P1950" s="2" t="s">
        <v>139</v>
      </c>
      <c r="Q1950" s="2" t="s">
        <v>140</v>
      </c>
      <c r="R1950" s="2" t="s">
        <v>149</v>
      </c>
      <c r="S1950" s="2" t="s">
        <v>654</v>
      </c>
      <c r="T1950" s="10">
        <v>17.95</v>
      </c>
      <c r="U1950" s="11">
        <v>0.72799999999999998</v>
      </c>
      <c r="V1950" s="12">
        <f>T1950*U1950</f>
        <v>13.067599999999999</v>
      </c>
      <c r="W1950" s="13">
        <v>0.13</v>
      </c>
      <c r="X1950" s="12">
        <f>V1950-(V1950/(1+W1950))</f>
        <v>1.5033522123893786</v>
      </c>
      <c r="Y1950" s="12">
        <f>V1950-X1950</f>
        <v>11.56424778761062</v>
      </c>
      <c r="Z1950" s="14">
        <v>25</v>
      </c>
      <c r="AA1950" s="2" t="str">
        <f>IF(V1950&gt;Z1950,"Yes","No")</f>
        <v>No</v>
      </c>
      <c r="AB1950" s="12">
        <f>V1950-Z1950</f>
        <v>-11.932400000000001</v>
      </c>
      <c r="AC1950" s="15" t="s">
        <v>130</v>
      </c>
      <c r="AD1950" s="15" t="s">
        <v>130</v>
      </c>
      <c r="AE1950" s="15" t="s">
        <v>350</v>
      </c>
      <c r="AF1950" s="12">
        <f>IF(AG1950="Rejected",0,IF(R1950="Corporate Card",0,V1950))</f>
        <v>13.067599999999999</v>
      </c>
      <c r="AG1950" s="15" t="s">
        <v>133</v>
      </c>
      <c r="AH1950" s="16">
        <v>45886</v>
      </c>
      <c r="AI1950" s="16">
        <v>45892</v>
      </c>
      <c r="AJ1950" s="16">
        <v>45904</v>
      </c>
      <c r="AK1950" s="17">
        <f>IF(AJ1950="","",AJ1950-AH1950)</f>
        <v>18</v>
      </c>
    </row>
    <row r="1951" spans="1:37">
      <c r="A1951" s="2" t="s">
        <v>2414</v>
      </c>
      <c r="B1951" s="2" t="s">
        <v>310</v>
      </c>
      <c r="C1951" s="2" t="s">
        <v>311</v>
      </c>
      <c r="D1951" s="2" t="s">
        <v>118</v>
      </c>
      <c r="E1951" s="2" t="s">
        <v>312</v>
      </c>
      <c r="F1951" s="2" t="s">
        <v>313</v>
      </c>
      <c r="G1951" s="2" t="s">
        <v>2389</v>
      </c>
      <c r="H1951" s="2" t="s">
        <v>122</v>
      </c>
      <c r="I1951" s="2" t="s">
        <v>651</v>
      </c>
      <c r="J1951" s="2" t="s">
        <v>652</v>
      </c>
      <c r="K1951" s="9">
        <v>45881</v>
      </c>
      <c r="L1951" s="9">
        <v>45882</v>
      </c>
      <c r="M1951" s="9">
        <v>45882</v>
      </c>
      <c r="N1951" s="2" t="s">
        <v>2314</v>
      </c>
      <c r="O1951" s="2" t="s">
        <v>56</v>
      </c>
      <c r="P1951" s="2" t="s">
        <v>165</v>
      </c>
      <c r="Q1951" s="2" t="s">
        <v>166</v>
      </c>
      <c r="R1951" s="2" t="s">
        <v>128</v>
      </c>
      <c r="S1951" s="2" t="s">
        <v>654</v>
      </c>
      <c r="T1951" s="10">
        <v>44.5</v>
      </c>
      <c r="U1951" s="11">
        <v>0.72799999999999998</v>
      </c>
      <c r="V1951" s="12">
        <f>T1951*U1951</f>
        <v>32.396000000000001</v>
      </c>
      <c r="W1951" s="13">
        <v>0.13</v>
      </c>
      <c r="X1951" s="12">
        <f>V1951-(V1951/(1+W1951))</f>
        <v>3.7269734513274315</v>
      </c>
      <c r="Y1951" s="12">
        <f>V1951-X1951</f>
        <v>28.669026548672569</v>
      </c>
      <c r="Z1951" s="14">
        <v>75</v>
      </c>
      <c r="AA1951" s="2" t="str">
        <f>IF(V1951&gt;Z1951,"Yes","No")</f>
        <v>No</v>
      </c>
      <c r="AB1951" s="12">
        <f>V1951-Z1951</f>
        <v>-42.603999999999999</v>
      </c>
      <c r="AC1951" s="15" t="s">
        <v>130</v>
      </c>
      <c r="AD1951" s="15" t="s">
        <v>130</v>
      </c>
      <c r="AE1951" s="15" t="s">
        <v>350</v>
      </c>
      <c r="AF1951" s="12">
        <f>IF(AG1951="Rejected",0,IF(R1951="Corporate Card",0,V1951))</f>
        <v>0</v>
      </c>
      <c r="AG1951" s="15" t="s">
        <v>133</v>
      </c>
      <c r="AH1951" s="16">
        <v>45886</v>
      </c>
      <c r="AI1951" s="16">
        <v>45892</v>
      </c>
      <c r="AJ1951" s="16">
        <v>45904</v>
      </c>
      <c r="AK1951" s="17">
        <f>IF(AJ1951="","",AJ1951-AH1951)</f>
        <v>18</v>
      </c>
    </row>
    <row r="1952" spans="1:37">
      <c r="A1952" s="2" t="s">
        <v>2415</v>
      </c>
      <c r="B1952" s="2" t="s">
        <v>882</v>
      </c>
      <c r="C1952" s="2" t="s">
        <v>446</v>
      </c>
      <c r="D1952" s="2" t="s">
        <v>444</v>
      </c>
      <c r="E1952" s="2" t="s">
        <v>883</v>
      </c>
      <c r="F1952" s="2" t="s">
        <v>313</v>
      </c>
      <c r="G1952" s="2" t="s">
        <v>2393</v>
      </c>
      <c r="H1952" s="2" t="s">
        <v>122</v>
      </c>
      <c r="I1952" s="2" t="s">
        <v>380</v>
      </c>
      <c r="J1952" s="2" t="s">
        <v>381</v>
      </c>
      <c r="K1952" s="9">
        <v>45882</v>
      </c>
      <c r="L1952" s="9">
        <v>45886</v>
      </c>
      <c r="M1952" s="9">
        <v>45883</v>
      </c>
      <c r="N1952" s="2" t="s">
        <v>2314</v>
      </c>
      <c r="O1952" s="2" t="s">
        <v>58</v>
      </c>
      <c r="P1952" s="2" t="s">
        <v>142</v>
      </c>
      <c r="Q1952" s="2" t="s">
        <v>203</v>
      </c>
      <c r="R1952" s="2" t="s">
        <v>128</v>
      </c>
      <c r="S1952" s="2" t="s">
        <v>383</v>
      </c>
      <c r="T1952" s="10">
        <v>56.25</v>
      </c>
      <c r="U1952" s="11">
        <v>1</v>
      </c>
      <c r="V1952" s="12">
        <f>T1952*U1952</f>
        <v>56.25</v>
      </c>
      <c r="W1952" s="13">
        <v>0</v>
      </c>
      <c r="X1952" s="12">
        <f>V1952-(V1952/(1+W1952))</f>
        <v>0</v>
      </c>
      <c r="Y1952" s="12">
        <f>V1952-X1952</f>
        <v>56.25</v>
      </c>
      <c r="Z1952" s="14">
        <v>60</v>
      </c>
      <c r="AA1952" s="2" t="str">
        <f>IF(V1952&gt;Z1952,"Yes","No")</f>
        <v>No</v>
      </c>
      <c r="AB1952" s="12">
        <f>V1952-Z1952</f>
        <v>-3.75</v>
      </c>
      <c r="AC1952" s="15" t="s">
        <v>131</v>
      </c>
      <c r="AD1952" s="15" t="s">
        <v>130</v>
      </c>
      <c r="AE1952" s="15" t="s">
        <v>180</v>
      </c>
      <c r="AF1952" s="12">
        <f>IF(AG1952="Rejected",0,IF(R1952="Corporate Card",0,V1952))</f>
        <v>0</v>
      </c>
      <c r="AG1952" s="15" t="s">
        <v>133</v>
      </c>
      <c r="AH1952" s="16">
        <v>45898</v>
      </c>
      <c r="AI1952" s="16">
        <v>45906</v>
      </c>
      <c r="AJ1952" s="16">
        <v>45908</v>
      </c>
      <c r="AK1952" s="17">
        <f>IF(AJ1952="","",AJ1952-AH1952)</f>
        <v>10</v>
      </c>
    </row>
    <row r="1953" spans="1:37">
      <c r="A1953" s="2" t="s">
        <v>2416</v>
      </c>
      <c r="B1953" s="2" t="s">
        <v>882</v>
      </c>
      <c r="C1953" s="2" t="s">
        <v>446</v>
      </c>
      <c r="D1953" s="2" t="s">
        <v>444</v>
      </c>
      <c r="E1953" s="2" t="s">
        <v>883</v>
      </c>
      <c r="F1953" s="2" t="s">
        <v>313</v>
      </c>
      <c r="G1953" s="2" t="s">
        <v>2393</v>
      </c>
      <c r="H1953" s="2" t="s">
        <v>122</v>
      </c>
      <c r="I1953" s="2" t="s">
        <v>380</v>
      </c>
      <c r="J1953" s="2" t="s">
        <v>381</v>
      </c>
      <c r="K1953" s="9">
        <v>45882</v>
      </c>
      <c r="L1953" s="9">
        <v>45886</v>
      </c>
      <c r="M1953" s="9">
        <v>45883</v>
      </c>
      <c r="N1953" s="2" t="s">
        <v>2314</v>
      </c>
      <c r="O1953" s="2" t="s">
        <v>53</v>
      </c>
      <c r="P1953" s="2" t="s">
        <v>457</v>
      </c>
      <c r="Q1953" s="2" t="s">
        <v>458</v>
      </c>
      <c r="R1953" s="2" t="s">
        <v>128</v>
      </c>
      <c r="S1953" s="2" t="s">
        <v>383</v>
      </c>
      <c r="T1953" s="10">
        <v>1483.83</v>
      </c>
      <c r="U1953" s="11">
        <v>1</v>
      </c>
      <c r="V1953" s="12">
        <f>T1953*U1953</f>
        <v>1483.83</v>
      </c>
      <c r="W1953" s="13">
        <v>0</v>
      </c>
      <c r="X1953" s="12">
        <f>V1953-(V1953/(1+W1953))</f>
        <v>0</v>
      </c>
      <c r="Y1953" s="12">
        <f>V1953-X1953</f>
        <v>1483.83</v>
      </c>
      <c r="Z1953" s="14">
        <v>1120</v>
      </c>
      <c r="AA1953" s="2" t="str">
        <f>IF(V1953&gt;Z1953,"Yes","No")</f>
        <v>Yes</v>
      </c>
      <c r="AB1953" s="12">
        <f>V1953-Z1953</f>
        <v>363.82999999999993</v>
      </c>
      <c r="AC1953" s="15" t="s">
        <v>130</v>
      </c>
      <c r="AD1953" s="15" t="s">
        <v>130</v>
      </c>
      <c r="AE1953" s="15" t="s">
        <v>180</v>
      </c>
      <c r="AF1953" s="12">
        <f>IF(AG1953="Rejected",0,IF(R1953="Corporate Card",0,V1953))</f>
        <v>0</v>
      </c>
      <c r="AG1953" s="15" t="s">
        <v>133</v>
      </c>
      <c r="AH1953" s="16">
        <v>45898</v>
      </c>
      <c r="AI1953" s="16">
        <v>45906</v>
      </c>
      <c r="AJ1953" s="16">
        <v>45908</v>
      </c>
      <c r="AK1953" s="17">
        <f>IF(AJ1953="","",AJ1953-AH1953)</f>
        <v>10</v>
      </c>
    </row>
    <row r="1954" spans="1:37">
      <c r="A1954" s="2" t="s">
        <v>2417</v>
      </c>
      <c r="B1954" s="2" t="s">
        <v>882</v>
      </c>
      <c r="C1954" s="2" t="s">
        <v>446</v>
      </c>
      <c r="D1954" s="2" t="s">
        <v>444</v>
      </c>
      <c r="E1954" s="2" t="s">
        <v>883</v>
      </c>
      <c r="F1954" s="2" t="s">
        <v>313</v>
      </c>
      <c r="G1954" s="2" t="s">
        <v>2393</v>
      </c>
      <c r="H1954" s="2" t="s">
        <v>122</v>
      </c>
      <c r="I1954" s="2" t="s">
        <v>380</v>
      </c>
      <c r="J1954" s="2" t="s">
        <v>381</v>
      </c>
      <c r="K1954" s="9">
        <v>45882</v>
      </c>
      <c r="L1954" s="9">
        <v>45886</v>
      </c>
      <c r="M1954" s="9">
        <v>45883</v>
      </c>
      <c r="N1954" s="2" t="s">
        <v>2314</v>
      </c>
      <c r="O1954" s="2" t="s">
        <v>54</v>
      </c>
      <c r="P1954" s="2" t="s">
        <v>139</v>
      </c>
      <c r="Q1954" s="2" t="s">
        <v>214</v>
      </c>
      <c r="R1954" s="2" t="s">
        <v>128</v>
      </c>
      <c r="S1954" s="2" t="s">
        <v>383</v>
      </c>
      <c r="T1954" s="10">
        <v>14.36</v>
      </c>
      <c r="U1954" s="11">
        <v>1</v>
      </c>
      <c r="V1954" s="12">
        <f>T1954*U1954</f>
        <v>14.36</v>
      </c>
      <c r="W1954" s="13">
        <v>0</v>
      </c>
      <c r="X1954" s="12">
        <f>V1954-(V1954/(1+W1954))</f>
        <v>0</v>
      </c>
      <c r="Y1954" s="12">
        <f>V1954-X1954</f>
        <v>14.36</v>
      </c>
      <c r="Z1954" s="14">
        <v>25</v>
      </c>
      <c r="AA1954" s="2" t="str">
        <f>IF(V1954&gt;Z1954,"Yes","No")</f>
        <v>No</v>
      </c>
      <c r="AB1954" s="12">
        <f>V1954-Z1954</f>
        <v>-10.64</v>
      </c>
      <c r="AC1954" s="15" t="s">
        <v>130</v>
      </c>
      <c r="AD1954" s="15" t="s">
        <v>130</v>
      </c>
      <c r="AE1954" s="15" t="s">
        <v>180</v>
      </c>
      <c r="AF1954" s="12">
        <f>IF(AG1954="Rejected",0,IF(R1954="Corporate Card",0,V1954))</f>
        <v>0</v>
      </c>
      <c r="AG1954" s="15" t="s">
        <v>133</v>
      </c>
      <c r="AH1954" s="16">
        <v>45898</v>
      </c>
      <c r="AI1954" s="16">
        <v>45906</v>
      </c>
      <c r="AJ1954" s="16">
        <v>45908</v>
      </c>
      <c r="AK1954" s="17">
        <f>IF(AJ1954="","",AJ1954-AH1954)</f>
        <v>10</v>
      </c>
    </row>
    <row r="1955" spans="1:37">
      <c r="A1955" s="2" t="s">
        <v>2418</v>
      </c>
      <c r="B1955" s="2" t="s">
        <v>882</v>
      </c>
      <c r="C1955" s="2" t="s">
        <v>446</v>
      </c>
      <c r="D1955" s="2" t="s">
        <v>444</v>
      </c>
      <c r="E1955" s="2" t="s">
        <v>883</v>
      </c>
      <c r="F1955" s="2" t="s">
        <v>313</v>
      </c>
      <c r="G1955" s="2" t="s">
        <v>2393</v>
      </c>
      <c r="H1955" s="2" t="s">
        <v>122</v>
      </c>
      <c r="I1955" s="2" t="s">
        <v>380</v>
      </c>
      <c r="J1955" s="2" t="s">
        <v>381</v>
      </c>
      <c r="K1955" s="9">
        <v>45882</v>
      </c>
      <c r="L1955" s="9">
        <v>45886</v>
      </c>
      <c r="M1955" s="9">
        <v>45883</v>
      </c>
      <c r="N1955" s="2" t="s">
        <v>2314</v>
      </c>
      <c r="O1955" s="2" t="s">
        <v>56</v>
      </c>
      <c r="P1955" s="2" t="s">
        <v>245</v>
      </c>
      <c r="Q1955" s="2" t="s">
        <v>185</v>
      </c>
      <c r="R1955" s="2" t="s">
        <v>128</v>
      </c>
      <c r="S1955" s="2" t="s">
        <v>383</v>
      </c>
      <c r="T1955" s="10">
        <v>40.26</v>
      </c>
      <c r="U1955" s="11">
        <v>1</v>
      </c>
      <c r="V1955" s="12">
        <f>T1955*U1955</f>
        <v>40.26</v>
      </c>
      <c r="W1955" s="13">
        <v>0</v>
      </c>
      <c r="X1955" s="12">
        <f>V1955-(V1955/(1+W1955))</f>
        <v>0</v>
      </c>
      <c r="Y1955" s="12">
        <f>V1955-X1955</f>
        <v>40.26</v>
      </c>
      <c r="Z1955" s="14">
        <v>75</v>
      </c>
      <c r="AA1955" s="2" t="str">
        <f>IF(V1955&gt;Z1955,"Yes","No")</f>
        <v>No</v>
      </c>
      <c r="AB1955" s="12">
        <f>V1955-Z1955</f>
        <v>-34.74</v>
      </c>
      <c r="AC1955" s="15" t="s">
        <v>130</v>
      </c>
      <c r="AD1955" s="15" t="s">
        <v>130</v>
      </c>
      <c r="AE1955" s="15" t="s">
        <v>180</v>
      </c>
      <c r="AF1955" s="12">
        <f>IF(AG1955="Rejected",0,IF(R1955="Corporate Card",0,V1955))</f>
        <v>0</v>
      </c>
      <c r="AG1955" s="15" t="s">
        <v>133</v>
      </c>
      <c r="AH1955" s="16">
        <v>45898</v>
      </c>
      <c r="AI1955" s="16">
        <v>45906</v>
      </c>
      <c r="AJ1955" s="16">
        <v>45908</v>
      </c>
      <c r="AK1955" s="17">
        <f>IF(AJ1955="","",AJ1955-AH1955)</f>
        <v>10</v>
      </c>
    </row>
    <row r="1956" spans="1:37">
      <c r="A1956" s="2" t="s">
        <v>2419</v>
      </c>
      <c r="B1956" s="2" t="s">
        <v>882</v>
      </c>
      <c r="C1956" s="2" t="s">
        <v>446</v>
      </c>
      <c r="D1956" s="2" t="s">
        <v>444</v>
      </c>
      <c r="E1956" s="2" t="s">
        <v>883</v>
      </c>
      <c r="F1956" s="2" t="s">
        <v>313</v>
      </c>
      <c r="G1956" s="2" t="s">
        <v>2393</v>
      </c>
      <c r="H1956" s="2" t="s">
        <v>122</v>
      </c>
      <c r="I1956" s="2" t="s">
        <v>380</v>
      </c>
      <c r="J1956" s="2" t="s">
        <v>381</v>
      </c>
      <c r="K1956" s="9">
        <v>45882</v>
      </c>
      <c r="L1956" s="9">
        <v>45886</v>
      </c>
      <c r="M1956" s="9">
        <v>45883</v>
      </c>
      <c r="N1956" s="2" t="s">
        <v>2314</v>
      </c>
      <c r="O1956" s="2" t="s">
        <v>55</v>
      </c>
      <c r="P1956" s="2" t="s">
        <v>139</v>
      </c>
      <c r="Q1956" s="2" t="s">
        <v>154</v>
      </c>
      <c r="R1956" s="2" t="s">
        <v>149</v>
      </c>
      <c r="S1956" s="2" t="s">
        <v>383</v>
      </c>
      <c r="T1956" s="10">
        <v>24.48</v>
      </c>
      <c r="U1956" s="11">
        <v>1</v>
      </c>
      <c r="V1956" s="12">
        <f>T1956*U1956</f>
        <v>24.48</v>
      </c>
      <c r="W1956" s="13">
        <v>0</v>
      </c>
      <c r="X1956" s="12">
        <f>V1956-(V1956/(1+W1956))</f>
        <v>0</v>
      </c>
      <c r="Y1956" s="12">
        <f>V1956-X1956</f>
        <v>24.48</v>
      </c>
      <c r="Z1956" s="14">
        <v>35</v>
      </c>
      <c r="AA1956" s="2" t="str">
        <f>IF(V1956&gt;Z1956,"Yes","No")</f>
        <v>No</v>
      </c>
      <c r="AB1956" s="12">
        <f>V1956-Z1956</f>
        <v>-10.52</v>
      </c>
      <c r="AC1956" s="15" t="s">
        <v>130</v>
      </c>
      <c r="AD1956" s="15" t="s">
        <v>130</v>
      </c>
      <c r="AE1956" s="15" t="s">
        <v>180</v>
      </c>
      <c r="AF1956" s="12">
        <f>IF(AG1956="Rejected",0,IF(R1956="Corporate Card",0,V1956))</f>
        <v>24.48</v>
      </c>
      <c r="AG1956" s="15" t="s">
        <v>133</v>
      </c>
      <c r="AH1956" s="16">
        <v>45898</v>
      </c>
      <c r="AI1956" s="16">
        <v>45906</v>
      </c>
      <c r="AJ1956" s="16">
        <v>45908</v>
      </c>
      <c r="AK1956" s="17">
        <f>IF(AJ1956="","",AJ1956-AH1956)</f>
        <v>10</v>
      </c>
    </row>
    <row r="1957" spans="1:37">
      <c r="A1957" s="2" t="s">
        <v>2420</v>
      </c>
      <c r="B1957" s="2" t="s">
        <v>2399</v>
      </c>
      <c r="C1957" s="2" t="s">
        <v>120</v>
      </c>
      <c r="D1957" s="2" t="s">
        <v>118</v>
      </c>
      <c r="E1957" s="2" t="s">
        <v>2400</v>
      </c>
      <c r="F1957" s="2" t="s">
        <v>311</v>
      </c>
      <c r="G1957" s="2" t="s">
        <v>2401</v>
      </c>
      <c r="H1957" s="2" t="s">
        <v>448</v>
      </c>
      <c r="I1957" s="2" t="s">
        <v>749</v>
      </c>
      <c r="J1957" s="2" t="s">
        <v>750</v>
      </c>
      <c r="K1957" s="9">
        <v>45882</v>
      </c>
      <c r="L1957" s="9">
        <v>45889</v>
      </c>
      <c r="M1957" s="9">
        <v>45883</v>
      </c>
      <c r="N1957" s="2" t="s">
        <v>2314</v>
      </c>
      <c r="O1957" s="2" t="s">
        <v>60</v>
      </c>
      <c r="P1957" s="2" t="s">
        <v>701</v>
      </c>
      <c r="Q1957" s="2" t="s">
        <v>503</v>
      </c>
      <c r="R1957" s="2" t="s">
        <v>137</v>
      </c>
      <c r="S1957" s="2" t="s">
        <v>198</v>
      </c>
      <c r="T1957" s="10">
        <v>637.76</v>
      </c>
      <c r="U1957" s="11">
        <v>1.085</v>
      </c>
      <c r="V1957" s="12">
        <f>T1957*U1957</f>
        <v>691.96960000000001</v>
      </c>
      <c r="W1957" s="13">
        <v>0.19</v>
      </c>
      <c r="X1957" s="12">
        <f>V1957-(V1957/(1+W1957))</f>
        <v>110.48254117647059</v>
      </c>
      <c r="Y1957" s="12">
        <f>V1957-X1957</f>
        <v>581.48705882352942</v>
      </c>
      <c r="Z1957" s="14">
        <v>840</v>
      </c>
      <c r="AA1957" s="2" t="str">
        <f>IF(V1957&gt;Z1957,"Yes","No")</f>
        <v>No</v>
      </c>
      <c r="AB1957" s="12">
        <f>V1957-Z1957</f>
        <v>-148.03039999999999</v>
      </c>
      <c r="AC1957" s="15" t="s">
        <v>130</v>
      </c>
      <c r="AD1957" s="15" t="s">
        <v>130</v>
      </c>
      <c r="AE1957" s="15" t="s">
        <v>421</v>
      </c>
      <c r="AF1957" s="12">
        <f>IF(AG1957="Rejected",0,IF(R1957="Corporate Card",0,V1957))</f>
        <v>691.96960000000001</v>
      </c>
      <c r="AG1957" s="15" t="s">
        <v>133</v>
      </c>
      <c r="AH1957" s="16">
        <v>45899</v>
      </c>
      <c r="AI1957" s="16">
        <v>45904</v>
      </c>
      <c r="AJ1957" s="16">
        <v>45913</v>
      </c>
      <c r="AK1957" s="17">
        <f>IF(AJ1957="","",AJ1957-AH1957)</f>
        <v>14</v>
      </c>
    </row>
    <row r="1958" spans="1:37">
      <c r="A1958" s="2" t="s">
        <v>2421</v>
      </c>
      <c r="B1958" s="2" t="s">
        <v>2399</v>
      </c>
      <c r="C1958" s="2" t="s">
        <v>120</v>
      </c>
      <c r="D1958" s="2" t="s">
        <v>118</v>
      </c>
      <c r="E1958" s="2" t="s">
        <v>2400</v>
      </c>
      <c r="F1958" s="2" t="s">
        <v>311</v>
      </c>
      <c r="G1958" s="2" t="s">
        <v>2401</v>
      </c>
      <c r="H1958" s="2" t="s">
        <v>448</v>
      </c>
      <c r="I1958" s="2" t="s">
        <v>749</v>
      </c>
      <c r="J1958" s="2" t="s">
        <v>750</v>
      </c>
      <c r="K1958" s="9">
        <v>45882</v>
      </c>
      <c r="L1958" s="9">
        <v>45889</v>
      </c>
      <c r="M1958" s="9">
        <v>45883</v>
      </c>
      <c r="N1958" s="2" t="s">
        <v>2314</v>
      </c>
      <c r="O1958" s="2" t="s">
        <v>58</v>
      </c>
      <c r="P1958" s="2" t="s">
        <v>142</v>
      </c>
      <c r="Q1958" s="2" t="s">
        <v>296</v>
      </c>
      <c r="R1958" s="2" t="s">
        <v>128</v>
      </c>
      <c r="S1958" s="2" t="s">
        <v>198</v>
      </c>
      <c r="T1958" s="10">
        <v>24.19</v>
      </c>
      <c r="U1958" s="11">
        <v>1.085</v>
      </c>
      <c r="V1958" s="12">
        <f>T1958*U1958</f>
        <v>26.24615</v>
      </c>
      <c r="W1958" s="13">
        <v>0.19</v>
      </c>
      <c r="X1958" s="12">
        <f>V1958-(V1958/(1+W1958))</f>
        <v>4.1905617647058797</v>
      </c>
      <c r="Y1958" s="12">
        <f>V1958-X1958</f>
        <v>22.05558823529412</v>
      </c>
      <c r="Z1958" s="14">
        <v>60</v>
      </c>
      <c r="AA1958" s="2" t="str">
        <f>IF(V1958&gt;Z1958,"Yes","No")</f>
        <v>No</v>
      </c>
      <c r="AB1958" s="12">
        <f>V1958-Z1958</f>
        <v>-33.75385</v>
      </c>
      <c r="AC1958" s="15" t="s">
        <v>130</v>
      </c>
      <c r="AD1958" s="15" t="s">
        <v>130</v>
      </c>
      <c r="AE1958" s="15" t="s">
        <v>421</v>
      </c>
      <c r="AF1958" s="12">
        <f>IF(AG1958="Rejected",0,IF(R1958="Corporate Card",0,V1958))</f>
        <v>0</v>
      </c>
      <c r="AG1958" s="15" t="s">
        <v>133</v>
      </c>
      <c r="AH1958" s="16">
        <v>45899</v>
      </c>
      <c r="AI1958" s="16">
        <v>45904</v>
      </c>
      <c r="AJ1958" s="16">
        <v>45913</v>
      </c>
      <c r="AK1958" s="17">
        <f>IF(AJ1958="","",AJ1958-AH1958)</f>
        <v>14</v>
      </c>
    </row>
    <row r="1959" spans="1:37">
      <c r="A1959" s="2" t="s">
        <v>2422</v>
      </c>
      <c r="B1959" s="2" t="s">
        <v>2399</v>
      </c>
      <c r="C1959" s="2" t="s">
        <v>120</v>
      </c>
      <c r="D1959" s="2" t="s">
        <v>118</v>
      </c>
      <c r="E1959" s="2" t="s">
        <v>2400</v>
      </c>
      <c r="F1959" s="2" t="s">
        <v>311</v>
      </c>
      <c r="G1959" s="2" t="s">
        <v>2401</v>
      </c>
      <c r="H1959" s="2" t="s">
        <v>448</v>
      </c>
      <c r="I1959" s="2" t="s">
        <v>749</v>
      </c>
      <c r="J1959" s="2" t="s">
        <v>750</v>
      </c>
      <c r="K1959" s="9">
        <v>45882</v>
      </c>
      <c r="L1959" s="9">
        <v>45889</v>
      </c>
      <c r="M1959" s="9">
        <v>45883</v>
      </c>
      <c r="N1959" s="2" t="s">
        <v>2314</v>
      </c>
      <c r="O1959" s="2" t="s">
        <v>53</v>
      </c>
      <c r="P1959" s="2" t="s">
        <v>208</v>
      </c>
      <c r="Q1959" s="2" t="s">
        <v>220</v>
      </c>
      <c r="R1959" s="2" t="s">
        <v>128</v>
      </c>
      <c r="S1959" s="2" t="s">
        <v>198</v>
      </c>
      <c r="T1959" s="10">
        <v>1979.39</v>
      </c>
      <c r="U1959" s="11">
        <v>1.085</v>
      </c>
      <c r="V1959" s="12">
        <f>T1959*U1959</f>
        <v>2147.6381500000002</v>
      </c>
      <c r="W1959" s="13">
        <v>0.19</v>
      </c>
      <c r="X1959" s="12">
        <f>V1959-(V1959/(1+W1959))</f>
        <v>342.90020882352928</v>
      </c>
      <c r="Y1959" s="12">
        <f>V1959-X1959</f>
        <v>1804.7379411764709</v>
      </c>
      <c r="Z1959" s="14">
        <v>1960</v>
      </c>
      <c r="AA1959" s="2" t="str">
        <f>IF(V1959&gt;Z1959,"Yes","No")</f>
        <v>Yes</v>
      </c>
      <c r="AB1959" s="12">
        <f>V1959-Z1959</f>
        <v>187.63815000000022</v>
      </c>
      <c r="AC1959" s="15" t="s">
        <v>130</v>
      </c>
      <c r="AD1959" s="15" t="s">
        <v>130</v>
      </c>
      <c r="AE1959" s="15" t="s">
        <v>421</v>
      </c>
      <c r="AF1959" s="12">
        <f>IF(AG1959="Rejected",0,IF(R1959="Corporate Card",0,V1959))</f>
        <v>0</v>
      </c>
      <c r="AG1959" s="15" t="s">
        <v>133</v>
      </c>
      <c r="AH1959" s="16">
        <v>45899</v>
      </c>
      <c r="AI1959" s="16">
        <v>45904</v>
      </c>
      <c r="AJ1959" s="16">
        <v>45913</v>
      </c>
      <c r="AK1959" s="17">
        <f>IF(AJ1959="","",AJ1959-AH1959)</f>
        <v>14</v>
      </c>
    </row>
    <row r="1960" spans="1:37">
      <c r="A1960" s="2" t="s">
        <v>2423</v>
      </c>
      <c r="B1960" s="2" t="s">
        <v>2399</v>
      </c>
      <c r="C1960" s="2" t="s">
        <v>120</v>
      </c>
      <c r="D1960" s="2" t="s">
        <v>118</v>
      </c>
      <c r="E1960" s="2" t="s">
        <v>2400</v>
      </c>
      <c r="F1960" s="2" t="s">
        <v>311</v>
      </c>
      <c r="G1960" s="2" t="s">
        <v>2401</v>
      </c>
      <c r="H1960" s="2" t="s">
        <v>448</v>
      </c>
      <c r="I1960" s="2" t="s">
        <v>749</v>
      </c>
      <c r="J1960" s="2" t="s">
        <v>750</v>
      </c>
      <c r="K1960" s="9">
        <v>45882</v>
      </c>
      <c r="L1960" s="9">
        <v>45889</v>
      </c>
      <c r="M1960" s="9">
        <v>45883</v>
      </c>
      <c r="N1960" s="2" t="s">
        <v>2314</v>
      </c>
      <c r="O1960" s="2" t="s">
        <v>54</v>
      </c>
      <c r="P1960" s="2" t="s">
        <v>139</v>
      </c>
      <c r="Q1960" s="2" t="s">
        <v>163</v>
      </c>
      <c r="R1960" s="2" t="s">
        <v>128</v>
      </c>
      <c r="S1960" s="2" t="s">
        <v>198</v>
      </c>
      <c r="T1960" s="10">
        <v>14.11</v>
      </c>
      <c r="U1960" s="11">
        <v>1.085</v>
      </c>
      <c r="V1960" s="12">
        <f>T1960*U1960</f>
        <v>15.309349999999998</v>
      </c>
      <c r="W1960" s="13">
        <v>0.19</v>
      </c>
      <c r="X1960" s="12">
        <f>V1960-(V1960/(1+W1960))</f>
        <v>2.44435</v>
      </c>
      <c r="Y1960" s="12">
        <f>V1960-X1960</f>
        <v>12.864999999999998</v>
      </c>
      <c r="Z1960" s="14">
        <v>25</v>
      </c>
      <c r="AA1960" s="2" t="str">
        <f>IF(V1960&gt;Z1960,"Yes","No")</f>
        <v>No</v>
      </c>
      <c r="AB1960" s="12">
        <f>V1960-Z1960</f>
        <v>-9.6906500000000015</v>
      </c>
      <c r="AC1960" s="15" t="s">
        <v>130</v>
      </c>
      <c r="AD1960" s="15" t="s">
        <v>130</v>
      </c>
      <c r="AE1960" s="15" t="s">
        <v>421</v>
      </c>
      <c r="AF1960" s="12">
        <f>IF(AG1960="Rejected",0,IF(R1960="Corporate Card",0,V1960))</f>
        <v>0</v>
      </c>
      <c r="AG1960" s="15" t="s">
        <v>133</v>
      </c>
      <c r="AH1960" s="16">
        <v>45899</v>
      </c>
      <c r="AI1960" s="16">
        <v>45904</v>
      </c>
      <c r="AJ1960" s="16">
        <v>45913</v>
      </c>
      <c r="AK1960" s="17">
        <f>IF(AJ1960="","",AJ1960-AH1960)</f>
        <v>14</v>
      </c>
    </row>
    <row r="1961" spans="1:37">
      <c r="A1961" s="2" t="s">
        <v>2424</v>
      </c>
      <c r="B1961" s="2" t="s">
        <v>2399</v>
      </c>
      <c r="C1961" s="2" t="s">
        <v>120</v>
      </c>
      <c r="D1961" s="2" t="s">
        <v>118</v>
      </c>
      <c r="E1961" s="2" t="s">
        <v>2400</v>
      </c>
      <c r="F1961" s="2" t="s">
        <v>311</v>
      </c>
      <c r="G1961" s="2" t="s">
        <v>2401</v>
      </c>
      <c r="H1961" s="2" t="s">
        <v>448</v>
      </c>
      <c r="I1961" s="2" t="s">
        <v>749</v>
      </c>
      <c r="J1961" s="2" t="s">
        <v>750</v>
      </c>
      <c r="K1961" s="9">
        <v>45882</v>
      </c>
      <c r="L1961" s="9">
        <v>45889</v>
      </c>
      <c r="M1961" s="9">
        <v>45883</v>
      </c>
      <c r="N1961" s="2" t="s">
        <v>2314</v>
      </c>
      <c r="O1961" s="2" t="s">
        <v>56</v>
      </c>
      <c r="P1961" s="2" t="s">
        <v>165</v>
      </c>
      <c r="Q1961" s="2" t="s">
        <v>185</v>
      </c>
      <c r="R1961" s="2" t="s">
        <v>149</v>
      </c>
      <c r="S1961" s="2" t="s">
        <v>198</v>
      </c>
      <c r="T1961" s="10">
        <v>59.3</v>
      </c>
      <c r="U1961" s="11">
        <v>1.085</v>
      </c>
      <c r="V1961" s="12">
        <f>T1961*U1961</f>
        <v>64.340499999999992</v>
      </c>
      <c r="W1961" s="13">
        <v>0.19</v>
      </c>
      <c r="X1961" s="12">
        <f>V1961-(V1961/(1+W1961))</f>
        <v>10.272852941176467</v>
      </c>
      <c r="Y1961" s="12">
        <f>V1961-X1961</f>
        <v>54.067647058823525</v>
      </c>
      <c r="Z1961" s="14">
        <v>75</v>
      </c>
      <c r="AA1961" s="2" t="str">
        <f>IF(V1961&gt;Z1961,"Yes","No")</f>
        <v>No</v>
      </c>
      <c r="AB1961" s="12">
        <f>V1961-Z1961</f>
        <v>-10.659500000000008</v>
      </c>
      <c r="AC1961" s="15" t="s">
        <v>130</v>
      </c>
      <c r="AD1961" s="15" t="s">
        <v>130</v>
      </c>
      <c r="AE1961" s="15" t="s">
        <v>421</v>
      </c>
      <c r="AF1961" s="12">
        <f>IF(AG1961="Rejected",0,IF(R1961="Corporate Card",0,V1961))</f>
        <v>64.340499999999992</v>
      </c>
      <c r="AG1961" s="15" t="s">
        <v>133</v>
      </c>
      <c r="AH1961" s="16">
        <v>45899</v>
      </c>
      <c r="AI1961" s="16">
        <v>45904</v>
      </c>
      <c r="AJ1961" s="16">
        <v>45913</v>
      </c>
      <c r="AK1961" s="17">
        <f>IF(AJ1961="","",AJ1961-AH1961)</f>
        <v>14</v>
      </c>
    </row>
    <row r="1962" spans="1:37">
      <c r="A1962" s="2" t="s">
        <v>2425</v>
      </c>
      <c r="B1962" s="2" t="s">
        <v>2399</v>
      </c>
      <c r="C1962" s="2" t="s">
        <v>120</v>
      </c>
      <c r="D1962" s="2" t="s">
        <v>118</v>
      </c>
      <c r="E1962" s="2" t="s">
        <v>2400</v>
      </c>
      <c r="F1962" s="2" t="s">
        <v>311</v>
      </c>
      <c r="G1962" s="2" t="s">
        <v>2401</v>
      </c>
      <c r="H1962" s="2" t="s">
        <v>448</v>
      </c>
      <c r="I1962" s="2" t="s">
        <v>749</v>
      </c>
      <c r="J1962" s="2" t="s">
        <v>750</v>
      </c>
      <c r="K1962" s="9">
        <v>45882</v>
      </c>
      <c r="L1962" s="9">
        <v>45889</v>
      </c>
      <c r="M1962" s="9">
        <v>45883</v>
      </c>
      <c r="N1962" s="2" t="s">
        <v>2314</v>
      </c>
      <c r="O1962" s="2" t="s">
        <v>55</v>
      </c>
      <c r="P1962" s="2" t="s">
        <v>139</v>
      </c>
      <c r="Q1962" s="2" t="s">
        <v>187</v>
      </c>
      <c r="R1962" s="2" t="s">
        <v>137</v>
      </c>
      <c r="S1962" s="2" t="s">
        <v>198</v>
      </c>
      <c r="T1962" s="10">
        <v>30.53</v>
      </c>
      <c r="U1962" s="11">
        <v>1.085</v>
      </c>
      <c r="V1962" s="12">
        <f>T1962*U1962</f>
        <v>33.125050000000002</v>
      </c>
      <c r="W1962" s="13">
        <v>0.19</v>
      </c>
      <c r="X1962" s="12">
        <f>V1962-(V1962/(1+W1962))</f>
        <v>5.288873529411763</v>
      </c>
      <c r="Y1962" s="12">
        <f>V1962-X1962</f>
        <v>27.836176470588239</v>
      </c>
      <c r="Z1962" s="14">
        <v>35</v>
      </c>
      <c r="AA1962" s="2" t="str">
        <f>IF(V1962&gt;Z1962,"Yes","No")</f>
        <v>No</v>
      </c>
      <c r="AB1962" s="12">
        <f>V1962-Z1962</f>
        <v>-1.8749499999999983</v>
      </c>
      <c r="AC1962" s="15" t="s">
        <v>130</v>
      </c>
      <c r="AD1962" s="15" t="s">
        <v>130</v>
      </c>
      <c r="AE1962" s="15" t="s">
        <v>421</v>
      </c>
      <c r="AF1962" s="12">
        <f>IF(AG1962="Rejected",0,IF(R1962="Corporate Card",0,V1962))</f>
        <v>33.125050000000002</v>
      </c>
      <c r="AG1962" s="15" t="s">
        <v>133</v>
      </c>
      <c r="AH1962" s="16">
        <v>45899</v>
      </c>
      <c r="AI1962" s="16">
        <v>45904</v>
      </c>
      <c r="AJ1962" s="16">
        <v>45913</v>
      </c>
      <c r="AK1962" s="17">
        <f>IF(AJ1962="","",AJ1962-AH1962)</f>
        <v>14</v>
      </c>
    </row>
    <row r="1963" spans="1:37">
      <c r="A1963" s="2" t="s">
        <v>2426</v>
      </c>
      <c r="B1963" s="2" t="s">
        <v>882</v>
      </c>
      <c r="C1963" s="2" t="s">
        <v>446</v>
      </c>
      <c r="D1963" s="2" t="s">
        <v>444</v>
      </c>
      <c r="E1963" s="2" t="s">
        <v>883</v>
      </c>
      <c r="F1963" s="2" t="s">
        <v>313</v>
      </c>
      <c r="G1963" s="2" t="s">
        <v>2393</v>
      </c>
      <c r="H1963" s="2" t="s">
        <v>122</v>
      </c>
      <c r="I1963" s="2" t="s">
        <v>380</v>
      </c>
      <c r="J1963" s="2" t="s">
        <v>381</v>
      </c>
      <c r="K1963" s="9">
        <v>45882</v>
      </c>
      <c r="L1963" s="9">
        <v>45886</v>
      </c>
      <c r="M1963" s="9">
        <v>45884</v>
      </c>
      <c r="N1963" s="2" t="s">
        <v>2314</v>
      </c>
      <c r="O1963" s="2" t="s">
        <v>58</v>
      </c>
      <c r="P1963" s="2" t="s">
        <v>142</v>
      </c>
      <c r="Q1963" s="2" t="s">
        <v>203</v>
      </c>
      <c r="R1963" s="2" t="s">
        <v>128</v>
      </c>
      <c r="S1963" s="2" t="s">
        <v>383</v>
      </c>
      <c r="T1963" s="10">
        <v>38.33</v>
      </c>
      <c r="U1963" s="11">
        <v>1</v>
      </c>
      <c r="V1963" s="12">
        <f>T1963*U1963</f>
        <v>38.33</v>
      </c>
      <c r="W1963" s="13">
        <v>0</v>
      </c>
      <c r="X1963" s="12">
        <f>V1963-(V1963/(1+W1963))</f>
        <v>0</v>
      </c>
      <c r="Y1963" s="12">
        <f>V1963-X1963</f>
        <v>38.33</v>
      </c>
      <c r="Z1963" s="14">
        <v>60</v>
      </c>
      <c r="AA1963" s="2" t="str">
        <f>IF(V1963&gt;Z1963,"Yes","No")</f>
        <v>No</v>
      </c>
      <c r="AB1963" s="12">
        <f>V1963-Z1963</f>
        <v>-21.67</v>
      </c>
      <c r="AC1963" s="15" t="s">
        <v>131</v>
      </c>
      <c r="AD1963" s="15" t="s">
        <v>130</v>
      </c>
      <c r="AE1963" s="15" t="s">
        <v>180</v>
      </c>
      <c r="AF1963" s="12">
        <f>IF(AG1963="Rejected",0,IF(R1963="Corporate Card",0,V1963))</f>
        <v>0</v>
      </c>
      <c r="AG1963" s="15" t="s">
        <v>133</v>
      </c>
      <c r="AH1963" s="16">
        <v>45898</v>
      </c>
      <c r="AI1963" s="16">
        <v>45906</v>
      </c>
      <c r="AJ1963" s="16">
        <v>45908</v>
      </c>
      <c r="AK1963" s="17">
        <f>IF(AJ1963="","",AJ1963-AH1963)</f>
        <v>10</v>
      </c>
    </row>
    <row r="1964" spans="1:37">
      <c r="A1964" s="2" t="s">
        <v>2427</v>
      </c>
      <c r="B1964" s="2" t="s">
        <v>882</v>
      </c>
      <c r="C1964" s="2" t="s">
        <v>446</v>
      </c>
      <c r="D1964" s="2" t="s">
        <v>444</v>
      </c>
      <c r="E1964" s="2" t="s">
        <v>883</v>
      </c>
      <c r="F1964" s="2" t="s">
        <v>313</v>
      </c>
      <c r="G1964" s="2" t="s">
        <v>2393</v>
      </c>
      <c r="H1964" s="2" t="s">
        <v>122</v>
      </c>
      <c r="I1964" s="2" t="s">
        <v>380</v>
      </c>
      <c r="J1964" s="2" t="s">
        <v>381</v>
      </c>
      <c r="K1964" s="9">
        <v>45882</v>
      </c>
      <c r="L1964" s="9">
        <v>45886</v>
      </c>
      <c r="M1964" s="9">
        <v>45884</v>
      </c>
      <c r="N1964" s="2" t="s">
        <v>2314</v>
      </c>
      <c r="O1964" s="2" t="s">
        <v>54</v>
      </c>
      <c r="P1964" s="2" t="s">
        <v>139</v>
      </c>
      <c r="Q1964" s="2" t="s">
        <v>140</v>
      </c>
      <c r="R1964" s="2" t="s">
        <v>137</v>
      </c>
      <c r="S1964" s="2" t="s">
        <v>383</v>
      </c>
      <c r="T1964" s="10">
        <v>15.94</v>
      </c>
      <c r="U1964" s="11">
        <v>1</v>
      </c>
      <c r="V1964" s="12">
        <f>T1964*U1964</f>
        <v>15.94</v>
      </c>
      <c r="W1964" s="13">
        <v>0</v>
      </c>
      <c r="X1964" s="12">
        <f>V1964-(V1964/(1+W1964))</f>
        <v>0</v>
      </c>
      <c r="Y1964" s="12">
        <f>V1964-X1964</f>
        <v>15.94</v>
      </c>
      <c r="Z1964" s="14">
        <v>25</v>
      </c>
      <c r="AA1964" s="2" t="str">
        <f>IF(V1964&gt;Z1964,"Yes","No")</f>
        <v>No</v>
      </c>
      <c r="AB1964" s="12">
        <f>V1964-Z1964</f>
        <v>-9.06</v>
      </c>
      <c r="AC1964" s="15" t="s">
        <v>130</v>
      </c>
      <c r="AD1964" s="15" t="s">
        <v>130</v>
      </c>
      <c r="AE1964" s="15" t="s">
        <v>180</v>
      </c>
      <c r="AF1964" s="12">
        <f>IF(AG1964="Rejected",0,IF(R1964="Corporate Card",0,V1964))</f>
        <v>15.94</v>
      </c>
      <c r="AG1964" s="15" t="s">
        <v>133</v>
      </c>
      <c r="AH1964" s="16">
        <v>45898</v>
      </c>
      <c r="AI1964" s="16">
        <v>45906</v>
      </c>
      <c r="AJ1964" s="16">
        <v>45908</v>
      </c>
      <c r="AK1964" s="17">
        <f>IF(AJ1964="","",AJ1964-AH1964)</f>
        <v>10</v>
      </c>
    </row>
    <row r="1965" spans="1:37">
      <c r="A1965" s="2" t="s">
        <v>2428</v>
      </c>
      <c r="B1965" s="2" t="s">
        <v>882</v>
      </c>
      <c r="C1965" s="2" t="s">
        <v>446</v>
      </c>
      <c r="D1965" s="2" t="s">
        <v>444</v>
      </c>
      <c r="E1965" s="2" t="s">
        <v>883</v>
      </c>
      <c r="F1965" s="2" t="s">
        <v>313</v>
      </c>
      <c r="G1965" s="2" t="s">
        <v>2393</v>
      </c>
      <c r="H1965" s="2" t="s">
        <v>122</v>
      </c>
      <c r="I1965" s="2" t="s">
        <v>380</v>
      </c>
      <c r="J1965" s="2" t="s">
        <v>381</v>
      </c>
      <c r="K1965" s="9">
        <v>45882</v>
      </c>
      <c r="L1965" s="9">
        <v>45886</v>
      </c>
      <c r="M1965" s="9">
        <v>45884</v>
      </c>
      <c r="N1965" s="2" t="s">
        <v>2314</v>
      </c>
      <c r="O1965" s="2" t="s">
        <v>56</v>
      </c>
      <c r="P1965" s="2" t="s">
        <v>245</v>
      </c>
      <c r="Q1965" s="2" t="s">
        <v>152</v>
      </c>
      <c r="R1965" s="2" t="s">
        <v>128</v>
      </c>
      <c r="S1965" s="2" t="s">
        <v>383</v>
      </c>
      <c r="T1965" s="10">
        <v>69.78</v>
      </c>
      <c r="U1965" s="11">
        <v>1</v>
      </c>
      <c r="V1965" s="12">
        <f>T1965*U1965</f>
        <v>69.78</v>
      </c>
      <c r="W1965" s="13">
        <v>0</v>
      </c>
      <c r="X1965" s="12">
        <f>V1965-(V1965/(1+W1965))</f>
        <v>0</v>
      </c>
      <c r="Y1965" s="12">
        <f>V1965-X1965</f>
        <v>69.78</v>
      </c>
      <c r="Z1965" s="14">
        <v>75</v>
      </c>
      <c r="AA1965" s="2" t="str">
        <f>IF(V1965&gt;Z1965,"Yes","No")</f>
        <v>No</v>
      </c>
      <c r="AB1965" s="12">
        <f>V1965-Z1965</f>
        <v>-5.2199999999999989</v>
      </c>
      <c r="AC1965" s="15" t="s">
        <v>130</v>
      </c>
      <c r="AD1965" s="15" t="s">
        <v>130</v>
      </c>
      <c r="AE1965" s="15" t="s">
        <v>180</v>
      </c>
      <c r="AF1965" s="12">
        <f>IF(AG1965="Rejected",0,IF(R1965="Corporate Card",0,V1965))</f>
        <v>0</v>
      </c>
      <c r="AG1965" s="15" t="s">
        <v>133</v>
      </c>
      <c r="AH1965" s="16">
        <v>45898</v>
      </c>
      <c r="AI1965" s="16">
        <v>45906</v>
      </c>
      <c r="AJ1965" s="16">
        <v>45908</v>
      </c>
      <c r="AK1965" s="17">
        <f>IF(AJ1965="","",AJ1965-AH1965)</f>
        <v>10</v>
      </c>
    </row>
    <row r="1966" spans="1:37">
      <c r="A1966" s="2" t="s">
        <v>2429</v>
      </c>
      <c r="B1966" s="2" t="s">
        <v>882</v>
      </c>
      <c r="C1966" s="2" t="s">
        <v>446</v>
      </c>
      <c r="D1966" s="2" t="s">
        <v>444</v>
      </c>
      <c r="E1966" s="2" t="s">
        <v>883</v>
      </c>
      <c r="F1966" s="2" t="s">
        <v>313</v>
      </c>
      <c r="G1966" s="2" t="s">
        <v>2393</v>
      </c>
      <c r="H1966" s="2" t="s">
        <v>122</v>
      </c>
      <c r="I1966" s="2" t="s">
        <v>380</v>
      </c>
      <c r="J1966" s="2" t="s">
        <v>381</v>
      </c>
      <c r="K1966" s="9">
        <v>45882</v>
      </c>
      <c r="L1966" s="9">
        <v>45886</v>
      </c>
      <c r="M1966" s="9">
        <v>45884</v>
      </c>
      <c r="N1966" s="2" t="s">
        <v>2314</v>
      </c>
      <c r="O1966" s="2" t="s">
        <v>55</v>
      </c>
      <c r="P1966" s="2" t="s">
        <v>139</v>
      </c>
      <c r="Q1966" s="2" t="s">
        <v>187</v>
      </c>
      <c r="R1966" s="2" t="s">
        <v>137</v>
      </c>
      <c r="S1966" s="2" t="s">
        <v>383</v>
      </c>
      <c r="T1966" s="10">
        <v>28.28</v>
      </c>
      <c r="U1966" s="11">
        <v>1</v>
      </c>
      <c r="V1966" s="12">
        <f>T1966*U1966</f>
        <v>28.28</v>
      </c>
      <c r="W1966" s="13">
        <v>0</v>
      </c>
      <c r="X1966" s="12">
        <f>V1966-(V1966/(1+W1966))</f>
        <v>0</v>
      </c>
      <c r="Y1966" s="12">
        <f>V1966-X1966</f>
        <v>28.28</v>
      </c>
      <c r="Z1966" s="14">
        <v>35</v>
      </c>
      <c r="AA1966" s="2" t="str">
        <f>IF(V1966&gt;Z1966,"Yes","No")</f>
        <v>No</v>
      </c>
      <c r="AB1966" s="12">
        <f>V1966-Z1966</f>
        <v>-6.7199999999999989</v>
      </c>
      <c r="AC1966" s="15" t="s">
        <v>130</v>
      </c>
      <c r="AD1966" s="15" t="s">
        <v>130</v>
      </c>
      <c r="AE1966" s="15" t="s">
        <v>180</v>
      </c>
      <c r="AF1966" s="12">
        <f>IF(AG1966="Rejected",0,IF(R1966="Corporate Card",0,V1966))</f>
        <v>28.28</v>
      </c>
      <c r="AG1966" s="15" t="s">
        <v>133</v>
      </c>
      <c r="AH1966" s="16">
        <v>45898</v>
      </c>
      <c r="AI1966" s="16">
        <v>45906</v>
      </c>
      <c r="AJ1966" s="16">
        <v>45908</v>
      </c>
      <c r="AK1966" s="17">
        <f>IF(AJ1966="","",AJ1966-AH1966)</f>
        <v>10</v>
      </c>
    </row>
    <row r="1967" spans="1:37">
      <c r="A1967" s="2" t="s">
        <v>2430</v>
      </c>
      <c r="B1967" s="2" t="s">
        <v>2399</v>
      </c>
      <c r="C1967" s="2" t="s">
        <v>120</v>
      </c>
      <c r="D1967" s="2" t="s">
        <v>118</v>
      </c>
      <c r="E1967" s="2" t="s">
        <v>2400</v>
      </c>
      <c r="F1967" s="2" t="s">
        <v>311</v>
      </c>
      <c r="G1967" s="2" t="s">
        <v>2401</v>
      </c>
      <c r="H1967" s="2" t="s">
        <v>448</v>
      </c>
      <c r="I1967" s="2" t="s">
        <v>749</v>
      </c>
      <c r="J1967" s="2" t="s">
        <v>750</v>
      </c>
      <c r="K1967" s="9">
        <v>45882</v>
      </c>
      <c r="L1967" s="9">
        <v>45889</v>
      </c>
      <c r="M1967" s="9">
        <v>45884</v>
      </c>
      <c r="N1967" s="2" t="s">
        <v>2314</v>
      </c>
      <c r="O1967" s="2" t="s">
        <v>56</v>
      </c>
      <c r="P1967" s="2" t="s">
        <v>151</v>
      </c>
      <c r="Q1967" s="2" t="s">
        <v>159</v>
      </c>
      <c r="R1967" s="2" t="s">
        <v>128</v>
      </c>
      <c r="S1967" s="2" t="s">
        <v>198</v>
      </c>
      <c r="T1967" s="10">
        <v>37.83</v>
      </c>
      <c r="U1967" s="11">
        <v>1.085</v>
      </c>
      <c r="V1967" s="12">
        <f>T1967*U1967</f>
        <v>41.045549999999999</v>
      </c>
      <c r="W1967" s="13">
        <v>0.19</v>
      </c>
      <c r="X1967" s="12">
        <f>V1967-(V1967/(1+W1967))</f>
        <v>6.5534911764705868</v>
      </c>
      <c r="Y1967" s="12">
        <f>V1967-X1967</f>
        <v>34.492058823529412</v>
      </c>
      <c r="Z1967" s="14">
        <v>75</v>
      </c>
      <c r="AA1967" s="2" t="str">
        <f>IF(V1967&gt;Z1967,"Yes","No")</f>
        <v>No</v>
      </c>
      <c r="AB1967" s="12">
        <f>V1967-Z1967</f>
        <v>-33.954450000000001</v>
      </c>
      <c r="AC1967" s="15" t="s">
        <v>130</v>
      </c>
      <c r="AD1967" s="15" t="s">
        <v>130</v>
      </c>
      <c r="AE1967" s="15" t="s">
        <v>421</v>
      </c>
      <c r="AF1967" s="12">
        <f>IF(AG1967="Rejected",0,IF(R1967="Corporate Card",0,V1967))</f>
        <v>0</v>
      </c>
      <c r="AG1967" s="15" t="s">
        <v>133</v>
      </c>
      <c r="AH1967" s="16">
        <v>45899</v>
      </c>
      <c r="AI1967" s="16">
        <v>45904</v>
      </c>
      <c r="AJ1967" s="16">
        <v>45913</v>
      </c>
      <c r="AK1967" s="17">
        <f>IF(AJ1967="","",AJ1967-AH1967)</f>
        <v>14</v>
      </c>
    </row>
    <row r="1968" spans="1:37">
      <c r="A1968" s="2" t="s">
        <v>2431</v>
      </c>
      <c r="B1968" s="2" t="s">
        <v>2399</v>
      </c>
      <c r="C1968" s="2" t="s">
        <v>120</v>
      </c>
      <c r="D1968" s="2" t="s">
        <v>118</v>
      </c>
      <c r="E1968" s="2" t="s">
        <v>2400</v>
      </c>
      <c r="F1968" s="2" t="s">
        <v>311</v>
      </c>
      <c r="G1968" s="2" t="s">
        <v>2401</v>
      </c>
      <c r="H1968" s="2" t="s">
        <v>448</v>
      </c>
      <c r="I1968" s="2" t="s">
        <v>749</v>
      </c>
      <c r="J1968" s="2" t="s">
        <v>750</v>
      </c>
      <c r="K1968" s="9">
        <v>45882</v>
      </c>
      <c r="L1968" s="9">
        <v>45889</v>
      </c>
      <c r="M1968" s="9">
        <v>45884</v>
      </c>
      <c r="N1968" s="2" t="s">
        <v>2314</v>
      </c>
      <c r="O1968" s="2" t="s">
        <v>55</v>
      </c>
      <c r="P1968" s="2" t="s">
        <v>139</v>
      </c>
      <c r="Q1968" s="2" t="s">
        <v>154</v>
      </c>
      <c r="R1968" s="2" t="s">
        <v>128</v>
      </c>
      <c r="S1968" s="2" t="s">
        <v>198</v>
      </c>
      <c r="T1968" s="10">
        <v>23.28</v>
      </c>
      <c r="U1968" s="11">
        <v>1.085</v>
      </c>
      <c r="V1968" s="12">
        <f>T1968*U1968</f>
        <v>25.258800000000001</v>
      </c>
      <c r="W1968" s="13">
        <v>0.19</v>
      </c>
      <c r="X1968" s="12">
        <f>V1968-(V1968/(1+W1968))</f>
        <v>4.0329176470588237</v>
      </c>
      <c r="Y1968" s="12">
        <f>V1968-X1968</f>
        <v>21.225882352941177</v>
      </c>
      <c r="Z1968" s="14">
        <v>35</v>
      </c>
      <c r="AA1968" s="2" t="str">
        <f>IF(V1968&gt;Z1968,"Yes","No")</f>
        <v>No</v>
      </c>
      <c r="AB1968" s="12">
        <f>V1968-Z1968</f>
        <v>-9.7411999999999992</v>
      </c>
      <c r="AC1968" s="15" t="s">
        <v>130</v>
      </c>
      <c r="AD1968" s="15" t="s">
        <v>130</v>
      </c>
      <c r="AE1968" s="15" t="s">
        <v>421</v>
      </c>
      <c r="AF1968" s="12">
        <f>IF(AG1968="Rejected",0,IF(R1968="Corporate Card",0,V1968))</f>
        <v>0</v>
      </c>
      <c r="AG1968" s="15" t="s">
        <v>133</v>
      </c>
      <c r="AH1968" s="16">
        <v>45899</v>
      </c>
      <c r="AI1968" s="16">
        <v>45904</v>
      </c>
      <c r="AJ1968" s="16">
        <v>45913</v>
      </c>
      <c r="AK1968" s="17">
        <f>IF(AJ1968="","",AJ1968-AH1968)</f>
        <v>14</v>
      </c>
    </row>
    <row r="1969" spans="1:37">
      <c r="A1969" s="2" t="s">
        <v>2432</v>
      </c>
      <c r="B1969" s="2" t="s">
        <v>116</v>
      </c>
      <c r="C1969" s="2" t="s">
        <v>117</v>
      </c>
      <c r="D1969" s="2" t="s">
        <v>118</v>
      </c>
      <c r="E1969" s="2" t="s">
        <v>119</v>
      </c>
      <c r="F1969" s="2" t="s">
        <v>120</v>
      </c>
      <c r="G1969" s="2" t="s">
        <v>2433</v>
      </c>
      <c r="H1969" s="2" t="s">
        <v>193</v>
      </c>
      <c r="I1969" s="2" t="s">
        <v>418</v>
      </c>
      <c r="J1969" s="2" t="s">
        <v>381</v>
      </c>
      <c r="K1969" s="9">
        <v>45884</v>
      </c>
      <c r="L1969" s="9">
        <v>45886</v>
      </c>
      <c r="M1969" s="9">
        <v>45884</v>
      </c>
      <c r="N1969" s="2" t="s">
        <v>2314</v>
      </c>
      <c r="O1969" s="2" t="s">
        <v>52</v>
      </c>
      <c r="P1969" s="2" t="s">
        <v>419</v>
      </c>
      <c r="Q1969" s="2" t="s">
        <v>197</v>
      </c>
      <c r="R1969" s="2" t="s">
        <v>128</v>
      </c>
      <c r="S1969" s="2" t="s">
        <v>383</v>
      </c>
      <c r="T1969" s="10">
        <v>1308.33</v>
      </c>
      <c r="U1969" s="11">
        <v>1</v>
      </c>
      <c r="V1969" s="12">
        <f>T1969*U1969</f>
        <v>1308.33</v>
      </c>
      <c r="W1969" s="13">
        <v>0</v>
      </c>
      <c r="X1969" s="12">
        <f>V1969-(V1969/(1+W1969))</f>
        <v>0</v>
      </c>
      <c r="Y1969" s="12">
        <f>V1969-X1969</f>
        <v>1308.33</v>
      </c>
      <c r="Z1969" s="14">
        <v>1400</v>
      </c>
      <c r="AA1969" s="2" t="str">
        <f>IF(V1969&gt;Z1969,"Yes","No")</f>
        <v>No</v>
      </c>
      <c r="AB1969" s="12">
        <f>V1969-Z1969</f>
        <v>-91.670000000000073</v>
      </c>
      <c r="AC1969" s="15" t="s">
        <v>130</v>
      </c>
      <c r="AD1969" s="15" t="s">
        <v>130</v>
      </c>
      <c r="AE1969" s="15" t="s">
        <v>180</v>
      </c>
      <c r="AF1969" s="12">
        <f>IF(AG1969="Rejected",0,IF(R1969="Corporate Card",0,V1969))</f>
        <v>0</v>
      </c>
      <c r="AG1969" s="15" t="s">
        <v>133</v>
      </c>
      <c r="AH1969" s="16">
        <v>45887</v>
      </c>
      <c r="AI1969" s="16">
        <v>45894</v>
      </c>
      <c r="AJ1969" s="16">
        <v>45906</v>
      </c>
      <c r="AK1969" s="17">
        <f>IF(AJ1969="","",AJ1969-AH1969)</f>
        <v>19</v>
      </c>
    </row>
    <row r="1970" spans="1:37">
      <c r="A1970" s="2" t="s">
        <v>2434</v>
      </c>
      <c r="B1970" s="2" t="s">
        <v>116</v>
      </c>
      <c r="C1970" s="2" t="s">
        <v>117</v>
      </c>
      <c r="D1970" s="2" t="s">
        <v>118</v>
      </c>
      <c r="E1970" s="2" t="s">
        <v>119</v>
      </c>
      <c r="F1970" s="2" t="s">
        <v>120</v>
      </c>
      <c r="G1970" s="2" t="s">
        <v>2433</v>
      </c>
      <c r="H1970" s="2" t="s">
        <v>193</v>
      </c>
      <c r="I1970" s="2" t="s">
        <v>418</v>
      </c>
      <c r="J1970" s="2" t="s">
        <v>381</v>
      </c>
      <c r="K1970" s="9">
        <v>45884</v>
      </c>
      <c r="L1970" s="9">
        <v>45886</v>
      </c>
      <c r="M1970" s="9">
        <v>45884</v>
      </c>
      <c r="N1970" s="2" t="s">
        <v>2314</v>
      </c>
      <c r="O1970" s="2" t="s">
        <v>63</v>
      </c>
      <c r="P1970" s="2" t="s">
        <v>200</v>
      </c>
      <c r="Q1970" s="2" t="s">
        <v>484</v>
      </c>
      <c r="R1970" s="2" t="s">
        <v>149</v>
      </c>
      <c r="S1970" s="2" t="s">
        <v>383</v>
      </c>
      <c r="T1970" s="10">
        <v>542.07000000000005</v>
      </c>
      <c r="U1970" s="11">
        <v>1</v>
      </c>
      <c r="V1970" s="12">
        <f>T1970*U1970</f>
        <v>542.07000000000005</v>
      </c>
      <c r="W1970" s="13">
        <v>0</v>
      </c>
      <c r="X1970" s="12">
        <f>V1970-(V1970/(1+W1970))</f>
        <v>0</v>
      </c>
      <c r="Y1970" s="12">
        <f>V1970-X1970</f>
        <v>542.07000000000005</v>
      </c>
      <c r="Z1970" s="14">
        <v>1200</v>
      </c>
      <c r="AA1970" s="2" t="str">
        <f>IF(V1970&gt;Z1970,"Yes","No")</f>
        <v>No</v>
      </c>
      <c r="AB1970" s="12">
        <f>V1970-Z1970</f>
        <v>-657.93</v>
      </c>
      <c r="AC1970" s="15" t="s">
        <v>130</v>
      </c>
      <c r="AD1970" s="15" t="s">
        <v>130</v>
      </c>
      <c r="AE1970" s="15" t="s">
        <v>180</v>
      </c>
      <c r="AF1970" s="12">
        <f>IF(AG1970="Rejected",0,IF(R1970="Corporate Card",0,V1970))</f>
        <v>542.07000000000005</v>
      </c>
      <c r="AG1970" s="15" t="s">
        <v>133</v>
      </c>
      <c r="AH1970" s="16">
        <v>45887</v>
      </c>
      <c r="AI1970" s="16">
        <v>45894</v>
      </c>
      <c r="AJ1970" s="16">
        <v>45906</v>
      </c>
      <c r="AK1970" s="17">
        <f>IF(AJ1970="","",AJ1970-AH1970)</f>
        <v>19</v>
      </c>
    </row>
    <row r="1971" spans="1:37">
      <c r="A1971" s="2" t="s">
        <v>2435</v>
      </c>
      <c r="B1971" s="2" t="s">
        <v>116</v>
      </c>
      <c r="C1971" s="2" t="s">
        <v>117</v>
      </c>
      <c r="D1971" s="2" t="s">
        <v>118</v>
      </c>
      <c r="E1971" s="2" t="s">
        <v>119</v>
      </c>
      <c r="F1971" s="2" t="s">
        <v>120</v>
      </c>
      <c r="G1971" s="2" t="s">
        <v>2433</v>
      </c>
      <c r="H1971" s="2" t="s">
        <v>193</v>
      </c>
      <c r="I1971" s="2" t="s">
        <v>418</v>
      </c>
      <c r="J1971" s="2" t="s">
        <v>381</v>
      </c>
      <c r="K1971" s="9">
        <v>45884</v>
      </c>
      <c r="L1971" s="9">
        <v>45886</v>
      </c>
      <c r="M1971" s="9">
        <v>45884</v>
      </c>
      <c r="N1971" s="2" t="s">
        <v>2314</v>
      </c>
      <c r="O1971" s="2" t="s">
        <v>54</v>
      </c>
      <c r="P1971" s="2" t="s">
        <v>139</v>
      </c>
      <c r="Q1971" s="2" t="s">
        <v>163</v>
      </c>
      <c r="R1971" s="2" t="s">
        <v>128</v>
      </c>
      <c r="S1971" s="2" t="s">
        <v>383</v>
      </c>
      <c r="T1971" s="10">
        <v>22.63</v>
      </c>
      <c r="U1971" s="11">
        <v>1</v>
      </c>
      <c r="V1971" s="12">
        <f>T1971*U1971</f>
        <v>22.63</v>
      </c>
      <c r="W1971" s="13">
        <v>0</v>
      </c>
      <c r="X1971" s="12">
        <f>V1971-(V1971/(1+W1971))</f>
        <v>0</v>
      </c>
      <c r="Y1971" s="12">
        <f>V1971-X1971</f>
        <v>22.63</v>
      </c>
      <c r="Z1971" s="14">
        <v>25</v>
      </c>
      <c r="AA1971" s="2" t="str">
        <f>IF(V1971&gt;Z1971,"Yes","No")</f>
        <v>No</v>
      </c>
      <c r="AB1971" s="12">
        <f>V1971-Z1971</f>
        <v>-2.370000000000001</v>
      </c>
      <c r="AC1971" s="15" t="s">
        <v>130</v>
      </c>
      <c r="AD1971" s="15" t="s">
        <v>130</v>
      </c>
      <c r="AE1971" s="15" t="s">
        <v>180</v>
      </c>
      <c r="AF1971" s="12">
        <f>IF(AG1971="Rejected",0,IF(R1971="Corporate Card",0,V1971))</f>
        <v>0</v>
      </c>
      <c r="AG1971" s="15" t="s">
        <v>133</v>
      </c>
      <c r="AH1971" s="16">
        <v>45887</v>
      </c>
      <c r="AI1971" s="16">
        <v>45894</v>
      </c>
      <c r="AJ1971" s="16">
        <v>45906</v>
      </c>
      <c r="AK1971" s="17">
        <f>IF(AJ1971="","",AJ1971-AH1971)</f>
        <v>19</v>
      </c>
    </row>
    <row r="1972" spans="1:37">
      <c r="A1972" s="2" t="s">
        <v>2436</v>
      </c>
      <c r="B1972" s="2" t="s">
        <v>116</v>
      </c>
      <c r="C1972" s="2" t="s">
        <v>117</v>
      </c>
      <c r="D1972" s="2" t="s">
        <v>118</v>
      </c>
      <c r="E1972" s="2" t="s">
        <v>119</v>
      </c>
      <c r="F1972" s="2" t="s">
        <v>120</v>
      </c>
      <c r="G1972" s="2" t="s">
        <v>2433</v>
      </c>
      <c r="H1972" s="2" t="s">
        <v>193</v>
      </c>
      <c r="I1972" s="2" t="s">
        <v>418</v>
      </c>
      <c r="J1972" s="2" t="s">
        <v>381</v>
      </c>
      <c r="K1972" s="9">
        <v>45884</v>
      </c>
      <c r="L1972" s="9">
        <v>45886</v>
      </c>
      <c r="M1972" s="9">
        <v>45884</v>
      </c>
      <c r="N1972" s="2" t="s">
        <v>2314</v>
      </c>
      <c r="O1972" s="2" t="s">
        <v>56</v>
      </c>
      <c r="P1972" s="2" t="s">
        <v>165</v>
      </c>
      <c r="Q1972" s="2" t="s">
        <v>152</v>
      </c>
      <c r="R1972" s="2" t="s">
        <v>128</v>
      </c>
      <c r="S1972" s="2" t="s">
        <v>383</v>
      </c>
      <c r="T1972" s="10">
        <v>33.29</v>
      </c>
      <c r="U1972" s="11">
        <v>1</v>
      </c>
      <c r="V1972" s="12">
        <f>T1972*U1972</f>
        <v>33.29</v>
      </c>
      <c r="W1972" s="13">
        <v>0</v>
      </c>
      <c r="X1972" s="12">
        <f>V1972-(V1972/(1+W1972))</f>
        <v>0</v>
      </c>
      <c r="Y1972" s="12">
        <f>V1972-X1972</f>
        <v>33.29</v>
      </c>
      <c r="Z1972" s="14">
        <v>75</v>
      </c>
      <c r="AA1972" s="2" t="str">
        <f>IF(V1972&gt;Z1972,"Yes","No")</f>
        <v>No</v>
      </c>
      <c r="AB1972" s="12">
        <f>V1972-Z1972</f>
        <v>-41.71</v>
      </c>
      <c r="AC1972" s="15" t="s">
        <v>130</v>
      </c>
      <c r="AD1972" s="15" t="s">
        <v>130</v>
      </c>
      <c r="AE1972" s="15" t="s">
        <v>180</v>
      </c>
      <c r="AF1972" s="12">
        <f>IF(AG1972="Rejected",0,IF(R1972="Corporate Card",0,V1972))</f>
        <v>0</v>
      </c>
      <c r="AG1972" s="15" t="s">
        <v>133</v>
      </c>
      <c r="AH1972" s="16">
        <v>45887</v>
      </c>
      <c r="AI1972" s="16">
        <v>45894</v>
      </c>
      <c r="AJ1972" s="16">
        <v>45906</v>
      </c>
      <c r="AK1972" s="17">
        <f>IF(AJ1972="","",AJ1972-AH1972)</f>
        <v>19</v>
      </c>
    </row>
    <row r="1973" spans="1:37">
      <c r="A1973" s="2" t="s">
        <v>2437</v>
      </c>
      <c r="B1973" s="2" t="s">
        <v>116</v>
      </c>
      <c r="C1973" s="2" t="s">
        <v>117</v>
      </c>
      <c r="D1973" s="2" t="s">
        <v>118</v>
      </c>
      <c r="E1973" s="2" t="s">
        <v>119</v>
      </c>
      <c r="F1973" s="2" t="s">
        <v>120</v>
      </c>
      <c r="G1973" s="2" t="s">
        <v>2433</v>
      </c>
      <c r="H1973" s="2" t="s">
        <v>193</v>
      </c>
      <c r="I1973" s="2" t="s">
        <v>418</v>
      </c>
      <c r="J1973" s="2" t="s">
        <v>381</v>
      </c>
      <c r="K1973" s="9">
        <v>45884</v>
      </c>
      <c r="L1973" s="9">
        <v>45886</v>
      </c>
      <c r="M1973" s="9">
        <v>45884</v>
      </c>
      <c r="N1973" s="2" t="s">
        <v>2314</v>
      </c>
      <c r="O1973" s="2" t="s">
        <v>55</v>
      </c>
      <c r="P1973" s="2" t="s">
        <v>139</v>
      </c>
      <c r="Q1973" s="2" t="s">
        <v>154</v>
      </c>
      <c r="R1973" s="2" t="s">
        <v>149</v>
      </c>
      <c r="S1973" s="2" t="s">
        <v>383</v>
      </c>
      <c r="T1973" s="10">
        <v>23.44</v>
      </c>
      <c r="U1973" s="11">
        <v>1</v>
      </c>
      <c r="V1973" s="12">
        <f>T1973*U1973</f>
        <v>23.44</v>
      </c>
      <c r="W1973" s="13">
        <v>0</v>
      </c>
      <c r="X1973" s="12">
        <f>V1973-(V1973/(1+W1973))</f>
        <v>0</v>
      </c>
      <c r="Y1973" s="12">
        <f>V1973-X1973</f>
        <v>23.44</v>
      </c>
      <c r="Z1973" s="14">
        <v>35</v>
      </c>
      <c r="AA1973" s="2" t="str">
        <f>IF(V1973&gt;Z1973,"Yes","No")</f>
        <v>No</v>
      </c>
      <c r="AB1973" s="12">
        <f>V1973-Z1973</f>
        <v>-11.559999999999999</v>
      </c>
      <c r="AC1973" s="15" t="s">
        <v>131</v>
      </c>
      <c r="AD1973" s="15" t="s">
        <v>130</v>
      </c>
      <c r="AE1973" s="15" t="s">
        <v>180</v>
      </c>
      <c r="AF1973" s="12">
        <f>IF(AG1973="Rejected",0,IF(R1973="Corporate Card",0,V1973))</f>
        <v>23.44</v>
      </c>
      <c r="AG1973" s="15" t="s">
        <v>133</v>
      </c>
      <c r="AH1973" s="16">
        <v>45887</v>
      </c>
      <c r="AI1973" s="16">
        <v>45894</v>
      </c>
      <c r="AJ1973" s="16">
        <v>45906</v>
      </c>
      <c r="AK1973" s="17">
        <f>IF(AJ1973="","",AJ1973-AH1973)</f>
        <v>19</v>
      </c>
    </row>
    <row r="1974" spans="1:37">
      <c r="A1974" s="2" t="s">
        <v>2438</v>
      </c>
      <c r="B1974" s="2" t="s">
        <v>882</v>
      </c>
      <c r="C1974" s="2" t="s">
        <v>446</v>
      </c>
      <c r="D1974" s="2" t="s">
        <v>444</v>
      </c>
      <c r="E1974" s="2" t="s">
        <v>883</v>
      </c>
      <c r="F1974" s="2" t="s">
        <v>313</v>
      </c>
      <c r="G1974" s="2" t="s">
        <v>2393</v>
      </c>
      <c r="H1974" s="2" t="s">
        <v>122</v>
      </c>
      <c r="I1974" s="2" t="s">
        <v>380</v>
      </c>
      <c r="J1974" s="2" t="s">
        <v>381</v>
      </c>
      <c r="K1974" s="9">
        <v>45882</v>
      </c>
      <c r="L1974" s="9">
        <v>45886</v>
      </c>
      <c r="M1974" s="9">
        <v>45885</v>
      </c>
      <c r="N1974" s="2" t="s">
        <v>2314</v>
      </c>
      <c r="O1974" s="2" t="s">
        <v>67</v>
      </c>
      <c r="P1974" s="2" t="s">
        <v>401</v>
      </c>
      <c r="Q1974" s="2" t="s">
        <v>574</v>
      </c>
      <c r="R1974" s="2" t="s">
        <v>149</v>
      </c>
      <c r="S1974" s="2" t="s">
        <v>383</v>
      </c>
      <c r="T1974" s="10">
        <v>53.4</v>
      </c>
      <c r="U1974" s="11">
        <v>1</v>
      </c>
      <c r="V1974" s="12">
        <f>T1974*U1974</f>
        <v>53.4</v>
      </c>
      <c r="W1974" s="13">
        <v>0</v>
      </c>
      <c r="X1974" s="12">
        <f>V1974-(V1974/(1+W1974))</f>
        <v>0</v>
      </c>
      <c r="Y1974" s="12">
        <f>V1974-X1974</f>
        <v>53.4</v>
      </c>
      <c r="Z1974" s="14">
        <v>100</v>
      </c>
      <c r="AA1974" s="2" t="str">
        <f>IF(V1974&gt;Z1974,"Yes","No")</f>
        <v>No</v>
      </c>
      <c r="AB1974" s="12">
        <f>V1974-Z1974</f>
        <v>-46.6</v>
      </c>
      <c r="AC1974" s="15" t="s">
        <v>131</v>
      </c>
      <c r="AD1974" s="15" t="s">
        <v>130</v>
      </c>
      <c r="AE1974" s="15" t="s">
        <v>180</v>
      </c>
      <c r="AF1974" s="12">
        <f>IF(AG1974="Rejected",0,IF(R1974="Corporate Card",0,V1974))</f>
        <v>53.4</v>
      </c>
      <c r="AG1974" s="15" t="s">
        <v>133</v>
      </c>
      <c r="AH1974" s="16">
        <v>45898</v>
      </c>
      <c r="AI1974" s="16">
        <v>45906</v>
      </c>
      <c r="AJ1974" s="16">
        <v>45908</v>
      </c>
      <c r="AK1974" s="17">
        <f>IF(AJ1974="","",AJ1974-AH1974)</f>
        <v>10</v>
      </c>
    </row>
    <row r="1975" spans="1:37">
      <c r="A1975" s="2" t="s">
        <v>2439</v>
      </c>
      <c r="B1975" s="2" t="s">
        <v>882</v>
      </c>
      <c r="C1975" s="2" t="s">
        <v>446</v>
      </c>
      <c r="D1975" s="2" t="s">
        <v>444</v>
      </c>
      <c r="E1975" s="2" t="s">
        <v>883</v>
      </c>
      <c r="F1975" s="2" t="s">
        <v>313</v>
      </c>
      <c r="G1975" s="2" t="s">
        <v>2393</v>
      </c>
      <c r="H1975" s="2" t="s">
        <v>122</v>
      </c>
      <c r="I1975" s="2" t="s">
        <v>380</v>
      </c>
      <c r="J1975" s="2" t="s">
        <v>381</v>
      </c>
      <c r="K1975" s="9">
        <v>45882</v>
      </c>
      <c r="L1975" s="9">
        <v>45886</v>
      </c>
      <c r="M1975" s="9">
        <v>45885</v>
      </c>
      <c r="N1975" s="2" t="s">
        <v>2314</v>
      </c>
      <c r="O1975" s="2" t="s">
        <v>58</v>
      </c>
      <c r="P1975" s="2" t="s">
        <v>142</v>
      </c>
      <c r="Q1975" s="2" t="s">
        <v>224</v>
      </c>
      <c r="R1975" s="2" t="s">
        <v>149</v>
      </c>
      <c r="S1975" s="2" t="s">
        <v>383</v>
      </c>
      <c r="T1975" s="10">
        <v>43.89</v>
      </c>
      <c r="U1975" s="11">
        <v>1</v>
      </c>
      <c r="V1975" s="12">
        <f>T1975*U1975</f>
        <v>43.89</v>
      </c>
      <c r="W1975" s="13">
        <v>0</v>
      </c>
      <c r="X1975" s="12">
        <f>V1975-(V1975/(1+W1975))</f>
        <v>0</v>
      </c>
      <c r="Y1975" s="12">
        <f>V1975-X1975</f>
        <v>43.89</v>
      </c>
      <c r="Z1975" s="14">
        <v>60</v>
      </c>
      <c r="AA1975" s="2" t="str">
        <f>IF(V1975&gt;Z1975,"Yes","No")</f>
        <v>No</v>
      </c>
      <c r="AB1975" s="12">
        <f>V1975-Z1975</f>
        <v>-16.11</v>
      </c>
      <c r="AC1975" s="15" t="s">
        <v>130</v>
      </c>
      <c r="AD1975" s="15" t="s">
        <v>130</v>
      </c>
      <c r="AE1975" s="15" t="s">
        <v>180</v>
      </c>
      <c r="AF1975" s="12">
        <f>IF(AG1975="Rejected",0,IF(R1975="Corporate Card",0,V1975))</f>
        <v>43.89</v>
      </c>
      <c r="AG1975" s="15" t="s">
        <v>133</v>
      </c>
      <c r="AH1975" s="16">
        <v>45898</v>
      </c>
      <c r="AI1975" s="16">
        <v>45906</v>
      </c>
      <c r="AJ1975" s="16">
        <v>45908</v>
      </c>
      <c r="AK1975" s="17">
        <f>IF(AJ1975="","",AJ1975-AH1975)</f>
        <v>10</v>
      </c>
    </row>
    <row r="1976" spans="1:37">
      <c r="A1976" s="2" t="s">
        <v>2440</v>
      </c>
      <c r="B1976" s="2" t="s">
        <v>882</v>
      </c>
      <c r="C1976" s="2" t="s">
        <v>446</v>
      </c>
      <c r="D1976" s="2" t="s">
        <v>444</v>
      </c>
      <c r="E1976" s="2" t="s">
        <v>883</v>
      </c>
      <c r="F1976" s="2" t="s">
        <v>313</v>
      </c>
      <c r="G1976" s="2" t="s">
        <v>2393</v>
      </c>
      <c r="H1976" s="2" t="s">
        <v>122</v>
      </c>
      <c r="I1976" s="2" t="s">
        <v>380</v>
      </c>
      <c r="J1976" s="2" t="s">
        <v>381</v>
      </c>
      <c r="K1976" s="9">
        <v>45882</v>
      </c>
      <c r="L1976" s="9">
        <v>45886</v>
      </c>
      <c r="M1976" s="9">
        <v>45885</v>
      </c>
      <c r="N1976" s="2" t="s">
        <v>2314</v>
      </c>
      <c r="O1976" s="2" t="s">
        <v>68</v>
      </c>
      <c r="P1976" s="2" t="s">
        <v>282</v>
      </c>
      <c r="Q1976" s="2" t="s">
        <v>283</v>
      </c>
      <c r="R1976" s="2" t="s">
        <v>149</v>
      </c>
      <c r="S1976" s="2" t="s">
        <v>383</v>
      </c>
      <c r="T1976" s="10">
        <v>28.15</v>
      </c>
      <c r="U1976" s="11">
        <v>1</v>
      </c>
      <c r="V1976" s="12">
        <f>T1976*U1976</f>
        <v>28.15</v>
      </c>
      <c r="W1976" s="13">
        <v>0</v>
      </c>
      <c r="X1976" s="12">
        <f>V1976-(V1976/(1+W1976))</f>
        <v>0</v>
      </c>
      <c r="Y1976" s="12">
        <f>V1976-X1976</f>
        <v>28.15</v>
      </c>
      <c r="Z1976" s="14">
        <v>30</v>
      </c>
      <c r="AA1976" s="2" t="str">
        <f>IF(V1976&gt;Z1976,"Yes","No")</f>
        <v>No</v>
      </c>
      <c r="AB1976" s="12">
        <f>V1976-Z1976</f>
        <v>-1.8500000000000014</v>
      </c>
      <c r="AC1976" s="15" t="s">
        <v>130</v>
      </c>
      <c r="AD1976" s="15" t="s">
        <v>130</v>
      </c>
      <c r="AE1976" s="15" t="s">
        <v>180</v>
      </c>
      <c r="AF1976" s="12">
        <f>IF(AG1976="Rejected",0,IF(R1976="Corporate Card",0,V1976))</f>
        <v>28.15</v>
      </c>
      <c r="AG1976" s="15" t="s">
        <v>133</v>
      </c>
      <c r="AH1976" s="16">
        <v>45898</v>
      </c>
      <c r="AI1976" s="16">
        <v>45906</v>
      </c>
      <c r="AJ1976" s="16">
        <v>45908</v>
      </c>
      <c r="AK1976" s="17">
        <f>IF(AJ1976="","",AJ1976-AH1976)</f>
        <v>10</v>
      </c>
    </row>
    <row r="1977" spans="1:37">
      <c r="A1977" s="2" t="s">
        <v>2441</v>
      </c>
      <c r="B1977" s="2" t="s">
        <v>882</v>
      </c>
      <c r="C1977" s="2" t="s">
        <v>446</v>
      </c>
      <c r="D1977" s="2" t="s">
        <v>444</v>
      </c>
      <c r="E1977" s="2" t="s">
        <v>883</v>
      </c>
      <c r="F1977" s="2" t="s">
        <v>313</v>
      </c>
      <c r="G1977" s="2" t="s">
        <v>2393</v>
      </c>
      <c r="H1977" s="2" t="s">
        <v>122</v>
      </c>
      <c r="I1977" s="2" t="s">
        <v>380</v>
      </c>
      <c r="J1977" s="2" t="s">
        <v>381</v>
      </c>
      <c r="K1977" s="9">
        <v>45882</v>
      </c>
      <c r="L1977" s="9">
        <v>45886</v>
      </c>
      <c r="M1977" s="9">
        <v>45885</v>
      </c>
      <c r="N1977" s="2" t="s">
        <v>2314</v>
      </c>
      <c r="O1977" s="2" t="s">
        <v>55</v>
      </c>
      <c r="P1977" s="2" t="s">
        <v>139</v>
      </c>
      <c r="Q1977" s="2" t="s">
        <v>161</v>
      </c>
      <c r="R1977" s="2" t="s">
        <v>149</v>
      </c>
      <c r="S1977" s="2" t="s">
        <v>383</v>
      </c>
      <c r="T1977" s="10">
        <v>30.24</v>
      </c>
      <c r="U1977" s="11">
        <v>1</v>
      </c>
      <c r="V1977" s="12">
        <f>T1977*U1977</f>
        <v>30.24</v>
      </c>
      <c r="W1977" s="13">
        <v>0</v>
      </c>
      <c r="X1977" s="12">
        <f>V1977-(V1977/(1+W1977))</f>
        <v>0</v>
      </c>
      <c r="Y1977" s="12">
        <f>V1977-X1977</f>
        <v>30.24</v>
      </c>
      <c r="Z1977" s="14">
        <v>35</v>
      </c>
      <c r="AA1977" s="2" t="str">
        <f>IF(V1977&gt;Z1977,"Yes","No")</f>
        <v>No</v>
      </c>
      <c r="AB1977" s="12">
        <f>V1977-Z1977</f>
        <v>-4.7600000000000016</v>
      </c>
      <c r="AC1977" s="15" t="s">
        <v>130</v>
      </c>
      <c r="AD1977" s="15" t="s">
        <v>130</v>
      </c>
      <c r="AE1977" s="15" t="s">
        <v>180</v>
      </c>
      <c r="AF1977" s="12">
        <f>IF(AG1977="Rejected",0,IF(R1977="Corporate Card",0,V1977))</f>
        <v>30.24</v>
      </c>
      <c r="AG1977" s="15" t="s">
        <v>133</v>
      </c>
      <c r="AH1977" s="16">
        <v>45898</v>
      </c>
      <c r="AI1977" s="16">
        <v>45906</v>
      </c>
      <c r="AJ1977" s="16">
        <v>45908</v>
      </c>
      <c r="AK1977" s="17">
        <f>IF(AJ1977="","",AJ1977-AH1977)</f>
        <v>10</v>
      </c>
    </row>
    <row r="1978" spans="1:37">
      <c r="A1978" s="2" t="s">
        <v>2442</v>
      </c>
      <c r="B1978" s="2" t="s">
        <v>2399</v>
      </c>
      <c r="C1978" s="2" t="s">
        <v>120</v>
      </c>
      <c r="D1978" s="2" t="s">
        <v>118</v>
      </c>
      <c r="E1978" s="2" t="s">
        <v>2400</v>
      </c>
      <c r="F1978" s="2" t="s">
        <v>311</v>
      </c>
      <c r="G1978" s="2" t="s">
        <v>2401</v>
      </c>
      <c r="H1978" s="2" t="s">
        <v>448</v>
      </c>
      <c r="I1978" s="2" t="s">
        <v>749</v>
      </c>
      <c r="J1978" s="2" t="s">
        <v>750</v>
      </c>
      <c r="K1978" s="9">
        <v>45882</v>
      </c>
      <c r="L1978" s="9">
        <v>45889</v>
      </c>
      <c r="M1978" s="9">
        <v>45885</v>
      </c>
      <c r="N1978" s="2" t="s">
        <v>2314</v>
      </c>
      <c r="O1978" s="2" t="s">
        <v>68</v>
      </c>
      <c r="P1978" s="2" t="s">
        <v>282</v>
      </c>
      <c r="Q1978" s="2" t="s">
        <v>283</v>
      </c>
      <c r="R1978" s="2" t="s">
        <v>137</v>
      </c>
      <c r="S1978" s="2" t="s">
        <v>198</v>
      </c>
      <c r="T1978" s="10">
        <v>13.76</v>
      </c>
      <c r="U1978" s="11">
        <v>1.085</v>
      </c>
      <c r="V1978" s="12">
        <f>T1978*U1978</f>
        <v>14.929599999999999</v>
      </c>
      <c r="W1978" s="13">
        <v>0.19</v>
      </c>
      <c r="X1978" s="12">
        <f>V1978-(V1978/(1+W1978))</f>
        <v>2.3837176470588233</v>
      </c>
      <c r="Y1978" s="12">
        <f>V1978-X1978</f>
        <v>12.545882352941176</v>
      </c>
      <c r="Z1978" s="14">
        <v>30</v>
      </c>
      <c r="AA1978" s="2" t="str">
        <f>IF(V1978&gt;Z1978,"Yes","No")</f>
        <v>No</v>
      </c>
      <c r="AB1978" s="12">
        <f>V1978-Z1978</f>
        <v>-15.070400000000001</v>
      </c>
      <c r="AC1978" s="15" t="s">
        <v>130</v>
      </c>
      <c r="AD1978" s="15" t="s">
        <v>130</v>
      </c>
      <c r="AE1978" s="15" t="s">
        <v>421</v>
      </c>
      <c r="AF1978" s="12">
        <f>IF(AG1978="Rejected",0,IF(R1978="Corporate Card",0,V1978))</f>
        <v>14.929599999999999</v>
      </c>
      <c r="AG1978" s="15" t="s">
        <v>133</v>
      </c>
      <c r="AH1978" s="16">
        <v>45899</v>
      </c>
      <c r="AI1978" s="16">
        <v>45904</v>
      </c>
      <c r="AJ1978" s="16">
        <v>45913</v>
      </c>
      <c r="AK1978" s="17">
        <f>IF(AJ1978="","",AJ1978-AH1978)</f>
        <v>14</v>
      </c>
    </row>
    <row r="1979" spans="1:37">
      <c r="A1979" s="2" t="s">
        <v>2443</v>
      </c>
      <c r="B1979" s="2" t="s">
        <v>2399</v>
      </c>
      <c r="C1979" s="2" t="s">
        <v>120</v>
      </c>
      <c r="D1979" s="2" t="s">
        <v>118</v>
      </c>
      <c r="E1979" s="2" t="s">
        <v>2400</v>
      </c>
      <c r="F1979" s="2" t="s">
        <v>311</v>
      </c>
      <c r="G1979" s="2" t="s">
        <v>2401</v>
      </c>
      <c r="H1979" s="2" t="s">
        <v>448</v>
      </c>
      <c r="I1979" s="2" t="s">
        <v>749</v>
      </c>
      <c r="J1979" s="2" t="s">
        <v>750</v>
      </c>
      <c r="K1979" s="9">
        <v>45882</v>
      </c>
      <c r="L1979" s="9">
        <v>45889</v>
      </c>
      <c r="M1979" s="9">
        <v>45885</v>
      </c>
      <c r="N1979" s="2" t="s">
        <v>2314</v>
      </c>
      <c r="O1979" s="2" t="s">
        <v>56</v>
      </c>
      <c r="P1979" s="2" t="s">
        <v>245</v>
      </c>
      <c r="Q1979" s="2" t="s">
        <v>227</v>
      </c>
      <c r="R1979" s="2" t="s">
        <v>137</v>
      </c>
      <c r="S1979" s="2" t="s">
        <v>198</v>
      </c>
      <c r="T1979" s="10">
        <v>65.959999999999994</v>
      </c>
      <c r="U1979" s="11">
        <v>1.085</v>
      </c>
      <c r="V1979" s="12">
        <f>T1979*U1979</f>
        <v>71.566599999999994</v>
      </c>
      <c r="W1979" s="13">
        <v>0.19</v>
      </c>
      <c r="X1979" s="12">
        <f>V1979-(V1979/(1+W1979))</f>
        <v>11.426599999999993</v>
      </c>
      <c r="Y1979" s="12">
        <f>V1979-X1979</f>
        <v>60.14</v>
      </c>
      <c r="Z1979" s="14">
        <v>75</v>
      </c>
      <c r="AA1979" s="2" t="str">
        <f>IF(V1979&gt;Z1979,"Yes","No")</f>
        <v>No</v>
      </c>
      <c r="AB1979" s="12">
        <f>V1979-Z1979</f>
        <v>-3.433400000000006</v>
      </c>
      <c r="AC1979" s="15" t="s">
        <v>130</v>
      </c>
      <c r="AD1979" s="15" t="s">
        <v>130</v>
      </c>
      <c r="AE1979" s="15" t="s">
        <v>421</v>
      </c>
      <c r="AF1979" s="12">
        <f>IF(AG1979="Rejected",0,IF(R1979="Corporate Card",0,V1979))</f>
        <v>71.566599999999994</v>
      </c>
      <c r="AG1979" s="15" t="s">
        <v>133</v>
      </c>
      <c r="AH1979" s="16">
        <v>45899</v>
      </c>
      <c r="AI1979" s="16">
        <v>45904</v>
      </c>
      <c r="AJ1979" s="16">
        <v>45913</v>
      </c>
      <c r="AK1979" s="17">
        <f>IF(AJ1979="","",AJ1979-AH1979)</f>
        <v>14</v>
      </c>
    </row>
    <row r="1980" spans="1:37">
      <c r="A1980" s="2" t="s">
        <v>2444</v>
      </c>
      <c r="B1980" s="2" t="s">
        <v>2399</v>
      </c>
      <c r="C1980" s="2" t="s">
        <v>120</v>
      </c>
      <c r="D1980" s="2" t="s">
        <v>118</v>
      </c>
      <c r="E1980" s="2" t="s">
        <v>2400</v>
      </c>
      <c r="F1980" s="2" t="s">
        <v>311</v>
      </c>
      <c r="G1980" s="2" t="s">
        <v>2401</v>
      </c>
      <c r="H1980" s="2" t="s">
        <v>448</v>
      </c>
      <c r="I1980" s="2" t="s">
        <v>749</v>
      </c>
      <c r="J1980" s="2" t="s">
        <v>750</v>
      </c>
      <c r="K1980" s="9">
        <v>45882</v>
      </c>
      <c r="L1980" s="9">
        <v>45889</v>
      </c>
      <c r="M1980" s="9">
        <v>45885</v>
      </c>
      <c r="N1980" s="2" t="s">
        <v>2314</v>
      </c>
      <c r="O1980" s="2" t="s">
        <v>55</v>
      </c>
      <c r="P1980" s="2" t="s">
        <v>139</v>
      </c>
      <c r="Q1980" s="2" t="s">
        <v>154</v>
      </c>
      <c r="R1980" s="2" t="s">
        <v>128</v>
      </c>
      <c r="S1980" s="2" t="s">
        <v>198</v>
      </c>
      <c r="T1980" s="10">
        <v>22.77</v>
      </c>
      <c r="U1980" s="11">
        <v>1.085</v>
      </c>
      <c r="V1980" s="12">
        <f>T1980*U1980</f>
        <v>24.705449999999999</v>
      </c>
      <c r="W1980" s="13">
        <v>0.19</v>
      </c>
      <c r="X1980" s="12">
        <f>V1980-(V1980/(1+W1980))</f>
        <v>3.9445676470588218</v>
      </c>
      <c r="Y1980" s="12">
        <f>V1980-X1980</f>
        <v>20.760882352941177</v>
      </c>
      <c r="Z1980" s="14">
        <v>35</v>
      </c>
      <c r="AA1980" s="2" t="str">
        <f>IF(V1980&gt;Z1980,"Yes","No")</f>
        <v>No</v>
      </c>
      <c r="AB1980" s="12">
        <f>V1980-Z1980</f>
        <v>-10.294550000000001</v>
      </c>
      <c r="AC1980" s="15" t="s">
        <v>130</v>
      </c>
      <c r="AD1980" s="15" t="s">
        <v>130</v>
      </c>
      <c r="AE1980" s="15" t="s">
        <v>421</v>
      </c>
      <c r="AF1980" s="12">
        <f>IF(AG1980="Rejected",0,IF(R1980="Corporate Card",0,V1980))</f>
        <v>0</v>
      </c>
      <c r="AG1980" s="15" t="s">
        <v>133</v>
      </c>
      <c r="AH1980" s="16">
        <v>45899</v>
      </c>
      <c r="AI1980" s="16">
        <v>45904</v>
      </c>
      <c r="AJ1980" s="16">
        <v>45913</v>
      </c>
      <c r="AK1980" s="17">
        <f>IF(AJ1980="","",AJ1980-AH1980)</f>
        <v>14</v>
      </c>
    </row>
    <row r="1981" spans="1:37">
      <c r="A1981" s="2" t="s">
        <v>2445</v>
      </c>
      <c r="B1981" s="2" t="s">
        <v>509</v>
      </c>
      <c r="C1981" s="2" t="s">
        <v>510</v>
      </c>
      <c r="D1981" s="2" t="s">
        <v>250</v>
      </c>
      <c r="E1981" s="2" t="s">
        <v>511</v>
      </c>
      <c r="F1981" s="2" t="s">
        <v>313</v>
      </c>
      <c r="G1981" s="2" t="s">
        <v>2446</v>
      </c>
      <c r="H1981" s="2" t="s">
        <v>379</v>
      </c>
      <c r="I1981" s="2" t="s">
        <v>553</v>
      </c>
      <c r="J1981" s="2" t="s">
        <v>553</v>
      </c>
      <c r="K1981" s="9">
        <v>45885</v>
      </c>
      <c r="L1981" s="9">
        <v>45888</v>
      </c>
      <c r="M1981" s="9">
        <v>45885</v>
      </c>
      <c r="N1981" s="2" t="s">
        <v>2314</v>
      </c>
      <c r="O1981" s="2" t="s">
        <v>52</v>
      </c>
      <c r="P1981" s="2" t="s">
        <v>554</v>
      </c>
      <c r="Q1981" s="2" t="s">
        <v>349</v>
      </c>
      <c r="R1981" s="2" t="s">
        <v>128</v>
      </c>
      <c r="S1981" s="2" t="s">
        <v>555</v>
      </c>
      <c r="T1981" s="10">
        <v>1668.82</v>
      </c>
      <c r="U1981" s="11">
        <v>0.74299999999999999</v>
      </c>
      <c r="V1981" s="12">
        <f>T1981*U1981</f>
        <v>1239.93326</v>
      </c>
      <c r="W1981" s="13">
        <v>0</v>
      </c>
      <c r="X1981" s="12">
        <f>V1981-(V1981/(1+W1981))</f>
        <v>0</v>
      </c>
      <c r="Y1981" s="12">
        <f>V1981-X1981</f>
        <v>1239.93326</v>
      </c>
      <c r="Z1981" s="14">
        <v>1400</v>
      </c>
      <c r="AA1981" s="2" t="str">
        <f>IF(V1981&gt;Z1981,"Yes","No")</f>
        <v>No</v>
      </c>
      <c r="AB1981" s="12">
        <f>V1981-Z1981</f>
        <v>-160.06673999999998</v>
      </c>
      <c r="AC1981" s="15" t="s">
        <v>131</v>
      </c>
      <c r="AD1981" s="15" t="s">
        <v>130</v>
      </c>
      <c r="AE1981" s="15" t="s">
        <v>260</v>
      </c>
      <c r="AF1981" s="12">
        <f>IF(AG1981="Rejected",0,IF(R1981="Corporate Card",0,V1981))</f>
        <v>0</v>
      </c>
      <c r="AG1981" s="15" t="s">
        <v>133</v>
      </c>
      <c r="AH1981" s="16">
        <v>45897</v>
      </c>
      <c r="AI1981" s="16">
        <v>45903</v>
      </c>
      <c r="AJ1981" s="16">
        <v>45909</v>
      </c>
      <c r="AK1981" s="17">
        <f>IF(AJ1981="","",AJ1981-AH1981)</f>
        <v>12</v>
      </c>
    </row>
    <row r="1982" spans="1:37">
      <c r="A1982" s="2" t="s">
        <v>2447</v>
      </c>
      <c r="B1982" s="2" t="s">
        <v>509</v>
      </c>
      <c r="C1982" s="2" t="s">
        <v>510</v>
      </c>
      <c r="D1982" s="2" t="s">
        <v>250</v>
      </c>
      <c r="E1982" s="2" t="s">
        <v>511</v>
      </c>
      <c r="F1982" s="2" t="s">
        <v>313</v>
      </c>
      <c r="G1982" s="2" t="s">
        <v>2446</v>
      </c>
      <c r="H1982" s="2" t="s">
        <v>379</v>
      </c>
      <c r="I1982" s="2" t="s">
        <v>553</v>
      </c>
      <c r="J1982" s="2" t="s">
        <v>553</v>
      </c>
      <c r="K1982" s="9">
        <v>45885</v>
      </c>
      <c r="L1982" s="9">
        <v>45888</v>
      </c>
      <c r="M1982" s="9">
        <v>45885</v>
      </c>
      <c r="N1982" s="2" t="s">
        <v>2314</v>
      </c>
      <c r="O1982" s="2" t="s">
        <v>56</v>
      </c>
      <c r="P1982" s="2" t="s">
        <v>165</v>
      </c>
      <c r="Q1982" s="2" t="s">
        <v>166</v>
      </c>
      <c r="R1982" s="2" t="s">
        <v>137</v>
      </c>
      <c r="S1982" s="2" t="s">
        <v>555</v>
      </c>
      <c r="T1982" s="10">
        <v>78.37</v>
      </c>
      <c r="U1982" s="11">
        <v>0.74299999999999999</v>
      </c>
      <c r="V1982" s="12">
        <f>T1982*U1982</f>
        <v>58.228910000000006</v>
      </c>
      <c r="W1982" s="13">
        <v>0.09</v>
      </c>
      <c r="X1982" s="12">
        <f>V1982-(V1982/(1+W1982))</f>
        <v>4.8078916513761527</v>
      </c>
      <c r="Y1982" s="12">
        <f>V1982-X1982</f>
        <v>53.421018348623853</v>
      </c>
      <c r="Z1982" s="14">
        <v>75</v>
      </c>
      <c r="AA1982" s="2" t="str">
        <f>IF(V1982&gt;Z1982,"Yes","No")</f>
        <v>No</v>
      </c>
      <c r="AB1982" s="12">
        <f>V1982-Z1982</f>
        <v>-16.771089999999994</v>
      </c>
      <c r="AC1982" s="15" t="s">
        <v>130</v>
      </c>
      <c r="AD1982" s="15" t="s">
        <v>130</v>
      </c>
      <c r="AE1982" s="15" t="s">
        <v>260</v>
      </c>
      <c r="AF1982" s="12">
        <f>IF(AG1982="Rejected",0,IF(R1982="Corporate Card",0,V1982))</f>
        <v>58.228910000000006</v>
      </c>
      <c r="AG1982" s="15" t="s">
        <v>133</v>
      </c>
      <c r="AH1982" s="16">
        <v>45897</v>
      </c>
      <c r="AI1982" s="16">
        <v>45903</v>
      </c>
      <c r="AJ1982" s="16">
        <v>45909</v>
      </c>
      <c r="AK1982" s="17">
        <f>IF(AJ1982="","",AJ1982-AH1982)</f>
        <v>12</v>
      </c>
    </row>
    <row r="1983" spans="1:37">
      <c r="A1983" s="2" t="s">
        <v>2448</v>
      </c>
      <c r="B1983" s="2" t="s">
        <v>509</v>
      </c>
      <c r="C1983" s="2" t="s">
        <v>510</v>
      </c>
      <c r="D1983" s="2" t="s">
        <v>250</v>
      </c>
      <c r="E1983" s="2" t="s">
        <v>511</v>
      </c>
      <c r="F1983" s="2" t="s">
        <v>313</v>
      </c>
      <c r="G1983" s="2" t="s">
        <v>2446</v>
      </c>
      <c r="H1983" s="2" t="s">
        <v>379</v>
      </c>
      <c r="I1983" s="2" t="s">
        <v>553</v>
      </c>
      <c r="J1983" s="2" t="s">
        <v>553</v>
      </c>
      <c r="K1983" s="9">
        <v>45885</v>
      </c>
      <c r="L1983" s="9">
        <v>45888</v>
      </c>
      <c r="M1983" s="9">
        <v>45885</v>
      </c>
      <c r="N1983" s="2" t="s">
        <v>2314</v>
      </c>
      <c r="O1983" s="2" t="s">
        <v>55</v>
      </c>
      <c r="P1983" s="2" t="s">
        <v>139</v>
      </c>
      <c r="Q1983" s="2" t="s">
        <v>154</v>
      </c>
      <c r="R1983" s="2" t="s">
        <v>137</v>
      </c>
      <c r="S1983" s="2" t="s">
        <v>555</v>
      </c>
      <c r="T1983" s="10">
        <v>40.659999999999997</v>
      </c>
      <c r="U1983" s="11">
        <v>0.74299999999999999</v>
      </c>
      <c r="V1983" s="12">
        <f>T1983*U1983</f>
        <v>30.210379999999997</v>
      </c>
      <c r="W1983" s="13">
        <v>0.09</v>
      </c>
      <c r="X1983" s="12">
        <f>V1983-(V1983/(1+W1983))</f>
        <v>2.4944350458715618</v>
      </c>
      <c r="Y1983" s="12">
        <f>V1983-X1983</f>
        <v>27.715944954128435</v>
      </c>
      <c r="Z1983" s="14">
        <v>35</v>
      </c>
      <c r="AA1983" s="2" t="str">
        <f>IF(V1983&gt;Z1983,"Yes","No")</f>
        <v>No</v>
      </c>
      <c r="AB1983" s="12">
        <f>V1983-Z1983</f>
        <v>-4.7896200000000029</v>
      </c>
      <c r="AC1983" s="15" t="s">
        <v>130</v>
      </c>
      <c r="AD1983" s="15" t="s">
        <v>130</v>
      </c>
      <c r="AE1983" s="15" t="s">
        <v>260</v>
      </c>
      <c r="AF1983" s="12">
        <f>IF(AG1983="Rejected",0,IF(R1983="Corporate Card",0,V1983))</f>
        <v>30.210379999999997</v>
      </c>
      <c r="AG1983" s="15" t="s">
        <v>133</v>
      </c>
      <c r="AH1983" s="16">
        <v>45897</v>
      </c>
      <c r="AI1983" s="16">
        <v>45903</v>
      </c>
      <c r="AJ1983" s="16">
        <v>45909</v>
      </c>
      <c r="AK1983" s="17">
        <f>IF(AJ1983="","",AJ1983-AH1983)</f>
        <v>12</v>
      </c>
    </row>
    <row r="1984" spans="1:37">
      <c r="A1984" s="2" t="s">
        <v>2449</v>
      </c>
      <c r="B1984" s="2" t="s">
        <v>116</v>
      </c>
      <c r="C1984" s="2" t="s">
        <v>117</v>
      </c>
      <c r="D1984" s="2" t="s">
        <v>118</v>
      </c>
      <c r="E1984" s="2" t="s">
        <v>119</v>
      </c>
      <c r="F1984" s="2" t="s">
        <v>120</v>
      </c>
      <c r="G1984" s="2" t="s">
        <v>2433</v>
      </c>
      <c r="H1984" s="2" t="s">
        <v>193</v>
      </c>
      <c r="I1984" s="2" t="s">
        <v>418</v>
      </c>
      <c r="J1984" s="2" t="s">
        <v>381</v>
      </c>
      <c r="K1984" s="9">
        <v>45884</v>
      </c>
      <c r="L1984" s="9">
        <v>45886</v>
      </c>
      <c r="M1984" s="9">
        <v>45885</v>
      </c>
      <c r="N1984" s="2" t="s">
        <v>2314</v>
      </c>
      <c r="O1984" s="2" t="s">
        <v>67</v>
      </c>
      <c r="P1984" s="2" t="s">
        <v>401</v>
      </c>
      <c r="Q1984" s="2" t="s">
        <v>574</v>
      </c>
      <c r="R1984" s="2" t="s">
        <v>128</v>
      </c>
      <c r="S1984" s="2" t="s">
        <v>383</v>
      </c>
      <c r="T1984" s="10">
        <v>65.31</v>
      </c>
      <c r="U1984" s="11">
        <v>1</v>
      </c>
      <c r="V1984" s="12">
        <f>T1984*U1984</f>
        <v>65.31</v>
      </c>
      <c r="W1984" s="13">
        <v>0</v>
      </c>
      <c r="X1984" s="12">
        <f>V1984-(V1984/(1+W1984))</f>
        <v>0</v>
      </c>
      <c r="Y1984" s="12">
        <f>V1984-X1984</f>
        <v>65.31</v>
      </c>
      <c r="Z1984" s="14">
        <v>100</v>
      </c>
      <c r="AA1984" s="2" t="str">
        <f>IF(V1984&gt;Z1984,"Yes","No")</f>
        <v>No</v>
      </c>
      <c r="AB1984" s="12">
        <f>V1984-Z1984</f>
        <v>-34.69</v>
      </c>
      <c r="AC1984" s="15" t="s">
        <v>130</v>
      </c>
      <c r="AD1984" s="15" t="s">
        <v>130</v>
      </c>
      <c r="AE1984" s="15" t="s">
        <v>180</v>
      </c>
      <c r="AF1984" s="12">
        <f>IF(AG1984="Rejected",0,IF(R1984="Corporate Card",0,V1984))</f>
        <v>0</v>
      </c>
      <c r="AG1984" s="15" t="s">
        <v>133</v>
      </c>
      <c r="AH1984" s="16">
        <v>45887</v>
      </c>
      <c r="AI1984" s="16">
        <v>45894</v>
      </c>
      <c r="AJ1984" s="16">
        <v>45906</v>
      </c>
      <c r="AK1984" s="17">
        <f>IF(AJ1984="","",AJ1984-AH1984)</f>
        <v>19</v>
      </c>
    </row>
    <row r="1985" spans="1:37">
      <c r="A1985" s="2" t="s">
        <v>2450</v>
      </c>
      <c r="B1985" s="2" t="s">
        <v>116</v>
      </c>
      <c r="C1985" s="2" t="s">
        <v>117</v>
      </c>
      <c r="D1985" s="2" t="s">
        <v>118</v>
      </c>
      <c r="E1985" s="2" t="s">
        <v>119</v>
      </c>
      <c r="F1985" s="2" t="s">
        <v>120</v>
      </c>
      <c r="G1985" s="2" t="s">
        <v>2433</v>
      </c>
      <c r="H1985" s="2" t="s">
        <v>193</v>
      </c>
      <c r="I1985" s="2" t="s">
        <v>418</v>
      </c>
      <c r="J1985" s="2" t="s">
        <v>381</v>
      </c>
      <c r="K1985" s="9">
        <v>45884</v>
      </c>
      <c r="L1985" s="9">
        <v>45886</v>
      </c>
      <c r="M1985" s="9">
        <v>45885</v>
      </c>
      <c r="N1985" s="2" t="s">
        <v>2314</v>
      </c>
      <c r="O1985" s="2" t="s">
        <v>58</v>
      </c>
      <c r="P1985" s="2" t="s">
        <v>142</v>
      </c>
      <c r="Q1985" s="2" t="s">
        <v>203</v>
      </c>
      <c r="R1985" s="2" t="s">
        <v>128</v>
      </c>
      <c r="S1985" s="2" t="s">
        <v>383</v>
      </c>
      <c r="T1985" s="10">
        <v>48.03</v>
      </c>
      <c r="U1985" s="11">
        <v>1</v>
      </c>
      <c r="V1985" s="12">
        <f>T1985*U1985</f>
        <v>48.03</v>
      </c>
      <c r="W1985" s="13">
        <v>0</v>
      </c>
      <c r="X1985" s="12">
        <f>V1985-(V1985/(1+W1985))</f>
        <v>0</v>
      </c>
      <c r="Y1985" s="12">
        <f>V1985-X1985</f>
        <v>48.03</v>
      </c>
      <c r="Z1985" s="14">
        <v>60</v>
      </c>
      <c r="AA1985" s="2" t="str">
        <f>IF(V1985&gt;Z1985,"Yes","No")</f>
        <v>No</v>
      </c>
      <c r="AB1985" s="12">
        <f>V1985-Z1985</f>
        <v>-11.969999999999999</v>
      </c>
      <c r="AC1985" s="15" t="s">
        <v>131</v>
      </c>
      <c r="AD1985" s="15" t="s">
        <v>130</v>
      </c>
      <c r="AE1985" s="15" t="s">
        <v>180</v>
      </c>
      <c r="AF1985" s="12">
        <f>IF(AG1985="Rejected",0,IF(R1985="Corporate Card",0,V1985))</f>
        <v>0</v>
      </c>
      <c r="AG1985" s="15" t="s">
        <v>133</v>
      </c>
      <c r="AH1985" s="16">
        <v>45887</v>
      </c>
      <c r="AI1985" s="16">
        <v>45894</v>
      </c>
      <c r="AJ1985" s="16">
        <v>45906</v>
      </c>
      <c r="AK1985" s="17">
        <f>IF(AJ1985="","",AJ1985-AH1985)</f>
        <v>19</v>
      </c>
    </row>
    <row r="1986" spans="1:37">
      <c r="A1986" s="2" t="s">
        <v>2451</v>
      </c>
      <c r="B1986" s="2" t="s">
        <v>116</v>
      </c>
      <c r="C1986" s="2" t="s">
        <v>117</v>
      </c>
      <c r="D1986" s="2" t="s">
        <v>118</v>
      </c>
      <c r="E1986" s="2" t="s">
        <v>119</v>
      </c>
      <c r="F1986" s="2" t="s">
        <v>120</v>
      </c>
      <c r="G1986" s="2" t="s">
        <v>2433</v>
      </c>
      <c r="H1986" s="2" t="s">
        <v>193</v>
      </c>
      <c r="I1986" s="2" t="s">
        <v>418</v>
      </c>
      <c r="J1986" s="2" t="s">
        <v>381</v>
      </c>
      <c r="K1986" s="9">
        <v>45884</v>
      </c>
      <c r="L1986" s="9">
        <v>45886</v>
      </c>
      <c r="M1986" s="9">
        <v>45885</v>
      </c>
      <c r="N1986" s="2" t="s">
        <v>2314</v>
      </c>
      <c r="O1986" s="2" t="s">
        <v>53</v>
      </c>
      <c r="P1986" s="2" t="s">
        <v>362</v>
      </c>
      <c r="Q1986" s="2" t="s">
        <v>146</v>
      </c>
      <c r="R1986" s="2" t="s">
        <v>137</v>
      </c>
      <c r="S1986" s="2" t="s">
        <v>383</v>
      </c>
      <c r="T1986" s="10">
        <v>325.35000000000002</v>
      </c>
      <c r="U1986" s="11">
        <v>1</v>
      </c>
      <c r="V1986" s="12">
        <f>T1986*U1986</f>
        <v>325.35000000000002</v>
      </c>
      <c r="W1986" s="13">
        <v>0</v>
      </c>
      <c r="X1986" s="12">
        <f>V1986-(V1986/(1+W1986))</f>
        <v>0</v>
      </c>
      <c r="Y1986" s="12">
        <f>V1986-X1986</f>
        <v>325.35000000000002</v>
      </c>
      <c r="Z1986" s="14">
        <v>560</v>
      </c>
      <c r="AA1986" s="2" t="str">
        <f>IF(V1986&gt;Z1986,"Yes","No")</f>
        <v>No</v>
      </c>
      <c r="AB1986" s="12">
        <f>V1986-Z1986</f>
        <v>-234.64999999999998</v>
      </c>
      <c r="AC1986" s="15" t="s">
        <v>130</v>
      </c>
      <c r="AD1986" s="15" t="s">
        <v>130</v>
      </c>
      <c r="AE1986" s="15" t="s">
        <v>180</v>
      </c>
      <c r="AF1986" s="12">
        <f>IF(AG1986="Rejected",0,IF(R1986="Corporate Card",0,V1986))</f>
        <v>325.35000000000002</v>
      </c>
      <c r="AG1986" s="15" t="s">
        <v>133</v>
      </c>
      <c r="AH1986" s="16">
        <v>45887</v>
      </c>
      <c r="AI1986" s="16">
        <v>45894</v>
      </c>
      <c r="AJ1986" s="16">
        <v>45906</v>
      </c>
      <c r="AK1986" s="17">
        <f>IF(AJ1986="","",AJ1986-AH1986)</f>
        <v>19</v>
      </c>
    </row>
    <row r="1987" spans="1:37">
      <c r="A1987" s="2" t="s">
        <v>2452</v>
      </c>
      <c r="B1987" s="2" t="s">
        <v>116</v>
      </c>
      <c r="C1987" s="2" t="s">
        <v>117</v>
      </c>
      <c r="D1987" s="2" t="s">
        <v>118</v>
      </c>
      <c r="E1987" s="2" t="s">
        <v>119</v>
      </c>
      <c r="F1987" s="2" t="s">
        <v>120</v>
      </c>
      <c r="G1987" s="2" t="s">
        <v>2433</v>
      </c>
      <c r="H1987" s="2" t="s">
        <v>193</v>
      </c>
      <c r="I1987" s="2" t="s">
        <v>418</v>
      </c>
      <c r="J1987" s="2" t="s">
        <v>381</v>
      </c>
      <c r="K1987" s="9">
        <v>45884</v>
      </c>
      <c r="L1987" s="9">
        <v>45886</v>
      </c>
      <c r="M1987" s="9">
        <v>45885</v>
      </c>
      <c r="N1987" s="2" t="s">
        <v>2314</v>
      </c>
      <c r="O1987" s="2" t="s">
        <v>56</v>
      </c>
      <c r="P1987" s="2" t="s">
        <v>231</v>
      </c>
      <c r="Q1987" s="2" t="s">
        <v>159</v>
      </c>
      <c r="R1987" s="2" t="s">
        <v>149</v>
      </c>
      <c r="S1987" s="2" t="s">
        <v>383</v>
      </c>
      <c r="T1987" s="10">
        <v>49.01</v>
      </c>
      <c r="U1987" s="11">
        <v>1</v>
      </c>
      <c r="V1987" s="12">
        <f>T1987*U1987</f>
        <v>49.01</v>
      </c>
      <c r="W1987" s="13">
        <v>0</v>
      </c>
      <c r="X1987" s="12">
        <f>V1987-(V1987/(1+W1987))</f>
        <v>0</v>
      </c>
      <c r="Y1987" s="12">
        <f>V1987-X1987</f>
        <v>49.01</v>
      </c>
      <c r="Z1987" s="14">
        <v>75</v>
      </c>
      <c r="AA1987" s="2" t="str">
        <f>IF(V1987&gt;Z1987,"Yes","No")</f>
        <v>No</v>
      </c>
      <c r="AB1987" s="12">
        <f>V1987-Z1987</f>
        <v>-25.990000000000002</v>
      </c>
      <c r="AC1987" s="15" t="s">
        <v>130</v>
      </c>
      <c r="AD1987" s="15" t="s">
        <v>130</v>
      </c>
      <c r="AE1987" s="15" t="s">
        <v>180</v>
      </c>
      <c r="AF1987" s="12">
        <f>IF(AG1987="Rejected",0,IF(R1987="Corporate Card",0,V1987))</f>
        <v>49.01</v>
      </c>
      <c r="AG1987" s="15" t="s">
        <v>133</v>
      </c>
      <c r="AH1987" s="16">
        <v>45887</v>
      </c>
      <c r="AI1987" s="16">
        <v>45894</v>
      </c>
      <c r="AJ1987" s="16">
        <v>45906</v>
      </c>
      <c r="AK1987" s="17">
        <f>IF(AJ1987="","",AJ1987-AH1987)</f>
        <v>19</v>
      </c>
    </row>
    <row r="1988" spans="1:37">
      <c r="A1988" s="2" t="s">
        <v>2453</v>
      </c>
      <c r="B1988" s="2" t="s">
        <v>116</v>
      </c>
      <c r="C1988" s="2" t="s">
        <v>117</v>
      </c>
      <c r="D1988" s="2" t="s">
        <v>118</v>
      </c>
      <c r="E1988" s="2" t="s">
        <v>119</v>
      </c>
      <c r="F1988" s="2" t="s">
        <v>120</v>
      </c>
      <c r="G1988" s="2" t="s">
        <v>2433</v>
      </c>
      <c r="H1988" s="2" t="s">
        <v>193</v>
      </c>
      <c r="I1988" s="2" t="s">
        <v>418</v>
      </c>
      <c r="J1988" s="2" t="s">
        <v>381</v>
      </c>
      <c r="K1988" s="9">
        <v>45884</v>
      </c>
      <c r="L1988" s="9">
        <v>45886</v>
      </c>
      <c r="M1988" s="9">
        <v>45885</v>
      </c>
      <c r="N1988" s="2" t="s">
        <v>2314</v>
      </c>
      <c r="O1988" s="2" t="s">
        <v>55</v>
      </c>
      <c r="P1988" s="2" t="s">
        <v>139</v>
      </c>
      <c r="Q1988" s="2" t="s">
        <v>161</v>
      </c>
      <c r="R1988" s="2" t="s">
        <v>128</v>
      </c>
      <c r="S1988" s="2" t="s">
        <v>383</v>
      </c>
      <c r="T1988" s="10">
        <v>25.33</v>
      </c>
      <c r="U1988" s="11">
        <v>1</v>
      </c>
      <c r="V1988" s="12">
        <f>T1988*U1988</f>
        <v>25.33</v>
      </c>
      <c r="W1988" s="13">
        <v>0</v>
      </c>
      <c r="X1988" s="12">
        <f>V1988-(V1988/(1+W1988))</f>
        <v>0</v>
      </c>
      <c r="Y1988" s="12">
        <f>V1988-X1988</f>
        <v>25.33</v>
      </c>
      <c r="Z1988" s="14">
        <v>35</v>
      </c>
      <c r="AA1988" s="2" t="str">
        <f>IF(V1988&gt;Z1988,"Yes","No")</f>
        <v>No</v>
      </c>
      <c r="AB1988" s="12">
        <f>V1988-Z1988</f>
        <v>-9.6700000000000017</v>
      </c>
      <c r="AC1988" s="15" t="s">
        <v>130</v>
      </c>
      <c r="AD1988" s="15" t="s">
        <v>130</v>
      </c>
      <c r="AE1988" s="15" t="s">
        <v>180</v>
      </c>
      <c r="AF1988" s="12">
        <f>IF(AG1988="Rejected",0,IF(R1988="Corporate Card",0,V1988))</f>
        <v>0</v>
      </c>
      <c r="AG1988" s="15" t="s">
        <v>133</v>
      </c>
      <c r="AH1988" s="16">
        <v>45887</v>
      </c>
      <c r="AI1988" s="16">
        <v>45894</v>
      </c>
      <c r="AJ1988" s="16">
        <v>45906</v>
      </c>
      <c r="AK1988" s="17">
        <f>IF(AJ1988="","",AJ1988-AH1988)</f>
        <v>19</v>
      </c>
    </row>
    <row r="1989" spans="1:37">
      <c r="A1989" s="2" t="s">
        <v>2454</v>
      </c>
      <c r="B1989" s="2" t="s">
        <v>882</v>
      </c>
      <c r="C1989" s="2" t="s">
        <v>446</v>
      </c>
      <c r="D1989" s="2" t="s">
        <v>444</v>
      </c>
      <c r="E1989" s="2" t="s">
        <v>883</v>
      </c>
      <c r="F1989" s="2" t="s">
        <v>313</v>
      </c>
      <c r="G1989" s="2" t="s">
        <v>2393</v>
      </c>
      <c r="H1989" s="2" t="s">
        <v>122</v>
      </c>
      <c r="I1989" s="2" t="s">
        <v>380</v>
      </c>
      <c r="J1989" s="2" t="s">
        <v>381</v>
      </c>
      <c r="K1989" s="9">
        <v>45882</v>
      </c>
      <c r="L1989" s="9">
        <v>45886</v>
      </c>
      <c r="M1989" s="9">
        <v>45886</v>
      </c>
      <c r="N1989" s="2" t="s">
        <v>2314</v>
      </c>
      <c r="O1989" s="2" t="s">
        <v>58</v>
      </c>
      <c r="P1989" s="2" t="s">
        <v>142</v>
      </c>
      <c r="Q1989" s="2" t="s">
        <v>224</v>
      </c>
      <c r="R1989" s="2" t="s">
        <v>128</v>
      </c>
      <c r="S1989" s="2" t="s">
        <v>383</v>
      </c>
      <c r="T1989" s="10">
        <v>27.66</v>
      </c>
      <c r="U1989" s="11">
        <v>1</v>
      </c>
      <c r="V1989" s="12">
        <f>T1989*U1989</f>
        <v>27.66</v>
      </c>
      <c r="W1989" s="13">
        <v>0</v>
      </c>
      <c r="X1989" s="12">
        <f>V1989-(V1989/(1+W1989))</f>
        <v>0</v>
      </c>
      <c r="Y1989" s="12">
        <f>V1989-X1989</f>
        <v>27.66</v>
      </c>
      <c r="Z1989" s="14">
        <v>60</v>
      </c>
      <c r="AA1989" s="2" t="str">
        <f>IF(V1989&gt;Z1989,"Yes","No")</f>
        <v>No</v>
      </c>
      <c r="AB1989" s="12">
        <f>V1989-Z1989</f>
        <v>-32.340000000000003</v>
      </c>
      <c r="AC1989" s="15" t="s">
        <v>130</v>
      </c>
      <c r="AD1989" s="15" t="s">
        <v>130</v>
      </c>
      <c r="AE1989" s="15" t="s">
        <v>180</v>
      </c>
      <c r="AF1989" s="12">
        <f>IF(AG1989="Rejected",0,IF(R1989="Corporate Card",0,V1989))</f>
        <v>0</v>
      </c>
      <c r="AG1989" s="15" t="s">
        <v>133</v>
      </c>
      <c r="AH1989" s="16">
        <v>45898</v>
      </c>
      <c r="AI1989" s="16">
        <v>45906</v>
      </c>
      <c r="AJ1989" s="16">
        <v>45908</v>
      </c>
      <c r="AK1989" s="17">
        <f>IF(AJ1989="","",AJ1989-AH1989)</f>
        <v>10</v>
      </c>
    </row>
    <row r="1990" spans="1:37">
      <c r="A1990" s="2" t="s">
        <v>2455</v>
      </c>
      <c r="B1990" s="2" t="s">
        <v>882</v>
      </c>
      <c r="C1990" s="2" t="s">
        <v>446</v>
      </c>
      <c r="D1990" s="2" t="s">
        <v>444</v>
      </c>
      <c r="E1990" s="2" t="s">
        <v>883</v>
      </c>
      <c r="F1990" s="2" t="s">
        <v>313</v>
      </c>
      <c r="G1990" s="2" t="s">
        <v>2393</v>
      </c>
      <c r="H1990" s="2" t="s">
        <v>122</v>
      </c>
      <c r="I1990" s="2" t="s">
        <v>380</v>
      </c>
      <c r="J1990" s="2" t="s">
        <v>381</v>
      </c>
      <c r="K1990" s="9">
        <v>45882</v>
      </c>
      <c r="L1990" s="9">
        <v>45886</v>
      </c>
      <c r="M1990" s="9">
        <v>45886</v>
      </c>
      <c r="N1990" s="2" t="s">
        <v>2314</v>
      </c>
      <c r="O1990" s="2" t="s">
        <v>56</v>
      </c>
      <c r="P1990" s="2" t="s">
        <v>245</v>
      </c>
      <c r="Q1990" s="2" t="s">
        <v>166</v>
      </c>
      <c r="R1990" s="2" t="s">
        <v>149</v>
      </c>
      <c r="S1990" s="2" t="s">
        <v>383</v>
      </c>
      <c r="T1990" s="10">
        <v>34.72</v>
      </c>
      <c r="U1990" s="11">
        <v>1</v>
      </c>
      <c r="V1990" s="12">
        <f>T1990*U1990</f>
        <v>34.72</v>
      </c>
      <c r="W1990" s="13">
        <v>0</v>
      </c>
      <c r="X1990" s="12">
        <f>V1990-(V1990/(1+W1990))</f>
        <v>0</v>
      </c>
      <c r="Y1990" s="12">
        <f>V1990-X1990</f>
        <v>34.72</v>
      </c>
      <c r="Z1990" s="14">
        <v>75</v>
      </c>
      <c r="AA1990" s="2" t="str">
        <f>IF(V1990&gt;Z1990,"Yes","No")</f>
        <v>No</v>
      </c>
      <c r="AB1990" s="12">
        <f>V1990-Z1990</f>
        <v>-40.28</v>
      </c>
      <c r="AC1990" s="15" t="s">
        <v>130</v>
      </c>
      <c r="AD1990" s="15" t="s">
        <v>130</v>
      </c>
      <c r="AE1990" s="15" t="s">
        <v>180</v>
      </c>
      <c r="AF1990" s="12">
        <f>IF(AG1990="Rejected",0,IF(R1990="Corporate Card",0,V1990))</f>
        <v>34.72</v>
      </c>
      <c r="AG1990" s="15" t="s">
        <v>133</v>
      </c>
      <c r="AH1990" s="16">
        <v>45898</v>
      </c>
      <c r="AI1990" s="16">
        <v>45906</v>
      </c>
      <c r="AJ1990" s="16">
        <v>45908</v>
      </c>
      <c r="AK1990" s="17">
        <f>IF(AJ1990="","",AJ1990-AH1990)</f>
        <v>10</v>
      </c>
    </row>
    <row r="1991" spans="1:37">
      <c r="A1991" s="2" t="s">
        <v>2456</v>
      </c>
      <c r="B1991" s="2" t="s">
        <v>882</v>
      </c>
      <c r="C1991" s="2" t="s">
        <v>446</v>
      </c>
      <c r="D1991" s="2" t="s">
        <v>444</v>
      </c>
      <c r="E1991" s="2" t="s">
        <v>883</v>
      </c>
      <c r="F1991" s="2" t="s">
        <v>313</v>
      </c>
      <c r="G1991" s="2" t="s">
        <v>2393</v>
      </c>
      <c r="H1991" s="2" t="s">
        <v>122</v>
      </c>
      <c r="I1991" s="2" t="s">
        <v>380</v>
      </c>
      <c r="J1991" s="2" t="s">
        <v>381</v>
      </c>
      <c r="K1991" s="9">
        <v>45882</v>
      </c>
      <c r="L1991" s="9">
        <v>45886</v>
      </c>
      <c r="M1991" s="9">
        <v>45886</v>
      </c>
      <c r="N1991" s="2" t="s">
        <v>2314</v>
      </c>
      <c r="O1991" s="2" t="s">
        <v>55</v>
      </c>
      <c r="P1991" s="2" t="s">
        <v>139</v>
      </c>
      <c r="Q1991" s="2" t="s">
        <v>217</v>
      </c>
      <c r="R1991" s="2" t="s">
        <v>128</v>
      </c>
      <c r="S1991" s="2" t="s">
        <v>383</v>
      </c>
      <c r="T1991" s="10">
        <v>22.76</v>
      </c>
      <c r="U1991" s="11">
        <v>1</v>
      </c>
      <c r="V1991" s="12">
        <f>T1991*U1991</f>
        <v>22.76</v>
      </c>
      <c r="W1991" s="13">
        <v>0</v>
      </c>
      <c r="X1991" s="12">
        <f>V1991-(V1991/(1+W1991))</f>
        <v>0</v>
      </c>
      <c r="Y1991" s="12">
        <f>V1991-X1991</f>
        <v>22.76</v>
      </c>
      <c r="Z1991" s="14">
        <v>35</v>
      </c>
      <c r="AA1991" s="2" t="str">
        <f>IF(V1991&gt;Z1991,"Yes","No")</f>
        <v>No</v>
      </c>
      <c r="AB1991" s="12">
        <f>V1991-Z1991</f>
        <v>-12.239999999999998</v>
      </c>
      <c r="AC1991" s="15" t="s">
        <v>130</v>
      </c>
      <c r="AD1991" s="15" t="s">
        <v>130</v>
      </c>
      <c r="AE1991" s="15" t="s">
        <v>180</v>
      </c>
      <c r="AF1991" s="12">
        <f>IF(AG1991="Rejected",0,IF(R1991="Corporate Card",0,V1991))</f>
        <v>0</v>
      </c>
      <c r="AG1991" s="15" t="s">
        <v>133</v>
      </c>
      <c r="AH1991" s="16">
        <v>45898</v>
      </c>
      <c r="AI1991" s="16">
        <v>45906</v>
      </c>
      <c r="AJ1991" s="16">
        <v>45908</v>
      </c>
      <c r="AK1991" s="17">
        <f>IF(AJ1991="","",AJ1991-AH1991)</f>
        <v>10</v>
      </c>
    </row>
    <row r="1992" spans="1:37">
      <c r="A1992" s="2" t="s">
        <v>2457</v>
      </c>
      <c r="B1992" s="2" t="s">
        <v>2399</v>
      </c>
      <c r="C1992" s="2" t="s">
        <v>120</v>
      </c>
      <c r="D1992" s="2" t="s">
        <v>118</v>
      </c>
      <c r="E1992" s="2" t="s">
        <v>2400</v>
      </c>
      <c r="F1992" s="2" t="s">
        <v>311</v>
      </c>
      <c r="G1992" s="2" t="s">
        <v>2401</v>
      </c>
      <c r="H1992" s="2" t="s">
        <v>448</v>
      </c>
      <c r="I1992" s="2" t="s">
        <v>749</v>
      </c>
      <c r="J1992" s="2" t="s">
        <v>750</v>
      </c>
      <c r="K1992" s="9">
        <v>45882</v>
      </c>
      <c r="L1992" s="9">
        <v>45889</v>
      </c>
      <c r="M1992" s="9">
        <v>45886</v>
      </c>
      <c r="N1992" s="2" t="s">
        <v>2314</v>
      </c>
      <c r="O1992" s="2" t="s">
        <v>56</v>
      </c>
      <c r="P1992" s="2" t="s">
        <v>245</v>
      </c>
      <c r="Q1992" s="2" t="s">
        <v>227</v>
      </c>
      <c r="R1992" s="2" t="s">
        <v>149</v>
      </c>
      <c r="S1992" s="2" t="s">
        <v>198</v>
      </c>
      <c r="T1992" s="10">
        <v>42.02</v>
      </c>
      <c r="U1992" s="11">
        <v>1.085</v>
      </c>
      <c r="V1992" s="12">
        <f>T1992*U1992</f>
        <v>45.591700000000003</v>
      </c>
      <c r="W1992" s="13">
        <v>0.19</v>
      </c>
      <c r="X1992" s="12">
        <f>V1992-(V1992/(1+W1992))</f>
        <v>7.2793470588235252</v>
      </c>
      <c r="Y1992" s="12">
        <f>V1992-X1992</f>
        <v>38.312352941176478</v>
      </c>
      <c r="Z1992" s="14">
        <v>75</v>
      </c>
      <c r="AA1992" s="2" t="str">
        <f>IF(V1992&gt;Z1992,"Yes","No")</f>
        <v>No</v>
      </c>
      <c r="AB1992" s="12">
        <f>V1992-Z1992</f>
        <v>-29.408299999999997</v>
      </c>
      <c r="AC1992" s="15" t="s">
        <v>130</v>
      </c>
      <c r="AD1992" s="15" t="s">
        <v>130</v>
      </c>
      <c r="AE1992" s="15" t="s">
        <v>421</v>
      </c>
      <c r="AF1992" s="12">
        <f>IF(AG1992="Rejected",0,IF(R1992="Corporate Card",0,V1992))</f>
        <v>45.591700000000003</v>
      </c>
      <c r="AG1992" s="15" t="s">
        <v>133</v>
      </c>
      <c r="AH1992" s="16">
        <v>45899</v>
      </c>
      <c r="AI1992" s="16">
        <v>45904</v>
      </c>
      <c r="AJ1992" s="16">
        <v>45913</v>
      </c>
      <c r="AK1992" s="17">
        <f>IF(AJ1992="","",AJ1992-AH1992)</f>
        <v>14</v>
      </c>
    </row>
    <row r="1993" spans="1:37">
      <c r="A1993" s="2" t="s">
        <v>2458</v>
      </c>
      <c r="B1993" s="2" t="s">
        <v>2399</v>
      </c>
      <c r="C1993" s="2" t="s">
        <v>120</v>
      </c>
      <c r="D1993" s="2" t="s">
        <v>118</v>
      </c>
      <c r="E1993" s="2" t="s">
        <v>2400</v>
      </c>
      <c r="F1993" s="2" t="s">
        <v>311</v>
      </c>
      <c r="G1993" s="2" t="s">
        <v>2401</v>
      </c>
      <c r="H1993" s="2" t="s">
        <v>448</v>
      </c>
      <c r="I1993" s="2" t="s">
        <v>749</v>
      </c>
      <c r="J1993" s="2" t="s">
        <v>750</v>
      </c>
      <c r="K1993" s="9">
        <v>45882</v>
      </c>
      <c r="L1993" s="9">
        <v>45889</v>
      </c>
      <c r="M1993" s="9">
        <v>45886</v>
      </c>
      <c r="N1993" s="2" t="s">
        <v>2314</v>
      </c>
      <c r="O1993" s="2" t="s">
        <v>55</v>
      </c>
      <c r="P1993" s="2" t="s">
        <v>139</v>
      </c>
      <c r="Q1993" s="2" t="s">
        <v>187</v>
      </c>
      <c r="R1993" s="2" t="s">
        <v>137</v>
      </c>
      <c r="S1993" s="2" t="s">
        <v>198</v>
      </c>
      <c r="T1993" s="10">
        <v>18.940000000000001</v>
      </c>
      <c r="U1993" s="11">
        <v>1.085</v>
      </c>
      <c r="V1993" s="12">
        <f>T1993*U1993</f>
        <v>20.549900000000001</v>
      </c>
      <c r="W1993" s="13">
        <v>0.19</v>
      </c>
      <c r="X1993" s="12">
        <f>V1993-(V1993/(1+W1993))</f>
        <v>3.2810764705882356</v>
      </c>
      <c r="Y1993" s="12">
        <f>V1993-X1993</f>
        <v>17.268823529411765</v>
      </c>
      <c r="Z1993" s="14">
        <v>35</v>
      </c>
      <c r="AA1993" s="2" t="str">
        <f>IF(V1993&gt;Z1993,"Yes","No")</f>
        <v>No</v>
      </c>
      <c r="AB1993" s="12">
        <f>V1993-Z1993</f>
        <v>-14.450099999999999</v>
      </c>
      <c r="AC1993" s="15" t="s">
        <v>131</v>
      </c>
      <c r="AD1993" s="15" t="s">
        <v>130</v>
      </c>
      <c r="AE1993" s="15" t="s">
        <v>421</v>
      </c>
      <c r="AF1993" s="12">
        <f>IF(AG1993="Rejected",0,IF(R1993="Corporate Card",0,V1993))</f>
        <v>20.549900000000001</v>
      </c>
      <c r="AG1993" s="15" t="s">
        <v>133</v>
      </c>
      <c r="AH1993" s="16">
        <v>45899</v>
      </c>
      <c r="AI1993" s="16">
        <v>45904</v>
      </c>
      <c r="AJ1993" s="16">
        <v>45913</v>
      </c>
      <c r="AK1993" s="17">
        <f>IF(AJ1993="","",AJ1993-AH1993)</f>
        <v>14</v>
      </c>
    </row>
    <row r="1994" spans="1:37">
      <c r="A1994" s="2" t="s">
        <v>2459</v>
      </c>
      <c r="B1994" s="2" t="s">
        <v>509</v>
      </c>
      <c r="C1994" s="2" t="s">
        <v>510</v>
      </c>
      <c r="D1994" s="2" t="s">
        <v>250</v>
      </c>
      <c r="E1994" s="2" t="s">
        <v>511</v>
      </c>
      <c r="F1994" s="2" t="s">
        <v>313</v>
      </c>
      <c r="G1994" s="2" t="s">
        <v>2446</v>
      </c>
      <c r="H1994" s="2" t="s">
        <v>379</v>
      </c>
      <c r="I1994" s="2" t="s">
        <v>553</v>
      </c>
      <c r="J1994" s="2" t="s">
        <v>553</v>
      </c>
      <c r="K1994" s="9">
        <v>45885</v>
      </c>
      <c r="L1994" s="9">
        <v>45888</v>
      </c>
      <c r="M1994" s="9">
        <v>45886</v>
      </c>
      <c r="N1994" s="2" t="s">
        <v>2314</v>
      </c>
      <c r="O1994" s="2" t="s">
        <v>58</v>
      </c>
      <c r="P1994" s="2" t="s">
        <v>142</v>
      </c>
      <c r="Q1994" s="2" t="s">
        <v>296</v>
      </c>
      <c r="R1994" s="2" t="s">
        <v>128</v>
      </c>
      <c r="S1994" s="2" t="s">
        <v>555</v>
      </c>
      <c r="T1994" s="10">
        <v>79.77</v>
      </c>
      <c r="U1994" s="11">
        <v>0.74299999999999999</v>
      </c>
      <c r="V1994" s="12">
        <f>T1994*U1994</f>
        <v>59.269109999999998</v>
      </c>
      <c r="W1994" s="13">
        <v>0.09</v>
      </c>
      <c r="X1994" s="12">
        <f>V1994-(V1994/(1+W1994))</f>
        <v>4.8937797247706456</v>
      </c>
      <c r="Y1994" s="12">
        <f>V1994-X1994</f>
        <v>54.375330275229352</v>
      </c>
      <c r="Z1994" s="14">
        <v>60</v>
      </c>
      <c r="AA1994" s="2" t="str">
        <f>IF(V1994&gt;Z1994,"Yes","No")</f>
        <v>No</v>
      </c>
      <c r="AB1994" s="12">
        <f>V1994-Z1994</f>
        <v>-0.73089000000000226</v>
      </c>
      <c r="AC1994" s="15" t="s">
        <v>130</v>
      </c>
      <c r="AD1994" s="15" t="s">
        <v>130</v>
      </c>
      <c r="AE1994" s="15" t="s">
        <v>260</v>
      </c>
      <c r="AF1994" s="12">
        <f>IF(AG1994="Rejected",0,IF(R1994="Corporate Card",0,V1994))</f>
        <v>0</v>
      </c>
      <c r="AG1994" s="15" t="s">
        <v>133</v>
      </c>
      <c r="AH1994" s="16">
        <v>45897</v>
      </c>
      <c r="AI1994" s="16">
        <v>45903</v>
      </c>
      <c r="AJ1994" s="16">
        <v>45909</v>
      </c>
      <c r="AK1994" s="17">
        <f>IF(AJ1994="","",AJ1994-AH1994)</f>
        <v>12</v>
      </c>
    </row>
    <row r="1995" spans="1:37">
      <c r="A1995" s="2" t="s">
        <v>2460</v>
      </c>
      <c r="B1995" s="2" t="s">
        <v>509</v>
      </c>
      <c r="C1995" s="2" t="s">
        <v>510</v>
      </c>
      <c r="D1995" s="2" t="s">
        <v>250</v>
      </c>
      <c r="E1995" s="2" t="s">
        <v>511</v>
      </c>
      <c r="F1995" s="2" t="s">
        <v>313</v>
      </c>
      <c r="G1995" s="2" t="s">
        <v>2446</v>
      </c>
      <c r="H1995" s="2" t="s">
        <v>379</v>
      </c>
      <c r="I1995" s="2" t="s">
        <v>553</v>
      </c>
      <c r="J1995" s="2" t="s">
        <v>553</v>
      </c>
      <c r="K1995" s="9">
        <v>45885</v>
      </c>
      <c r="L1995" s="9">
        <v>45888</v>
      </c>
      <c r="M1995" s="9">
        <v>45886</v>
      </c>
      <c r="N1995" s="2" t="s">
        <v>2314</v>
      </c>
      <c r="O1995" s="2" t="s">
        <v>53</v>
      </c>
      <c r="P1995" s="2" t="s">
        <v>145</v>
      </c>
      <c r="Q1995" s="2" t="s">
        <v>305</v>
      </c>
      <c r="R1995" s="2" t="s">
        <v>128</v>
      </c>
      <c r="S1995" s="2" t="s">
        <v>555</v>
      </c>
      <c r="T1995" s="10">
        <v>904.84</v>
      </c>
      <c r="U1995" s="11">
        <v>0.74299999999999999</v>
      </c>
      <c r="V1995" s="12">
        <f>T1995*U1995</f>
        <v>672.29611999999997</v>
      </c>
      <c r="W1995" s="13">
        <v>0.09</v>
      </c>
      <c r="X1995" s="12">
        <f>V1995-(V1995/(1+W1995))</f>
        <v>55.510688807339534</v>
      </c>
      <c r="Y1995" s="12">
        <f>V1995-X1995</f>
        <v>616.78543119266044</v>
      </c>
      <c r="Z1995" s="14">
        <v>840</v>
      </c>
      <c r="AA1995" s="2" t="str">
        <f>IF(V1995&gt;Z1995,"Yes","No")</f>
        <v>No</v>
      </c>
      <c r="AB1995" s="12">
        <f>V1995-Z1995</f>
        <v>-167.70388000000003</v>
      </c>
      <c r="AC1995" s="15" t="s">
        <v>130</v>
      </c>
      <c r="AD1995" s="15" t="s">
        <v>130</v>
      </c>
      <c r="AE1995" s="15" t="s">
        <v>260</v>
      </c>
      <c r="AF1995" s="12">
        <f>IF(AG1995="Rejected",0,IF(R1995="Corporate Card",0,V1995))</f>
        <v>0</v>
      </c>
      <c r="AG1995" s="15" t="s">
        <v>133</v>
      </c>
      <c r="AH1995" s="16">
        <v>45897</v>
      </c>
      <c r="AI1995" s="16">
        <v>45903</v>
      </c>
      <c r="AJ1995" s="16">
        <v>45909</v>
      </c>
      <c r="AK1995" s="17">
        <f>IF(AJ1995="","",AJ1995-AH1995)</f>
        <v>12</v>
      </c>
    </row>
    <row r="1996" spans="1:37">
      <c r="A1996" s="2" t="s">
        <v>2461</v>
      </c>
      <c r="B1996" s="2" t="s">
        <v>509</v>
      </c>
      <c r="C1996" s="2" t="s">
        <v>510</v>
      </c>
      <c r="D1996" s="2" t="s">
        <v>250</v>
      </c>
      <c r="E1996" s="2" t="s">
        <v>511</v>
      </c>
      <c r="F1996" s="2" t="s">
        <v>313</v>
      </c>
      <c r="G1996" s="2" t="s">
        <v>2446</v>
      </c>
      <c r="H1996" s="2" t="s">
        <v>379</v>
      </c>
      <c r="I1996" s="2" t="s">
        <v>553</v>
      </c>
      <c r="J1996" s="2" t="s">
        <v>553</v>
      </c>
      <c r="K1996" s="9">
        <v>45885</v>
      </c>
      <c r="L1996" s="9">
        <v>45888</v>
      </c>
      <c r="M1996" s="9">
        <v>45886</v>
      </c>
      <c r="N1996" s="2" t="s">
        <v>2314</v>
      </c>
      <c r="O1996" s="2" t="s">
        <v>65</v>
      </c>
      <c r="P1996" s="2" t="s">
        <v>211</v>
      </c>
      <c r="Q1996" s="2" t="s">
        <v>212</v>
      </c>
      <c r="R1996" s="2" t="s">
        <v>128</v>
      </c>
      <c r="S1996" s="2" t="s">
        <v>555</v>
      </c>
      <c r="T1996" s="10">
        <v>52.63</v>
      </c>
      <c r="U1996" s="11">
        <v>0.74299999999999999</v>
      </c>
      <c r="V1996" s="12">
        <f>T1996*U1996</f>
        <v>39.104089999999999</v>
      </c>
      <c r="W1996" s="13">
        <v>0.09</v>
      </c>
      <c r="X1996" s="12">
        <f>V1996-(V1996/(1+W1996))</f>
        <v>3.2287780733945013</v>
      </c>
      <c r="Y1996" s="12">
        <f>V1996-X1996</f>
        <v>35.875311926605498</v>
      </c>
      <c r="Z1996" s="14">
        <v>55</v>
      </c>
      <c r="AA1996" s="2" t="str">
        <f>IF(V1996&gt;Z1996,"Yes","No")</f>
        <v>No</v>
      </c>
      <c r="AB1996" s="12">
        <f>V1996-Z1996</f>
        <v>-15.895910000000001</v>
      </c>
      <c r="AC1996" s="15" t="s">
        <v>130</v>
      </c>
      <c r="AD1996" s="15" t="s">
        <v>130</v>
      </c>
      <c r="AE1996" s="15" t="s">
        <v>260</v>
      </c>
      <c r="AF1996" s="12">
        <f>IF(AG1996="Rejected",0,IF(R1996="Corporate Card",0,V1996))</f>
        <v>0</v>
      </c>
      <c r="AG1996" s="15" t="s">
        <v>133</v>
      </c>
      <c r="AH1996" s="16">
        <v>45897</v>
      </c>
      <c r="AI1996" s="16">
        <v>45903</v>
      </c>
      <c r="AJ1996" s="16">
        <v>45909</v>
      </c>
      <c r="AK1996" s="17">
        <f>IF(AJ1996="","",AJ1996-AH1996)</f>
        <v>12</v>
      </c>
    </row>
    <row r="1997" spans="1:37">
      <c r="A1997" s="2" t="s">
        <v>2462</v>
      </c>
      <c r="B1997" s="2" t="s">
        <v>509</v>
      </c>
      <c r="C1997" s="2" t="s">
        <v>510</v>
      </c>
      <c r="D1997" s="2" t="s">
        <v>250</v>
      </c>
      <c r="E1997" s="2" t="s">
        <v>511</v>
      </c>
      <c r="F1997" s="2" t="s">
        <v>313</v>
      </c>
      <c r="G1997" s="2" t="s">
        <v>2446</v>
      </c>
      <c r="H1997" s="2" t="s">
        <v>379</v>
      </c>
      <c r="I1997" s="2" t="s">
        <v>553</v>
      </c>
      <c r="J1997" s="2" t="s">
        <v>553</v>
      </c>
      <c r="K1997" s="9">
        <v>45885</v>
      </c>
      <c r="L1997" s="9">
        <v>45888</v>
      </c>
      <c r="M1997" s="9">
        <v>45886</v>
      </c>
      <c r="N1997" s="2" t="s">
        <v>2314</v>
      </c>
      <c r="O1997" s="2" t="s">
        <v>54</v>
      </c>
      <c r="P1997" s="2" t="s">
        <v>139</v>
      </c>
      <c r="Q1997" s="2" t="s">
        <v>163</v>
      </c>
      <c r="R1997" s="2" t="s">
        <v>149</v>
      </c>
      <c r="S1997" s="2" t="s">
        <v>555</v>
      </c>
      <c r="T1997" s="10">
        <v>20.93</v>
      </c>
      <c r="U1997" s="11">
        <v>0.74299999999999999</v>
      </c>
      <c r="V1997" s="12">
        <f>T1997*U1997</f>
        <v>15.550990000000001</v>
      </c>
      <c r="W1997" s="13">
        <v>0.09</v>
      </c>
      <c r="X1997" s="12">
        <f>V1997-(V1997/(1+W1997))</f>
        <v>1.2840266972477075</v>
      </c>
      <c r="Y1997" s="12">
        <f>V1997-X1997</f>
        <v>14.266963302752293</v>
      </c>
      <c r="Z1997" s="14">
        <v>25</v>
      </c>
      <c r="AA1997" s="2" t="str">
        <f>IF(V1997&gt;Z1997,"Yes","No")</f>
        <v>No</v>
      </c>
      <c r="AB1997" s="12">
        <f>V1997-Z1997</f>
        <v>-9.4490099999999995</v>
      </c>
      <c r="AC1997" s="15" t="s">
        <v>130</v>
      </c>
      <c r="AD1997" s="15" t="s">
        <v>130</v>
      </c>
      <c r="AE1997" s="15" t="s">
        <v>260</v>
      </c>
      <c r="AF1997" s="12">
        <f>IF(AG1997="Rejected",0,IF(R1997="Corporate Card",0,V1997))</f>
        <v>15.550990000000001</v>
      </c>
      <c r="AG1997" s="15" t="s">
        <v>133</v>
      </c>
      <c r="AH1997" s="16">
        <v>45897</v>
      </c>
      <c r="AI1997" s="16">
        <v>45903</v>
      </c>
      <c r="AJ1997" s="16">
        <v>45909</v>
      </c>
      <c r="AK1997" s="17">
        <f>IF(AJ1997="","",AJ1997-AH1997)</f>
        <v>12</v>
      </c>
    </row>
    <row r="1998" spans="1:37">
      <c r="A1998" s="2" t="s">
        <v>2463</v>
      </c>
      <c r="B1998" s="2" t="s">
        <v>116</v>
      </c>
      <c r="C1998" s="2" t="s">
        <v>117</v>
      </c>
      <c r="D1998" s="2" t="s">
        <v>118</v>
      </c>
      <c r="E1998" s="2" t="s">
        <v>119</v>
      </c>
      <c r="F1998" s="2" t="s">
        <v>120</v>
      </c>
      <c r="G1998" s="2" t="s">
        <v>2433</v>
      </c>
      <c r="H1998" s="2" t="s">
        <v>193</v>
      </c>
      <c r="I1998" s="2" t="s">
        <v>418</v>
      </c>
      <c r="J1998" s="2" t="s">
        <v>381</v>
      </c>
      <c r="K1998" s="9">
        <v>45884</v>
      </c>
      <c r="L1998" s="9">
        <v>45886</v>
      </c>
      <c r="M1998" s="9">
        <v>45886</v>
      </c>
      <c r="N1998" s="2" t="s">
        <v>2314</v>
      </c>
      <c r="O1998" s="2" t="s">
        <v>56</v>
      </c>
      <c r="P1998" s="2" t="s">
        <v>231</v>
      </c>
      <c r="Q1998" s="2" t="s">
        <v>159</v>
      </c>
      <c r="R1998" s="2" t="s">
        <v>128</v>
      </c>
      <c r="S1998" s="2" t="s">
        <v>383</v>
      </c>
      <c r="T1998" s="10">
        <v>47.63</v>
      </c>
      <c r="U1998" s="11">
        <v>1</v>
      </c>
      <c r="V1998" s="12">
        <f>T1998*U1998</f>
        <v>47.63</v>
      </c>
      <c r="W1998" s="13">
        <v>0</v>
      </c>
      <c r="X1998" s="12">
        <f>V1998-(V1998/(1+W1998))</f>
        <v>0</v>
      </c>
      <c r="Y1998" s="12">
        <f>V1998-X1998</f>
        <v>47.63</v>
      </c>
      <c r="Z1998" s="14">
        <v>75</v>
      </c>
      <c r="AA1998" s="2" t="str">
        <f>IF(V1998&gt;Z1998,"Yes","No")</f>
        <v>No</v>
      </c>
      <c r="AB1998" s="12">
        <f>V1998-Z1998</f>
        <v>-27.369999999999997</v>
      </c>
      <c r="AC1998" s="15" t="s">
        <v>131</v>
      </c>
      <c r="AD1998" s="15" t="s">
        <v>130</v>
      </c>
      <c r="AE1998" s="15" t="s">
        <v>180</v>
      </c>
      <c r="AF1998" s="12">
        <f>IF(AG1998="Rejected",0,IF(R1998="Corporate Card",0,V1998))</f>
        <v>0</v>
      </c>
      <c r="AG1998" s="15" t="s">
        <v>133</v>
      </c>
      <c r="AH1998" s="16">
        <v>45887</v>
      </c>
      <c r="AI1998" s="16">
        <v>45894</v>
      </c>
      <c r="AJ1998" s="16">
        <v>45906</v>
      </c>
      <c r="AK1998" s="17">
        <f>IF(AJ1998="","",AJ1998-AH1998)</f>
        <v>19</v>
      </c>
    </row>
    <row r="1999" spans="1:37">
      <c r="A1999" s="2" t="s">
        <v>2464</v>
      </c>
      <c r="B1999" s="2" t="s">
        <v>116</v>
      </c>
      <c r="C1999" s="2" t="s">
        <v>117</v>
      </c>
      <c r="D1999" s="2" t="s">
        <v>118</v>
      </c>
      <c r="E1999" s="2" t="s">
        <v>119</v>
      </c>
      <c r="F1999" s="2" t="s">
        <v>120</v>
      </c>
      <c r="G1999" s="2" t="s">
        <v>2433</v>
      </c>
      <c r="H1999" s="2" t="s">
        <v>193</v>
      </c>
      <c r="I1999" s="2" t="s">
        <v>418</v>
      </c>
      <c r="J1999" s="2" t="s">
        <v>381</v>
      </c>
      <c r="K1999" s="9">
        <v>45884</v>
      </c>
      <c r="L1999" s="9">
        <v>45886</v>
      </c>
      <c r="M1999" s="9">
        <v>45886</v>
      </c>
      <c r="N1999" s="2" t="s">
        <v>2314</v>
      </c>
      <c r="O1999" s="2" t="s">
        <v>55</v>
      </c>
      <c r="P1999" s="2" t="s">
        <v>139</v>
      </c>
      <c r="Q1999" s="2" t="s">
        <v>161</v>
      </c>
      <c r="R1999" s="2" t="s">
        <v>137</v>
      </c>
      <c r="S1999" s="2" t="s">
        <v>383</v>
      </c>
      <c r="T1999" s="10">
        <v>22.17</v>
      </c>
      <c r="U1999" s="11">
        <v>1</v>
      </c>
      <c r="V1999" s="12">
        <f>T1999*U1999</f>
        <v>22.17</v>
      </c>
      <c r="W1999" s="13">
        <v>0</v>
      </c>
      <c r="X1999" s="12">
        <f>V1999-(V1999/(1+W1999))</f>
        <v>0</v>
      </c>
      <c r="Y1999" s="12">
        <f>V1999-X1999</f>
        <v>22.17</v>
      </c>
      <c r="Z1999" s="14">
        <v>35</v>
      </c>
      <c r="AA1999" s="2" t="str">
        <f>IF(V1999&gt;Z1999,"Yes","No")</f>
        <v>No</v>
      </c>
      <c r="AB1999" s="12">
        <f>V1999-Z1999</f>
        <v>-12.829999999999998</v>
      </c>
      <c r="AC1999" s="15" t="s">
        <v>130</v>
      </c>
      <c r="AD1999" s="15" t="s">
        <v>130</v>
      </c>
      <c r="AE1999" s="15" t="s">
        <v>180</v>
      </c>
      <c r="AF1999" s="12">
        <f>IF(AG1999="Rejected",0,IF(R1999="Corporate Card",0,V1999))</f>
        <v>22.17</v>
      </c>
      <c r="AG1999" s="15" t="s">
        <v>133</v>
      </c>
      <c r="AH1999" s="16">
        <v>45887</v>
      </c>
      <c r="AI1999" s="16">
        <v>45894</v>
      </c>
      <c r="AJ1999" s="16">
        <v>45906</v>
      </c>
      <c r="AK1999" s="17">
        <f>IF(AJ1999="","",AJ1999-AH1999)</f>
        <v>19</v>
      </c>
    </row>
    <row r="2000" spans="1:37">
      <c r="A2000" s="2" t="s">
        <v>2465</v>
      </c>
      <c r="B2000" s="2" t="s">
        <v>2399</v>
      </c>
      <c r="C2000" s="2" t="s">
        <v>120</v>
      </c>
      <c r="D2000" s="2" t="s">
        <v>118</v>
      </c>
      <c r="E2000" s="2" t="s">
        <v>2400</v>
      </c>
      <c r="F2000" s="2" t="s">
        <v>311</v>
      </c>
      <c r="G2000" s="2" t="s">
        <v>2401</v>
      </c>
      <c r="H2000" s="2" t="s">
        <v>448</v>
      </c>
      <c r="I2000" s="2" t="s">
        <v>749</v>
      </c>
      <c r="J2000" s="2" t="s">
        <v>750</v>
      </c>
      <c r="K2000" s="9">
        <v>45882</v>
      </c>
      <c r="L2000" s="9">
        <v>45889</v>
      </c>
      <c r="M2000" s="9">
        <v>45887</v>
      </c>
      <c r="N2000" s="2" t="s">
        <v>2314</v>
      </c>
      <c r="O2000" s="2" t="s">
        <v>58</v>
      </c>
      <c r="P2000" s="2" t="s">
        <v>142</v>
      </c>
      <c r="Q2000" s="2" t="s">
        <v>203</v>
      </c>
      <c r="R2000" s="2" t="s">
        <v>149</v>
      </c>
      <c r="S2000" s="2" t="s">
        <v>198</v>
      </c>
      <c r="T2000" s="10">
        <v>54.13</v>
      </c>
      <c r="U2000" s="11">
        <v>1.085</v>
      </c>
      <c r="V2000" s="12">
        <f>T2000*U2000</f>
        <v>58.731050000000003</v>
      </c>
      <c r="W2000" s="13">
        <v>0.19</v>
      </c>
      <c r="X2000" s="12">
        <f>V2000-(V2000/(1+W2000))</f>
        <v>9.3772264705882336</v>
      </c>
      <c r="Y2000" s="12">
        <f>V2000-X2000</f>
        <v>49.35382352941177</v>
      </c>
      <c r="Z2000" s="14">
        <v>60</v>
      </c>
      <c r="AA2000" s="2" t="str">
        <f>IF(V2000&gt;Z2000,"Yes","No")</f>
        <v>No</v>
      </c>
      <c r="AB2000" s="12">
        <f>V2000-Z2000</f>
        <v>-1.2689499999999967</v>
      </c>
      <c r="AC2000" s="15" t="s">
        <v>130</v>
      </c>
      <c r="AD2000" s="15" t="s">
        <v>130</v>
      </c>
      <c r="AE2000" s="15" t="s">
        <v>421</v>
      </c>
      <c r="AF2000" s="12">
        <f>IF(AG2000="Rejected",0,IF(R2000="Corporate Card",0,V2000))</f>
        <v>58.731050000000003</v>
      </c>
      <c r="AG2000" s="15" t="s">
        <v>133</v>
      </c>
      <c r="AH2000" s="16">
        <v>45899</v>
      </c>
      <c r="AI2000" s="16">
        <v>45904</v>
      </c>
      <c r="AJ2000" s="16">
        <v>45913</v>
      </c>
      <c r="AK2000" s="17">
        <f>IF(AJ2000="","",AJ2000-AH2000)</f>
        <v>14</v>
      </c>
    </row>
    <row r="2001" spans="1:37">
      <c r="A2001" s="2" t="s">
        <v>2466</v>
      </c>
      <c r="B2001" s="2" t="s">
        <v>2399</v>
      </c>
      <c r="C2001" s="2" t="s">
        <v>120</v>
      </c>
      <c r="D2001" s="2" t="s">
        <v>118</v>
      </c>
      <c r="E2001" s="2" t="s">
        <v>2400</v>
      </c>
      <c r="F2001" s="2" t="s">
        <v>311</v>
      </c>
      <c r="G2001" s="2" t="s">
        <v>2401</v>
      </c>
      <c r="H2001" s="2" t="s">
        <v>448</v>
      </c>
      <c r="I2001" s="2" t="s">
        <v>749</v>
      </c>
      <c r="J2001" s="2" t="s">
        <v>750</v>
      </c>
      <c r="K2001" s="9">
        <v>45882</v>
      </c>
      <c r="L2001" s="9">
        <v>45889</v>
      </c>
      <c r="M2001" s="9">
        <v>45887</v>
      </c>
      <c r="N2001" s="2" t="s">
        <v>2314</v>
      </c>
      <c r="O2001" s="2" t="s">
        <v>54</v>
      </c>
      <c r="P2001" s="2" t="s">
        <v>139</v>
      </c>
      <c r="Q2001" s="2" t="s">
        <v>214</v>
      </c>
      <c r="R2001" s="2" t="s">
        <v>128</v>
      </c>
      <c r="S2001" s="2" t="s">
        <v>198</v>
      </c>
      <c r="T2001" s="10">
        <v>17.47</v>
      </c>
      <c r="U2001" s="11">
        <v>1.085</v>
      </c>
      <c r="V2001" s="12">
        <f>T2001*U2001</f>
        <v>18.954949999999997</v>
      </c>
      <c r="W2001" s="13">
        <v>0.19</v>
      </c>
      <c r="X2001" s="12">
        <f>V2001-(V2001/(1+W2001))</f>
        <v>3.0264205882352933</v>
      </c>
      <c r="Y2001" s="12">
        <f>V2001-X2001</f>
        <v>15.928529411764703</v>
      </c>
      <c r="Z2001" s="14">
        <v>25</v>
      </c>
      <c r="AA2001" s="2" t="str">
        <f>IF(V2001&gt;Z2001,"Yes","No")</f>
        <v>No</v>
      </c>
      <c r="AB2001" s="12">
        <f>V2001-Z2001</f>
        <v>-6.0450500000000034</v>
      </c>
      <c r="AC2001" s="15" t="s">
        <v>130</v>
      </c>
      <c r="AD2001" s="15" t="s">
        <v>130</v>
      </c>
      <c r="AE2001" s="15" t="s">
        <v>421</v>
      </c>
      <c r="AF2001" s="12">
        <f>IF(AG2001="Rejected",0,IF(R2001="Corporate Card",0,V2001))</f>
        <v>0</v>
      </c>
      <c r="AG2001" s="15" t="s">
        <v>133</v>
      </c>
      <c r="AH2001" s="16">
        <v>45899</v>
      </c>
      <c r="AI2001" s="16">
        <v>45904</v>
      </c>
      <c r="AJ2001" s="16">
        <v>45913</v>
      </c>
      <c r="AK2001" s="17">
        <f>IF(AJ2001="","",AJ2001-AH2001)</f>
        <v>14</v>
      </c>
    </row>
    <row r="2002" spans="1:37">
      <c r="A2002" s="2" t="s">
        <v>2467</v>
      </c>
      <c r="B2002" s="2" t="s">
        <v>2399</v>
      </c>
      <c r="C2002" s="2" t="s">
        <v>120</v>
      </c>
      <c r="D2002" s="2" t="s">
        <v>118</v>
      </c>
      <c r="E2002" s="2" t="s">
        <v>2400</v>
      </c>
      <c r="F2002" s="2" t="s">
        <v>311</v>
      </c>
      <c r="G2002" s="2" t="s">
        <v>2401</v>
      </c>
      <c r="H2002" s="2" t="s">
        <v>448</v>
      </c>
      <c r="I2002" s="2" t="s">
        <v>749</v>
      </c>
      <c r="J2002" s="2" t="s">
        <v>750</v>
      </c>
      <c r="K2002" s="9">
        <v>45882</v>
      </c>
      <c r="L2002" s="9">
        <v>45889</v>
      </c>
      <c r="M2002" s="9">
        <v>45887</v>
      </c>
      <c r="N2002" s="2" t="s">
        <v>2314</v>
      </c>
      <c r="O2002" s="2" t="s">
        <v>56</v>
      </c>
      <c r="P2002" s="2" t="s">
        <v>231</v>
      </c>
      <c r="Q2002" s="2" t="s">
        <v>227</v>
      </c>
      <c r="R2002" s="2" t="s">
        <v>128</v>
      </c>
      <c r="S2002" s="2" t="s">
        <v>198</v>
      </c>
      <c r="T2002" s="10">
        <v>57.36</v>
      </c>
      <c r="U2002" s="11">
        <v>1.085</v>
      </c>
      <c r="V2002" s="12">
        <f>T2002*U2002</f>
        <v>62.235599999999998</v>
      </c>
      <c r="W2002" s="13">
        <v>0.19</v>
      </c>
      <c r="X2002" s="12">
        <f>V2002-(V2002/(1+W2002))</f>
        <v>9.9367764705882351</v>
      </c>
      <c r="Y2002" s="12">
        <f>V2002-X2002</f>
        <v>52.298823529411763</v>
      </c>
      <c r="Z2002" s="14">
        <v>75</v>
      </c>
      <c r="AA2002" s="2" t="str">
        <f>IF(V2002&gt;Z2002,"Yes","No")</f>
        <v>No</v>
      </c>
      <c r="AB2002" s="12">
        <f>V2002-Z2002</f>
        <v>-12.764400000000002</v>
      </c>
      <c r="AC2002" s="15" t="s">
        <v>130</v>
      </c>
      <c r="AD2002" s="15" t="s">
        <v>130</v>
      </c>
      <c r="AE2002" s="15" t="s">
        <v>421</v>
      </c>
      <c r="AF2002" s="12">
        <f>IF(AG2002="Rejected",0,IF(R2002="Corporate Card",0,V2002))</f>
        <v>0</v>
      </c>
      <c r="AG2002" s="15" t="s">
        <v>133</v>
      </c>
      <c r="AH2002" s="16">
        <v>45899</v>
      </c>
      <c r="AI2002" s="16">
        <v>45904</v>
      </c>
      <c r="AJ2002" s="16">
        <v>45913</v>
      </c>
      <c r="AK2002" s="17">
        <f>IF(AJ2002="","",AJ2002-AH2002)</f>
        <v>14</v>
      </c>
    </row>
    <row r="2003" spans="1:37">
      <c r="A2003" s="2" t="s">
        <v>2468</v>
      </c>
      <c r="B2003" s="2" t="s">
        <v>2399</v>
      </c>
      <c r="C2003" s="2" t="s">
        <v>120</v>
      </c>
      <c r="D2003" s="2" t="s">
        <v>118</v>
      </c>
      <c r="E2003" s="2" t="s">
        <v>2400</v>
      </c>
      <c r="F2003" s="2" t="s">
        <v>311</v>
      </c>
      <c r="G2003" s="2" t="s">
        <v>2401</v>
      </c>
      <c r="H2003" s="2" t="s">
        <v>448</v>
      </c>
      <c r="I2003" s="2" t="s">
        <v>749</v>
      </c>
      <c r="J2003" s="2" t="s">
        <v>750</v>
      </c>
      <c r="K2003" s="9">
        <v>45882</v>
      </c>
      <c r="L2003" s="9">
        <v>45889</v>
      </c>
      <c r="M2003" s="9">
        <v>45887</v>
      </c>
      <c r="N2003" s="2" t="s">
        <v>2314</v>
      </c>
      <c r="O2003" s="2" t="s">
        <v>55</v>
      </c>
      <c r="P2003" s="2" t="s">
        <v>139</v>
      </c>
      <c r="Q2003" s="2" t="s">
        <v>161</v>
      </c>
      <c r="R2003" s="2" t="s">
        <v>137</v>
      </c>
      <c r="S2003" s="2" t="s">
        <v>198</v>
      </c>
      <c r="T2003" s="10">
        <v>23.54</v>
      </c>
      <c r="U2003" s="11">
        <v>1.085</v>
      </c>
      <c r="V2003" s="12">
        <f>T2003*U2003</f>
        <v>25.540899999999997</v>
      </c>
      <c r="W2003" s="13">
        <v>0.19</v>
      </c>
      <c r="X2003" s="12">
        <f>V2003-(V2003/(1+W2003))</f>
        <v>4.0779588235294106</v>
      </c>
      <c r="Y2003" s="12">
        <f>V2003-X2003</f>
        <v>21.462941176470586</v>
      </c>
      <c r="Z2003" s="14">
        <v>35</v>
      </c>
      <c r="AA2003" s="2" t="str">
        <f>IF(V2003&gt;Z2003,"Yes","No")</f>
        <v>No</v>
      </c>
      <c r="AB2003" s="12">
        <f>V2003-Z2003</f>
        <v>-9.459100000000003</v>
      </c>
      <c r="AC2003" s="15" t="s">
        <v>130</v>
      </c>
      <c r="AD2003" s="15" t="s">
        <v>130</v>
      </c>
      <c r="AE2003" s="15" t="s">
        <v>421</v>
      </c>
      <c r="AF2003" s="12">
        <f>IF(AG2003="Rejected",0,IF(R2003="Corporate Card",0,V2003))</f>
        <v>25.540899999999997</v>
      </c>
      <c r="AG2003" s="15" t="s">
        <v>133</v>
      </c>
      <c r="AH2003" s="16">
        <v>45899</v>
      </c>
      <c r="AI2003" s="16">
        <v>45904</v>
      </c>
      <c r="AJ2003" s="16">
        <v>45913</v>
      </c>
      <c r="AK2003" s="17">
        <f>IF(AJ2003="","",AJ2003-AH2003)</f>
        <v>14</v>
      </c>
    </row>
    <row r="2004" spans="1:37">
      <c r="A2004" s="2" t="s">
        <v>2469</v>
      </c>
      <c r="B2004" s="2" t="s">
        <v>509</v>
      </c>
      <c r="C2004" s="2" t="s">
        <v>510</v>
      </c>
      <c r="D2004" s="2" t="s">
        <v>250</v>
      </c>
      <c r="E2004" s="2" t="s">
        <v>511</v>
      </c>
      <c r="F2004" s="2" t="s">
        <v>313</v>
      </c>
      <c r="G2004" s="2" t="s">
        <v>2446</v>
      </c>
      <c r="H2004" s="2" t="s">
        <v>379</v>
      </c>
      <c r="I2004" s="2" t="s">
        <v>553</v>
      </c>
      <c r="J2004" s="2" t="s">
        <v>553</v>
      </c>
      <c r="K2004" s="9">
        <v>45885</v>
      </c>
      <c r="L2004" s="9">
        <v>45888</v>
      </c>
      <c r="M2004" s="9">
        <v>45887</v>
      </c>
      <c r="N2004" s="2" t="s">
        <v>2314</v>
      </c>
      <c r="O2004" s="2" t="s">
        <v>54</v>
      </c>
      <c r="P2004" s="2" t="s">
        <v>139</v>
      </c>
      <c r="Q2004" s="2" t="s">
        <v>163</v>
      </c>
      <c r="R2004" s="2" t="s">
        <v>128</v>
      </c>
      <c r="S2004" s="2" t="s">
        <v>555</v>
      </c>
      <c r="T2004" s="10">
        <v>27.34</v>
      </c>
      <c r="U2004" s="11">
        <v>0.74299999999999999</v>
      </c>
      <c r="V2004" s="12">
        <f>T2004*U2004</f>
        <v>20.31362</v>
      </c>
      <c r="W2004" s="13">
        <v>0.09</v>
      </c>
      <c r="X2004" s="12">
        <f>V2004-(V2004/(1+W2004))</f>
        <v>1.6772713761467912</v>
      </c>
      <c r="Y2004" s="12">
        <f>V2004-X2004</f>
        <v>18.636348623853209</v>
      </c>
      <c r="Z2004" s="14">
        <v>25</v>
      </c>
      <c r="AA2004" s="2" t="str">
        <f>IF(V2004&gt;Z2004,"Yes","No")</f>
        <v>No</v>
      </c>
      <c r="AB2004" s="12">
        <f>V2004-Z2004</f>
        <v>-4.6863799999999998</v>
      </c>
      <c r="AC2004" s="15" t="s">
        <v>130</v>
      </c>
      <c r="AD2004" s="15" t="s">
        <v>130</v>
      </c>
      <c r="AE2004" s="15" t="s">
        <v>260</v>
      </c>
      <c r="AF2004" s="12">
        <f>IF(AG2004="Rejected",0,IF(R2004="Corporate Card",0,V2004))</f>
        <v>0</v>
      </c>
      <c r="AG2004" s="15" t="s">
        <v>133</v>
      </c>
      <c r="AH2004" s="16">
        <v>45897</v>
      </c>
      <c r="AI2004" s="16">
        <v>45903</v>
      </c>
      <c r="AJ2004" s="16">
        <v>45909</v>
      </c>
      <c r="AK2004" s="17">
        <f>IF(AJ2004="","",AJ2004-AH2004)</f>
        <v>12</v>
      </c>
    </row>
    <row r="2005" spans="1:37">
      <c r="A2005" s="2" t="s">
        <v>2470</v>
      </c>
      <c r="B2005" s="2" t="s">
        <v>509</v>
      </c>
      <c r="C2005" s="2" t="s">
        <v>510</v>
      </c>
      <c r="D2005" s="2" t="s">
        <v>250</v>
      </c>
      <c r="E2005" s="2" t="s">
        <v>511</v>
      </c>
      <c r="F2005" s="2" t="s">
        <v>313</v>
      </c>
      <c r="G2005" s="2" t="s">
        <v>2446</v>
      </c>
      <c r="H2005" s="2" t="s">
        <v>379</v>
      </c>
      <c r="I2005" s="2" t="s">
        <v>553</v>
      </c>
      <c r="J2005" s="2" t="s">
        <v>553</v>
      </c>
      <c r="K2005" s="9">
        <v>45885</v>
      </c>
      <c r="L2005" s="9">
        <v>45888</v>
      </c>
      <c r="M2005" s="9">
        <v>45887</v>
      </c>
      <c r="N2005" s="2" t="s">
        <v>2314</v>
      </c>
      <c r="O2005" s="2" t="s">
        <v>56</v>
      </c>
      <c r="P2005" s="2" t="s">
        <v>245</v>
      </c>
      <c r="Q2005" s="2" t="s">
        <v>152</v>
      </c>
      <c r="R2005" s="2" t="s">
        <v>137</v>
      </c>
      <c r="S2005" s="2" t="s">
        <v>555</v>
      </c>
      <c r="T2005" s="10">
        <v>61.59</v>
      </c>
      <c r="U2005" s="11">
        <v>0.74299999999999999</v>
      </c>
      <c r="V2005" s="12">
        <f>T2005*U2005</f>
        <v>45.761369999999999</v>
      </c>
      <c r="W2005" s="13">
        <v>0.09</v>
      </c>
      <c r="X2005" s="12">
        <f>V2005-(V2005/(1+W2005))</f>
        <v>3.7784617431192657</v>
      </c>
      <c r="Y2005" s="12">
        <f>V2005-X2005</f>
        <v>41.982908256880734</v>
      </c>
      <c r="Z2005" s="14">
        <v>75</v>
      </c>
      <c r="AA2005" s="2" t="str">
        <f>IF(V2005&gt;Z2005,"Yes","No")</f>
        <v>No</v>
      </c>
      <c r="AB2005" s="12">
        <f>V2005-Z2005</f>
        <v>-29.238630000000001</v>
      </c>
      <c r="AC2005" s="15" t="s">
        <v>130</v>
      </c>
      <c r="AD2005" s="15" t="s">
        <v>130</v>
      </c>
      <c r="AE2005" s="15" t="s">
        <v>260</v>
      </c>
      <c r="AF2005" s="12">
        <f>IF(AG2005="Rejected",0,IF(R2005="Corporate Card",0,V2005))</f>
        <v>45.761369999999999</v>
      </c>
      <c r="AG2005" s="15" t="s">
        <v>133</v>
      </c>
      <c r="AH2005" s="16">
        <v>45897</v>
      </c>
      <c r="AI2005" s="16">
        <v>45903</v>
      </c>
      <c r="AJ2005" s="16">
        <v>45909</v>
      </c>
      <c r="AK2005" s="17">
        <f>IF(AJ2005="","",AJ2005-AH2005)</f>
        <v>12</v>
      </c>
    </row>
    <row r="2006" spans="1:37">
      <c r="A2006" s="2" t="s">
        <v>2471</v>
      </c>
      <c r="B2006" s="2" t="s">
        <v>509</v>
      </c>
      <c r="C2006" s="2" t="s">
        <v>510</v>
      </c>
      <c r="D2006" s="2" t="s">
        <v>250</v>
      </c>
      <c r="E2006" s="2" t="s">
        <v>511</v>
      </c>
      <c r="F2006" s="2" t="s">
        <v>313</v>
      </c>
      <c r="G2006" s="2" t="s">
        <v>2446</v>
      </c>
      <c r="H2006" s="2" t="s">
        <v>379</v>
      </c>
      <c r="I2006" s="2" t="s">
        <v>553</v>
      </c>
      <c r="J2006" s="2" t="s">
        <v>553</v>
      </c>
      <c r="K2006" s="9">
        <v>45885</v>
      </c>
      <c r="L2006" s="9">
        <v>45888</v>
      </c>
      <c r="M2006" s="9">
        <v>45887</v>
      </c>
      <c r="N2006" s="2" t="s">
        <v>2314</v>
      </c>
      <c r="O2006" s="2" t="s">
        <v>55</v>
      </c>
      <c r="P2006" s="2" t="s">
        <v>139</v>
      </c>
      <c r="Q2006" s="2" t="s">
        <v>154</v>
      </c>
      <c r="R2006" s="2" t="s">
        <v>128</v>
      </c>
      <c r="S2006" s="2" t="s">
        <v>555</v>
      </c>
      <c r="T2006" s="10">
        <v>23.64</v>
      </c>
      <c r="U2006" s="11">
        <v>0.74299999999999999</v>
      </c>
      <c r="V2006" s="12">
        <f>T2006*U2006</f>
        <v>17.564520000000002</v>
      </c>
      <c r="W2006" s="13">
        <v>0.09</v>
      </c>
      <c r="X2006" s="12">
        <f>V2006-(V2006/(1+W2006))</f>
        <v>1.4502814678899085</v>
      </c>
      <c r="Y2006" s="12">
        <f>V2006-X2006</f>
        <v>16.114238532110093</v>
      </c>
      <c r="Z2006" s="14">
        <v>35</v>
      </c>
      <c r="AA2006" s="2" t="str">
        <f>IF(V2006&gt;Z2006,"Yes","No")</f>
        <v>No</v>
      </c>
      <c r="AB2006" s="12">
        <f>V2006-Z2006</f>
        <v>-17.435479999999998</v>
      </c>
      <c r="AC2006" s="15" t="s">
        <v>130</v>
      </c>
      <c r="AD2006" s="15" t="s">
        <v>130</v>
      </c>
      <c r="AE2006" s="15" t="s">
        <v>260</v>
      </c>
      <c r="AF2006" s="12">
        <f>IF(AG2006="Rejected",0,IF(R2006="Corporate Card",0,V2006))</f>
        <v>0</v>
      </c>
      <c r="AG2006" s="15" t="s">
        <v>133</v>
      </c>
      <c r="AH2006" s="16">
        <v>45897</v>
      </c>
      <c r="AI2006" s="16">
        <v>45903</v>
      </c>
      <c r="AJ2006" s="16">
        <v>45909</v>
      </c>
      <c r="AK2006" s="17">
        <f>IF(AJ2006="","",AJ2006-AH2006)</f>
        <v>12</v>
      </c>
    </row>
    <row r="2007" spans="1:37">
      <c r="A2007" s="2" t="s">
        <v>2472</v>
      </c>
      <c r="B2007" s="2" t="s">
        <v>2399</v>
      </c>
      <c r="C2007" s="2" t="s">
        <v>120</v>
      </c>
      <c r="D2007" s="2" t="s">
        <v>118</v>
      </c>
      <c r="E2007" s="2" t="s">
        <v>2400</v>
      </c>
      <c r="F2007" s="2" t="s">
        <v>311</v>
      </c>
      <c r="G2007" s="2" t="s">
        <v>2401</v>
      </c>
      <c r="H2007" s="2" t="s">
        <v>448</v>
      </c>
      <c r="I2007" s="2" t="s">
        <v>749</v>
      </c>
      <c r="J2007" s="2" t="s">
        <v>750</v>
      </c>
      <c r="K2007" s="9">
        <v>45882</v>
      </c>
      <c r="L2007" s="9">
        <v>45889</v>
      </c>
      <c r="M2007" s="9">
        <v>45888</v>
      </c>
      <c r="N2007" s="2" t="s">
        <v>2314</v>
      </c>
      <c r="O2007" s="2" t="s">
        <v>54</v>
      </c>
      <c r="P2007" s="2" t="s">
        <v>139</v>
      </c>
      <c r="Q2007" s="2" t="s">
        <v>148</v>
      </c>
      <c r="R2007" s="2" t="s">
        <v>137</v>
      </c>
      <c r="S2007" s="2" t="s">
        <v>198</v>
      </c>
      <c r="T2007" s="10">
        <v>15.63</v>
      </c>
      <c r="U2007" s="11">
        <v>1.085</v>
      </c>
      <c r="V2007" s="12">
        <f>T2007*U2007</f>
        <v>16.958549999999999</v>
      </c>
      <c r="W2007" s="13">
        <v>0.19</v>
      </c>
      <c r="X2007" s="12">
        <f>V2007-(V2007/(1+W2007))</f>
        <v>2.7076676470588232</v>
      </c>
      <c r="Y2007" s="12">
        <f>V2007-X2007</f>
        <v>14.250882352941176</v>
      </c>
      <c r="Z2007" s="14">
        <v>25</v>
      </c>
      <c r="AA2007" s="2" t="str">
        <f>IF(V2007&gt;Z2007,"Yes","No")</f>
        <v>No</v>
      </c>
      <c r="AB2007" s="12">
        <f>V2007-Z2007</f>
        <v>-8.0414500000000011</v>
      </c>
      <c r="AC2007" s="15" t="s">
        <v>130</v>
      </c>
      <c r="AD2007" s="15" t="s">
        <v>130</v>
      </c>
      <c r="AE2007" s="15" t="s">
        <v>421</v>
      </c>
      <c r="AF2007" s="12">
        <f>IF(AG2007="Rejected",0,IF(R2007="Corporate Card",0,V2007))</f>
        <v>16.958549999999999</v>
      </c>
      <c r="AG2007" s="15" t="s">
        <v>133</v>
      </c>
      <c r="AH2007" s="16">
        <v>45899</v>
      </c>
      <c r="AI2007" s="16">
        <v>45904</v>
      </c>
      <c r="AJ2007" s="16">
        <v>45913</v>
      </c>
      <c r="AK2007" s="17">
        <f>IF(AJ2007="","",AJ2007-AH2007)</f>
        <v>14</v>
      </c>
    </row>
    <row r="2008" spans="1:37">
      <c r="A2008" s="2" t="s">
        <v>2473</v>
      </c>
      <c r="B2008" s="2" t="s">
        <v>2399</v>
      </c>
      <c r="C2008" s="2" t="s">
        <v>120</v>
      </c>
      <c r="D2008" s="2" t="s">
        <v>118</v>
      </c>
      <c r="E2008" s="2" t="s">
        <v>2400</v>
      </c>
      <c r="F2008" s="2" t="s">
        <v>311</v>
      </c>
      <c r="G2008" s="2" t="s">
        <v>2401</v>
      </c>
      <c r="H2008" s="2" t="s">
        <v>448</v>
      </c>
      <c r="I2008" s="2" t="s">
        <v>749</v>
      </c>
      <c r="J2008" s="2" t="s">
        <v>750</v>
      </c>
      <c r="K2008" s="9">
        <v>45882</v>
      </c>
      <c r="L2008" s="9">
        <v>45889</v>
      </c>
      <c r="M2008" s="9">
        <v>45888</v>
      </c>
      <c r="N2008" s="2" t="s">
        <v>2314</v>
      </c>
      <c r="O2008" s="2" t="s">
        <v>56</v>
      </c>
      <c r="P2008" s="2" t="s">
        <v>231</v>
      </c>
      <c r="Q2008" s="2" t="s">
        <v>166</v>
      </c>
      <c r="R2008" s="2" t="s">
        <v>137</v>
      </c>
      <c r="S2008" s="2" t="s">
        <v>198</v>
      </c>
      <c r="T2008" s="10">
        <v>60.58</v>
      </c>
      <c r="U2008" s="11">
        <v>1.085</v>
      </c>
      <c r="V2008" s="12">
        <f>T2008*U2008</f>
        <v>65.729299999999995</v>
      </c>
      <c r="W2008" s="13">
        <v>0.19</v>
      </c>
      <c r="X2008" s="12">
        <f>V2008-(V2008/(1+W2008))</f>
        <v>10.494594117647054</v>
      </c>
      <c r="Y2008" s="12">
        <f>V2008-X2008</f>
        <v>55.234705882352941</v>
      </c>
      <c r="Z2008" s="14">
        <v>75</v>
      </c>
      <c r="AA2008" s="2" t="str">
        <f>IF(V2008&gt;Z2008,"Yes","No")</f>
        <v>No</v>
      </c>
      <c r="AB2008" s="12">
        <f>V2008-Z2008</f>
        <v>-9.270700000000005</v>
      </c>
      <c r="AC2008" s="15" t="s">
        <v>130</v>
      </c>
      <c r="AD2008" s="15" t="s">
        <v>130</v>
      </c>
      <c r="AE2008" s="15" t="s">
        <v>421</v>
      </c>
      <c r="AF2008" s="12">
        <f>IF(AG2008="Rejected",0,IF(R2008="Corporate Card",0,V2008))</f>
        <v>65.729299999999995</v>
      </c>
      <c r="AG2008" s="15" t="s">
        <v>133</v>
      </c>
      <c r="AH2008" s="16">
        <v>45899</v>
      </c>
      <c r="AI2008" s="16">
        <v>45904</v>
      </c>
      <c r="AJ2008" s="16">
        <v>45913</v>
      </c>
      <c r="AK2008" s="17">
        <f>IF(AJ2008="","",AJ2008-AH2008)</f>
        <v>14</v>
      </c>
    </row>
    <row r="2009" spans="1:37">
      <c r="A2009" s="2" t="s">
        <v>2474</v>
      </c>
      <c r="B2009" s="2" t="s">
        <v>2399</v>
      </c>
      <c r="C2009" s="2" t="s">
        <v>120</v>
      </c>
      <c r="D2009" s="2" t="s">
        <v>118</v>
      </c>
      <c r="E2009" s="2" t="s">
        <v>2400</v>
      </c>
      <c r="F2009" s="2" t="s">
        <v>311</v>
      </c>
      <c r="G2009" s="2" t="s">
        <v>2401</v>
      </c>
      <c r="H2009" s="2" t="s">
        <v>448</v>
      </c>
      <c r="I2009" s="2" t="s">
        <v>749</v>
      </c>
      <c r="J2009" s="2" t="s">
        <v>750</v>
      </c>
      <c r="K2009" s="9">
        <v>45882</v>
      </c>
      <c r="L2009" s="9">
        <v>45889</v>
      </c>
      <c r="M2009" s="9">
        <v>45888</v>
      </c>
      <c r="N2009" s="2" t="s">
        <v>2314</v>
      </c>
      <c r="O2009" s="2" t="s">
        <v>55</v>
      </c>
      <c r="P2009" s="2" t="s">
        <v>139</v>
      </c>
      <c r="Q2009" s="2" t="s">
        <v>154</v>
      </c>
      <c r="R2009" s="2" t="s">
        <v>128</v>
      </c>
      <c r="S2009" s="2" t="s">
        <v>198</v>
      </c>
      <c r="T2009" s="10">
        <v>26.03</v>
      </c>
      <c r="U2009" s="11">
        <v>1.085</v>
      </c>
      <c r="V2009" s="12">
        <f>T2009*U2009</f>
        <v>28.242550000000001</v>
      </c>
      <c r="W2009" s="13">
        <v>0.19</v>
      </c>
      <c r="X2009" s="12">
        <f>V2009-(V2009/(1+W2009))</f>
        <v>4.5093147058823533</v>
      </c>
      <c r="Y2009" s="12">
        <f>V2009-X2009</f>
        <v>23.733235294117648</v>
      </c>
      <c r="Z2009" s="14">
        <v>35</v>
      </c>
      <c r="AA2009" s="2" t="str">
        <f>IF(V2009&gt;Z2009,"Yes","No")</f>
        <v>No</v>
      </c>
      <c r="AB2009" s="12">
        <f>V2009-Z2009</f>
        <v>-6.7574499999999986</v>
      </c>
      <c r="AC2009" s="15" t="s">
        <v>130</v>
      </c>
      <c r="AD2009" s="15" t="s">
        <v>130</v>
      </c>
      <c r="AE2009" s="15" t="s">
        <v>421</v>
      </c>
      <c r="AF2009" s="12">
        <f>IF(AG2009="Rejected",0,IF(R2009="Corporate Card",0,V2009))</f>
        <v>0</v>
      </c>
      <c r="AG2009" s="15" t="s">
        <v>133</v>
      </c>
      <c r="AH2009" s="16">
        <v>45899</v>
      </c>
      <c r="AI2009" s="16">
        <v>45904</v>
      </c>
      <c r="AJ2009" s="16">
        <v>45913</v>
      </c>
      <c r="AK2009" s="17">
        <f>IF(AJ2009="","",AJ2009-AH2009)</f>
        <v>14</v>
      </c>
    </row>
    <row r="2010" spans="1:37">
      <c r="A2010" s="2" t="s">
        <v>2475</v>
      </c>
      <c r="B2010" s="2" t="s">
        <v>509</v>
      </c>
      <c r="C2010" s="2" t="s">
        <v>510</v>
      </c>
      <c r="D2010" s="2" t="s">
        <v>250</v>
      </c>
      <c r="E2010" s="2" t="s">
        <v>511</v>
      </c>
      <c r="F2010" s="2" t="s">
        <v>313</v>
      </c>
      <c r="G2010" s="2" t="s">
        <v>2446</v>
      </c>
      <c r="H2010" s="2" t="s">
        <v>379</v>
      </c>
      <c r="I2010" s="2" t="s">
        <v>553</v>
      </c>
      <c r="J2010" s="2" t="s">
        <v>553</v>
      </c>
      <c r="K2010" s="9">
        <v>45885</v>
      </c>
      <c r="L2010" s="9">
        <v>45888</v>
      </c>
      <c r="M2010" s="9">
        <v>45888</v>
      </c>
      <c r="N2010" s="2" t="s">
        <v>2314</v>
      </c>
      <c r="O2010" s="2" t="s">
        <v>54</v>
      </c>
      <c r="P2010" s="2" t="s">
        <v>139</v>
      </c>
      <c r="Q2010" s="2" t="s">
        <v>163</v>
      </c>
      <c r="R2010" s="2" t="s">
        <v>137</v>
      </c>
      <c r="S2010" s="2" t="s">
        <v>555</v>
      </c>
      <c r="T2010" s="10">
        <v>52.07</v>
      </c>
      <c r="U2010" s="11">
        <v>0.74299999999999999</v>
      </c>
      <c r="V2010" s="12">
        <f>T2010*U2010</f>
        <v>38.688009999999998</v>
      </c>
      <c r="W2010" s="13">
        <v>0.09</v>
      </c>
      <c r="X2010" s="12">
        <f>V2010-(V2010/(1+W2010))</f>
        <v>3.1944228440367013</v>
      </c>
      <c r="Y2010" s="12">
        <f>V2010-X2010</f>
        <v>35.493587155963297</v>
      </c>
      <c r="Z2010" s="14">
        <v>25</v>
      </c>
      <c r="AA2010" s="2" t="str">
        <f>IF(V2010&gt;Z2010,"Yes","No")</f>
        <v>Yes</v>
      </c>
      <c r="AB2010" s="12">
        <f>V2010-Z2010</f>
        <v>13.688009999999998</v>
      </c>
      <c r="AC2010" s="15" t="s">
        <v>130</v>
      </c>
      <c r="AD2010" s="15" t="s">
        <v>130</v>
      </c>
      <c r="AE2010" s="15" t="s">
        <v>260</v>
      </c>
      <c r="AF2010" s="12">
        <f>IF(AG2010="Rejected",0,IF(R2010="Corporate Card",0,V2010))</f>
        <v>38.688009999999998</v>
      </c>
      <c r="AG2010" s="15" t="s">
        <v>133</v>
      </c>
      <c r="AH2010" s="16">
        <v>45897</v>
      </c>
      <c r="AI2010" s="16">
        <v>45903</v>
      </c>
      <c r="AJ2010" s="16">
        <v>45909</v>
      </c>
      <c r="AK2010" s="17">
        <f>IF(AJ2010="","",AJ2010-AH2010)</f>
        <v>12</v>
      </c>
    </row>
    <row r="2011" spans="1:37">
      <c r="A2011" s="2" t="s">
        <v>2476</v>
      </c>
      <c r="B2011" s="2" t="s">
        <v>509</v>
      </c>
      <c r="C2011" s="2" t="s">
        <v>510</v>
      </c>
      <c r="D2011" s="2" t="s">
        <v>250</v>
      </c>
      <c r="E2011" s="2" t="s">
        <v>511</v>
      </c>
      <c r="F2011" s="2" t="s">
        <v>313</v>
      </c>
      <c r="G2011" s="2" t="s">
        <v>2446</v>
      </c>
      <c r="H2011" s="2" t="s">
        <v>379</v>
      </c>
      <c r="I2011" s="2" t="s">
        <v>553</v>
      </c>
      <c r="J2011" s="2" t="s">
        <v>553</v>
      </c>
      <c r="K2011" s="9">
        <v>45885</v>
      </c>
      <c r="L2011" s="9">
        <v>45888</v>
      </c>
      <c r="M2011" s="9">
        <v>45888</v>
      </c>
      <c r="N2011" s="2" t="s">
        <v>2314</v>
      </c>
      <c r="O2011" s="2" t="s">
        <v>56</v>
      </c>
      <c r="P2011" s="2" t="s">
        <v>151</v>
      </c>
      <c r="Q2011" s="2" t="s">
        <v>152</v>
      </c>
      <c r="R2011" s="2" t="s">
        <v>128</v>
      </c>
      <c r="S2011" s="2" t="s">
        <v>555</v>
      </c>
      <c r="T2011" s="10">
        <v>66.98</v>
      </c>
      <c r="U2011" s="11">
        <v>0.74299999999999999</v>
      </c>
      <c r="V2011" s="12">
        <f>T2011*U2011</f>
        <v>49.76614</v>
      </c>
      <c r="W2011" s="13">
        <v>0.09</v>
      </c>
      <c r="X2011" s="12">
        <f>V2011-(V2011/(1+W2011))</f>
        <v>4.1091308256880765</v>
      </c>
      <c r="Y2011" s="12">
        <f>V2011-X2011</f>
        <v>45.657009174311924</v>
      </c>
      <c r="Z2011" s="14">
        <v>75</v>
      </c>
      <c r="AA2011" s="2" t="str">
        <f>IF(V2011&gt;Z2011,"Yes","No")</f>
        <v>No</v>
      </c>
      <c r="AB2011" s="12">
        <f>V2011-Z2011</f>
        <v>-25.23386</v>
      </c>
      <c r="AC2011" s="15" t="s">
        <v>130</v>
      </c>
      <c r="AD2011" s="15" t="s">
        <v>130</v>
      </c>
      <c r="AE2011" s="15" t="s">
        <v>260</v>
      </c>
      <c r="AF2011" s="12">
        <f>IF(AG2011="Rejected",0,IF(R2011="Corporate Card",0,V2011))</f>
        <v>0</v>
      </c>
      <c r="AG2011" s="15" t="s">
        <v>133</v>
      </c>
      <c r="AH2011" s="16">
        <v>45897</v>
      </c>
      <c r="AI2011" s="16">
        <v>45903</v>
      </c>
      <c r="AJ2011" s="16">
        <v>45909</v>
      </c>
      <c r="AK2011" s="17">
        <f>IF(AJ2011="","",AJ2011-AH2011)</f>
        <v>12</v>
      </c>
    </row>
    <row r="2012" spans="1:37">
      <c r="A2012" s="2" t="s">
        <v>2477</v>
      </c>
      <c r="B2012" s="2" t="s">
        <v>509</v>
      </c>
      <c r="C2012" s="2" t="s">
        <v>510</v>
      </c>
      <c r="D2012" s="2" t="s">
        <v>250</v>
      </c>
      <c r="E2012" s="2" t="s">
        <v>511</v>
      </c>
      <c r="F2012" s="2" t="s">
        <v>313</v>
      </c>
      <c r="G2012" s="2" t="s">
        <v>2446</v>
      </c>
      <c r="H2012" s="2" t="s">
        <v>379</v>
      </c>
      <c r="I2012" s="2" t="s">
        <v>553</v>
      </c>
      <c r="J2012" s="2" t="s">
        <v>553</v>
      </c>
      <c r="K2012" s="9">
        <v>45885</v>
      </c>
      <c r="L2012" s="9">
        <v>45888</v>
      </c>
      <c r="M2012" s="9">
        <v>45888</v>
      </c>
      <c r="N2012" s="2" t="s">
        <v>2314</v>
      </c>
      <c r="O2012" s="2" t="s">
        <v>55</v>
      </c>
      <c r="P2012" s="2" t="s">
        <v>139</v>
      </c>
      <c r="Q2012" s="2" t="s">
        <v>154</v>
      </c>
      <c r="R2012" s="2" t="s">
        <v>128</v>
      </c>
      <c r="S2012" s="2" t="s">
        <v>555</v>
      </c>
      <c r="T2012" s="10">
        <v>19.72</v>
      </c>
      <c r="U2012" s="11">
        <v>0.74299999999999999</v>
      </c>
      <c r="V2012" s="12">
        <f>T2012*U2012</f>
        <v>14.651959999999999</v>
      </c>
      <c r="W2012" s="13">
        <v>0.09</v>
      </c>
      <c r="X2012" s="12">
        <f>V2012-(V2012/(1+W2012))</f>
        <v>1.2097948623853227</v>
      </c>
      <c r="Y2012" s="12">
        <f>V2012-X2012</f>
        <v>13.442165137614676</v>
      </c>
      <c r="Z2012" s="14">
        <v>35</v>
      </c>
      <c r="AA2012" s="2" t="str">
        <f>IF(V2012&gt;Z2012,"Yes","No")</f>
        <v>No</v>
      </c>
      <c r="AB2012" s="12">
        <f>V2012-Z2012</f>
        <v>-20.348040000000001</v>
      </c>
      <c r="AC2012" s="15" t="s">
        <v>130</v>
      </c>
      <c r="AD2012" s="15" t="s">
        <v>130</v>
      </c>
      <c r="AE2012" s="15" t="s">
        <v>260</v>
      </c>
      <c r="AF2012" s="12">
        <f>IF(AG2012="Rejected",0,IF(R2012="Corporate Card",0,V2012))</f>
        <v>0</v>
      </c>
      <c r="AG2012" s="15" t="s">
        <v>133</v>
      </c>
      <c r="AH2012" s="16">
        <v>45897</v>
      </c>
      <c r="AI2012" s="16">
        <v>45903</v>
      </c>
      <c r="AJ2012" s="16">
        <v>45909</v>
      </c>
      <c r="AK2012" s="17">
        <f>IF(AJ2012="","",AJ2012-AH2012)</f>
        <v>12</v>
      </c>
    </row>
    <row r="2013" spans="1:37">
      <c r="A2013" s="2" t="s">
        <v>2478</v>
      </c>
      <c r="B2013" s="2" t="s">
        <v>2399</v>
      </c>
      <c r="C2013" s="2" t="s">
        <v>120</v>
      </c>
      <c r="D2013" s="2" t="s">
        <v>118</v>
      </c>
      <c r="E2013" s="2" t="s">
        <v>2400</v>
      </c>
      <c r="F2013" s="2" t="s">
        <v>311</v>
      </c>
      <c r="G2013" s="2" t="s">
        <v>2401</v>
      </c>
      <c r="H2013" s="2" t="s">
        <v>448</v>
      </c>
      <c r="I2013" s="2" t="s">
        <v>749</v>
      </c>
      <c r="J2013" s="2" t="s">
        <v>750</v>
      </c>
      <c r="K2013" s="9">
        <v>45882</v>
      </c>
      <c r="L2013" s="9">
        <v>45889</v>
      </c>
      <c r="M2013" s="9">
        <v>45889</v>
      </c>
      <c r="N2013" s="2" t="s">
        <v>2314</v>
      </c>
      <c r="O2013" s="2" t="s">
        <v>54</v>
      </c>
      <c r="P2013" s="2" t="s">
        <v>139</v>
      </c>
      <c r="Q2013" s="2" t="s">
        <v>140</v>
      </c>
      <c r="R2013" s="2" t="s">
        <v>128</v>
      </c>
      <c r="S2013" s="2" t="s">
        <v>198</v>
      </c>
      <c r="T2013" s="10">
        <v>9.74</v>
      </c>
      <c r="U2013" s="11">
        <v>1.085</v>
      </c>
      <c r="V2013" s="12">
        <f>T2013*U2013</f>
        <v>10.5679</v>
      </c>
      <c r="W2013" s="13">
        <v>0.19</v>
      </c>
      <c r="X2013" s="12">
        <f>V2013-(V2013/(1+W2013))</f>
        <v>1.687311764705882</v>
      </c>
      <c r="Y2013" s="12">
        <f>V2013-X2013</f>
        <v>8.8805882352941179</v>
      </c>
      <c r="Z2013" s="14">
        <v>25</v>
      </c>
      <c r="AA2013" s="2" t="str">
        <f>IF(V2013&gt;Z2013,"Yes","No")</f>
        <v>No</v>
      </c>
      <c r="AB2013" s="12">
        <f>V2013-Z2013</f>
        <v>-14.4321</v>
      </c>
      <c r="AC2013" s="15" t="s">
        <v>130</v>
      </c>
      <c r="AD2013" s="15" t="s">
        <v>130</v>
      </c>
      <c r="AE2013" s="15" t="s">
        <v>421</v>
      </c>
      <c r="AF2013" s="12">
        <f>IF(AG2013="Rejected",0,IF(R2013="Corporate Card",0,V2013))</f>
        <v>0</v>
      </c>
      <c r="AG2013" s="15" t="s">
        <v>133</v>
      </c>
      <c r="AH2013" s="16">
        <v>45899</v>
      </c>
      <c r="AI2013" s="16">
        <v>45904</v>
      </c>
      <c r="AJ2013" s="16">
        <v>45913</v>
      </c>
      <c r="AK2013" s="17">
        <f>IF(AJ2013="","",AJ2013-AH2013)</f>
        <v>14</v>
      </c>
    </row>
    <row r="2014" spans="1:37">
      <c r="A2014" s="2" t="s">
        <v>2479</v>
      </c>
      <c r="B2014" s="2" t="s">
        <v>342</v>
      </c>
      <c r="C2014" s="2" t="s">
        <v>343</v>
      </c>
      <c r="D2014" s="2" t="s">
        <v>344</v>
      </c>
      <c r="E2014" s="2" t="s">
        <v>345</v>
      </c>
      <c r="F2014" s="2" t="s">
        <v>346</v>
      </c>
      <c r="G2014" s="2" t="s">
        <v>2480</v>
      </c>
      <c r="H2014" s="2" t="s">
        <v>417</v>
      </c>
      <c r="I2014" s="2" t="s">
        <v>1251</v>
      </c>
      <c r="J2014" s="2" t="s">
        <v>750</v>
      </c>
      <c r="K2014" s="9">
        <v>45892</v>
      </c>
      <c r="L2014" s="9">
        <v>45899</v>
      </c>
      <c r="M2014" s="9">
        <v>45892</v>
      </c>
      <c r="N2014" s="2" t="s">
        <v>2314</v>
      </c>
      <c r="O2014" s="2" t="s">
        <v>52</v>
      </c>
      <c r="P2014" s="2" t="s">
        <v>1252</v>
      </c>
      <c r="Q2014" s="2" t="s">
        <v>420</v>
      </c>
      <c r="R2014" s="2" t="s">
        <v>137</v>
      </c>
      <c r="S2014" s="2" t="s">
        <v>198</v>
      </c>
      <c r="T2014" s="10">
        <v>1696.12</v>
      </c>
      <c r="U2014" s="11">
        <v>1.085</v>
      </c>
      <c r="V2014" s="12">
        <f>T2014*U2014</f>
        <v>1840.2901999999999</v>
      </c>
      <c r="W2014" s="13">
        <v>0</v>
      </c>
      <c r="X2014" s="12">
        <f>V2014-(V2014/(1+W2014))</f>
        <v>0</v>
      </c>
      <c r="Y2014" s="12">
        <f>V2014-X2014</f>
        <v>1840.2901999999999</v>
      </c>
      <c r="Z2014" s="14">
        <v>1400</v>
      </c>
      <c r="AA2014" s="2" t="str">
        <f>IF(V2014&gt;Z2014,"Yes","No")</f>
        <v>Yes</v>
      </c>
      <c r="AB2014" s="12">
        <f>V2014-Z2014</f>
        <v>440.29019999999991</v>
      </c>
      <c r="AC2014" s="15" t="s">
        <v>130</v>
      </c>
      <c r="AD2014" s="15" t="s">
        <v>130</v>
      </c>
      <c r="AE2014" s="15" t="s">
        <v>437</v>
      </c>
      <c r="AF2014" s="12">
        <f>IF(AG2014="Rejected",0,IF(R2014="Corporate Card",0,V2014))</f>
        <v>1840.2901999999999</v>
      </c>
      <c r="AG2014" s="15" t="s">
        <v>181</v>
      </c>
      <c r="AH2014" s="16">
        <v>45902</v>
      </c>
      <c r="AI2014" s="16"/>
      <c r="AJ2014" s="16"/>
      <c r="AK2014" s="17" t="str">
        <f>IF(AJ2014="","",AJ2014-AH2014)</f>
        <v/>
      </c>
    </row>
    <row r="2015" spans="1:37">
      <c r="A2015" s="2" t="s">
        <v>2481</v>
      </c>
      <c r="B2015" s="2" t="s">
        <v>342</v>
      </c>
      <c r="C2015" s="2" t="s">
        <v>343</v>
      </c>
      <c r="D2015" s="2" t="s">
        <v>344</v>
      </c>
      <c r="E2015" s="2" t="s">
        <v>345</v>
      </c>
      <c r="F2015" s="2" t="s">
        <v>346</v>
      </c>
      <c r="G2015" s="2" t="s">
        <v>2480</v>
      </c>
      <c r="H2015" s="2" t="s">
        <v>417</v>
      </c>
      <c r="I2015" s="2" t="s">
        <v>1251</v>
      </c>
      <c r="J2015" s="2" t="s">
        <v>750</v>
      </c>
      <c r="K2015" s="9">
        <v>45892</v>
      </c>
      <c r="L2015" s="9">
        <v>45899</v>
      </c>
      <c r="M2015" s="9">
        <v>45892</v>
      </c>
      <c r="N2015" s="2" t="s">
        <v>2314</v>
      </c>
      <c r="O2015" s="2" t="s">
        <v>54</v>
      </c>
      <c r="P2015" s="2" t="s">
        <v>139</v>
      </c>
      <c r="Q2015" s="2" t="s">
        <v>163</v>
      </c>
      <c r="R2015" s="2" t="s">
        <v>128</v>
      </c>
      <c r="S2015" s="2" t="s">
        <v>198</v>
      </c>
      <c r="T2015" s="10">
        <v>10.46</v>
      </c>
      <c r="U2015" s="11">
        <v>1.085</v>
      </c>
      <c r="V2015" s="12">
        <f>T2015*U2015</f>
        <v>11.3491</v>
      </c>
      <c r="W2015" s="13">
        <v>0.19</v>
      </c>
      <c r="X2015" s="12">
        <f>V2015-(V2015/(1+W2015))</f>
        <v>1.8120411764705882</v>
      </c>
      <c r="Y2015" s="12">
        <f>V2015-X2015</f>
        <v>9.5370588235294118</v>
      </c>
      <c r="Z2015" s="14">
        <v>25</v>
      </c>
      <c r="AA2015" s="2" t="str">
        <f>IF(V2015&gt;Z2015,"Yes","No")</f>
        <v>No</v>
      </c>
      <c r="AB2015" s="12">
        <f>V2015-Z2015</f>
        <v>-13.6509</v>
      </c>
      <c r="AC2015" s="15" t="s">
        <v>130</v>
      </c>
      <c r="AD2015" s="15" t="s">
        <v>130</v>
      </c>
      <c r="AE2015" s="15" t="s">
        <v>437</v>
      </c>
      <c r="AF2015" s="12">
        <f>IF(AG2015="Rejected",0,IF(R2015="Corporate Card",0,V2015))</f>
        <v>0</v>
      </c>
      <c r="AG2015" s="15" t="s">
        <v>181</v>
      </c>
      <c r="AH2015" s="16">
        <v>45902</v>
      </c>
      <c r="AI2015" s="16"/>
      <c r="AJ2015" s="16"/>
      <c r="AK2015" s="17" t="str">
        <f>IF(AJ2015="","",AJ2015-AH2015)</f>
        <v/>
      </c>
    </row>
    <row r="2016" spans="1:37">
      <c r="A2016" s="2" t="s">
        <v>2482</v>
      </c>
      <c r="B2016" s="2" t="s">
        <v>342</v>
      </c>
      <c r="C2016" s="2" t="s">
        <v>343</v>
      </c>
      <c r="D2016" s="2" t="s">
        <v>344</v>
      </c>
      <c r="E2016" s="2" t="s">
        <v>345</v>
      </c>
      <c r="F2016" s="2" t="s">
        <v>346</v>
      </c>
      <c r="G2016" s="2" t="s">
        <v>2480</v>
      </c>
      <c r="H2016" s="2" t="s">
        <v>417</v>
      </c>
      <c r="I2016" s="2" t="s">
        <v>1251</v>
      </c>
      <c r="J2016" s="2" t="s">
        <v>750</v>
      </c>
      <c r="K2016" s="9">
        <v>45892</v>
      </c>
      <c r="L2016" s="9">
        <v>45899</v>
      </c>
      <c r="M2016" s="9">
        <v>45892</v>
      </c>
      <c r="N2016" s="2" t="s">
        <v>2314</v>
      </c>
      <c r="O2016" s="2" t="s">
        <v>56</v>
      </c>
      <c r="P2016" s="2" t="s">
        <v>151</v>
      </c>
      <c r="Q2016" s="2" t="s">
        <v>166</v>
      </c>
      <c r="R2016" s="2" t="s">
        <v>128</v>
      </c>
      <c r="S2016" s="2" t="s">
        <v>198</v>
      </c>
      <c r="T2016" s="10">
        <v>44.83</v>
      </c>
      <c r="U2016" s="11">
        <v>1.085</v>
      </c>
      <c r="V2016" s="12">
        <f>T2016*U2016</f>
        <v>48.640549999999998</v>
      </c>
      <c r="W2016" s="13">
        <v>0.19</v>
      </c>
      <c r="X2016" s="12">
        <f>V2016-(V2016/(1+W2016))</f>
        <v>7.7661382352941146</v>
      </c>
      <c r="Y2016" s="12">
        <f>V2016-X2016</f>
        <v>40.874411764705883</v>
      </c>
      <c r="Z2016" s="14">
        <v>75</v>
      </c>
      <c r="AA2016" s="2" t="str">
        <f>IF(V2016&gt;Z2016,"Yes","No")</f>
        <v>No</v>
      </c>
      <c r="AB2016" s="12">
        <f>V2016-Z2016</f>
        <v>-26.359450000000002</v>
      </c>
      <c r="AC2016" s="15" t="s">
        <v>130</v>
      </c>
      <c r="AD2016" s="15" t="s">
        <v>130</v>
      </c>
      <c r="AE2016" s="15" t="s">
        <v>437</v>
      </c>
      <c r="AF2016" s="12">
        <f>IF(AG2016="Rejected",0,IF(R2016="Corporate Card",0,V2016))</f>
        <v>0</v>
      </c>
      <c r="AG2016" s="15" t="s">
        <v>181</v>
      </c>
      <c r="AH2016" s="16">
        <v>45902</v>
      </c>
      <c r="AI2016" s="16"/>
      <c r="AJ2016" s="16"/>
      <c r="AK2016" s="17" t="str">
        <f>IF(AJ2016="","",AJ2016-AH2016)</f>
        <v/>
      </c>
    </row>
    <row r="2017" spans="1:37">
      <c r="A2017" s="2" t="s">
        <v>2483</v>
      </c>
      <c r="B2017" s="2" t="s">
        <v>342</v>
      </c>
      <c r="C2017" s="2" t="s">
        <v>343</v>
      </c>
      <c r="D2017" s="2" t="s">
        <v>344</v>
      </c>
      <c r="E2017" s="2" t="s">
        <v>345</v>
      </c>
      <c r="F2017" s="2" t="s">
        <v>346</v>
      </c>
      <c r="G2017" s="2" t="s">
        <v>2480</v>
      </c>
      <c r="H2017" s="2" t="s">
        <v>417</v>
      </c>
      <c r="I2017" s="2" t="s">
        <v>1251</v>
      </c>
      <c r="J2017" s="2" t="s">
        <v>750</v>
      </c>
      <c r="K2017" s="9">
        <v>45892</v>
      </c>
      <c r="L2017" s="9">
        <v>45899</v>
      </c>
      <c r="M2017" s="9">
        <v>45892</v>
      </c>
      <c r="N2017" s="2" t="s">
        <v>2314</v>
      </c>
      <c r="O2017" s="2" t="s">
        <v>55</v>
      </c>
      <c r="P2017" s="2" t="s">
        <v>139</v>
      </c>
      <c r="Q2017" s="2" t="s">
        <v>187</v>
      </c>
      <c r="R2017" s="2" t="s">
        <v>128</v>
      </c>
      <c r="S2017" s="2" t="s">
        <v>198</v>
      </c>
      <c r="T2017" s="10">
        <v>12.65</v>
      </c>
      <c r="U2017" s="11">
        <v>1.085</v>
      </c>
      <c r="V2017" s="12">
        <f>T2017*U2017</f>
        <v>13.725249999999999</v>
      </c>
      <c r="W2017" s="13">
        <v>0.19</v>
      </c>
      <c r="X2017" s="12">
        <f>V2017-(V2017/(1+W2017))</f>
        <v>2.1914264705882349</v>
      </c>
      <c r="Y2017" s="12">
        <f>V2017-X2017</f>
        <v>11.533823529411764</v>
      </c>
      <c r="Z2017" s="14">
        <v>35</v>
      </c>
      <c r="AA2017" s="2" t="str">
        <f>IF(V2017&gt;Z2017,"Yes","No")</f>
        <v>No</v>
      </c>
      <c r="AB2017" s="12">
        <f>V2017-Z2017</f>
        <v>-21.274750000000001</v>
      </c>
      <c r="AC2017" s="15" t="s">
        <v>130</v>
      </c>
      <c r="AD2017" s="15" t="s">
        <v>130</v>
      </c>
      <c r="AE2017" s="15" t="s">
        <v>437</v>
      </c>
      <c r="AF2017" s="12">
        <f>IF(AG2017="Rejected",0,IF(R2017="Corporate Card",0,V2017))</f>
        <v>0</v>
      </c>
      <c r="AG2017" s="15" t="s">
        <v>181</v>
      </c>
      <c r="AH2017" s="16">
        <v>45902</v>
      </c>
      <c r="AI2017" s="16"/>
      <c r="AJ2017" s="16"/>
      <c r="AK2017" s="17" t="str">
        <f>IF(AJ2017="","",AJ2017-AH2017)</f>
        <v/>
      </c>
    </row>
    <row r="2018" spans="1:37">
      <c r="A2018" s="2" t="s">
        <v>2484</v>
      </c>
      <c r="B2018" s="2" t="s">
        <v>597</v>
      </c>
      <c r="C2018" s="2" t="s">
        <v>598</v>
      </c>
      <c r="D2018" s="2" t="s">
        <v>414</v>
      </c>
      <c r="E2018" s="2" t="s">
        <v>599</v>
      </c>
      <c r="F2018" s="2" t="s">
        <v>413</v>
      </c>
      <c r="G2018" s="2" t="s">
        <v>2485</v>
      </c>
      <c r="H2018" s="2" t="s">
        <v>417</v>
      </c>
      <c r="I2018" s="2" t="s">
        <v>255</v>
      </c>
      <c r="J2018" s="2" t="s">
        <v>256</v>
      </c>
      <c r="K2018" s="9">
        <v>45892</v>
      </c>
      <c r="L2018" s="9">
        <v>45893</v>
      </c>
      <c r="M2018" s="9">
        <v>45892</v>
      </c>
      <c r="N2018" s="2" t="s">
        <v>2314</v>
      </c>
      <c r="O2018" s="2" t="s">
        <v>52</v>
      </c>
      <c r="P2018" s="2" t="s">
        <v>257</v>
      </c>
      <c r="Q2018" s="2" t="s">
        <v>420</v>
      </c>
      <c r="R2018" s="2" t="s">
        <v>137</v>
      </c>
      <c r="S2018" s="2" t="s">
        <v>259</v>
      </c>
      <c r="T2018" s="10">
        <v>197331</v>
      </c>
      <c r="U2018" s="11">
        <v>6.5500000000000003E-3</v>
      </c>
      <c r="V2018" s="12">
        <f>T2018*U2018</f>
        <v>1292.5180500000001</v>
      </c>
      <c r="W2018" s="13">
        <v>0</v>
      </c>
      <c r="X2018" s="12">
        <f>V2018-(V2018/(1+W2018))</f>
        <v>0</v>
      </c>
      <c r="Y2018" s="12">
        <f>V2018-X2018</f>
        <v>1292.5180500000001</v>
      </c>
      <c r="Z2018" s="14">
        <v>1400</v>
      </c>
      <c r="AA2018" s="2" t="str">
        <f>IF(V2018&gt;Z2018,"Yes","No")</f>
        <v>No</v>
      </c>
      <c r="AB2018" s="12">
        <f>V2018-Z2018</f>
        <v>-107.48194999999987</v>
      </c>
      <c r="AC2018" s="15" t="s">
        <v>130</v>
      </c>
      <c r="AD2018" s="15" t="s">
        <v>131</v>
      </c>
      <c r="AE2018" s="15" t="s">
        <v>132</v>
      </c>
      <c r="AF2018" s="12">
        <f>IF(AG2018="Rejected",0,IF(R2018="Corporate Card",0,V2018))</f>
        <v>1292.5180500000001</v>
      </c>
      <c r="AG2018" s="15" t="s">
        <v>133</v>
      </c>
      <c r="AH2018" s="16">
        <v>45903</v>
      </c>
      <c r="AI2018" s="16">
        <v>45910</v>
      </c>
      <c r="AJ2018" s="16">
        <v>45920</v>
      </c>
      <c r="AK2018" s="17">
        <f>IF(AJ2018="","",AJ2018-AH2018)</f>
        <v>17</v>
      </c>
    </row>
    <row r="2019" spans="1:37">
      <c r="A2019" s="2" t="s">
        <v>2486</v>
      </c>
      <c r="B2019" s="2" t="s">
        <v>597</v>
      </c>
      <c r="C2019" s="2" t="s">
        <v>598</v>
      </c>
      <c r="D2019" s="2" t="s">
        <v>414</v>
      </c>
      <c r="E2019" s="2" t="s">
        <v>599</v>
      </c>
      <c r="F2019" s="2" t="s">
        <v>413</v>
      </c>
      <c r="G2019" s="2" t="s">
        <v>2485</v>
      </c>
      <c r="H2019" s="2" t="s">
        <v>417</v>
      </c>
      <c r="I2019" s="2" t="s">
        <v>255</v>
      </c>
      <c r="J2019" s="2" t="s">
        <v>256</v>
      </c>
      <c r="K2019" s="9">
        <v>45892</v>
      </c>
      <c r="L2019" s="9">
        <v>45893</v>
      </c>
      <c r="M2019" s="9">
        <v>45892</v>
      </c>
      <c r="N2019" s="2" t="s">
        <v>2314</v>
      </c>
      <c r="O2019" s="2" t="s">
        <v>64</v>
      </c>
      <c r="P2019" s="2" t="s">
        <v>135</v>
      </c>
      <c r="Q2019" s="2" t="s">
        <v>127</v>
      </c>
      <c r="R2019" s="2" t="s">
        <v>137</v>
      </c>
      <c r="S2019" s="2" t="s">
        <v>259</v>
      </c>
      <c r="T2019" s="10">
        <v>22371</v>
      </c>
      <c r="U2019" s="11">
        <v>6.5500000000000003E-3</v>
      </c>
      <c r="V2019" s="12">
        <f>T2019*U2019</f>
        <v>146.53005000000002</v>
      </c>
      <c r="W2019" s="13">
        <v>0</v>
      </c>
      <c r="X2019" s="12">
        <f>V2019-(V2019/(1+W2019))</f>
        <v>0</v>
      </c>
      <c r="Y2019" s="12">
        <f>V2019-X2019</f>
        <v>146.53005000000002</v>
      </c>
      <c r="Z2019" s="14">
        <v>120</v>
      </c>
      <c r="AA2019" s="2" t="str">
        <f>IF(V2019&gt;Z2019,"Yes","No")</f>
        <v>Yes</v>
      </c>
      <c r="AB2019" s="12">
        <f>V2019-Z2019</f>
        <v>26.530050000000017</v>
      </c>
      <c r="AC2019" s="15" t="s">
        <v>130</v>
      </c>
      <c r="AD2019" s="15" t="s">
        <v>131</v>
      </c>
      <c r="AE2019" s="15" t="s">
        <v>132</v>
      </c>
      <c r="AF2019" s="12">
        <f>IF(AG2019="Rejected",0,IF(R2019="Corporate Card",0,V2019))</f>
        <v>146.53005000000002</v>
      </c>
      <c r="AG2019" s="15" t="s">
        <v>133</v>
      </c>
      <c r="AH2019" s="16">
        <v>45903</v>
      </c>
      <c r="AI2019" s="16">
        <v>45910</v>
      </c>
      <c r="AJ2019" s="16">
        <v>45920</v>
      </c>
      <c r="AK2019" s="17">
        <f>IF(AJ2019="","",AJ2019-AH2019)</f>
        <v>17</v>
      </c>
    </row>
    <row r="2020" spans="1:37">
      <c r="A2020" s="2" t="s">
        <v>2487</v>
      </c>
      <c r="B2020" s="2" t="s">
        <v>597</v>
      </c>
      <c r="C2020" s="2" t="s">
        <v>598</v>
      </c>
      <c r="D2020" s="2" t="s">
        <v>414</v>
      </c>
      <c r="E2020" s="2" t="s">
        <v>599</v>
      </c>
      <c r="F2020" s="2" t="s">
        <v>413</v>
      </c>
      <c r="G2020" s="2" t="s">
        <v>2485</v>
      </c>
      <c r="H2020" s="2" t="s">
        <v>417</v>
      </c>
      <c r="I2020" s="2" t="s">
        <v>255</v>
      </c>
      <c r="J2020" s="2" t="s">
        <v>256</v>
      </c>
      <c r="K2020" s="9">
        <v>45892</v>
      </c>
      <c r="L2020" s="9">
        <v>45893</v>
      </c>
      <c r="M2020" s="9">
        <v>45892</v>
      </c>
      <c r="N2020" s="2" t="s">
        <v>2314</v>
      </c>
      <c r="O2020" s="2" t="s">
        <v>58</v>
      </c>
      <c r="P2020" s="2" t="s">
        <v>142</v>
      </c>
      <c r="Q2020" s="2" t="s">
        <v>203</v>
      </c>
      <c r="R2020" s="2" t="s">
        <v>149</v>
      </c>
      <c r="S2020" s="2" t="s">
        <v>259</v>
      </c>
      <c r="T2020" s="10">
        <v>6896</v>
      </c>
      <c r="U2020" s="11">
        <v>6.5500000000000003E-3</v>
      </c>
      <c r="V2020" s="12">
        <f>T2020*U2020</f>
        <v>45.168800000000005</v>
      </c>
      <c r="W2020" s="13">
        <v>0.1</v>
      </c>
      <c r="X2020" s="12">
        <f>V2020-(V2020/(1+W2020))</f>
        <v>4.1062545454545472</v>
      </c>
      <c r="Y2020" s="12">
        <f>V2020-X2020</f>
        <v>41.062545454545457</v>
      </c>
      <c r="Z2020" s="14">
        <v>60</v>
      </c>
      <c r="AA2020" s="2" t="str">
        <f>IF(V2020&gt;Z2020,"Yes","No")</f>
        <v>No</v>
      </c>
      <c r="AB2020" s="12">
        <f>V2020-Z2020</f>
        <v>-14.831199999999995</v>
      </c>
      <c r="AC2020" s="15" t="s">
        <v>130</v>
      </c>
      <c r="AD2020" s="15" t="s">
        <v>131</v>
      </c>
      <c r="AE2020" s="15" t="s">
        <v>132</v>
      </c>
      <c r="AF2020" s="12">
        <f>IF(AG2020="Rejected",0,IF(R2020="Corporate Card",0,V2020))</f>
        <v>45.168800000000005</v>
      </c>
      <c r="AG2020" s="15" t="s">
        <v>133</v>
      </c>
      <c r="AH2020" s="16">
        <v>45903</v>
      </c>
      <c r="AI2020" s="16">
        <v>45910</v>
      </c>
      <c r="AJ2020" s="16">
        <v>45920</v>
      </c>
      <c r="AK2020" s="17">
        <f>IF(AJ2020="","",AJ2020-AH2020)</f>
        <v>17</v>
      </c>
    </row>
    <row r="2021" spans="1:37">
      <c r="A2021" s="2" t="s">
        <v>2488</v>
      </c>
      <c r="B2021" s="2" t="s">
        <v>597</v>
      </c>
      <c r="C2021" s="2" t="s">
        <v>598</v>
      </c>
      <c r="D2021" s="2" t="s">
        <v>414</v>
      </c>
      <c r="E2021" s="2" t="s">
        <v>599</v>
      </c>
      <c r="F2021" s="2" t="s">
        <v>413</v>
      </c>
      <c r="G2021" s="2" t="s">
        <v>2485</v>
      </c>
      <c r="H2021" s="2" t="s">
        <v>417</v>
      </c>
      <c r="I2021" s="2" t="s">
        <v>255</v>
      </c>
      <c r="J2021" s="2" t="s">
        <v>256</v>
      </c>
      <c r="K2021" s="9">
        <v>45892</v>
      </c>
      <c r="L2021" s="9">
        <v>45893</v>
      </c>
      <c r="M2021" s="9">
        <v>45892</v>
      </c>
      <c r="N2021" s="2" t="s">
        <v>2314</v>
      </c>
      <c r="O2021" s="2" t="s">
        <v>54</v>
      </c>
      <c r="P2021" s="2" t="s">
        <v>139</v>
      </c>
      <c r="Q2021" s="2" t="s">
        <v>163</v>
      </c>
      <c r="R2021" s="2" t="s">
        <v>128</v>
      </c>
      <c r="S2021" s="2" t="s">
        <v>259</v>
      </c>
      <c r="T2021" s="10">
        <v>2868</v>
      </c>
      <c r="U2021" s="11">
        <v>6.5500000000000003E-3</v>
      </c>
      <c r="V2021" s="12">
        <f>T2021*U2021</f>
        <v>18.785399999999999</v>
      </c>
      <c r="W2021" s="13">
        <v>0.1</v>
      </c>
      <c r="X2021" s="12">
        <f>V2021-(V2021/(1+W2021))</f>
        <v>1.7077636363636373</v>
      </c>
      <c r="Y2021" s="12">
        <f>V2021-X2021</f>
        <v>17.077636363636362</v>
      </c>
      <c r="Z2021" s="14">
        <v>25</v>
      </c>
      <c r="AA2021" s="2" t="str">
        <f>IF(V2021&gt;Z2021,"Yes","No")</f>
        <v>No</v>
      </c>
      <c r="AB2021" s="12">
        <f>V2021-Z2021</f>
        <v>-6.2146000000000008</v>
      </c>
      <c r="AC2021" s="15" t="s">
        <v>130</v>
      </c>
      <c r="AD2021" s="15" t="s">
        <v>131</v>
      </c>
      <c r="AE2021" s="15" t="s">
        <v>132</v>
      </c>
      <c r="AF2021" s="12">
        <f>IF(AG2021="Rejected",0,IF(R2021="Corporate Card",0,V2021))</f>
        <v>0</v>
      </c>
      <c r="AG2021" s="15" t="s">
        <v>133</v>
      </c>
      <c r="AH2021" s="16">
        <v>45903</v>
      </c>
      <c r="AI2021" s="16">
        <v>45910</v>
      </c>
      <c r="AJ2021" s="16">
        <v>45920</v>
      </c>
      <c r="AK2021" s="17">
        <f>IF(AJ2021="","",AJ2021-AH2021)</f>
        <v>17</v>
      </c>
    </row>
    <row r="2022" spans="1:37">
      <c r="A2022" s="2" t="s">
        <v>2489</v>
      </c>
      <c r="B2022" s="2" t="s">
        <v>597</v>
      </c>
      <c r="C2022" s="2" t="s">
        <v>598</v>
      </c>
      <c r="D2022" s="2" t="s">
        <v>414</v>
      </c>
      <c r="E2022" s="2" t="s">
        <v>599</v>
      </c>
      <c r="F2022" s="2" t="s">
        <v>413</v>
      </c>
      <c r="G2022" s="2" t="s">
        <v>2485</v>
      </c>
      <c r="H2022" s="2" t="s">
        <v>417</v>
      </c>
      <c r="I2022" s="2" t="s">
        <v>255</v>
      </c>
      <c r="J2022" s="2" t="s">
        <v>256</v>
      </c>
      <c r="K2022" s="9">
        <v>45892</v>
      </c>
      <c r="L2022" s="9">
        <v>45893</v>
      </c>
      <c r="M2022" s="9">
        <v>45892</v>
      </c>
      <c r="N2022" s="2" t="s">
        <v>2314</v>
      </c>
      <c r="O2022" s="2" t="s">
        <v>56</v>
      </c>
      <c r="P2022" s="2" t="s">
        <v>245</v>
      </c>
      <c r="Q2022" s="2" t="s">
        <v>227</v>
      </c>
      <c r="R2022" s="2" t="s">
        <v>128</v>
      </c>
      <c r="S2022" s="2" t="s">
        <v>259</v>
      </c>
      <c r="T2022" s="10">
        <v>6369</v>
      </c>
      <c r="U2022" s="11">
        <v>6.5500000000000003E-3</v>
      </c>
      <c r="V2022" s="12">
        <f>T2022*U2022</f>
        <v>41.716950000000004</v>
      </c>
      <c r="W2022" s="13">
        <v>0.1</v>
      </c>
      <c r="X2022" s="12">
        <f>V2022-(V2022/(1+W2022))</f>
        <v>3.7924500000000023</v>
      </c>
      <c r="Y2022" s="12">
        <f>V2022-X2022</f>
        <v>37.924500000000002</v>
      </c>
      <c r="Z2022" s="14">
        <v>75</v>
      </c>
      <c r="AA2022" s="2" t="str">
        <f>IF(V2022&gt;Z2022,"Yes","No")</f>
        <v>No</v>
      </c>
      <c r="AB2022" s="12">
        <f>V2022-Z2022</f>
        <v>-33.283049999999996</v>
      </c>
      <c r="AC2022" s="15" t="s">
        <v>131</v>
      </c>
      <c r="AD2022" s="15" t="s">
        <v>131</v>
      </c>
      <c r="AE2022" s="15" t="s">
        <v>132</v>
      </c>
      <c r="AF2022" s="12">
        <f>IF(AG2022="Rejected",0,IF(R2022="Corporate Card",0,V2022))</f>
        <v>0</v>
      </c>
      <c r="AG2022" s="15" t="s">
        <v>133</v>
      </c>
      <c r="AH2022" s="16">
        <v>45903</v>
      </c>
      <c r="AI2022" s="16">
        <v>45910</v>
      </c>
      <c r="AJ2022" s="16">
        <v>45920</v>
      </c>
      <c r="AK2022" s="17">
        <f>IF(AJ2022="","",AJ2022-AH2022)</f>
        <v>17</v>
      </c>
    </row>
    <row r="2023" spans="1:37">
      <c r="A2023" s="2" t="s">
        <v>2490</v>
      </c>
      <c r="B2023" s="2" t="s">
        <v>597</v>
      </c>
      <c r="C2023" s="2" t="s">
        <v>598</v>
      </c>
      <c r="D2023" s="2" t="s">
        <v>414</v>
      </c>
      <c r="E2023" s="2" t="s">
        <v>599</v>
      </c>
      <c r="F2023" s="2" t="s">
        <v>413</v>
      </c>
      <c r="G2023" s="2" t="s">
        <v>2485</v>
      </c>
      <c r="H2023" s="2" t="s">
        <v>417</v>
      </c>
      <c r="I2023" s="2" t="s">
        <v>255</v>
      </c>
      <c r="J2023" s="2" t="s">
        <v>256</v>
      </c>
      <c r="K2023" s="9">
        <v>45892</v>
      </c>
      <c r="L2023" s="9">
        <v>45893</v>
      </c>
      <c r="M2023" s="9">
        <v>45892</v>
      </c>
      <c r="N2023" s="2" t="s">
        <v>2314</v>
      </c>
      <c r="O2023" s="2" t="s">
        <v>55</v>
      </c>
      <c r="P2023" s="2" t="s">
        <v>139</v>
      </c>
      <c r="Q2023" s="2" t="s">
        <v>187</v>
      </c>
      <c r="R2023" s="2" t="s">
        <v>128</v>
      </c>
      <c r="S2023" s="2" t="s">
        <v>259</v>
      </c>
      <c r="T2023" s="10">
        <v>2093</v>
      </c>
      <c r="U2023" s="11">
        <v>6.5500000000000003E-3</v>
      </c>
      <c r="V2023" s="12">
        <f>T2023*U2023</f>
        <v>13.709150000000001</v>
      </c>
      <c r="W2023" s="13">
        <v>0.1</v>
      </c>
      <c r="X2023" s="12">
        <f>V2023-(V2023/(1+W2023))</f>
        <v>1.246286363636365</v>
      </c>
      <c r="Y2023" s="12">
        <f>V2023-X2023</f>
        <v>12.462863636363636</v>
      </c>
      <c r="Z2023" s="14">
        <v>35</v>
      </c>
      <c r="AA2023" s="2" t="str">
        <f>IF(V2023&gt;Z2023,"Yes","No")</f>
        <v>No</v>
      </c>
      <c r="AB2023" s="12">
        <f>V2023-Z2023</f>
        <v>-21.290849999999999</v>
      </c>
      <c r="AC2023" s="15" t="s">
        <v>130</v>
      </c>
      <c r="AD2023" s="15" t="s">
        <v>131</v>
      </c>
      <c r="AE2023" s="15" t="s">
        <v>132</v>
      </c>
      <c r="AF2023" s="12">
        <f>IF(AG2023="Rejected",0,IF(R2023="Corporate Card",0,V2023))</f>
        <v>0</v>
      </c>
      <c r="AG2023" s="15" t="s">
        <v>133</v>
      </c>
      <c r="AH2023" s="16">
        <v>45903</v>
      </c>
      <c r="AI2023" s="16">
        <v>45910</v>
      </c>
      <c r="AJ2023" s="16">
        <v>45920</v>
      </c>
      <c r="AK2023" s="17">
        <f>IF(AJ2023="","",AJ2023-AH2023)</f>
        <v>17</v>
      </c>
    </row>
    <row r="2024" spans="1:37">
      <c r="A2024" s="2" t="s">
        <v>2491</v>
      </c>
      <c r="B2024" s="2" t="s">
        <v>342</v>
      </c>
      <c r="C2024" s="2" t="s">
        <v>343</v>
      </c>
      <c r="D2024" s="2" t="s">
        <v>344</v>
      </c>
      <c r="E2024" s="2" t="s">
        <v>345</v>
      </c>
      <c r="F2024" s="2" t="s">
        <v>346</v>
      </c>
      <c r="G2024" s="2" t="s">
        <v>2480</v>
      </c>
      <c r="H2024" s="2" t="s">
        <v>417</v>
      </c>
      <c r="I2024" s="2" t="s">
        <v>1251</v>
      </c>
      <c r="J2024" s="2" t="s">
        <v>750</v>
      </c>
      <c r="K2024" s="9">
        <v>45892</v>
      </c>
      <c r="L2024" s="9">
        <v>45899</v>
      </c>
      <c r="M2024" s="9">
        <v>45893</v>
      </c>
      <c r="N2024" s="2" t="s">
        <v>2314</v>
      </c>
      <c r="O2024" s="2" t="s">
        <v>60</v>
      </c>
      <c r="P2024" s="2" t="s">
        <v>701</v>
      </c>
      <c r="Q2024" s="2" t="s">
        <v>955</v>
      </c>
      <c r="R2024" s="2" t="s">
        <v>128</v>
      </c>
      <c r="S2024" s="2" t="s">
        <v>198</v>
      </c>
      <c r="T2024" s="10">
        <v>1184.28</v>
      </c>
      <c r="U2024" s="11">
        <v>1.085</v>
      </c>
      <c r="V2024" s="12">
        <f>T2024*U2024</f>
        <v>1284.9438</v>
      </c>
      <c r="W2024" s="13">
        <v>0.19</v>
      </c>
      <c r="X2024" s="12">
        <f>V2024-(V2024/(1+W2024))</f>
        <v>205.1590941176471</v>
      </c>
      <c r="Y2024" s="12">
        <f>V2024-X2024</f>
        <v>1079.7847058823529</v>
      </c>
      <c r="Z2024" s="14">
        <v>840</v>
      </c>
      <c r="AA2024" s="2" t="str">
        <f>IF(V2024&gt;Z2024,"Yes","No")</f>
        <v>Yes</v>
      </c>
      <c r="AB2024" s="12">
        <f>V2024-Z2024</f>
        <v>444.94380000000001</v>
      </c>
      <c r="AC2024" s="15" t="s">
        <v>130</v>
      </c>
      <c r="AD2024" s="15" t="s">
        <v>130</v>
      </c>
      <c r="AE2024" s="15" t="s">
        <v>437</v>
      </c>
      <c r="AF2024" s="12">
        <f>IF(AG2024="Rejected",0,IF(R2024="Corporate Card",0,V2024))</f>
        <v>0</v>
      </c>
      <c r="AG2024" s="15" t="s">
        <v>181</v>
      </c>
      <c r="AH2024" s="16">
        <v>45902</v>
      </c>
      <c r="AI2024" s="16"/>
      <c r="AJ2024" s="16"/>
      <c r="AK2024" s="17" t="str">
        <f>IF(AJ2024="","",AJ2024-AH2024)</f>
        <v/>
      </c>
    </row>
    <row r="2025" spans="1:37">
      <c r="A2025" s="2" t="s">
        <v>2492</v>
      </c>
      <c r="B2025" s="2" t="s">
        <v>342</v>
      </c>
      <c r="C2025" s="2" t="s">
        <v>343</v>
      </c>
      <c r="D2025" s="2" t="s">
        <v>344</v>
      </c>
      <c r="E2025" s="2" t="s">
        <v>345</v>
      </c>
      <c r="F2025" s="2" t="s">
        <v>346</v>
      </c>
      <c r="G2025" s="2" t="s">
        <v>2480</v>
      </c>
      <c r="H2025" s="2" t="s">
        <v>417</v>
      </c>
      <c r="I2025" s="2" t="s">
        <v>1251</v>
      </c>
      <c r="J2025" s="2" t="s">
        <v>750</v>
      </c>
      <c r="K2025" s="9">
        <v>45892</v>
      </c>
      <c r="L2025" s="9">
        <v>45899</v>
      </c>
      <c r="M2025" s="9">
        <v>45893</v>
      </c>
      <c r="N2025" s="2" t="s">
        <v>2314</v>
      </c>
      <c r="O2025" s="2" t="s">
        <v>53</v>
      </c>
      <c r="P2025" s="2" t="s">
        <v>208</v>
      </c>
      <c r="Q2025" s="2" t="s">
        <v>458</v>
      </c>
      <c r="R2025" s="2" t="s">
        <v>149</v>
      </c>
      <c r="S2025" s="2" t="s">
        <v>198</v>
      </c>
      <c r="T2025" s="10">
        <v>1393.29</v>
      </c>
      <c r="U2025" s="11">
        <v>1.085</v>
      </c>
      <c r="V2025" s="12">
        <f>T2025*U2025</f>
        <v>1511.71965</v>
      </c>
      <c r="W2025" s="13">
        <v>0.19</v>
      </c>
      <c r="X2025" s="12">
        <f>V2025-(V2025/(1+W2025))</f>
        <v>241.36700294117645</v>
      </c>
      <c r="Y2025" s="12">
        <f>V2025-X2025</f>
        <v>1270.3526470588235</v>
      </c>
      <c r="Z2025" s="14">
        <v>1960</v>
      </c>
      <c r="AA2025" s="2" t="str">
        <f>IF(V2025&gt;Z2025,"Yes","No")</f>
        <v>No</v>
      </c>
      <c r="AB2025" s="12">
        <f>V2025-Z2025</f>
        <v>-448.28035</v>
      </c>
      <c r="AC2025" s="15" t="s">
        <v>130</v>
      </c>
      <c r="AD2025" s="15" t="s">
        <v>130</v>
      </c>
      <c r="AE2025" s="15" t="s">
        <v>437</v>
      </c>
      <c r="AF2025" s="12">
        <f>IF(AG2025="Rejected",0,IF(R2025="Corporate Card",0,V2025))</f>
        <v>1511.71965</v>
      </c>
      <c r="AG2025" s="15" t="s">
        <v>181</v>
      </c>
      <c r="AH2025" s="16">
        <v>45902</v>
      </c>
      <c r="AI2025" s="16"/>
      <c r="AJ2025" s="16"/>
      <c r="AK2025" s="17" t="str">
        <f>IF(AJ2025="","",AJ2025-AH2025)</f>
        <v/>
      </c>
    </row>
    <row r="2026" spans="1:37">
      <c r="A2026" s="2" t="s">
        <v>2493</v>
      </c>
      <c r="B2026" s="2" t="s">
        <v>342</v>
      </c>
      <c r="C2026" s="2" t="s">
        <v>343</v>
      </c>
      <c r="D2026" s="2" t="s">
        <v>344</v>
      </c>
      <c r="E2026" s="2" t="s">
        <v>345</v>
      </c>
      <c r="F2026" s="2" t="s">
        <v>346</v>
      </c>
      <c r="G2026" s="2" t="s">
        <v>2480</v>
      </c>
      <c r="H2026" s="2" t="s">
        <v>417</v>
      </c>
      <c r="I2026" s="2" t="s">
        <v>1251</v>
      </c>
      <c r="J2026" s="2" t="s">
        <v>750</v>
      </c>
      <c r="K2026" s="9">
        <v>45892</v>
      </c>
      <c r="L2026" s="9">
        <v>45899</v>
      </c>
      <c r="M2026" s="9">
        <v>45893</v>
      </c>
      <c r="N2026" s="2" t="s">
        <v>2314</v>
      </c>
      <c r="O2026" s="2" t="s">
        <v>65</v>
      </c>
      <c r="P2026" s="2" t="s">
        <v>211</v>
      </c>
      <c r="Q2026" s="2" t="s">
        <v>460</v>
      </c>
      <c r="R2026" s="2" t="s">
        <v>128</v>
      </c>
      <c r="S2026" s="2" t="s">
        <v>198</v>
      </c>
      <c r="T2026" s="10">
        <v>26.18</v>
      </c>
      <c r="U2026" s="11">
        <v>1.085</v>
      </c>
      <c r="V2026" s="12">
        <f>T2026*U2026</f>
        <v>28.4053</v>
      </c>
      <c r="W2026" s="13">
        <v>0.19</v>
      </c>
      <c r="X2026" s="12">
        <f>V2026-(V2026/(1+W2026))</f>
        <v>4.5352999999999994</v>
      </c>
      <c r="Y2026" s="12">
        <f>V2026-X2026</f>
        <v>23.87</v>
      </c>
      <c r="Z2026" s="14">
        <v>55</v>
      </c>
      <c r="AA2026" s="2" t="str">
        <f>IF(V2026&gt;Z2026,"Yes","No")</f>
        <v>No</v>
      </c>
      <c r="AB2026" s="12">
        <f>V2026-Z2026</f>
        <v>-26.5947</v>
      </c>
      <c r="AC2026" s="15" t="s">
        <v>130</v>
      </c>
      <c r="AD2026" s="15" t="s">
        <v>130</v>
      </c>
      <c r="AE2026" s="15" t="s">
        <v>437</v>
      </c>
      <c r="AF2026" s="12">
        <f>IF(AG2026="Rejected",0,IF(R2026="Corporate Card",0,V2026))</f>
        <v>0</v>
      </c>
      <c r="AG2026" s="15" t="s">
        <v>181</v>
      </c>
      <c r="AH2026" s="16">
        <v>45902</v>
      </c>
      <c r="AI2026" s="16"/>
      <c r="AJ2026" s="16"/>
      <c r="AK2026" s="17" t="str">
        <f>IF(AJ2026="","",AJ2026-AH2026)</f>
        <v/>
      </c>
    </row>
    <row r="2027" spans="1:37">
      <c r="A2027" s="2" t="s">
        <v>2494</v>
      </c>
      <c r="B2027" s="2" t="s">
        <v>342</v>
      </c>
      <c r="C2027" s="2" t="s">
        <v>343</v>
      </c>
      <c r="D2027" s="2" t="s">
        <v>344</v>
      </c>
      <c r="E2027" s="2" t="s">
        <v>345</v>
      </c>
      <c r="F2027" s="2" t="s">
        <v>346</v>
      </c>
      <c r="G2027" s="2" t="s">
        <v>2480</v>
      </c>
      <c r="H2027" s="2" t="s">
        <v>417</v>
      </c>
      <c r="I2027" s="2" t="s">
        <v>1251</v>
      </c>
      <c r="J2027" s="2" t="s">
        <v>750</v>
      </c>
      <c r="K2027" s="9">
        <v>45892</v>
      </c>
      <c r="L2027" s="9">
        <v>45899</v>
      </c>
      <c r="M2027" s="9">
        <v>45893</v>
      </c>
      <c r="N2027" s="2" t="s">
        <v>2314</v>
      </c>
      <c r="O2027" s="2" t="s">
        <v>54</v>
      </c>
      <c r="P2027" s="2" t="s">
        <v>139</v>
      </c>
      <c r="Q2027" s="2" t="s">
        <v>148</v>
      </c>
      <c r="R2027" s="2" t="s">
        <v>128</v>
      </c>
      <c r="S2027" s="2" t="s">
        <v>198</v>
      </c>
      <c r="T2027" s="10">
        <v>18.63</v>
      </c>
      <c r="U2027" s="11">
        <v>1.085</v>
      </c>
      <c r="V2027" s="12">
        <f>T2027*U2027</f>
        <v>20.213549999999998</v>
      </c>
      <c r="W2027" s="13">
        <v>0.19</v>
      </c>
      <c r="X2027" s="12">
        <f>V2027-(V2027/(1+W2027))</f>
        <v>3.2273735294117643</v>
      </c>
      <c r="Y2027" s="12">
        <f>V2027-X2027</f>
        <v>16.986176470588234</v>
      </c>
      <c r="Z2027" s="14">
        <v>25</v>
      </c>
      <c r="AA2027" s="2" t="str">
        <f>IF(V2027&gt;Z2027,"Yes","No")</f>
        <v>No</v>
      </c>
      <c r="AB2027" s="12">
        <f>V2027-Z2027</f>
        <v>-4.7864500000000021</v>
      </c>
      <c r="AC2027" s="15" t="s">
        <v>130</v>
      </c>
      <c r="AD2027" s="15" t="s">
        <v>130</v>
      </c>
      <c r="AE2027" s="15" t="s">
        <v>437</v>
      </c>
      <c r="AF2027" s="12">
        <f>IF(AG2027="Rejected",0,IF(R2027="Corporate Card",0,V2027))</f>
        <v>0</v>
      </c>
      <c r="AG2027" s="15" t="s">
        <v>181</v>
      </c>
      <c r="AH2027" s="16">
        <v>45902</v>
      </c>
      <c r="AI2027" s="16"/>
      <c r="AJ2027" s="16"/>
      <c r="AK2027" s="17" t="str">
        <f>IF(AJ2027="","",AJ2027-AH2027)</f>
        <v/>
      </c>
    </row>
    <row r="2028" spans="1:37">
      <c r="A2028" s="2" t="s">
        <v>2495</v>
      </c>
      <c r="B2028" s="2" t="s">
        <v>342</v>
      </c>
      <c r="C2028" s="2" t="s">
        <v>343</v>
      </c>
      <c r="D2028" s="2" t="s">
        <v>344</v>
      </c>
      <c r="E2028" s="2" t="s">
        <v>345</v>
      </c>
      <c r="F2028" s="2" t="s">
        <v>346</v>
      </c>
      <c r="G2028" s="2" t="s">
        <v>2480</v>
      </c>
      <c r="H2028" s="2" t="s">
        <v>417</v>
      </c>
      <c r="I2028" s="2" t="s">
        <v>1251</v>
      </c>
      <c r="J2028" s="2" t="s">
        <v>750</v>
      </c>
      <c r="K2028" s="9">
        <v>45892</v>
      </c>
      <c r="L2028" s="9">
        <v>45899</v>
      </c>
      <c r="M2028" s="9">
        <v>45893</v>
      </c>
      <c r="N2028" s="2" t="s">
        <v>2314</v>
      </c>
      <c r="O2028" s="2" t="s">
        <v>55</v>
      </c>
      <c r="P2028" s="2" t="s">
        <v>139</v>
      </c>
      <c r="Q2028" s="2" t="s">
        <v>217</v>
      </c>
      <c r="R2028" s="2" t="s">
        <v>128</v>
      </c>
      <c r="S2028" s="2" t="s">
        <v>198</v>
      </c>
      <c r="T2028" s="10">
        <v>22.62</v>
      </c>
      <c r="U2028" s="11">
        <v>1.085</v>
      </c>
      <c r="V2028" s="12">
        <f>T2028*U2028</f>
        <v>24.5427</v>
      </c>
      <c r="W2028" s="13">
        <v>0.19</v>
      </c>
      <c r="X2028" s="12">
        <f>V2028-(V2028/(1+W2028))</f>
        <v>3.9185823529411756</v>
      </c>
      <c r="Y2028" s="12">
        <f>V2028-X2028</f>
        <v>20.624117647058824</v>
      </c>
      <c r="Z2028" s="14">
        <v>35</v>
      </c>
      <c r="AA2028" s="2" t="str">
        <f>IF(V2028&gt;Z2028,"Yes","No")</f>
        <v>No</v>
      </c>
      <c r="AB2028" s="12">
        <f>V2028-Z2028</f>
        <v>-10.4573</v>
      </c>
      <c r="AC2028" s="15" t="s">
        <v>130</v>
      </c>
      <c r="AD2028" s="15" t="s">
        <v>130</v>
      </c>
      <c r="AE2028" s="15" t="s">
        <v>437</v>
      </c>
      <c r="AF2028" s="12">
        <f>IF(AG2028="Rejected",0,IF(R2028="Corporate Card",0,V2028))</f>
        <v>0</v>
      </c>
      <c r="AG2028" s="15" t="s">
        <v>181</v>
      </c>
      <c r="AH2028" s="16">
        <v>45902</v>
      </c>
      <c r="AI2028" s="16"/>
      <c r="AJ2028" s="16"/>
      <c r="AK2028" s="17" t="str">
        <f>IF(AJ2028="","",AJ2028-AH2028)</f>
        <v/>
      </c>
    </row>
    <row r="2029" spans="1:37">
      <c r="A2029" s="2" t="s">
        <v>2496</v>
      </c>
      <c r="B2029" s="2" t="s">
        <v>597</v>
      </c>
      <c r="C2029" s="2" t="s">
        <v>598</v>
      </c>
      <c r="D2029" s="2" t="s">
        <v>414</v>
      </c>
      <c r="E2029" s="2" t="s">
        <v>599</v>
      </c>
      <c r="F2029" s="2" t="s">
        <v>413</v>
      </c>
      <c r="G2029" s="2" t="s">
        <v>2497</v>
      </c>
      <c r="H2029" s="2" t="s">
        <v>254</v>
      </c>
      <c r="I2029" s="2" t="s">
        <v>175</v>
      </c>
      <c r="J2029" s="2" t="s">
        <v>176</v>
      </c>
      <c r="K2029" s="9">
        <v>45893</v>
      </c>
      <c r="L2029" s="9">
        <v>45894</v>
      </c>
      <c r="M2029" s="9">
        <v>45893</v>
      </c>
      <c r="N2029" s="2" t="s">
        <v>2314</v>
      </c>
      <c r="O2029" s="2" t="s">
        <v>52</v>
      </c>
      <c r="P2029" s="2" t="s">
        <v>177</v>
      </c>
      <c r="Q2029" s="2" t="s">
        <v>136</v>
      </c>
      <c r="R2029" s="2" t="s">
        <v>128</v>
      </c>
      <c r="S2029" s="2" t="s">
        <v>179</v>
      </c>
      <c r="T2029" s="10">
        <v>6298.91</v>
      </c>
      <c r="U2029" s="11">
        <v>0.18099999999999999</v>
      </c>
      <c r="V2029" s="12">
        <f>T2029*U2029</f>
        <v>1140.1027099999999</v>
      </c>
      <c r="W2029" s="13">
        <v>0</v>
      </c>
      <c r="X2029" s="12">
        <f>V2029-(V2029/(1+W2029))</f>
        <v>0</v>
      </c>
      <c r="Y2029" s="12">
        <f>V2029-X2029</f>
        <v>1140.1027099999999</v>
      </c>
      <c r="Z2029" s="14">
        <v>1400</v>
      </c>
      <c r="AA2029" s="2" t="str">
        <f>IF(V2029&gt;Z2029,"Yes","No")</f>
        <v>No</v>
      </c>
      <c r="AB2029" s="12">
        <f>V2029-Z2029</f>
        <v>-259.89729000000011</v>
      </c>
      <c r="AC2029" s="15" t="s">
        <v>130</v>
      </c>
      <c r="AD2029" s="15" t="s">
        <v>130</v>
      </c>
      <c r="AE2029" s="15" t="s">
        <v>180</v>
      </c>
      <c r="AF2029" s="12">
        <f>IF(AG2029="Rejected",0,IF(R2029="Corporate Card",0,V2029))</f>
        <v>0</v>
      </c>
      <c r="AG2029" s="15" t="s">
        <v>133</v>
      </c>
      <c r="AH2029" s="16">
        <v>45906</v>
      </c>
      <c r="AI2029" s="16">
        <v>45908</v>
      </c>
      <c r="AJ2029" s="16">
        <v>45914</v>
      </c>
      <c r="AK2029" s="17">
        <f>IF(AJ2029="","",AJ2029-AH2029)</f>
        <v>8</v>
      </c>
    </row>
    <row r="2030" spans="1:37">
      <c r="A2030" s="2" t="s">
        <v>2498</v>
      </c>
      <c r="B2030" s="2" t="s">
        <v>597</v>
      </c>
      <c r="C2030" s="2" t="s">
        <v>598</v>
      </c>
      <c r="D2030" s="2" t="s">
        <v>414</v>
      </c>
      <c r="E2030" s="2" t="s">
        <v>599</v>
      </c>
      <c r="F2030" s="2" t="s">
        <v>413</v>
      </c>
      <c r="G2030" s="2" t="s">
        <v>2497</v>
      </c>
      <c r="H2030" s="2" t="s">
        <v>254</v>
      </c>
      <c r="I2030" s="2" t="s">
        <v>175</v>
      </c>
      <c r="J2030" s="2" t="s">
        <v>176</v>
      </c>
      <c r="K2030" s="9">
        <v>45893</v>
      </c>
      <c r="L2030" s="9">
        <v>45894</v>
      </c>
      <c r="M2030" s="9">
        <v>45893</v>
      </c>
      <c r="N2030" s="2" t="s">
        <v>2314</v>
      </c>
      <c r="O2030" s="2" t="s">
        <v>63</v>
      </c>
      <c r="P2030" s="2" t="s">
        <v>200</v>
      </c>
      <c r="Q2030" s="2" t="s">
        <v>1347</v>
      </c>
      <c r="R2030" s="2" t="s">
        <v>137</v>
      </c>
      <c r="S2030" s="2" t="s">
        <v>179</v>
      </c>
      <c r="T2030" s="10">
        <v>3331.15</v>
      </c>
      <c r="U2030" s="11">
        <v>0.18099999999999999</v>
      </c>
      <c r="V2030" s="12">
        <f>T2030*U2030</f>
        <v>602.93814999999995</v>
      </c>
      <c r="W2030" s="13">
        <v>0</v>
      </c>
      <c r="X2030" s="12">
        <f>V2030-(V2030/(1+W2030))</f>
        <v>0</v>
      </c>
      <c r="Y2030" s="12">
        <f>V2030-X2030</f>
        <v>602.93814999999995</v>
      </c>
      <c r="Z2030" s="14">
        <v>1200</v>
      </c>
      <c r="AA2030" s="2" t="str">
        <f>IF(V2030&gt;Z2030,"Yes","No")</f>
        <v>No</v>
      </c>
      <c r="AB2030" s="12">
        <f>V2030-Z2030</f>
        <v>-597.06185000000005</v>
      </c>
      <c r="AC2030" s="15" t="s">
        <v>130</v>
      </c>
      <c r="AD2030" s="15" t="s">
        <v>130</v>
      </c>
      <c r="AE2030" s="15" t="s">
        <v>180</v>
      </c>
      <c r="AF2030" s="12">
        <f>IF(AG2030="Rejected",0,IF(R2030="Corporate Card",0,V2030))</f>
        <v>602.93814999999995</v>
      </c>
      <c r="AG2030" s="15" t="s">
        <v>133</v>
      </c>
      <c r="AH2030" s="16">
        <v>45906</v>
      </c>
      <c r="AI2030" s="16">
        <v>45908</v>
      </c>
      <c r="AJ2030" s="16">
        <v>45914</v>
      </c>
      <c r="AK2030" s="17">
        <f>IF(AJ2030="","",AJ2030-AH2030)</f>
        <v>8</v>
      </c>
    </row>
    <row r="2031" spans="1:37">
      <c r="A2031" s="2" t="s">
        <v>2499</v>
      </c>
      <c r="B2031" s="2" t="s">
        <v>597</v>
      </c>
      <c r="C2031" s="2" t="s">
        <v>598</v>
      </c>
      <c r="D2031" s="2" t="s">
        <v>414</v>
      </c>
      <c r="E2031" s="2" t="s">
        <v>599</v>
      </c>
      <c r="F2031" s="2" t="s">
        <v>413</v>
      </c>
      <c r="G2031" s="2" t="s">
        <v>2497</v>
      </c>
      <c r="H2031" s="2" t="s">
        <v>254</v>
      </c>
      <c r="I2031" s="2" t="s">
        <v>175</v>
      </c>
      <c r="J2031" s="2" t="s">
        <v>176</v>
      </c>
      <c r="K2031" s="9">
        <v>45893</v>
      </c>
      <c r="L2031" s="9">
        <v>45894</v>
      </c>
      <c r="M2031" s="9">
        <v>45893</v>
      </c>
      <c r="N2031" s="2" t="s">
        <v>2314</v>
      </c>
      <c r="O2031" s="2" t="s">
        <v>58</v>
      </c>
      <c r="P2031" s="2" t="s">
        <v>142</v>
      </c>
      <c r="Q2031" s="2" t="s">
        <v>156</v>
      </c>
      <c r="R2031" s="2" t="s">
        <v>128</v>
      </c>
      <c r="S2031" s="2" t="s">
        <v>179</v>
      </c>
      <c r="T2031" s="10">
        <v>444.01</v>
      </c>
      <c r="U2031" s="11">
        <v>0.18099999999999999</v>
      </c>
      <c r="V2031" s="12">
        <f>T2031*U2031</f>
        <v>80.365809999999996</v>
      </c>
      <c r="W2031" s="13">
        <v>0.17</v>
      </c>
      <c r="X2031" s="12">
        <f>V2031-(V2031/(1+W2031))</f>
        <v>11.677083504273497</v>
      </c>
      <c r="Y2031" s="12">
        <f>V2031-X2031</f>
        <v>68.688726495726499</v>
      </c>
      <c r="Z2031" s="14">
        <v>60</v>
      </c>
      <c r="AA2031" s="2" t="str">
        <f>IF(V2031&gt;Z2031,"Yes","No")</f>
        <v>Yes</v>
      </c>
      <c r="AB2031" s="12">
        <f>V2031-Z2031</f>
        <v>20.365809999999996</v>
      </c>
      <c r="AC2031" s="15" t="s">
        <v>130</v>
      </c>
      <c r="AD2031" s="15" t="s">
        <v>130</v>
      </c>
      <c r="AE2031" s="15" t="s">
        <v>180</v>
      </c>
      <c r="AF2031" s="12">
        <f>IF(AG2031="Rejected",0,IF(R2031="Corporate Card",0,V2031))</f>
        <v>0</v>
      </c>
      <c r="AG2031" s="15" t="s">
        <v>133</v>
      </c>
      <c r="AH2031" s="16">
        <v>45906</v>
      </c>
      <c r="AI2031" s="16">
        <v>45908</v>
      </c>
      <c r="AJ2031" s="16">
        <v>45914</v>
      </c>
      <c r="AK2031" s="17">
        <f>IF(AJ2031="","",AJ2031-AH2031)</f>
        <v>8</v>
      </c>
    </row>
    <row r="2032" spans="1:37">
      <c r="A2032" s="2" t="s">
        <v>2500</v>
      </c>
      <c r="B2032" s="2" t="s">
        <v>597</v>
      </c>
      <c r="C2032" s="2" t="s">
        <v>598</v>
      </c>
      <c r="D2032" s="2" t="s">
        <v>414</v>
      </c>
      <c r="E2032" s="2" t="s">
        <v>599</v>
      </c>
      <c r="F2032" s="2" t="s">
        <v>413</v>
      </c>
      <c r="G2032" s="2" t="s">
        <v>2497</v>
      </c>
      <c r="H2032" s="2" t="s">
        <v>254</v>
      </c>
      <c r="I2032" s="2" t="s">
        <v>175</v>
      </c>
      <c r="J2032" s="2" t="s">
        <v>176</v>
      </c>
      <c r="K2032" s="9">
        <v>45893</v>
      </c>
      <c r="L2032" s="9">
        <v>45894</v>
      </c>
      <c r="M2032" s="9">
        <v>45893</v>
      </c>
      <c r="N2032" s="2" t="s">
        <v>2314</v>
      </c>
      <c r="O2032" s="2" t="s">
        <v>54</v>
      </c>
      <c r="P2032" s="2" t="s">
        <v>139</v>
      </c>
      <c r="Q2032" s="2" t="s">
        <v>140</v>
      </c>
      <c r="R2032" s="2" t="s">
        <v>128</v>
      </c>
      <c r="S2032" s="2" t="s">
        <v>179</v>
      </c>
      <c r="T2032" s="10">
        <v>129.71</v>
      </c>
      <c r="U2032" s="11">
        <v>0.18099999999999999</v>
      </c>
      <c r="V2032" s="12">
        <f>T2032*U2032</f>
        <v>23.477510000000002</v>
      </c>
      <c r="W2032" s="13">
        <v>0.17</v>
      </c>
      <c r="X2032" s="12">
        <f>V2032-(V2032/(1+W2032))</f>
        <v>3.4112621367521356</v>
      </c>
      <c r="Y2032" s="12">
        <f>V2032-X2032</f>
        <v>20.066247863247867</v>
      </c>
      <c r="Z2032" s="14">
        <v>25</v>
      </c>
      <c r="AA2032" s="2" t="str">
        <f>IF(V2032&gt;Z2032,"Yes","No")</f>
        <v>No</v>
      </c>
      <c r="AB2032" s="12">
        <f>V2032-Z2032</f>
        <v>-1.5224899999999977</v>
      </c>
      <c r="AC2032" s="15" t="s">
        <v>130</v>
      </c>
      <c r="AD2032" s="15" t="s">
        <v>130</v>
      </c>
      <c r="AE2032" s="15" t="s">
        <v>180</v>
      </c>
      <c r="AF2032" s="12">
        <f>IF(AG2032="Rejected",0,IF(R2032="Corporate Card",0,V2032))</f>
        <v>0</v>
      </c>
      <c r="AG2032" s="15" t="s">
        <v>133</v>
      </c>
      <c r="AH2032" s="16">
        <v>45906</v>
      </c>
      <c r="AI2032" s="16">
        <v>45908</v>
      </c>
      <c r="AJ2032" s="16">
        <v>45914</v>
      </c>
      <c r="AK2032" s="17">
        <f>IF(AJ2032="","",AJ2032-AH2032)</f>
        <v>8</v>
      </c>
    </row>
    <row r="2033" spans="1:37">
      <c r="A2033" s="2" t="s">
        <v>2501</v>
      </c>
      <c r="B2033" s="2" t="s">
        <v>597</v>
      </c>
      <c r="C2033" s="2" t="s">
        <v>598</v>
      </c>
      <c r="D2033" s="2" t="s">
        <v>414</v>
      </c>
      <c r="E2033" s="2" t="s">
        <v>599</v>
      </c>
      <c r="F2033" s="2" t="s">
        <v>413</v>
      </c>
      <c r="G2033" s="2" t="s">
        <v>2497</v>
      </c>
      <c r="H2033" s="2" t="s">
        <v>254</v>
      </c>
      <c r="I2033" s="2" t="s">
        <v>175</v>
      </c>
      <c r="J2033" s="2" t="s">
        <v>176</v>
      </c>
      <c r="K2033" s="9">
        <v>45893</v>
      </c>
      <c r="L2033" s="9">
        <v>45894</v>
      </c>
      <c r="M2033" s="9">
        <v>45893</v>
      </c>
      <c r="N2033" s="2" t="s">
        <v>2314</v>
      </c>
      <c r="O2033" s="2" t="s">
        <v>56</v>
      </c>
      <c r="P2033" s="2" t="s">
        <v>231</v>
      </c>
      <c r="Q2033" s="2" t="s">
        <v>159</v>
      </c>
      <c r="R2033" s="2" t="s">
        <v>149</v>
      </c>
      <c r="S2033" s="2" t="s">
        <v>179</v>
      </c>
      <c r="T2033" s="10">
        <v>309.32</v>
      </c>
      <c r="U2033" s="11">
        <v>0.18099999999999999</v>
      </c>
      <c r="V2033" s="12">
        <f>T2033*U2033</f>
        <v>55.986919999999998</v>
      </c>
      <c r="W2033" s="13">
        <v>0.17</v>
      </c>
      <c r="X2033" s="12">
        <f>V2033-(V2033/(1+W2033))</f>
        <v>8.134851623931624</v>
      </c>
      <c r="Y2033" s="12">
        <f>V2033-X2033</f>
        <v>47.852068376068374</v>
      </c>
      <c r="Z2033" s="14">
        <v>75</v>
      </c>
      <c r="AA2033" s="2" t="str">
        <f>IF(V2033&gt;Z2033,"Yes","No")</f>
        <v>No</v>
      </c>
      <c r="AB2033" s="12">
        <f>V2033-Z2033</f>
        <v>-19.013080000000002</v>
      </c>
      <c r="AC2033" s="15" t="s">
        <v>130</v>
      </c>
      <c r="AD2033" s="15" t="s">
        <v>130</v>
      </c>
      <c r="AE2033" s="15" t="s">
        <v>180</v>
      </c>
      <c r="AF2033" s="12">
        <f>IF(AG2033="Rejected",0,IF(R2033="Corporate Card",0,V2033))</f>
        <v>55.986919999999998</v>
      </c>
      <c r="AG2033" s="15" t="s">
        <v>133</v>
      </c>
      <c r="AH2033" s="16">
        <v>45906</v>
      </c>
      <c r="AI2033" s="16">
        <v>45908</v>
      </c>
      <c r="AJ2033" s="16">
        <v>45914</v>
      </c>
      <c r="AK2033" s="17">
        <f>IF(AJ2033="","",AJ2033-AH2033)</f>
        <v>8</v>
      </c>
    </row>
    <row r="2034" spans="1:37">
      <c r="A2034" s="2" t="s">
        <v>2502</v>
      </c>
      <c r="B2034" s="2" t="s">
        <v>597</v>
      </c>
      <c r="C2034" s="2" t="s">
        <v>598</v>
      </c>
      <c r="D2034" s="2" t="s">
        <v>414</v>
      </c>
      <c r="E2034" s="2" t="s">
        <v>599</v>
      </c>
      <c r="F2034" s="2" t="s">
        <v>413</v>
      </c>
      <c r="G2034" s="2" t="s">
        <v>2497</v>
      </c>
      <c r="H2034" s="2" t="s">
        <v>254</v>
      </c>
      <c r="I2034" s="2" t="s">
        <v>175</v>
      </c>
      <c r="J2034" s="2" t="s">
        <v>176</v>
      </c>
      <c r="K2034" s="9">
        <v>45893</v>
      </c>
      <c r="L2034" s="9">
        <v>45894</v>
      </c>
      <c r="M2034" s="9">
        <v>45893</v>
      </c>
      <c r="N2034" s="2" t="s">
        <v>2314</v>
      </c>
      <c r="O2034" s="2" t="s">
        <v>55</v>
      </c>
      <c r="P2034" s="2" t="s">
        <v>139</v>
      </c>
      <c r="Q2034" s="2" t="s">
        <v>217</v>
      </c>
      <c r="R2034" s="2" t="s">
        <v>128</v>
      </c>
      <c r="S2034" s="2" t="s">
        <v>179</v>
      </c>
      <c r="T2034" s="10">
        <v>72.69</v>
      </c>
      <c r="U2034" s="11">
        <v>0.18099999999999999</v>
      </c>
      <c r="V2034" s="12">
        <f>T2034*U2034</f>
        <v>13.156889999999999</v>
      </c>
      <c r="W2034" s="13">
        <v>0.17</v>
      </c>
      <c r="X2034" s="12">
        <f>V2034-(V2034/(1+W2034))</f>
        <v>1.9116848717948702</v>
      </c>
      <c r="Y2034" s="12">
        <f>V2034-X2034</f>
        <v>11.245205128205129</v>
      </c>
      <c r="Z2034" s="14">
        <v>35</v>
      </c>
      <c r="AA2034" s="2" t="str">
        <f>IF(V2034&gt;Z2034,"Yes","No")</f>
        <v>No</v>
      </c>
      <c r="AB2034" s="12">
        <f>V2034-Z2034</f>
        <v>-21.843110000000003</v>
      </c>
      <c r="AC2034" s="15" t="s">
        <v>130</v>
      </c>
      <c r="AD2034" s="15" t="s">
        <v>130</v>
      </c>
      <c r="AE2034" s="15" t="s">
        <v>180</v>
      </c>
      <c r="AF2034" s="12">
        <f>IF(AG2034="Rejected",0,IF(R2034="Corporate Card",0,V2034))</f>
        <v>0</v>
      </c>
      <c r="AG2034" s="15" t="s">
        <v>133</v>
      </c>
      <c r="AH2034" s="16">
        <v>45906</v>
      </c>
      <c r="AI2034" s="16">
        <v>45908</v>
      </c>
      <c r="AJ2034" s="16">
        <v>45914</v>
      </c>
      <c r="AK2034" s="17">
        <f>IF(AJ2034="","",AJ2034-AH2034)</f>
        <v>8</v>
      </c>
    </row>
    <row r="2035" spans="1:37">
      <c r="A2035" s="2" t="s">
        <v>2503</v>
      </c>
      <c r="B2035" s="2" t="s">
        <v>597</v>
      </c>
      <c r="C2035" s="2" t="s">
        <v>598</v>
      </c>
      <c r="D2035" s="2" t="s">
        <v>414</v>
      </c>
      <c r="E2035" s="2" t="s">
        <v>599</v>
      </c>
      <c r="F2035" s="2" t="s">
        <v>413</v>
      </c>
      <c r="G2035" s="2" t="s">
        <v>2485</v>
      </c>
      <c r="H2035" s="2" t="s">
        <v>417</v>
      </c>
      <c r="I2035" s="2" t="s">
        <v>255</v>
      </c>
      <c r="J2035" s="2" t="s">
        <v>256</v>
      </c>
      <c r="K2035" s="9">
        <v>45892</v>
      </c>
      <c r="L2035" s="9">
        <v>45893</v>
      </c>
      <c r="M2035" s="9">
        <v>45893</v>
      </c>
      <c r="N2035" s="2" t="s">
        <v>2314</v>
      </c>
      <c r="O2035" s="2" t="s">
        <v>53</v>
      </c>
      <c r="P2035" s="2" t="s">
        <v>405</v>
      </c>
      <c r="Q2035" s="2" t="s">
        <v>458</v>
      </c>
      <c r="R2035" s="2" t="s">
        <v>137</v>
      </c>
      <c r="S2035" s="2" t="s">
        <v>259</v>
      </c>
      <c r="T2035" s="10">
        <v>27050</v>
      </c>
      <c r="U2035" s="11">
        <v>6.5500000000000003E-3</v>
      </c>
      <c r="V2035" s="12">
        <f>T2035*U2035</f>
        <v>177.17750000000001</v>
      </c>
      <c r="W2035" s="13">
        <v>0.1</v>
      </c>
      <c r="X2035" s="12">
        <f>V2035-(V2035/(1+W2035))</f>
        <v>16.107045454545471</v>
      </c>
      <c r="Y2035" s="12">
        <f>V2035-X2035</f>
        <v>161.07045454545454</v>
      </c>
      <c r="Z2035" s="14">
        <v>280</v>
      </c>
      <c r="AA2035" s="2" t="str">
        <f>IF(V2035&gt;Z2035,"Yes","No")</f>
        <v>No</v>
      </c>
      <c r="AB2035" s="12">
        <f>V2035-Z2035</f>
        <v>-102.82249999999999</v>
      </c>
      <c r="AC2035" s="15" t="s">
        <v>130</v>
      </c>
      <c r="AD2035" s="15" t="s">
        <v>131</v>
      </c>
      <c r="AE2035" s="15" t="s">
        <v>132</v>
      </c>
      <c r="AF2035" s="12">
        <f>IF(AG2035="Rejected",0,IF(R2035="Corporate Card",0,V2035))</f>
        <v>177.17750000000001</v>
      </c>
      <c r="AG2035" s="15" t="s">
        <v>133</v>
      </c>
      <c r="AH2035" s="16">
        <v>45903</v>
      </c>
      <c r="AI2035" s="16">
        <v>45910</v>
      </c>
      <c r="AJ2035" s="16">
        <v>45920</v>
      </c>
      <c r="AK2035" s="17">
        <f>IF(AJ2035="","",AJ2035-AH2035)</f>
        <v>17</v>
      </c>
    </row>
    <row r="2036" spans="1:37">
      <c r="A2036" s="2" t="s">
        <v>2504</v>
      </c>
      <c r="B2036" s="2" t="s">
        <v>597</v>
      </c>
      <c r="C2036" s="2" t="s">
        <v>598</v>
      </c>
      <c r="D2036" s="2" t="s">
        <v>414</v>
      </c>
      <c r="E2036" s="2" t="s">
        <v>599</v>
      </c>
      <c r="F2036" s="2" t="s">
        <v>413</v>
      </c>
      <c r="G2036" s="2" t="s">
        <v>2485</v>
      </c>
      <c r="H2036" s="2" t="s">
        <v>417</v>
      </c>
      <c r="I2036" s="2" t="s">
        <v>255</v>
      </c>
      <c r="J2036" s="2" t="s">
        <v>256</v>
      </c>
      <c r="K2036" s="9">
        <v>45892</v>
      </c>
      <c r="L2036" s="9">
        <v>45893</v>
      </c>
      <c r="M2036" s="9">
        <v>45893</v>
      </c>
      <c r="N2036" s="2" t="s">
        <v>2314</v>
      </c>
      <c r="O2036" s="2" t="s">
        <v>54</v>
      </c>
      <c r="P2036" s="2" t="s">
        <v>139</v>
      </c>
      <c r="Q2036" s="2" t="s">
        <v>214</v>
      </c>
      <c r="R2036" s="2" t="s">
        <v>149</v>
      </c>
      <c r="S2036" s="2" t="s">
        <v>259</v>
      </c>
      <c r="T2036" s="10">
        <v>4697</v>
      </c>
      <c r="U2036" s="11">
        <v>6.5500000000000003E-3</v>
      </c>
      <c r="V2036" s="12">
        <f>T2036*U2036</f>
        <v>30.765350000000002</v>
      </c>
      <c r="W2036" s="13">
        <v>0.1</v>
      </c>
      <c r="X2036" s="12">
        <f>V2036-(V2036/(1+W2036))</f>
        <v>2.7968500000000027</v>
      </c>
      <c r="Y2036" s="12">
        <f>V2036-X2036</f>
        <v>27.968499999999999</v>
      </c>
      <c r="Z2036" s="14">
        <v>25</v>
      </c>
      <c r="AA2036" s="2" t="str">
        <f>IF(V2036&gt;Z2036,"Yes","No")</f>
        <v>Yes</v>
      </c>
      <c r="AB2036" s="12">
        <f>V2036-Z2036</f>
        <v>5.7653500000000015</v>
      </c>
      <c r="AC2036" s="15" t="s">
        <v>130</v>
      </c>
      <c r="AD2036" s="15" t="s">
        <v>131</v>
      </c>
      <c r="AE2036" s="15" t="s">
        <v>132</v>
      </c>
      <c r="AF2036" s="12">
        <f>IF(AG2036="Rejected",0,IF(R2036="Corporate Card",0,V2036))</f>
        <v>30.765350000000002</v>
      </c>
      <c r="AG2036" s="15" t="s">
        <v>133</v>
      </c>
      <c r="AH2036" s="16">
        <v>45903</v>
      </c>
      <c r="AI2036" s="16">
        <v>45910</v>
      </c>
      <c r="AJ2036" s="16">
        <v>45920</v>
      </c>
      <c r="AK2036" s="17">
        <f>IF(AJ2036="","",AJ2036-AH2036)</f>
        <v>17</v>
      </c>
    </row>
    <row r="2037" spans="1:37">
      <c r="A2037" s="2" t="s">
        <v>2505</v>
      </c>
      <c r="B2037" s="2" t="s">
        <v>597</v>
      </c>
      <c r="C2037" s="2" t="s">
        <v>598</v>
      </c>
      <c r="D2037" s="2" t="s">
        <v>414</v>
      </c>
      <c r="E2037" s="2" t="s">
        <v>599</v>
      </c>
      <c r="F2037" s="2" t="s">
        <v>413</v>
      </c>
      <c r="G2037" s="2" t="s">
        <v>2485</v>
      </c>
      <c r="H2037" s="2" t="s">
        <v>417</v>
      </c>
      <c r="I2037" s="2" t="s">
        <v>255</v>
      </c>
      <c r="J2037" s="2" t="s">
        <v>256</v>
      </c>
      <c r="K2037" s="9">
        <v>45892</v>
      </c>
      <c r="L2037" s="9">
        <v>45893</v>
      </c>
      <c r="M2037" s="9">
        <v>45893</v>
      </c>
      <c r="N2037" s="2" t="s">
        <v>2314</v>
      </c>
      <c r="O2037" s="2" t="s">
        <v>56</v>
      </c>
      <c r="P2037" s="2" t="s">
        <v>165</v>
      </c>
      <c r="Q2037" s="2" t="s">
        <v>227</v>
      </c>
      <c r="R2037" s="2" t="s">
        <v>149</v>
      </c>
      <c r="S2037" s="2" t="s">
        <v>259</v>
      </c>
      <c r="T2037" s="10">
        <v>8226</v>
      </c>
      <c r="U2037" s="11">
        <v>6.5500000000000003E-3</v>
      </c>
      <c r="V2037" s="12">
        <f>T2037*U2037</f>
        <v>53.880300000000005</v>
      </c>
      <c r="W2037" s="13">
        <v>0.1</v>
      </c>
      <c r="X2037" s="12">
        <f>V2037-(V2037/(1+W2037))</f>
        <v>4.8982090909090985</v>
      </c>
      <c r="Y2037" s="12">
        <f>V2037-X2037</f>
        <v>48.982090909090907</v>
      </c>
      <c r="Z2037" s="14">
        <v>75</v>
      </c>
      <c r="AA2037" s="2" t="str">
        <f>IF(V2037&gt;Z2037,"Yes","No")</f>
        <v>No</v>
      </c>
      <c r="AB2037" s="12">
        <f>V2037-Z2037</f>
        <v>-21.119699999999995</v>
      </c>
      <c r="AC2037" s="15" t="s">
        <v>131</v>
      </c>
      <c r="AD2037" s="15" t="s">
        <v>131</v>
      </c>
      <c r="AE2037" s="15" t="s">
        <v>132</v>
      </c>
      <c r="AF2037" s="12">
        <f>IF(AG2037="Rejected",0,IF(R2037="Corporate Card",0,V2037))</f>
        <v>53.880300000000005</v>
      </c>
      <c r="AG2037" s="15" t="s">
        <v>133</v>
      </c>
      <c r="AH2037" s="16">
        <v>45903</v>
      </c>
      <c r="AI2037" s="16">
        <v>45910</v>
      </c>
      <c r="AJ2037" s="16">
        <v>45920</v>
      </c>
      <c r="AK2037" s="17">
        <f>IF(AJ2037="","",AJ2037-AH2037)</f>
        <v>17</v>
      </c>
    </row>
    <row r="2038" spans="1:37">
      <c r="A2038" s="2" t="s">
        <v>2506</v>
      </c>
      <c r="B2038" s="2" t="s">
        <v>597</v>
      </c>
      <c r="C2038" s="2" t="s">
        <v>598</v>
      </c>
      <c r="D2038" s="2" t="s">
        <v>414</v>
      </c>
      <c r="E2038" s="2" t="s">
        <v>599</v>
      </c>
      <c r="F2038" s="2" t="s">
        <v>413</v>
      </c>
      <c r="G2038" s="2" t="s">
        <v>2485</v>
      </c>
      <c r="H2038" s="2" t="s">
        <v>417</v>
      </c>
      <c r="I2038" s="2" t="s">
        <v>255</v>
      </c>
      <c r="J2038" s="2" t="s">
        <v>256</v>
      </c>
      <c r="K2038" s="9">
        <v>45892</v>
      </c>
      <c r="L2038" s="9">
        <v>45893</v>
      </c>
      <c r="M2038" s="9">
        <v>45893</v>
      </c>
      <c r="N2038" s="2" t="s">
        <v>2314</v>
      </c>
      <c r="O2038" s="2" t="s">
        <v>55</v>
      </c>
      <c r="P2038" s="2" t="s">
        <v>139</v>
      </c>
      <c r="Q2038" s="2" t="s">
        <v>161</v>
      </c>
      <c r="R2038" s="2" t="s">
        <v>128</v>
      </c>
      <c r="S2038" s="2" t="s">
        <v>259</v>
      </c>
      <c r="T2038" s="10">
        <v>4155</v>
      </c>
      <c r="U2038" s="11">
        <v>6.5500000000000003E-3</v>
      </c>
      <c r="V2038" s="12">
        <f>T2038*U2038</f>
        <v>27.215250000000001</v>
      </c>
      <c r="W2038" s="13">
        <v>0.1</v>
      </c>
      <c r="X2038" s="12">
        <f>V2038-(V2038/(1+W2038))</f>
        <v>2.47411363636364</v>
      </c>
      <c r="Y2038" s="12">
        <f>V2038-X2038</f>
        <v>24.741136363636361</v>
      </c>
      <c r="Z2038" s="14">
        <v>35</v>
      </c>
      <c r="AA2038" s="2" t="str">
        <f>IF(V2038&gt;Z2038,"Yes","No")</f>
        <v>No</v>
      </c>
      <c r="AB2038" s="12">
        <f>V2038-Z2038</f>
        <v>-7.7847499999999989</v>
      </c>
      <c r="AC2038" s="15" t="s">
        <v>130</v>
      </c>
      <c r="AD2038" s="15" t="s">
        <v>131</v>
      </c>
      <c r="AE2038" s="15" t="s">
        <v>132</v>
      </c>
      <c r="AF2038" s="12">
        <f>IF(AG2038="Rejected",0,IF(R2038="Corporate Card",0,V2038))</f>
        <v>0</v>
      </c>
      <c r="AG2038" s="15" t="s">
        <v>133</v>
      </c>
      <c r="AH2038" s="16">
        <v>45903</v>
      </c>
      <c r="AI2038" s="16">
        <v>45910</v>
      </c>
      <c r="AJ2038" s="16">
        <v>45920</v>
      </c>
      <c r="AK2038" s="17">
        <f>IF(AJ2038="","",AJ2038-AH2038)</f>
        <v>17</v>
      </c>
    </row>
    <row r="2039" spans="1:37">
      <c r="A2039" s="2" t="s">
        <v>2507</v>
      </c>
      <c r="B2039" s="2" t="s">
        <v>342</v>
      </c>
      <c r="C2039" s="2" t="s">
        <v>343</v>
      </c>
      <c r="D2039" s="2" t="s">
        <v>344</v>
      </c>
      <c r="E2039" s="2" t="s">
        <v>345</v>
      </c>
      <c r="F2039" s="2" t="s">
        <v>346</v>
      </c>
      <c r="G2039" s="2" t="s">
        <v>2480</v>
      </c>
      <c r="H2039" s="2" t="s">
        <v>417</v>
      </c>
      <c r="I2039" s="2" t="s">
        <v>1251</v>
      </c>
      <c r="J2039" s="2" t="s">
        <v>750</v>
      </c>
      <c r="K2039" s="9">
        <v>45892</v>
      </c>
      <c r="L2039" s="9">
        <v>45899</v>
      </c>
      <c r="M2039" s="9">
        <v>45894</v>
      </c>
      <c r="N2039" s="2" t="s">
        <v>2314</v>
      </c>
      <c r="O2039" s="2" t="s">
        <v>61</v>
      </c>
      <c r="P2039" s="2" t="s">
        <v>528</v>
      </c>
      <c r="Q2039" s="2" t="s">
        <v>540</v>
      </c>
      <c r="R2039" s="2" t="s">
        <v>137</v>
      </c>
      <c r="S2039" s="2" t="s">
        <v>198</v>
      </c>
      <c r="T2039" s="10">
        <v>38.130000000000003</v>
      </c>
      <c r="U2039" s="11">
        <v>1.085</v>
      </c>
      <c r="V2039" s="12">
        <f>T2039*U2039</f>
        <v>41.371050000000004</v>
      </c>
      <c r="W2039" s="13">
        <v>0</v>
      </c>
      <c r="X2039" s="12">
        <f>V2039-(V2039/(1+W2039))</f>
        <v>0</v>
      </c>
      <c r="Y2039" s="12">
        <f>V2039-X2039</f>
        <v>41.371050000000004</v>
      </c>
      <c r="Z2039" s="14">
        <v>90</v>
      </c>
      <c r="AA2039" s="2" t="str">
        <f>IF(V2039&gt;Z2039,"Yes","No")</f>
        <v>No</v>
      </c>
      <c r="AB2039" s="12">
        <f>V2039-Z2039</f>
        <v>-48.628949999999996</v>
      </c>
      <c r="AC2039" s="15" t="s">
        <v>130</v>
      </c>
      <c r="AD2039" s="15" t="s">
        <v>130</v>
      </c>
      <c r="AE2039" s="15" t="s">
        <v>437</v>
      </c>
      <c r="AF2039" s="12">
        <f>IF(AG2039="Rejected",0,IF(R2039="Corporate Card",0,V2039))</f>
        <v>41.371050000000004</v>
      </c>
      <c r="AG2039" s="15" t="s">
        <v>181</v>
      </c>
      <c r="AH2039" s="16">
        <v>45902</v>
      </c>
      <c r="AI2039" s="16"/>
      <c r="AJ2039" s="16"/>
      <c r="AK2039" s="17" t="str">
        <f>IF(AJ2039="","",AJ2039-AH2039)</f>
        <v/>
      </c>
    </row>
    <row r="2040" spans="1:37">
      <c r="A2040" s="2" t="s">
        <v>2508</v>
      </c>
      <c r="B2040" s="2" t="s">
        <v>342</v>
      </c>
      <c r="C2040" s="2" t="s">
        <v>343</v>
      </c>
      <c r="D2040" s="2" t="s">
        <v>344</v>
      </c>
      <c r="E2040" s="2" t="s">
        <v>345</v>
      </c>
      <c r="F2040" s="2" t="s">
        <v>346</v>
      </c>
      <c r="G2040" s="2" t="s">
        <v>2480</v>
      </c>
      <c r="H2040" s="2" t="s">
        <v>417</v>
      </c>
      <c r="I2040" s="2" t="s">
        <v>1251</v>
      </c>
      <c r="J2040" s="2" t="s">
        <v>750</v>
      </c>
      <c r="K2040" s="9">
        <v>45892</v>
      </c>
      <c r="L2040" s="9">
        <v>45899</v>
      </c>
      <c r="M2040" s="9">
        <v>45894</v>
      </c>
      <c r="N2040" s="2" t="s">
        <v>2314</v>
      </c>
      <c r="O2040" s="2" t="s">
        <v>54</v>
      </c>
      <c r="P2040" s="2" t="s">
        <v>139</v>
      </c>
      <c r="Q2040" s="2" t="s">
        <v>163</v>
      </c>
      <c r="R2040" s="2" t="s">
        <v>128</v>
      </c>
      <c r="S2040" s="2" t="s">
        <v>198</v>
      </c>
      <c r="T2040" s="10">
        <v>15.66</v>
      </c>
      <c r="U2040" s="11">
        <v>1.085</v>
      </c>
      <c r="V2040" s="12">
        <f>T2040*U2040</f>
        <v>16.991099999999999</v>
      </c>
      <c r="W2040" s="13">
        <v>0.19</v>
      </c>
      <c r="X2040" s="12">
        <f>V2040-(V2040/(1+W2040))</f>
        <v>2.7128647058823514</v>
      </c>
      <c r="Y2040" s="12">
        <f>V2040-X2040</f>
        <v>14.278235294117648</v>
      </c>
      <c r="Z2040" s="14">
        <v>25</v>
      </c>
      <c r="AA2040" s="2" t="str">
        <f>IF(V2040&gt;Z2040,"Yes","No")</f>
        <v>No</v>
      </c>
      <c r="AB2040" s="12">
        <f>V2040-Z2040</f>
        <v>-8.0089000000000006</v>
      </c>
      <c r="AC2040" s="15" t="s">
        <v>130</v>
      </c>
      <c r="AD2040" s="15" t="s">
        <v>130</v>
      </c>
      <c r="AE2040" s="15" t="s">
        <v>437</v>
      </c>
      <c r="AF2040" s="12">
        <f>IF(AG2040="Rejected",0,IF(R2040="Corporate Card",0,V2040))</f>
        <v>0</v>
      </c>
      <c r="AG2040" s="15" t="s">
        <v>181</v>
      </c>
      <c r="AH2040" s="16">
        <v>45902</v>
      </c>
      <c r="AI2040" s="16"/>
      <c r="AJ2040" s="16"/>
      <c r="AK2040" s="17" t="str">
        <f>IF(AJ2040="","",AJ2040-AH2040)</f>
        <v/>
      </c>
    </row>
    <row r="2041" spans="1:37">
      <c r="A2041" s="2" t="s">
        <v>2509</v>
      </c>
      <c r="B2041" s="2" t="s">
        <v>342</v>
      </c>
      <c r="C2041" s="2" t="s">
        <v>343</v>
      </c>
      <c r="D2041" s="2" t="s">
        <v>344</v>
      </c>
      <c r="E2041" s="2" t="s">
        <v>345</v>
      </c>
      <c r="F2041" s="2" t="s">
        <v>346</v>
      </c>
      <c r="G2041" s="2" t="s">
        <v>2480</v>
      </c>
      <c r="H2041" s="2" t="s">
        <v>417</v>
      </c>
      <c r="I2041" s="2" t="s">
        <v>1251</v>
      </c>
      <c r="J2041" s="2" t="s">
        <v>750</v>
      </c>
      <c r="K2041" s="9">
        <v>45892</v>
      </c>
      <c r="L2041" s="9">
        <v>45899</v>
      </c>
      <c r="M2041" s="9">
        <v>45894</v>
      </c>
      <c r="N2041" s="2" t="s">
        <v>2314</v>
      </c>
      <c r="O2041" s="2" t="s">
        <v>56</v>
      </c>
      <c r="P2041" s="2" t="s">
        <v>245</v>
      </c>
      <c r="Q2041" s="2" t="s">
        <v>166</v>
      </c>
      <c r="R2041" s="2" t="s">
        <v>128</v>
      </c>
      <c r="S2041" s="2" t="s">
        <v>198</v>
      </c>
      <c r="T2041" s="10">
        <v>66.36</v>
      </c>
      <c r="U2041" s="11">
        <v>1.085</v>
      </c>
      <c r="V2041" s="12">
        <f>T2041*U2041</f>
        <v>72.000599999999991</v>
      </c>
      <c r="W2041" s="13">
        <v>0.19</v>
      </c>
      <c r="X2041" s="12">
        <f>V2041-(V2041/(1+W2041))</f>
        <v>11.495894117647055</v>
      </c>
      <c r="Y2041" s="12">
        <f>V2041-X2041</f>
        <v>60.504705882352937</v>
      </c>
      <c r="Z2041" s="14">
        <v>75</v>
      </c>
      <c r="AA2041" s="2" t="str">
        <f>IF(V2041&gt;Z2041,"Yes","No")</f>
        <v>No</v>
      </c>
      <c r="AB2041" s="12">
        <f>V2041-Z2041</f>
        <v>-2.9994000000000085</v>
      </c>
      <c r="AC2041" s="15" t="s">
        <v>130</v>
      </c>
      <c r="AD2041" s="15" t="s">
        <v>130</v>
      </c>
      <c r="AE2041" s="15" t="s">
        <v>437</v>
      </c>
      <c r="AF2041" s="12">
        <f>IF(AG2041="Rejected",0,IF(R2041="Corporate Card",0,V2041))</f>
        <v>0</v>
      </c>
      <c r="AG2041" s="15" t="s">
        <v>181</v>
      </c>
      <c r="AH2041" s="16">
        <v>45902</v>
      </c>
      <c r="AI2041" s="16"/>
      <c r="AJ2041" s="16"/>
      <c r="AK2041" s="17" t="str">
        <f>IF(AJ2041="","",AJ2041-AH2041)</f>
        <v/>
      </c>
    </row>
    <row r="2042" spans="1:37">
      <c r="A2042" s="2" t="s">
        <v>2510</v>
      </c>
      <c r="B2042" s="2" t="s">
        <v>342</v>
      </c>
      <c r="C2042" s="2" t="s">
        <v>343</v>
      </c>
      <c r="D2042" s="2" t="s">
        <v>344</v>
      </c>
      <c r="E2042" s="2" t="s">
        <v>345</v>
      </c>
      <c r="F2042" s="2" t="s">
        <v>346</v>
      </c>
      <c r="G2042" s="2" t="s">
        <v>2480</v>
      </c>
      <c r="H2042" s="2" t="s">
        <v>417</v>
      </c>
      <c r="I2042" s="2" t="s">
        <v>1251</v>
      </c>
      <c r="J2042" s="2" t="s">
        <v>750</v>
      </c>
      <c r="K2042" s="9">
        <v>45892</v>
      </c>
      <c r="L2042" s="9">
        <v>45899</v>
      </c>
      <c r="M2042" s="9">
        <v>45894</v>
      </c>
      <c r="N2042" s="2" t="s">
        <v>2314</v>
      </c>
      <c r="O2042" s="2" t="s">
        <v>55</v>
      </c>
      <c r="P2042" s="2" t="s">
        <v>139</v>
      </c>
      <c r="Q2042" s="2" t="s">
        <v>187</v>
      </c>
      <c r="R2042" s="2" t="s">
        <v>149</v>
      </c>
      <c r="S2042" s="2" t="s">
        <v>198</v>
      </c>
      <c r="T2042" s="10">
        <v>31.62</v>
      </c>
      <c r="U2042" s="11">
        <v>1.085</v>
      </c>
      <c r="V2042" s="12">
        <f>T2042*U2042</f>
        <v>34.307699999999997</v>
      </c>
      <c r="W2042" s="13">
        <v>0.19</v>
      </c>
      <c r="X2042" s="12">
        <f>V2042-(V2042/(1+W2042))</f>
        <v>5.4776999999999987</v>
      </c>
      <c r="Y2042" s="12">
        <f>V2042-X2042</f>
        <v>28.83</v>
      </c>
      <c r="Z2042" s="14">
        <v>35</v>
      </c>
      <c r="AA2042" s="2" t="str">
        <f>IF(V2042&gt;Z2042,"Yes","No")</f>
        <v>No</v>
      </c>
      <c r="AB2042" s="12">
        <f>V2042-Z2042</f>
        <v>-0.69230000000000302</v>
      </c>
      <c r="AC2042" s="15" t="s">
        <v>130</v>
      </c>
      <c r="AD2042" s="15" t="s">
        <v>130</v>
      </c>
      <c r="AE2042" s="15" t="s">
        <v>437</v>
      </c>
      <c r="AF2042" s="12">
        <f>IF(AG2042="Rejected",0,IF(R2042="Corporate Card",0,V2042))</f>
        <v>34.307699999999997</v>
      </c>
      <c r="AG2042" s="15" t="s">
        <v>181</v>
      </c>
      <c r="AH2042" s="16">
        <v>45902</v>
      </c>
      <c r="AI2042" s="16"/>
      <c r="AJ2042" s="16"/>
      <c r="AK2042" s="17" t="str">
        <f>IF(AJ2042="","",AJ2042-AH2042)</f>
        <v/>
      </c>
    </row>
    <row r="2043" spans="1:37">
      <c r="A2043" s="2" t="s">
        <v>2511</v>
      </c>
      <c r="B2043" s="2" t="s">
        <v>597</v>
      </c>
      <c r="C2043" s="2" t="s">
        <v>598</v>
      </c>
      <c r="D2043" s="2" t="s">
        <v>414</v>
      </c>
      <c r="E2043" s="2" t="s">
        <v>599</v>
      </c>
      <c r="F2043" s="2" t="s">
        <v>413</v>
      </c>
      <c r="G2043" s="2" t="s">
        <v>2497</v>
      </c>
      <c r="H2043" s="2" t="s">
        <v>254</v>
      </c>
      <c r="I2043" s="2" t="s">
        <v>175</v>
      </c>
      <c r="J2043" s="2" t="s">
        <v>176</v>
      </c>
      <c r="K2043" s="9">
        <v>45893</v>
      </c>
      <c r="L2043" s="9">
        <v>45894</v>
      </c>
      <c r="M2043" s="9">
        <v>45894</v>
      </c>
      <c r="N2043" s="2" t="s">
        <v>2314</v>
      </c>
      <c r="O2043" s="2" t="s">
        <v>60</v>
      </c>
      <c r="P2043" s="2" t="s">
        <v>536</v>
      </c>
      <c r="Q2043" s="2" t="s">
        <v>702</v>
      </c>
      <c r="R2043" s="2" t="s">
        <v>137</v>
      </c>
      <c r="S2043" s="2" t="s">
        <v>179</v>
      </c>
      <c r="T2043" s="10">
        <v>537.38</v>
      </c>
      <c r="U2043" s="11">
        <v>0.18099999999999999</v>
      </c>
      <c r="V2043" s="12">
        <f>T2043*U2043</f>
        <v>97.265779999999992</v>
      </c>
      <c r="W2043" s="13">
        <v>0.17</v>
      </c>
      <c r="X2043" s="12">
        <f>V2043-(V2043/(1+W2043))</f>
        <v>14.132634700854695</v>
      </c>
      <c r="Y2043" s="12">
        <f>V2043-X2043</f>
        <v>83.133145299145298</v>
      </c>
      <c r="Z2043" s="14">
        <v>120</v>
      </c>
      <c r="AA2043" s="2" t="str">
        <f>IF(V2043&gt;Z2043,"Yes","No")</f>
        <v>No</v>
      </c>
      <c r="AB2043" s="12">
        <f>V2043-Z2043</f>
        <v>-22.734220000000008</v>
      </c>
      <c r="AC2043" s="15" t="s">
        <v>131</v>
      </c>
      <c r="AD2043" s="15" t="s">
        <v>130</v>
      </c>
      <c r="AE2043" s="15" t="s">
        <v>180</v>
      </c>
      <c r="AF2043" s="12">
        <f>IF(AG2043="Rejected",0,IF(R2043="Corporate Card",0,V2043))</f>
        <v>97.265779999999992</v>
      </c>
      <c r="AG2043" s="15" t="s">
        <v>133</v>
      </c>
      <c r="AH2043" s="16">
        <v>45906</v>
      </c>
      <c r="AI2043" s="16">
        <v>45908</v>
      </c>
      <c r="AJ2043" s="16">
        <v>45914</v>
      </c>
      <c r="AK2043" s="17">
        <f>IF(AJ2043="","",AJ2043-AH2043)</f>
        <v>8</v>
      </c>
    </row>
    <row r="2044" spans="1:37">
      <c r="A2044" s="2" t="s">
        <v>2512</v>
      </c>
      <c r="B2044" s="2" t="s">
        <v>597</v>
      </c>
      <c r="C2044" s="2" t="s">
        <v>598</v>
      </c>
      <c r="D2044" s="2" t="s">
        <v>414</v>
      </c>
      <c r="E2044" s="2" t="s">
        <v>599</v>
      </c>
      <c r="F2044" s="2" t="s">
        <v>413</v>
      </c>
      <c r="G2044" s="2" t="s">
        <v>2497</v>
      </c>
      <c r="H2044" s="2" t="s">
        <v>254</v>
      </c>
      <c r="I2044" s="2" t="s">
        <v>175</v>
      </c>
      <c r="J2044" s="2" t="s">
        <v>176</v>
      </c>
      <c r="K2044" s="9">
        <v>45893</v>
      </c>
      <c r="L2044" s="9">
        <v>45894</v>
      </c>
      <c r="M2044" s="9">
        <v>45894</v>
      </c>
      <c r="N2044" s="2" t="s">
        <v>2314</v>
      </c>
      <c r="O2044" s="2" t="s">
        <v>61</v>
      </c>
      <c r="P2044" s="2" t="s">
        <v>528</v>
      </c>
      <c r="Q2044" s="2" t="s">
        <v>1128</v>
      </c>
      <c r="R2044" s="2" t="s">
        <v>137</v>
      </c>
      <c r="S2044" s="2" t="s">
        <v>179</v>
      </c>
      <c r="T2044" s="10">
        <v>185.7</v>
      </c>
      <c r="U2044" s="11">
        <v>0.18099999999999999</v>
      </c>
      <c r="V2044" s="12">
        <f>T2044*U2044</f>
        <v>33.611699999999999</v>
      </c>
      <c r="W2044" s="13">
        <v>0</v>
      </c>
      <c r="X2044" s="12">
        <f>V2044-(V2044/(1+W2044))</f>
        <v>0</v>
      </c>
      <c r="Y2044" s="12">
        <f>V2044-X2044</f>
        <v>33.611699999999999</v>
      </c>
      <c r="Z2044" s="14">
        <v>90</v>
      </c>
      <c r="AA2044" s="2" t="str">
        <f>IF(V2044&gt;Z2044,"Yes","No")</f>
        <v>No</v>
      </c>
      <c r="AB2044" s="12">
        <f>V2044-Z2044</f>
        <v>-56.388300000000001</v>
      </c>
      <c r="AC2044" s="15" t="s">
        <v>130</v>
      </c>
      <c r="AD2044" s="15" t="s">
        <v>130</v>
      </c>
      <c r="AE2044" s="15" t="s">
        <v>180</v>
      </c>
      <c r="AF2044" s="12">
        <f>IF(AG2044="Rejected",0,IF(R2044="Corporate Card",0,V2044))</f>
        <v>33.611699999999999</v>
      </c>
      <c r="AG2044" s="15" t="s">
        <v>133</v>
      </c>
      <c r="AH2044" s="16">
        <v>45906</v>
      </c>
      <c r="AI2044" s="16">
        <v>45908</v>
      </c>
      <c r="AJ2044" s="16">
        <v>45914</v>
      </c>
      <c r="AK2044" s="17">
        <f>IF(AJ2044="","",AJ2044-AH2044)</f>
        <v>8</v>
      </c>
    </row>
    <row r="2045" spans="1:37">
      <c r="A2045" s="2" t="s">
        <v>2513</v>
      </c>
      <c r="B2045" s="2" t="s">
        <v>597</v>
      </c>
      <c r="C2045" s="2" t="s">
        <v>598</v>
      </c>
      <c r="D2045" s="2" t="s">
        <v>414</v>
      </c>
      <c r="E2045" s="2" t="s">
        <v>599</v>
      </c>
      <c r="F2045" s="2" t="s">
        <v>413</v>
      </c>
      <c r="G2045" s="2" t="s">
        <v>2497</v>
      </c>
      <c r="H2045" s="2" t="s">
        <v>254</v>
      </c>
      <c r="I2045" s="2" t="s">
        <v>175</v>
      </c>
      <c r="J2045" s="2" t="s">
        <v>176</v>
      </c>
      <c r="K2045" s="9">
        <v>45893</v>
      </c>
      <c r="L2045" s="9">
        <v>45894</v>
      </c>
      <c r="M2045" s="9">
        <v>45894</v>
      </c>
      <c r="N2045" s="2" t="s">
        <v>2314</v>
      </c>
      <c r="O2045" s="2" t="s">
        <v>58</v>
      </c>
      <c r="P2045" s="2" t="s">
        <v>142</v>
      </c>
      <c r="Q2045" s="2" t="s">
        <v>143</v>
      </c>
      <c r="R2045" s="2" t="s">
        <v>128</v>
      </c>
      <c r="S2045" s="2" t="s">
        <v>179</v>
      </c>
      <c r="T2045" s="10">
        <v>229.18</v>
      </c>
      <c r="U2045" s="11">
        <v>0.18099999999999999</v>
      </c>
      <c r="V2045" s="12">
        <f>T2045*U2045</f>
        <v>41.481580000000001</v>
      </c>
      <c r="W2045" s="13">
        <v>0.17</v>
      </c>
      <c r="X2045" s="12">
        <f>V2045-(V2045/(1+W2045))</f>
        <v>6.0272381196581151</v>
      </c>
      <c r="Y2045" s="12">
        <f>V2045-X2045</f>
        <v>35.454341880341886</v>
      </c>
      <c r="Z2045" s="14">
        <v>60</v>
      </c>
      <c r="AA2045" s="2" t="str">
        <f>IF(V2045&gt;Z2045,"Yes","No")</f>
        <v>No</v>
      </c>
      <c r="AB2045" s="12">
        <f>V2045-Z2045</f>
        <v>-18.518419999999999</v>
      </c>
      <c r="AC2045" s="15" t="s">
        <v>130</v>
      </c>
      <c r="AD2045" s="15" t="s">
        <v>130</v>
      </c>
      <c r="AE2045" s="15" t="s">
        <v>180</v>
      </c>
      <c r="AF2045" s="12">
        <f>IF(AG2045="Rejected",0,IF(R2045="Corporate Card",0,V2045))</f>
        <v>0</v>
      </c>
      <c r="AG2045" s="15" t="s">
        <v>133</v>
      </c>
      <c r="AH2045" s="16">
        <v>45906</v>
      </c>
      <c r="AI2045" s="16">
        <v>45908</v>
      </c>
      <c r="AJ2045" s="16">
        <v>45914</v>
      </c>
      <c r="AK2045" s="17">
        <f>IF(AJ2045="","",AJ2045-AH2045)</f>
        <v>8</v>
      </c>
    </row>
    <row r="2046" spans="1:37">
      <c r="A2046" s="2" t="s">
        <v>2514</v>
      </c>
      <c r="B2046" s="2" t="s">
        <v>597</v>
      </c>
      <c r="C2046" s="2" t="s">
        <v>598</v>
      </c>
      <c r="D2046" s="2" t="s">
        <v>414</v>
      </c>
      <c r="E2046" s="2" t="s">
        <v>599</v>
      </c>
      <c r="F2046" s="2" t="s">
        <v>413</v>
      </c>
      <c r="G2046" s="2" t="s">
        <v>2497</v>
      </c>
      <c r="H2046" s="2" t="s">
        <v>254</v>
      </c>
      <c r="I2046" s="2" t="s">
        <v>175</v>
      </c>
      <c r="J2046" s="2" t="s">
        <v>176</v>
      </c>
      <c r="K2046" s="9">
        <v>45893</v>
      </c>
      <c r="L2046" s="9">
        <v>45894</v>
      </c>
      <c r="M2046" s="9">
        <v>45894</v>
      </c>
      <c r="N2046" s="2" t="s">
        <v>2314</v>
      </c>
      <c r="O2046" s="2" t="s">
        <v>53</v>
      </c>
      <c r="P2046" s="2" t="s">
        <v>405</v>
      </c>
      <c r="Q2046" s="2" t="s">
        <v>220</v>
      </c>
      <c r="R2046" s="2" t="s">
        <v>149</v>
      </c>
      <c r="S2046" s="2" t="s">
        <v>179</v>
      </c>
      <c r="T2046" s="10">
        <v>973.58</v>
      </c>
      <c r="U2046" s="11">
        <v>0.18099999999999999</v>
      </c>
      <c r="V2046" s="12">
        <f>T2046*U2046</f>
        <v>176.21798000000001</v>
      </c>
      <c r="W2046" s="13">
        <v>0.17</v>
      </c>
      <c r="X2046" s="12">
        <f>V2046-(V2046/(1+W2046))</f>
        <v>25.604321880341871</v>
      </c>
      <c r="Y2046" s="12">
        <f>V2046-X2046</f>
        <v>150.61365811965814</v>
      </c>
      <c r="Z2046" s="14">
        <v>280</v>
      </c>
      <c r="AA2046" s="2" t="str">
        <f>IF(V2046&gt;Z2046,"Yes","No")</f>
        <v>No</v>
      </c>
      <c r="AB2046" s="12">
        <f>V2046-Z2046</f>
        <v>-103.78201999999999</v>
      </c>
      <c r="AC2046" s="15" t="s">
        <v>130</v>
      </c>
      <c r="AD2046" s="15" t="s">
        <v>130</v>
      </c>
      <c r="AE2046" s="15" t="s">
        <v>180</v>
      </c>
      <c r="AF2046" s="12">
        <f>IF(AG2046="Rejected",0,IF(R2046="Corporate Card",0,V2046))</f>
        <v>176.21798000000001</v>
      </c>
      <c r="AG2046" s="15" t="s">
        <v>133</v>
      </c>
      <c r="AH2046" s="16">
        <v>45906</v>
      </c>
      <c r="AI2046" s="16">
        <v>45908</v>
      </c>
      <c r="AJ2046" s="16">
        <v>45914</v>
      </c>
      <c r="AK2046" s="17">
        <f>IF(AJ2046="","",AJ2046-AH2046)</f>
        <v>8</v>
      </c>
    </row>
    <row r="2047" spans="1:37">
      <c r="A2047" s="2" t="s">
        <v>2515</v>
      </c>
      <c r="B2047" s="2" t="s">
        <v>597</v>
      </c>
      <c r="C2047" s="2" t="s">
        <v>598</v>
      </c>
      <c r="D2047" s="2" t="s">
        <v>414</v>
      </c>
      <c r="E2047" s="2" t="s">
        <v>599</v>
      </c>
      <c r="F2047" s="2" t="s">
        <v>413</v>
      </c>
      <c r="G2047" s="2" t="s">
        <v>2497</v>
      </c>
      <c r="H2047" s="2" t="s">
        <v>254</v>
      </c>
      <c r="I2047" s="2" t="s">
        <v>175</v>
      </c>
      <c r="J2047" s="2" t="s">
        <v>176</v>
      </c>
      <c r="K2047" s="9">
        <v>45893</v>
      </c>
      <c r="L2047" s="9">
        <v>45894</v>
      </c>
      <c r="M2047" s="9">
        <v>45894</v>
      </c>
      <c r="N2047" s="2" t="s">
        <v>2314</v>
      </c>
      <c r="O2047" s="2" t="s">
        <v>65</v>
      </c>
      <c r="P2047" s="2" t="s">
        <v>211</v>
      </c>
      <c r="Q2047" s="2" t="s">
        <v>212</v>
      </c>
      <c r="R2047" s="2" t="s">
        <v>128</v>
      </c>
      <c r="S2047" s="2" t="s">
        <v>179</v>
      </c>
      <c r="T2047" s="10">
        <v>170.79</v>
      </c>
      <c r="U2047" s="11">
        <v>0.18099999999999999</v>
      </c>
      <c r="V2047" s="12">
        <f>T2047*U2047</f>
        <v>30.912989999999997</v>
      </c>
      <c r="W2047" s="13">
        <v>0.17</v>
      </c>
      <c r="X2047" s="12">
        <f>V2047-(V2047/(1+W2047))</f>
        <v>4.4916310256410235</v>
      </c>
      <c r="Y2047" s="12">
        <f>V2047-X2047</f>
        <v>26.421358974358974</v>
      </c>
      <c r="Z2047" s="14">
        <v>55</v>
      </c>
      <c r="AA2047" s="2" t="str">
        <f>IF(V2047&gt;Z2047,"Yes","No")</f>
        <v>No</v>
      </c>
      <c r="AB2047" s="12">
        <f>V2047-Z2047</f>
        <v>-24.087010000000003</v>
      </c>
      <c r="AC2047" s="15" t="s">
        <v>130</v>
      </c>
      <c r="AD2047" s="15" t="s">
        <v>130</v>
      </c>
      <c r="AE2047" s="15" t="s">
        <v>180</v>
      </c>
      <c r="AF2047" s="12">
        <f>IF(AG2047="Rejected",0,IF(R2047="Corporate Card",0,V2047))</f>
        <v>0</v>
      </c>
      <c r="AG2047" s="15" t="s">
        <v>133</v>
      </c>
      <c r="AH2047" s="16">
        <v>45906</v>
      </c>
      <c r="AI2047" s="16">
        <v>45908</v>
      </c>
      <c r="AJ2047" s="16">
        <v>45914</v>
      </c>
      <c r="AK2047" s="17">
        <f>IF(AJ2047="","",AJ2047-AH2047)</f>
        <v>8</v>
      </c>
    </row>
    <row r="2048" spans="1:37">
      <c r="A2048" s="2" t="s">
        <v>2516</v>
      </c>
      <c r="B2048" s="2" t="s">
        <v>597</v>
      </c>
      <c r="C2048" s="2" t="s">
        <v>598</v>
      </c>
      <c r="D2048" s="2" t="s">
        <v>414</v>
      </c>
      <c r="E2048" s="2" t="s">
        <v>599</v>
      </c>
      <c r="F2048" s="2" t="s">
        <v>413</v>
      </c>
      <c r="G2048" s="2" t="s">
        <v>2497</v>
      </c>
      <c r="H2048" s="2" t="s">
        <v>254</v>
      </c>
      <c r="I2048" s="2" t="s">
        <v>175</v>
      </c>
      <c r="J2048" s="2" t="s">
        <v>176</v>
      </c>
      <c r="K2048" s="9">
        <v>45893</v>
      </c>
      <c r="L2048" s="9">
        <v>45894</v>
      </c>
      <c r="M2048" s="9">
        <v>45894</v>
      </c>
      <c r="N2048" s="2" t="s">
        <v>2314</v>
      </c>
      <c r="O2048" s="2" t="s">
        <v>54</v>
      </c>
      <c r="P2048" s="2" t="s">
        <v>139</v>
      </c>
      <c r="Q2048" s="2" t="s">
        <v>163</v>
      </c>
      <c r="R2048" s="2" t="s">
        <v>128</v>
      </c>
      <c r="S2048" s="2" t="s">
        <v>179</v>
      </c>
      <c r="T2048" s="10">
        <v>102.6</v>
      </c>
      <c r="U2048" s="11">
        <v>0.18099999999999999</v>
      </c>
      <c r="V2048" s="12">
        <f>T2048*U2048</f>
        <v>18.570599999999999</v>
      </c>
      <c r="W2048" s="13">
        <v>0.17</v>
      </c>
      <c r="X2048" s="12">
        <f>V2048-(V2048/(1+W2048))</f>
        <v>2.6982923076923058</v>
      </c>
      <c r="Y2048" s="12">
        <f>V2048-X2048</f>
        <v>15.872307692307693</v>
      </c>
      <c r="Z2048" s="14">
        <v>25</v>
      </c>
      <c r="AA2048" s="2" t="str">
        <f>IF(V2048&gt;Z2048,"Yes","No")</f>
        <v>No</v>
      </c>
      <c r="AB2048" s="12">
        <f>V2048-Z2048</f>
        <v>-6.4294000000000011</v>
      </c>
      <c r="AC2048" s="15" t="s">
        <v>130</v>
      </c>
      <c r="AD2048" s="15" t="s">
        <v>130</v>
      </c>
      <c r="AE2048" s="15" t="s">
        <v>180</v>
      </c>
      <c r="AF2048" s="12">
        <f>IF(AG2048="Rejected",0,IF(R2048="Corporate Card",0,V2048))</f>
        <v>0</v>
      </c>
      <c r="AG2048" s="15" t="s">
        <v>133</v>
      </c>
      <c r="AH2048" s="16">
        <v>45906</v>
      </c>
      <c r="AI2048" s="16">
        <v>45908</v>
      </c>
      <c r="AJ2048" s="16">
        <v>45914</v>
      </c>
      <c r="AK2048" s="17">
        <f>IF(AJ2048="","",AJ2048-AH2048)</f>
        <v>8</v>
      </c>
    </row>
    <row r="2049" spans="1:37">
      <c r="A2049" s="2" t="s">
        <v>2517</v>
      </c>
      <c r="B2049" s="2" t="s">
        <v>597</v>
      </c>
      <c r="C2049" s="2" t="s">
        <v>598</v>
      </c>
      <c r="D2049" s="2" t="s">
        <v>414</v>
      </c>
      <c r="E2049" s="2" t="s">
        <v>599</v>
      </c>
      <c r="F2049" s="2" t="s">
        <v>413</v>
      </c>
      <c r="G2049" s="2" t="s">
        <v>2497</v>
      </c>
      <c r="H2049" s="2" t="s">
        <v>254</v>
      </c>
      <c r="I2049" s="2" t="s">
        <v>175</v>
      </c>
      <c r="J2049" s="2" t="s">
        <v>176</v>
      </c>
      <c r="K2049" s="9">
        <v>45893</v>
      </c>
      <c r="L2049" s="9">
        <v>45894</v>
      </c>
      <c r="M2049" s="9">
        <v>45894</v>
      </c>
      <c r="N2049" s="2" t="s">
        <v>2314</v>
      </c>
      <c r="O2049" s="2" t="s">
        <v>62</v>
      </c>
      <c r="P2049" s="2" t="s">
        <v>533</v>
      </c>
      <c r="Q2049" s="2" t="s">
        <v>548</v>
      </c>
      <c r="R2049" s="2" t="s">
        <v>128</v>
      </c>
      <c r="S2049" s="2" t="s">
        <v>179</v>
      </c>
      <c r="T2049" s="10">
        <v>126.72</v>
      </c>
      <c r="U2049" s="11">
        <v>0.18099999999999999</v>
      </c>
      <c r="V2049" s="12">
        <f>T2049*U2049</f>
        <v>22.936319999999998</v>
      </c>
      <c r="W2049" s="13">
        <v>0.17</v>
      </c>
      <c r="X2049" s="12">
        <f>V2049-(V2049/(1+W2049))</f>
        <v>3.3326276923076925</v>
      </c>
      <c r="Y2049" s="12">
        <f>V2049-X2049</f>
        <v>19.603692307692306</v>
      </c>
      <c r="Z2049" s="14">
        <v>45</v>
      </c>
      <c r="AA2049" s="2" t="str">
        <f>IF(V2049&gt;Z2049,"Yes","No")</f>
        <v>No</v>
      </c>
      <c r="AB2049" s="12">
        <f>V2049-Z2049</f>
        <v>-22.063680000000002</v>
      </c>
      <c r="AC2049" s="15" t="s">
        <v>130</v>
      </c>
      <c r="AD2049" s="15" t="s">
        <v>130</v>
      </c>
      <c r="AE2049" s="15" t="s">
        <v>180</v>
      </c>
      <c r="AF2049" s="12">
        <f>IF(AG2049="Rejected",0,IF(R2049="Corporate Card",0,V2049))</f>
        <v>0</v>
      </c>
      <c r="AG2049" s="15" t="s">
        <v>133</v>
      </c>
      <c r="AH2049" s="16">
        <v>45906</v>
      </c>
      <c r="AI2049" s="16">
        <v>45908</v>
      </c>
      <c r="AJ2049" s="16">
        <v>45914</v>
      </c>
      <c r="AK2049" s="17">
        <f>IF(AJ2049="","",AJ2049-AH2049)</f>
        <v>8</v>
      </c>
    </row>
    <row r="2050" spans="1:37">
      <c r="A2050" s="2" t="s">
        <v>2518</v>
      </c>
      <c r="B2050" s="2" t="s">
        <v>342</v>
      </c>
      <c r="C2050" s="2" t="s">
        <v>343</v>
      </c>
      <c r="D2050" s="2" t="s">
        <v>344</v>
      </c>
      <c r="E2050" s="2" t="s">
        <v>345</v>
      </c>
      <c r="F2050" s="2" t="s">
        <v>346</v>
      </c>
      <c r="G2050" s="2" t="s">
        <v>2480</v>
      </c>
      <c r="H2050" s="2" t="s">
        <v>417</v>
      </c>
      <c r="I2050" s="2" t="s">
        <v>1251</v>
      </c>
      <c r="J2050" s="2" t="s">
        <v>750</v>
      </c>
      <c r="K2050" s="9">
        <v>45892</v>
      </c>
      <c r="L2050" s="9">
        <v>45899</v>
      </c>
      <c r="M2050" s="9">
        <v>45895</v>
      </c>
      <c r="N2050" s="2" t="s">
        <v>2314</v>
      </c>
      <c r="O2050" s="2" t="s">
        <v>54</v>
      </c>
      <c r="P2050" s="2" t="s">
        <v>139</v>
      </c>
      <c r="Q2050" s="2" t="s">
        <v>140</v>
      </c>
      <c r="R2050" s="2" t="s">
        <v>128</v>
      </c>
      <c r="S2050" s="2" t="s">
        <v>198</v>
      </c>
      <c r="T2050" s="10">
        <v>14.47</v>
      </c>
      <c r="U2050" s="11">
        <v>1.085</v>
      </c>
      <c r="V2050" s="12">
        <f>T2050*U2050</f>
        <v>15.699949999999999</v>
      </c>
      <c r="W2050" s="13">
        <v>0.19</v>
      </c>
      <c r="X2050" s="12">
        <f>V2050-(V2050/(1+W2050))</f>
        <v>2.5067147058823522</v>
      </c>
      <c r="Y2050" s="12">
        <f>V2050-X2050</f>
        <v>13.193235294117647</v>
      </c>
      <c r="Z2050" s="14">
        <v>25</v>
      </c>
      <c r="AA2050" s="2" t="str">
        <f>IF(V2050&gt;Z2050,"Yes","No")</f>
        <v>No</v>
      </c>
      <c r="AB2050" s="12">
        <f>V2050-Z2050</f>
        <v>-9.3000500000000006</v>
      </c>
      <c r="AC2050" s="15" t="s">
        <v>130</v>
      </c>
      <c r="AD2050" s="15" t="s">
        <v>130</v>
      </c>
      <c r="AE2050" s="15" t="s">
        <v>437</v>
      </c>
      <c r="AF2050" s="12">
        <f>IF(AG2050="Rejected",0,IF(R2050="Corporate Card",0,V2050))</f>
        <v>0</v>
      </c>
      <c r="AG2050" s="15" t="s">
        <v>181</v>
      </c>
      <c r="AH2050" s="16">
        <v>45902</v>
      </c>
      <c r="AI2050" s="16"/>
      <c r="AJ2050" s="16"/>
      <c r="AK2050" s="17" t="str">
        <f>IF(AJ2050="","",AJ2050-AH2050)</f>
        <v/>
      </c>
    </row>
    <row r="2051" spans="1:37">
      <c r="A2051" s="2" t="s">
        <v>2519</v>
      </c>
      <c r="B2051" s="2" t="s">
        <v>342</v>
      </c>
      <c r="C2051" s="2" t="s">
        <v>343</v>
      </c>
      <c r="D2051" s="2" t="s">
        <v>344</v>
      </c>
      <c r="E2051" s="2" t="s">
        <v>345</v>
      </c>
      <c r="F2051" s="2" t="s">
        <v>346</v>
      </c>
      <c r="G2051" s="2" t="s">
        <v>2480</v>
      </c>
      <c r="H2051" s="2" t="s">
        <v>417</v>
      </c>
      <c r="I2051" s="2" t="s">
        <v>1251</v>
      </c>
      <c r="J2051" s="2" t="s">
        <v>750</v>
      </c>
      <c r="K2051" s="9">
        <v>45892</v>
      </c>
      <c r="L2051" s="9">
        <v>45899</v>
      </c>
      <c r="M2051" s="9">
        <v>45895</v>
      </c>
      <c r="N2051" s="2" t="s">
        <v>2314</v>
      </c>
      <c r="O2051" s="2" t="s">
        <v>56</v>
      </c>
      <c r="P2051" s="2" t="s">
        <v>231</v>
      </c>
      <c r="Q2051" s="2" t="s">
        <v>227</v>
      </c>
      <c r="R2051" s="2" t="s">
        <v>137</v>
      </c>
      <c r="S2051" s="2" t="s">
        <v>198</v>
      </c>
      <c r="T2051" s="10">
        <v>30.7</v>
      </c>
      <c r="U2051" s="11">
        <v>1.085</v>
      </c>
      <c r="V2051" s="12">
        <f>T2051*U2051</f>
        <v>33.3095</v>
      </c>
      <c r="W2051" s="13">
        <v>0.19</v>
      </c>
      <c r="X2051" s="12">
        <f>V2051-(V2051/(1+W2051))</f>
        <v>5.3183235294117637</v>
      </c>
      <c r="Y2051" s="12">
        <f>V2051-X2051</f>
        <v>27.991176470588236</v>
      </c>
      <c r="Z2051" s="14">
        <v>75</v>
      </c>
      <c r="AA2051" s="2" t="str">
        <f>IF(V2051&gt;Z2051,"Yes","No")</f>
        <v>No</v>
      </c>
      <c r="AB2051" s="12">
        <f>V2051-Z2051</f>
        <v>-41.6905</v>
      </c>
      <c r="AC2051" s="15" t="s">
        <v>130</v>
      </c>
      <c r="AD2051" s="15" t="s">
        <v>130</v>
      </c>
      <c r="AE2051" s="15" t="s">
        <v>437</v>
      </c>
      <c r="AF2051" s="12">
        <f>IF(AG2051="Rejected",0,IF(R2051="Corporate Card",0,V2051))</f>
        <v>33.3095</v>
      </c>
      <c r="AG2051" s="15" t="s">
        <v>181</v>
      </c>
      <c r="AH2051" s="16">
        <v>45902</v>
      </c>
      <c r="AI2051" s="16"/>
      <c r="AJ2051" s="16"/>
      <c r="AK2051" s="17" t="str">
        <f>IF(AJ2051="","",AJ2051-AH2051)</f>
        <v/>
      </c>
    </row>
    <row r="2052" spans="1:37">
      <c r="A2052" s="2" t="s">
        <v>2520</v>
      </c>
      <c r="B2052" s="2" t="s">
        <v>342</v>
      </c>
      <c r="C2052" s="2" t="s">
        <v>343</v>
      </c>
      <c r="D2052" s="2" t="s">
        <v>344</v>
      </c>
      <c r="E2052" s="2" t="s">
        <v>345</v>
      </c>
      <c r="F2052" s="2" t="s">
        <v>346</v>
      </c>
      <c r="G2052" s="2" t="s">
        <v>2480</v>
      </c>
      <c r="H2052" s="2" t="s">
        <v>417</v>
      </c>
      <c r="I2052" s="2" t="s">
        <v>1251</v>
      </c>
      <c r="J2052" s="2" t="s">
        <v>750</v>
      </c>
      <c r="K2052" s="9">
        <v>45892</v>
      </c>
      <c r="L2052" s="9">
        <v>45899</v>
      </c>
      <c r="M2052" s="9">
        <v>45895</v>
      </c>
      <c r="N2052" s="2" t="s">
        <v>2314</v>
      </c>
      <c r="O2052" s="2" t="s">
        <v>55</v>
      </c>
      <c r="P2052" s="2" t="s">
        <v>139</v>
      </c>
      <c r="Q2052" s="2" t="s">
        <v>154</v>
      </c>
      <c r="R2052" s="2" t="s">
        <v>128</v>
      </c>
      <c r="S2052" s="2" t="s">
        <v>198</v>
      </c>
      <c r="T2052" s="10">
        <v>22.34</v>
      </c>
      <c r="U2052" s="11">
        <v>1.085</v>
      </c>
      <c r="V2052" s="12">
        <f>T2052*U2052</f>
        <v>24.238899999999997</v>
      </c>
      <c r="W2052" s="13">
        <v>0.19</v>
      </c>
      <c r="X2052" s="12">
        <f>V2052-(V2052/(1+W2052))</f>
        <v>3.8700764705882342</v>
      </c>
      <c r="Y2052" s="12">
        <f>V2052-X2052</f>
        <v>20.368823529411763</v>
      </c>
      <c r="Z2052" s="14">
        <v>35</v>
      </c>
      <c r="AA2052" s="2" t="str">
        <f>IF(V2052&gt;Z2052,"Yes","No")</f>
        <v>No</v>
      </c>
      <c r="AB2052" s="12">
        <f>V2052-Z2052</f>
        <v>-10.761100000000003</v>
      </c>
      <c r="AC2052" s="15" t="s">
        <v>130</v>
      </c>
      <c r="AD2052" s="15" t="s">
        <v>130</v>
      </c>
      <c r="AE2052" s="15" t="s">
        <v>437</v>
      </c>
      <c r="AF2052" s="12">
        <f>IF(AG2052="Rejected",0,IF(R2052="Corporate Card",0,V2052))</f>
        <v>0</v>
      </c>
      <c r="AG2052" s="15" t="s">
        <v>181</v>
      </c>
      <c r="AH2052" s="16">
        <v>45902</v>
      </c>
      <c r="AI2052" s="16"/>
      <c r="AJ2052" s="16"/>
      <c r="AK2052" s="17" t="str">
        <f>IF(AJ2052="","",AJ2052-AH2052)</f>
        <v/>
      </c>
    </row>
    <row r="2053" spans="1:37">
      <c r="A2053" s="2" t="s">
        <v>2521</v>
      </c>
      <c r="B2053" s="2" t="s">
        <v>342</v>
      </c>
      <c r="C2053" s="2" t="s">
        <v>343</v>
      </c>
      <c r="D2053" s="2" t="s">
        <v>344</v>
      </c>
      <c r="E2053" s="2" t="s">
        <v>345</v>
      </c>
      <c r="F2053" s="2" t="s">
        <v>346</v>
      </c>
      <c r="G2053" s="2" t="s">
        <v>2480</v>
      </c>
      <c r="H2053" s="2" t="s">
        <v>417</v>
      </c>
      <c r="I2053" s="2" t="s">
        <v>1251</v>
      </c>
      <c r="J2053" s="2" t="s">
        <v>750</v>
      </c>
      <c r="K2053" s="9">
        <v>45892</v>
      </c>
      <c r="L2053" s="9">
        <v>45899</v>
      </c>
      <c r="M2053" s="9">
        <v>45896</v>
      </c>
      <c r="N2053" s="2" t="s">
        <v>2314</v>
      </c>
      <c r="O2053" s="2" t="s">
        <v>58</v>
      </c>
      <c r="P2053" s="2" t="s">
        <v>142</v>
      </c>
      <c r="Q2053" s="2" t="s">
        <v>143</v>
      </c>
      <c r="R2053" s="2" t="s">
        <v>128</v>
      </c>
      <c r="S2053" s="2" t="s">
        <v>198</v>
      </c>
      <c r="T2053" s="10">
        <v>66.650000000000006</v>
      </c>
      <c r="U2053" s="11">
        <v>1.085</v>
      </c>
      <c r="V2053" s="12">
        <f>T2053*U2053</f>
        <v>72.315250000000006</v>
      </c>
      <c r="W2053" s="13">
        <v>0.19</v>
      </c>
      <c r="X2053" s="12">
        <f>V2053-(V2053/(1+W2053))</f>
        <v>11.546132352941171</v>
      </c>
      <c r="Y2053" s="12">
        <f>V2053-X2053</f>
        <v>60.769117647058835</v>
      </c>
      <c r="Z2053" s="14">
        <v>60</v>
      </c>
      <c r="AA2053" s="2" t="str">
        <f>IF(V2053&gt;Z2053,"Yes","No")</f>
        <v>Yes</v>
      </c>
      <c r="AB2053" s="12">
        <f>V2053-Z2053</f>
        <v>12.315250000000006</v>
      </c>
      <c r="AC2053" s="15" t="s">
        <v>130</v>
      </c>
      <c r="AD2053" s="15" t="s">
        <v>130</v>
      </c>
      <c r="AE2053" s="15" t="s">
        <v>437</v>
      </c>
      <c r="AF2053" s="12">
        <f>IF(AG2053="Rejected",0,IF(R2053="Corporate Card",0,V2053))</f>
        <v>0</v>
      </c>
      <c r="AG2053" s="15" t="s">
        <v>181</v>
      </c>
      <c r="AH2053" s="16">
        <v>45902</v>
      </c>
      <c r="AI2053" s="16"/>
      <c r="AJ2053" s="16"/>
      <c r="AK2053" s="17" t="str">
        <f>IF(AJ2053="","",AJ2053-AH2053)</f>
        <v/>
      </c>
    </row>
    <row r="2054" spans="1:37">
      <c r="A2054" s="2" t="s">
        <v>2522</v>
      </c>
      <c r="B2054" s="2" t="s">
        <v>342</v>
      </c>
      <c r="C2054" s="2" t="s">
        <v>343</v>
      </c>
      <c r="D2054" s="2" t="s">
        <v>344</v>
      </c>
      <c r="E2054" s="2" t="s">
        <v>345</v>
      </c>
      <c r="F2054" s="2" t="s">
        <v>346</v>
      </c>
      <c r="G2054" s="2" t="s">
        <v>2480</v>
      </c>
      <c r="H2054" s="2" t="s">
        <v>417</v>
      </c>
      <c r="I2054" s="2" t="s">
        <v>1251</v>
      </c>
      <c r="J2054" s="2" t="s">
        <v>750</v>
      </c>
      <c r="K2054" s="9">
        <v>45892</v>
      </c>
      <c r="L2054" s="9">
        <v>45899</v>
      </c>
      <c r="M2054" s="9">
        <v>45896</v>
      </c>
      <c r="N2054" s="2" t="s">
        <v>2314</v>
      </c>
      <c r="O2054" s="2" t="s">
        <v>56</v>
      </c>
      <c r="P2054" s="2" t="s">
        <v>151</v>
      </c>
      <c r="Q2054" s="2" t="s">
        <v>159</v>
      </c>
      <c r="R2054" s="2" t="s">
        <v>128</v>
      </c>
      <c r="S2054" s="2" t="s">
        <v>198</v>
      </c>
      <c r="T2054" s="10">
        <v>24.61</v>
      </c>
      <c r="U2054" s="11">
        <v>1.085</v>
      </c>
      <c r="V2054" s="12">
        <f>T2054*U2054</f>
        <v>26.701849999999997</v>
      </c>
      <c r="W2054" s="13">
        <v>0.19</v>
      </c>
      <c r="X2054" s="12">
        <f>V2054-(V2054/(1+W2054))</f>
        <v>4.2633205882352918</v>
      </c>
      <c r="Y2054" s="12">
        <f>V2054-X2054</f>
        <v>22.438529411764705</v>
      </c>
      <c r="Z2054" s="14">
        <v>75</v>
      </c>
      <c r="AA2054" s="2" t="str">
        <f>IF(V2054&gt;Z2054,"Yes","No")</f>
        <v>No</v>
      </c>
      <c r="AB2054" s="12">
        <f>V2054-Z2054</f>
        <v>-48.298150000000007</v>
      </c>
      <c r="AC2054" s="15" t="s">
        <v>130</v>
      </c>
      <c r="AD2054" s="15" t="s">
        <v>130</v>
      </c>
      <c r="AE2054" s="15" t="s">
        <v>437</v>
      </c>
      <c r="AF2054" s="12">
        <f>IF(AG2054="Rejected",0,IF(R2054="Corporate Card",0,V2054))</f>
        <v>0</v>
      </c>
      <c r="AG2054" s="15" t="s">
        <v>181</v>
      </c>
      <c r="AH2054" s="16">
        <v>45902</v>
      </c>
      <c r="AI2054" s="16"/>
      <c r="AJ2054" s="16"/>
      <c r="AK2054" s="17" t="str">
        <f>IF(AJ2054="","",AJ2054-AH2054)</f>
        <v/>
      </c>
    </row>
    <row r="2055" spans="1:37">
      <c r="A2055" s="2" t="s">
        <v>2523</v>
      </c>
      <c r="B2055" s="2" t="s">
        <v>342</v>
      </c>
      <c r="C2055" s="2" t="s">
        <v>343</v>
      </c>
      <c r="D2055" s="2" t="s">
        <v>344</v>
      </c>
      <c r="E2055" s="2" t="s">
        <v>345</v>
      </c>
      <c r="F2055" s="2" t="s">
        <v>346</v>
      </c>
      <c r="G2055" s="2" t="s">
        <v>2480</v>
      </c>
      <c r="H2055" s="2" t="s">
        <v>417</v>
      </c>
      <c r="I2055" s="2" t="s">
        <v>1251</v>
      </c>
      <c r="J2055" s="2" t="s">
        <v>750</v>
      </c>
      <c r="K2055" s="9">
        <v>45892</v>
      </c>
      <c r="L2055" s="9">
        <v>45899</v>
      </c>
      <c r="M2055" s="9">
        <v>45897</v>
      </c>
      <c r="N2055" s="2" t="s">
        <v>2314</v>
      </c>
      <c r="O2055" s="2" t="s">
        <v>58</v>
      </c>
      <c r="P2055" s="2" t="s">
        <v>142</v>
      </c>
      <c r="Q2055" s="2" t="s">
        <v>156</v>
      </c>
      <c r="R2055" s="2" t="s">
        <v>128</v>
      </c>
      <c r="S2055" s="2" t="s">
        <v>198</v>
      </c>
      <c r="T2055" s="10">
        <v>38.08</v>
      </c>
      <c r="U2055" s="11">
        <v>1.085</v>
      </c>
      <c r="V2055" s="12">
        <f>T2055*U2055</f>
        <v>41.316799999999994</v>
      </c>
      <c r="W2055" s="13">
        <v>0.19</v>
      </c>
      <c r="X2055" s="12">
        <f>V2055-(V2055/(1+W2055))</f>
        <v>6.5967999999999947</v>
      </c>
      <c r="Y2055" s="12">
        <f>V2055-X2055</f>
        <v>34.72</v>
      </c>
      <c r="Z2055" s="14">
        <v>60</v>
      </c>
      <c r="AA2055" s="2" t="str">
        <f>IF(V2055&gt;Z2055,"Yes","No")</f>
        <v>No</v>
      </c>
      <c r="AB2055" s="12">
        <f>V2055-Z2055</f>
        <v>-18.683200000000006</v>
      </c>
      <c r="AC2055" s="15" t="s">
        <v>130</v>
      </c>
      <c r="AD2055" s="15" t="s">
        <v>130</v>
      </c>
      <c r="AE2055" s="15" t="s">
        <v>437</v>
      </c>
      <c r="AF2055" s="12">
        <f>IF(AG2055="Rejected",0,IF(R2055="Corporate Card",0,V2055))</f>
        <v>0</v>
      </c>
      <c r="AG2055" s="15" t="s">
        <v>181</v>
      </c>
      <c r="AH2055" s="16">
        <v>45902</v>
      </c>
      <c r="AI2055" s="16"/>
      <c r="AJ2055" s="16"/>
      <c r="AK2055" s="17" t="str">
        <f>IF(AJ2055="","",AJ2055-AH2055)</f>
        <v/>
      </c>
    </row>
    <row r="2056" spans="1:37">
      <c r="A2056" s="2" t="s">
        <v>2524</v>
      </c>
      <c r="B2056" s="2" t="s">
        <v>342</v>
      </c>
      <c r="C2056" s="2" t="s">
        <v>343</v>
      </c>
      <c r="D2056" s="2" t="s">
        <v>344</v>
      </c>
      <c r="E2056" s="2" t="s">
        <v>345</v>
      </c>
      <c r="F2056" s="2" t="s">
        <v>346</v>
      </c>
      <c r="G2056" s="2" t="s">
        <v>2480</v>
      </c>
      <c r="H2056" s="2" t="s">
        <v>417</v>
      </c>
      <c r="I2056" s="2" t="s">
        <v>1251</v>
      </c>
      <c r="J2056" s="2" t="s">
        <v>750</v>
      </c>
      <c r="K2056" s="9">
        <v>45892</v>
      </c>
      <c r="L2056" s="9">
        <v>45899</v>
      </c>
      <c r="M2056" s="9">
        <v>45897</v>
      </c>
      <c r="N2056" s="2" t="s">
        <v>2314</v>
      </c>
      <c r="O2056" s="2" t="s">
        <v>56</v>
      </c>
      <c r="P2056" s="2" t="s">
        <v>151</v>
      </c>
      <c r="Q2056" s="2" t="s">
        <v>185</v>
      </c>
      <c r="R2056" s="2" t="s">
        <v>128</v>
      </c>
      <c r="S2056" s="2" t="s">
        <v>198</v>
      </c>
      <c r="T2056" s="10">
        <v>37.29</v>
      </c>
      <c r="U2056" s="11">
        <v>1.085</v>
      </c>
      <c r="V2056" s="12">
        <f>T2056*U2056</f>
        <v>40.459649999999996</v>
      </c>
      <c r="W2056" s="13">
        <v>0.19</v>
      </c>
      <c r="X2056" s="12">
        <f>V2056-(V2056/(1+W2056))</f>
        <v>6.4599441176470549</v>
      </c>
      <c r="Y2056" s="12">
        <f>V2056-X2056</f>
        <v>33.999705882352941</v>
      </c>
      <c r="Z2056" s="14">
        <v>75</v>
      </c>
      <c r="AA2056" s="2" t="str">
        <f>IF(V2056&gt;Z2056,"Yes","No")</f>
        <v>No</v>
      </c>
      <c r="AB2056" s="12">
        <f>V2056-Z2056</f>
        <v>-34.540350000000004</v>
      </c>
      <c r="AC2056" s="15" t="s">
        <v>131</v>
      </c>
      <c r="AD2056" s="15" t="s">
        <v>130</v>
      </c>
      <c r="AE2056" s="15" t="s">
        <v>437</v>
      </c>
      <c r="AF2056" s="12">
        <f>IF(AG2056="Rejected",0,IF(R2056="Corporate Card",0,V2056))</f>
        <v>0</v>
      </c>
      <c r="AG2056" s="15" t="s">
        <v>181</v>
      </c>
      <c r="AH2056" s="16">
        <v>45902</v>
      </c>
      <c r="AI2056" s="16"/>
      <c r="AJ2056" s="16"/>
      <c r="AK2056" s="17" t="str">
        <f>IF(AJ2056="","",AJ2056-AH2056)</f>
        <v/>
      </c>
    </row>
    <row r="2057" spans="1:37">
      <c r="A2057" s="2" t="s">
        <v>2525</v>
      </c>
      <c r="B2057" s="2" t="s">
        <v>342</v>
      </c>
      <c r="C2057" s="2" t="s">
        <v>343</v>
      </c>
      <c r="D2057" s="2" t="s">
        <v>344</v>
      </c>
      <c r="E2057" s="2" t="s">
        <v>345</v>
      </c>
      <c r="F2057" s="2" t="s">
        <v>346</v>
      </c>
      <c r="G2057" s="2" t="s">
        <v>2480</v>
      </c>
      <c r="H2057" s="2" t="s">
        <v>417</v>
      </c>
      <c r="I2057" s="2" t="s">
        <v>1251</v>
      </c>
      <c r="J2057" s="2" t="s">
        <v>750</v>
      </c>
      <c r="K2057" s="9">
        <v>45892</v>
      </c>
      <c r="L2057" s="9">
        <v>45899</v>
      </c>
      <c r="M2057" s="9">
        <v>45897</v>
      </c>
      <c r="N2057" s="2" t="s">
        <v>2314</v>
      </c>
      <c r="O2057" s="2" t="s">
        <v>55</v>
      </c>
      <c r="P2057" s="2" t="s">
        <v>139</v>
      </c>
      <c r="Q2057" s="2" t="s">
        <v>217</v>
      </c>
      <c r="R2057" s="2" t="s">
        <v>137</v>
      </c>
      <c r="S2057" s="2" t="s">
        <v>198</v>
      </c>
      <c r="T2057" s="10">
        <v>29.43</v>
      </c>
      <c r="U2057" s="11">
        <v>1.085</v>
      </c>
      <c r="V2057" s="12">
        <f>T2057*U2057</f>
        <v>31.931549999999998</v>
      </c>
      <c r="W2057" s="13">
        <v>0.19</v>
      </c>
      <c r="X2057" s="12">
        <f>V2057-(V2057/(1+W2057))</f>
        <v>5.0983147058823519</v>
      </c>
      <c r="Y2057" s="12">
        <f>V2057-X2057</f>
        <v>26.833235294117646</v>
      </c>
      <c r="Z2057" s="14">
        <v>35</v>
      </c>
      <c r="AA2057" s="2" t="str">
        <f>IF(V2057&gt;Z2057,"Yes","No")</f>
        <v>No</v>
      </c>
      <c r="AB2057" s="12">
        <f>V2057-Z2057</f>
        <v>-3.0684500000000021</v>
      </c>
      <c r="AC2057" s="15" t="s">
        <v>130</v>
      </c>
      <c r="AD2057" s="15" t="s">
        <v>130</v>
      </c>
      <c r="AE2057" s="15" t="s">
        <v>437</v>
      </c>
      <c r="AF2057" s="12">
        <f>IF(AG2057="Rejected",0,IF(R2057="Corporate Card",0,V2057))</f>
        <v>31.931549999999998</v>
      </c>
      <c r="AG2057" s="15" t="s">
        <v>181</v>
      </c>
      <c r="AH2057" s="16">
        <v>45902</v>
      </c>
      <c r="AI2057" s="16"/>
      <c r="AJ2057" s="16"/>
      <c r="AK2057" s="17" t="str">
        <f>IF(AJ2057="","",AJ2057-AH2057)</f>
        <v/>
      </c>
    </row>
    <row r="2058" spans="1:37">
      <c r="A2058" s="2" t="s">
        <v>2526</v>
      </c>
      <c r="B2058" s="2" t="s">
        <v>550</v>
      </c>
      <c r="C2058" s="2" t="s">
        <v>551</v>
      </c>
      <c r="D2058" s="2" t="s">
        <v>171</v>
      </c>
      <c r="E2058" s="2" t="s">
        <v>172</v>
      </c>
      <c r="F2058" s="2" t="s">
        <v>173</v>
      </c>
      <c r="G2058" s="2" t="s">
        <v>2527</v>
      </c>
      <c r="H2058" s="2" t="s">
        <v>254</v>
      </c>
      <c r="I2058" s="2" t="s">
        <v>255</v>
      </c>
      <c r="J2058" s="2" t="s">
        <v>256</v>
      </c>
      <c r="K2058" s="9">
        <v>45897</v>
      </c>
      <c r="L2058" s="9">
        <v>45901</v>
      </c>
      <c r="M2058" s="9">
        <v>45897</v>
      </c>
      <c r="N2058" s="2" t="s">
        <v>2314</v>
      </c>
      <c r="O2058" s="2" t="s">
        <v>52</v>
      </c>
      <c r="P2058" s="2" t="s">
        <v>257</v>
      </c>
      <c r="Q2058" s="2" t="s">
        <v>420</v>
      </c>
      <c r="R2058" s="2" t="s">
        <v>149</v>
      </c>
      <c r="S2058" s="2" t="s">
        <v>259</v>
      </c>
      <c r="T2058" s="10">
        <v>339897</v>
      </c>
      <c r="U2058" s="11">
        <v>6.5500000000000003E-3</v>
      </c>
      <c r="V2058" s="12">
        <f>T2058*U2058</f>
        <v>2226.3253500000001</v>
      </c>
      <c r="W2058" s="13">
        <v>0</v>
      </c>
      <c r="X2058" s="12">
        <f>V2058-(V2058/(1+W2058))</f>
        <v>0</v>
      </c>
      <c r="Y2058" s="12">
        <f>V2058-X2058</f>
        <v>2226.3253500000001</v>
      </c>
      <c r="Z2058" s="14">
        <v>1400</v>
      </c>
      <c r="AA2058" s="2" t="str">
        <f>IF(V2058&gt;Z2058,"Yes","No")</f>
        <v>Yes</v>
      </c>
      <c r="AB2058" s="12">
        <f>V2058-Z2058</f>
        <v>826.32535000000007</v>
      </c>
      <c r="AC2058" s="15" t="s">
        <v>131</v>
      </c>
      <c r="AD2058" s="15" t="s">
        <v>130</v>
      </c>
      <c r="AE2058" s="15" t="s">
        <v>421</v>
      </c>
      <c r="AF2058" s="12">
        <f>IF(AG2058="Rejected",0,IF(R2058="Corporate Card",0,V2058))</f>
        <v>2226.3253500000001</v>
      </c>
      <c r="AG2058" s="15" t="s">
        <v>133</v>
      </c>
      <c r="AH2058" s="16">
        <v>45909</v>
      </c>
      <c r="AI2058" s="16">
        <v>45918</v>
      </c>
      <c r="AJ2058" s="16">
        <v>45923</v>
      </c>
      <c r="AK2058" s="17">
        <f>IF(AJ2058="","",AJ2058-AH2058)</f>
        <v>14</v>
      </c>
    </row>
    <row r="2059" spans="1:37">
      <c r="A2059" s="2" t="s">
        <v>2528</v>
      </c>
      <c r="B2059" s="2" t="s">
        <v>550</v>
      </c>
      <c r="C2059" s="2" t="s">
        <v>551</v>
      </c>
      <c r="D2059" s="2" t="s">
        <v>171</v>
      </c>
      <c r="E2059" s="2" t="s">
        <v>172</v>
      </c>
      <c r="F2059" s="2" t="s">
        <v>173</v>
      </c>
      <c r="G2059" s="2" t="s">
        <v>2527</v>
      </c>
      <c r="H2059" s="2" t="s">
        <v>254</v>
      </c>
      <c r="I2059" s="2" t="s">
        <v>255</v>
      </c>
      <c r="J2059" s="2" t="s">
        <v>256</v>
      </c>
      <c r="K2059" s="9">
        <v>45897</v>
      </c>
      <c r="L2059" s="9">
        <v>45901</v>
      </c>
      <c r="M2059" s="9">
        <v>45897</v>
      </c>
      <c r="N2059" s="2" t="s">
        <v>2314</v>
      </c>
      <c r="O2059" s="2" t="s">
        <v>64</v>
      </c>
      <c r="P2059" s="2" t="s">
        <v>135</v>
      </c>
      <c r="Q2059" s="2" t="s">
        <v>136</v>
      </c>
      <c r="R2059" s="2" t="s">
        <v>137</v>
      </c>
      <c r="S2059" s="2" t="s">
        <v>259</v>
      </c>
      <c r="T2059" s="10">
        <v>14712</v>
      </c>
      <c r="U2059" s="11">
        <v>6.5500000000000003E-3</v>
      </c>
      <c r="V2059" s="12">
        <f>T2059*U2059</f>
        <v>96.363600000000005</v>
      </c>
      <c r="W2059" s="13">
        <v>0</v>
      </c>
      <c r="X2059" s="12">
        <f>V2059-(V2059/(1+W2059))</f>
        <v>0</v>
      </c>
      <c r="Y2059" s="12">
        <f>V2059-X2059</f>
        <v>96.363600000000005</v>
      </c>
      <c r="Z2059" s="14">
        <v>120</v>
      </c>
      <c r="AA2059" s="2" t="str">
        <f>IF(V2059&gt;Z2059,"Yes","No")</f>
        <v>No</v>
      </c>
      <c r="AB2059" s="12">
        <f>V2059-Z2059</f>
        <v>-23.636399999999995</v>
      </c>
      <c r="AC2059" s="15" t="s">
        <v>130</v>
      </c>
      <c r="AD2059" s="15" t="s">
        <v>130</v>
      </c>
      <c r="AE2059" s="15" t="s">
        <v>421</v>
      </c>
      <c r="AF2059" s="12">
        <f>IF(AG2059="Rejected",0,IF(R2059="Corporate Card",0,V2059))</f>
        <v>96.363600000000005</v>
      </c>
      <c r="AG2059" s="15" t="s">
        <v>133</v>
      </c>
      <c r="AH2059" s="16">
        <v>45909</v>
      </c>
      <c r="AI2059" s="16">
        <v>45918</v>
      </c>
      <c r="AJ2059" s="16">
        <v>45923</v>
      </c>
      <c r="AK2059" s="17">
        <f>IF(AJ2059="","",AJ2059-AH2059)</f>
        <v>14</v>
      </c>
    </row>
    <row r="2060" spans="1:37">
      <c r="A2060" s="2" t="s">
        <v>2529</v>
      </c>
      <c r="B2060" s="2" t="s">
        <v>550</v>
      </c>
      <c r="C2060" s="2" t="s">
        <v>551</v>
      </c>
      <c r="D2060" s="2" t="s">
        <v>171</v>
      </c>
      <c r="E2060" s="2" t="s">
        <v>172</v>
      </c>
      <c r="F2060" s="2" t="s">
        <v>173</v>
      </c>
      <c r="G2060" s="2" t="s">
        <v>2527</v>
      </c>
      <c r="H2060" s="2" t="s">
        <v>254</v>
      </c>
      <c r="I2060" s="2" t="s">
        <v>255</v>
      </c>
      <c r="J2060" s="2" t="s">
        <v>256</v>
      </c>
      <c r="K2060" s="9">
        <v>45897</v>
      </c>
      <c r="L2060" s="9">
        <v>45901</v>
      </c>
      <c r="M2060" s="9">
        <v>45897</v>
      </c>
      <c r="N2060" s="2" t="s">
        <v>2314</v>
      </c>
      <c r="O2060" s="2" t="s">
        <v>63</v>
      </c>
      <c r="P2060" s="2" t="s">
        <v>200</v>
      </c>
      <c r="Q2060" s="2" t="s">
        <v>201</v>
      </c>
      <c r="R2060" s="2" t="s">
        <v>128</v>
      </c>
      <c r="S2060" s="2" t="s">
        <v>259</v>
      </c>
      <c r="T2060" s="10">
        <v>154439</v>
      </c>
      <c r="U2060" s="11">
        <v>6.5500000000000003E-3</v>
      </c>
      <c r="V2060" s="12">
        <f>T2060*U2060</f>
        <v>1011.57545</v>
      </c>
      <c r="W2060" s="13">
        <v>0</v>
      </c>
      <c r="X2060" s="12">
        <f>V2060-(V2060/(1+W2060))</f>
        <v>0</v>
      </c>
      <c r="Y2060" s="12">
        <f>V2060-X2060</f>
        <v>1011.57545</v>
      </c>
      <c r="Z2060" s="14">
        <v>1200</v>
      </c>
      <c r="AA2060" s="2" t="str">
        <f>IF(V2060&gt;Z2060,"Yes","No")</f>
        <v>No</v>
      </c>
      <c r="AB2060" s="12">
        <f>V2060-Z2060</f>
        <v>-188.42454999999995</v>
      </c>
      <c r="AC2060" s="15" t="s">
        <v>130</v>
      </c>
      <c r="AD2060" s="15" t="s">
        <v>130</v>
      </c>
      <c r="AE2060" s="15" t="s">
        <v>421</v>
      </c>
      <c r="AF2060" s="12">
        <f>IF(AG2060="Rejected",0,IF(R2060="Corporate Card",0,V2060))</f>
        <v>0</v>
      </c>
      <c r="AG2060" s="15" t="s">
        <v>133</v>
      </c>
      <c r="AH2060" s="16">
        <v>45909</v>
      </c>
      <c r="AI2060" s="16">
        <v>45918</v>
      </c>
      <c r="AJ2060" s="16">
        <v>45923</v>
      </c>
      <c r="AK2060" s="17">
        <f>IF(AJ2060="","",AJ2060-AH2060)</f>
        <v>14</v>
      </c>
    </row>
    <row r="2061" spans="1:37">
      <c r="A2061" s="2" t="s">
        <v>2530</v>
      </c>
      <c r="B2061" s="2" t="s">
        <v>550</v>
      </c>
      <c r="C2061" s="2" t="s">
        <v>551</v>
      </c>
      <c r="D2061" s="2" t="s">
        <v>171</v>
      </c>
      <c r="E2061" s="2" t="s">
        <v>172</v>
      </c>
      <c r="F2061" s="2" t="s">
        <v>173</v>
      </c>
      <c r="G2061" s="2" t="s">
        <v>2527</v>
      </c>
      <c r="H2061" s="2" t="s">
        <v>254</v>
      </c>
      <c r="I2061" s="2" t="s">
        <v>255</v>
      </c>
      <c r="J2061" s="2" t="s">
        <v>256</v>
      </c>
      <c r="K2061" s="9">
        <v>45897</v>
      </c>
      <c r="L2061" s="9">
        <v>45901</v>
      </c>
      <c r="M2061" s="9">
        <v>45897</v>
      </c>
      <c r="N2061" s="2" t="s">
        <v>2314</v>
      </c>
      <c r="O2061" s="2" t="s">
        <v>58</v>
      </c>
      <c r="P2061" s="2" t="s">
        <v>142</v>
      </c>
      <c r="Q2061" s="2" t="s">
        <v>156</v>
      </c>
      <c r="R2061" s="2" t="s">
        <v>128</v>
      </c>
      <c r="S2061" s="2" t="s">
        <v>259</v>
      </c>
      <c r="T2061" s="10">
        <v>8740</v>
      </c>
      <c r="U2061" s="11">
        <v>6.5500000000000003E-3</v>
      </c>
      <c r="V2061" s="12">
        <f>T2061*U2061</f>
        <v>57.247</v>
      </c>
      <c r="W2061" s="13">
        <v>0.1</v>
      </c>
      <c r="X2061" s="12">
        <f>V2061-(V2061/(1+W2061))</f>
        <v>5.2042727272727305</v>
      </c>
      <c r="Y2061" s="12">
        <f>V2061-X2061</f>
        <v>52.042727272727269</v>
      </c>
      <c r="Z2061" s="14">
        <v>60</v>
      </c>
      <c r="AA2061" s="2" t="str">
        <f>IF(V2061&gt;Z2061,"Yes","No")</f>
        <v>No</v>
      </c>
      <c r="AB2061" s="12">
        <f>V2061-Z2061</f>
        <v>-2.7530000000000001</v>
      </c>
      <c r="AC2061" s="15" t="s">
        <v>130</v>
      </c>
      <c r="AD2061" s="15" t="s">
        <v>130</v>
      </c>
      <c r="AE2061" s="15" t="s">
        <v>421</v>
      </c>
      <c r="AF2061" s="12">
        <f>IF(AG2061="Rejected",0,IF(R2061="Corporate Card",0,V2061))</f>
        <v>0</v>
      </c>
      <c r="AG2061" s="15" t="s">
        <v>133</v>
      </c>
      <c r="AH2061" s="16">
        <v>45909</v>
      </c>
      <c r="AI2061" s="16">
        <v>45918</v>
      </c>
      <c r="AJ2061" s="16">
        <v>45923</v>
      </c>
      <c r="AK2061" s="17">
        <f>IF(AJ2061="","",AJ2061-AH2061)</f>
        <v>14</v>
      </c>
    </row>
    <row r="2062" spans="1:37">
      <c r="A2062" s="2" t="s">
        <v>2531</v>
      </c>
      <c r="B2062" s="2" t="s">
        <v>550</v>
      </c>
      <c r="C2062" s="2" t="s">
        <v>551</v>
      </c>
      <c r="D2062" s="2" t="s">
        <v>171</v>
      </c>
      <c r="E2062" s="2" t="s">
        <v>172</v>
      </c>
      <c r="F2062" s="2" t="s">
        <v>173</v>
      </c>
      <c r="G2062" s="2" t="s">
        <v>2527</v>
      </c>
      <c r="H2062" s="2" t="s">
        <v>254</v>
      </c>
      <c r="I2062" s="2" t="s">
        <v>255</v>
      </c>
      <c r="J2062" s="2" t="s">
        <v>256</v>
      </c>
      <c r="K2062" s="9">
        <v>45897</v>
      </c>
      <c r="L2062" s="9">
        <v>45901</v>
      </c>
      <c r="M2062" s="9">
        <v>45897</v>
      </c>
      <c r="N2062" s="2" t="s">
        <v>2314</v>
      </c>
      <c r="O2062" s="2" t="s">
        <v>54</v>
      </c>
      <c r="P2062" s="2" t="s">
        <v>139</v>
      </c>
      <c r="Q2062" s="2" t="s">
        <v>140</v>
      </c>
      <c r="R2062" s="2" t="s">
        <v>128</v>
      </c>
      <c r="S2062" s="2" t="s">
        <v>259</v>
      </c>
      <c r="T2062" s="10">
        <v>3043</v>
      </c>
      <c r="U2062" s="11">
        <v>6.5500000000000003E-3</v>
      </c>
      <c r="V2062" s="12">
        <f>T2062*U2062</f>
        <v>19.931650000000001</v>
      </c>
      <c r="W2062" s="13">
        <v>0.1</v>
      </c>
      <c r="X2062" s="12">
        <f>V2062-(V2062/(1+W2062))</f>
        <v>1.8119681818181839</v>
      </c>
      <c r="Y2062" s="12">
        <f>V2062-X2062</f>
        <v>18.119681818181817</v>
      </c>
      <c r="Z2062" s="14">
        <v>25</v>
      </c>
      <c r="AA2062" s="2" t="str">
        <f>IF(V2062&gt;Z2062,"Yes","No")</f>
        <v>No</v>
      </c>
      <c r="AB2062" s="12">
        <f>V2062-Z2062</f>
        <v>-5.0683499999999988</v>
      </c>
      <c r="AC2062" s="15" t="s">
        <v>130</v>
      </c>
      <c r="AD2062" s="15" t="s">
        <v>130</v>
      </c>
      <c r="AE2062" s="15" t="s">
        <v>421</v>
      </c>
      <c r="AF2062" s="12">
        <f>IF(AG2062="Rejected",0,IF(R2062="Corporate Card",0,V2062))</f>
        <v>0</v>
      </c>
      <c r="AG2062" s="15" t="s">
        <v>133</v>
      </c>
      <c r="AH2062" s="16">
        <v>45909</v>
      </c>
      <c r="AI2062" s="16">
        <v>45918</v>
      </c>
      <c r="AJ2062" s="16">
        <v>45923</v>
      </c>
      <c r="AK2062" s="17">
        <f>IF(AJ2062="","",AJ2062-AH2062)</f>
        <v>14</v>
      </c>
    </row>
    <row r="2063" spans="1:37">
      <c r="A2063" s="2" t="s">
        <v>2532</v>
      </c>
      <c r="B2063" s="2" t="s">
        <v>550</v>
      </c>
      <c r="C2063" s="2" t="s">
        <v>551</v>
      </c>
      <c r="D2063" s="2" t="s">
        <v>171</v>
      </c>
      <c r="E2063" s="2" t="s">
        <v>172</v>
      </c>
      <c r="F2063" s="2" t="s">
        <v>173</v>
      </c>
      <c r="G2063" s="2" t="s">
        <v>2527</v>
      </c>
      <c r="H2063" s="2" t="s">
        <v>254</v>
      </c>
      <c r="I2063" s="2" t="s">
        <v>255</v>
      </c>
      <c r="J2063" s="2" t="s">
        <v>256</v>
      </c>
      <c r="K2063" s="9">
        <v>45897</v>
      </c>
      <c r="L2063" s="9">
        <v>45901</v>
      </c>
      <c r="M2063" s="9">
        <v>45897</v>
      </c>
      <c r="N2063" s="2" t="s">
        <v>2314</v>
      </c>
      <c r="O2063" s="2" t="s">
        <v>55</v>
      </c>
      <c r="P2063" s="2" t="s">
        <v>139</v>
      </c>
      <c r="Q2063" s="2" t="s">
        <v>187</v>
      </c>
      <c r="R2063" s="2" t="s">
        <v>128</v>
      </c>
      <c r="S2063" s="2" t="s">
        <v>259</v>
      </c>
      <c r="T2063" s="10">
        <v>4918</v>
      </c>
      <c r="U2063" s="11">
        <v>6.5500000000000003E-3</v>
      </c>
      <c r="V2063" s="12">
        <f>T2063*U2063</f>
        <v>32.212900000000005</v>
      </c>
      <c r="W2063" s="13">
        <v>0.1</v>
      </c>
      <c r="X2063" s="12">
        <f>V2063-(V2063/(1+W2063))</f>
        <v>2.9284454545454572</v>
      </c>
      <c r="Y2063" s="12">
        <f>V2063-X2063</f>
        <v>29.284454545454548</v>
      </c>
      <c r="Z2063" s="14">
        <v>35</v>
      </c>
      <c r="AA2063" s="2" t="str">
        <f>IF(V2063&gt;Z2063,"Yes","No")</f>
        <v>No</v>
      </c>
      <c r="AB2063" s="12">
        <f>V2063-Z2063</f>
        <v>-2.7870999999999952</v>
      </c>
      <c r="AC2063" s="15" t="s">
        <v>130</v>
      </c>
      <c r="AD2063" s="15" t="s">
        <v>130</v>
      </c>
      <c r="AE2063" s="15" t="s">
        <v>421</v>
      </c>
      <c r="AF2063" s="12">
        <f>IF(AG2063="Rejected",0,IF(R2063="Corporate Card",0,V2063))</f>
        <v>0</v>
      </c>
      <c r="AG2063" s="15" t="s">
        <v>133</v>
      </c>
      <c r="AH2063" s="16">
        <v>45909</v>
      </c>
      <c r="AI2063" s="16">
        <v>45918</v>
      </c>
      <c r="AJ2063" s="16">
        <v>45923</v>
      </c>
      <c r="AK2063" s="17">
        <f>IF(AJ2063="","",AJ2063-AH2063)</f>
        <v>14</v>
      </c>
    </row>
    <row r="2064" spans="1:37">
      <c r="A2064" s="2" t="s">
        <v>2533</v>
      </c>
      <c r="B2064" s="2" t="s">
        <v>342</v>
      </c>
      <c r="C2064" s="2" t="s">
        <v>343</v>
      </c>
      <c r="D2064" s="2" t="s">
        <v>344</v>
      </c>
      <c r="E2064" s="2" t="s">
        <v>345</v>
      </c>
      <c r="F2064" s="2" t="s">
        <v>346</v>
      </c>
      <c r="G2064" s="2" t="s">
        <v>2480</v>
      </c>
      <c r="H2064" s="2" t="s">
        <v>417</v>
      </c>
      <c r="I2064" s="2" t="s">
        <v>1251</v>
      </c>
      <c r="J2064" s="2" t="s">
        <v>750</v>
      </c>
      <c r="K2064" s="9">
        <v>45892</v>
      </c>
      <c r="L2064" s="9">
        <v>45899</v>
      </c>
      <c r="M2064" s="9">
        <v>45898</v>
      </c>
      <c r="N2064" s="2" t="s">
        <v>2314</v>
      </c>
      <c r="O2064" s="2" t="s">
        <v>54</v>
      </c>
      <c r="P2064" s="2" t="s">
        <v>139</v>
      </c>
      <c r="Q2064" s="2" t="s">
        <v>140</v>
      </c>
      <c r="R2064" s="2" t="s">
        <v>128</v>
      </c>
      <c r="S2064" s="2" t="s">
        <v>198</v>
      </c>
      <c r="T2064" s="10">
        <v>12.93</v>
      </c>
      <c r="U2064" s="11">
        <v>1.085</v>
      </c>
      <c r="V2064" s="12">
        <f>T2064*U2064</f>
        <v>14.02905</v>
      </c>
      <c r="W2064" s="13">
        <v>0.19</v>
      </c>
      <c r="X2064" s="12">
        <f>V2064-(V2064/(1+W2064))</f>
        <v>2.2399323529411763</v>
      </c>
      <c r="Y2064" s="12">
        <f>V2064-X2064</f>
        <v>11.789117647058823</v>
      </c>
      <c r="Z2064" s="14">
        <v>25</v>
      </c>
      <c r="AA2064" s="2" t="str">
        <f>IF(V2064&gt;Z2064,"Yes","No")</f>
        <v>No</v>
      </c>
      <c r="AB2064" s="12">
        <f>V2064-Z2064</f>
        <v>-10.97095</v>
      </c>
      <c r="AC2064" s="15" t="s">
        <v>130</v>
      </c>
      <c r="AD2064" s="15" t="s">
        <v>130</v>
      </c>
      <c r="AE2064" s="15" t="s">
        <v>437</v>
      </c>
      <c r="AF2064" s="12">
        <f>IF(AG2064="Rejected",0,IF(R2064="Corporate Card",0,V2064))</f>
        <v>0</v>
      </c>
      <c r="AG2064" s="15" t="s">
        <v>181</v>
      </c>
      <c r="AH2064" s="16">
        <v>45902</v>
      </c>
      <c r="AI2064" s="16"/>
      <c r="AJ2064" s="16"/>
      <c r="AK2064" s="17" t="str">
        <f>IF(AJ2064="","",AJ2064-AH2064)</f>
        <v/>
      </c>
    </row>
    <row r="2065" spans="1:37">
      <c r="A2065" s="2" t="s">
        <v>2534</v>
      </c>
      <c r="B2065" s="2" t="s">
        <v>342</v>
      </c>
      <c r="C2065" s="2" t="s">
        <v>343</v>
      </c>
      <c r="D2065" s="2" t="s">
        <v>344</v>
      </c>
      <c r="E2065" s="2" t="s">
        <v>345</v>
      </c>
      <c r="F2065" s="2" t="s">
        <v>346</v>
      </c>
      <c r="G2065" s="2" t="s">
        <v>2480</v>
      </c>
      <c r="H2065" s="2" t="s">
        <v>417</v>
      </c>
      <c r="I2065" s="2" t="s">
        <v>1251</v>
      </c>
      <c r="J2065" s="2" t="s">
        <v>750</v>
      </c>
      <c r="K2065" s="9">
        <v>45892</v>
      </c>
      <c r="L2065" s="9">
        <v>45899</v>
      </c>
      <c r="M2065" s="9">
        <v>45898</v>
      </c>
      <c r="N2065" s="2" t="s">
        <v>2314</v>
      </c>
      <c r="O2065" s="2" t="s">
        <v>56</v>
      </c>
      <c r="P2065" s="2" t="s">
        <v>231</v>
      </c>
      <c r="Q2065" s="2" t="s">
        <v>185</v>
      </c>
      <c r="R2065" s="2" t="s">
        <v>128</v>
      </c>
      <c r="S2065" s="2" t="s">
        <v>198</v>
      </c>
      <c r="T2065" s="10">
        <v>53.23</v>
      </c>
      <c r="U2065" s="11">
        <v>1.085</v>
      </c>
      <c r="V2065" s="12">
        <f>T2065*U2065</f>
        <v>57.754549999999995</v>
      </c>
      <c r="W2065" s="13">
        <v>0.19</v>
      </c>
      <c r="X2065" s="12">
        <f>V2065-(V2065/(1+W2065))</f>
        <v>9.2213147058823495</v>
      </c>
      <c r="Y2065" s="12">
        <f>V2065-X2065</f>
        <v>48.533235294117645</v>
      </c>
      <c r="Z2065" s="14">
        <v>75</v>
      </c>
      <c r="AA2065" s="2" t="str">
        <f>IF(V2065&gt;Z2065,"Yes","No")</f>
        <v>No</v>
      </c>
      <c r="AB2065" s="12">
        <f>V2065-Z2065</f>
        <v>-17.245450000000005</v>
      </c>
      <c r="AC2065" s="15" t="s">
        <v>130</v>
      </c>
      <c r="AD2065" s="15" t="s">
        <v>130</v>
      </c>
      <c r="AE2065" s="15" t="s">
        <v>437</v>
      </c>
      <c r="AF2065" s="12">
        <f>IF(AG2065="Rejected",0,IF(R2065="Corporate Card",0,V2065))</f>
        <v>0</v>
      </c>
      <c r="AG2065" s="15" t="s">
        <v>181</v>
      </c>
      <c r="AH2065" s="16">
        <v>45902</v>
      </c>
      <c r="AI2065" s="16"/>
      <c r="AJ2065" s="16"/>
      <c r="AK2065" s="17" t="str">
        <f>IF(AJ2065="","",AJ2065-AH2065)</f>
        <v/>
      </c>
    </row>
    <row r="2066" spans="1:37">
      <c r="A2066" s="2" t="s">
        <v>2535</v>
      </c>
      <c r="B2066" s="2" t="s">
        <v>342</v>
      </c>
      <c r="C2066" s="2" t="s">
        <v>343</v>
      </c>
      <c r="D2066" s="2" t="s">
        <v>344</v>
      </c>
      <c r="E2066" s="2" t="s">
        <v>345</v>
      </c>
      <c r="F2066" s="2" t="s">
        <v>346</v>
      </c>
      <c r="G2066" s="2" t="s">
        <v>2480</v>
      </c>
      <c r="H2066" s="2" t="s">
        <v>417</v>
      </c>
      <c r="I2066" s="2" t="s">
        <v>1251</v>
      </c>
      <c r="J2066" s="2" t="s">
        <v>750</v>
      </c>
      <c r="K2066" s="9">
        <v>45892</v>
      </c>
      <c r="L2066" s="9">
        <v>45899</v>
      </c>
      <c r="M2066" s="9">
        <v>45898</v>
      </c>
      <c r="N2066" s="2" t="s">
        <v>2314</v>
      </c>
      <c r="O2066" s="2" t="s">
        <v>55</v>
      </c>
      <c r="P2066" s="2" t="s">
        <v>139</v>
      </c>
      <c r="Q2066" s="2" t="s">
        <v>217</v>
      </c>
      <c r="R2066" s="2" t="s">
        <v>128</v>
      </c>
      <c r="S2066" s="2" t="s">
        <v>198</v>
      </c>
      <c r="T2066" s="10">
        <v>18.84</v>
      </c>
      <c r="U2066" s="11">
        <v>1.085</v>
      </c>
      <c r="V2066" s="12">
        <f>T2066*U2066</f>
        <v>20.441399999999998</v>
      </c>
      <c r="W2066" s="13">
        <v>0.19</v>
      </c>
      <c r="X2066" s="12">
        <f>V2066-(V2066/(1+W2066))</f>
        <v>3.2637529411764703</v>
      </c>
      <c r="Y2066" s="12">
        <f>V2066-X2066</f>
        <v>17.177647058823528</v>
      </c>
      <c r="Z2066" s="14">
        <v>35</v>
      </c>
      <c r="AA2066" s="2" t="str">
        <f>IF(V2066&gt;Z2066,"Yes","No")</f>
        <v>No</v>
      </c>
      <c r="AB2066" s="12">
        <f>V2066-Z2066</f>
        <v>-14.558600000000002</v>
      </c>
      <c r="AC2066" s="15" t="s">
        <v>130</v>
      </c>
      <c r="AD2066" s="15" t="s">
        <v>130</v>
      </c>
      <c r="AE2066" s="15" t="s">
        <v>437</v>
      </c>
      <c r="AF2066" s="12">
        <f>IF(AG2066="Rejected",0,IF(R2066="Corporate Card",0,V2066))</f>
        <v>0</v>
      </c>
      <c r="AG2066" s="15" t="s">
        <v>181</v>
      </c>
      <c r="AH2066" s="16">
        <v>45902</v>
      </c>
      <c r="AI2066" s="16"/>
      <c r="AJ2066" s="16"/>
      <c r="AK2066" s="17" t="str">
        <f>IF(AJ2066="","",AJ2066-AH2066)</f>
        <v/>
      </c>
    </row>
    <row r="2067" spans="1:37">
      <c r="A2067" s="2" t="s">
        <v>2536</v>
      </c>
      <c r="B2067" s="2" t="s">
        <v>550</v>
      </c>
      <c r="C2067" s="2" t="s">
        <v>551</v>
      </c>
      <c r="D2067" s="2" t="s">
        <v>171</v>
      </c>
      <c r="E2067" s="2" t="s">
        <v>172</v>
      </c>
      <c r="F2067" s="2" t="s">
        <v>173</v>
      </c>
      <c r="G2067" s="2" t="s">
        <v>2527</v>
      </c>
      <c r="H2067" s="2" t="s">
        <v>254</v>
      </c>
      <c r="I2067" s="2" t="s">
        <v>255</v>
      </c>
      <c r="J2067" s="2" t="s">
        <v>256</v>
      </c>
      <c r="K2067" s="9">
        <v>45897</v>
      </c>
      <c r="L2067" s="9">
        <v>45901</v>
      </c>
      <c r="M2067" s="9">
        <v>45898</v>
      </c>
      <c r="N2067" s="2" t="s">
        <v>2314</v>
      </c>
      <c r="O2067" s="2" t="s">
        <v>58</v>
      </c>
      <c r="P2067" s="2" t="s">
        <v>142</v>
      </c>
      <c r="Q2067" s="2" t="s">
        <v>203</v>
      </c>
      <c r="R2067" s="2" t="s">
        <v>137</v>
      </c>
      <c r="S2067" s="2" t="s">
        <v>259</v>
      </c>
      <c r="T2067" s="10">
        <v>4700</v>
      </c>
      <c r="U2067" s="11">
        <v>6.5500000000000003E-3</v>
      </c>
      <c r="V2067" s="12">
        <f>T2067*U2067</f>
        <v>30.785</v>
      </c>
      <c r="W2067" s="13">
        <v>0.1</v>
      </c>
      <c r="X2067" s="12">
        <f>V2067-(V2067/(1+W2067))</f>
        <v>2.7986363636363656</v>
      </c>
      <c r="Y2067" s="12">
        <f>V2067-X2067</f>
        <v>27.986363636363635</v>
      </c>
      <c r="Z2067" s="14">
        <v>60</v>
      </c>
      <c r="AA2067" s="2" t="str">
        <f>IF(V2067&gt;Z2067,"Yes","No")</f>
        <v>No</v>
      </c>
      <c r="AB2067" s="12">
        <f>V2067-Z2067</f>
        <v>-29.215</v>
      </c>
      <c r="AC2067" s="15" t="s">
        <v>130</v>
      </c>
      <c r="AD2067" s="15" t="s">
        <v>130</v>
      </c>
      <c r="AE2067" s="15" t="s">
        <v>421</v>
      </c>
      <c r="AF2067" s="12">
        <f>IF(AG2067="Rejected",0,IF(R2067="Corporate Card",0,V2067))</f>
        <v>30.785</v>
      </c>
      <c r="AG2067" s="15" t="s">
        <v>133</v>
      </c>
      <c r="AH2067" s="16">
        <v>45909</v>
      </c>
      <c r="AI2067" s="16">
        <v>45918</v>
      </c>
      <c r="AJ2067" s="16">
        <v>45923</v>
      </c>
      <c r="AK2067" s="17">
        <f>IF(AJ2067="","",AJ2067-AH2067)</f>
        <v>14</v>
      </c>
    </row>
    <row r="2068" spans="1:37">
      <c r="A2068" s="2" t="s">
        <v>2537</v>
      </c>
      <c r="B2068" s="2" t="s">
        <v>550</v>
      </c>
      <c r="C2068" s="2" t="s">
        <v>551</v>
      </c>
      <c r="D2068" s="2" t="s">
        <v>171</v>
      </c>
      <c r="E2068" s="2" t="s">
        <v>172</v>
      </c>
      <c r="F2068" s="2" t="s">
        <v>173</v>
      </c>
      <c r="G2068" s="2" t="s">
        <v>2527</v>
      </c>
      <c r="H2068" s="2" t="s">
        <v>254</v>
      </c>
      <c r="I2068" s="2" t="s">
        <v>255</v>
      </c>
      <c r="J2068" s="2" t="s">
        <v>256</v>
      </c>
      <c r="K2068" s="9">
        <v>45897</v>
      </c>
      <c r="L2068" s="9">
        <v>45901</v>
      </c>
      <c r="M2068" s="9">
        <v>45898</v>
      </c>
      <c r="N2068" s="2" t="s">
        <v>2314</v>
      </c>
      <c r="O2068" s="2" t="s">
        <v>53</v>
      </c>
      <c r="P2068" s="2" t="s">
        <v>457</v>
      </c>
      <c r="Q2068" s="2" t="s">
        <v>458</v>
      </c>
      <c r="R2068" s="2" t="s">
        <v>128</v>
      </c>
      <c r="S2068" s="2" t="s">
        <v>259</v>
      </c>
      <c r="T2068" s="10">
        <v>89876</v>
      </c>
      <c r="U2068" s="11">
        <v>6.5500000000000003E-3</v>
      </c>
      <c r="V2068" s="12">
        <f>T2068*U2068</f>
        <v>588.68780000000004</v>
      </c>
      <c r="W2068" s="13">
        <v>0.1</v>
      </c>
      <c r="X2068" s="12">
        <f>V2068-(V2068/(1+W2068))</f>
        <v>53.517072727272762</v>
      </c>
      <c r="Y2068" s="12">
        <f>V2068-X2068</f>
        <v>535.17072727272728</v>
      </c>
      <c r="Z2068" s="14">
        <v>1120</v>
      </c>
      <c r="AA2068" s="2" t="str">
        <f>IF(V2068&gt;Z2068,"Yes","No")</f>
        <v>No</v>
      </c>
      <c r="AB2068" s="12">
        <f>V2068-Z2068</f>
        <v>-531.31219999999996</v>
      </c>
      <c r="AC2068" s="15" t="s">
        <v>130</v>
      </c>
      <c r="AD2068" s="15" t="s">
        <v>130</v>
      </c>
      <c r="AE2068" s="15" t="s">
        <v>421</v>
      </c>
      <c r="AF2068" s="12">
        <f>IF(AG2068="Rejected",0,IF(R2068="Corporate Card",0,V2068))</f>
        <v>0</v>
      </c>
      <c r="AG2068" s="15" t="s">
        <v>133</v>
      </c>
      <c r="AH2068" s="16">
        <v>45909</v>
      </c>
      <c r="AI2068" s="16">
        <v>45918</v>
      </c>
      <c r="AJ2068" s="16">
        <v>45923</v>
      </c>
      <c r="AK2068" s="17">
        <f>IF(AJ2068="","",AJ2068-AH2068)</f>
        <v>14</v>
      </c>
    </row>
    <row r="2069" spans="1:37">
      <c r="A2069" s="2" t="s">
        <v>2538</v>
      </c>
      <c r="B2069" s="2" t="s">
        <v>550</v>
      </c>
      <c r="C2069" s="2" t="s">
        <v>551</v>
      </c>
      <c r="D2069" s="2" t="s">
        <v>171</v>
      </c>
      <c r="E2069" s="2" t="s">
        <v>172</v>
      </c>
      <c r="F2069" s="2" t="s">
        <v>173</v>
      </c>
      <c r="G2069" s="2" t="s">
        <v>2527</v>
      </c>
      <c r="H2069" s="2" t="s">
        <v>254</v>
      </c>
      <c r="I2069" s="2" t="s">
        <v>255</v>
      </c>
      <c r="J2069" s="2" t="s">
        <v>256</v>
      </c>
      <c r="K2069" s="9">
        <v>45897</v>
      </c>
      <c r="L2069" s="9">
        <v>45901</v>
      </c>
      <c r="M2069" s="9">
        <v>45898</v>
      </c>
      <c r="N2069" s="2" t="s">
        <v>2314</v>
      </c>
      <c r="O2069" s="2" t="s">
        <v>56</v>
      </c>
      <c r="P2069" s="2" t="s">
        <v>245</v>
      </c>
      <c r="Q2069" s="2" t="s">
        <v>152</v>
      </c>
      <c r="R2069" s="2" t="s">
        <v>128</v>
      </c>
      <c r="S2069" s="2" t="s">
        <v>259</v>
      </c>
      <c r="T2069" s="10">
        <v>12801</v>
      </c>
      <c r="U2069" s="11">
        <v>6.5500000000000003E-3</v>
      </c>
      <c r="V2069" s="12">
        <f>T2069*U2069</f>
        <v>83.846550000000008</v>
      </c>
      <c r="W2069" s="13">
        <v>0.1</v>
      </c>
      <c r="X2069" s="12">
        <f>V2069-(V2069/(1+W2069))</f>
        <v>7.6224136363636461</v>
      </c>
      <c r="Y2069" s="12">
        <f>V2069-X2069</f>
        <v>76.224136363636362</v>
      </c>
      <c r="Z2069" s="14">
        <v>75</v>
      </c>
      <c r="AA2069" s="2" t="str">
        <f>IF(V2069&gt;Z2069,"Yes","No")</f>
        <v>Yes</v>
      </c>
      <c r="AB2069" s="12">
        <f>V2069-Z2069</f>
        <v>8.8465500000000077</v>
      </c>
      <c r="AC2069" s="15" t="s">
        <v>130</v>
      </c>
      <c r="AD2069" s="15" t="s">
        <v>130</v>
      </c>
      <c r="AE2069" s="15" t="s">
        <v>421</v>
      </c>
      <c r="AF2069" s="12">
        <f>IF(AG2069="Rejected",0,IF(R2069="Corporate Card",0,V2069))</f>
        <v>0</v>
      </c>
      <c r="AG2069" s="15" t="s">
        <v>133</v>
      </c>
      <c r="AH2069" s="16">
        <v>45909</v>
      </c>
      <c r="AI2069" s="16">
        <v>45918</v>
      </c>
      <c r="AJ2069" s="16">
        <v>45923</v>
      </c>
      <c r="AK2069" s="17">
        <f>IF(AJ2069="","",AJ2069-AH2069)</f>
        <v>14</v>
      </c>
    </row>
    <row r="2070" spans="1:37">
      <c r="A2070" s="2" t="s">
        <v>2539</v>
      </c>
      <c r="B2070" s="2" t="s">
        <v>550</v>
      </c>
      <c r="C2070" s="2" t="s">
        <v>551</v>
      </c>
      <c r="D2070" s="2" t="s">
        <v>171</v>
      </c>
      <c r="E2070" s="2" t="s">
        <v>172</v>
      </c>
      <c r="F2070" s="2" t="s">
        <v>173</v>
      </c>
      <c r="G2070" s="2" t="s">
        <v>2527</v>
      </c>
      <c r="H2070" s="2" t="s">
        <v>254</v>
      </c>
      <c r="I2070" s="2" t="s">
        <v>255</v>
      </c>
      <c r="J2070" s="2" t="s">
        <v>256</v>
      </c>
      <c r="K2070" s="9">
        <v>45897</v>
      </c>
      <c r="L2070" s="9">
        <v>45901</v>
      </c>
      <c r="M2070" s="9">
        <v>45898</v>
      </c>
      <c r="N2070" s="2" t="s">
        <v>2314</v>
      </c>
      <c r="O2070" s="2" t="s">
        <v>55</v>
      </c>
      <c r="P2070" s="2" t="s">
        <v>139</v>
      </c>
      <c r="Q2070" s="2" t="s">
        <v>187</v>
      </c>
      <c r="R2070" s="2" t="s">
        <v>137</v>
      </c>
      <c r="S2070" s="2" t="s">
        <v>259</v>
      </c>
      <c r="T2070" s="10">
        <v>4657</v>
      </c>
      <c r="U2070" s="11">
        <v>6.5500000000000003E-3</v>
      </c>
      <c r="V2070" s="12">
        <f>T2070*U2070</f>
        <v>30.503350000000001</v>
      </c>
      <c r="W2070" s="13">
        <v>0.1</v>
      </c>
      <c r="X2070" s="12">
        <f>V2070-(V2070/(1+W2070))</f>
        <v>2.7730318181818205</v>
      </c>
      <c r="Y2070" s="12">
        <f>V2070-X2070</f>
        <v>27.730318181818181</v>
      </c>
      <c r="Z2070" s="14">
        <v>35</v>
      </c>
      <c r="AA2070" s="2" t="str">
        <f>IF(V2070&gt;Z2070,"Yes","No")</f>
        <v>No</v>
      </c>
      <c r="AB2070" s="12">
        <f>V2070-Z2070</f>
        <v>-4.4966499999999989</v>
      </c>
      <c r="AC2070" s="15" t="s">
        <v>130</v>
      </c>
      <c r="AD2070" s="15" t="s">
        <v>130</v>
      </c>
      <c r="AE2070" s="15" t="s">
        <v>421</v>
      </c>
      <c r="AF2070" s="12">
        <f>IF(AG2070="Rejected",0,IF(R2070="Corporate Card",0,V2070))</f>
        <v>30.503350000000001</v>
      </c>
      <c r="AG2070" s="15" t="s">
        <v>133</v>
      </c>
      <c r="AH2070" s="16">
        <v>45909</v>
      </c>
      <c r="AI2070" s="16">
        <v>45918</v>
      </c>
      <c r="AJ2070" s="16">
        <v>45923</v>
      </c>
      <c r="AK2070" s="17">
        <f>IF(AJ2070="","",AJ2070-AH2070)</f>
        <v>14</v>
      </c>
    </row>
    <row r="2071" spans="1:37">
      <c r="A2071" s="2" t="s">
        <v>2540</v>
      </c>
      <c r="B2071" s="2" t="s">
        <v>342</v>
      </c>
      <c r="C2071" s="2" t="s">
        <v>343</v>
      </c>
      <c r="D2071" s="2" t="s">
        <v>344</v>
      </c>
      <c r="E2071" s="2" t="s">
        <v>345</v>
      </c>
      <c r="F2071" s="2" t="s">
        <v>346</v>
      </c>
      <c r="G2071" s="2" t="s">
        <v>2480</v>
      </c>
      <c r="H2071" s="2" t="s">
        <v>417</v>
      </c>
      <c r="I2071" s="2" t="s">
        <v>1251</v>
      </c>
      <c r="J2071" s="2" t="s">
        <v>750</v>
      </c>
      <c r="K2071" s="9">
        <v>45892</v>
      </c>
      <c r="L2071" s="9">
        <v>45899</v>
      </c>
      <c r="M2071" s="9">
        <v>45899</v>
      </c>
      <c r="N2071" s="2" t="s">
        <v>2314</v>
      </c>
      <c r="O2071" s="2" t="s">
        <v>56</v>
      </c>
      <c r="P2071" s="2" t="s">
        <v>151</v>
      </c>
      <c r="Q2071" s="2" t="s">
        <v>159</v>
      </c>
      <c r="R2071" s="2" t="s">
        <v>137</v>
      </c>
      <c r="S2071" s="2" t="s">
        <v>198</v>
      </c>
      <c r="T2071" s="10">
        <v>63.45</v>
      </c>
      <c r="U2071" s="11">
        <v>1.085</v>
      </c>
      <c r="V2071" s="12">
        <f>T2071*U2071</f>
        <v>68.843249999999998</v>
      </c>
      <c r="W2071" s="13">
        <v>0.19</v>
      </c>
      <c r="X2071" s="12">
        <f>V2071-(V2071/(1+W2071))</f>
        <v>10.991779411764703</v>
      </c>
      <c r="Y2071" s="12">
        <f>V2071-X2071</f>
        <v>57.851470588235294</v>
      </c>
      <c r="Z2071" s="14">
        <v>75</v>
      </c>
      <c r="AA2071" s="2" t="str">
        <f>IF(V2071&gt;Z2071,"Yes","No")</f>
        <v>No</v>
      </c>
      <c r="AB2071" s="12">
        <f>V2071-Z2071</f>
        <v>-6.1567500000000024</v>
      </c>
      <c r="AC2071" s="15" t="s">
        <v>130</v>
      </c>
      <c r="AD2071" s="15" t="s">
        <v>130</v>
      </c>
      <c r="AE2071" s="15" t="s">
        <v>437</v>
      </c>
      <c r="AF2071" s="12">
        <f>IF(AG2071="Rejected",0,IF(R2071="Corporate Card",0,V2071))</f>
        <v>68.843249999999998</v>
      </c>
      <c r="AG2071" s="15" t="s">
        <v>181</v>
      </c>
      <c r="AH2071" s="16">
        <v>45902</v>
      </c>
      <c r="AI2071" s="16"/>
      <c r="AJ2071" s="16"/>
      <c r="AK2071" s="17" t="str">
        <f>IF(AJ2071="","",AJ2071-AH2071)</f>
        <v/>
      </c>
    </row>
    <row r="2072" spans="1:37">
      <c r="A2072" s="2" t="s">
        <v>2541</v>
      </c>
      <c r="B2072" s="2" t="s">
        <v>342</v>
      </c>
      <c r="C2072" s="2" t="s">
        <v>343</v>
      </c>
      <c r="D2072" s="2" t="s">
        <v>344</v>
      </c>
      <c r="E2072" s="2" t="s">
        <v>345</v>
      </c>
      <c r="F2072" s="2" t="s">
        <v>346</v>
      </c>
      <c r="G2072" s="2" t="s">
        <v>2480</v>
      </c>
      <c r="H2072" s="2" t="s">
        <v>417</v>
      </c>
      <c r="I2072" s="2" t="s">
        <v>1251</v>
      </c>
      <c r="J2072" s="2" t="s">
        <v>750</v>
      </c>
      <c r="K2072" s="9">
        <v>45892</v>
      </c>
      <c r="L2072" s="9">
        <v>45899</v>
      </c>
      <c r="M2072" s="9">
        <v>45899</v>
      </c>
      <c r="N2072" s="2" t="s">
        <v>2314</v>
      </c>
      <c r="O2072" s="2" t="s">
        <v>55</v>
      </c>
      <c r="P2072" s="2" t="s">
        <v>139</v>
      </c>
      <c r="Q2072" s="2" t="s">
        <v>161</v>
      </c>
      <c r="R2072" s="2" t="s">
        <v>137</v>
      </c>
      <c r="S2072" s="2" t="s">
        <v>198</v>
      </c>
      <c r="T2072" s="10">
        <v>14.39</v>
      </c>
      <c r="U2072" s="11">
        <v>1.085</v>
      </c>
      <c r="V2072" s="12">
        <f>T2072*U2072</f>
        <v>15.613150000000001</v>
      </c>
      <c r="W2072" s="13">
        <v>0.19</v>
      </c>
      <c r="X2072" s="12">
        <f>V2072-(V2072/(1+W2072))</f>
        <v>2.4928558823529414</v>
      </c>
      <c r="Y2072" s="12">
        <f>V2072-X2072</f>
        <v>13.12029411764706</v>
      </c>
      <c r="Z2072" s="14">
        <v>35</v>
      </c>
      <c r="AA2072" s="2" t="str">
        <f>IF(V2072&gt;Z2072,"Yes","No")</f>
        <v>No</v>
      </c>
      <c r="AB2072" s="12">
        <f>V2072-Z2072</f>
        <v>-19.386849999999999</v>
      </c>
      <c r="AC2072" s="15" t="s">
        <v>130</v>
      </c>
      <c r="AD2072" s="15" t="s">
        <v>130</v>
      </c>
      <c r="AE2072" s="15" t="s">
        <v>437</v>
      </c>
      <c r="AF2072" s="12">
        <f>IF(AG2072="Rejected",0,IF(R2072="Corporate Card",0,V2072))</f>
        <v>15.613150000000001</v>
      </c>
      <c r="AG2072" s="15" t="s">
        <v>181</v>
      </c>
      <c r="AH2072" s="16">
        <v>45902</v>
      </c>
      <c r="AI2072" s="16"/>
      <c r="AJ2072" s="16"/>
      <c r="AK2072" s="17" t="str">
        <f>IF(AJ2072="","",AJ2072-AH2072)</f>
        <v/>
      </c>
    </row>
    <row r="2073" spans="1:37">
      <c r="A2073" s="2" t="s">
        <v>2542</v>
      </c>
      <c r="B2073" s="2" t="s">
        <v>550</v>
      </c>
      <c r="C2073" s="2" t="s">
        <v>551</v>
      </c>
      <c r="D2073" s="2" t="s">
        <v>171</v>
      </c>
      <c r="E2073" s="2" t="s">
        <v>172</v>
      </c>
      <c r="F2073" s="2" t="s">
        <v>173</v>
      </c>
      <c r="G2073" s="2" t="s">
        <v>2527</v>
      </c>
      <c r="H2073" s="2" t="s">
        <v>254</v>
      </c>
      <c r="I2073" s="2" t="s">
        <v>255</v>
      </c>
      <c r="J2073" s="2" t="s">
        <v>256</v>
      </c>
      <c r="K2073" s="9">
        <v>45897</v>
      </c>
      <c r="L2073" s="9">
        <v>45901</v>
      </c>
      <c r="M2073" s="9">
        <v>45899</v>
      </c>
      <c r="N2073" s="2" t="s">
        <v>2314</v>
      </c>
      <c r="O2073" s="2" t="s">
        <v>58</v>
      </c>
      <c r="P2073" s="2" t="s">
        <v>142</v>
      </c>
      <c r="Q2073" s="2" t="s">
        <v>224</v>
      </c>
      <c r="R2073" s="2" t="s">
        <v>137</v>
      </c>
      <c r="S2073" s="2" t="s">
        <v>259</v>
      </c>
      <c r="T2073" s="10">
        <v>6913</v>
      </c>
      <c r="U2073" s="11">
        <v>6.5500000000000003E-3</v>
      </c>
      <c r="V2073" s="12">
        <f>T2073*U2073</f>
        <v>45.280149999999999</v>
      </c>
      <c r="W2073" s="13">
        <v>0.1</v>
      </c>
      <c r="X2073" s="12">
        <f>V2073-(V2073/(1+W2073))</f>
        <v>4.1163772727272772</v>
      </c>
      <c r="Y2073" s="12">
        <f>V2073-X2073</f>
        <v>41.163772727272722</v>
      </c>
      <c r="Z2073" s="14">
        <v>60</v>
      </c>
      <c r="AA2073" s="2" t="str">
        <f>IF(V2073&gt;Z2073,"Yes","No")</f>
        <v>No</v>
      </c>
      <c r="AB2073" s="12">
        <f>V2073-Z2073</f>
        <v>-14.719850000000001</v>
      </c>
      <c r="AC2073" s="15" t="s">
        <v>130</v>
      </c>
      <c r="AD2073" s="15" t="s">
        <v>130</v>
      </c>
      <c r="AE2073" s="15" t="s">
        <v>421</v>
      </c>
      <c r="AF2073" s="12">
        <f>IF(AG2073="Rejected",0,IF(R2073="Corporate Card",0,V2073))</f>
        <v>45.280149999999999</v>
      </c>
      <c r="AG2073" s="15" t="s">
        <v>133</v>
      </c>
      <c r="AH2073" s="16">
        <v>45909</v>
      </c>
      <c r="AI2073" s="16">
        <v>45918</v>
      </c>
      <c r="AJ2073" s="16">
        <v>45923</v>
      </c>
      <c r="AK2073" s="17">
        <f>IF(AJ2073="","",AJ2073-AH2073)</f>
        <v>14</v>
      </c>
    </row>
    <row r="2074" spans="1:37">
      <c r="A2074" s="2" t="s">
        <v>2543</v>
      </c>
      <c r="B2074" s="2" t="s">
        <v>550</v>
      </c>
      <c r="C2074" s="2" t="s">
        <v>551</v>
      </c>
      <c r="D2074" s="2" t="s">
        <v>171</v>
      </c>
      <c r="E2074" s="2" t="s">
        <v>172</v>
      </c>
      <c r="F2074" s="2" t="s">
        <v>173</v>
      </c>
      <c r="G2074" s="2" t="s">
        <v>2527</v>
      </c>
      <c r="H2074" s="2" t="s">
        <v>254</v>
      </c>
      <c r="I2074" s="2" t="s">
        <v>255</v>
      </c>
      <c r="J2074" s="2" t="s">
        <v>256</v>
      </c>
      <c r="K2074" s="9">
        <v>45897</v>
      </c>
      <c r="L2074" s="9">
        <v>45901</v>
      </c>
      <c r="M2074" s="9">
        <v>45899</v>
      </c>
      <c r="N2074" s="2" t="s">
        <v>2314</v>
      </c>
      <c r="O2074" s="2" t="s">
        <v>54</v>
      </c>
      <c r="P2074" s="2" t="s">
        <v>139</v>
      </c>
      <c r="Q2074" s="2" t="s">
        <v>163</v>
      </c>
      <c r="R2074" s="2" t="s">
        <v>128</v>
      </c>
      <c r="S2074" s="2" t="s">
        <v>259</v>
      </c>
      <c r="T2074" s="10">
        <v>3733</v>
      </c>
      <c r="U2074" s="11">
        <v>6.5500000000000003E-3</v>
      </c>
      <c r="V2074" s="12">
        <f>T2074*U2074</f>
        <v>24.451150000000002</v>
      </c>
      <c r="W2074" s="13">
        <v>0.1</v>
      </c>
      <c r="X2074" s="12">
        <f>V2074-(V2074/(1+W2074))</f>
        <v>2.2228318181818203</v>
      </c>
      <c r="Y2074" s="12">
        <f>V2074-X2074</f>
        <v>22.228318181818182</v>
      </c>
      <c r="Z2074" s="14">
        <v>25</v>
      </c>
      <c r="AA2074" s="2" t="str">
        <f>IF(V2074&gt;Z2074,"Yes","No")</f>
        <v>No</v>
      </c>
      <c r="AB2074" s="12">
        <f>V2074-Z2074</f>
        <v>-0.54884999999999806</v>
      </c>
      <c r="AC2074" s="15" t="s">
        <v>130</v>
      </c>
      <c r="AD2074" s="15" t="s">
        <v>130</v>
      </c>
      <c r="AE2074" s="15" t="s">
        <v>421</v>
      </c>
      <c r="AF2074" s="12">
        <f>IF(AG2074="Rejected",0,IF(R2074="Corporate Card",0,V2074))</f>
        <v>0</v>
      </c>
      <c r="AG2074" s="15" t="s">
        <v>133</v>
      </c>
      <c r="AH2074" s="16">
        <v>45909</v>
      </c>
      <c r="AI2074" s="16">
        <v>45918</v>
      </c>
      <c r="AJ2074" s="16">
        <v>45923</v>
      </c>
      <c r="AK2074" s="17">
        <f>IF(AJ2074="","",AJ2074-AH2074)</f>
        <v>14</v>
      </c>
    </row>
    <row r="2075" spans="1:37">
      <c r="A2075" s="2" t="s">
        <v>2544</v>
      </c>
      <c r="B2075" s="2" t="s">
        <v>550</v>
      </c>
      <c r="C2075" s="2" t="s">
        <v>551</v>
      </c>
      <c r="D2075" s="2" t="s">
        <v>171</v>
      </c>
      <c r="E2075" s="2" t="s">
        <v>172</v>
      </c>
      <c r="F2075" s="2" t="s">
        <v>173</v>
      </c>
      <c r="G2075" s="2" t="s">
        <v>2527</v>
      </c>
      <c r="H2075" s="2" t="s">
        <v>254</v>
      </c>
      <c r="I2075" s="2" t="s">
        <v>255</v>
      </c>
      <c r="J2075" s="2" t="s">
        <v>256</v>
      </c>
      <c r="K2075" s="9">
        <v>45897</v>
      </c>
      <c r="L2075" s="9">
        <v>45901</v>
      </c>
      <c r="M2075" s="9">
        <v>45899</v>
      </c>
      <c r="N2075" s="2" t="s">
        <v>2314</v>
      </c>
      <c r="O2075" s="2" t="s">
        <v>56</v>
      </c>
      <c r="P2075" s="2" t="s">
        <v>231</v>
      </c>
      <c r="Q2075" s="2" t="s">
        <v>166</v>
      </c>
      <c r="R2075" s="2" t="s">
        <v>128</v>
      </c>
      <c r="S2075" s="2" t="s">
        <v>259</v>
      </c>
      <c r="T2075" s="10">
        <v>6735</v>
      </c>
      <c r="U2075" s="11">
        <v>6.5500000000000003E-3</v>
      </c>
      <c r="V2075" s="12">
        <f>T2075*U2075</f>
        <v>44.114249999999998</v>
      </c>
      <c r="W2075" s="13">
        <v>0.1</v>
      </c>
      <c r="X2075" s="12">
        <f>V2075-(V2075/(1+W2075))</f>
        <v>4.0103863636363641</v>
      </c>
      <c r="Y2075" s="12">
        <f>V2075-X2075</f>
        <v>40.103863636363634</v>
      </c>
      <c r="Z2075" s="14">
        <v>75</v>
      </c>
      <c r="AA2075" s="2" t="str">
        <f>IF(V2075&gt;Z2075,"Yes","No")</f>
        <v>No</v>
      </c>
      <c r="AB2075" s="12">
        <f>V2075-Z2075</f>
        <v>-30.885750000000002</v>
      </c>
      <c r="AC2075" s="15" t="s">
        <v>130</v>
      </c>
      <c r="AD2075" s="15" t="s">
        <v>130</v>
      </c>
      <c r="AE2075" s="15" t="s">
        <v>421</v>
      </c>
      <c r="AF2075" s="12">
        <f>IF(AG2075="Rejected",0,IF(R2075="Corporate Card",0,V2075))</f>
        <v>0</v>
      </c>
      <c r="AG2075" s="15" t="s">
        <v>133</v>
      </c>
      <c r="AH2075" s="16">
        <v>45909</v>
      </c>
      <c r="AI2075" s="16">
        <v>45918</v>
      </c>
      <c r="AJ2075" s="16">
        <v>45923</v>
      </c>
      <c r="AK2075" s="17">
        <f>IF(AJ2075="","",AJ2075-AH2075)</f>
        <v>14</v>
      </c>
    </row>
    <row r="2076" spans="1:37">
      <c r="A2076" s="2" t="s">
        <v>2545</v>
      </c>
      <c r="B2076" s="2" t="s">
        <v>550</v>
      </c>
      <c r="C2076" s="2" t="s">
        <v>551</v>
      </c>
      <c r="D2076" s="2" t="s">
        <v>171</v>
      </c>
      <c r="E2076" s="2" t="s">
        <v>172</v>
      </c>
      <c r="F2076" s="2" t="s">
        <v>173</v>
      </c>
      <c r="G2076" s="2" t="s">
        <v>2527</v>
      </c>
      <c r="H2076" s="2" t="s">
        <v>254</v>
      </c>
      <c r="I2076" s="2" t="s">
        <v>255</v>
      </c>
      <c r="J2076" s="2" t="s">
        <v>256</v>
      </c>
      <c r="K2076" s="9">
        <v>45897</v>
      </c>
      <c r="L2076" s="9">
        <v>45901</v>
      </c>
      <c r="M2076" s="9">
        <v>45899</v>
      </c>
      <c r="N2076" s="2" t="s">
        <v>2314</v>
      </c>
      <c r="O2076" s="2" t="s">
        <v>55</v>
      </c>
      <c r="P2076" s="2" t="s">
        <v>139</v>
      </c>
      <c r="Q2076" s="2" t="s">
        <v>161</v>
      </c>
      <c r="R2076" s="2" t="s">
        <v>149</v>
      </c>
      <c r="S2076" s="2" t="s">
        <v>259</v>
      </c>
      <c r="T2076" s="10">
        <v>3343</v>
      </c>
      <c r="U2076" s="11">
        <v>6.5500000000000003E-3</v>
      </c>
      <c r="V2076" s="12">
        <f>T2076*U2076</f>
        <v>21.896650000000001</v>
      </c>
      <c r="W2076" s="13">
        <v>0.1</v>
      </c>
      <c r="X2076" s="12">
        <f>V2076-(V2076/(1+W2076))</f>
        <v>1.9906045454545485</v>
      </c>
      <c r="Y2076" s="12">
        <f>V2076-X2076</f>
        <v>19.906045454545453</v>
      </c>
      <c r="Z2076" s="14">
        <v>35</v>
      </c>
      <c r="AA2076" s="2" t="str">
        <f>IF(V2076&gt;Z2076,"Yes","No")</f>
        <v>No</v>
      </c>
      <c r="AB2076" s="12">
        <f>V2076-Z2076</f>
        <v>-13.103349999999999</v>
      </c>
      <c r="AC2076" s="15" t="s">
        <v>130</v>
      </c>
      <c r="AD2076" s="15" t="s">
        <v>130</v>
      </c>
      <c r="AE2076" s="15" t="s">
        <v>421</v>
      </c>
      <c r="AF2076" s="12">
        <f>IF(AG2076="Rejected",0,IF(R2076="Corporate Card",0,V2076))</f>
        <v>21.896650000000001</v>
      </c>
      <c r="AG2076" s="15" t="s">
        <v>133</v>
      </c>
      <c r="AH2076" s="16">
        <v>45909</v>
      </c>
      <c r="AI2076" s="16">
        <v>45918</v>
      </c>
      <c r="AJ2076" s="16">
        <v>45923</v>
      </c>
      <c r="AK2076" s="17">
        <f>IF(AJ2076="","",AJ2076-AH2076)</f>
        <v>14</v>
      </c>
    </row>
    <row r="2077" spans="1:37">
      <c r="A2077" s="2" t="s">
        <v>2546</v>
      </c>
      <c r="B2077" s="2" t="s">
        <v>550</v>
      </c>
      <c r="C2077" s="2" t="s">
        <v>551</v>
      </c>
      <c r="D2077" s="2" t="s">
        <v>171</v>
      </c>
      <c r="E2077" s="2" t="s">
        <v>172</v>
      </c>
      <c r="F2077" s="2" t="s">
        <v>173</v>
      </c>
      <c r="G2077" s="2" t="s">
        <v>2527</v>
      </c>
      <c r="H2077" s="2" t="s">
        <v>254</v>
      </c>
      <c r="I2077" s="2" t="s">
        <v>255</v>
      </c>
      <c r="J2077" s="2" t="s">
        <v>256</v>
      </c>
      <c r="K2077" s="9">
        <v>45897</v>
      </c>
      <c r="L2077" s="9">
        <v>45901</v>
      </c>
      <c r="M2077" s="9">
        <v>45900</v>
      </c>
      <c r="N2077" s="2" t="s">
        <v>2314</v>
      </c>
      <c r="O2077" s="2" t="s">
        <v>56</v>
      </c>
      <c r="P2077" s="2" t="s">
        <v>245</v>
      </c>
      <c r="Q2077" s="2" t="s">
        <v>166</v>
      </c>
      <c r="R2077" s="2" t="s">
        <v>149</v>
      </c>
      <c r="S2077" s="2" t="s">
        <v>259</v>
      </c>
      <c r="T2077" s="10">
        <v>13647</v>
      </c>
      <c r="U2077" s="11">
        <v>6.5500000000000003E-3</v>
      </c>
      <c r="V2077" s="12">
        <f>T2077*U2077</f>
        <v>89.38785</v>
      </c>
      <c r="W2077" s="13">
        <v>0.1</v>
      </c>
      <c r="X2077" s="12">
        <f>V2077-(V2077/(1+W2077))</f>
        <v>8.126168181818187</v>
      </c>
      <c r="Y2077" s="12">
        <f>V2077-X2077</f>
        <v>81.261681818181813</v>
      </c>
      <c r="Z2077" s="14">
        <v>75</v>
      </c>
      <c r="AA2077" s="2" t="str">
        <f>IF(V2077&gt;Z2077,"Yes","No")</f>
        <v>Yes</v>
      </c>
      <c r="AB2077" s="12">
        <f>V2077-Z2077</f>
        <v>14.38785</v>
      </c>
      <c r="AC2077" s="15" t="s">
        <v>130</v>
      </c>
      <c r="AD2077" s="15" t="s">
        <v>130</v>
      </c>
      <c r="AE2077" s="15" t="s">
        <v>421</v>
      </c>
      <c r="AF2077" s="12">
        <f>IF(AG2077="Rejected",0,IF(R2077="Corporate Card",0,V2077))</f>
        <v>89.38785</v>
      </c>
      <c r="AG2077" s="15" t="s">
        <v>133</v>
      </c>
      <c r="AH2077" s="16">
        <v>45909</v>
      </c>
      <c r="AI2077" s="16">
        <v>45918</v>
      </c>
      <c r="AJ2077" s="16">
        <v>45923</v>
      </c>
      <c r="AK2077" s="17">
        <f>IF(AJ2077="","",AJ2077-AH2077)</f>
        <v>14</v>
      </c>
    </row>
    <row r="2078" spans="1:37">
      <c r="A2078" s="2" t="s">
        <v>2547</v>
      </c>
      <c r="B2078" s="2" t="s">
        <v>550</v>
      </c>
      <c r="C2078" s="2" t="s">
        <v>551</v>
      </c>
      <c r="D2078" s="2" t="s">
        <v>171</v>
      </c>
      <c r="E2078" s="2" t="s">
        <v>172</v>
      </c>
      <c r="F2078" s="2" t="s">
        <v>173</v>
      </c>
      <c r="G2078" s="2" t="s">
        <v>2527</v>
      </c>
      <c r="H2078" s="2" t="s">
        <v>254</v>
      </c>
      <c r="I2078" s="2" t="s">
        <v>255</v>
      </c>
      <c r="J2078" s="2" t="s">
        <v>256</v>
      </c>
      <c r="K2078" s="9">
        <v>45897</v>
      </c>
      <c r="L2078" s="9">
        <v>45901</v>
      </c>
      <c r="M2078" s="9">
        <v>45900</v>
      </c>
      <c r="N2078" s="2" t="s">
        <v>2314</v>
      </c>
      <c r="O2078" s="2" t="s">
        <v>55</v>
      </c>
      <c r="P2078" s="2" t="s">
        <v>139</v>
      </c>
      <c r="Q2078" s="2" t="s">
        <v>217</v>
      </c>
      <c r="R2078" s="2" t="s">
        <v>137</v>
      </c>
      <c r="S2078" s="2" t="s">
        <v>259</v>
      </c>
      <c r="T2078" s="10">
        <v>2579</v>
      </c>
      <c r="U2078" s="11">
        <v>6.5500000000000003E-3</v>
      </c>
      <c r="V2078" s="12">
        <f>T2078*U2078</f>
        <v>16.89245</v>
      </c>
      <c r="W2078" s="13">
        <v>0.1</v>
      </c>
      <c r="X2078" s="12">
        <f>V2078-(V2078/(1+W2078))</f>
        <v>1.5356772727272734</v>
      </c>
      <c r="Y2078" s="12">
        <f>V2078-X2078</f>
        <v>15.356772727272727</v>
      </c>
      <c r="Z2078" s="14">
        <v>35</v>
      </c>
      <c r="AA2078" s="2" t="str">
        <f>IF(V2078&gt;Z2078,"Yes","No")</f>
        <v>No</v>
      </c>
      <c r="AB2078" s="12">
        <f>V2078-Z2078</f>
        <v>-18.10755</v>
      </c>
      <c r="AC2078" s="15" t="s">
        <v>130</v>
      </c>
      <c r="AD2078" s="15" t="s">
        <v>130</v>
      </c>
      <c r="AE2078" s="15" t="s">
        <v>421</v>
      </c>
      <c r="AF2078" s="12">
        <f>IF(AG2078="Rejected",0,IF(R2078="Corporate Card",0,V2078))</f>
        <v>16.89245</v>
      </c>
      <c r="AG2078" s="15" t="s">
        <v>133</v>
      </c>
      <c r="AH2078" s="16">
        <v>45909</v>
      </c>
      <c r="AI2078" s="16">
        <v>45918</v>
      </c>
      <c r="AJ2078" s="16">
        <v>45923</v>
      </c>
      <c r="AK2078" s="17">
        <f>IF(AJ2078="","",AJ2078-AH2078)</f>
        <v>14</v>
      </c>
    </row>
    <row r="2079" spans="1:37">
      <c r="A2079" s="2" t="s">
        <v>2548</v>
      </c>
      <c r="B2079" s="2" t="s">
        <v>550</v>
      </c>
      <c r="C2079" s="2" t="s">
        <v>551</v>
      </c>
      <c r="D2079" s="2" t="s">
        <v>171</v>
      </c>
      <c r="E2079" s="2" t="s">
        <v>172</v>
      </c>
      <c r="F2079" s="2" t="s">
        <v>173</v>
      </c>
      <c r="G2079" s="2" t="s">
        <v>2527</v>
      </c>
      <c r="H2079" s="2" t="s">
        <v>254</v>
      </c>
      <c r="I2079" s="2" t="s">
        <v>255</v>
      </c>
      <c r="J2079" s="2" t="s">
        <v>256</v>
      </c>
      <c r="K2079" s="9">
        <v>45897</v>
      </c>
      <c r="L2079" s="9">
        <v>45901</v>
      </c>
      <c r="M2079" s="9">
        <v>45901</v>
      </c>
      <c r="N2079" s="2" t="s">
        <v>2549</v>
      </c>
      <c r="O2079" s="2" t="s">
        <v>58</v>
      </c>
      <c r="P2079" s="2" t="s">
        <v>142</v>
      </c>
      <c r="Q2079" s="2" t="s">
        <v>296</v>
      </c>
      <c r="R2079" s="2" t="s">
        <v>128</v>
      </c>
      <c r="S2079" s="2" t="s">
        <v>259</v>
      </c>
      <c r="T2079" s="10">
        <v>7310</v>
      </c>
      <c r="U2079" s="11">
        <v>6.5500000000000003E-3</v>
      </c>
      <c r="V2079" s="12">
        <f>T2079*U2079</f>
        <v>47.880500000000005</v>
      </c>
      <c r="W2079" s="13">
        <v>0.1</v>
      </c>
      <c r="X2079" s="12">
        <f>V2079-(V2079/(1+W2079))</f>
        <v>4.352772727272729</v>
      </c>
      <c r="Y2079" s="12">
        <f>V2079-X2079</f>
        <v>43.527727272727276</v>
      </c>
      <c r="Z2079" s="14">
        <v>60</v>
      </c>
      <c r="AA2079" s="2" t="str">
        <f>IF(V2079&gt;Z2079,"Yes","No")</f>
        <v>No</v>
      </c>
      <c r="AB2079" s="12">
        <f>V2079-Z2079</f>
        <v>-12.119499999999995</v>
      </c>
      <c r="AC2079" s="15" t="s">
        <v>130</v>
      </c>
      <c r="AD2079" s="15" t="s">
        <v>130</v>
      </c>
      <c r="AE2079" s="15" t="s">
        <v>421</v>
      </c>
      <c r="AF2079" s="12">
        <f>IF(AG2079="Rejected",0,IF(R2079="Corporate Card",0,V2079))</f>
        <v>0</v>
      </c>
      <c r="AG2079" s="15" t="s">
        <v>133</v>
      </c>
      <c r="AH2079" s="16">
        <v>45909</v>
      </c>
      <c r="AI2079" s="16">
        <v>45918</v>
      </c>
      <c r="AJ2079" s="16">
        <v>45923</v>
      </c>
      <c r="AK2079" s="17">
        <f>IF(AJ2079="","",AJ2079-AH2079)</f>
        <v>14</v>
      </c>
    </row>
    <row r="2080" spans="1:37">
      <c r="A2080" s="2" t="s">
        <v>2550</v>
      </c>
      <c r="B2080" s="2" t="s">
        <v>550</v>
      </c>
      <c r="C2080" s="2" t="s">
        <v>551</v>
      </c>
      <c r="D2080" s="2" t="s">
        <v>171</v>
      </c>
      <c r="E2080" s="2" t="s">
        <v>172</v>
      </c>
      <c r="F2080" s="2" t="s">
        <v>173</v>
      </c>
      <c r="G2080" s="2" t="s">
        <v>2527</v>
      </c>
      <c r="H2080" s="2" t="s">
        <v>254</v>
      </c>
      <c r="I2080" s="2" t="s">
        <v>255</v>
      </c>
      <c r="J2080" s="2" t="s">
        <v>256</v>
      </c>
      <c r="K2080" s="9">
        <v>45897</v>
      </c>
      <c r="L2080" s="9">
        <v>45901</v>
      </c>
      <c r="M2080" s="9">
        <v>45901</v>
      </c>
      <c r="N2080" s="2" t="s">
        <v>2549</v>
      </c>
      <c r="O2080" s="2" t="s">
        <v>54</v>
      </c>
      <c r="P2080" s="2" t="s">
        <v>139</v>
      </c>
      <c r="Q2080" s="2" t="s">
        <v>140</v>
      </c>
      <c r="R2080" s="2" t="s">
        <v>128</v>
      </c>
      <c r="S2080" s="2" t="s">
        <v>259</v>
      </c>
      <c r="T2080" s="10">
        <v>2467</v>
      </c>
      <c r="U2080" s="11">
        <v>6.5500000000000003E-3</v>
      </c>
      <c r="V2080" s="12">
        <f>T2080*U2080</f>
        <v>16.158850000000001</v>
      </c>
      <c r="W2080" s="13">
        <v>0.1</v>
      </c>
      <c r="X2080" s="12">
        <f>V2080-(V2080/(1+W2080))</f>
        <v>1.4689863636363647</v>
      </c>
      <c r="Y2080" s="12">
        <f>V2080-X2080</f>
        <v>14.689863636363636</v>
      </c>
      <c r="Z2080" s="14">
        <v>25</v>
      </c>
      <c r="AA2080" s="2" t="str">
        <f>IF(V2080&gt;Z2080,"Yes","No")</f>
        <v>No</v>
      </c>
      <c r="AB2080" s="12">
        <f>V2080-Z2080</f>
        <v>-8.841149999999999</v>
      </c>
      <c r="AC2080" s="15" t="s">
        <v>130</v>
      </c>
      <c r="AD2080" s="15" t="s">
        <v>130</v>
      </c>
      <c r="AE2080" s="15" t="s">
        <v>421</v>
      </c>
      <c r="AF2080" s="12">
        <f>IF(AG2080="Rejected",0,IF(R2080="Corporate Card",0,V2080))</f>
        <v>0</v>
      </c>
      <c r="AG2080" s="15" t="s">
        <v>133</v>
      </c>
      <c r="AH2080" s="16">
        <v>45909</v>
      </c>
      <c r="AI2080" s="16">
        <v>45918</v>
      </c>
      <c r="AJ2080" s="16">
        <v>45923</v>
      </c>
      <c r="AK2080" s="17">
        <f>IF(AJ2080="","",AJ2080-AH2080)</f>
        <v>14</v>
      </c>
    </row>
    <row r="2081" spans="1:37">
      <c r="A2081" s="2" t="s">
        <v>2551</v>
      </c>
      <c r="B2081" s="2" t="s">
        <v>550</v>
      </c>
      <c r="C2081" s="2" t="s">
        <v>551</v>
      </c>
      <c r="D2081" s="2" t="s">
        <v>171</v>
      </c>
      <c r="E2081" s="2" t="s">
        <v>172</v>
      </c>
      <c r="F2081" s="2" t="s">
        <v>173</v>
      </c>
      <c r="G2081" s="2" t="s">
        <v>2527</v>
      </c>
      <c r="H2081" s="2" t="s">
        <v>254</v>
      </c>
      <c r="I2081" s="2" t="s">
        <v>255</v>
      </c>
      <c r="J2081" s="2" t="s">
        <v>256</v>
      </c>
      <c r="K2081" s="9">
        <v>45897</v>
      </c>
      <c r="L2081" s="9">
        <v>45901</v>
      </c>
      <c r="M2081" s="9">
        <v>45901</v>
      </c>
      <c r="N2081" s="2" t="s">
        <v>2549</v>
      </c>
      <c r="O2081" s="2" t="s">
        <v>56</v>
      </c>
      <c r="P2081" s="2" t="s">
        <v>151</v>
      </c>
      <c r="Q2081" s="2" t="s">
        <v>152</v>
      </c>
      <c r="R2081" s="2" t="s">
        <v>137</v>
      </c>
      <c r="S2081" s="2" t="s">
        <v>259</v>
      </c>
      <c r="T2081" s="10">
        <v>9052</v>
      </c>
      <c r="U2081" s="11">
        <v>6.5500000000000003E-3</v>
      </c>
      <c r="V2081" s="12">
        <f>T2081*U2081</f>
        <v>59.290600000000005</v>
      </c>
      <c r="W2081" s="13">
        <v>0.1</v>
      </c>
      <c r="X2081" s="12">
        <f>V2081-(V2081/(1+W2081))</f>
        <v>5.3900545454545536</v>
      </c>
      <c r="Y2081" s="12">
        <f>V2081-X2081</f>
        <v>53.900545454545451</v>
      </c>
      <c r="Z2081" s="14">
        <v>75</v>
      </c>
      <c r="AA2081" s="2" t="str">
        <f>IF(V2081&gt;Z2081,"Yes","No")</f>
        <v>No</v>
      </c>
      <c r="AB2081" s="12">
        <f>V2081-Z2081</f>
        <v>-15.709399999999995</v>
      </c>
      <c r="AC2081" s="15" t="s">
        <v>130</v>
      </c>
      <c r="AD2081" s="15" t="s">
        <v>130</v>
      </c>
      <c r="AE2081" s="15" t="s">
        <v>421</v>
      </c>
      <c r="AF2081" s="12">
        <f>IF(AG2081="Rejected",0,IF(R2081="Corporate Card",0,V2081))</f>
        <v>59.290600000000005</v>
      </c>
      <c r="AG2081" s="15" t="s">
        <v>133</v>
      </c>
      <c r="AH2081" s="16">
        <v>45909</v>
      </c>
      <c r="AI2081" s="16">
        <v>45918</v>
      </c>
      <c r="AJ2081" s="16">
        <v>45923</v>
      </c>
      <c r="AK2081" s="17">
        <f>IF(AJ2081="","",AJ2081-AH2081)</f>
        <v>14</v>
      </c>
    </row>
    <row r="2082" spans="1:37">
      <c r="A2082" s="2" t="s">
        <v>2552</v>
      </c>
      <c r="B2082" s="2" t="s">
        <v>550</v>
      </c>
      <c r="C2082" s="2" t="s">
        <v>551</v>
      </c>
      <c r="D2082" s="2" t="s">
        <v>171</v>
      </c>
      <c r="E2082" s="2" t="s">
        <v>172</v>
      </c>
      <c r="F2082" s="2" t="s">
        <v>173</v>
      </c>
      <c r="G2082" s="2" t="s">
        <v>2527</v>
      </c>
      <c r="H2082" s="2" t="s">
        <v>254</v>
      </c>
      <c r="I2082" s="2" t="s">
        <v>255</v>
      </c>
      <c r="J2082" s="2" t="s">
        <v>256</v>
      </c>
      <c r="K2082" s="9">
        <v>45897</v>
      </c>
      <c r="L2082" s="9">
        <v>45901</v>
      </c>
      <c r="M2082" s="9">
        <v>45901</v>
      </c>
      <c r="N2082" s="2" t="s">
        <v>2549</v>
      </c>
      <c r="O2082" s="2" t="s">
        <v>55</v>
      </c>
      <c r="P2082" s="2" t="s">
        <v>139</v>
      </c>
      <c r="Q2082" s="2" t="s">
        <v>161</v>
      </c>
      <c r="R2082" s="2" t="s">
        <v>128</v>
      </c>
      <c r="S2082" s="2" t="s">
        <v>259</v>
      </c>
      <c r="T2082" s="10">
        <v>3776</v>
      </c>
      <c r="U2082" s="11">
        <v>6.5500000000000003E-3</v>
      </c>
      <c r="V2082" s="12">
        <f>T2082*U2082</f>
        <v>24.732800000000001</v>
      </c>
      <c r="W2082" s="13">
        <v>0.1</v>
      </c>
      <c r="X2082" s="12">
        <f>V2082-(V2082/(1+W2082))</f>
        <v>2.2484363636363653</v>
      </c>
      <c r="Y2082" s="12">
        <f>V2082-X2082</f>
        <v>22.484363636363636</v>
      </c>
      <c r="Z2082" s="14">
        <v>35</v>
      </c>
      <c r="AA2082" s="2" t="str">
        <f>IF(V2082&gt;Z2082,"Yes","No")</f>
        <v>No</v>
      </c>
      <c r="AB2082" s="12">
        <f>V2082-Z2082</f>
        <v>-10.267199999999999</v>
      </c>
      <c r="AC2082" s="15" t="s">
        <v>130</v>
      </c>
      <c r="AD2082" s="15" t="s">
        <v>130</v>
      </c>
      <c r="AE2082" s="15" t="s">
        <v>421</v>
      </c>
      <c r="AF2082" s="12">
        <f>IF(AG2082="Rejected",0,IF(R2082="Corporate Card",0,V2082))</f>
        <v>0</v>
      </c>
      <c r="AG2082" s="15" t="s">
        <v>133</v>
      </c>
      <c r="AH2082" s="16">
        <v>45909</v>
      </c>
      <c r="AI2082" s="16">
        <v>45918</v>
      </c>
      <c r="AJ2082" s="16">
        <v>45923</v>
      </c>
      <c r="AK2082" s="17">
        <f>IF(AJ2082="","",AJ2082-AH2082)</f>
        <v>14</v>
      </c>
    </row>
    <row r="2083" spans="1:37">
      <c r="A2083" s="2" t="s">
        <v>2553</v>
      </c>
      <c r="B2083" s="2" t="s">
        <v>189</v>
      </c>
      <c r="C2083" s="2" t="s">
        <v>190</v>
      </c>
      <c r="D2083" s="2" t="s">
        <v>171</v>
      </c>
      <c r="E2083" s="2" t="s">
        <v>191</v>
      </c>
      <c r="F2083" s="2" t="s">
        <v>173</v>
      </c>
      <c r="G2083" s="2" t="s">
        <v>2554</v>
      </c>
      <c r="H2083" s="2" t="s">
        <v>254</v>
      </c>
      <c r="I2083" s="2" t="s">
        <v>418</v>
      </c>
      <c r="J2083" s="2" t="s">
        <v>381</v>
      </c>
      <c r="K2083" s="9">
        <v>45906</v>
      </c>
      <c r="L2083" s="9">
        <v>45910</v>
      </c>
      <c r="M2083" s="9">
        <v>45906</v>
      </c>
      <c r="N2083" s="2" t="s">
        <v>2549</v>
      </c>
      <c r="O2083" s="2" t="s">
        <v>52</v>
      </c>
      <c r="P2083" s="2" t="s">
        <v>419</v>
      </c>
      <c r="Q2083" s="2" t="s">
        <v>136</v>
      </c>
      <c r="R2083" s="2" t="s">
        <v>128</v>
      </c>
      <c r="S2083" s="2" t="s">
        <v>383</v>
      </c>
      <c r="T2083" s="10">
        <v>861.5</v>
      </c>
      <c r="U2083" s="11">
        <v>1</v>
      </c>
      <c r="V2083" s="12">
        <f>T2083*U2083</f>
        <v>861.5</v>
      </c>
      <c r="W2083" s="13">
        <v>0</v>
      </c>
      <c r="X2083" s="12">
        <f>V2083-(V2083/(1+W2083))</f>
        <v>0</v>
      </c>
      <c r="Y2083" s="12">
        <f>V2083-X2083</f>
        <v>861.5</v>
      </c>
      <c r="Z2083" s="14">
        <v>1400</v>
      </c>
      <c r="AA2083" s="2" t="str">
        <f>IF(V2083&gt;Z2083,"Yes","No")</f>
        <v>No</v>
      </c>
      <c r="AB2083" s="12">
        <f>V2083-Z2083</f>
        <v>-538.5</v>
      </c>
      <c r="AC2083" s="15" t="s">
        <v>130</v>
      </c>
      <c r="AD2083" s="15" t="s">
        <v>130</v>
      </c>
      <c r="AE2083" s="15" t="s">
        <v>350</v>
      </c>
      <c r="AF2083" s="12">
        <f>IF(AG2083="Rejected",0,IF(R2083="Corporate Card",0,V2083))</f>
        <v>0</v>
      </c>
      <c r="AG2083" s="15" t="s">
        <v>133</v>
      </c>
      <c r="AH2083" s="16">
        <v>45922</v>
      </c>
      <c r="AI2083" s="16">
        <v>45923</v>
      </c>
      <c r="AJ2083" s="16">
        <v>45927</v>
      </c>
      <c r="AK2083" s="17">
        <f>IF(AJ2083="","",AJ2083-AH2083)</f>
        <v>5</v>
      </c>
    </row>
    <row r="2084" spans="1:37">
      <c r="A2084" s="2" t="s">
        <v>2555</v>
      </c>
      <c r="B2084" s="2" t="s">
        <v>189</v>
      </c>
      <c r="C2084" s="2" t="s">
        <v>190</v>
      </c>
      <c r="D2084" s="2" t="s">
        <v>171</v>
      </c>
      <c r="E2084" s="2" t="s">
        <v>191</v>
      </c>
      <c r="F2084" s="2" t="s">
        <v>173</v>
      </c>
      <c r="G2084" s="2" t="s">
        <v>2554</v>
      </c>
      <c r="H2084" s="2" t="s">
        <v>254</v>
      </c>
      <c r="I2084" s="2" t="s">
        <v>418</v>
      </c>
      <c r="J2084" s="2" t="s">
        <v>381</v>
      </c>
      <c r="K2084" s="9">
        <v>45906</v>
      </c>
      <c r="L2084" s="9">
        <v>45910</v>
      </c>
      <c r="M2084" s="9">
        <v>45906</v>
      </c>
      <c r="N2084" s="2" t="s">
        <v>2549</v>
      </c>
      <c r="O2084" s="2" t="s">
        <v>63</v>
      </c>
      <c r="P2084" s="2" t="s">
        <v>200</v>
      </c>
      <c r="Q2084" s="2" t="s">
        <v>484</v>
      </c>
      <c r="R2084" s="2" t="s">
        <v>128</v>
      </c>
      <c r="S2084" s="2" t="s">
        <v>383</v>
      </c>
      <c r="T2084" s="10">
        <v>486.08</v>
      </c>
      <c r="U2084" s="11">
        <v>1</v>
      </c>
      <c r="V2084" s="12">
        <f>T2084*U2084</f>
        <v>486.08</v>
      </c>
      <c r="W2084" s="13">
        <v>0</v>
      </c>
      <c r="X2084" s="12">
        <f>V2084-(V2084/(1+W2084))</f>
        <v>0</v>
      </c>
      <c r="Y2084" s="12">
        <f>V2084-X2084</f>
        <v>486.08</v>
      </c>
      <c r="Z2084" s="14">
        <v>1200</v>
      </c>
      <c r="AA2084" s="2" t="str">
        <f>IF(V2084&gt;Z2084,"Yes","No")</f>
        <v>No</v>
      </c>
      <c r="AB2084" s="12">
        <f>V2084-Z2084</f>
        <v>-713.92000000000007</v>
      </c>
      <c r="AC2084" s="15" t="s">
        <v>130</v>
      </c>
      <c r="AD2084" s="15" t="s">
        <v>130</v>
      </c>
      <c r="AE2084" s="15" t="s">
        <v>350</v>
      </c>
      <c r="AF2084" s="12">
        <f>IF(AG2084="Rejected",0,IF(R2084="Corporate Card",0,V2084))</f>
        <v>0</v>
      </c>
      <c r="AG2084" s="15" t="s">
        <v>133</v>
      </c>
      <c r="AH2084" s="16">
        <v>45922</v>
      </c>
      <c r="AI2084" s="16">
        <v>45923</v>
      </c>
      <c r="AJ2084" s="16">
        <v>45927</v>
      </c>
      <c r="AK2084" s="17">
        <f>IF(AJ2084="","",AJ2084-AH2084)</f>
        <v>5</v>
      </c>
    </row>
    <row r="2085" spans="1:37">
      <c r="A2085" s="2" t="s">
        <v>2556</v>
      </c>
      <c r="B2085" s="2" t="s">
        <v>189</v>
      </c>
      <c r="C2085" s="2" t="s">
        <v>190</v>
      </c>
      <c r="D2085" s="2" t="s">
        <v>171</v>
      </c>
      <c r="E2085" s="2" t="s">
        <v>191</v>
      </c>
      <c r="F2085" s="2" t="s">
        <v>173</v>
      </c>
      <c r="G2085" s="2" t="s">
        <v>2554</v>
      </c>
      <c r="H2085" s="2" t="s">
        <v>254</v>
      </c>
      <c r="I2085" s="2" t="s">
        <v>418</v>
      </c>
      <c r="J2085" s="2" t="s">
        <v>381</v>
      </c>
      <c r="K2085" s="9">
        <v>45906</v>
      </c>
      <c r="L2085" s="9">
        <v>45910</v>
      </c>
      <c r="M2085" s="9">
        <v>45906</v>
      </c>
      <c r="N2085" s="2" t="s">
        <v>2549</v>
      </c>
      <c r="O2085" s="2" t="s">
        <v>54</v>
      </c>
      <c r="P2085" s="2" t="s">
        <v>139</v>
      </c>
      <c r="Q2085" s="2" t="s">
        <v>163</v>
      </c>
      <c r="R2085" s="2" t="s">
        <v>128</v>
      </c>
      <c r="S2085" s="2" t="s">
        <v>383</v>
      </c>
      <c r="T2085" s="10">
        <v>12.69</v>
      </c>
      <c r="U2085" s="11">
        <v>1</v>
      </c>
      <c r="V2085" s="12">
        <f>T2085*U2085</f>
        <v>12.69</v>
      </c>
      <c r="W2085" s="13">
        <v>0</v>
      </c>
      <c r="X2085" s="12">
        <f>V2085-(V2085/(1+W2085))</f>
        <v>0</v>
      </c>
      <c r="Y2085" s="12">
        <f>V2085-X2085</f>
        <v>12.69</v>
      </c>
      <c r="Z2085" s="14">
        <v>25</v>
      </c>
      <c r="AA2085" s="2" t="str">
        <f>IF(V2085&gt;Z2085,"Yes","No")</f>
        <v>No</v>
      </c>
      <c r="AB2085" s="12">
        <f>V2085-Z2085</f>
        <v>-12.31</v>
      </c>
      <c r="AC2085" s="15" t="s">
        <v>130</v>
      </c>
      <c r="AD2085" s="15" t="s">
        <v>130</v>
      </c>
      <c r="AE2085" s="15" t="s">
        <v>350</v>
      </c>
      <c r="AF2085" s="12">
        <f>IF(AG2085="Rejected",0,IF(R2085="Corporate Card",0,V2085))</f>
        <v>0</v>
      </c>
      <c r="AG2085" s="15" t="s">
        <v>133</v>
      </c>
      <c r="AH2085" s="16">
        <v>45922</v>
      </c>
      <c r="AI2085" s="16">
        <v>45923</v>
      </c>
      <c r="AJ2085" s="16">
        <v>45927</v>
      </c>
      <c r="AK2085" s="17">
        <f>IF(AJ2085="","",AJ2085-AH2085)</f>
        <v>5</v>
      </c>
    </row>
    <row r="2086" spans="1:37">
      <c r="A2086" s="2" t="s">
        <v>2557</v>
      </c>
      <c r="B2086" s="2" t="s">
        <v>189</v>
      </c>
      <c r="C2086" s="2" t="s">
        <v>190</v>
      </c>
      <c r="D2086" s="2" t="s">
        <v>171</v>
      </c>
      <c r="E2086" s="2" t="s">
        <v>191</v>
      </c>
      <c r="F2086" s="2" t="s">
        <v>173</v>
      </c>
      <c r="G2086" s="2" t="s">
        <v>2554</v>
      </c>
      <c r="H2086" s="2" t="s">
        <v>254</v>
      </c>
      <c r="I2086" s="2" t="s">
        <v>418</v>
      </c>
      <c r="J2086" s="2" t="s">
        <v>381</v>
      </c>
      <c r="K2086" s="9">
        <v>45906</v>
      </c>
      <c r="L2086" s="9">
        <v>45910</v>
      </c>
      <c r="M2086" s="9">
        <v>45906</v>
      </c>
      <c r="N2086" s="2" t="s">
        <v>2549</v>
      </c>
      <c r="O2086" s="2" t="s">
        <v>56</v>
      </c>
      <c r="P2086" s="2" t="s">
        <v>245</v>
      </c>
      <c r="Q2086" s="2" t="s">
        <v>166</v>
      </c>
      <c r="R2086" s="2" t="s">
        <v>128</v>
      </c>
      <c r="S2086" s="2" t="s">
        <v>383</v>
      </c>
      <c r="T2086" s="10">
        <v>35.21</v>
      </c>
      <c r="U2086" s="11">
        <v>1</v>
      </c>
      <c r="V2086" s="12">
        <f>T2086*U2086</f>
        <v>35.21</v>
      </c>
      <c r="W2086" s="13">
        <v>0</v>
      </c>
      <c r="X2086" s="12">
        <f>V2086-(V2086/(1+W2086))</f>
        <v>0</v>
      </c>
      <c r="Y2086" s="12">
        <f>V2086-X2086</f>
        <v>35.21</v>
      </c>
      <c r="Z2086" s="14">
        <v>75</v>
      </c>
      <c r="AA2086" s="2" t="str">
        <f>IF(V2086&gt;Z2086,"Yes","No")</f>
        <v>No</v>
      </c>
      <c r="AB2086" s="12">
        <f>V2086-Z2086</f>
        <v>-39.79</v>
      </c>
      <c r="AC2086" s="15" t="s">
        <v>130</v>
      </c>
      <c r="AD2086" s="15" t="s">
        <v>130</v>
      </c>
      <c r="AE2086" s="15" t="s">
        <v>350</v>
      </c>
      <c r="AF2086" s="12">
        <f>IF(AG2086="Rejected",0,IF(R2086="Corporate Card",0,V2086))</f>
        <v>0</v>
      </c>
      <c r="AG2086" s="15" t="s">
        <v>133</v>
      </c>
      <c r="AH2086" s="16">
        <v>45922</v>
      </c>
      <c r="AI2086" s="16">
        <v>45923</v>
      </c>
      <c r="AJ2086" s="16">
        <v>45927</v>
      </c>
      <c r="AK2086" s="17">
        <f>IF(AJ2086="","",AJ2086-AH2086)</f>
        <v>5</v>
      </c>
    </row>
    <row r="2087" spans="1:37">
      <c r="A2087" s="2" t="s">
        <v>2558</v>
      </c>
      <c r="B2087" s="2" t="s">
        <v>189</v>
      </c>
      <c r="C2087" s="2" t="s">
        <v>190</v>
      </c>
      <c r="D2087" s="2" t="s">
        <v>171</v>
      </c>
      <c r="E2087" s="2" t="s">
        <v>191</v>
      </c>
      <c r="F2087" s="2" t="s">
        <v>173</v>
      </c>
      <c r="G2087" s="2" t="s">
        <v>2554</v>
      </c>
      <c r="H2087" s="2" t="s">
        <v>254</v>
      </c>
      <c r="I2087" s="2" t="s">
        <v>418</v>
      </c>
      <c r="J2087" s="2" t="s">
        <v>381</v>
      </c>
      <c r="K2087" s="9">
        <v>45906</v>
      </c>
      <c r="L2087" s="9">
        <v>45910</v>
      </c>
      <c r="M2087" s="9">
        <v>45906</v>
      </c>
      <c r="N2087" s="2" t="s">
        <v>2549</v>
      </c>
      <c r="O2087" s="2" t="s">
        <v>55</v>
      </c>
      <c r="P2087" s="2" t="s">
        <v>139</v>
      </c>
      <c r="Q2087" s="2" t="s">
        <v>154</v>
      </c>
      <c r="R2087" s="2" t="s">
        <v>128</v>
      </c>
      <c r="S2087" s="2" t="s">
        <v>383</v>
      </c>
      <c r="T2087" s="10">
        <v>29.28</v>
      </c>
      <c r="U2087" s="11">
        <v>1</v>
      </c>
      <c r="V2087" s="12">
        <f>T2087*U2087</f>
        <v>29.28</v>
      </c>
      <c r="W2087" s="13">
        <v>0</v>
      </c>
      <c r="X2087" s="12">
        <f>V2087-(V2087/(1+W2087))</f>
        <v>0</v>
      </c>
      <c r="Y2087" s="12">
        <f>V2087-X2087</f>
        <v>29.28</v>
      </c>
      <c r="Z2087" s="14">
        <v>35</v>
      </c>
      <c r="AA2087" s="2" t="str">
        <f>IF(V2087&gt;Z2087,"Yes","No")</f>
        <v>No</v>
      </c>
      <c r="AB2087" s="12">
        <f>V2087-Z2087</f>
        <v>-5.7199999999999989</v>
      </c>
      <c r="AC2087" s="15" t="s">
        <v>130</v>
      </c>
      <c r="AD2087" s="15" t="s">
        <v>130</v>
      </c>
      <c r="AE2087" s="15" t="s">
        <v>350</v>
      </c>
      <c r="AF2087" s="12">
        <f>IF(AG2087="Rejected",0,IF(R2087="Corporate Card",0,V2087))</f>
        <v>0</v>
      </c>
      <c r="AG2087" s="15" t="s">
        <v>133</v>
      </c>
      <c r="AH2087" s="16">
        <v>45922</v>
      </c>
      <c r="AI2087" s="16">
        <v>45923</v>
      </c>
      <c r="AJ2087" s="16">
        <v>45927</v>
      </c>
      <c r="AK2087" s="17">
        <f>IF(AJ2087="","",AJ2087-AH2087)</f>
        <v>5</v>
      </c>
    </row>
    <row r="2088" spans="1:37">
      <c r="A2088" s="2" t="s">
        <v>2559</v>
      </c>
      <c r="B2088" s="2" t="s">
        <v>882</v>
      </c>
      <c r="C2088" s="2" t="s">
        <v>446</v>
      </c>
      <c r="D2088" s="2" t="s">
        <v>444</v>
      </c>
      <c r="E2088" s="2" t="s">
        <v>883</v>
      </c>
      <c r="F2088" s="2" t="s">
        <v>313</v>
      </c>
      <c r="G2088" s="2" t="s">
        <v>2560</v>
      </c>
      <c r="H2088" s="2" t="s">
        <v>803</v>
      </c>
      <c r="I2088" s="2" t="s">
        <v>175</v>
      </c>
      <c r="J2088" s="2" t="s">
        <v>176</v>
      </c>
      <c r="K2088" s="9">
        <v>45907</v>
      </c>
      <c r="L2088" s="9">
        <v>45909</v>
      </c>
      <c r="M2088" s="9">
        <v>45907</v>
      </c>
      <c r="N2088" s="2" t="s">
        <v>2549</v>
      </c>
      <c r="O2088" s="2" t="s">
        <v>52</v>
      </c>
      <c r="P2088" s="2" t="s">
        <v>177</v>
      </c>
      <c r="Q2088" s="2" t="s">
        <v>420</v>
      </c>
      <c r="R2088" s="2" t="s">
        <v>128</v>
      </c>
      <c r="S2088" s="2" t="s">
        <v>179</v>
      </c>
      <c r="T2088" s="10">
        <v>15759.04</v>
      </c>
      <c r="U2088" s="11">
        <v>0.18099999999999999</v>
      </c>
      <c r="V2088" s="12">
        <f>T2088*U2088</f>
        <v>2852.3862400000003</v>
      </c>
      <c r="W2088" s="13">
        <v>0</v>
      </c>
      <c r="X2088" s="12">
        <f>V2088-(V2088/(1+W2088))</f>
        <v>0</v>
      </c>
      <c r="Y2088" s="12">
        <f>V2088-X2088</f>
        <v>2852.3862400000003</v>
      </c>
      <c r="Z2088" s="14">
        <v>1400</v>
      </c>
      <c r="AA2088" s="2" t="str">
        <f>IF(V2088&gt;Z2088,"Yes","No")</f>
        <v>Yes</v>
      </c>
      <c r="AB2088" s="12">
        <f>V2088-Z2088</f>
        <v>1452.3862400000003</v>
      </c>
      <c r="AC2088" s="15" t="s">
        <v>130</v>
      </c>
      <c r="AD2088" s="15" t="s">
        <v>130</v>
      </c>
      <c r="AE2088" s="15" t="s">
        <v>421</v>
      </c>
      <c r="AF2088" s="12">
        <f>IF(AG2088="Rejected",0,IF(R2088="Corporate Card",0,V2088))</f>
        <v>0</v>
      </c>
      <c r="AG2088" s="15" t="s">
        <v>133</v>
      </c>
      <c r="AH2088" s="16">
        <v>45910</v>
      </c>
      <c r="AI2088" s="16">
        <v>45918</v>
      </c>
      <c r="AJ2088" s="16">
        <v>45931</v>
      </c>
      <c r="AK2088" s="17">
        <f>IF(AJ2088="","",AJ2088-AH2088)</f>
        <v>21</v>
      </c>
    </row>
    <row r="2089" spans="1:37">
      <c r="A2089" s="2" t="s">
        <v>2561</v>
      </c>
      <c r="B2089" s="2" t="s">
        <v>882</v>
      </c>
      <c r="C2089" s="2" t="s">
        <v>446</v>
      </c>
      <c r="D2089" s="2" t="s">
        <v>444</v>
      </c>
      <c r="E2089" s="2" t="s">
        <v>883</v>
      </c>
      <c r="F2089" s="2" t="s">
        <v>313</v>
      </c>
      <c r="G2089" s="2" t="s">
        <v>2560</v>
      </c>
      <c r="H2089" s="2" t="s">
        <v>803</v>
      </c>
      <c r="I2089" s="2" t="s">
        <v>175</v>
      </c>
      <c r="J2089" s="2" t="s">
        <v>176</v>
      </c>
      <c r="K2089" s="9">
        <v>45907</v>
      </c>
      <c r="L2089" s="9">
        <v>45909</v>
      </c>
      <c r="M2089" s="9">
        <v>45907</v>
      </c>
      <c r="N2089" s="2" t="s">
        <v>2549</v>
      </c>
      <c r="O2089" s="2" t="s">
        <v>64</v>
      </c>
      <c r="P2089" s="2" t="s">
        <v>135</v>
      </c>
      <c r="Q2089" s="2" t="s">
        <v>127</v>
      </c>
      <c r="R2089" s="2" t="s">
        <v>128</v>
      </c>
      <c r="S2089" s="2" t="s">
        <v>179</v>
      </c>
      <c r="T2089" s="10">
        <v>579.28</v>
      </c>
      <c r="U2089" s="11">
        <v>0.18099999999999999</v>
      </c>
      <c r="V2089" s="12">
        <f>T2089*U2089</f>
        <v>104.84967999999999</v>
      </c>
      <c r="W2089" s="13">
        <v>0</v>
      </c>
      <c r="X2089" s="12">
        <f>V2089-(V2089/(1+W2089))</f>
        <v>0</v>
      </c>
      <c r="Y2089" s="12">
        <f>V2089-X2089</f>
        <v>104.84967999999999</v>
      </c>
      <c r="Z2089" s="14">
        <v>120</v>
      </c>
      <c r="AA2089" s="2" t="str">
        <f>IF(V2089&gt;Z2089,"Yes","No")</f>
        <v>No</v>
      </c>
      <c r="AB2089" s="12">
        <f>V2089-Z2089</f>
        <v>-15.150320000000008</v>
      </c>
      <c r="AC2089" s="15" t="s">
        <v>130</v>
      </c>
      <c r="AD2089" s="15" t="s">
        <v>130</v>
      </c>
      <c r="AE2089" s="15" t="s">
        <v>421</v>
      </c>
      <c r="AF2089" s="12">
        <f>IF(AG2089="Rejected",0,IF(R2089="Corporate Card",0,V2089))</f>
        <v>0</v>
      </c>
      <c r="AG2089" s="15" t="s">
        <v>133</v>
      </c>
      <c r="AH2089" s="16">
        <v>45910</v>
      </c>
      <c r="AI2089" s="16">
        <v>45918</v>
      </c>
      <c r="AJ2089" s="16">
        <v>45931</v>
      </c>
      <c r="AK2089" s="17">
        <f>IF(AJ2089="","",AJ2089-AH2089)</f>
        <v>21</v>
      </c>
    </row>
    <row r="2090" spans="1:37">
      <c r="A2090" s="2" t="s">
        <v>2562</v>
      </c>
      <c r="B2090" s="2" t="s">
        <v>882</v>
      </c>
      <c r="C2090" s="2" t="s">
        <v>446</v>
      </c>
      <c r="D2090" s="2" t="s">
        <v>444</v>
      </c>
      <c r="E2090" s="2" t="s">
        <v>883</v>
      </c>
      <c r="F2090" s="2" t="s">
        <v>313</v>
      </c>
      <c r="G2090" s="2" t="s">
        <v>2560</v>
      </c>
      <c r="H2090" s="2" t="s">
        <v>803</v>
      </c>
      <c r="I2090" s="2" t="s">
        <v>175</v>
      </c>
      <c r="J2090" s="2" t="s">
        <v>176</v>
      </c>
      <c r="K2090" s="9">
        <v>45907</v>
      </c>
      <c r="L2090" s="9">
        <v>45909</v>
      </c>
      <c r="M2090" s="9">
        <v>45907</v>
      </c>
      <c r="N2090" s="2" t="s">
        <v>2549</v>
      </c>
      <c r="O2090" s="2" t="s">
        <v>58</v>
      </c>
      <c r="P2090" s="2" t="s">
        <v>142</v>
      </c>
      <c r="Q2090" s="2" t="s">
        <v>224</v>
      </c>
      <c r="R2090" s="2" t="s">
        <v>149</v>
      </c>
      <c r="S2090" s="2" t="s">
        <v>179</v>
      </c>
      <c r="T2090" s="10">
        <v>126.43</v>
      </c>
      <c r="U2090" s="11">
        <v>0.18099999999999999</v>
      </c>
      <c r="V2090" s="12">
        <f>T2090*U2090</f>
        <v>22.88383</v>
      </c>
      <c r="W2090" s="13">
        <v>0.17</v>
      </c>
      <c r="X2090" s="12">
        <f>V2090-(V2090/(1+W2090))</f>
        <v>3.3250009401709377</v>
      </c>
      <c r="Y2090" s="12">
        <f>V2090-X2090</f>
        <v>19.558829059829062</v>
      </c>
      <c r="Z2090" s="14">
        <v>60</v>
      </c>
      <c r="AA2090" s="2" t="str">
        <f>IF(V2090&gt;Z2090,"Yes","No")</f>
        <v>No</v>
      </c>
      <c r="AB2090" s="12">
        <f>V2090-Z2090</f>
        <v>-37.116169999999997</v>
      </c>
      <c r="AC2090" s="15" t="s">
        <v>130</v>
      </c>
      <c r="AD2090" s="15" t="s">
        <v>130</v>
      </c>
      <c r="AE2090" s="15" t="s">
        <v>421</v>
      </c>
      <c r="AF2090" s="12">
        <f>IF(AG2090="Rejected",0,IF(R2090="Corporate Card",0,V2090))</f>
        <v>22.88383</v>
      </c>
      <c r="AG2090" s="15" t="s">
        <v>133</v>
      </c>
      <c r="AH2090" s="16">
        <v>45910</v>
      </c>
      <c r="AI2090" s="16">
        <v>45918</v>
      </c>
      <c r="AJ2090" s="16">
        <v>45931</v>
      </c>
      <c r="AK2090" s="17">
        <f>IF(AJ2090="","",AJ2090-AH2090)</f>
        <v>21</v>
      </c>
    </row>
    <row r="2091" spans="1:37">
      <c r="A2091" s="2" t="s">
        <v>2563</v>
      </c>
      <c r="B2091" s="2" t="s">
        <v>882</v>
      </c>
      <c r="C2091" s="2" t="s">
        <v>446</v>
      </c>
      <c r="D2091" s="2" t="s">
        <v>444</v>
      </c>
      <c r="E2091" s="2" t="s">
        <v>883</v>
      </c>
      <c r="F2091" s="2" t="s">
        <v>313</v>
      </c>
      <c r="G2091" s="2" t="s">
        <v>2560</v>
      </c>
      <c r="H2091" s="2" t="s">
        <v>803</v>
      </c>
      <c r="I2091" s="2" t="s">
        <v>175</v>
      </c>
      <c r="J2091" s="2" t="s">
        <v>176</v>
      </c>
      <c r="K2091" s="9">
        <v>45907</v>
      </c>
      <c r="L2091" s="9">
        <v>45909</v>
      </c>
      <c r="M2091" s="9">
        <v>45907</v>
      </c>
      <c r="N2091" s="2" t="s">
        <v>2549</v>
      </c>
      <c r="O2091" s="2" t="s">
        <v>54</v>
      </c>
      <c r="P2091" s="2" t="s">
        <v>139</v>
      </c>
      <c r="Q2091" s="2" t="s">
        <v>140</v>
      </c>
      <c r="R2091" s="2" t="s">
        <v>128</v>
      </c>
      <c r="S2091" s="2" t="s">
        <v>179</v>
      </c>
      <c r="T2091" s="10">
        <v>70.22</v>
      </c>
      <c r="U2091" s="11">
        <v>0.18099999999999999</v>
      </c>
      <c r="V2091" s="12">
        <f>T2091*U2091</f>
        <v>12.709819999999999</v>
      </c>
      <c r="W2091" s="13">
        <v>0.17</v>
      </c>
      <c r="X2091" s="12">
        <f>V2091-(V2091/(1+W2091))</f>
        <v>1.8467259829059817</v>
      </c>
      <c r="Y2091" s="12">
        <f>V2091-X2091</f>
        <v>10.863094017094017</v>
      </c>
      <c r="Z2091" s="14">
        <v>25</v>
      </c>
      <c r="AA2091" s="2" t="str">
        <f>IF(V2091&gt;Z2091,"Yes","No")</f>
        <v>No</v>
      </c>
      <c r="AB2091" s="12">
        <f>V2091-Z2091</f>
        <v>-12.290180000000001</v>
      </c>
      <c r="AC2091" s="15" t="s">
        <v>130</v>
      </c>
      <c r="AD2091" s="15" t="s">
        <v>130</v>
      </c>
      <c r="AE2091" s="15" t="s">
        <v>421</v>
      </c>
      <c r="AF2091" s="12">
        <f>IF(AG2091="Rejected",0,IF(R2091="Corporate Card",0,V2091))</f>
        <v>0</v>
      </c>
      <c r="AG2091" s="15" t="s">
        <v>133</v>
      </c>
      <c r="AH2091" s="16">
        <v>45910</v>
      </c>
      <c r="AI2091" s="16">
        <v>45918</v>
      </c>
      <c r="AJ2091" s="16">
        <v>45931</v>
      </c>
      <c r="AK2091" s="17">
        <f>IF(AJ2091="","",AJ2091-AH2091)</f>
        <v>21</v>
      </c>
    </row>
    <row r="2092" spans="1:37">
      <c r="A2092" s="2" t="s">
        <v>2564</v>
      </c>
      <c r="B2092" s="2" t="s">
        <v>882</v>
      </c>
      <c r="C2092" s="2" t="s">
        <v>446</v>
      </c>
      <c r="D2092" s="2" t="s">
        <v>444</v>
      </c>
      <c r="E2092" s="2" t="s">
        <v>883</v>
      </c>
      <c r="F2092" s="2" t="s">
        <v>313</v>
      </c>
      <c r="G2092" s="2" t="s">
        <v>2560</v>
      </c>
      <c r="H2092" s="2" t="s">
        <v>803</v>
      </c>
      <c r="I2092" s="2" t="s">
        <v>175</v>
      </c>
      <c r="J2092" s="2" t="s">
        <v>176</v>
      </c>
      <c r="K2092" s="9">
        <v>45907</v>
      </c>
      <c r="L2092" s="9">
        <v>45909</v>
      </c>
      <c r="M2092" s="9">
        <v>45907</v>
      </c>
      <c r="N2092" s="2" t="s">
        <v>2549</v>
      </c>
      <c r="O2092" s="2" t="s">
        <v>55</v>
      </c>
      <c r="P2092" s="2" t="s">
        <v>139</v>
      </c>
      <c r="Q2092" s="2" t="s">
        <v>161</v>
      </c>
      <c r="R2092" s="2" t="s">
        <v>149</v>
      </c>
      <c r="S2092" s="2" t="s">
        <v>179</v>
      </c>
      <c r="T2092" s="10">
        <v>128.41</v>
      </c>
      <c r="U2092" s="11">
        <v>0.18099999999999999</v>
      </c>
      <c r="V2092" s="12">
        <f>T2092*U2092</f>
        <v>23.24221</v>
      </c>
      <c r="W2092" s="13">
        <v>0.17</v>
      </c>
      <c r="X2092" s="12">
        <f>V2092-(V2092/(1+W2092))</f>
        <v>3.3770732478632475</v>
      </c>
      <c r="Y2092" s="12">
        <f>V2092-X2092</f>
        <v>19.865136752136753</v>
      </c>
      <c r="Z2092" s="14">
        <v>35</v>
      </c>
      <c r="AA2092" s="2" t="str">
        <f>IF(V2092&gt;Z2092,"Yes","No")</f>
        <v>No</v>
      </c>
      <c r="AB2092" s="12">
        <f>V2092-Z2092</f>
        <v>-11.75779</v>
      </c>
      <c r="AC2092" s="15" t="s">
        <v>130</v>
      </c>
      <c r="AD2092" s="15" t="s">
        <v>130</v>
      </c>
      <c r="AE2092" s="15" t="s">
        <v>421</v>
      </c>
      <c r="AF2092" s="12">
        <f>IF(AG2092="Rejected",0,IF(R2092="Corporate Card",0,V2092))</f>
        <v>23.24221</v>
      </c>
      <c r="AG2092" s="15" t="s">
        <v>133</v>
      </c>
      <c r="AH2092" s="16">
        <v>45910</v>
      </c>
      <c r="AI2092" s="16">
        <v>45918</v>
      </c>
      <c r="AJ2092" s="16">
        <v>45931</v>
      </c>
      <c r="AK2092" s="17">
        <f>IF(AJ2092="","",AJ2092-AH2092)</f>
        <v>21</v>
      </c>
    </row>
    <row r="2093" spans="1:37">
      <c r="A2093" s="2" t="s">
        <v>2565</v>
      </c>
      <c r="B2093" s="2" t="s">
        <v>189</v>
      </c>
      <c r="C2093" s="2" t="s">
        <v>190</v>
      </c>
      <c r="D2093" s="2" t="s">
        <v>171</v>
      </c>
      <c r="E2093" s="2" t="s">
        <v>191</v>
      </c>
      <c r="F2093" s="2" t="s">
        <v>173</v>
      </c>
      <c r="G2093" s="2" t="s">
        <v>2554</v>
      </c>
      <c r="H2093" s="2" t="s">
        <v>254</v>
      </c>
      <c r="I2093" s="2" t="s">
        <v>418</v>
      </c>
      <c r="J2093" s="2" t="s">
        <v>381</v>
      </c>
      <c r="K2093" s="9">
        <v>45906</v>
      </c>
      <c r="L2093" s="9">
        <v>45910</v>
      </c>
      <c r="M2093" s="9">
        <v>45907</v>
      </c>
      <c r="N2093" s="2" t="s">
        <v>2549</v>
      </c>
      <c r="O2093" s="2" t="s">
        <v>53</v>
      </c>
      <c r="P2093" s="2" t="s">
        <v>457</v>
      </c>
      <c r="Q2093" s="2" t="s">
        <v>146</v>
      </c>
      <c r="R2093" s="2" t="s">
        <v>137</v>
      </c>
      <c r="S2093" s="2" t="s">
        <v>383</v>
      </c>
      <c r="T2093" s="10">
        <v>786.04</v>
      </c>
      <c r="U2093" s="11">
        <v>1</v>
      </c>
      <c r="V2093" s="12">
        <f>T2093*U2093</f>
        <v>786.04</v>
      </c>
      <c r="W2093" s="13">
        <v>0</v>
      </c>
      <c r="X2093" s="12">
        <f>V2093-(V2093/(1+W2093))</f>
        <v>0</v>
      </c>
      <c r="Y2093" s="12">
        <f>V2093-X2093</f>
        <v>786.04</v>
      </c>
      <c r="Z2093" s="14">
        <v>1120</v>
      </c>
      <c r="AA2093" s="2" t="str">
        <f>IF(V2093&gt;Z2093,"Yes","No")</f>
        <v>No</v>
      </c>
      <c r="AB2093" s="12">
        <f>V2093-Z2093</f>
        <v>-333.96000000000004</v>
      </c>
      <c r="AC2093" s="15" t="s">
        <v>131</v>
      </c>
      <c r="AD2093" s="15" t="s">
        <v>130</v>
      </c>
      <c r="AE2093" s="15" t="s">
        <v>350</v>
      </c>
      <c r="AF2093" s="12">
        <f>IF(AG2093="Rejected",0,IF(R2093="Corporate Card",0,V2093))</f>
        <v>786.04</v>
      </c>
      <c r="AG2093" s="15" t="s">
        <v>133</v>
      </c>
      <c r="AH2093" s="16">
        <v>45922</v>
      </c>
      <c r="AI2093" s="16">
        <v>45923</v>
      </c>
      <c r="AJ2093" s="16">
        <v>45927</v>
      </c>
      <c r="AK2093" s="17">
        <f>IF(AJ2093="","",AJ2093-AH2093)</f>
        <v>5</v>
      </c>
    </row>
    <row r="2094" spans="1:37">
      <c r="A2094" s="2" t="s">
        <v>2566</v>
      </c>
      <c r="B2094" s="2" t="s">
        <v>189</v>
      </c>
      <c r="C2094" s="2" t="s">
        <v>190</v>
      </c>
      <c r="D2094" s="2" t="s">
        <v>171</v>
      </c>
      <c r="E2094" s="2" t="s">
        <v>191</v>
      </c>
      <c r="F2094" s="2" t="s">
        <v>173</v>
      </c>
      <c r="G2094" s="2" t="s">
        <v>2554</v>
      </c>
      <c r="H2094" s="2" t="s">
        <v>254</v>
      </c>
      <c r="I2094" s="2" t="s">
        <v>418</v>
      </c>
      <c r="J2094" s="2" t="s">
        <v>381</v>
      </c>
      <c r="K2094" s="9">
        <v>45906</v>
      </c>
      <c r="L2094" s="9">
        <v>45910</v>
      </c>
      <c r="M2094" s="9">
        <v>45907</v>
      </c>
      <c r="N2094" s="2" t="s">
        <v>2549</v>
      </c>
      <c r="O2094" s="2" t="s">
        <v>56</v>
      </c>
      <c r="P2094" s="2" t="s">
        <v>245</v>
      </c>
      <c r="Q2094" s="2" t="s">
        <v>152</v>
      </c>
      <c r="R2094" s="2" t="s">
        <v>128</v>
      </c>
      <c r="S2094" s="2" t="s">
        <v>383</v>
      </c>
      <c r="T2094" s="10">
        <v>29.62</v>
      </c>
      <c r="U2094" s="11">
        <v>1</v>
      </c>
      <c r="V2094" s="12">
        <f>T2094*U2094</f>
        <v>29.62</v>
      </c>
      <c r="W2094" s="13">
        <v>0</v>
      </c>
      <c r="X2094" s="12">
        <f>V2094-(V2094/(1+W2094))</f>
        <v>0</v>
      </c>
      <c r="Y2094" s="12">
        <f>V2094-X2094</f>
        <v>29.62</v>
      </c>
      <c r="Z2094" s="14">
        <v>75</v>
      </c>
      <c r="AA2094" s="2" t="str">
        <f>IF(V2094&gt;Z2094,"Yes","No")</f>
        <v>No</v>
      </c>
      <c r="AB2094" s="12">
        <f>V2094-Z2094</f>
        <v>-45.379999999999995</v>
      </c>
      <c r="AC2094" s="15" t="s">
        <v>130</v>
      </c>
      <c r="AD2094" s="15" t="s">
        <v>130</v>
      </c>
      <c r="AE2094" s="15" t="s">
        <v>350</v>
      </c>
      <c r="AF2094" s="12">
        <f>IF(AG2094="Rejected",0,IF(R2094="Corporate Card",0,V2094))</f>
        <v>0</v>
      </c>
      <c r="AG2094" s="15" t="s">
        <v>133</v>
      </c>
      <c r="AH2094" s="16">
        <v>45922</v>
      </c>
      <c r="AI2094" s="16">
        <v>45923</v>
      </c>
      <c r="AJ2094" s="16">
        <v>45927</v>
      </c>
      <c r="AK2094" s="17">
        <f>IF(AJ2094="","",AJ2094-AH2094)</f>
        <v>5</v>
      </c>
    </row>
    <row r="2095" spans="1:37">
      <c r="A2095" s="2" t="s">
        <v>2567</v>
      </c>
      <c r="B2095" s="2" t="s">
        <v>189</v>
      </c>
      <c r="C2095" s="2" t="s">
        <v>190</v>
      </c>
      <c r="D2095" s="2" t="s">
        <v>171</v>
      </c>
      <c r="E2095" s="2" t="s">
        <v>191</v>
      </c>
      <c r="F2095" s="2" t="s">
        <v>173</v>
      </c>
      <c r="G2095" s="2" t="s">
        <v>2554</v>
      </c>
      <c r="H2095" s="2" t="s">
        <v>254</v>
      </c>
      <c r="I2095" s="2" t="s">
        <v>418</v>
      </c>
      <c r="J2095" s="2" t="s">
        <v>381</v>
      </c>
      <c r="K2095" s="9">
        <v>45906</v>
      </c>
      <c r="L2095" s="9">
        <v>45910</v>
      </c>
      <c r="M2095" s="9">
        <v>45907</v>
      </c>
      <c r="N2095" s="2" t="s">
        <v>2549</v>
      </c>
      <c r="O2095" s="2" t="s">
        <v>55</v>
      </c>
      <c r="P2095" s="2" t="s">
        <v>139</v>
      </c>
      <c r="Q2095" s="2" t="s">
        <v>161</v>
      </c>
      <c r="R2095" s="2" t="s">
        <v>149</v>
      </c>
      <c r="S2095" s="2" t="s">
        <v>383</v>
      </c>
      <c r="T2095" s="10">
        <v>25.83</v>
      </c>
      <c r="U2095" s="11">
        <v>1</v>
      </c>
      <c r="V2095" s="12">
        <f>T2095*U2095</f>
        <v>25.83</v>
      </c>
      <c r="W2095" s="13">
        <v>0</v>
      </c>
      <c r="X2095" s="12">
        <f>V2095-(V2095/(1+W2095))</f>
        <v>0</v>
      </c>
      <c r="Y2095" s="12">
        <f>V2095-X2095</f>
        <v>25.83</v>
      </c>
      <c r="Z2095" s="14">
        <v>35</v>
      </c>
      <c r="AA2095" s="2" t="str">
        <f>IF(V2095&gt;Z2095,"Yes","No")</f>
        <v>No</v>
      </c>
      <c r="AB2095" s="12">
        <f>V2095-Z2095</f>
        <v>-9.1700000000000017</v>
      </c>
      <c r="AC2095" s="15" t="s">
        <v>130</v>
      </c>
      <c r="AD2095" s="15" t="s">
        <v>130</v>
      </c>
      <c r="AE2095" s="15" t="s">
        <v>350</v>
      </c>
      <c r="AF2095" s="12">
        <f>IF(AG2095="Rejected",0,IF(R2095="Corporate Card",0,V2095))</f>
        <v>25.83</v>
      </c>
      <c r="AG2095" s="15" t="s">
        <v>133</v>
      </c>
      <c r="AH2095" s="16">
        <v>45922</v>
      </c>
      <c r="AI2095" s="16">
        <v>45923</v>
      </c>
      <c r="AJ2095" s="16">
        <v>45927</v>
      </c>
      <c r="AK2095" s="17">
        <f>IF(AJ2095="","",AJ2095-AH2095)</f>
        <v>5</v>
      </c>
    </row>
    <row r="2096" spans="1:37">
      <c r="A2096" s="2" t="s">
        <v>2568</v>
      </c>
      <c r="B2096" s="2" t="s">
        <v>743</v>
      </c>
      <c r="C2096" s="2" t="s">
        <v>313</v>
      </c>
      <c r="D2096" s="2" t="s">
        <v>744</v>
      </c>
      <c r="E2096" s="2" t="s">
        <v>745</v>
      </c>
      <c r="F2096" s="2" t="s">
        <v>746</v>
      </c>
      <c r="G2096" s="2" t="s">
        <v>2569</v>
      </c>
      <c r="H2096" s="2" t="s">
        <v>122</v>
      </c>
      <c r="I2096" s="2" t="s">
        <v>619</v>
      </c>
      <c r="J2096" s="2" t="s">
        <v>381</v>
      </c>
      <c r="K2096" s="9">
        <v>45908</v>
      </c>
      <c r="L2096" s="9">
        <v>45914</v>
      </c>
      <c r="M2096" s="9">
        <v>45908</v>
      </c>
      <c r="N2096" s="2" t="s">
        <v>2549</v>
      </c>
      <c r="O2096" s="2" t="s">
        <v>52</v>
      </c>
      <c r="P2096" s="2" t="s">
        <v>620</v>
      </c>
      <c r="Q2096" s="2" t="s">
        <v>513</v>
      </c>
      <c r="R2096" s="2" t="s">
        <v>128</v>
      </c>
      <c r="S2096" s="2" t="s">
        <v>383</v>
      </c>
      <c r="T2096" s="10">
        <v>1080.5</v>
      </c>
      <c r="U2096" s="11">
        <v>1</v>
      </c>
      <c r="V2096" s="12">
        <f>T2096*U2096</f>
        <v>1080.5</v>
      </c>
      <c r="W2096" s="13">
        <v>0</v>
      </c>
      <c r="X2096" s="12">
        <f>V2096-(V2096/(1+W2096))</f>
        <v>0</v>
      </c>
      <c r="Y2096" s="12">
        <f>V2096-X2096</f>
        <v>1080.5</v>
      </c>
      <c r="Z2096" s="14">
        <v>1400</v>
      </c>
      <c r="AA2096" s="2" t="str">
        <f>IF(V2096&gt;Z2096,"Yes","No")</f>
        <v>No</v>
      </c>
      <c r="AB2096" s="12">
        <f>V2096-Z2096</f>
        <v>-319.5</v>
      </c>
      <c r="AC2096" s="15" t="s">
        <v>130</v>
      </c>
      <c r="AD2096" s="15" t="s">
        <v>130</v>
      </c>
      <c r="AE2096" s="15" t="s">
        <v>260</v>
      </c>
      <c r="AF2096" s="12">
        <f>IF(AG2096="Rejected",0,IF(R2096="Corporate Card",0,V2096))</f>
        <v>0</v>
      </c>
      <c r="AG2096" s="15" t="s">
        <v>181</v>
      </c>
      <c r="AH2096" s="16">
        <v>45916</v>
      </c>
      <c r="AI2096" s="16"/>
      <c r="AJ2096" s="16"/>
      <c r="AK2096" s="17" t="str">
        <f>IF(AJ2096="","",AJ2096-AH2096)</f>
        <v/>
      </c>
    </row>
    <row r="2097" spans="1:37">
      <c r="A2097" s="2" t="s">
        <v>2570</v>
      </c>
      <c r="B2097" s="2" t="s">
        <v>743</v>
      </c>
      <c r="C2097" s="2" t="s">
        <v>313</v>
      </c>
      <c r="D2097" s="2" t="s">
        <v>744</v>
      </c>
      <c r="E2097" s="2" t="s">
        <v>745</v>
      </c>
      <c r="F2097" s="2" t="s">
        <v>746</v>
      </c>
      <c r="G2097" s="2" t="s">
        <v>2569</v>
      </c>
      <c r="H2097" s="2" t="s">
        <v>122</v>
      </c>
      <c r="I2097" s="2" t="s">
        <v>619</v>
      </c>
      <c r="J2097" s="2" t="s">
        <v>381</v>
      </c>
      <c r="K2097" s="9">
        <v>45908</v>
      </c>
      <c r="L2097" s="9">
        <v>45914</v>
      </c>
      <c r="M2097" s="9">
        <v>45908</v>
      </c>
      <c r="N2097" s="2" t="s">
        <v>2549</v>
      </c>
      <c r="O2097" s="2" t="s">
        <v>58</v>
      </c>
      <c r="P2097" s="2" t="s">
        <v>142</v>
      </c>
      <c r="Q2097" s="2" t="s">
        <v>224</v>
      </c>
      <c r="R2097" s="2" t="s">
        <v>128</v>
      </c>
      <c r="S2097" s="2" t="s">
        <v>383</v>
      </c>
      <c r="T2097" s="10">
        <v>58.47</v>
      </c>
      <c r="U2097" s="11">
        <v>1</v>
      </c>
      <c r="V2097" s="12">
        <f>T2097*U2097</f>
        <v>58.47</v>
      </c>
      <c r="W2097" s="13">
        <v>0</v>
      </c>
      <c r="X2097" s="12">
        <f>V2097-(V2097/(1+W2097))</f>
        <v>0</v>
      </c>
      <c r="Y2097" s="12">
        <f>V2097-X2097</f>
        <v>58.47</v>
      </c>
      <c r="Z2097" s="14">
        <v>60</v>
      </c>
      <c r="AA2097" s="2" t="str">
        <f>IF(V2097&gt;Z2097,"Yes","No")</f>
        <v>No</v>
      </c>
      <c r="AB2097" s="12">
        <f>V2097-Z2097</f>
        <v>-1.5300000000000011</v>
      </c>
      <c r="AC2097" s="15" t="s">
        <v>130</v>
      </c>
      <c r="AD2097" s="15" t="s">
        <v>130</v>
      </c>
      <c r="AE2097" s="15" t="s">
        <v>260</v>
      </c>
      <c r="AF2097" s="12">
        <f>IF(AG2097="Rejected",0,IF(R2097="Corporate Card",0,V2097))</f>
        <v>0</v>
      </c>
      <c r="AG2097" s="15" t="s">
        <v>181</v>
      </c>
      <c r="AH2097" s="16">
        <v>45916</v>
      </c>
      <c r="AI2097" s="16"/>
      <c r="AJ2097" s="16"/>
      <c r="AK2097" s="17" t="str">
        <f>IF(AJ2097="","",AJ2097-AH2097)</f>
        <v/>
      </c>
    </row>
    <row r="2098" spans="1:37">
      <c r="A2098" s="2" t="s">
        <v>2571</v>
      </c>
      <c r="B2098" s="2" t="s">
        <v>743</v>
      </c>
      <c r="C2098" s="2" t="s">
        <v>313</v>
      </c>
      <c r="D2098" s="2" t="s">
        <v>744</v>
      </c>
      <c r="E2098" s="2" t="s">
        <v>745</v>
      </c>
      <c r="F2098" s="2" t="s">
        <v>746</v>
      </c>
      <c r="G2098" s="2" t="s">
        <v>2569</v>
      </c>
      <c r="H2098" s="2" t="s">
        <v>122</v>
      </c>
      <c r="I2098" s="2" t="s">
        <v>619</v>
      </c>
      <c r="J2098" s="2" t="s">
        <v>381</v>
      </c>
      <c r="K2098" s="9">
        <v>45908</v>
      </c>
      <c r="L2098" s="9">
        <v>45914</v>
      </c>
      <c r="M2098" s="9">
        <v>45908</v>
      </c>
      <c r="N2098" s="2" t="s">
        <v>2549</v>
      </c>
      <c r="O2098" s="2" t="s">
        <v>54</v>
      </c>
      <c r="P2098" s="2" t="s">
        <v>139</v>
      </c>
      <c r="Q2098" s="2" t="s">
        <v>163</v>
      </c>
      <c r="R2098" s="2" t="s">
        <v>149</v>
      </c>
      <c r="S2098" s="2" t="s">
        <v>383</v>
      </c>
      <c r="T2098" s="10">
        <v>37.979999999999997</v>
      </c>
      <c r="U2098" s="11">
        <v>1</v>
      </c>
      <c r="V2098" s="12">
        <f>T2098*U2098</f>
        <v>37.979999999999997</v>
      </c>
      <c r="W2098" s="13">
        <v>0</v>
      </c>
      <c r="X2098" s="12">
        <f>V2098-(V2098/(1+W2098))</f>
        <v>0</v>
      </c>
      <c r="Y2098" s="12">
        <f>V2098-X2098</f>
        <v>37.979999999999997</v>
      </c>
      <c r="Z2098" s="14">
        <v>25</v>
      </c>
      <c r="AA2098" s="2" t="str">
        <f>IF(V2098&gt;Z2098,"Yes","No")</f>
        <v>Yes</v>
      </c>
      <c r="AB2098" s="12">
        <f>V2098-Z2098</f>
        <v>12.979999999999997</v>
      </c>
      <c r="AC2098" s="15" t="s">
        <v>130</v>
      </c>
      <c r="AD2098" s="15" t="s">
        <v>130</v>
      </c>
      <c r="AE2098" s="15" t="s">
        <v>260</v>
      </c>
      <c r="AF2098" s="12">
        <f>IF(AG2098="Rejected",0,IF(R2098="Corporate Card",0,V2098))</f>
        <v>37.979999999999997</v>
      </c>
      <c r="AG2098" s="15" t="s">
        <v>181</v>
      </c>
      <c r="AH2098" s="16">
        <v>45916</v>
      </c>
      <c r="AI2098" s="16"/>
      <c r="AJ2098" s="16"/>
      <c r="AK2098" s="17" t="str">
        <f>IF(AJ2098="","",AJ2098-AH2098)</f>
        <v/>
      </c>
    </row>
    <row r="2099" spans="1:37">
      <c r="A2099" s="2" t="s">
        <v>2572</v>
      </c>
      <c r="B2099" s="2" t="s">
        <v>743</v>
      </c>
      <c r="C2099" s="2" t="s">
        <v>313</v>
      </c>
      <c r="D2099" s="2" t="s">
        <v>744</v>
      </c>
      <c r="E2099" s="2" t="s">
        <v>745</v>
      </c>
      <c r="F2099" s="2" t="s">
        <v>746</v>
      </c>
      <c r="G2099" s="2" t="s">
        <v>2569</v>
      </c>
      <c r="H2099" s="2" t="s">
        <v>122</v>
      </c>
      <c r="I2099" s="2" t="s">
        <v>619</v>
      </c>
      <c r="J2099" s="2" t="s">
        <v>381</v>
      </c>
      <c r="K2099" s="9">
        <v>45908</v>
      </c>
      <c r="L2099" s="9">
        <v>45914</v>
      </c>
      <c r="M2099" s="9">
        <v>45908</v>
      </c>
      <c r="N2099" s="2" t="s">
        <v>2549</v>
      </c>
      <c r="O2099" s="2" t="s">
        <v>56</v>
      </c>
      <c r="P2099" s="2" t="s">
        <v>231</v>
      </c>
      <c r="Q2099" s="2" t="s">
        <v>152</v>
      </c>
      <c r="R2099" s="2" t="s">
        <v>128</v>
      </c>
      <c r="S2099" s="2" t="s">
        <v>383</v>
      </c>
      <c r="T2099" s="10">
        <v>29.27</v>
      </c>
      <c r="U2099" s="11">
        <v>1</v>
      </c>
      <c r="V2099" s="12">
        <f>T2099*U2099</f>
        <v>29.27</v>
      </c>
      <c r="W2099" s="13">
        <v>0</v>
      </c>
      <c r="X2099" s="12">
        <f>V2099-(V2099/(1+W2099))</f>
        <v>0</v>
      </c>
      <c r="Y2099" s="12">
        <f>V2099-X2099</f>
        <v>29.27</v>
      </c>
      <c r="Z2099" s="14">
        <v>75</v>
      </c>
      <c r="AA2099" s="2" t="str">
        <f>IF(V2099&gt;Z2099,"Yes","No")</f>
        <v>No</v>
      </c>
      <c r="AB2099" s="12">
        <f>V2099-Z2099</f>
        <v>-45.730000000000004</v>
      </c>
      <c r="AC2099" s="15" t="s">
        <v>130</v>
      </c>
      <c r="AD2099" s="15" t="s">
        <v>130</v>
      </c>
      <c r="AE2099" s="15" t="s">
        <v>260</v>
      </c>
      <c r="AF2099" s="12">
        <f>IF(AG2099="Rejected",0,IF(R2099="Corporate Card",0,V2099))</f>
        <v>0</v>
      </c>
      <c r="AG2099" s="15" t="s">
        <v>181</v>
      </c>
      <c r="AH2099" s="16">
        <v>45916</v>
      </c>
      <c r="AI2099" s="16"/>
      <c r="AJ2099" s="16"/>
      <c r="AK2099" s="17" t="str">
        <f>IF(AJ2099="","",AJ2099-AH2099)</f>
        <v/>
      </c>
    </row>
    <row r="2100" spans="1:37">
      <c r="A2100" s="2" t="s">
        <v>2573</v>
      </c>
      <c r="B2100" s="2" t="s">
        <v>743</v>
      </c>
      <c r="C2100" s="2" t="s">
        <v>313</v>
      </c>
      <c r="D2100" s="2" t="s">
        <v>744</v>
      </c>
      <c r="E2100" s="2" t="s">
        <v>745</v>
      </c>
      <c r="F2100" s="2" t="s">
        <v>746</v>
      </c>
      <c r="G2100" s="2" t="s">
        <v>2569</v>
      </c>
      <c r="H2100" s="2" t="s">
        <v>122</v>
      </c>
      <c r="I2100" s="2" t="s">
        <v>619</v>
      </c>
      <c r="J2100" s="2" t="s">
        <v>381</v>
      </c>
      <c r="K2100" s="9">
        <v>45908</v>
      </c>
      <c r="L2100" s="9">
        <v>45914</v>
      </c>
      <c r="M2100" s="9">
        <v>45908</v>
      </c>
      <c r="N2100" s="2" t="s">
        <v>2549</v>
      </c>
      <c r="O2100" s="2" t="s">
        <v>55</v>
      </c>
      <c r="P2100" s="2" t="s">
        <v>139</v>
      </c>
      <c r="Q2100" s="2" t="s">
        <v>217</v>
      </c>
      <c r="R2100" s="2" t="s">
        <v>128</v>
      </c>
      <c r="S2100" s="2" t="s">
        <v>383</v>
      </c>
      <c r="T2100" s="10">
        <v>23.65</v>
      </c>
      <c r="U2100" s="11">
        <v>1</v>
      </c>
      <c r="V2100" s="12">
        <f>T2100*U2100</f>
        <v>23.65</v>
      </c>
      <c r="W2100" s="13">
        <v>0</v>
      </c>
      <c r="X2100" s="12">
        <f>V2100-(V2100/(1+W2100))</f>
        <v>0</v>
      </c>
      <c r="Y2100" s="12">
        <f>V2100-X2100</f>
        <v>23.65</v>
      </c>
      <c r="Z2100" s="14">
        <v>35</v>
      </c>
      <c r="AA2100" s="2" t="str">
        <f>IF(V2100&gt;Z2100,"Yes","No")</f>
        <v>No</v>
      </c>
      <c r="AB2100" s="12">
        <f>V2100-Z2100</f>
        <v>-11.350000000000001</v>
      </c>
      <c r="AC2100" s="15" t="s">
        <v>130</v>
      </c>
      <c r="AD2100" s="15" t="s">
        <v>130</v>
      </c>
      <c r="AE2100" s="15" t="s">
        <v>260</v>
      </c>
      <c r="AF2100" s="12">
        <f>IF(AG2100="Rejected",0,IF(R2100="Corporate Card",0,V2100))</f>
        <v>0</v>
      </c>
      <c r="AG2100" s="15" t="s">
        <v>181</v>
      </c>
      <c r="AH2100" s="16">
        <v>45916</v>
      </c>
      <c r="AI2100" s="16"/>
      <c r="AJ2100" s="16"/>
      <c r="AK2100" s="17" t="str">
        <f>IF(AJ2100="","",AJ2100-AH2100)</f>
        <v/>
      </c>
    </row>
    <row r="2101" spans="1:37">
      <c r="A2101" s="2" t="s">
        <v>2574</v>
      </c>
      <c r="B2101" s="2" t="s">
        <v>882</v>
      </c>
      <c r="C2101" s="2" t="s">
        <v>446</v>
      </c>
      <c r="D2101" s="2" t="s">
        <v>444</v>
      </c>
      <c r="E2101" s="2" t="s">
        <v>883</v>
      </c>
      <c r="F2101" s="2" t="s">
        <v>313</v>
      </c>
      <c r="G2101" s="2" t="s">
        <v>2560</v>
      </c>
      <c r="H2101" s="2" t="s">
        <v>803</v>
      </c>
      <c r="I2101" s="2" t="s">
        <v>175</v>
      </c>
      <c r="J2101" s="2" t="s">
        <v>176</v>
      </c>
      <c r="K2101" s="9">
        <v>45907</v>
      </c>
      <c r="L2101" s="9">
        <v>45909</v>
      </c>
      <c r="M2101" s="9">
        <v>45908</v>
      </c>
      <c r="N2101" s="2" t="s">
        <v>2549</v>
      </c>
      <c r="O2101" s="2" t="s">
        <v>60</v>
      </c>
      <c r="P2101" s="2" t="s">
        <v>1643</v>
      </c>
      <c r="Q2101" s="2" t="s">
        <v>537</v>
      </c>
      <c r="R2101" s="2" t="s">
        <v>128</v>
      </c>
      <c r="S2101" s="2" t="s">
        <v>179</v>
      </c>
      <c r="T2101" s="10">
        <v>2040.17</v>
      </c>
      <c r="U2101" s="11">
        <v>0.18099999999999999</v>
      </c>
      <c r="V2101" s="12">
        <f>T2101*U2101</f>
        <v>369.27077000000003</v>
      </c>
      <c r="W2101" s="13">
        <v>0.17</v>
      </c>
      <c r="X2101" s="12">
        <f>V2101-(V2101/(1+W2101))</f>
        <v>53.654727264957273</v>
      </c>
      <c r="Y2101" s="12">
        <f>V2101-X2101</f>
        <v>315.61604273504275</v>
      </c>
      <c r="Z2101" s="14">
        <v>240</v>
      </c>
      <c r="AA2101" s="2" t="str">
        <f>IF(V2101&gt;Z2101,"Yes","No")</f>
        <v>Yes</v>
      </c>
      <c r="AB2101" s="12">
        <f>V2101-Z2101</f>
        <v>129.27077000000003</v>
      </c>
      <c r="AC2101" s="15" t="s">
        <v>130</v>
      </c>
      <c r="AD2101" s="15" t="s">
        <v>130</v>
      </c>
      <c r="AE2101" s="15" t="s">
        <v>421</v>
      </c>
      <c r="AF2101" s="12">
        <f>IF(AG2101="Rejected",0,IF(R2101="Corporate Card",0,V2101))</f>
        <v>0</v>
      </c>
      <c r="AG2101" s="15" t="s">
        <v>133</v>
      </c>
      <c r="AH2101" s="16">
        <v>45910</v>
      </c>
      <c r="AI2101" s="16">
        <v>45918</v>
      </c>
      <c r="AJ2101" s="16">
        <v>45931</v>
      </c>
      <c r="AK2101" s="17">
        <f>IF(AJ2101="","",AJ2101-AH2101)</f>
        <v>21</v>
      </c>
    </row>
    <row r="2102" spans="1:37">
      <c r="A2102" s="2" t="s">
        <v>2575</v>
      </c>
      <c r="B2102" s="2" t="s">
        <v>882</v>
      </c>
      <c r="C2102" s="2" t="s">
        <v>446</v>
      </c>
      <c r="D2102" s="2" t="s">
        <v>444</v>
      </c>
      <c r="E2102" s="2" t="s">
        <v>883</v>
      </c>
      <c r="F2102" s="2" t="s">
        <v>313</v>
      </c>
      <c r="G2102" s="2" t="s">
        <v>2560</v>
      </c>
      <c r="H2102" s="2" t="s">
        <v>803</v>
      </c>
      <c r="I2102" s="2" t="s">
        <v>175</v>
      </c>
      <c r="J2102" s="2" t="s">
        <v>176</v>
      </c>
      <c r="K2102" s="9">
        <v>45907</v>
      </c>
      <c r="L2102" s="9">
        <v>45909</v>
      </c>
      <c r="M2102" s="9">
        <v>45908</v>
      </c>
      <c r="N2102" s="2" t="s">
        <v>2549</v>
      </c>
      <c r="O2102" s="2" t="s">
        <v>57</v>
      </c>
      <c r="P2102" s="2" t="s">
        <v>398</v>
      </c>
      <c r="Q2102" s="2" t="s">
        <v>399</v>
      </c>
      <c r="R2102" s="2" t="s">
        <v>137</v>
      </c>
      <c r="S2102" s="2" t="s">
        <v>179</v>
      </c>
      <c r="T2102" s="10">
        <v>1548.9</v>
      </c>
      <c r="U2102" s="11">
        <v>0.18099999999999999</v>
      </c>
      <c r="V2102" s="12">
        <f>T2102*U2102</f>
        <v>280.35090000000002</v>
      </c>
      <c r="W2102" s="13">
        <v>0.17</v>
      </c>
      <c r="X2102" s="12">
        <f>V2102-(V2102/(1+W2102))</f>
        <v>40.734746153846146</v>
      </c>
      <c r="Y2102" s="12">
        <f>V2102-X2102</f>
        <v>239.61615384615388</v>
      </c>
      <c r="Z2102" s="14">
        <v>200</v>
      </c>
      <c r="AA2102" s="2" t="str">
        <f>IF(V2102&gt;Z2102,"Yes","No")</f>
        <v>Yes</v>
      </c>
      <c r="AB2102" s="12">
        <f>V2102-Z2102</f>
        <v>80.350900000000024</v>
      </c>
      <c r="AC2102" s="15" t="s">
        <v>130</v>
      </c>
      <c r="AD2102" s="15" t="s">
        <v>130</v>
      </c>
      <c r="AE2102" s="15" t="s">
        <v>421</v>
      </c>
      <c r="AF2102" s="12">
        <f>IF(AG2102="Rejected",0,IF(R2102="Corporate Card",0,V2102))</f>
        <v>280.35090000000002</v>
      </c>
      <c r="AG2102" s="15" t="s">
        <v>133</v>
      </c>
      <c r="AH2102" s="16">
        <v>45910</v>
      </c>
      <c r="AI2102" s="16">
        <v>45918</v>
      </c>
      <c r="AJ2102" s="16">
        <v>45931</v>
      </c>
      <c r="AK2102" s="17">
        <f>IF(AJ2102="","",AJ2102-AH2102)</f>
        <v>21</v>
      </c>
    </row>
    <row r="2103" spans="1:37">
      <c r="A2103" s="2" t="s">
        <v>2576</v>
      </c>
      <c r="B2103" s="2" t="s">
        <v>882</v>
      </c>
      <c r="C2103" s="2" t="s">
        <v>446</v>
      </c>
      <c r="D2103" s="2" t="s">
        <v>444</v>
      </c>
      <c r="E2103" s="2" t="s">
        <v>883</v>
      </c>
      <c r="F2103" s="2" t="s">
        <v>313</v>
      </c>
      <c r="G2103" s="2" t="s">
        <v>2560</v>
      </c>
      <c r="H2103" s="2" t="s">
        <v>803</v>
      </c>
      <c r="I2103" s="2" t="s">
        <v>175</v>
      </c>
      <c r="J2103" s="2" t="s">
        <v>176</v>
      </c>
      <c r="K2103" s="9">
        <v>45907</v>
      </c>
      <c r="L2103" s="9">
        <v>45909</v>
      </c>
      <c r="M2103" s="9">
        <v>45908</v>
      </c>
      <c r="N2103" s="2" t="s">
        <v>2549</v>
      </c>
      <c r="O2103" s="2" t="s">
        <v>58</v>
      </c>
      <c r="P2103" s="2" t="s">
        <v>142</v>
      </c>
      <c r="Q2103" s="2" t="s">
        <v>203</v>
      </c>
      <c r="R2103" s="2" t="s">
        <v>128</v>
      </c>
      <c r="S2103" s="2" t="s">
        <v>179</v>
      </c>
      <c r="T2103" s="10">
        <v>311.45</v>
      </c>
      <c r="U2103" s="11">
        <v>0.18099999999999999</v>
      </c>
      <c r="V2103" s="12">
        <f>T2103*U2103</f>
        <v>56.372449999999994</v>
      </c>
      <c r="W2103" s="13">
        <v>0.17</v>
      </c>
      <c r="X2103" s="12">
        <f>V2103-(V2103/(1+W2103))</f>
        <v>8.1908688034188017</v>
      </c>
      <c r="Y2103" s="12">
        <f>V2103-X2103</f>
        <v>48.181581196581192</v>
      </c>
      <c r="Z2103" s="14">
        <v>60</v>
      </c>
      <c r="AA2103" s="2" t="str">
        <f>IF(V2103&gt;Z2103,"Yes","No")</f>
        <v>No</v>
      </c>
      <c r="AB2103" s="12">
        <f>V2103-Z2103</f>
        <v>-3.6275500000000065</v>
      </c>
      <c r="AC2103" s="15" t="s">
        <v>130</v>
      </c>
      <c r="AD2103" s="15" t="s">
        <v>130</v>
      </c>
      <c r="AE2103" s="15" t="s">
        <v>421</v>
      </c>
      <c r="AF2103" s="12">
        <f>IF(AG2103="Rejected",0,IF(R2103="Corporate Card",0,V2103))</f>
        <v>0</v>
      </c>
      <c r="AG2103" s="15" t="s">
        <v>133</v>
      </c>
      <c r="AH2103" s="16">
        <v>45910</v>
      </c>
      <c r="AI2103" s="16">
        <v>45918</v>
      </c>
      <c r="AJ2103" s="16">
        <v>45931</v>
      </c>
      <c r="AK2103" s="17">
        <f>IF(AJ2103="","",AJ2103-AH2103)</f>
        <v>21</v>
      </c>
    </row>
    <row r="2104" spans="1:37">
      <c r="A2104" s="2" t="s">
        <v>2577</v>
      </c>
      <c r="B2104" s="2" t="s">
        <v>882</v>
      </c>
      <c r="C2104" s="2" t="s">
        <v>446</v>
      </c>
      <c r="D2104" s="2" t="s">
        <v>444</v>
      </c>
      <c r="E2104" s="2" t="s">
        <v>883</v>
      </c>
      <c r="F2104" s="2" t="s">
        <v>313</v>
      </c>
      <c r="G2104" s="2" t="s">
        <v>2560</v>
      </c>
      <c r="H2104" s="2" t="s">
        <v>803</v>
      </c>
      <c r="I2104" s="2" t="s">
        <v>175</v>
      </c>
      <c r="J2104" s="2" t="s">
        <v>176</v>
      </c>
      <c r="K2104" s="9">
        <v>45907</v>
      </c>
      <c r="L2104" s="9">
        <v>45909</v>
      </c>
      <c r="M2104" s="9">
        <v>45908</v>
      </c>
      <c r="N2104" s="2" t="s">
        <v>2549</v>
      </c>
      <c r="O2104" s="2" t="s">
        <v>53</v>
      </c>
      <c r="P2104" s="2" t="s">
        <v>362</v>
      </c>
      <c r="Q2104" s="2" t="s">
        <v>209</v>
      </c>
      <c r="R2104" s="2" t="s">
        <v>137</v>
      </c>
      <c r="S2104" s="2" t="s">
        <v>179</v>
      </c>
      <c r="T2104" s="10">
        <v>1510.37</v>
      </c>
      <c r="U2104" s="11">
        <v>0.18099999999999999</v>
      </c>
      <c r="V2104" s="12">
        <f>T2104*U2104</f>
        <v>273.37696999999997</v>
      </c>
      <c r="W2104" s="13">
        <v>0.17</v>
      </c>
      <c r="X2104" s="12">
        <f>V2104-(V2104/(1+W2104))</f>
        <v>39.721440085470078</v>
      </c>
      <c r="Y2104" s="12">
        <f>V2104-X2104</f>
        <v>233.65552991452989</v>
      </c>
      <c r="Z2104" s="14">
        <v>560</v>
      </c>
      <c r="AA2104" s="2" t="str">
        <f>IF(V2104&gt;Z2104,"Yes","No")</f>
        <v>No</v>
      </c>
      <c r="AB2104" s="12">
        <f>V2104-Z2104</f>
        <v>-286.62303000000003</v>
      </c>
      <c r="AC2104" s="15" t="s">
        <v>130</v>
      </c>
      <c r="AD2104" s="15" t="s">
        <v>130</v>
      </c>
      <c r="AE2104" s="15" t="s">
        <v>421</v>
      </c>
      <c r="AF2104" s="12">
        <f>IF(AG2104="Rejected",0,IF(R2104="Corporate Card",0,V2104))</f>
        <v>273.37696999999997</v>
      </c>
      <c r="AG2104" s="15" t="s">
        <v>133</v>
      </c>
      <c r="AH2104" s="16">
        <v>45910</v>
      </c>
      <c r="AI2104" s="16">
        <v>45918</v>
      </c>
      <c r="AJ2104" s="16">
        <v>45931</v>
      </c>
      <c r="AK2104" s="17">
        <f>IF(AJ2104="","",AJ2104-AH2104)</f>
        <v>21</v>
      </c>
    </row>
    <row r="2105" spans="1:37">
      <c r="A2105" s="2" t="s">
        <v>2578</v>
      </c>
      <c r="B2105" s="2" t="s">
        <v>882</v>
      </c>
      <c r="C2105" s="2" t="s">
        <v>446</v>
      </c>
      <c r="D2105" s="2" t="s">
        <v>444</v>
      </c>
      <c r="E2105" s="2" t="s">
        <v>883</v>
      </c>
      <c r="F2105" s="2" t="s">
        <v>313</v>
      </c>
      <c r="G2105" s="2" t="s">
        <v>2560</v>
      </c>
      <c r="H2105" s="2" t="s">
        <v>803</v>
      </c>
      <c r="I2105" s="2" t="s">
        <v>175</v>
      </c>
      <c r="J2105" s="2" t="s">
        <v>176</v>
      </c>
      <c r="K2105" s="9">
        <v>45907</v>
      </c>
      <c r="L2105" s="9">
        <v>45909</v>
      </c>
      <c r="M2105" s="9">
        <v>45908</v>
      </c>
      <c r="N2105" s="2" t="s">
        <v>2549</v>
      </c>
      <c r="O2105" s="2" t="s">
        <v>54</v>
      </c>
      <c r="P2105" s="2" t="s">
        <v>139</v>
      </c>
      <c r="Q2105" s="2" t="s">
        <v>148</v>
      </c>
      <c r="R2105" s="2" t="s">
        <v>128</v>
      </c>
      <c r="S2105" s="2" t="s">
        <v>179</v>
      </c>
      <c r="T2105" s="10">
        <v>133.6</v>
      </c>
      <c r="U2105" s="11">
        <v>0.18099999999999999</v>
      </c>
      <c r="V2105" s="12">
        <f>T2105*U2105</f>
        <v>24.1816</v>
      </c>
      <c r="W2105" s="13">
        <v>0.17</v>
      </c>
      <c r="X2105" s="12">
        <f>V2105-(V2105/(1+W2105))</f>
        <v>3.5135658119658117</v>
      </c>
      <c r="Y2105" s="12">
        <f>V2105-X2105</f>
        <v>20.668034188034188</v>
      </c>
      <c r="Z2105" s="14">
        <v>25</v>
      </c>
      <c r="AA2105" s="2" t="str">
        <f>IF(V2105&gt;Z2105,"Yes","No")</f>
        <v>No</v>
      </c>
      <c r="AB2105" s="12">
        <f>V2105-Z2105</f>
        <v>-0.81840000000000046</v>
      </c>
      <c r="AC2105" s="15" t="s">
        <v>130</v>
      </c>
      <c r="AD2105" s="15" t="s">
        <v>130</v>
      </c>
      <c r="AE2105" s="15" t="s">
        <v>421</v>
      </c>
      <c r="AF2105" s="12">
        <f>IF(AG2105="Rejected",0,IF(R2105="Corporate Card",0,V2105))</f>
        <v>0</v>
      </c>
      <c r="AG2105" s="15" t="s">
        <v>133</v>
      </c>
      <c r="AH2105" s="16">
        <v>45910</v>
      </c>
      <c r="AI2105" s="16">
        <v>45918</v>
      </c>
      <c r="AJ2105" s="16">
        <v>45931</v>
      </c>
      <c r="AK2105" s="17">
        <f>IF(AJ2105="","",AJ2105-AH2105)</f>
        <v>21</v>
      </c>
    </row>
    <row r="2106" spans="1:37">
      <c r="A2106" s="2" t="s">
        <v>2579</v>
      </c>
      <c r="B2106" s="2" t="s">
        <v>882</v>
      </c>
      <c r="C2106" s="2" t="s">
        <v>446</v>
      </c>
      <c r="D2106" s="2" t="s">
        <v>444</v>
      </c>
      <c r="E2106" s="2" t="s">
        <v>883</v>
      </c>
      <c r="F2106" s="2" t="s">
        <v>313</v>
      </c>
      <c r="G2106" s="2" t="s">
        <v>2560</v>
      </c>
      <c r="H2106" s="2" t="s">
        <v>803</v>
      </c>
      <c r="I2106" s="2" t="s">
        <v>175</v>
      </c>
      <c r="J2106" s="2" t="s">
        <v>176</v>
      </c>
      <c r="K2106" s="9">
        <v>45907</v>
      </c>
      <c r="L2106" s="9">
        <v>45909</v>
      </c>
      <c r="M2106" s="9">
        <v>45908</v>
      </c>
      <c r="N2106" s="2" t="s">
        <v>2549</v>
      </c>
      <c r="O2106" s="2" t="s">
        <v>55</v>
      </c>
      <c r="P2106" s="2" t="s">
        <v>139</v>
      </c>
      <c r="Q2106" s="2" t="s">
        <v>217</v>
      </c>
      <c r="R2106" s="2" t="s">
        <v>137</v>
      </c>
      <c r="S2106" s="2" t="s">
        <v>179</v>
      </c>
      <c r="T2106" s="10">
        <v>72.17</v>
      </c>
      <c r="U2106" s="11">
        <v>0.18099999999999999</v>
      </c>
      <c r="V2106" s="12">
        <f>T2106*U2106</f>
        <v>13.06277</v>
      </c>
      <c r="W2106" s="13">
        <v>0.17</v>
      </c>
      <c r="X2106" s="12">
        <f>V2106-(V2106/(1+W2106))</f>
        <v>1.8980093162393157</v>
      </c>
      <c r="Y2106" s="12">
        <f>V2106-X2106</f>
        <v>11.164760683760685</v>
      </c>
      <c r="Z2106" s="14">
        <v>35</v>
      </c>
      <c r="AA2106" s="2" t="str">
        <f>IF(V2106&gt;Z2106,"Yes","No")</f>
        <v>No</v>
      </c>
      <c r="AB2106" s="12">
        <f>V2106-Z2106</f>
        <v>-21.93723</v>
      </c>
      <c r="AC2106" s="15" t="s">
        <v>130</v>
      </c>
      <c r="AD2106" s="15" t="s">
        <v>130</v>
      </c>
      <c r="AE2106" s="15" t="s">
        <v>421</v>
      </c>
      <c r="AF2106" s="12">
        <f>IF(AG2106="Rejected",0,IF(R2106="Corporate Card",0,V2106))</f>
        <v>13.06277</v>
      </c>
      <c r="AG2106" s="15" t="s">
        <v>133</v>
      </c>
      <c r="AH2106" s="16">
        <v>45910</v>
      </c>
      <c r="AI2106" s="16">
        <v>45918</v>
      </c>
      <c r="AJ2106" s="16">
        <v>45931</v>
      </c>
      <c r="AK2106" s="17">
        <f>IF(AJ2106="","",AJ2106-AH2106)</f>
        <v>21</v>
      </c>
    </row>
    <row r="2107" spans="1:37">
      <c r="A2107" s="2" t="s">
        <v>2580</v>
      </c>
      <c r="B2107" s="2" t="s">
        <v>882</v>
      </c>
      <c r="C2107" s="2" t="s">
        <v>446</v>
      </c>
      <c r="D2107" s="2" t="s">
        <v>444</v>
      </c>
      <c r="E2107" s="2" t="s">
        <v>883</v>
      </c>
      <c r="F2107" s="2" t="s">
        <v>313</v>
      </c>
      <c r="G2107" s="2" t="s">
        <v>2560</v>
      </c>
      <c r="H2107" s="2" t="s">
        <v>803</v>
      </c>
      <c r="I2107" s="2" t="s">
        <v>175</v>
      </c>
      <c r="J2107" s="2" t="s">
        <v>176</v>
      </c>
      <c r="K2107" s="9">
        <v>45907</v>
      </c>
      <c r="L2107" s="9">
        <v>45909</v>
      </c>
      <c r="M2107" s="9">
        <v>45908</v>
      </c>
      <c r="N2107" s="2" t="s">
        <v>2549</v>
      </c>
      <c r="O2107" s="2" t="s">
        <v>69</v>
      </c>
      <c r="P2107" s="2" t="s">
        <v>409</v>
      </c>
      <c r="Q2107" s="2" t="s">
        <v>1191</v>
      </c>
      <c r="R2107" s="2" t="s">
        <v>128</v>
      </c>
      <c r="S2107" s="2" t="s">
        <v>179</v>
      </c>
      <c r="T2107" s="10">
        <v>220.61</v>
      </c>
      <c r="U2107" s="11">
        <v>0.18099999999999999</v>
      </c>
      <c r="V2107" s="12">
        <f>T2107*U2107</f>
        <v>39.930410000000002</v>
      </c>
      <c r="W2107" s="13">
        <v>0.17</v>
      </c>
      <c r="X2107" s="12">
        <f>V2107-(V2107/(1+W2107))</f>
        <v>5.8018544444444444</v>
      </c>
      <c r="Y2107" s="12">
        <f>V2107-X2107</f>
        <v>34.128555555555558</v>
      </c>
      <c r="Z2107" s="14">
        <v>60</v>
      </c>
      <c r="AA2107" s="2" t="str">
        <f>IF(V2107&gt;Z2107,"Yes","No")</f>
        <v>No</v>
      </c>
      <c r="AB2107" s="12">
        <f>V2107-Z2107</f>
        <v>-20.069589999999998</v>
      </c>
      <c r="AC2107" s="15" t="s">
        <v>130</v>
      </c>
      <c r="AD2107" s="15" t="s">
        <v>130</v>
      </c>
      <c r="AE2107" s="15" t="s">
        <v>421</v>
      </c>
      <c r="AF2107" s="12">
        <f>IF(AG2107="Rejected",0,IF(R2107="Corporate Card",0,V2107))</f>
        <v>0</v>
      </c>
      <c r="AG2107" s="15" t="s">
        <v>133</v>
      </c>
      <c r="AH2107" s="16">
        <v>45910</v>
      </c>
      <c r="AI2107" s="16">
        <v>45918</v>
      </c>
      <c r="AJ2107" s="16">
        <v>45931</v>
      </c>
      <c r="AK2107" s="17">
        <f>IF(AJ2107="","",AJ2107-AH2107)</f>
        <v>21</v>
      </c>
    </row>
    <row r="2108" spans="1:37">
      <c r="A2108" s="2" t="s">
        <v>2581</v>
      </c>
      <c r="B2108" s="2" t="s">
        <v>189</v>
      </c>
      <c r="C2108" s="2" t="s">
        <v>190</v>
      </c>
      <c r="D2108" s="2" t="s">
        <v>171</v>
      </c>
      <c r="E2108" s="2" t="s">
        <v>191</v>
      </c>
      <c r="F2108" s="2" t="s">
        <v>173</v>
      </c>
      <c r="G2108" s="2" t="s">
        <v>2554</v>
      </c>
      <c r="H2108" s="2" t="s">
        <v>254</v>
      </c>
      <c r="I2108" s="2" t="s">
        <v>418</v>
      </c>
      <c r="J2108" s="2" t="s">
        <v>381</v>
      </c>
      <c r="K2108" s="9">
        <v>45906</v>
      </c>
      <c r="L2108" s="9">
        <v>45910</v>
      </c>
      <c r="M2108" s="9">
        <v>45908</v>
      </c>
      <c r="N2108" s="2" t="s">
        <v>2549</v>
      </c>
      <c r="O2108" s="2" t="s">
        <v>54</v>
      </c>
      <c r="P2108" s="2" t="s">
        <v>139</v>
      </c>
      <c r="Q2108" s="2" t="s">
        <v>163</v>
      </c>
      <c r="R2108" s="2" t="s">
        <v>128</v>
      </c>
      <c r="S2108" s="2" t="s">
        <v>383</v>
      </c>
      <c r="T2108" s="10">
        <v>18.66</v>
      </c>
      <c r="U2108" s="11">
        <v>1</v>
      </c>
      <c r="V2108" s="12">
        <f>T2108*U2108</f>
        <v>18.66</v>
      </c>
      <c r="W2108" s="13">
        <v>0</v>
      </c>
      <c r="X2108" s="12">
        <f>V2108-(V2108/(1+W2108))</f>
        <v>0</v>
      </c>
      <c r="Y2108" s="12">
        <f>V2108-X2108</f>
        <v>18.66</v>
      </c>
      <c r="Z2108" s="14">
        <v>25</v>
      </c>
      <c r="AA2108" s="2" t="str">
        <f>IF(V2108&gt;Z2108,"Yes","No")</f>
        <v>No</v>
      </c>
      <c r="AB2108" s="12">
        <f>V2108-Z2108</f>
        <v>-6.34</v>
      </c>
      <c r="AC2108" s="15" t="s">
        <v>130</v>
      </c>
      <c r="AD2108" s="15" t="s">
        <v>130</v>
      </c>
      <c r="AE2108" s="15" t="s">
        <v>350</v>
      </c>
      <c r="AF2108" s="12">
        <f>IF(AG2108="Rejected",0,IF(R2108="Corporate Card",0,V2108))</f>
        <v>0</v>
      </c>
      <c r="AG2108" s="15" t="s">
        <v>133</v>
      </c>
      <c r="AH2108" s="16">
        <v>45922</v>
      </c>
      <c r="AI2108" s="16">
        <v>45923</v>
      </c>
      <c r="AJ2108" s="16">
        <v>45927</v>
      </c>
      <c r="AK2108" s="17">
        <f>IF(AJ2108="","",AJ2108-AH2108)</f>
        <v>5</v>
      </c>
    </row>
    <row r="2109" spans="1:37">
      <c r="A2109" s="2" t="s">
        <v>2582</v>
      </c>
      <c r="B2109" s="2" t="s">
        <v>189</v>
      </c>
      <c r="C2109" s="2" t="s">
        <v>190</v>
      </c>
      <c r="D2109" s="2" t="s">
        <v>171</v>
      </c>
      <c r="E2109" s="2" t="s">
        <v>191</v>
      </c>
      <c r="F2109" s="2" t="s">
        <v>173</v>
      </c>
      <c r="G2109" s="2" t="s">
        <v>2554</v>
      </c>
      <c r="H2109" s="2" t="s">
        <v>254</v>
      </c>
      <c r="I2109" s="2" t="s">
        <v>418</v>
      </c>
      <c r="J2109" s="2" t="s">
        <v>381</v>
      </c>
      <c r="K2109" s="9">
        <v>45906</v>
      </c>
      <c r="L2109" s="9">
        <v>45910</v>
      </c>
      <c r="M2109" s="9">
        <v>45908</v>
      </c>
      <c r="N2109" s="2" t="s">
        <v>2549</v>
      </c>
      <c r="O2109" s="2" t="s">
        <v>56</v>
      </c>
      <c r="P2109" s="2" t="s">
        <v>231</v>
      </c>
      <c r="Q2109" s="2" t="s">
        <v>227</v>
      </c>
      <c r="R2109" s="2" t="s">
        <v>128</v>
      </c>
      <c r="S2109" s="2" t="s">
        <v>383</v>
      </c>
      <c r="T2109" s="10">
        <v>70.97</v>
      </c>
      <c r="U2109" s="11">
        <v>1</v>
      </c>
      <c r="V2109" s="12">
        <f>T2109*U2109</f>
        <v>70.97</v>
      </c>
      <c r="W2109" s="13">
        <v>0</v>
      </c>
      <c r="X2109" s="12">
        <f>V2109-(V2109/(1+W2109))</f>
        <v>0</v>
      </c>
      <c r="Y2109" s="12">
        <f>V2109-X2109</f>
        <v>70.97</v>
      </c>
      <c r="Z2109" s="14">
        <v>75</v>
      </c>
      <c r="AA2109" s="2" t="str">
        <f>IF(V2109&gt;Z2109,"Yes","No")</f>
        <v>No</v>
      </c>
      <c r="AB2109" s="12">
        <f>V2109-Z2109</f>
        <v>-4.0300000000000011</v>
      </c>
      <c r="AC2109" s="15" t="s">
        <v>130</v>
      </c>
      <c r="AD2109" s="15" t="s">
        <v>130</v>
      </c>
      <c r="AE2109" s="15" t="s">
        <v>350</v>
      </c>
      <c r="AF2109" s="12">
        <f>IF(AG2109="Rejected",0,IF(R2109="Corporate Card",0,V2109))</f>
        <v>0</v>
      </c>
      <c r="AG2109" s="15" t="s">
        <v>133</v>
      </c>
      <c r="AH2109" s="16">
        <v>45922</v>
      </c>
      <c r="AI2109" s="16">
        <v>45923</v>
      </c>
      <c r="AJ2109" s="16">
        <v>45927</v>
      </c>
      <c r="AK2109" s="17">
        <f>IF(AJ2109="","",AJ2109-AH2109)</f>
        <v>5</v>
      </c>
    </row>
    <row r="2110" spans="1:37">
      <c r="A2110" s="2" t="s">
        <v>2583</v>
      </c>
      <c r="B2110" s="2" t="s">
        <v>189</v>
      </c>
      <c r="C2110" s="2" t="s">
        <v>190</v>
      </c>
      <c r="D2110" s="2" t="s">
        <v>171</v>
      </c>
      <c r="E2110" s="2" t="s">
        <v>191</v>
      </c>
      <c r="F2110" s="2" t="s">
        <v>173</v>
      </c>
      <c r="G2110" s="2" t="s">
        <v>2554</v>
      </c>
      <c r="H2110" s="2" t="s">
        <v>254</v>
      </c>
      <c r="I2110" s="2" t="s">
        <v>418</v>
      </c>
      <c r="J2110" s="2" t="s">
        <v>381</v>
      </c>
      <c r="K2110" s="9">
        <v>45906</v>
      </c>
      <c r="L2110" s="9">
        <v>45910</v>
      </c>
      <c r="M2110" s="9">
        <v>45908</v>
      </c>
      <c r="N2110" s="2" t="s">
        <v>2549</v>
      </c>
      <c r="O2110" s="2" t="s">
        <v>55</v>
      </c>
      <c r="P2110" s="2" t="s">
        <v>139</v>
      </c>
      <c r="Q2110" s="2" t="s">
        <v>154</v>
      </c>
      <c r="R2110" s="2" t="s">
        <v>128</v>
      </c>
      <c r="S2110" s="2" t="s">
        <v>383</v>
      </c>
      <c r="T2110" s="10">
        <v>26.23</v>
      </c>
      <c r="U2110" s="11">
        <v>1</v>
      </c>
      <c r="V2110" s="12">
        <f>T2110*U2110</f>
        <v>26.23</v>
      </c>
      <c r="W2110" s="13">
        <v>0</v>
      </c>
      <c r="X2110" s="12">
        <f>V2110-(V2110/(1+W2110))</f>
        <v>0</v>
      </c>
      <c r="Y2110" s="12">
        <f>V2110-X2110</f>
        <v>26.23</v>
      </c>
      <c r="Z2110" s="14">
        <v>35</v>
      </c>
      <c r="AA2110" s="2" t="str">
        <f>IF(V2110&gt;Z2110,"Yes","No")</f>
        <v>No</v>
      </c>
      <c r="AB2110" s="12">
        <f>V2110-Z2110</f>
        <v>-8.77</v>
      </c>
      <c r="AC2110" s="15" t="s">
        <v>130</v>
      </c>
      <c r="AD2110" s="15" t="s">
        <v>130</v>
      </c>
      <c r="AE2110" s="15" t="s">
        <v>350</v>
      </c>
      <c r="AF2110" s="12">
        <f>IF(AG2110="Rejected",0,IF(R2110="Corporate Card",0,V2110))</f>
        <v>0</v>
      </c>
      <c r="AG2110" s="15" t="s">
        <v>133</v>
      </c>
      <c r="AH2110" s="16">
        <v>45922</v>
      </c>
      <c r="AI2110" s="16">
        <v>45923</v>
      </c>
      <c r="AJ2110" s="16">
        <v>45927</v>
      </c>
      <c r="AK2110" s="17">
        <f>IF(AJ2110="","",AJ2110-AH2110)</f>
        <v>5</v>
      </c>
    </row>
    <row r="2111" spans="1:37">
      <c r="A2111" s="2" t="s">
        <v>2584</v>
      </c>
      <c r="B2111" s="2" t="s">
        <v>743</v>
      </c>
      <c r="C2111" s="2" t="s">
        <v>313</v>
      </c>
      <c r="D2111" s="2" t="s">
        <v>744</v>
      </c>
      <c r="E2111" s="2" t="s">
        <v>745</v>
      </c>
      <c r="F2111" s="2" t="s">
        <v>746</v>
      </c>
      <c r="G2111" s="2" t="s">
        <v>2569</v>
      </c>
      <c r="H2111" s="2" t="s">
        <v>122</v>
      </c>
      <c r="I2111" s="2" t="s">
        <v>619</v>
      </c>
      <c r="J2111" s="2" t="s">
        <v>381</v>
      </c>
      <c r="K2111" s="9">
        <v>45908</v>
      </c>
      <c r="L2111" s="9">
        <v>45914</v>
      </c>
      <c r="M2111" s="9">
        <v>45909</v>
      </c>
      <c r="N2111" s="2" t="s">
        <v>2549</v>
      </c>
      <c r="O2111" s="2" t="s">
        <v>53</v>
      </c>
      <c r="P2111" s="2" t="s">
        <v>467</v>
      </c>
      <c r="Q2111" s="2" t="s">
        <v>468</v>
      </c>
      <c r="R2111" s="2" t="s">
        <v>128</v>
      </c>
      <c r="S2111" s="2" t="s">
        <v>383</v>
      </c>
      <c r="T2111" s="10">
        <v>1350.63</v>
      </c>
      <c r="U2111" s="11">
        <v>1</v>
      </c>
      <c r="V2111" s="12">
        <f>T2111*U2111</f>
        <v>1350.63</v>
      </c>
      <c r="W2111" s="13">
        <v>0</v>
      </c>
      <c r="X2111" s="12">
        <f>V2111-(V2111/(1+W2111))</f>
        <v>0</v>
      </c>
      <c r="Y2111" s="12">
        <f>V2111-X2111</f>
        <v>1350.63</v>
      </c>
      <c r="Z2111" s="14">
        <v>1680</v>
      </c>
      <c r="AA2111" s="2" t="str">
        <f>IF(V2111&gt;Z2111,"Yes","No")</f>
        <v>No</v>
      </c>
      <c r="AB2111" s="12">
        <f>V2111-Z2111</f>
        <v>-329.36999999999989</v>
      </c>
      <c r="AC2111" s="15" t="s">
        <v>130</v>
      </c>
      <c r="AD2111" s="15" t="s">
        <v>130</v>
      </c>
      <c r="AE2111" s="15" t="s">
        <v>260</v>
      </c>
      <c r="AF2111" s="12">
        <f>IF(AG2111="Rejected",0,IF(R2111="Corporate Card",0,V2111))</f>
        <v>0</v>
      </c>
      <c r="AG2111" s="15" t="s">
        <v>181</v>
      </c>
      <c r="AH2111" s="16">
        <v>45916</v>
      </c>
      <c r="AI2111" s="16"/>
      <c r="AJ2111" s="16"/>
      <c r="AK2111" s="17" t="str">
        <f>IF(AJ2111="","",AJ2111-AH2111)</f>
        <v/>
      </c>
    </row>
    <row r="2112" spans="1:37">
      <c r="A2112" s="2" t="s">
        <v>2585</v>
      </c>
      <c r="B2112" s="2" t="s">
        <v>743</v>
      </c>
      <c r="C2112" s="2" t="s">
        <v>313</v>
      </c>
      <c r="D2112" s="2" t="s">
        <v>744</v>
      </c>
      <c r="E2112" s="2" t="s">
        <v>745</v>
      </c>
      <c r="F2112" s="2" t="s">
        <v>746</v>
      </c>
      <c r="G2112" s="2" t="s">
        <v>2569</v>
      </c>
      <c r="H2112" s="2" t="s">
        <v>122</v>
      </c>
      <c r="I2112" s="2" t="s">
        <v>619</v>
      </c>
      <c r="J2112" s="2" t="s">
        <v>381</v>
      </c>
      <c r="K2112" s="9">
        <v>45908</v>
      </c>
      <c r="L2112" s="9">
        <v>45914</v>
      </c>
      <c r="M2112" s="9">
        <v>45909</v>
      </c>
      <c r="N2112" s="2" t="s">
        <v>2549</v>
      </c>
      <c r="O2112" s="2" t="s">
        <v>54</v>
      </c>
      <c r="P2112" s="2" t="s">
        <v>139</v>
      </c>
      <c r="Q2112" s="2" t="s">
        <v>148</v>
      </c>
      <c r="R2112" s="2" t="s">
        <v>128</v>
      </c>
      <c r="S2112" s="2" t="s">
        <v>383</v>
      </c>
      <c r="T2112" s="10">
        <v>21.69</v>
      </c>
      <c r="U2112" s="11">
        <v>1</v>
      </c>
      <c r="V2112" s="12">
        <f>T2112*U2112</f>
        <v>21.69</v>
      </c>
      <c r="W2112" s="13">
        <v>0</v>
      </c>
      <c r="X2112" s="12">
        <f>V2112-(V2112/(1+W2112))</f>
        <v>0</v>
      </c>
      <c r="Y2112" s="12">
        <f>V2112-X2112</f>
        <v>21.69</v>
      </c>
      <c r="Z2112" s="14">
        <v>25</v>
      </c>
      <c r="AA2112" s="2" t="str">
        <f>IF(V2112&gt;Z2112,"Yes","No")</f>
        <v>No</v>
      </c>
      <c r="AB2112" s="12">
        <f>V2112-Z2112</f>
        <v>-3.3099999999999987</v>
      </c>
      <c r="AC2112" s="15" t="s">
        <v>130</v>
      </c>
      <c r="AD2112" s="15" t="s">
        <v>130</v>
      </c>
      <c r="AE2112" s="15" t="s">
        <v>260</v>
      </c>
      <c r="AF2112" s="12">
        <f>IF(AG2112="Rejected",0,IF(R2112="Corporate Card",0,V2112))</f>
        <v>0</v>
      </c>
      <c r="AG2112" s="15" t="s">
        <v>181</v>
      </c>
      <c r="AH2112" s="16">
        <v>45916</v>
      </c>
      <c r="AI2112" s="16"/>
      <c r="AJ2112" s="16"/>
      <c r="AK2112" s="17" t="str">
        <f>IF(AJ2112="","",AJ2112-AH2112)</f>
        <v/>
      </c>
    </row>
    <row r="2113" spans="1:37">
      <c r="A2113" s="2" t="s">
        <v>2586</v>
      </c>
      <c r="B2113" s="2" t="s">
        <v>743</v>
      </c>
      <c r="C2113" s="2" t="s">
        <v>313</v>
      </c>
      <c r="D2113" s="2" t="s">
        <v>744</v>
      </c>
      <c r="E2113" s="2" t="s">
        <v>745</v>
      </c>
      <c r="F2113" s="2" t="s">
        <v>746</v>
      </c>
      <c r="G2113" s="2" t="s">
        <v>2569</v>
      </c>
      <c r="H2113" s="2" t="s">
        <v>122</v>
      </c>
      <c r="I2113" s="2" t="s">
        <v>619</v>
      </c>
      <c r="J2113" s="2" t="s">
        <v>381</v>
      </c>
      <c r="K2113" s="9">
        <v>45908</v>
      </c>
      <c r="L2113" s="9">
        <v>45914</v>
      </c>
      <c r="M2113" s="9">
        <v>45909</v>
      </c>
      <c r="N2113" s="2" t="s">
        <v>2549</v>
      </c>
      <c r="O2113" s="2" t="s">
        <v>56</v>
      </c>
      <c r="P2113" s="2" t="s">
        <v>165</v>
      </c>
      <c r="Q2113" s="2" t="s">
        <v>185</v>
      </c>
      <c r="R2113" s="2" t="s">
        <v>128</v>
      </c>
      <c r="S2113" s="2" t="s">
        <v>383</v>
      </c>
      <c r="T2113" s="10">
        <v>64.540000000000006</v>
      </c>
      <c r="U2113" s="11">
        <v>1</v>
      </c>
      <c r="V2113" s="12">
        <f>T2113*U2113</f>
        <v>64.540000000000006</v>
      </c>
      <c r="W2113" s="13">
        <v>0</v>
      </c>
      <c r="X2113" s="12">
        <f>V2113-(V2113/(1+W2113))</f>
        <v>0</v>
      </c>
      <c r="Y2113" s="12">
        <f>V2113-X2113</f>
        <v>64.540000000000006</v>
      </c>
      <c r="Z2113" s="14">
        <v>75</v>
      </c>
      <c r="AA2113" s="2" t="str">
        <f>IF(V2113&gt;Z2113,"Yes","No")</f>
        <v>No</v>
      </c>
      <c r="AB2113" s="12">
        <f>V2113-Z2113</f>
        <v>-10.459999999999994</v>
      </c>
      <c r="AC2113" s="15" t="s">
        <v>130</v>
      </c>
      <c r="AD2113" s="15" t="s">
        <v>130</v>
      </c>
      <c r="AE2113" s="15" t="s">
        <v>260</v>
      </c>
      <c r="AF2113" s="12">
        <f>IF(AG2113="Rejected",0,IF(R2113="Corporate Card",0,V2113))</f>
        <v>0</v>
      </c>
      <c r="AG2113" s="15" t="s">
        <v>181</v>
      </c>
      <c r="AH2113" s="16">
        <v>45916</v>
      </c>
      <c r="AI2113" s="16"/>
      <c r="AJ2113" s="16"/>
      <c r="AK2113" s="17" t="str">
        <f>IF(AJ2113="","",AJ2113-AH2113)</f>
        <v/>
      </c>
    </row>
    <row r="2114" spans="1:37">
      <c r="A2114" s="2" t="s">
        <v>2587</v>
      </c>
      <c r="B2114" s="2" t="s">
        <v>743</v>
      </c>
      <c r="C2114" s="2" t="s">
        <v>313</v>
      </c>
      <c r="D2114" s="2" t="s">
        <v>744</v>
      </c>
      <c r="E2114" s="2" t="s">
        <v>745</v>
      </c>
      <c r="F2114" s="2" t="s">
        <v>746</v>
      </c>
      <c r="G2114" s="2" t="s">
        <v>2569</v>
      </c>
      <c r="H2114" s="2" t="s">
        <v>122</v>
      </c>
      <c r="I2114" s="2" t="s">
        <v>619</v>
      </c>
      <c r="J2114" s="2" t="s">
        <v>381</v>
      </c>
      <c r="K2114" s="9">
        <v>45908</v>
      </c>
      <c r="L2114" s="9">
        <v>45914</v>
      </c>
      <c r="M2114" s="9">
        <v>45909</v>
      </c>
      <c r="N2114" s="2" t="s">
        <v>2549</v>
      </c>
      <c r="O2114" s="2" t="s">
        <v>55</v>
      </c>
      <c r="P2114" s="2" t="s">
        <v>139</v>
      </c>
      <c r="Q2114" s="2" t="s">
        <v>154</v>
      </c>
      <c r="R2114" s="2" t="s">
        <v>128</v>
      </c>
      <c r="S2114" s="2" t="s">
        <v>383</v>
      </c>
      <c r="T2114" s="10">
        <v>30.48</v>
      </c>
      <c r="U2114" s="11">
        <v>1</v>
      </c>
      <c r="V2114" s="12">
        <f>T2114*U2114</f>
        <v>30.48</v>
      </c>
      <c r="W2114" s="13">
        <v>0</v>
      </c>
      <c r="X2114" s="12">
        <f>V2114-(V2114/(1+W2114))</f>
        <v>0</v>
      </c>
      <c r="Y2114" s="12">
        <f>V2114-X2114</f>
        <v>30.48</v>
      </c>
      <c r="Z2114" s="14">
        <v>35</v>
      </c>
      <c r="AA2114" s="2" t="str">
        <f>IF(V2114&gt;Z2114,"Yes","No")</f>
        <v>No</v>
      </c>
      <c r="AB2114" s="12">
        <f>V2114-Z2114</f>
        <v>-4.5199999999999996</v>
      </c>
      <c r="AC2114" s="15" t="s">
        <v>130</v>
      </c>
      <c r="AD2114" s="15" t="s">
        <v>130</v>
      </c>
      <c r="AE2114" s="15" t="s">
        <v>260</v>
      </c>
      <c r="AF2114" s="12">
        <f>IF(AG2114="Rejected",0,IF(R2114="Corporate Card",0,V2114))</f>
        <v>0</v>
      </c>
      <c r="AG2114" s="15" t="s">
        <v>181</v>
      </c>
      <c r="AH2114" s="16">
        <v>45916</v>
      </c>
      <c r="AI2114" s="16"/>
      <c r="AJ2114" s="16"/>
      <c r="AK2114" s="17" t="str">
        <f>IF(AJ2114="","",AJ2114-AH2114)</f>
        <v/>
      </c>
    </row>
    <row r="2115" spans="1:37">
      <c r="A2115" s="2" t="s">
        <v>2588</v>
      </c>
      <c r="B2115" s="2" t="s">
        <v>882</v>
      </c>
      <c r="C2115" s="2" t="s">
        <v>446</v>
      </c>
      <c r="D2115" s="2" t="s">
        <v>444</v>
      </c>
      <c r="E2115" s="2" t="s">
        <v>883</v>
      </c>
      <c r="F2115" s="2" t="s">
        <v>313</v>
      </c>
      <c r="G2115" s="2" t="s">
        <v>2560</v>
      </c>
      <c r="H2115" s="2" t="s">
        <v>803</v>
      </c>
      <c r="I2115" s="2" t="s">
        <v>175</v>
      </c>
      <c r="J2115" s="2" t="s">
        <v>176</v>
      </c>
      <c r="K2115" s="9">
        <v>45907</v>
      </c>
      <c r="L2115" s="9">
        <v>45909</v>
      </c>
      <c r="M2115" s="9">
        <v>45909</v>
      </c>
      <c r="N2115" s="2" t="s">
        <v>2549</v>
      </c>
      <c r="O2115" s="2" t="s">
        <v>61</v>
      </c>
      <c r="P2115" s="2" t="s">
        <v>528</v>
      </c>
      <c r="Q2115" s="2" t="s">
        <v>529</v>
      </c>
      <c r="R2115" s="2" t="s">
        <v>128</v>
      </c>
      <c r="S2115" s="2" t="s">
        <v>179</v>
      </c>
      <c r="T2115" s="10">
        <v>433.13</v>
      </c>
      <c r="U2115" s="11">
        <v>0.18099999999999999</v>
      </c>
      <c r="V2115" s="12">
        <f>T2115*U2115</f>
        <v>78.396529999999998</v>
      </c>
      <c r="W2115" s="13">
        <v>0</v>
      </c>
      <c r="X2115" s="12">
        <f>V2115-(V2115/(1+W2115))</f>
        <v>0</v>
      </c>
      <c r="Y2115" s="12">
        <f>V2115-X2115</f>
        <v>78.396529999999998</v>
      </c>
      <c r="Z2115" s="14">
        <v>90</v>
      </c>
      <c r="AA2115" s="2" t="str">
        <f>IF(V2115&gt;Z2115,"Yes","No")</f>
        <v>No</v>
      </c>
      <c r="AB2115" s="12">
        <f>V2115-Z2115</f>
        <v>-11.603470000000002</v>
      </c>
      <c r="AC2115" s="15" t="s">
        <v>130</v>
      </c>
      <c r="AD2115" s="15" t="s">
        <v>130</v>
      </c>
      <c r="AE2115" s="15" t="s">
        <v>421</v>
      </c>
      <c r="AF2115" s="12">
        <f>IF(AG2115="Rejected",0,IF(R2115="Corporate Card",0,V2115))</f>
        <v>0</v>
      </c>
      <c r="AG2115" s="15" t="s">
        <v>133</v>
      </c>
      <c r="AH2115" s="16">
        <v>45910</v>
      </c>
      <c r="AI2115" s="16">
        <v>45918</v>
      </c>
      <c r="AJ2115" s="16">
        <v>45931</v>
      </c>
      <c r="AK2115" s="17">
        <f>IF(AJ2115="","",AJ2115-AH2115)</f>
        <v>21</v>
      </c>
    </row>
    <row r="2116" spans="1:37">
      <c r="A2116" s="2" t="s">
        <v>2589</v>
      </c>
      <c r="B2116" s="2" t="s">
        <v>882</v>
      </c>
      <c r="C2116" s="2" t="s">
        <v>446</v>
      </c>
      <c r="D2116" s="2" t="s">
        <v>444</v>
      </c>
      <c r="E2116" s="2" t="s">
        <v>883</v>
      </c>
      <c r="F2116" s="2" t="s">
        <v>313</v>
      </c>
      <c r="G2116" s="2" t="s">
        <v>2560</v>
      </c>
      <c r="H2116" s="2" t="s">
        <v>803</v>
      </c>
      <c r="I2116" s="2" t="s">
        <v>175</v>
      </c>
      <c r="J2116" s="2" t="s">
        <v>176</v>
      </c>
      <c r="K2116" s="9">
        <v>45907</v>
      </c>
      <c r="L2116" s="9">
        <v>45909</v>
      </c>
      <c r="M2116" s="9">
        <v>45909</v>
      </c>
      <c r="N2116" s="2" t="s">
        <v>2549</v>
      </c>
      <c r="O2116" s="2" t="s">
        <v>56</v>
      </c>
      <c r="P2116" s="2" t="s">
        <v>231</v>
      </c>
      <c r="Q2116" s="2" t="s">
        <v>152</v>
      </c>
      <c r="R2116" s="2" t="s">
        <v>128</v>
      </c>
      <c r="S2116" s="2" t="s">
        <v>179</v>
      </c>
      <c r="T2116" s="10">
        <v>229.5</v>
      </c>
      <c r="U2116" s="11">
        <v>0.18099999999999999</v>
      </c>
      <c r="V2116" s="12">
        <f>T2116*U2116</f>
        <v>41.539499999999997</v>
      </c>
      <c r="W2116" s="13">
        <v>0.17</v>
      </c>
      <c r="X2116" s="12">
        <f>V2116-(V2116/(1+W2116))</f>
        <v>6.035653846153842</v>
      </c>
      <c r="Y2116" s="12">
        <f>V2116-X2116</f>
        <v>35.503846153846155</v>
      </c>
      <c r="Z2116" s="14">
        <v>75</v>
      </c>
      <c r="AA2116" s="2" t="str">
        <f>IF(V2116&gt;Z2116,"Yes","No")</f>
        <v>No</v>
      </c>
      <c r="AB2116" s="12">
        <f>V2116-Z2116</f>
        <v>-33.460500000000003</v>
      </c>
      <c r="AC2116" s="15" t="s">
        <v>130</v>
      </c>
      <c r="AD2116" s="15" t="s">
        <v>130</v>
      </c>
      <c r="AE2116" s="15" t="s">
        <v>421</v>
      </c>
      <c r="AF2116" s="12">
        <f>IF(AG2116="Rejected",0,IF(R2116="Corporate Card",0,V2116))</f>
        <v>0</v>
      </c>
      <c r="AG2116" s="15" t="s">
        <v>133</v>
      </c>
      <c r="AH2116" s="16">
        <v>45910</v>
      </c>
      <c r="AI2116" s="16">
        <v>45918</v>
      </c>
      <c r="AJ2116" s="16">
        <v>45931</v>
      </c>
      <c r="AK2116" s="17">
        <f>IF(AJ2116="","",AJ2116-AH2116)</f>
        <v>21</v>
      </c>
    </row>
    <row r="2117" spans="1:37">
      <c r="A2117" s="2" t="s">
        <v>2590</v>
      </c>
      <c r="B2117" s="2" t="s">
        <v>189</v>
      </c>
      <c r="C2117" s="2" t="s">
        <v>190</v>
      </c>
      <c r="D2117" s="2" t="s">
        <v>171</v>
      </c>
      <c r="E2117" s="2" t="s">
        <v>191</v>
      </c>
      <c r="F2117" s="2" t="s">
        <v>173</v>
      </c>
      <c r="G2117" s="2" t="s">
        <v>2554</v>
      </c>
      <c r="H2117" s="2" t="s">
        <v>254</v>
      </c>
      <c r="I2117" s="2" t="s">
        <v>418</v>
      </c>
      <c r="J2117" s="2" t="s">
        <v>381</v>
      </c>
      <c r="K2117" s="9">
        <v>45906</v>
      </c>
      <c r="L2117" s="9">
        <v>45910</v>
      </c>
      <c r="M2117" s="9">
        <v>45909</v>
      </c>
      <c r="N2117" s="2" t="s">
        <v>2549</v>
      </c>
      <c r="O2117" s="2" t="s">
        <v>58</v>
      </c>
      <c r="P2117" s="2" t="s">
        <v>142</v>
      </c>
      <c r="Q2117" s="2" t="s">
        <v>143</v>
      </c>
      <c r="R2117" s="2" t="s">
        <v>137</v>
      </c>
      <c r="S2117" s="2" t="s">
        <v>383</v>
      </c>
      <c r="T2117" s="10">
        <v>56.05</v>
      </c>
      <c r="U2117" s="11">
        <v>1</v>
      </c>
      <c r="V2117" s="12">
        <f>T2117*U2117</f>
        <v>56.05</v>
      </c>
      <c r="W2117" s="13">
        <v>0</v>
      </c>
      <c r="X2117" s="12">
        <f>V2117-(V2117/(1+W2117))</f>
        <v>0</v>
      </c>
      <c r="Y2117" s="12">
        <f>V2117-X2117</f>
        <v>56.05</v>
      </c>
      <c r="Z2117" s="14">
        <v>60</v>
      </c>
      <c r="AA2117" s="2" t="str">
        <f>IF(V2117&gt;Z2117,"Yes","No")</f>
        <v>No</v>
      </c>
      <c r="AB2117" s="12">
        <f>V2117-Z2117</f>
        <v>-3.9500000000000028</v>
      </c>
      <c r="AC2117" s="15" t="s">
        <v>130</v>
      </c>
      <c r="AD2117" s="15" t="s">
        <v>130</v>
      </c>
      <c r="AE2117" s="15" t="s">
        <v>350</v>
      </c>
      <c r="AF2117" s="12">
        <f>IF(AG2117="Rejected",0,IF(R2117="Corporate Card",0,V2117))</f>
        <v>56.05</v>
      </c>
      <c r="AG2117" s="15" t="s">
        <v>133</v>
      </c>
      <c r="AH2117" s="16">
        <v>45922</v>
      </c>
      <c r="AI2117" s="16">
        <v>45923</v>
      </c>
      <c r="AJ2117" s="16">
        <v>45927</v>
      </c>
      <c r="AK2117" s="17">
        <f>IF(AJ2117="","",AJ2117-AH2117)</f>
        <v>5</v>
      </c>
    </row>
    <row r="2118" spans="1:37">
      <c r="A2118" s="2" t="s">
        <v>2591</v>
      </c>
      <c r="B2118" s="2" t="s">
        <v>189</v>
      </c>
      <c r="C2118" s="2" t="s">
        <v>190</v>
      </c>
      <c r="D2118" s="2" t="s">
        <v>171</v>
      </c>
      <c r="E2118" s="2" t="s">
        <v>191</v>
      </c>
      <c r="F2118" s="2" t="s">
        <v>173</v>
      </c>
      <c r="G2118" s="2" t="s">
        <v>2554</v>
      </c>
      <c r="H2118" s="2" t="s">
        <v>254</v>
      </c>
      <c r="I2118" s="2" t="s">
        <v>418</v>
      </c>
      <c r="J2118" s="2" t="s">
        <v>381</v>
      </c>
      <c r="K2118" s="9">
        <v>45906</v>
      </c>
      <c r="L2118" s="9">
        <v>45910</v>
      </c>
      <c r="M2118" s="9">
        <v>45909</v>
      </c>
      <c r="N2118" s="2" t="s">
        <v>2549</v>
      </c>
      <c r="O2118" s="2" t="s">
        <v>56</v>
      </c>
      <c r="P2118" s="2" t="s">
        <v>151</v>
      </c>
      <c r="Q2118" s="2" t="s">
        <v>166</v>
      </c>
      <c r="R2118" s="2" t="s">
        <v>149</v>
      </c>
      <c r="S2118" s="2" t="s">
        <v>383</v>
      </c>
      <c r="T2118" s="10">
        <v>56.6</v>
      </c>
      <c r="U2118" s="11">
        <v>1</v>
      </c>
      <c r="V2118" s="12">
        <f>T2118*U2118</f>
        <v>56.6</v>
      </c>
      <c r="W2118" s="13">
        <v>0</v>
      </c>
      <c r="X2118" s="12">
        <f>V2118-(V2118/(1+W2118))</f>
        <v>0</v>
      </c>
      <c r="Y2118" s="12">
        <f>V2118-X2118</f>
        <v>56.6</v>
      </c>
      <c r="Z2118" s="14">
        <v>75</v>
      </c>
      <c r="AA2118" s="2" t="str">
        <f>IF(V2118&gt;Z2118,"Yes","No")</f>
        <v>No</v>
      </c>
      <c r="AB2118" s="12">
        <f>V2118-Z2118</f>
        <v>-18.399999999999999</v>
      </c>
      <c r="AC2118" s="15" t="s">
        <v>130</v>
      </c>
      <c r="AD2118" s="15" t="s">
        <v>130</v>
      </c>
      <c r="AE2118" s="15" t="s">
        <v>350</v>
      </c>
      <c r="AF2118" s="12">
        <f>IF(AG2118="Rejected",0,IF(R2118="Corporate Card",0,V2118))</f>
        <v>56.6</v>
      </c>
      <c r="AG2118" s="15" t="s">
        <v>133</v>
      </c>
      <c r="AH2118" s="16">
        <v>45922</v>
      </c>
      <c r="AI2118" s="16">
        <v>45923</v>
      </c>
      <c r="AJ2118" s="16">
        <v>45927</v>
      </c>
      <c r="AK2118" s="17">
        <f>IF(AJ2118="","",AJ2118-AH2118)</f>
        <v>5</v>
      </c>
    </row>
    <row r="2119" spans="1:37">
      <c r="A2119" s="2" t="s">
        <v>2592</v>
      </c>
      <c r="B2119" s="2" t="s">
        <v>189</v>
      </c>
      <c r="C2119" s="2" t="s">
        <v>190</v>
      </c>
      <c r="D2119" s="2" t="s">
        <v>171</v>
      </c>
      <c r="E2119" s="2" t="s">
        <v>191</v>
      </c>
      <c r="F2119" s="2" t="s">
        <v>173</v>
      </c>
      <c r="G2119" s="2" t="s">
        <v>2554</v>
      </c>
      <c r="H2119" s="2" t="s">
        <v>254</v>
      </c>
      <c r="I2119" s="2" t="s">
        <v>418</v>
      </c>
      <c r="J2119" s="2" t="s">
        <v>381</v>
      </c>
      <c r="K2119" s="9">
        <v>45906</v>
      </c>
      <c r="L2119" s="9">
        <v>45910</v>
      </c>
      <c r="M2119" s="9">
        <v>45909</v>
      </c>
      <c r="N2119" s="2" t="s">
        <v>2549</v>
      </c>
      <c r="O2119" s="2" t="s">
        <v>55</v>
      </c>
      <c r="P2119" s="2" t="s">
        <v>139</v>
      </c>
      <c r="Q2119" s="2" t="s">
        <v>187</v>
      </c>
      <c r="R2119" s="2" t="s">
        <v>128</v>
      </c>
      <c r="S2119" s="2" t="s">
        <v>383</v>
      </c>
      <c r="T2119" s="10">
        <v>15.09</v>
      </c>
      <c r="U2119" s="11">
        <v>1</v>
      </c>
      <c r="V2119" s="12">
        <f>T2119*U2119</f>
        <v>15.09</v>
      </c>
      <c r="W2119" s="13">
        <v>0</v>
      </c>
      <c r="X2119" s="12">
        <f>V2119-(V2119/(1+W2119))</f>
        <v>0</v>
      </c>
      <c r="Y2119" s="12">
        <f>V2119-X2119</f>
        <v>15.09</v>
      </c>
      <c r="Z2119" s="14">
        <v>35</v>
      </c>
      <c r="AA2119" s="2" t="str">
        <f>IF(V2119&gt;Z2119,"Yes","No")</f>
        <v>No</v>
      </c>
      <c r="AB2119" s="12">
        <f>V2119-Z2119</f>
        <v>-19.91</v>
      </c>
      <c r="AC2119" s="15" t="s">
        <v>130</v>
      </c>
      <c r="AD2119" s="15" t="s">
        <v>130</v>
      </c>
      <c r="AE2119" s="15" t="s">
        <v>350</v>
      </c>
      <c r="AF2119" s="12">
        <f>IF(AG2119="Rejected",0,IF(R2119="Corporate Card",0,V2119))</f>
        <v>0</v>
      </c>
      <c r="AG2119" s="15" t="s">
        <v>133</v>
      </c>
      <c r="AH2119" s="16">
        <v>45922</v>
      </c>
      <c r="AI2119" s="16">
        <v>45923</v>
      </c>
      <c r="AJ2119" s="16">
        <v>45927</v>
      </c>
      <c r="AK2119" s="17">
        <f>IF(AJ2119="","",AJ2119-AH2119)</f>
        <v>5</v>
      </c>
    </row>
    <row r="2120" spans="1:37">
      <c r="A2120" s="2" t="s">
        <v>2593</v>
      </c>
      <c r="B2120" s="2" t="s">
        <v>743</v>
      </c>
      <c r="C2120" s="2" t="s">
        <v>313</v>
      </c>
      <c r="D2120" s="2" t="s">
        <v>744</v>
      </c>
      <c r="E2120" s="2" t="s">
        <v>745</v>
      </c>
      <c r="F2120" s="2" t="s">
        <v>746</v>
      </c>
      <c r="G2120" s="2" t="s">
        <v>2569</v>
      </c>
      <c r="H2120" s="2" t="s">
        <v>122</v>
      </c>
      <c r="I2120" s="2" t="s">
        <v>619</v>
      </c>
      <c r="J2120" s="2" t="s">
        <v>381</v>
      </c>
      <c r="K2120" s="9">
        <v>45908</v>
      </c>
      <c r="L2120" s="9">
        <v>45914</v>
      </c>
      <c r="M2120" s="9">
        <v>45910</v>
      </c>
      <c r="N2120" s="2" t="s">
        <v>2549</v>
      </c>
      <c r="O2120" s="2" t="s">
        <v>58</v>
      </c>
      <c r="P2120" s="2" t="s">
        <v>142</v>
      </c>
      <c r="Q2120" s="2" t="s">
        <v>143</v>
      </c>
      <c r="R2120" s="2" t="s">
        <v>137</v>
      </c>
      <c r="S2120" s="2" t="s">
        <v>383</v>
      </c>
      <c r="T2120" s="10">
        <v>69.849999999999994</v>
      </c>
      <c r="U2120" s="11">
        <v>1</v>
      </c>
      <c r="V2120" s="12">
        <f>T2120*U2120</f>
        <v>69.849999999999994</v>
      </c>
      <c r="W2120" s="13">
        <v>0</v>
      </c>
      <c r="X2120" s="12">
        <f>V2120-(V2120/(1+W2120))</f>
        <v>0</v>
      </c>
      <c r="Y2120" s="12">
        <f>V2120-X2120</f>
        <v>69.849999999999994</v>
      </c>
      <c r="Z2120" s="14">
        <v>60</v>
      </c>
      <c r="AA2120" s="2" t="str">
        <f>IF(V2120&gt;Z2120,"Yes","No")</f>
        <v>Yes</v>
      </c>
      <c r="AB2120" s="12">
        <f>V2120-Z2120</f>
        <v>9.8499999999999943</v>
      </c>
      <c r="AC2120" s="15" t="s">
        <v>130</v>
      </c>
      <c r="AD2120" s="15" t="s">
        <v>130</v>
      </c>
      <c r="AE2120" s="15" t="s">
        <v>260</v>
      </c>
      <c r="AF2120" s="12">
        <f>IF(AG2120="Rejected",0,IF(R2120="Corporate Card",0,V2120))</f>
        <v>69.849999999999994</v>
      </c>
      <c r="AG2120" s="15" t="s">
        <v>181</v>
      </c>
      <c r="AH2120" s="16">
        <v>45916</v>
      </c>
      <c r="AI2120" s="16"/>
      <c r="AJ2120" s="16"/>
      <c r="AK2120" s="17" t="str">
        <f>IF(AJ2120="","",AJ2120-AH2120)</f>
        <v/>
      </c>
    </row>
    <row r="2121" spans="1:37">
      <c r="A2121" s="2" t="s">
        <v>2594</v>
      </c>
      <c r="B2121" s="2" t="s">
        <v>743</v>
      </c>
      <c r="C2121" s="2" t="s">
        <v>313</v>
      </c>
      <c r="D2121" s="2" t="s">
        <v>744</v>
      </c>
      <c r="E2121" s="2" t="s">
        <v>745</v>
      </c>
      <c r="F2121" s="2" t="s">
        <v>746</v>
      </c>
      <c r="G2121" s="2" t="s">
        <v>2569</v>
      </c>
      <c r="H2121" s="2" t="s">
        <v>122</v>
      </c>
      <c r="I2121" s="2" t="s">
        <v>619</v>
      </c>
      <c r="J2121" s="2" t="s">
        <v>381</v>
      </c>
      <c r="K2121" s="9">
        <v>45908</v>
      </c>
      <c r="L2121" s="9">
        <v>45914</v>
      </c>
      <c r="M2121" s="9">
        <v>45910</v>
      </c>
      <c r="N2121" s="2" t="s">
        <v>2549</v>
      </c>
      <c r="O2121" s="2" t="s">
        <v>54</v>
      </c>
      <c r="P2121" s="2" t="s">
        <v>139</v>
      </c>
      <c r="Q2121" s="2" t="s">
        <v>140</v>
      </c>
      <c r="R2121" s="2" t="s">
        <v>137</v>
      </c>
      <c r="S2121" s="2" t="s">
        <v>383</v>
      </c>
      <c r="T2121" s="10">
        <v>16.91</v>
      </c>
      <c r="U2121" s="11">
        <v>1</v>
      </c>
      <c r="V2121" s="12">
        <f>T2121*U2121</f>
        <v>16.91</v>
      </c>
      <c r="W2121" s="13">
        <v>0</v>
      </c>
      <c r="X2121" s="12">
        <f>V2121-(V2121/(1+W2121))</f>
        <v>0</v>
      </c>
      <c r="Y2121" s="12">
        <f>V2121-X2121</f>
        <v>16.91</v>
      </c>
      <c r="Z2121" s="14">
        <v>25</v>
      </c>
      <c r="AA2121" s="2" t="str">
        <f>IF(V2121&gt;Z2121,"Yes","No")</f>
        <v>No</v>
      </c>
      <c r="AB2121" s="12">
        <f>V2121-Z2121</f>
        <v>-8.09</v>
      </c>
      <c r="AC2121" s="15" t="s">
        <v>131</v>
      </c>
      <c r="AD2121" s="15" t="s">
        <v>130</v>
      </c>
      <c r="AE2121" s="15" t="s">
        <v>260</v>
      </c>
      <c r="AF2121" s="12">
        <f>IF(AG2121="Rejected",0,IF(R2121="Corporate Card",0,V2121))</f>
        <v>16.91</v>
      </c>
      <c r="AG2121" s="15" t="s">
        <v>181</v>
      </c>
      <c r="AH2121" s="16">
        <v>45916</v>
      </c>
      <c r="AI2121" s="16"/>
      <c r="AJ2121" s="16"/>
      <c r="AK2121" s="17" t="str">
        <f>IF(AJ2121="","",AJ2121-AH2121)</f>
        <v/>
      </c>
    </row>
    <row r="2122" spans="1:37">
      <c r="A2122" s="2" t="s">
        <v>2595</v>
      </c>
      <c r="B2122" s="2" t="s">
        <v>743</v>
      </c>
      <c r="C2122" s="2" t="s">
        <v>313</v>
      </c>
      <c r="D2122" s="2" t="s">
        <v>744</v>
      </c>
      <c r="E2122" s="2" t="s">
        <v>745</v>
      </c>
      <c r="F2122" s="2" t="s">
        <v>746</v>
      </c>
      <c r="G2122" s="2" t="s">
        <v>2569</v>
      </c>
      <c r="H2122" s="2" t="s">
        <v>122</v>
      </c>
      <c r="I2122" s="2" t="s">
        <v>619</v>
      </c>
      <c r="J2122" s="2" t="s">
        <v>381</v>
      </c>
      <c r="K2122" s="9">
        <v>45908</v>
      </c>
      <c r="L2122" s="9">
        <v>45914</v>
      </c>
      <c r="M2122" s="9">
        <v>45910</v>
      </c>
      <c r="N2122" s="2" t="s">
        <v>2549</v>
      </c>
      <c r="O2122" s="2" t="s">
        <v>56</v>
      </c>
      <c r="P2122" s="2" t="s">
        <v>231</v>
      </c>
      <c r="Q2122" s="2" t="s">
        <v>159</v>
      </c>
      <c r="R2122" s="2" t="s">
        <v>137</v>
      </c>
      <c r="S2122" s="2" t="s">
        <v>383</v>
      </c>
      <c r="T2122" s="10">
        <v>73.569999999999993</v>
      </c>
      <c r="U2122" s="11">
        <v>1</v>
      </c>
      <c r="V2122" s="12">
        <f>T2122*U2122</f>
        <v>73.569999999999993</v>
      </c>
      <c r="W2122" s="13">
        <v>0</v>
      </c>
      <c r="X2122" s="12">
        <f>V2122-(V2122/(1+W2122))</f>
        <v>0</v>
      </c>
      <c r="Y2122" s="12">
        <f>V2122-X2122</f>
        <v>73.569999999999993</v>
      </c>
      <c r="Z2122" s="14">
        <v>75</v>
      </c>
      <c r="AA2122" s="2" t="str">
        <f>IF(V2122&gt;Z2122,"Yes","No")</f>
        <v>No</v>
      </c>
      <c r="AB2122" s="12">
        <f>V2122-Z2122</f>
        <v>-1.4300000000000068</v>
      </c>
      <c r="AC2122" s="15" t="s">
        <v>130</v>
      </c>
      <c r="AD2122" s="15" t="s">
        <v>130</v>
      </c>
      <c r="AE2122" s="15" t="s">
        <v>260</v>
      </c>
      <c r="AF2122" s="12">
        <f>IF(AG2122="Rejected",0,IF(R2122="Corporate Card",0,V2122))</f>
        <v>73.569999999999993</v>
      </c>
      <c r="AG2122" s="15" t="s">
        <v>181</v>
      </c>
      <c r="AH2122" s="16">
        <v>45916</v>
      </c>
      <c r="AI2122" s="16"/>
      <c r="AJ2122" s="16"/>
      <c r="AK2122" s="17" t="str">
        <f>IF(AJ2122="","",AJ2122-AH2122)</f>
        <v/>
      </c>
    </row>
    <row r="2123" spans="1:37">
      <c r="A2123" s="2" t="s">
        <v>2596</v>
      </c>
      <c r="B2123" s="2" t="s">
        <v>342</v>
      </c>
      <c r="C2123" s="2" t="s">
        <v>343</v>
      </c>
      <c r="D2123" s="2" t="s">
        <v>344</v>
      </c>
      <c r="E2123" s="2" t="s">
        <v>345</v>
      </c>
      <c r="F2123" s="2" t="s">
        <v>346</v>
      </c>
      <c r="G2123" s="2" t="s">
        <v>2597</v>
      </c>
      <c r="H2123" s="2" t="s">
        <v>379</v>
      </c>
      <c r="I2123" s="2" t="s">
        <v>175</v>
      </c>
      <c r="J2123" s="2" t="s">
        <v>176</v>
      </c>
      <c r="K2123" s="9">
        <v>45910</v>
      </c>
      <c r="L2123" s="9">
        <v>45913</v>
      </c>
      <c r="M2123" s="9">
        <v>45910</v>
      </c>
      <c r="N2123" s="2" t="s">
        <v>2549</v>
      </c>
      <c r="O2123" s="2" t="s">
        <v>52</v>
      </c>
      <c r="P2123" s="2" t="s">
        <v>177</v>
      </c>
      <c r="Q2123" s="2" t="s">
        <v>127</v>
      </c>
      <c r="R2123" s="2" t="s">
        <v>137</v>
      </c>
      <c r="S2123" s="2" t="s">
        <v>179</v>
      </c>
      <c r="T2123" s="10">
        <v>7884.99</v>
      </c>
      <c r="U2123" s="11">
        <v>0.18099999999999999</v>
      </c>
      <c r="V2123" s="12">
        <f>T2123*U2123</f>
        <v>1427.18319</v>
      </c>
      <c r="W2123" s="13">
        <v>0</v>
      </c>
      <c r="X2123" s="12">
        <f>V2123-(V2123/(1+W2123))</f>
        <v>0</v>
      </c>
      <c r="Y2123" s="12">
        <f>V2123-X2123</f>
        <v>1427.18319</v>
      </c>
      <c r="Z2123" s="14">
        <v>1400</v>
      </c>
      <c r="AA2123" s="2" t="str">
        <f>IF(V2123&gt;Z2123,"Yes","No")</f>
        <v>Yes</v>
      </c>
      <c r="AB2123" s="12">
        <f>V2123-Z2123</f>
        <v>27.183189999999968</v>
      </c>
      <c r="AC2123" s="15" t="s">
        <v>130</v>
      </c>
      <c r="AD2123" s="15" t="s">
        <v>130</v>
      </c>
      <c r="AE2123" s="15" t="s">
        <v>350</v>
      </c>
      <c r="AF2123" s="12">
        <f>IF(AG2123="Rejected",0,IF(R2123="Corporate Card",0,V2123))</f>
        <v>1427.18319</v>
      </c>
      <c r="AG2123" s="15" t="s">
        <v>133</v>
      </c>
      <c r="AH2123" s="16">
        <v>45919</v>
      </c>
      <c r="AI2123" s="16">
        <v>45925</v>
      </c>
      <c r="AJ2123" s="16">
        <v>45929</v>
      </c>
      <c r="AK2123" s="17">
        <f>IF(AJ2123="","",AJ2123-AH2123)</f>
        <v>10</v>
      </c>
    </row>
    <row r="2124" spans="1:37">
      <c r="A2124" s="2" t="s">
        <v>2598</v>
      </c>
      <c r="B2124" s="2" t="s">
        <v>342</v>
      </c>
      <c r="C2124" s="2" t="s">
        <v>343</v>
      </c>
      <c r="D2124" s="2" t="s">
        <v>344</v>
      </c>
      <c r="E2124" s="2" t="s">
        <v>345</v>
      </c>
      <c r="F2124" s="2" t="s">
        <v>346</v>
      </c>
      <c r="G2124" s="2" t="s">
        <v>2597</v>
      </c>
      <c r="H2124" s="2" t="s">
        <v>379</v>
      </c>
      <c r="I2124" s="2" t="s">
        <v>175</v>
      </c>
      <c r="J2124" s="2" t="s">
        <v>176</v>
      </c>
      <c r="K2124" s="9">
        <v>45910</v>
      </c>
      <c r="L2124" s="9">
        <v>45913</v>
      </c>
      <c r="M2124" s="9">
        <v>45910</v>
      </c>
      <c r="N2124" s="2" t="s">
        <v>2549</v>
      </c>
      <c r="O2124" s="2" t="s">
        <v>58</v>
      </c>
      <c r="P2124" s="2" t="s">
        <v>142</v>
      </c>
      <c r="Q2124" s="2" t="s">
        <v>143</v>
      </c>
      <c r="R2124" s="2" t="s">
        <v>149</v>
      </c>
      <c r="S2124" s="2" t="s">
        <v>179</v>
      </c>
      <c r="T2124" s="10">
        <v>387.58</v>
      </c>
      <c r="U2124" s="11">
        <v>0.18099999999999999</v>
      </c>
      <c r="V2124" s="12">
        <f>T2124*U2124</f>
        <v>70.151979999999995</v>
      </c>
      <c r="W2124" s="13">
        <v>0.17</v>
      </c>
      <c r="X2124" s="12">
        <f>V2124-(V2124/(1+W2124))</f>
        <v>10.193022735042732</v>
      </c>
      <c r="Y2124" s="12">
        <f>V2124-X2124</f>
        <v>59.958957264957263</v>
      </c>
      <c r="Z2124" s="14">
        <v>60</v>
      </c>
      <c r="AA2124" s="2" t="str">
        <f>IF(V2124&gt;Z2124,"Yes","No")</f>
        <v>Yes</v>
      </c>
      <c r="AB2124" s="12">
        <f>V2124-Z2124</f>
        <v>10.151979999999995</v>
      </c>
      <c r="AC2124" s="15" t="s">
        <v>130</v>
      </c>
      <c r="AD2124" s="15" t="s">
        <v>130</v>
      </c>
      <c r="AE2124" s="15" t="s">
        <v>350</v>
      </c>
      <c r="AF2124" s="12">
        <f>IF(AG2124="Rejected",0,IF(R2124="Corporate Card",0,V2124))</f>
        <v>70.151979999999995</v>
      </c>
      <c r="AG2124" s="15" t="s">
        <v>133</v>
      </c>
      <c r="AH2124" s="16">
        <v>45919</v>
      </c>
      <c r="AI2124" s="16">
        <v>45925</v>
      </c>
      <c r="AJ2124" s="16">
        <v>45929</v>
      </c>
      <c r="AK2124" s="17">
        <f>IF(AJ2124="","",AJ2124-AH2124)</f>
        <v>10</v>
      </c>
    </row>
    <row r="2125" spans="1:37">
      <c r="A2125" s="2" t="s">
        <v>2599</v>
      </c>
      <c r="B2125" s="2" t="s">
        <v>342</v>
      </c>
      <c r="C2125" s="2" t="s">
        <v>343</v>
      </c>
      <c r="D2125" s="2" t="s">
        <v>344</v>
      </c>
      <c r="E2125" s="2" t="s">
        <v>345</v>
      </c>
      <c r="F2125" s="2" t="s">
        <v>346</v>
      </c>
      <c r="G2125" s="2" t="s">
        <v>2597</v>
      </c>
      <c r="H2125" s="2" t="s">
        <v>379</v>
      </c>
      <c r="I2125" s="2" t="s">
        <v>175</v>
      </c>
      <c r="J2125" s="2" t="s">
        <v>176</v>
      </c>
      <c r="K2125" s="9">
        <v>45910</v>
      </c>
      <c r="L2125" s="9">
        <v>45913</v>
      </c>
      <c r="M2125" s="9">
        <v>45910</v>
      </c>
      <c r="N2125" s="2" t="s">
        <v>2549</v>
      </c>
      <c r="O2125" s="2" t="s">
        <v>54</v>
      </c>
      <c r="P2125" s="2" t="s">
        <v>139</v>
      </c>
      <c r="Q2125" s="2" t="s">
        <v>163</v>
      </c>
      <c r="R2125" s="2" t="s">
        <v>137</v>
      </c>
      <c r="S2125" s="2" t="s">
        <v>179</v>
      </c>
      <c r="T2125" s="10">
        <v>96.38</v>
      </c>
      <c r="U2125" s="11">
        <v>0.18099999999999999</v>
      </c>
      <c r="V2125" s="12">
        <f>T2125*U2125</f>
        <v>17.444779999999998</v>
      </c>
      <c r="W2125" s="13">
        <v>0.17</v>
      </c>
      <c r="X2125" s="12">
        <f>V2125-(V2125/(1+W2125))</f>
        <v>2.5347116239316225</v>
      </c>
      <c r="Y2125" s="12">
        <f>V2125-X2125</f>
        <v>14.910068376068375</v>
      </c>
      <c r="Z2125" s="14">
        <v>25</v>
      </c>
      <c r="AA2125" s="2" t="str">
        <f>IF(V2125&gt;Z2125,"Yes","No")</f>
        <v>No</v>
      </c>
      <c r="AB2125" s="12">
        <f>V2125-Z2125</f>
        <v>-7.555220000000002</v>
      </c>
      <c r="AC2125" s="15" t="s">
        <v>131</v>
      </c>
      <c r="AD2125" s="15" t="s">
        <v>130</v>
      </c>
      <c r="AE2125" s="15" t="s">
        <v>350</v>
      </c>
      <c r="AF2125" s="12">
        <f>IF(AG2125="Rejected",0,IF(R2125="Corporate Card",0,V2125))</f>
        <v>17.444779999999998</v>
      </c>
      <c r="AG2125" s="15" t="s">
        <v>133</v>
      </c>
      <c r="AH2125" s="16">
        <v>45919</v>
      </c>
      <c r="AI2125" s="16">
        <v>45925</v>
      </c>
      <c r="AJ2125" s="16">
        <v>45929</v>
      </c>
      <c r="AK2125" s="17">
        <f>IF(AJ2125="","",AJ2125-AH2125)</f>
        <v>10</v>
      </c>
    </row>
    <row r="2126" spans="1:37">
      <c r="A2126" s="2" t="s">
        <v>2600</v>
      </c>
      <c r="B2126" s="2" t="s">
        <v>342</v>
      </c>
      <c r="C2126" s="2" t="s">
        <v>343</v>
      </c>
      <c r="D2126" s="2" t="s">
        <v>344</v>
      </c>
      <c r="E2126" s="2" t="s">
        <v>345</v>
      </c>
      <c r="F2126" s="2" t="s">
        <v>346</v>
      </c>
      <c r="G2126" s="2" t="s">
        <v>2597</v>
      </c>
      <c r="H2126" s="2" t="s">
        <v>379</v>
      </c>
      <c r="I2126" s="2" t="s">
        <v>175</v>
      </c>
      <c r="J2126" s="2" t="s">
        <v>176</v>
      </c>
      <c r="K2126" s="9">
        <v>45910</v>
      </c>
      <c r="L2126" s="9">
        <v>45913</v>
      </c>
      <c r="M2126" s="9">
        <v>45910</v>
      </c>
      <c r="N2126" s="2" t="s">
        <v>2549</v>
      </c>
      <c r="O2126" s="2" t="s">
        <v>56</v>
      </c>
      <c r="P2126" s="2" t="s">
        <v>151</v>
      </c>
      <c r="Q2126" s="2" t="s">
        <v>159</v>
      </c>
      <c r="R2126" s="2" t="s">
        <v>149</v>
      </c>
      <c r="S2126" s="2" t="s">
        <v>179</v>
      </c>
      <c r="T2126" s="10">
        <v>214.8</v>
      </c>
      <c r="U2126" s="11">
        <v>0.18099999999999999</v>
      </c>
      <c r="V2126" s="12">
        <f>T2126*U2126</f>
        <v>38.878799999999998</v>
      </c>
      <c r="W2126" s="13">
        <v>0.17</v>
      </c>
      <c r="X2126" s="12">
        <f>V2126-(V2126/(1+W2126))</f>
        <v>5.6490564102564065</v>
      </c>
      <c r="Y2126" s="12">
        <f>V2126-X2126</f>
        <v>33.229743589743592</v>
      </c>
      <c r="Z2126" s="14">
        <v>75</v>
      </c>
      <c r="AA2126" s="2" t="str">
        <f>IF(V2126&gt;Z2126,"Yes","No")</f>
        <v>No</v>
      </c>
      <c r="AB2126" s="12">
        <f>V2126-Z2126</f>
        <v>-36.121200000000002</v>
      </c>
      <c r="AC2126" s="15" t="s">
        <v>130</v>
      </c>
      <c r="AD2126" s="15" t="s">
        <v>130</v>
      </c>
      <c r="AE2126" s="15" t="s">
        <v>350</v>
      </c>
      <c r="AF2126" s="12">
        <f>IF(AG2126="Rejected",0,IF(R2126="Corporate Card",0,V2126))</f>
        <v>38.878799999999998</v>
      </c>
      <c r="AG2126" s="15" t="s">
        <v>133</v>
      </c>
      <c r="AH2126" s="16">
        <v>45919</v>
      </c>
      <c r="AI2126" s="16">
        <v>45925</v>
      </c>
      <c r="AJ2126" s="16">
        <v>45929</v>
      </c>
      <c r="AK2126" s="17">
        <f>IF(AJ2126="","",AJ2126-AH2126)</f>
        <v>10</v>
      </c>
    </row>
    <row r="2127" spans="1:37">
      <c r="A2127" s="2" t="s">
        <v>2601</v>
      </c>
      <c r="B2127" s="2" t="s">
        <v>342</v>
      </c>
      <c r="C2127" s="2" t="s">
        <v>343</v>
      </c>
      <c r="D2127" s="2" t="s">
        <v>344</v>
      </c>
      <c r="E2127" s="2" t="s">
        <v>345</v>
      </c>
      <c r="F2127" s="2" t="s">
        <v>346</v>
      </c>
      <c r="G2127" s="2" t="s">
        <v>2597</v>
      </c>
      <c r="H2127" s="2" t="s">
        <v>379</v>
      </c>
      <c r="I2127" s="2" t="s">
        <v>175</v>
      </c>
      <c r="J2127" s="2" t="s">
        <v>176</v>
      </c>
      <c r="K2127" s="9">
        <v>45910</v>
      </c>
      <c r="L2127" s="9">
        <v>45913</v>
      </c>
      <c r="M2127" s="9">
        <v>45910</v>
      </c>
      <c r="N2127" s="2" t="s">
        <v>2549</v>
      </c>
      <c r="O2127" s="2" t="s">
        <v>55</v>
      </c>
      <c r="P2127" s="2" t="s">
        <v>139</v>
      </c>
      <c r="Q2127" s="2" t="s">
        <v>217</v>
      </c>
      <c r="R2127" s="2" t="s">
        <v>149</v>
      </c>
      <c r="S2127" s="2" t="s">
        <v>179</v>
      </c>
      <c r="T2127" s="10">
        <v>102.43</v>
      </c>
      <c r="U2127" s="11">
        <v>0.18099999999999999</v>
      </c>
      <c r="V2127" s="12">
        <f>T2127*U2127</f>
        <v>18.539830000000002</v>
      </c>
      <c r="W2127" s="13">
        <v>0.17</v>
      </c>
      <c r="X2127" s="12">
        <f>V2127-(V2127/(1+W2127))</f>
        <v>2.6938214529914521</v>
      </c>
      <c r="Y2127" s="12">
        <f>V2127-X2127</f>
        <v>15.84600854700855</v>
      </c>
      <c r="Z2127" s="14">
        <v>35</v>
      </c>
      <c r="AA2127" s="2" t="str">
        <f>IF(V2127&gt;Z2127,"Yes","No")</f>
        <v>No</v>
      </c>
      <c r="AB2127" s="12">
        <f>V2127-Z2127</f>
        <v>-16.460169999999998</v>
      </c>
      <c r="AC2127" s="15" t="s">
        <v>130</v>
      </c>
      <c r="AD2127" s="15" t="s">
        <v>130</v>
      </c>
      <c r="AE2127" s="15" t="s">
        <v>350</v>
      </c>
      <c r="AF2127" s="12">
        <f>IF(AG2127="Rejected",0,IF(R2127="Corporate Card",0,V2127))</f>
        <v>18.539830000000002</v>
      </c>
      <c r="AG2127" s="15" t="s">
        <v>133</v>
      </c>
      <c r="AH2127" s="16">
        <v>45919</v>
      </c>
      <c r="AI2127" s="16">
        <v>45925</v>
      </c>
      <c r="AJ2127" s="16">
        <v>45929</v>
      </c>
      <c r="AK2127" s="17">
        <f>IF(AJ2127="","",AJ2127-AH2127)</f>
        <v>10</v>
      </c>
    </row>
    <row r="2128" spans="1:37">
      <c r="A2128" s="2" t="s">
        <v>2602</v>
      </c>
      <c r="B2128" s="2" t="s">
        <v>189</v>
      </c>
      <c r="C2128" s="2" t="s">
        <v>190</v>
      </c>
      <c r="D2128" s="2" t="s">
        <v>171</v>
      </c>
      <c r="E2128" s="2" t="s">
        <v>191</v>
      </c>
      <c r="F2128" s="2" t="s">
        <v>173</v>
      </c>
      <c r="G2128" s="2" t="s">
        <v>2554</v>
      </c>
      <c r="H2128" s="2" t="s">
        <v>254</v>
      </c>
      <c r="I2128" s="2" t="s">
        <v>418</v>
      </c>
      <c r="J2128" s="2" t="s">
        <v>381</v>
      </c>
      <c r="K2128" s="9">
        <v>45906</v>
      </c>
      <c r="L2128" s="9">
        <v>45910</v>
      </c>
      <c r="M2128" s="9">
        <v>45910</v>
      </c>
      <c r="N2128" s="2" t="s">
        <v>2549</v>
      </c>
      <c r="O2128" s="2" t="s">
        <v>58</v>
      </c>
      <c r="P2128" s="2" t="s">
        <v>142</v>
      </c>
      <c r="Q2128" s="2" t="s">
        <v>224</v>
      </c>
      <c r="R2128" s="2" t="s">
        <v>128</v>
      </c>
      <c r="S2128" s="2" t="s">
        <v>383</v>
      </c>
      <c r="T2128" s="10">
        <v>40.5</v>
      </c>
      <c r="U2128" s="11">
        <v>1</v>
      </c>
      <c r="V2128" s="12">
        <f>T2128*U2128</f>
        <v>40.5</v>
      </c>
      <c r="W2128" s="13">
        <v>0</v>
      </c>
      <c r="X2128" s="12">
        <f>V2128-(V2128/(1+W2128))</f>
        <v>0</v>
      </c>
      <c r="Y2128" s="12">
        <f>V2128-X2128</f>
        <v>40.5</v>
      </c>
      <c r="Z2128" s="14">
        <v>60</v>
      </c>
      <c r="AA2128" s="2" t="str">
        <f>IF(V2128&gt;Z2128,"Yes","No")</f>
        <v>No</v>
      </c>
      <c r="AB2128" s="12">
        <f>V2128-Z2128</f>
        <v>-19.5</v>
      </c>
      <c r="AC2128" s="15" t="s">
        <v>130</v>
      </c>
      <c r="AD2128" s="15" t="s">
        <v>130</v>
      </c>
      <c r="AE2128" s="15" t="s">
        <v>350</v>
      </c>
      <c r="AF2128" s="12">
        <f>IF(AG2128="Rejected",0,IF(R2128="Corporate Card",0,V2128))</f>
        <v>0</v>
      </c>
      <c r="AG2128" s="15" t="s">
        <v>133</v>
      </c>
      <c r="AH2128" s="16">
        <v>45922</v>
      </c>
      <c r="AI2128" s="16">
        <v>45923</v>
      </c>
      <c r="AJ2128" s="16">
        <v>45927</v>
      </c>
      <c r="AK2128" s="17">
        <f>IF(AJ2128="","",AJ2128-AH2128)</f>
        <v>5</v>
      </c>
    </row>
    <row r="2129" spans="1:37">
      <c r="A2129" s="2" t="s">
        <v>2603</v>
      </c>
      <c r="B2129" s="2" t="s">
        <v>189</v>
      </c>
      <c r="C2129" s="2" t="s">
        <v>190</v>
      </c>
      <c r="D2129" s="2" t="s">
        <v>171</v>
      </c>
      <c r="E2129" s="2" t="s">
        <v>191</v>
      </c>
      <c r="F2129" s="2" t="s">
        <v>173</v>
      </c>
      <c r="G2129" s="2" t="s">
        <v>2554</v>
      </c>
      <c r="H2129" s="2" t="s">
        <v>254</v>
      </c>
      <c r="I2129" s="2" t="s">
        <v>418</v>
      </c>
      <c r="J2129" s="2" t="s">
        <v>381</v>
      </c>
      <c r="K2129" s="9">
        <v>45906</v>
      </c>
      <c r="L2129" s="9">
        <v>45910</v>
      </c>
      <c r="M2129" s="9">
        <v>45910</v>
      </c>
      <c r="N2129" s="2" t="s">
        <v>2549</v>
      </c>
      <c r="O2129" s="2" t="s">
        <v>54</v>
      </c>
      <c r="P2129" s="2" t="s">
        <v>139</v>
      </c>
      <c r="Q2129" s="2" t="s">
        <v>163</v>
      </c>
      <c r="R2129" s="2" t="s">
        <v>128</v>
      </c>
      <c r="S2129" s="2" t="s">
        <v>383</v>
      </c>
      <c r="T2129" s="10">
        <v>10.18</v>
      </c>
      <c r="U2129" s="11">
        <v>1</v>
      </c>
      <c r="V2129" s="12">
        <f>T2129*U2129</f>
        <v>10.18</v>
      </c>
      <c r="W2129" s="13">
        <v>0</v>
      </c>
      <c r="X2129" s="12">
        <f>V2129-(V2129/(1+W2129))</f>
        <v>0</v>
      </c>
      <c r="Y2129" s="12">
        <f>V2129-X2129</f>
        <v>10.18</v>
      </c>
      <c r="Z2129" s="14">
        <v>25</v>
      </c>
      <c r="AA2129" s="2" t="str">
        <f>IF(V2129&gt;Z2129,"Yes","No")</f>
        <v>No</v>
      </c>
      <c r="AB2129" s="12">
        <f>V2129-Z2129</f>
        <v>-14.82</v>
      </c>
      <c r="AC2129" s="15" t="s">
        <v>130</v>
      </c>
      <c r="AD2129" s="15" t="s">
        <v>130</v>
      </c>
      <c r="AE2129" s="15" t="s">
        <v>350</v>
      </c>
      <c r="AF2129" s="12">
        <f>IF(AG2129="Rejected",0,IF(R2129="Corporate Card",0,V2129))</f>
        <v>0</v>
      </c>
      <c r="AG2129" s="15" t="s">
        <v>133</v>
      </c>
      <c r="AH2129" s="16">
        <v>45922</v>
      </c>
      <c r="AI2129" s="16">
        <v>45923</v>
      </c>
      <c r="AJ2129" s="16">
        <v>45927</v>
      </c>
      <c r="AK2129" s="17">
        <f>IF(AJ2129="","",AJ2129-AH2129)</f>
        <v>5</v>
      </c>
    </row>
    <row r="2130" spans="1:37">
      <c r="A2130" s="2" t="s">
        <v>2604</v>
      </c>
      <c r="B2130" s="2" t="s">
        <v>189</v>
      </c>
      <c r="C2130" s="2" t="s">
        <v>190</v>
      </c>
      <c r="D2130" s="2" t="s">
        <v>171</v>
      </c>
      <c r="E2130" s="2" t="s">
        <v>191</v>
      </c>
      <c r="F2130" s="2" t="s">
        <v>173</v>
      </c>
      <c r="G2130" s="2" t="s">
        <v>2554</v>
      </c>
      <c r="H2130" s="2" t="s">
        <v>254</v>
      </c>
      <c r="I2130" s="2" t="s">
        <v>418</v>
      </c>
      <c r="J2130" s="2" t="s">
        <v>381</v>
      </c>
      <c r="K2130" s="9">
        <v>45906</v>
      </c>
      <c r="L2130" s="9">
        <v>45910</v>
      </c>
      <c r="M2130" s="9">
        <v>45910</v>
      </c>
      <c r="N2130" s="2" t="s">
        <v>2549</v>
      </c>
      <c r="O2130" s="2" t="s">
        <v>56</v>
      </c>
      <c r="P2130" s="2" t="s">
        <v>165</v>
      </c>
      <c r="Q2130" s="2" t="s">
        <v>152</v>
      </c>
      <c r="R2130" s="2" t="s">
        <v>128</v>
      </c>
      <c r="S2130" s="2" t="s">
        <v>383</v>
      </c>
      <c r="T2130" s="10">
        <v>34.31</v>
      </c>
      <c r="U2130" s="11">
        <v>1</v>
      </c>
      <c r="V2130" s="12">
        <f>T2130*U2130</f>
        <v>34.31</v>
      </c>
      <c r="W2130" s="13">
        <v>0</v>
      </c>
      <c r="X2130" s="12">
        <f>V2130-(V2130/(1+W2130))</f>
        <v>0</v>
      </c>
      <c r="Y2130" s="12">
        <f>V2130-X2130</f>
        <v>34.31</v>
      </c>
      <c r="Z2130" s="14">
        <v>75</v>
      </c>
      <c r="AA2130" s="2" t="str">
        <f>IF(V2130&gt;Z2130,"Yes","No")</f>
        <v>No</v>
      </c>
      <c r="AB2130" s="12">
        <f>V2130-Z2130</f>
        <v>-40.69</v>
      </c>
      <c r="AC2130" s="15" t="s">
        <v>130</v>
      </c>
      <c r="AD2130" s="15" t="s">
        <v>130</v>
      </c>
      <c r="AE2130" s="15" t="s">
        <v>350</v>
      </c>
      <c r="AF2130" s="12">
        <f>IF(AG2130="Rejected",0,IF(R2130="Corporate Card",0,V2130))</f>
        <v>0</v>
      </c>
      <c r="AG2130" s="15" t="s">
        <v>133</v>
      </c>
      <c r="AH2130" s="16">
        <v>45922</v>
      </c>
      <c r="AI2130" s="16">
        <v>45923</v>
      </c>
      <c r="AJ2130" s="16">
        <v>45927</v>
      </c>
      <c r="AK2130" s="17">
        <f>IF(AJ2130="","",AJ2130-AH2130)</f>
        <v>5</v>
      </c>
    </row>
    <row r="2131" spans="1:37">
      <c r="A2131" s="2" t="s">
        <v>2605</v>
      </c>
      <c r="B2131" s="2" t="s">
        <v>189</v>
      </c>
      <c r="C2131" s="2" t="s">
        <v>190</v>
      </c>
      <c r="D2131" s="2" t="s">
        <v>171</v>
      </c>
      <c r="E2131" s="2" t="s">
        <v>191</v>
      </c>
      <c r="F2131" s="2" t="s">
        <v>173</v>
      </c>
      <c r="G2131" s="2" t="s">
        <v>2554</v>
      </c>
      <c r="H2131" s="2" t="s">
        <v>254</v>
      </c>
      <c r="I2131" s="2" t="s">
        <v>418</v>
      </c>
      <c r="J2131" s="2" t="s">
        <v>381</v>
      </c>
      <c r="K2131" s="9">
        <v>45906</v>
      </c>
      <c r="L2131" s="9">
        <v>45910</v>
      </c>
      <c r="M2131" s="9">
        <v>45910</v>
      </c>
      <c r="N2131" s="2" t="s">
        <v>2549</v>
      </c>
      <c r="O2131" s="2" t="s">
        <v>55</v>
      </c>
      <c r="P2131" s="2" t="s">
        <v>139</v>
      </c>
      <c r="Q2131" s="2" t="s">
        <v>217</v>
      </c>
      <c r="R2131" s="2" t="s">
        <v>128</v>
      </c>
      <c r="S2131" s="2" t="s">
        <v>383</v>
      </c>
      <c r="T2131" s="10">
        <v>14.22</v>
      </c>
      <c r="U2131" s="11">
        <v>1</v>
      </c>
      <c r="V2131" s="12">
        <f>T2131*U2131</f>
        <v>14.22</v>
      </c>
      <c r="W2131" s="13">
        <v>0</v>
      </c>
      <c r="X2131" s="12">
        <f>V2131-(V2131/(1+W2131))</f>
        <v>0</v>
      </c>
      <c r="Y2131" s="12">
        <f>V2131-X2131</f>
        <v>14.22</v>
      </c>
      <c r="Z2131" s="14">
        <v>35</v>
      </c>
      <c r="AA2131" s="2" t="str">
        <f>IF(V2131&gt;Z2131,"Yes","No")</f>
        <v>No</v>
      </c>
      <c r="AB2131" s="12">
        <f>V2131-Z2131</f>
        <v>-20.78</v>
      </c>
      <c r="AC2131" s="15" t="s">
        <v>130</v>
      </c>
      <c r="AD2131" s="15" t="s">
        <v>130</v>
      </c>
      <c r="AE2131" s="15" t="s">
        <v>350</v>
      </c>
      <c r="AF2131" s="12">
        <f>IF(AG2131="Rejected",0,IF(R2131="Corporate Card",0,V2131))</f>
        <v>0</v>
      </c>
      <c r="AG2131" s="15" t="s">
        <v>133</v>
      </c>
      <c r="AH2131" s="16">
        <v>45922</v>
      </c>
      <c r="AI2131" s="16">
        <v>45923</v>
      </c>
      <c r="AJ2131" s="16">
        <v>45927</v>
      </c>
      <c r="AK2131" s="17">
        <f>IF(AJ2131="","",AJ2131-AH2131)</f>
        <v>5</v>
      </c>
    </row>
    <row r="2132" spans="1:37">
      <c r="A2132" s="2" t="s">
        <v>2606</v>
      </c>
      <c r="B2132" s="2" t="s">
        <v>743</v>
      </c>
      <c r="C2132" s="2" t="s">
        <v>313</v>
      </c>
      <c r="D2132" s="2" t="s">
        <v>744</v>
      </c>
      <c r="E2132" s="2" t="s">
        <v>745</v>
      </c>
      <c r="F2132" s="2" t="s">
        <v>746</v>
      </c>
      <c r="G2132" s="2" t="s">
        <v>2569</v>
      </c>
      <c r="H2132" s="2" t="s">
        <v>122</v>
      </c>
      <c r="I2132" s="2" t="s">
        <v>619</v>
      </c>
      <c r="J2132" s="2" t="s">
        <v>381</v>
      </c>
      <c r="K2132" s="9">
        <v>45908</v>
      </c>
      <c r="L2132" s="9">
        <v>45914</v>
      </c>
      <c r="M2132" s="9">
        <v>45911</v>
      </c>
      <c r="N2132" s="2" t="s">
        <v>2549</v>
      </c>
      <c r="O2132" s="2" t="s">
        <v>54</v>
      </c>
      <c r="P2132" s="2" t="s">
        <v>139</v>
      </c>
      <c r="Q2132" s="2" t="s">
        <v>140</v>
      </c>
      <c r="R2132" s="2" t="s">
        <v>128</v>
      </c>
      <c r="S2132" s="2" t="s">
        <v>383</v>
      </c>
      <c r="T2132" s="10">
        <v>8.8699999999999992</v>
      </c>
      <c r="U2132" s="11">
        <v>1</v>
      </c>
      <c r="V2132" s="12">
        <f>T2132*U2132</f>
        <v>8.8699999999999992</v>
      </c>
      <c r="W2132" s="13">
        <v>0</v>
      </c>
      <c r="X2132" s="12">
        <f>V2132-(V2132/(1+W2132))</f>
        <v>0</v>
      </c>
      <c r="Y2132" s="12">
        <f>V2132-X2132</f>
        <v>8.8699999999999992</v>
      </c>
      <c r="Z2132" s="14">
        <v>25</v>
      </c>
      <c r="AA2132" s="2" t="str">
        <f>IF(V2132&gt;Z2132,"Yes","No")</f>
        <v>No</v>
      </c>
      <c r="AB2132" s="12">
        <f>V2132-Z2132</f>
        <v>-16.130000000000003</v>
      </c>
      <c r="AC2132" s="15" t="s">
        <v>130</v>
      </c>
      <c r="AD2132" s="15" t="s">
        <v>130</v>
      </c>
      <c r="AE2132" s="15" t="s">
        <v>260</v>
      </c>
      <c r="AF2132" s="12">
        <f>IF(AG2132="Rejected",0,IF(R2132="Corporate Card",0,V2132))</f>
        <v>0</v>
      </c>
      <c r="AG2132" s="15" t="s">
        <v>181</v>
      </c>
      <c r="AH2132" s="16">
        <v>45916</v>
      </c>
      <c r="AI2132" s="16"/>
      <c r="AJ2132" s="16"/>
      <c r="AK2132" s="17" t="str">
        <f>IF(AJ2132="","",AJ2132-AH2132)</f>
        <v/>
      </c>
    </row>
    <row r="2133" spans="1:37">
      <c r="A2133" s="2" t="s">
        <v>2607</v>
      </c>
      <c r="B2133" s="2" t="s">
        <v>743</v>
      </c>
      <c r="C2133" s="2" t="s">
        <v>313</v>
      </c>
      <c r="D2133" s="2" t="s">
        <v>744</v>
      </c>
      <c r="E2133" s="2" t="s">
        <v>745</v>
      </c>
      <c r="F2133" s="2" t="s">
        <v>746</v>
      </c>
      <c r="G2133" s="2" t="s">
        <v>2569</v>
      </c>
      <c r="H2133" s="2" t="s">
        <v>122</v>
      </c>
      <c r="I2133" s="2" t="s">
        <v>619</v>
      </c>
      <c r="J2133" s="2" t="s">
        <v>381</v>
      </c>
      <c r="K2133" s="9">
        <v>45908</v>
      </c>
      <c r="L2133" s="9">
        <v>45914</v>
      </c>
      <c r="M2133" s="9">
        <v>45911</v>
      </c>
      <c r="N2133" s="2" t="s">
        <v>2549</v>
      </c>
      <c r="O2133" s="2" t="s">
        <v>56</v>
      </c>
      <c r="P2133" s="2" t="s">
        <v>231</v>
      </c>
      <c r="Q2133" s="2" t="s">
        <v>159</v>
      </c>
      <c r="R2133" s="2" t="s">
        <v>149</v>
      </c>
      <c r="S2133" s="2" t="s">
        <v>383</v>
      </c>
      <c r="T2133" s="10">
        <v>85.22</v>
      </c>
      <c r="U2133" s="11">
        <v>1</v>
      </c>
      <c r="V2133" s="12">
        <f>T2133*U2133</f>
        <v>85.22</v>
      </c>
      <c r="W2133" s="13">
        <v>0</v>
      </c>
      <c r="X2133" s="12">
        <f>V2133-(V2133/(1+W2133))</f>
        <v>0</v>
      </c>
      <c r="Y2133" s="12">
        <f>V2133-X2133</f>
        <v>85.22</v>
      </c>
      <c r="Z2133" s="14">
        <v>75</v>
      </c>
      <c r="AA2133" s="2" t="str">
        <f>IF(V2133&gt;Z2133,"Yes","No")</f>
        <v>Yes</v>
      </c>
      <c r="AB2133" s="12">
        <f>V2133-Z2133</f>
        <v>10.219999999999999</v>
      </c>
      <c r="AC2133" s="15" t="s">
        <v>130</v>
      </c>
      <c r="AD2133" s="15" t="s">
        <v>130</v>
      </c>
      <c r="AE2133" s="15" t="s">
        <v>260</v>
      </c>
      <c r="AF2133" s="12">
        <f>IF(AG2133="Rejected",0,IF(R2133="Corporate Card",0,V2133))</f>
        <v>85.22</v>
      </c>
      <c r="AG2133" s="15" t="s">
        <v>181</v>
      </c>
      <c r="AH2133" s="16">
        <v>45916</v>
      </c>
      <c r="AI2133" s="16"/>
      <c r="AJ2133" s="16"/>
      <c r="AK2133" s="17" t="str">
        <f>IF(AJ2133="","",AJ2133-AH2133)</f>
        <v/>
      </c>
    </row>
    <row r="2134" spans="1:37">
      <c r="A2134" s="2" t="s">
        <v>2608</v>
      </c>
      <c r="B2134" s="2" t="s">
        <v>743</v>
      </c>
      <c r="C2134" s="2" t="s">
        <v>313</v>
      </c>
      <c r="D2134" s="2" t="s">
        <v>744</v>
      </c>
      <c r="E2134" s="2" t="s">
        <v>745</v>
      </c>
      <c r="F2134" s="2" t="s">
        <v>746</v>
      </c>
      <c r="G2134" s="2" t="s">
        <v>2569</v>
      </c>
      <c r="H2134" s="2" t="s">
        <v>122</v>
      </c>
      <c r="I2134" s="2" t="s">
        <v>619</v>
      </c>
      <c r="J2134" s="2" t="s">
        <v>381</v>
      </c>
      <c r="K2134" s="9">
        <v>45908</v>
      </c>
      <c r="L2134" s="9">
        <v>45914</v>
      </c>
      <c r="M2134" s="9">
        <v>45911</v>
      </c>
      <c r="N2134" s="2" t="s">
        <v>2549</v>
      </c>
      <c r="O2134" s="2" t="s">
        <v>55</v>
      </c>
      <c r="P2134" s="2" t="s">
        <v>139</v>
      </c>
      <c r="Q2134" s="2" t="s">
        <v>161</v>
      </c>
      <c r="R2134" s="2" t="s">
        <v>128</v>
      </c>
      <c r="S2134" s="2" t="s">
        <v>383</v>
      </c>
      <c r="T2134" s="10">
        <v>20.5</v>
      </c>
      <c r="U2134" s="11">
        <v>1</v>
      </c>
      <c r="V2134" s="12">
        <f>T2134*U2134</f>
        <v>20.5</v>
      </c>
      <c r="W2134" s="13">
        <v>0</v>
      </c>
      <c r="X2134" s="12">
        <f>V2134-(V2134/(1+W2134))</f>
        <v>0</v>
      </c>
      <c r="Y2134" s="12">
        <f>V2134-X2134</f>
        <v>20.5</v>
      </c>
      <c r="Z2134" s="14">
        <v>35</v>
      </c>
      <c r="AA2134" s="2" t="str">
        <f>IF(V2134&gt;Z2134,"Yes","No")</f>
        <v>No</v>
      </c>
      <c r="AB2134" s="12">
        <f>V2134-Z2134</f>
        <v>-14.5</v>
      </c>
      <c r="AC2134" s="15" t="s">
        <v>130</v>
      </c>
      <c r="AD2134" s="15" t="s">
        <v>130</v>
      </c>
      <c r="AE2134" s="15" t="s">
        <v>260</v>
      </c>
      <c r="AF2134" s="12">
        <f>IF(AG2134="Rejected",0,IF(R2134="Corporate Card",0,V2134))</f>
        <v>0</v>
      </c>
      <c r="AG2134" s="15" t="s">
        <v>181</v>
      </c>
      <c r="AH2134" s="16">
        <v>45916</v>
      </c>
      <c r="AI2134" s="16"/>
      <c r="AJ2134" s="16"/>
      <c r="AK2134" s="17" t="str">
        <f>IF(AJ2134="","",AJ2134-AH2134)</f>
        <v/>
      </c>
    </row>
    <row r="2135" spans="1:37">
      <c r="A2135" s="2" t="s">
        <v>2609</v>
      </c>
      <c r="B2135" s="2" t="s">
        <v>342</v>
      </c>
      <c r="C2135" s="2" t="s">
        <v>343</v>
      </c>
      <c r="D2135" s="2" t="s">
        <v>344</v>
      </c>
      <c r="E2135" s="2" t="s">
        <v>345</v>
      </c>
      <c r="F2135" s="2" t="s">
        <v>346</v>
      </c>
      <c r="G2135" s="2" t="s">
        <v>2597</v>
      </c>
      <c r="H2135" s="2" t="s">
        <v>379</v>
      </c>
      <c r="I2135" s="2" t="s">
        <v>175</v>
      </c>
      <c r="J2135" s="2" t="s">
        <v>176</v>
      </c>
      <c r="K2135" s="9">
        <v>45910</v>
      </c>
      <c r="L2135" s="9">
        <v>45913</v>
      </c>
      <c r="M2135" s="9">
        <v>45911</v>
      </c>
      <c r="N2135" s="2" t="s">
        <v>2549</v>
      </c>
      <c r="O2135" s="2" t="s">
        <v>59</v>
      </c>
      <c r="P2135" s="2" t="s">
        <v>301</v>
      </c>
      <c r="Q2135" s="2" t="s">
        <v>581</v>
      </c>
      <c r="R2135" s="2" t="s">
        <v>128</v>
      </c>
      <c r="S2135" s="2" t="s">
        <v>179</v>
      </c>
      <c r="T2135" s="10">
        <v>772.02</v>
      </c>
      <c r="U2135" s="11">
        <v>0.18099999999999999</v>
      </c>
      <c r="V2135" s="12">
        <f>T2135*U2135</f>
        <v>139.73561999999998</v>
      </c>
      <c r="W2135" s="13">
        <v>0.17</v>
      </c>
      <c r="X2135" s="12">
        <f>V2135-(V2135/(1+W2135))</f>
        <v>20.303466153846145</v>
      </c>
      <c r="Y2135" s="12">
        <f>V2135-X2135</f>
        <v>119.43215384615384</v>
      </c>
      <c r="Z2135" s="14">
        <v>150</v>
      </c>
      <c r="AA2135" s="2" t="str">
        <f>IF(V2135&gt;Z2135,"Yes","No")</f>
        <v>No</v>
      </c>
      <c r="AB2135" s="12">
        <f>V2135-Z2135</f>
        <v>-10.264380000000017</v>
      </c>
      <c r="AC2135" s="15" t="s">
        <v>130</v>
      </c>
      <c r="AD2135" s="15" t="s">
        <v>130</v>
      </c>
      <c r="AE2135" s="15" t="s">
        <v>350</v>
      </c>
      <c r="AF2135" s="12">
        <f>IF(AG2135="Rejected",0,IF(R2135="Corporate Card",0,V2135))</f>
        <v>0</v>
      </c>
      <c r="AG2135" s="15" t="s">
        <v>133</v>
      </c>
      <c r="AH2135" s="16">
        <v>45919</v>
      </c>
      <c r="AI2135" s="16">
        <v>45925</v>
      </c>
      <c r="AJ2135" s="16">
        <v>45929</v>
      </c>
      <c r="AK2135" s="17">
        <f>IF(AJ2135="","",AJ2135-AH2135)</f>
        <v>10</v>
      </c>
    </row>
    <row r="2136" spans="1:37">
      <c r="A2136" s="2" t="s">
        <v>2610</v>
      </c>
      <c r="B2136" s="2" t="s">
        <v>342</v>
      </c>
      <c r="C2136" s="2" t="s">
        <v>343</v>
      </c>
      <c r="D2136" s="2" t="s">
        <v>344</v>
      </c>
      <c r="E2136" s="2" t="s">
        <v>345</v>
      </c>
      <c r="F2136" s="2" t="s">
        <v>346</v>
      </c>
      <c r="G2136" s="2" t="s">
        <v>2597</v>
      </c>
      <c r="H2136" s="2" t="s">
        <v>379</v>
      </c>
      <c r="I2136" s="2" t="s">
        <v>175</v>
      </c>
      <c r="J2136" s="2" t="s">
        <v>176</v>
      </c>
      <c r="K2136" s="9">
        <v>45910</v>
      </c>
      <c r="L2136" s="9">
        <v>45913</v>
      </c>
      <c r="M2136" s="9">
        <v>45911</v>
      </c>
      <c r="N2136" s="2" t="s">
        <v>2549</v>
      </c>
      <c r="O2136" s="2" t="s">
        <v>58</v>
      </c>
      <c r="P2136" s="2" t="s">
        <v>142</v>
      </c>
      <c r="Q2136" s="2" t="s">
        <v>156</v>
      </c>
      <c r="R2136" s="2" t="s">
        <v>137</v>
      </c>
      <c r="S2136" s="2" t="s">
        <v>179</v>
      </c>
      <c r="T2136" s="10">
        <v>311.07</v>
      </c>
      <c r="U2136" s="11">
        <v>0.18099999999999999</v>
      </c>
      <c r="V2136" s="12">
        <f>T2136*U2136</f>
        <v>56.303669999999997</v>
      </c>
      <c r="W2136" s="13">
        <v>0.17</v>
      </c>
      <c r="X2136" s="12">
        <f>V2136-(V2136/(1+W2136))</f>
        <v>8.1808751282051233</v>
      </c>
      <c r="Y2136" s="12">
        <f>V2136-X2136</f>
        <v>48.122794871794873</v>
      </c>
      <c r="Z2136" s="14">
        <v>60</v>
      </c>
      <c r="AA2136" s="2" t="str">
        <f>IF(V2136&gt;Z2136,"Yes","No")</f>
        <v>No</v>
      </c>
      <c r="AB2136" s="12">
        <f>V2136-Z2136</f>
        <v>-3.6963300000000032</v>
      </c>
      <c r="AC2136" s="15" t="s">
        <v>130</v>
      </c>
      <c r="AD2136" s="15" t="s">
        <v>130</v>
      </c>
      <c r="AE2136" s="15" t="s">
        <v>350</v>
      </c>
      <c r="AF2136" s="12">
        <f>IF(AG2136="Rejected",0,IF(R2136="Corporate Card",0,V2136))</f>
        <v>56.303669999999997</v>
      </c>
      <c r="AG2136" s="15" t="s">
        <v>133</v>
      </c>
      <c r="AH2136" s="16">
        <v>45919</v>
      </c>
      <c r="AI2136" s="16">
        <v>45925</v>
      </c>
      <c r="AJ2136" s="16">
        <v>45929</v>
      </c>
      <c r="AK2136" s="17">
        <f>IF(AJ2136="","",AJ2136-AH2136)</f>
        <v>10</v>
      </c>
    </row>
    <row r="2137" spans="1:37">
      <c r="A2137" s="2" t="s">
        <v>2611</v>
      </c>
      <c r="B2137" s="2" t="s">
        <v>342</v>
      </c>
      <c r="C2137" s="2" t="s">
        <v>343</v>
      </c>
      <c r="D2137" s="2" t="s">
        <v>344</v>
      </c>
      <c r="E2137" s="2" t="s">
        <v>345</v>
      </c>
      <c r="F2137" s="2" t="s">
        <v>346</v>
      </c>
      <c r="G2137" s="2" t="s">
        <v>2597</v>
      </c>
      <c r="H2137" s="2" t="s">
        <v>379</v>
      </c>
      <c r="I2137" s="2" t="s">
        <v>175</v>
      </c>
      <c r="J2137" s="2" t="s">
        <v>176</v>
      </c>
      <c r="K2137" s="9">
        <v>45910</v>
      </c>
      <c r="L2137" s="9">
        <v>45913</v>
      </c>
      <c r="M2137" s="9">
        <v>45911</v>
      </c>
      <c r="N2137" s="2" t="s">
        <v>2549</v>
      </c>
      <c r="O2137" s="2" t="s">
        <v>53</v>
      </c>
      <c r="P2137" s="2" t="s">
        <v>145</v>
      </c>
      <c r="Q2137" s="2" t="s">
        <v>146</v>
      </c>
      <c r="R2137" s="2" t="s">
        <v>128</v>
      </c>
      <c r="S2137" s="2" t="s">
        <v>179</v>
      </c>
      <c r="T2137" s="10">
        <v>3991.16</v>
      </c>
      <c r="U2137" s="11">
        <v>0.18099999999999999</v>
      </c>
      <c r="V2137" s="12">
        <f>T2137*U2137</f>
        <v>722.39995999999996</v>
      </c>
      <c r="W2137" s="13">
        <v>0.17</v>
      </c>
      <c r="X2137" s="12">
        <f>V2137-(V2137/(1+W2137))</f>
        <v>104.9640967521367</v>
      </c>
      <c r="Y2137" s="12">
        <f>V2137-X2137</f>
        <v>617.43586324786327</v>
      </c>
      <c r="Z2137" s="14">
        <v>840</v>
      </c>
      <c r="AA2137" s="2" t="str">
        <f>IF(V2137&gt;Z2137,"Yes","No")</f>
        <v>No</v>
      </c>
      <c r="AB2137" s="12">
        <f>V2137-Z2137</f>
        <v>-117.60004000000004</v>
      </c>
      <c r="AC2137" s="15" t="s">
        <v>130</v>
      </c>
      <c r="AD2137" s="15" t="s">
        <v>130</v>
      </c>
      <c r="AE2137" s="15" t="s">
        <v>350</v>
      </c>
      <c r="AF2137" s="12">
        <f>IF(AG2137="Rejected",0,IF(R2137="Corporate Card",0,V2137))</f>
        <v>0</v>
      </c>
      <c r="AG2137" s="15" t="s">
        <v>133</v>
      </c>
      <c r="AH2137" s="16">
        <v>45919</v>
      </c>
      <c r="AI2137" s="16">
        <v>45925</v>
      </c>
      <c r="AJ2137" s="16">
        <v>45929</v>
      </c>
      <c r="AK2137" s="17">
        <f>IF(AJ2137="","",AJ2137-AH2137)</f>
        <v>10</v>
      </c>
    </row>
    <row r="2138" spans="1:37">
      <c r="A2138" s="2" t="s">
        <v>2612</v>
      </c>
      <c r="B2138" s="2" t="s">
        <v>342</v>
      </c>
      <c r="C2138" s="2" t="s">
        <v>343</v>
      </c>
      <c r="D2138" s="2" t="s">
        <v>344</v>
      </c>
      <c r="E2138" s="2" t="s">
        <v>345</v>
      </c>
      <c r="F2138" s="2" t="s">
        <v>346</v>
      </c>
      <c r="G2138" s="2" t="s">
        <v>2597</v>
      </c>
      <c r="H2138" s="2" t="s">
        <v>379</v>
      </c>
      <c r="I2138" s="2" t="s">
        <v>175</v>
      </c>
      <c r="J2138" s="2" t="s">
        <v>176</v>
      </c>
      <c r="K2138" s="9">
        <v>45910</v>
      </c>
      <c r="L2138" s="9">
        <v>45913</v>
      </c>
      <c r="M2138" s="9">
        <v>45911</v>
      </c>
      <c r="N2138" s="2" t="s">
        <v>2549</v>
      </c>
      <c r="O2138" s="2" t="s">
        <v>54</v>
      </c>
      <c r="P2138" s="2" t="s">
        <v>139</v>
      </c>
      <c r="Q2138" s="2" t="s">
        <v>163</v>
      </c>
      <c r="R2138" s="2" t="s">
        <v>128</v>
      </c>
      <c r="S2138" s="2" t="s">
        <v>179</v>
      </c>
      <c r="T2138" s="10">
        <v>213.84</v>
      </c>
      <c r="U2138" s="11">
        <v>0.18099999999999999</v>
      </c>
      <c r="V2138" s="12">
        <f>T2138*U2138</f>
        <v>38.705039999999997</v>
      </c>
      <c r="W2138" s="13">
        <v>0.17</v>
      </c>
      <c r="X2138" s="12">
        <f>V2138-(V2138/(1+W2138))</f>
        <v>5.6238092307692256</v>
      </c>
      <c r="Y2138" s="12">
        <f>V2138-X2138</f>
        <v>33.081230769230771</v>
      </c>
      <c r="Z2138" s="14">
        <v>25</v>
      </c>
      <c r="AA2138" s="2" t="str">
        <f>IF(V2138&gt;Z2138,"Yes","No")</f>
        <v>Yes</v>
      </c>
      <c r="AB2138" s="12">
        <f>V2138-Z2138</f>
        <v>13.705039999999997</v>
      </c>
      <c r="AC2138" s="15" t="s">
        <v>130</v>
      </c>
      <c r="AD2138" s="15" t="s">
        <v>130</v>
      </c>
      <c r="AE2138" s="15" t="s">
        <v>350</v>
      </c>
      <c r="AF2138" s="12">
        <f>IF(AG2138="Rejected",0,IF(R2138="Corporate Card",0,V2138))</f>
        <v>0</v>
      </c>
      <c r="AG2138" s="15" t="s">
        <v>133</v>
      </c>
      <c r="AH2138" s="16">
        <v>45919</v>
      </c>
      <c r="AI2138" s="16">
        <v>45925</v>
      </c>
      <c r="AJ2138" s="16">
        <v>45929</v>
      </c>
      <c r="AK2138" s="17">
        <f>IF(AJ2138="","",AJ2138-AH2138)</f>
        <v>10</v>
      </c>
    </row>
    <row r="2139" spans="1:37">
      <c r="A2139" s="2" t="s">
        <v>2613</v>
      </c>
      <c r="B2139" s="2" t="s">
        <v>342</v>
      </c>
      <c r="C2139" s="2" t="s">
        <v>343</v>
      </c>
      <c r="D2139" s="2" t="s">
        <v>344</v>
      </c>
      <c r="E2139" s="2" t="s">
        <v>345</v>
      </c>
      <c r="F2139" s="2" t="s">
        <v>346</v>
      </c>
      <c r="G2139" s="2" t="s">
        <v>2597</v>
      </c>
      <c r="H2139" s="2" t="s">
        <v>379</v>
      </c>
      <c r="I2139" s="2" t="s">
        <v>175</v>
      </c>
      <c r="J2139" s="2" t="s">
        <v>176</v>
      </c>
      <c r="K2139" s="9">
        <v>45910</v>
      </c>
      <c r="L2139" s="9">
        <v>45913</v>
      </c>
      <c r="M2139" s="9">
        <v>45911</v>
      </c>
      <c r="N2139" s="2" t="s">
        <v>2549</v>
      </c>
      <c r="O2139" s="2" t="s">
        <v>56</v>
      </c>
      <c r="P2139" s="2" t="s">
        <v>245</v>
      </c>
      <c r="Q2139" s="2" t="s">
        <v>152</v>
      </c>
      <c r="R2139" s="2" t="s">
        <v>128</v>
      </c>
      <c r="S2139" s="2" t="s">
        <v>179</v>
      </c>
      <c r="T2139" s="10">
        <v>256.77</v>
      </c>
      <c r="U2139" s="11">
        <v>0.18099999999999999</v>
      </c>
      <c r="V2139" s="12">
        <f>T2139*U2139</f>
        <v>46.475369999999998</v>
      </c>
      <c r="W2139" s="13">
        <v>0.17</v>
      </c>
      <c r="X2139" s="12">
        <f>V2139-(V2139/(1+W2139))</f>
        <v>6.7528315384615354</v>
      </c>
      <c r="Y2139" s="12">
        <f>V2139-X2139</f>
        <v>39.722538461538463</v>
      </c>
      <c r="Z2139" s="14">
        <v>75</v>
      </c>
      <c r="AA2139" s="2" t="str">
        <f>IF(V2139&gt;Z2139,"Yes","No")</f>
        <v>No</v>
      </c>
      <c r="AB2139" s="12">
        <f>V2139-Z2139</f>
        <v>-28.524630000000002</v>
      </c>
      <c r="AC2139" s="15" t="s">
        <v>130</v>
      </c>
      <c r="AD2139" s="15" t="s">
        <v>130</v>
      </c>
      <c r="AE2139" s="15" t="s">
        <v>350</v>
      </c>
      <c r="AF2139" s="12">
        <f>IF(AG2139="Rejected",0,IF(R2139="Corporate Card",0,V2139))</f>
        <v>0</v>
      </c>
      <c r="AG2139" s="15" t="s">
        <v>133</v>
      </c>
      <c r="AH2139" s="16">
        <v>45919</v>
      </c>
      <c r="AI2139" s="16">
        <v>45925</v>
      </c>
      <c r="AJ2139" s="16">
        <v>45929</v>
      </c>
      <c r="AK2139" s="17">
        <f>IF(AJ2139="","",AJ2139-AH2139)</f>
        <v>10</v>
      </c>
    </row>
    <row r="2140" spans="1:37">
      <c r="A2140" s="2" t="s">
        <v>2614</v>
      </c>
      <c r="B2140" s="2" t="s">
        <v>342</v>
      </c>
      <c r="C2140" s="2" t="s">
        <v>343</v>
      </c>
      <c r="D2140" s="2" t="s">
        <v>344</v>
      </c>
      <c r="E2140" s="2" t="s">
        <v>345</v>
      </c>
      <c r="F2140" s="2" t="s">
        <v>346</v>
      </c>
      <c r="G2140" s="2" t="s">
        <v>2597</v>
      </c>
      <c r="H2140" s="2" t="s">
        <v>379</v>
      </c>
      <c r="I2140" s="2" t="s">
        <v>175</v>
      </c>
      <c r="J2140" s="2" t="s">
        <v>176</v>
      </c>
      <c r="K2140" s="9">
        <v>45910</v>
      </c>
      <c r="L2140" s="9">
        <v>45913</v>
      </c>
      <c r="M2140" s="9">
        <v>45911</v>
      </c>
      <c r="N2140" s="2" t="s">
        <v>2549</v>
      </c>
      <c r="O2140" s="2" t="s">
        <v>55</v>
      </c>
      <c r="P2140" s="2" t="s">
        <v>139</v>
      </c>
      <c r="Q2140" s="2" t="s">
        <v>154</v>
      </c>
      <c r="R2140" s="2" t="s">
        <v>128</v>
      </c>
      <c r="S2140" s="2" t="s">
        <v>179</v>
      </c>
      <c r="T2140" s="10">
        <v>134.66999999999999</v>
      </c>
      <c r="U2140" s="11">
        <v>0.18099999999999999</v>
      </c>
      <c r="V2140" s="12">
        <f>T2140*U2140</f>
        <v>24.375269999999997</v>
      </c>
      <c r="W2140" s="13">
        <v>0.17</v>
      </c>
      <c r="X2140" s="12">
        <f>V2140-(V2140/(1+W2140))</f>
        <v>3.5417058974358966</v>
      </c>
      <c r="Y2140" s="12">
        <f>V2140-X2140</f>
        <v>20.8335641025641</v>
      </c>
      <c r="Z2140" s="14">
        <v>35</v>
      </c>
      <c r="AA2140" s="2" t="str">
        <f>IF(V2140&gt;Z2140,"Yes","No")</f>
        <v>No</v>
      </c>
      <c r="AB2140" s="12">
        <f>V2140-Z2140</f>
        <v>-10.624730000000003</v>
      </c>
      <c r="AC2140" s="15" t="s">
        <v>130</v>
      </c>
      <c r="AD2140" s="15" t="s">
        <v>130</v>
      </c>
      <c r="AE2140" s="15" t="s">
        <v>350</v>
      </c>
      <c r="AF2140" s="12">
        <f>IF(AG2140="Rejected",0,IF(R2140="Corporate Card",0,V2140))</f>
        <v>0</v>
      </c>
      <c r="AG2140" s="15" t="s">
        <v>133</v>
      </c>
      <c r="AH2140" s="16">
        <v>45919</v>
      </c>
      <c r="AI2140" s="16">
        <v>45925</v>
      </c>
      <c r="AJ2140" s="16">
        <v>45929</v>
      </c>
      <c r="AK2140" s="17">
        <f>IF(AJ2140="","",AJ2140-AH2140)</f>
        <v>10</v>
      </c>
    </row>
    <row r="2141" spans="1:37">
      <c r="A2141" s="2" t="s">
        <v>2615</v>
      </c>
      <c r="B2141" s="2" t="s">
        <v>743</v>
      </c>
      <c r="C2141" s="2" t="s">
        <v>313</v>
      </c>
      <c r="D2141" s="2" t="s">
        <v>744</v>
      </c>
      <c r="E2141" s="2" t="s">
        <v>745</v>
      </c>
      <c r="F2141" s="2" t="s">
        <v>746</v>
      </c>
      <c r="G2141" s="2" t="s">
        <v>2569</v>
      </c>
      <c r="H2141" s="2" t="s">
        <v>122</v>
      </c>
      <c r="I2141" s="2" t="s">
        <v>619</v>
      </c>
      <c r="J2141" s="2" t="s">
        <v>381</v>
      </c>
      <c r="K2141" s="9">
        <v>45908</v>
      </c>
      <c r="L2141" s="9">
        <v>45914</v>
      </c>
      <c r="M2141" s="9">
        <v>45912</v>
      </c>
      <c r="N2141" s="2" t="s">
        <v>2549</v>
      </c>
      <c r="O2141" s="2" t="s">
        <v>54</v>
      </c>
      <c r="P2141" s="2" t="s">
        <v>139</v>
      </c>
      <c r="Q2141" s="2" t="s">
        <v>163</v>
      </c>
      <c r="R2141" s="2" t="s">
        <v>128</v>
      </c>
      <c r="S2141" s="2" t="s">
        <v>383</v>
      </c>
      <c r="T2141" s="10">
        <v>20.47</v>
      </c>
      <c r="U2141" s="11">
        <v>1</v>
      </c>
      <c r="V2141" s="12">
        <f>T2141*U2141</f>
        <v>20.47</v>
      </c>
      <c r="W2141" s="13">
        <v>0</v>
      </c>
      <c r="X2141" s="12">
        <f>V2141-(V2141/(1+W2141))</f>
        <v>0</v>
      </c>
      <c r="Y2141" s="12">
        <f>V2141-X2141</f>
        <v>20.47</v>
      </c>
      <c r="Z2141" s="14">
        <v>25</v>
      </c>
      <c r="AA2141" s="2" t="str">
        <f>IF(V2141&gt;Z2141,"Yes","No")</f>
        <v>No</v>
      </c>
      <c r="AB2141" s="12">
        <f>V2141-Z2141</f>
        <v>-4.5300000000000011</v>
      </c>
      <c r="AC2141" s="15" t="s">
        <v>130</v>
      </c>
      <c r="AD2141" s="15" t="s">
        <v>130</v>
      </c>
      <c r="AE2141" s="15" t="s">
        <v>260</v>
      </c>
      <c r="AF2141" s="12">
        <f>IF(AG2141="Rejected",0,IF(R2141="Corporate Card",0,V2141))</f>
        <v>0</v>
      </c>
      <c r="AG2141" s="15" t="s">
        <v>181</v>
      </c>
      <c r="AH2141" s="16">
        <v>45916</v>
      </c>
      <c r="AI2141" s="16"/>
      <c r="AJ2141" s="16"/>
      <c r="AK2141" s="17" t="str">
        <f>IF(AJ2141="","",AJ2141-AH2141)</f>
        <v/>
      </c>
    </row>
    <row r="2142" spans="1:37">
      <c r="A2142" s="2" t="s">
        <v>2616</v>
      </c>
      <c r="B2142" s="2" t="s">
        <v>743</v>
      </c>
      <c r="C2142" s="2" t="s">
        <v>313</v>
      </c>
      <c r="D2142" s="2" t="s">
        <v>744</v>
      </c>
      <c r="E2142" s="2" t="s">
        <v>745</v>
      </c>
      <c r="F2142" s="2" t="s">
        <v>746</v>
      </c>
      <c r="G2142" s="2" t="s">
        <v>2569</v>
      </c>
      <c r="H2142" s="2" t="s">
        <v>122</v>
      </c>
      <c r="I2142" s="2" t="s">
        <v>619</v>
      </c>
      <c r="J2142" s="2" t="s">
        <v>381</v>
      </c>
      <c r="K2142" s="9">
        <v>45908</v>
      </c>
      <c r="L2142" s="9">
        <v>45914</v>
      </c>
      <c r="M2142" s="9">
        <v>45912</v>
      </c>
      <c r="N2142" s="2" t="s">
        <v>2549</v>
      </c>
      <c r="O2142" s="2" t="s">
        <v>56</v>
      </c>
      <c r="P2142" s="2" t="s">
        <v>165</v>
      </c>
      <c r="Q2142" s="2" t="s">
        <v>159</v>
      </c>
      <c r="R2142" s="2" t="s">
        <v>128</v>
      </c>
      <c r="S2142" s="2" t="s">
        <v>383</v>
      </c>
      <c r="T2142" s="10">
        <v>29.09</v>
      </c>
      <c r="U2142" s="11">
        <v>1</v>
      </c>
      <c r="V2142" s="12">
        <f>T2142*U2142</f>
        <v>29.09</v>
      </c>
      <c r="W2142" s="13">
        <v>0</v>
      </c>
      <c r="X2142" s="12">
        <f>V2142-(V2142/(1+W2142))</f>
        <v>0</v>
      </c>
      <c r="Y2142" s="12">
        <f>V2142-X2142</f>
        <v>29.09</v>
      </c>
      <c r="Z2142" s="14">
        <v>75</v>
      </c>
      <c r="AA2142" s="2" t="str">
        <f>IF(V2142&gt;Z2142,"Yes","No")</f>
        <v>No</v>
      </c>
      <c r="AB2142" s="12">
        <f>V2142-Z2142</f>
        <v>-45.91</v>
      </c>
      <c r="AC2142" s="15" t="s">
        <v>130</v>
      </c>
      <c r="AD2142" s="15" t="s">
        <v>130</v>
      </c>
      <c r="AE2142" s="15" t="s">
        <v>260</v>
      </c>
      <c r="AF2142" s="12">
        <f>IF(AG2142="Rejected",0,IF(R2142="Corporate Card",0,V2142))</f>
        <v>0</v>
      </c>
      <c r="AG2142" s="15" t="s">
        <v>181</v>
      </c>
      <c r="AH2142" s="16">
        <v>45916</v>
      </c>
      <c r="AI2142" s="16"/>
      <c r="AJ2142" s="16"/>
      <c r="AK2142" s="17" t="str">
        <f>IF(AJ2142="","",AJ2142-AH2142)</f>
        <v/>
      </c>
    </row>
    <row r="2143" spans="1:37">
      <c r="A2143" s="2" t="s">
        <v>2617</v>
      </c>
      <c r="B2143" s="2" t="s">
        <v>743</v>
      </c>
      <c r="C2143" s="2" t="s">
        <v>313</v>
      </c>
      <c r="D2143" s="2" t="s">
        <v>744</v>
      </c>
      <c r="E2143" s="2" t="s">
        <v>745</v>
      </c>
      <c r="F2143" s="2" t="s">
        <v>746</v>
      </c>
      <c r="G2143" s="2" t="s">
        <v>2569</v>
      </c>
      <c r="H2143" s="2" t="s">
        <v>122</v>
      </c>
      <c r="I2143" s="2" t="s">
        <v>619</v>
      </c>
      <c r="J2143" s="2" t="s">
        <v>381</v>
      </c>
      <c r="K2143" s="9">
        <v>45908</v>
      </c>
      <c r="L2143" s="9">
        <v>45914</v>
      </c>
      <c r="M2143" s="9">
        <v>45912</v>
      </c>
      <c r="N2143" s="2" t="s">
        <v>2549</v>
      </c>
      <c r="O2143" s="2" t="s">
        <v>55</v>
      </c>
      <c r="P2143" s="2" t="s">
        <v>139</v>
      </c>
      <c r="Q2143" s="2" t="s">
        <v>161</v>
      </c>
      <c r="R2143" s="2" t="s">
        <v>128</v>
      </c>
      <c r="S2143" s="2" t="s">
        <v>383</v>
      </c>
      <c r="T2143" s="10">
        <v>21.86</v>
      </c>
      <c r="U2143" s="11">
        <v>1</v>
      </c>
      <c r="V2143" s="12">
        <f>T2143*U2143</f>
        <v>21.86</v>
      </c>
      <c r="W2143" s="13">
        <v>0</v>
      </c>
      <c r="X2143" s="12">
        <f>V2143-(V2143/(1+W2143))</f>
        <v>0</v>
      </c>
      <c r="Y2143" s="12">
        <f>V2143-X2143</f>
        <v>21.86</v>
      </c>
      <c r="Z2143" s="14">
        <v>35</v>
      </c>
      <c r="AA2143" s="2" t="str">
        <f>IF(V2143&gt;Z2143,"Yes","No")</f>
        <v>No</v>
      </c>
      <c r="AB2143" s="12">
        <f>V2143-Z2143</f>
        <v>-13.14</v>
      </c>
      <c r="AC2143" s="15" t="s">
        <v>130</v>
      </c>
      <c r="AD2143" s="15" t="s">
        <v>130</v>
      </c>
      <c r="AE2143" s="15" t="s">
        <v>260</v>
      </c>
      <c r="AF2143" s="12">
        <f>IF(AG2143="Rejected",0,IF(R2143="Corporate Card",0,V2143))</f>
        <v>0</v>
      </c>
      <c r="AG2143" s="15" t="s">
        <v>181</v>
      </c>
      <c r="AH2143" s="16">
        <v>45916</v>
      </c>
      <c r="AI2143" s="16"/>
      <c r="AJ2143" s="16"/>
      <c r="AK2143" s="17" t="str">
        <f>IF(AJ2143="","",AJ2143-AH2143)</f>
        <v/>
      </c>
    </row>
    <row r="2144" spans="1:37">
      <c r="A2144" s="2" t="s">
        <v>2618</v>
      </c>
      <c r="B2144" s="2" t="s">
        <v>342</v>
      </c>
      <c r="C2144" s="2" t="s">
        <v>343</v>
      </c>
      <c r="D2144" s="2" t="s">
        <v>344</v>
      </c>
      <c r="E2144" s="2" t="s">
        <v>345</v>
      </c>
      <c r="F2144" s="2" t="s">
        <v>346</v>
      </c>
      <c r="G2144" s="2" t="s">
        <v>2597</v>
      </c>
      <c r="H2144" s="2" t="s">
        <v>379</v>
      </c>
      <c r="I2144" s="2" t="s">
        <v>175</v>
      </c>
      <c r="J2144" s="2" t="s">
        <v>176</v>
      </c>
      <c r="K2144" s="9">
        <v>45910</v>
      </c>
      <c r="L2144" s="9">
        <v>45913</v>
      </c>
      <c r="M2144" s="9">
        <v>45912</v>
      </c>
      <c r="N2144" s="2" t="s">
        <v>2549</v>
      </c>
      <c r="O2144" s="2" t="s">
        <v>58</v>
      </c>
      <c r="P2144" s="2" t="s">
        <v>142</v>
      </c>
      <c r="Q2144" s="2" t="s">
        <v>143</v>
      </c>
      <c r="R2144" s="2" t="s">
        <v>137</v>
      </c>
      <c r="S2144" s="2" t="s">
        <v>179</v>
      </c>
      <c r="T2144" s="10">
        <v>252.24</v>
      </c>
      <c r="U2144" s="11">
        <v>0.18099999999999999</v>
      </c>
      <c r="V2144" s="12">
        <f>T2144*U2144</f>
        <v>45.655439999999999</v>
      </c>
      <c r="W2144" s="13">
        <v>0.17</v>
      </c>
      <c r="X2144" s="12">
        <f>V2144-(V2144/(1+W2144))</f>
        <v>6.6336964102564053</v>
      </c>
      <c r="Y2144" s="12">
        <f>V2144-X2144</f>
        <v>39.021743589743593</v>
      </c>
      <c r="Z2144" s="14">
        <v>60</v>
      </c>
      <c r="AA2144" s="2" t="str">
        <f>IF(V2144&gt;Z2144,"Yes","No")</f>
        <v>No</v>
      </c>
      <c r="AB2144" s="12">
        <f>V2144-Z2144</f>
        <v>-14.344560000000001</v>
      </c>
      <c r="AC2144" s="15" t="s">
        <v>130</v>
      </c>
      <c r="AD2144" s="15" t="s">
        <v>130</v>
      </c>
      <c r="AE2144" s="15" t="s">
        <v>350</v>
      </c>
      <c r="AF2144" s="12">
        <f>IF(AG2144="Rejected",0,IF(R2144="Corporate Card",0,V2144))</f>
        <v>45.655439999999999</v>
      </c>
      <c r="AG2144" s="15" t="s">
        <v>133</v>
      </c>
      <c r="AH2144" s="16">
        <v>45919</v>
      </c>
      <c r="AI2144" s="16">
        <v>45925</v>
      </c>
      <c r="AJ2144" s="16">
        <v>45929</v>
      </c>
      <c r="AK2144" s="17">
        <f>IF(AJ2144="","",AJ2144-AH2144)</f>
        <v>10</v>
      </c>
    </row>
    <row r="2145" spans="1:37">
      <c r="A2145" s="2" t="s">
        <v>2619</v>
      </c>
      <c r="B2145" s="2" t="s">
        <v>342</v>
      </c>
      <c r="C2145" s="2" t="s">
        <v>343</v>
      </c>
      <c r="D2145" s="2" t="s">
        <v>344</v>
      </c>
      <c r="E2145" s="2" t="s">
        <v>345</v>
      </c>
      <c r="F2145" s="2" t="s">
        <v>346</v>
      </c>
      <c r="G2145" s="2" t="s">
        <v>2597</v>
      </c>
      <c r="H2145" s="2" t="s">
        <v>379</v>
      </c>
      <c r="I2145" s="2" t="s">
        <v>175</v>
      </c>
      <c r="J2145" s="2" t="s">
        <v>176</v>
      </c>
      <c r="K2145" s="9">
        <v>45910</v>
      </c>
      <c r="L2145" s="9">
        <v>45913</v>
      </c>
      <c r="M2145" s="9">
        <v>45912</v>
      </c>
      <c r="N2145" s="2" t="s">
        <v>2549</v>
      </c>
      <c r="O2145" s="2" t="s">
        <v>55</v>
      </c>
      <c r="P2145" s="2" t="s">
        <v>139</v>
      </c>
      <c r="Q2145" s="2" t="s">
        <v>154</v>
      </c>
      <c r="R2145" s="2" t="s">
        <v>128</v>
      </c>
      <c r="S2145" s="2" t="s">
        <v>179</v>
      </c>
      <c r="T2145" s="10">
        <v>141.06</v>
      </c>
      <c r="U2145" s="11">
        <v>0.18099999999999999</v>
      </c>
      <c r="V2145" s="12">
        <f>T2145*U2145</f>
        <v>25.531859999999998</v>
      </c>
      <c r="W2145" s="13">
        <v>0.17</v>
      </c>
      <c r="X2145" s="12">
        <f>V2145-(V2145/(1+W2145))</f>
        <v>3.7097574358974335</v>
      </c>
      <c r="Y2145" s="12">
        <f>V2145-X2145</f>
        <v>21.822102564102565</v>
      </c>
      <c r="Z2145" s="14">
        <v>35</v>
      </c>
      <c r="AA2145" s="2" t="str">
        <f>IF(V2145&gt;Z2145,"Yes","No")</f>
        <v>No</v>
      </c>
      <c r="AB2145" s="12">
        <f>V2145-Z2145</f>
        <v>-9.4681400000000018</v>
      </c>
      <c r="AC2145" s="15" t="s">
        <v>130</v>
      </c>
      <c r="AD2145" s="15" t="s">
        <v>130</v>
      </c>
      <c r="AE2145" s="15" t="s">
        <v>350</v>
      </c>
      <c r="AF2145" s="12">
        <f>IF(AG2145="Rejected",0,IF(R2145="Corporate Card",0,V2145))</f>
        <v>0</v>
      </c>
      <c r="AG2145" s="15" t="s">
        <v>133</v>
      </c>
      <c r="AH2145" s="16">
        <v>45919</v>
      </c>
      <c r="AI2145" s="16">
        <v>45925</v>
      </c>
      <c r="AJ2145" s="16">
        <v>45929</v>
      </c>
      <c r="AK2145" s="17">
        <f>IF(AJ2145="","",AJ2145-AH2145)</f>
        <v>10</v>
      </c>
    </row>
    <row r="2146" spans="1:37">
      <c r="A2146" s="2" t="s">
        <v>2620</v>
      </c>
      <c r="B2146" s="2" t="s">
        <v>743</v>
      </c>
      <c r="C2146" s="2" t="s">
        <v>313</v>
      </c>
      <c r="D2146" s="2" t="s">
        <v>744</v>
      </c>
      <c r="E2146" s="2" t="s">
        <v>745</v>
      </c>
      <c r="F2146" s="2" t="s">
        <v>746</v>
      </c>
      <c r="G2146" s="2" t="s">
        <v>2569</v>
      </c>
      <c r="H2146" s="2" t="s">
        <v>122</v>
      </c>
      <c r="I2146" s="2" t="s">
        <v>619</v>
      </c>
      <c r="J2146" s="2" t="s">
        <v>381</v>
      </c>
      <c r="K2146" s="9">
        <v>45908</v>
      </c>
      <c r="L2146" s="9">
        <v>45914</v>
      </c>
      <c r="M2146" s="9">
        <v>45913</v>
      </c>
      <c r="N2146" s="2" t="s">
        <v>2549</v>
      </c>
      <c r="O2146" s="2" t="s">
        <v>58</v>
      </c>
      <c r="P2146" s="2" t="s">
        <v>142</v>
      </c>
      <c r="Q2146" s="2" t="s">
        <v>296</v>
      </c>
      <c r="R2146" s="2" t="s">
        <v>128</v>
      </c>
      <c r="S2146" s="2" t="s">
        <v>383</v>
      </c>
      <c r="T2146" s="10">
        <v>26.18</v>
      </c>
      <c r="U2146" s="11">
        <v>1</v>
      </c>
      <c r="V2146" s="12">
        <f>T2146*U2146</f>
        <v>26.18</v>
      </c>
      <c r="W2146" s="13">
        <v>0</v>
      </c>
      <c r="X2146" s="12">
        <f>V2146-(V2146/(1+W2146))</f>
        <v>0</v>
      </c>
      <c r="Y2146" s="12">
        <f>V2146-X2146</f>
        <v>26.18</v>
      </c>
      <c r="Z2146" s="14">
        <v>60</v>
      </c>
      <c r="AA2146" s="2" t="str">
        <f>IF(V2146&gt;Z2146,"Yes","No")</f>
        <v>No</v>
      </c>
      <c r="AB2146" s="12">
        <f>V2146-Z2146</f>
        <v>-33.82</v>
      </c>
      <c r="AC2146" s="15" t="s">
        <v>130</v>
      </c>
      <c r="AD2146" s="15" t="s">
        <v>130</v>
      </c>
      <c r="AE2146" s="15" t="s">
        <v>260</v>
      </c>
      <c r="AF2146" s="12">
        <f>IF(AG2146="Rejected",0,IF(R2146="Corporate Card",0,V2146))</f>
        <v>0</v>
      </c>
      <c r="AG2146" s="15" t="s">
        <v>181</v>
      </c>
      <c r="AH2146" s="16">
        <v>45916</v>
      </c>
      <c r="AI2146" s="16"/>
      <c r="AJ2146" s="16"/>
      <c r="AK2146" s="17" t="str">
        <f>IF(AJ2146="","",AJ2146-AH2146)</f>
        <v/>
      </c>
    </row>
    <row r="2147" spans="1:37">
      <c r="A2147" s="2" t="s">
        <v>2621</v>
      </c>
      <c r="B2147" s="2" t="s">
        <v>743</v>
      </c>
      <c r="C2147" s="2" t="s">
        <v>313</v>
      </c>
      <c r="D2147" s="2" t="s">
        <v>744</v>
      </c>
      <c r="E2147" s="2" t="s">
        <v>745</v>
      </c>
      <c r="F2147" s="2" t="s">
        <v>746</v>
      </c>
      <c r="G2147" s="2" t="s">
        <v>2569</v>
      </c>
      <c r="H2147" s="2" t="s">
        <v>122</v>
      </c>
      <c r="I2147" s="2" t="s">
        <v>619</v>
      </c>
      <c r="J2147" s="2" t="s">
        <v>381</v>
      </c>
      <c r="K2147" s="9">
        <v>45908</v>
      </c>
      <c r="L2147" s="9">
        <v>45914</v>
      </c>
      <c r="M2147" s="9">
        <v>45913</v>
      </c>
      <c r="N2147" s="2" t="s">
        <v>2549</v>
      </c>
      <c r="O2147" s="2" t="s">
        <v>54</v>
      </c>
      <c r="P2147" s="2" t="s">
        <v>139</v>
      </c>
      <c r="Q2147" s="2" t="s">
        <v>148</v>
      </c>
      <c r="R2147" s="2" t="s">
        <v>149</v>
      </c>
      <c r="S2147" s="2" t="s">
        <v>383</v>
      </c>
      <c r="T2147" s="10">
        <v>13.31</v>
      </c>
      <c r="U2147" s="11">
        <v>1</v>
      </c>
      <c r="V2147" s="12">
        <f>T2147*U2147</f>
        <v>13.31</v>
      </c>
      <c r="W2147" s="13">
        <v>0</v>
      </c>
      <c r="X2147" s="12">
        <f>V2147-(V2147/(1+W2147))</f>
        <v>0</v>
      </c>
      <c r="Y2147" s="12">
        <f>V2147-X2147</f>
        <v>13.31</v>
      </c>
      <c r="Z2147" s="14">
        <v>25</v>
      </c>
      <c r="AA2147" s="2" t="str">
        <f>IF(V2147&gt;Z2147,"Yes","No")</f>
        <v>No</v>
      </c>
      <c r="AB2147" s="12">
        <f>V2147-Z2147</f>
        <v>-11.69</v>
      </c>
      <c r="AC2147" s="15" t="s">
        <v>130</v>
      </c>
      <c r="AD2147" s="15" t="s">
        <v>130</v>
      </c>
      <c r="AE2147" s="15" t="s">
        <v>260</v>
      </c>
      <c r="AF2147" s="12">
        <f>IF(AG2147="Rejected",0,IF(R2147="Corporate Card",0,V2147))</f>
        <v>13.31</v>
      </c>
      <c r="AG2147" s="15" t="s">
        <v>181</v>
      </c>
      <c r="AH2147" s="16">
        <v>45916</v>
      </c>
      <c r="AI2147" s="16"/>
      <c r="AJ2147" s="16"/>
      <c r="AK2147" s="17" t="str">
        <f>IF(AJ2147="","",AJ2147-AH2147)</f>
        <v/>
      </c>
    </row>
    <row r="2148" spans="1:37">
      <c r="A2148" s="2" t="s">
        <v>2622</v>
      </c>
      <c r="B2148" s="2" t="s">
        <v>743</v>
      </c>
      <c r="C2148" s="2" t="s">
        <v>313</v>
      </c>
      <c r="D2148" s="2" t="s">
        <v>744</v>
      </c>
      <c r="E2148" s="2" t="s">
        <v>745</v>
      </c>
      <c r="F2148" s="2" t="s">
        <v>746</v>
      </c>
      <c r="G2148" s="2" t="s">
        <v>2569</v>
      </c>
      <c r="H2148" s="2" t="s">
        <v>122</v>
      </c>
      <c r="I2148" s="2" t="s">
        <v>619</v>
      </c>
      <c r="J2148" s="2" t="s">
        <v>381</v>
      </c>
      <c r="K2148" s="9">
        <v>45908</v>
      </c>
      <c r="L2148" s="9">
        <v>45914</v>
      </c>
      <c r="M2148" s="9">
        <v>45913</v>
      </c>
      <c r="N2148" s="2" t="s">
        <v>2549</v>
      </c>
      <c r="O2148" s="2" t="s">
        <v>56</v>
      </c>
      <c r="P2148" s="2" t="s">
        <v>151</v>
      </c>
      <c r="Q2148" s="2" t="s">
        <v>185</v>
      </c>
      <c r="R2148" s="2" t="s">
        <v>149</v>
      </c>
      <c r="S2148" s="2" t="s">
        <v>383</v>
      </c>
      <c r="T2148" s="10">
        <v>29.45</v>
      </c>
      <c r="U2148" s="11">
        <v>1</v>
      </c>
      <c r="V2148" s="12">
        <f>T2148*U2148</f>
        <v>29.45</v>
      </c>
      <c r="W2148" s="13">
        <v>0</v>
      </c>
      <c r="X2148" s="12">
        <f>V2148-(V2148/(1+W2148))</f>
        <v>0</v>
      </c>
      <c r="Y2148" s="12">
        <f>V2148-X2148</f>
        <v>29.45</v>
      </c>
      <c r="Z2148" s="14">
        <v>75</v>
      </c>
      <c r="AA2148" s="2" t="str">
        <f>IF(V2148&gt;Z2148,"Yes","No")</f>
        <v>No</v>
      </c>
      <c r="AB2148" s="12">
        <f>V2148-Z2148</f>
        <v>-45.55</v>
      </c>
      <c r="AC2148" s="15" t="s">
        <v>130</v>
      </c>
      <c r="AD2148" s="15" t="s">
        <v>130</v>
      </c>
      <c r="AE2148" s="15" t="s">
        <v>260</v>
      </c>
      <c r="AF2148" s="12">
        <f>IF(AG2148="Rejected",0,IF(R2148="Corporate Card",0,V2148))</f>
        <v>29.45</v>
      </c>
      <c r="AG2148" s="15" t="s">
        <v>181</v>
      </c>
      <c r="AH2148" s="16">
        <v>45916</v>
      </c>
      <c r="AI2148" s="16"/>
      <c r="AJ2148" s="16"/>
      <c r="AK2148" s="17" t="str">
        <f>IF(AJ2148="","",AJ2148-AH2148)</f>
        <v/>
      </c>
    </row>
    <row r="2149" spans="1:37">
      <c r="A2149" s="2" t="s">
        <v>2623</v>
      </c>
      <c r="B2149" s="2" t="s">
        <v>743</v>
      </c>
      <c r="C2149" s="2" t="s">
        <v>313</v>
      </c>
      <c r="D2149" s="2" t="s">
        <v>744</v>
      </c>
      <c r="E2149" s="2" t="s">
        <v>745</v>
      </c>
      <c r="F2149" s="2" t="s">
        <v>746</v>
      </c>
      <c r="G2149" s="2" t="s">
        <v>2569</v>
      </c>
      <c r="H2149" s="2" t="s">
        <v>122</v>
      </c>
      <c r="I2149" s="2" t="s">
        <v>619</v>
      </c>
      <c r="J2149" s="2" t="s">
        <v>381</v>
      </c>
      <c r="K2149" s="9">
        <v>45908</v>
      </c>
      <c r="L2149" s="9">
        <v>45914</v>
      </c>
      <c r="M2149" s="9">
        <v>45913</v>
      </c>
      <c r="N2149" s="2" t="s">
        <v>2549</v>
      </c>
      <c r="O2149" s="2" t="s">
        <v>55</v>
      </c>
      <c r="P2149" s="2" t="s">
        <v>139</v>
      </c>
      <c r="Q2149" s="2" t="s">
        <v>161</v>
      </c>
      <c r="R2149" s="2" t="s">
        <v>128</v>
      </c>
      <c r="S2149" s="2" t="s">
        <v>383</v>
      </c>
      <c r="T2149" s="10">
        <v>34.549999999999997</v>
      </c>
      <c r="U2149" s="11">
        <v>1</v>
      </c>
      <c r="V2149" s="12">
        <f>T2149*U2149</f>
        <v>34.549999999999997</v>
      </c>
      <c r="W2149" s="13">
        <v>0</v>
      </c>
      <c r="X2149" s="12">
        <f>V2149-(V2149/(1+W2149))</f>
        <v>0</v>
      </c>
      <c r="Y2149" s="12">
        <f>V2149-X2149</f>
        <v>34.549999999999997</v>
      </c>
      <c r="Z2149" s="14">
        <v>35</v>
      </c>
      <c r="AA2149" s="2" t="str">
        <f>IF(V2149&gt;Z2149,"Yes","No")</f>
        <v>No</v>
      </c>
      <c r="AB2149" s="12">
        <f>V2149-Z2149</f>
        <v>-0.45000000000000284</v>
      </c>
      <c r="AC2149" s="15" t="s">
        <v>130</v>
      </c>
      <c r="AD2149" s="15" t="s">
        <v>130</v>
      </c>
      <c r="AE2149" s="15" t="s">
        <v>260</v>
      </c>
      <c r="AF2149" s="12">
        <f>IF(AG2149="Rejected",0,IF(R2149="Corporate Card",0,V2149))</f>
        <v>0</v>
      </c>
      <c r="AG2149" s="15" t="s">
        <v>181</v>
      </c>
      <c r="AH2149" s="16">
        <v>45916</v>
      </c>
      <c r="AI2149" s="16"/>
      <c r="AJ2149" s="16"/>
      <c r="AK2149" s="17" t="str">
        <f>IF(AJ2149="","",AJ2149-AH2149)</f>
        <v/>
      </c>
    </row>
    <row r="2150" spans="1:37">
      <c r="A2150" s="2" t="s">
        <v>2624</v>
      </c>
      <c r="B2150" s="2" t="s">
        <v>2212</v>
      </c>
      <c r="C2150" s="2" t="s">
        <v>346</v>
      </c>
      <c r="D2150" s="2" t="s">
        <v>344</v>
      </c>
      <c r="E2150" s="2" t="s">
        <v>2213</v>
      </c>
      <c r="F2150" s="2" t="s">
        <v>313</v>
      </c>
      <c r="G2150" s="2" t="s">
        <v>2625</v>
      </c>
      <c r="H2150" s="2" t="s">
        <v>803</v>
      </c>
      <c r="I2150" s="2" t="s">
        <v>1251</v>
      </c>
      <c r="J2150" s="2" t="s">
        <v>750</v>
      </c>
      <c r="K2150" s="9">
        <v>45913</v>
      </c>
      <c r="L2150" s="9">
        <v>45919</v>
      </c>
      <c r="M2150" s="9">
        <v>45913</v>
      </c>
      <c r="N2150" s="2" t="s">
        <v>2549</v>
      </c>
      <c r="O2150" s="2" t="s">
        <v>52</v>
      </c>
      <c r="P2150" s="2" t="s">
        <v>1252</v>
      </c>
      <c r="Q2150" s="2" t="s">
        <v>136</v>
      </c>
      <c r="R2150" s="2" t="s">
        <v>128</v>
      </c>
      <c r="S2150" s="2" t="s">
        <v>198</v>
      </c>
      <c r="T2150" s="10">
        <v>1526.01</v>
      </c>
      <c r="U2150" s="11">
        <v>1.085</v>
      </c>
      <c r="V2150" s="12">
        <f>T2150*U2150</f>
        <v>1655.7208499999999</v>
      </c>
      <c r="W2150" s="13">
        <v>0</v>
      </c>
      <c r="X2150" s="12">
        <f>V2150-(V2150/(1+W2150))</f>
        <v>0</v>
      </c>
      <c r="Y2150" s="12">
        <f>V2150-X2150</f>
        <v>1655.7208499999999</v>
      </c>
      <c r="Z2150" s="14">
        <v>1400</v>
      </c>
      <c r="AA2150" s="2" t="str">
        <f>IF(V2150&gt;Z2150,"Yes","No")</f>
        <v>Yes</v>
      </c>
      <c r="AB2150" s="12">
        <f>V2150-Z2150</f>
        <v>255.72084999999993</v>
      </c>
      <c r="AC2150" s="15" t="s">
        <v>130</v>
      </c>
      <c r="AD2150" s="15" t="s">
        <v>131</v>
      </c>
      <c r="AE2150" s="15" t="s">
        <v>514</v>
      </c>
      <c r="AF2150" s="12">
        <f>IF(AG2150="Rejected",0,IF(R2150="Corporate Card",0,V2150))</f>
        <v>0</v>
      </c>
      <c r="AG2150" s="15" t="s">
        <v>133</v>
      </c>
      <c r="AH2150" s="16">
        <v>45920</v>
      </c>
      <c r="AI2150" s="16">
        <v>45924</v>
      </c>
      <c r="AJ2150" s="16">
        <v>45929</v>
      </c>
      <c r="AK2150" s="17">
        <f>IF(AJ2150="","",AJ2150-AH2150)</f>
        <v>9</v>
      </c>
    </row>
    <row r="2151" spans="1:37">
      <c r="A2151" s="2" t="s">
        <v>2626</v>
      </c>
      <c r="B2151" s="2" t="s">
        <v>2212</v>
      </c>
      <c r="C2151" s="2" t="s">
        <v>346</v>
      </c>
      <c r="D2151" s="2" t="s">
        <v>344</v>
      </c>
      <c r="E2151" s="2" t="s">
        <v>2213</v>
      </c>
      <c r="F2151" s="2" t="s">
        <v>313</v>
      </c>
      <c r="G2151" s="2" t="s">
        <v>2625</v>
      </c>
      <c r="H2151" s="2" t="s">
        <v>803</v>
      </c>
      <c r="I2151" s="2" t="s">
        <v>1251</v>
      </c>
      <c r="J2151" s="2" t="s">
        <v>750</v>
      </c>
      <c r="K2151" s="9">
        <v>45913</v>
      </c>
      <c r="L2151" s="9">
        <v>45919</v>
      </c>
      <c r="M2151" s="9">
        <v>45913</v>
      </c>
      <c r="N2151" s="2" t="s">
        <v>2549</v>
      </c>
      <c r="O2151" s="2" t="s">
        <v>64</v>
      </c>
      <c r="P2151" s="2" t="s">
        <v>135</v>
      </c>
      <c r="Q2151" s="2" t="s">
        <v>513</v>
      </c>
      <c r="R2151" s="2" t="s">
        <v>128</v>
      </c>
      <c r="S2151" s="2" t="s">
        <v>198</v>
      </c>
      <c r="T2151" s="10">
        <v>106.78</v>
      </c>
      <c r="U2151" s="11">
        <v>1.085</v>
      </c>
      <c r="V2151" s="12">
        <f>T2151*U2151</f>
        <v>115.8563</v>
      </c>
      <c r="W2151" s="13">
        <v>0</v>
      </c>
      <c r="X2151" s="12">
        <f>V2151-(V2151/(1+W2151))</f>
        <v>0</v>
      </c>
      <c r="Y2151" s="12">
        <f>V2151-X2151</f>
        <v>115.8563</v>
      </c>
      <c r="Z2151" s="14">
        <v>120</v>
      </c>
      <c r="AA2151" s="2" t="str">
        <f>IF(V2151&gt;Z2151,"Yes","No")</f>
        <v>No</v>
      </c>
      <c r="AB2151" s="12">
        <f>V2151-Z2151</f>
        <v>-4.1436999999999955</v>
      </c>
      <c r="AC2151" s="15" t="s">
        <v>130</v>
      </c>
      <c r="AD2151" s="15" t="s">
        <v>131</v>
      </c>
      <c r="AE2151" s="15" t="s">
        <v>514</v>
      </c>
      <c r="AF2151" s="12">
        <f>IF(AG2151="Rejected",0,IF(R2151="Corporate Card",0,V2151))</f>
        <v>0</v>
      </c>
      <c r="AG2151" s="15" t="s">
        <v>133</v>
      </c>
      <c r="AH2151" s="16">
        <v>45920</v>
      </c>
      <c r="AI2151" s="16">
        <v>45924</v>
      </c>
      <c r="AJ2151" s="16">
        <v>45929</v>
      </c>
      <c r="AK2151" s="17">
        <f>IF(AJ2151="","",AJ2151-AH2151)</f>
        <v>9</v>
      </c>
    </row>
    <row r="2152" spans="1:37">
      <c r="A2152" s="2" t="s">
        <v>2627</v>
      </c>
      <c r="B2152" s="2" t="s">
        <v>2212</v>
      </c>
      <c r="C2152" s="2" t="s">
        <v>346</v>
      </c>
      <c r="D2152" s="2" t="s">
        <v>344</v>
      </c>
      <c r="E2152" s="2" t="s">
        <v>2213</v>
      </c>
      <c r="F2152" s="2" t="s">
        <v>313</v>
      </c>
      <c r="G2152" s="2" t="s">
        <v>2625</v>
      </c>
      <c r="H2152" s="2" t="s">
        <v>803</v>
      </c>
      <c r="I2152" s="2" t="s">
        <v>1251</v>
      </c>
      <c r="J2152" s="2" t="s">
        <v>750</v>
      </c>
      <c r="K2152" s="9">
        <v>45913</v>
      </c>
      <c r="L2152" s="9">
        <v>45919</v>
      </c>
      <c r="M2152" s="9">
        <v>45913</v>
      </c>
      <c r="N2152" s="2" t="s">
        <v>2549</v>
      </c>
      <c r="O2152" s="2" t="s">
        <v>58</v>
      </c>
      <c r="P2152" s="2" t="s">
        <v>142</v>
      </c>
      <c r="Q2152" s="2" t="s">
        <v>143</v>
      </c>
      <c r="R2152" s="2" t="s">
        <v>137</v>
      </c>
      <c r="S2152" s="2" t="s">
        <v>198</v>
      </c>
      <c r="T2152" s="10">
        <v>25.03</v>
      </c>
      <c r="U2152" s="11">
        <v>1.085</v>
      </c>
      <c r="V2152" s="12">
        <f>T2152*U2152</f>
        <v>27.157550000000001</v>
      </c>
      <c r="W2152" s="13">
        <v>0.19</v>
      </c>
      <c r="X2152" s="12">
        <f>V2152-(V2152/(1+W2152))</f>
        <v>4.3360794117647039</v>
      </c>
      <c r="Y2152" s="12">
        <f>V2152-X2152</f>
        <v>22.821470588235297</v>
      </c>
      <c r="Z2152" s="14">
        <v>60</v>
      </c>
      <c r="AA2152" s="2" t="str">
        <f>IF(V2152&gt;Z2152,"Yes","No")</f>
        <v>No</v>
      </c>
      <c r="AB2152" s="12">
        <f>V2152-Z2152</f>
        <v>-32.842449999999999</v>
      </c>
      <c r="AC2152" s="15" t="s">
        <v>130</v>
      </c>
      <c r="AD2152" s="15" t="s">
        <v>131</v>
      </c>
      <c r="AE2152" s="15" t="s">
        <v>514</v>
      </c>
      <c r="AF2152" s="12">
        <f>IF(AG2152="Rejected",0,IF(R2152="Corporate Card",0,V2152))</f>
        <v>27.157550000000001</v>
      </c>
      <c r="AG2152" s="15" t="s">
        <v>133</v>
      </c>
      <c r="AH2152" s="16">
        <v>45920</v>
      </c>
      <c r="AI2152" s="16">
        <v>45924</v>
      </c>
      <c r="AJ2152" s="16">
        <v>45929</v>
      </c>
      <c r="AK2152" s="17">
        <f>IF(AJ2152="","",AJ2152-AH2152)</f>
        <v>9</v>
      </c>
    </row>
    <row r="2153" spans="1:37">
      <c r="A2153" s="2" t="s">
        <v>2628</v>
      </c>
      <c r="B2153" s="2" t="s">
        <v>2212</v>
      </c>
      <c r="C2153" s="2" t="s">
        <v>346</v>
      </c>
      <c r="D2153" s="2" t="s">
        <v>344</v>
      </c>
      <c r="E2153" s="2" t="s">
        <v>2213</v>
      </c>
      <c r="F2153" s="2" t="s">
        <v>313</v>
      </c>
      <c r="G2153" s="2" t="s">
        <v>2625</v>
      </c>
      <c r="H2153" s="2" t="s">
        <v>803</v>
      </c>
      <c r="I2153" s="2" t="s">
        <v>1251</v>
      </c>
      <c r="J2153" s="2" t="s">
        <v>750</v>
      </c>
      <c r="K2153" s="9">
        <v>45913</v>
      </c>
      <c r="L2153" s="9">
        <v>45919</v>
      </c>
      <c r="M2153" s="9">
        <v>45913</v>
      </c>
      <c r="N2153" s="2" t="s">
        <v>2549</v>
      </c>
      <c r="O2153" s="2" t="s">
        <v>54</v>
      </c>
      <c r="P2153" s="2" t="s">
        <v>139</v>
      </c>
      <c r="Q2153" s="2" t="s">
        <v>214</v>
      </c>
      <c r="R2153" s="2" t="s">
        <v>128</v>
      </c>
      <c r="S2153" s="2" t="s">
        <v>198</v>
      </c>
      <c r="T2153" s="10">
        <v>8.84</v>
      </c>
      <c r="U2153" s="11">
        <v>1.085</v>
      </c>
      <c r="V2153" s="12">
        <f>T2153*U2153</f>
        <v>9.5914000000000001</v>
      </c>
      <c r="W2153" s="13">
        <v>0.19</v>
      </c>
      <c r="X2153" s="12">
        <f>V2153-(V2153/(1+W2153))</f>
        <v>1.5313999999999997</v>
      </c>
      <c r="Y2153" s="12">
        <f>V2153-X2153</f>
        <v>8.06</v>
      </c>
      <c r="Z2153" s="14">
        <v>25</v>
      </c>
      <c r="AA2153" s="2" t="str">
        <f>IF(V2153&gt;Z2153,"Yes","No")</f>
        <v>No</v>
      </c>
      <c r="AB2153" s="12">
        <f>V2153-Z2153</f>
        <v>-15.4086</v>
      </c>
      <c r="AC2153" s="15" t="s">
        <v>130</v>
      </c>
      <c r="AD2153" s="15" t="s">
        <v>131</v>
      </c>
      <c r="AE2153" s="15" t="s">
        <v>514</v>
      </c>
      <c r="AF2153" s="12">
        <f>IF(AG2153="Rejected",0,IF(R2153="Corporate Card",0,V2153))</f>
        <v>0</v>
      </c>
      <c r="AG2153" s="15" t="s">
        <v>133</v>
      </c>
      <c r="AH2153" s="16">
        <v>45920</v>
      </c>
      <c r="AI2153" s="16">
        <v>45924</v>
      </c>
      <c r="AJ2153" s="16">
        <v>45929</v>
      </c>
      <c r="AK2153" s="17">
        <f>IF(AJ2153="","",AJ2153-AH2153)</f>
        <v>9</v>
      </c>
    </row>
    <row r="2154" spans="1:37">
      <c r="A2154" s="2" t="s">
        <v>2629</v>
      </c>
      <c r="B2154" s="2" t="s">
        <v>2212</v>
      </c>
      <c r="C2154" s="2" t="s">
        <v>346</v>
      </c>
      <c r="D2154" s="2" t="s">
        <v>344</v>
      </c>
      <c r="E2154" s="2" t="s">
        <v>2213</v>
      </c>
      <c r="F2154" s="2" t="s">
        <v>313</v>
      </c>
      <c r="G2154" s="2" t="s">
        <v>2625</v>
      </c>
      <c r="H2154" s="2" t="s">
        <v>803</v>
      </c>
      <c r="I2154" s="2" t="s">
        <v>1251</v>
      </c>
      <c r="J2154" s="2" t="s">
        <v>750</v>
      </c>
      <c r="K2154" s="9">
        <v>45913</v>
      </c>
      <c r="L2154" s="9">
        <v>45919</v>
      </c>
      <c r="M2154" s="9">
        <v>45913</v>
      </c>
      <c r="N2154" s="2" t="s">
        <v>2549</v>
      </c>
      <c r="O2154" s="2" t="s">
        <v>56</v>
      </c>
      <c r="P2154" s="2" t="s">
        <v>245</v>
      </c>
      <c r="Q2154" s="2" t="s">
        <v>185</v>
      </c>
      <c r="R2154" s="2" t="s">
        <v>149</v>
      </c>
      <c r="S2154" s="2" t="s">
        <v>198</v>
      </c>
      <c r="T2154" s="10">
        <v>27.46</v>
      </c>
      <c r="U2154" s="11">
        <v>1.085</v>
      </c>
      <c r="V2154" s="12">
        <f>T2154*U2154</f>
        <v>29.7941</v>
      </c>
      <c r="W2154" s="13">
        <v>0.19</v>
      </c>
      <c r="X2154" s="12">
        <f>V2154-(V2154/(1+W2154))</f>
        <v>4.7570411764705867</v>
      </c>
      <c r="Y2154" s="12">
        <f>V2154-X2154</f>
        <v>25.037058823529414</v>
      </c>
      <c r="Z2154" s="14">
        <v>75</v>
      </c>
      <c r="AA2154" s="2" t="str">
        <f>IF(V2154&gt;Z2154,"Yes","No")</f>
        <v>No</v>
      </c>
      <c r="AB2154" s="12">
        <f>V2154-Z2154</f>
        <v>-45.2059</v>
      </c>
      <c r="AC2154" s="15" t="s">
        <v>130</v>
      </c>
      <c r="AD2154" s="15" t="s">
        <v>131</v>
      </c>
      <c r="AE2154" s="15" t="s">
        <v>514</v>
      </c>
      <c r="AF2154" s="12">
        <f>IF(AG2154="Rejected",0,IF(R2154="Corporate Card",0,V2154))</f>
        <v>29.7941</v>
      </c>
      <c r="AG2154" s="15" t="s">
        <v>133</v>
      </c>
      <c r="AH2154" s="16">
        <v>45920</v>
      </c>
      <c r="AI2154" s="16">
        <v>45924</v>
      </c>
      <c r="AJ2154" s="16">
        <v>45929</v>
      </c>
      <c r="AK2154" s="17">
        <f>IF(AJ2154="","",AJ2154-AH2154)</f>
        <v>9</v>
      </c>
    </row>
    <row r="2155" spans="1:37">
      <c r="A2155" s="2" t="s">
        <v>2630</v>
      </c>
      <c r="B2155" s="2" t="s">
        <v>2212</v>
      </c>
      <c r="C2155" s="2" t="s">
        <v>346</v>
      </c>
      <c r="D2155" s="2" t="s">
        <v>344</v>
      </c>
      <c r="E2155" s="2" t="s">
        <v>2213</v>
      </c>
      <c r="F2155" s="2" t="s">
        <v>313</v>
      </c>
      <c r="G2155" s="2" t="s">
        <v>2625</v>
      </c>
      <c r="H2155" s="2" t="s">
        <v>803</v>
      </c>
      <c r="I2155" s="2" t="s">
        <v>1251</v>
      </c>
      <c r="J2155" s="2" t="s">
        <v>750</v>
      </c>
      <c r="K2155" s="9">
        <v>45913</v>
      </c>
      <c r="L2155" s="9">
        <v>45919</v>
      </c>
      <c r="M2155" s="9">
        <v>45913</v>
      </c>
      <c r="N2155" s="2" t="s">
        <v>2549</v>
      </c>
      <c r="O2155" s="2" t="s">
        <v>55</v>
      </c>
      <c r="P2155" s="2" t="s">
        <v>139</v>
      </c>
      <c r="Q2155" s="2" t="s">
        <v>217</v>
      </c>
      <c r="R2155" s="2" t="s">
        <v>137</v>
      </c>
      <c r="S2155" s="2" t="s">
        <v>198</v>
      </c>
      <c r="T2155" s="10">
        <v>28.16</v>
      </c>
      <c r="U2155" s="11">
        <v>1.085</v>
      </c>
      <c r="V2155" s="12">
        <f>T2155*U2155</f>
        <v>30.553599999999999</v>
      </c>
      <c r="W2155" s="13">
        <v>0.19</v>
      </c>
      <c r="X2155" s="12">
        <f>V2155-(V2155/(1+W2155))</f>
        <v>4.8783058823529402</v>
      </c>
      <c r="Y2155" s="12">
        <f>V2155-X2155</f>
        <v>25.675294117647059</v>
      </c>
      <c r="Z2155" s="14">
        <v>35</v>
      </c>
      <c r="AA2155" s="2" t="str">
        <f>IF(V2155&gt;Z2155,"Yes","No")</f>
        <v>No</v>
      </c>
      <c r="AB2155" s="12">
        <f>V2155-Z2155</f>
        <v>-4.4464000000000006</v>
      </c>
      <c r="AC2155" s="15" t="s">
        <v>130</v>
      </c>
      <c r="AD2155" s="15" t="s">
        <v>131</v>
      </c>
      <c r="AE2155" s="15" t="s">
        <v>514</v>
      </c>
      <c r="AF2155" s="12">
        <f>IF(AG2155="Rejected",0,IF(R2155="Corporate Card",0,V2155))</f>
        <v>30.553599999999999</v>
      </c>
      <c r="AG2155" s="15" t="s">
        <v>133</v>
      </c>
      <c r="AH2155" s="16">
        <v>45920</v>
      </c>
      <c r="AI2155" s="16">
        <v>45924</v>
      </c>
      <c r="AJ2155" s="16">
        <v>45929</v>
      </c>
      <c r="AK2155" s="17">
        <f>IF(AJ2155="","",AJ2155-AH2155)</f>
        <v>9</v>
      </c>
    </row>
    <row r="2156" spans="1:37">
      <c r="A2156" s="2" t="s">
        <v>2631</v>
      </c>
      <c r="B2156" s="2" t="s">
        <v>342</v>
      </c>
      <c r="C2156" s="2" t="s">
        <v>343</v>
      </c>
      <c r="D2156" s="2" t="s">
        <v>344</v>
      </c>
      <c r="E2156" s="2" t="s">
        <v>345</v>
      </c>
      <c r="F2156" s="2" t="s">
        <v>346</v>
      </c>
      <c r="G2156" s="2" t="s">
        <v>2597</v>
      </c>
      <c r="H2156" s="2" t="s">
        <v>379</v>
      </c>
      <c r="I2156" s="2" t="s">
        <v>175</v>
      </c>
      <c r="J2156" s="2" t="s">
        <v>176</v>
      </c>
      <c r="K2156" s="9">
        <v>45910</v>
      </c>
      <c r="L2156" s="9">
        <v>45913</v>
      </c>
      <c r="M2156" s="9">
        <v>45913</v>
      </c>
      <c r="N2156" s="2" t="s">
        <v>2549</v>
      </c>
      <c r="O2156" s="2" t="s">
        <v>58</v>
      </c>
      <c r="P2156" s="2" t="s">
        <v>142</v>
      </c>
      <c r="Q2156" s="2" t="s">
        <v>143</v>
      </c>
      <c r="R2156" s="2" t="s">
        <v>128</v>
      </c>
      <c r="S2156" s="2" t="s">
        <v>179</v>
      </c>
      <c r="T2156" s="10">
        <v>205.67</v>
      </c>
      <c r="U2156" s="11">
        <v>0.18099999999999999</v>
      </c>
      <c r="V2156" s="12">
        <f>T2156*U2156</f>
        <v>37.22627</v>
      </c>
      <c r="W2156" s="13">
        <v>0.17</v>
      </c>
      <c r="X2156" s="12">
        <f>V2156-(V2156/(1+W2156))</f>
        <v>5.4089452136752101</v>
      </c>
      <c r="Y2156" s="12">
        <f>V2156-X2156</f>
        <v>31.817324786324789</v>
      </c>
      <c r="Z2156" s="14">
        <v>60</v>
      </c>
      <c r="AA2156" s="2" t="str">
        <f>IF(V2156&gt;Z2156,"Yes","No")</f>
        <v>No</v>
      </c>
      <c r="AB2156" s="12">
        <f>V2156-Z2156</f>
        <v>-22.77373</v>
      </c>
      <c r="AC2156" s="15" t="s">
        <v>130</v>
      </c>
      <c r="AD2156" s="15" t="s">
        <v>130</v>
      </c>
      <c r="AE2156" s="15" t="s">
        <v>350</v>
      </c>
      <c r="AF2156" s="12">
        <f>IF(AG2156="Rejected",0,IF(R2156="Corporate Card",0,V2156))</f>
        <v>0</v>
      </c>
      <c r="AG2156" s="15" t="s">
        <v>133</v>
      </c>
      <c r="AH2156" s="16">
        <v>45919</v>
      </c>
      <c r="AI2156" s="16">
        <v>45925</v>
      </c>
      <c r="AJ2156" s="16">
        <v>45929</v>
      </c>
      <c r="AK2156" s="17">
        <f>IF(AJ2156="","",AJ2156-AH2156)</f>
        <v>10</v>
      </c>
    </row>
    <row r="2157" spans="1:37">
      <c r="A2157" s="2" t="s">
        <v>2632</v>
      </c>
      <c r="B2157" s="2" t="s">
        <v>342</v>
      </c>
      <c r="C2157" s="2" t="s">
        <v>343</v>
      </c>
      <c r="D2157" s="2" t="s">
        <v>344</v>
      </c>
      <c r="E2157" s="2" t="s">
        <v>345</v>
      </c>
      <c r="F2157" s="2" t="s">
        <v>346</v>
      </c>
      <c r="G2157" s="2" t="s">
        <v>2597</v>
      </c>
      <c r="H2157" s="2" t="s">
        <v>379</v>
      </c>
      <c r="I2157" s="2" t="s">
        <v>175</v>
      </c>
      <c r="J2157" s="2" t="s">
        <v>176</v>
      </c>
      <c r="K2157" s="9">
        <v>45910</v>
      </c>
      <c r="L2157" s="9">
        <v>45913</v>
      </c>
      <c r="M2157" s="9">
        <v>45913</v>
      </c>
      <c r="N2157" s="2" t="s">
        <v>2549</v>
      </c>
      <c r="O2157" s="2" t="s">
        <v>54</v>
      </c>
      <c r="P2157" s="2" t="s">
        <v>139</v>
      </c>
      <c r="Q2157" s="2" t="s">
        <v>163</v>
      </c>
      <c r="R2157" s="2" t="s">
        <v>128</v>
      </c>
      <c r="S2157" s="2" t="s">
        <v>179</v>
      </c>
      <c r="T2157" s="10">
        <v>112.17</v>
      </c>
      <c r="U2157" s="11">
        <v>0.18099999999999999</v>
      </c>
      <c r="V2157" s="12">
        <f>T2157*U2157</f>
        <v>20.302769999999999</v>
      </c>
      <c r="W2157" s="13">
        <v>0.17</v>
      </c>
      <c r="X2157" s="12">
        <f>V2157-(V2157/(1+W2157))</f>
        <v>2.9499751282051285</v>
      </c>
      <c r="Y2157" s="12">
        <f>V2157-X2157</f>
        <v>17.35279487179487</v>
      </c>
      <c r="Z2157" s="14">
        <v>25</v>
      </c>
      <c r="AA2157" s="2" t="str">
        <f>IF(V2157&gt;Z2157,"Yes","No")</f>
        <v>No</v>
      </c>
      <c r="AB2157" s="12">
        <f>V2157-Z2157</f>
        <v>-4.6972300000000011</v>
      </c>
      <c r="AC2157" s="15" t="s">
        <v>130</v>
      </c>
      <c r="AD2157" s="15" t="s">
        <v>130</v>
      </c>
      <c r="AE2157" s="15" t="s">
        <v>350</v>
      </c>
      <c r="AF2157" s="12">
        <f>IF(AG2157="Rejected",0,IF(R2157="Corporate Card",0,V2157))</f>
        <v>0</v>
      </c>
      <c r="AG2157" s="15" t="s">
        <v>133</v>
      </c>
      <c r="AH2157" s="16">
        <v>45919</v>
      </c>
      <c r="AI2157" s="16">
        <v>45925</v>
      </c>
      <c r="AJ2157" s="16">
        <v>45929</v>
      </c>
      <c r="AK2157" s="17">
        <f>IF(AJ2157="","",AJ2157-AH2157)</f>
        <v>10</v>
      </c>
    </row>
    <row r="2158" spans="1:37">
      <c r="A2158" s="2" t="s">
        <v>2633</v>
      </c>
      <c r="B2158" s="2" t="s">
        <v>342</v>
      </c>
      <c r="C2158" s="2" t="s">
        <v>343</v>
      </c>
      <c r="D2158" s="2" t="s">
        <v>344</v>
      </c>
      <c r="E2158" s="2" t="s">
        <v>345</v>
      </c>
      <c r="F2158" s="2" t="s">
        <v>346</v>
      </c>
      <c r="G2158" s="2" t="s">
        <v>2597</v>
      </c>
      <c r="H2158" s="2" t="s">
        <v>379</v>
      </c>
      <c r="I2158" s="2" t="s">
        <v>175</v>
      </c>
      <c r="J2158" s="2" t="s">
        <v>176</v>
      </c>
      <c r="K2158" s="9">
        <v>45910</v>
      </c>
      <c r="L2158" s="9">
        <v>45913</v>
      </c>
      <c r="M2158" s="9">
        <v>45913</v>
      </c>
      <c r="N2158" s="2" t="s">
        <v>2549</v>
      </c>
      <c r="O2158" s="2" t="s">
        <v>56</v>
      </c>
      <c r="P2158" s="2" t="s">
        <v>165</v>
      </c>
      <c r="Q2158" s="2" t="s">
        <v>159</v>
      </c>
      <c r="R2158" s="2" t="s">
        <v>128</v>
      </c>
      <c r="S2158" s="2" t="s">
        <v>179</v>
      </c>
      <c r="T2158" s="10">
        <v>551.49</v>
      </c>
      <c r="U2158" s="11">
        <v>0.18099999999999999</v>
      </c>
      <c r="V2158" s="12">
        <f>T2158*U2158</f>
        <v>99.819689999999994</v>
      </c>
      <c r="W2158" s="13">
        <v>0.17</v>
      </c>
      <c r="X2158" s="12">
        <f>V2158-(V2158/(1+W2158))</f>
        <v>14.503715641025636</v>
      </c>
      <c r="Y2158" s="12">
        <f>V2158-X2158</f>
        <v>85.315974358974358</v>
      </c>
      <c r="Z2158" s="14">
        <v>75</v>
      </c>
      <c r="AA2158" s="2" t="str">
        <f>IF(V2158&gt;Z2158,"Yes","No")</f>
        <v>Yes</v>
      </c>
      <c r="AB2158" s="12">
        <f>V2158-Z2158</f>
        <v>24.819689999999994</v>
      </c>
      <c r="AC2158" s="15" t="s">
        <v>131</v>
      </c>
      <c r="AD2158" s="15" t="s">
        <v>130</v>
      </c>
      <c r="AE2158" s="15" t="s">
        <v>350</v>
      </c>
      <c r="AF2158" s="12">
        <f>IF(AG2158="Rejected",0,IF(R2158="Corporate Card",0,V2158))</f>
        <v>0</v>
      </c>
      <c r="AG2158" s="15" t="s">
        <v>133</v>
      </c>
      <c r="AH2158" s="16">
        <v>45919</v>
      </c>
      <c r="AI2158" s="16">
        <v>45925</v>
      </c>
      <c r="AJ2158" s="16">
        <v>45929</v>
      </c>
      <c r="AK2158" s="17">
        <f>IF(AJ2158="","",AJ2158-AH2158)</f>
        <v>10</v>
      </c>
    </row>
    <row r="2159" spans="1:37">
      <c r="A2159" s="2" t="s">
        <v>2634</v>
      </c>
      <c r="B2159" s="2" t="s">
        <v>342</v>
      </c>
      <c r="C2159" s="2" t="s">
        <v>343</v>
      </c>
      <c r="D2159" s="2" t="s">
        <v>344</v>
      </c>
      <c r="E2159" s="2" t="s">
        <v>345</v>
      </c>
      <c r="F2159" s="2" t="s">
        <v>346</v>
      </c>
      <c r="G2159" s="2" t="s">
        <v>2597</v>
      </c>
      <c r="H2159" s="2" t="s">
        <v>379</v>
      </c>
      <c r="I2159" s="2" t="s">
        <v>175</v>
      </c>
      <c r="J2159" s="2" t="s">
        <v>176</v>
      </c>
      <c r="K2159" s="9">
        <v>45910</v>
      </c>
      <c r="L2159" s="9">
        <v>45913</v>
      </c>
      <c r="M2159" s="9">
        <v>45913</v>
      </c>
      <c r="N2159" s="2" t="s">
        <v>2549</v>
      </c>
      <c r="O2159" s="2" t="s">
        <v>55</v>
      </c>
      <c r="P2159" s="2" t="s">
        <v>139</v>
      </c>
      <c r="Q2159" s="2" t="s">
        <v>154</v>
      </c>
      <c r="R2159" s="2" t="s">
        <v>149</v>
      </c>
      <c r="S2159" s="2" t="s">
        <v>179</v>
      </c>
      <c r="T2159" s="10">
        <v>141.76</v>
      </c>
      <c r="U2159" s="11">
        <v>0.18099999999999999</v>
      </c>
      <c r="V2159" s="12">
        <f>T2159*U2159</f>
        <v>25.658559999999998</v>
      </c>
      <c r="W2159" s="13">
        <v>0.17</v>
      </c>
      <c r="X2159" s="12">
        <f>V2159-(V2159/(1+W2159))</f>
        <v>3.7281668376068353</v>
      </c>
      <c r="Y2159" s="12">
        <f>V2159-X2159</f>
        <v>21.930393162393162</v>
      </c>
      <c r="Z2159" s="14">
        <v>35</v>
      </c>
      <c r="AA2159" s="2" t="str">
        <f>IF(V2159&gt;Z2159,"Yes","No")</f>
        <v>No</v>
      </c>
      <c r="AB2159" s="12">
        <f>V2159-Z2159</f>
        <v>-9.3414400000000022</v>
      </c>
      <c r="AC2159" s="15" t="s">
        <v>130</v>
      </c>
      <c r="AD2159" s="15" t="s">
        <v>130</v>
      </c>
      <c r="AE2159" s="15" t="s">
        <v>350</v>
      </c>
      <c r="AF2159" s="12">
        <f>IF(AG2159="Rejected",0,IF(R2159="Corporate Card",0,V2159))</f>
        <v>25.658559999999998</v>
      </c>
      <c r="AG2159" s="15" t="s">
        <v>133</v>
      </c>
      <c r="AH2159" s="16">
        <v>45919</v>
      </c>
      <c r="AI2159" s="16">
        <v>45925</v>
      </c>
      <c r="AJ2159" s="16">
        <v>45929</v>
      </c>
      <c r="AK2159" s="17">
        <f>IF(AJ2159="","",AJ2159-AH2159)</f>
        <v>10</v>
      </c>
    </row>
    <row r="2160" spans="1:37">
      <c r="A2160" s="2" t="s">
        <v>2635</v>
      </c>
      <c r="B2160" s="2" t="s">
        <v>743</v>
      </c>
      <c r="C2160" s="2" t="s">
        <v>313</v>
      </c>
      <c r="D2160" s="2" t="s">
        <v>744</v>
      </c>
      <c r="E2160" s="2" t="s">
        <v>745</v>
      </c>
      <c r="F2160" s="2" t="s">
        <v>746</v>
      </c>
      <c r="G2160" s="2" t="s">
        <v>2569</v>
      </c>
      <c r="H2160" s="2" t="s">
        <v>122</v>
      </c>
      <c r="I2160" s="2" t="s">
        <v>619</v>
      </c>
      <c r="J2160" s="2" t="s">
        <v>381</v>
      </c>
      <c r="K2160" s="9">
        <v>45908</v>
      </c>
      <c r="L2160" s="9">
        <v>45914</v>
      </c>
      <c r="M2160" s="9">
        <v>45914</v>
      </c>
      <c r="N2160" s="2" t="s">
        <v>2549</v>
      </c>
      <c r="O2160" s="2" t="s">
        <v>58</v>
      </c>
      <c r="P2160" s="2" t="s">
        <v>142</v>
      </c>
      <c r="Q2160" s="2" t="s">
        <v>296</v>
      </c>
      <c r="R2160" s="2" t="s">
        <v>149</v>
      </c>
      <c r="S2160" s="2" t="s">
        <v>383</v>
      </c>
      <c r="T2160" s="10">
        <v>30.91</v>
      </c>
      <c r="U2160" s="11">
        <v>1</v>
      </c>
      <c r="V2160" s="12">
        <f>T2160*U2160</f>
        <v>30.91</v>
      </c>
      <c r="W2160" s="13">
        <v>0</v>
      </c>
      <c r="X2160" s="12">
        <f>V2160-(V2160/(1+W2160))</f>
        <v>0</v>
      </c>
      <c r="Y2160" s="12">
        <f>V2160-X2160</f>
        <v>30.91</v>
      </c>
      <c r="Z2160" s="14">
        <v>60</v>
      </c>
      <c r="AA2160" s="2" t="str">
        <f>IF(V2160&gt;Z2160,"Yes","No")</f>
        <v>No</v>
      </c>
      <c r="AB2160" s="12">
        <f>V2160-Z2160</f>
        <v>-29.09</v>
      </c>
      <c r="AC2160" s="15" t="s">
        <v>130</v>
      </c>
      <c r="AD2160" s="15" t="s">
        <v>130</v>
      </c>
      <c r="AE2160" s="15" t="s">
        <v>260</v>
      </c>
      <c r="AF2160" s="12">
        <f>IF(AG2160="Rejected",0,IF(R2160="Corporate Card",0,V2160))</f>
        <v>30.91</v>
      </c>
      <c r="AG2160" s="15" t="s">
        <v>181</v>
      </c>
      <c r="AH2160" s="16">
        <v>45916</v>
      </c>
      <c r="AI2160" s="16"/>
      <c r="AJ2160" s="16"/>
      <c r="AK2160" s="17" t="str">
        <f>IF(AJ2160="","",AJ2160-AH2160)</f>
        <v/>
      </c>
    </row>
    <row r="2161" spans="1:37">
      <c r="A2161" s="2" t="s">
        <v>2636</v>
      </c>
      <c r="B2161" s="2" t="s">
        <v>743</v>
      </c>
      <c r="C2161" s="2" t="s">
        <v>313</v>
      </c>
      <c r="D2161" s="2" t="s">
        <v>744</v>
      </c>
      <c r="E2161" s="2" t="s">
        <v>745</v>
      </c>
      <c r="F2161" s="2" t="s">
        <v>746</v>
      </c>
      <c r="G2161" s="2" t="s">
        <v>2569</v>
      </c>
      <c r="H2161" s="2" t="s">
        <v>122</v>
      </c>
      <c r="I2161" s="2" t="s">
        <v>619</v>
      </c>
      <c r="J2161" s="2" t="s">
        <v>381</v>
      </c>
      <c r="K2161" s="9">
        <v>45908</v>
      </c>
      <c r="L2161" s="9">
        <v>45914</v>
      </c>
      <c r="M2161" s="9">
        <v>45914</v>
      </c>
      <c r="N2161" s="2" t="s">
        <v>2549</v>
      </c>
      <c r="O2161" s="2" t="s">
        <v>56</v>
      </c>
      <c r="P2161" s="2" t="s">
        <v>231</v>
      </c>
      <c r="Q2161" s="2" t="s">
        <v>152</v>
      </c>
      <c r="R2161" s="2" t="s">
        <v>128</v>
      </c>
      <c r="S2161" s="2" t="s">
        <v>383</v>
      </c>
      <c r="T2161" s="10">
        <v>99.46</v>
      </c>
      <c r="U2161" s="11">
        <v>1</v>
      </c>
      <c r="V2161" s="12">
        <f>T2161*U2161</f>
        <v>99.46</v>
      </c>
      <c r="W2161" s="13">
        <v>0</v>
      </c>
      <c r="X2161" s="12">
        <f>V2161-(V2161/(1+W2161))</f>
        <v>0</v>
      </c>
      <c r="Y2161" s="12">
        <f>V2161-X2161</f>
        <v>99.46</v>
      </c>
      <c r="Z2161" s="14">
        <v>75</v>
      </c>
      <c r="AA2161" s="2" t="str">
        <f>IF(V2161&gt;Z2161,"Yes","No")</f>
        <v>Yes</v>
      </c>
      <c r="AB2161" s="12">
        <f>V2161-Z2161</f>
        <v>24.459999999999994</v>
      </c>
      <c r="AC2161" s="15" t="s">
        <v>130</v>
      </c>
      <c r="AD2161" s="15" t="s">
        <v>130</v>
      </c>
      <c r="AE2161" s="15" t="s">
        <v>260</v>
      </c>
      <c r="AF2161" s="12">
        <f>IF(AG2161="Rejected",0,IF(R2161="Corporate Card",0,V2161))</f>
        <v>0</v>
      </c>
      <c r="AG2161" s="15" t="s">
        <v>181</v>
      </c>
      <c r="AH2161" s="16">
        <v>45916</v>
      </c>
      <c r="AI2161" s="16"/>
      <c r="AJ2161" s="16"/>
      <c r="AK2161" s="17" t="str">
        <f>IF(AJ2161="","",AJ2161-AH2161)</f>
        <v/>
      </c>
    </row>
    <row r="2162" spans="1:37">
      <c r="A2162" s="2" t="s">
        <v>2637</v>
      </c>
      <c r="B2162" s="2" t="s">
        <v>743</v>
      </c>
      <c r="C2162" s="2" t="s">
        <v>313</v>
      </c>
      <c r="D2162" s="2" t="s">
        <v>744</v>
      </c>
      <c r="E2162" s="2" t="s">
        <v>745</v>
      </c>
      <c r="F2162" s="2" t="s">
        <v>746</v>
      </c>
      <c r="G2162" s="2" t="s">
        <v>2569</v>
      </c>
      <c r="H2162" s="2" t="s">
        <v>122</v>
      </c>
      <c r="I2162" s="2" t="s">
        <v>619</v>
      </c>
      <c r="J2162" s="2" t="s">
        <v>381</v>
      </c>
      <c r="K2162" s="9">
        <v>45908</v>
      </c>
      <c r="L2162" s="9">
        <v>45914</v>
      </c>
      <c r="M2162" s="9">
        <v>45914</v>
      </c>
      <c r="N2162" s="2" t="s">
        <v>2549</v>
      </c>
      <c r="O2162" s="2" t="s">
        <v>55</v>
      </c>
      <c r="P2162" s="2" t="s">
        <v>139</v>
      </c>
      <c r="Q2162" s="2" t="s">
        <v>154</v>
      </c>
      <c r="R2162" s="2" t="s">
        <v>128</v>
      </c>
      <c r="S2162" s="2" t="s">
        <v>383</v>
      </c>
      <c r="T2162" s="10">
        <v>25.22</v>
      </c>
      <c r="U2162" s="11">
        <v>1</v>
      </c>
      <c r="V2162" s="12">
        <f>T2162*U2162</f>
        <v>25.22</v>
      </c>
      <c r="W2162" s="13">
        <v>0</v>
      </c>
      <c r="X2162" s="12">
        <f>V2162-(V2162/(1+W2162))</f>
        <v>0</v>
      </c>
      <c r="Y2162" s="12">
        <f>V2162-X2162</f>
        <v>25.22</v>
      </c>
      <c r="Z2162" s="14">
        <v>35</v>
      </c>
      <c r="AA2162" s="2" t="str">
        <f>IF(V2162&gt;Z2162,"Yes","No")</f>
        <v>No</v>
      </c>
      <c r="AB2162" s="12">
        <f>V2162-Z2162</f>
        <v>-9.7800000000000011</v>
      </c>
      <c r="AC2162" s="15" t="s">
        <v>130</v>
      </c>
      <c r="AD2162" s="15" t="s">
        <v>130</v>
      </c>
      <c r="AE2162" s="15" t="s">
        <v>260</v>
      </c>
      <c r="AF2162" s="12">
        <f>IF(AG2162="Rejected",0,IF(R2162="Corporate Card",0,V2162))</f>
        <v>0</v>
      </c>
      <c r="AG2162" s="15" t="s">
        <v>181</v>
      </c>
      <c r="AH2162" s="16">
        <v>45916</v>
      </c>
      <c r="AI2162" s="16"/>
      <c r="AJ2162" s="16"/>
      <c r="AK2162" s="17" t="str">
        <f>IF(AJ2162="","",AJ2162-AH2162)</f>
        <v/>
      </c>
    </row>
    <row r="2163" spans="1:37">
      <c r="A2163" s="2" t="s">
        <v>2638</v>
      </c>
      <c r="B2163" s="2" t="s">
        <v>2212</v>
      </c>
      <c r="C2163" s="2" t="s">
        <v>346</v>
      </c>
      <c r="D2163" s="2" t="s">
        <v>344</v>
      </c>
      <c r="E2163" s="2" t="s">
        <v>2213</v>
      </c>
      <c r="F2163" s="2" t="s">
        <v>313</v>
      </c>
      <c r="G2163" s="2" t="s">
        <v>2625</v>
      </c>
      <c r="H2163" s="2" t="s">
        <v>803</v>
      </c>
      <c r="I2163" s="2" t="s">
        <v>1251</v>
      </c>
      <c r="J2163" s="2" t="s">
        <v>750</v>
      </c>
      <c r="K2163" s="9">
        <v>45913</v>
      </c>
      <c r="L2163" s="9">
        <v>45919</v>
      </c>
      <c r="M2163" s="9">
        <v>45914</v>
      </c>
      <c r="N2163" s="2" t="s">
        <v>2549</v>
      </c>
      <c r="O2163" s="2" t="s">
        <v>60</v>
      </c>
      <c r="P2163" s="2" t="s">
        <v>2134</v>
      </c>
      <c r="Q2163" s="2" t="s">
        <v>503</v>
      </c>
      <c r="R2163" s="2" t="s">
        <v>149</v>
      </c>
      <c r="S2163" s="2" t="s">
        <v>198</v>
      </c>
      <c r="T2163" s="10">
        <v>352.28</v>
      </c>
      <c r="U2163" s="11">
        <v>1.085</v>
      </c>
      <c r="V2163" s="12">
        <f>T2163*U2163</f>
        <v>382.22379999999998</v>
      </c>
      <c r="W2163" s="13">
        <v>0.19</v>
      </c>
      <c r="X2163" s="12">
        <f>V2163-(V2163/(1+W2163))</f>
        <v>61.027329411764697</v>
      </c>
      <c r="Y2163" s="12">
        <f>V2163-X2163</f>
        <v>321.19647058823529</v>
      </c>
      <c r="Z2163" s="14">
        <v>720</v>
      </c>
      <c r="AA2163" s="2" t="str">
        <f>IF(V2163&gt;Z2163,"Yes","No")</f>
        <v>No</v>
      </c>
      <c r="AB2163" s="12">
        <f>V2163-Z2163</f>
        <v>-337.77620000000002</v>
      </c>
      <c r="AC2163" s="15" t="s">
        <v>131</v>
      </c>
      <c r="AD2163" s="15" t="s">
        <v>131</v>
      </c>
      <c r="AE2163" s="15" t="s">
        <v>514</v>
      </c>
      <c r="AF2163" s="12">
        <f>IF(AG2163="Rejected",0,IF(R2163="Corporate Card",0,V2163))</f>
        <v>382.22379999999998</v>
      </c>
      <c r="AG2163" s="15" t="s">
        <v>133</v>
      </c>
      <c r="AH2163" s="16">
        <v>45920</v>
      </c>
      <c r="AI2163" s="16">
        <v>45924</v>
      </c>
      <c r="AJ2163" s="16">
        <v>45929</v>
      </c>
      <c r="AK2163" s="17">
        <f>IF(AJ2163="","",AJ2163-AH2163)</f>
        <v>9</v>
      </c>
    </row>
    <row r="2164" spans="1:37">
      <c r="A2164" s="2" t="s">
        <v>2639</v>
      </c>
      <c r="B2164" s="2" t="s">
        <v>2212</v>
      </c>
      <c r="C2164" s="2" t="s">
        <v>346</v>
      </c>
      <c r="D2164" s="2" t="s">
        <v>344</v>
      </c>
      <c r="E2164" s="2" t="s">
        <v>2213</v>
      </c>
      <c r="F2164" s="2" t="s">
        <v>313</v>
      </c>
      <c r="G2164" s="2" t="s">
        <v>2625</v>
      </c>
      <c r="H2164" s="2" t="s">
        <v>803</v>
      </c>
      <c r="I2164" s="2" t="s">
        <v>1251</v>
      </c>
      <c r="J2164" s="2" t="s">
        <v>750</v>
      </c>
      <c r="K2164" s="9">
        <v>45913</v>
      </c>
      <c r="L2164" s="9">
        <v>45919</v>
      </c>
      <c r="M2164" s="9">
        <v>45914</v>
      </c>
      <c r="N2164" s="2" t="s">
        <v>2549</v>
      </c>
      <c r="O2164" s="2" t="s">
        <v>53</v>
      </c>
      <c r="P2164" s="2" t="s">
        <v>467</v>
      </c>
      <c r="Q2164" s="2" t="s">
        <v>272</v>
      </c>
      <c r="R2164" s="2" t="s">
        <v>137</v>
      </c>
      <c r="S2164" s="2" t="s">
        <v>198</v>
      </c>
      <c r="T2164" s="10">
        <v>604.94000000000005</v>
      </c>
      <c r="U2164" s="11">
        <v>1.085</v>
      </c>
      <c r="V2164" s="12">
        <f>T2164*U2164</f>
        <v>656.35990000000004</v>
      </c>
      <c r="W2164" s="13">
        <v>0.19</v>
      </c>
      <c r="X2164" s="12">
        <f>V2164-(V2164/(1+W2164))</f>
        <v>104.79695882352939</v>
      </c>
      <c r="Y2164" s="12">
        <f>V2164-X2164</f>
        <v>551.56294117647064</v>
      </c>
      <c r="Z2164" s="14">
        <v>1680</v>
      </c>
      <c r="AA2164" s="2" t="str">
        <f>IF(V2164&gt;Z2164,"Yes","No")</f>
        <v>No</v>
      </c>
      <c r="AB2164" s="12">
        <f>V2164-Z2164</f>
        <v>-1023.6401</v>
      </c>
      <c r="AC2164" s="15" t="s">
        <v>130</v>
      </c>
      <c r="AD2164" s="15" t="s">
        <v>131</v>
      </c>
      <c r="AE2164" s="15" t="s">
        <v>514</v>
      </c>
      <c r="AF2164" s="12">
        <f>IF(AG2164="Rejected",0,IF(R2164="Corporate Card",0,V2164))</f>
        <v>656.35990000000004</v>
      </c>
      <c r="AG2164" s="15" t="s">
        <v>133</v>
      </c>
      <c r="AH2164" s="16">
        <v>45920</v>
      </c>
      <c r="AI2164" s="16">
        <v>45924</v>
      </c>
      <c r="AJ2164" s="16">
        <v>45929</v>
      </c>
      <c r="AK2164" s="17">
        <f>IF(AJ2164="","",AJ2164-AH2164)</f>
        <v>9</v>
      </c>
    </row>
    <row r="2165" spans="1:37">
      <c r="A2165" s="2" t="s">
        <v>2640</v>
      </c>
      <c r="B2165" s="2" t="s">
        <v>2212</v>
      </c>
      <c r="C2165" s="2" t="s">
        <v>346</v>
      </c>
      <c r="D2165" s="2" t="s">
        <v>344</v>
      </c>
      <c r="E2165" s="2" t="s">
        <v>2213</v>
      </c>
      <c r="F2165" s="2" t="s">
        <v>313</v>
      </c>
      <c r="G2165" s="2" t="s">
        <v>2625</v>
      </c>
      <c r="H2165" s="2" t="s">
        <v>803</v>
      </c>
      <c r="I2165" s="2" t="s">
        <v>1251</v>
      </c>
      <c r="J2165" s="2" t="s">
        <v>750</v>
      </c>
      <c r="K2165" s="9">
        <v>45913</v>
      </c>
      <c r="L2165" s="9">
        <v>45919</v>
      </c>
      <c r="M2165" s="9">
        <v>45914</v>
      </c>
      <c r="N2165" s="2" t="s">
        <v>2549</v>
      </c>
      <c r="O2165" s="2" t="s">
        <v>65</v>
      </c>
      <c r="P2165" s="2" t="s">
        <v>211</v>
      </c>
      <c r="Q2165" s="2" t="s">
        <v>364</v>
      </c>
      <c r="R2165" s="2" t="s">
        <v>128</v>
      </c>
      <c r="S2165" s="2" t="s">
        <v>198</v>
      </c>
      <c r="T2165" s="10">
        <v>29.34</v>
      </c>
      <c r="U2165" s="11">
        <v>1.085</v>
      </c>
      <c r="V2165" s="12">
        <f>T2165*U2165</f>
        <v>31.8339</v>
      </c>
      <c r="W2165" s="13">
        <v>0.19</v>
      </c>
      <c r="X2165" s="12">
        <f>V2165-(V2165/(1+W2165))</f>
        <v>5.0827235294117621</v>
      </c>
      <c r="Y2165" s="12">
        <f>V2165-X2165</f>
        <v>26.751176470588238</v>
      </c>
      <c r="Z2165" s="14">
        <v>55</v>
      </c>
      <c r="AA2165" s="2" t="str">
        <f>IF(V2165&gt;Z2165,"Yes","No")</f>
        <v>No</v>
      </c>
      <c r="AB2165" s="12">
        <f>V2165-Z2165</f>
        <v>-23.1661</v>
      </c>
      <c r="AC2165" s="15" t="s">
        <v>130</v>
      </c>
      <c r="AD2165" s="15" t="s">
        <v>131</v>
      </c>
      <c r="AE2165" s="15" t="s">
        <v>514</v>
      </c>
      <c r="AF2165" s="12">
        <f>IF(AG2165="Rejected",0,IF(R2165="Corporate Card",0,V2165))</f>
        <v>0</v>
      </c>
      <c r="AG2165" s="15" t="s">
        <v>133</v>
      </c>
      <c r="AH2165" s="16">
        <v>45920</v>
      </c>
      <c r="AI2165" s="16">
        <v>45924</v>
      </c>
      <c r="AJ2165" s="16">
        <v>45929</v>
      </c>
      <c r="AK2165" s="17">
        <f>IF(AJ2165="","",AJ2165-AH2165)</f>
        <v>9</v>
      </c>
    </row>
    <row r="2166" spans="1:37">
      <c r="A2166" s="2" t="s">
        <v>2641</v>
      </c>
      <c r="B2166" s="2" t="s">
        <v>2212</v>
      </c>
      <c r="C2166" s="2" t="s">
        <v>346</v>
      </c>
      <c r="D2166" s="2" t="s">
        <v>344</v>
      </c>
      <c r="E2166" s="2" t="s">
        <v>2213</v>
      </c>
      <c r="F2166" s="2" t="s">
        <v>313</v>
      </c>
      <c r="G2166" s="2" t="s">
        <v>2625</v>
      </c>
      <c r="H2166" s="2" t="s">
        <v>803</v>
      </c>
      <c r="I2166" s="2" t="s">
        <v>1251</v>
      </c>
      <c r="J2166" s="2" t="s">
        <v>750</v>
      </c>
      <c r="K2166" s="9">
        <v>45913</v>
      </c>
      <c r="L2166" s="9">
        <v>45919</v>
      </c>
      <c r="M2166" s="9">
        <v>45914</v>
      </c>
      <c r="N2166" s="2" t="s">
        <v>2549</v>
      </c>
      <c r="O2166" s="2" t="s">
        <v>56</v>
      </c>
      <c r="P2166" s="2" t="s">
        <v>245</v>
      </c>
      <c r="Q2166" s="2" t="s">
        <v>159</v>
      </c>
      <c r="R2166" s="2" t="s">
        <v>149</v>
      </c>
      <c r="S2166" s="2" t="s">
        <v>198</v>
      </c>
      <c r="T2166" s="10">
        <v>39.26</v>
      </c>
      <c r="U2166" s="11">
        <v>1.085</v>
      </c>
      <c r="V2166" s="12">
        <f>T2166*U2166</f>
        <v>42.597099999999998</v>
      </c>
      <c r="W2166" s="13">
        <v>0.19</v>
      </c>
      <c r="X2166" s="12">
        <f>V2166-(V2166/(1+W2166))</f>
        <v>6.8012176470588201</v>
      </c>
      <c r="Y2166" s="12">
        <f>V2166-X2166</f>
        <v>35.795882352941177</v>
      </c>
      <c r="Z2166" s="14">
        <v>75</v>
      </c>
      <c r="AA2166" s="2" t="str">
        <f>IF(V2166&gt;Z2166,"Yes","No")</f>
        <v>No</v>
      </c>
      <c r="AB2166" s="12">
        <f>V2166-Z2166</f>
        <v>-32.402900000000002</v>
      </c>
      <c r="AC2166" s="15" t="s">
        <v>130</v>
      </c>
      <c r="AD2166" s="15" t="s">
        <v>131</v>
      </c>
      <c r="AE2166" s="15" t="s">
        <v>514</v>
      </c>
      <c r="AF2166" s="12">
        <f>IF(AG2166="Rejected",0,IF(R2166="Corporate Card",0,V2166))</f>
        <v>42.597099999999998</v>
      </c>
      <c r="AG2166" s="15" t="s">
        <v>133</v>
      </c>
      <c r="AH2166" s="16">
        <v>45920</v>
      </c>
      <c r="AI2166" s="16">
        <v>45924</v>
      </c>
      <c r="AJ2166" s="16">
        <v>45929</v>
      </c>
      <c r="AK2166" s="17">
        <f>IF(AJ2166="","",AJ2166-AH2166)</f>
        <v>9</v>
      </c>
    </row>
    <row r="2167" spans="1:37">
      <c r="A2167" s="2" t="s">
        <v>2642</v>
      </c>
      <c r="B2167" s="2" t="s">
        <v>2212</v>
      </c>
      <c r="C2167" s="2" t="s">
        <v>346</v>
      </c>
      <c r="D2167" s="2" t="s">
        <v>344</v>
      </c>
      <c r="E2167" s="2" t="s">
        <v>2213</v>
      </c>
      <c r="F2167" s="2" t="s">
        <v>313</v>
      </c>
      <c r="G2167" s="2" t="s">
        <v>2625</v>
      </c>
      <c r="H2167" s="2" t="s">
        <v>803</v>
      </c>
      <c r="I2167" s="2" t="s">
        <v>1251</v>
      </c>
      <c r="J2167" s="2" t="s">
        <v>750</v>
      </c>
      <c r="K2167" s="9">
        <v>45913</v>
      </c>
      <c r="L2167" s="9">
        <v>45919</v>
      </c>
      <c r="M2167" s="9">
        <v>45914</v>
      </c>
      <c r="N2167" s="2" t="s">
        <v>2549</v>
      </c>
      <c r="O2167" s="2" t="s">
        <v>55</v>
      </c>
      <c r="P2167" s="2" t="s">
        <v>139</v>
      </c>
      <c r="Q2167" s="2" t="s">
        <v>161</v>
      </c>
      <c r="R2167" s="2" t="s">
        <v>128</v>
      </c>
      <c r="S2167" s="2" t="s">
        <v>198</v>
      </c>
      <c r="T2167" s="10">
        <v>26.86</v>
      </c>
      <c r="U2167" s="11">
        <v>1.085</v>
      </c>
      <c r="V2167" s="12">
        <f>T2167*U2167</f>
        <v>29.143099999999997</v>
      </c>
      <c r="W2167" s="13">
        <v>0.19</v>
      </c>
      <c r="X2167" s="12">
        <f>V2167-(V2167/(1+W2167))</f>
        <v>4.6530999999999985</v>
      </c>
      <c r="Y2167" s="12">
        <f>V2167-X2167</f>
        <v>24.49</v>
      </c>
      <c r="Z2167" s="14">
        <v>35</v>
      </c>
      <c r="AA2167" s="2" t="str">
        <f>IF(V2167&gt;Z2167,"Yes","No")</f>
        <v>No</v>
      </c>
      <c r="AB2167" s="12">
        <f>V2167-Z2167</f>
        <v>-5.8569000000000031</v>
      </c>
      <c r="AC2167" s="15" t="s">
        <v>130</v>
      </c>
      <c r="AD2167" s="15" t="s">
        <v>131</v>
      </c>
      <c r="AE2167" s="15" t="s">
        <v>514</v>
      </c>
      <c r="AF2167" s="12">
        <f>IF(AG2167="Rejected",0,IF(R2167="Corporate Card",0,V2167))</f>
        <v>0</v>
      </c>
      <c r="AG2167" s="15" t="s">
        <v>133</v>
      </c>
      <c r="AH2167" s="16">
        <v>45920</v>
      </c>
      <c r="AI2167" s="16">
        <v>45924</v>
      </c>
      <c r="AJ2167" s="16">
        <v>45929</v>
      </c>
      <c r="AK2167" s="17">
        <f>IF(AJ2167="","",AJ2167-AH2167)</f>
        <v>9</v>
      </c>
    </row>
    <row r="2168" spans="1:37">
      <c r="A2168" s="2" t="s">
        <v>2643</v>
      </c>
      <c r="B2168" s="2" t="s">
        <v>2212</v>
      </c>
      <c r="C2168" s="2" t="s">
        <v>346</v>
      </c>
      <c r="D2168" s="2" t="s">
        <v>344</v>
      </c>
      <c r="E2168" s="2" t="s">
        <v>2213</v>
      </c>
      <c r="F2168" s="2" t="s">
        <v>313</v>
      </c>
      <c r="G2168" s="2" t="s">
        <v>2625</v>
      </c>
      <c r="H2168" s="2" t="s">
        <v>803</v>
      </c>
      <c r="I2168" s="2" t="s">
        <v>1251</v>
      </c>
      <c r="J2168" s="2" t="s">
        <v>750</v>
      </c>
      <c r="K2168" s="9">
        <v>45913</v>
      </c>
      <c r="L2168" s="9">
        <v>45919</v>
      </c>
      <c r="M2168" s="9">
        <v>45915</v>
      </c>
      <c r="N2168" s="2" t="s">
        <v>2549</v>
      </c>
      <c r="O2168" s="2" t="s">
        <v>61</v>
      </c>
      <c r="P2168" s="2" t="s">
        <v>528</v>
      </c>
      <c r="Q2168" s="2" t="s">
        <v>1128</v>
      </c>
      <c r="R2168" s="2" t="s">
        <v>128</v>
      </c>
      <c r="S2168" s="2" t="s">
        <v>198</v>
      </c>
      <c r="T2168" s="10">
        <v>43.35</v>
      </c>
      <c r="U2168" s="11">
        <v>1.085</v>
      </c>
      <c r="V2168" s="12">
        <f>T2168*U2168</f>
        <v>47.034750000000003</v>
      </c>
      <c r="W2168" s="13">
        <v>0</v>
      </c>
      <c r="X2168" s="12">
        <f>V2168-(V2168/(1+W2168))</f>
        <v>0</v>
      </c>
      <c r="Y2168" s="12">
        <f>V2168-X2168</f>
        <v>47.034750000000003</v>
      </c>
      <c r="Z2168" s="14">
        <v>90</v>
      </c>
      <c r="AA2168" s="2" t="str">
        <f>IF(V2168&gt;Z2168,"Yes","No")</f>
        <v>No</v>
      </c>
      <c r="AB2168" s="12">
        <f>V2168-Z2168</f>
        <v>-42.965249999999997</v>
      </c>
      <c r="AC2168" s="15" t="s">
        <v>130</v>
      </c>
      <c r="AD2168" s="15" t="s">
        <v>131</v>
      </c>
      <c r="AE2168" s="15" t="s">
        <v>514</v>
      </c>
      <c r="AF2168" s="12">
        <f>IF(AG2168="Rejected",0,IF(R2168="Corporate Card",0,V2168))</f>
        <v>0</v>
      </c>
      <c r="AG2168" s="15" t="s">
        <v>133</v>
      </c>
      <c r="AH2168" s="16">
        <v>45920</v>
      </c>
      <c r="AI2168" s="16">
        <v>45924</v>
      </c>
      <c r="AJ2168" s="16">
        <v>45929</v>
      </c>
      <c r="AK2168" s="17">
        <f>IF(AJ2168="","",AJ2168-AH2168)</f>
        <v>9</v>
      </c>
    </row>
    <row r="2169" spans="1:37">
      <c r="A2169" s="2" t="s">
        <v>2644</v>
      </c>
      <c r="B2169" s="2" t="s">
        <v>2212</v>
      </c>
      <c r="C2169" s="2" t="s">
        <v>346</v>
      </c>
      <c r="D2169" s="2" t="s">
        <v>344</v>
      </c>
      <c r="E2169" s="2" t="s">
        <v>2213</v>
      </c>
      <c r="F2169" s="2" t="s">
        <v>313</v>
      </c>
      <c r="G2169" s="2" t="s">
        <v>2625</v>
      </c>
      <c r="H2169" s="2" t="s">
        <v>803</v>
      </c>
      <c r="I2169" s="2" t="s">
        <v>1251</v>
      </c>
      <c r="J2169" s="2" t="s">
        <v>750</v>
      </c>
      <c r="K2169" s="9">
        <v>45913</v>
      </c>
      <c r="L2169" s="9">
        <v>45919</v>
      </c>
      <c r="M2169" s="9">
        <v>45915</v>
      </c>
      <c r="N2169" s="2" t="s">
        <v>2549</v>
      </c>
      <c r="O2169" s="2" t="s">
        <v>54</v>
      </c>
      <c r="P2169" s="2" t="s">
        <v>139</v>
      </c>
      <c r="Q2169" s="2" t="s">
        <v>140</v>
      </c>
      <c r="R2169" s="2" t="s">
        <v>128</v>
      </c>
      <c r="S2169" s="2" t="s">
        <v>198</v>
      </c>
      <c r="T2169" s="10">
        <v>15.4</v>
      </c>
      <c r="U2169" s="11">
        <v>1.085</v>
      </c>
      <c r="V2169" s="12">
        <f>T2169*U2169</f>
        <v>16.709</v>
      </c>
      <c r="W2169" s="13">
        <v>0.19</v>
      </c>
      <c r="X2169" s="12">
        <f>V2169-(V2169/(1+W2169))</f>
        <v>2.6678235294117645</v>
      </c>
      <c r="Y2169" s="12">
        <f>V2169-X2169</f>
        <v>14.041176470588235</v>
      </c>
      <c r="Z2169" s="14">
        <v>25</v>
      </c>
      <c r="AA2169" s="2" t="str">
        <f>IF(V2169&gt;Z2169,"Yes","No")</f>
        <v>No</v>
      </c>
      <c r="AB2169" s="12">
        <f>V2169-Z2169</f>
        <v>-8.2910000000000004</v>
      </c>
      <c r="AC2169" s="15" t="s">
        <v>130</v>
      </c>
      <c r="AD2169" s="15" t="s">
        <v>131</v>
      </c>
      <c r="AE2169" s="15" t="s">
        <v>514</v>
      </c>
      <c r="AF2169" s="12">
        <f>IF(AG2169="Rejected",0,IF(R2169="Corporate Card",0,V2169))</f>
        <v>0</v>
      </c>
      <c r="AG2169" s="15" t="s">
        <v>133</v>
      </c>
      <c r="AH2169" s="16">
        <v>45920</v>
      </c>
      <c r="AI2169" s="16">
        <v>45924</v>
      </c>
      <c r="AJ2169" s="16">
        <v>45929</v>
      </c>
      <c r="AK2169" s="17">
        <f>IF(AJ2169="","",AJ2169-AH2169)</f>
        <v>9</v>
      </c>
    </row>
    <row r="2170" spans="1:37">
      <c r="A2170" s="2" t="s">
        <v>2645</v>
      </c>
      <c r="B2170" s="2" t="s">
        <v>2212</v>
      </c>
      <c r="C2170" s="2" t="s">
        <v>346</v>
      </c>
      <c r="D2170" s="2" t="s">
        <v>344</v>
      </c>
      <c r="E2170" s="2" t="s">
        <v>2213</v>
      </c>
      <c r="F2170" s="2" t="s">
        <v>313</v>
      </c>
      <c r="G2170" s="2" t="s">
        <v>2625</v>
      </c>
      <c r="H2170" s="2" t="s">
        <v>803</v>
      </c>
      <c r="I2170" s="2" t="s">
        <v>1251</v>
      </c>
      <c r="J2170" s="2" t="s">
        <v>750</v>
      </c>
      <c r="K2170" s="9">
        <v>45913</v>
      </c>
      <c r="L2170" s="9">
        <v>45919</v>
      </c>
      <c r="M2170" s="9">
        <v>45915</v>
      </c>
      <c r="N2170" s="2" t="s">
        <v>2549</v>
      </c>
      <c r="O2170" s="2" t="s">
        <v>56</v>
      </c>
      <c r="P2170" s="2" t="s">
        <v>231</v>
      </c>
      <c r="Q2170" s="2" t="s">
        <v>185</v>
      </c>
      <c r="R2170" s="2" t="s">
        <v>128</v>
      </c>
      <c r="S2170" s="2" t="s">
        <v>198</v>
      </c>
      <c r="T2170" s="10">
        <v>48.47</v>
      </c>
      <c r="U2170" s="11">
        <v>1.085</v>
      </c>
      <c r="V2170" s="12">
        <f>T2170*U2170</f>
        <v>52.589949999999995</v>
      </c>
      <c r="W2170" s="13">
        <v>0.19</v>
      </c>
      <c r="X2170" s="12">
        <f>V2170-(V2170/(1+W2170))</f>
        <v>8.3967147058823528</v>
      </c>
      <c r="Y2170" s="12">
        <f>V2170-X2170</f>
        <v>44.193235294117642</v>
      </c>
      <c r="Z2170" s="14">
        <v>75</v>
      </c>
      <c r="AA2170" s="2" t="str">
        <f>IF(V2170&gt;Z2170,"Yes","No")</f>
        <v>No</v>
      </c>
      <c r="AB2170" s="12">
        <f>V2170-Z2170</f>
        <v>-22.410050000000005</v>
      </c>
      <c r="AC2170" s="15" t="s">
        <v>130</v>
      </c>
      <c r="AD2170" s="15" t="s">
        <v>131</v>
      </c>
      <c r="AE2170" s="15" t="s">
        <v>514</v>
      </c>
      <c r="AF2170" s="12">
        <f>IF(AG2170="Rejected",0,IF(R2170="Corporate Card",0,V2170))</f>
        <v>0</v>
      </c>
      <c r="AG2170" s="15" t="s">
        <v>133</v>
      </c>
      <c r="AH2170" s="16">
        <v>45920</v>
      </c>
      <c r="AI2170" s="16">
        <v>45924</v>
      </c>
      <c r="AJ2170" s="16">
        <v>45929</v>
      </c>
      <c r="AK2170" s="17">
        <f>IF(AJ2170="","",AJ2170-AH2170)</f>
        <v>9</v>
      </c>
    </row>
    <row r="2171" spans="1:37">
      <c r="A2171" s="2" t="s">
        <v>2646</v>
      </c>
      <c r="B2171" s="2" t="s">
        <v>2212</v>
      </c>
      <c r="C2171" s="2" t="s">
        <v>346</v>
      </c>
      <c r="D2171" s="2" t="s">
        <v>344</v>
      </c>
      <c r="E2171" s="2" t="s">
        <v>2213</v>
      </c>
      <c r="F2171" s="2" t="s">
        <v>313</v>
      </c>
      <c r="G2171" s="2" t="s">
        <v>2625</v>
      </c>
      <c r="H2171" s="2" t="s">
        <v>803</v>
      </c>
      <c r="I2171" s="2" t="s">
        <v>1251</v>
      </c>
      <c r="J2171" s="2" t="s">
        <v>750</v>
      </c>
      <c r="K2171" s="9">
        <v>45913</v>
      </c>
      <c r="L2171" s="9">
        <v>45919</v>
      </c>
      <c r="M2171" s="9">
        <v>45915</v>
      </c>
      <c r="N2171" s="2" t="s">
        <v>2549</v>
      </c>
      <c r="O2171" s="2" t="s">
        <v>55</v>
      </c>
      <c r="P2171" s="2" t="s">
        <v>139</v>
      </c>
      <c r="Q2171" s="2" t="s">
        <v>217</v>
      </c>
      <c r="R2171" s="2" t="s">
        <v>128</v>
      </c>
      <c r="S2171" s="2" t="s">
        <v>198</v>
      </c>
      <c r="T2171" s="10">
        <v>12.13</v>
      </c>
      <c r="U2171" s="11">
        <v>1.085</v>
      </c>
      <c r="V2171" s="12">
        <f>T2171*U2171</f>
        <v>13.161050000000001</v>
      </c>
      <c r="W2171" s="13">
        <v>0.19</v>
      </c>
      <c r="X2171" s="12">
        <f>V2171-(V2171/(1+W2171))</f>
        <v>2.1013441176470593</v>
      </c>
      <c r="Y2171" s="12">
        <f>V2171-X2171</f>
        <v>11.059705882352942</v>
      </c>
      <c r="Z2171" s="14">
        <v>35</v>
      </c>
      <c r="AA2171" s="2" t="str">
        <f>IF(V2171&gt;Z2171,"Yes","No")</f>
        <v>No</v>
      </c>
      <c r="AB2171" s="12">
        <f>V2171-Z2171</f>
        <v>-21.838949999999997</v>
      </c>
      <c r="AC2171" s="15" t="s">
        <v>130</v>
      </c>
      <c r="AD2171" s="15" t="s">
        <v>131</v>
      </c>
      <c r="AE2171" s="15" t="s">
        <v>514</v>
      </c>
      <c r="AF2171" s="12">
        <f>IF(AG2171="Rejected",0,IF(R2171="Corporate Card",0,V2171))</f>
        <v>0</v>
      </c>
      <c r="AG2171" s="15" t="s">
        <v>133</v>
      </c>
      <c r="AH2171" s="16">
        <v>45920</v>
      </c>
      <c r="AI2171" s="16">
        <v>45924</v>
      </c>
      <c r="AJ2171" s="16">
        <v>45929</v>
      </c>
      <c r="AK2171" s="17">
        <f>IF(AJ2171="","",AJ2171-AH2171)</f>
        <v>9</v>
      </c>
    </row>
    <row r="2172" spans="1:37">
      <c r="A2172" s="2" t="s">
        <v>2647</v>
      </c>
      <c r="B2172" s="2" t="s">
        <v>2212</v>
      </c>
      <c r="C2172" s="2" t="s">
        <v>346</v>
      </c>
      <c r="D2172" s="2" t="s">
        <v>344</v>
      </c>
      <c r="E2172" s="2" t="s">
        <v>2213</v>
      </c>
      <c r="F2172" s="2" t="s">
        <v>313</v>
      </c>
      <c r="G2172" s="2" t="s">
        <v>2625</v>
      </c>
      <c r="H2172" s="2" t="s">
        <v>803</v>
      </c>
      <c r="I2172" s="2" t="s">
        <v>1251</v>
      </c>
      <c r="J2172" s="2" t="s">
        <v>750</v>
      </c>
      <c r="K2172" s="9">
        <v>45913</v>
      </c>
      <c r="L2172" s="9">
        <v>45919</v>
      </c>
      <c r="M2172" s="9">
        <v>45915</v>
      </c>
      <c r="N2172" s="2" t="s">
        <v>2549</v>
      </c>
      <c r="O2172" s="2" t="s">
        <v>62</v>
      </c>
      <c r="P2172" s="2" t="s">
        <v>533</v>
      </c>
      <c r="Q2172" s="2" t="s">
        <v>534</v>
      </c>
      <c r="R2172" s="2" t="s">
        <v>128</v>
      </c>
      <c r="S2172" s="2" t="s">
        <v>198</v>
      </c>
      <c r="T2172" s="10">
        <v>29.96</v>
      </c>
      <c r="U2172" s="11">
        <v>1.085</v>
      </c>
      <c r="V2172" s="12">
        <f>T2172*U2172</f>
        <v>32.506599999999999</v>
      </c>
      <c r="W2172" s="13">
        <v>0.19</v>
      </c>
      <c r="X2172" s="12">
        <f>V2172-(V2172/(1+W2172))</f>
        <v>5.1901294117647048</v>
      </c>
      <c r="Y2172" s="12">
        <f>V2172-X2172</f>
        <v>27.316470588235294</v>
      </c>
      <c r="Z2172" s="14">
        <v>45</v>
      </c>
      <c r="AA2172" s="2" t="str">
        <f>IF(V2172&gt;Z2172,"Yes","No")</f>
        <v>No</v>
      </c>
      <c r="AB2172" s="12">
        <f>V2172-Z2172</f>
        <v>-12.493400000000001</v>
      </c>
      <c r="AC2172" s="15" t="s">
        <v>130</v>
      </c>
      <c r="AD2172" s="15" t="s">
        <v>131</v>
      </c>
      <c r="AE2172" s="15" t="s">
        <v>514</v>
      </c>
      <c r="AF2172" s="12">
        <f>IF(AG2172="Rejected",0,IF(R2172="Corporate Card",0,V2172))</f>
        <v>0</v>
      </c>
      <c r="AG2172" s="15" t="s">
        <v>133</v>
      </c>
      <c r="AH2172" s="16">
        <v>45920</v>
      </c>
      <c r="AI2172" s="16">
        <v>45924</v>
      </c>
      <c r="AJ2172" s="16">
        <v>45929</v>
      </c>
      <c r="AK2172" s="17">
        <f>IF(AJ2172="","",AJ2172-AH2172)</f>
        <v>9</v>
      </c>
    </row>
    <row r="2173" spans="1:37">
      <c r="A2173" s="2" t="s">
        <v>2648</v>
      </c>
      <c r="B2173" s="2" t="s">
        <v>2212</v>
      </c>
      <c r="C2173" s="2" t="s">
        <v>346</v>
      </c>
      <c r="D2173" s="2" t="s">
        <v>344</v>
      </c>
      <c r="E2173" s="2" t="s">
        <v>2213</v>
      </c>
      <c r="F2173" s="2" t="s">
        <v>313</v>
      </c>
      <c r="G2173" s="2" t="s">
        <v>2649</v>
      </c>
      <c r="H2173" s="2" t="s">
        <v>348</v>
      </c>
      <c r="I2173" s="2" t="s">
        <v>418</v>
      </c>
      <c r="J2173" s="2" t="s">
        <v>381</v>
      </c>
      <c r="K2173" s="9">
        <v>45916</v>
      </c>
      <c r="L2173" s="9">
        <v>45922</v>
      </c>
      <c r="M2173" s="9">
        <v>45916</v>
      </c>
      <c r="N2173" s="2" t="s">
        <v>2549</v>
      </c>
      <c r="O2173" s="2" t="s">
        <v>52</v>
      </c>
      <c r="P2173" s="2" t="s">
        <v>419</v>
      </c>
      <c r="Q2173" s="2" t="s">
        <v>258</v>
      </c>
      <c r="R2173" s="2" t="s">
        <v>137</v>
      </c>
      <c r="S2173" s="2" t="s">
        <v>383</v>
      </c>
      <c r="T2173" s="10">
        <v>491.79</v>
      </c>
      <c r="U2173" s="11">
        <v>1</v>
      </c>
      <c r="V2173" s="12">
        <f>T2173*U2173</f>
        <v>491.79</v>
      </c>
      <c r="W2173" s="13">
        <v>0</v>
      </c>
      <c r="X2173" s="12">
        <f>V2173-(V2173/(1+W2173))</f>
        <v>0</v>
      </c>
      <c r="Y2173" s="12">
        <f>V2173-X2173</f>
        <v>491.79</v>
      </c>
      <c r="Z2173" s="14">
        <v>1400</v>
      </c>
      <c r="AA2173" s="2" t="str">
        <f>IF(V2173&gt;Z2173,"Yes","No")</f>
        <v>No</v>
      </c>
      <c r="AB2173" s="12">
        <f>V2173-Z2173</f>
        <v>-908.21</v>
      </c>
      <c r="AC2173" s="15" t="s">
        <v>130</v>
      </c>
      <c r="AD2173" s="15" t="s">
        <v>130</v>
      </c>
      <c r="AE2173" s="15" t="s">
        <v>858</v>
      </c>
      <c r="AF2173" s="12">
        <f>IF(AG2173="Rejected",0,IF(R2173="Corporate Card",0,V2173))</f>
        <v>491.79</v>
      </c>
      <c r="AG2173" s="15" t="s">
        <v>133</v>
      </c>
      <c r="AH2173" s="16">
        <v>45925</v>
      </c>
      <c r="AI2173" s="16">
        <v>45928</v>
      </c>
      <c r="AJ2173" s="16">
        <v>45936</v>
      </c>
      <c r="AK2173" s="17">
        <f>IF(AJ2173="","",AJ2173-AH2173)</f>
        <v>11</v>
      </c>
    </row>
    <row r="2174" spans="1:37">
      <c r="A2174" s="2" t="s">
        <v>2650</v>
      </c>
      <c r="B2174" s="2" t="s">
        <v>2212</v>
      </c>
      <c r="C2174" s="2" t="s">
        <v>346</v>
      </c>
      <c r="D2174" s="2" t="s">
        <v>344</v>
      </c>
      <c r="E2174" s="2" t="s">
        <v>2213</v>
      </c>
      <c r="F2174" s="2" t="s">
        <v>313</v>
      </c>
      <c r="G2174" s="2" t="s">
        <v>2649</v>
      </c>
      <c r="H2174" s="2" t="s">
        <v>348</v>
      </c>
      <c r="I2174" s="2" t="s">
        <v>418</v>
      </c>
      <c r="J2174" s="2" t="s">
        <v>381</v>
      </c>
      <c r="K2174" s="9">
        <v>45916</v>
      </c>
      <c r="L2174" s="9">
        <v>45922</v>
      </c>
      <c r="M2174" s="9">
        <v>45916</v>
      </c>
      <c r="N2174" s="2" t="s">
        <v>2549</v>
      </c>
      <c r="O2174" s="2" t="s">
        <v>64</v>
      </c>
      <c r="P2174" s="2" t="s">
        <v>135</v>
      </c>
      <c r="Q2174" s="2" t="s">
        <v>136</v>
      </c>
      <c r="R2174" s="2" t="s">
        <v>128</v>
      </c>
      <c r="S2174" s="2" t="s">
        <v>383</v>
      </c>
      <c r="T2174" s="10">
        <v>43.5</v>
      </c>
      <c r="U2174" s="11">
        <v>1</v>
      </c>
      <c r="V2174" s="12">
        <f>T2174*U2174</f>
        <v>43.5</v>
      </c>
      <c r="W2174" s="13">
        <v>0</v>
      </c>
      <c r="X2174" s="12">
        <f>V2174-(V2174/(1+W2174))</f>
        <v>0</v>
      </c>
      <c r="Y2174" s="12">
        <f>V2174-X2174</f>
        <v>43.5</v>
      </c>
      <c r="Z2174" s="14">
        <v>120</v>
      </c>
      <c r="AA2174" s="2" t="str">
        <f>IF(V2174&gt;Z2174,"Yes","No")</f>
        <v>No</v>
      </c>
      <c r="AB2174" s="12">
        <f>V2174-Z2174</f>
        <v>-76.5</v>
      </c>
      <c r="AC2174" s="15" t="s">
        <v>131</v>
      </c>
      <c r="AD2174" s="15" t="s">
        <v>130</v>
      </c>
      <c r="AE2174" s="15" t="s">
        <v>858</v>
      </c>
      <c r="AF2174" s="12">
        <f>IF(AG2174="Rejected",0,IF(R2174="Corporate Card",0,V2174))</f>
        <v>0</v>
      </c>
      <c r="AG2174" s="15" t="s">
        <v>133</v>
      </c>
      <c r="AH2174" s="16">
        <v>45925</v>
      </c>
      <c r="AI2174" s="16">
        <v>45928</v>
      </c>
      <c r="AJ2174" s="16">
        <v>45936</v>
      </c>
      <c r="AK2174" s="17">
        <f>IF(AJ2174="","",AJ2174-AH2174)</f>
        <v>11</v>
      </c>
    </row>
    <row r="2175" spans="1:37">
      <c r="A2175" s="2" t="s">
        <v>2651</v>
      </c>
      <c r="B2175" s="2" t="s">
        <v>2212</v>
      </c>
      <c r="C2175" s="2" t="s">
        <v>346</v>
      </c>
      <c r="D2175" s="2" t="s">
        <v>344</v>
      </c>
      <c r="E2175" s="2" t="s">
        <v>2213</v>
      </c>
      <c r="F2175" s="2" t="s">
        <v>313</v>
      </c>
      <c r="G2175" s="2" t="s">
        <v>2649</v>
      </c>
      <c r="H2175" s="2" t="s">
        <v>348</v>
      </c>
      <c r="I2175" s="2" t="s">
        <v>418</v>
      </c>
      <c r="J2175" s="2" t="s">
        <v>381</v>
      </c>
      <c r="K2175" s="9">
        <v>45916</v>
      </c>
      <c r="L2175" s="9">
        <v>45922</v>
      </c>
      <c r="M2175" s="9">
        <v>45916</v>
      </c>
      <c r="N2175" s="2" t="s">
        <v>2549</v>
      </c>
      <c r="O2175" s="2" t="s">
        <v>56</v>
      </c>
      <c r="P2175" s="2" t="s">
        <v>245</v>
      </c>
      <c r="Q2175" s="2" t="s">
        <v>166</v>
      </c>
      <c r="R2175" s="2" t="s">
        <v>128</v>
      </c>
      <c r="S2175" s="2" t="s">
        <v>383</v>
      </c>
      <c r="T2175" s="10">
        <v>48.4</v>
      </c>
      <c r="U2175" s="11">
        <v>1</v>
      </c>
      <c r="V2175" s="12">
        <f>T2175*U2175</f>
        <v>48.4</v>
      </c>
      <c r="W2175" s="13">
        <v>0</v>
      </c>
      <c r="X2175" s="12">
        <f>V2175-(V2175/(1+W2175))</f>
        <v>0</v>
      </c>
      <c r="Y2175" s="12">
        <f>V2175-X2175</f>
        <v>48.4</v>
      </c>
      <c r="Z2175" s="14">
        <v>75</v>
      </c>
      <c r="AA2175" s="2" t="str">
        <f>IF(V2175&gt;Z2175,"Yes","No")</f>
        <v>No</v>
      </c>
      <c r="AB2175" s="12">
        <f>V2175-Z2175</f>
        <v>-26.6</v>
      </c>
      <c r="AC2175" s="15" t="s">
        <v>130</v>
      </c>
      <c r="AD2175" s="15" t="s">
        <v>130</v>
      </c>
      <c r="AE2175" s="15" t="s">
        <v>858</v>
      </c>
      <c r="AF2175" s="12">
        <f>IF(AG2175="Rejected",0,IF(R2175="Corporate Card",0,V2175))</f>
        <v>0</v>
      </c>
      <c r="AG2175" s="15" t="s">
        <v>133</v>
      </c>
      <c r="AH2175" s="16">
        <v>45925</v>
      </c>
      <c r="AI2175" s="16">
        <v>45928</v>
      </c>
      <c r="AJ2175" s="16">
        <v>45936</v>
      </c>
      <c r="AK2175" s="17">
        <f>IF(AJ2175="","",AJ2175-AH2175)</f>
        <v>11</v>
      </c>
    </row>
    <row r="2176" spans="1:37">
      <c r="A2176" s="2" t="s">
        <v>2652</v>
      </c>
      <c r="B2176" s="2" t="s">
        <v>2212</v>
      </c>
      <c r="C2176" s="2" t="s">
        <v>346</v>
      </c>
      <c r="D2176" s="2" t="s">
        <v>344</v>
      </c>
      <c r="E2176" s="2" t="s">
        <v>2213</v>
      </c>
      <c r="F2176" s="2" t="s">
        <v>313</v>
      </c>
      <c r="G2176" s="2" t="s">
        <v>2649</v>
      </c>
      <c r="H2176" s="2" t="s">
        <v>348</v>
      </c>
      <c r="I2176" s="2" t="s">
        <v>418</v>
      </c>
      <c r="J2176" s="2" t="s">
        <v>381</v>
      </c>
      <c r="K2176" s="9">
        <v>45916</v>
      </c>
      <c r="L2176" s="9">
        <v>45922</v>
      </c>
      <c r="M2176" s="9">
        <v>45916</v>
      </c>
      <c r="N2176" s="2" t="s">
        <v>2549</v>
      </c>
      <c r="O2176" s="2" t="s">
        <v>55</v>
      </c>
      <c r="P2176" s="2" t="s">
        <v>139</v>
      </c>
      <c r="Q2176" s="2" t="s">
        <v>187</v>
      </c>
      <c r="R2176" s="2" t="s">
        <v>128</v>
      </c>
      <c r="S2176" s="2" t="s">
        <v>383</v>
      </c>
      <c r="T2176" s="10">
        <v>14.27</v>
      </c>
      <c r="U2176" s="11">
        <v>1</v>
      </c>
      <c r="V2176" s="12">
        <f>T2176*U2176</f>
        <v>14.27</v>
      </c>
      <c r="W2176" s="13">
        <v>0</v>
      </c>
      <c r="X2176" s="12">
        <f>V2176-(V2176/(1+W2176))</f>
        <v>0</v>
      </c>
      <c r="Y2176" s="12">
        <f>V2176-X2176</f>
        <v>14.27</v>
      </c>
      <c r="Z2176" s="14">
        <v>35</v>
      </c>
      <c r="AA2176" s="2" t="str">
        <f>IF(V2176&gt;Z2176,"Yes","No")</f>
        <v>No</v>
      </c>
      <c r="AB2176" s="12">
        <f>V2176-Z2176</f>
        <v>-20.73</v>
      </c>
      <c r="AC2176" s="15" t="s">
        <v>130</v>
      </c>
      <c r="AD2176" s="15" t="s">
        <v>130</v>
      </c>
      <c r="AE2176" s="15" t="s">
        <v>858</v>
      </c>
      <c r="AF2176" s="12">
        <f>IF(AG2176="Rejected",0,IF(R2176="Corporate Card",0,V2176))</f>
        <v>0</v>
      </c>
      <c r="AG2176" s="15" t="s">
        <v>133</v>
      </c>
      <c r="AH2176" s="16">
        <v>45925</v>
      </c>
      <c r="AI2176" s="16">
        <v>45928</v>
      </c>
      <c r="AJ2176" s="16">
        <v>45936</v>
      </c>
      <c r="AK2176" s="17">
        <f>IF(AJ2176="","",AJ2176-AH2176)</f>
        <v>11</v>
      </c>
    </row>
    <row r="2177" spans="1:37">
      <c r="A2177" s="2" t="s">
        <v>2653</v>
      </c>
      <c r="B2177" s="2" t="s">
        <v>2212</v>
      </c>
      <c r="C2177" s="2" t="s">
        <v>346</v>
      </c>
      <c r="D2177" s="2" t="s">
        <v>344</v>
      </c>
      <c r="E2177" s="2" t="s">
        <v>2213</v>
      </c>
      <c r="F2177" s="2" t="s">
        <v>313</v>
      </c>
      <c r="G2177" s="2" t="s">
        <v>2625</v>
      </c>
      <c r="H2177" s="2" t="s">
        <v>803</v>
      </c>
      <c r="I2177" s="2" t="s">
        <v>1251</v>
      </c>
      <c r="J2177" s="2" t="s">
        <v>750</v>
      </c>
      <c r="K2177" s="9">
        <v>45913</v>
      </c>
      <c r="L2177" s="9">
        <v>45919</v>
      </c>
      <c r="M2177" s="9">
        <v>45916</v>
      </c>
      <c r="N2177" s="2" t="s">
        <v>2549</v>
      </c>
      <c r="O2177" s="2" t="s">
        <v>58</v>
      </c>
      <c r="P2177" s="2" t="s">
        <v>142</v>
      </c>
      <c r="Q2177" s="2" t="s">
        <v>296</v>
      </c>
      <c r="R2177" s="2" t="s">
        <v>149</v>
      </c>
      <c r="S2177" s="2" t="s">
        <v>198</v>
      </c>
      <c r="T2177" s="10">
        <v>50.7</v>
      </c>
      <c r="U2177" s="11">
        <v>1.085</v>
      </c>
      <c r="V2177" s="12">
        <f>T2177*U2177</f>
        <v>55.009500000000003</v>
      </c>
      <c r="W2177" s="13">
        <v>0.19</v>
      </c>
      <c r="X2177" s="12">
        <f>V2177-(V2177/(1+W2177))</f>
        <v>8.7830294117647014</v>
      </c>
      <c r="Y2177" s="12">
        <f>V2177-X2177</f>
        <v>46.226470588235301</v>
      </c>
      <c r="Z2177" s="14">
        <v>60</v>
      </c>
      <c r="AA2177" s="2" t="str">
        <f>IF(V2177&gt;Z2177,"Yes","No")</f>
        <v>No</v>
      </c>
      <c r="AB2177" s="12">
        <f>V2177-Z2177</f>
        <v>-4.9904999999999973</v>
      </c>
      <c r="AC2177" s="15" t="s">
        <v>131</v>
      </c>
      <c r="AD2177" s="15" t="s">
        <v>131</v>
      </c>
      <c r="AE2177" s="15" t="s">
        <v>514</v>
      </c>
      <c r="AF2177" s="12">
        <f>IF(AG2177="Rejected",0,IF(R2177="Corporate Card",0,V2177))</f>
        <v>55.009500000000003</v>
      </c>
      <c r="AG2177" s="15" t="s">
        <v>133</v>
      </c>
      <c r="AH2177" s="16">
        <v>45920</v>
      </c>
      <c r="AI2177" s="16">
        <v>45924</v>
      </c>
      <c r="AJ2177" s="16">
        <v>45929</v>
      </c>
      <c r="AK2177" s="17">
        <f>IF(AJ2177="","",AJ2177-AH2177)</f>
        <v>9</v>
      </c>
    </row>
    <row r="2178" spans="1:37">
      <c r="A2178" s="2" t="s">
        <v>2654</v>
      </c>
      <c r="B2178" s="2" t="s">
        <v>2212</v>
      </c>
      <c r="C2178" s="2" t="s">
        <v>346</v>
      </c>
      <c r="D2178" s="2" t="s">
        <v>344</v>
      </c>
      <c r="E2178" s="2" t="s">
        <v>2213</v>
      </c>
      <c r="F2178" s="2" t="s">
        <v>313</v>
      </c>
      <c r="G2178" s="2" t="s">
        <v>2625</v>
      </c>
      <c r="H2178" s="2" t="s">
        <v>803</v>
      </c>
      <c r="I2178" s="2" t="s">
        <v>1251</v>
      </c>
      <c r="J2178" s="2" t="s">
        <v>750</v>
      </c>
      <c r="K2178" s="9">
        <v>45913</v>
      </c>
      <c r="L2178" s="9">
        <v>45919</v>
      </c>
      <c r="M2178" s="9">
        <v>45916</v>
      </c>
      <c r="N2178" s="2" t="s">
        <v>2549</v>
      </c>
      <c r="O2178" s="2" t="s">
        <v>68</v>
      </c>
      <c r="P2178" s="2" t="s">
        <v>282</v>
      </c>
      <c r="Q2178" s="2" t="s">
        <v>283</v>
      </c>
      <c r="R2178" s="2" t="s">
        <v>128</v>
      </c>
      <c r="S2178" s="2" t="s">
        <v>198</v>
      </c>
      <c r="T2178" s="10">
        <v>18.54</v>
      </c>
      <c r="U2178" s="11">
        <v>1.085</v>
      </c>
      <c r="V2178" s="12">
        <f>T2178*U2178</f>
        <v>20.1159</v>
      </c>
      <c r="W2178" s="13">
        <v>0.19</v>
      </c>
      <c r="X2178" s="12">
        <f>V2178-(V2178/(1+W2178))</f>
        <v>3.2117823529411744</v>
      </c>
      <c r="Y2178" s="12">
        <f>V2178-X2178</f>
        <v>16.904117647058825</v>
      </c>
      <c r="Z2178" s="14">
        <v>30</v>
      </c>
      <c r="AA2178" s="2" t="str">
        <f>IF(V2178&gt;Z2178,"Yes","No")</f>
        <v>No</v>
      </c>
      <c r="AB2178" s="12">
        <f>V2178-Z2178</f>
        <v>-9.8841000000000001</v>
      </c>
      <c r="AC2178" s="15" t="s">
        <v>130</v>
      </c>
      <c r="AD2178" s="15" t="s">
        <v>131</v>
      </c>
      <c r="AE2178" s="15" t="s">
        <v>514</v>
      </c>
      <c r="AF2178" s="12">
        <f>IF(AG2178="Rejected",0,IF(R2178="Corporate Card",0,V2178))</f>
        <v>0</v>
      </c>
      <c r="AG2178" s="15" t="s">
        <v>133</v>
      </c>
      <c r="AH2178" s="16">
        <v>45920</v>
      </c>
      <c r="AI2178" s="16">
        <v>45924</v>
      </c>
      <c r="AJ2178" s="16">
        <v>45929</v>
      </c>
      <c r="AK2178" s="17">
        <f>IF(AJ2178="","",AJ2178-AH2178)</f>
        <v>9</v>
      </c>
    </row>
    <row r="2179" spans="1:37">
      <c r="A2179" s="2" t="s">
        <v>2655</v>
      </c>
      <c r="B2179" s="2" t="s">
        <v>2212</v>
      </c>
      <c r="C2179" s="2" t="s">
        <v>346</v>
      </c>
      <c r="D2179" s="2" t="s">
        <v>344</v>
      </c>
      <c r="E2179" s="2" t="s">
        <v>2213</v>
      </c>
      <c r="F2179" s="2" t="s">
        <v>313</v>
      </c>
      <c r="G2179" s="2" t="s">
        <v>2625</v>
      </c>
      <c r="H2179" s="2" t="s">
        <v>803</v>
      </c>
      <c r="I2179" s="2" t="s">
        <v>1251</v>
      </c>
      <c r="J2179" s="2" t="s">
        <v>750</v>
      </c>
      <c r="K2179" s="9">
        <v>45913</v>
      </c>
      <c r="L2179" s="9">
        <v>45919</v>
      </c>
      <c r="M2179" s="9">
        <v>45916</v>
      </c>
      <c r="N2179" s="2" t="s">
        <v>2549</v>
      </c>
      <c r="O2179" s="2" t="s">
        <v>54</v>
      </c>
      <c r="P2179" s="2" t="s">
        <v>139</v>
      </c>
      <c r="Q2179" s="2" t="s">
        <v>214</v>
      </c>
      <c r="R2179" s="2" t="s">
        <v>128</v>
      </c>
      <c r="S2179" s="2" t="s">
        <v>198</v>
      </c>
      <c r="T2179" s="10">
        <v>15.29</v>
      </c>
      <c r="U2179" s="11">
        <v>1.085</v>
      </c>
      <c r="V2179" s="12">
        <f>T2179*U2179</f>
        <v>16.589649999999999</v>
      </c>
      <c r="W2179" s="13">
        <v>0.19</v>
      </c>
      <c r="X2179" s="12">
        <f>V2179-(V2179/(1+W2179))</f>
        <v>2.648767647058822</v>
      </c>
      <c r="Y2179" s="12">
        <f>V2179-X2179</f>
        <v>13.940882352941177</v>
      </c>
      <c r="Z2179" s="14">
        <v>25</v>
      </c>
      <c r="AA2179" s="2" t="str">
        <f>IF(V2179&gt;Z2179,"Yes","No")</f>
        <v>No</v>
      </c>
      <c r="AB2179" s="12">
        <f>V2179-Z2179</f>
        <v>-8.4103500000000011</v>
      </c>
      <c r="AC2179" s="15" t="s">
        <v>130</v>
      </c>
      <c r="AD2179" s="15" t="s">
        <v>131</v>
      </c>
      <c r="AE2179" s="15" t="s">
        <v>514</v>
      </c>
      <c r="AF2179" s="12">
        <f>IF(AG2179="Rejected",0,IF(R2179="Corporate Card",0,V2179))</f>
        <v>0</v>
      </c>
      <c r="AG2179" s="15" t="s">
        <v>133</v>
      </c>
      <c r="AH2179" s="16">
        <v>45920</v>
      </c>
      <c r="AI2179" s="16">
        <v>45924</v>
      </c>
      <c r="AJ2179" s="16">
        <v>45929</v>
      </c>
      <c r="AK2179" s="17">
        <f>IF(AJ2179="","",AJ2179-AH2179)</f>
        <v>9</v>
      </c>
    </row>
    <row r="2180" spans="1:37">
      <c r="A2180" s="2" t="s">
        <v>2656</v>
      </c>
      <c r="B2180" s="2" t="s">
        <v>2212</v>
      </c>
      <c r="C2180" s="2" t="s">
        <v>346</v>
      </c>
      <c r="D2180" s="2" t="s">
        <v>344</v>
      </c>
      <c r="E2180" s="2" t="s">
        <v>2213</v>
      </c>
      <c r="F2180" s="2" t="s">
        <v>313</v>
      </c>
      <c r="G2180" s="2" t="s">
        <v>2625</v>
      </c>
      <c r="H2180" s="2" t="s">
        <v>803</v>
      </c>
      <c r="I2180" s="2" t="s">
        <v>1251</v>
      </c>
      <c r="J2180" s="2" t="s">
        <v>750</v>
      </c>
      <c r="K2180" s="9">
        <v>45913</v>
      </c>
      <c r="L2180" s="9">
        <v>45919</v>
      </c>
      <c r="M2180" s="9">
        <v>45916</v>
      </c>
      <c r="N2180" s="2" t="s">
        <v>2549</v>
      </c>
      <c r="O2180" s="2" t="s">
        <v>55</v>
      </c>
      <c r="P2180" s="2" t="s">
        <v>139</v>
      </c>
      <c r="Q2180" s="2" t="s">
        <v>187</v>
      </c>
      <c r="R2180" s="2" t="s">
        <v>128</v>
      </c>
      <c r="S2180" s="2" t="s">
        <v>198</v>
      </c>
      <c r="T2180" s="10">
        <v>22.53</v>
      </c>
      <c r="U2180" s="11">
        <v>1.085</v>
      </c>
      <c r="V2180" s="12">
        <f>T2180*U2180</f>
        <v>24.445050000000002</v>
      </c>
      <c r="W2180" s="13">
        <v>0.19</v>
      </c>
      <c r="X2180" s="12">
        <f>V2180-(V2180/(1+W2180))</f>
        <v>3.9029911764705894</v>
      </c>
      <c r="Y2180" s="12">
        <f>V2180-X2180</f>
        <v>20.542058823529413</v>
      </c>
      <c r="Z2180" s="14">
        <v>35</v>
      </c>
      <c r="AA2180" s="2" t="str">
        <f>IF(V2180&gt;Z2180,"Yes","No")</f>
        <v>No</v>
      </c>
      <c r="AB2180" s="12">
        <f>V2180-Z2180</f>
        <v>-10.554949999999998</v>
      </c>
      <c r="AC2180" s="15" t="s">
        <v>130</v>
      </c>
      <c r="AD2180" s="15" t="s">
        <v>131</v>
      </c>
      <c r="AE2180" s="15" t="s">
        <v>514</v>
      </c>
      <c r="AF2180" s="12">
        <f>IF(AG2180="Rejected",0,IF(R2180="Corporate Card",0,V2180))</f>
        <v>0</v>
      </c>
      <c r="AG2180" s="15" t="s">
        <v>133</v>
      </c>
      <c r="AH2180" s="16">
        <v>45920</v>
      </c>
      <c r="AI2180" s="16">
        <v>45924</v>
      </c>
      <c r="AJ2180" s="16">
        <v>45929</v>
      </c>
      <c r="AK2180" s="17">
        <f>IF(AJ2180="","",AJ2180-AH2180)</f>
        <v>9</v>
      </c>
    </row>
    <row r="2181" spans="1:37">
      <c r="A2181" s="2" t="s">
        <v>2657</v>
      </c>
      <c r="B2181" s="2" t="s">
        <v>2212</v>
      </c>
      <c r="C2181" s="2" t="s">
        <v>346</v>
      </c>
      <c r="D2181" s="2" t="s">
        <v>344</v>
      </c>
      <c r="E2181" s="2" t="s">
        <v>2213</v>
      </c>
      <c r="F2181" s="2" t="s">
        <v>313</v>
      </c>
      <c r="G2181" s="2" t="s">
        <v>2649</v>
      </c>
      <c r="H2181" s="2" t="s">
        <v>348</v>
      </c>
      <c r="I2181" s="2" t="s">
        <v>418</v>
      </c>
      <c r="J2181" s="2" t="s">
        <v>381</v>
      </c>
      <c r="K2181" s="9">
        <v>45916</v>
      </c>
      <c r="L2181" s="9">
        <v>45922</v>
      </c>
      <c r="M2181" s="9">
        <v>45917</v>
      </c>
      <c r="N2181" s="2" t="s">
        <v>2549</v>
      </c>
      <c r="O2181" s="2" t="s">
        <v>60</v>
      </c>
      <c r="P2181" s="2" t="s">
        <v>2134</v>
      </c>
      <c r="Q2181" s="2" t="s">
        <v>503</v>
      </c>
      <c r="R2181" s="2" t="s">
        <v>149</v>
      </c>
      <c r="S2181" s="2" t="s">
        <v>383</v>
      </c>
      <c r="T2181" s="10">
        <v>402.92</v>
      </c>
      <c r="U2181" s="11">
        <v>1</v>
      </c>
      <c r="V2181" s="12">
        <f>T2181*U2181</f>
        <v>402.92</v>
      </c>
      <c r="W2181" s="13">
        <v>0</v>
      </c>
      <c r="X2181" s="12">
        <f>V2181-(V2181/(1+W2181))</f>
        <v>0</v>
      </c>
      <c r="Y2181" s="12">
        <f>V2181-X2181</f>
        <v>402.92</v>
      </c>
      <c r="Z2181" s="14">
        <v>720</v>
      </c>
      <c r="AA2181" s="2" t="str">
        <f>IF(V2181&gt;Z2181,"Yes","No")</f>
        <v>No</v>
      </c>
      <c r="AB2181" s="12">
        <f>V2181-Z2181</f>
        <v>-317.08</v>
      </c>
      <c r="AC2181" s="15" t="s">
        <v>130</v>
      </c>
      <c r="AD2181" s="15" t="s">
        <v>130</v>
      </c>
      <c r="AE2181" s="15" t="s">
        <v>858</v>
      </c>
      <c r="AF2181" s="12">
        <f>IF(AG2181="Rejected",0,IF(R2181="Corporate Card",0,V2181))</f>
        <v>402.92</v>
      </c>
      <c r="AG2181" s="15" t="s">
        <v>133</v>
      </c>
      <c r="AH2181" s="16">
        <v>45925</v>
      </c>
      <c r="AI2181" s="16">
        <v>45928</v>
      </c>
      <c r="AJ2181" s="16">
        <v>45936</v>
      </c>
      <c r="AK2181" s="17">
        <f>IF(AJ2181="","",AJ2181-AH2181)</f>
        <v>11</v>
      </c>
    </row>
    <row r="2182" spans="1:37">
      <c r="A2182" s="2" t="s">
        <v>2658</v>
      </c>
      <c r="B2182" s="2" t="s">
        <v>2212</v>
      </c>
      <c r="C2182" s="2" t="s">
        <v>346</v>
      </c>
      <c r="D2182" s="2" t="s">
        <v>344</v>
      </c>
      <c r="E2182" s="2" t="s">
        <v>2213</v>
      </c>
      <c r="F2182" s="2" t="s">
        <v>313</v>
      </c>
      <c r="G2182" s="2" t="s">
        <v>2649</v>
      </c>
      <c r="H2182" s="2" t="s">
        <v>348</v>
      </c>
      <c r="I2182" s="2" t="s">
        <v>418</v>
      </c>
      <c r="J2182" s="2" t="s">
        <v>381</v>
      </c>
      <c r="K2182" s="9">
        <v>45916</v>
      </c>
      <c r="L2182" s="9">
        <v>45922</v>
      </c>
      <c r="M2182" s="9">
        <v>45917</v>
      </c>
      <c r="N2182" s="2" t="s">
        <v>2549</v>
      </c>
      <c r="O2182" s="2" t="s">
        <v>58</v>
      </c>
      <c r="P2182" s="2" t="s">
        <v>142</v>
      </c>
      <c r="Q2182" s="2" t="s">
        <v>296</v>
      </c>
      <c r="R2182" s="2" t="s">
        <v>149</v>
      </c>
      <c r="S2182" s="2" t="s">
        <v>383</v>
      </c>
      <c r="T2182" s="10">
        <v>49.88</v>
      </c>
      <c r="U2182" s="11">
        <v>1</v>
      </c>
      <c r="V2182" s="12">
        <f>T2182*U2182</f>
        <v>49.88</v>
      </c>
      <c r="W2182" s="13">
        <v>0</v>
      </c>
      <c r="X2182" s="12">
        <f>V2182-(V2182/(1+W2182))</f>
        <v>0</v>
      </c>
      <c r="Y2182" s="12">
        <f>V2182-X2182</f>
        <v>49.88</v>
      </c>
      <c r="Z2182" s="14">
        <v>60</v>
      </c>
      <c r="AA2182" s="2" t="str">
        <f>IF(V2182&gt;Z2182,"Yes","No")</f>
        <v>No</v>
      </c>
      <c r="AB2182" s="12">
        <f>V2182-Z2182</f>
        <v>-10.119999999999997</v>
      </c>
      <c r="AC2182" s="15" t="s">
        <v>130</v>
      </c>
      <c r="AD2182" s="15" t="s">
        <v>130</v>
      </c>
      <c r="AE2182" s="15" t="s">
        <v>858</v>
      </c>
      <c r="AF2182" s="12">
        <f>IF(AG2182="Rejected",0,IF(R2182="Corporate Card",0,V2182))</f>
        <v>49.88</v>
      </c>
      <c r="AG2182" s="15" t="s">
        <v>133</v>
      </c>
      <c r="AH2182" s="16">
        <v>45925</v>
      </c>
      <c r="AI2182" s="16">
        <v>45928</v>
      </c>
      <c r="AJ2182" s="16">
        <v>45936</v>
      </c>
      <c r="AK2182" s="17">
        <f>IF(AJ2182="","",AJ2182-AH2182)</f>
        <v>11</v>
      </c>
    </row>
    <row r="2183" spans="1:37">
      <c r="A2183" s="2" t="s">
        <v>2659</v>
      </c>
      <c r="B2183" s="2" t="s">
        <v>2212</v>
      </c>
      <c r="C2183" s="2" t="s">
        <v>346</v>
      </c>
      <c r="D2183" s="2" t="s">
        <v>344</v>
      </c>
      <c r="E2183" s="2" t="s">
        <v>2213</v>
      </c>
      <c r="F2183" s="2" t="s">
        <v>313</v>
      </c>
      <c r="G2183" s="2" t="s">
        <v>2649</v>
      </c>
      <c r="H2183" s="2" t="s">
        <v>348</v>
      </c>
      <c r="I2183" s="2" t="s">
        <v>418</v>
      </c>
      <c r="J2183" s="2" t="s">
        <v>381</v>
      </c>
      <c r="K2183" s="9">
        <v>45916</v>
      </c>
      <c r="L2183" s="9">
        <v>45922</v>
      </c>
      <c r="M2183" s="9">
        <v>45917</v>
      </c>
      <c r="N2183" s="2" t="s">
        <v>2549</v>
      </c>
      <c r="O2183" s="2" t="s">
        <v>53</v>
      </c>
      <c r="P2183" s="2" t="s">
        <v>467</v>
      </c>
      <c r="Q2183" s="2" t="s">
        <v>220</v>
      </c>
      <c r="R2183" s="2" t="s">
        <v>128</v>
      </c>
      <c r="S2183" s="2" t="s">
        <v>383</v>
      </c>
      <c r="T2183" s="10">
        <v>1536.66</v>
      </c>
      <c r="U2183" s="11">
        <v>1</v>
      </c>
      <c r="V2183" s="12">
        <f>T2183*U2183</f>
        <v>1536.66</v>
      </c>
      <c r="W2183" s="13">
        <v>0</v>
      </c>
      <c r="X2183" s="12">
        <f>V2183-(V2183/(1+W2183))</f>
        <v>0</v>
      </c>
      <c r="Y2183" s="12">
        <f>V2183-X2183</f>
        <v>1536.66</v>
      </c>
      <c r="Z2183" s="14">
        <v>1680</v>
      </c>
      <c r="AA2183" s="2" t="str">
        <f>IF(V2183&gt;Z2183,"Yes","No")</f>
        <v>No</v>
      </c>
      <c r="AB2183" s="12">
        <f>V2183-Z2183</f>
        <v>-143.33999999999992</v>
      </c>
      <c r="AC2183" s="15" t="s">
        <v>130</v>
      </c>
      <c r="AD2183" s="15" t="s">
        <v>130</v>
      </c>
      <c r="AE2183" s="15" t="s">
        <v>858</v>
      </c>
      <c r="AF2183" s="12">
        <f>IF(AG2183="Rejected",0,IF(R2183="Corporate Card",0,V2183))</f>
        <v>0</v>
      </c>
      <c r="AG2183" s="15" t="s">
        <v>133</v>
      </c>
      <c r="AH2183" s="16">
        <v>45925</v>
      </c>
      <c r="AI2183" s="16">
        <v>45928</v>
      </c>
      <c r="AJ2183" s="16">
        <v>45936</v>
      </c>
      <c r="AK2183" s="17">
        <f>IF(AJ2183="","",AJ2183-AH2183)</f>
        <v>11</v>
      </c>
    </row>
    <row r="2184" spans="1:37">
      <c r="A2184" s="2" t="s">
        <v>2660</v>
      </c>
      <c r="B2184" s="2" t="s">
        <v>2212</v>
      </c>
      <c r="C2184" s="2" t="s">
        <v>346</v>
      </c>
      <c r="D2184" s="2" t="s">
        <v>344</v>
      </c>
      <c r="E2184" s="2" t="s">
        <v>2213</v>
      </c>
      <c r="F2184" s="2" t="s">
        <v>313</v>
      </c>
      <c r="G2184" s="2" t="s">
        <v>2649</v>
      </c>
      <c r="H2184" s="2" t="s">
        <v>348</v>
      </c>
      <c r="I2184" s="2" t="s">
        <v>418</v>
      </c>
      <c r="J2184" s="2" t="s">
        <v>381</v>
      </c>
      <c r="K2184" s="9">
        <v>45916</v>
      </c>
      <c r="L2184" s="9">
        <v>45922</v>
      </c>
      <c r="M2184" s="9">
        <v>45917</v>
      </c>
      <c r="N2184" s="2" t="s">
        <v>2549</v>
      </c>
      <c r="O2184" s="2" t="s">
        <v>54</v>
      </c>
      <c r="P2184" s="2" t="s">
        <v>139</v>
      </c>
      <c r="Q2184" s="2" t="s">
        <v>140</v>
      </c>
      <c r="R2184" s="2" t="s">
        <v>128</v>
      </c>
      <c r="S2184" s="2" t="s">
        <v>383</v>
      </c>
      <c r="T2184" s="10">
        <v>10.24</v>
      </c>
      <c r="U2184" s="11">
        <v>1</v>
      </c>
      <c r="V2184" s="12">
        <f>T2184*U2184</f>
        <v>10.24</v>
      </c>
      <c r="W2184" s="13">
        <v>0</v>
      </c>
      <c r="X2184" s="12">
        <f>V2184-(V2184/(1+W2184))</f>
        <v>0</v>
      </c>
      <c r="Y2184" s="12">
        <f>V2184-X2184</f>
        <v>10.24</v>
      </c>
      <c r="Z2184" s="14">
        <v>25</v>
      </c>
      <c r="AA2184" s="2" t="str">
        <f>IF(V2184&gt;Z2184,"Yes","No")</f>
        <v>No</v>
      </c>
      <c r="AB2184" s="12">
        <f>V2184-Z2184</f>
        <v>-14.76</v>
      </c>
      <c r="AC2184" s="15" t="s">
        <v>130</v>
      </c>
      <c r="AD2184" s="15" t="s">
        <v>130</v>
      </c>
      <c r="AE2184" s="15" t="s">
        <v>858</v>
      </c>
      <c r="AF2184" s="12">
        <f>IF(AG2184="Rejected",0,IF(R2184="Corporate Card",0,V2184))</f>
        <v>0</v>
      </c>
      <c r="AG2184" s="15" t="s">
        <v>133</v>
      </c>
      <c r="AH2184" s="16">
        <v>45925</v>
      </c>
      <c r="AI2184" s="16">
        <v>45928</v>
      </c>
      <c r="AJ2184" s="16">
        <v>45936</v>
      </c>
      <c r="AK2184" s="17">
        <f>IF(AJ2184="","",AJ2184-AH2184)</f>
        <v>11</v>
      </c>
    </row>
    <row r="2185" spans="1:37">
      <c r="A2185" s="2" t="s">
        <v>2661</v>
      </c>
      <c r="B2185" s="2" t="s">
        <v>2212</v>
      </c>
      <c r="C2185" s="2" t="s">
        <v>346</v>
      </c>
      <c r="D2185" s="2" t="s">
        <v>344</v>
      </c>
      <c r="E2185" s="2" t="s">
        <v>2213</v>
      </c>
      <c r="F2185" s="2" t="s">
        <v>313</v>
      </c>
      <c r="G2185" s="2" t="s">
        <v>2649</v>
      </c>
      <c r="H2185" s="2" t="s">
        <v>348</v>
      </c>
      <c r="I2185" s="2" t="s">
        <v>418</v>
      </c>
      <c r="J2185" s="2" t="s">
        <v>381</v>
      </c>
      <c r="K2185" s="9">
        <v>45916</v>
      </c>
      <c r="L2185" s="9">
        <v>45922</v>
      </c>
      <c r="M2185" s="9">
        <v>45917</v>
      </c>
      <c r="N2185" s="2" t="s">
        <v>2549</v>
      </c>
      <c r="O2185" s="2" t="s">
        <v>56</v>
      </c>
      <c r="P2185" s="2" t="s">
        <v>245</v>
      </c>
      <c r="Q2185" s="2" t="s">
        <v>159</v>
      </c>
      <c r="R2185" s="2" t="s">
        <v>128</v>
      </c>
      <c r="S2185" s="2" t="s">
        <v>383</v>
      </c>
      <c r="T2185" s="10">
        <v>58.31</v>
      </c>
      <c r="U2185" s="11">
        <v>1</v>
      </c>
      <c r="V2185" s="12">
        <f>T2185*U2185</f>
        <v>58.31</v>
      </c>
      <c r="W2185" s="13">
        <v>0</v>
      </c>
      <c r="X2185" s="12">
        <f>V2185-(V2185/(1+W2185))</f>
        <v>0</v>
      </c>
      <c r="Y2185" s="12">
        <f>V2185-X2185</f>
        <v>58.31</v>
      </c>
      <c r="Z2185" s="14">
        <v>75</v>
      </c>
      <c r="AA2185" s="2" t="str">
        <f>IF(V2185&gt;Z2185,"Yes","No")</f>
        <v>No</v>
      </c>
      <c r="AB2185" s="12">
        <f>V2185-Z2185</f>
        <v>-16.689999999999998</v>
      </c>
      <c r="AC2185" s="15" t="s">
        <v>130</v>
      </c>
      <c r="AD2185" s="15" t="s">
        <v>130</v>
      </c>
      <c r="AE2185" s="15" t="s">
        <v>858</v>
      </c>
      <c r="AF2185" s="12">
        <f>IF(AG2185="Rejected",0,IF(R2185="Corporate Card",0,V2185))</f>
        <v>0</v>
      </c>
      <c r="AG2185" s="15" t="s">
        <v>133</v>
      </c>
      <c r="AH2185" s="16">
        <v>45925</v>
      </c>
      <c r="AI2185" s="16">
        <v>45928</v>
      </c>
      <c r="AJ2185" s="16">
        <v>45936</v>
      </c>
      <c r="AK2185" s="17">
        <f>IF(AJ2185="","",AJ2185-AH2185)</f>
        <v>11</v>
      </c>
    </row>
    <row r="2186" spans="1:37">
      <c r="A2186" s="2" t="s">
        <v>2662</v>
      </c>
      <c r="B2186" s="2" t="s">
        <v>2212</v>
      </c>
      <c r="C2186" s="2" t="s">
        <v>346</v>
      </c>
      <c r="D2186" s="2" t="s">
        <v>344</v>
      </c>
      <c r="E2186" s="2" t="s">
        <v>2213</v>
      </c>
      <c r="F2186" s="2" t="s">
        <v>313</v>
      </c>
      <c r="G2186" s="2" t="s">
        <v>2649</v>
      </c>
      <c r="H2186" s="2" t="s">
        <v>348</v>
      </c>
      <c r="I2186" s="2" t="s">
        <v>418</v>
      </c>
      <c r="J2186" s="2" t="s">
        <v>381</v>
      </c>
      <c r="K2186" s="9">
        <v>45916</v>
      </c>
      <c r="L2186" s="9">
        <v>45922</v>
      </c>
      <c r="M2186" s="9">
        <v>45917</v>
      </c>
      <c r="N2186" s="2" t="s">
        <v>2549</v>
      </c>
      <c r="O2186" s="2" t="s">
        <v>55</v>
      </c>
      <c r="P2186" s="2" t="s">
        <v>139</v>
      </c>
      <c r="Q2186" s="2" t="s">
        <v>187</v>
      </c>
      <c r="R2186" s="2" t="s">
        <v>137</v>
      </c>
      <c r="S2186" s="2" t="s">
        <v>383</v>
      </c>
      <c r="T2186" s="10">
        <v>20.88</v>
      </c>
      <c r="U2186" s="11">
        <v>1</v>
      </c>
      <c r="V2186" s="12">
        <f>T2186*U2186</f>
        <v>20.88</v>
      </c>
      <c r="W2186" s="13">
        <v>0</v>
      </c>
      <c r="X2186" s="12">
        <f>V2186-(V2186/(1+W2186))</f>
        <v>0</v>
      </c>
      <c r="Y2186" s="12">
        <f>V2186-X2186</f>
        <v>20.88</v>
      </c>
      <c r="Z2186" s="14">
        <v>35</v>
      </c>
      <c r="AA2186" s="2" t="str">
        <f>IF(V2186&gt;Z2186,"Yes","No")</f>
        <v>No</v>
      </c>
      <c r="AB2186" s="12">
        <f>V2186-Z2186</f>
        <v>-14.120000000000001</v>
      </c>
      <c r="AC2186" s="15" t="s">
        <v>130</v>
      </c>
      <c r="AD2186" s="15" t="s">
        <v>130</v>
      </c>
      <c r="AE2186" s="15" t="s">
        <v>858</v>
      </c>
      <c r="AF2186" s="12">
        <f>IF(AG2186="Rejected",0,IF(R2186="Corporate Card",0,V2186))</f>
        <v>20.88</v>
      </c>
      <c r="AG2186" s="15" t="s">
        <v>133</v>
      </c>
      <c r="AH2186" s="16">
        <v>45925</v>
      </c>
      <c r="AI2186" s="16">
        <v>45928</v>
      </c>
      <c r="AJ2186" s="16">
        <v>45936</v>
      </c>
      <c r="AK2186" s="17">
        <f>IF(AJ2186="","",AJ2186-AH2186)</f>
        <v>11</v>
      </c>
    </row>
    <row r="2187" spans="1:37">
      <c r="A2187" s="2" t="s">
        <v>2663</v>
      </c>
      <c r="B2187" s="2" t="s">
        <v>2212</v>
      </c>
      <c r="C2187" s="2" t="s">
        <v>346</v>
      </c>
      <c r="D2187" s="2" t="s">
        <v>344</v>
      </c>
      <c r="E2187" s="2" t="s">
        <v>2213</v>
      </c>
      <c r="F2187" s="2" t="s">
        <v>313</v>
      </c>
      <c r="G2187" s="2" t="s">
        <v>2625</v>
      </c>
      <c r="H2187" s="2" t="s">
        <v>803</v>
      </c>
      <c r="I2187" s="2" t="s">
        <v>1251</v>
      </c>
      <c r="J2187" s="2" t="s">
        <v>750</v>
      </c>
      <c r="K2187" s="9">
        <v>45913</v>
      </c>
      <c r="L2187" s="9">
        <v>45919</v>
      </c>
      <c r="M2187" s="9">
        <v>45917</v>
      </c>
      <c r="N2187" s="2" t="s">
        <v>2549</v>
      </c>
      <c r="O2187" s="2" t="s">
        <v>58</v>
      </c>
      <c r="P2187" s="2" t="s">
        <v>142</v>
      </c>
      <c r="Q2187" s="2" t="s">
        <v>203</v>
      </c>
      <c r="R2187" s="2" t="s">
        <v>149</v>
      </c>
      <c r="S2187" s="2" t="s">
        <v>198</v>
      </c>
      <c r="T2187" s="10">
        <v>42.48</v>
      </c>
      <c r="U2187" s="11">
        <v>1.085</v>
      </c>
      <c r="V2187" s="12">
        <f>T2187*U2187</f>
        <v>46.090799999999994</v>
      </c>
      <c r="W2187" s="13">
        <v>0.19</v>
      </c>
      <c r="X2187" s="12">
        <f>V2187-(V2187/(1+W2187))</f>
        <v>7.3590352941176462</v>
      </c>
      <c r="Y2187" s="12">
        <f>V2187-X2187</f>
        <v>38.731764705882348</v>
      </c>
      <c r="Z2187" s="14">
        <v>60</v>
      </c>
      <c r="AA2187" s="2" t="str">
        <f>IF(V2187&gt;Z2187,"Yes","No")</f>
        <v>No</v>
      </c>
      <c r="AB2187" s="12">
        <f>V2187-Z2187</f>
        <v>-13.909200000000006</v>
      </c>
      <c r="AC2187" s="15" t="s">
        <v>130</v>
      </c>
      <c r="AD2187" s="15" t="s">
        <v>131</v>
      </c>
      <c r="AE2187" s="15" t="s">
        <v>514</v>
      </c>
      <c r="AF2187" s="12">
        <f>IF(AG2187="Rejected",0,IF(R2187="Corporate Card",0,V2187))</f>
        <v>46.090799999999994</v>
      </c>
      <c r="AG2187" s="15" t="s">
        <v>133</v>
      </c>
      <c r="AH2187" s="16">
        <v>45920</v>
      </c>
      <c r="AI2187" s="16">
        <v>45924</v>
      </c>
      <c r="AJ2187" s="16">
        <v>45929</v>
      </c>
      <c r="AK2187" s="17">
        <f>IF(AJ2187="","",AJ2187-AH2187)</f>
        <v>9</v>
      </c>
    </row>
    <row r="2188" spans="1:37">
      <c r="A2188" s="2" t="s">
        <v>2664</v>
      </c>
      <c r="B2188" s="2" t="s">
        <v>2212</v>
      </c>
      <c r="C2188" s="2" t="s">
        <v>346</v>
      </c>
      <c r="D2188" s="2" t="s">
        <v>344</v>
      </c>
      <c r="E2188" s="2" t="s">
        <v>2213</v>
      </c>
      <c r="F2188" s="2" t="s">
        <v>313</v>
      </c>
      <c r="G2188" s="2" t="s">
        <v>2625</v>
      </c>
      <c r="H2188" s="2" t="s">
        <v>803</v>
      </c>
      <c r="I2188" s="2" t="s">
        <v>1251</v>
      </c>
      <c r="J2188" s="2" t="s">
        <v>750</v>
      </c>
      <c r="K2188" s="9">
        <v>45913</v>
      </c>
      <c r="L2188" s="9">
        <v>45919</v>
      </c>
      <c r="M2188" s="9">
        <v>45917</v>
      </c>
      <c r="N2188" s="2" t="s">
        <v>2549</v>
      </c>
      <c r="O2188" s="2" t="s">
        <v>54</v>
      </c>
      <c r="P2188" s="2" t="s">
        <v>139</v>
      </c>
      <c r="Q2188" s="2" t="s">
        <v>140</v>
      </c>
      <c r="R2188" s="2" t="s">
        <v>128</v>
      </c>
      <c r="S2188" s="2" t="s">
        <v>198</v>
      </c>
      <c r="T2188" s="10">
        <v>8.25</v>
      </c>
      <c r="U2188" s="11">
        <v>1.085</v>
      </c>
      <c r="V2188" s="12">
        <f>T2188*U2188</f>
        <v>8.9512499999999999</v>
      </c>
      <c r="W2188" s="13">
        <v>0.19</v>
      </c>
      <c r="X2188" s="12">
        <f>V2188-(V2188/(1+W2188))</f>
        <v>1.4291911764705878</v>
      </c>
      <c r="Y2188" s="12">
        <f>V2188-X2188</f>
        <v>7.5220588235294121</v>
      </c>
      <c r="Z2188" s="14">
        <v>25</v>
      </c>
      <c r="AA2188" s="2" t="str">
        <f>IF(V2188&gt;Z2188,"Yes","No")</f>
        <v>No</v>
      </c>
      <c r="AB2188" s="12">
        <f>V2188-Z2188</f>
        <v>-16.048749999999998</v>
      </c>
      <c r="AC2188" s="15" t="s">
        <v>130</v>
      </c>
      <c r="AD2188" s="15" t="s">
        <v>131</v>
      </c>
      <c r="AE2188" s="15" t="s">
        <v>514</v>
      </c>
      <c r="AF2188" s="12">
        <f>IF(AG2188="Rejected",0,IF(R2188="Corporate Card",0,V2188))</f>
        <v>0</v>
      </c>
      <c r="AG2188" s="15" t="s">
        <v>133</v>
      </c>
      <c r="AH2188" s="16">
        <v>45920</v>
      </c>
      <c r="AI2188" s="16">
        <v>45924</v>
      </c>
      <c r="AJ2188" s="16">
        <v>45929</v>
      </c>
      <c r="AK2188" s="17">
        <f>IF(AJ2188="","",AJ2188-AH2188)</f>
        <v>9</v>
      </c>
    </row>
    <row r="2189" spans="1:37">
      <c r="A2189" s="2" t="s">
        <v>2665</v>
      </c>
      <c r="B2189" s="2" t="s">
        <v>2212</v>
      </c>
      <c r="C2189" s="2" t="s">
        <v>346</v>
      </c>
      <c r="D2189" s="2" t="s">
        <v>344</v>
      </c>
      <c r="E2189" s="2" t="s">
        <v>2213</v>
      </c>
      <c r="F2189" s="2" t="s">
        <v>313</v>
      </c>
      <c r="G2189" s="2" t="s">
        <v>2625</v>
      </c>
      <c r="H2189" s="2" t="s">
        <v>803</v>
      </c>
      <c r="I2189" s="2" t="s">
        <v>1251</v>
      </c>
      <c r="J2189" s="2" t="s">
        <v>750</v>
      </c>
      <c r="K2189" s="9">
        <v>45913</v>
      </c>
      <c r="L2189" s="9">
        <v>45919</v>
      </c>
      <c r="M2189" s="9">
        <v>45917</v>
      </c>
      <c r="N2189" s="2" t="s">
        <v>2549</v>
      </c>
      <c r="O2189" s="2" t="s">
        <v>55</v>
      </c>
      <c r="P2189" s="2" t="s">
        <v>139</v>
      </c>
      <c r="Q2189" s="2" t="s">
        <v>161</v>
      </c>
      <c r="R2189" s="2" t="s">
        <v>137</v>
      </c>
      <c r="S2189" s="2" t="s">
        <v>198</v>
      </c>
      <c r="T2189" s="10">
        <v>16.260000000000002</v>
      </c>
      <c r="U2189" s="11">
        <v>1.085</v>
      </c>
      <c r="V2189" s="12">
        <f>T2189*U2189</f>
        <v>17.642100000000003</v>
      </c>
      <c r="W2189" s="13">
        <v>0.19</v>
      </c>
      <c r="X2189" s="12">
        <f>V2189-(V2189/(1+W2189))</f>
        <v>2.8168058823529414</v>
      </c>
      <c r="Y2189" s="12">
        <f>V2189-X2189</f>
        <v>14.825294117647061</v>
      </c>
      <c r="Z2189" s="14">
        <v>35</v>
      </c>
      <c r="AA2189" s="2" t="str">
        <f>IF(V2189&gt;Z2189,"Yes","No")</f>
        <v>No</v>
      </c>
      <c r="AB2189" s="12">
        <f>V2189-Z2189</f>
        <v>-17.357899999999997</v>
      </c>
      <c r="AC2189" s="15" t="s">
        <v>130</v>
      </c>
      <c r="AD2189" s="15" t="s">
        <v>131</v>
      </c>
      <c r="AE2189" s="15" t="s">
        <v>514</v>
      </c>
      <c r="AF2189" s="12">
        <f>IF(AG2189="Rejected",0,IF(R2189="Corporate Card",0,V2189))</f>
        <v>17.642100000000003</v>
      </c>
      <c r="AG2189" s="15" t="s">
        <v>133</v>
      </c>
      <c r="AH2189" s="16">
        <v>45920</v>
      </c>
      <c r="AI2189" s="16">
        <v>45924</v>
      </c>
      <c r="AJ2189" s="16">
        <v>45929</v>
      </c>
      <c r="AK2189" s="17">
        <f>IF(AJ2189="","",AJ2189-AH2189)</f>
        <v>9</v>
      </c>
    </row>
    <row r="2190" spans="1:37">
      <c r="A2190" s="2" t="s">
        <v>2666</v>
      </c>
      <c r="B2190" s="2" t="s">
        <v>2212</v>
      </c>
      <c r="C2190" s="2" t="s">
        <v>346</v>
      </c>
      <c r="D2190" s="2" t="s">
        <v>344</v>
      </c>
      <c r="E2190" s="2" t="s">
        <v>2213</v>
      </c>
      <c r="F2190" s="2" t="s">
        <v>313</v>
      </c>
      <c r="G2190" s="2" t="s">
        <v>2649</v>
      </c>
      <c r="H2190" s="2" t="s">
        <v>348</v>
      </c>
      <c r="I2190" s="2" t="s">
        <v>418</v>
      </c>
      <c r="J2190" s="2" t="s">
        <v>381</v>
      </c>
      <c r="K2190" s="9">
        <v>45916</v>
      </c>
      <c r="L2190" s="9">
        <v>45922</v>
      </c>
      <c r="M2190" s="9">
        <v>45918</v>
      </c>
      <c r="N2190" s="2" t="s">
        <v>2549</v>
      </c>
      <c r="O2190" s="2" t="s">
        <v>58</v>
      </c>
      <c r="P2190" s="2" t="s">
        <v>142</v>
      </c>
      <c r="Q2190" s="2" t="s">
        <v>143</v>
      </c>
      <c r="R2190" s="2" t="s">
        <v>137</v>
      </c>
      <c r="S2190" s="2" t="s">
        <v>383</v>
      </c>
      <c r="T2190" s="10">
        <v>30.68</v>
      </c>
      <c r="U2190" s="11">
        <v>1</v>
      </c>
      <c r="V2190" s="12">
        <f>T2190*U2190</f>
        <v>30.68</v>
      </c>
      <c r="W2190" s="13">
        <v>0</v>
      </c>
      <c r="X2190" s="12">
        <f>V2190-(V2190/(1+W2190))</f>
        <v>0</v>
      </c>
      <c r="Y2190" s="12">
        <f>V2190-X2190</f>
        <v>30.68</v>
      </c>
      <c r="Z2190" s="14">
        <v>60</v>
      </c>
      <c r="AA2190" s="2" t="str">
        <f>IF(V2190&gt;Z2190,"Yes","No")</f>
        <v>No</v>
      </c>
      <c r="AB2190" s="12">
        <f>V2190-Z2190</f>
        <v>-29.32</v>
      </c>
      <c r="AC2190" s="15" t="s">
        <v>130</v>
      </c>
      <c r="AD2190" s="15" t="s">
        <v>130</v>
      </c>
      <c r="AE2190" s="15" t="s">
        <v>858</v>
      </c>
      <c r="AF2190" s="12">
        <f>IF(AG2190="Rejected",0,IF(R2190="Corporate Card",0,V2190))</f>
        <v>30.68</v>
      </c>
      <c r="AG2190" s="15" t="s">
        <v>133</v>
      </c>
      <c r="AH2190" s="16">
        <v>45925</v>
      </c>
      <c r="AI2190" s="16">
        <v>45928</v>
      </c>
      <c r="AJ2190" s="16">
        <v>45936</v>
      </c>
      <c r="AK2190" s="17">
        <f>IF(AJ2190="","",AJ2190-AH2190)</f>
        <v>11</v>
      </c>
    </row>
    <row r="2191" spans="1:37">
      <c r="A2191" s="2" t="s">
        <v>2667</v>
      </c>
      <c r="B2191" s="2" t="s">
        <v>2212</v>
      </c>
      <c r="C2191" s="2" t="s">
        <v>346</v>
      </c>
      <c r="D2191" s="2" t="s">
        <v>344</v>
      </c>
      <c r="E2191" s="2" t="s">
        <v>2213</v>
      </c>
      <c r="F2191" s="2" t="s">
        <v>313</v>
      </c>
      <c r="G2191" s="2" t="s">
        <v>2649</v>
      </c>
      <c r="H2191" s="2" t="s">
        <v>348</v>
      </c>
      <c r="I2191" s="2" t="s">
        <v>418</v>
      </c>
      <c r="J2191" s="2" t="s">
        <v>381</v>
      </c>
      <c r="K2191" s="9">
        <v>45916</v>
      </c>
      <c r="L2191" s="9">
        <v>45922</v>
      </c>
      <c r="M2191" s="9">
        <v>45918</v>
      </c>
      <c r="N2191" s="2" t="s">
        <v>2549</v>
      </c>
      <c r="O2191" s="2" t="s">
        <v>54</v>
      </c>
      <c r="P2191" s="2" t="s">
        <v>139</v>
      </c>
      <c r="Q2191" s="2" t="s">
        <v>140</v>
      </c>
      <c r="R2191" s="2" t="s">
        <v>149</v>
      </c>
      <c r="S2191" s="2" t="s">
        <v>383</v>
      </c>
      <c r="T2191" s="10">
        <v>19.510000000000002</v>
      </c>
      <c r="U2191" s="11">
        <v>1</v>
      </c>
      <c r="V2191" s="12">
        <f>T2191*U2191</f>
        <v>19.510000000000002</v>
      </c>
      <c r="W2191" s="13">
        <v>0</v>
      </c>
      <c r="X2191" s="12">
        <f>V2191-(V2191/(1+W2191))</f>
        <v>0</v>
      </c>
      <c r="Y2191" s="12">
        <f>V2191-X2191</f>
        <v>19.510000000000002</v>
      </c>
      <c r="Z2191" s="14">
        <v>25</v>
      </c>
      <c r="AA2191" s="2" t="str">
        <f>IF(V2191&gt;Z2191,"Yes","No")</f>
        <v>No</v>
      </c>
      <c r="AB2191" s="12">
        <f>V2191-Z2191</f>
        <v>-5.4899999999999984</v>
      </c>
      <c r="AC2191" s="15" t="s">
        <v>130</v>
      </c>
      <c r="AD2191" s="15" t="s">
        <v>130</v>
      </c>
      <c r="AE2191" s="15" t="s">
        <v>858</v>
      </c>
      <c r="AF2191" s="12">
        <f>IF(AG2191="Rejected",0,IF(R2191="Corporate Card",0,V2191))</f>
        <v>19.510000000000002</v>
      </c>
      <c r="AG2191" s="15" t="s">
        <v>133</v>
      </c>
      <c r="AH2191" s="16">
        <v>45925</v>
      </c>
      <c r="AI2191" s="16">
        <v>45928</v>
      </c>
      <c r="AJ2191" s="16">
        <v>45936</v>
      </c>
      <c r="AK2191" s="17">
        <f>IF(AJ2191="","",AJ2191-AH2191)</f>
        <v>11</v>
      </c>
    </row>
    <row r="2192" spans="1:37">
      <c r="A2192" s="2" t="s">
        <v>2668</v>
      </c>
      <c r="B2192" s="2" t="s">
        <v>2212</v>
      </c>
      <c r="C2192" s="2" t="s">
        <v>346</v>
      </c>
      <c r="D2192" s="2" t="s">
        <v>344</v>
      </c>
      <c r="E2192" s="2" t="s">
        <v>2213</v>
      </c>
      <c r="F2192" s="2" t="s">
        <v>313</v>
      </c>
      <c r="G2192" s="2" t="s">
        <v>2649</v>
      </c>
      <c r="H2192" s="2" t="s">
        <v>348</v>
      </c>
      <c r="I2192" s="2" t="s">
        <v>418</v>
      </c>
      <c r="J2192" s="2" t="s">
        <v>381</v>
      </c>
      <c r="K2192" s="9">
        <v>45916</v>
      </c>
      <c r="L2192" s="9">
        <v>45922</v>
      </c>
      <c r="M2192" s="9">
        <v>45918</v>
      </c>
      <c r="N2192" s="2" t="s">
        <v>2549</v>
      </c>
      <c r="O2192" s="2" t="s">
        <v>56</v>
      </c>
      <c r="P2192" s="2" t="s">
        <v>165</v>
      </c>
      <c r="Q2192" s="2" t="s">
        <v>166</v>
      </c>
      <c r="R2192" s="2" t="s">
        <v>128</v>
      </c>
      <c r="S2192" s="2" t="s">
        <v>383</v>
      </c>
      <c r="T2192" s="10">
        <v>60</v>
      </c>
      <c r="U2192" s="11">
        <v>1</v>
      </c>
      <c r="V2192" s="12">
        <f>T2192*U2192</f>
        <v>60</v>
      </c>
      <c r="W2192" s="13">
        <v>0</v>
      </c>
      <c r="X2192" s="12">
        <f>V2192-(V2192/(1+W2192))</f>
        <v>0</v>
      </c>
      <c r="Y2192" s="12">
        <f>V2192-X2192</f>
        <v>60</v>
      </c>
      <c r="Z2192" s="14">
        <v>75</v>
      </c>
      <c r="AA2192" s="2" t="str">
        <f>IF(V2192&gt;Z2192,"Yes","No")</f>
        <v>No</v>
      </c>
      <c r="AB2192" s="12">
        <f>V2192-Z2192</f>
        <v>-15</v>
      </c>
      <c r="AC2192" s="15" t="s">
        <v>130</v>
      </c>
      <c r="AD2192" s="15" t="s">
        <v>130</v>
      </c>
      <c r="AE2192" s="15" t="s">
        <v>858</v>
      </c>
      <c r="AF2192" s="12">
        <f>IF(AG2192="Rejected",0,IF(R2192="Corporate Card",0,V2192))</f>
        <v>0</v>
      </c>
      <c r="AG2192" s="15" t="s">
        <v>133</v>
      </c>
      <c r="AH2192" s="16">
        <v>45925</v>
      </c>
      <c r="AI2192" s="16">
        <v>45928</v>
      </c>
      <c r="AJ2192" s="16">
        <v>45936</v>
      </c>
      <c r="AK2192" s="17">
        <f>IF(AJ2192="","",AJ2192-AH2192)</f>
        <v>11</v>
      </c>
    </row>
    <row r="2193" spans="1:37">
      <c r="A2193" s="2" t="s">
        <v>2669</v>
      </c>
      <c r="B2193" s="2" t="s">
        <v>2212</v>
      </c>
      <c r="C2193" s="2" t="s">
        <v>346</v>
      </c>
      <c r="D2193" s="2" t="s">
        <v>344</v>
      </c>
      <c r="E2193" s="2" t="s">
        <v>2213</v>
      </c>
      <c r="F2193" s="2" t="s">
        <v>313</v>
      </c>
      <c r="G2193" s="2" t="s">
        <v>2649</v>
      </c>
      <c r="H2193" s="2" t="s">
        <v>348</v>
      </c>
      <c r="I2193" s="2" t="s">
        <v>418</v>
      </c>
      <c r="J2193" s="2" t="s">
        <v>381</v>
      </c>
      <c r="K2193" s="9">
        <v>45916</v>
      </c>
      <c r="L2193" s="9">
        <v>45922</v>
      </c>
      <c r="M2193" s="9">
        <v>45918</v>
      </c>
      <c r="N2193" s="2" t="s">
        <v>2549</v>
      </c>
      <c r="O2193" s="2" t="s">
        <v>55</v>
      </c>
      <c r="P2193" s="2" t="s">
        <v>139</v>
      </c>
      <c r="Q2193" s="2" t="s">
        <v>161</v>
      </c>
      <c r="R2193" s="2" t="s">
        <v>128</v>
      </c>
      <c r="S2193" s="2" t="s">
        <v>383</v>
      </c>
      <c r="T2193" s="10">
        <v>25.6</v>
      </c>
      <c r="U2193" s="11">
        <v>1</v>
      </c>
      <c r="V2193" s="12">
        <f>T2193*U2193</f>
        <v>25.6</v>
      </c>
      <c r="W2193" s="13">
        <v>0</v>
      </c>
      <c r="X2193" s="12">
        <f>V2193-(V2193/(1+W2193))</f>
        <v>0</v>
      </c>
      <c r="Y2193" s="12">
        <f>V2193-X2193</f>
        <v>25.6</v>
      </c>
      <c r="Z2193" s="14">
        <v>35</v>
      </c>
      <c r="AA2193" s="2" t="str">
        <f>IF(V2193&gt;Z2193,"Yes","No")</f>
        <v>No</v>
      </c>
      <c r="AB2193" s="12">
        <f>V2193-Z2193</f>
        <v>-9.3999999999999986</v>
      </c>
      <c r="AC2193" s="15" t="s">
        <v>130</v>
      </c>
      <c r="AD2193" s="15" t="s">
        <v>130</v>
      </c>
      <c r="AE2193" s="15" t="s">
        <v>858</v>
      </c>
      <c r="AF2193" s="12">
        <f>IF(AG2193="Rejected",0,IF(R2193="Corporate Card",0,V2193))</f>
        <v>0</v>
      </c>
      <c r="AG2193" s="15" t="s">
        <v>133</v>
      </c>
      <c r="AH2193" s="16">
        <v>45925</v>
      </c>
      <c r="AI2193" s="16">
        <v>45928</v>
      </c>
      <c r="AJ2193" s="16">
        <v>45936</v>
      </c>
      <c r="AK2193" s="17">
        <f>IF(AJ2193="","",AJ2193-AH2193)</f>
        <v>11</v>
      </c>
    </row>
    <row r="2194" spans="1:37">
      <c r="A2194" s="2" t="s">
        <v>2670</v>
      </c>
      <c r="B2194" s="2" t="s">
        <v>2212</v>
      </c>
      <c r="C2194" s="2" t="s">
        <v>346</v>
      </c>
      <c r="D2194" s="2" t="s">
        <v>344</v>
      </c>
      <c r="E2194" s="2" t="s">
        <v>2213</v>
      </c>
      <c r="F2194" s="2" t="s">
        <v>313</v>
      </c>
      <c r="G2194" s="2" t="s">
        <v>2625</v>
      </c>
      <c r="H2194" s="2" t="s">
        <v>803</v>
      </c>
      <c r="I2194" s="2" t="s">
        <v>1251</v>
      </c>
      <c r="J2194" s="2" t="s">
        <v>750</v>
      </c>
      <c r="K2194" s="9">
        <v>45913</v>
      </c>
      <c r="L2194" s="9">
        <v>45919</v>
      </c>
      <c r="M2194" s="9">
        <v>45918</v>
      </c>
      <c r="N2194" s="2" t="s">
        <v>2549</v>
      </c>
      <c r="O2194" s="2" t="s">
        <v>58</v>
      </c>
      <c r="P2194" s="2" t="s">
        <v>142</v>
      </c>
      <c r="Q2194" s="2" t="s">
        <v>296</v>
      </c>
      <c r="R2194" s="2" t="s">
        <v>149</v>
      </c>
      <c r="S2194" s="2" t="s">
        <v>198</v>
      </c>
      <c r="T2194" s="10">
        <v>25.76</v>
      </c>
      <c r="U2194" s="11">
        <v>1.085</v>
      </c>
      <c r="V2194" s="12">
        <f>T2194*U2194</f>
        <v>27.9496</v>
      </c>
      <c r="W2194" s="13">
        <v>0.19</v>
      </c>
      <c r="X2194" s="12">
        <f>V2194-(V2194/(1+W2194))</f>
        <v>4.4625411764705873</v>
      </c>
      <c r="Y2194" s="12">
        <f>V2194-X2194</f>
        <v>23.487058823529413</v>
      </c>
      <c r="Z2194" s="14">
        <v>60</v>
      </c>
      <c r="AA2194" s="2" t="str">
        <f>IF(V2194&gt;Z2194,"Yes","No")</f>
        <v>No</v>
      </c>
      <c r="AB2194" s="12">
        <f>V2194-Z2194</f>
        <v>-32.050399999999996</v>
      </c>
      <c r="AC2194" s="15" t="s">
        <v>130</v>
      </c>
      <c r="AD2194" s="15" t="s">
        <v>131</v>
      </c>
      <c r="AE2194" s="15" t="s">
        <v>514</v>
      </c>
      <c r="AF2194" s="12">
        <f>IF(AG2194="Rejected",0,IF(R2194="Corporate Card",0,V2194))</f>
        <v>27.9496</v>
      </c>
      <c r="AG2194" s="15" t="s">
        <v>133</v>
      </c>
      <c r="AH2194" s="16">
        <v>45920</v>
      </c>
      <c r="AI2194" s="16">
        <v>45924</v>
      </c>
      <c r="AJ2194" s="16">
        <v>45929</v>
      </c>
      <c r="AK2194" s="17">
        <f>IF(AJ2194="","",AJ2194-AH2194)</f>
        <v>9</v>
      </c>
    </row>
    <row r="2195" spans="1:37">
      <c r="A2195" s="2" t="s">
        <v>2671</v>
      </c>
      <c r="B2195" s="2" t="s">
        <v>2212</v>
      </c>
      <c r="C2195" s="2" t="s">
        <v>346</v>
      </c>
      <c r="D2195" s="2" t="s">
        <v>344</v>
      </c>
      <c r="E2195" s="2" t="s">
        <v>2213</v>
      </c>
      <c r="F2195" s="2" t="s">
        <v>313</v>
      </c>
      <c r="G2195" s="2" t="s">
        <v>2625</v>
      </c>
      <c r="H2195" s="2" t="s">
        <v>803</v>
      </c>
      <c r="I2195" s="2" t="s">
        <v>1251</v>
      </c>
      <c r="J2195" s="2" t="s">
        <v>750</v>
      </c>
      <c r="K2195" s="9">
        <v>45913</v>
      </c>
      <c r="L2195" s="9">
        <v>45919</v>
      </c>
      <c r="M2195" s="9">
        <v>45918</v>
      </c>
      <c r="N2195" s="2" t="s">
        <v>2549</v>
      </c>
      <c r="O2195" s="2" t="s">
        <v>54</v>
      </c>
      <c r="P2195" s="2" t="s">
        <v>139</v>
      </c>
      <c r="Q2195" s="2" t="s">
        <v>148</v>
      </c>
      <c r="R2195" s="2" t="s">
        <v>128</v>
      </c>
      <c r="S2195" s="2" t="s">
        <v>198</v>
      </c>
      <c r="T2195" s="10">
        <v>12.61</v>
      </c>
      <c r="U2195" s="11">
        <v>1.085</v>
      </c>
      <c r="V2195" s="12">
        <f>T2195*U2195</f>
        <v>13.681849999999999</v>
      </c>
      <c r="W2195" s="13">
        <v>0.19</v>
      </c>
      <c r="X2195" s="12">
        <f>V2195-(V2195/(1+W2195))</f>
        <v>2.1844970588235295</v>
      </c>
      <c r="Y2195" s="12">
        <f>V2195-X2195</f>
        <v>11.497352941176469</v>
      </c>
      <c r="Z2195" s="14">
        <v>25</v>
      </c>
      <c r="AA2195" s="2" t="str">
        <f>IF(V2195&gt;Z2195,"Yes","No")</f>
        <v>No</v>
      </c>
      <c r="AB2195" s="12">
        <f>V2195-Z2195</f>
        <v>-11.318150000000001</v>
      </c>
      <c r="AC2195" s="15" t="s">
        <v>130</v>
      </c>
      <c r="AD2195" s="15" t="s">
        <v>131</v>
      </c>
      <c r="AE2195" s="15" t="s">
        <v>514</v>
      </c>
      <c r="AF2195" s="12">
        <f>IF(AG2195="Rejected",0,IF(R2195="Corporate Card",0,V2195))</f>
        <v>0</v>
      </c>
      <c r="AG2195" s="15" t="s">
        <v>133</v>
      </c>
      <c r="AH2195" s="16">
        <v>45920</v>
      </c>
      <c r="AI2195" s="16">
        <v>45924</v>
      </c>
      <c r="AJ2195" s="16">
        <v>45929</v>
      </c>
      <c r="AK2195" s="17">
        <f>IF(AJ2195="","",AJ2195-AH2195)</f>
        <v>9</v>
      </c>
    </row>
    <row r="2196" spans="1:37">
      <c r="A2196" s="2" t="s">
        <v>2672</v>
      </c>
      <c r="B2196" s="2" t="s">
        <v>2212</v>
      </c>
      <c r="C2196" s="2" t="s">
        <v>346</v>
      </c>
      <c r="D2196" s="2" t="s">
        <v>344</v>
      </c>
      <c r="E2196" s="2" t="s">
        <v>2213</v>
      </c>
      <c r="F2196" s="2" t="s">
        <v>313</v>
      </c>
      <c r="G2196" s="2" t="s">
        <v>2625</v>
      </c>
      <c r="H2196" s="2" t="s">
        <v>803</v>
      </c>
      <c r="I2196" s="2" t="s">
        <v>1251</v>
      </c>
      <c r="J2196" s="2" t="s">
        <v>750</v>
      </c>
      <c r="K2196" s="9">
        <v>45913</v>
      </c>
      <c r="L2196" s="9">
        <v>45919</v>
      </c>
      <c r="M2196" s="9">
        <v>45918</v>
      </c>
      <c r="N2196" s="2" t="s">
        <v>2549</v>
      </c>
      <c r="O2196" s="2" t="s">
        <v>55</v>
      </c>
      <c r="P2196" s="2" t="s">
        <v>139</v>
      </c>
      <c r="Q2196" s="2" t="s">
        <v>161</v>
      </c>
      <c r="R2196" s="2" t="s">
        <v>149</v>
      </c>
      <c r="S2196" s="2" t="s">
        <v>198</v>
      </c>
      <c r="T2196" s="10">
        <v>22.74</v>
      </c>
      <c r="U2196" s="11">
        <v>1.085</v>
      </c>
      <c r="V2196" s="12">
        <f>T2196*U2196</f>
        <v>24.672899999999998</v>
      </c>
      <c r="W2196" s="13">
        <v>0.19</v>
      </c>
      <c r="X2196" s="12">
        <f>V2196-(V2196/(1+W2196))</f>
        <v>3.9393705882352918</v>
      </c>
      <c r="Y2196" s="12">
        <f>V2196-X2196</f>
        <v>20.733529411764707</v>
      </c>
      <c r="Z2196" s="14">
        <v>35</v>
      </c>
      <c r="AA2196" s="2" t="str">
        <f>IF(V2196&gt;Z2196,"Yes","No")</f>
        <v>No</v>
      </c>
      <c r="AB2196" s="12">
        <f>V2196-Z2196</f>
        <v>-10.327100000000002</v>
      </c>
      <c r="AC2196" s="15" t="s">
        <v>130</v>
      </c>
      <c r="AD2196" s="15" t="s">
        <v>131</v>
      </c>
      <c r="AE2196" s="15" t="s">
        <v>514</v>
      </c>
      <c r="AF2196" s="12">
        <f>IF(AG2196="Rejected",0,IF(R2196="Corporate Card",0,V2196))</f>
        <v>24.672899999999998</v>
      </c>
      <c r="AG2196" s="15" t="s">
        <v>133</v>
      </c>
      <c r="AH2196" s="16">
        <v>45920</v>
      </c>
      <c r="AI2196" s="16">
        <v>45924</v>
      </c>
      <c r="AJ2196" s="16">
        <v>45929</v>
      </c>
      <c r="AK2196" s="17">
        <f>IF(AJ2196="","",AJ2196-AH2196)</f>
        <v>9</v>
      </c>
    </row>
    <row r="2197" spans="1:37">
      <c r="A2197" s="2" t="s">
        <v>2673</v>
      </c>
      <c r="B2197" s="2" t="s">
        <v>2212</v>
      </c>
      <c r="C2197" s="2" t="s">
        <v>346</v>
      </c>
      <c r="D2197" s="2" t="s">
        <v>344</v>
      </c>
      <c r="E2197" s="2" t="s">
        <v>2213</v>
      </c>
      <c r="F2197" s="2" t="s">
        <v>313</v>
      </c>
      <c r="G2197" s="2" t="s">
        <v>2649</v>
      </c>
      <c r="H2197" s="2" t="s">
        <v>348</v>
      </c>
      <c r="I2197" s="2" t="s">
        <v>418</v>
      </c>
      <c r="J2197" s="2" t="s">
        <v>381</v>
      </c>
      <c r="K2197" s="9">
        <v>45916</v>
      </c>
      <c r="L2197" s="9">
        <v>45922</v>
      </c>
      <c r="M2197" s="9">
        <v>45919</v>
      </c>
      <c r="N2197" s="2" t="s">
        <v>2549</v>
      </c>
      <c r="O2197" s="2" t="s">
        <v>54</v>
      </c>
      <c r="P2197" s="2" t="s">
        <v>139</v>
      </c>
      <c r="Q2197" s="2" t="s">
        <v>140</v>
      </c>
      <c r="R2197" s="2" t="s">
        <v>149</v>
      </c>
      <c r="S2197" s="2" t="s">
        <v>383</v>
      </c>
      <c r="T2197" s="10">
        <v>22.73</v>
      </c>
      <c r="U2197" s="11">
        <v>1</v>
      </c>
      <c r="V2197" s="12">
        <f>T2197*U2197</f>
        <v>22.73</v>
      </c>
      <c r="W2197" s="13">
        <v>0</v>
      </c>
      <c r="X2197" s="12">
        <f>V2197-(V2197/(1+W2197))</f>
        <v>0</v>
      </c>
      <c r="Y2197" s="12">
        <f>V2197-X2197</f>
        <v>22.73</v>
      </c>
      <c r="Z2197" s="14">
        <v>25</v>
      </c>
      <c r="AA2197" s="2" t="str">
        <f>IF(V2197&gt;Z2197,"Yes","No")</f>
        <v>No</v>
      </c>
      <c r="AB2197" s="12">
        <f>V2197-Z2197</f>
        <v>-2.2699999999999996</v>
      </c>
      <c r="AC2197" s="15" t="s">
        <v>130</v>
      </c>
      <c r="AD2197" s="15" t="s">
        <v>130</v>
      </c>
      <c r="AE2197" s="15" t="s">
        <v>858</v>
      </c>
      <c r="AF2197" s="12">
        <f>IF(AG2197="Rejected",0,IF(R2197="Corporate Card",0,V2197))</f>
        <v>22.73</v>
      </c>
      <c r="AG2197" s="15" t="s">
        <v>133</v>
      </c>
      <c r="AH2197" s="16">
        <v>45925</v>
      </c>
      <c r="AI2197" s="16">
        <v>45928</v>
      </c>
      <c r="AJ2197" s="16">
        <v>45936</v>
      </c>
      <c r="AK2197" s="17">
        <f>IF(AJ2197="","",AJ2197-AH2197)</f>
        <v>11</v>
      </c>
    </row>
    <row r="2198" spans="1:37">
      <c r="A2198" s="2" t="s">
        <v>2674</v>
      </c>
      <c r="B2198" s="2" t="s">
        <v>2212</v>
      </c>
      <c r="C2198" s="2" t="s">
        <v>346</v>
      </c>
      <c r="D2198" s="2" t="s">
        <v>344</v>
      </c>
      <c r="E2198" s="2" t="s">
        <v>2213</v>
      </c>
      <c r="F2198" s="2" t="s">
        <v>313</v>
      </c>
      <c r="G2198" s="2" t="s">
        <v>2649</v>
      </c>
      <c r="H2198" s="2" t="s">
        <v>348</v>
      </c>
      <c r="I2198" s="2" t="s">
        <v>418</v>
      </c>
      <c r="J2198" s="2" t="s">
        <v>381</v>
      </c>
      <c r="K2198" s="9">
        <v>45916</v>
      </c>
      <c r="L2198" s="9">
        <v>45922</v>
      </c>
      <c r="M2198" s="9">
        <v>45919</v>
      </c>
      <c r="N2198" s="2" t="s">
        <v>2549</v>
      </c>
      <c r="O2198" s="2" t="s">
        <v>55</v>
      </c>
      <c r="P2198" s="2" t="s">
        <v>139</v>
      </c>
      <c r="Q2198" s="2" t="s">
        <v>154</v>
      </c>
      <c r="R2198" s="2" t="s">
        <v>128</v>
      </c>
      <c r="S2198" s="2" t="s">
        <v>383</v>
      </c>
      <c r="T2198" s="10">
        <v>22.89</v>
      </c>
      <c r="U2198" s="11">
        <v>1</v>
      </c>
      <c r="V2198" s="12">
        <f>T2198*U2198</f>
        <v>22.89</v>
      </c>
      <c r="W2198" s="13">
        <v>0</v>
      </c>
      <c r="X2198" s="12">
        <f>V2198-(V2198/(1+W2198))</f>
        <v>0</v>
      </c>
      <c r="Y2198" s="12">
        <f>V2198-X2198</f>
        <v>22.89</v>
      </c>
      <c r="Z2198" s="14">
        <v>35</v>
      </c>
      <c r="AA2198" s="2" t="str">
        <f>IF(V2198&gt;Z2198,"Yes","No")</f>
        <v>No</v>
      </c>
      <c r="AB2198" s="12">
        <f>V2198-Z2198</f>
        <v>-12.11</v>
      </c>
      <c r="AC2198" s="15" t="s">
        <v>130</v>
      </c>
      <c r="AD2198" s="15" t="s">
        <v>130</v>
      </c>
      <c r="AE2198" s="15" t="s">
        <v>858</v>
      </c>
      <c r="AF2198" s="12">
        <f>IF(AG2198="Rejected",0,IF(R2198="Corporate Card",0,V2198))</f>
        <v>0</v>
      </c>
      <c r="AG2198" s="15" t="s">
        <v>133</v>
      </c>
      <c r="AH2198" s="16">
        <v>45925</v>
      </c>
      <c r="AI2198" s="16">
        <v>45928</v>
      </c>
      <c r="AJ2198" s="16">
        <v>45936</v>
      </c>
      <c r="AK2198" s="17">
        <f>IF(AJ2198="","",AJ2198-AH2198)</f>
        <v>11</v>
      </c>
    </row>
    <row r="2199" spans="1:37">
      <c r="A2199" s="2" t="s">
        <v>2675</v>
      </c>
      <c r="B2199" s="2" t="s">
        <v>2212</v>
      </c>
      <c r="C2199" s="2" t="s">
        <v>346</v>
      </c>
      <c r="D2199" s="2" t="s">
        <v>344</v>
      </c>
      <c r="E2199" s="2" t="s">
        <v>2213</v>
      </c>
      <c r="F2199" s="2" t="s">
        <v>313</v>
      </c>
      <c r="G2199" s="2" t="s">
        <v>2625</v>
      </c>
      <c r="H2199" s="2" t="s">
        <v>803</v>
      </c>
      <c r="I2199" s="2" t="s">
        <v>1251</v>
      </c>
      <c r="J2199" s="2" t="s">
        <v>750</v>
      </c>
      <c r="K2199" s="9">
        <v>45913</v>
      </c>
      <c r="L2199" s="9">
        <v>45919</v>
      </c>
      <c r="M2199" s="9">
        <v>45919</v>
      </c>
      <c r="N2199" s="2" t="s">
        <v>2549</v>
      </c>
      <c r="O2199" s="2" t="s">
        <v>58</v>
      </c>
      <c r="P2199" s="2" t="s">
        <v>142</v>
      </c>
      <c r="Q2199" s="2" t="s">
        <v>296</v>
      </c>
      <c r="R2199" s="2" t="s">
        <v>149</v>
      </c>
      <c r="S2199" s="2" t="s">
        <v>198</v>
      </c>
      <c r="T2199" s="10">
        <v>43.27</v>
      </c>
      <c r="U2199" s="11">
        <v>1.085</v>
      </c>
      <c r="V2199" s="12">
        <f>T2199*U2199</f>
        <v>46.947949999999999</v>
      </c>
      <c r="W2199" s="13">
        <v>0.19</v>
      </c>
      <c r="X2199" s="12">
        <f>V2199-(V2199/(1+W2199))</f>
        <v>7.495891176470586</v>
      </c>
      <c r="Y2199" s="12">
        <f>V2199-X2199</f>
        <v>39.452058823529413</v>
      </c>
      <c r="Z2199" s="14">
        <v>60</v>
      </c>
      <c r="AA2199" s="2" t="str">
        <f>IF(V2199&gt;Z2199,"Yes","No")</f>
        <v>No</v>
      </c>
      <c r="AB2199" s="12">
        <f>V2199-Z2199</f>
        <v>-13.052050000000001</v>
      </c>
      <c r="AC2199" s="15" t="s">
        <v>130</v>
      </c>
      <c r="AD2199" s="15" t="s">
        <v>131</v>
      </c>
      <c r="AE2199" s="15" t="s">
        <v>514</v>
      </c>
      <c r="AF2199" s="12">
        <f>IF(AG2199="Rejected",0,IF(R2199="Corporate Card",0,V2199))</f>
        <v>46.947949999999999</v>
      </c>
      <c r="AG2199" s="15" t="s">
        <v>133</v>
      </c>
      <c r="AH2199" s="16">
        <v>45920</v>
      </c>
      <c r="AI2199" s="16">
        <v>45924</v>
      </c>
      <c r="AJ2199" s="16">
        <v>45929</v>
      </c>
      <c r="AK2199" s="17">
        <f>IF(AJ2199="","",AJ2199-AH2199)</f>
        <v>9</v>
      </c>
    </row>
    <row r="2200" spans="1:37">
      <c r="A2200" s="2" t="s">
        <v>2676</v>
      </c>
      <c r="B2200" s="2" t="s">
        <v>2212</v>
      </c>
      <c r="C2200" s="2" t="s">
        <v>346</v>
      </c>
      <c r="D2200" s="2" t="s">
        <v>344</v>
      </c>
      <c r="E2200" s="2" t="s">
        <v>2213</v>
      </c>
      <c r="F2200" s="2" t="s">
        <v>313</v>
      </c>
      <c r="G2200" s="2" t="s">
        <v>2625</v>
      </c>
      <c r="H2200" s="2" t="s">
        <v>803</v>
      </c>
      <c r="I2200" s="2" t="s">
        <v>1251</v>
      </c>
      <c r="J2200" s="2" t="s">
        <v>750</v>
      </c>
      <c r="K2200" s="9">
        <v>45913</v>
      </c>
      <c r="L2200" s="9">
        <v>45919</v>
      </c>
      <c r="M2200" s="9">
        <v>45919</v>
      </c>
      <c r="N2200" s="2" t="s">
        <v>2549</v>
      </c>
      <c r="O2200" s="2" t="s">
        <v>54</v>
      </c>
      <c r="P2200" s="2" t="s">
        <v>139</v>
      </c>
      <c r="Q2200" s="2" t="s">
        <v>163</v>
      </c>
      <c r="R2200" s="2" t="s">
        <v>128</v>
      </c>
      <c r="S2200" s="2" t="s">
        <v>198</v>
      </c>
      <c r="T2200" s="10">
        <v>22.36</v>
      </c>
      <c r="U2200" s="11">
        <v>1.085</v>
      </c>
      <c r="V2200" s="12">
        <f>T2200*U2200</f>
        <v>24.2606</v>
      </c>
      <c r="W2200" s="13">
        <v>0.19</v>
      </c>
      <c r="X2200" s="12">
        <f>V2200-(V2200/(1+W2200))</f>
        <v>3.8735411764705887</v>
      </c>
      <c r="Y2200" s="12">
        <f>V2200-X2200</f>
        <v>20.387058823529411</v>
      </c>
      <c r="Z2200" s="14">
        <v>25</v>
      </c>
      <c r="AA2200" s="2" t="str">
        <f>IF(V2200&gt;Z2200,"Yes","No")</f>
        <v>No</v>
      </c>
      <c r="AB2200" s="12">
        <f>V2200-Z2200</f>
        <v>-0.73939999999999984</v>
      </c>
      <c r="AC2200" s="15" t="s">
        <v>131</v>
      </c>
      <c r="AD2200" s="15" t="s">
        <v>131</v>
      </c>
      <c r="AE2200" s="15" t="s">
        <v>514</v>
      </c>
      <c r="AF2200" s="12">
        <f>IF(AG2200="Rejected",0,IF(R2200="Corporate Card",0,V2200))</f>
        <v>0</v>
      </c>
      <c r="AG2200" s="15" t="s">
        <v>133</v>
      </c>
      <c r="AH2200" s="16">
        <v>45920</v>
      </c>
      <c r="AI2200" s="16">
        <v>45924</v>
      </c>
      <c r="AJ2200" s="16">
        <v>45929</v>
      </c>
      <c r="AK2200" s="17">
        <f>IF(AJ2200="","",AJ2200-AH2200)</f>
        <v>9</v>
      </c>
    </row>
    <row r="2201" spans="1:37">
      <c r="A2201" s="2" t="s">
        <v>2677</v>
      </c>
      <c r="B2201" s="2" t="s">
        <v>2212</v>
      </c>
      <c r="C2201" s="2" t="s">
        <v>346</v>
      </c>
      <c r="D2201" s="2" t="s">
        <v>344</v>
      </c>
      <c r="E2201" s="2" t="s">
        <v>2213</v>
      </c>
      <c r="F2201" s="2" t="s">
        <v>313</v>
      </c>
      <c r="G2201" s="2" t="s">
        <v>2625</v>
      </c>
      <c r="H2201" s="2" t="s">
        <v>803</v>
      </c>
      <c r="I2201" s="2" t="s">
        <v>1251</v>
      </c>
      <c r="J2201" s="2" t="s">
        <v>750</v>
      </c>
      <c r="K2201" s="9">
        <v>45913</v>
      </c>
      <c r="L2201" s="9">
        <v>45919</v>
      </c>
      <c r="M2201" s="9">
        <v>45919</v>
      </c>
      <c r="N2201" s="2" t="s">
        <v>2549</v>
      </c>
      <c r="O2201" s="2" t="s">
        <v>56</v>
      </c>
      <c r="P2201" s="2" t="s">
        <v>151</v>
      </c>
      <c r="Q2201" s="2" t="s">
        <v>185</v>
      </c>
      <c r="R2201" s="2" t="s">
        <v>137</v>
      </c>
      <c r="S2201" s="2" t="s">
        <v>198</v>
      </c>
      <c r="T2201" s="10">
        <v>60.75</v>
      </c>
      <c r="U2201" s="11">
        <v>1.085</v>
      </c>
      <c r="V2201" s="12">
        <f>T2201*U2201</f>
        <v>65.913749999999993</v>
      </c>
      <c r="W2201" s="13">
        <v>0.19</v>
      </c>
      <c r="X2201" s="12">
        <f>V2201-(V2201/(1+W2201))</f>
        <v>10.524044117647058</v>
      </c>
      <c r="Y2201" s="12">
        <f>V2201-X2201</f>
        <v>55.389705882352935</v>
      </c>
      <c r="Z2201" s="14">
        <v>75</v>
      </c>
      <c r="AA2201" s="2" t="str">
        <f>IF(V2201&gt;Z2201,"Yes","No")</f>
        <v>No</v>
      </c>
      <c r="AB2201" s="12">
        <f>V2201-Z2201</f>
        <v>-9.0862500000000068</v>
      </c>
      <c r="AC2201" s="15" t="s">
        <v>131</v>
      </c>
      <c r="AD2201" s="15" t="s">
        <v>131</v>
      </c>
      <c r="AE2201" s="15" t="s">
        <v>514</v>
      </c>
      <c r="AF2201" s="12">
        <f>IF(AG2201="Rejected",0,IF(R2201="Corporate Card",0,V2201))</f>
        <v>65.913749999999993</v>
      </c>
      <c r="AG2201" s="15" t="s">
        <v>133</v>
      </c>
      <c r="AH2201" s="16">
        <v>45920</v>
      </c>
      <c r="AI2201" s="16">
        <v>45924</v>
      </c>
      <c r="AJ2201" s="16">
        <v>45929</v>
      </c>
      <c r="AK2201" s="17">
        <f>IF(AJ2201="","",AJ2201-AH2201)</f>
        <v>9</v>
      </c>
    </row>
    <row r="2202" spans="1:37">
      <c r="A2202" s="2" t="s">
        <v>2678</v>
      </c>
      <c r="B2202" s="2" t="s">
        <v>2212</v>
      </c>
      <c r="C2202" s="2" t="s">
        <v>346</v>
      </c>
      <c r="D2202" s="2" t="s">
        <v>344</v>
      </c>
      <c r="E2202" s="2" t="s">
        <v>2213</v>
      </c>
      <c r="F2202" s="2" t="s">
        <v>313</v>
      </c>
      <c r="G2202" s="2" t="s">
        <v>2625</v>
      </c>
      <c r="H2202" s="2" t="s">
        <v>803</v>
      </c>
      <c r="I2202" s="2" t="s">
        <v>1251</v>
      </c>
      <c r="J2202" s="2" t="s">
        <v>750</v>
      </c>
      <c r="K2202" s="9">
        <v>45913</v>
      </c>
      <c r="L2202" s="9">
        <v>45919</v>
      </c>
      <c r="M2202" s="9">
        <v>45919</v>
      </c>
      <c r="N2202" s="2" t="s">
        <v>2549</v>
      </c>
      <c r="O2202" s="2" t="s">
        <v>55</v>
      </c>
      <c r="P2202" s="2" t="s">
        <v>139</v>
      </c>
      <c r="Q2202" s="2" t="s">
        <v>161</v>
      </c>
      <c r="R2202" s="2" t="s">
        <v>137</v>
      </c>
      <c r="S2202" s="2" t="s">
        <v>198</v>
      </c>
      <c r="T2202" s="10">
        <v>23.88</v>
      </c>
      <c r="U2202" s="11">
        <v>1.085</v>
      </c>
      <c r="V2202" s="12">
        <f>T2202*U2202</f>
        <v>25.909799999999997</v>
      </c>
      <c r="W2202" s="13">
        <v>0.19</v>
      </c>
      <c r="X2202" s="12">
        <f>V2202-(V2202/(1+W2202))</f>
        <v>4.1368588235294119</v>
      </c>
      <c r="Y2202" s="12">
        <f>V2202-X2202</f>
        <v>21.772941176470585</v>
      </c>
      <c r="Z2202" s="14">
        <v>35</v>
      </c>
      <c r="AA2202" s="2" t="str">
        <f>IF(V2202&gt;Z2202,"Yes","No")</f>
        <v>No</v>
      </c>
      <c r="AB2202" s="12">
        <f>V2202-Z2202</f>
        <v>-9.0902000000000029</v>
      </c>
      <c r="AC2202" s="15" t="s">
        <v>130</v>
      </c>
      <c r="AD2202" s="15" t="s">
        <v>131</v>
      </c>
      <c r="AE2202" s="15" t="s">
        <v>514</v>
      </c>
      <c r="AF2202" s="12">
        <f>IF(AG2202="Rejected",0,IF(R2202="Corporate Card",0,V2202))</f>
        <v>25.909799999999997</v>
      </c>
      <c r="AG2202" s="15" t="s">
        <v>133</v>
      </c>
      <c r="AH2202" s="16">
        <v>45920</v>
      </c>
      <c r="AI2202" s="16">
        <v>45924</v>
      </c>
      <c r="AJ2202" s="16">
        <v>45929</v>
      </c>
      <c r="AK2202" s="17">
        <f>IF(AJ2202="","",AJ2202-AH2202)</f>
        <v>9</v>
      </c>
    </row>
    <row r="2203" spans="1:37">
      <c r="A2203" s="2" t="s">
        <v>2679</v>
      </c>
      <c r="B2203" s="2" t="s">
        <v>882</v>
      </c>
      <c r="C2203" s="2" t="s">
        <v>446</v>
      </c>
      <c r="D2203" s="2" t="s">
        <v>444</v>
      </c>
      <c r="E2203" s="2" t="s">
        <v>883</v>
      </c>
      <c r="F2203" s="2" t="s">
        <v>313</v>
      </c>
      <c r="G2203" s="2" t="s">
        <v>2680</v>
      </c>
      <c r="H2203" s="2" t="s">
        <v>193</v>
      </c>
      <c r="I2203" s="2" t="s">
        <v>601</v>
      </c>
      <c r="J2203" s="2" t="s">
        <v>381</v>
      </c>
      <c r="K2203" s="9">
        <v>45920</v>
      </c>
      <c r="L2203" s="9">
        <v>45925</v>
      </c>
      <c r="M2203" s="9">
        <v>45920</v>
      </c>
      <c r="N2203" s="2" t="s">
        <v>2549</v>
      </c>
      <c r="O2203" s="2" t="s">
        <v>52</v>
      </c>
      <c r="P2203" s="2" t="s">
        <v>602</v>
      </c>
      <c r="Q2203" s="2" t="s">
        <v>127</v>
      </c>
      <c r="R2203" s="2" t="s">
        <v>128</v>
      </c>
      <c r="S2203" s="2" t="s">
        <v>383</v>
      </c>
      <c r="T2203" s="10">
        <v>1146</v>
      </c>
      <c r="U2203" s="11">
        <v>1</v>
      </c>
      <c r="V2203" s="12">
        <f>T2203*U2203</f>
        <v>1146</v>
      </c>
      <c r="W2203" s="13">
        <v>0</v>
      </c>
      <c r="X2203" s="12">
        <f>V2203-(V2203/(1+W2203))</f>
        <v>0</v>
      </c>
      <c r="Y2203" s="12">
        <f>V2203-X2203</f>
        <v>1146</v>
      </c>
      <c r="Z2203" s="14">
        <v>1400</v>
      </c>
      <c r="AA2203" s="2" t="str">
        <f>IF(V2203&gt;Z2203,"Yes","No")</f>
        <v>No</v>
      </c>
      <c r="AB2203" s="12">
        <f>V2203-Z2203</f>
        <v>-254</v>
      </c>
      <c r="AC2203" s="15" t="s">
        <v>130</v>
      </c>
      <c r="AD2203" s="15" t="s">
        <v>131</v>
      </c>
      <c r="AE2203" s="15" t="s">
        <v>180</v>
      </c>
      <c r="AF2203" s="12">
        <f>IF(AG2203="Rejected",0,IF(R2203="Corporate Card",0,V2203))</f>
        <v>0</v>
      </c>
      <c r="AG2203" s="15" t="s">
        <v>181</v>
      </c>
      <c r="AH2203" s="16">
        <v>45935</v>
      </c>
      <c r="AI2203" s="16"/>
      <c r="AJ2203" s="16"/>
      <c r="AK2203" s="17" t="str">
        <f>IF(AJ2203="","",AJ2203-AH2203)</f>
        <v/>
      </c>
    </row>
    <row r="2204" spans="1:37">
      <c r="A2204" s="2" t="s">
        <v>2681</v>
      </c>
      <c r="B2204" s="2" t="s">
        <v>882</v>
      </c>
      <c r="C2204" s="2" t="s">
        <v>446</v>
      </c>
      <c r="D2204" s="2" t="s">
        <v>444</v>
      </c>
      <c r="E2204" s="2" t="s">
        <v>883</v>
      </c>
      <c r="F2204" s="2" t="s">
        <v>313</v>
      </c>
      <c r="G2204" s="2" t="s">
        <v>2680</v>
      </c>
      <c r="H2204" s="2" t="s">
        <v>193</v>
      </c>
      <c r="I2204" s="2" t="s">
        <v>601</v>
      </c>
      <c r="J2204" s="2" t="s">
        <v>381</v>
      </c>
      <c r="K2204" s="9">
        <v>45920</v>
      </c>
      <c r="L2204" s="9">
        <v>45925</v>
      </c>
      <c r="M2204" s="9">
        <v>45920</v>
      </c>
      <c r="N2204" s="2" t="s">
        <v>2549</v>
      </c>
      <c r="O2204" s="2" t="s">
        <v>64</v>
      </c>
      <c r="P2204" s="2" t="s">
        <v>135</v>
      </c>
      <c r="Q2204" s="2" t="s">
        <v>513</v>
      </c>
      <c r="R2204" s="2" t="s">
        <v>128</v>
      </c>
      <c r="S2204" s="2" t="s">
        <v>383</v>
      </c>
      <c r="T2204" s="10">
        <v>77</v>
      </c>
      <c r="U2204" s="11">
        <v>1</v>
      </c>
      <c r="V2204" s="12">
        <f>T2204*U2204</f>
        <v>77</v>
      </c>
      <c r="W2204" s="13">
        <v>0</v>
      </c>
      <c r="X2204" s="12">
        <f>V2204-(V2204/(1+W2204))</f>
        <v>0</v>
      </c>
      <c r="Y2204" s="12">
        <f>V2204-X2204</f>
        <v>77</v>
      </c>
      <c r="Z2204" s="14">
        <v>120</v>
      </c>
      <c r="AA2204" s="2" t="str">
        <f>IF(V2204&gt;Z2204,"Yes","No")</f>
        <v>No</v>
      </c>
      <c r="AB2204" s="12">
        <f>V2204-Z2204</f>
        <v>-43</v>
      </c>
      <c r="AC2204" s="15" t="s">
        <v>130</v>
      </c>
      <c r="AD2204" s="15" t="s">
        <v>131</v>
      </c>
      <c r="AE2204" s="15" t="s">
        <v>180</v>
      </c>
      <c r="AF2204" s="12">
        <f>IF(AG2204="Rejected",0,IF(R2204="Corporate Card",0,V2204))</f>
        <v>0</v>
      </c>
      <c r="AG2204" s="15" t="s">
        <v>181</v>
      </c>
      <c r="AH2204" s="16">
        <v>45935</v>
      </c>
      <c r="AI2204" s="16"/>
      <c r="AJ2204" s="16"/>
      <c r="AK2204" s="17" t="str">
        <f>IF(AJ2204="","",AJ2204-AH2204)</f>
        <v/>
      </c>
    </row>
    <row r="2205" spans="1:37">
      <c r="A2205" s="2" t="s">
        <v>2682</v>
      </c>
      <c r="B2205" s="2" t="s">
        <v>882</v>
      </c>
      <c r="C2205" s="2" t="s">
        <v>446</v>
      </c>
      <c r="D2205" s="2" t="s">
        <v>444</v>
      </c>
      <c r="E2205" s="2" t="s">
        <v>883</v>
      </c>
      <c r="F2205" s="2" t="s">
        <v>313</v>
      </c>
      <c r="G2205" s="2" t="s">
        <v>2680</v>
      </c>
      <c r="H2205" s="2" t="s">
        <v>193</v>
      </c>
      <c r="I2205" s="2" t="s">
        <v>601</v>
      </c>
      <c r="J2205" s="2" t="s">
        <v>381</v>
      </c>
      <c r="K2205" s="9">
        <v>45920</v>
      </c>
      <c r="L2205" s="9">
        <v>45925</v>
      </c>
      <c r="M2205" s="9">
        <v>45920</v>
      </c>
      <c r="N2205" s="2" t="s">
        <v>2549</v>
      </c>
      <c r="O2205" s="2" t="s">
        <v>63</v>
      </c>
      <c r="P2205" s="2" t="s">
        <v>200</v>
      </c>
      <c r="Q2205" s="2" t="s">
        <v>1347</v>
      </c>
      <c r="R2205" s="2" t="s">
        <v>128</v>
      </c>
      <c r="S2205" s="2" t="s">
        <v>383</v>
      </c>
      <c r="T2205" s="10">
        <v>612.48</v>
      </c>
      <c r="U2205" s="11">
        <v>1</v>
      </c>
      <c r="V2205" s="12">
        <f>T2205*U2205</f>
        <v>612.48</v>
      </c>
      <c r="W2205" s="13">
        <v>0</v>
      </c>
      <c r="X2205" s="12">
        <f>V2205-(V2205/(1+W2205))</f>
        <v>0</v>
      </c>
      <c r="Y2205" s="12">
        <f>V2205-X2205</f>
        <v>612.48</v>
      </c>
      <c r="Z2205" s="14">
        <v>1200</v>
      </c>
      <c r="AA2205" s="2" t="str">
        <f>IF(V2205&gt;Z2205,"Yes","No")</f>
        <v>No</v>
      </c>
      <c r="AB2205" s="12">
        <f>V2205-Z2205</f>
        <v>-587.52</v>
      </c>
      <c r="AC2205" s="15" t="s">
        <v>130</v>
      </c>
      <c r="AD2205" s="15" t="s">
        <v>131</v>
      </c>
      <c r="AE2205" s="15" t="s">
        <v>180</v>
      </c>
      <c r="AF2205" s="12">
        <f>IF(AG2205="Rejected",0,IF(R2205="Corporate Card",0,V2205))</f>
        <v>0</v>
      </c>
      <c r="AG2205" s="15" t="s">
        <v>181</v>
      </c>
      <c r="AH2205" s="16">
        <v>45935</v>
      </c>
      <c r="AI2205" s="16"/>
      <c r="AJ2205" s="16"/>
      <c r="AK2205" s="17" t="str">
        <f>IF(AJ2205="","",AJ2205-AH2205)</f>
        <v/>
      </c>
    </row>
    <row r="2206" spans="1:37">
      <c r="A2206" s="2" t="s">
        <v>2683</v>
      </c>
      <c r="B2206" s="2" t="s">
        <v>882</v>
      </c>
      <c r="C2206" s="2" t="s">
        <v>446</v>
      </c>
      <c r="D2206" s="2" t="s">
        <v>444</v>
      </c>
      <c r="E2206" s="2" t="s">
        <v>883</v>
      </c>
      <c r="F2206" s="2" t="s">
        <v>313</v>
      </c>
      <c r="G2206" s="2" t="s">
        <v>2680</v>
      </c>
      <c r="H2206" s="2" t="s">
        <v>193</v>
      </c>
      <c r="I2206" s="2" t="s">
        <v>601</v>
      </c>
      <c r="J2206" s="2" t="s">
        <v>381</v>
      </c>
      <c r="K2206" s="9">
        <v>45920</v>
      </c>
      <c r="L2206" s="9">
        <v>45925</v>
      </c>
      <c r="M2206" s="9">
        <v>45920</v>
      </c>
      <c r="N2206" s="2" t="s">
        <v>2549</v>
      </c>
      <c r="O2206" s="2" t="s">
        <v>58</v>
      </c>
      <c r="P2206" s="2" t="s">
        <v>142</v>
      </c>
      <c r="Q2206" s="2" t="s">
        <v>224</v>
      </c>
      <c r="R2206" s="2" t="s">
        <v>137</v>
      </c>
      <c r="S2206" s="2" t="s">
        <v>383</v>
      </c>
      <c r="T2206" s="10">
        <v>57.42</v>
      </c>
      <c r="U2206" s="11">
        <v>1</v>
      </c>
      <c r="V2206" s="12">
        <f>T2206*U2206</f>
        <v>57.42</v>
      </c>
      <c r="W2206" s="13">
        <v>0</v>
      </c>
      <c r="X2206" s="12">
        <f>V2206-(V2206/(1+W2206))</f>
        <v>0</v>
      </c>
      <c r="Y2206" s="12">
        <f>V2206-X2206</f>
        <v>57.42</v>
      </c>
      <c r="Z2206" s="14">
        <v>60</v>
      </c>
      <c r="AA2206" s="2" t="str">
        <f>IF(V2206&gt;Z2206,"Yes","No")</f>
        <v>No</v>
      </c>
      <c r="AB2206" s="12">
        <f>V2206-Z2206</f>
        <v>-2.5799999999999983</v>
      </c>
      <c r="AC2206" s="15" t="s">
        <v>131</v>
      </c>
      <c r="AD2206" s="15" t="s">
        <v>131</v>
      </c>
      <c r="AE2206" s="15" t="s">
        <v>180</v>
      </c>
      <c r="AF2206" s="12">
        <f>IF(AG2206="Rejected",0,IF(R2206="Corporate Card",0,V2206))</f>
        <v>57.42</v>
      </c>
      <c r="AG2206" s="15" t="s">
        <v>181</v>
      </c>
      <c r="AH2206" s="16">
        <v>45935</v>
      </c>
      <c r="AI2206" s="16"/>
      <c r="AJ2206" s="16"/>
      <c r="AK2206" s="17" t="str">
        <f>IF(AJ2206="","",AJ2206-AH2206)</f>
        <v/>
      </c>
    </row>
    <row r="2207" spans="1:37">
      <c r="A2207" s="2" t="s">
        <v>2684</v>
      </c>
      <c r="B2207" s="2" t="s">
        <v>882</v>
      </c>
      <c r="C2207" s="2" t="s">
        <v>446</v>
      </c>
      <c r="D2207" s="2" t="s">
        <v>444</v>
      </c>
      <c r="E2207" s="2" t="s">
        <v>883</v>
      </c>
      <c r="F2207" s="2" t="s">
        <v>313</v>
      </c>
      <c r="G2207" s="2" t="s">
        <v>2680</v>
      </c>
      <c r="H2207" s="2" t="s">
        <v>193</v>
      </c>
      <c r="I2207" s="2" t="s">
        <v>601</v>
      </c>
      <c r="J2207" s="2" t="s">
        <v>381</v>
      </c>
      <c r="K2207" s="9">
        <v>45920</v>
      </c>
      <c r="L2207" s="9">
        <v>45925</v>
      </c>
      <c r="M2207" s="9">
        <v>45920</v>
      </c>
      <c r="N2207" s="2" t="s">
        <v>2549</v>
      </c>
      <c r="O2207" s="2" t="s">
        <v>54</v>
      </c>
      <c r="P2207" s="2" t="s">
        <v>139</v>
      </c>
      <c r="Q2207" s="2" t="s">
        <v>163</v>
      </c>
      <c r="R2207" s="2" t="s">
        <v>149</v>
      </c>
      <c r="S2207" s="2" t="s">
        <v>383</v>
      </c>
      <c r="T2207" s="10">
        <v>14.49</v>
      </c>
      <c r="U2207" s="11">
        <v>1</v>
      </c>
      <c r="V2207" s="12">
        <f>T2207*U2207</f>
        <v>14.49</v>
      </c>
      <c r="W2207" s="13">
        <v>0</v>
      </c>
      <c r="X2207" s="12">
        <f>V2207-(V2207/(1+W2207))</f>
        <v>0</v>
      </c>
      <c r="Y2207" s="12">
        <f>V2207-X2207</f>
        <v>14.49</v>
      </c>
      <c r="Z2207" s="14">
        <v>25</v>
      </c>
      <c r="AA2207" s="2" t="str">
        <f>IF(V2207&gt;Z2207,"Yes","No")</f>
        <v>No</v>
      </c>
      <c r="AB2207" s="12">
        <f>V2207-Z2207</f>
        <v>-10.51</v>
      </c>
      <c r="AC2207" s="15" t="s">
        <v>130</v>
      </c>
      <c r="AD2207" s="15" t="s">
        <v>131</v>
      </c>
      <c r="AE2207" s="15" t="s">
        <v>180</v>
      </c>
      <c r="AF2207" s="12">
        <f>IF(AG2207="Rejected",0,IF(R2207="Corporate Card",0,V2207))</f>
        <v>14.49</v>
      </c>
      <c r="AG2207" s="15" t="s">
        <v>181</v>
      </c>
      <c r="AH2207" s="16">
        <v>45935</v>
      </c>
      <c r="AI2207" s="16"/>
      <c r="AJ2207" s="16"/>
      <c r="AK2207" s="17" t="str">
        <f>IF(AJ2207="","",AJ2207-AH2207)</f>
        <v/>
      </c>
    </row>
    <row r="2208" spans="1:37">
      <c r="A2208" s="2" t="s">
        <v>2685</v>
      </c>
      <c r="B2208" s="2" t="s">
        <v>2212</v>
      </c>
      <c r="C2208" s="2" t="s">
        <v>346</v>
      </c>
      <c r="D2208" s="2" t="s">
        <v>344</v>
      </c>
      <c r="E2208" s="2" t="s">
        <v>2213</v>
      </c>
      <c r="F2208" s="2" t="s">
        <v>313</v>
      </c>
      <c r="G2208" s="2" t="s">
        <v>2649</v>
      </c>
      <c r="H2208" s="2" t="s">
        <v>348</v>
      </c>
      <c r="I2208" s="2" t="s">
        <v>418</v>
      </c>
      <c r="J2208" s="2" t="s">
        <v>381</v>
      </c>
      <c r="K2208" s="9">
        <v>45916</v>
      </c>
      <c r="L2208" s="9">
        <v>45922</v>
      </c>
      <c r="M2208" s="9">
        <v>45920</v>
      </c>
      <c r="N2208" s="2" t="s">
        <v>2549</v>
      </c>
      <c r="O2208" s="2" t="s">
        <v>58</v>
      </c>
      <c r="P2208" s="2" t="s">
        <v>142</v>
      </c>
      <c r="Q2208" s="2" t="s">
        <v>203</v>
      </c>
      <c r="R2208" s="2" t="s">
        <v>149</v>
      </c>
      <c r="S2208" s="2" t="s">
        <v>383</v>
      </c>
      <c r="T2208" s="10">
        <v>24.29</v>
      </c>
      <c r="U2208" s="11">
        <v>1</v>
      </c>
      <c r="V2208" s="12">
        <f>T2208*U2208</f>
        <v>24.29</v>
      </c>
      <c r="W2208" s="13">
        <v>0</v>
      </c>
      <c r="X2208" s="12">
        <f>V2208-(V2208/(1+W2208))</f>
        <v>0</v>
      </c>
      <c r="Y2208" s="12">
        <f>V2208-X2208</f>
        <v>24.29</v>
      </c>
      <c r="Z2208" s="14">
        <v>60</v>
      </c>
      <c r="AA2208" s="2" t="str">
        <f>IF(V2208&gt;Z2208,"Yes","No")</f>
        <v>No</v>
      </c>
      <c r="AB2208" s="12">
        <f>V2208-Z2208</f>
        <v>-35.71</v>
      </c>
      <c r="AC2208" s="15" t="s">
        <v>130</v>
      </c>
      <c r="AD2208" s="15" t="s">
        <v>130</v>
      </c>
      <c r="AE2208" s="15" t="s">
        <v>858</v>
      </c>
      <c r="AF2208" s="12">
        <f>IF(AG2208="Rejected",0,IF(R2208="Corporate Card",0,V2208))</f>
        <v>24.29</v>
      </c>
      <c r="AG2208" s="15" t="s">
        <v>133</v>
      </c>
      <c r="AH2208" s="16">
        <v>45925</v>
      </c>
      <c r="AI2208" s="16">
        <v>45928</v>
      </c>
      <c r="AJ2208" s="16">
        <v>45936</v>
      </c>
      <c r="AK2208" s="17">
        <f>IF(AJ2208="","",AJ2208-AH2208)</f>
        <v>11</v>
      </c>
    </row>
    <row r="2209" spans="1:37">
      <c r="A2209" s="2" t="s">
        <v>2686</v>
      </c>
      <c r="B2209" s="2" t="s">
        <v>2212</v>
      </c>
      <c r="C2209" s="2" t="s">
        <v>346</v>
      </c>
      <c r="D2209" s="2" t="s">
        <v>344</v>
      </c>
      <c r="E2209" s="2" t="s">
        <v>2213</v>
      </c>
      <c r="F2209" s="2" t="s">
        <v>313</v>
      </c>
      <c r="G2209" s="2" t="s">
        <v>2649</v>
      </c>
      <c r="H2209" s="2" t="s">
        <v>348</v>
      </c>
      <c r="I2209" s="2" t="s">
        <v>418</v>
      </c>
      <c r="J2209" s="2" t="s">
        <v>381</v>
      </c>
      <c r="K2209" s="9">
        <v>45916</v>
      </c>
      <c r="L2209" s="9">
        <v>45922</v>
      </c>
      <c r="M2209" s="9">
        <v>45920</v>
      </c>
      <c r="N2209" s="2" t="s">
        <v>2549</v>
      </c>
      <c r="O2209" s="2" t="s">
        <v>54</v>
      </c>
      <c r="P2209" s="2" t="s">
        <v>139</v>
      </c>
      <c r="Q2209" s="2" t="s">
        <v>148</v>
      </c>
      <c r="R2209" s="2" t="s">
        <v>137</v>
      </c>
      <c r="S2209" s="2" t="s">
        <v>383</v>
      </c>
      <c r="T2209" s="10">
        <v>11.23</v>
      </c>
      <c r="U2209" s="11">
        <v>1</v>
      </c>
      <c r="V2209" s="12">
        <f>T2209*U2209</f>
        <v>11.23</v>
      </c>
      <c r="W2209" s="13">
        <v>0</v>
      </c>
      <c r="X2209" s="12">
        <f>V2209-(V2209/(1+W2209))</f>
        <v>0</v>
      </c>
      <c r="Y2209" s="12">
        <f>V2209-X2209</f>
        <v>11.23</v>
      </c>
      <c r="Z2209" s="14">
        <v>25</v>
      </c>
      <c r="AA2209" s="2" t="str">
        <f>IF(V2209&gt;Z2209,"Yes","No")</f>
        <v>No</v>
      </c>
      <c r="AB2209" s="12">
        <f>V2209-Z2209</f>
        <v>-13.77</v>
      </c>
      <c r="AC2209" s="15" t="s">
        <v>130</v>
      </c>
      <c r="AD2209" s="15" t="s">
        <v>130</v>
      </c>
      <c r="AE2209" s="15" t="s">
        <v>858</v>
      </c>
      <c r="AF2209" s="12">
        <f>IF(AG2209="Rejected",0,IF(R2209="Corporate Card",0,V2209))</f>
        <v>11.23</v>
      </c>
      <c r="AG2209" s="15" t="s">
        <v>133</v>
      </c>
      <c r="AH2209" s="16">
        <v>45925</v>
      </c>
      <c r="AI2209" s="16">
        <v>45928</v>
      </c>
      <c r="AJ2209" s="16">
        <v>45936</v>
      </c>
      <c r="AK2209" s="17">
        <f>IF(AJ2209="","",AJ2209-AH2209)</f>
        <v>11</v>
      </c>
    </row>
    <row r="2210" spans="1:37">
      <c r="A2210" s="2" t="s">
        <v>2687</v>
      </c>
      <c r="B2210" s="2" t="s">
        <v>2212</v>
      </c>
      <c r="C2210" s="2" t="s">
        <v>346</v>
      </c>
      <c r="D2210" s="2" t="s">
        <v>344</v>
      </c>
      <c r="E2210" s="2" t="s">
        <v>2213</v>
      </c>
      <c r="F2210" s="2" t="s">
        <v>313</v>
      </c>
      <c r="G2210" s="2" t="s">
        <v>2649</v>
      </c>
      <c r="H2210" s="2" t="s">
        <v>348</v>
      </c>
      <c r="I2210" s="2" t="s">
        <v>418</v>
      </c>
      <c r="J2210" s="2" t="s">
        <v>381</v>
      </c>
      <c r="K2210" s="9">
        <v>45916</v>
      </c>
      <c r="L2210" s="9">
        <v>45922</v>
      </c>
      <c r="M2210" s="9">
        <v>45920</v>
      </c>
      <c r="N2210" s="2" t="s">
        <v>2549</v>
      </c>
      <c r="O2210" s="2" t="s">
        <v>56</v>
      </c>
      <c r="P2210" s="2" t="s">
        <v>245</v>
      </c>
      <c r="Q2210" s="2" t="s">
        <v>227</v>
      </c>
      <c r="R2210" s="2" t="s">
        <v>128</v>
      </c>
      <c r="S2210" s="2" t="s">
        <v>383</v>
      </c>
      <c r="T2210" s="10">
        <v>26.25</v>
      </c>
      <c r="U2210" s="11">
        <v>1</v>
      </c>
      <c r="V2210" s="12">
        <f>T2210*U2210</f>
        <v>26.25</v>
      </c>
      <c r="W2210" s="13">
        <v>0</v>
      </c>
      <c r="X2210" s="12">
        <f>V2210-(V2210/(1+W2210))</f>
        <v>0</v>
      </c>
      <c r="Y2210" s="12">
        <f>V2210-X2210</f>
        <v>26.25</v>
      </c>
      <c r="Z2210" s="14">
        <v>75</v>
      </c>
      <c r="AA2210" s="2" t="str">
        <f>IF(V2210&gt;Z2210,"Yes","No")</f>
        <v>No</v>
      </c>
      <c r="AB2210" s="12">
        <f>V2210-Z2210</f>
        <v>-48.75</v>
      </c>
      <c r="AC2210" s="15" t="s">
        <v>130</v>
      </c>
      <c r="AD2210" s="15" t="s">
        <v>130</v>
      </c>
      <c r="AE2210" s="15" t="s">
        <v>858</v>
      </c>
      <c r="AF2210" s="12">
        <f>IF(AG2210="Rejected",0,IF(R2210="Corporate Card",0,V2210))</f>
        <v>0</v>
      </c>
      <c r="AG2210" s="15" t="s">
        <v>133</v>
      </c>
      <c r="AH2210" s="16">
        <v>45925</v>
      </c>
      <c r="AI2210" s="16">
        <v>45928</v>
      </c>
      <c r="AJ2210" s="16">
        <v>45936</v>
      </c>
      <c r="AK2210" s="17">
        <f>IF(AJ2210="","",AJ2210-AH2210)</f>
        <v>11</v>
      </c>
    </row>
    <row r="2211" spans="1:37">
      <c r="A2211" s="2" t="s">
        <v>2688</v>
      </c>
      <c r="B2211" s="2" t="s">
        <v>2212</v>
      </c>
      <c r="C2211" s="2" t="s">
        <v>346</v>
      </c>
      <c r="D2211" s="2" t="s">
        <v>344</v>
      </c>
      <c r="E2211" s="2" t="s">
        <v>2213</v>
      </c>
      <c r="F2211" s="2" t="s">
        <v>313</v>
      </c>
      <c r="G2211" s="2" t="s">
        <v>2649</v>
      </c>
      <c r="H2211" s="2" t="s">
        <v>348</v>
      </c>
      <c r="I2211" s="2" t="s">
        <v>418</v>
      </c>
      <c r="J2211" s="2" t="s">
        <v>381</v>
      </c>
      <c r="K2211" s="9">
        <v>45916</v>
      </c>
      <c r="L2211" s="9">
        <v>45922</v>
      </c>
      <c r="M2211" s="9">
        <v>45920</v>
      </c>
      <c r="N2211" s="2" t="s">
        <v>2549</v>
      </c>
      <c r="O2211" s="2" t="s">
        <v>55</v>
      </c>
      <c r="P2211" s="2" t="s">
        <v>139</v>
      </c>
      <c r="Q2211" s="2" t="s">
        <v>187</v>
      </c>
      <c r="R2211" s="2" t="s">
        <v>128</v>
      </c>
      <c r="S2211" s="2" t="s">
        <v>383</v>
      </c>
      <c r="T2211" s="10">
        <v>24.94</v>
      </c>
      <c r="U2211" s="11">
        <v>1</v>
      </c>
      <c r="V2211" s="12">
        <f>T2211*U2211</f>
        <v>24.94</v>
      </c>
      <c r="W2211" s="13">
        <v>0</v>
      </c>
      <c r="X2211" s="12">
        <f>V2211-(V2211/(1+W2211))</f>
        <v>0</v>
      </c>
      <c r="Y2211" s="12">
        <f>V2211-X2211</f>
        <v>24.94</v>
      </c>
      <c r="Z2211" s="14">
        <v>35</v>
      </c>
      <c r="AA2211" s="2" t="str">
        <f>IF(V2211&gt;Z2211,"Yes","No")</f>
        <v>No</v>
      </c>
      <c r="AB2211" s="12">
        <f>V2211-Z2211</f>
        <v>-10.059999999999999</v>
      </c>
      <c r="AC2211" s="15" t="s">
        <v>130</v>
      </c>
      <c r="AD2211" s="15" t="s">
        <v>130</v>
      </c>
      <c r="AE2211" s="15" t="s">
        <v>858</v>
      </c>
      <c r="AF2211" s="12">
        <f>IF(AG2211="Rejected",0,IF(R2211="Corporate Card",0,V2211))</f>
        <v>0</v>
      </c>
      <c r="AG2211" s="15" t="s">
        <v>133</v>
      </c>
      <c r="AH2211" s="16">
        <v>45925</v>
      </c>
      <c r="AI2211" s="16">
        <v>45928</v>
      </c>
      <c r="AJ2211" s="16">
        <v>45936</v>
      </c>
      <c r="AK2211" s="17">
        <f>IF(AJ2211="","",AJ2211-AH2211)</f>
        <v>11</v>
      </c>
    </row>
    <row r="2212" spans="1:37">
      <c r="A2212" s="2" t="s">
        <v>2689</v>
      </c>
      <c r="B2212" s="2" t="s">
        <v>882</v>
      </c>
      <c r="C2212" s="2" t="s">
        <v>446</v>
      </c>
      <c r="D2212" s="2" t="s">
        <v>444</v>
      </c>
      <c r="E2212" s="2" t="s">
        <v>883</v>
      </c>
      <c r="F2212" s="2" t="s">
        <v>313</v>
      </c>
      <c r="G2212" s="2" t="s">
        <v>2680</v>
      </c>
      <c r="H2212" s="2" t="s">
        <v>193</v>
      </c>
      <c r="I2212" s="2" t="s">
        <v>601</v>
      </c>
      <c r="J2212" s="2" t="s">
        <v>381</v>
      </c>
      <c r="K2212" s="9">
        <v>45920</v>
      </c>
      <c r="L2212" s="9">
        <v>45925</v>
      </c>
      <c r="M2212" s="9">
        <v>45921</v>
      </c>
      <c r="N2212" s="2" t="s">
        <v>2549</v>
      </c>
      <c r="O2212" s="2" t="s">
        <v>53</v>
      </c>
      <c r="P2212" s="2" t="s">
        <v>271</v>
      </c>
      <c r="Q2212" s="2" t="s">
        <v>146</v>
      </c>
      <c r="R2212" s="2" t="s">
        <v>149</v>
      </c>
      <c r="S2212" s="2" t="s">
        <v>383</v>
      </c>
      <c r="T2212" s="10">
        <v>706.24</v>
      </c>
      <c r="U2212" s="11">
        <v>1</v>
      </c>
      <c r="V2212" s="12">
        <f>T2212*U2212</f>
        <v>706.24</v>
      </c>
      <c r="W2212" s="13">
        <v>0</v>
      </c>
      <c r="X2212" s="12">
        <f>V2212-(V2212/(1+W2212))</f>
        <v>0</v>
      </c>
      <c r="Y2212" s="12">
        <f>V2212-X2212</f>
        <v>706.24</v>
      </c>
      <c r="Z2212" s="14">
        <v>1400</v>
      </c>
      <c r="AA2212" s="2" t="str">
        <f>IF(V2212&gt;Z2212,"Yes","No")</f>
        <v>No</v>
      </c>
      <c r="AB2212" s="12">
        <f>V2212-Z2212</f>
        <v>-693.76</v>
      </c>
      <c r="AC2212" s="15" t="s">
        <v>130</v>
      </c>
      <c r="AD2212" s="15" t="s">
        <v>131</v>
      </c>
      <c r="AE2212" s="15" t="s">
        <v>180</v>
      </c>
      <c r="AF2212" s="12">
        <f>IF(AG2212="Rejected",0,IF(R2212="Corporate Card",0,V2212))</f>
        <v>706.24</v>
      </c>
      <c r="AG2212" s="15" t="s">
        <v>181</v>
      </c>
      <c r="AH2212" s="16">
        <v>45935</v>
      </c>
      <c r="AI2212" s="16"/>
      <c r="AJ2212" s="16"/>
      <c r="AK2212" s="17" t="str">
        <f>IF(AJ2212="","",AJ2212-AH2212)</f>
        <v/>
      </c>
    </row>
    <row r="2213" spans="1:37">
      <c r="A2213" s="2" t="s">
        <v>2690</v>
      </c>
      <c r="B2213" s="2" t="s">
        <v>882</v>
      </c>
      <c r="C2213" s="2" t="s">
        <v>446</v>
      </c>
      <c r="D2213" s="2" t="s">
        <v>444</v>
      </c>
      <c r="E2213" s="2" t="s">
        <v>883</v>
      </c>
      <c r="F2213" s="2" t="s">
        <v>313</v>
      </c>
      <c r="G2213" s="2" t="s">
        <v>2680</v>
      </c>
      <c r="H2213" s="2" t="s">
        <v>193</v>
      </c>
      <c r="I2213" s="2" t="s">
        <v>601</v>
      </c>
      <c r="J2213" s="2" t="s">
        <v>381</v>
      </c>
      <c r="K2213" s="9">
        <v>45920</v>
      </c>
      <c r="L2213" s="9">
        <v>45925</v>
      </c>
      <c r="M2213" s="9">
        <v>45921</v>
      </c>
      <c r="N2213" s="2" t="s">
        <v>2549</v>
      </c>
      <c r="O2213" s="2" t="s">
        <v>54</v>
      </c>
      <c r="P2213" s="2" t="s">
        <v>139</v>
      </c>
      <c r="Q2213" s="2" t="s">
        <v>163</v>
      </c>
      <c r="R2213" s="2" t="s">
        <v>128</v>
      </c>
      <c r="S2213" s="2" t="s">
        <v>383</v>
      </c>
      <c r="T2213" s="10">
        <v>9.2899999999999991</v>
      </c>
      <c r="U2213" s="11">
        <v>1</v>
      </c>
      <c r="V2213" s="12">
        <f>T2213*U2213</f>
        <v>9.2899999999999991</v>
      </c>
      <c r="W2213" s="13">
        <v>0</v>
      </c>
      <c r="X2213" s="12">
        <f>V2213-(V2213/(1+W2213))</f>
        <v>0</v>
      </c>
      <c r="Y2213" s="12">
        <f>V2213-X2213</f>
        <v>9.2899999999999991</v>
      </c>
      <c r="Z2213" s="14">
        <v>25</v>
      </c>
      <c r="AA2213" s="2" t="str">
        <f>IF(V2213&gt;Z2213,"Yes","No")</f>
        <v>No</v>
      </c>
      <c r="AB2213" s="12">
        <f>V2213-Z2213</f>
        <v>-15.71</v>
      </c>
      <c r="AC2213" s="15" t="s">
        <v>131</v>
      </c>
      <c r="AD2213" s="15" t="s">
        <v>131</v>
      </c>
      <c r="AE2213" s="15" t="s">
        <v>180</v>
      </c>
      <c r="AF2213" s="12">
        <f>IF(AG2213="Rejected",0,IF(R2213="Corporate Card",0,V2213))</f>
        <v>0</v>
      </c>
      <c r="AG2213" s="15" t="s">
        <v>181</v>
      </c>
      <c r="AH2213" s="16">
        <v>45935</v>
      </c>
      <c r="AI2213" s="16"/>
      <c r="AJ2213" s="16"/>
      <c r="AK2213" s="17" t="str">
        <f>IF(AJ2213="","",AJ2213-AH2213)</f>
        <v/>
      </c>
    </row>
    <row r="2214" spans="1:37">
      <c r="A2214" s="2" t="s">
        <v>2691</v>
      </c>
      <c r="B2214" s="2" t="s">
        <v>2212</v>
      </c>
      <c r="C2214" s="2" t="s">
        <v>346</v>
      </c>
      <c r="D2214" s="2" t="s">
        <v>344</v>
      </c>
      <c r="E2214" s="2" t="s">
        <v>2213</v>
      </c>
      <c r="F2214" s="2" t="s">
        <v>313</v>
      </c>
      <c r="G2214" s="2" t="s">
        <v>2649</v>
      </c>
      <c r="H2214" s="2" t="s">
        <v>348</v>
      </c>
      <c r="I2214" s="2" t="s">
        <v>418</v>
      </c>
      <c r="J2214" s="2" t="s">
        <v>381</v>
      </c>
      <c r="K2214" s="9">
        <v>45916</v>
      </c>
      <c r="L2214" s="9">
        <v>45922</v>
      </c>
      <c r="M2214" s="9">
        <v>45921</v>
      </c>
      <c r="N2214" s="2" t="s">
        <v>2549</v>
      </c>
      <c r="O2214" s="2" t="s">
        <v>67</v>
      </c>
      <c r="P2214" s="2" t="s">
        <v>401</v>
      </c>
      <c r="Q2214" s="2" t="s">
        <v>402</v>
      </c>
      <c r="R2214" s="2" t="s">
        <v>137</v>
      </c>
      <c r="S2214" s="2" t="s">
        <v>383</v>
      </c>
      <c r="T2214" s="10">
        <v>50.01</v>
      </c>
      <c r="U2214" s="11">
        <v>1</v>
      </c>
      <c r="V2214" s="12">
        <f>T2214*U2214</f>
        <v>50.01</v>
      </c>
      <c r="W2214" s="13">
        <v>0</v>
      </c>
      <c r="X2214" s="12">
        <f>V2214-(V2214/(1+W2214))</f>
        <v>0</v>
      </c>
      <c r="Y2214" s="12">
        <f>V2214-X2214</f>
        <v>50.01</v>
      </c>
      <c r="Z2214" s="14">
        <v>100</v>
      </c>
      <c r="AA2214" s="2" t="str">
        <f>IF(V2214&gt;Z2214,"Yes","No")</f>
        <v>No</v>
      </c>
      <c r="AB2214" s="12">
        <f>V2214-Z2214</f>
        <v>-49.99</v>
      </c>
      <c r="AC2214" s="15" t="s">
        <v>130</v>
      </c>
      <c r="AD2214" s="15" t="s">
        <v>130</v>
      </c>
      <c r="AE2214" s="15" t="s">
        <v>858</v>
      </c>
      <c r="AF2214" s="12">
        <f>IF(AG2214="Rejected",0,IF(R2214="Corporate Card",0,V2214))</f>
        <v>50.01</v>
      </c>
      <c r="AG2214" s="15" t="s">
        <v>133</v>
      </c>
      <c r="AH2214" s="16">
        <v>45925</v>
      </c>
      <c r="AI2214" s="16">
        <v>45928</v>
      </c>
      <c r="AJ2214" s="16">
        <v>45936</v>
      </c>
      <c r="AK2214" s="17">
        <f>IF(AJ2214="","",AJ2214-AH2214)</f>
        <v>11</v>
      </c>
    </row>
    <row r="2215" spans="1:37">
      <c r="A2215" s="2" t="s">
        <v>2692</v>
      </c>
      <c r="B2215" s="2" t="s">
        <v>2212</v>
      </c>
      <c r="C2215" s="2" t="s">
        <v>346</v>
      </c>
      <c r="D2215" s="2" t="s">
        <v>344</v>
      </c>
      <c r="E2215" s="2" t="s">
        <v>2213</v>
      </c>
      <c r="F2215" s="2" t="s">
        <v>313</v>
      </c>
      <c r="G2215" s="2" t="s">
        <v>2649</v>
      </c>
      <c r="H2215" s="2" t="s">
        <v>348</v>
      </c>
      <c r="I2215" s="2" t="s">
        <v>418</v>
      </c>
      <c r="J2215" s="2" t="s">
        <v>381</v>
      </c>
      <c r="K2215" s="9">
        <v>45916</v>
      </c>
      <c r="L2215" s="9">
        <v>45922</v>
      </c>
      <c r="M2215" s="9">
        <v>45921</v>
      </c>
      <c r="N2215" s="2" t="s">
        <v>2549</v>
      </c>
      <c r="O2215" s="2" t="s">
        <v>58</v>
      </c>
      <c r="P2215" s="2" t="s">
        <v>142</v>
      </c>
      <c r="Q2215" s="2" t="s">
        <v>143</v>
      </c>
      <c r="R2215" s="2" t="s">
        <v>137</v>
      </c>
      <c r="S2215" s="2" t="s">
        <v>383</v>
      </c>
      <c r="T2215" s="10">
        <v>51.21</v>
      </c>
      <c r="U2215" s="11">
        <v>1</v>
      </c>
      <c r="V2215" s="12">
        <f>T2215*U2215</f>
        <v>51.21</v>
      </c>
      <c r="W2215" s="13">
        <v>0</v>
      </c>
      <c r="X2215" s="12">
        <f>V2215-(V2215/(1+W2215))</f>
        <v>0</v>
      </c>
      <c r="Y2215" s="12">
        <f>V2215-X2215</f>
        <v>51.21</v>
      </c>
      <c r="Z2215" s="14">
        <v>60</v>
      </c>
      <c r="AA2215" s="2" t="str">
        <f>IF(V2215&gt;Z2215,"Yes","No")</f>
        <v>No</v>
      </c>
      <c r="AB2215" s="12">
        <f>V2215-Z2215</f>
        <v>-8.7899999999999991</v>
      </c>
      <c r="AC2215" s="15" t="s">
        <v>130</v>
      </c>
      <c r="AD2215" s="15" t="s">
        <v>130</v>
      </c>
      <c r="AE2215" s="15" t="s">
        <v>858</v>
      </c>
      <c r="AF2215" s="12">
        <f>IF(AG2215="Rejected",0,IF(R2215="Corporate Card",0,V2215))</f>
        <v>51.21</v>
      </c>
      <c r="AG2215" s="15" t="s">
        <v>133</v>
      </c>
      <c r="AH2215" s="16">
        <v>45925</v>
      </c>
      <c r="AI2215" s="16">
        <v>45928</v>
      </c>
      <c r="AJ2215" s="16">
        <v>45936</v>
      </c>
      <c r="AK2215" s="17">
        <f>IF(AJ2215="","",AJ2215-AH2215)</f>
        <v>11</v>
      </c>
    </row>
    <row r="2216" spans="1:37">
      <c r="A2216" s="2" t="s">
        <v>2693</v>
      </c>
      <c r="B2216" s="2" t="s">
        <v>2212</v>
      </c>
      <c r="C2216" s="2" t="s">
        <v>346</v>
      </c>
      <c r="D2216" s="2" t="s">
        <v>344</v>
      </c>
      <c r="E2216" s="2" t="s">
        <v>2213</v>
      </c>
      <c r="F2216" s="2" t="s">
        <v>313</v>
      </c>
      <c r="G2216" s="2" t="s">
        <v>2649</v>
      </c>
      <c r="H2216" s="2" t="s">
        <v>348</v>
      </c>
      <c r="I2216" s="2" t="s">
        <v>418</v>
      </c>
      <c r="J2216" s="2" t="s">
        <v>381</v>
      </c>
      <c r="K2216" s="9">
        <v>45916</v>
      </c>
      <c r="L2216" s="9">
        <v>45922</v>
      </c>
      <c r="M2216" s="9">
        <v>45921</v>
      </c>
      <c r="N2216" s="2" t="s">
        <v>2549</v>
      </c>
      <c r="O2216" s="2" t="s">
        <v>55</v>
      </c>
      <c r="P2216" s="2" t="s">
        <v>139</v>
      </c>
      <c r="Q2216" s="2" t="s">
        <v>154</v>
      </c>
      <c r="R2216" s="2" t="s">
        <v>128</v>
      </c>
      <c r="S2216" s="2" t="s">
        <v>383</v>
      </c>
      <c r="T2216" s="10">
        <v>22.12</v>
      </c>
      <c r="U2216" s="11">
        <v>1</v>
      </c>
      <c r="V2216" s="12">
        <f>T2216*U2216</f>
        <v>22.12</v>
      </c>
      <c r="W2216" s="13">
        <v>0</v>
      </c>
      <c r="X2216" s="12">
        <f>V2216-(V2216/(1+W2216))</f>
        <v>0</v>
      </c>
      <c r="Y2216" s="12">
        <f>V2216-X2216</f>
        <v>22.12</v>
      </c>
      <c r="Z2216" s="14">
        <v>35</v>
      </c>
      <c r="AA2216" s="2" t="str">
        <f>IF(V2216&gt;Z2216,"Yes","No")</f>
        <v>No</v>
      </c>
      <c r="AB2216" s="12">
        <f>V2216-Z2216</f>
        <v>-12.879999999999999</v>
      </c>
      <c r="AC2216" s="15" t="s">
        <v>130</v>
      </c>
      <c r="AD2216" s="15" t="s">
        <v>130</v>
      </c>
      <c r="AE2216" s="15" t="s">
        <v>858</v>
      </c>
      <c r="AF2216" s="12">
        <f>IF(AG2216="Rejected",0,IF(R2216="Corporate Card",0,V2216))</f>
        <v>0</v>
      </c>
      <c r="AG2216" s="15" t="s">
        <v>133</v>
      </c>
      <c r="AH2216" s="16">
        <v>45925</v>
      </c>
      <c r="AI2216" s="16">
        <v>45928</v>
      </c>
      <c r="AJ2216" s="16">
        <v>45936</v>
      </c>
      <c r="AK2216" s="17">
        <f>IF(AJ2216="","",AJ2216-AH2216)</f>
        <v>11</v>
      </c>
    </row>
    <row r="2217" spans="1:37">
      <c r="A2217" s="2" t="s">
        <v>2694</v>
      </c>
      <c r="B2217" s="2" t="s">
        <v>882</v>
      </c>
      <c r="C2217" s="2" t="s">
        <v>446</v>
      </c>
      <c r="D2217" s="2" t="s">
        <v>444</v>
      </c>
      <c r="E2217" s="2" t="s">
        <v>883</v>
      </c>
      <c r="F2217" s="2" t="s">
        <v>313</v>
      </c>
      <c r="G2217" s="2" t="s">
        <v>2680</v>
      </c>
      <c r="H2217" s="2" t="s">
        <v>193</v>
      </c>
      <c r="I2217" s="2" t="s">
        <v>601</v>
      </c>
      <c r="J2217" s="2" t="s">
        <v>381</v>
      </c>
      <c r="K2217" s="9">
        <v>45920</v>
      </c>
      <c r="L2217" s="9">
        <v>45925</v>
      </c>
      <c r="M2217" s="9">
        <v>45922</v>
      </c>
      <c r="N2217" s="2" t="s">
        <v>2549</v>
      </c>
      <c r="O2217" s="2" t="s">
        <v>54</v>
      </c>
      <c r="P2217" s="2" t="s">
        <v>139</v>
      </c>
      <c r="Q2217" s="2" t="s">
        <v>148</v>
      </c>
      <c r="R2217" s="2" t="s">
        <v>137</v>
      </c>
      <c r="S2217" s="2" t="s">
        <v>383</v>
      </c>
      <c r="T2217" s="10">
        <v>20.07</v>
      </c>
      <c r="U2217" s="11">
        <v>1</v>
      </c>
      <c r="V2217" s="12">
        <f>T2217*U2217</f>
        <v>20.07</v>
      </c>
      <c r="W2217" s="13">
        <v>0</v>
      </c>
      <c r="X2217" s="12">
        <f>V2217-(V2217/(1+W2217))</f>
        <v>0</v>
      </c>
      <c r="Y2217" s="12">
        <f>V2217-X2217</f>
        <v>20.07</v>
      </c>
      <c r="Z2217" s="14">
        <v>25</v>
      </c>
      <c r="AA2217" s="2" t="str">
        <f>IF(V2217&gt;Z2217,"Yes","No")</f>
        <v>No</v>
      </c>
      <c r="AB2217" s="12">
        <f>V2217-Z2217</f>
        <v>-4.93</v>
      </c>
      <c r="AC2217" s="15" t="s">
        <v>130</v>
      </c>
      <c r="AD2217" s="15" t="s">
        <v>131</v>
      </c>
      <c r="AE2217" s="15" t="s">
        <v>180</v>
      </c>
      <c r="AF2217" s="12">
        <f>IF(AG2217="Rejected",0,IF(R2217="Corporate Card",0,V2217))</f>
        <v>20.07</v>
      </c>
      <c r="AG2217" s="15" t="s">
        <v>181</v>
      </c>
      <c r="AH2217" s="16">
        <v>45935</v>
      </c>
      <c r="AI2217" s="16"/>
      <c r="AJ2217" s="16"/>
      <c r="AK2217" s="17" t="str">
        <f>IF(AJ2217="","",AJ2217-AH2217)</f>
        <v/>
      </c>
    </row>
    <row r="2218" spans="1:37">
      <c r="A2218" s="2" t="s">
        <v>2695</v>
      </c>
      <c r="B2218" s="2" t="s">
        <v>882</v>
      </c>
      <c r="C2218" s="2" t="s">
        <v>446</v>
      </c>
      <c r="D2218" s="2" t="s">
        <v>444</v>
      </c>
      <c r="E2218" s="2" t="s">
        <v>883</v>
      </c>
      <c r="F2218" s="2" t="s">
        <v>313</v>
      </c>
      <c r="G2218" s="2" t="s">
        <v>2680</v>
      </c>
      <c r="H2218" s="2" t="s">
        <v>193</v>
      </c>
      <c r="I2218" s="2" t="s">
        <v>601</v>
      </c>
      <c r="J2218" s="2" t="s">
        <v>381</v>
      </c>
      <c r="K2218" s="9">
        <v>45920</v>
      </c>
      <c r="L2218" s="9">
        <v>45925</v>
      </c>
      <c r="M2218" s="9">
        <v>45922</v>
      </c>
      <c r="N2218" s="2" t="s">
        <v>2549</v>
      </c>
      <c r="O2218" s="2" t="s">
        <v>56</v>
      </c>
      <c r="P2218" s="2" t="s">
        <v>245</v>
      </c>
      <c r="Q2218" s="2" t="s">
        <v>185</v>
      </c>
      <c r="R2218" s="2" t="s">
        <v>128</v>
      </c>
      <c r="S2218" s="2" t="s">
        <v>383</v>
      </c>
      <c r="T2218" s="10">
        <v>29.04</v>
      </c>
      <c r="U2218" s="11">
        <v>1</v>
      </c>
      <c r="V2218" s="12">
        <f>T2218*U2218</f>
        <v>29.04</v>
      </c>
      <c r="W2218" s="13">
        <v>0</v>
      </c>
      <c r="X2218" s="12">
        <f>V2218-(V2218/(1+W2218))</f>
        <v>0</v>
      </c>
      <c r="Y2218" s="12">
        <f>V2218-X2218</f>
        <v>29.04</v>
      </c>
      <c r="Z2218" s="14">
        <v>75</v>
      </c>
      <c r="AA2218" s="2" t="str">
        <f>IF(V2218&gt;Z2218,"Yes","No")</f>
        <v>No</v>
      </c>
      <c r="AB2218" s="12">
        <f>V2218-Z2218</f>
        <v>-45.96</v>
      </c>
      <c r="AC2218" s="15" t="s">
        <v>130</v>
      </c>
      <c r="AD2218" s="15" t="s">
        <v>131</v>
      </c>
      <c r="AE2218" s="15" t="s">
        <v>180</v>
      </c>
      <c r="AF2218" s="12">
        <f>IF(AG2218="Rejected",0,IF(R2218="Corporate Card",0,V2218))</f>
        <v>0</v>
      </c>
      <c r="AG2218" s="15" t="s">
        <v>181</v>
      </c>
      <c r="AH2218" s="16">
        <v>45935</v>
      </c>
      <c r="AI2218" s="16"/>
      <c r="AJ2218" s="16"/>
      <c r="AK2218" s="17" t="str">
        <f>IF(AJ2218="","",AJ2218-AH2218)</f>
        <v/>
      </c>
    </row>
    <row r="2219" spans="1:37">
      <c r="A2219" s="2" t="s">
        <v>2696</v>
      </c>
      <c r="B2219" s="2" t="s">
        <v>882</v>
      </c>
      <c r="C2219" s="2" t="s">
        <v>446</v>
      </c>
      <c r="D2219" s="2" t="s">
        <v>444</v>
      </c>
      <c r="E2219" s="2" t="s">
        <v>883</v>
      </c>
      <c r="F2219" s="2" t="s">
        <v>313</v>
      </c>
      <c r="G2219" s="2" t="s">
        <v>2680</v>
      </c>
      <c r="H2219" s="2" t="s">
        <v>193</v>
      </c>
      <c r="I2219" s="2" t="s">
        <v>601</v>
      </c>
      <c r="J2219" s="2" t="s">
        <v>381</v>
      </c>
      <c r="K2219" s="9">
        <v>45920</v>
      </c>
      <c r="L2219" s="9">
        <v>45925</v>
      </c>
      <c r="M2219" s="9">
        <v>45922</v>
      </c>
      <c r="N2219" s="2" t="s">
        <v>2549</v>
      </c>
      <c r="O2219" s="2" t="s">
        <v>55</v>
      </c>
      <c r="P2219" s="2" t="s">
        <v>139</v>
      </c>
      <c r="Q2219" s="2" t="s">
        <v>217</v>
      </c>
      <c r="R2219" s="2" t="s">
        <v>128</v>
      </c>
      <c r="S2219" s="2" t="s">
        <v>383</v>
      </c>
      <c r="T2219" s="10">
        <v>28.03</v>
      </c>
      <c r="U2219" s="11">
        <v>1</v>
      </c>
      <c r="V2219" s="12">
        <f>T2219*U2219</f>
        <v>28.03</v>
      </c>
      <c r="W2219" s="13">
        <v>0</v>
      </c>
      <c r="X2219" s="12">
        <f>V2219-(V2219/(1+W2219))</f>
        <v>0</v>
      </c>
      <c r="Y2219" s="12">
        <f>V2219-X2219</f>
        <v>28.03</v>
      </c>
      <c r="Z2219" s="14">
        <v>35</v>
      </c>
      <c r="AA2219" s="2" t="str">
        <f>IF(V2219&gt;Z2219,"Yes","No")</f>
        <v>No</v>
      </c>
      <c r="AB2219" s="12">
        <f>V2219-Z2219</f>
        <v>-6.9699999999999989</v>
      </c>
      <c r="AC2219" s="15" t="s">
        <v>130</v>
      </c>
      <c r="AD2219" s="15" t="s">
        <v>131</v>
      </c>
      <c r="AE2219" s="15" t="s">
        <v>180</v>
      </c>
      <c r="AF2219" s="12">
        <f>IF(AG2219="Rejected",0,IF(R2219="Corporate Card",0,V2219))</f>
        <v>0</v>
      </c>
      <c r="AG2219" s="15" t="s">
        <v>181</v>
      </c>
      <c r="AH2219" s="16">
        <v>45935</v>
      </c>
      <c r="AI2219" s="16"/>
      <c r="AJ2219" s="16"/>
      <c r="AK2219" s="17" t="str">
        <f>IF(AJ2219="","",AJ2219-AH2219)</f>
        <v/>
      </c>
    </row>
    <row r="2220" spans="1:37">
      <c r="A2220" s="2" t="s">
        <v>2697</v>
      </c>
      <c r="B2220" s="2" t="s">
        <v>2212</v>
      </c>
      <c r="C2220" s="2" t="s">
        <v>346</v>
      </c>
      <c r="D2220" s="2" t="s">
        <v>344</v>
      </c>
      <c r="E2220" s="2" t="s">
        <v>2213</v>
      </c>
      <c r="F2220" s="2" t="s">
        <v>313</v>
      </c>
      <c r="G2220" s="2" t="s">
        <v>2649</v>
      </c>
      <c r="H2220" s="2" t="s">
        <v>348</v>
      </c>
      <c r="I2220" s="2" t="s">
        <v>418</v>
      </c>
      <c r="J2220" s="2" t="s">
        <v>381</v>
      </c>
      <c r="K2220" s="9">
        <v>45916</v>
      </c>
      <c r="L2220" s="9">
        <v>45922</v>
      </c>
      <c r="M2220" s="9">
        <v>45922</v>
      </c>
      <c r="N2220" s="2" t="s">
        <v>2549</v>
      </c>
      <c r="O2220" s="2" t="s">
        <v>54</v>
      </c>
      <c r="P2220" s="2" t="s">
        <v>139</v>
      </c>
      <c r="Q2220" s="2" t="s">
        <v>163</v>
      </c>
      <c r="R2220" s="2" t="s">
        <v>128</v>
      </c>
      <c r="S2220" s="2" t="s">
        <v>383</v>
      </c>
      <c r="T2220" s="10">
        <v>10.63</v>
      </c>
      <c r="U2220" s="11">
        <v>1</v>
      </c>
      <c r="V2220" s="12">
        <f>T2220*U2220</f>
        <v>10.63</v>
      </c>
      <c r="W2220" s="13">
        <v>0</v>
      </c>
      <c r="X2220" s="12">
        <f>V2220-(V2220/(1+W2220))</f>
        <v>0</v>
      </c>
      <c r="Y2220" s="12">
        <f>V2220-X2220</f>
        <v>10.63</v>
      </c>
      <c r="Z2220" s="14">
        <v>25</v>
      </c>
      <c r="AA2220" s="2" t="str">
        <f>IF(V2220&gt;Z2220,"Yes","No")</f>
        <v>No</v>
      </c>
      <c r="AB2220" s="12">
        <f>V2220-Z2220</f>
        <v>-14.37</v>
      </c>
      <c r="AC2220" s="15" t="s">
        <v>130</v>
      </c>
      <c r="AD2220" s="15" t="s">
        <v>130</v>
      </c>
      <c r="AE2220" s="15" t="s">
        <v>858</v>
      </c>
      <c r="AF2220" s="12">
        <f>IF(AG2220="Rejected",0,IF(R2220="Corporate Card",0,V2220))</f>
        <v>0</v>
      </c>
      <c r="AG2220" s="15" t="s">
        <v>133</v>
      </c>
      <c r="AH2220" s="16">
        <v>45925</v>
      </c>
      <c r="AI2220" s="16">
        <v>45928</v>
      </c>
      <c r="AJ2220" s="16">
        <v>45936</v>
      </c>
      <c r="AK2220" s="17">
        <f>IF(AJ2220="","",AJ2220-AH2220)</f>
        <v>11</v>
      </c>
    </row>
    <row r="2221" spans="1:37">
      <c r="A2221" s="2" t="s">
        <v>2698</v>
      </c>
      <c r="B2221" s="2" t="s">
        <v>2212</v>
      </c>
      <c r="C2221" s="2" t="s">
        <v>346</v>
      </c>
      <c r="D2221" s="2" t="s">
        <v>344</v>
      </c>
      <c r="E2221" s="2" t="s">
        <v>2213</v>
      </c>
      <c r="F2221" s="2" t="s">
        <v>313</v>
      </c>
      <c r="G2221" s="2" t="s">
        <v>2649</v>
      </c>
      <c r="H2221" s="2" t="s">
        <v>348</v>
      </c>
      <c r="I2221" s="2" t="s">
        <v>418</v>
      </c>
      <c r="J2221" s="2" t="s">
        <v>381</v>
      </c>
      <c r="K2221" s="9">
        <v>45916</v>
      </c>
      <c r="L2221" s="9">
        <v>45922</v>
      </c>
      <c r="M2221" s="9">
        <v>45922</v>
      </c>
      <c r="N2221" s="2" t="s">
        <v>2549</v>
      </c>
      <c r="O2221" s="2" t="s">
        <v>56</v>
      </c>
      <c r="P2221" s="2" t="s">
        <v>165</v>
      </c>
      <c r="Q2221" s="2" t="s">
        <v>152</v>
      </c>
      <c r="R2221" s="2" t="s">
        <v>128</v>
      </c>
      <c r="S2221" s="2" t="s">
        <v>383</v>
      </c>
      <c r="T2221" s="10">
        <v>55.1</v>
      </c>
      <c r="U2221" s="11">
        <v>1</v>
      </c>
      <c r="V2221" s="12">
        <f>T2221*U2221</f>
        <v>55.1</v>
      </c>
      <c r="W2221" s="13">
        <v>0</v>
      </c>
      <c r="X2221" s="12">
        <f>V2221-(V2221/(1+W2221))</f>
        <v>0</v>
      </c>
      <c r="Y2221" s="12">
        <f>V2221-X2221</f>
        <v>55.1</v>
      </c>
      <c r="Z2221" s="14">
        <v>75</v>
      </c>
      <c r="AA2221" s="2" t="str">
        <f>IF(V2221&gt;Z2221,"Yes","No")</f>
        <v>No</v>
      </c>
      <c r="AB2221" s="12">
        <f>V2221-Z2221</f>
        <v>-19.899999999999999</v>
      </c>
      <c r="AC2221" s="15" t="s">
        <v>130</v>
      </c>
      <c r="AD2221" s="15" t="s">
        <v>130</v>
      </c>
      <c r="AE2221" s="15" t="s">
        <v>858</v>
      </c>
      <c r="AF2221" s="12">
        <f>IF(AG2221="Rejected",0,IF(R2221="Corporate Card",0,V2221))</f>
        <v>0</v>
      </c>
      <c r="AG2221" s="15" t="s">
        <v>133</v>
      </c>
      <c r="AH2221" s="16">
        <v>45925</v>
      </c>
      <c r="AI2221" s="16">
        <v>45928</v>
      </c>
      <c r="AJ2221" s="16">
        <v>45936</v>
      </c>
      <c r="AK2221" s="17">
        <f>IF(AJ2221="","",AJ2221-AH2221)</f>
        <v>11</v>
      </c>
    </row>
    <row r="2222" spans="1:37">
      <c r="A2222" s="2" t="s">
        <v>2699</v>
      </c>
      <c r="B2222" s="2" t="s">
        <v>2212</v>
      </c>
      <c r="C2222" s="2" t="s">
        <v>346</v>
      </c>
      <c r="D2222" s="2" t="s">
        <v>344</v>
      </c>
      <c r="E2222" s="2" t="s">
        <v>2213</v>
      </c>
      <c r="F2222" s="2" t="s">
        <v>313</v>
      </c>
      <c r="G2222" s="2" t="s">
        <v>2649</v>
      </c>
      <c r="H2222" s="2" t="s">
        <v>348</v>
      </c>
      <c r="I2222" s="2" t="s">
        <v>418</v>
      </c>
      <c r="J2222" s="2" t="s">
        <v>381</v>
      </c>
      <c r="K2222" s="9">
        <v>45916</v>
      </c>
      <c r="L2222" s="9">
        <v>45922</v>
      </c>
      <c r="M2222" s="9">
        <v>45922</v>
      </c>
      <c r="N2222" s="2" t="s">
        <v>2549</v>
      </c>
      <c r="O2222" s="2" t="s">
        <v>55</v>
      </c>
      <c r="P2222" s="2" t="s">
        <v>139</v>
      </c>
      <c r="Q2222" s="2" t="s">
        <v>161</v>
      </c>
      <c r="R2222" s="2" t="s">
        <v>149</v>
      </c>
      <c r="S2222" s="2" t="s">
        <v>383</v>
      </c>
      <c r="T2222" s="10">
        <v>20.22</v>
      </c>
      <c r="U2222" s="11">
        <v>1</v>
      </c>
      <c r="V2222" s="12">
        <f>T2222*U2222</f>
        <v>20.22</v>
      </c>
      <c r="W2222" s="13">
        <v>0</v>
      </c>
      <c r="X2222" s="12">
        <f>V2222-(V2222/(1+W2222))</f>
        <v>0</v>
      </c>
      <c r="Y2222" s="12">
        <f>V2222-X2222</f>
        <v>20.22</v>
      </c>
      <c r="Z2222" s="14">
        <v>35</v>
      </c>
      <c r="AA2222" s="2" t="str">
        <f>IF(V2222&gt;Z2222,"Yes","No")</f>
        <v>No</v>
      </c>
      <c r="AB2222" s="12">
        <f>V2222-Z2222</f>
        <v>-14.780000000000001</v>
      </c>
      <c r="AC2222" s="15" t="s">
        <v>130</v>
      </c>
      <c r="AD2222" s="15" t="s">
        <v>130</v>
      </c>
      <c r="AE2222" s="15" t="s">
        <v>858</v>
      </c>
      <c r="AF2222" s="12">
        <f>IF(AG2222="Rejected",0,IF(R2222="Corporate Card",0,V2222))</f>
        <v>20.22</v>
      </c>
      <c r="AG2222" s="15" t="s">
        <v>133</v>
      </c>
      <c r="AH2222" s="16">
        <v>45925</v>
      </c>
      <c r="AI2222" s="16">
        <v>45928</v>
      </c>
      <c r="AJ2222" s="16">
        <v>45936</v>
      </c>
      <c r="AK2222" s="17">
        <f>IF(AJ2222="","",AJ2222-AH2222)</f>
        <v>11</v>
      </c>
    </row>
    <row r="2223" spans="1:37">
      <c r="A2223" s="2" t="s">
        <v>2700</v>
      </c>
      <c r="B2223" s="2" t="s">
        <v>442</v>
      </c>
      <c r="C2223" s="2" t="s">
        <v>443</v>
      </c>
      <c r="D2223" s="2" t="s">
        <v>444</v>
      </c>
      <c r="E2223" s="2" t="s">
        <v>445</v>
      </c>
      <c r="F2223" s="2" t="s">
        <v>446</v>
      </c>
      <c r="G2223" s="2" t="s">
        <v>2701</v>
      </c>
      <c r="H2223" s="2" t="s">
        <v>748</v>
      </c>
      <c r="I2223" s="2" t="s">
        <v>123</v>
      </c>
      <c r="J2223" s="2" t="s">
        <v>124</v>
      </c>
      <c r="K2223" s="9">
        <v>45923</v>
      </c>
      <c r="L2223" s="9">
        <v>45929</v>
      </c>
      <c r="M2223" s="9">
        <v>45923</v>
      </c>
      <c r="N2223" s="2" t="s">
        <v>2549</v>
      </c>
      <c r="O2223" s="2" t="s">
        <v>52</v>
      </c>
      <c r="P2223" s="2" t="s">
        <v>126</v>
      </c>
      <c r="Q2223" s="2" t="s">
        <v>349</v>
      </c>
      <c r="R2223" s="2" t="s">
        <v>128</v>
      </c>
      <c r="S2223" s="2" t="s">
        <v>129</v>
      </c>
      <c r="T2223" s="10">
        <v>2005.33</v>
      </c>
      <c r="U2223" s="11">
        <v>1.272</v>
      </c>
      <c r="V2223" s="12">
        <f>T2223*U2223</f>
        <v>2550.7797599999999</v>
      </c>
      <c r="W2223" s="13">
        <v>0</v>
      </c>
      <c r="X2223" s="12">
        <f>V2223-(V2223/(1+W2223))</f>
        <v>0</v>
      </c>
      <c r="Y2223" s="12">
        <f>V2223-X2223</f>
        <v>2550.7797599999999</v>
      </c>
      <c r="Z2223" s="14">
        <v>1400</v>
      </c>
      <c r="AA2223" s="2" t="str">
        <f>IF(V2223&gt;Z2223,"Yes","No")</f>
        <v>Yes</v>
      </c>
      <c r="AB2223" s="12">
        <f>V2223-Z2223</f>
        <v>1150.7797599999999</v>
      </c>
      <c r="AC2223" s="15" t="s">
        <v>130</v>
      </c>
      <c r="AD2223" s="15" t="s">
        <v>131</v>
      </c>
      <c r="AE2223" s="15" t="s">
        <v>132</v>
      </c>
      <c r="AF2223" s="12">
        <f>IF(AG2223="Rejected",0,IF(R2223="Corporate Card",0,V2223))</f>
        <v>0</v>
      </c>
      <c r="AG2223" s="15" t="s">
        <v>133</v>
      </c>
      <c r="AH2223" s="16">
        <v>45941</v>
      </c>
      <c r="AI2223" s="16">
        <v>45947</v>
      </c>
      <c r="AJ2223" s="16">
        <v>45956</v>
      </c>
      <c r="AK2223" s="17">
        <f>IF(AJ2223="","",AJ2223-AH2223)</f>
        <v>15</v>
      </c>
    </row>
    <row r="2224" spans="1:37">
      <c r="A2224" s="2" t="s">
        <v>2702</v>
      </c>
      <c r="B2224" s="2" t="s">
        <v>442</v>
      </c>
      <c r="C2224" s="2" t="s">
        <v>443</v>
      </c>
      <c r="D2224" s="2" t="s">
        <v>444</v>
      </c>
      <c r="E2224" s="2" t="s">
        <v>445</v>
      </c>
      <c r="F2224" s="2" t="s">
        <v>446</v>
      </c>
      <c r="G2224" s="2" t="s">
        <v>2701</v>
      </c>
      <c r="H2224" s="2" t="s">
        <v>748</v>
      </c>
      <c r="I2224" s="2" t="s">
        <v>123</v>
      </c>
      <c r="J2224" s="2" t="s">
        <v>124</v>
      </c>
      <c r="K2224" s="9">
        <v>45923</v>
      </c>
      <c r="L2224" s="9">
        <v>45929</v>
      </c>
      <c r="M2224" s="9">
        <v>45923</v>
      </c>
      <c r="N2224" s="2" t="s">
        <v>2549</v>
      </c>
      <c r="O2224" s="2" t="s">
        <v>54</v>
      </c>
      <c r="P2224" s="2" t="s">
        <v>139</v>
      </c>
      <c r="Q2224" s="2" t="s">
        <v>214</v>
      </c>
      <c r="R2224" s="2" t="s">
        <v>128</v>
      </c>
      <c r="S2224" s="2" t="s">
        <v>129</v>
      </c>
      <c r="T2224" s="10">
        <v>15.57</v>
      </c>
      <c r="U2224" s="11">
        <v>1.272</v>
      </c>
      <c r="V2224" s="12">
        <f>T2224*U2224</f>
        <v>19.805040000000002</v>
      </c>
      <c r="W2224" s="13">
        <v>0.2</v>
      </c>
      <c r="X2224" s="12">
        <f>V2224-(V2224/(1+W2224))</f>
        <v>3.3008400000000009</v>
      </c>
      <c r="Y2224" s="12">
        <f>V2224-X2224</f>
        <v>16.504200000000001</v>
      </c>
      <c r="Z2224" s="14">
        <v>25</v>
      </c>
      <c r="AA2224" s="2" t="str">
        <f>IF(V2224&gt;Z2224,"Yes","No")</f>
        <v>No</v>
      </c>
      <c r="AB2224" s="12">
        <f>V2224-Z2224</f>
        <v>-5.1949599999999982</v>
      </c>
      <c r="AC2224" s="15" t="s">
        <v>130</v>
      </c>
      <c r="AD2224" s="15" t="s">
        <v>131</v>
      </c>
      <c r="AE2224" s="15" t="s">
        <v>132</v>
      </c>
      <c r="AF2224" s="12">
        <f>IF(AG2224="Rejected",0,IF(R2224="Corporate Card",0,V2224))</f>
        <v>0</v>
      </c>
      <c r="AG2224" s="15" t="s">
        <v>133</v>
      </c>
      <c r="AH2224" s="16">
        <v>45941</v>
      </c>
      <c r="AI2224" s="16">
        <v>45947</v>
      </c>
      <c r="AJ2224" s="16">
        <v>45956</v>
      </c>
      <c r="AK2224" s="17">
        <f>IF(AJ2224="","",AJ2224-AH2224)</f>
        <v>15</v>
      </c>
    </row>
    <row r="2225" spans="1:37">
      <c r="A2225" s="2" t="s">
        <v>2703</v>
      </c>
      <c r="B2225" s="2" t="s">
        <v>442</v>
      </c>
      <c r="C2225" s="2" t="s">
        <v>443</v>
      </c>
      <c r="D2225" s="2" t="s">
        <v>444</v>
      </c>
      <c r="E2225" s="2" t="s">
        <v>445</v>
      </c>
      <c r="F2225" s="2" t="s">
        <v>446</v>
      </c>
      <c r="G2225" s="2" t="s">
        <v>2701</v>
      </c>
      <c r="H2225" s="2" t="s">
        <v>748</v>
      </c>
      <c r="I2225" s="2" t="s">
        <v>123</v>
      </c>
      <c r="J2225" s="2" t="s">
        <v>124</v>
      </c>
      <c r="K2225" s="9">
        <v>45923</v>
      </c>
      <c r="L2225" s="9">
        <v>45929</v>
      </c>
      <c r="M2225" s="9">
        <v>45923</v>
      </c>
      <c r="N2225" s="2" t="s">
        <v>2549</v>
      </c>
      <c r="O2225" s="2" t="s">
        <v>55</v>
      </c>
      <c r="P2225" s="2" t="s">
        <v>139</v>
      </c>
      <c r="Q2225" s="2" t="s">
        <v>187</v>
      </c>
      <c r="R2225" s="2" t="s">
        <v>128</v>
      </c>
      <c r="S2225" s="2" t="s">
        <v>129</v>
      </c>
      <c r="T2225" s="10">
        <v>10.5</v>
      </c>
      <c r="U2225" s="11">
        <v>1.272</v>
      </c>
      <c r="V2225" s="12">
        <f>T2225*U2225</f>
        <v>13.356</v>
      </c>
      <c r="W2225" s="13">
        <v>0.2</v>
      </c>
      <c r="X2225" s="12">
        <f>V2225-(V2225/(1+W2225))</f>
        <v>2.2259999999999991</v>
      </c>
      <c r="Y2225" s="12">
        <f>V2225-X2225</f>
        <v>11.13</v>
      </c>
      <c r="Z2225" s="14">
        <v>35</v>
      </c>
      <c r="AA2225" s="2" t="str">
        <f>IF(V2225&gt;Z2225,"Yes","No")</f>
        <v>No</v>
      </c>
      <c r="AB2225" s="12">
        <f>V2225-Z2225</f>
        <v>-21.643999999999998</v>
      </c>
      <c r="AC2225" s="15" t="s">
        <v>130</v>
      </c>
      <c r="AD2225" s="15" t="s">
        <v>131</v>
      </c>
      <c r="AE2225" s="15" t="s">
        <v>132</v>
      </c>
      <c r="AF2225" s="12">
        <f>IF(AG2225="Rejected",0,IF(R2225="Corporate Card",0,V2225))</f>
        <v>0</v>
      </c>
      <c r="AG2225" s="15" t="s">
        <v>133</v>
      </c>
      <c r="AH2225" s="16">
        <v>45941</v>
      </c>
      <c r="AI2225" s="16">
        <v>45947</v>
      </c>
      <c r="AJ2225" s="16">
        <v>45956</v>
      </c>
      <c r="AK2225" s="17">
        <f>IF(AJ2225="","",AJ2225-AH2225)</f>
        <v>15</v>
      </c>
    </row>
    <row r="2226" spans="1:37">
      <c r="A2226" s="2" t="s">
        <v>2704</v>
      </c>
      <c r="B2226" s="2" t="s">
        <v>882</v>
      </c>
      <c r="C2226" s="2" t="s">
        <v>446</v>
      </c>
      <c r="D2226" s="2" t="s">
        <v>444</v>
      </c>
      <c r="E2226" s="2" t="s">
        <v>883</v>
      </c>
      <c r="F2226" s="2" t="s">
        <v>313</v>
      </c>
      <c r="G2226" s="2" t="s">
        <v>2680</v>
      </c>
      <c r="H2226" s="2" t="s">
        <v>193</v>
      </c>
      <c r="I2226" s="2" t="s">
        <v>601</v>
      </c>
      <c r="J2226" s="2" t="s">
        <v>381</v>
      </c>
      <c r="K2226" s="9">
        <v>45920</v>
      </c>
      <c r="L2226" s="9">
        <v>45925</v>
      </c>
      <c r="M2226" s="9">
        <v>45923</v>
      </c>
      <c r="N2226" s="2" t="s">
        <v>2549</v>
      </c>
      <c r="O2226" s="2" t="s">
        <v>54</v>
      </c>
      <c r="P2226" s="2" t="s">
        <v>139</v>
      </c>
      <c r="Q2226" s="2" t="s">
        <v>163</v>
      </c>
      <c r="R2226" s="2" t="s">
        <v>128</v>
      </c>
      <c r="S2226" s="2" t="s">
        <v>383</v>
      </c>
      <c r="T2226" s="10">
        <v>31.62</v>
      </c>
      <c r="U2226" s="11">
        <v>1</v>
      </c>
      <c r="V2226" s="12">
        <f>T2226*U2226</f>
        <v>31.62</v>
      </c>
      <c r="W2226" s="13">
        <v>0</v>
      </c>
      <c r="X2226" s="12">
        <f>V2226-(V2226/(1+W2226))</f>
        <v>0</v>
      </c>
      <c r="Y2226" s="12">
        <f>V2226-X2226</f>
        <v>31.62</v>
      </c>
      <c r="Z2226" s="14">
        <v>25</v>
      </c>
      <c r="AA2226" s="2" t="str">
        <f>IF(V2226&gt;Z2226,"Yes","No")</f>
        <v>Yes</v>
      </c>
      <c r="AB2226" s="12">
        <f>V2226-Z2226</f>
        <v>6.620000000000001</v>
      </c>
      <c r="AC2226" s="15" t="s">
        <v>130</v>
      </c>
      <c r="AD2226" s="15" t="s">
        <v>131</v>
      </c>
      <c r="AE2226" s="15" t="s">
        <v>180</v>
      </c>
      <c r="AF2226" s="12">
        <f>IF(AG2226="Rejected",0,IF(R2226="Corporate Card",0,V2226))</f>
        <v>0</v>
      </c>
      <c r="AG2226" s="15" t="s">
        <v>181</v>
      </c>
      <c r="AH2226" s="16">
        <v>45935</v>
      </c>
      <c r="AI2226" s="16"/>
      <c r="AJ2226" s="16"/>
      <c r="AK2226" s="17" t="str">
        <f>IF(AJ2226="","",AJ2226-AH2226)</f>
        <v/>
      </c>
    </row>
    <row r="2227" spans="1:37">
      <c r="A2227" s="2" t="s">
        <v>2705</v>
      </c>
      <c r="B2227" s="2" t="s">
        <v>882</v>
      </c>
      <c r="C2227" s="2" t="s">
        <v>446</v>
      </c>
      <c r="D2227" s="2" t="s">
        <v>444</v>
      </c>
      <c r="E2227" s="2" t="s">
        <v>883</v>
      </c>
      <c r="F2227" s="2" t="s">
        <v>313</v>
      </c>
      <c r="G2227" s="2" t="s">
        <v>2680</v>
      </c>
      <c r="H2227" s="2" t="s">
        <v>193</v>
      </c>
      <c r="I2227" s="2" t="s">
        <v>601</v>
      </c>
      <c r="J2227" s="2" t="s">
        <v>381</v>
      </c>
      <c r="K2227" s="9">
        <v>45920</v>
      </c>
      <c r="L2227" s="9">
        <v>45925</v>
      </c>
      <c r="M2227" s="9">
        <v>45923</v>
      </c>
      <c r="N2227" s="2" t="s">
        <v>2549</v>
      </c>
      <c r="O2227" s="2" t="s">
        <v>56</v>
      </c>
      <c r="P2227" s="2" t="s">
        <v>245</v>
      </c>
      <c r="Q2227" s="2" t="s">
        <v>166</v>
      </c>
      <c r="R2227" s="2" t="s">
        <v>149</v>
      </c>
      <c r="S2227" s="2" t="s">
        <v>383</v>
      </c>
      <c r="T2227" s="10">
        <v>38.22</v>
      </c>
      <c r="U2227" s="11">
        <v>1</v>
      </c>
      <c r="V2227" s="12">
        <f>T2227*U2227</f>
        <v>38.22</v>
      </c>
      <c r="W2227" s="13">
        <v>0</v>
      </c>
      <c r="X2227" s="12">
        <f>V2227-(V2227/(1+W2227))</f>
        <v>0</v>
      </c>
      <c r="Y2227" s="12">
        <f>V2227-X2227</f>
        <v>38.22</v>
      </c>
      <c r="Z2227" s="14">
        <v>75</v>
      </c>
      <c r="AA2227" s="2" t="str">
        <f>IF(V2227&gt;Z2227,"Yes","No")</f>
        <v>No</v>
      </c>
      <c r="AB2227" s="12">
        <f>V2227-Z2227</f>
        <v>-36.78</v>
      </c>
      <c r="AC2227" s="15" t="s">
        <v>130</v>
      </c>
      <c r="AD2227" s="15" t="s">
        <v>131</v>
      </c>
      <c r="AE2227" s="15" t="s">
        <v>180</v>
      </c>
      <c r="AF2227" s="12">
        <f>IF(AG2227="Rejected",0,IF(R2227="Corporate Card",0,V2227))</f>
        <v>38.22</v>
      </c>
      <c r="AG2227" s="15" t="s">
        <v>181</v>
      </c>
      <c r="AH2227" s="16">
        <v>45935</v>
      </c>
      <c r="AI2227" s="16"/>
      <c r="AJ2227" s="16"/>
      <c r="AK2227" s="17" t="str">
        <f>IF(AJ2227="","",AJ2227-AH2227)</f>
        <v/>
      </c>
    </row>
    <row r="2228" spans="1:37">
      <c r="A2228" s="2" t="s">
        <v>2706</v>
      </c>
      <c r="B2228" s="2" t="s">
        <v>882</v>
      </c>
      <c r="C2228" s="2" t="s">
        <v>446</v>
      </c>
      <c r="D2228" s="2" t="s">
        <v>444</v>
      </c>
      <c r="E2228" s="2" t="s">
        <v>883</v>
      </c>
      <c r="F2228" s="2" t="s">
        <v>313</v>
      </c>
      <c r="G2228" s="2" t="s">
        <v>2680</v>
      </c>
      <c r="H2228" s="2" t="s">
        <v>193</v>
      </c>
      <c r="I2228" s="2" t="s">
        <v>601</v>
      </c>
      <c r="J2228" s="2" t="s">
        <v>381</v>
      </c>
      <c r="K2228" s="9">
        <v>45920</v>
      </c>
      <c r="L2228" s="9">
        <v>45925</v>
      </c>
      <c r="M2228" s="9">
        <v>45923</v>
      </c>
      <c r="N2228" s="2" t="s">
        <v>2549</v>
      </c>
      <c r="O2228" s="2" t="s">
        <v>55</v>
      </c>
      <c r="P2228" s="2" t="s">
        <v>139</v>
      </c>
      <c r="Q2228" s="2" t="s">
        <v>187</v>
      </c>
      <c r="R2228" s="2" t="s">
        <v>137</v>
      </c>
      <c r="S2228" s="2" t="s">
        <v>383</v>
      </c>
      <c r="T2228" s="10">
        <v>23.39</v>
      </c>
      <c r="U2228" s="11">
        <v>1</v>
      </c>
      <c r="V2228" s="12">
        <f>T2228*U2228</f>
        <v>23.39</v>
      </c>
      <c r="W2228" s="13">
        <v>0</v>
      </c>
      <c r="X2228" s="12">
        <f>V2228-(V2228/(1+W2228))</f>
        <v>0</v>
      </c>
      <c r="Y2228" s="12">
        <f>V2228-X2228</f>
        <v>23.39</v>
      </c>
      <c r="Z2228" s="14">
        <v>35</v>
      </c>
      <c r="AA2228" s="2" t="str">
        <f>IF(V2228&gt;Z2228,"Yes","No")</f>
        <v>No</v>
      </c>
      <c r="AB2228" s="12">
        <f>V2228-Z2228</f>
        <v>-11.61</v>
      </c>
      <c r="AC2228" s="15" t="s">
        <v>130</v>
      </c>
      <c r="AD2228" s="15" t="s">
        <v>131</v>
      </c>
      <c r="AE2228" s="15" t="s">
        <v>180</v>
      </c>
      <c r="AF2228" s="12">
        <f>IF(AG2228="Rejected",0,IF(R2228="Corporate Card",0,V2228))</f>
        <v>23.39</v>
      </c>
      <c r="AG2228" s="15" t="s">
        <v>181</v>
      </c>
      <c r="AH2228" s="16">
        <v>45935</v>
      </c>
      <c r="AI2228" s="16"/>
      <c r="AJ2228" s="16"/>
      <c r="AK2228" s="17" t="str">
        <f>IF(AJ2228="","",AJ2228-AH2228)</f>
        <v/>
      </c>
    </row>
    <row r="2229" spans="1:37">
      <c r="A2229" s="2" t="s">
        <v>2707</v>
      </c>
      <c r="B2229" s="2" t="s">
        <v>442</v>
      </c>
      <c r="C2229" s="2" t="s">
        <v>443</v>
      </c>
      <c r="D2229" s="2" t="s">
        <v>444</v>
      </c>
      <c r="E2229" s="2" t="s">
        <v>445</v>
      </c>
      <c r="F2229" s="2" t="s">
        <v>446</v>
      </c>
      <c r="G2229" s="2" t="s">
        <v>2701</v>
      </c>
      <c r="H2229" s="2" t="s">
        <v>748</v>
      </c>
      <c r="I2229" s="2" t="s">
        <v>123</v>
      </c>
      <c r="J2229" s="2" t="s">
        <v>124</v>
      </c>
      <c r="K2229" s="9">
        <v>45923</v>
      </c>
      <c r="L2229" s="9">
        <v>45929</v>
      </c>
      <c r="M2229" s="9">
        <v>45924</v>
      </c>
      <c r="N2229" s="2" t="s">
        <v>2549</v>
      </c>
      <c r="O2229" s="2" t="s">
        <v>60</v>
      </c>
      <c r="P2229" s="2" t="s">
        <v>2134</v>
      </c>
      <c r="Q2229" s="2" t="s">
        <v>955</v>
      </c>
      <c r="R2229" s="2" t="s">
        <v>149</v>
      </c>
      <c r="S2229" s="2" t="s">
        <v>129</v>
      </c>
      <c r="T2229" s="10">
        <v>254.79</v>
      </c>
      <c r="U2229" s="11">
        <v>1.272</v>
      </c>
      <c r="V2229" s="12">
        <f>T2229*U2229</f>
        <v>324.09287999999998</v>
      </c>
      <c r="W2229" s="13">
        <v>0.2</v>
      </c>
      <c r="X2229" s="12">
        <f>V2229-(V2229/(1+W2229))</f>
        <v>54.015479999999968</v>
      </c>
      <c r="Y2229" s="12">
        <f>V2229-X2229</f>
        <v>270.07740000000001</v>
      </c>
      <c r="Z2229" s="14">
        <v>720</v>
      </c>
      <c r="AA2229" s="2" t="str">
        <f>IF(V2229&gt;Z2229,"Yes","No")</f>
        <v>No</v>
      </c>
      <c r="AB2229" s="12">
        <f>V2229-Z2229</f>
        <v>-395.90712000000002</v>
      </c>
      <c r="AC2229" s="15" t="s">
        <v>130</v>
      </c>
      <c r="AD2229" s="15" t="s">
        <v>131</v>
      </c>
      <c r="AE2229" s="15" t="s">
        <v>132</v>
      </c>
      <c r="AF2229" s="12">
        <f>IF(AG2229="Rejected",0,IF(R2229="Corporate Card",0,V2229))</f>
        <v>324.09287999999998</v>
      </c>
      <c r="AG2229" s="15" t="s">
        <v>133</v>
      </c>
      <c r="AH2229" s="16">
        <v>45941</v>
      </c>
      <c r="AI2229" s="16">
        <v>45947</v>
      </c>
      <c r="AJ2229" s="16">
        <v>45956</v>
      </c>
      <c r="AK2229" s="17">
        <f>IF(AJ2229="","",AJ2229-AH2229)</f>
        <v>15</v>
      </c>
    </row>
    <row r="2230" spans="1:37">
      <c r="A2230" s="2" t="s">
        <v>2708</v>
      </c>
      <c r="B2230" s="2" t="s">
        <v>442</v>
      </c>
      <c r="C2230" s="2" t="s">
        <v>443</v>
      </c>
      <c r="D2230" s="2" t="s">
        <v>444</v>
      </c>
      <c r="E2230" s="2" t="s">
        <v>445</v>
      </c>
      <c r="F2230" s="2" t="s">
        <v>446</v>
      </c>
      <c r="G2230" s="2" t="s">
        <v>2701</v>
      </c>
      <c r="H2230" s="2" t="s">
        <v>748</v>
      </c>
      <c r="I2230" s="2" t="s">
        <v>123</v>
      </c>
      <c r="J2230" s="2" t="s">
        <v>124</v>
      </c>
      <c r="K2230" s="9">
        <v>45923</v>
      </c>
      <c r="L2230" s="9">
        <v>45929</v>
      </c>
      <c r="M2230" s="9">
        <v>45924</v>
      </c>
      <c r="N2230" s="2" t="s">
        <v>2549</v>
      </c>
      <c r="O2230" s="2" t="s">
        <v>59</v>
      </c>
      <c r="P2230" s="2" t="s">
        <v>301</v>
      </c>
      <c r="Q2230" s="2" t="s">
        <v>1000</v>
      </c>
      <c r="R2230" s="2" t="s">
        <v>128</v>
      </c>
      <c r="S2230" s="2" t="s">
        <v>129</v>
      </c>
      <c r="T2230" s="10">
        <v>49.74</v>
      </c>
      <c r="U2230" s="11">
        <v>1.272</v>
      </c>
      <c r="V2230" s="12">
        <f>T2230*U2230</f>
        <v>63.269280000000002</v>
      </c>
      <c r="W2230" s="13">
        <v>0.2</v>
      </c>
      <c r="X2230" s="12">
        <f>V2230-(V2230/(1+W2230))</f>
        <v>10.544879999999999</v>
      </c>
      <c r="Y2230" s="12">
        <f>V2230-X2230</f>
        <v>52.724400000000003</v>
      </c>
      <c r="Z2230" s="14">
        <v>150</v>
      </c>
      <c r="AA2230" s="2" t="str">
        <f>IF(V2230&gt;Z2230,"Yes","No")</f>
        <v>No</v>
      </c>
      <c r="AB2230" s="12">
        <f>V2230-Z2230</f>
        <v>-86.730719999999991</v>
      </c>
      <c r="AC2230" s="15" t="s">
        <v>130</v>
      </c>
      <c r="AD2230" s="15" t="s">
        <v>131</v>
      </c>
      <c r="AE2230" s="15" t="s">
        <v>132</v>
      </c>
      <c r="AF2230" s="12">
        <f>IF(AG2230="Rejected",0,IF(R2230="Corporate Card",0,V2230))</f>
        <v>0</v>
      </c>
      <c r="AG2230" s="15" t="s">
        <v>133</v>
      </c>
      <c r="AH2230" s="16">
        <v>45941</v>
      </c>
      <c r="AI2230" s="16">
        <v>45947</v>
      </c>
      <c r="AJ2230" s="16">
        <v>45956</v>
      </c>
      <c r="AK2230" s="17">
        <f>IF(AJ2230="","",AJ2230-AH2230)</f>
        <v>15</v>
      </c>
    </row>
    <row r="2231" spans="1:37">
      <c r="A2231" s="2" t="s">
        <v>2709</v>
      </c>
      <c r="B2231" s="2" t="s">
        <v>442</v>
      </c>
      <c r="C2231" s="2" t="s">
        <v>443</v>
      </c>
      <c r="D2231" s="2" t="s">
        <v>444</v>
      </c>
      <c r="E2231" s="2" t="s">
        <v>445</v>
      </c>
      <c r="F2231" s="2" t="s">
        <v>446</v>
      </c>
      <c r="G2231" s="2" t="s">
        <v>2701</v>
      </c>
      <c r="H2231" s="2" t="s">
        <v>748</v>
      </c>
      <c r="I2231" s="2" t="s">
        <v>123</v>
      </c>
      <c r="J2231" s="2" t="s">
        <v>124</v>
      </c>
      <c r="K2231" s="9">
        <v>45923</v>
      </c>
      <c r="L2231" s="9">
        <v>45929</v>
      </c>
      <c r="M2231" s="9">
        <v>45924</v>
      </c>
      <c r="N2231" s="2" t="s">
        <v>2549</v>
      </c>
      <c r="O2231" s="2" t="s">
        <v>58</v>
      </c>
      <c r="P2231" s="2" t="s">
        <v>142</v>
      </c>
      <c r="Q2231" s="2" t="s">
        <v>224</v>
      </c>
      <c r="R2231" s="2" t="s">
        <v>128</v>
      </c>
      <c r="S2231" s="2" t="s">
        <v>129</v>
      </c>
      <c r="T2231" s="10">
        <v>17.13</v>
      </c>
      <c r="U2231" s="11">
        <v>1.272</v>
      </c>
      <c r="V2231" s="12">
        <f>T2231*U2231</f>
        <v>21.789359999999999</v>
      </c>
      <c r="W2231" s="13">
        <v>0.2</v>
      </c>
      <c r="X2231" s="12">
        <f>V2231-(V2231/(1+W2231))</f>
        <v>3.6315600000000003</v>
      </c>
      <c r="Y2231" s="12">
        <f>V2231-X2231</f>
        <v>18.157799999999998</v>
      </c>
      <c r="Z2231" s="14">
        <v>60</v>
      </c>
      <c r="AA2231" s="2" t="str">
        <f>IF(V2231&gt;Z2231,"Yes","No")</f>
        <v>No</v>
      </c>
      <c r="AB2231" s="12">
        <f>V2231-Z2231</f>
        <v>-38.210639999999998</v>
      </c>
      <c r="AC2231" s="15" t="s">
        <v>131</v>
      </c>
      <c r="AD2231" s="15" t="s">
        <v>131</v>
      </c>
      <c r="AE2231" s="15" t="s">
        <v>132</v>
      </c>
      <c r="AF2231" s="12">
        <f>IF(AG2231="Rejected",0,IF(R2231="Corporate Card",0,V2231))</f>
        <v>0</v>
      </c>
      <c r="AG2231" s="15" t="s">
        <v>133</v>
      </c>
      <c r="AH2231" s="16">
        <v>45941</v>
      </c>
      <c r="AI2231" s="16">
        <v>45947</v>
      </c>
      <c r="AJ2231" s="16">
        <v>45956</v>
      </c>
      <c r="AK2231" s="17">
        <f>IF(AJ2231="","",AJ2231-AH2231)</f>
        <v>15</v>
      </c>
    </row>
    <row r="2232" spans="1:37">
      <c r="A2232" s="2" t="s">
        <v>2710</v>
      </c>
      <c r="B2232" s="2" t="s">
        <v>442</v>
      </c>
      <c r="C2232" s="2" t="s">
        <v>443</v>
      </c>
      <c r="D2232" s="2" t="s">
        <v>444</v>
      </c>
      <c r="E2232" s="2" t="s">
        <v>445</v>
      </c>
      <c r="F2232" s="2" t="s">
        <v>446</v>
      </c>
      <c r="G2232" s="2" t="s">
        <v>2701</v>
      </c>
      <c r="H2232" s="2" t="s">
        <v>748</v>
      </c>
      <c r="I2232" s="2" t="s">
        <v>123</v>
      </c>
      <c r="J2232" s="2" t="s">
        <v>124</v>
      </c>
      <c r="K2232" s="9">
        <v>45923</v>
      </c>
      <c r="L2232" s="9">
        <v>45929</v>
      </c>
      <c r="M2232" s="9">
        <v>45924</v>
      </c>
      <c r="N2232" s="2" t="s">
        <v>2549</v>
      </c>
      <c r="O2232" s="2" t="s">
        <v>53</v>
      </c>
      <c r="P2232" s="2" t="s">
        <v>467</v>
      </c>
      <c r="Q2232" s="2" t="s">
        <v>458</v>
      </c>
      <c r="R2232" s="2" t="s">
        <v>128</v>
      </c>
      <c r="S2232" s="2" t="s">
        <v>129</v>
      </c>
      <c r="T2232" s="10">
        <v>802.31</v>
      </c>
      <c r="U2232" s="11">
        <v>1.272</v>
      </c>
      <c r="V2232" s="12">
        <f>T2232*U2232</f>
        <v>1020.53832</v>
      </c>
      <c r="W2232" s="13">
        <v>0.2</v>
      </c>
      <c r="X2232" s="12">
        <f>V2232-(V2232/(1+W2232))</f>
        <v>170.08971999999994</v>
      </c>
      <c r="Y2232" s="12">
        <f>V2232-X2232</f>
        <v>850.44860000000006</v>
      </c>
      <c r="Z2232" s="14">
        <v>1680</v>
      </c>
      <c r="AA2232" s="2" t="str">
        <f>IF(V2232&gt;Z2232,"Yes","No")</f>
        <v>No</v>
      </c>
      <c r="AB2232" s="12">
        <f>V2232-Z2232</f>
        <v>-659.46168</v>
      </c>
      <c r="AC2232" s="15" t="s">
        <v>130</v>
      </c>
      <c r="AD2232" s="15" t="s">
        <v>131</v>
      </c>
      <c r="AE2232" s="15" t="s">
        <v>132</v>
      </c>
      <c r="AF2232" s="12">
        <f>IF(AG2232="Rejected",0,IF(R2232="Corporate Card",0,V2232))</f>
        <v>0</v>
      </c>
      <c r="AG2232" s="15" t="s">
        <v>133</v>
      </c>
      <c r="AH2232" s="16">
        <v>45941</v>
      </c>
      <c r="AI2232" s="16">
        <v>45947</v>
      </c>
      <c r="AJ2232" s="16">
        <v>45956</v>
      </c>
      <c r="AK2232" s="17">
        <f>IF(AJ2232="","",AJ2232-AH2232)</f>
        <v>15</v>
      </c>
    </row>
    <row r="2233" spans="1:37">
      <c r="A2233" s="2" t="s">
        <v>2711</v>
      </c>
      <c r="B2233" s="2" t="s">
        <v>442</v>
      </c>
      <c r="C2233" s="2" t="s">
        <v>443</v>
      </c>
      <c r="D2233" s="2" t="s">
        <v>444</v>
      </c>
      <c r="E2233" s="2" t="s">
        <v>445</v>
      </c>
      <c r="F2233" s="2" t="s">
        <v>446</v>
      </c>
      <c r="G2233" s="2" t="s">
        <v>2701</v>
      </c>
      <c r="H2233" s="2" t="s">
        <v>748</v>
      </c>
      <c r="I2233" s="2" t="s">
        <v>123</v>
      </c>
      <c r="J2233" s="2" t="s">
        <v>124</v>
      </c>
      <c r="K2233" s="9">
        <v>45923</v>
      </c>
      <c r="L2233" s="9">
        <v>45929</v>
      </c>
      <c r="M2233" s="9">
        <v>45924</v>
      </c>
      <c r="N2233" s="2" t="s">
        <v>2549</v>
      </c>
      <c r="O2233" s="2" t="s">
        <v>54</v>
      </c>
      <c r="P2233" s="2" t="s">
        <v>139</v>
      </c>
      <c r="Q2233" s="2" t="s">
        <v>163</v>
      </c>
      <c r="R2233" s="2" t="s">
        <v>149</v>
      </c>
      <c r="S2233" s="2" t="s">
        <v>129</v>
      </c>
      <c r="T2233" s="10">
        <v>23.06</v>
      </c>
      <c r="U2233" s="11">
        <v>1.272</v>
      </c>
      <c r="V2233" s="12">
        <f>T2233*U2233</f>
        <v>29.332319999999999</v>
      </c>
      <c r="W2233" s="13">
        <v>0.2</v>
      </c>
      <c r="X2233" s="12">
        <f>V2233-(V2233/(1+W2233))</f>
        <v>4.8887199999999993</v>
      </c>
      <c r="Y2233" s="12">
        <f>V2233-X2233</f>
        <v>24.4436</v>
      </c>
      <c r="Z2233" s="14">
        <v>25</v>
      </c>
      <c r="AA2233" s="2" t="str">
        <f>IF(V2233&gt;Z2233,"Yes","No")</f>
        <v>Yes</v>
      </c>
      <c r="AB2233" s="12">
        <f>V2233-Z2233</f>
        <v>4.3323199999999993</v>
      </c>
      <c r="AC2233" s="15" t="s">
        <v>130</v>
      </c>
      <c r="AD2233" s="15" t="s">
        <v>131</v>
      </c>
      <c r="AE2233" s="15" t="s">
        <v>132</v>
      </c>
      <c r="AF2233" s="12">
        <f>IF(AG2233="Rejected",0,IF(R2233="Corporate Card",0,V2233))</f>
        <v>29.332319999999999</v>
      </c>
      <c r="AG2233" s="15" t="s">
        <v>133</v>
      </c>
      <c r="AH2233" s="16">
        <v>45941</v>
      </c>
      <c r="AI2233" s="16">
        <v>45947</v>
      </c>
      <c r="AJ2233" s="16">
        <v>45956</v>
      </c>
      <c r="AK2233" s="17">
        <f>IF(AJ2233="","",AJ2233-AH2233)</f>
        <v>15</v>
      </c>
    </row>
    <row r="2234" spans="1:37">
      <c r="A2234" s="2" t="s">
        <v>2712</v>
      </c>
      <c r="B2234" s="2" t="s">
        <v>442</v>
      </c>
      <c r="C2234" s="2" t="s">
        <v>443</v>
      </c>
      <c r="D2234" s="2" t="s">
        <v>444</v>
      </c>
      <c r="E2234" s="2" t="s">
        <v>445</v>
      </c>
      <c r="F2234" s="2" t="s">
        <v>446</v>
      </c>
      <c r="G2234" s="2" t="s">
        <v>2701</v>
      </c>
      <c r="H2234" s="2" t="s">
        <v>748</v>
      </c>
      <c r="I2234" s="2" t="s">
        <v>123</v>
      </c>
      <c r="J2234" s="2" t="s">
        <v>124</v>
      </c>
      <c r="K2234" s="9">
        <v>45923</v>
      </c>
      <c r="L2234" s="9">
        <v>45929</v>
      </c>
      <c r="M2234" s="9">
        <v>45924</v>
      </c>
      <c r="N2234" s="2" t="s">
        <v>2549</v>
      </c>
      <c r="O2234" s="2" t="s">
        <v>55</v>
      </c>
      <c r="P2234" s="2" t="s">
        <v>139</v>
      </c>
      <c r="Q2234" s="2" t="s">
        <v>154</v>
      </c>
      <c r="R2234" s="2" t="s">
        <v>149</v>
      </c>
      <c r="S2234" s="2" t="s">
        <v>129</v>
      </c>
      <c r="T2234" s="10">
        <v>14.33</v>
      </c>
      <c r="U2234" s="11">
        <v>1.272</v>
      </c>
      <c r="V2234" s="12">
        <f>T2234*U2234</f>
        <v>18.22776</v>
      </c>
      <c r="W2234" s="13">
        <v>0.2</v>
      </c>
      <c r="X2234" s="12">
        <f>V2234-(V2234/(1+W2234))</f>
        <v>3.03796</v>
      </c>
      <c r="Y2234" s="12">
        <f>V2234-X2234</f>
        <v>15.1898</v>
      </c>
      <c r="Z2234" s="14">
        <v>35</v>
      </c>
      <c r="AA2234" s="2" t="str">
        <f>IF(V2234&gt;Z2234,"Yes","No")</f>
        <v>No</v>
      </c>
      <c r="AB2234" s="12">
        <f>V2234-Z2234</f>
        <v>-16.77224</v>
      </c>
      <c r="AC2234" s="15" t="s">
        <v>130</v>
      </c>
      <c r="AD2234" s="15" t="s">
        <v>131</v>
      </c>
      <c r="AE2234" s="15" t="s">
        <v>132</v>
      </c>
      <c r="AF2234" s="12">
        <f>IF(AG2234="Rejected",0,IF(R2234="Corporate Card",0,V2234))</f>
        <v>18.22776</v>
      </c>
      <c r="AG2234" s="15" t="s">
        <v>133</v>
      </c>
      <c r="AH2234" s="16">
        <v>45941</v>
      </c>
      <c r="AI2234" s="16">
        <v>45947</v>
      </c>
      <c r="AJ2234" s="16">
        <v>45956</v>
      </c>
      <c r="AK2234" s="17">
        <f>IF(AJ2234="","",AJ2234-AH2234)</f>
        <v>15</v>
      </c>
    </row>
    <row r="2235" spans="1:37">
      <c r="A2235" s="2" t="s">
        <v>2713</v>
      </c>
      <c r="B2235" s="2" t="s">
        <v>882</v>
      </c>
      <c r="C2235" s="2" t="s">
        <v>446</v>
      </c>
      <c r="D2235" s="2" t="s">
        <v>444</v>
      </c>
      <c r="E2235" s="2" t="s">
        <v>883</v>
      </c>
      <c r="F2235" s="2" t="s">
        <v>313</v>
      </c>
      <c r="G2235" s="2" t="s">
        <v>2680</v>
      </c>
      <c r="H2235" s="2" t="s">
        <v>193</v>
      </c>
      <c r="I2235" s="2" t="s">
        <v>601</v>
      </c>
      <c r="J2235" s="2" t="s">
        <v>381</v>
      </c>
      <c r="K2235" s="9">
        <v>45920</v>
      </c>
      <c r="L2235" s="9">
        <v>45925</v>
      </c>
      <c r="M2235" s="9">
        <v>45924</v>
      </c>
      <c r="N2235" s="2" t="s">
        <v>2549</v>
      </c>
      <c r="O2235" s="2" t="s">
        <v>58</v>
      </c>
      <c r="P2235" s="2" t="s">
        <v>142</v>
      </c>
      <c r="Q2235" s="2" t="s">
        <v>296</v>
      </c>
      <c r="R2235" s="2" t="s">
        <v>128</v>
      </c>
      <c r="S2235" s="2" t="s">
        <v>383</v>
      </c>
      <c r="T2235" s="10">
        <v>91.78</v>
      </c>
      <c r="U2235" s="11">
        <v>1</v>
      </c>
      <c r="V2235" s="12">
        <f>T2235*U2235</f>
        <v>91.78</v>
      </c>
      <c r="W2235" s="13">
        <v>0</v>
      </c>
      <c r="X2235" s="12">
        <f>V2235-(V2235/(1+W2235))</f>
        <v>0</v>
      </c>
      <c r="Y2235" s="12">
        <f>V2235-X2235</f>
        <v>91.78</v>
      </c>
      <c r="Z2235" s="14">
        <v>60</v>
      </c>
      <c r="AA2235" s="2" t="str">
        <f>IF(V2235&gt;Z2235,"Yes","No")</f>
        <v>Yes</v>
      </c>
      <c r="AB2235" s="12">
        <f>V2235-Z2235</f>
        <v>31.78</v>
      </c>
      <c r="AC2235" s="15" t="s">
        <v>130</v>
      </c>
      <c r="AD2235" s="15" t="s">
        <v>131</v>
      </c>
      <c r="AE2235" s="15" t="s">
        <v>180</v>
      </c>
      <c r="AF2235" s="12">
        <f>IF(AG2235="Rejected",0,IF(R2235="Corporate Card",0,V2235))</f>
        <v>0</v>
      </c>
      <c r="AG2235" s="15" t="s">
        <v>181</v>
      </c>
      <c r="AH2235" s="16">
        <v>45935</v>
      </c>
      <c r="AI2235" s="16"/>
      <c r="AJ2235" s="16"/>
      <c r="AK2235" s="17" t="str">
        <f>IF(AJ2235="","",AJ2235-AH2235)</f>
        <v/>
      </c>
    </row>
    <row r="2236" spans="1:37">
      <c r="A2236" s="2" t="s">
        <v>2714</v>
      </c>
      <c r="B2236" s="2" t="s">
        <v>882</v>
      </c>
      <c r="C2236" s="2" t="s">
        <v>446</v>
      </c>
      <c r="D2236" s="2" t="s">
        <v>444</v>
      </c>
      <c r="E2236" s="2" t="s">
        <v>883</v>
      </c>
      <c r="F2236" s="2" t="s">
        <v>313</v>
      </c>
      <c r="G2236" s="2" t="s">
        <v>2680</v>
      </c>
      <c r="H2236" s="2" t="s">
        <v>193</v>
      </c>
      <c r="I2236" s="2" t="s">
        <v>601</v>
      </c>
      <c r="J2236" s="2" t="s">
        <v>381</v>
      </c>
      <c r="K2236" s="9">
        <v>45920</v>
      </c>
      <c r="L2236" s="9">
        <v>45925</v>
      </c>
      <c r="M2236" s="9">
        <v>45924</v>
      </c>
      <c r="N2236" s="2" t="s">
        <v>2549</v>
      </c>
      <c r="O2236" s="2" t="s">
        <v>54</v>
      </c>
      <c r="P2236" s="2" t="s">
        <v>139</v>
      </c>
      <c r="Q2236" s="2" t="s">
        <v>148</v>
      </c>
      <c r="R2236" s="2" t="s">
        <v>137</v>
      </c>
      <c r="S2236" s="2" t="s">
        <v>383</v>
      </c>
      <c r="T2236" s="10">
        <v>12.41</v>
      </c>
      <c r="U2236" s="11">
        <v>1</v>
      </c>
      <c r="V2236" s="12">
        <f>T2236*U2236</f>
        <v>12.41</v>
      </c>
      <c r="W2236" s="13">
        <v>0</v>
      </c>
      <c r="X2236" s="12">
        <f>V2236-(V2236/(1+W2236))</f>
        <v>0</v>
      </c>
      <c r="Y2236" s="12">
        <f>V2236-X2236</f>
        <v>12.41</v>
      </c>
      <c r="Z2236" s="14">
        <v>25</v>
      </c>
      <c r="AA2236" s="2" t="str">
        <f>IF(V2236&gt;Z2236,"Yes","No")</f>
        <v>No</v>
      </c>
      <c r="AB2236" s="12">
        <f>V2236-Z2236</f>
        <v>-12.59</v>
      </c>
      <c r="AC2236" s="15" t="s">
        <v>130</v>
      </c>
      <c r="AD2236" s="15" t="s">
        <v>131</v>
      </c>
      <c r="AE2236" s="15" t="s">
        <v>180</v>
      </c>
      <c r="AF2236" s="12">
        <f>IF(AG2236="Rejected",0,IF(R2236="Corporate Card",0,V2236))</f>
        <v>12.41</v>
      </c>
      <c r="AG2236" s="15" t="s">
        <v>181</v>
      </c>
      <c r="AH2236" s="16">
        <v>45935</v>
      </c>
      <c r="AI2236" s="16"/>
      <c r="AJ2236" s="16"/>
      <c r="AK2236" s="17" t="str">
        <f>IF(AJ2236="","",AJ2236-AH2236)</f>
        <v/>
      </c>
    </row>
    <row r="2237" spans="1:37">
      <c r="A2237" s="2" t="s">
        <v>2715</v>
      </c>
      <c r="B2237" s="2" t="s">
        <v>882</v>
      </c>
      <c r="C2237" s="2" t="s">
        <v>446</v>
      </c>
      <c r="D2237" s="2" t="s">
        <v>444</v>
      </c>
      <c r="E2237" s="2" t="s">
        <v>883</v>
      </c>
      <c r="F2237" s="2" t="s">
        <v>313</v>
      </c>
      <c r="G2237" s="2" t="s">
        <v>2680</v>
      </c>
      <c r="H2237" s="2" t="s">
        <v>193</v>
      </c>
      <c r="I2237" s="2" t="s">
        <v>601</v>
      </c>
      <c r="J2237" s="2" t="s">
        <v>381</v>
      </c>
      <c r="K2237" s="9">
        <v>45920</v>
      </c>
      <c r="L2237" s="9">
        <v>45925</v>
      </c>
      <c r="M2237" s="9">
        <v>45924</v>
      </c>
      <c r="N2237" s="2" t="s">
        <v>2549</v>
      </c>
      <c r="O2237" s="2" t="s">
        <v>56</v>
      </c>
      <c r="P2237" s="2" t="s">
        <v>165</v>
      </c>
      <c r="Q2237" s="2" t="s">
        <v>152</v>
      </c>
      <c r="R2237" s="2" t="s">
        <v>128</v>
      </c>
      <c r="S2237" s="2" t="s">
        <v>383</v>
      </c>
      <c r="T2237" s="10">
        <v>110.98</v>
      </c>
      <c r="U2237" s="11">
        <v>1</v>
      </c>
      <c r="V2237" s="12">
        <f>T2237*U2237</f>
        <v>110.98</v>
      </c>
      <c r="W2237" s="13">
        <v>0</v>
      </c>
      <c r="X2237" s="12">
        <f>V2237-(V2237/(1+W2237))</f>
        <v>0</v>
      </c>
      <c r="Y2237" s="12">
        <f>V2237-X2237</f>
        <v>110.98</v>
      </c>
      <c r="Z2237" s="14">
        <v>75</v>
      </c>
      <c r="AA2237" s="2" t="str">
        <f>IF(V2237&gt;Z2237,"Yes","No")</f>
        <v>Yes</v>
      </c>
      <c r="AB2237" s="12">
        <f>V2237-Z2237</f>
        <v>35.980000000000004</v>
      </c>
      <c r="AC2237" s="15" t="s">
        <v>130</v>
      </c>
      <c r="AD2237" s="15" t="s">
        <v>131</v>
      </c>
      <c r="AE2237" s="15" t="s">
        <v>180</v>
      </c>
      <c r="AF2237" s="12">
        <f>IF(AG2237="Rejected",0,IF(R2237="Corporate Card",0,V2237))</f>
        <v>0</v>
      </c>
      <c r="AG2237" s="15" t="s">
        <v>181</v>
      </c>
      <c r="AH2237" s="16">
        <v>45935</v>
      </c>
      <c r="AI2237" s="16"/>
      <c r="AJ2237" s="16"/>
      <c r="AK2237" s="17" t="str">
        <f>IF(AJ2237="","",AJ2237-AH2237)</f>
        <v/>
      </c>
    </row>
    <row r="2238" spans="1:37">
      <c r="A2238" s="2" t="s">
        <v>2716</v>
      </c>
      <c r="B2238" s="2" t="s">
        <v>442</v>
      </c>
      <c r="C2238" s="2" t="s">
        <v>443</v>
      </c>
      <c r="D2238" s="2" t="s">
        <v>444</v>
      </c>
      <c r="E2238" s="2" t="s">
        <v>445</v>
      </c>
      <c r="F2238" s="2" t="s">
        <v>446</v>
      </c>
      <c r="G2238" s="2" t="s">
        <v>2701</v>
      </c>
      <c r="H2238" s="2" t="s">
        <v>748</v>
      </c>
      <c r="I2238" s="2" t="s">
        <v>123</v>
      </c>
      <c r="J2238" s="2" t="s">
        <v>124</v>
      </c>
      <c r="K2238" s="9">
        <v>45923</v>
      </c>
      <c r="L2238" s="9">
        <v>45929</v>
      </c>
      <c r="M2238" s="9">
        <v>45925</v>
      </c>
      <c r="N2238" s="2" t="s">
        <v>2549</v>
      </c>
      <c r="O2238" s="2" t="s">
        <v>61</v>
      </c>
      <c r="P2238" s="2" t="s">
        <v>528</v>
      </c>
      <c r="Q2238" s="2" t="s">
        <v>1128</v>
      </c>
      <c r="R2238" s="2" t="s">
        <v>128</v>
      </c>
      <c r="S2238" s="2" t="s">
        <v>129</v>
      </c>
      <c r="T2238" s="10">
        <v>29.43</v>
      </c>
      <c r="U2238" s="11">
        <v>1.272</v>
      </c>
      <c r="V2238" s="12">
        <f>T2238*U2238</f>
        <v>37.434959999999997</v>
      </c>
      <c r="W2238" s="13">
        <v>0</v>
      </c>
      <c r="X2238" s="12">
        <f>V2238-(V2238/(1+W2238))</f>
        <v>0</v>
      </c>
      <c r="Y2238" s="12">
        <f>V2238-X2238</f>
        <v>37.434959999999997</v>
      </c>
      <c r="Z2238" s="14">
        <v>90</v>
      </c>
      <c r="AA2238" s="2" t="str">
        <f>IF(V2238&gt;Z2238,"Yes","No")</f>
        <v>No</v>
      </c>
      <c r="AB2238" s="12">
        <f>V2238-Z2238</f>
        <v>-52.565040000000003</v>
      </c>
      <c r="AC2238" s="15" t="s">
        <v>130</v>
      </c>
      <c r="AD2238" s="15" t="s">
        <v>131</v>
      </c>
      <c r="AE2238" s="15" t="s">
        <v>132</v>
      </c>
      <c r="AF2238" s="12">
        <f>IF(AG2238="Rejected",0,IF(R2238="Corporate Card",0,V2238))</f>
        <v>0</v>
      </c>
      <c r="AG2238" s="15" t="s">
        <v>133</v>
      </c>
      <c r="AH2238" s="16">
        <v>45941</v>
      </c>
      <c r="AI2238" s="16">
        <v>45947</v>
      </c>
      <c r="AJ2238" s="16">
        <v>45956</v>
      </c>
      <c r="AK2238" s="17">
        <f>IF(AJ2238="","",AJ2238-AH2238)</f>
        <v>15</v>
      </c>
    </row>
    <row r="2239" spans="1:37">
      <c r="A2239" s="2" t="s">
        <v>2717</v>
      </c>
      <c r="B2239" s="2" t="s">
        <v>442</v>
      </c>
      <c r="C2239" s="2" t="s">
        <v>443</v>
      </c>
      <c r="D2239" s="2" t="s">
        <v>444</v>
      </c>
      <c r="E2239" s="2" t="s">
        <v>445</v>
      </c>
      <c r="F2239" s="2" t="s">
        <v>446</v>
      </c>
      <c r="G2239" s="2" t="s">
        <v>2701</v>
      </c>
      <c r="H2239" s="2" t="s">
        <v>748</v>
      </c>
      <c r="I2239" s="2" t="s">
        <v>123</v>
      </c>
      <c r="J2239" s="2" t="s">
        <v>124</v>
      </c>
      <c r="K2239" s="9">
        <v>45923</v>
      </c>
      <c r="L2239" s="9">
        <v>45929</v>
      </c>
      <c r="M2239" s="9">
        <v>45925</v>
      </c>
      <c r="N2239" s="2" t="s">
        <v>2549</v>
      </c>
      <c r="O2239" s="2" t="s">
        <v>54</v>
      </c>
      <c r="P2239" s="2" t="s">
        <v>139</v>
      </c>
      <c r="Q2239" s="2" t="s">
        <v>148</v>
      </c>
      <c r="R2239" s="2" t="s">
        <v>128</v>
      </c>
      <c r="S2239" s="2" t="s">
        <v>129</v>
      </c>
      <c r="T2239" s="10">
        <v>21.99</v>
      </c>
      <c r="U2239" s="11">
        <v>1.272</v>
      </c>
      <c r="V2239" s="12">
        <f>T2239*U2239</f>
        <v>27.97128</v>
      </c>
      <c r="W2239" s="13">
        <v>0.2</v>
      </c>
      <c r="X2239" s="12">
        <f>V2239-(V2239/(1+W2239))</f>
        <v>4.66188</v>
      </c>
      <c r="Y2239" s="12">
        <f>V2239-X2239</f>
        <v>23.3094</v>
      </c>
      <c r="Z2239" s="14">
        <v>25</v>
      </c>
      <c r="AA2239" s="2" t="str">
        <f>IF(V2239&gt;Z2239,"Yes","No")</f>
        <v>Yes</v>
      </c>
      <c r="AB2239" s="12">
        <f>V2239-Z2239</f>
        <v>2.9712800000000001</v>
      </c>
      <c r="AC2239" s="15" t="s">
        <v>130</v>
      </c>
      <c r="AD2239" s="15" t="s">
        <v>131</v>
      </c>
      <c r="AE2239" s="15" t="s">
        <v>132</v>
      </c>
      <c r="AF2239" s="12">
        <f>IF(AG2239="Rejected",0,IF(R2239="Corporate Card",0,V2239))</f>
        <v>0</v>
      </c>
      <c r="AG2239" s="15" t="s">
        <v>133</v>
      </c>
      <c r="AH2239" s="16">
        <v>45941</v>
      </c>
      <c r="AI2239" s="16">
        <v>45947</v>
      </c>
      <c r="AJ2239" s="16">
        <v>45956</v>
      </c>
      <c r="AK2239" s="17">
        <f>IF(AJ2239="","",AJ2239-AH2239)</f>
        <v>15</v>
      </c>
    </row>
    <row r="2240" spans="1:37">
      <c r="A2240" s="2" t="s">
        <v>2718</v>
      </c>
      <c r="B2240" s="2" t="s">
        <v>442</v>
      </c>
      <c r="C2240" s="2" t="s">
        <v>443</v>
      </c>
      <c r="D2240" s="2" t="s">
        <v>444</v>
      </c>
      <c r="E2240" s="2" t="s">
        <v>445</v>
      </c>
      <c r="F2240" s="2" t="s">
        <v>446</v>
      </c>
      <c r="G2240" s="2" t="s">
        <v>2701</v>
      </c>
      <c r="H2240" s="2" t="s">
        <v>748</v>
      </c>
      <c r="I2240" s="2" t="s">
        <v>123</v>
      </c>
      <c r="J2240" s="2" t="s">
        <v>124</v>
      </c>
      <c r="K2240" s="9">
        <v>45923</v>
      </c>
      <c r="L2240" s="9">
        <v>45929</v>
      </c>
      <c r="M2240" s="9">
        <v>45925</v>
      </c>
      <c r="N2240" s="2" t="s">
        <v>2549</v>
      </c>
      <c r="O2240" s="2" t="s">
        <v>56</v>
      </c>
      <c r="P2240" s="2" t="s">
        <v>165</v>
      </c>
      <c r="Q2240" s="2" t="s">
        <v>185</v>
      </c>
      <c r="R2240" s="2" t="s">
        <v>128</v>
      </c>
      <c r="S2240" s="2" t="s">
        <v>129</v>
      </c>
      <c r="T2240" s="10">
        <v>33.450000000000003</v>
      </c>
      <c r="U2240" s="11">
        <v>1.272</v>
      </c>
      <c r="V2240" s="12">
        <f>T2240*U2240</f>
        <v>42.548400000000001</v>
      </c>
      <c r="W2240" s="13">
        <v>0.2</v>
      </c>
      <c r="X2240" s="12">
        <f>V2240-(V2240/(1+W2240))</f>
        <v>7.0914000000000001</v>
      </c>
      <c r="Y2240" s="12">
        <f>V2240-X2240</f>
        <v>35.457000000000001</v>
      </c>
      <c r="Z2240" s="14">
        <v>75</v>
      </c>
      <c r="AA2240" s="2" t="str">
        <f>IF(V2240&gt;Z2240,"Yes","No")</f>
        <v>No</v>
      </c>
      <c r="AB2240" s="12">
        <f>V2240-Z2240</f>
        <v>-32.451599999999999</v>
      </c>
      <c r="AC2240" s="15" t="s">
        <v>130</v>
      </c>
      <c r="AD2240" s="15" t="s">
        <v>131</v>
      </c>
      <c r="AE2240" s="15" t="s">
        <v>132</v>
      </c>
      <c r="AF2240" s="12">
        <f>IF(AG2240="Rejected",0,IF(R2240="Corporate Card",0,V2240))</f>
        <v>0</v>
      </c>
      <c r="AG2240" s="15" t="s">
        <v>133</v>
      </c>
      <c r="AH2240" s="16">
        <v>45941</v>
      </c>
      <c r="AI2240" s="16">
        <v>45947</v>
      </c>
      <c r="AJ2240" s="16">
        <v>45956</v>
      </c>
      <c r="AK2240" s="17">
        <f>IF(AJ2240="","",AJ2240-AH2240)</f>
        <v>15</v>
      </c>
    </row>
    <row r="2241" spans="1:37">
      <c r="A2241" s="2" t="s">
        <v>2719</v>
      </c>
      <c r="B2241" s="2" t="s">
        <v>442</v>
      </c>
      <c r="C2241" s="2" t="s">
        <v>443</v>
      </c>
      <c r="D2241" s="2" t="s">
        <v>444</v>
      </c>
      <c r="E2241" s="2" t="s">
        <v>445</v>
      </c>
      <c r="F2241" s="2" t="s">
        <v>446</v>
      </c>
      <c r="G2241" s="2" t="s">
        <v>2701</v>
      </c>
      <c r="H2241" s="2" t="s">
        <v>748</v>
      </c>
      <c r="I2241" s="2" t="s">
        <v>123</v>
      </c>
      <c r="J2241" s="2" t="s">
        <v>124</v>
      </c>
      <c r="K2241" s="9">
        <v>45923</v>
      </c>
      <c r="L2241" s="9">
        <v>45929</v>
      </c>
      <c r="M2241" s="9">
        <v>45925</v>
      </c>
      <c r="N2241" s="2" t="s">
        <v>2549</v>
      </c>
      <c r="O2241" s="2" t="s">
        <v>55</v>
      </c>
      <c r="P2241" s="2" t="s">
        <v>139</v>
      </c>
      <c r="Q2241" s="2" t="s">
        <v>161</v>
      </c>
      <c r="R2241" s="2" t="s">
        <v>137</v>
      </c>
      <c r="S2241" s="2" t="s">
        <v>129</v>
      </c>
      <c r="T2241" s="10">
        <v>15.01</v>
      </c>
      <c r="U2241" s="11">
        <v>1.272</v>
      </c>
      <c r="V2241" s="12">
        <f>T2241*U2241</f>
        <v>19.09272</v>
      </c>
      <c r="W2241" s="13">
        <v>0.2</v>
      </c>
      <c r="X2241" s="12">
        <f>V2241-(V2241/(1+W2241))</f>
        <v>3.1821199999999994</v>
      </c>
      <c r="Y2241" s="12">
        <f>V2241-X2241</f>
        <v>15.910600000000001</v>
      </c>
      <c r="Z2241" s="14">
        <v>35</v>
      </c>
      <c r="AA2241" s="2" t="str">
        <f>IF(V2241&gt;Z2241,"Yes","No")</f>
        <v>No</v>
      </c>
      <c r="AB2241" s="12">
        <f>V2241-Z2241</f>
        <v>-15.90728</v>
      </c>
      <c r="AC2241" s="15" t="s">
        <v>130</v>
      </c>
      <c r="AD2241" s="15" t="s">
        <v>131</v>
      </c>
      <c r="AE2241" s="15" t="s">
        <v>132</v>
      </c>
      <c r="AF2241" s="12">
        <f>IF(AG2241="Rejected",0,IF(R2241="Corporate Card",0,V2241))</f>
        <v>19.09272</v>
      </c>
      <c r="AG2241" s="15" t="s">
        <v>133</v>
      </c>
      <c r="AH2241" s="16">
        <v>45941</v>
      </c>
      <c r="AI2241" s="16">
        <v>45947</v>
      </c>
      <c r="AJ2241" s="16">
        <v>45956</v>
      </c>
      <c r="AK2241" s="17">
        <f>IF(AJ2241="","",AJ2241-AH2241)</f>
        <v>15</v>
      </c>
    </row>
    <row r="2242" spans="1:37">
      <c r="A2242" s="2" t="s">
        <v>2720</v>
      </c>
      <c r="B2242" s="2" t="s">
        <v>442</v>
      </c>
      <c r="C2242" s="2" t="s">
        <v>443</v>
      </c>
      <c r="D2242" s="2" t="s">
        <v>444</v>
      </c>
      <c r="E2242" s="2" t="s">
        <v>445</v>
      </c>
      <c r="F2242" s="2" t="s">
        <v>446</v>
      </c>
      <c r="G2242" s="2" t="s">
        <v>2701</v>
      </c>
      <c r="H2242" s="2" t="s">
        <v>748</v>
      </c>
      <c r="I2242" s="2" t="s">
        <v>123</v>
      </c>
      <c r="J2242" s="2" t="s">
        <v>124</v>
      </c>
      <c r="K2242" s="9">
        <v>45923</v>
      </c>
      <c r="L2242" s="9">
        <v>45929</v>
      </c>
      <c r="M2242" s="9">
        <v>45925</v>
      </c>
      <c r="N2242" s="2" t="s">
        <v>2549</v>
      </c>
      <c r="O2242" s="2" t="s">
        <v>62</v>
      </c>
      <c r="P2242" s="2" t="s">
        <v>533</v>
      </c>
      <c r="Q2242" s="2" t="s">
        <v>534</v>
      </c>
      <c r="R2242" s="2" t="s">
        <v>128</v>
      </c>
      <c r="S2242" s="2" t="s">
        <v>129</v>
      </c>
      <c r="T2242" s="10">
        <v>26.35</v>
      </c>
      <c r="U2242" s="11">
        <v>1.272</v>
      </c>
      <c r="V2242" s="12">
        <f>T2242*U2242</f>
        <v>33.517200000000003</v>
      </c>
      <c r="W2242" s="13">
        <v>0.2</v>
      </c>
      <c r="X2242" s="12">
        <f>V2242-(V2242/(1+W2242))</f>
        <v>5.5861999999999981</v>
      </c>
      <c r="Y2242" s="12">
        <f>V2242-X2242</f>
        <v>27.931000000000004</v>
      </c>
      <c r="Z2242" s="14">
        <v>45</v>
      </c>
      <c r="AA2242" s="2" t="str">
        <f>IF(V2242&gt;Z2242,"Yes","No")</f>
        <v>No</v>
      </c>
      <c r="AB2242" s="12">
        <f>V2242-Z2242</f>
        <v>-11.482799999999997</v>
      </c>
      <c r="AC2242" s="15" t="s">
        <v>130</v>
      </c>
      <c r="AD2242" s="15" t="s">
        <v>131</v>
      </c>
      <c r="AE2242" s="15" t="s">
        <v>132</v>
      </c>
      <c r="AF2242" s="12">
        <f>IF(AG2242="Rejected",0,IF(R2242="Corporate Card",0,V2242))</f>
        <v>0</v>
      </c>
      <c r="AG2242" s="15" t="s">
        <v>133</v>
      </c>
      <c r="AH2242" s="16">
        <v>45941</v>
      </c>
      <c r="AI2242" s="16">
        <v>45947</v>
      </c>
      <c r="AJ2242" s="16">
        <v>45956</v>
      </c>
      <c r="AK2242" s="17">
        <f>IF(AJ2242="","",AJ2242-AH2242)</f>
        <v>15</v>
      </c>
    </row>
    <row r="2243" spans="1:37">
      <c r="A2243" s="2" t="s">
        <v>2721</v>
      </c>
      <c r="B2243" s="2" t="s">
        <v>882</v>
      </c>
      <c r="C2243" s="2" t="s">
        <v>446</v>
      </c>
      <c r="D2243" s="2" t="s">
        <v>444</v>
      </c>
      <c r="E2243" s="2" t="s">
        <v>883</v>
      </c>
      <c r="F2243" s="2" t="s">
        <v>313</v>
      </c>
      <c r="G2243" s="2" t="s">
        <v>2680</v>
      </c>
      <c r="H2243" s="2" t="s">
        <v>193</v>
      </c>
      <c r="I2243" s="2" t="s">
        <v>601</v>
      </c>
      <c r="J2243" s="2" t="s">
        <v>381</v>
      </c>
      <c r="K2243" s="9">
        <v>45920</v>
      </c>
      <c r="L2243" s="9">
        <v>45925</v>
      </c>
      <c r="M2243" s="9">
        <v>45925</v>
      </c>
      <c r="N2243" s="2" t="s">
        <v>2549</v>
      </c>
      <c r="O2243" s="2" t="s">
        <v>55</v>
      </c>
      <c r="P2243" s="2" t="s">
        <v>139</v>
      </c>
      <c r="Q2243" s="2" t="s">
        <v>217</v>
      </c>
      <c r="R2243" s="2" t="s">
        <v>128</v>
      </c>
      <c r="S2243" s="2" t="s">
        <v>383</v>
      </c>
      <c r="T2243" s="10">
        <v>30.68</v>
      </c>
      <c r="U2243" s="11">
        <v>1</v>
      </c>
      <c r="V2243" s="12">
        <f>T2243*U2243</f>
        <v>30.68</v>
      </c>
      <c r="W2243" s="13">
        <v>0</v>
      </c>
      <c r="X2243" s="12">
        <f>V2243-(V2243/(1+W2243))</f>
        <v>0</v>
      </c>
      <c r="Y2243" s="12">
        <f>V2243-X2243</f>
        <v>30.68</v>
      </c>
      <c r="Z2243" s="14">
        <v>35</v>
      </c>
      <c r="AA2243" s="2" t="str">
        <f>IF(V2243&gt;Z2243,"Yes","No")</f>
        <v>No</v>
      </c>
      <c r="AB2243" s="12">
        <f>V2243-Z2243</f>
        <v>-4.32</v>
      </c>
      <c r="AC2243" s="15" t="s">
        <v>130</v>
      </c>
      <c r="AD2243" s="15" t="s">
        <v>131</v>
      </c>
      <c r="AE2243" s="15" t="s">
        <v>180</v>
      </c>
      <c r="AF2243" s="12">
        <f>IF(AG2243="Rejected",0,IF(R2243="Corporate Card",0,V2243))</f>
        <v>0</v>
      </c>
      <c r="AG2243" s="15" t="s">
        <v>181</v>
      </c>
      <c r="AH2243" s="16">
        <v>45935</v>
      </c>
      <c r="AI2243" s="16"/>
      <c r="AJ2243" s="16"/>
      <c r="AK2243" s="17" t="str">
        <f>IF(AJ2243="","",AJ2243-AH2243)</f>
        <v/>
      </c>
    </row>
    <row r="2244" spans="1:37">
      <c r="A2244" s="2" t="s">
        <v>2722</v>
      </c>
      <c r="B2244" s="2" t="s">
        <v>442</v>
      </c>
      <c r="C2244" s="2" t="s">
        <v>443</v>
      </c>
      <c r="D2244" s="2" t="s">
        <v>444</v>
      </c>
      <c r="E2244" s="2" t="s">
        <v>445</v>
      </c>
      <c r="F2244" s="2" t="s">
        <v>446</v>
      </c>
      <c r="G2244" s="2" t="s">
        <v>2701</v>
      </c>
      <c r="H2244" s="2" t="s">
        <v>748</v>
      </c>
      <c r="I2244" s="2" t="s">
        <v>123</v>
      </c>
      <c r="J2244" s="2" t="s">
        <v>124</v>
      </c>
      <c r="K2244" s="9">
        <v>45923</v>
      </c>
      <c r="L2244" s="9">
        <v>45929</v>
      </c>
      <c r="M2244" s="9">
        <v>45926</v>
      </c>
      <c r="N2244" s="2" t="s">
        <v>2549</v>
      </c>
      <c r="O2244" s="2" t="s">
        <v>54</v>
      </c>
      <c r="P2244" s="2" t="s">
        <v>139</v>
      </c>
      <c r="Q2244" s="2" t="s">
        <v>140</v>
      </c>
      <c r="R2244" s="2" t="s">
        <v>128</v>
      </c>
      <c r="S2244" s="2" t="s">
        <v>129</v>
      </c>
      <c r="T2244" s="10">
        <v>19.2</v>
      </c>
      <c r="U2244" s="11">
        <v>1.272</v>
      </c>
      <c r="V2244" s="12">
        <f>T2244*U2244</f>
        <v>24.4224</v>
      </c>
      <c r="W2244" s="13">
        <v>0.2</v>
      </c>
      <c r="X2244" s="12">
        <f>V2244-(V2244/(1+W2244))</f>
        <v>4.0703999999999994</v>
      </c>
      <c r="Y2244" s="12">
        <f>V2244-X2244</f>
        <v>20.352</v>
      </c>
      <c r="Z2244" s="14">
        <v>25</v>
      </c>
      <c r="AA2244" s="2" t="str">
        <f>IF(V2244&gt;Z2244,"Yes","No")</f>
        <v>No</v>
      </c>
      <c r="AB2244" s="12">
        <f>V2244-Z2244</f>
        <v>-0.57760000000000034</v>
      </c>
      <c r="AC2244" s="15" t="s">
        <v>130</v>
      </c>
      <c r="AD2244" s="15" t="s">
        <v>131</v>
      </c>
      <c r="AE2244" s="15" t="s">
        <v>132</v>
      </c>
      <c r="AF2244" s="12">
        <f>IF(AG2244="Rejected",0,IF(R2244="Corporate Card",0,V2244))</f>
        <v>0</v>
      </c>
      <c r="AG2244" s="15" t="s">
        <v>133</v>
      </c>
      <c r="AH2244" s="16">
        <v>45941</v>
      </c>
      <c r="AI2244" s="16">
        <v>45947</v>
      </c>
      <c r="AJ2244" s="16">
        <v>45956</v>
      </c>
      <c r="AK2244" s="17">
        <f>IF(AJ2244="","",AJ2244-AH2244)</f>
        <v>15</v>
      </c>
    </row>
    <row r="2245" spans="1:37">
      <c r="A2245" s="2" t="s">
        <v>2723</v>
      </c>
      <c r="B2245" s="2" t="s">
        <v>442</v>
      </c>
      <c r="C2245" s="2" t="s">
        <v>443</v>
      </c>
      <c r="D2245" s="2" t="s">
        <v>444</v>
      </c>
      <c r="E2245" s="2" t="s">
        <v>445</v>
      </c>
      <c r="F2245" s="2" t="s">
        <v>446</v>
      </c>
      <c r="G2245" s="2" t="s">
        <v>2701</v>
      </c>
      <c r="H2245" s="2" t="s">
        <v>748</v>
      </c>
      <c r="I2245" s="2" t="s">
        <v>123</v>
      </c>
      <c r="J2245" s="2" t="s">
        <v>124</v>
      </c>
      <c r="K2245" s="9">
        <v>45923</v>
      </c>
      <c r="L2245" s="9">
        <v>45929</v>
      </c>
      <c r="M2245" s="9">
        <v>45926</v>
      </c>
      <c r="N2245" s="2" t="s">
        <v>2549</v>
      </c>
      <c r="O2245" s="2" t="s">
        <v>56</v>
      </c>
      <c r="P2245" s="2" t="s">
        <v>165</v>
      </c>
      <c r="Q2245" s="2" t="s">
        <v>159</v>
      </c>
      <c r="R2245" s="2" t="s">
        <v>128</v>
      </c>
      <c r="S2245" s="2" t="s">
        <v>129</v>
      </c>
      <c r="T2245" s="10">
        <v>39.520000000000003</v>
      </c>
      <c r="U2245" s="11">
        <v>1.272</v>
      </c>
      <c r="V2245" s="12">
        <f>T2245*U2245</f>
        <v>50.269440000000003</v>
      </c>
      <c r="W2245" s="13">
        <v>0.2</v>
      </c>
      <c r="X2245" s="12">
        <f>V2245-(V2245/(1+W2245))</f>
        <v>8.3782399999999981</v>
      </c>
      <c r="Y2245" s="12">
        <f>V2245-X2245</f>
        <v>41.891200000000005</v>
      </c>
      <c r="Z2245" s="14">
        <v>75</v>
      </c>
      <c r="AA2245" s="2" t="str">
        <f>IF(V2245&gt;Z2245,"Yes","No")</f>
        <v>No</v>
      </c>
      <c r="AB2245" s="12">
        <f>V2245-Z2245</f>
        <v>-24.730559999999997</v>
      </c>
      <c r="AC2245" s="15" t="s">
        <v>130</v>
      </c>
      <c r="AD2245" s="15" t="s">
        <v>131</v>
      </c>
      <c r="AE2245" s="15" t="s">
        <v>132</v>
      </c>
      <c r="AF2245" s="12">
        <f>IF(AG2245="Rejected",0,IF(R2245="Corporate Card",0,V2245))</f>
        <v>0</v>
      </c>
      <c r="AG2245" s="15" t="s">
        <v>133</v>
      </c>
      <c r="AH2245" s="16">
        <v>45941</v>
      </c>
      <c r="AI2245" s="16">
        <v>45947</v>
      </c>
      <c r="AJ2245" s="16">
        <v>45956</v>
      </c>
      <c r="AK2245" s="17">
        <f>IF(AJ2245="","",AJ2245-AH2245)</f>
        <v>15</v>
      </c>
    </row>
    <row r="2246" spans="1:37">
      <c r="A2246" s="2" t="s">
        <v>2724</v>
      </c>
      <c r="B2246" s="2" t="s">
        <v>442</v>
      </c>
      <c r="C2246" s="2" t="s">
        <v>443</v>
      </c>
      <c r="D2246" s="2" t="s">
        <v>444</v>
      </c>
      <c r="E2246" s="2" t="s">
        <v>445</v>
      </c>
      <c r="F2246" s="2" t="s">
        <v>446</v>
      </c>
      <c r="G2246" s="2" t="s">
        <v>2701</v>
      </c>
      <c r="H2246" s="2" t="s">
        <v>748</v>
      </c>
      <c r="I2246" s="2" t="s">
        <v>123</v>
      </c>
      <c r="J2246" s="2" t="s">
        <v>124</v>
      </c>
      <c r="K2246" s="9">
        <v>45923</v>
      </c>
      <c r="L2246" s="9">
        <v>45929</v>
      </c>
      <c r="M2246" s="9">
        <v>45926</v>
      </c>
      <c r="N2246" s="2" t="s">
        <v>2549</v>
      </c>
      <c r="O2246" s="2" t="s">
        <v>55</v>
      </c>
      <c r="P2246" s="2" t="s">
        <v>139</v>
      </c>
      <c r="Q2246" s="2" t="s">
        <v>154</v>
      </c>
      <c r="R2246" s="2" t="s">
        <v>128</v>
      </c>
      <c r="S2246" s="2" t="s">
        <v>129</v>
      </c>
      <c r="T2246" s="10">
        <v>21.71</v>
      </c>
      <c r="U2246" s="11">
        <v>1.272</v>
      </c>
      <c r="V2246" s="12">
        <f>T2246*U2246</f>
        <v>27.615120000000001</v>
      </c>
      <c r="W2246" s="13">
        <v>0.2</v>
      </c>
      <c r="X2246" s="12">
        <f>V2246-(V2246/(1+W2246))</f>
        <v>4.6025199999999984</v>
      </c>
      <c r="Y2246" s="12">
        <f>V2246-X2246</f>
        <v>23.012600000000003</v>
      </c>
      <c r="Z2246" s="14">
        <v>35</v>
      </c>
      <c r="AA2246" s="2" t="str">
        <f>IF(V2246&gt;Z2246,"Yes","No")</f>
        <v>No</v>
      </c>
      <c r="AB2246" s="12">
        <f>V2246-Z2246</f>
        <v>-7.384879999999999</v>
      </c>
      <c r="AC2246" s="15" t="s">
        <v>131</v>
      </c>
      <c r="AD2246" s="15" t="s">
        <v>131</v>
      </c>
      <c r="AE2246" s="15" t="s">
        <v>132</v>
      </c>
      <c r="AF2246" s="12">
        <f>IF(AG2246="Rejected",0,IF(R2246="Corporate Card",0,V2246))</f>
        <v>0</v>
      </c>
      <c r="AG2246" s="15" t="s">
        <v>133</v>
      </c>
      <c r="AH2246" s="16">
        <v>45941</v>
      </c>
      <c r="AI2246" s="16">
        <v>45947</v>
      </c>
      <c r="AJ2246" s="16">
        <v>45956</v>
      </c>
      <c r="AK2246" s="17">
        <f>IF(AJ2246="","",AJ2246-AH2246)</f>
        <v>15</v>
      </c>
    </row>
    <row r="2247" spans="1:37">
      <c r="A2247" s="2" t="s">
        <v>2725</v>
      </c>
      <c r="B2247" s="2" t="s">
        <v>1749</v>
      </c>
      <c r="C2247" s="2" t="s">
        <v>1750</v>
      </c>
      <c r="D2247" s="2" t="s">
        <v>118</v>
      </c>
      <c r="E2247" s="2" t="s">
        <v>119</v>
      </c>
      <c r="F2247" s="2" t="s">
        <v>120</v>
      </c>
      <c r="G2247" s="2" t="s">
        <v>2726</v>
      </c>
      <c r="H2247" s="2" t="s">
        <v>803</v>
      </c>
      <c r="I2247" s="2" t="s">
        <v>601</v>
      </c>
      <c r="J2247" s="2" t="s">
        <v>381</v>
      </c>
      <c r="K2247" s="9">
        <v>45927</v>
      </c>
      <c r="L2247" s="9">
        <v>45930</v>
      </c>
      <c r="M2247" s="9">
        <v>45927</v>
      </c>
      <c r="N2247" s="2" t="s">
        <v>2549</v>
      </c>
      <c r="O2247" s="2" t="s">
        <v>52</v>
      </c>
      <c r="P2247" s="2" t="s">
        <v>602</v>
      </c>
      <c r="Q2247" s="2" t="s">
        <v>136</v>
      </c>
      <c r="R2247" s="2" t="s">
        <v>128</v>
      </c>
      <c r="S2247" s="2" t="s">
        <v>383</v>
      </c>
      <c r="T2247" s="10">
        <v>1006.07</v>
      </c>
      <c r="U2247" s="11">
        <v>1</v>
      </c>
      <c r="V2247" s="12">
        <f>T2247*U2247</f>
        <v>1006.07</v>
      </c>
      <c r="W2247" s="13">
        <v>0</v>
      </c>
      <c r="X2247" s="12">
        <f>V2247-(V2247/(1+W2247))</f>
        <v>0</v>
      </c>
      <c r="Y2247" s="12">
        <f>V2247-X2247</f>
        <v>1006.07</v>
      </c>
      <c r="Z2247" s="14">
        <v>1400</v>
      </c>
      <c r="AA2247" s="2" t="str">
        <f>IF(V2247&gt;Z2247,"Yes","No")</f>
        <v>No</v>
      </c>
      <c r="AB2247" s="12">
        <f>V2247-Z2247</f>
        <v>-393.92999999999995</v>
      </c>
      <c r="AC2247" s="15" t="s">
        <v>130</v>
      </c>
      <c r="AD2247" s="15" t="s">
        <v>131</v>
      </c>
      <c r="AE2247" s="15" t="s">
        <v>180</v>
      </c>
      <c r="AF2247" s="12">
        <f>IF(AG2247="Rejected",0,IF(R2247="Corporate Card",0,V2247))</f>
        <v>0</v>
      </c>
      <c r="AG2247" s="15" t="s">
        <v>181</v>
      </c>
      <c r="AH2247" s="16">
        <v>45941</v>
      </c>
      <c r="AI2247" s="16"/>
      <c r="AJ2247" s="16"/>
      <c r="AK2247" s="17" t="str">
        <f>IF(AJ2247="","",AJ2247-AH2247)</f>
        <v/>
      </c>
    </row>
    <row r="2248" spans="1:37">
      <c r="A2248" s="2" t="s">
        <v>2727</v>
      </c>
      <c r="B2248" s="2" t="s">
        <v>1749</v>
      </c>
      <c r="C2248" s="2" t="s">
        <v>1750</v>
      </c>
      <c r="D2248" s="2" t="s">
        <v>118</v>
      </c>
      <c r="E2248" s="2" t="s">
        <v>119</v>
      </c>
      <c r="F2248" s="2" t="s">
        <v>120</v>
      </c>
      <c r="G2248" s="2" t="s">
        <v>2726</v>
      </c>
      <c r="H2248" s="2" t="s">
        <v>803</v>
      </c>
      <c r="I2248" s="2" t="s">
        <v>601</v>
      </c>
      <c r="J2248" s="2" t="s">
        <v>381</v>
      </c>
      <c r="K2248" s="9">
        <v>45927</v>
      </c>
      <c r="L2248" s="9">
        <v>45930</v>
      </c>
      <c r="M2248" s="9">
        <v>45927</v>
      </c>
      <c r="N2248" s="2" t="s">
        <v>2549</v>
      </c>
      <c r="O2248" s="2" t="s">
        <v>58</v>
      </c>
      <c r="P2248" s="2" t="s">
        <v>142</v>
      </c>
      <c r="Q2248" s="2" t="s">
        <v>296</v>
      </c>
      <c r="R2248" s="2" t="s">
        <v>149</v>
      </c>
      <c r="S2248" s="2" t="s">
        <v>383</v>
      </c>
      <c r="T2248" s="10">
        <v>28.24</v>
      </c>
      <c r="U2248" s="11">
        <v>1</v>
      </c>
      <c r="V2248" s="12">
        <f>T2248*U2248</f>
        <v>28.24</v>
      </c>
      <c r="W2248" s="13">
        <v>0</v>
      </c>
      <c r="X2248" s="12">
        <f>V2248-(V2248/(1+W2248))</f>
        <v>0</v>
      </c>
      <c r="Y2248" s="12">
        <f>V2248-X2248</f>
        <v>28.24</v>
      </c>
      <c r="Z2248" s="14">
        <v>60</v>
      </c>
      <c r="AA2248" s="2" t="str">
        <f>IF(V2248&gt;Z2248,"Yes","No")</f>
        <v>No</v>
      </c>
      <c r="AB2248" s="12">
        <f>V2248-Z2248</f>
        <v>-31.76</v>
      </c>
      <c r="AC2248" s="15" t="s">
        <v>130</v>
      </c>
      <c r="AD2248" s="15" t="s">
        <v>131</v>
      </c>
      <c r="AE2248" s="15" t="s">
        <v>180</v>
      </c>
      <c r="AF2248" s="12">
        <f>IF(AG2248="Rejected",0,IF(R2248="Corporate Card",0,V2248))</f>
        <v>28.24</v>
      </c>
      <c r="AG2248" s="15" t="s">
        <v>181</v>
      </c>
      <c r="AH2248" s="16">
        <v>45941</v>
      </c>
      <c r="AI2248" s="16"/>
      <c r="AJ2248" s="16"/>
      <c r="AK2248" s="17" t="str">
        <f>IF(AJ2248="","",AJ2248-AH2248)</f>
        <v/>
      </c>
    </row>
    <row r="2249" spans="1:37">
      <c r="A2249" s="2" t="s">
        <v>2728</v>
      </c>
      <c r="B2249" s="2" t="s">
        <v>1749</v>
      </c>
      <c r="C2249" s="2" t="s">
        <v>1750</v>
      </c>
      <c r="D2249" s="2" t="s">
        <v>118</v>
      </c>
      <c r="E2249" s="2" t="s">
        <v>119</v>
      </c>
      <c r="F2249" s="2" t="s">
        <v>120</v>
      </c>
      <c r="G2249" s="2" t="s">
        <v>2726</v>
      </c>
      <c r="H2249" s="2" t="s">
        <v>803</v>
      </c>
      <c r="I2249" s="2" t="s">
        <v>601</v>
      </c>
      <c r="J2249" s="2" t="s">
        <v>381</v>
      </c>
      <c r="K2249" s="9">
        <v>45927</v>
      </c>
      <c r="L2249" s="9">
        <v>45930</v>
      </c>
      <c r="M2249" s="9">
        <v>45927</v>
      </c>
      <c r="N2249" s="2" t="s">
        <v>2549</v>
      </c>
      <c r="O2249" s="2" t="s">
        <v>56</v>
      </c>
      <c r="P2249" s="2" t="s">
        <v>165</v>
      </c>
      <c r="Q2249" s="2" t="s">
        <v>227</v>
      </c>
      <c r="R2249" s="2" t="s">
        <v>149</v>
      </c>
      <c r="S2249" s="2" t="s">
        <v>383</v>
      </c>
      <c r="T2249" s="10">
        <v>36.159999999999997</v>
      </c>
      <c r="U2249" s="11">
        <v>1</v>
      </c>
      <c r="V2249" s="12">
        <f>T2249*U2249</f>
        <v>36.159999999999997</v>
      </c>
      <c r="W2249" s="13">
        <v>0</v>
      </c>
      <c r="X2249" s="12">
        <f>V2249-(V2249/(1+W2249))</f>
        <v>0</v>
      </c>
      <c r="Y2249" s="12">
        <f>V2249-X2249</f>
        <v>36.159999999999997</v>
      </c>
      <c r="Z2249" s="14">
        <v>75</v>
      </c>
      <c r="AA2249" s="2" t="str">
        <f>IF(V2249&gt;Z2249,"Yes","No")</f>
        <v>No</v>
      </c>
      <c r="AB2249" s="12">
        <f>V2249-Z2249</f>
        <v>-38.840000000000003</v>
      </c>
      <c r="AC2249" s="15" t="s">
        <v>130</v>
      </c>
      <c r="AD2249" s="15" t="s">
        <v>131</v>
      </c>
      <c r="AE2249" s="15" t="s">
        <v>180</v>
      </c>
      <c r="AF2249" s="12">
        <f>IF(AG2249="Rejected",0,IF(R2249="Corporate Card",0,V2249))</f>
        <v>36.159999999999997</v>
      </c>
      <c r="AG2249" s="15" t="s">
        <v>181</v>
      </c>
      <c r="AH2249" s="16">
        <v>45941</v>
      </c>
      <c r="AI2249" s="16"/>
      <c r="AJ2249" s="16"/>
      <c r="AK2249" s="17" t="str">
        <f>IF(AJ2249="","",AJ2249-AH2249)</f>
        <v/>
      </c>
    </row>
    <row r="2250" spans="1:37">
      <c r="A2250" s="2" t="s">
        <v>2729</v>
      </c>
      <c r="B2250" s="2" t="s">
        <v>1749</v>
      </c>
      <c r="C2250" s="2" t="s">
        <v>1750</v>
      </c>
      <c r="D2250" s="2" t="s">
        <v>118</v>
      </c>
      <c r="E2250" s="2" t="s">
        <v>119</v>
      </c>
      <c r="F2250" s="2" t="s">
        <v>120</v>
      </c>
      <c r="G2250" s="2" t="s">
        <v>2726</v>
      </c>
      <c r="H2250" s="2" t="s">
        <v>803</v>
      </c>
      <c r="I2250" s="2" t="s">
        <v>601</v>
      </c>
      <c r="J2250" s="2" t="s">
        <v>381</v>
      </c>
      <c r="K2250" s="9">
        <v>45927</v>
      </c>
      <c r="L2250" s="9">
        <v>45930</v>
      </c>
      <c r="M2250" s="9">
        <v>45927</v>
      </c>
      <c r="N2250" s="2" t="s">
        <v>2549</v>
      </c>
      <c r="O2250" s="2" t="s">
        <v>55</v>
      </c>
      <c r="P2250" s="2" t="s">
        <v>139</v>
      </c>
      <c r="Q2250" s="2" t="s">
        <v>154</v>
      </c>
      <c r="R2250" s="2" t="s">
        <v>128</v>
      </c>
      <c r="S2250" s="2" t="s">
        <v>383</v>
      </c>
      <c r="T2250" s="10">
        <v>32.65</v>
      </c>
      <c r="U2250" s="11">
        <v>1</v>
      </c>
      <c r="V2250" s="12">
        <f>T2250*U2250</f>
        <v>32.65</v>
      </c>
      <c r="W2250" s="13">
        <v>0</v>
      </c>
      <c r="X2250" s="12">
        <f>V2250-(V2250/(1+W2250))</f>
        <v>0</v>
      </c>
      <c r="Y2250" s="12">
        <f>V2250-X2250</f>
        <v>32.65</v>
      </c>
      <c r="Z2250" s="14">
        <v>35</v>
      </c>
      <c r="AA2250" s="2" t="str">
        <f>IF(V2250&gt;Z2250,"Yes","No")</f>
        <v>No</v>
      </c>
      <c r="AB2250" s="12">
        <f>V2250-Z2250</f>
        <v>-2.3500000000000014</v>
      </c>
      <c r="AC2250" s="15" t="s">
        <v>130</v>
      </c>
      <c r="AD2250" s="15" t="s">
        <v>131</v>
      </c>
      <c r="AE2250" s="15" t="s">
        <v>180</v>
      </c>
      <c r="AF2250" s="12">
        <f>IF(AG2250="Rejected",0,IF(R2250="Corporate Card",0,V2250))</f>
        <v>0</v>
      </c>
      <c r="AG2250" s="15" t="s">
        <v>181</v>
      </c>
      <c r="AH2250" s="16">
        <v>45941</v>
      </c>
      <c r="AI2250" s="16"/>
      <c r="AJ2250" s="16"/>
      <c r="AK2250" s="17" t="str">
        <f>IF(AJ2250="","",AJ2250-AH2250)</f>
        <v/>
      </c>
    </row>
    <row r="2251" spans="1:37">
      <c r="A2251" s="2" t="s">
        <v>2730</v>
      </c>
      <c r="B2251" s="2" t="s">
        <v>442</v>
      </c>
      <c r="C2251" s="2" t="s">
        <v>443</v>
      </c>
      <c r="D2251" s="2" t="s">
        <v>444</v>
      </c>
      <c r="E2251" s="2" t="s">
        <v>445</v>
      </c>
      <c r="F2251" s="2" t="s">
        <v>446</v>
      </c>
      <c r="G2251" s="2" t="s">
        <v>2701</v>
      </c>
      <c r="H2251" s="2" t="s">
        <v>748</v>
      </c>
      <c r="I2251" s="2" t="s">
        <v>123</v>
      </c>
      <c r="J2251" s="2" t="s">
        <v>124</v>
      </c>
      <c r="K2251" s="9">
        <v>45923</v>
      </c>
      <c r="L2251" s="9">
        <v>45929</v>
      </c>
      <c r="M2251" s="9">
        <v>45927</v>
      </c>
      <c r="N2251" s="2" t="s">
        <v>2549</v>
      </c>
      <c r="O2251" s="2" t="s">
        <v>58</v>
      </c>
      <c r="P2251" s="2" t="s">
        <v>142</v>
      </c>
      <c r="Q2251" s="2" t="s">
        <v>156</v>
      </c>
      <c r="R2251" s="2" t="s">
        <v>128</v>
      </c>
      <c r="S2251" s="2" t="s">
        <v>129</v>
      </c>
      <c r="T2251" s="10">
        <v>22.6</v>
      </c>
      <c r="U2251" s="11">
        <v>1.272</v>
      </c>
      <c r="V2251" s="12">
        <f>T2251*U2251</f>
        <v>28.747200000000003</v>
      </c>
      <c r="W2251" s="13">
        <v>0.2</v>
      </c>
      <c r="X2251" s="12">
        <f>V2251-(V2251/(1+W2251))</f>
        <v>4.7911999999999999</v>
      </c>
      <c r="Y2251" s="12">
        <f>V2251-X2251</f>
        <v>23.956000000000003</v>
      </c>
      <c r="Z2251" s="14">
        <v>60</v>
      </c>
      <c r="AA2251" s="2" t="str">
        <f>IF(V2251&gt;Z2251,"Yes","No")</f>
        <v>No</v>
      </c>
      <c r="AB2251" s="12">
        <f>V2251-Z2251</f>
        <v>-31.252799999999997</v>
      </c>
      <c r="AC2251" s="15" t="s">
        <v>130</v>
      </c>
      <c r="AD2251" s="15" t="s">
        <v>131</v>
      </c>
      <c r="AE2251" s="15" t="s">
        <v>132</v>
      </c>
      <c r="AF2251" s="12">
        <f>IF(AG2251="Rejected",0,IF(R2251="Corporate Card",0,V2251))</f>
        <v>0</v>
      </c>
      <c r="AG2251" s="15" t="s">
        <v>133</v>
      </c>
      <c r="AH2251" s="16">
        <v>45941</v>
      </c>
      <c r="AI2251" s="16">
        <v>45947</v>
      </c>
      <c r="AJ2251" s="16">
        <v>45956</v>
      </c>
      <c r="AK2251" s="17">
        <f>IF(AJ2251="","",AJ2251-AH2251)</f>
        <v>15</v>
      </c>
    </row>
    <row r="2252" spans="1:37">
      <c r="A2252" s="2" t="s">
        <v>2731</v>
      </c>
      <c r="B2252" s="2" t="s">
        <v>442</v>
      </c>
      <c r="C2252" s="2" t="s">
        <v>443</v>
      </c>
      <c r="D2252" s="2" t="s">
        <v>444</v>
      </c>
      <c r="E2252" s="2" t="s">
        <v>445</v>
      </c>
      <c r="F2252" s="2" t="s">
        <v>446</v>
      </c>
      <c r="G2252" s="2" t="s">
        <v>2701</v>
      </c>
      <c r="H2252" s="2" t="s">
        <v>748</v>
      </c>
      <c r="I2252" s="2" t="s">
        <v>123</v>
      </c>
      <c r="J2252" s="2" t="s">
        <v>124</v>
      </c>
      <c r="K2252" s="9">
        <v>45923</v>
      </c>
      <c r="L2252" s="9">
        <v>45929</v>
      </c>
      <c r="M2252" s="9">
        <v>45927</v>
      </c>
      <c r="N2252" s="2" t="s">
        <v>2549</v>
      </c>
      <c r="O2252" s="2" t="s">
        <v>54</v>
      </c>
      <c r="P2252" s="2" t="s">
        <v>139</v>
      </c>
      <c r="Q2252" s="2" t="s">
        <v>214</v>
      </c>
      <c r="R2252" s="2" t="s">
        <v>149</v>
      </c>
      <c r="S2252" s="2" t="s">
        <v>129</v>
      </c>
      <c r="T2252" s="10">
        <v>9.5500000000000007</v>
      </c>
      <c r="U2252" s="11">
        <v>1.272</v>
      </c>
      <c r="V2252" s="12">
        <f>T2252*U2252</f>
        <v>12.147600000000001</v>
      </c>
      <c r="W2252" s="13">
        <v>0.2</v>
      </c>
      <c r="X2252" s="12">
        <f>V2252-(V2252/(1+W2252))</f>
        <v>2.0245999999999995</v>
      </c>
      <c r="Y2252" s="12">
        <f>V2252-X2252</f>
        <v>10.123000000000001</v>
      </c>
      <c r="Z2252" s="14">
        <v>25</v>
      </c>
      <c r="AA2252" s="2" t="str">
        <f>IF(V2252&gt;Z2252,"Yes","No")</f>
        <v>No</v>
      </c>
      <c r="AB2252" s="12">
        <f>V2252-Z2252</f>
        <v>-12.852399999999999</v>
      </c>
      <c r="AC2252" s="15" t="s">
        <v>130</v>
      </c>
      <c r="AD2252" s="15" t="s">
        <v>131</v>
      </c>
      <c r="AE2252" s="15" t="s">
        <v>132</v>
      </c>
      <c r="AF2252" s="12">
        <f>IF(AG2252="Rejected",0,IF(R2252="Corporate Card",0,V2252))</f>
        <v>12.147600000000001</v>
      </c>
      <c r="AG2252" s="15" t="s">
        <v>133</v>
      </c>
      <c r="AH2252" s="16">
        <v>45941</v>
      </c>
      <c r="AI2252" s="16">
        <v>45947</v>
      </c>
      <c r="AJ2252" s="16">
        <v>45956</v>
      </c>
      <c r="AK2252" s="17">
        <f>IF(AJ2252="","",AJ2252-AH2252)</f>
        <v>15</v>
      </c>
    </row>
    <row r="2253" spans="1:37">
      <c r="A2253" s="2" t="s">
        <v>2732</v>
      </c>
      <c r="B2253" s="2" t="s">
        <v>442</v>
      </c>
      <c r="C2253" s="2" t="s">
        <v>443</v>
      </c>
      <c r="D2253" s="2" t="s">
        <v>444</v>
      </c>
      <c r="E2253" s="2" t="s">
        <v>445</v>
      </c>
      <c r="F2253" s="2" t="s">
        <v>446</v>
      </c>
      <c r="G2253" s="2" t="s">
        <v>2701</v>
      </c>
      <c r="H2253" s="2" t="s">
        <v>748</v>
      </c>
      <c r="I2253" s="2" t="s">
        <v>123</v>
      </c>
      <c r="J2253" s="2" t="s">
        <v>124</v>
      </c>
      <c r="K2253" s="9">
        <v>45923</v>
      </c>
      <c r="L2253" s="9">
        <v>45929</v>
      </c>
      <c r="M2253" s="9">
        <v>45927</v>
      </c>
      <c r="N2253" s="2" t="s">
        <v>2549</v>
      </c>
      <c r="O2253" s="2" t="s">
        <v>56</v>
      </c>
      <c r="P2253" s="2" t="s">
        <v>231</v>
      </c>
      <c r="Q2253" s="2" t="s">
        <v>166</v>
      </c>
      <c r="R2253" s="2" t="s">
        <v>128</v>
      </c>
      <c r="S2253" s="2" t="s">
        <v>129</v>
      </c>
      <c r="T2253" s="10">
        <v>40.49</v>
      </c>
      <c r="U2253" s="11">
        <v>1.272</v>
      </c>
      <c r="V2253" s="12">
        <f>T2253*U2253</f>
        <v>51.503280000000004</v>
      </c>
      <c r="W2253" s="13">
        <v>0.2</v>
      </c>
      <c r="X2253" s="12">
        <f>V2253-(V2253/(1+W2253))</f>
        <v>8.5838800000000006</v>
      </c>
      <c r="Y2253" s="12">
        <f>V2253-X2253</f>
        <v>42.919400000000003</v>
      </c>
      <c r="Z2253" s="14">
        <v>75</v>
      </c>
      <c r="AA2253" s="2" t="str">
        <f>IF(V2253&gt;Z2253,"Yes","No")</f>
        <v>No</v>
      </c>
      <c r="AB2253" s="12">
        <f>V2253-Z2253</f>
        <v>-23.496719999999996</v>
      </c>
      <c r="AC2253" s="15" t="s">
        <v>130</v>
      </c>
      <c r="AD2253" s="15" t="s">
        <v>131</v>
      </c>
      <c r="AE2253" s="15" t="s">
        <v>132</v>
      </c>
      <c r="AF2253" s="12">
        <f>IF(AG2253="Rejected",0,IF(R2253="Corporate Card",0,V2253))</f>
        <v>0</v>
      </c>
      <c r="AG2253" s="15" t="s">
        <v>133</v>
      </c>
      <c r="AH2253" s="16">
        <v>45941</v>
      </c>
      <c r="AI2253" s="16">
        <v>45947</v>
      </c>
      <c r="AJ2253" s="16">
        <v>45956</v>
      </c>
      <c r="AK2253" s="17">
        <f>IF(AJ2253="","",AJ2253-AH2253)</f>
        <v>15</v>
      </c>
    </row>
    <row r="2254" spans="1:37">
      <c r="A2254" s="2" t="s">
        <v>2733</v>
      </c>
      <c r="B2254" s="2" t="s">
        <v>169</v>
      </c>
      <c r="C2254" s="2" t="s">
        <v>170</v>
      </c>
      <c r="D2254" s="2" t="s">
        <v>171</v>
      </c>
      <c r="E2254" s="2" t="s">
        <v>172</v>
      </c>
      <c r="F2254" s="2" t="s">
        <v>173</v>
      </c>
      <c r="G2254" s="2" t="s">
        <v>2734</v>
      </c>
      <c r="H2254" s="2" t="s">
        <v>379</v>
      </c>
      <c r="I2254" s="2" t="s">
        <v>567</v>
      </c>
      <c r="J2254" s="2" t="s">
        <v>434</v>
      </c>
      <c r="K2254" s="9">
        <v>45927</v>
      </c>
      <c r="L2254" s="9">
        <v>45933</v>
      </c>
      <c r="M2254" s="9">
        <v>45927</v>
      </c>
      <c r="N2254" s="2" t="s">
        <v>2549</v>
      </c>
      <c r="O2254" s="2" t="s">
        <v>52</v>
      </c>
      <c r="P2254" s="2" t="s">
        <v>568</v>
      </c>
      <c r="Q2254" s="2" t="s">
        <v>513</v>
      </c>
      <c r="R2254" s="2" t="s">
        <v>128</v>
      </c>
      <c r="S2254" s="2" t="s">
        <v>436</v>
      </c>
      <c r="T2254" s="10">
        <v>217541</v>
      </c>
      <c r="U2254" s="11">
        <v>1.1780000000000001E-2</v>
      </c>
      <c r="V2254" s="12">
        <f>T2254*U2254</f>
        <v>2562.6329800000003</v>
      </c>
      <c r="W2254" s="13">
        <v>0</v>
      </c>
      <c r="X2254" s="12">
        <f>V2254-(V2254/(1+W2254))</f>
        <v>0</v>
      </c>
      <c r="Y2254" s="12">
        <f>V2254-X2254</f>
        <v>2562.6329800000003</v>
      </c>
      <c r="Z2254" s="14">
        <v>1400</v>
      </c>
      <c r="AA2254" s="2" t="str">
        <f>IF(V2254&gt;Z2254,"Yes","No")</f>
        <v>Yes</v>
      </c>
      <c r="AB2254" s="12">
        <f>V2254-Z2254</f>
        <v>1162.6329800000003</v>
      </c>
      <c r="AC2254" s="15" t="s">
        <v>130</v>
      </c>
      <c r="AD2254" s="15" t="s">
        <v>131</v>
      </c>
      <c r="AE2254" s="15" t="s">
        <v>350</v>
      </c>
      <c r="AF2254" s="12">
        <f>IF(AG2254="Rejected",0,IF(R2254="Corporate Card",0,V2254))</f>
        <v>0</v>
      </c>
      <c r="AG2254" s="15" t="s">
        <v>133</v>
      </c>
      <c r="AH2254" s="16">
        <v>45938</v>
      </c>
      <c r="AI2254" s="16">
        <v>45939</v>
      </c>
      <c r="AJ2254" s="16">
        <v>45942</v>
      </c>
      <c r="AK2254" s="17">
        <f>IF(AJ2254="","",AJ2254-AH2254)</f>
        <v>4</v>
      </c>
    </row>
    <row r="2255" spans="1:37">
      <c r="A2255" s="2" t="s">
        <v>2735</v>
      </c>
      <c r="B2255" s="2" t="s">
        <v>169</v>
      </c>
      <c r="C2255" s="2" t="s">
        <v>170</v>
      </c>
      <c r="D2255" s="2" t="s">
        <v>171</v>
      </c>
      <c r="E2255" s="2" t="s">
        <v>172</v>
      </c>
      <c r="F2255" s="2" t="s">
        <v>173</v>
      </c>
      <c r="G2255" s="2" t="s">
        <v>2734</v>
      </c>
      <c r="H2255" s="2" t="s">
        <v>379</v>
      </c>
      <c r="I2255" s="2" t="s">
        <v>567</v>
      </c>
      <c r="J2255" s="2" t="s">
        <v>434</v>
      </c>
      <c r="K2255" s="9">
        <v>45927</v>
      </c>
      <c r="L2255" s="9">
        <v>45933</v>
      </c>
      <c r="M2255" s="9">
        <v>45927</v>
      </c>
      <c r="N2255" s="2" t="s">
        <v>2549</v>
      </c>
      <c r="O2255" s="2" t="s">
        <v>58</v>
      </c>
      <c r="P2255" s="2" t="s">
        <v>142</v>
      </c>
      <c r="Q2255" s="2" t="s">
        <v>296</v>
      </c>
      <c r="R2255" s="2" t="s">
        <v>149</v>
      </c>
      <c r="S2255" s="2" t="s">
        <v>436</v>
      </c>
      <c r="T2255" s="10">
        <v>3338</v>
      </c>
      <c r="U2255" s="11">
        <v>1.1780000000000001E-2</v>
      </c>
      <c r="V2255" s="12">
        <f>T2255*U2255</f>
        <v>39.321640000000002</v>
      </c>
      <c r="W2255" s="13">
        <v>0.18</v>
      </c>
      <c r="X2255" s="12">
        <f>V2255-(V2255/(1+W2255))</f>
        <v>5.9982162711864362</v>
      </c>
      <c r="Y2255" s="12">
        <f>V2255-X2255</f>
        <v>33.323423728813566</v>
      </c>
      <c r="Z2255" s="14">
        <v>60</v>
      </c>
      <c r="AA2255" s="2" t="str">
        <f>IF(V2255&gt;Z2255,"Yes","No")</f>
        <v>No</v>
      </c>
      <c r="AB2255" s="12">
        <f>V2255-Z2255</f>
        <v>-20.678359999999998</v>
      </c>
      <c r="AC2255" s="15" t="s">
        <v>130</v>
      </c>
      <c r="AD2255" s="15" t="s">
        <v>131</v>
      </c>
      <c r="AE2255" s="15" t="s">
        <v>350</v>
      </c>
      <c r="AF2255" s="12">
        <f>IF(AG2255="Rejected",0,IF(R2255="Corporate Card",0,V2255))</f>
        <v>39.321640000000002</v>
      </c>
      <c r="AG2255" s="15" t="s">
        <v>133</v>
      </c>
      <c r="AH2255" s="16">
        <v>45938</v>
      </c>
      <c r="AI2255" s="16">
        <v>45939</v>
      </c>
      <c r="AJ2255" s="16">
        <v>45942</v>
      </c>
      <c r="AK2255" s="17">
        <f>IF(AJ2255="","",AJ2255-AH2255)</f>
        <v>4</v>
      </c>
    </row>
    <row r="2256" spans="1:37">
      <c r="A2256" s="2" t="s">
        <v>2736</v>
      </c>
      <c r="B2256" s="2" t="s">
        <v>169</v>
      </c>
      <c r="C2256" s="2" t="s">
        <v>170</v>
      </c>
      <c r="D2256" s="2" t="s">
        <v>171</v>
      </c>
      <c r="E2256" s="2" t="s">
        <v>172</v>
      </c>
      <c r="F2256" s="2" t="s">
        <v>173</v>
      </c>
      <c r="G2256" s="2" t="s">
        <v>2734</v>
      </c>
      <c r="H2256" s="2" t="s">
        <v>379</v>
      </c>
      <c r="I2256" s="2" t="s">
        <v>567</v>
      </c>
      <c r="J2256" s="2" t="s">
        <v>434</v>
      </c>
      <c r="K2256" s="9">
        <v>45927</v>
      </c>
      <c r="L2256" s="9">
        <v>45933</v>
      </c>
      <c r="M2256" s="9">
        <v>45927</v>
      </c>
      <c r="N2256" s="2" t="s">
        <v>2549</v>
      </c>
      <c r="O2256" s="2" t="s">
        <v>56</v>
      </c>
      <c r="P2256" s="2" t="s">
        <v>165</v>
      </c>
      <c r="Q2256" s="2" t="s">
        <v>227</v>
      </c>
      <c r="R2256" s="2" t="s">
        <v>137</v>
      </c>
      <c r="S2256" s="2" t="s">
        <v>436</v>
      </c>
      <c r="T2256" s="10">
        <v>6146</v>
      </c>
      <c r="U2256" s="11">
        <v>1.1780000000000001E-2</v>
      </c>
      <c r="V2256" s="12">
        <f>T2256*U2256</f>
        <v>72.39988000000001</v>
      </c>
      <c r="W2256" s="13">
        <v>0.18</v>
      </c>
      <c r="X2256" s="12">
        <f>V2256-(V2256/(1+W2256))</f>
        <v>11.044049491525421</v>
      </c>
      <c r="Y2256" s="12">
        <f>V2256-X2256</f>
        <v>61.35583050847459</v>
      </c>
      <c r="Z2256" s="14">
        <v>75</v>
      </c>
      <c r="AA2256" s="2" t="str">
        <f>IF(V2256&gt;Z2256,"Yes","No")</f>
        <v>No</v>
      </c>
      <c r="AB2256" s="12">
        <f>V2256-Z2256</f>
        <v>-2.6001199999999898</v>
      </c>
      <c r="AC2256" s="15" t="s">
        <v>130</v>
      </c>
      <c r="AD2256" s="15" t="s">
        <v>131</v>
      </c>
      <c r="AE2256" s="15" t="s">
        <v>350</v>
      </c>
      <c r="AF2256" s="12">
        <f>IF(AG2256="Rejected",0,IF(R2256="Corporate Card",0,V2256))</f>
        <v>72.39988000000001</v>
      </c>
      <c r="AG2256" s="15" t="s">
        <v>133</v>
      </c>
      <c r="AH2256" s="16">
        <v>45938</v>
      </c>
      <c r="AI2256" s="16">
        <v>45939</v>
      </c>
      <c r="AJ2256" s="16">
        <v>45942</v>
      </c>
      <c r="AK2256" s="17">
        <f>IF(AJ2256="","",AJ2256-AH2256)</f>
        <v>4</v>
      </c>
    </row>
    <row r="2257" spans="1:37">
      <c r="A2257" s="2" t="s">
        <v>2737</v>
      </c>
      <c r="B2257" s="2" t="s">
        <v>169</v>
      </c>
      <c r="C2257" s="2" t="s">
        <v>170</v>
      </c>
      <c r="D2257" s="2" t="s">
        <v>171</v>
      </c>
      <c r="E2257" s="2" t="s">
        <v>172</v>
      </c>
      <c r="F2257" s="2" t="s">
        <v>173</v>
      </c>
      <c r="G2257" s="2" t="s">
        <v>2734</v>
      </c>
      <c r="H2257" s="2" t="s">
        <v>379</v>
      </c>
      <c r="I2257" s="2" t="s">
        <v>567</v>
      </c>
      <c r="J2257" s="2" t="s">
        <v>434</v>
      </c>
      <c r="K2257" s="9">
        <v>45927</v>
      </c>
      <c r="L2257" s="9">
        <v>45933</v>
      </c>
      <c r="M2257" s="9">
        <v>45927</v>
      </c>
      <c r="N2257" s="2" t="s">
        <v>2549</v>
      </c>
      <c r="O2257" s="2" t="s">
        <v>55</v>
      </c>
      <c r="P2257" s="2" t="s">
        <v>139</v>
      </c>
      <c r="Q2257" s="2" t="s">
        <v>161</v>
      </c>
      <c r="R2257" s="2" t="s">
        <v>128</v>
      </c>
      <c r="S2257" s="2" t="s">
        <v>436</v>
      </c>
      <c r="T2257" s="10">
        <v>2374</v>
      </c>
      <c r="U2257" s="11">
        <v>1.1780000000000001E-2</v>
      </c>
      <c r="V2257" s="12">
        <f>T2257*U2257</f>
        <v>27.965720000000001</v>
      </c>
      <c r="W2257" s="13">
        <v>0.18</v>
      </c>
      <c r="X2257" s="12">
        <f>V2257-(V2257/(1+W2257))</f>
        <v>4.2659572881355921</v>
      </c>
      <c r="Y2257" s="12">
        <f>V2257-X2257</f>
        <v>23.699762711864409</v>
      </c>
      <c r="Z2257" s="14">
        <v>35</v>
      </c>
      <c r="AA2257" s="2" t="str">
        <f>IF(V2257&gt;Z2257,"Yes","No")</f>
        <v>No</v>
      </c>
      <c r="AB2257" s="12">
        <f>V2257-Z2257</f>
        <v>-7.034279999999999</v>
      </c>
      <c r="AC2257" s="15" t="s">
        <v>130</v>
      </c>
      <c r="AD2257" s="15" t="s">
        <v>131</v>
      </c>
      <c r="AE2257" s="15" t="s">
        <v>350</v>
      </c>
      <c r="AF2257" s="12">
        <f>IF(AG2257="Rejected",0,IF(R2257="Corporate Card",0,V2257))</f>
        <v>0</v>
      </c>
      <c r="AG2257" s="15" t="s">
        <v>133</v>
      </c>
      <c r="AH2257" s="16">
        <v>45938</v>
      </c>
      <c r="AI2257" s="16">
        <v>45939</v>
      </c>
      <c r="AJ2257" s="16">
        <v>45942</v>
      </c>
      <c r="AK2257" s="17">
        <f>IF(AJ2257="","",AJ2257-AH2257)</f>
        <v>4</v>
      </c>
    </row>
    <row r="2258" spans="1:37">
      <c r="A2258" s="2" t="s">
        <v>2738</v>
      </c>
      <c r="B2258" s="2" t="s">
        <v>1749</v>
      </c>
      <c r="C2258" s="2" t="s">
        <v>1750</v>
      </c>
      <c r="D2258" s="2" t="s">
        <v>118</v>
      </c>
      <c r="E2258" s="2" t="s">
        <v>119</v>
      </c>
      <c r="F2258" s="2" t="s">
        <v>120</v>
      </c>
      <c r="G2258" s="2" t="s">
        <v>2726</v>
      </c>
      <c r="H2258" s="2" t="s">
        <v>803</v>
      </c>
      <c r="I2258" s="2" t="s">
        <v>601</v>
      </c>
      <c r="J2258" s="2" t="s">
        <v>381</v>
      </c>
      <c r="K2258" s="9">
        <v>45927</v>
      </c>
      <c r="L2258" s="9">
        <v>45930</v>
      </c>
      <c r="M2258" s="9">
        <v>45928</v>
      </c>
      <c r="N2258" s="2" t="s">
        <v>2549</v>
      </c>
      <c r="O2258" s="2" t="s">
        <v>60</v>
      </c>
      <c r="P2258" s="2" t="s">
        <v>1567</v>
      </c>
      <c r="Q2258" s="2" t="s">
        <v>503</v>
      </c>
      <c r="R2258" s="2" t="s">
        <v>128</v>
      </c>
      <c r="S2258" s="2" t="s">
        <v>383</v>
      </c>
      <c r="T2258" s="10">
        <v>316.36</v>
      </c>
      <c r="U2258" s="11">
        <v>1</v>
      </c>
      <c r="V2258" s="12">
        <f>T2258*U2258</f>
        <v>316.36</v>
      </c>
      <c r="W2258" s="13">
        <v>0</v>
      </c>
      <c r="X2258" s="12">
        <f>V2258-(V2258/(1+W2258))</f>
        <v>0</v>
      </c>
      <c r="Y2258" s="12">
        <f>V2258-X2258</f>
        <v>316.36</v>
      </c>
      <c r="Z2258" s="14">
        <v>360</v>
      </c>
      <c r="AA2258" s="2" t="str">
        <f>IF(V2258&gt;Z2258,"Yes","No")</f>
        <v>No</v>
      </c>
      <c r="AB2258" s="12">
        <f>V2258-Z2258</f>
        <v>-43.639999999999986</v>
      </c>
      <c r="AC2258" s="15" t="s">
        <v>130</v>
      </c>
      <c r="AD2258" s="15" t="s">
        <v>131</v>
      </c>
      <c r="AE2258" s="15" t="s">
        <v>180</v>
      </c>
      <c r="AF2258" s="12">
        <f>IF(AG2258="Rejected",0,IF(R2258="Corporate Card",0,V2258))</f>
        <v>0</v>
      </c>
      <c r="AG2258" s="15" t="s">
        <v>181</v>
      </c>
      <c r="AH2258" s="16">
        <v>45941</v>
      </c>
      <c r="AI2258" s="16"/>
      <c r="AJ2258" s="16"/>
      <c r="AK2258" s="17" t="str">
        <f>IF(AJ2258="","",AJ2258-AH2258)</f>
        <v/>
      </c>
    </row>
    <row r="2259" spans="1:37">
      <c r="A2259" s="2" t="s">
        <v>2739</v>
      </c>
      <c r="B2259" s="2" t="s">
        <v>1749</v>
      </c>
      <c r="C2259" s="2" t="s">
        <v>1750</v>
      </c>
      <c r="D2259" s="2" t="s">
        <v>118</v>
      </c>
      <c r="E2259" s="2" t="s">
        <v>119</v>
      </c>
      <c r="F2259" s="2" t="s">
        <v>120</v>
      </c>
      <c r="G2259" s="2" t="s">
        <v>2726</v>
      </c>
      <c r="H2259" s="2" t="s">
        <v>803</v>
      </c>
      <c r="I2259" s="2" t="s">
        <v>601</v>
      </c>
      <c r="J2259" s="2" t="s">
        <v>381</v>
      </c>
      <c r="K2259" s="9">
        <v>45927</v>
      </c>
      <c r="L2259" s="9">
        <v>45930</v>
      </c>
      <c r="M2259" s="9">
        <v>45928</v>
      </c>
      <c r="N2259" s="2" t="s">
        <v>2549</v>
      </c>
      <c r="O2259" s="2" t="s">
        <v>53</v>
      </c>
      <c r="P2259" s="2" t="s">
        <v>145</v>
      </c>
      <c r="Q2259" s="2" t="s">
        <v>272</v>
      </c>
      <c r="R2259" s="2" t="s">
        <v>128</v>
      </c>
      <c r="S2259" s="2" t="s">
        <v>383</v>
      </c>
      <c r="T2259" s="10">
        <v>515.22</v>
      </c>
      <c r="U2259" s="11">
        <v>1</v>
      </c>
      <c r="V2259" s="12">
        <f>T2259*U2259</f>
        <v>515.22</v>
      </c>
      <c r="W2259" s="13">
        <v>0</v>
      </c>
      <c r="X2259" s="12">
        <f>V2259-(V2259/(1+W2259))</f>
        <v>0</v>
      </c>
      <c r="Y2259" s="12">
        <f>V2259-X2259</f>
        <v>515.22</v>
      </c>
      <c r="Z2259" s="14">
        <v>840</v>
      </c>
      <c r="AA2259" s="2" t="str">
        <f>IF(V2259&gt;Z2259,"Yes","No")</f>
        <v>No</v>
      </c>
      <c r="AB2259" s="12">
        <f>V2259-Z2259</f>
        <v>-324.77999999999997</v>
      </c>
      <c r="AC2259" s="15" t="s">
        <v>130</v>
      </c>
      <c r="AD2259" s="15" t="s">
        <v>131</v>
      </c>
      <c r="AE2259" s="15" t="s">
        <v>180</v>
      </c>
      <c r="AF2259" s="12">
        <f>IF(AG2259="Rejected",0,IF(R2259="Corporate Card",0,V2259))</f>
        <v>0</v>
      </c>
      <c r="AG2259" s="15" t="s">
        <v>181</v>
      </c>
      <c r="AH2259" s="16">
        <v>45941</v>
      </c>
      <c r="AI2259" s="16"/>
      <c r="AJ2259" s="16"/>
      <c r="AK2259" s="17" t="str">
        <f>IF(AJ2259="","",AJ2259-AH2259)</f>
        <v/>
      </c>
    </row>
    <row r="2260" spans="1:37">
      <c r="A2260" s="2" t="s">
        <v>2740</v>
      </c>
      <c r="B2260" s="2" t="s">
        <v>1749</v>
      </c>
      <c r="C2260" s="2" t="s">
        <v>1750</v>
      </c>
      <c r="D2260" s="2" t="s">
        <v>118</v>
      </c>
      <c r="E2260" s="2" t="s">
        <v>119</v>
      </c>
      <c r="F2260" s="2" t="s">
        <v>120</v>
      </c>
      <c r="G2260" s="2" t="s">
        <v>2726</v>
      </c>
      <c r="H2260" s="2" t="s">
        <v>803</v>
      </c>
      <c r="I2260" s="2" t="s">
        <v>601</v>
      </c>
      <c r="J2260" s="2" t="s">
        <v>381</v>
      </c>
      <c r="K2260" s="9">
        <v>45927</v>
      </c>
      <c r="L2260" s="9">
        <v>45930</v>
      </c>
      <c r="M2260" s="9">
        <v>45928</v>
      </c>
      <c r="N2260" s="2" t="s">
        <v>2549</v>
      </c>
      <c r="O2260" s="2" t="s">
        <v>54</v>
      </c>
      <c r="P2260" s="2" t="s">
        <v>139</v>
      </c>
      <c r="Q2260" s="2" t="s">
        <v>140</v>
      </c>
      <c r="R2260" s="2" t="s">
        <v>128</v>
      </c>
      <c r="S2260" s="2" t="s">
        <v>383</v>
      </c>
      <c r="T2260" s="10">
        <v>13.83</v>
      </c>
      <c r="U2260" s="11">
        <v>1</v>
      </c>
      <c r="V2260" s="12">
        <f>T2260*U2260</f>
        <v>13.83</v>
      </c>
      <c r="W2260" s="13">
        <v>0</v>
      </c>
      <c r="X2260" s="12">
        <f>V2260-(V2260/(1+W2260))</f>
        <v>0</v>
      </c>
      <c r="Y2260" s="12">
        <f>V2260-X2260</f>
        <v>13.83</v>
      </c>
      <c r="Z2260" s="14">
        <v>25</v>
      </c>
      <c r="AA2260" s="2" t="str">
        <f>IF(V2260&gt;Z2260,"Yes","No")</f>
        <v>No</v>
      </c>
      <c r="AB2260" s="12">
        <f>V2260-Z2260</f>
        <v>-11.17</v>
      </c>
      <c r="AC2260" s="15" t="s">
        <v>130</v>
      </c>
      <c r="AD2260" s="15" t="s">
        <v>131</v>
      </c>
      <c r="AE2260" s="15" t="s">
        <v>180</v>
      </c>
      <c r="AF2260" s="12">
        <f>IF(AG2260="Rejected",0,IF(R2260="Corporate Card",0,V2260))</f>
        <v>0</v>
      </c>
      <c r="AG2260" s="15" t="s">
        <v>181</v>
      </c>
      <c r="AH2260" s="16">
        <v>45941</v>
      </c>
      <c r="AI2260" s="16"/>
      <c r="AJ2260" s="16"/>
      <c r="AK2260" s="17" t="str">
        <f>IF(AJ2260="","",AJ2260-AH2260)</f>
        <v/>
      </c>
    </row>
    <row r="2261" spans="1:37">
      <c r="A2261" s="2" t="s">
        <v>2741</v>
      </c>
      <c r="B2261" s="2" t="s">
        <v>1749</v>
      </c>
      <c r="C2261" s="2" t="s">
        <v>1750</v>
      </c>
      <c r="D2261" s="2" t="s">
        <v>118</v>
      </c>
      <c r="E2261" s="2" t="s">
        <v>119</v>
      </c>
      <c r="F2261" s="2" t="s">
        <v>120</v>
      </c>
      <c r="G2261" s="2" t="s">
        <v>2726</v>
      </c>
      <c r="H2261" s="2" t="s">
        <v>803</v>
      </c>
      <c r="I2261" s="2" t="s">
        <v>601</v>
      </c>
      <c r="J2261" s="2" t="s">
        <v>381</v>
      </c>
      <c r="K2261" s="9">
        <v>45927</v>
      </c>
      <c r="L2261" s="9">
        <v>45930</v>
      </c>
      <c r="M2261" s="9">
        <v>45928</v>
      </c>
      <c r="N2261" s="2" t="s">
        <v>2549</v>
      </c>
      <c r="O2261" s="2" t="s">
        <v>55</v>
      </c>
      <c r="P2261" s="2" t="s">
        <v>139</v>
      </c>
      <c r="Q2261" s="2" t="s">
        <v>217</v>
      </c>
      <c r="R2261" s="2" t="s">
        <v>128</v>
      </c>
      <c r="S2261" s="2" t="s">
        <v>383</v>
      </c>
      <c r="T2261" s="10">
        <v>29.11</v>
      </c>
      <c r="U2261" s="11">
        <v>1</v>
      </c>
      <c r="V2261" s="12">
        <f>T2261*U2261</f>
        <v>29.11</v>
      </c>
      <c r="W2261" s="13">
        <v>0</v>
      </c>
      <c r="X2261" s="12">
        <f>V2261-(V2261/(1+W2261))</f>
        <v>0</v>
      </c>
      <c r="Y2261" s="12">
        <f>V2261-X2261</f>
        <v>29.11</v>
      </c>
      <c r="Z2261" s="14">
        <v>35</v>
      </c>
      <c r="AA2261" s="2" t="str">
        <f>IF(V2261&gt;Z2261,"Yes","No")</f>
        <v>No</v>
      </c>
      <c r="AB2261" s="12">
        <f>V2261-Z2261</f>
        <v>-5.8900000000000006</v>
      </c>
      <c r="AC2261" s="15" t="s">
        <v>130</v>
      </c>
      <c r="AD2261" s="15" t="s">
        <v>131</v>
      </c>
      <c r="AE2261" s="15" t="s">
        <v>180</v>
      </c>
      <c r="AF2261" s="12">
        <f>IF(AG2261="Rejected",0,IF(R2261="Corporate Card",0,V2261))</f>
        <v>0</v>
      </c>
      <c r="AG2261" s="15" t="s">
        <v>181</v>
      </c>
      <c r="AH2261" s="16">
        <v>45941</v>
      </c>
      <c r="AI2261" s="16"/>
      <c r="AJ2261" s="16"/>
      <c r="AK2261" s="17" t="str">
        <f>IF(AJ2261="","",AJ2261-AH2261)</f>
        <v/>
      </c>
    </row>
    <row r="2262" spans="1:37">
      <c r="A2262" s="2" t="s">
        <v>2742</v>
      </c>
      <c r="B2262" s="2" t="s">
        <v>442</v>
      </c>
      <c r="C2262" s="2" t="s">
        <v>443</v>
      </c>
      <c r="D2262" s="2" t="s">
        <v>444</v>
      </c>
      <c r="E2262" s="2" t="s">
        <v>445</v>
      </c>
      <c r="F2262" s="2" t="s">
        <v>446</v>
      </c>
      <c r="G2262" s="2" t="s">
        <v>2701</v>
      </c>
      <c r="H2262" s="2" t="s">
        <v>748</v>
      </c>
      <c r="I2262" s="2" t="s">
        <v>123</v>
      </c>
      <c r="J2262" s="2" t="s">
        <v>124</v>
      </c>
      <c r="K2262" s="9">
        <v>45923</v>
      </c>
      <c r="L2262" s="9">
        <v>45929</v>
      </c>
      <c r="M2262" s="9">
        <v>45928</v>
      </c>
      <c r="N2262" s="2" t="s">
        <v>2549</v>
      </c>
      <c r="O2262" s="2" t="s">
        <v>56</v>
      </c>
      <c r="P2262" s="2" t="s">
        <v>165</v>
      </c>
      <c r="Q2262" s="2" t="s">
        <v>159</v>
      </c>
      <c r="R2262" s="2" t="s">
        <v>149</v>
      </c>
      <c r="S2262" s="2" t="s">
        <v>129</v>
      </c>
      <c r="T2262" s="10">
        <v>29.85</v>
      </c>
      <c r="U2262" s="11">
        <v>1.272</v>
      </c>
      <c r="V2262" s="12">
        <f>T2262*U2262</f>
        <v>37.969200000000001</v>
      </c>
      <c r="W2262" s="13">
        <v>0.2</v>
      </c>
      <c r="X2262" s="12">
        <f>V2262-(V2262/(1+W2262))</f>
        <v>6.3281999999999989</v>
      </c>
      <c r="Y2262" s="12">
        <f>V2262-X2262</f>
        <v>31.641000000000002</v>
      </c>
      <c r="Z2262" s="14">
        <v>75</v>
      </c>
      <c r="AA2262" s="2" t="str">
        <f>IF(V2262&gt;Z2262,"Yes","No")</f>
        <v>No</v>
      </c>
      <c r="AB2262" s="12">
        <f>V2262-Z2262</f>
        <v>-37.030799999999999</v>
      </c>
      <c r="AC2262" s="15" t="s">
        <v>130</v>
      </c>
      <c r="AD2262" s="15" t="s">
        <v>131</v>
      </c>
      <c r="AE2262" s="15" t="s">
        <v>132</v>
      </c>
      <c r="AF2262" s="12">
        <f>IF(AG2262="Rejected",0,IF(R2262="Corporate Card",0,V2262))</f>
        <v>37.969200000000001</v>
      </c>
      <c r="AG2262" s="15" t="s">
        <v>133</v>
      </c>
      <c r="AH2262" s="16">
        <v>45941</v>
      </c>
      <c r="AI2262" s="16">
        <v>45947</v>
      </c>
      <c r="AJ2262" s="16">
        <v>45956</v>
      </c>
      <c r="AK2262" s="17">
        <f>IF(AJ2262="","",AJ2262-AH2262)</f>
        <v>15</v>
      </c>
    </row>
    <row r="2263" spans="1:37">
      <c r="A2263" s="2" t="s">
        <v>2743</v>
      </c>
      <c r="B2263" s="2" t="s">
        <v>442</v>
      </c>
      <c r="C2263" s="2" t="s">
        <v>443</v>
      </c>
      <c r="D2263" s="2" t="s">
        <v>444</v>
      </c>
      <c r="E2263" s="2" t="s">
        <v>445</v>
      </c>
      <c r="F2263" s="2" t="s">
        <v>446</v>
      </c>
      <c r="G2263" s="2" t="s">
        <v>2701</v>
      </c>
      <c r="H2263" s="2" t="s">
        <v>748</v>
      </c>
      <c r="I2263" s="2" t="s">
        <v>123</v>
      </c>
      <c r="J2263" s="2" t="s">
        <v>124</v>
      </c>
      <c r="K2263" s="9">
        <v>45923</v>
      </c>
      <c r="L2263" s="9">
        <v>45929</v>
      </c>
      <c r="M2263" s="9">
        <v>45928</v>
      </c>
      <c r="N2263" s="2" t="s">
        <v>2549</v>
      </c>
      <c r="O2263" s="2" t="s">
        <v>55</v>
      </c>
      <c r="P2263" s="2" t="s">
        <v>139</v>
      </c>
      <c r="Q2263" s="2" t="s">
        <v>161</v>
      </c>
      <c r="R2263" s="2" t="s">
        <v>128</v>
      </c>
      <c r="S2263" s="2" t="s">
        <v>129</v>
      </c>
      <c r="T2263" s="10">
        <v>15.3</v>
      </c>
      <c r="U2263" s="11">
        <v>1.272</v>
      </c>
      <c r="V2263" s="12">
        <f>T2263*U2263</f>
        <v>19.461600000000001</v>
      </c>
      <c r="W2263" s="13">
        <v>0.2</v>
      </c>
      <c r="X2263" s="12">
        <f>V2263-(V2263/(1+W2263))</f>
        <v>3.2436000000000007</v>
      </c>
      <c r="Y2263" s="12">
        <f>V2263-X2263</f>
        <v>16.218</v>
      </c>
      <c r="Z2263" s="14">
        <v>35</v>
      </c>
      <c r="AA2263" s="2" t="str">
        <f>IF(V2263&gt;Z2263,"Yes","No")</f>
        <v>No</v>
      </c>
      <c r="AB2263" s="12">
        <f>V2263-Z2263</f>
        <v>-15.538399999999999</v>
      </c>
      <c r="AC2263" s="15" t="s">
        <v>130</v>
      </c>
      <c r="AD2263" s="15" t="s">
        <v>131</v>
      </c>
      <c r="AE2263" s="15" t="s">
        <v>132</v>
      </c>
      <c r="AF2263" s="12">
        <f>IF(AG2263="Rejected",0,IF(R2263="Corporate Card",0,V2263))</f>
        <v>0</v>
      </c>
      <c r="AG2263" s="15" t="s">
        <v>133</v>
      </c>
      <c r="AH2263" s="16">
        <v>45941</v>
      </c>
      <c r="AI2263" s="16">
        <v>45947</v>
      </c>
      <c r="AJ2263" s="16">
        <v>45956</v>
      </c>
      <c r="AK2263" s="17">
        <f>IF(AJ2263="","",AJ2263-AH2263)</f>
        <v>15</v>
      </c>
    </row>
    <row r="2264" spans="1:37">
      <c r="A2264" s="2" t="s">
        <v>2744</v>
      </c>
      <c r="B2264" s="2" t="s">
        <v>169</v>
      </c>
      <c r="C2264" s="2" t="s">
        <v>170</v>
      </c>
      <c r="D2264" s="2" t="s">
        <v>171</v>
      </c>
      <c r="E2264" s="2" t="s">
        <v>172</v>
      </c>
      <c r="F2264" s="2" t="s">
        <v>173</v>
      </c>
      <c r="G2264" s="2" t="s">
        <v>2734</v>
      </c>
      <c r="H2264" s="2" t="s">
        <v>379</v>
      </c>
      <c r="I2264" s="2" t="s">
        <v>567</v>
      </c>
      <c r="J2264" s="2" t="s">
        <v>434</v>
      </c>
      <c r="K2264" s="9">
        <v>45927</v>
      </c>
      <c r="L2264" s="9">
        <v>45933</v>
      </c>
      <c r="M2264" s="9">
        <v>45928</v>
      </c>
      <c r="N2264" s="2" t="s">
        <v>2549</v>
      </c>
      <c r="O2264" s="2" t="s">
        <v>59</v>
      </c>
      <c r="P2264" s="2" t="s">
        <v>301</v>
      </c>
      <c r="Q2264" s="2" t="s">
        <v>1000</v>
      </c>
      <c r="R2264" s="2" t="s">
        <v>128</v>
      </c>
      <c r="S2264" s="2" t="s">
        <v>436</v>
      </c>
      <c r="T2264" s="10">
        <v>12126</v>
      </c>
      <c r="U2264" s="11">
        <v>1.1780000000000001E-2</v>
      </c>
      <c r="V2264" s="12">
        <f>T2264*U2264</f>
        <v>142.84428</v>
      </c>
      <c r="W2264" s="13">
        <v>0.18</v>
      </c>
      <c r="X2264" s="12">
        <f>V2264-(V2264/(1+W2264))</f>
        <v>21.789805423728808</v>
      </c>
      <c r="Y2264" s="12">
        <f>V2264-X2264</f>
        <v>121.05447457627119</v>
      </c>
      <c r="Z2264" s="14">
        <v>150</v>
      </c>
      <c r="AA2264" s="2" t="str">
        <f>IF(V2264&gt;Z2264,"Yes","No")</f>
        <v>No</v>
      </c>
      <c r="AB2264" s="12">
        <f>V2264-Z2264</f>
        <v>-7.1557200000000023</v>
      </c>
      <c r="AC2264" s="15" t="s">
        <v>130</v>
      </c>
      <c r="AD2264" s="15" t="s">
        <v>131</v>
      </c>
      <c r="AE2264" s="15" t="s">
        <v>350</v>
      </c>
      <c r="AF2264" s="12">
        <f>IF(AG2264="Rejected",0,IF(R2264="Corporate Card",0,V2264))</f>
        <v>0</v>
      </c>
      <c r="AG2264" s="15" t="s">
        <v>133</v>
      </c>
      <c r="AH2264" s="16">
        <v>45938</v>
      </c>
      <c r="AI2264" s="16">
        <v>45939</v>
      </c>
      <c r="AJ2264" s="16">
        <v>45942</v>
      </c>
      <c r="AK2264" s="17">
        <f>IF(AJ2264="","",AJ2264-AH2264)</f>
        <v>4</v>
      </c>
    </row>
    <row r="2265" spans="1:37">
      <c r="A2265" s="2" t="s">
        <v>2745</v>
      </c>
      <c r="B2265" s="2" t="s">
        <v>169</v>
      </c>
      <c r="C2265" s="2" t="s">
        <v>170</v>
      </c>
      <c r="D2265" s="2" t="s">
        <v>171</v>
      </c>
      <c r="E2265" s="2" t="s">
        <v>172</v>
      </c>
      <c r="F2265" s="2" t="s">
        <v>173</v>
      </c>
      <c r="G2265" s="2" t="s">
        <v>2734</v>
      </c>
      <c r="H2265" s="2" t="s">
        <v>379</v>
      </c>
      <c r="I2265" s="2" t="s">
        <v>567</v>
      </c>
      <c r="J2265" s="2" t="s">
        <v>434</v>
      </c>
      <c r="K2265" s="9">
        <v>45927</v>
      </c>
      <c r="L2265" s="9">
        <v>45933</v>
      </c>
      <c r="M2265" s="9">
        <v>45928</v>
      </c>
      <c r="N2265" s="2" t="s">
        <v>2549</v>
      </c>
      <c r="O2265" s="2" t="s">
        <v>53</v>
      </c>
      <c r="P2265" s="2" t="s">
        <v>467</v>
      </c>
      <c r="Q2265" s="2" t="s">
        <v>468</v>
      </c>
      <c r="R2265" s="2" t="s">
        <v>149</v>
      </c>
      <c r="S2265" s="2" t="s">
        <v>436</v>
      </c>
      <c r="T2265" s="10">
        <v>69750</v>
      </c>
      <c r="U2265" s="11">
        <v>1.1780000000000001E-2</v>
      </c>
      <c r="V2265" s="12">
        <f>T2265*U2265</f>
        <v>821.65500000000009</v>
      </c>
      <c r="W2265" s="13">
        <v>0.18</v>
      </c>
      <c r="X2265" s="12">
        <f>V2265-(V2265/(1+W2265))</f>
        <v>125.33720338983051</v>
      </c>
      <c r="Y2265" s="12">
        <f>V2265-X2265</f>
        <v>696.31779661016958</v>
      </c>
      <c r="Z2265" s="14">
        <v>1680</v>
      </c>
      <c r="AA2265" s="2" t="str">
        <f>IF(V2265&gt;Z2265,"Yes","No")</f>
        <v>No</v>
      </c>
      <c r="AB2265" s="12">
        <f>V2265-Z2265</f>
        <v>-858.34499999999991</v>
      </c>
      <c r="AC2265" s="15" t="s">
        <v>130</v>
      </c>
      <c r="AD2265" s="15" t="s">
        <v>131</v>
      </c>
      <c r="AE2265" s="15" t="s">
        <v>350</v>
      </c>
      <c r="AF2265" s="12">
        <f>IF(AG2265="Rejected",0,IF(R2265="Corporate Card",0,V2265))</f>
        <v>821.65500000000009</v>
      </c>
      <c r="AG2265" s="15" t="s">
        <v>133</v>
      </c>
      <c r="AH2265" s="16">
        <v>45938</v>
      </c>
      <c r="AI2265" s="16">
        <v>45939</v>
      </c>
      <c r="AJ2265" s="16">
        <v>45942</v>
      </c>
      <c r="AK2265" s="17">
        <f>IF(AJ2265="","",AJ2265-AH2265)</f>
        <v>4</v>
      </c>
    </row>
    <row r="2266" spans="1:37">
      <c r="A2266" s="2" t="s">
        <v>2746</v>
      </c>
      <c r="B2266" s="2" t="s">
        <v>169</v>
      </c>
      <c r="C2266" s="2" t="s">
        <v>170</v>
      </c>
      <c r="D2266" s="2" t="s">
        <v>171</v>
      </c>
      <c r="E2266" s="2" t="s">
        <v>172</v>
      </c>
      <c r="F2266" s="2" t="s">
        <v>173</v>
      </c>
      <c r="G2266" s="2" t="s">
        <v>2734</v>
      </c>
      <c r="H2266" s="2" t="s">
        <v>379</v>
      </c>
      <c r="I2266" s="2" t="s">
        <v>567</v>
      </c>
      <c r="J2266" s="2" t="s">
        <v>434</v>
      </c>
      <c r="K2266" s="9">
        <v>45927</v>
      </c>
      <c r="L2266" s="9">
        <v>45933</v>
      </c>
      <c r="M2266" s="9">
        <v>45928</v>
      </c>
      <c r="N2266" s="2" t="s">
        <v>2549</v>
      </c>
      <c r="O2266" s="2" t="s">
        <v>54</v>
      </c>
      <c r="P2266" s="2" t="s">
        <v>139</v>
      </c>
      <c r="Q2266" s="2" t="s">
        <v>163</v>
      </c>
      <c r="R2266" s="2" t="s">
        <v>128</v>
      </c>
      <c r="S2266" s="2" t="s">
        <v>436</v>
      </c>
      <c r="T2266" s="10">
        <v>1166</v>
      </c>
      <c r="U2266" s="11">
        <v>1.1780000000000001E-2</v>
      </c>
      <c r="V2266" s="12">
        <f>T2266*U2266</f>
        <v>13.735480000000001</v>
      </c>
      <c r="W2266" s="13">
        <v>0.18</v>
      </c>
      <c r="X2266" s="12">
        <f>V2266-(V2266/(1+W2266))</f>
        <v>2.0952427118644064</v>
      </c>
      <c r="Y2266" s="12">
        <f>V2266-X2266</f>
        <v>11.640237288135594</v>
      </c>
      <c r="Z2266" s="14">
        <v>25</v>
      </c>
      <c r="AA2266" s="2" t="str">
        <f>IF(V2266&gt;Z2266,"Yes","No")</f>
        <v>No</v>
      </c>
      <c r="AB2266" s="12">
        <f>V2266-Z2266</f>
        <v>-11.264519999999999</v>
      </c>
      <c r="AC2266" s="15" t="s">
        <v>130</v>
      </c>
      <c r="AD2266" s="15" t="s">
        <v>131</v>
      </c>
      <c r="AE2266" s="15" t="s">
        <v>350</v>
      </c>
      <c r="AF2266" s="12">
        <f>IF(AG2266="Rejected",0,IF(R2266="Corporate Card",0,V2266))</f>
        <v>0</v>
      </c>
      <c r="AG2266" s="15" t="s">
        <v>133</v>
      </c>
      <c r="AH2266" s="16">
        <v>45938</v>
      </c>
      <c r="AI2266" s="16">
        <v>45939</v>
      </c>
      <c r="AJ2266" s="16">
        <v>45942</v>
      </c>
      <c r="AK2266" s="17">
        <f>IF(AJ2266="","",AJ2266-AH2266)</f>
        <v>4</v>
      </c>
    </row>
    <row r="2267" spans="1:37">
      <c r="A2267" s="2" t="s">
        <v>2747</v>
      </c>
      <c r="B2267" s="2" t="s">
        <v>169</v>
      </c>
      <c r="C2267" s="2" t="s">
        <v>170</v>
      </c>
      <c r="D2267" s="2" t="s">
        <v>171</v>
      </c>
      <c r="E2267" s="2" t="s">
        <v>172</v>
      </c>
      <c r="F2267" s="2" t="s">
        <v>173</v>
      </c>
      <c r="G2267" s="2" t="s">
        <v>2734</v>
      </c>
      <c r="H2267" s="2" t="s">
        <v>379</v>
      </c>
      <c r="I2267" s="2" t="s">
        <v>567</v>
      </c>
      <c r="J2267" s="2" t="s">
        <v>434</v>
      </c>
      <c r="K2267" s="9">
        <v>45927</v>
      </c>
      <c r="L2267" s="9">
        <v>45933</v>
      </c>
      <c r="M2267" s="9">
        <v>45928</v>
      </c>
      <c r="N2267" s="2" t="s">
        <v>2549</v>
      </c>
      <c r="O2267" s="2" t="s">
        <v>56</v>
      </c>
      <c r="P2267" s="2" t="s">
        <v>151</v>
      </c>
      <c r="Q2267" s="2" t="s">
        <v>185</v>
      </c>
      <c r="R2267" s="2" t="s">
        <v>137</v>
      </c>
      <c r="S2267" s="2" t="s">
        <v>436</v>
      </c>
      <c r="T2267" s="10">
        <v>5401</v>
      </c>
      <c r="U2267" s="11">
        <v>1.1780000000000001E-2</v>
      </c>
      <c r="V2267" s="12">
        <f>T2267*U2267</f>
        <v>63.623780000000004</v>
      </c>
      <c r="W2267" s="13">
        <v>0.18</v>
      </c>
      <c r="X2267" s="12">
        <f>V2267-(V2267/(1+W2267))</f>
        <v>9.7053223728813549</v>
      </c>
      <c r="Y2267" s="12">
        <f>V2267-X2267</f>
        <v>53.918457627118649</v>
      </c>
      <c r="Z2267" s="14">
        <v>75</v>
      </c>
      <c r="AA2267" s="2" t="str">
        <f>IF(V2267&gt;Z2267,"Yes","No")</f>
        <v>No</v>
      </c>
      <c r="AB2267" s="12">
        <f>V2267-Z2267</f>
        <v>-11.376219999999996</v>
      </c>
      <c r="AC2267" s="15" t="s">
        <v>130</v>
      </c>
      <c r="AD2267" s="15" t="s">
        <v>131</v>
      </c>
      <c r="AE2267" s="15" t="s">
        <v>350</v>
      </c>
      <c r="AF2267" s="12">
        <f>IF(AG2267="Rejected",0,IF(R2267="Corporate Card",0,V2267))</f>
        <v>63.623780000000004</v>
      </c>
      <c r="AG2267" s="15" t="s">
        <v>133</v>
      </c>
      <c r="AH2267" s="16">
        <v>45938</v>
      </c>
      <c r="AI2267" s="16">
        <v>45939</v>
      </c>
      <c r="AJ2267" s="16">
        <v>45942</v>
      </c>
      <c r="AK2267" s="17">
        <f>IF(AJ2267="","",AJ2267-AH2267)</f>
        <v>4</v>
      </c>
    </row>
    <row r="2268" spans="1:37">
      <c r="A2268" s="2" t="s">
        <v>2748</v>
      </c>
      <c r="B2268" s="2" t="s">
        <v>169</v>
      </c>
      <c r="C2268" s="2" t="s">
        <v>170</v>
      </c>
      <c r="D2268" s="2" t="s">
        <v>171</v>
      </c>
      <c r="E2268" s="2" t="s">
        <v>172</v>
      </c>
      <c r="F2268" s="2" t="s">
        <v>173</v>
      </c>
      <c r="G2268" s="2" t="s">
        <v>2734</v>
      </c>
      <c r="H2268" s="2" t="s">
        <v>379</v>
      </c>
      <c r="I2268" s="2" t="s">
        <v>567</v>
      </c>
      <c r="J2268" s="2" t="s">
        <v>434</v>
      </c>
      <c r="K2268" s="9">
        <v>45927</v>
      </c>
      <c r="L2268" s="9">
        <v>45933</v>
      </c>
      <c r="M2268" s="9">
        <v>45928</v>
      </c>
      <c r="N2268" s="2" t="s">
        <v>2549</v>
      </c>
      <c r="O2268" s="2" t="s">
        <v>55</v>
      </c>
      <c r="P2268" s="2" t="s">
        <v>139</v>
      </c>
      <c r="Q2268" s="2" t="s">
        <v>154</v>
      </c>
      <c r="R2268" s="2" t="s">
        <v>149</v>
      </c>
      <c r="S2268" s="2" t="s">
        <v>436</v>
      </c>
      <c r="T2268" s="10">
        <v>1694</v>
      </c>
      <c r="U2268" s="11">
        <v>1.1780000000000001E-2</v>
      </c>
      <c r="V2268" s="12">
        <f>T2268*U2268</f>
        <v>19.95532</v>
      </c>
      <c r="W2268" s="13">
        <v>0.18</v>
      </c>
      <c r="X2268" s="12">
        <f>V2268-(V2268/(1+W2268))</f>
        <v>3.0440318644067794</v>
      </c>
      <c r="Y2268" s="12">
        <f>V2268-X2268</f>
        <v>16.911288135593221</v>
      </c>
      <c r="Z2268" s="14">
        <v>35</v>
      </c>
      <c r="AA2268" s="2" t="str">
        <f>IF(V2268&gt;Z2268,"Yes","No")</f>
        <v>No</v>
      </c>
      <c r="AB2268" s="12">
        <f>V2268-Z2268</f>
        <v>-15.04468</v>
      </c>
      <c r="AC2268" s="15" t="s">
        <v>131</v>
      </c>
      <c r="AD2268" s="15" t="s">
        <v>131</v>
      </c>
      <c r="AE2268" s="15" t="s">
        <v>350</v>
      </c>
      <c r="AF2268" s="12">
        <f>IF(AG2268="Rejected",0,IF(R2268="Corporate Card",0,V2268))</f>
        <v>19.95532</v>
      </c>
      <c r="AG2268" s="15" t="s">
        <v>133</v>
      </c>
      <c r="AH2268" s="16">
        <v>45938</v>
      </c>
      <c r="AI2268" s="16">
        <v>45939</v>
      </c>
      <c r="AJ2268" s="16">
        <v>45942</v>
      </c>
      <c r="AK2268" s="17">
        <f>IF(AJ2268="","",AJ2268-AH2268)</f>
        <v>4</v>
      </c>
    </row>
    <row r="2269" spans="1:37">
      <c r="A2269" s="2" t="s">
        <v>2749</v>
      </c>
      <c r="B2269" s="2" t="s">
        <v>169</v>
      </c>
      <c r="C2269" s="2" t="s">
        <v>170</v>
      </c>
      <c r="D2269" s="2" t="s">
        <v>171</v>
      </c>
      <c r="E2269" s="2" t="s">
        <v>172</v>
      </c>
      <c r="F2269" s="2" t="s">
        <v>173</v>
      </c>
      <c r="G2269" s="2" t="s">
        <v>2734</v>
      </c>
      <c r="H2269" s="2" t="s">
        <v>379</v>
      </c>
      <c r="I2269" s="2" t="s">
        <v>567</v>
      </c>
      <c r="J2269" s="2" t="s">
        <v>434</v>
      </c>
      <c r="K2269" s="9">
        <v>45927</v>
      </c>
      <c r="L2269" s="9">
        <v>45933</v>
      </c>
      <c r="M2269" s="9">
        <v>45928</v>
      </c>
      <c r="N2269" s="2" t="s">
        <v>2549</v>
      </c>
      <c r="O2269" s="2" t="s">
        <v>69</v>
      </c>
      <c r="P2269" s="2" t="s">
        <v>409</v>
      </c>
      <c r="Q2269" s="2" t="s">
        <v>1191</v>
      </c>
      <c r="R2269" s="2" t="s">
        <v>137</v>
      </c>
      <c r="S2269" s="2" t="s">
        <v>436</v>
      </c>
      <c r="T2269" s="10">
        <v>2865</v>
      </c>
      <c r="U2269" s="11">
        <v>1.1780000000000001E-2</v>
      </c>
      <c r="V2269" s="12">
        <f>T2269*U2269</f>
        <v>33.749700000000004</v>
      </c>
      <c r="W2269" s="13">
        <v>0.18</v>
      </c>
      <c r="X2269" s="12">
        <f>V2269-(V2269/(1+W2269))</f>
        <v>5.1482593220338977</v>
      </c>
      <c r="Y2269" s="12">
        <f>V2269-X2269</f>
        <v>28.601440677966107</v>
      </c>
      <c r="Z2269" s="14">
        <v>60</v>
      </c>
      <c r="AA2269" s="2" t="str">
        <f>IF(V2269&gt;Z2269,"Yes","No")</f>
        <v>No</v>
      </c>
      <c r="AB2269" s="12">
        <f>V2269-Z2269</f>
        <v>-26.250299999999996</v>
      </c>
      <c r="AC2269" s="15" t="s">
        <v>130</v>
      </c>
      <c r="AD2269" s="15" t="s">
        <v>131</v>
      </c>
      <c r="AE2269" s="15" t="s">
        <v>350</v>
      </c>
      <c r="AF2269" s="12">
        <f>IF(AG2269="Rejected",0,IF(R2269="Corporate Card",0,V2269))</f>
        <v>33.749700000000004</v>
      </c>
      <c r="AG2269" s="15" t="s">
        <v>133</v>
      </c>
      <c r="AH2269" s="16">
        <v>45938</v>
      </c>
      <c r="AI2269" s="16">
        <v>45939</v>
      </c>
      <c r="AJ2269" s="16">
        <v>45942</v>
      </c>
      <c r="AK2269" s="17">
        <f>IF(AJ2269="","",AJ2269-AH2269)</f>
        <v>4</v>
      </c>
    </row>
    <row r="2270" spans="1:37">
      <c r="A2270" s="2" t="s">
        <v>2750</v>
      </c>
      <c r="B2270" s="2" t="s">
        <v>1749</v>
      </c>
      <c r="C2270" s="2" t="s">
        <v>1750</v>
      </c>
      <c r="D2270" s="2" t="s">
        <v>118</v>
      </c>
      <c r="E2270" s="2" t="s">
        <v>119</v>
      </c>
      <c r="F2270" s="2" t="s">
        <v>120</v>
      </c>
      <c r="G2270" s="2" t="s">
        <v>2726</v>
      </c>
      <c r="H2270" s="2" t="s">
        <v>803</v>
      </c>
      <c r="I2270" s="2" t="s">
        <v>601</v>
      </c>
      <c r="J2270" s="2" t="s">
        <v>381</v>
      </c>
      <c r="K2270" s="9">
        <v>45927</v>
      </c>
      <c r="L2270" s="9">
        <v>45930</v>
      </c>
      <c r="M2270" s="9">
        <v>45929</v>
      </c>
      <c r="N2270" s="2" t="s">
        <v>2549</v>
      </c>
      <c r="O2270" s="2" t="s">
        <v>54</v>
      </c>
      <c r="P2270" s="2" t="s">
        <v>139</v>
      </c>
      <c r="Q2270" s="2" t="s">
        <v>163</v>
      </c>
      <c r="R2270" s="2" t="s">
        <v>137</v>
      </c>
      <c r="S2270" s="2" t="s">
        <v>383</v>
      </c>
      <c r="T2270" s="10">
        <v>17.97</v>
      </c>
      <c r="U2270" s="11">
        <v>1</v>
      </c>
      <c r="V2270" s="12">
        <f>T2270*U2270</f>
        <v>17.97</v>
      </c>
      <c r="W2270" s="13">
        <v>0</v>
      </c>
      <c r="X2270" s="12">
        <f>V2270-(V2270/(1+W2270))</f>
        <v>0</v>
      </c>
      <c r="Y2270" s="12">
        <f>V2270-X2270</f>
        <v>17.97</v>
      </c>
      <c r="Z2270" s="14">
        <v>25</v>
      </c>
      <c r="AA2270" s="2" t="str">
        <f>IF(V2270&gt;Z2270,"Yes","No")</f>
        <v>No</v>
      </c>
      <c r="AB2270" s="12">
        <f>V2270-Z2270</f>
        <v>-7.0300000000000011</v>
      </c>
      <c r="AC2270" s="15" t="s">
        <v>130</v>
      </c>
      <c r="AD2270" s="15" t="s">
        <v>131</v>
      </c>
      <c r="AE2270" s="15" t="s">
        <v>180</v>
      </c>
      <c r="AF2270" s="12">
        <f>IF(AG2270="Rejected",0,IF(R2270="Corporate Card",0,V2270))</f>
        <v>17.97</v>
      </c>
      <c r="AG2270" s="15" t="s">
        <v>181</v>
      </c>
      <c r="AH2270" s="16">
        <v>45941</v>
      </c>
      <c r="AI2270" s="16"/>
      <c r="AJ2270" s="16"/>
      <c r="AK2270" s="17" t="str">
        <f>IF(AJ2270="","",AJ2270-AH2270)</f>
        <v/>
      </c>
    </row>
    <row r="2271" spans="1:37">
      <c r="A2271" s="2" t="s">
        <v>2751</v>
      </c>
      <c r="B2271" s="2" t="s">
        <v>1749</v>
      </c>
      <c r="C2271" s="2" t="s">
        <v>1750</v>
      </c>
      <c r="D2271" s="2" t="s">
        <v>118</v>
      </c>
      <c r="E2271" s="2" t="s">
        <v>119</v>
      </c>
      <c r="F2271" s="2" t="s">
        <v>120</v>
      </c>
      <c r="G2271" s="2" t="s">
        <v>2726</v>
      </c>
      <c r="H2271" s="2" t="s">
        <v>803</v>
      </c>
      <c r="I2271" s="2" t="s">
        <v>601</v>
      </c>
      <c r="J2271" s="2" t="s">
        <v>381</v>
      </c>
      <c r="K2271" s="9">
        <v>45927</v>
      </c>
      <c r="L2271" s="9">
        <v>45930</v>
      </c>
      <c r="M2271" s="9">
        <v>45929</v>
      </c>
      <c r="N2271" s="2" t="s">
        <v>2549</v>
      </c>
      <c r="O2271" s="2" t="s">
        <v>56</v>
      </c>
      <c r="P2271" s="2" t="s">
        <v>245</v>
      </c>
      <c r="Q2271" s="2" t="s">
        <v>159</v>
      </c>
      <c r="R2271" s="2" t="s">
        <v>128</v>
      </c>
      <c r="S2271" s="2" t="s">
        <v>383</v>
      </c>
      <c r="T2271" s="10">
        <v>46.93</v>
      </c>
      <c r="U2271" s="11">
        <v>1</v>
      </c>
      <c r="V2271" s="12">
        <f>T2271*U2271</f>
        <v>46.93</v>
      </c>
      <c r="W2271" s="13">
        <v>0</v>
      </c>
      <c r="X2271" s="12">
        <f>V2271-(V2271/(1+W2271))</f>
        <v>0</v>
      </c>
      <c r="Y2271" s="12">
        <f>V2271-X2271</f>
        <v>46.93</v>
      </c>
      <c r="Z2271" s="14">
        <v>75</v>
      </c>
      <c r="AA2271" s="2" t="str">
        <f>IF(V2271&gt;Z2271,"Yes","No")</f>
        <v>No</v>
      </c>
      <c r="AB2271" s="12">
        <f>V2271-Z2271</f>
        <v>-28.07</v>
      </c>
      <c r="AC2271" s="15" t="s">
        <v>131</v>
      </c>
      <c r="AD2271" s="15" t="s">
        <v>131</v>
      </c>
      <c r="AE2271" s="15" t="s">
        <v>180</v>
      </c>
      <c r="AF2271" s="12">
        <f>IF(AG2271="Rejected",0,IF(R2271="Corporate Card",0,V2271))</f>
        <v>0</v>
      </c>
      <c r="AG2271" s="15" t="s">
        <v>181</v>
      </c>
      <c r="AH2271" s="16">
        <v>45941</v>
      </c>
      <c r="AI2271" s="16"/>
      <c r="AJ2271" s="16"/>
      <c r="AK2271" s="17" t="str">
        <f>IF(AJ2271="","",AJ2271-AH2271)</f>
        <v/>
      </c>
    </row>
    <row r="2272" spans="1:37">
      <c r="A2272" s="2" t="s">
        <v>2752</v>
      </c>
      <c r="B2272" s="2" t="s">
        <v>1749</v>
      </c>
      <c r="C2272" s="2" t="s">
        <v>1750</v>
      </c>
      <c r="D2272" s="2" t="s">
        <v>118</v>
      </c>
      <c r="E2272" s="2" t="s">
        <v>119</v>
      </c>
      <c r="F2272" s="2" t="s">
        <v>120</v>
      </c>
      <c r="G2272" s="2" t="s">
        <v>2726</v>
      </c>
      <c r="H2272" s="2" t="s">
        <v>803</v>
      </c>
      <c r="I2272" s="2" t="s">
        <v>601</v>
      </c>
      <c r="J2272" s="2" t="s">
        <v>381</v>
      </c>
      <c r="K2272" s="9">
        <v>45927</v>
      </c>
      <c r="L2272" s="9">
        <v>45930</v>
      </c>
      <c r="M2272" s="9">
        <v>45929</v>
      </c>
      <c r="N2272" s="2" t="s">
        <v>2549</v>
      </c>
      <c r="O2272" s="2" t="s">
        <v>55</v>
      </c>
      <c r="P2272" s="2" t="s">
        <v>139</v>
      </c>
      <c r="Q2272" s="2" t="s">
        <v>154</v>
      </c>
      <c r="R2272" s="2" t="s">
        <v>149</v>
      </c>
      <c r="S2272" s="2" t="s">
        <v>383</v>
      </c>
      <c r="T2272" s="10">
        <v>15.45</v>
      </c>
      <c r="U2272" s="11">
        <v>1</v>
      </c>
      <c r="V2272" s="12">
        <f>T2272*U2272</f>
        <v>15.45</v>
      </c>
      <c r="W2272" s="13">
        <v>0</v>
      </c>
      <c r="X2272" s="12">
        <f>V2272-(V2272/(1+W2272))</f>
        <v>0</v>
      </c>
      <c r="Y2272" s="12">
        <f>V2272-X2272</f>
        <v>15.45</v>
      </c>
      <c r="Z2272" s="14">
        <v>35</v>
      </c>
      <c r="AA2272" s="2" t="str">
        <f>IF(V2272&gt;Z2272,"Yes","No")</f>
        <v>No</v>
      </c>
      <c r="AB2272" s="12">
        <f>V2272-Z2272</f>
        <v>-19.55</v>
      </c>
      <c r="AC2272" s="15" t="s">
        <v>130</v>
      </c>
      <c r="AD2272" s="15" t="s">
        <v>131</v>
      </c>
      <c r="AE2272" s="15" t="s">
        <v>180</v>
      </c>
      <c r="AF2272" s="12">
        <f>IF(AG2272="Rejected",0,IF(R2272="Corporate Card",0,V2272))</f>
        <v>15.45</v>
      </c>
      <c r="AG2272" s="15" t="s">
        <v>181</v>
      </c>
      <c r="AH2272" s="16">
        <v>45941</v>
      </c>
      <c r="AI2272" s="16"/>
      <c r="AJ2272" s="16"/>
      <c r="AK2272" s="17" t="str">
        <f>IF(AJ2272="","",AJ2272-AH2272)</f>
        <v/>
      </c>
    </row>
    <row r="2273" spans="1:37">
      <c r="A2273" s="2" t="s">
        <v>2753</v>
      </c>
      <c r="B2273" s="2" t="s">
        <v>442</v>
      </c>
      <c r="C2273" s="2" t="s">
        <v>443</v>
      </c>
      <c r="D2273" s="2" t="s">
        <v>444</v>
      </c>
      <c r="E2273" s="2" t="s">
        <v>445</v>
      </c>
      <c r="F2273" s="2" t="s">
        <v>446</v>
      </c>
      <c r="G2273" s="2" t="s">
        <v>2701</v>
      </c>
      <c r="H2273" s="2" t="s">
        <v>748</v>
      </c>
      <c r="I2273" s="2" t="s">
        <v>123</v>
      </c>
      <c r="J2273" s="2" t="s">
        <v>124</v>
      </c>
      <c r="K2273" s="9">
        <v>45923</v>
      </c>
      <c r="L2273" s="9">
        <v>45929</v>
      </c>
      <c r="M2273" s="9">
        <v>45929</v>
      </c>
      <c r="N2273" s="2" t="s">
        <v>2549</v>
      </c>
      <c r="O2273" s="2" t="s">
        <v>55</v>
      </c>
      <c r="P2273" s="2" t="s">
        <v>139</v>
      </c>
      <c r="Q2273" s="2" t="s">
        <v>161</v>
      </c>
      <c r="R2273" s="2" t="s">
        <v>137</v>
      </c>
      <c r="S2273" s="2" t="s">
        <v>129</v>
      </c>
      <c r="T2273" s="10">
        <v>34.729999999999997</v>
      </c>
      <c r="U2273" s="11">
        <v>1.272</v>
      </c>
      <c r="V2273" s="12">
        <f>T2273*U2273</f>
        <v>44.176559999999995</v>
      </c>
      <c r="W2273" s="13">
        <v>0.2</v>
      </c>
      <c r="X2273" s="12">
        <f>V2273-(V2273/(1+W2273))</f>
        <v>7.3627599999999944</v>
      </c>
      <c r="Y2273" s="12">
        <f>V2273-X2273</f>
        <v>36.813800000000001</v>
      </c>
      <c r="Z2273" s="14">
        <v>35</v>
      </c>
      <c r="AA2273" s="2" t="str">
        <f>IF(V2273&gt;Z2273,"Yes","No")</f>
        <v>Yes</v>
      </c>
      <c r="AB2273" s="12">
        <f>V2273-Z2273</f>
        <v>9.1765599999999949</v>
      </c>
      <c r="AC2273" s="15" t="s">
        <v>130</v>
      </c>
      <c r="AD2273" s="15" t="s">
        <v>131</v>
      </c>
      <c r="AE2273" s="15" t="s">
        <v>132</v>
      </c>
      <c r="AF2273" s="12">
        <f>IF(AG2273="Rejected",0,IF(R2273="Corporate Card",0,V2273))</f>
        <v>44.176559999999995</v>
      </c>
      <c r="AG2273" s="15" t="s">
        <v>133</v>
      </c>
      <c r="AH2273" s="16">
        <v>45941</v>
      </c>
      <c r="AI2273" s="16">
        <v>45947</v>
      </c>
      <c r="AJ2273" s="16">
        <v>45956</v>
      </c>
      <c r="AK2273" s="17">
        <f>IF(AJ2273="","",AJ2273-AH2273)</f>
        <v>15</v>
      </c>
    </row>
    <row r="2274" spans="1:37">
      <c r="A2274" s="2" t="s">
        <v>2754</v>
      </c>
      <c r="B2274" s="2" t="s">
        <v>169</v>
      </c>
      <c r="C2274" s="2" t="s">
        <v>170</v>
      </c>
      <c r="D2274" s="2" t="s">
        <v>171</v>
      </c>
      <c r="E2274" s="2" t="s">
        <v>172</v>
      </c>
      <c r="F2274" s="2" t="s">
        <v>173</v>
      </c>
      <c r="G2274" s="2" t="s">
        <v>2734</v>
      </c>
      <c r="H2274" s="2" t="s">
        <v>379</v>
      </c>
      <c r="I2274" s="2" t="s">
        <v>567</v>
      </c>
      <c r="J2274" s="2" t="s">
        <v>434</v>
      </c>
      <c r="K2274" s="9">
        <v>45927</v>
      </c>
      <c r="L2274" s="9">
        <v>45933</v>
      </c>
      <c r="M2274" s="9">
        <v>45929</v>
      </c>
      <c r="N2274" s="2" t="s">
        <v>2549</v>
      </c>
      <c r="O2274" s="2" t="s">
        <v>54</v>
      </c>
      <c r="P2274" s="2" t="s">
        <v>139</v>
      </c>
      <c r="Q2274" s="2" t="s">
        <v>214</v>
      </c>
      <c r="R2274" s="2" t="s">
        <v>128</v>
      </c>
      <c r="S2274" s="2" t="s">
        <v>436</v>
      </c>
      <c r="T2274" s="10">
        <v>1208</v>
      </c>
      <c r="U2274" s="11">
        <v>1.1780000000000001E-2</v>
      </c>
      <c r="V2274" s="12">
        <f>T2274*U2274</f>
        <v>14.23024</v>
      </c>
      <c r="W2274" s="13">
        <v>0.18</v>
      </c>
      <c r="X2274" s="12">
        <f>V2274-(V2274/(1+W2274))</f>
        <v>2.1707145762711857</v>
      </c>
      <c r="Y2274" s="12">
        <f>V2274-X2274</f>
        <v>12.059525423728815</v>
      </c>
      <c r="Z2274" s="14">
        <v>25</v>
      </c>
      <c r="AA2274" s="2" t="str">
        <f>IF(V2274&gt;Z2274,"Yes","No")</f>
        <v>No</v>
      </c>
      <c r="AB2274" s="12">
        <f>V2274-Z2274</f>
        <v>-10.76976</v>
      </c>
      <c r="AC2274" s="15" t="s">
        <v>130</v>
      </c>
      <c r="AD2274" s="15" t="s">
        <v>131</v>
      </c>
      <c r="AE2274" s="15" t="s">
        <v>350</v>
      </c>
      <c r="AF2274" s="12">
        <f>IF(AG2274="Rejected",0,IF(R2274="Corporate Card",0,V2274))</f>
        <v>0</v>
      </c>
      <c r="AG2274" s="15" t="s">
        <v>133</v>
      </c>
      <c r="AH2274" s="16">
        <v>45938</v>
      </c>
      <c r="AI2274" s="16">
        <v>45939</v>
      </c>
      <c r="AJ2274" s="16">
        <v>45942</v>
      </c>
      <c r="AK2274" s="17">
        <f>IF(AJ2274="","",AJ2274-AH2274)</f>
        <v>4</v>
      </c>
    </row>
    <row r="2275" spans="1:37">
      <c r="A2275" s="2" t="s">
        <v>2755</v>
      </c>
      <c r="B2275" s="2" t="s">
        <v>169</v>
      </c>
      <c r="C2275" s="2" t="s">
        <v>170</v>
      </c>
      <c r="D2275" s="2" t="s">
        <v>171</v>
      </c>
      <c r="E2275" s="2" t="s">
        <v>172</v>
      </c>
      <c r="F2275" s="2" t="s">
        <v>173</v>
      </c>
      <c r="G2275" s="2" t="s">
        <v>2734</v>
      </c>
      <c r="H2275" s="2" t="s">
        <v>379</v>
      </c>
      <c r="I2275" s="2" t="s">
        <v>567</v>
      </c>
      <c r="J2275" s="2" t="s">
        <v>434</v>
      </c>
      <c r="K2275" s="9">
        <v>45927</v>
      </c>
      <c r="L2275" s="9">
        <v>45933</v>
      </c>
      <c r="M2275" s="9">
        <v>45929</v>
      </c>
      <c r="N2275" s="2" t="s">
        <v>2549</v>
      </c>
      <c r="O2275" s="2" t="s">
        <v>56</v>
      </c>
      <c r="P2275" s="2" t="s">
        <v>245</v>
      </c>
      <c r="Q2275" s="2" t="s">
        <v>166</v>
      </c>
      <c r="R2275" s="2" t="s">
        <v>137</v>
      </c>
      <c r="S2275" s="2" t="s">
        <v>436</v>
      </c>
      <c r="T2275" s="10">
        <v>5912</v>
      </c>
      <c r="U2275" s="11">
        <v>1.1780000000000001E-2</v>
      </c>
      <c r="V2275" s="12">
        <f>T2275*U2275</f>
        <v>69.643360000000001</v>
      </c>
      <c r="W2275" s="13">
        <v>0.18</v>
      </c>
      <c r="X2275" s="12">
        <f>V2275-(V2275/(1+W2275))</f>
        <v>10.623563389830508</v>
      </c>
      <c r="Y2275" s="12">
        <f>V2275-X2275</f>
        <v>59.019796610169493</v>
      </c>
      <c r="Z2275" s="14">
        <v>75</v>
      </c>
      <c r="AA2275" s="2" t="str">
        <f>IF(V2275&gt;Z2275,"Yes","No")</f>
        <v>No</v>
      </c>
      <c r="AB2275" s="12">
        <f>V2275-Z2275</f>
        <v>-5.3566399999999987</v>
      </c>
      <c r="AC2275" s="15" t="s">
        <v>130</v>
      </c>
      <c r="AD2275" s="15" t="s">
        <v>131</v>
      </c>
      <c r="AE2275" s="15" t="s">
        <v>350</v>
      </c>
      <c r="AF2275" s="12">
        <f>IF(AG2275="Rejected",0,IF(R2275="Corporate Card",0,V2275))</f>
        <v>69.643360000000001</v>
      </c>
      <c r="AG2275" s="15" t="s">
        <v>133</v>
      </c>
      <c r="AH2275" s="16">
        <v>45938</v>
      </c>
      <c r="AI2275" s="16">
        <v>45939</v>
      </c>
      <c r="AJ2275" s="16">
        <v>45942</v>
      </c>
      <c r="AK2275" s="17">
        <f>IF(AJ2275="","",AJ2275-AH2275)</f>
        <v>4</v>
      </c>
    </row>
    <row r="2276" spans="1:37">
      <c r="A2276" s="2" t="s">
        <v>2756</v>
      </c>
      <c r="B2276" s="2" t="s">
        <v>169</v>
      </c>
      <c r="C2276" s="2" t="s">
        <v>170</v>
      </c>
      <c r="D2276" s="2" t="s">
        <v>171</v>
      </c>
      <c r="E2276" s="2" t="s">
        <v>172</v>
      </c>
      <c r="F2276" s="2" t="s">
        <v>173</v>
      </c>
      <c r="G2276" s="2" t="s">
        <v>2734</v>
      </c>
      <c r="H2276" s="2" t="s">
        <v>379</v>
      </c>
      <c r="I2276" s="2" t="s">
        <v>567</v>
      </c>
      <c r="J2276" s="2" t="s">
        <v>434</v>
      </c>
      <c r="K2276" s="9">
        <v>45927</v>
      </c>
      <c r="L2276" s="9">
        <v>45933</v>
      </c>
      <c r="M2276" s="9">
        <v>45929</v>
      </c>
      <c r="N2276" s="2" t="s">
        <v>2549</v>
      </c>
      <c r="O2276" s="2" t="s">
        <v>55</v>
      </c>
      <c r="P2276" s="2" t="s">
        <v>139</v>
      </c>
      <c r="Q2276" s="2" t="s">
        <v>187</v>
      </c>
      <c r="R2276" s="2" t="s">
        <v>149</v>
      </c>
      <c r="S2276" s="2" t="s">
        <v>436</v>
      </c>
      <c r="T2276" s="10">
        <v>2706</v>
      </c>
      <c r="U2276" s="11">
        <v>1.1780000000000001E-2</v>
      </c>
      <c r="V2276" s="12">
        <f>T2276*U2276</f>
        <v>31.87668</v>
      </c>
      <c r="W2276" s="13">
        <v>0.18</v>
      </c>
      <c r="X2276" s="12">
        <f>V2276-(V2276/(1+W2276))</f>
        <v>4.8625444067796586</v>
      </c>
      <c r="Y2276" s="12">
        <f>V2276-X2276</f>
        <v>27.014135593220342</v>
      </c>
      <c r="Z2276" s="14">
        <v>35</v>
      </c>
      <c r="AA2276" s="2" t="str">
        <f>IF(V2276&gt;Z2276,"Yes","No")</f>
        <v>No</v>
      </c>
      <c r="AB2276" s="12">
        <f>V2276-Z2276</f>
        <v>-3.1233199999999997</v>
      </c>
      <c r="AC2276" s="15" t="s">
        <v>130</v>
      </c>
      <c r="AD2276" s="15" t="s">
        <v>131</v>
      </c>
      <c r="AE2276" s="15" t="s">
        <v>350</v>
      </c>
      <c r="AF2276" s="12">
        <f>IF(AG2276="Rejected",0,IF(R2276="Corporate Card",0,V2276))</f>
        <v>31.87668</v>
      </c>
      <c r="AG2276" s="15" t="s">
        <v>133</v>
      </c>
      <c r="AH2276" s="16">
        <v>45938</v>
      </c>
      <c r="AI2276" s="16">
        <v>45939</v>
      </c>
      <c r="AJ2276" s="16">
        <v>45942</v>
      </c>
      <c r="AK2276" s="17">
        <f>IF(AJ2276="","",AJ2276-AH2276)</f>
        <v>4</v>
      </c>
    </row>
    <row r="2277" spans="1:37">
      <c r="A2277" s="2" t="s">
        <v>2757</v>
      </c>
      <c r="B2277" s="2" t="s">
        <v>1749</v>
      </c>
      <c r="C2277" s="2" t="s">
        <v>1750</v>
      </c>
      <c r="D2277" s="2" t="s">
        <v>118</v>
      </c>
      <c r="E2277" s="2" t="s">
        <v>119</v>
      </c>
      <c r="F2277" s="2" t="s">
        <v>120</v>
      </c>
      <c r="G2277" s="2" t="s">
        <v>2726</v>
      </c>
      <c r="H2277" s="2" t="s">
        <v>803</v>
      </c>
      <c r="I2277" s="2" t="s">
        <v>601</v>
      </c>
      <c r="J2277" s="2" t="s">
        <v>381</v>
      </c>
      <c r="K2277" s="9">
        <v>45927</v>
      </c>
      <c r="L2277" s="9">
        <v>45930</v>
      </c>
      <c r="M2277" s="9">
        <v>45930</v>
      </c>
      <c r="N2277" s="2" t="s">
        <v>2549</v>
      </c>
      <c r="O2277" s="2" t="s">
        <v>54</v>
      </c>
      <c r="P2277" s="2" t="s">
        <v>139</v>
      </c>
      <c r="Q2277" s="2" t="s">
        <v>148</v>
      </c>
      <c r="R2277" s="2" t="s">
        <v>128</v>
      </c>
      <c r="S2277" s="2" t="s">
        <v>383</v>
      </c>
      <c r="T2277" s="10">
        <v>9.19</v>
      </c>
      <c r="U2277" s="11">
        <v>1</v>
      </c>
      <c r="V2277" s="12">
        <f>T2277*U2277</f>
        <v>9.19</v>
      </c>
      <c r="W2277" s="13">
        <v>0</v>
      </c>
      <c r="X2277" s="12">
        <f>V2277-(V2277/(1+W2277))</f>
        <v>0</v>
      </c>
      <c r="Y2277" s="12">
        <f>V2277-X2277</f>
        <v>9.19</v>
      </c>
      <c r="Z2277" s="14">
        <v>25</v>
      </c>
      <c r="AA2277" s="2" t="str">
        <f>IF(V2277&gt;Z2277,"Yes","No")</f>
        <v>No</v>
      </c>
      <c r="AB2277" s="12">
        <f>V2277-Z2277</f>
        <v>-15.81</v>
      </c>
      <c r="AC2277" s="15" t="s">
        <v>130</v>
      </c>
      <c r="AD2277" s="15" t="s">
        <v>131</v>
      </c>
      <c r="AE2277" s="15" t="s">
        <v>180</v>
      </c>
      <c r="AF2277" s="12">
        <f>IF(AG2277="Rejected",0,IF(R2277="Corporate Card",0,V2277))</f>
        <v>0</v>
      </c>
      <c r="AG2277" s="15" t="s">
        <v>181</v>
      </c>
      <c r="AH2277" s="16">
        <v>45941</v>
      </c>
      <c r="AI2277" s="16"/>
      <c r="AJ2277" s="16"/>
      <c r="AK2277" s="17" t="str">
        <f>IF(AJ2277="","",AJ2277-AH2277)</f>
        <v/>
      </c>
    </row>
    <row r="2278" spans="1:37">
      <c r="A2278" s="2" t="s">
        <v>2758</v>
      </c>
      <c r="B2278" s="2" t="s">
        <v>1749</v>
      </c>
      <c r="C2278" s="2" t="s">
        <v>1750</v>
      </c>
      <c r="D2278" s="2" t="s">
        <v>118</v>
      </c>
      <c r="E2278" s="2" t="s">
        <v>119</v>
      </c>
      <c r="F2278" s="2" t="s">
        <v>120</v>
      </c>
      <c r="G2278" s="2" t="s">
        <v>2726</v>
      </c>
      <c r="H2278" s="2" t="s">
        <v>803</v>
      </c>
      <c r="I2278" s="2" t="s">
        <v>601</v>
      </c>
      <c r="J2278" s="2" t="s">
        <v>381</v>
      </c>
      <c r="K2278" s="9">
        <v>45927</v>
      </c>
      <c r="L2278" s="9">
        <v>45930</v>
      </c>
      <c r="M2278" s="9">
        <v>45930</v>
      </c>
      <c r="N2278" s="2" t="s">
        <v>2549</v>
      </c>
      <c r="O2278" s="2" t="s">
        <v>56</v>
      </c>
      <c r="P2278" s="2" t="s">
        <v>245</v>
      </c>
      <c r="Q2278" s="2" t="s">
        <v>227</v>
      </c>
      <c r="R2278" s="2" t="s">
        <v>137</v>
      </c>
      <c r="S2278" s="2" t="s">
        <v>383</v>
      </c>
      <c r="T2278" s="10">
        <v>54.06</v>
      </c>
      <c r="U2278" s="11">
        <v>1</v>
      </c>
      <c r="V2278" s="12">
        <f>T2278*U2278</f>
        <v>54.06</v>
      </c>
      <c r="W2278" s="13">
        <v>0</v>
      </c>
      <c r="X2278" s="12">
        <f>V2278-(V2278/(1+W2278))</f>
        <v>0</v>
      </c>
      <c r="Y2278" s="12">
        <f>V2278-X2278</f>
        <v>54.06</v>
      </c>
      <c r="Z2278" s="14">
        <v>75</v>
      </c>
      <c r="AA2278" s="2" t="str">
        <f>IF(V2278&gt;Z2278,"Yes","No")</f>
        <v>No</v>
      </c>
      <c r="AB2278" s="12">
        <f>V2278-Z2278</f>
        <v>-20.939999999999998</v>
      </c>
      <c r="AC2278" s="15" t="s">
        <v>130</v>
      </c>
      <c r="AD2278" s="15" t="s">
        <v>131</v>
      </c>
      <c r="AE2278" s="15" t="s">
        <v>180</v>
      </c>
      <c r="AF2278" s="12">
        <f>IF(AG2278="Rejected",0,IF(R2278="Corporate Card",0,V2278))</f>
        <v>54.06</v>
      </c>
      <c r="AG2278" s="15" t="s">
        <v>181</v>
      </c>
      <c r="AH2278" s="16">
        <v>45941</v>
      </c>
      <c r="AI2278" s="16"/>
      <c r="AJ2278" s="16"/>
      <c r="AK2278" s="17" t="str">
        <f>IF(AJ2278="","",AJ2278-AH2278)</f>
        <v/>
      </c>
    </row>
    <row r="2279" spans="1:37">
      <c r="A2279" s="2" t="s">
        <v>2759</v>
      </c>
      <c r="B2279" s="2" t="s">
        <v>1749</v>
      </c>
      <c r="C2279" s="2" t="s">
        <v>1750</v>
      </c>
      <c r="D2279" s="2" t="s">
        <v>118</v>
      </c>
      <c r="E2279" s="2" t="s">
        <v>119</v>
      </c>
      <c r="F2279" s="2" t="s">
        <v>120</v>
      </c>
      <c r="G2279" s="2" t="s">
        <v>2726</v>
      </c>
      <c r="H2279" s="2" t="s">
        <v>803</v>
      </c>
      <c r="I2279" s="2" t="s">
        <v>601</v>
      </c>
      <c r="J2279" s="2" t="s">
        <v>381</v>
      </c>
      <c r="K2279" s="9">
        <v>45927</v>
      </c>
      <c r="L2279" s="9">
        <v>45930</v>
      </c>
      <c r="M2279" s="9">
        <v>45930</v>
      </c>
      <c r="N2279" s="2" t="s">
        <v>2549</v>
      </c>
      <c r="O2279" s="2" t="s">
        <v>55</v>
      </c>
      <c r="P2279" s="2" t="s">
        <v>139</v>
      </c>
      <c r="Q2279" s="2" t="s">
        <v>217</v>
      </c>
      <c r="R2279" s="2" t="s">
        <v>128</v>
      </c>
      <c r="S2279" s="2" t="s">
        <v>383</v>
      </c>
      <c r="T2279" s="10">
        <v>14.51</v>
      </c>
      <c r="U2279" s="11">
        <v>1</v>
      </c>
      <c r="V2279" s="12">
        <f>T2279*U2279</f>
        <v>14.51</v>
      </c>
      <c r="W2279" s="13">
        <v>0</v>
      </c>
      <c r="X2279" s="12">
        <f>V2279-(V2279/(1+W2279))</f>
        <v>0</v>
      </c>
      <c r="Y2279" s="12">
        <f>V2279-X2279</f>
        <v>14.51</v>
      </c>
      <c r="Z2279" s="14">
        <v>35</v>
      </c>
      <c r="AA2279" s="2" t="str">
        <f>IF(V2279&gt;Z2279,"Yes","No")</f>
        <v>No</v>
      </c>
      <c r="AB2279" s="12">
        <f>V2279-Z2279</f>
        <v>-20.490000000000002</v>
      </c>
      <c r="AC2279" s="15" t="s">
        <v>130</v>
      </c>
      <c r="AD2279" s="15" t="s">
        <v>131</v>
      </c>
      <c r="AE2279" s="15" t="s">
        <v>180</v>
      </c>
      <c r="AF2279" s="12">
        <f>IF(AG2279="Rejected",0,IF(R2279="Corporate Card",0,V2279))</f>
        <v>0</v>
      </c>
      <c r="AG2279" s="15" t="s">
        <v>181</v>
      </c>
      <c r="AH2279" s="16">
        <v>45941</v>
      </c>
      <c r="AI2279" s="16"/>
      <c r="AJ2279" s="16"/>
      <c r="AK2279" s="17" t="str">
        <f>IF(AJ2279="","",AJ2279-AH2279)</f>
        <v/>
      </c>
    </row>
    <row r="2280" spans="1:37">
      <c r="A2280" s="2" t="s">
        <v>2760</v>
      </c>
      <c r="B2280" s="2" t="s">
        <v>169</v>
      </c>
      <c r="C2280" s="2" t="s">
        <v>170</v>
      </c>
      <c r="D2280" s="2" t="s">
        <v>171</v>
      </c>
      <c r="E2280" s="2" t="s">
        <v>172</v>
      </c>
      <c r="F2280" s="2" t="s">
        <v>173</v>
      </c>
      <c r="G2280" s="2" t="s">
        <v>2734</v>
      </c>
      <c r="H2280" s="2" t="s">
        <v>379</v>
      </c>
      <c r="I2280" s="2" t="s">
        <v>567</v>
      </c>
      <c r="J2280" s="2" t="s">
        <v>434</v>
      </c>
      <c r="K2280" s="9">
        <v>45927</v>
      </c>
      <c r="L2280" s="9">
        <v>45933</v>
      </c>
      <c r="M2280" s="9">
        <v>45930</v>
      </c>
      <c r="N2280" s="2" t="s">
        <v>2549</v>
      </c>
      <c r="O2280" s="2" t="s">
        <v>54</v>
      </c>
      <c r="P2280" s="2" t="s">
        <v>139</v>
      </c>
      <c r="Q2280" s="2" t="s">
        <v>163</v>
      </c>
      <c r="R2280" s="2" t="s">
        <v>128</v>
      </c>
      <c r="S2280" s="2" t="s">
        <v>436</v>
      </c>
      <c r="T2280" s="10">
        <v>1614</v>
      </c>
      <c r="U2280" s="11">
        <v>1.1780000000000001E-2</v>
      </c>
      <c r="V2280" s="12">
        <f>T2280*U2280</f>
        <v>19.012920000000001</v>
      </c>
      <c r="W2280" s="13">
        <v>0.18</v>
      </c>
      <c r="X2280" s="12">
        <f>V2280-(V2280/(1+W2280))</f>
        <v>2.9002759322033889</v>
      </c>
      <c r="Y2280" s="12">
        <f>V2280-X2280</f>
        <v>16.112644067796612</v>
      </c>
      <c r="Z2280" s="14">
        <v>25</v>
      </c>
      <c r="AA2280" s="2" t="str">
        <f>IF(V2280&gt;Z2280,"Yes","No")</f>
        <v>No</v>
      </c>
      <c r="AB2280" s="12">
        <f>V2280-Z2280</f>
        <v>-5.9870799999999988</v>
      </c>
      <c r="AC2280" s="15" t="s">
        <v>130</v>
      </c>
      <c r="AD2280" s="15" t="s">
        <v>131</v>
      </c>
      <c r="AE2280" s="15" t="s">
        <v>350</v>
      </c>
      <c r="AF2280" s="12">
        <f>IF(AG2280="Rejected",0,IF(R2280="Corporate Card",0,V2280))</f>
        <v>0</v>
      </c>
      <c r="AG2280" s="15" t="s">
        <v>133</v>
      </c>
      <c r="AH2280" s="16">
        <v>45938</v>
      </c>
      <c r="AI2280" s="16">
        <v>45939</v>
      </c>
      <c r="AJ2280" s="16">
        <v>45942</v>
      </c>
      <c r="AK2280" s="17">
        <f>IF(AJ2280="","",AJ2280-AH2280)</f>
        <v>4</v>
      </c>
    </row>
    <row r="2281" spans="1:37">
      <c r="A2281" s="2" t="s">
        <v>2761</v>
      </c>
      <c r="B2281" s="2" t="s">
        <v>169</v>
      </c>
      <c r="C2281" s="2" t="s">
        <v>170</v>
      </c>
      <c r="D2281" s="2" t="s">
        <v>171</v>
      </c>
      <c r="E2281" s="2" t="s">
        <v>172</v>
      </c>
      <c r="F2281" s="2" t="s">
        <v>173</v>
      </c>
      <c r="G2281" s="2" t="s">
        <v>2734</v>
      </c>
      <c r="H2281" s="2" t="s">
        <v>379</v>
      </c>
      <c r="I2281" s="2" t="s">
        <v>567</v>
      </c>
      <c r="J2281" s="2" t="s">
        <v>434</v>
      </c>
      <c r="K2281" s="9">
        <v>45927</v>
      </c>
      <c r="L2281" s="9">
        <v>45933</v>
      </c>
      <c r="M2281" s="9">
        <v>45930</v>
      </c>
      <c r="N2281" s="2" t="s">
        <v>2549</v>
      </c>
      <c r="O2281" s="2" t="s">
        <v>55</v>
      </c>
      <c r="P2281" s="2" t="s">
        <v>139</v>
      </c>
      <c r="Q2281" s="2" t="s">
        <v>187</v>
      </c>
      <c r="R2281" s="2" t="s">
        <v>128</v>
      </c>
      <c r="S2281" s="2" t="s">
        <v>436</v>
      </c>
      <c r="T2281" s="10">
        <v>1220</v>
      </c>
      <c r="U2281" s="11">
        <v>1.1780000000000001E-2</v>
      </c>
      <c r="V2281" s="12">
        <f>T2281*U2281</f>
        <v>14.371600000000001</v>
      </c>
      <c r="W2281" s="13">
        <v>0.18</v>
      </c>
      <c r="X2281" s="12">
        <f>V2281-(V2281/(1+W2281))</f>
        <v>2.1922779661016936</v>
      </c>
      <c r="Y2281" s="12">
        <f>V2281-X2281</f>
        <v>12.179322033898307</v>
      </c>
      <c r="Z2281" s="14">
        <v>35</v>
      </c>
      <c r="AA2281" s="2" t="str">
        <f>IF(V2281&gt;Z2281,"Yes","No")</f>
        <v>No</v>
      </c>
      <c r="AB2281" s="12">
        <f>V2281-Z2281</f>
        <v>-20.628399999999999</v>
      </c>
      <c r="AC2281" s="15" t="s">
        <v>130</v>
      </c>
      <c r="AD2281" s="15" t="s">
        <v>131</v>
      </c>
      <c r="AE2281" s="15" t="s">
        <v>350</v>
      </c>
      <c r="AF2281" s="12">
        <f>IF(AG2281="Rejected",0,IF(R2281="Corporate Card",0,V2281))</f>
        <v>0</v>
      </c>
      <c r="AG2281" s="15" t="s">
        <v>133</v>
      </c>
      <c r="AH2281" s="16">
        <v>45938</v>
      </c>
      <c r="AI2281" s="16">
        <v>45939</v>
      </c>
      <c r="AJ2281" s="16">
        <v>45942</v>
      </c>
      <c r="AK2281" s="17">
        <f>IF(AJ2281="","",AJ2281-AH2281)</f>
        <v>4</v>
      </c>
    </row>
    <row r="2282" spans="1:37">
      <c r="A2282" s="2" t="s">
        <v>2762</v>
      </c>
      <c r="B2282" s="2" t="s">
        <v>2212</v>
      </c>
      <c r="C2282" s="2" t="s">
        <v>346</v>
      </c>
      <c r="D2282" s="2" t="s">
        <v>344</v>
      </c>
      <c r="E2282" s="2" t="s">
        <v>2213</v>
      </c>
      <c r="F2282" s="2" t="s">
        <v>313</v>
      </c>
      <c r="G2282" s="2" t="s">
        <v>2763</v>
      </c>
      <c r="H2282" s="2" t="s">
        <v>193</v>
      </c>
      <c r="I2282" s="2" t="s">
        <v>1251</v>
      </c>
      <c r="J2282" s="2" t="s">
        <v>750</v>
      </c>
      <c r="K2282" s="9">
        <v>45931</v>
      </c>
      <c r="L2282" s="9">
        <v>45936</v>
      </c>
      <c r="M2282" s="9">
        <v>45931</v>
      </c>
      <c r="N2282" s="2" t="s">
        <v>2764</v>
      </c>
      <c r="O2282" s="2" t="s">
        <v>52</v>
      </c>
      <c r="P2282" s="2" t="s">
        <v>1252</v>
      </c>
      <c r="Q2282" s="2" t="s">
        <v>178</v>
      </c>
      <c r="R2282" s="2" t="s">
        <v>149</v>
      </c>
      <c r="S2282" s="2" t="s">
        <v>198</v>
      </c>
      <c r="T2282" s="10">
        <v>1140.8399999999999</v>
      </c>
      <c r="U2282" s="11">
        <v>1.085</v>
      </c>
      <c r="V2282" s="12">
        <f>T2282*U2282</f>
        <v>1237.8113999999998</v>
      </c>
      <c r="W2282" s="13">
        <v>0</v>
      </c>
      <c r="X2282" s="12">
        <f>V2282-(V2282/(1+W2282))</f>
        <v>0</v>
      </c>
      <c r="Y2282" s="12">
        <f>V2282-X2282</f>
        <v>1237.8113999999998</v>
      </c>
      <c r="Z2282" s="14">
        <v>1400</v>
      </c>
      <c r="AA2282" s="2" t="str">
        <f>IF(V2282&gt;Z2282,"Yes","No")</f>
        <v>No</v>
      </c>
      <c r="AB2282" s="12">
        <f>V2282-Z2282</f>
        <v>-162.18860000000018</v>
      </c>
      <c r="AC2282" s="15" t="s">
        <v>131</v>
      </c>
      <c r="AD2282" s="15" t="s">
        <v>130</v>
      </c>
      <c r="AE2282" s="15" t="s">
        <v>858</v>
      </c>
      <c r="AF2282" s="12">
        <f>IF(AG2282="Rejected",0,IF(R2282="Corporate Card",0,V2282))</f>
        <v>0</v>
      </c>
      <c r="AG2282" s="15" t="s">
        <v>804</v>
      </c>
      <c r="AH2282" s="16">
        <v>45944</v>
      </c>
      <c r="AI2282" s="16"/>
      <c r="AJ2282" s="16"/>
      <c r="AK2282" s="17" t="str">
        <f>IF(AJ2282="","",AJ2282-AH2282)</f>
        <v/>
      </c>
    </row>
    <row r="2283" spans="1:37">
      <c r="A2283" s="2" t="s">
        <v>2765</v>
      </c>
      <c r="B2283" s="2" t="s">
        <v>2212</v>
      </c>
      <c r="C2283" s="2" t="s">
        <v>346</v>
      </c>
      <c r="D2283" s="2" t="s">
        <v>344</v>
      </c>
      <c r="E2283" s="2" t="s">
        <v>2213</v>
      </c>
      <c r="F2283" s="2" t="s">
        <v>313</v>
      </c>
      <c r="G2283" s="2" t="s">
        <v>2763</v>
      </c>
      <c r="H2283" s="2" t="s">
        <v>193</v>
      </c>
      <c r="I2283" s="2" t="s">
        <v>1251</v>
      </c>
      <c r="J2283" s="2" t="s">
        <v>750</v>
      </c>
      <c r="K2283" s="9">
        <v>45931</v>
      </c>
      <c r="L2283" s="9">
        <v>45936</v>
      </c>
      <c r="M2283" s="9">
        <v>45931</v>
      </c>
      <c r="N2283" s="2" t="s">
        <v>2764</v>
      </c>
      <c r="O2283" s="2" t="s">
        <v>63</v>
      </c>
      <c r="P2283" s="2" t="s">
        <v>200</v>
      </c>
      <c r="Q2283" s="2" t="s">
        <v>484</v>
      </c>
      <c r="R2283" s="2" t="s">
        <v>128</v>
      </c>
      <c r="S2283" s="2" t="s">
        <v>198</v>
      </c>
      <c r="T2283" s="10">
        <v>877.97</v>
      </c>
      <c r="U2283" s="11">
        <v>1.085</v>
      </c>
      <c r="V2283" s="12">
        <f>T2283*U2283</f>
        <v>952.59744999999998</v>
      </c>
      <c r="W2283" s="13">
        <v>0</v>
      </c>
      <c r="X2283" s="12">
        <f>V2283-(V2283/(1+W2283))</f>
        <v>0</v>
      </c>
      <c r="Y2283" s="12">
        <f>V2283-X2283</f>
        <v>952.59744999999998</v>
      </c>
      <c r="Z2283" s="14">
        <v>1200</v>
      </c>
      <c r="AA2283" s="2" t="str">
        <f>IF(V2283&gt;Z2283,"Yes","No")</f>
        <v>No</v>
      </c>
      <c r="AB2283" s="12">
        <f>V2283-Z2283</f>
        <v>-247.40255000000002</v>
      </c>
      <c r="AC2283" s="15" t="s">
        <v>130</v>
      </c>
      <c r="AD2283" s="15" t="s">
        <v>130</v>
      </c>
      <c r="AE2283" s="15" t="s">
        <v>858</v>
      </c>
      <c r="AF2283" s="12">
        <f>IF(AG2283="Rejected",0,IF(R2283="Corporate Card",0,V2283))</f>
        <v>0</v>
      </c>
      <c r="AG2283" s="15" t="s">
        <v>804</v>
      </c>
      <c r="AH2283" s="16">
        <v>45944</v>
      </c>
      <c r="AI2283" s="16"/>
      <c r="AJ2283" s="16"/>
      <c r="AK2283" s="17" t="str">
        <f>IF(AJ2283="","",AJ2283-AH2283)</f>
        <v/>
      </c>
    </row>
    <row r="2284" spans="1:37">
      <c r="A2284" s="2" t="s">
        <v>2766</v>
      </c>
      <c r="B2284" s="2" t="s">
        <v>2212</v>
      </c>
      <c r="C2284" s="2" t="s">
        <v>346</v>
      </c>
      <c r="D2284" s="2" t="s">
        <v>344</v>
      </c>
      <c r="E2284" s="2" t="s">
        <v>2213</v>
      </c>
      <c r="F2284" s="2" t="s">
        <v>313</v>
      </c>
      <c r="G2284" s="2" t="s">
        <v>2763</v>
      </c>
      <c r="H2284" s="2" t="s">
        <v>193</v>
      </c>
      <c r="I2284" s="2" t="s">
        <v>1251</v>
      </c>
      <c r="J2284" s="2" t="s">
        <v>750</v>
      </c>
      <c r="K2284" s="9">
        <v>45931</v>
      </c>
      <c r="L2284" s="9">
        <v>45936</v>
      </c>
      <c r="M2284" s="9">
        <v>45931</v>
      </c>
      <c r="N2284" s="2" t="s">
        <v>2764</v>
      </c>
      <c r="O2284" s="2" t="s">
        <v>58</v>
      </c>
      <c r="P2284" s="2" t="s">
        <v>142</v>
      </c>
      <c r="Q2284" s="2" t="s">
        <v>143</v>
      </c>
      <c r="R2284" s="2" t="s">
        <v>149</v>
      </c>
      <c r="S2284" s="2" t="s">
        <v>198</v>
      </c>
      <c r="T2284" s="10">
        <v>36.92</v>
      </c>
      <c r="U2284" s="11">
        <v>1.085</v>
      </c>
      <c r="V2284" s="12">
        <f>T2284*U2284</f>
        <v>40.058199999999999</v>
      </c>
      <c r="W2284" s="13">
        <v>0.19</v>
      </c>
      <c r="X2284" s="12">
        <f>V2284-(V2284/(1+W2284))</f>
        <v>6.3958470588235272</v>
      </c>
      <c r="Y2284" s="12">
        <f>V2284-X2284</f>
        <v>33.662352941176472</v>
      </c>
      <c r="Z2284" s="14">
        <v>60</v>
      </c>
      <c r="AA2284" s="2" t="str">
        <f>IF(V2284&gt;Z2284,"Yes","No")</f>
        <v>No</v>
      </c>
      <c r="AB2284" s="12">
        <f>V2284-Z2284</f>
        <v>-19.941800000000001</v>
      </c>
      <c r="AC2284" s="15" t="s">
        <v>130</v>
      </c>
      <c r="AD2284" s="15" t="s">
        <v>130</v>
      </c>
      <c r="AE2284" s="15" t="s">
        <v>858</v>
      </c>
      <c r="AF2284" s="12">
        <f>IF(AG2284="Rejected",0,IF(R2284="Corporate Card",0,V2284))</f>
        <v>0</v>
      </c>
      <c r="AG2284" s="15" t="s">
        <v>804</v>
      </c>
      <c r="AH2284" s="16">
        <v>45944</v>
      </c>
      <c r="AI2284" s="16"/>
      <c r="AJ2284" s="16"/>
      <c r="AK2284" s="17" t="str">
        <f>IF(AJ2284="","",AJ2284-AH2284)</f>
        <v/>
      </c>
    </row>
    <row r="2285" spans="1:37">
      <c r="A2285" s="2" t="s">
        <v>2767</v>
      </c>
      <c r="B2285" s="2" t="s">
        <v>2212</v>
      </c>
      <c r="C2285" s="2" t="s">
        <v>346</v>
      </c>
      <c r="D2285" s="2" t="s">
        <v>344</v>
      </c>
      <c r="E2285" s="2" t="s">
        <v>2213</v>
      </c>
      <c r="F2285" s="2" t="s">
        <v>313</v>
      </c>
      <c r="G2285" s="2" t="s">
        <v>2763</v>
      </c>
      <c r="H2285" s="2" t="s">
        <v>193</v>
      </c>
      <c r="I2285" s="2" t="s">
        <v>1251</v>
      </c>
      <c r="J2285" s="2" t="s">
        <v>750</v>
      </c>
      <c r="K2285" s="9">
        <v>45931</v>
      </c>
      <c r="L2285" s="9">
        <v>45936</v>
      </c>
      <c r="M2285" s="9">
        <v>45931</v>
      </c>
      <c r="N2285" s="2" t="s">
        <v>2764</v>
      </c>
      <c r="O2285" s="2" t="s">
        <v>54</v>
      </c>
      <c r="P2285" s="2" t="s">
        <v>139</v>
      </c>
      <c r="Q2285" s="2" t="s">
        <v>214</v>
      </c>
      <c r="R2285" s="2" t="s">
        <v>149</v>
      </c>
      <c r="S2285" s="2" t="s">
        <v>198</v>
      </c>
      <c r="T2285" s="10">
        <v>8.84</v>
      </c>
      <c r="U2285" s="11">
        <v>1.085</v>
      </c>
      <c r="V2285" s="12">
        <f>T2285*U2285</f>
        <v>9.5914000000000001</v>
      </c>
      <c r="W2285" s="13">
        <v>0.19</v>
      </c>
      <c r="X2285" s="12">
        <f>V2285-(V2285/(1+W2285))</f>
        <v>1.5313999999999997</v>
      </c>
      <c r="Y2285" s="12">
        <f>V2285-X2285</f>
        <v>8.06</v>
      </c>
      <c r="Z2285" s="14">
        <v>25</v>
      </c>
      <c r="AA2285" s="2" t="str">
        <f>IF(V2285&gt;Z2285,"Yes","No")</f>
        <v>No</v>
      </c>
      <c r="AB2285" s="12">
        <f>V2285-Z2285</f>
        <v>-15.4086</v>
      </c>
      <c r="AC2285" s="15" t="s">
        <v>130</v>
      </c>
      <c r="AD2285" s="15" t="s">
        <v>130</v>
      </c>
      <c r="AE2285" s="15" t="s">
        <v>858</v>
      </c>
      <c r="AF2285" s="12">
        <f>IF(AG2285="Rejected",0,IF(R2285="Corporate Card",0,V2285))</f>
        <v>0</v>
      </c>
      <c r="AG2285" s="15" t="s">
        <v>804</v>
      </c>
      <c r="AH2285" s="16">
        <v>45944</v>
      </c>
      <c r="AI2285" s="16"/>
      <c r="AJ2285" s="16"/>
      <c r="AK2285" s="17" t="str">
        <f>IF(AJ2285="","",AJ2285-AH2285)</f>
        <v/>
      </c>
    </row>
    <row r="2286" spans="1:37">
      <c r="A2286" s="2" t="s">
        <v>2768</v>
      </c>
      <c r="B2286" s="2" t="s">
        <v>2212</v>
      </c>
      <c r="C2286" s="2" t="s">
        <v>346</v>
      </c>
      <c r="D2286" s="2" t="s">
        <v>344</v>
      </c>
      <c r="E2286" s="2" t="s">
        <v>2213</v>
      </c>
      <c r="F2286" s="2" t="s">
        <v>313</v>
      </c>
      <c r="G2286" s="2" t="s">
        <v>2763</v>
      </c>
      <c r="H2286" s="2" t="s">
        <v>193</v>
      </c>
      <c r="I2286" s="2" t="s">
        <v>1251</v>
      </c>
      <c r="J2286" s="2" t="s">
        <v>750</v>
      </c>
      <c r="K2286" s="9">
        <v>45931</v>
      </c>
      <c r="L2286" s="9">
        <v>45936</v>
      </c>
      <c r="M2286" s="9">
        <v>45931</v>
      </c>
      <c r="N2286" s="2" t="s">
        <v>2764</v>
      </c>
      <c r="O2286" s="2" t="s">
        <v>56</v>
      </c>
      <c r="P2286" s="2" t="s">
        <v>165</v>
      </c>
      <c r="Q2286" s="2" t="s">
        <v>166</v>
      </c>
      <c r="R2286" s="2" t="s">
        <v>149</v>
      </c>
      <c r="S2286" s="2" t="s">
        <v>198</v>
      </c>
      <c r="T2286" s="10">
        <v>40.520000000000003</v>
      </c>
      <c r="U2286" s="11">
        <v>1.085</v>
      </c>
      <c r="V2286" s="12">
        <f>T2286*U2286</f>
        <v>43.964200000000005</v>
      </c>
      <c r="W2286" s="13">
        <v>0.19</v>
      </c>
      <c r="X2286" s="12">
        <f>V2286-(V2286/(1+W2286))</f>
        <v>7.0194941176470564</v>
      </c>
      <c r="Y2286" s="12">
        <f>V2286-X2286</f>
        <v>36.944705882352949</v>
      </c>
      <c r="Z2286" s="14">
        <v>75</v>
      </c>
      <c r="AA2286" s="2" t="str">
        <f>IF(V2286&gt;Z2286,"Yes","No")</f>
        <v>No</v>
      </c>
      <c r="AB2286" s="12">
        <f>V2286-Z2286</f>
        <v>-31.035799999999995</v>
      </c>
      <c r="AC2286" s="15" t="s">
        <v>130</v>
      </c>
      <c r="AD2286" s="15" t="s">
        <v>130</v>
      </c>
      <c r="AE2286" s="15" t="s">
        <v>858</v>
      </c>
      <c r="AF2286" s="12">
        <f>IF(AG2286="Rejected",0,IF(R2286="Corporate Card",0,V2286))</f>
        <v>0</v>
      </c>
      <c r="AG2286" s="15" t="s">
        <v>804</v>
      </c>
      <c r="AH2286" s="16">
        <v>45944</v>
      </c>
      <c r="AI2286" s="16"/>
      <c r="AJ2286" s="16"/>
      <c r="AK2286" s="17" t="str">
        <f>IF(AJ2286="","",AJ2286-AH2286)</f>
        <v/>
      </c>
    </row>
    <row r="2287" spans="1:37">
      <c r="A2287" s="2" t="s">
        <v>2769</v>
      </c>
      <c r="B2287" s="2" t="s">
        <v>169</v>
      </c>
      <c r="C2287" s="2" t="s">
        <v>170</v>
      </c>
      <c r="D2287" s="2" t="s">
        <v>171</v>
      </c>
      <c r="E2287" s="2" t="s">
        <v>172</v>
      </c>
      <c r="F2287" s="2" t="s">
        <v>173</v>
      </c>
      <c r="G2287" s="2" t="s">
        <v>2734</v>
      </c>
      <c r="H2287" s="2" t="s">
        <v>379</v>
      </c>
      <c r="I2287" s="2" t="s">
        <v>567</v>
      </c>
      <c r="J2287" s="2" t="s">
        <v>434</v>
      </c>
      <c r="K2287" s="9">
        <v>45927</v>
      </c>
      <c r="L2287" s="9">
        <v>45933</v>
      </c>
      <c r="M2287" s="9">
        <v>45931</v>
      </c>
      <c r="N2287" s="2" t="s">
        <v>2764</v>
      </c>
      <c r="O2287" s="2" t="s">
        <v>58</v>
      </c>
      <c r="P2287" s="2" t="s">
        <v>142</v>
      </c>
      <c r="Q2287" s="2" t="s">
        <v>143</v>
      </c>
      <c r="R2287" s="2" t="s">
        <v>137</v>
      </c>
      <c r="S2287" s="2" t="s">
        <v>436</v>
      </c>
      <c r="T2287" s="10">
        <v>2106</v>
      </c>
      <c r="U2287" s="11">
        <v>1.1780000000000001E-2</v>
      </c>
      <c r="V2287" s="12">
        <f>T2287*U2287</f>
        <v>24.808680000000003</v>
      </c>
      <c r="W2287" s="13">
        <v>0.18</v>
      </c>
      <c r="X2287" s="12">
        <f>V2287-(V2287/(1+W2287))</f>
        <v>3.7843749152542365</v>
      </c>
      <c r="Y2287" s="12">
        <f>V2287-X2287</f>
        <v>21.024305084745766</v>
      </c>
      <c r="Z2287" s="14">
        <v>60</v>
      </c>
      <c r="AA2287" s="2" t="str">
        <f>IF(V2287&gt;Z2287,"Yes","No")</f>
        <v>No</v>
      </c>
      <c r="AB2287" s="12">
        <f>V2287-Z2287</f>
        <v>-35.191319999999997</v>
      </c>
      <c r="AC2287" s="15" t="s">
        <v>130</v>
      </c>
      <c r="AD2287" s="15" t="s">
        <v>131</v>
      </c>
      <c r="AE2287" s="15" t="s">
        <v>350</v>
      </c>
      <c r="AF2287" s="12">
        <f>IF(AG2287="Rejected",0,IF(R2287="Corporate Card",0,V2287))</f>
        <v>24.808680000000003</v>
      </c>
      <c r="AG2287" s="15" t="s">
        <v>133</v>
      </c>
      <c r="AH2287" s="16">
        <v>45938</v>
      </c>
      <c r="AI2287" s="16">
        <v>45939</v>
      </c>
      <c r="AJ2287" s="16">
        <v>45942</v>
      </c>
      <c r="AK2287" s="17">
        <f>IF(AJ2287="","",AJ2287-AH2287)</f>
        <v>4</v>
      </c>
    </row>
    <row r="2288" spans="1:37">
      <c r="A2288" s="2" t="s">
        <v>2770</v>
      </c>
      <c r="B2288" s="2" t="s">
        <v>169</v>
      </c>
      <c r="C2288" s="2" t="s">
        <v>170</v>
      </c>
      <c r="D2288" s="2" t="s">
        <v>171</v>
      </c>
      <c r="E2288" s="2" t="s">
        <v>172</v>
      </c>
      <c r="F2288" s="2" t="s">
        <v>173</v>
      </c>
      <c r="G2288" s="2" t="s">
        <v>2734</v>
      </c>
      <c r="H2288" s="2" t="s">
        <v>379</v>
      </c>
      <c r="I2288" s="2" t="s">
        <v>567</v>
      </c>
      <c r="J2288" s="2" t="s">
        <v>434</v>
      </c>
      <c r="K2288" s="9">
        <v>45927</v>
      </c>
      <c r="L2288" s="9">
        <v>45933</v>
      </c>
      <c r="M2288" s="9">
        <v>45931</v>
      </c>
      <c r="N2288" s="2" t="s">
        <v>2764</v>
      </c>
      <c r="O2288" s="2" t="s">
        <v>55</v>
      </c>
      <c r="P2288" s="2" t="s">
        <v>139</v>
      </c>
      <c r="Q2288" s="2" t="s">
        <v>187</v>
      </c>
      <c r="R2288" s="2" t="s">
        <v>128</v>
      </c>
      <c r="S2288" s="2" t="s">
        <v>436</v>
      </c>
      <c r="T2288" s="10">
        <v>2226</v>
      </c>
      <c r="U2288" s="11">
        <v>1.1780000000000001E-2</v>
      </c>
      <c r="V2288" s="12">
        <f>T2288*U2288</f>
        <v>26.222280000000001</v>
      </c>
      <c r="W2288" s="13">
        <v>0.18</v>
      </c>
      <c r="X2288" s="12">
        <f>V2288-(V2288/(1+W2288))</f>
        <v>4.0000088135593224</v>
      </c>
      <c r="Y2288" s="12">
        <f>V2288-X2288</f>
        <v>22.222271186440679</v>
      </c>
      <c r="Z2288" s="14">
        <v>35</v>
      </c>
      <c r="AA2288" s="2" t="str">
        <f>IF(V2288&gt;Z2288,"Yes","No")</f>
        <v>No</v>
      </c>
      <c r="AB2288" s="12">
        <f>V2288-Z2288</f>
        <v>-8.7777199999999986</v>
      </c>
      <c r="AC2288" s="15" t="s">
        <v>130</v>
      </c>
      <c r="AD2288" s="15" t="s">
        <v>131</v>
      </c>
      <c r="AE2288" s="15" t="s">
        <v>350</v>
      </c>
      <c r="AF2288" s="12">
        <f>IF(AG2288="Rejected",0,IF(R2288="Corporate Card",0,V2288))</f>
        <v>0</v>
      </c>
      <c r="AG2288" s="15" t="s">
        <v>133</v>
      </c>
      <c r="AH2288" s="16">
        <v>45938</v>
      </c>
      <c r="AI2288" s="16">
        <v>45939</v>
      </c>
      <c r="AJ2288" s="16">
        <v>45942</v>
      </c>
      <c r="AK2288" s="17">
        <f>IF(AJ2288="","",AJ2288-AH2288)</f>
        <v>4</v>
      </c>
    </row>
    <row r="2289" spans="1:37">
      <c r="A2289" s="2" t="s">
        <v>2771</v>
      </c>
      <c r="B2289" s="2" t="s">
        <v>2212</v>
      </c>
      <c r="C2289" s="2" t="s">
        <v>346</v>
      </c>
      <c r="D2289" s="2" t="s">
        <v>344</v>
      </c>
      <c r="E2289" s="2" t="s">
        <v>2213</v>
      </c>
      <c r="F2289" s="2" t="s">
        <v>313</v>
      </c>
      <c r="G2289" s="2" t="s">
        <v>2763</v>
      </c>
      <c r="H2289" s="2" t="s">
        <v>193</v>
      </c>
      <c r="I2289" s="2" t="s">
        <v>1251</v>
      </c>
      <c r="J2289" s="2" t="s">
        <v>750</v>
      </c>
      <c r="K2289" s="9">
        <v>45931</v>
      </c>
      <c r="L2289" s="9">
        <v>45936</v>
      </c>
      <c r="M2289" s="9">
        <v>45932</v>
      </c>
      <c r="N2289" s="2" t="s">
        <v>2764</v>
      </c>
      <c r="O2289" s="2" t="s">
        <v>60</v>
      </c>
      <c r="P2289" s="2" t="s">
        <v>1677</v>
      </c>
      <c r="Q2289" s="2" t="s">
        <v>503</v>
      </c>
      <c r="R2289" s="2" t="s">
        <v>128</v>
      </c>
      <c r="S2289" s="2" t="s">
        <v>198</v>
      </c>
      <c r="T2289" s="10">
        <v>792.49</v>
      </c>
      <c r="U2289" s="11">
        <v>1.085</v>
      </c>
      <c r="V2289" s="12">
        <f>T2289*U2289</f>
        <v>859.85164999999995</v>
      </c>
      <c r="W2289" s="13">
        <v>0.19</v>
      </c>
      <c r="X2289" s="12">
        <f>V2289-(V2289/(1+W2289))</f>
        <v>137.28723823529413</v>
      </c>
      <c r="Y2289" s="12">
        <f>V2289-X2289</f>
        <v>722.56441176470582</v>
      </c>
      <c r="Z2289" s="14">
        <v>600</v>
      </c>
      <c r="AA2289" s="2" t="str">
        <f>IF(V2289&gt;Z2289,"Yes","No")</f>
        <v>Yes</v>
      </c>
      <c r="AB2289" s="12">
        <f>V2289-Z2289</f>
        <v>259.85164999999995</v>
      </c>
      <c r="AC2289" s="15" t="s">
        <v>130</v>
      </c>
      <c r="AD2289" s="15" t="s">
        <v>130</v>
      </c>
      <c r="AE2289" s="15" t="s">
        <v>858</v>
      </c>
      <c r="AF2289" s="12">
        <f>IF(AG2289="Rejected",0,IF(R2289="Corporate Card",0,V2289))</f>
        <v>0</v>
      </c>
      <c r="AG2289" s="15" t="s">
        <v>804</v>
      </c>
      <c r="AH2289" s="16">
        <v>45944</v>
      </c>
      <c r="AI2289" s="16"/>
      <c r="AJ2289" s="16"/>
      <c r="AK2289" s="17" t="str">
        <f>IF(AJ2289="","",AJ2289-AH2289)</f>
        <v/>
      </c>
    </row>
    <row r="2290" spans="1:37">
      <c r="A2290" s="2" t="s">
        <v>2772</v>
      </c>
      <c r="B2290" s="2" t="s">
        <v>2212</v>
      </c>
      <c r="C2290" s="2" t="s">
        <v>346</v>
      </c>
      <c r="D2290" s="2" t="s">
        <v>344</v>
      </c>
      <c r="E2290" s="2" t="s">
        <v>2213</v>
      </c>
      <c r="F2290" s="2" t="s">
        <v>313</v>
      </c>
      <c r="G2290" s="2" t="s">
        <v>2763</v>
      </c>
      <c r="H2290" s="2" t="s">
        <v>193</v>
      </c>
      <c r="I2290" s="2" t="s">
        <v>1251</v>
      </c>
      <c r="J2290" s="2" t="s">
        <v>750</v>
      </c>
      <c r="K2290" s="9">
        <v>45931</v>
      </c>
      <c r="L2290" s="9">
        <v>45936</v>
      </c>
      <c r="M2290" s="9">
        <v>45932</v>
      </c>
      <c r="N2290" s="2" t="s">
        <v>2764</v>
      </c>
      <c r="O2290" s="2" t="s">
        <v>58</v>
      </c>
      <c r="P2290" s="2" t="s">
        <v>142</v>
      </c>
      <c r="Q2290" s="2" t="s">
        <v>156</v>
      </c>
      <c r="R2290" s="2" t="s">
        <v>149</v>
      </c>
      <c r="S2290" s="2" t="s">
        <v>198</v>
      </c>
      <c r="T2290" s="10">
        <v>52.75</v>
      </c>
      <c r="U2290" s="11">
        <v>1.085</v>
      </c>
      <c r="V2290" s="12">
        <f>T2290*U2290</f>
        <v>57.233750000000001</v>
      </c>
      <c r="W2290" s="13">
        <v>0.19</v>
      </c>
      <c r="X2290" s="12">
        <f>V2290-(V2290/(1+W2290))</f>
        <v>9.1381617647058775</v>
      </c>
      <c r="Y2290" s="12">
        <f>V2290-X2290</f>
        <v>48.095588235294123</v>
      </c>
      <c r="Z2290" s="14">
        <v>60</v>
      </c>
      <c r="AA2290" s="2" t="str">
        <f>IF(V2290&gt;Z2290,"Yes","No")</f>
        <v>No</v>
      </c>
      <c r="AB2290" s="12">
        <f>V2290-Z2290</f>
        <v>-2.7662499999999994</v>
      </c>
      <c r="AC2290" s="15" t="s">
        <v>130</v>
      </c>
      <c r="AD2290" s="15" t="s">
        <v>130</v>
      </c>
      <c r="AE2290" s="15" t="s">
        <v>858</v>
      </c>
      <c r="AF2290" s="12">
        <f>IF(AG2290="Rejected",0,IF(R2290="Corporate Card",0,V2290))</f>
        <v>0</v>
      </c>
      <c r="AG2290" s="15" t="s">
        <v>804</v>
      </c>
      <c r="AH2290" s="16">
        <v>45944</v>
      </c>
      <c r="AI2290" s="16"/>
      <c r="AJ2290" s="16"/>
      <c r="AK2290" s="17" t="str">
        <f>IF(AJ2290="","",AJ2290-AH2290)</f>
        <v/>
      </c>
    </row>
    <row r="2291" spans="1:37">
      <c r="A2291" s="2" t="s">
        <v>2773</v>
      </c>
      <c r="B2291" s="2" t="s">
        <v>2212</v>
      </c>
      <c r="C2291" s="2" t="s">
        <v>346</v>
      </c>
      <c r="D2291" s="2" t="s">
        <v>344</v>
      </c>
      <c r="E2291" s="2" t="s">
        <v>2213</v>
      </c>
      <c r="F2291" s="2" t="s">
        <v>313</v>
      </c>
      <c r="G2291" s="2" t="s">
        <v>2763</v>
      </c>
      <c r="H2291" s="2" t="s">
        <v>193</v>
      </c>
      <c r="I2291" s="2" t="s">
        <v>1251</v>
      </c>
      <c r="J2291" s="2" t="s">
        <v>750</v>
      </c>
      <c r="K2291" s="9">
        <v>45931</v>
      </c>
      <c r="L2291" s="9">
        <v>45936</v>
      </c>
      <c r="M2291" s="9">
        <v>45932</v>
      </c>
      <c r="N2291" s="2" t="s">
        <v>2764</v>
      </c>
      <c r="O2291" s="2" t="s">
        <v>53</v>
      </c>
      <c r="P2291" s="2" t="s">
        <v>271</v>
      </c>
      <c r="Q2291" s="2" t="s">
        <v>458</v>
      </c>
      <c r="R2291" s="2" t="s">
        <v>137</v>
      </c>
      <c r="S2291" s="2" t="s">
        <v>198</v>
      </c>
      <c r="T2291" s="10">
        <v>586.12</v>
      </c>
      <c r="U2291" s="11">
        <v>1.085</v>
      </c>
      <c r="V2291" s="12">
        <f>T2291*U2291</f>
        <v>635.9402</v>
      </c>
      <c r="W2291" s="13">
        <v>0.19</v>
      </c>
      <c r="X2291" s="12">
        <f>V2291-(V2291/(1+W2291))</f>
        <v>101.53667058823532</v>
      </c>
      <c r="Y2291" s="12">
        <f>V2291-X2291</f>
        <v>534.40352941176468</v>
      </c>
      <c r="Z2291" s="14">
        <v>1400</v>
      </c>
      <c r="AA2291" s="2" t="str">
        <f>IF(V2291&gt;Z2291,"Yes","No")</f>
        <v>No</v>
      </c>
      <c r="AB2291" s="12">
        <f>V2291-Z2291</f>
        <v>-764.0598</v>
      </c>
      <c r="AC2291" s="15" t="s">
        <v>130</v>
      </c>
      <c r="AD2291" s="15" t="s">
        <v>130</v>
      </c>
      <c r="AE2291" s="15" t="s">
        <v>858</v>
      </c>
      <c r="AF2291" s="12">
        <f>IF(AG2291="Rejected",0,IF(R2291="Corporate Card",0,V2291))</f>
        <v>0</v>
      </c>
      <c r="AG2291" s="15" t="s">
        <v>804</v>
      </c>
      <c r="AH2291" s="16">
        <v>45944</v>
      </c>
      <c r="AI2291" s="16"/>
      <c r="AJ2291" s="16"/>
      <c r="AK2291" s="17" t="str">
        <f>IF(AJ2291="","",AJ2291-AH2291)</f>
        <v/>
      </c>
    </row>
    <row r="2292" spans="1:37">
      <c r="A2292" s="2" t="s">
        <v>2774</v>
      </c>
      <c r="B2292" s="2" t="s">
        <v>2212</v>
      </c>
      <c r="C2292" s="2" t="s">
        <v>346</v>
      </c>
      <c r="D2292" s="2" t="s">
        <v>344</v>
      </c>
      <c r="E2292" s="2" t="s">
        <v>2213</v>
      </c>
      <c r="F2292" s="2" t="s">
        <v>313</v>
      </c>
      <c r="G2292" s="2" t="s">
        <v>2763</v>
      </c>
      <c r="H2292" s="2" t="s">
        <v>193</v>
      </c>
      <c r="I2292" s="2" t="s">
        <v>1251</v>
      </c>
      <c r="J2292" s="2" t="s">
        <v>750</v>
      </c>
      <c r="K2292" s="9">
        <v>45931</v>
      </c>
      <c r="L2292" s="9">
        <v>45936</v>
      </c>
      <c r="M2292" s="9">
        <v>45932</v>
      </c>
      <c r="N2292" s="2" t="s">
        <v>2764</v>
      </c>
      <c r="O2292" s="2" t="s">
        <v>65</v>
      </c>
      <c r="P2292" s="2" t="s">
        <v>211</v>
      </c>
      <c r="Q2292" s="2" t="s">
        <v>212</v>
      </c>
      <c r="R2292" s="2" t="s">
        <v>149</v>
      </c>
      <c r="S2292" s="2" t="s">
        <v>198</v>
      </c>
      <c r="T2292" s="10">
        <v>36.92</v>
      </c>
      <c r="U2292" s="11">
        <v>1.085</v>
      </c>
      <c r="V2292" s="12">
        <f>T2292*U2292</f>
        <v>40.058199999999999</v>
      </c>
      <c r="W2292" s="13">
        <v>0.19</v>
      </c>
      <c r="X2292" s="12">
        <f>V2292-(V2292/(1+W2292))</f>
        <v>6.3958470588235272</v>
      </c>
      <c r="Y2292" s="12">
        <f>V2292-X2292</f>
        <v>33.662352941176472</v>
      </c>
      <c r="Z2292" s="14">
        <v>55</v>
      </c>
      <c r="AA2292" s="2" t="str">
        <f>IF(V2292&gt;Z2292,"Yes","No")</f>
        <v>No</v>
      </c>
      <c r="AB2292" s="12">
        <f>V2292-Z2292</f>
        <v>-14.941800000000001</v>
      </c>
      <c r="AC2292" s="15" t="s">
        <v>130</v>
      </c>
      <c r="AD2292" s="15" t="s">
        <v>130</v>
      </c>
      <c r="AE2292" s="15" t="s">
        <v>858</v>
      </c>
      <c r="AF2292" s="12">
        <f>IF(AG2292="Rejected",0,IF(R2292="Corporate Card",0,V2292))</f>
        <v>0</v>
      </c>
      <c r="AG2292" s="15" t="s">
        <v>804</v>
      </c>
      <c r="AH2292" s="16">
        <v>45944</v>
      </c>
      <c r="AI2292" s="16"/>
      <c r="AJ2292" s="16"/>
      <c r="AK2292" s="17" t="str">
        <f>IF(AJ2292="","",AJ2292-AH2292)</f>
        <v/>
      </c>
    </row>
    <row r="2293" spans="1:37">
      <c r="A2293" s="2" t="s">
        <v>2775</v>
      </c>
      <c r="B2293" s="2" t="s">
        <v>2212</v>
      </c>
      <c r="C2293" s="2" t="s">
        <v>346</v>
      </c>
      <c r="D2293" s="2" t="s">
        <v>344</v>
      </c>
      <c r="E2293" s="2" t="s">
        <v>2213</v>
      </c>
      <c r="F2293" s="2" t="s">
        <v>313</v>
      </c>
      <c r="G2293" s="2" t="s">
        <v>2763</v>
      </c>
      <c r="H2293" s="2" t="s">
        <v>193</v>
      </c>
      <c r="I2293" s="2" t="s">
        <v>1251</v>
      </c>
      <c r="J2293" s="2" t="s">
        <v>750</v>
      </c>
      <c r="K2293" s="9">
        <v>45931</v>
      </c>
      <c r="L2293" s="9">
        <v>45936</v>
      </c>
      <c r="M2293" s="9">
        <v>45932</v>
      </c>
      <c r="N2293" s="2" t="s">
        <v>2764</v>
      </c>
      <c r="O2293" s="2" t="s">
        <v>54</v>
      </c>
      <c r="P2293" s="2" t="s">
        <v>139</v>
      </c>
      <c r="Q2293" s="2" t="s">
        <v>214</v>
      </c>
      <c r="R2293" s="2" t="s">
        <v>128</v>
      </c>
      <c r="S2293" s="2" t="s">
        <v>198</v>
      </c>
      <c r="T2293" s="10">
        <v>15.43</v>
      </c>
      <c r="U2293" s="11">
        <v>1.085</v>
      </c>
      <c r="V2293" s="12">
        <f>T2293*U2293</f>
        <v>16.74155</v>
      </c>
      <c r="W2293" s="13">
        <v>0.19</v>
      </c>
      <c r="X2293" s="12">
        <f>V2293-(V2293/(1+W2293))</f>
        <v>2.6730205882352926</v>
      </c>
      <c r="Y2293" s="12">
        <f>V2293-X2293</f>
        <v>14.068529411764708</v>
      </c>
      <c r="Z2293" s="14">
        <v>25</v>
      </c>
      <c r="AA2293" s="2" t="str">
        <f>IF(V2293&gt;Z2293,"Yes","No")</f>
        <v>No</v>
      </c>
      <c r="AB2293" s="12">
        <f>V2293-Z2293</f>
        <v>-8.2584499999999998</v>
      </c>
      <c r="AC2293" s="15" t="s">
        <v>130</v>
      </c>
      <c r="AD2293" s="15" t="s">
        <v>130</v>
      </c>
      <c r="AE2293" s="15" t="s">
        <v>858</v>
      </c>
      <c r="AF2293" s="12">
        <f>IF(AG2293="Rejected",0,IF(R2293="Corporate Card",0,V2293))</f>
        <v>0</v>
      </c>
      <c r="AG2293" s="15" t="s">
        <v>804</v>
      </c>
      <c r="AH2293" s="16">
        <v>45944</v>
      </c>
      <c r="AI2293" s="16"/>
      <c r="AJ2293" s="16"/>
      <c r="AK2293" s="17" t="str">
        <f>IF(AJ2293="","",AJ2293-AH2293)</f>
        <v/>
      </c>
    </row>
    <row r="2294" spans="1:37">
      <c r="A2294" s="2" t="s">
        <v>2776</v>
      </c>
      <c r="B2294" s="2" t="s">
        <v>2212</v>
      </c>
      <c r="C2294" s="2" t="s">
        <v>346</v>
      </c>
      <c r="D2294" s="2" t="s">
        <v>344</v>
      </c>
      <c r="E2294" s="2" t="s">
        <v>2213</v>
      </c>
      <c r="F2294" s="2" t="s">
        <v>313</v>
      </c>
      <c r="G2294" s="2" t="s">
        <v>2763</v>
      </c>
      <c r="H2294" s="2" t="s">
        <v>193</v>
      </c>
      <c r="I2294" s="2" t="s">
        <v>1251</v>
      </c>
      <c r="J2294" s="2" t="s">
        <v>750</v>
      </c>
      <c r="K2294" s="9">
        <v>45931</v>
      </c>
      <c r="L2294" s="9">
        <v>45936</v>
      </c>
      <c r="M2294" s="9">
        <v>45932</v>
      </c>
      <c r="N2294" s="2" t="s">
        <v>2764</v>
      </c>
      <c r="O2294" s="2" t="s">
        <v>56</v>
      </c>
      <c r="P2294" s="2" t="s">
        <v>165</v>
      </c>
      <c r="Q2294" s="2" t="s">
        <v>185</v>
      </c>
      <c r="R2294" s="2" t="s">
        <v>149</v>
      </c>
      <c r="S2294" s="2" t="s">
        <v>198</v>
      </c>
      <c r="T2294" s="10">
        <v>31.62</v>
      </c>
      <c r="U2294" s="11">
        <v>1.085</v>
      </c>
      <c r="V2294" s="12">
        <f>T2294*U2294</f>
        <v>34.307699999999997</v>
      </c>
      <c r="W2294" s="13">
        <v>0.19</v>
      </c>
      <c r="X2294" s="12">
        <f>V2294-(V2294/(1+W2294))</f>
        <v>5.4776999999999987</v>
      </c>
      <c r="Y2294" s="12">
        <f>V2294-X2294</f>
        <v>28.83</v>
      </c>
      <c r="Z2294" s="14">
        <v>75</v>
      </c>
      <c r="AA2294" s="2" t="str">
        <f>IF(V2294&gt;Z2294,"Yes","No")</f>
        <v>No</v>
      </c>
      <c r="AB2294" s="12">
        <f>V2294-Z2294</f>
        <v>-40.692300000000003</v>
      </c>
      <c r="AC2294" s="15" t="s">
        <v>130</v>
      </c>
      <c r="AD2294" s="15" t="s">
        <v>130</v>
      </c>
      <c r="AE2294" s="15" t="s">
        <v>858</v>
      </c>
      <c r="AF2294" s="12">
        <f>IF(AG2294="Rejected",0,IF(R2294="Corporate Card",0,V2294))</f>
        <v>0</v>
      </c>
      <c r="AG2294" s="15" t="s">
        <v>804</v>
      </c>
      <c r="AH2294" s="16">
        <v>45944</v>
      </c>
      <c r="AI2294" s="16"/>
      <c r="AJ2294" s="16"/>
      <c r="AK2294" s="17" t="str">
        <f>IF(AJ2294="","",AJ2294-AH2294)</f>
        <v/>
      </c>
    </row>
    <row r="2295" spans="1:37">
      <c r="A2295" s="2" t="s">
        <v>2777</v>
      </c>
      <c r="B2295" s="2" t="s">
        <v>169</v>
      </c>
      <c r="C2295" s="2" t="s">
        <v>170</v>
      </c>
      <c r="D2295" s="2" t="s">
        <v>171</v>
      </c>
      <c r="E2295" s="2" t="s">
        <v>172</v>
      </c>
      <c r="F2295" s="2" t="s">
        <v>173</v>
      </c>
      <c r="G2295" s="2" t="s">
        <v>2734</v>
      </c>
      <c r="H2295" s="2" t="s">
        <v>379</v>
      </c>
      <c r="I2295" s="2" t="s">
        <v>567</v>
      </c>
      <c r="J2295" s="2" t="s">
        <v>434</v>
      </c>
      <c r="K2295" s="9">
        <v>45927</v>
      </c>
      <c r="L2295" s="9">
        <v>45933</v>
      </c>
      <c r="M2295" s="9">
        <v>45932</v>
      </c>
      <c r="N2295" s="2" t="s">
        <v>2764</v>
      </c>
      <c r="O2295" s="2" t="s">
        <v>54</v>
      </c>
      <c r="P2295" s="2" t="s">
        <v>139</v>
      </c>
      <c r="Q2295" s="2" t="s">
        <v>148</v>
      </c>
      <c r="R2295" s="2" t="s">
        <v>137</v>
      </c>
      <c r="S2295" s="2" t="s">
        <v>436</v>
      </c>
      <c r="T2295" s="10">
        <v>3139</v>
      </c>
      <c r="U2295" s="11">
        <v>1.1780000000000001E-2</v>
      </c>
      <c r="V2295" s="12">
        <f>T2295*U2295</f>
        <v>36.977420000000002</v>
      </c>
      <c r="W2295" s="13">
        <v>0.18</v>
      </c>
      <c r="X2295" s="12">
        <f>V2295-(V2295/(1+W2295))</f>
        <v>5.6406233898305089</v>
      </c>
      <c r="Y2295" s="12">
        <f>V2295-X2295</f>
        <v>31.336796610169493</v>
      </c>
      <c r="Z2295" s="14">
        <v>25</v>
      </c>
      <c r="AA2295" s="2" t="str">
        <f>IF(V2295&gt;Z2295,"Yes","No")</f>
        <v>Yes</v>
      </c>
      <c r="AB2295" s="12">
        <f>V2295-Z2295</f>
        <v>11.977420000000002</v>
      </c>
      <c r="AC2295" s="15" t="s">
        <v>130</v>
      </c>
      <c r="AD2295" s="15" t="s">
        <v>131</v>
      </c>
      <c r="AE2295" s="15" t="s">
        <v>350</v>
      </c>
      <c r="AF2295" s="12">
        <f>IF(AG2295="Rejected",0,IF(R2295="Corporate Card",0,V2295))</f>
        <v>36.977420000000002</v>
      </c>
      <c r="AG2295" s="15" t="s">
        <v>133</v>
      </c>
      <c r="AH2295" s="16">
        <v>45938</v>
      </c>
      <c r="AI2295" s="16">
        <v>45939</v>
      </c>
      <c r="AJ2295" s="16">
        <v>45942</v>
      </c>
      <c r="AK2295" s="17">
        <f>IF(AJ2295="","",AJ2295-AH2295)</f>
        <v>4</v>
      </c>
    </row>
    <row r="2296" spans="1:37">
      <c r="A2296" s="2" t="s">
        <v>2778</v>
      </c>
      <c r="B2296" s="2" t="s">
        <v>169</v>
      </c>
      <c r="C2296" s="2" t="s">
        <v>170</v>
      </c>
      <c r="D2296" s="2" t="s">
        <v>171</v>
      </c>
      <c r="E2296" s="2" t="s">
        <v>172</v>
      </c>
      <c r="F2296" s="2" t="s">
        <v>173</v>
      </c>
      <c r="G2296" s="2" t="s">
        <v>2734</v>
      </c>
      <c r="H2296" s="2" t="s">
        <v>379</v>
      </c>
      <c r="I2296" s="2" t="s">
        <v>567</v>
      </c>
      <c r="J2296" s="2" t="s">
        <v>434</v>
      </c>
      <c r="K2296" s="9">
        <v>45927</v>
      </c>
      <c r="L2296" s="9">
        <v>45933</v>
      </c>
      <c r="M2296" s="9">
        <v>45932</v>
      </c>
      <c r="N2296" s="2" t="s">
        <v>2764</v>
      </c>
      <c r="O2296" s="2" t="s">
        <v>56</v>
      </c>
      <c r="P2296" s="2" t="s">
        <v>151</v>
      </c>
      <c r="Q2296" s="2" t="s">
        <v>152</v>
      </c>
      <c r="R2296" s="2" t="s">
        <v>149</v>
      </c>
      <c r="S2296" s="2" t="s">
        <v>436</v>
      </c>
      <c r="T2296" s="10">
        <v>2744</v>
      </c>
      <c r="U2296" s="11">
        <v>1.1780000000000001E-2</v>
      </c>
      <c r="V2296" s="12">
        <f>T2296*U2296</f>
        <v>32.32432</v>
      </c>
      <c r="W2296" s="13">
        <v>0.18</v>
      </c>
      <c r="X2296" s="12">
        <f>V2296-(V2296/(1+W2296))</f>
        <v>4.9308284745762698</v>
      </c>
      <c r="Y2296" s="12">
        <f>V2296-X2296</f>
        <v>27.39349152542373</v>
      </c>
      <c r="Z2296" s="14">
        <v>75</v>
      </c>
      <c r="AA2296" s="2" t="str">
        <f>IF(V2296&gt;Z2296,"Yes","No")</f>
        <v>No</v>
      </c>
      <c r="AB2296" s="12">
        <f>V2296-Z2296</f>
        <v>-42.67568</v>
      </c>
      <c r="AC2296" s="15" t="s">
        <v>130</v>
      </c>
      <c r="AD2296" s="15" t="s">
        <v>131</v>
      </c>
      <c r="AE2296" s="15" t="s">
        <v>350</v>
      </c>
      <c r="AF2296" s="12">
        <f>IF(AG2296="Rejected",0,IF(R2296="Corporate Card",0,V2296))</f>
        <v>32.32432</v>
      </c>
      <c r="AG2296" s="15" t="s">
        <v>133</v>
      </c>
      <c r="AH2296" s="16">
        <v>45938</v>
      </c>
      <c r="AI2296" s="16">
        <v>45939</v>
      </c>
      <c r="AJ2296" s="16">
        <v>45942</v>
      </c>
      <c r="AK2296" s="17">
        <f>IF(AJ2296="","",AJ2296-AH2296)</f>
        <v>4</v>
      </c>
    </row>
    <row r="2297" spans="1:37">
      <c r="A2297" s="2" t="s">
        <v>2779</v>
      </c>
      <c r="B2297" s="2" t="s">
        <v>2212</v>
      </c>
      <c r="C2297" s="2" t="s">
        <v>346</v>
      </c>
      <c r="D2297" s="2" t="s">
        <v>344</v>
      </c>
      <c r="E2297" s="2" t="s">
        <v>2213</v>
      </c>
      <c r="F2297" s="2" t="s">
        <v>313</v>
      </c>
      <c r="G2297" s="2" t="s">
        <v>2763</v>
      </c>
      <c r="H2297" s="2" t="s">
        <v>193</v>
      </c>
      <c r="I2297" s="2" t="s">
        <v>1251</v>
      </c>
      <c r="J2297" s="2" t="s">
        <v>750</v>
      </c>
      <c r="K2297" s="9">
        <v>45931</v>
      </c>
      <c r="L2297" s="9">
        <v>45936</v>
      </c>
      <c r="M2297" s="9">
        <v>45933</v>
      </c>
      <c r="N2297" s="2" t="s">
        <v>2764</v>
      </c>
      <c r="O2297" s="2" t="s">
        <v>58</v>
      </c>
      <c r="P2297" s="2" t="s">
        <v>142</v>
      </c>
      <c r="Q2297" s="2" t="s">
        <v>143</v>
      </c>
      <c r="R2297" s="2" t="s">
        <v>128</v>
      </c>
      <c r="S2297" s="2" t="s">
        <v>198</v>
      </c>
      <c r="T2297" s="10">
        <v>54.62</v>
      </c>
      <c r="U2297" s="11">
        <v>1.085</v>
      </c>
      <c r="V2297" s="12">
        <f>T2297*U2297</f>
        <v>59.262699999999995</v>
      </c>
      <c r="W2297" s="13">
        <v>0.19</v>
      </c>
      <c r="X2297" s="12">
        <f>V2297-(V2297/(1+W2297))</f>
        <v>9.462111764705881</v>
      </c>
      <c r="Y2297" s="12">
        <f>V2297-X2297</f>
        <v>49.800588235294114</v>
      </c>
      <c r="Z2297" s="14">
        <v>60</v>
      </c>
      <c r="AA2297" s="2" t="str">
        <f>IF(V2297&gt;Z2297,"Yes","No")</f>
        <v>No</v>
      </c>
      <c r="AB2297" s="12">
        <f>V2297-Z2297</f>
        <v>-0.73730000000000473</v>
      </c>
      <c r="AC2297" s="15" t="s">
        <v>131</v>
      </c>
      <c r="AD2297" s="15" t="s">
        <v>130</v>
      </c>
      <c r="AE2297" s="15" t="s">
        <v>858</v>
      </c>
      <c r="AF2297" s="12">
        <f>IF(AG2297="Rejected",0,IF(R2297="Corporate Card",0,V2297))</f>
        <v>0</v>
      </c>
      <c r="AG2297" s="15" t="s">
        <v>804</v>
      </c>
      <c r="AH2297" s="16">
        <v>45944</v>
      </c>
      <c r="AI2297" s="16"/>
      <c r="AJ2297" s="16"/>
      <c r="AK2297" s="17" t="str">
        <f>IF(AJ2297="","",AJ2297-AH2297)</f>
        <v/>
      </c>
    </row>
    <row r="2298" spans="1:37">
      <c r="A2298" s="2" t="s">
        <v>2780</v>
      </c>
      <c r="B2298" s="2" t="s">
        <v>2212</v>
      </c>
      <c r="C2298" s="2" t="s">
        <v>346</v>
      </c>
      <c r="D2298" s="2" t="s">
        <v>344</v>
      </c>
      <c r="E2298" s="2" t="s">
        <v>2213</v>
      </c>
      <c r="F2298" s="2" t="s">
        <v>313</v>
      </c>
      <c r="G2298" s="2" t="s">
        <v>2763</v>
      </c>
      <c r="H2298" s="2" t="s">
        <v>193</v>
      </c>
      <c r="I2298" s="2" t="s">
        <v>1251</v>
      </c>
      <c r="J2298" s="2" t="s">
        <v>750</v>
      </c>
      <c r="K2298" s="9">
        <v>45931</v>
      </c>
      <c r="L2298" s="9">
        <v>45936</v>
      </c>
      <c r="M2298" s="9">
        <v>45933</v>
      </c>
      <c r="N2298" s="2" t="s">
        <v>2764</v>
      </c>
      <c r="O2298" s="2" t="s">
        <v>54</v>
      </c>
      <c r="P2298" s="2" t="s">
        <v>139</v>
      </c>
      <c r="Q2298" s="2" t="s">
        <v>148</v>
      </c>
      <c r="R2298" s="2" t="s">
        <v>128</v>
      </c>
      <c r="S2298" s="2" t="s">
        <v>198</v>
      </c>
      <c r="T2298" s="10">
        <v>22.78</v>
      </c>
      <c r="U2298" s="11">
        <v>1.085</v>
      </c>
      <c r="V2298" s="12">
        <f>T2298*U2298</f>
        <v>24.7163</v>
      </c>
      <c r="W2298" s="13">
        <v>0.19</v>
      </c>
      <c r="X2298" s="12">
        <f>V2298-(V2298/(1+W2298))</f>
        <v>3.9463000000000008</v>
      </c>
      <c r="Y2298" s="12">
        <f>V2298-X2298</f>
        <v>20.77</v>
      </c>
      <c r="Z2298" s="14">
        <v>25</v>
      </c>
      <c r="AA2298" s="2" t="str">
        <f>IF(V2298&gt;Z2298,"Yes","No")</f>
        <v>No</v>
      </c>
      <c r="AB2298" s="12">
        <f>V2298-Z2298</f>
        <v>-0.28369999999999962</v>
      </c>
      <c r="AC2298" s="15" t="s">
        <v>130</v>
      </c>
      <c r="AD2298" s="15" t="s">
        <v>130</v>
      </c>
      <c r="AE2298" s="15" t="s">
        <v>858</v>
      </c>
      <c r="AF2298" s="12">
        <f>IF(AG2298="Rejected",0,IF(R2298="Corporate Card",0,V2298))</f>
        <v>0</v>
      </c>
      <c r="AG2298" s="15" t="s">
        <v>804</v>
      </c>
      <c r="AH2298" s="16">
        <v>45944</v>
      </c>
      <c r="AI2298" s="16"/>
      <c r="AJ2298" s="16"/>
      <c r="AK2298" s="17" t="str">
        <f>IF(AJ2298="","",AJ2298-AH2298)</f>
        <v/>
      </c>
    </row>
    <row r="2299" spans="1:37">
      <c r="A2299" s="2" t="s">
        <v>2781</v>
      </c>
      <c r="B2299" s="2" t="s">
        <v>2212</v>
      </c>
      <c r="C2299" s="2" t="s">
        <v>346</v>
      </c>
      <c r="D2299" s="2" t="s">
        <v>344</v>
      </c>
      <c r="E2299" s="2" t="s">
        <v>2213</v>
      </c>
      <c r="F2299" s="2" t="s">
        <v>313</v>
      </c>
      <c r="G2299" s="2" t="s">
        <v>2763</v>
      </c>
      <c r="H2299" s="2" t="s">
        <v>193</v>
      </c>
      <c r="I2299" s="2" t="s">
        <v>1251</v>
      </c>
      <c r="J2299" s="2" t="s">
        <v>750</v>
      </c>
      <c r="K2299" s="9">
        <v>45931</v>
      </c>
      <c r="L2299" s="9">
        <v>45936</v>
      </c>
      <c r="M2299" s="9">
        <v>45933</v>
      </c>
      <c r="N2299" s="2" t="s">
        <v>2764</v>
      </c>
      <c r="O2299" s="2" t="s">
        <v>56</v>
      </c>
      <c r="P2299" s="2" t="s">
        <v>165</v>
      </c>
      <c r="Q2299" s="2" t="s">
        <v>159</v>
      </c>
      <c r="R2299" s="2" t="s">
        <v>128</v>
      </c>
      <c r="S2299" s="2" t="s">
        <v>198</v>
      </c>
      <c r="T2299" s="10">
        <v>55.04</v>
      </c>
      <c r="U2299" s="11">
        <v>1.085</v>
      </c>
      <c r="V2299" s="12">
        <f>T2299*U2299</f>
        <v>59.718399999999995</v>
      </c>
      <c r="W2299" s="13">
        <v>0.19</v>
      </c>
      <c r="X2299" s="12">
        <f>V2299-(V2299/(1+W2299))</f>
        <v>9.5348705882352931</v>
      </c>
      <c r="Y2299" s="12">
        <f>V2299-X2299</f>
        <v>50.183529411764702</v>
      </c>
      <c r="Z2299" s="14">
        <v>75</v>
      </c>
      <c r="AA2299" s="2" t="str">
        <f>IF(V2299&gt;Z2299,"Yes","No")</f>
        <v>No</v>
      </c>
      <c r="AB2299" s="12">
        <f>V2299-Z2299</f>
        <v>-15.281600000000005</v>
      </c>
      <c r="AC2299" s="15" t="s">
        <v>130</v>
      </c>
      <c r="AD2299" s="15" t="s">
        <v>130</v>
      </c>
      <c r="AE2299" s="15" t="s">
        <v>858</v>
      </c>
      <c r="AF2299" s="12">
        <f>IF(AG2299="Rejected",0,IF(R2299="Corporate Card",0,V2299))</f>
        <v>0</v>
      </c>
      <c r="AG2299" s="15" t="s">
        <v>804</v>
      </c>
      <c r="AH2299" s="16">
        <v>45944</v>
      </c>
      <c r="AI2299" s="16"/>
      <c r="AJ2299" s="16"/>
      <c r="AK2299" s="17" t="str">
        <f>IF(AJ2299="","",AJ2299-AH2299)</f>
        <v/>
      </c>
    </row>
    <row r="2300" spans="1:37">
      <c r="A2300" s="2" t="s">
        <v>2782</v>
      </c>
      <c r="B2300" s="2" t="s">
        <v>2212</v>
      </c>
      <c r="C2300" s="2" t="s">
        <v>346</v>
      </c>
      <c r="D2300" s="2" t="s">
        <v>344</v>
      </c>
      <c r="E2300" s="2" t="s">
        <v>2213</v>
      </c>
      <c r="F2300" s="2" t="s">
        <v>313</v>
      </c>
      <c r="G2300" s="2" t="s">
        <v>2763</v>
      </c>
      <c r="H2300" s="2" t="s">
        <v>193</v>
      </c>
      <c r="I2300" s="2" t="s">
        <v>1251</v>
      </c>
      <c r="J2300" s="2" t="s">
        <v>750</v>
      </c>
      <c r="K2300" s="9">
        <v>45931</v>
      </c>
      <c r="L2300" s="9">
        <v>45936</v>
      </c>
      <c r="M2300" s="9">
        <v>45933</v>
      </c>
      <c r="N2300" s="2" t="s">
        <v>2764</v>
      </c>
      <c r="O2300" s="2" t="s">
        <v>55</v>
      </c>
      <c r="P2300" s="2" t="s">
        <v>139</v>
      </c>
      <c r="Q2300" s="2" t="s">
        <v>154</v>
      </c>
      <c r="R2300" s="2" t="s">
        <v>128</v>
      </c>
      <c r="S2300" s="2" t="s">
        <v>198</v>
      </c>
      <c r="T2300" s="10">
        <v>19.579999999999998</v>
      </c>
      <c r="U2300" s="11">
        <v>1.085</v>
      </c>
      <c r="V2300" s="12">
        <f>T2300*U2300</f>
        <v>21.244299999999999</v>
      </c>
      <c r="W2300" s="13">
        <v>0.19</v>
      </c>
      <c r="X2300" s="12">
        <f>V2300-(V2300/(1+W2300))</f>
        <v>3.3919470588235292</v>
      </c>
      <c r="Y2300" s="12">
        <f>V2300-X2300</f>
        <v>17.85235294117647</v>
      </c>
      <c r="Z2300" s="14">
        <v>35</v>
      </c>
      <c r="AA2300" s="2" t="str">
        <f>IF(V2300&gt;Z2300,"Yes","No")</f>
        <v>No</v>
      </c>
      <c r="AB2300" s="12">
        <f>V2300-Z2300</f>
        <v>-13.755700000000001</v>
      </c>
      <c r="AC2300" s="15" t="s">
        <v>130</v>
      </c>
      <c r="AD2300" s="15" t="s">
        <v>130</v>
      </c>
      <c r="AE2300" s="15" t="s">
        <v>858</v>
      </c>
      <c r="AF2300" s="12">
        <f>IF(AG2300="Rejected",0,IF(R2300="Corporate Card",0,V2300))</f>
        <v>0</v>
      </c>
      <c r="AG2300" s="15" t="s">
        <v>804</v>
      </c>
      <c r="AH2300" s="16">
        <v>45944</v>
      </c>
      <c r="AI2300" s="16"/>
      <c r="AJ2300" s="16"/>
      <c r="AK2300" s="17" t="str">
        <f>IF(AJ2300="","",AJ2300-AH2300)</f>
        <v/>
      </c>
    </row>
    <row r="2301" spans="1:37">
      <c r="A2301" s="2" t="s">
        <v>2783</v>
      </c>
      <c r="B2301" s="2" t="s">
        <v>2212</v>
      </c>
      <c r="C2301" s="2" t="s">
        <v>346</v>
      </c>
      <c r="D2301" s="2" t="s">
        <v>344</v>
      </c>
      <c r="E2301" s="2" t="s">
        <v>2213</v>
      </c>
      <c r="F2301" s="2" t="s">
        <v>313</v>
      </c>
      <c r="G2301" s="2" t="s">
        <v>2763</v>
      </c>
      <c r="H2301" s="2" t="s">
        <v>193</v>
      </c>
      <c r="I2301" s="2" t="s">
        <v>1251</v>
      </c>
      <c r="J2301" s="2" t="s">
        <v>750</v>
      </c>
      <c r="K2301" s="9">
        <v>45931</v>
      </c>
      <c r="L2301" s="9">
        <v>45936</v>
      </c>
      <c r="M2301" s="9">
        <v>45933</v>
      </c>
      <c r="N2301" s="2" t="s">
        <v>2764</v>
      </c>
      <c r="O2301" s="2" t="s">
        <v>62</v>
      </c>
      <c r="P2301" s="2" t="s">
        <v>533</v>
      </c>
      <c r="Q2301" s="2" t="s">
        <v>548</v>
      </c>
      <c r="R2301" s="2" t="s">
        <v>128</v>
      </c>
      <c r="S2301" s="2" t="s">
        <v>198</v>
      </c>
      <c r="T2301" s="10">
        <v>30.51</v>
      </c>
      <c r="U2301" s="11">
        <v>1.085</v>
      </c>
      <c r="V2301" s="12">
        <f>T2301*U2301</f>
        <v>33.103349999999999</v>
      </c>
      <c r="W2301" s="13">
        <v>0.19</v>
      </c>
      <c r="X2301" s="12">
        <f>V2301-(V2301/(1+W2301))</f>
        <v>5.2854088235294121</v>
      </c>
      <c r="Y2301" s="12">
        <f>V2301-X2301</f>
        <v>27.817941176470587</v>
      </c>
      <c r="Z2301" s="14">
        <v>45</v>
      </c>
      <c r="AA2301" s="2" t="str">
        <f>IF(V2301&gt;Z2301,"Yes","No")</f>
        <v>No</v>
      </c>
      <c r="AB2301" s="12">
        <f>V2301-Z2301</f>
        <v>-11.896650000000001</v>
      </c>
      <c r="AC2301" s="15" t="s">
        <v>130</v>
      </c>
      <c r="AD2301" s="15" t="s">
        <v>130</v>
      </c>
      <c r="AE2301" s="15" t="s">
        <v>858</v>
      </c>
      <c r="AF2301" s="12">
        <f>IF(AG2301="Rejected",0,IF(R2301="Corporate Card",0,V2301))</f>
        <v>0</v>
      </c>
      <c r="AG2301" s="15" t="s">
        <v>804</v>
      </c>
      <c r="AH2301" s="16">
        <v>45944</v>
      </c>
      <c r="AI2301" s="16"/>
      <c r="AJ2301" s="16"/>
      <c r="AK2301" s="17" t="str">
        <f>IF(AJ2301="","",AJ2301-AH2301)</f>
        <v/>
      </c>
    </row>
    <row r="2302" spans="1:37">
      <c r="A2302" s="2" t="s">
        <v>2784</v>
      </c>
      <c r="B2302" s="2" t="s">
        <v>169</v>
      </c>
      <c r="C2302" s="2" t="s">
        <v>170</v>
      </c>
      <c r="D2302" s="2" t="s">
        <v>171</v>
      </c>
      <c r="E2302" s="2" t="s">
        <v>172</v>
      </c>
      <c r="F2302" s="2" t="s">
        <v>173</v>
      </c>
      <c r="G2302" s="2" t="s">
        <v>2734</v>
      </c>
      <c r="H2302" s="2" t="s">
        <v>379</v>
      </c>
      <c r="I2302" s="2" t="s">
        <v>567</v>
      </c>
      <c r="J2302" s="2" t="s">
        <v>434</v>
      </c>
      <c r="K2302" s="9">
        <v>45927</v>
      </c>
      <c r="L2302" s="9">
        <v>45933</v>
      </c>
      <c r="M2302" s="9">
        <v>45933</v>
      </c>
      <c r="N2302" s="2" t="s">
        <v>2764</v>
      </c>
      <c r="O2302" s="2" t="s">
        <v>54</v>
      </c>
      <c r="P2302" s="2" t="s">
        <v>139</v>
      </c>
      <c r="Q2302" s="2" t="s">
        <v>163</v>
      </c>
      <c r="R2302" s="2" t="s">
        <v>128</v>
      </c>
      <c r="S2302" s="2" t="s">
        <v>436</v>
      </c>
      <c r="T2302" s="10">
        <v>1201</v>
      </c>
      <c r="U2302" s="11">
        <v>1.1780000000000001E-2</v>
      </c>
      <c r="V2302" s="12">
        <f>T2302*U2302</f>
        <v>14.147780000000001</v>
      </c>
      <c r="W2302" s="13">
        <v>0.18</v>
      </c>
      <c r="X2302" s="12">
        <f>V2302-(V2302/(1+W2302))</f>
        <v>2.1581359322033897</v>
      </c>
      <c r="Y2302" s="12">
        <f>V2302-X2302</f>
        <v>11.989644067796611</v>
      </c>
      <c r="Z2302" s="14">
        <v>25</v>
      </c>
      <c r="AA2302" s="2" t="str">
        <f>IF(V2302&gt;Z2302,"Yes","No")</f>
        <v>No</v>
      </c>
      <c r="AB2302" s="12">
        <f>V2302-Z2302</f>
        <v>-10.852219999999999</v>
      </c>
      <c r="AC2302" s="15" t="s">
        <v>130</v>
      </c>
      <c r="AD2302" s="15" t="s">
        <v>131</v>
      </c>
      <c r="AE2302" s="15" t="s">
        <v>350</v>
      </c>
      <c r="AF2302" s="12">
        <f>IF(AG2302="Rejected",0,IF(R2302="Corporate Card",0,V2302))</f>
        <v>0</v>
      </c>
      <c r="AG2302" s="15" t="s">
        <v>133</v>
      </c>
      <c r="AH2302" s="16">
        <v>45938</v>
      </c>
      <c r="AI2302" s="16">
        <v>45939</v>
      </c>
      <c r="AJ2302" s="16">
        <v>45942</v>
      </c>
      <c r="AK2302" s="17">
        <f>IF(AJ2302="","",AJ2302-AH2302)</f>
        <v>4</v>
      </c>
    </row>
    <row r="2303" spans="1:37">
      <c r="A2303" s="2" t="s">
        <v>2785</v>
      </c>
      <c r="B2303" s="2" t="s">
        <v>169</v>
      </c>
      <c r="C2303" s="2" t="s">
        <v>170</v>
      </c>
      <c r="D2303" s="2" t="s">
        <v>171</v>
      </c>
      <c r="E2303" s="2" t="s">
        <v>172</v>
      </c>
      <c r="F2303" s="2" t="s">
        <v>173</v>
      </c>
      <c r="G2303" s="2" t="s">
        <v>2734</v>
      </c>
      <c r="H2303" s="2" t="s">
        <v>379</v>
      </c>
      <c r="I2303" s="2" t="s">
        <v>567</v>
      </c>
      <c r="J2303" s="2" t="s">
        <v>434</v>
      </c>
      <c r="K2303" s="9">
        <v>45927</v>
      </c>
      <c r="L2303" s="9">
        <v>45933</v>
      </c>
      <c r="M2303" s="9">
        <v>45933</v>
      </c>
      <c r="N2303" s="2" t="s">
        <v>2764</v>
      </c>
      <c r="O2303" s="2" t="s">
        <v>55</v>
      </c>
      <c r="P2303" s="2" t="s">
        <v>139</v>
      </c>
      <c r="Q2303" s="2" t="s">
        <v>187</v>
      </c>
      <c r="R2303" s="2" t="s">
        <v>128</v>
      </c>
      <c r="S2303" s="2" t="s">
        <v>436</v>
      </c>
      <c r="T2303" s="10">
        <v>2429</v>
      </c>
      <c r="U2303" s="11">
        <v>1.1780000000000001E-2</v>
      </c>
      <c r="V2303" s="12">
        <f>T2303*U2303</f>
        <v>28.613620000000001</v>
      </c>
      <c r="W2303" s="13">
        <v>0.18</v>
      </c>
      <c r="X2303" s="12">
        <f>V2303-(V2303/(1+W2303))</f>
        <v>4.3647894915254213</v>
      </c>
      <c r="Y2303" s="12">
        <f>V2303-X2303</f>
        <v>24.24883050847458</v>
      </c>
      <c r="Z2303" s="14">
        <v>35</v>
      </c>
      <c r="AA2303" s="2" t="str">
        <f>IF(V2303&gt;Z2303,"Yes","No")</f>
        <v>No</v>
      </c>
      <c r="AB2303" s="12">
        <f>V2303-Z2303</f>
        <v>-6.3863799999999991</v>
      </c>
      <c r="AC2303" s="15" t="s">
        <v>130</v>
      </c>
      <c r="AD2303" s="15" t="s">
        <v>131</v>
      </c>
      <c r="AE2303" s="15" t="s">
        <v>350</v>
      </c>
      <c r="AF2303" s="12">
        <f>IF(AG2303="Rejected",0,IF(R2303="Corporate Card",0,V2303))</f>
        <v>0</v>
      </c>
      <c r="AG2303" s="15" t="s">
        <v>133</v>
      </c>
      <c r="AH2303" s="16">
        <v>45938</v>
      </c>
      <c r="AI2303" s="16">
        <v>45939</v>
      </c>
      <c r="AJ2303" s="16">
        <v>45942</v>
      </c>
      <c r="AK2303" s="17">
        <f>IF(AJ2303="","",AJ2303-AH2303)</f>
        <v>4</v>
      </c>
    </row>
    <row r="2304" spans="1:37">
      <c r="A2304" s="2" t="s">
        <v>2786</v>
      </c>
      <c r="B2304" s="2" t="s">
        <v>2212</v>
      </c>
      <c r="C2304" s="2" t="s">
        <v>346</v>
      </c>
      <c r="D2304" s="2" t="s">
        <v>344</v>
      </c>
      <c r="E2304" s="2" t="s">
        <v>2213</v>
      </c>
      <c r="F2304" s="2" t="s">
        <v>313</v>
      </c>
      <c r="G2304" s="2" t="s">
        <v>2763</v>
      </c>
      <c r="H2304" s="2" t="s">
        <v>193</v>
      </c>
      <c r="I2304" s="2" t="s">
        <v>1251</v>
      </c>
      <c r="J2304" s="2" t="s">
        <v>750</v>
      </c>
      <c r="K2304" s="9">
        <v>45931</v>
      </c>
      <c r="L2304" s="9">
        <v>45936</v>
      </c>
      <c r="M2304" s="9">
        <v>45934</v>
      </c>
      <c r="N2304" s="2" t="s">
        <v>2764</v>
      </c>
      <c r="O2304" s="2" t="s">
        <v>58</v>
      </c>
      <c r="P2304" s="2" t="s">
        <v>142</v>
      </c>
      <c r="Q2304" s="2" t="s">
        <v>203</v>
      </c>
      <c r="R2304" s="2" t="s">
        <v>149</v>
      </c>
      <c r="S2304" s="2" t="s">
        <v>198</v>
      </c>
      <c r="T2304" s="10">
        <v>22.02</v>
      </c>
      <c r="U2304" s="11">
        <v>1.085</v>
      </c>
      <c r="V2304" s="12">
        <f>T2304*U2304</f>
        <v>23.8917</v>
      </c>
      <c r="W2304" s="13">
        <v>0.19</v>
      </c>
      <c r="X2304" s="12">
        <f>V2304-(V2304/(1+W2304))</f>
        <v>3.8146411764705874</v>
      </c>
      <c r="Y2304" s="12">
        <f>V2304-X2304</f>
        <v>20.077058823529413</v>
      </c>
      <c r="Z2304" s="14">
        <v>60</v>
      </c>
      <c r="AA2304" s="2" t="str">
        <f>IF(V2304&gt;Z2304,"Yes","No")</f>
        <v>No</v>
      </c>
      <c r="AB2304" s="12">
        <f>V2304-Z2304</f>
        <v>-36.1083</v>
      </c>
      <c r="AC2304" s="15" t="s">
        <v>130</v>
      </c>
      <c r="AD2304" s="15" t="s">
        <v>130</v>
      </c>
      <c r="AE2304" s="15" t="s">
        <v>858</v>
      </c>
      <c r="AF2304" s="12">
        <f>IF(AG2304="Rejected",0,IF(R2304="Corporate Card",0,V2304))</f>
        <v>0</v>
      </c>
      <c r="AG2304" s="15" t="s">
        <v>804</v>
      </c>
      <c r="AH2304" s="16">
        <v>45944</v>
      </c>
      <c r="AI2304" s="16"/>
      <c r="AJ2304" s="16"/>
      <c r="AK2304" s="17" t="str">
        <f>IF(AJ2304="","",AJ2304-AH2304)</f>
        <v/>
      </c>
    </row>
    <row r="2305" spans="1:37">
      <c r="A2305" s="2" t="s">
        <v>2787</v>
      </c>
      <c r="B2305" s="2" t="s">
        <v>2212</v>
      </c>
      <c r="C2305" s="2" t="s">
        <v>346</v>
      </c>
      <c r="D2305" s="2" t="s">
        <v>344</v>
      </c>
      <c r="E2305" s="2" t="s">
        <v>2213</v>
      </c>
      <c r="F2305" s="2" t="s">
        <v>313</v>
      </c>
      <c r="G2305" s="2" t="s">
        <v>2763</v>
      </c>
      <c r="H2305" s="2" t="s">
        <v>193</v>
      </c>
      <c r="I2305" s="2" t="s">
        <v>1251</v>
      </c>
      <c r="J2305" s="2" t="s">
        <v>750</v>
      </c>
      <c r="K2305" s="9">
        <v>45931</v>
      </c>
      <c r="L2305" s="9">
        <v>45936</v>
      </c>
      <c r="M2305" s="9">
        <v>45934</v>
      </c>
      <c r="N2305" s="2" t="s">
        <v>2764</v>
      </c>
      <c r="O2305" s="2" t="s">
        <v>56</v>
      </c>
      <c r="P2305" s="2" t="s">
        <v>231</v>
      </c>
      <c r="Q2305" s="2" t="s">
        <v>185</v>
      </c>
      <c r="R2305" s="2" t="s">
        <v>128</v>
      </c>
      <c r="S2305" s="2" t="s">
        <v>198</v>
      </c>
      <c r="T2305" s="10">
        <v>65.78</v>
      </c>
      <c r="U2305" s="11">
        <v>1.085</v>
      </c>
      <c r="V2305" s="12">
        <f>T2305*U2305</f>
        <v>71.371300000000005</v>
      </c>
      <c r="W2305" s="13">
        <v>0.19</v>
      </c>
      <c r="X2305" s="12">
        <f>V2305-(V2305/(1+W2305))</f>
        <v>11.395417647058821</v>
      </c>
      <c r="Y2305" s="12">
        <f>V2305-X2305</f>
        <v>59.975882352941184</v>
      </c>
      <c r="Z2305" s="14">
        <v>75</v>
      </c>
      <c r="AA2305" s="2" t="str">
        <f>IF(V2305&gt;Z2305,"Yes","No")</f>
        <v>No</v>
      </c>
      <c r="AB2305" s="12">
        <f>V2305-Z2305</f>
        <v>-3.6286999999999949</v>
      </c>
      <c r="AC2305" s="15" t="s">
        <v>130</v>
      </c>
      <c r="AD2305" s="15" t="s">
        <v>130</v>
      </c>
      <c r="AE2305" s="15" t="s">
        <v>858</v>
      </c>
      <c r="AF2305" s="12">
        <f>IF(AG2305="Rejected",0,IF(R2305="Corporate Card",0,V2305))</f>
        <v>0</v>
      </c>
      <c r="AG2305" s="15" t="s">
        <v>804</v>
      </c>
      <c r="AH2305" s="16">
        <v>45944</v>
      </c>
      <c r="AI2305" s="16"/>
      <c r="AJ2305" s="16"/>
      <c r="AK2305" s="17" t="str">
        <f>IF(AJ2305="","",AJ2305-AH2305)</f>
        <v/>
      </c>
    </row>
    <row r="2306" spans="1:37">
      <c r="A2306" s="2" t="s">
        <v>2788</v>
      </c>
      <c r="B2306" s="2" t="s">
        <v>412</v>
      </c>
      <c r="C2306" s="2" t="s">
        <v>413</v>
      </c>
      <c r="D2306" s="2" t="s">
        <v>414</v>
      </c>
      <c r="E2306" s="2" t="s">
        <v>415</v>
      </c>
      <c r="F2306" s="2" t="s">
        <v>313</v>
      </c>
      <c r="G2306" s="2" t="s">
        <v>2789</v>
      </c>
      <c r="H2306" s="2" t="s">
        <v>193</v>
      </c>
      <c r="I2306" s="2" t="s">
        <v>651</v>
      </c>
      <c r="J2306" s="2" t="s">
        <v>652</v>
      </c>
      <c r="K2306" s="9">
        <v>45934</v>
      </c>
      <c r="L2306" s="9">
        <v>45940</v>
      </c>
      <c r="M2306" s="9">
        <v>45934</v>
      </c>
      <c r="N2306" s="2" t="s">
        <v>2764</v>
      </c>
      <c r="O2306" s="2" t="s">
        <v>52</v>
      </c>
      <c r="P2306" s="2" t="s">
        <v>653</v>
      </c>
      <c r="Q2306" s="2" t="s">
        <v>258</v>
      </c>
      <c r="R2306" s="2" t="s">
        <v>128</v>
      </c>
      <c r="S2306" s="2" t="s">
        <v>654</v>
      </c>
      <c r="T2306" s="10">
        <v>3232.51</v>
      </c>
      <c r="U2306" s="11">
        <v>0.72799999999999998</v>
      </c>
      <c r="V2306" s="12">
        <f>T2306*U2306</f>
        <v>2353.26728</v>
      </c>
      <c r="W2306" s="13">
        <v>0</v>
      </c>
      <c r="X2306" s="12">
        <f>V2306-(V2306/(1+W2306))</f>
        <v>0</v>
      </c>
      <c r="Y2306" s="12">
        <f>V2306-X2306</f>
        <v>2353.26728</v>
      </c>
      <c r="Z2306" s="14">
        <v>1400</v>
      </c>
      <c r="AA2306" s="2" t="str">
        <f>IF(V2306&gt;Z2306,"Yes","No")</f>
        <v>Yes</v>
      </c>
      <c r="AB2306" s="12">
        <f>V2306-Z2306</f>
        <v>953.26728000000003</v>
      </c>
      <c r="AC2306" s="15" t="s">
        <v>130</v>
      </c>
      <c r="AD2306" s="15" t="s">
        <v>131</v>
      </c>
      <c r="AE2306" s="15" t="s">
        <v>350</v>
      </c>
      <c r="AF2306" s="12">
        <f>IF(AG2306="Rejected",0,IF(R2306="Corporate Card",0,V2306))</f>
        <v>0</v>
      </c>
      <c r="AG2306" s="15" t="s">
        <v>133</v>
      </c>
      <c r="AH2306" s="16">
        <v>45951</v>
      </c>
      <c r="AI2306" s="16">
        <v>45959</v>
      </c>
      <c r="AJ2306" s="16">
        <v>45961</v>
      </c>
      <c r="AK2306" s="17">
        <f>IF(AJ2306="","",AJ2306-AH2306)</f>
        <v>10</v>
      </c>
    </row>
    <row r="2307" spans="1:37">
      <c r="A2307" s="2" t="s">
        <v>2790</v>
      </c>
      <c r="B2307" s="2" t="s">
        <v>412</v>
      </c>
      <c r="C2307" s="2" t="s">
        <v>413</v>
      </c>
      <c r="D2307" s="2" t="s">
        <v>414</v>
      </c>
      <c r="E2307" s="2" t="s">
        <v>415</v>
      </c>
      <c r="F2307" s="2" t="s">
        <v>313</v>
      </c>
      <c r="G2307" s="2" t="s">
        <v>2789</v>
      </c>
      <c r="H2307" s="2" t="s">
        <v>193</v>
      </c>
      <c r="I2307" s="2" t="s">
        <v>651</v>
      </c>
      <c r="J2307" s="2" t="s">
        <v>652</v>
      </c>
      <c r="K2307" s="9">
        <v>45934</v>
      </c>
      <c r="L2307" s="9">
        <v>45940</v>
      </c>
      <c r="M2307" s="9">
        <v>45934</v>
      </c>
      <c r="N2307" s="2" t="s">
        <v>2764</v>
      </c>
      <c r="O2307" s="2" t="s">
        <v>63</v>
      </c>
      <c r="P2307" s="2" t="s">
        <v>200</v>
      </c>
      <c r="Q2307" s="2" t="s">
        <v>484</v>
      </c>
      <c r="R2307" s="2" t="s">
        <v>128</v>
      </c>
      <c r="S2307" s="2" t="s">
        <v>654</v>
      </c>
      <c r="T2307" s="10">
        <v>1068.28</v>
      </c>
      <c r="U2307" s="11">
        <v>0.72799999999999998</v>
      </c>
      <c r="V2307" s="12">
        <f>T2307*U2307</f>
        <v>777.70783999999992</v>
      </c>
      <c r="W2307" s="13">
        <v>0</v>
      </c>
      <c r="X2307" s="12">
        <f>V2307-(V2307/(1+W2307))</f>
        <v>0</v>
      </c>
      <c r="Y2307" s="12">
        <f>V2307-X2307</f>
        <v>777.70783999999992</v>
      </c>
      <c r="Z2307" s="14">
        <v>1200</v>
      </c>
      <c r="AA2307" s="2" t="str">
        <f>IF(V2307&gt;Z2307,"Yes","No")</f>
        <v>No</v>
      </c>
      <c r="AB2307" s="12">
        <f>V2307-Z2307</f>
        <v>-422.29216000000008</v>
      </c>
      <c r="AC2307" s="15" t="s">
        <v>130</v>
      </c>
      <c r="AD2307" s="15" t="s">
        <v>131</v>
      </c>
      <c r="AE2307" s="15" t="s">
        <v>350</v>
      </c>
      <c r="AF2307" s="12">
        <f>IF(AG2307="Rejected",0,IF(R2307="Corporate Card",0,V2307))</f>
        <v>0</v>
      </c>
      <c r="AG2307" s="15" t="s">
        <v>133</v>
      </c>
      <c r="AH2307" s="16">
        <v>45951</v>
      </c>
      <c r="AI2307" s="16">
        <v>45959</v>
      </c>
      <c r="AJ2307" s="16">
        <v>45961</v>
      </c>
      <c r="AK2307" s="17">
        <f>IF(AJ2307="","",AJ2307-AH2307)</f>
        <v>10</v>
      </c>
    </row>
    <row r="2308" spans="1:37">
      <c r="A2308" s="2" t="s">
        <v>2791</v>
      </c>
      <c r="B2308" s="2" t="s">
        <v>412</v>
      </c>
      <c r="C2308" s="2" t="s">
        <v>413</v>
      </c>
      <c r="D2308" s="2" t="s">
        <v>414</v>
      </c>
      <c r="E2308" s="2" t="s">
        <v>415</v>
      </c>
      <c r="F2308" s="2" t="s">
        <v>313</v>
      </c>
      <c r="G2308" s="2" t="s">
        <v>2789</v>
      </c>
      <c r="H2308" s="2" t="s">
        <v>193</v>
      </c>
      <c r="I2308" s="2" t="s">
        <v>651</v>
      </c>
      <c r="J2308" s="2" t="s">
        <v>652</v>
      </c>
      <c r="K2308" s="9">
        <v>45934</v>
      </c>
      <c r="L2308" s="9">
        <v>45940</v>
      </c>
      <c r="M2308" s="9">
        <v>45934</v>
      </c>
      <c r="N2308" s="2" t="s">
        <v>2764</v>
      </c>
      <c r="O2308" s="2" t="s">
        <v>54</v>
      </c>
      <c r="P2308" s="2" t="s">
        <v>139</v>
      </c>
      <c r="Q2308" s="2" t="s">
        <v>163</v>
      </c>
      <c r="R2308" s="2" t="s">
        <v>128</v>
      </c>
      <c r="S2308" s="2" t="s">
        <v>654</v>
      </c>
      <c r="T2308" s="10">
        <v>29.75</v>
      </c>
      <c r="U2308" s="11">
        <v>0.72799999999999998</v>
      </c>
      <c r="V2308" s="12">
        <f>T2308*U2308</f>
        <v>21.657999999999998</v>
      </c>
      <c r="W2308" s="13">
        <v>0.13</v>
      </c>
      <c r="X2308" s="12">
        <f>V2308-(V2308/(1+W2308))</f>
        <v>2.4916283185840697</v>
      </c>
      <c r="Y2308" s="12">
        <f>V2308-X2308</f>
        <v>19.166371681415928</v>
      </c>
      <c r="Z2308" s="14">
        <v>25</v>
      </c>
      <c r="AA2308" s="2" t="str">
        <f>IF(V2308&gt;Z2308,"Yes","No")</f>
        <v>No</v>
      </c>
      <c r="AB2308" s="12">
        <f>V2308-Z2308</f>
        <v>-3.3420000000000023</v>
      </c>
      <c r="AC2308" s="15" t="s">
        <v>130</v>
      </c>
      <c r="AD2308" s="15" t="s">
        <v>131</v>
      </c>
      <c r="AE2308" s="15" t="s">
        <v>350</v>
      </c>
      <c r="AF2308" s="12">
        <f>IF(AG2308="Rejected",0,IF(R2308="Corporate Card",0,V2308))</f>
        <v>0</v>
      </c>
      <c r="AG2308" s="15" t="s">
        <v>133</v>
      </c>
      <c r="AH2308" s="16">
        <v>45951</v>
      </c>
      <c r="AI2308" s="16">
        <v>45959</v>
      </c>
      <c r="AJ2308" s="16">
        <v>45961</v>
      </c>
      <c r="AK2308" s="17">
        <f>IF(AJ2308="","",AJ2308-AH2308)</f>
        <v>10</v>
      </c>
    </row>
    <row r="2309" spans="1:37">
      <c r="A2309" s="2" t="s">
        <v>2792</v>
      </c>
      <c r="B2309" s="2" t="s">
        <v>412</v>
      </c>
      <c r="C2309" s="2" t="s">
        <v>413</v>
      </c>
      <c r="D2309" s="2" t="s">
        <v>414</v>
      </c>
      <c r="E2309" s="2" t="s">
        <v>415</v>
      </c>
      <c r="F2309" s="2" t="s">
        <v>313</v>
      </c>
      <c r="G2309" s="2" t="s">
        <v>2789</v>
      </c>
      <c r="H2309" s="2" t="s">
        <v>193</v>
      </c>
      <c r="I2309" s="2" t="s">
        <v>651</v>
      </c>
      <c r="J2309" s="2" t="s">
        <v>652</v>
      </c>
      <c r="K2309" s="9">
        <v>45934</v>
      </c>
      <c r="L2309" s="9">
        <v>45940</v>
      </c>
      <c r="M2309" s="9">
        <v>45934</v>
      </c>
      <c r="N2309" s="2" t="s">
        <v>2764</v>
      </c>
      <c r="O2309" s="2" t="s">
        <v>56</v>
      </c>
      <c r="P2309" s="2" t="s">
        <v>151</v>
      </c>
      <c r="Q2309" s="2" t="s">
        <v>166</v>
      </c>
      <c r="R2309" s="2" t="s">
        <v>128</v>
      </c>
      <c r="S2309" s="2" t="s">
        <v>654</v>
      </c>
      <c r="T2309" s="10">
        <v>86.57</v>
      </c>
      <c r="U2309" s="11">
        <v>0.72799999999999998</v>
      </c>
      <c r="V2309" s="12">
        <f>T2309*U2309</f>
        <v>63.022959999999991</v>
      </c>
      <c r="W2309" s="13">
        <v>0.13</v>
      </c>
      <c r="X2309" s="12">
        <f>V2309-(V2309/(1+W2309))</f>
        <v>7.2504290265486659</v>
      </c>
      <c r="Y2309" s="12">
        <f>V2309-X2309</f>
        <v>55.772530973451325</v>
      </c>
      <c r="Z2309" s="14">
        <v>75</v>
      </c>
      <c r="AA2309" s="2" t="str">
        <f>IF(V2309&gt;Z2309,"Yes","No")</f>
        <v>No</v>
      </c>
      <c r="AB2309" s="12">
        <f>V2309-Z2309</f>
        <v>-11.977040000000009</v>
      </c>
      <c r="AC2309" s="15" t="s">
        <v>130</v>
      </c>
      <c r="AD2309" s="15" t="s">
        <v>131</v>
      </c>
      <c r="AE2309" s="15" t="s">
        <v>350</v>
      </c>
      <c r="AF2309" s="12">
        <f>IF(AG2309="Rejected",0,IF(R2309="Corporate Card",0,V2309))</f>
        <v>0</v>
      </c>
      <c r="AG2309" s="15" t="s">
        <v>133</v>
      </c>
      <c r="AH2309" s="16">
        <v>45951</v>
      </c>
      <c r="AI2309" s="16">
        <v>45959</v>
      </c>
      <c r="AJ2309" s="16">
        <v>45961</v>
      </c>
      <c r="AK2309" s="17">
        <f>IF(AJ2309="","",AJ2309-AH2309)</f>
        <v>10</v>
      </c>
    </row>
    <row r="2310" spans="1:37">
      <c r="A2310" s="2" t="s">
        <v>2793</v>
      </c>
      <c r="B2310" s="2" t="s">
        <v>412</v>
      </c>
      <c r="C2310" s="2" t="s">
        <v>413</v>
      </c>
      <c r="D2310" s="2" t="s">
        <v>414</v>
      </c>
      <c r="E2310" s="2" t="s">
        <v>415</v>
      </c>
      <c r="F2310" s="2" t="s">
        <v>313</v>
      </c>
      <c r="G2310" s="2" t="s">
        <v>2789</v>
      </c>
      <c r="H2310" s="2" t="s">
        <v>193</v>
      </c>
      <c r="I2310" s="2" t="s">
        <v>651</v>
      </c>
      <c r="J2310" s="2" t="s">
        <v>652</v>
      </c>
      <c r="K2310" s="9">
        <v>45934</v>
      </c>
      <c r="L2310" s="9">
        <v>45940</v>
      </c>
      <c r="M2310" s="9">
        <v>45934</v>
      </c>
      <c r="N2310" s="2" t="s">
        <v>2764</v>
      </c>
      <c r="O2310" s="2" t="s">
        <v>55</v>
      </c>
      <c r="P2310" s="2" t="s">
        <v>139</v>
      </c>
      <c r="Q2310" s="2" t="s">
        <v>217</v>
      </c>
      <c r="R2310" s="2" t="s">
        <v>149</v>
      </c>
      <c r="S2310" s="2" t="s">
        <v>654</v>
      </c>
      <c r="T2310" s="10">
        <v>34.020000000000003</v>
      </c>
      <c r="U2310" s="11">
        <v>0.72799999999999998</v>
      </c>
      <c r="V2310" s="12">
        <f>T2310*U2310</f>
        <v>24.766560000000002</v>
      </c>
      <c r="W2310" s="13">
        <v>0.13</v>
      </c>
      <c r="X2310" s="12">
        <f>V2310-(V2310/(1+W2310))</f>
        <v>2.8492502654867238</v>
      </c>
      <c r="Y2310" s="12">
        <f>V2310-X2310</f>
        <v>21.917309734513278</v>
      </c>
      <c r="Z2310" s="14">
        <v>35</v>
      </c>
      <c r="AA2310" s="2" t="str">
        <f>IF(V2310&gt;Z2310,"Yes","No")</f>
        <v>No</v>
      </c>
      <c r="AB2310" s="12">
        <f>V2310-Z2310</f>
        <v>-10.233439999999998</v>
      </c>
      <c r="AC2310" s="15" t="s">
        <v>130</v>
      </c>
      <c r="AD2310" s="15" t="s">
        <v>131</v>
      </c>
      <c r="AE2310" s="15" t="s">
        <v>350</v>
      </c>
      <c r="AF2310" s="12">
        <f>IF(AG2310="Rejected",0,IF(R2310="Corporate Card",0,V2310))</f>
        <v>24.766560000000002</v>
      </c>
      <c r="AG2310" s="15" t="s">
        <v>133</v>
      </c>
      <c r="AH2310" s="16">
        <v>45951</v>
      </c>
      <c r="AI2310" s="16">
        <v>45959</v>
      </c>
      <c r="AJ2310" s="16">
        <v>45961</v>
      </c>
      <c r="AK2310" s="17">
        <f>IF(AJ2310="","",AJ2310-AH2310)</f>
        <v>10</v>
      </c>
    </row>
    <row r="2311" spans="1:37">
      <c r="A2311" s="2" t="s">
        <v>2794</v>
      </c>
      <c r="B2311" s="2" t="s">
        <v>116</v>
      </c>
      <c r="C2311" s="2" t="s">
        <v>117</v>
      </c>
      <c r="D2311" s="2" t="s">
        <v>118</v>
      </c>
      <c r="E2311" s="2" t="s">
        <v>119</v>
      </c>
      <c r="F2311" s="2" t="s">
        <v>120</v>
      </c>
      <c r="G2311" s="2" t="s">
        <v>2795</v>
      </c>
      <c r="H2311" s="2" t="s">
        <v>193</v>
      </c>
      <c r="I2311" s="2" t="s">
        <v>255</v>
      </c>
      <c r="J2311" s="2" t="s">
        <v>256</v>
      </c>
      <c r="K2311" s="9">
        <v>45934</v>
      </c>
      <c r="L2311" s="9">
        <v>45938</v>
      </c>
      <c r="M2311" s="9">
        <v>45934</v>
      </c>
      <c r="N2311" s="2" t="s">
        <v>2764</v>
      </c>
      <c r="O2311" s="2" t="s">
        <v>52</v>
      </c>
      <c r="P2311" s="2" t="s">
        <v>257</v>
      </c>
      <c r="Q2311" s="2" t="s">
        <v>513</v>
      </c>
      <c r="R2311" s="2" t="s">
        <v>149</v>
      </c>
      <c r="S2311" s="2" t="s">
        <v>259</v>
      </c>
      <c r="T2311" s="10">
        <v>252914</v>
      </c>
      <c r="U2311" s="11">
        <v>6.5500000000000003E-3</v>
      </c>
      <c r="V2311" s="12">
        <f>T2311*U2311</f>
        <v>1656.5867000000001</v>
      </c>
      <c r="W2311" s="13">
        <v>0</v>
      </c>
      <c r="X2311" s="12">
        <f>V2311-(V2311/(1+W2311))</f>
        <v>0</v>
      </c>
      <c r="Y2311" s="12">
        <f>V2311-X2311</f>
        <v>1656.5867000000001</v>
      </c>
      <c r="Z2311" s="14">
        <v>1400</v>
      </c>
      <c r="AA2311" s="2" t="str">
        <f>IF(V2311&gt;Z2311,"Yes","No")</f>
        <v>Yes</v>
      </c>
      <c r="AB2311" s="12">
        <f>V2311-Z2311</f>
        <v>256.58670000000006</v>
      </c>
      <c r="AC2311" s="15" t="s">
        <v>130</v>
      </c>
      <c r="AD2311" s="15" t="s">
        <v>130</v>
      </c>
      <c r="AE2311" s="15" t="s">
        <v>260</v>
      </c>
      <c r="AF2311" s="12">
        <f>IF(AG2311="Rejected",0,IF(R2311="Corporate Card",0,V2311))</f>
        <v>1656.5867000000001</v>
      </c>
      <c r="AG2311" s="15" t="s">
        <v>133</v>
      </c>
      <c r="AH2311" s="16">
        <v>45943</v>
      </c>
      <c r="AI2311" s="16">
        <v>45946</v>
      </c>
      <c r="AJ2311" s="16">
        <v>45958</v>
      </c>
      <c r="AK2311" s="17">
        <f>IF(AJ2311="","",AJ2311-AH2311)</f>
        <v>15</v>
      </c>
    </row>
    <row r="2312" spans="1:37">
      <c r="A2312" s="2" t="s">
        <v>2796</v>
      </c>
      <c r="B2312" s="2" t="s">
        <v>116</v>
      </c>
      <c r="C2312" s="2" t="s">
        <v>117</v>
      </c>
      <c r="D2312" s="2" t="s">
        <v>118</v>
      </c>
      <c r="E2312" s="2" t="s">
        <v>119</v>
      </c>
      <c r="F2312" s="2" t="s">
        <v>120</v>
      </c>
      <c r="G2312" s="2" t="s">
        <v>2795</v>
      </c>
      <c r="H2312" s="2" t="s">
        <v>193</v>
      </c>
      <c r="I2312" s="2" t="s">
        <v>255</v>
      </c>
      <c r="J2312" s="2" t="s">
        <v>256</v>
      </c>
      <c r="K2312" s="9">
        <v>45934</v>
      </c>
      <c r="L2312" s="9">
        <v>45938</v>
      </c>
      <c r="M2312" s="9">
        <v>45934</v>
      </c>
      <c r="N2312" s="2" t="s">
        <v>2764</v>
      </c>
      <c r="O2312" s="2" t="s">
        <v>64</v>
      </c>
      <c r="P2312" s="2" t="s">
        <v>135</v>
      </c>
      <c r="Q2312" s="2" t="s">
        <v>136</v>
      </c>
      <c r="R2312" s="2" t="s">
        <v>128</v>
      </c>
      <c r="S2312" s="2" t="s">
        <v>259</v>
      </c>
      <c r="T2312" s="10">
        <v>9641</v>
      </c>
      <c r="U2312" s="11">
        <v>6.5500000000000003E-3</v>
      </c>
      <c r="V2312" s="12">
        <f>T2312*U2312</f>
        <v>63.14855</v>
      </c>
      <c r="W2312" s="13">
        <v>0</v>
      </c>
      <c r="X2312" s="12">
        <f>V2312-(V2312/(1+W2312))</f>
        <v>0</v>
      </c>
      <c r="Y2312" s="12">
        <f>V2312-X2312</f>
        <v>63.14855</v>
      </c>
      <c r="Z2312" s="14">
        <v>120</v>
      </c>
      <c r="AA2312" s="2" t="str">
        <f>IF(V2312&gt;Z2312,"Yes","No")</f>
        <v>No</v>
      </c>
      <c r="AB2312" s="12">
        <f>V2312-Z2312</f>
        <v>-56.85145</v>
      </c>
      <c r="AC2312" s="15" t="s">
        <v>130</v>
      </c>
      <c r="AD2312" s="15" t="s">
        <v>130</v>
      </c>
      <c r="AE2312" s="15" t="s">
        <v>260</v>
      </c>
      <c r="AF2312" s="12">
        <f>IF(AG2312="Rejected",0,IF(R2312="Corporate Card",0,V2312))</f>
        <v>0</v>
      </c>
      <c r="AG2312" s="15" t="s">
        <v>133</v>
      </c>
      <c r="AH2312" s="16">
        <v>45943</v>
      </c>
      <c r="AI2312" s="16">
        <v>45946</v>
      </c>
      <c r="AJ2312" s="16">
        <v>45958</v>
      </c>
      <c r="AK2312" s="17">
        <f>IF(AJ2312="","",AJ2312-AH2312)</f>
        <v>15</v>
      </c>
    </row>
    <row r="2313" spans="1:37">
      <c r="A2313" s="2" t="s">
        <v>2797</v>
      </c>
      <c r="B2313" s="2" t="s">
        <v>116</v>
      </c>
      <c r="C2313" s="2" t="s">
        <v>117</v>
      </c>
      <c r="D2313" s="2" t="s">
        <v>118</v>
      </c>
      <c r="E2313" s="2" t="s">
        <v>119</v>
      </c>
      <c r="F2313" s="2" t="s">
        <v>120</v>
      </c>
      <c r="G2313" s="2" t="s">
        <v>2795</v>
      </c>
      <c r="H2313" s="2" t="s">
        <v>193</v>
      </c>
      <c r="I2313" s="2" t="s">
        <v>255</v>
      </c>
      <c r="J2313" s="2" t="s">
        <v>256</v>
      </c>
      <c r="K2313" s="9">
        <v>45934</v>
      </c>
      <c r="L2313" s="9">
        <v>45938</v>
      </c>
      <c r="M2313" s="9">
        <v>45934</v>
      </c>
      <c r="N2313" s="2" t="s">
        <v>2764</v>
      </c>
      <c r="O2313" s="2" t="s">
        <v>63</v>
      </c>
      <c r="P2313" s="2" t="s">
        <v>200</v>
      </c>
      <c r="Q2313" s="2" t="s">
        <v>201</v>
      </c>
      <c r="R2313" s="2" t="s">
        <v>128</v>
      </c>
      <c r="S2313" s="2" t="s">
        <v>259</v>
      </c>
      <c r="T2313" s="10">
        <v>118992</v>
      </c>
      <c r="U2313" s="11">
        <v>6.5500000000000003E-3</v>
      </c>
      <c r="V2313" s="12">
        <f>T2313*U2313</f>
        <v>779.39760000000001</v>
      </c>
      <c r="W2313" s="13">
        <v>0</v>
      </c>
      <c r="X2313" s="12">
        <f>V2313-(V2313/(1+W2313))</f>
        <v>0</v>
      </c>
      <c r="Y2313" s="12">
        <f>V2313-X2313</f>
        <v>779.39760000000001</v>
      </c>
      <c r="Z2313" s="14">
        <v>1200</v>
      </c>
      <c r="AA2313" s="2" t="str">
        <f>IF(V2313&gt;Z2313,"Yes","No")</f>
        <v>No</v>
      </c>
      <c r="AB2313" s="12">
        <f>V2313-Z2313</f>
        <v>-420.60239999999999</v>
      </c>
      <c r="AC2313" s="15" t="s">
        <v>130</v>
      </c>
      <c r="AD2313" s="15" t="s">
        <v>130</v>
      </c>
      <c r="AE2313" s="15" t="s">
        <v>260</v>
      </c>
      <c r="AF2313" s="12">
        <f>IF(AG2313="Rejected",0,IF(R2313="Corporate Card",0,V2313))</f>
        <v>0</v>
      </c>
      <c r="AG2313" s="15" t="s">
        <v>133</v>
      </c>
      <c r="AH2313" s="16">
        <v>45943</v>
      </c>
      <c r="AI2313" s="16">
        <v>45946</v>
      </c>
      <c r="AJ2313" s="16">
        <v>45958</v>
      </c>
      <c r="AK2313" s="17">
        <f>IF(AJ2313="","",AJ2313-AH2313)</f>
        <v>15</v>
      </c>
    </row>
    <row r="2314" spans="1:37">
      <c r="A2314" s="2" t="s">
        <v>2798</v>
      </c>
      <c r="B2314" s="2" t="s">
        <v>116</v>
      </c>
      <c r="C2314" s="2" t="s">
        <v>117</v>
      </c>
      <c r="D2314" s="2" t="s">
        <v>118</v>
      </c>
      <c r="E2314" s="2" t="s">
        <v>119</v>
      </c>
      <c r="F2314" s="2" t="s">
        <v>120</v>
      </c>
      <c r="G2314" s="2" t="s">
        <v>2795</v>
      </c>
      <c r="H2314" s="2" t="s">
        <v>193</v>
      </c>
      <c r="I2314" s="2" t="s">
        <v>255</v>
      </c>
      <c r="J2314" s="2" t="s">
        <v>256</v>
      </c>
      <c r="K2314" s="9">
        <v>45934</v>
      </c>
      <c r="L2314" s="9">
        <v>45938</v>
      </c>
      <c r="M2314" s="9">
        <v>45934</v>
      </c>
      <c r="N2314" s="2" t="s">
        <v>2764</v>
      </c>
      <c r="O2314" s="2" t="s">
        <v>58</v>
      </c>
      <c r="P2314" s="2" t="s">
        <v>142</v>
      </c>
      <c r="Q2314" s="2" t="s">
        <v>143</v>
      </c>
      <c r="R2314" s="2" t="s">
        <v>128</v>
      </c>
      <c r="S2314" s="2" t="s">
        <v>259</v>
      </c>
      <c r="T2314" s="10">
        <v>6892</v>
      </c>
      <c r="U2314" s="11">
        <v>6.5500000000000003E-3</v>
      </c>
      <c r="V2314" s="12">
        <f>T2314*U2314</f>
        <v>45.142600000000002</v>
      </c>
      <c r="W2314" s="13">
        <v>0.1</v>
      </c>
      <c r="X2314" s="12">
        <f>V2314-(V2314/(1+W2314))</f>
        <v>4.10387272727273</v>
      </c>
      <c r="Y2314" s="12">
        <f>V2314-X2314</f>
        <v>41.038727272727272</v>
      </c>
      <c r="Z2314" s="14">
        <v>60</v>
      </c>
      <c r="AA2314" s="2" t="str">
        <f>IF(V2314&gt;Z2314,"Yes","No")</f>
        <v>No</v>
      </c>
      <c r="AB2314" s="12">
        <f>V2314-Z2314</f>
        <v>-14.857399999999998</v>
      </c>
      <c r="AC2314" s="15" t="s">
        <v>130</v>
      </c>
      <c r="AD2314" s="15" t="s">
        <v>130</v>
      </c>
      <c r="AE2314" s="15" t="s">
        <v>260</v>
      </c>
      <c r="AF2314" s="12">
        <f>IF(AG2314="Rejected",0,IF(R2314="Corporate Card",0,V2314))</f>
        <v>0</v>
      </c>
      <c r="AG2314" s="15" t="s">
        <v>133</v>
      </c>
      <c r="AH2314" s="16">
        <v>45943</v>
      </c>
      <c r="AI2314" s="16">
        <v>45946</v>
      </c>
      <c r="AJ2314" s="16">
        <v>45958</v>
      </c>
      <c r="AK2314" s="17">
        <f>IF(AJ2314="","",AJ2314-AH2314)</f>
        <v>15</v>
      </c>
    </row>
    <row r="2315" spans="1:37">
      <c r="A2315" s="2" t="s">
        <v>2799</v>
      </c>
      <c r="B2315" s="2" t="s">
        <v>116</v>
      </c>
      <c r="C2315" s="2" t="s">
        <v>117</v>
      </c>
      <c r="D2315" s="2" t="s">
        <v>118</v>
      </c>
      <c r="E2315" s="2" t="s">
        <v>119</v>
      </c>
      <c r="F2315" s="2" t="s">
        <v>120</v>
      </c>
      <c r="G2315" s="2" t="s">
        <v>2795</v>
      </c>
      <c r="H2315" s="2" t="s">
        <v>193</v>
      </c>
      <c r="I2315" s="2" t="s">
        <v>255</v>
      </c>
      <c r="J2315" s="2" t="s">
        <v>256</v>
      </c>
      <c r="K2315" s="9">
        <v>45934</v>
      </c>
      <c r="L2315" s="9">
        <v>45938</v>
      </c>
      <c r="M2315" s="9">
        <v>45934</v>
      </c>
      <c r="N2315" s="2" t="s">
        <v>2764</v>
      </c>
      <c r="O2315" s="2" t="s">
        <v>54</v>
      </c>
      <c r="P2315" s="2" t="s">
        <v>139</v>
      </c>
      <c r="Q2315" s="2" t="s">
        <v>148</v>
      </c>
      <c r="R2315" s="2" t="s">
        <v>128</v>
      </c>
      <c r="S2315" s="2" t="s">
        <v>259</v>
      </c>
      <c r="T2315" s="10">
        <v>2879</v>
      </c>
      <c r="U2315" s="11">
        <v>6.5500000000000003E-3</v>
      </c>
      <c r="V2315" s="12">
        <f>T2315*U2315</f>
        <v>18.85745</v>
      </c>
      <c r="W2315" s="13">
        <v>0.1</v>
      </c>
      <c r="X2315" s="12">
        <f>V2315-(V2315/(1+W2315))</f>
        <v>1.714313636363638</v>
      </c>
      <c r="Y2315" s="12">
        <f>V2315-X2315</f>
        <v>17.143136363636362</v>
      </c>
      <c r="Z2315" s="14">
        <v>25</v>
      </c>
      <c r="AA2315" s="2" t="str">
        <f>IF(V2315&gt;Z2315,"Yes","No")</f>
        <v>No</v>
      </c>
      <c r="AB2315" s="12">
        <f>V2315-Z2315</f>
        <v>-6.14255</v>
      </c>
      <c r="AC2315" s="15" t="s">
        <v>130</v>
      </c>
      <c r="AD2315" s="15" t="s">
        <v>130</v>
      </c>
      <c r="AE2315" s="15" t="s">
        <v>260</v>
      </c>
      <c r="AF2315" s="12">
        <f>IF(AG2315="Rejected",0,IF(R2315="Corporate Card",0,V2315))</f>
        <v>0</v>
      </c>
      <c r="AG2315" s="15" t="s">
        <v>133</v>
      </c>
      <c r="AH2315" s="16">
        <v>45943</v>
      </c>
      <c r="AI2315" s="16">
        <v>45946</v>
      </c>
      <c r="AJ2315" s="16">
        <v>45958</v>
      </c>
      <c r="AK2315" s="17">
        <f>IF(AJ2315="","",AJ2315-AH2315)</f>
        <v>15</v>
      </c>
    </row>
    <row r="2316" spans="1:37">
      <c r="A2316" s="2" t="s">
        <v>2800</v>
      </c>
      <c r="B2316" s="2" t="s">
        <v>116</v>
      </c>
      <c r="C2316" s="2" t="s">
        <v>117</v>
      </c>
      <c r="D2316" s="2" t="s">
        <v>118</v>
      </c>
      <c r="E2316" s="2" t="s">
        <v>119</v>
      </c>
      <c r="F2316" s="2" t="s">
        <v>120</v>
      </c>
      <c r="G2316" s="2" t="s">
        <v>2795</v>
      </c>
      <c r="H2316" s="2" t="s">
        <v>193</v>
      </c>
      <c r="I2316" s="2" t="s">
        <v>255</v>
      </c>
      <c r="J2316" s="2" t="s">
        <v>256</v>
      </c>
      <c r="K2316" s="9">
        <v>45934</v>
      </c>
      <c r="L2316" s="9">
        <v>45938</v>
      </c>
      <c r="M2316" s="9">
        <v>45934</v>
      </c>
      <c r="N2316" s="2" t="s">
        <v>2764</v>
      </c>
      <c r="O2316" s="2" t="s">
        <v>56</v>
      </c>
      <c r="P2316" s="2" t="s">
        <v>231</v>
      </c>
      <c r="Q2316" s="2" t="s">
        <v>185</v>
      </c>
      <c r="R2316" s="2" t="s">
        <v>128</v>
      </c>
      <c r="S2316" s="2" t="s">
        <v>259</v>
      </c>
      <c r="T2316" s="10">
        <v>15524</v>
      </c>
      <c r="U2316" s="11">
        <v>6.5500000000000003E-3</v>
      </c>
      <c r="V2316" s="12">
        <f>T2316*U2316</f>
        <v>101.68220000000001</v>
      </c>
      <c r="W2316" s="13">
        <v>0.1</v>
      </c>
      <c r="X2316" s="12">
        <f>V2316-(V2316/(1+W2316))</f>
        <v>9.2438363636363761</v>
      </c>
      <c r="Y2316" s="12">
        <f>V2316-X2316</f>
        <v>92.438363636363633</v>
      </c>
      <c r="Z2316" s="14">
        <v>75</v>
      </c>
      <c r="AA2316" s="2" t="str">
        <f>IF(V2316&gt;Z2316,"Yes","No")</f>
        <v>Yes</v>
      </c>
      <c r="AB2316" s="12">
        <f>V2316-Z2316</f>
        <v>26.682200000000009</v>
      </c>
      <c r="AC2316" s="15" t="s">
        <v>130</v>
      </c>
      <c r="AD2316" s="15" t="s">
        <v>130</v>
      </c>
      <c r="AE2316" s="15" t="s">
        <v>260</v>
      </c>
      <c r="AF2316" s="12">
        <f>IF(AG2316="Rejected",0,IF(R2316="Corporate Card",0,V2316))</f>
        <v>0</v>
      </c>
      <c r="AG2316" s="15" t="s">
        <v>133</v>
      </c>
      <c r="AH2316" s="16">
        <v>45943</v>
      </c>
      <c r="AI2316" s="16">
        <v>45946</v>
      </c>
      <c r="AJ2316" s="16">
        <v>45958</v>
      </c>
      <c r="AK2316" s="17">
        <f>IF(AJ2316="","",AJ2316-AH2316)</f>
        <v>15</v>
      </c>
    </row>
    <row r="2317" spans="1:37">
      <c r="A2317" s="2" t="s">
        <v>2801</v>
      </c>
      <c r="B2317" s="2" t="s">
        <v>2212</v>
      </c>
      <c r="C2317" s="2" t="s">
        <v>346</v>
      </c>
      <c r="D2317" s="2" t="s">
        <v>344</v>
      </c>
      <c r="E2317" s="2" t="s">
        <v>2213</v>
      </c>
      <c r="F2317" s="2" t="s">
        <v>313</v>
      </c>
      <c r="G2317" s="2" t="s">
        <v>2763</v>
      </c>
      <c r="H2317" s="2" t="s">
        <v>193</v>
      </c>
      <c r="I2317" s="2" t="s">
        <v>1251</v>
      </c>
      <c r="J2317" s="2" t="s">
        <v>750</v>
      </c>
      <c r="K2317" s="9">
        <v>45931</v>
      </c>
      <c r="L2317" s="9">
        <v>45936</v>
      </c>
      <c r="M2317" s="9">
        <v>45935</v>
      </c>
      <c r="N2317" s="2" t="s">
        <v>2764</v>
      </c>
      <c r="O2317" s="2" t="s">
        <v>57</v>
      </c>
      <c r="P2317" s="2" t="s">
        <v>398</v>
      </c>
      <c r="Q2317" s="2" t="s">
        <v>1204</v>
      </c>
      <c r="R2317" s="2" t="s">
        <v>128</v>
      </c>
      <c r="S2317" s="2" t="s">
        <v>198</v>
      </c>
      <c r="T2317" s="10">
        <v>88.68</v>
      </c>
      <c r="U2317" s="11">
        <v>1.085</v>
      </c>
      <c r="V2317" s="12">
        <f>T2317*U2317</f>
        <v>96.217800000000011</v>
      </c>
      <c r="W2317" s="13">
        <v>0.19</v>
      </c>
      <c r="X2317" s="12">
        <f>V2317-(V2317/(1+W2317))</f>
        <v>15.362505882352934</v>
      </c>
      <c r="Y2317" s="12">
        <f>V2317-X2317</f>
        <v>80.855294117647077</v>
      </c>
      <c r="Z2317" s="14">
        <v>200</v>
      </c>
      <c r="AA2317" s="2" t="str">
        <f>IF(V2317&gt;Z2317,"Yes","No")</f>
        <v>No</v>
      </c>
      <c r="AB2317" s="12">
        <f>V2317-Z2317</f>
        <v>-103.78219999999999</v>
      </c>
      <c r="AC2317" s="15" t="s">
        <v>130</v>
      </c>
      <c r="AD2317" s="15" t="s">
        <v>130</v>
      </c>
      <c r="AE2317" s="15" t="s">
        <v>858</v>
      </c>
      <c r="AF2317" s="12">
        <f>IF(AG2317="Rejected",0,IF(R2317="Corporate Card",0,V2317))</f>
        <v>0</v>
      </c>
      <c r="AG2317" s="15" t="s">
        <v>804</v>
      </c>
      <c r="AH2317" s="16">
        <v>45944</v>
      </c>
      <c r="AI2317" s="16"/>
      <c r="AJ2317" s="16"/>
      <c r="AK2317" s="17" t="str">
        <f>IF(AJ2317="","",AJ2317-AH2317)</f>
        <v/>
      </c>
    </row>
    <row r="2318" spans="1:37">
      <c r="A2318" s="2" t="s">
        <v>2802</v>
      </c>
      <c r="B2318" s="2" t="s">
        <v>2212</v>
      </c>
      <c r="C2318" s="2" t="s">
        <v>346</v>
      </c>
      <c r="D2318" s="2" t="s">
        <v>344</v>
      </c>
      <c r="E2318" s="2" t="s">
        <v>2213</v>
      </c>
      <c r="F2318" s="2" t="s">
        <v>313</v>
      </c>
      <c r="G2318" s="2" t="s">
        <v>2763</v>
      </c>
      <c r="H2318" s="2" t="s">
        <v>193</v>
      </c>
      <c r="I2318" s="2" t="s">
        <v>1251</v>
      </c>
      <c r="J2318" s="2" t="s">
        <v>750</v>
      </c>
      <c r="K2318" s="9">
        <v>45931</v>
      </c>
      <c r="L2318" s="9">
        <v>45936</v>
      </c>
      <c r="M2318" s="9">
        <v>45935</v>
      </c>
      <c r="N2318" s="2" t="s">
        <v>2764</v>
      </c>
      <c r="O2318" s="2" t="s">
        <v>56</v>
      </c>
      <c r="P2318" s="2" t="s">
        <v>151</v>
      </c>
      <c r="Q2318" s="2" t="s">
        <v>227</v>
      </c>
      <c r="R2318" s="2" t="s">
        <v>128</v>
      </c>
      <c r="S2318" s="2" t="s">
        <v>198</v>
      </c>
      <c r="T2318" s="10">
        <v>60.06</v>
      </c>
      <c r="U2318" s="11">
        <v>1.085</v>
      </c>
      <c r="V2318" s="12">
        <f>T2318*U2318</f>
        <v>65.165099999999995</v>
      </c>
      <c r="W2318" s="13">
        <v>0.19</v>
      </c>
      <c r="X2318" s="12">
        <f>V2318-(V2318/(1+W2318))</f>
        <v>10.40451176470588</v>
      </c>
      <c r="Y2318" s="12">
        <f>V2318-X2318</f>
        <v>54.760588235294115</v>
      </c>
      <c r="Z2318" s="14">
        <v>75</v>
      </c>
      <c r="AA2318" s="2" t="str">
        <f>IF(V2318&gt;Z2318,"Yes","No")</f>
        <v>No</v>
      </c>
      <c r="AB2318" s="12">
        <f>V2318-Z2318</f>
        <v>-9.8349000000000046</v>
      </c>
      <c r="AC2318" s="15" t="s">
        <v>130</v>
      </c>
      <c r="AD2318" s="15" t="s">
        <v>130</v>
      </c>
      <c r="AE2318" s="15" t="s">
        <v>858</v>
      </c>
      <c r="AF2318" s="12">
        <f>IF(AG2318="Rejected",0,IF(R2318="Corporate Card",0,V2318))</f>
        <v>0</v>
      </c>
      <c r="AG2318" s="15" t="s">
        <v>804</v>
      </c>
      <c r="AH2318" s="16">
        <v>45944</v>
      </c>
      <c r="AI2318" s="16"/>
      <c r="AJ2318" s="16"/>
      <c r="AK2318" s="17" t="str">
        <f>IF(AJ2318="","",AJ2318-AH2318)</f>
        <v/>
      </c>
    </row>
    <row r="2319" spans="1:37">
      <c r="A2319" s="2" t="s">
        <v>2803</v>
      </c>
      <c r="B2319" s="2" t="s">
        <v>2212</v>
      </c>
      <c r="C2319" s="2" t="s">
        <v>346</v>
      </c>
      <c r="D2319" s="2" t="s">
        <v>344</v>
      </c>
      <c r="E2319" s="2" t="s">
        <v>2213</v>
      </c>
      <c r="F2319" s="2" t="s">
        <v>313</v>
      </c>
      <c r="G2319" s="2" t="s">
        <v>2763</v>
      </c>
      <c r="H2319" s="2" t="s">
        <v>193</v>
      </c>
      <c r="I2319" s="2" t="s">
        <v>1251</v>
      </c>
      <c r="J2319" s="2" t="s">
        <v>750</v>
      </c>
      <c r="K2319" s="9">
        <v>45931</v>
      </c>
      <c r="L2319" s="9">
        <v>45936</v>
      </c>
      <c r="M2319" s="9">
        <v>45935</v>
      </c>
      <c r="N2319" s="2" t="s">
        <v>2764</v>
      </c>
      <c r="O2319" s="2" t="s">
        <v>55</v>
      </c>
      <c r="P2319" s="2" t="s">
        <v>139</v>
      </c>
      <c r="Q2319" s="2" t="s">
        <v>154</v>
      </c>
      <c r="R2319" s="2" t="s">
        <v>128</v>
      </c>
      <c r="S2319" s="2" t="s">
        <v>198</v>
      </c>
      <c r="T2319" s="10">
        <v>22.49</v>
      </c>
      <c r="U2319" s="11">
        <v>1.085</v>
      </c>
      <c r="V2319" s="12">
        <f>T2319*U2319</f>
        <v>24.401649999999997</v>
      </c>
      <c r="W2319" s="13">
        <v>0.19</v>
      </c>
      <c r="X2319" s="12">
        <f>V2319-(V2319/(1+W2319))</f>
        <v>3.8960617647058804</v>
      </c>
      <c r="Y2319" s="12">
        <f>V2319-X2319</f>
        <v>20.505588235294116</v>
      </c>
      <c r="Z2319" s="14">
        <v>35</v>
      </c>
      <c r="AA2319" s="2" t="str">
        <f>IF(V2319&gt;Z2319,"Yes","No")</f>
        <v>No</v>
      </c>
      <c r="AB2319" s="12">
        <f>V2319-Z2319</f>
        <v>-10.598350000000003</v>
      </c>
      <c r="AC2319" s="15" t="s">
        <v>130</v>
      </c>
      <c r="AD2319" s="15" t="s">
        <v>130</v>
      </c>
      <c r="AE2319" s="15" t="s">
        <v>858</v>
      </c>
      <c r="AF2319" s="12">
        <f>IF(AG2319="Rejected",0,IF(R2319="Corporate Card",0,V2319))</f>
        <v>0</v>
      </c>
      <c r="AG2319" s="15" t="s">
        <v>804</v>
      </c>
      <c r="AH2319" s="16">
        <v>45944</v>
      </c>
      <c r="AI2319" s="16"/>
      <c r="AJ2319" s="16"/>
      <c r="AK2319" s="17" t="str">
        <f>IF(AJ2319="","",AJ2319-AH2319)</f>
        <v/>
      </c>
    </row>
    <row r="2320" spans="1:37">
      <c r="A2320" s="2" t="s">
        <v>2804</v>
      </c>
      <c r="B2320" s="2" t="s">
        <v>412</v>
      </c>
      <c r="C2320" s="2" t="s">
        <v>413</v>
      </c>
      <c r="D2320" s="2" t="s">
        <v>414</v>
      </c>
      <c r="E2320" s="2" t="s">
        <v>415</v>
      </c>
      <c r="F2320" s="2" t="s">
        <v>313</v>
      </c>
      <c r="G2320" s="2" t="s">
        <v>2789</v>
      </c>
      <c r="H2320" s="2" t="s">
        <v>193</v>
      </c>
      <c r="I2320" s="2" t="s">
        <v>651</v>
      </c>
      <c r="J2320" s="2" t="s">
        <v>652</v>
      </c>
      <c r="K2320" s="9">
        <v>45934</v>
      </c>
      <c r="L2320" s="9">
        <v>45940</v>
      </c>
      <c r="M2320" s="9">
        <v>45935</v>
      </c>
      <c r="N2320" s="2" t="s">
        <v>2764</v>
      </c>
      <c r="O2320" s="2" t="s">
        <v>59</v>
      </c>
      <c r="P2320" s="2" t="s">
        <v>301</v>
      </c>
      <c r="Q2320" s="2" t="s">
        <v>581</v>
      </c>
      <c r="R2320" s="2" t="s">
        <v>128</v>
      </c>
      <c r="S2320" s="2" t="s">
        <v>654</v>
      </c>
      <c r="T2320" s="10">
        <v>173.27</v>
      </c>
      <c r="U2320" s="11">
        <v>0.72799999999999998</v>
      </c>
      <c r="V2320" s="12">
        <f>T2320*U2320</f>
        <v>126.14056000000001</v>
      </c>
      <c r="W2320" s="13">
        <v>0.13</v>
      </c>
      <c r="X2320" s="12">
        <f>V2320-(V2320/(1+W2320))</f>
        <v>14.51174584070796</v>
      </c>
      <c r="Y2320" s="12">
        <f>V2320-X2320</f>
        <v>111.62881415929205</v>
      </c>
      <c r="Z2320" s="14">
        <v>150</v>
      </c>
      <c r="AA2320" s="2" t="str">
        <f>IF(V2320&gt;Z2320,"Yes","No")</f>
        <v>No</v>
      </c>
      <c r="AB2320" s="12">
        <f>V2320-Z2320</f>
        <v>-23.859439999999992</v>
      </c>
      <c r="AC2320" s="15" t="s">
        <v>130</v>
      </c>
      <c r="AD2320" s="15" t="s">
        <v>131</v>
      </c>
      <c r="AE2320" s="15" t="s">
        <v>350</v>
      </c>
      <c r="AF2320" s="12">
        <f>IF(AG2320="Rejected",0,IF(R2320="Corporate Card",0,V2320))</f>
        <v>0</v>
      </c>
      <c r="AG2320" s="15" t="s">
        <v>133</v>
      </c>
      <c r="AH2320" s="16">
        <v>45951</v>
      </c>
      <c r="AI2320" s="16">
        <v>45959</v>
      </c>
      <c r="AJ2320" s="16">
        <v>45961</v>
      </c>
      <c r="AK2320" s="17">
        <f>IF(AJ2320="","",AJ2320-AH2320)</f>
        <v>10</v>
      </c>
    </row>
    <row r="2321" spans="1:37">
      <c r="A2321" s="2" t="s">
        <v>2805</v>
      </c>
      <c r="B2321" s="2" t="s">
        <v>412</v>
      </c>
      <c r="C2321" s="2" t="s">
        <v>413</v>
      </c>
      <c r="D2321" s="2" t="s">
        <v>414</v>
      </c>
      <c r="E2321" s="2" t="s">
        <v>415</v>
      </c>
      <c r="F2321" s="2" t="s">
        <v>313</v>
      </c>
      <c r="G2321" s="2" t="s">
        <v>2789</v>
      </c>
      <c r="H2321" s="2" t="s">
        <v>193</v>
      </c>
      <c r="I2321" s="2" t="s">
        <v>651</v>
      </c>
      <c r="J2321" s="2" t="s">
        <v>652</v>
      </c>
      <c r="K2321" s="9">
        <v>45934</v>
      </c>
      <c r="L2321" s="9">
        <v>45940</v>
      </c>
      <c r="M2321" s="9">
        <v>45935</v>
      </c>
      <c r="N2321" s="2" t="s">
        <v>2764</v>
      </c>
      <c r="O2321" s="2" t="s">
        <v>58</v>
      </c>
      <c r="P2321" s="2" t="s">
        <v>142</v>
      </c>
      <c r="Q2321" s="2" t="s">
        <v>203</v>
      </c>
      <c r="R2321" s="2" t="s">
        <v>128</v>
      </c>
      <c r="S2321" s="2" t="s">
        <v>654</v>
      </c>
      <c r="T2321" s="10">
        <v>79.900000000000006</v>
      </c>
      <c r="U2321" s="11">
        <v>0.72799999999999998</v>
      </c>
      <c r="V2321" s="12">
        <f>T2321*U2321</f>
        <v>58.167200000000001</v>
      </c>
      <c r="W2321" s="13">
        <v>0.13</v>
      </c>
      <c r="X2321" s="12">
        <f>V2321-(V2321/(1+W2321))</f>
        <v>6.6918017699114998</v>
      </c>
      <c r="Y2321" s="12">
        <f>V2321-X2321</f>
        <v>51.475398230088501</v>
      </c>
      <c r="Z2321" s="14">
        <v>60</v>
      </c>
      <c r="AA2321" s="2" t="str">
        <f>IF(V2321&gt;Z2321,"Yes","No")</f>
        <v>No</v>
      </c>
      <c r="AB2321" s="12">
        <f>V2321-Z2321</f>
        <v>-1.8327999999999989</v>
      </c>
      <c r="AC2321" s="15" t="s">
        <v>130</v>
      </c>
      <c r="AD2321" s="15" t="s">
        <v>131</v>
      </c>
      <c r="AE2321" s="15" t="s">
        <v>350</v>
      </c>
      <c r="AF2321" s="12">
        <f>IF(AG2321="Rejected",0,IF(R2321="Corporate Card",0,V2321))</f>
        <v>0</v>
      </c>
      <c r="AG2321" s="15" t="s">
        <v>133</v>
      </c>
      <c r="AH2321" s="16">
        <v>45951</v>
      </c>
      <c r="AI2321" s="16">
        <v>45959</v>
      </c>
      <c r="AJ2321" s="16">
        <v>45961</v>
      </c>
      <c r="AK2321" s="17">
        <f>IF(AJ2321="","",AJ2321-AH2321)</f>
        <v>10</v>
      </c>
    </row>
    <row r="2322" spans="1:37">
      <c r="A2322" s="2" t="s">
        <v>2806</v>
      </c>
      <c r="B2322" s="2" t="s">
        <v>412</v>
      </c>
      <c r="C2322" s="2" t="s">
        <v>413</v>
      </c>
      <c r="D2322" s="2" t="s">
        <v>414</v>
      </c>
      <c r="E2322" s="2" t="s">
        <v>415</v>
      </c>
      <c r="F2322" s="2" t="s">
        <v>313</v>
      </c>
      <c r="G2322" s="2" t="s">
        <v>2789</v>
      </c>
      <c r="H2322" s="2" t="s">
        <v>193</v>
      </c>
      <c r="I2322" s="2" t="s">
        <v>651</v>
      </c>
      <c r="J2322" s="2" t="s">
        <v>652</v>
      </c>
      <c r="K2322" s="9">
        <v>45934</v>
      </c>
      <c r="L2322" s="9">
        <v>45940</v>
      </c>
      <c r="M2322" s="9">
        <v>45935</v>
      </c>
      <c r="N2322" s="2" t="s">
        <v>2764</v>
      </c>
      <c r="O2322" s="2" t="s">
        <v>53</v>
      </c>
      <c r="P2322" s="2" t="s">
        <v>467</v>
      </c>
      <c r="Q2322" s="2" t="s">
        <v>458</v>
      </c>
      <c r="R2322" s="2" t="s">
        <v>128</v>
      </c>
      <c r="S2322" s="2" t="s">
        <v>654</v>
      </c>
      <c r="T2322" s="10">
        <v>897.86</v>
      </c>
      <c r="U2322" s="11">
        <v>0.72799999999999998</v>
      </c>
      <c r="V2322" s="12">
        <f>T2322*U2322</f>
        <v>653.64207999999996</v>
      </c>
      <c r="W2322" s="13">
        <v>0.13</v>
      </c>
      <c r="X2322" s="12">
        <f>V2322-(V2322/(1+W2322))</f>
        <v>75.197761415929108</v>
      </c>
      <c r="Y2322" s="12">
        <f>V2322-X2322</f>
        <v>578.44431858407086</v>
      </c>
      <c r="Z2322" s="14">
        <v>1680</v>
      </c>
      <c r="AA2322" s="2" t="str">
        <f>IF(V2322&gt;Z2322,"Yes","No")</f>
        <v>No</v>
      </c>
      <c r="AB2322" s="12">
        <f>V2322-Z2322</f>
        <v>-1026.3579199999999</v>
      </c>
      <c r="AC2322" s="15" t="s">
        <v>130</v>
      </c>
      <c r="AD2322" s="15" t="s">
        <v>131</v>
      </c>
      <c r="AE2322" s="15" t="s">
        <v>350</v>
      </c>
      <c r="AF2322" s="12">
        <f>IF(AG2322="Rejected",0,IF(R2322="Corporate Card",0,V2322))</f>
        <v>0</v>
      </c>
      <c r="AG2322" s="15" t="s">
        <v>133</v>
      </c>
      <c r="AH2322" s="16">
        <v>45951</v>
      </c>
      <c r="AI2322" s="16">
        <v>45959</v>
      </c>
      <c r="AJ2322" s="16">
        <v>45961</v>
      </c>
      <c r="AK2322" s="17">
        <f>IF(AJ2322="","",AJ2322-AH2322)</f>
        <v>10</v>
      </c>
    </row>
    <row r="2323" spans="1:37">
      <c r="A2323" s="2" t="s">
        <v>2807</v>
      </c>
      <c r="B2323" s="2" t="s">
        <v>412</v>
      </c>
      <c r="C2323" s="2" t="s">
        <v>413</v>
      </c>
      <c r="D2323" s="2" t="s">
        <v>414</v>
      </c>
      <c r="E2323" s="2" t="s">
        <v>415</v>
      </c>
      <c r="F2323" s="2" t="s">
        <v>313</v>
      </c>
      <c r="G2323" s="2" t="s">
        <v>2789</v>
      </c>
      <c r="H2323" s="2" t="s">
        <v>193</v>
      </c>
      <c r="I2323" s="2" t="s">
        <v>651</v>
      </c>
      <c r="J2323" s="2" t="s">
        <v>652</v>
      </c>
      <c r="K2323" s="9">
        <v>45934</v>
      </c>
      <c r="L2323" s="9">
        <v>45940</v>
      </c>
      <c r="M2323" s="9">
        <v>45935</v>
      </c>
      <c r="N2323" s="2" t="s">
        <v>2764</v>
      </c>
      <c r="O2323" s="2" t="s">
        <v>54</v>
      </c>
      <c r="P2323" s="2" t="s">
        <v>139</v>
      </c>
      <c r="Q2323" s="2" t="s">
        <v>214</v>
      </c>
      <c r="R2323" s="2" t="s">
        <v>128</v>
      </c>
      <c r="S2323" s="2" t="s">
        <v>654</v>
      </c>
      <c r="T2323" s="10">
        <v>17.489999999999998</v>
      </c>
      <c r="U2323" s="11">
        <v>0.72799999999999998</v>
      </c>
      <c r="V2323" s="12">
        <f>T2323*U2323</f>
        <v>12.732719999999999</v>
      </c>
      <c r="W2323" s="13">
        <v>0.13</v>
      </c>
      <c r="X2323" s="12">
        <f>V2323-(V2323/(1+W2323))</f>
        <v>1.4648261946902643</v>
      </c>
      <c r="Y2323" s="12">
        <f>V2323-X2323</f>
        <v>11.267893805309734</v>
      </c>
      <c r="Z2323" s="14">
        <v>25</v>
      </c>
      <c r="AA2323" s="2" t="str">
        <f>IF(V2323&gt;Z2323,"Yes","No")</f>
        <v>No</v>
      </c>
      <c r="AB2323" s="12">
        <f>V2323-Z2323</f>
        <v>-12.267280000000001</v>
      </c>
      <c r="AC2323" s="15" t="s">
        <v>130</v>
      </c>
      <c r="AD2323" s="15" t="s">
        <v>131</v>
      </c>
      <c r="AE2323" s="15" t="s">
        <v>350</v>
      </c>
      <c r="AF2323" s="12">
        <f>IF(AG2323="Rejected",0,IF(R2323="Corporate Card",0,V2323))</f>
        <v>0</v>
      </c>
      <c r="AG2323" s="15" t="s">
        <v>133</v>
      </c>
      <c r="AH2323" s="16">
        <v>45951</v>
      </c>
      <c r="AI2323" s="16">
        <v>45959</v>
      </c>
      <c r="AJ2323" s="16">
        <v>45961</v>
      </c>
      <c r="AK2323" s="17">
        <f>IF(AJ2323="","",AJ2323-AH2323)</f>
        <v>10</v>
      </c>
    </row>
    <row r="2324" spans="1:37">
      <c r="A2324" s="2" t="s">
        <v>2808</v>
      </c>
      <c r="B2324" s="2" t="s">
        <v>412</v>
      </c>
      <c r="C2324" s="2" t="s">
        <v>413</v>
      </c>
      <c r="D2324" s="2" t="s">
        <v>414</v>
      </c>
      <c r="E2324" s="2" t="s">
        <v>415</v>
      </c>
      <c r="F2324" s="2" t="s">
        <v>313</v>
      </c>
      <c r="G2324" s="2" t="s">
        <v>2789</v>
      </c>
      <c r="H2324" s="2" t="s">
        <v>193</v>
      </c>
      <c r="I2324" s="2" t="s">
        <v>651</v>
      </c>
      <c r="J2324" s="2" t="s">
        <v>652</v>
      </c>
      <c r="K2324" s="9">
        <v>45934</v>
      </c>
      <c r="L2324" s="9">
        <v>45940</v>
      </c>
      <c r="M2324" s="9">
        <v>45935</v>
      </c>
      <c r="N2324" s="2" t="s">
        <v>2764</v>
      </c>
      <c r="O2324" s="2" t="s">
        <v>55</v>
      </c>
      <c r="P2324" s="2" t="s">
        <v>139</v>
      </c>
      <c r="Q2324" s="2" t="s">
        <v>154</v>
      </c>
      <c r="R2324" s="2" t="s">
        <v>128</v>
      </c>
      <c r="S2324" s="2" t="s">
        <v>654</v>
      </c>
      <c r="T2324" s="10">
        <v>26.22</v>
      </c>
      <c r="U2324" s="11">
        <v>0.72799999999999998</v>
      </c>
      <c r="V2324" s="12">
        <f>T2324*U2324</f>
        <v>19.088159999999998</v>
      </c>
      <c r="W2324" s="13">
        <v>0.13</v>
      </c>
      <c r="X2324" s="12">
        <f>V2324-(V2324/(1+W2324))</f>
        <v>2.1959830088495558</v>
      </c>
      <c r="Y2324" s="12">
        <f>V2324-X2324</f>
        <v>16.892176991150443</v>
      </c>
      <c r="Z2324" s="14">
        <v>35</v>
      </c>
      <c r="AA2324" s="2" t="str">
        <f>IF(V2324&gt;Z2324,"Yes","No")</f>
        <v>No</v>
      </c>
      <c r="AB2324" s="12">
        <f>V2324-Z2324</f>
        <v>-15.911840000000002</v>
      </c>
      <c r="AC2324" s="15" t="s">
        <v>130</v>
      </c>
      <c r="AD2324" s="15" t="s">
        <v>131</v>
      </c>
      <c r="AE2324" s="15" t="s">
        <v>350</v>
      </c>
      <c r="AF2324" s="12">
        <f>IF(AG2324="Rejected",0,IF(R2324="Corporate Card",0,V2324))</f>
        <v>0</v>
      </c>
      <c r="AG2324" s="15" t="s">
        <v>133</v>
      </c>
      <c r="AH2324" s="16">
        <v>45951</v>
      </c>
      <c r="AI2324" s="16">
        <v>45959</v>
      </c>
      <c r="AJ2324" s="16">
        <v>45961</v>
      </c>
      <c r="AK2324" s="17">
        <f>IF(AJ2324="","",AJ2324-AH2324)</f>
        <v>10</v>
      </c>
    </row>
    <row r="2325" spans="1:37">
      <c r="A2325" s="2" t="s">
        <v>2809</v>
      </c>
      <c r="B2325" s="2" t="s">
        <v>412</v>
      </c>
      <c r="C2325" s="2" t="s">
        <v>413</v>
      </c>
      <c r="D2325" s="2" t="s">
        <v>414</v>
      </c>
      <c r="E2325" s="2" t="s">
        <v>415</v>
      </c>
      <c r="F2325" s="2" t="s">
        <v>313</v>
      </c>
      <c r="G2325" s="2" t="s">
        <v>2789</v>
      </c>
      <c r="H2325" s="2" t="s">
        <v>193</v>
      </c>
      <c r="I2325" s="2" t="s">
        <v>651</v>
      </c>
      <c r="J2325" s="2" t="s">
        <v>652</v>
      </c>
      <c r="K2325" s="9">
        <v>45934</v>
      </c>
      <c r="L2325" s="9">
        <v>45940</v>
      </c>
      <c r="M2325" s="9">
        <v>45935</v>
      </c>
      <c r="N2325" s="2" t="s">
        <v>2764</v>
      </c>
      <c r="O2325" s="2" t="s">
        <v>69</v>
      </c>
      <c r="P2325" s="2" t="s">
        <v>409</v>
      </c>
      <c r="Q2325" s="2" t="s">
        <v>1191</v>
      </c>
      <c r="R2325" s="2" t="s">
        <v>128</v>
      </c>
      <c r="S2325" s="2" t="s">
        <v>654</v>
      </c>
      <c r="T2325" s="10">
        <v>35.72</v>
      </c>
      <c r="U2325" s="11">
        <v>0.72799999999999998</v>
      </c>
      <c r="V2325" s="12">
        <f>T2325*U2325</f>
        <v>26.004159999999999</v>
      </c>
      <c r="W2325" s="13">
        <v>0.13</v>
      </c>
      <c r="X2325" s="12">
        <f>V2325-(V2325/(1+W2325))</f>
        <v>2.9916290265486687</v>
      </c>
      <c r="Y2325" s="12">
        <f>V2325-X2325</f>
        <v>23.01253097345133</v>
      </c>
      <c r="Z2325" s="14">
        <v>60</v>
      </c>
      <c r="AA2325" s="2" t="str">
        <f>IF(V2325&gt;Z2325,"Yes","No")</f>
        <v>No</v>
      </c>
      <c r="AB2325" s="12">
        <f>V2325-Z2325</f>
        <v>-33.995840000000001</v>
      </c>
      <c r="AC2325" s="15" t="s">
        <v>130</v>
      </c>
      <c r="AD2325" s="15" t="s">
        <v>131</v>
      </c>
      <c r="AE2325" s="15" t="s">
        <v>350</v>
      </c>
      <c r="AF2325" s="12">
        <f>IF(AG2325="Rejected",0,IF(R2325="Corporate Card",0,V2325))</f>
        <v>0</v>
      </c>
      <c r="AG2325" s="15" t="s">
        <v>133</v>
      </c>
      <c r="AH2325" s="16">
        <v>45951</v>
      </c>
      <c r="AI2325" s="16">
        <v>45959</v>
      </c>
      <c r="AJ2325" s="16">
        <v>45961</v>
      </c>
      <c r="AK2325" s="17">
        <f>IF(AJ2325="","",AJ2325-AH2325)</f>
        <v>10</v>
      </c>
    </row>
    <row r="2326" spans="1:37">
      <c r="A2326" s="2" t="s">
        <v>2810</v>
      </c>
      <c r="B2326" s="2" t="s">
        <v>116</v>
      </c>
      <c r="C2326" s="2" t="s">
        <v>117</v>
      </c>
      <c r="D2326" s="2" t="s">
        <v>118</v>
      </c>
      <c r="E2326" s="2" t="s">
        <v>119</v>
      </c>
      <c r="F2326" s="2" t="s">
        <v>120</v>
      </c>
      <c r="G2326" s="2" t="s">
        <v>2795</v>
      </c>
      <c r="H2326" s="2" t="s">
        <v>193</v>
      </c>
      <c r="I2326" s="2" t="s">
        <v>255</v>
      </c>
      <c r="J2326" s="2" t="s">
        <v>256</v>
      </c>
      <c r="K2326" s="9">
        <v>45934</v>
      </c>
      <c r="L2326" s="9">
        <v>45938</v>
      </c>
      <c r="M2326" s="9">
        <v>45935</v>
      </c>
      <c r="N2326" s="2" t="s">
        <v>2764</v>
      </c>
      <c r="O2326" s="2" t="s">
        <v>60</v>
      </c>
      <c r="P2326" s="2" t="s">
        <v>502</v>
      </c>
      <c r="Q2326" s="2" t="s">
        <v>537</v>
      </c>
      <c r="R2326" s="2" t="s">
        <v>149</v>
      </c>
      <c r="S2326" s="2" t="s">
        <v>259</v>
      </c>
      <c r="T2326" s="10">
        <v>44621</v>
      </c>
      <c r="U2326" s="11">
        <v>6.5500000000000003E-3</v>
      </c>
      <c r="V2326" s="12">
        <f>T2326*U2326</f>
        <v>292.26755000000003</v>
      </c>
      <c r="W2326" s="13">
        <v>0.1</v>
      </c>
      <c r="X2326" s="12">
        <f>V2326-(V2326/(1+W2326))</f>
        <v>26.569777272727322</v>
      </c>
      <c r="Y2326" s="12">
        <f>V2326-X2326</f>
        <v>265.69777272727271</v>
      </c>
      <c r="Z2326" s="14">
        <v>480</v>
      </c>
      <c r="AA2326" s="2" t="str">
        <f>IF(V2326&gt;Z2326,"Yes","No")</f>
        <v>No</v>
      </c>
      <c r="AB2326" s="12">
        <f>V2326-Z2326</f>
        <v>-187.73244999999997</v>
      </c>
      <c r="AC2326" s="15" t="s">
        <v>130</v>
      </c>
      <c r="AD2326" s="15" t="s">
        <v>130</v>
      </c>
      <c r="AE2326" s="15" t="s">
        <v>260</v>
      </c>
      <c r="AF2326" s="12">
        <f>IF(AG2326="Rejected",0,IF(R2326="Corporate Card",0,V2326))</f>
        <v>292.26755000000003</v>
      </c>
      <c r="AG2326" s="15" t="s">
        <v>133</v>
      </c>
      <c r="AH2326" s="16">
        <v>45943</v>
      </c>
      <c r="AI2326" s="16">
        <v>45946</v>
      </c>
      <c r="AJ2326" s="16">
        <v>45958</v>
      </c>
      <c r="AK2326" s="17">
        <f>IF(AJ2326="","",AJ2326-AH2326)</f>
        <v>15</v>
      </c>
    </row>
    <row r="2327" spans="1:37">
      <c r="A2327" s="2" t="s">
        <v>2811</v>
      </c>
      <c r="B2327" s="2" t="s">
        <v>116</v>
      </c>
      <c r="C2327" s="2" t="s">
        <v>117</v>
      </c>
      <c r="D2327" s="2" t="s">
        <v>118</v>
      </c>
      <c r="E2327" s="2" t="s">
        <v>119</v>
      </c>
      <c r="F2327" s="2" t="s">
        <v>120</v>
      </c>
      <c r="G2327" s="2" t="s">
        <v>2795</v>
      </c>
      <c r="H2327" s="2" t="s">
        <v>193</v>
      </c>
      <c r="I2327" s="2" t="s">
        <v>255</v>
      </c>
      <c r="J2327" s="2" t="s">
        <v>256</v>
      </c>
      <c r="K2327" s="9">
        <v>45934</v>
      </c>
      <c r="L2327" s="9">
        <v>45938</v>
      </c>
      <c r="M2327" s="9">
        <v>45935</v>
      </c>
      <c r="N2327" s="2" t="s">
        <v>2764</v>
      </c>
      <c r="O2327" s="2" t="s">
        <v>59</v>
      </c>
      <c r="P2327" s="2" t="s">
        <v>301</v>
      </c>
      <c r="Q2327" s="2" t="s">
        <v>464</v>
      </c>
      <c r="R2327" s="2" t="s">
        <v>128</v>
      </c>
      <c r="S2327" s="2" t="s">
        <v>259</v>
      </c>
      <c r="T2327" s="10">
        <v>13700</v>
      </c>
      <c r="U2327" s="11">
        <v>6.5500000000000003E-3</v>
      </c>
      <c r="V2327" s="12">
        <f>T2327*U2327</f>
        <v>89.734999999999999</v>
      </c>
      <c r="W2327" s="13">
        <v>0.1</v>
      </c>
      <c r="X2327" s="12">
        <f>V2327-(V2327/(1+W2327))</f>
        <v>8.1577272727272856</v>
      </c>
      <c r="Y2327" s="12">
        <f>V2327-X2327</f>
        <v>81.577272727272714</v>
      </c>
      <c r="Z2327" s="14">
        <v>150</v>
      </c>
      <c r="AA2327" s="2" t="str">
        <f>IF(V2327&gt;Z2327,"Yes","No")</f>
        <v>No</v>
      </c>
      <c r="AB2327" s="12">
        <f>V2327-Z2327</f>
        <v>-60.265000000000001</v>
      </c>
      <c r="AC2327" s="15" t="s">
        <v>130</v>
      </c>
      <c r="AD2327" s="15" t="s">
        <v>130</v>
      </c>
      <c r="AE2327" s="15" t="s">
        <v>260</v>
      </c>
      <c r="AF2327" s="12">
        <f>IF(AG2327="Rejected",0,IF(R2327="Corporate Card",0,V2327))</f>
        <v>0</v>
      </c>
      <c r="AG2327" s="15" t="s">
        <v>133</v>
      </c>
      <c r="AH2327" s="16">
        <v>45943</v>
      </c>
      <c r="AI2327" s="16">
        <v>45946</v>
      </c>
      <c r="AJ2327" s="16">
        <v>45958</v>
      </c>
      <c r="AK2327" s="17">
        <f>IF(AJ2327="","",AJ2327-AH2327)</f>
        <v>15</v>
      </c>
    </row>
    <row r="2328" spans="1:37">
      <c r="A2328" s="2" t="s">
        <v>2812</v>
      </c>
      <c r="B2328" s="2" t="s">
        <v>116</v>
      </c>
      <c r="C2328" s="2" t="s">
        <v>117</v>
      </c>
      <c r="D2328" s="2" t="s">
        <v>118</v>
      </c>
      <c r="E2328" s="2" t="s">
        <v>119</v>
      </c>
      <c r="F2328" s="2" t="s">
        <v>120</v>
      </c>
      <c r="G2328" s="2" t="s">
        <v>2795</v>
      </c>
      <c r="H2328" s="2" t="s">
        <v>193</v>
      </c>
      <c r="I2328" s="2" t="s">
        <v>255</v>
      </c>
      <c r="J2328" s="2" t="s">
        <v>256</v>
      </c>
      <c r="K2328" s="9">
        <v>45934</v>
      </c>
      <c r="L2328" s="9">
        <v>45938</v>
      </c>
      <c r="M2328" s="9">
        <v>45935</v>
      </c>
      <c r="N2328" s="2" t="s">
        <v>2764</v>
      </c>
      <c r="O2328" s="2" t="s">
        <v>58</v>
      </c>
      <c r="P2328" s="2" t="s">
        <v>142</v>
      </c>
      <c r="Q2328" s="2" t="s">
        <v>296</v>
      </c>
      <c r="R2328" s="2" t="s">
        <v>128</v>
      </c>
      <c r="S2328" s="2" t="s">
        <v>259</v>
      </c>
      <c r="T2328" s="10">
        <v>4852</v>
      </c>
      <c r="U2328" s="11">
        <v>6.5500000000000003E-3</v>
      </c>
      <c r="V2328" s="12">
        <f>T2328*U2328</f>
        <v>31.7806</v>
      </c>
      <c r="W2328" s="13">
        <v>0.1</v>
      </c>
      <c r="X2328" s="12">
        <f>V2328-(V2328/(1+W2328))</f>
        <v>2.8891454545454565</v>
      </c>
      <c r="Y2328" s="12">
        <f>V2328-X2328</f>
        <v>28.891454545454543</v>
      </c>
      <c r="Z2328" s="14">
        <v>60</v>
      </c>
      <c r="AA2328" s="2" t="str">
        <f>IF(V2328&gt;Z2328,"Yes","No")</f>
        <v>No</v>
      </c>
      <c r="AB2328" s="12">
        <f>V2328-Z2328</f>
        <v>-28.2194</v>
      </c>
      <c r="AC2328" s="15" t="s">
        <v>130</v>
      </c>
      <c r="AD2328" s="15" t="s">
        <v>130</v>
      </c>
      <c r="AE2328" s="15" t="s">
        <v>260</v>
      </c>
      <c r="AF2328" s="12">
        <f>IF(AG2328="Rejected",0,IF(R2328="Corporate Card",0,V2328))</f>
        <v>0</v>
      </c>
      <c r="AG2328" s="15" t="s">
        <v>133</v>
      </c>
      <c r="AH2328" s="16">
        <v>45943</v>
      </c>
      <c r="AI2328" s="16">
        <v>45946</v>
      </c>
      <c r="AJ2328" s="16">
        <v>45958</v>
      </c>
      <c r="AK2328" s="17">
        <f>IF(AJ2328="","",AJ2328-AH2328)</f>
        <v>15</v>
      </c>
    </row>
    <row r="2329" spans="1:37">
      <c r="A2329" s="2" t="s">
        <v>2813</v>
      </c>
      <c r="B2329" s="2" t="s">
        <v>116</v>
      </c>
      <c r="C2329" s="2" t="s">
        <v>117</v>
      </c>
      <c r="D2329" s="2" t="s">
        <v>118</v>
      </c>
      <c r="E2329" s="2" t="s">
        <v>119</v>
      </c>
      <c r="F2329" s="2" t="s">
        <v>120</v>
      </c>
      <c r="G2329" s="2" t="s">
        <v>2795</v>
      </c>
      <c r="H2329" s="2" t="s">
        <v>193</v>
      </c>
      <c r="I2329" s="2" t="s">
        <v>255</v>
      </c>
      <c r="J2329" s="2" t="s">
        <v>256</v>
      </c>
      <c r="K2329" s="9">
        <v>45934</v>
      </c>
      <c r="L2329" s="9">
        <v>45938</v>
      </c>
      <c r="M2329" s="9">
        <v>45935</v>
      </c>
      <c r="N2329" s="2" t="s">
        <v>2764</v>
      </c>
      <c r="O2329" s="2" t="s">
        <v>53</v>
      </c>
      <c r="P2329" s="2" t="s">
        <v>457</v>
      </c>
      <c r="Q2329" s="2" t="s">
        <v>272</v>
      </c>
      <c r="R2329" s="2" t="s">
        <v>128</v>
      </c>
      <c r="S2329" s="2" t="s">
        <v>259</v>
      </c>
      <c r="T2329" s="10">
        <v>62379</v>
      </c>
      <c r="U2329" s="11">
        <v>6.5500000000000003E-3</v>
      </c>
      <c r="V2329" s="12">
        <f>T2329*U2329</f>
        <v>408.58244999999999</v>
      </c>
      <c r="W2329" s="13">
        <v>0.1</v>
      </c>
      <c r="X2329" s="12">
        <f>V2329-(V2329/(1+W2329))</f>
        <v>37.143859090909132</v>
      </c>
      <c r="Y2329" s="12">
        <f>V2329-X2329</f>
        <v>371.43859090909086</v>
      </c>
      <c r="Z2329" s="14">
        <v>1120</v>
      </c>
      <c r="AA2329" s="2" t="str">
        <f>IF(V2329&gt;Z2329,"Yes","No")</f>
        <v>No</v>
      </c>
      <c r="AB2329" s="12">
        <f>V2329-Z2329</f>
        <v>-711.41755000000001</v>
      </c>
      <c r="AC2329" s="15" t="s">
        <v>130</v>
      </c>
      <c r="AD2329" s="15" t="s">
        <v>130</v>
      </c>
      <c r="AE2329" s="15" t="s">
        <v>260</v>
      </c>
      <c r="AF2329" s="12">
        <f>IF(AG2329="Rejected",0,IF(R2329="Corporate Card",0,V2329))</f>
        <v>0</v>
      </c>
      <c r="AG2329" s="15" t="s">
        <v>133</v>
      </c>
      <c r="AH2329" s="16">
        <v>45943</v>
      </c>
      <c r="AI2329" s="16">
        <v>45946</v>
      </c>
      <c r="AJ2329" s="16">
        <v>45958</v>
      </c>
      <c r="AK2329" s="17">
        <f>IF(AJ2329="","",AJ2329-AH2329)</f>
        <v>15</v>
      </c>
    </row>
    <row r="2330" spans="1:37">
      <c r="A2330" s="2" t="s">
        <v>2814</v>
      </c>
      <c r="B2330" s="2" t="s">
        <v>116</v>
      </c>
      <c r="C2330" s="2" t="s">
        <v>117</v>
      </c>
      <c r="D2330" s="2" t="s">
        <v>118</v>
      </c>
      <c r="E2330" s="2" t="s">
        <v>119</v>
      </c>
      <c r="F2330" s="2" t="s">
        <v>120</v>
      </c>
      <c r="G2330" s="2" t="s">
        <v>2795</v>
      </c>
      <c r="H2330" s="2" t="s">
        <v>193</v>
      </c>
      <c r="I2330" s="2" t="s">
        <v>255</v>
      </c>
      <c r="J2330" s="2" t="s">
        <v>256</v>
      </c>
      <c r="K2330" s="9">
        <v>45934</v>
      </c>
      <c r="L2330" s="9">
        <v>45938</v>
      </c>
      <c r="M2330" s="9">
        <v>45935</v>
      </c>
      <c r="N2330" s="2" t="s">
        <v>2764</v>
      </c>
      <c r="O2330" s="2" t="s">
        <v>65</v>
      </c>
      <c r="P2330" s="2" t="s">
        <v>211</v>
      </c>
      <c r="Q2330" s="2" t="s">
        <v>460</v>
      </c>
      <c r="R2330" s="2" t="s">
        <v>128</v>
      </c>
      <c r="S2330" s="2" t="s">
        <v>259</v>
      </c>
      <c r="T2330" s="10">
        <v>8038</v>
      </c>
      <c r="U2330" s="11">
        <v>6.5500000000000003E-3</v>
      </c>
      <c r="V2330" s="12">
        <f>T2330*U2330</f>
        <v>52.648900000000005</v>
      </c>
      <c r="W2330" s="13">
        <v>0.1</v>
      </c>
      <c r="X2330" s="12">
        <f>V2330-(V2330/(1+W2330))</f>
        <v>4.7862636363636426</v>
      </c>
      <c r="Y2330" s="12">
        <f>V2330-X2330</f>
        <v>47.862636363636362</v>
      </c>
      <c r="Z2330" s="14">
        <v>55</v>
      </c>
      <c r="AA2330" s="2" t="str">
        <f>IF(V2330&gt;Z2330,"Yes","No")</f>
        <v>No</v>
      </c>
      <c r="AB2330" s="12">
        <f>V2330-Z2330</f>
        <v>-2.3510999999999953</v>
      </c>
      <c r="AC2330" s="15" t="s">
        <v>130</v>
      </c>
      <c r="AD2330" s="15" t="s">
        <v>130</v>
      </c>
      <c r="AE2330" s="15" t="s">
        <v>260</v>
      </c>
      <c r="AF2330" s="12">
        <f>IF(AG2330="Rejected",0,IF(R2330="Corporate Card",0,V2330))</f>
        <v>0</v>
      </c>
      <c r="AG2330" s="15" t="s">
        <v>133</v>
      </c>
      <c r="AH2330" s="16">
        <v>45943</v>
      </c>
      <c r="AI2330" s="16">
        <v>45946</v>
      </c>
      <c r="AJ2330" s="16">
        <v>45958</v>
      </c>
      <c r="AK2330" s="17">
        <f>IF(AJ2330="","",AJ2330-AH2330)</f>
        <v>15</v>
      </c>
    </row>
    <row r="2331" spans="1:37">
      <c r="A2331" s="2" t="s">
        <v>2815</v>
      </c>
      <c r="B2331" s="2" t="s">
        <v>116</v>
      </c>
      <c r="C2331" s="2" t="s">
        <v>117</v>
      </c>
      <c r="D2331" s="2" t="s">
        <v>118</v>
      </c>
      <c r="E2331" s="2" t="s">
        <v>119</v>
      </c>
      <c r="F2331" s="2" t="s">
        <v>120</v>
      </c>
      <c r="G2331" s="2" t="s">
        <v>2795</v>
      </c>
      <c r="H2331" s="2" t="s">
        <v>193</v>
      </c>
      <c r="I2331" s="2" t="s">
        <v>255</v>
      </c>
      <c r="J2331" s="2" t="s">
        <v>256</v>
      </c>
      <c r="K2331" s="9">
        <v>45934</v>
      </c>
      <c r="L2331" s="9">
        <v>45938</v>
      </c>
      <c r="M2331" s="9">
        <v>45935</v>
      </c>
      <c r="N2331" s="2" t="s">
        <v>2764</v>
      </c>
      <c r="O2331" s="2" t="s">
        <v>54</v>
      </c>
      <c r="P2331" s="2" t="s">
        <v>139</v>
      </c>
      <c r="Q2331" s="2" t="s">
        <v>148</v>
      </c>
      <c r="R2331" s="2" t="s">
        <v>128</v>
      </c>
      <c r="S2331" s="2" t="s">
        <v>259</v>
      </c>
      <c r="T2331" s="10">
        <v>2366</v>
      </c>
      <c r="U2331" s="11">
        <v>6.5500000000000003E-3</v>
      </c>
      <c r="V2331" s="12">
        <f>T2331*U2331</f>
        <v>15.497300000000001</v>
      </c>
      <c r="W2331" s="13">
        <v>0.1</v>
      </c>
      <c r="X2331" s="12">
        <f>V2331-(V2331/(1+W2331))</f>
        <v>1.408845454545455</v>
      </c>
      <c r="Y2331" s="12">
        <f>V2331-X2331</f>
        <v>14.088454545454546</v>
      </c>
      <c r="Z2331" s="14">
        <v>25</v>
      </c>
      <c r="AA2331" s="2" t="str">
        <f>IF(V2331&gt;Z2331,"Yes","No")</f>
        <v>No</v>
      </c>
      <c r="AB2331" s="12">
        <f>V2331-Z2331</f>
        <v>-9.502699999999999</v>
      </c>
      <c r="AC2331" s="15" t="s">
        <v>130</v>
      </c>
      <c r="AD2331" s="15" t="s">
        <v>130</v>
      </c>
      <c r="AE2331" s="15" t="s">
        <v>260</v>
      </c>
      <c r="AF2331" s="12">
        <f>IF(AG2331="Rejected",0,IF(R2331="Corporate Card",0,V2331))</f>
        <v>0</v>
      </c>
      <c r="AG2331" s="15" t="s">
        <v>133</v>
      </c>
      <c r="AH2331" s="16">
        <v>45943</v>
      </c>
      <c r="AI2331" s="16">
        <v>45946</v>
      </c>
      <c r="AJ2331" s="16">
        <v>45958</v>
      </c>
      <c r="AK2331" s="17">
        <f>IF(AJ2331="","",AJ2331-AH2331)</f>
        <v>15</v>
      </c>
    </row>
    <row r="2332" spans="1:37">
      <c r="A2332" s="2" t="s">
        <v>2816</v>
      </c>
      <c r="B2332" s="2" t="s">
        <v>116</v>
      </c>
      <c r="C2332" s="2" t="s">
        <v>117</v>
      </c>
      <c r="D2332" s="2" t="s">
        <v>118</v>
      </c>
      <c r="E2332" s="2" t="s">
        <v>119</v>
      </c>
      <c r="F2332" s="2" t="s">
        <v>120</v>
      </c>
      <c r="G2332" s="2" t="s">
        <v>2795</v>
      </c>
      <c r="H2332" s="2" t="s">
        <v>193</v>
      </c>
      <c r="I2332" s="2" t="s">
        <v>255</v>
      </c>
      <c r="J2332" s="2" t="s">
        <v>256</v>
      </c>
      <c r="K2332" s="9">
        <v>45934</v>
      </c>
      <c r="L2332" s="9">
        <v>45938</v>
      </c>
      <c r="M2332" s="9">
        <v>45935</v>
      </c>
      <c r="N2332" s="2" t="s">
        <v>2764</v>
      </c>
      <c r="O2332" s="2" t="s">
        <v>56</v>
      </c>
      <c r="P2332" s="2" t="s">
        <v>245</v>
      </c>
      <c r="Q2332" s="2" t="s">
        <v>152</v>
      </c>
      <c r="R2332" s="2" t="s">
        <v>128</v>
      </c>
      <c r="S2332" s="2" t="s">
        <v>259</v>
      </c>
      <c r="T2332" s="10">
        <v>9163</v>
      </c>
      <c r="U2332" s="11">
        <v>6.5500000000000003E-3</v>
      </c>
      <c r="V2332" s="12">
        <f>T2332*U2332</f>
        <v>60.017650000000003</v>
      </c>
      <c r="W2332" s="13">
        <v>0.1</v>
      </c>
      <c r="X2332" s="12">
        <f>V2332-(V2332/(1+W2332))</f>
        <v>5.456150000000008</v>
      </c>
      <c r="Y2332" s="12">
        <f>V2332-X2332</f>
        <v>54.561499999999995</v>
      </c>
      <c r="Z2332" s="14">
        <v>75</v>
      </c>
      <c r="AA2332" s="2" t="str">
        <f>IF(V2332&gt;Z2332,"Yes","No")</f>
        <v>No</v>
      </c>
      <c r="AB2332" s="12">
        <f>V2332-Z2332</f>
        <v>-14.982349999999997</v>
      </c>
      <c r="AC2332" s="15" t="s">
        <v>130</v>
      </c>
      <c r="AD2332" s="15" t="s">
        <v>130</v>
      </c>
      <c r="AE2332" s="15" t="s">
        <v>260</v>
      </c>
      <c r="AF2332" s="12">
        <f>IF(AG2332="Rejected",0,IF(R2332="Corporate Card",0,V2332))</f>
        <v>0</v>
      </c>
      <c r="AG2332" s="15" t="s">
        <v>133</v>
      </c>
      <c r="AH2332" s="16">
        <v>45943</v>
      </c>
      <c r="AI2332" s="16">
        <v>45946</v>
      </c>
      <c r="AJ2332" s="16">
        <v>45958</v>
      </c>
      <c r="AK2332" s="17">
        <f>IF(AJ2332="","",AJ2332-AH2332)</f>
        <v>15</v>
      </c>
    </row>
    <row r="2333" spans="1:37">
      <c r="A2333" s="2" t="s">
        <v>2817</v>
      </c>
      <c r="B2333" s="2" t="s">
        <v>2212</v>
      </c>
      <c r="C2333" s="2" t="s">
        <v>346</v>
      </c>
      <c r="D2333" s="2" t="s">
        <v>344</v>
      </c>
      <c r="E2333" s="2" t="s">
        <v>2213</v>
      </c>
      <c r="F2333" s="2" t="s">
        <v>313</v>
      </c>
      <c r="G2333" s="2" t="s">
        <v>2763</v>
      </c>
      <c r="H2333" s="2" t="s">
        <v>193</v>
      </c>
      <c r="I2333" s="2" t="s">
        <v>1251</v>
      </c>
      <c r="J2333" s="2" t="s">
        <v>750</v>
      </c>
      <c r="K2333" s="9">
        <v>45931</v>
      </c>
      <c r="L2333" s="9">
        <v>45936</v>
      </c>
      <c r="M2333" s="9">
        <v>45936</v>
      </c>
      <c r="N2333" s="2" t="s">
        <v>2764</v>
      </c>
      <c r="O2333" s="2" t="s">
        <v>58</v>
      </c>
      <c r="P2333" s="2" t="s">
        <v>142</v>
      </c>
      <c r="Q2333" s="2" t="s">
        <v>296</v>
      </c>
      <c r="R2333" s="2" t="s">
        <v>128</v>
      </c>
      <c r="S2333" s="2" t="s">
        <v>198</v>
      </c>
      <c r="T2333" s="10">
        <v>37.78</v>
      </c>
      <c r="U2333" s="11">
        <v>1.085</v>
      </c>
      <c r="V2333" s="12">
        <f>T2333*U2333</f>
        <v>40.991300000000003</v>
      </c>
      <c r="W2333" s="13">
        <v>0.19</v>
      </c>
      <c r="X2333" s="12">
        <f>V2333-(V2333/(1+W2333))</f>
        <v>6.5448294117647023</v>
      </c>
      <c r="Y2333" s="12">
        <f>V2333-X2333</f>
        <v>34.4464705882353</v>
      </c>
      <c r="Z2333" s="14">
        <v>60</v>
      </c>
      <c r="AA2333" s="2" t="str">
        <f>IF(V2333&gt;Z2333,"Yes","No")</f>
        <v>No</v>
      </c>
      <c r="AB2333" s="12">
        <f>V2333-Z2333</f>
        <v>-19.008699999999997</v>
      </c>
      <c r="AC2333" s="15" t="s">
        <v>130</v>
      </c>
      <c r="AD2333" s="15" t="s">
        <v>130</v>
      </c>
      <c r="AE2333" s="15" t="s">
        <v>858</v>
      </c>
      <c r="AF2333" s="12">
        <f>IF(AG2333="Rejected",0,IF(R2333="Corporate Card",0,V2333))</f>
        <v>0</v>
      </c>
      <c r="AG2333" s="15" t="s">
        <v>804</v>
      </c>
      <c r="AH2333" s="16">
        <v>45944</v>
      </c>
      <c r="AI2333" s="16"/>
      <c r="AJ2333" s="16"/>
      <c r="AK2333" s="17" t="str">
        <f>IF(AJ2333="","",AJ2333-AH2333)</f>
        <v/>
      </c>
    </row>
    <row r="2334" spans="1:37">
      <c r="A2334" s="2" t="s">
        <v>2818</v>
      </c>
      <c r="B2334" s="2" t="s">
        <v>2212</v>
      </c>
      <c r="C2334" s="2" t="s">
        <v>346</v>
      </c>
      <c r="D2334" s="2" t="s">
        <v>344</v>
      </c>
      <c r="E2334" s="2" t="s">
        <v>2213</v>
      </c>
      <c r="F2334" s="2" t="s">
        <v>313</v>
      </c>
      <c r="G2334" s="2" t="s">
        <v>2763</v>
      </c>
      <c r="H2334" s="2" t="s">
        <v>193</v>
      </c>
      <c r="I2334" s="2" t="s">
        <v>1251</v>
      </c>
      <c r="J2334" s="2" t="s">
        <v>750</v>
      </c>
      <c r="K2334" s="9">
        <v>45931</v>
      </c>
      <c r="L2334" s="9">
        <v>45936</v>
      </c>
      <c r="M2334" s="9">
        <v>45936</v>
      </c>
      <c r="N2334" s="2" t="s">
        <v>2764</v>
      </c>
      <c r="O2334" s="2" t="s">
        <v>54</v>
      </c>
      <c r="P2334" s="2" t="s">
        <v>139</v>
      </c>
      <c r="Q2334" s="2" t="s">
        <v>140</v>
      </c>
      <c r="R2334" s="2" t="s">
        <v>128</v>
      </c>
      <c r="S2334" s="2" t="s">
        <v>198</v>
      </c>
      <c r="T2334" s="10">
        <v>17.37</v>
      </c>
      <c r="U2334" s="11">
        <v>1.085</v>
      </c>
      <c r="V2334" s="12">
        <f>T2334*U2334</f>
        <v>18.846450000000001</v>
      </c>
      <c r="W2334" s="13">
        <v>0.19</v>
      </c>
      <c r="X2334" s="12">
        <f>V2334-(V2334/(1+W2334))</f>
        <v>3.009097058823528</v>
      </c>
      <c r="Y2334" s="12">
        <f>V2334-X2334</f>
        <v>15.837352941176473</v>
      </c>
      <c r="Z2334" s="14">
        <v>25</v>
      </c>
      <c r="AA2334" s="2" t="str">
        <f>IF(V2334&gt;Z2334,"Yes","No")</f>
        <v>No</v>
      </c>
      <c r="AB2334" s="12">
        <f>V2334-Z2334</f>
        <v>-6.1535499999999992</v>
      </c>
      <c r="AC2334" s="15" t="s">
        <v>130</v>
      </c>
      <c r="AD2334" s="15" t="s">
        <v>130</v>
      </c>
      <c r="AE2334" s="15" t="s">
        <v>858</v>
      </c>
      <c r="AF2334" s="12">
        <f>IF(AG2334="Rejected",0,IF(R2334="Corporate Card",0,V2334))</f>
        <v>0</v>
      </c>
      <c r="AG2334" s="15" t="s">
        <v>804</v>
      </c>
      <c r="AH2334" s="16">
        <v>45944</v>
      </c>
      <c r="AI2334" s="16"/>
      <c r="AJ2334" s="16"/>
      <c r="AK2334" s="17" t="str">
        <f>IF(AJ2334="","",AJ2334-AH2334)</f>
        <v/>
      </c>
    </row>
    <row r="2335" spans="1:37">
      <c r="A2335" s="2" t="s">
        <v>2819</v>
      </c>
      <c r="B2335" s="2" t="s">
        <v>2212</v>
      </c>
      <c r="C2335" s="2" t="s">
        <v>346</v>
      </c>
      <c r="D2335" s="2" t="s">
        <v>344</v>
      </c>
      <c r="E2335" s="2" t="s">
        <v>2213</v>
      </c>
      <c r="F2335" s="2" t="s">
        <v>313</v>
      </c>
      <c r="G2335" s="2" t="s">
        <v>2763</v>
      </c>
      <c r="H2335" s="2" t="s">
        <v>193</v>
      </c>
      <c r="I2335" s="2" t="s">
        <v>1251</v>
      </c>
      <c r="J2335" s="2" t="s">
        <v>750</v>
      </c>
      <c r="K2335" s="9">
        <v>45931</v>
      </c>
      <c r="L2335" s="9">
        <v>45936</v>
      </c>
      <c r="M2335" s="9">
        <v>45936</v>
      </c>
      <c r="N2335" s="2" t="s">
        <v>2764</v>
      </c>
      <c r="O2335" s="2" t="s">
        <v>56</v>
      </c>
      <c r="P2335" s="2" t="s">
        <v>245</v>
      </c>
      <c r="Q2335" s="2" t="s">
        <v>152</v>
      </c>
      <c r="R2335" s="2" t="s">
        <v>128</v>
      </c>
      <c r="S2335" s="2" t="s">
        <v>198</v>
      </c>
      <c r="T2335" s="10">
        <v>59.16</v>
      </c>
      <c r="U2335" s="11">
        <v>1.085</v>
      </c>
      <c r="V2335" s="12">
        <f>T2335*U2335</f>
        <v>64.188599999999994</v>
      </c>
      <c r="W2335" s="13">
        <v>0.19</v>
      </c>
      <c r="X2335" s="12">
        <f>V2335-(V2335/(1+W2335))</f>
        <v>10.248599999999996</v>
      </c>
      <c r="Y2335" s="12">
        <f>V2335-X2335</f>
        <v>53.94</v>
      </c>
      <c r="Z2335" s="14">
        <v>75</v>
      </c>
      <c r="AA2335" s="2" t="str">
        <f>IF(V2335&gt;Z2335,"Yes","No")</f>
        <v>No</v>
      </c>
      <c r="AB2335" s="12">
        <f>V2335-Z2335</f>
        <v>-10.811400000000006</v>
      </c>
      <c r="AC2335" s="15" t="s">
        <v>130</v>
      </c>
      <c r="AD2335" s="15" t="s">
        <v>130</v>
      </c>
      <c r="AE2335" s="15" t="s">
        <v>858</v>
      </c>
      <c r="AF2335" s="12">
        <f>IF(AG2335="Rejected",0,IF(R2335="Corporate Card",0,V2335))</f>
        <v>0</v>
      </c>
      <c r="AG2335" s="15" t="s">
        <v>804</v>
      </c>
      <c r="AH2335" s="16">
        <v>45944</v>
      </c>
      <c r="AI2335" s="16"/>
      <c r="AJ2335" s="16"/>
      <c r="AK2335" s="17" t="str">
        <f>IF(AJ2335="","",AJ2335-AH2335)</f>
        <v/>
      </c>
    </row>
    <row r="2336" spans="1:37">
      <c r="A2336" s="2" t="s">
        <v>2820</v>
      </c>
      <c r="B2336" s="2" t="s">
        <v>2212</v>
      </c>
      <c r="C2336" s="2" t="s">
        <v>346</v>
      </c>
      <c r="D2336" s="2" t="s">
        <v>344</v>
      </c>
      <c r="E2336" s="2" t="s">
        <v>2213</v>
      </c>
      <c r="F2336" s="2" t="s">
        <v>313</v>
      </c>
      <c r="G2336" s="2" t="s">
        <v>2763</v>
      </c>
      <c r="H2336" s="2" t="s">
        <v>193</v>
      </c>
      <c r="I2336" s="2" t="s">
        <v>1251</v>
      </c>
      <c r="J2336" s="2" t="s">
        <v>750</v>
      </c>
      <c r="K2336" s="9">
        <v>45931</v>
      </c>
      <c r="L2336" s="9">
        <v>45936</v>
      </c>
      <c r="M2336" s="9">
        <v>45936</v>
      </c>
      <c r="N2336" s="2" t="s">
        <v>2764</v>
      </c>
      <c r="O2336" s="2" t="s">
        <v>55</v>
      </c>
      <c r="P2336" s="2" t="s">
        <v>139</v>
      </c>
      <c r="Q2336" s="2" t="s">
        <v>154</v>
      </c>
      <c r="R2336" s="2" t="s">
        <v>128</v>
      </c>
      <c r="S2336" s="2" t="s">
        <v>198</v>
      </c>
      <c r="T2336" s="10">
        <v>42.17</v>
      </c>
      <c r="U2336" s="11">
        <v>1.085</v>
      </c>
      <c r="V2336" s="12">
        <f>T2336*U2336</f>
        <v>45.754449999999999</v>
      </c>
      <c r="W2336" s="13">
        <v>0.19</v>
      </c>
      <c r="X2336" s="12">
        <f>V2336-(V2336/(1+W2336))</f>
        <v>7.3053323529411713</v>
      </c>
      <c r="Y2336" s="12">
        <f>V2336-X2336</f>
        <v>38.449117647058827</v>
      </c>
      <c r="Z2336" s="14">
        <v>35</v>
      </c>
      <c r="AA2336" s="2" t="str">
        <f>IF(V2336&gt;Z2336,"Yes","No")</f>
        <v>Yes</v>
      </c>
      <c r="AB2336" s="12">
        <f>V2336-Z2336</f>
        <v>10.754449999999999</v>
      </c>
      <c r="AC2336" s="15" t="s">
        <v>130</v>
      </c>
      <c r="AD2336" s="15" t="s">
        <v>130</v>
      </c>
      <c r="AE2336" s="15" t="s">
        <v>858</v>
      </c>
      <c r="AF2336" s="12">
        <f>IF(AG2336="Rejected",0,IF(R2336="Corporate Card",0,V2336))</f>
        <v>0</v>
      </c>
      <c r="AG2336" s="15" t="s">
        <v>804</v>
      </c>
      <c r="AH2336" s="16">
        <v>45944</v>
      </c>
      <c r="AI2336" s="16"/>
      <c r="AJ2336" s="16"/>
      <c r="AK2336" s="17" t="str">
        <f>IF(AJ2336="","",AJ2336-AH2336)</f>
        <v/>
      </c>
    </row>
    <row r="2337" spans="1:37">
      <c r="A2337" s="2" t="s">
        <v>2821</v>
      </c>
      <c r="B2337" s="2" t="s">
        <v>412</v>
      </c>
      <c r="C2337" s="2" t="s">
        <v>413</v>
      </c>
      <c r="D2337" s="2" t="s">
        <v>414</v>
      </c>
      <c r="E2337" s="2" t="s">
        <v>415</v>
      </c>
      <c r="F2337" s="2" t="s">
        <v>313</v>
      </c>
      <c r="G2337" s="2" t="s">
        <v>2789</v>
      </c>
      <c r="H2337" s="2" t="s">
        <v>193</v>
      </c>
      <c r="I2337" s="2" t="s">
        <v>651</v>
      </c>
      <c r="J2337" s="2" t="s">
        <v>652</v>
      </c>
      <c r="K2337" s="9">
        <v>45934</v>
      </c>
      <c r="L2337" s="9">
        <v>45940</v>
      </c>
      <c r="M2337" s="9">
        <v>45936</v>
      </c>
      <c r="N2337" s="2" t="s">
        <v>2764</v>
      </c>
      <c r="O2337" s="2" t="s">
        <v>58</v>
      </c>
      <c r="P2337" s="2" t="s">
        <v>142</v>
      </c>
      <c r="Q2337" s="2" t="s">
        <v>296</v>
      </c>
      <c r="R2337" s="2" t="s">
        <v>128</v>
      </c>
      <c r="S2337" s="2" t="s">
        <v>654</v>
      </c>
      <c r="T2337" s="10">
        <v>71.59</v>
      </c>
      <c r="U2337" s="11">
        <v>0.72799999999999998</v>
      </c>
      <c r="V2337" s="12">
        <f>T2337*U2337</f>
        <v>52.117519999999999</v>
      </c>
      <c r="W2337" s="13">
        <v>0.13</v>
      </c>
      <c r="X2337" s="12">
        <f>V2337-(V2337/(1+W2337))</f>
        <v>5.9958208849557479</v>
      </c>
      <c r="Y2337" s="12">
        <f>V2337-X2337</f>
        <v>46.121699115044251</v>
      </c>
      <c r="Z2337" s="14">
        <v>60</v>
      </c>
      <c r="AA2337" s="2" t="str">
        <f>IF(V2337&gt;Z2337,"Yes","No")</f>
        <v>No</v>
      </c>
      <c r="AB2337" s="12">
        <f>V2337-Z2337</f>
        <v>-7.882480000000001</v>
      </c>
      <c r="AC2337" s="15" t="s">
        <v>130</v>
      </c>
      <c r="AD2337" s="15" t="s">
        <v>131</v>
      </c>
      <c r="AE2337" s="15" t="s">
        <v>350</v>
      </c>
      <c r="AF2337" s="12">
        <f>IF(AG2337="Rejected",0,IF(R2337="Corporate Card",0,V2337))</f>
        <v>0</v>
      </c>
      <c r="AG2337" s="15" t="s">
        <v>133</v>
      </c>
      <c r="AH2337" s="16">
        <v>45951</v>
      </c>
      <c r="AI2337" s="16">
        <v>45959</v>
      </c>
      <c r="AJ2337" s="16">
        <v>45961</v>
      </c>
      <c r="AK2337" s="17">
        <f>IF(AJ2337="","",AJ2337-AH2337)</f>
        <v>10</v>
      </c>
    </row>
    <row r="2338" spans="1:37">
      <c r="A2338" s="2" t="s">
        <v>2822</v>
      </c>
      <c r="B2338" s="2" t="s">
        <v>412</v>
      </c>
      <c r="C2338" s="2" t="s">
        <v>413</v>
      </c>
      <c r="D2338" s="2" t="s">
        <v>414</v>
      </c>
      <c r="E2338" s="2" t="s">
        <v>415</v>
      </c>
      <c r="F2338" s="2" t="s">
        <v>313</v>
      </c>
      <c r="G2338" s="2" t="s">
        <v>2789</v>
      </c>
      <c r="H2338" s="2" t="s">
        <v>193</v>
      </c>
      <c r="I2338" s="2" t="s">
        <v>651</v>
      </c>
      <c r="J2338" s="2" t="s">
        <v>652</v>
      </c>
      <c r="K2338" s="9">
        <v>45934</v>
      </c>
      <c r="L2338" s="9">
        <v>45940</v>
      </c>
      <c r="M2338" s="9">
        <v>45936</v>
      </c>
      <c r="N2338" s="2" t="s">
        <v>2764</v>
      </c>
      <c r="O2338" s="2" t="s">
        <v>56</v>
      </c>
      <c r="P2338" s="2" t="s">
        <v>245</v>
      </c>
      <c r="Q2338" s="2" t="s">
        <v>185</v>
      </c>
      <c r="R2338" s="2" t="s">
        <v>128</v>
      </c>
      <c r="S2338" s="2" t="s">
        <v>654</v>
      </c>
      <c r="T2338" s="10">
        <v>85.34</v>
      </c>
      <c r="U2338" s="11">
        <v>0.72799999999999998</v>
      </c>
      <c r="V2338" s="12">
        <f>T2338*U2338</f>
        <v>62.127520000000004</v>
      </c>
      <c r="W2338" s="13">
        <v>0.13</v>
      </c>
      <c r="X2338" s="12">
        <f>V2338-(V2338/(1+W2338))</f>
        <v>7.147413805309732</v>
      </c>
      <c r="Y2338" s="12">
        <f>V2338-X2338</f>
        <v>54.980106194690272</v>
      </c>
      <c r="Z2338" s="14">
        <v>75</v>
      </c>
      <c r="AA2338" s="2" t="str">
        <f>IF(V2338&gt;Z2338,"Yes","No")</f>
        <v>No</v>
      </c>
      <c r="AB2338" s="12">
        <f>V2338-Z2338</f>
        <v>-12.872479999999996</v>
      </c>
      <c r="AC2338" s="15" t="s">
        <v>130</v>
      </c>
      <c r="AD2338" s="15" t="s">
        <v>131</v>
      </c>
      <c r="AE2338" s="15" t="s">
        <v>350</v>
      </c>
      <c r="AF2338" s="12">
        <f>IF(AG2338="Rejected",0,IF(R2338="Corporate Card",0,V2338))</f>
        <v>0</v>
      </c>
      <c r="AG2338" s="15" t="s">
        <v>133</v>
      </c>
      <c r="AH2338" s="16">
        <v>45951</v>
      </c>
      <c r="AI2338" s="16">
        <v>45959</v>
      </c>
      <c r="AJ2338" s="16">
        <v>45961</v>
      </c>
      <c r="AK2338" s="17">
        <f>IF(AJ2338="","",AJ2338-AH2338)</f>
        <v>10</v>
      </c>
    </row>
    <row r="2339" spans="1:37">
      <c r="A2339" s="2" t="s">
        <v>2823</v>
      </c>
      <c r="B2339" s="2" t="s">
        <v>412</v>
      </c>
      <c r="C2339" s="2" t="s">
        <v>413</v>
      </c>
      <c r="D2339" s="2" t="s">
        <v>414</v>
      </c>
      <c r="E2339" s="2" t="s">
        <v>415</v>
      </c>
      <c r="F2339" s="2" t="s">
        <v>313</v>
      </c>
      <c r="G2339" s="2" t="s">
        <v>2789</v>
      </c>
      <c r="H2339" s="2" t="s">
        <v>193</v>
      </c>
      <c r="I2339" s="2" t="s">
        <v>651</v>
      </c>
      <c r="J2339" s="2" t="s">
        <v>652</v>
      </c>
      <c r="K2339" s="9">
        <v>45934</v>
      </c>
      <c r="L2339" s="9">
        <v>45940</v>
      </c>
      <c r="M2339" s="9">
        <v>45936</v>
      </c>
      <c r="N2339" s="2" t="s">
        <v>2764</v>
      </c>
      <c r="O2339" s="2" t="s">
        <v>55</v>
      </c>
      <c r="P2339" s="2" t="s">
        <v>139</v>
      </c>
      <c r="Q2339" s="2" t="s">
        <v>154</v>
      </c>
      <c r="R2339" s="2" t="s">
        <v>128</v>
      </c>
      <c r="S2339" s="2" t="s">
        <v>654</v>
      </c>
      <c r="T2339" s="10">
        <v>26.19</v>
      </c>
      <c r="U2339" s="11">
        <v>0.72799999999999998</v>
      </c>
      <c r="V2339" s="12">
        <f>T2339*U2339</f>
        <v>19.066320000000001</v>
      </c>
      <c r="W2339" s="13">
        <v>0.13</v>
      </c>
      <c r="X2339" s="12">
        <f>V2339-(V2339/(1+W2339))</f>
        <v>2.1934704424778744</v>
      </c>
      <c r="Y2339" s="12">
        <f>V2339-X2339</f>
        <v>16.872849557522127</v>
      </c>
      <c r="Z2339" s="14">
        <v>35</v>
      </c>
      <c r="AA2339" s="2" t="str">
        <f>IF(V2339&gt;Z2339,"Yes","No")</f>
        <v>No</v>
      </c>
      <c r="AB2339" s="12">
        <f>V2339-Z2339</f>
        <v>-15.933679999999999</v>
      </c>
      <c r="AC2339" s="15" t="s">
        <v>130</v>
      </c>
      <c r="AD2339" s="15" t="s">
        <v>131</v>
      </c>
      <c r="AE2339" s="15" t="s">
        <v>350</v>
      </c>
      <c r="AF2339" s="12">
        <f>IF(AG2339="Rejected",0,IF(R2339="Corporate Card",0,V2339))</f>
        <v>0</v>
      </c>
      <c r="AG2339" s="15" t="s">
        <v>133</v>
      </c>
      <c r="AH2339" s="16">
        <v>45951</v>
      </c>
      <c r="AI2339" s="16">
        <v>45959</v>
      </c>
      <c r="AJ2339" s="16">
        <v>45961</v>
      </c>
      <c r="AK2339" s="17">
        <f>IF(AJ2339="","",AJ2339-AH2339)</f>
        <v>10</v>
      </c>
    </row>
    <row r="2340" spans="1:37">
      <c r="A2340" s="2" t="s">
        <v>2824</v>
      </c>
      <c r="B2340" s="2" t="s">
        <v>116</v>
      </c>
      <c r="C2340" s="2" t="s">
        <v>117</v>
      </c>
      <c r="D2340" s="2" t="s">
        <v>118</v>
      </c>
      <c r="E2340" s="2" t="s">
        <v>119</v>
      </c>
      <c r="F2340" s="2" t="s">
        <v>120</v>
      </c>
      <c r="G2340" s="2" t="s">
        <v>2795</v>
      </c>
      <c r="H2340" s="2" t="s">
        <v>193</v>
      </c>
      <c r="I2340" s="2" t="s">
        <v>255</v>
      </c>
      <c r="J2340" s="2" t="s">
        <v>256</v>
      </c>
      <c r="K2340" s="9">
        <v>45934</v>
      </c>
      <c r="L2340" s="9">
        <v>45938</v>
      </c>
      <c r="M2340" s="9">
        <v>45936</v>
      </c>
      <c r="N2340" s="2" t="s">
        <v>2764</v>
      </c>
      <c r="O2340" s="2" t="s">
        <v>61</v>
      </c>
      <c r="P2340" s="2" t="s">
        <v>528</v>
      </c>
      <c r="Q2340" s="2" t="s">
        <v>540</v>
      </c>
      <c r="R2340" s="2" t="s">
        <v>128</v>
      </c>
      <c r="S2340" s="2" t="s">
        <v>259</v>
      </c>
      <c r="T2340" s="10">
        <v>19889</v>
      </c>
      <c r="U2340" s="11">
        <v>6.5500000000000003E-3</v>
      </c>
      <c r="V2340" s="12">
        <f>T2340*U2340</f>
        <v>130.27295000000001</v>
      </c>
      <c r="W2340" s="13">
        <v>0</v>
      </c>
      <c r="X2340" s="12">
        <f>V2340-(V2340/(1+W2340))</f>
        <v>0</v>
      </c>
      <c r="Y2340" s="12">
        <f>V2340-X2340</f>
        <v>130.27295000000001</v>
      </c>
      <c r="Z2340" s="14">
        <v>90</v>
      </c>
      <c r="AA2340" s="2" t="str">
        <f>IF(V2340&gt;Z2340,"Yes","No")</f>
        <v>Yes</v>
      </c>
      <c r="AB2340" s="12">
        <f>V2340-Z2340</f>
        <v>40.272950000000009</v>
      </c>
      <c r="AC2340" s="15" t="s">
        <v>130</v>
      </c>
      <c r="AD2340" s="15" t="s">
        <v>130</v>
      </c>
      <c r="AE2340" s="15" t="s">
        <v>260</v>
      </c>
      <c r="AF2340" s="12">
        <f>IF(AG2340="Rejected",0,IF(R2340="Corporate Card",0,V2340))</f>
        <v>0</v>
      </c>
      <c r="AG2340" s="15" t="s">
        <v>133</v>
      </c>
      <c r="AH2340" s="16">
        <v>45943</v>
      </c>
      <c r="AI2340" s="16">
        <v>45946</v>
      </c>
      <c r="AJ2340" s="16">
        <v>45958</v>
      </c>
      <c r="AK2340" s="17">
        <f>IF(AJ2340="","",AJ2340-AH2340)</f>
        <v>15</v>
      </c>
    </row>
    <row r="2341" spans="1:37">
      <c r="A2341" s="2" t="s">
        <v>2825</v>
      </c>
      <c r="B2341" s="2" t="s">
        <v>116</v>
      </c>
      <c r="C2341" s="2" t="s">
        <v>117</v>
      </c>
      <c r="D2341" s="2" t="s">
        <v>118</v>
      </c>
      <c r="E2341" s="2" t="s">
        <v>119</v>
      </c>
      <c r="F2341" s="2" t="s">
        <v>120</v>
      </c>
      <c r="G2341" s="2" t="s">
        <v>2795</v>
      </c>
      <c r="H2341" s="2" t="s">
        <v>193</v>
      </c>
      <c r="I2341" s="2" t="s">
        <v>255</v>
      </c>
      <c r="J2341" s="2" t="s">
        <v>256</v>
      </c>
      <c r="K2341" s="9">
        <v>45934</v>
      </c>
      <c r="L2341" s="9">
        <v>45938</v>
      </c>
      <c r="M2341" s="9">
        <v>45936</v>
      </c>
      <c r="N2341" s="2" t="s">
        <v>2764</v>
      </c>
      <c r="O2341" s="2" t="s">
        <v>58</v>
      </c>
      <c r="P2341" s="2" t="s">
        <v>142</v>
      </c>
      <c r="Q2341" s="2" t="s">
        <v>224</v>
      </c>
      <c r="R2341" s="2" t="s">
        <v>128</v>
      </c>
      <c r="S2341" s="2" t="s">
        <v>259</v>
      </c>
      <c r="T2341" s="10">
        <v>4302</v>
      </c>
      <c r="U2341" s="11">
        <v>6.5500000000000003E-3</v>
      </c>
      <c r="V2341" s="12">
        <f>T2341*U2341</f>
        <v>28.178100000000001</v>
      </c>
      <c r="W2341" s="13">
        <v>0.1</v>
      </c>
      <c r="X2341" s="12">
        <f>V2341-(V2341/(1+W2341))</f>
        <v>2.5616454545454559</v>
      </c>
      <c r="Y2341" s="12">
        <f>V2341-X2341</f>
        <v>25.616454545454545</v>
      </c>
      <c r="Z2341" s="14">
        <v>60</v>
      </c>
      <c r="AA2341" s="2" t="str">
        <f>IF(V2341&gt;Z2341,"Yes","No")</f>
        <v>No</v>
      </c>
      <c r="AB2341" s="12">
        <f>V2341-Z2341</f>
        <v>-31.821899999999999</v>
      </c>
      <c r="AC2341" s="15" t="s">
        <v>130</v>
      </c>
      <c r="AD2341" s="15" t="s">
        <v>130</v>
      </c>
      <c r="AE2341" s="15" t="s">
        <v>260</v>
      </c>
      <c r="AF2341" s="12">
        <f>IF(AG2341="Rejected",0,IF(R2341="Corporate Card",0,V2341))</f>
        <v>0</v>
      </c>
      <c r="AG2341" s="15" t="s">
        <v>133</v>
      </c>
      <c r="AH2341" s="16">
        <v>45943</v>
      </c>
      <c r="AI2341" s="16">
        <v>45946</v>
      </c>
      <c r="AJ2341" s="16">
        <v>45958</v>
      </c>
      <c r="AK2341" s="17">
        <f>IF(AJ2341="","",AJ2341-AH2341)</f>
        <v>15</v>
      </c>
    </row>
    <row r="2342" spans="1:37">
      <c r="A2342" s="2" t="s">
        <v>2826</v>
      </c>
      <c r="B2342" s="2" t="s">
        <v>116</v>
      </c>
      <c r="C2342" s="2" t="s">
        <v>117</v>
      </c>
      <c r="D2342" s="2" t="s">
        <v>118</v>
      </c>
      <c r="E2342" s="2" t="s">
        <v>119</v>
      </c>
      <c r="F2342" s="2" t="s">
        <v>120</v>
      </c>
      <c r="G2342" s="2" t="s">
        <v>2795</v>
      </c>
      <c r="H2342" s="2" t="s">
        <v>193</v>
      </c>
      <c r="I2342" s="2" t="s">
        <v>255</v>
      </c>
      <c r="J2342" s="2" t="s">
        <v>256</v>
      </c>
      <c r="K2342" s="9">
        <v>45934</v>
      </c>
      <c r="L2342" s="9">
        <v>45938</v>
      </c>
      <c r="M2342" s="9">
        <v>45936</v>
      </c>
      <c r="N2342" s="2" t="s">
        <v>2764</v>
      </c>
      <c r="O2342" s="2" t="s">
        <v>54</v>
      </c>
      <c r="P2342" s="2" t="s">
        <v>139</v>
      </c>
      <c r="Q2342" s="2" t="s">
        <v>214</v>
      </c>
      <c r="R2342" s="2" t="s">
        <v>137</v>
      </c>
      <c r="S2342" s="2" t="s">
        <v>259</v>
      </c>
      <c r="T2342" s="10">
        <v>1766</v>
      </c>
      <c r="U2342" s="11">
        <v>6.5500000000000003E-3</v>
      </c>
      <c r="V2342" s="12">
        <f>T2342*U2342</f>
        <v>11.567300000000001</v>
      </c>
      <c r="W2342" s="13">
        <v>0.1</v>
      </c>
      <c r="X2342" s="12">
        <f>V2342-(V2342/(1+W2342))</f>
        <v>1.0515727272727275</v>
      </c>
      <c r="Y2342" s="12">
        <f>V2342-X2342</f>
        <v>10.515727272727274</v>
      </c>
      <c r="Z2342" s="14">
        <v>25</v>
      </c>
      <c r="AA2342" s="2" t="str">
        <f>IF(V2342&gt;Z2342,"Yes","No")</f>
        <v>No</v>
      </c>
      <c r="AB2342" s="12">
        <f>V2342-Z2342</f>
        <v>-13.432699999999999</v>
      </c>
      <c r="AC2342" s="15" t="s">
        <v>130</v>
      </c>
      <c r="AD2342" s="15" t="s">
        <v>130</v>
      </c>
      <c r="AE2342" s="15" t="s">
        <v>260</v>
      </c>
      <c r="AF2342" s="12">
        <f>IF(AG2342="Rejected",0,IF(R2342="Corporate Card",0,V2342))</f>
        <v>11.567300000000001</v>
      </c>
      <c r="AG2342" s="15" t="s">
        <v>133</v>
      </c>
      <c r="AH2342" s="16">
        <v>45943</v>
      </c>
      <c r="AI2342" s="16">
        <v>45946</v>
      </c>
      <c r="AJ2342" s="16">
        <v>45958</v>
      </c>
      <c r="AK2342" s="17">
        <f>IF(AJ2342="","",AJ2342-AH2342)</f>
        <v>15</v>
      </c>
    </row>
    <row r="2343" spans="1:37">
      <c r="A2343" s="2" t="s">
        <v>2827</v>
      </c>
      <c r="B2343" s="2" t="s">
        <v>116</v>
      </c>
      <c r="C2343" s="2" t="s">
        <v>117</v>
      </c>
      <c r="D2343" s="2" t="s">
        <v>118</v>
      </c>
      <c r="E2343" s="2" t="s">
        <v>119</v>
      </c>
      <c r="F2343" s="2" t="s">
        <v>120</v>
      </c>
      <c r="G2343" s="2" t="s">
        <v>2795</v>
      </c>
      <c r="H2343" s="2" t="s">
        <v>193</v>
      </c>
      <c r="I2343" s="2" t="s">
        <v>255</v>
      </c>
      <c r="J2343" s="2" t="s">
        <v>256</v>
      </c>
      <c r="K2343" s="9">
        <v>45934</v>
      </c>
      <c r="L2343" s="9">
        <v>45938</v>
      </c>
      <c r="M2343" s="9">
        <v>45936</v>
      </c>
      <c r="N2343" s="2" t="s">
        <v>2764</v>
      </c>
      <c r="O2343" s="2" t="s">
        <v>55</v>
      </c>
      <c r="P2343" s="2" t="s">
        <v>139</v>
      </c>
      <c r="Q2343" s="2" t="s">
        <v>187</v>
      </c>
      <c r="R2343" s="2" t="s">
        <v>137</v>
      </c>
      <c r="S2343" s="2" t="s">
        <v>259</v>
      </c>
      <c r="T2343" s="10">
        <v>3593</v>
      </c>
      <c r="U2343" s="11">
        <v>6.5500000000000003E-3</v>
      </c>
      <c r="V2343" s="12">
        <f>T2343*U2343</f>
        <v>23.53415</v>
      </c>
      <c r="W2343" s="13">
        <v>0.1</v>
      </c>
      <c r="X2343" s="12">
        <f>V2343-(V2343/(1+W2343))</f>
        <v>2.1394681818181844</v>
      </c>
      <c r="Y2343" s="12">
        <f>V2343-X2343</f>
        <v>21.394681818181816</v>
      </c>
      <c r="Z2343" s="14">
        <v>35</v>
      </c>
      <c r="AA2343" s="2" t="str">
        <f>IF(V2343&gt;Z2343,"Yes","No")</f>
        <v>No</v>
      </c>
      <c r="AB2343" s="12">
        <f>V2343-Z2343</f>
        <v>-11.46585</v>
      </c>
      <c r="AC2343" s="15" t="s">
        <v>130</v>
      </c>
      <c r="AD2343" s="15" t="s">
        <v>130</v>
      </c>
      <c r="AE2343" s="15" t="s">
        <v>260</v>
      </c>
      <c r="AF2343" s="12">
        <f>IF(AG2343="Rejected",0,IF(R2343="Corporate Card",0,V2343))</f>
        <v>23.53415</v>
      </c>
      <c r="AG2343" s="15" t="s">
        <v>133</v>
      </c>
      <c r="AH2343" s="16">
        <v>45943</v>
      </c>
      <c r="AI2343" s="16">
        <v>45946</v>
      </c>
      <c r="AJ2343" s="16">
        <v>45958</v>
      </c>
      <c r="AK2343" s="17">
        <f>IF(AJ2343="","",AJ2343-AH2343)</f>
        <v>15</v>
      </c>
    </row>
    <row r="2344" spans="1:37">
      <c r="A2344" s="2" t="s">
        <v>2828</v>
      </c>
      <c r="B2344" s="2" t="s">
        <v>412</v>
      </c>
      <c r="C2344" s="2" t="s">
        <v>413</v>
      </c>
      <c r="D2344" s="2" t="s">
        <v>414</v>
      </c>
      <c r="E2344" s="2" t="s">
        <v>415</v>
      </c>
      <c r="F2344" s="2" t="s">
        <v>313</v>
      </c>
      <c r="G2344" s="2" t="s">
        <v>2789</v>
      </c>
      <c r="H2344" s="2" t="s">
        <v>193</v>
      </c>
      <c r="I2344" s="2" t="s">
        <v>651</v>
      </c>
      <c r="J2344" s="2" t="s">
        <v>652</v>
      </c>
      <c r="K2344" s="9">
        <v>45934</v>
      </c>
      <c r="L2344" s="9">
        <v>45940</v>
      </c>
      <c r="M2344" s="9">
        <v>45937</v>
      </c>
      <c r="N2344" s="2" t="s">
        <v>2764</v>
      </c>
      <c r="O2344" s="2" t="s">
        <v>58</v>
      </c>
      <c r="P2344" s="2" t="s">
        <v>142</v>
      </c>
      <c r="Q2344" s="2" t="s">
        <v>143</v>
      </c>
      <c r="R2344" s="2" t="s">
        <v>128</v>
      </c>
      <c r="S2344" s="2" t="s">
        <v>654</v>
      </c>
      <c r="T2344" s="10">
        <v>75.88</v>
      </c>
      <c r="U2344" s="11">
        <v>0.72799999999999998</v>
      </c>
      <c r="V2344" s="12">
        <f>T2344*U2344</f>
        <v>55.240639999999992</v>
      </c>
      <c r="W2344" s="13">
        <v>0.13</v>
      </c>
      <c r="X2344" s="12">
        <f>V2344-(V2344/(1+W2344))</f>
        <v>6.3551178761061919</v>
      </c>
      <c r="Y2344" s="12">
        <f>V2344-X2344</f>
        <v>48.8855221238938</v>
      </c>
      <c r="Z2344" s="14">
        <v>60</v>
      </c>
      <c r="AA2344" s="2" t="str">
        <f>IF(V2344&gt;Z2344,"Yes","No")</f>
        <v>No</v>
      </c>
      <c r="AB2344" s="12">
        <f>V2344-Z2344</f>
        <v>-4.759360000000008</v>
      </c>
      <c r="AC2344" s="15" t="s">
        <v>130</v>
      </c>
      <c r="AD2344" s="15" t="s">
        <v>131</v>
      </c>
      <c r="AE2344" s="15" t="s">
        <v>350</v>
      </c>
      <c r="AF2344" s="12">
        <f>IF(AG2344="Rejected",0,IF(R2344="Corporate Card",0,V2344))</f>
        <v>0</v>
      </c>
      <c r="AG2344" s="15" t="s">
        <v>133</v>
      </c>
      <c r="AH2344" s="16">
        <v>45951</v>
      </c>
      <c r="AI2344" s="16">
        <v>45959</v>
      </c>
      <c r="AJ2344" s="16">
        <v>45961</v>
      </c>
      <c r="AK2344" s="17">
        <f>IF(AJ2344="","",AJ2344-AH2344)</f>
        <v>10</v>
      </c>
    </row>
    <row r="2345" spans="1:37">
      <c r="A2345" s="2" t="s">
        <v>2829</v>
      </c>
      <c r="B2345" s="2" t="s">
        <v>412</v>
      </c>
      <c r="C2345" s="2" t="s">
        <v>413</v>
      </c>
      <c r="D2345" s="2" t="s">
        <v>414</v>
      </c>
      <c r="E2345" s="2" t="s">
        <v>415</v>
      </c>
      <c r="F2345" s="2" t="s">
        <v>313</v>
      </c>
      <c r="G2345" s="2" t="s">
        <v>2789</v>
      </c>
      <c r="H2345" s="2" t="s">
        <v>193</v>
      </c>
      <c r="I2345" s="2" t="s">
        <v>651</v>
      </c>
      <c r="J2345" s="2" t="s">
        <v>652</v>
      </c>
      <c r="K2345" s="9">
        <v>45934</v>
      </c>
      <c r="L2345" s="9">
        <v>45940</v>
      </c>
      <c r="M2345" s="9">
        <v>45937</v>
      </c>
      <c r="N2345" s="2" t="s">
        <v>2764</v>
      </c>
      <c r="O2345" s="2" t="s">
        <v>68</v>
      </c>
      <c r="P2345" s="2" t="s">
        <v>282</v>
      </c>
      <c r="Q2345" s="2" t="s">
        <v>283</v>
      </c>
      <c r="R2345" s="2" t="s">
        <v>128</v>
      </c>
      <c r="S2345" s="2" t="s">
        <v>654</v>
      </c>
      <c r="T2345" s="10">
        <v>55.14</v>
      </c>
      <c r="U2345" s="11">
        <v>0.72799999999999998</v>
      </c>
      <c r="V2345" s="12">
        <f>T2345*U2345</f>
        <v>40.141919999999999</v>
      </c>
      <c r="W2345" s="13">
        <v>0.13</v>
      </c>
      <c r="X2345" s="12">
        <f>V2345-(V2345/(1+W2345))</f>
        <v>4.6180969911504377</v>
      </c>
      <c r="Y2345" s="12">
        <f>V2345-X2345</f>
        <v>35.523823008849561</v>
      </c>
      <c r="Z2345" s="14">
        <v>30</v>
      </c>
      <c r="AA2345" s="2" t="str">
        <f>IF(V2345&gt;Z2345,"Yes","No")</f>
        <v>Yes</v>
      </c>
      <c r="AB2345" s="12">
        <f>V2345-Z2345</f>
        <v>10.141919999999999</v>
      </c>
      <c r="AC2345" s="15" t="s">
        <v>130</v>
      </c>
      <c r="AD2345" s="15" t="s">
        <v>131</v>
      </c>
      <c r="AE2345" s="15" t="s">
        <v>350</v>
      </c>
      <c r="AF2345" s="12">
        <f>IF(AG2345="Rejected",0,IF(R2345="Corporate Card",0,V2345))</f>
        <v>0</v>
      </c>
      <c r="AG2345" s="15" t="s">
        <v>133</v>
      </c>
      <c r="AH2345" s="16">
        <v>45951</v>
      </c>
      <c r="AI2345" s="16">
        <v>45959</v>
      </c>
      <c r="AJ2345" s="16">
        <v>45961</v>
      </c>
      <c r="AK2345" s="17">
        <f>IF(AJ2345="","",AJ2345-AH2345)</f>
        <v>10</v>
      </c>
    </row>
    <row r="2346" spans="1:37">
      <c r="A2346" s="2" t="s">
        <v>2830</v>
      </c>
      <c r="B2346" s="2" t="s">
        <v>412</v>
      </c>
      <c r="C2346" s="2" t="s">
        <v>413</v>
      </c>
      <c r="D2346" s="2" t="s">
        <v>414</v>
      </c>
      <c r="E2346" s="2" t="s">
        <v>415</v>
      </c>
      <c r="F2346" s="2" t="s">
        <v>313</v>
      </c>
      <c r="G2346" s="2" t="s">
        <v>2789</v>
      </c>
      <c r="H2346" s="2" t="s">
        <v>193</v>
      </c>
      <c r="I2346" s="2" t="s">
        <v>651</v>
      </c>
      <c r="J2346" s="2" t="s">
        <v>652</v>
      </c>
      <c r="K2346" s="9">
        <v>45934</v>
      </c>
      <c r="L2346" s="9">
        <v>45940</v>
      </c>
      <c r="M2346" s="9">
        <v>45937</v>
      </c>
      <c r="N2346" s="2" t="s">
        <v>2764</v>
      </c>
      <c r="O2346" s="2" t="s">
        <v>54</v>
      </c>
      <c r="P2346" s="2" t="s">
        <v>139</v>
      </c>
      <c r="Q2346" s="2" t="s">
        <v>140</v>
      </c>
      <c r="R2346" s="2" t="s">
        <v>149</v>
      </c>
      <c r="S2346" s="2" t="s">
        <v>654</v>
      </c>
      <c r="T2346" s="10">
        <v>29.02</v>
      </c>
      <c r="U2346" s="11">
        <v>0.72799999999999998</v>
      </c>
      <c r="V2346" s="12">
        <f>T2346*U2346</f>
        <v>21.126559999999998</v>
      </c>
      <c r="W2346" s="13">
        <v>0.13</v>
      </c>
      <c r="X2346" s="12">
        <f>V2346-(V2346/(1+W2346))</f>
        <v>2.4304892035398211</v>
      </c>
      <c r="Y2346" s="12">
        <f>V2346-X2346</f>
        <v>18.696070796460177</v>
      </c>
      <c r="Z2346" s="14">
        <v>25</v>
      </c>
      <c r="AA2346" s="2" t="str">
        <f>IF(V2346&gt;Z2346,"Yes","No")</f>
        <v>No</v>
      </c>
      <c r="AB2346" s="12">
        <f>V2346-Z2346</f>
        <v>-3.8734400000000022</v>
      </c>
      <c r="AC2346" s="15" t="s">
        <v>130</v>
      </c>
      <c r="AD2346" s="15" t="s">
        <v>131</v>
      </c>
      <c r="AE2346" s="15" t="s">
        <v>350</v>
      </c>
      <c r="AF2346" s="12">
        <f>IF(AG2346="Rejected",0,IF(R2346="Corporate Card",0,V2346))</f>
        <v>21.126559999999998</v>
      </c>
      <c r="AG2346" s="15" t="s">
        <v>133</v>
      </c>
      <c r="AH2346" s="16">
        <v>45951</v>
      </c>
      <c r="AI2346" s="16">
        <v>45959</v>
      </c>
      <c r="AJ2346" s="16">
        <v>45961</v>
      </c>
      <c r="AK2346" s="17">
        <f>IF(AJ2346="","",AJ2346-AH2346)</f>
        <v>10</v>
      </c>
    </row>
    <row r="2347" spans="1:37">
      <c r="A2347" s="2" t="s">
        <v>2831</v>
      </c>
      <c r="B2347" s="2" t="s">
        <v>412</v>
      </c>
      <c r="C2347" s="2" t="s">
        <v>413</v>
      </c>
      <c r="D2347" s="2" t="s">
        <v>414</v>
      </c>
      <c r="E2347" s="2" t="s">
        <v>415</v>
      </c>
      <c r="F2347" s="2" t="s">
        <v>313</v>
      </c>
      <c r="G2347" s="2" t="s">
        <v>2789</v>
      </c>
      <c r="H2347" s="2" t="s">
        <v>193</v>
      </c>
      <c r="I2347" s="2" t="s">
        <v>651</v>
      </c>
      <c r="J2347" s="2" t="s">
        <v>652</v>
      </c>
      <c r="K2347" s="9">
        <v>45934</v>
      </c>
      <c r="L2347" s="9">
        <v>45940</v>
      </c>
      <c r="M2347" s="9">
        <v>45937</v>
      </c>
      <c r="N2347" s="2" t="s">
        <v>2764</v>
      </c>
      <c r="O2347" s="2" t="s">
        <v>56</v>
      </c>
      <c r="P2347" s="2" t="s">
        <v>165</v>
      </c>
      <c r="Q2347" s="2" t="s">
        <v>185</v>
      </c>
      <c r="R2347" s="2" t="s">
        <v>128</v>
      </c>
      <c r="S2347" s="2" t="s">
        <v>654</v>
      </c>
      <c r="T2347" s="10">
        <v>133.41999999999999</v>
      </c>
      <c r="U2347" s="11">
        <v>0.72799999999999998</v>
      </c>
      <c r="V2347" s="12">
        <f>T2347*U2347</f>
        <v>97.12975999999999</v>
      </c>
      <c r="W2347" s="13">
        <v>0.13</v>
      </c>
      <c r="X2347" s="12">
        <f>V2347-(V2347/(1+W2347))</f>
        <v>11.174220176991142</v>
      </c>
      <c r="Y2347" s="12">
        <f>V2347-X2347</f>
        <v>85.955539823008849</v>
      </c>
      <c r="Z2347" s="14">
        <v>75</v>
      </c>
      <c r="AA2347" s="2" t="str">
        <f>IF(V2347&gt;Z2347,"Yes","No")</f>
        <v>Yes</v>
      </c>
      <c r="AB2347" s="12">
        <f>V2347-Z2347</f>
        <v>22.12975999999999</v>
      </c>
      <c r="AC2347" s="15" t="s">
        <v>130</v>
      </c>
      <c r="AD2347" s="15" t="s">
        <v>131</v>
      </c>
      <c r="AE2347" s="15" t="s">
        <v>350</v>
      </c>
      <c r="AF2347" s="12">
        <f>IF(AG2347="Rejected",0,IF(R2347="Corporate Card",0,V2347))</f>
        <v>0</v>
      </c>
      <c r="AG2347" s="15" t="s">
        <v>133</v>
      </c>
      <c r="AH2347" s="16">
        <v>45951</v>
      </c>
      <c r="AI2347" s="16">
        <v>45959</v>
      </c>
      <c r="AJ2347" s="16">
        <v>45961</v>
      </c>
      <c r="AK2347" s="17">
        <f>IF(AJ2347="","",AJ2347-AH2347)</f>
        <v>10</v>
      </c>
    </row>
    <row r="2348" spans="1:37">
      <c r="A2348" s="2" t="s">
        <v>2832</v>
      </c>
      <c r="B2348" s="2" t="s">
        <v>412</v>
      </c>
      <c r="C2348" s="2" t="s">
        <v>413</v>
      </c>
      <c r="D2348" s="2" t="s">
        <v>414</v>
      </c>
      <c r="E2348" s="2" t="s">
        <v>415</v>
      </c>
      <c r="F2348" s="2" t="s">
        <v>313</v>
      </c>
      <c r="G2348" s="2" t="s">
        <v>2789</v>
      </c>
      <c r="H2348" s="2" t="s">
        <v>193</v>
      </c>
      <c r="I2348" s="2" t="s">
        <v>651</v>
      </c>
      <c r="J2348" s="2" t="s">
        <v>652</v>
      </c>
      <c r="K2348" s="9">
        <v>45934</v>
      </c>
      <c r="L2348" s="9">
        <v>45940</v>
      </c>
      <c r="M2348" s="9">
        <v>45937</v>
      </c>
      <c r="N2348" s="2" t="s">
        <v>2764</v>
      </c>
      <c r="O2348" s="2" t="s">
        <v>55</v>
      </c>
      <c r="P2348" s="2" t="s">
        <v>139</v>
      </c>
      <c r="Q2348" s="2" t="s">
        <v>154</v>
      </c>
      <c r="R2348" s="2" t="s">
        <v>128</v>
      </c>
      <c r="S2348" s="2" t="s">
        <v>654</v>
      </c>
      <c r="T2348" s="10">
        <v>19.54</v>
      </c>
      <c r="U2348" s="11">
        <v>0.72799999999999998</v>
      </c>
      <c r="V2348" s="12">
        <f>T2348*U2348</f>
        <v>14.225119999999999</v>
      </c>
      <c r="W2348" s="13">
        <v>0.13</v>
      </c>
      <c r="X2348" s="12">
        <f>V2348-(V2348/(1+W2348))</f>
        <v>1.6365182300884946</v>
      </c>
      <c r="Y2348" s="12">
        <f>V2348-X2348</f>
        <v>12.588601769911504</v>
      </c>
      <c r="Z2348" s="14">
        <v>35</v>
      </c>
      <c r="AA2348" s="2" t="str">
        <f>IF(V2348&gt;Z2348,"Yes","No")</f>
        <v>No</v>
      </c>
      <c r="AB2348" s="12">
        <f>V2348-Z2348</f>
        <v>-20.774880000000003</v>
      </c>
      <c r="AC2348" s="15" t="s">
        <v>130</v>
      </c>
      <c r="AD2348" s="15" t="s">
        <v>131</v>
      </c>
      <c r="AE2348" s="15" t="s">
        <v>350</v>
      </c>
      <c r="AF2348" s="12">
        <f>IF(AG2348="Rejected",0,IF(R2348="Corporate Card",0,V2348))</f>
        <v>0</v>
      </c>
      <c r="AG2348" s="15" t="s">
        <v>133</v>
      </c>
      <c r="AH2348" s="16">
        <v>45951</v>
      </c>
      <c r="AI2348" s="16">
        <v>45959</v>
      </c>
      <c r="AJ2348" s="16">
        <v>45961</v>
      </c>
      <c r="AK2348" s="17">
        <f>IF(AJ2348="","",AJ2348-AH2348)</f>
        <v>10</v>
      </c>
    </row>
    <row r="2349" spans="1:37">
      <c r="A2349" s="2" t="s">
        <v>2833</v>
      </c>
      <c r="B2349" s="2" t="s">
        <v>412</v>
      </c>
      <c r="C2349" s="2" t="s">
        <v>413</v>
      </c>
      <c r="D2349" s="2" t="s">
        <v>414</v>
      </c>
      <c r="E2349" s="2" t="s">
        <v>415</v>
      </c>
      <c r="F2349" s="2" t="s">
        <v>313</v>
      </c>
      <c r="G2349" s="2" t="s">
        <v>2834</v>
      </c>
      <c r="H2349" s="2" t="s">
        <v>122</v>
      </c>
      <c r="I2349" s="2" t="s">
        <v>1251</v>
      </c>
      <c r="J2349" s="2" t="s">
        <v>750</v>
      </c>
      <c r="K2349" s="9">
        <v>45937</v>
      </c>
      <c r="L2349" s="9">
        <v>45938</v>
      </c>
      <c r="M2349" s="9">
        <v>45937</v>
      </c>
      <c r="N2349" s="2" t="s">
        <v>2764</v>
      </c>
      <c r="O2349" s="2" t="s">
        <v>52</v>
      </c>
      <c r="P2349" s="2" t="s">
        <v>1252</v>
      </c>
      <c r="Q2349" s="2" t="s">
        <v>178</v>
      </c>
      <c r="R2349" s="2" t="s">
        <v>149</v>
      </c>
      <c r="S2349" s="2" t="s">
        <v>198</v>
      </c>
      <c r="T2349" s="10">
        <v>1571.68</v>
      </c>
      <c r="U2349" s="11">
        <v>1.085</v>
      </c>
      <c r="V2349" s="12">
        <f>T2349*U2349</f>
        <v>1705.2728</v>
      </c>
      <c r="W2349" s="13">
        <v>0</v>
      </c>
      <c r="X2349" s="12">
        <f>V2349-(V2349/(1+W2349))</f>
        <v>0</v>
      </c>
      <c r="Y2349" s="12">
        <f>V2349-X2349</f>
        <v>1705.2728</v>
      </c>
      <c r="Z2349" s="14">
        <v>1400</v>
      </c>
      <c r="AA2349" s="2" t="str">
        <f>IF(V2349&gt;Z2349,"Yes","No")</f>
        <v>Yes</v>
      </c>
      <c r="AB2349" s="12">
        <f>V2349-Z2349</f>
        <v>305.27279999999996</v>
      </c>
      <c r="AC2349" s="15" t="s">
        <v>130</v>
      </c>
      <c r="AD2349" s="15" t="s">
        <v>131</v>
      </c>
      <c r="AE2349" s="15" t="s">
        <v>858</v>
      </c>
      <c r="AF2349" s="12">
        <f>IF(AG2349="Rejected",0,IF(R2349="Corporate Card",0,V2349))</f>
        <v>1705.2728</v>
      </c>
      <c r="AG2349" s="15" t="s">
        <v>133</v>
      </c>
      <c r="AH2349" s="16">
        <v>45942</v>
      </c>
      <c r="AI2349" s="16">
        <v>45946</v>
      </c>
      <c r="AJ2349" s="16">
        <v>45952</v>
      </c>
      <c r="AK2349" s="17">
        <f>IF(AJ2349="","",AJ2349-AH2349)</f>
        <v>10</v>
      </c>
    </row>
    <row r="2350" spans="1:37">
      <c r="A2350" s="2" t="s">
        <v>2835</v>
      </c>
      <c r="B2350" s="2" t="s">
        <v>412</v>
      </c>
      <c r="C2350" s="2" t="s">
        <v>413</v>
      </c>
      <c r="D2350" s="2" t="s">
        <v>414</v>
      </c>
      <c r="E2350" s="2" t="s">
        <v>415</v>
      </c>
      <c r="F2350" s="2" t="s">
        <v>313</v>
      </c>
      <c r="G2350" s="2" t="s">
        <v>2834</v>
      </c>
      <c r="H2350" s="2" t="s">
        <v>122</v>
      </c>
      <c r="I2350" s="2" t="s">
        <v>1251</v>
      </c>
      <c r="J2350" s="2" t="s">
        <v>750</v>
      </c>
      <c r="K2350" s="9">
        <v>45937</v>
      </c>
      <c r="L2350" s="9">
        <v>45938</v>
      </c>
      <c r="M2350" s="9">
        <v>45937</v>
      </c>
      <c r="N2350" s="2" t="s">
        <v>2764</v>
      </c>
      <c r="O2350" s="2" t="s">
        <v>58</v>
      </c>
      <c r="P2350" s="2" t="s">
        <v>142</v>
      </c>
      <c r="Q2350" s="2" t="s">
        <v>224</v>
      </c>
      <c r="R2350" s="2" t="s">
        <v>128</v>
      </c>
      <c r="S2350" s="2" t="s">
        <v>198</v>
      </c>
      <c r="T2350" s="10">
        <v>20.309999999999999</v>
      </c>
      <c r="U2350" s="11">
        <v>1.085</v>
      </c>
      <c r="V2350" s="12">
        <f>T2350*U2350</f>
        <v>22.036349999999999</v>
      </c>
      <c r="W2350" s="13">
        <v>0.19</v>
      </c>
      <c r="X2350" s="12">
        <f>V2350-(V2350/(1+W2350))</f>
        <v>3.5184088235294091</v>
      </c>
      <c r="Y2350" s="12">
        <f>V2350-X2350</f>
        <v>18.51794117647059</v>
      </c>
      <c r="Z2350" s="14">
        <v>60</v>
      </c>
      <c r="AA2350" s="2" t="str">
        <f>IF(V2350&gt;Z2350,"Yes","No")</f>
        <v>No</v>
      </c>
      <c r="AB2350" s="12">
        <f>V2350-Z2350</f>
        <v>-37.963650000000001</v>
      </c>
      <c r="AC2350" s="15" t="s">
        <v>131</v>
      </c>
      <c r="AD2350" s="15" t="s">
        <v>131</v>
      </c>
      <c r="AE2350" s="15" t="s">
        <v>858</v>
      </c>
      <c r="AF2350" s="12">
        <f>IF(AG2350="Rejected",0,IF(R2350="Corporate Card",0,V2350))</f>
        <v>0</v>
      </c>
      <c r="AG2350" s="15" t="s">
        <v>133</v>
      </c>
      <c r="AH2350" s="16">
        <v>45942</v>
      </c>
      <c r="AI2350" s="16">
        <v>45946</v>
      </c>
      <c r="AJ2350" s="16">
        <v>45952</v>
      </c>
      <c r="AK2350" s="17">
        <f>IF(AJ2350="","",AJ2350-AH2350)</f>
        <v>10</v>
      </c>
    </row>
    <row r="2351" spans="1:37">
      <c r="A2351" s="2" t="s">
        <v>2836</v>
      </c>
      <c r="B2351" s="2" t="s">
        <v>412</v>
      </c>
      <c r="C2351" s="2" t="s">
        <v>413</v>
      </c>
      <c r="D2351" s="2" t="s">
        <v>414</v>
      </c>
      <c r="E2351" s="2" t="s">
        <v>415</v>
      </c>
      <c r="F2351" s="2" t="s">
        <v>313</v>
      </c>
      <c r="G2351" s="2" t="s">
        <v>2834</v>
      </c>
      <c r="H2351" s="2" t="s">
        <v>122</v>
      </c>
      <c r="I2351" s="2" t="s">
        <v>1251</v>
      </c>
      <c r="J2351" s="2" t="s">
        <v>750</v>
      </c>
      <c r="K2351" s="9">
        <v>45937</v>
      </c>
      <c r="L2351" s="9">
        <v>45938</v>
      </c>
      <c r="M2351" s="9">
        <v>45937</v>
      </c>
      <c r="N2351" s="2" t="s">
        <v>2764</v>
      </c>
      <c r="O2351" s="2" t="s">
        <v>55</v>
      </c>
      <c r="P2351" s="2" t="s">
        <v>139</v>
      </c>
      <c r="Q2351" s="2" t="s">
        <v>161</v>
      </c>
      <c r="R2351" s="2" t="s">
        <v>128</v>
      </c>
      <c r="S2351" s="2" t="s">
        <v>198</v>
      </c>
      <c r="T2351" s="10">
        <v>25.15</v>
      </c>
      <c r="U2351" s="11">
        <v>1.085</v>
      </c>
      <c r="V2351" s="12">
        <f>T2351*U2351</f>
        <v>27.287749999999999</v>
      </c>
      <c r="W2351" s="13">
        <v>0.19</v>
      </c>
      <c r="X2351" s="12">
        <f>V2351-(V2351/(1+W2351))</f>
        <v>4.3568676470588237</v>
      </c>
      <c r="Y2351" s="12">
        <f>V2351-X2351</f>
        <v>22.930882352941175</v>
      </c>
      <c r="Z2351" s="14">
        <v>35</v>
      </c>
      <c r="AA2351" s="2" t="str">
        <f>IF(V2351&gt;Z2351,"Yes","No")</f>
        <v>No</v>
      </c>
      <c r="AB2351" s="12">
        <f>V2351-Z2351</f>
        <v>-7.7122500000000009</v>
      </c>
      <c r="AC2351" s="15" t="s">
        <v>130</v>
      </c>
      <c r="AD2351" s="15" t="s">
        <v>131</v>
      </c>
      <c r="AE2351" s="15" t="s">
        <v>858</v>
      </c>
      <c r="AF2351" s="12">
        <f>IF(AG2351="Rejected",0,IF(R2351="Corporate Card",0,V2351))</f>
        <v>0</v>
      </c>
      <c r="AG2351" s="15" t="s">
        <v>133</v>
      </c>
      <c r="AH2351" s="16">
        <v>45942</v>
      </c>
      <c r="AI2351" s="16">
        <v>45946</v>
      </c>
      <c r="AJ2351" s="16">
        <v>45952</v>
      </c>
      <c r="AK2351" s="17">
        <f>IF(AJ2351="","",AJ2351-AH2351)</f>
        <v>10</v>
      </c>
    </row>
    <row r="2352" spans="1:37">
      <c r="A2352" s="2" t="s">
        <v>2837</v>
      </c>
      <c r="B2352" s="2" t="s">
        <v>116</v>
      </c>
      <c r="C2352" s="2" t="s">
        <v>117</v>
      </c>
      <c r="D2352" s="2" t="s">
        <v>118</v>
      </c>
      <c r="E2352" s="2" t="s">
        <v>119</v>
      </c>
      <c r="F2352" s="2" t="s">
        <v>120</v>
      </c>
      <c r="G2352" s="2" t="s">
        <v>2795</v>
      </c>
      <c r="H2352" s="2" t="s">
        <v>193</v>
      </c>
      <c r="I2352" s="2" t="s">
        <v>255</v>
      </c>
      <c r="J2352" s="2" t="s">
        <v>256</v>
      </c>
      <c r="K2352" s="9">
        <v>45934</v>
      </c>
      <c r="L2352" s="9">
        <v>45938</v>
      </c>
      <c r="M2352" s="9">
        <v>45937</v>
      </c>
      <c r="N2352" s="2" t="s">
        <v>2764</v>
      </c>
      <c r="O2352" s="2" t="s">
        <v>57</v>
      </c>
      <c r="P2352" s="2" t="s">
        <v>398</v>
      </c>
      <c r="Q2352" s="2" t="s">
        <v>1204</v>
      </c>
      <c r="R2352" s="2" t="s">
        <v>137</v>
      </c>
      <c r="S2352" s="2" t="s">
        <v>259</v>
      </c>
      <c r="T2352" s="10">
        <v>34182</v>
      </c>
      <c r="U2352" s="11">
        <v>6.5500000000000003E-3</v>
      </c>
      <c r="V2352" s="12">
        <f>T2352*U2352</f>
        <v>223.8921</v>
      </c>
      <c r="W2352" s="13">
        <v>0.1</v>
      </c>
      <c r="X2352" s="12">
        <f>V2352-(V2352/(1+W2352))</f>
        <v>20.353827272727301</v>
      </c>
      <c r="Y2352" s="12">
        <f>V2352-X2352</f>
        <v>203.5382727272727</v>
      </c>
      <c r="Z2352" s="14">
        <v>200</v>
      </c>
      <c r="AA2352" s="2" t="str">
        <f>IF(V2352&gt;Z2352,"Yes","No")</f>
        <v>Yes</v>
      </c>
      <c r="AB2352" s="12">
        <f>V2352-Z2352</f>
        <v>23.892099999999999</v>
      </c>
      <c r="AC2352" s="15" t="s">
        <v>130</v>
      </c>
      <c r="AD2352" s="15" t="s">
        <v>130</v>
      </c>
      <c r="AE2352" s="15" t="s">
        <v>260</v>
      </c>
      <c r="AF2352" s="12">
        <f>IF(AG2352="Rejected",0,IF(R2352="Corporate Card",0,V2352))</f>
        <v>223.8921</v>
      </c>
      <c r="AG2352" s="15" t="s">
        <v>133</v>
      </c>
      <c r="AH2352" s="16">
        <v>45943</v>
      </c>
      <c r="AI2352" s="16">
        <v>45946</v>
      </c>
      <c r="AJ2352" s="16">
        <v>45958</v>
      </c>
      <c r="AK2352" s="17">
        <f>IF(AJ2352="","",AJ2352-AH2352)</f>
        <v>15</v>
      </c>
    </row>
    <row r="2353" spans="1:37">
      <c r="A2353" s="2" t="s">
        <v>2838</v>
      </c>
      <c r="B2353" s="2" t="s">
        <v>116</v>
      </c>
      <c r="C2353" s="2" t="s">
        <v>117</v>
      </c>
      <c r="D2353" s="2" t="s">
        <v>118</v>
      </c>
      <c r="E2353" s="2" t="s">
        <v>119</v>
      </c>
      <c r="F2353" s="2" t="s">
        <v>120</v>
      </c>
      <c r="G2353" s="2" t="s">
        <v>2795</v>
      </c>
      <c r="H2353" s="2" t="s">
        <v>193</v>
      </c>
      <c r="I2353" s="2" t="s">
        <v>255</v>
      </c>
      <c r="J2353" s="2" t="s">
        <v>256</v>
      </c>
      <c r="K2353" s="9">
        <v>45934</v>
      </c>
      <c r="L2353" s="9">
        <v>45938</v>
      </c>
      <c r="M2353" s="9">
        <v>45937</v>
      </c>
      <c r="N2353" s="2" t="s">
        <v>2764</v>
      </c>
      <c r="O2353" s="2" t="s">
        <v>56</v>
      </c>
      <c r="P2353" s="2" t="s">
        <v>231</v>
      </c>
      <c r="Q2353" s="2" t="s">
        <v>166</v>
      </c>
      <c r="R2353" s="2" t="s">
        <v>137</v>
      </c>
      <c r="S2353" s="2" t="s">
        <v>259</v>
      </c>
      <c r="T2353" s="10">
        <v>5590</v>
      </c>
      <c r="U2353" s="11">
        <v>6.5500000000000003E-3</v>
      </c>
      <c r="V2353" s="12">
        <f>T2353*U2353</f>
        <v>36.6145</v>
      </c>
      <c r="W2353" s="13">
        <v>0.1</v>
      </c>
      <c r="X2353" s="12">
        <f>V2353-(V2353/(1+W2353))</f>
        <v>3.3285909090909129</v>
      </c>
      <c r="Y2353" s="12">
        <f>V2353-X2353</f>
        <v>33.285909090909087</v>
      </c>
      <c r="Z2353" s="14">
        <v>75</v>
      </c>
      <c r="AA2353" s="2" t="str">
        <f>IF(V2353&gt;Z2353,"Yes","No")</f>
        <v>No</v>
      </c>
      <c r="AB2353" s="12">
        <f>V2353-Z2353</f>
        <v>-38.3855</v>
      </c>
      <c r="AC2353" s="15" t="s">
        <v>130</v>
      </c>
      <c r="AD2353" s="15" t="s">
        <v>130</v>
      </c>
      <c r="AE2353" s="15" t="s">
        <v>260</v>
      </c>
      <c r="AF2353" s="12">
        <f>IF(AG2353="Rejected",0,IF(R2353="Corporate Card",0,V2353))</f>
        <v>36.6145</v>
      </c>
      <c r="AG2353" s="15" t="s">
        <v>133</v>
      </c>
      <c r="AH2353" s="16">
        <v>45943</v>
      </c>
      <c r="AI2353" s="16">
        <v>45946</v>
      </c>
      <c r="AJ2353" s="16">
        <v>45958</v>
      </c>
      <c r="AK2353" s="17">
        <f>IF(AJ2353="","",AJ2353-AH2353)</f>
        <v>15</v>
      </c>
    </row>
    <row r="2354" spans="1:37">
      <c r="A2354" s="2" t="s">
        <v>2839</v>
      </c>
      <c r="B2354" s="2" t="s">
        <v>770</v>
      </c>
      <c r="C2354" s="2" t="s">
        <v>771</v>
      </c>
      <c r="D2354" s="2" t="s">
        <v>414</v>
      </c>
      <c r="E2354" s="2" t="s">
        <v>772</v>
      </c>
      <c r="F2354" s="2" t="s">
        <v>413</v>
      </c>
      <c r="G2354" s="2" t="s">
        <v>2840</v>
      </c>
      <c r="H2354" s="2" t="s">
        <v>122</v>
      </c>
      <c r="I2354" s="2" t="s">
        <v>601</v>
      </c>
      <c r="J2354" s="2" t="s">
        <v>381</v>
      </c>
      <c r="K2354" s="9">
        <v>45938</v>
      </c>
      <c r="L2354" s="9">
        <v>45940</v>
      </c>
      <c r="M2354" s="9">
        <v>45938</v>
      </c>
      <c r="N2354" s="2" t="s">
        <v>2764</v>
      </c>
      <c r="O2354" s="2" t="s">
        <v>52</v>
      </c>
      <c r="P2354" s="2" t="s">
        <v>602</v>
      </c>
      <c r="Q2354" s="2" t="s">
        <v>349</v>
      </c>
      <c r="R2354" s="2" t="s">
        <v>128</v>
      </c>
      <c r="S2354" s="2" t="s">
        <v>383</v>
      </c>
      <c r="T2354" s="10">
        <v>1182.8</v>
      </c>
      <c r="U2354" s="11">
        <v>1</v>
      </c>
      <c r="V2354" s="12">
        <f>T2354*U2354</f>
        <v>1182.8</v>
      </c>
      <c r="W2354" s="13">
        <v>0</v>
      </c>
      <c r="X2354" s="12">
        <f>V2354-(V2354/(1+W2354))</f>
        <v>0</v>
      </c>
      <c r="Y2354" s="12">
        <f>V2354-X2354</f>
        <v>1182.8</v>
      </c>
      <c r="Z2354" s="14">
        <v>1400</v>
      </c>
      <c r="AA2354" s="2" t="str">
        <f>IF(V2354&gt;Z2354,"Yes","No")</f>
        <v>No</v>
      </c>
      <c r="AB2354" s="12">
        <f>V2354-Z2354</f>
        <v>-217.20000000000005</v>
      </c>
      <c r="AC2354" s="15" t="s">
        <v>130</v>
      </c>
      <c r="AD2354" s="15" t="s">
        <v>130</v>
      </c>
      <c r="AE2354" s="15" t="s">
        <v>350</v>
      </c>
      <c r="AF2354" s="12">
        <f>IF(AG2354="Rejected",0,IF(R2354="Corporate Card",0,V2354))</f>
        <v>0</v>
      </c>
      <c r="AG2354" s="15" t="s">
        <v>133</v>
      </c>
      <c r="AH2354" s="16">
        <v>45949</v>
      </c>
      <c r="AI2354" s="16">
        <v>45955</v>
      </c>
      <c r="AJ2354" s="16">
        <v>45965</v>
      </c>
      <c r="AK2354" s="17">
        <f>IF(AJ2354="","",AJ2354-AH2354)</f>
        <v>16</v>
      </c>
    </row>
    <row r="2355" spans="1:37">
      <c r="A2355" s="2" t="s">
        <v>2841</v>
      </c>
      <c r="B2355" s="2" t="s">
        <v>770</v>
      </c>
      <c r="C2355" s="2" t="s">
        <v>771</v>
      </c>
      <c r="D2355" s="2" t="s">
        <v>414</v>
      </c>
      <c r="E2355" s="2" t="s">
        <v>772</v>
      </c>
      <c r="F2355" s="2" t="s">
        <v>413</v>
      </c>
      <c r="G2355" s="2" t="s">
        <v>2840</v>
      </c>
      <c r="H2355" s="2" t="s">
        <v>122</v>
      </c>
      <c r="I2355" s="2" t="s">
        <v>601</v>
      </c>
      <c r="J2355" s="2" t="s">
        <v>381</v>
      </c>
      <c r="K2355" s="9">
        <v>45938</v>
      </c>
      <c r="L2355" s="9">
        <v>45940</v>
      </c>
      <c r="M2355" s="9">
        <v>45938</v>
      </c>
      <c r="N2355" s="2" t="s">
        <v>2764</v>
      </c>
      <c r="O2355" s="2" t="s">
        <v>64</v>
      </c>
      <c r="P2355" s="2" t="s">
        <v>135</v>
      </c>
      <c r="Q2355" s="2" t="s">
        <v>136</v>
      </c>
      <c r="R2355" s="2" t="s">
        <v>128</v>
      </c>
      <c r="S2355" s="2" t="s">
        <v>383</v>
      </c>
      <c r="T2355" s="10">
        <v>97.5</v>
      </c>
      <c r="U2355" s="11">
        <v>1</v>
      </c>
      <c r="V2355" s="12">
        <f>T2355*U2355</f>
        <v>97.5</v>
      </c>
      <c r="W2355" s="13">
        <v>0</v>
      </c>
      <c r="X2355" s="12">
        <f>V2355-(V2355/(1+W2355))</f>
        <v>0</v>
      </c>
      <c r="Y2355" s="12">
        <f>V2355-X2355</f>
        <v>97.5</v>
      </c>
      <c r="Z2355" s="14">
        <v>120</v>
      </c>
      <c r="AA2355" s="2" t="str">
        <f>IF(V2355&gt;Z2355,"Yes","No")</f>
        <v>No</v>
      </c>
      <c r="AB2355" s="12">
        <f>V2355-Z2355</f>
        <v>-22.5</v>
      </c>
      <c r="AC2355" s="15" t="s">
        <v>130</v>
      </c>
      <c r="AD2355" s="15" t="s">
        <v>130</v>
      </c>
      <c r="AE2355" s="15" t="s">
        <v>350</v>
      </c>
      <c r="AF2355" s="12">
        <f>IF(AG2355="Rejected",0,IF(R2355="Corporate Card",0,V2355))</f>
        <v>0</v>
      </c>
      <c r="AG2355" s="15" t="s">
        <v>133</v>
      </c>
      <c r="AH2355" s="16">
        <v>45949</v>
      </c>
      <c r="AI2355" s="16">
        <v>45955</v>
      </c>
      <c r="AJ2355" s="16">
        <v>45965</v>
      </c>
      <c r="AK2355" s="17">
        <f>IF(AJ2355="","",AJ2355-AH2355)</f>
        <v>16</v>
      </c>
    </row>
    <row r="2356" spans="1:37">
      <c r="A2356" s="2" t="s">
        <v>2842</v>
      </c>
      <c r="B2356" s="2" t="s">
        <v>770</v>
      </c>
      <c r="C2356" s="2" t="s">
        <v>771</v>
      </c>
      <c r="D2356" s="2" t="s">
        <v>414</v>
      </c>
      <c r="E2356" s="2" t="s">
        <v>772</v>
      </c>
      <c r="F2356" s="2" t="s">
        <v>413</v>
      </c>
      <c r="G2356" s="2" t="s">
        <v>2840</v>
      </c>
      <c r="H2356" s="2" t="s">
        <v>122</v>
      </c>
      <c r="I2356" s="2" t="s">
        <v>601</v>
      </c>
      <c r="J2356" s="2" t="s">
        <v>381</v>
      </c>
      <c r="K2356" s="9">
        <v>45938</v>
      </c>
      <c r="L2356" s="9">
        <v>45940</v>
      </c>
      <c r="M2356" s="9">
        <v>45938</v>
      </c>
      <c r="N2356" s="2" t="s">
        <v>2764</v>
      </c>
      <c r="O2356" s="2" t="s">
        <v>58</v>
      </c>
      <c r="P2356" s="2" t="s">
        <v>142</v>
      </c>
      <c r="Q2356" s="2" t="s">
        <v>156</v>
      </c>
      <c r="R2356" s="2" t="s">
        <v>137</v>
      </c>
      <c r="S2356" s="2" t="s">
        <v>383</v>
      </c>
      <c r="T2356" s="10">
        <v>39.200000000000003</v>
      </c>
      <c r="U2356" s="11">
        <v>1</v>
      </c>
      <c r="V2356" s="12">
        <f>T2356*U2356</f>
        <v>39.200000000000003</v>
      </c>
      <c r="W2356" s="13">
        <v>0</v>
      </c>
      <c r="X2356" s="12">
        <f>V2356-(V2356/(1+W2356))</f>
        <v>0</v>
      </c>
      <c r="Y2356" s="12">
        <f>V2356-X2356</f>
        <v>39.200000000000003</v>
      </c>
      <c r="Z2356" s="14">
        <v>60</v>
      </c>
      <c r="AA2356" s="2" t="str">
        <f>IF(V2356&gt;Z2356,"Yes","No")</f>
        <v>No</v>
      </c>
      <c r="AB2356" s="12">
        <f>V2356-Z2356</f>
        <v>-20.799999999999997</v>
      </c>
      <c r="AC2356" s="15" t="s">
        <v>130</v>
      </c>
      <c r="AD2356" s="15" t="s">
        <v>130</v>
      </c>
      <c r="AE2356" s="15" t="s">
        <v>350</v>
      </c>
      <c r="AF2356" s="12">
        <f>IF(AG2356="Rejected",0,IF(R2356="Corporate Card",0,V2356))</f>
        <v>39.200000000000003</v>
      </c>
      <c r="AG2356" s="15" t="s">
        <v>133</v>
      </c>
      <c r="AH2356" s="16">
        <v>45949</v>
      </c>
      <c r="AI2356" s="16">
        <v>45955</v>
      </c>
      <c r="AJ2356" s="16">
        <v>45965</v>
      </c>
      <c r="AK2356" s="17">
        <f>IF(AJ2356="","",AJ2356-AH2356)</f>
        <v>16</v>
      </c>
    </row>
    <row r="2357" spans="1:37">
      <c r="A2357" s="2" t="s">
        <v>2843</v>
      </c>
      <c r="B2357" s="2" t="s">
        <v>770</v>
      </c>
      <c r="C2357" s="2" t="s">
        <v>771</v>
      </c>
      <c r="D2357" s="2" t="s">
        <v>414</v>
      </c>
      <c r="E2357" s="2" t="s">
        <v>772</v>
      </c>
      <c r="F2357" s="2" t="s">
        <v>413</v>
      </c>
      <c r="G2357" s="2" t="s">
        <v>2840</v>
      </c>
      <c r="H2357" s="2" t="s">
        <v>122</v>
      </c>
      <c r="I2357" s="2" t="s">
        <v>601</v>
      </c>
      <c r="J2357" s="2" t="s">
        <v>381</v>
      </c>
      <c r="K2357" s="9">
        <v>45938</v>
      </c>
      <c r="L2357" s="9">
        <v>45940</v>
      </c>
      <c r="M2357" s="9">
        <v>45938</v>
      </c>
      <c r="N2357" s="2" t="s">
        <v>2764</v>
      </c>
      <c r="O2357" s="2" t="s">
        <v>54</v>
      </c>
      <c r="P2357" s="2" t="s">
        <v>139</v>
      </c>
      <c r="Q2357" s="2" t="s">
        <v>214</v>
      </c>
      <c r="R2357" s="2" t="s">
        <v>128</v>
      </c>
      <c r="S2357" s="2" t="s">
        <v>383</v>
      </c>
      <c r="T2357" s="10">
        <v>15.56</v>
      </c>
      <c r="U2357" s="11">
        <v>1</v>
      </c>
      <c r="V2357" s="12">
        <f>T2357*U2357</f>
        <v>15.56</v>
      </c>
      <c r="W2357" s="13">
        <v>0</v>
      </c>
      <c r="X2357" s="12">
        <f>V2357-(V2357/(1+W2357))</f>
        <v>0</v>
      </c>
      <c r="Y2357" s="12">
        <f>V2357-X2357</f>
        <v>15.56</v>
      </c>
      <c r="Z2357" s="14">
        <v>25</v>
      </c>
      <c r="AA2357" s="2" t="str">
        <f>IF(V2357&gt;Z2357,"Yes","No")</f>
        <v>No</v>
      </c>
      <c r="AB2357" s="12">
        <f>V2357-Z2357</f>
        <v>-9.44</v>
      </c>
      <c r="AC2357" s="15" t="s">
        <v>130</v>
      </c>
      <c r="AD2357" s="15" t="s">
        <v>130</v>
      </c>
      <c r="AE2357" s="15" t="s">
        <v>350</v>
      </c>
      <c r="AF2357" s="12">
        <f>IF(AG2357="Rejected",0,IF(R2357="Corporate Card",0,V2357))</f>
        <v>0</v>
      </c>
      <c r="AG2357" s="15" t="s">
        <v>133</v>
      </c>
      <c r="AH2357" s="16">
        <v>45949</v>
      </c>
      <c r="AI2357" s="16">
        <v>45955</v>
      </c>
      <c r="AJ2357" s="16">
        <v>45965</v>
      </c>
      <c r="AK2357" s="17">
        <f>IF(AJ2357="","",AJ2357-AH2357)</f>
        <v>16</v>
      </c>
    </row>
    <row r="2358" spans="1:37">
      <c r="A2358" s="2" t="s">
        <v>2844</v>
      </c>
      <c r="B2358" s="2" t="s">
        <v>770</v>
      </c>
      <c r="C2358" s="2" t="s">
        <v>771</v>
      </c>
      <c r="D2358" s="2" t="s">
        <v>414</v>
      </c>
      <c r="E2358" s="2" t="s">
        <v>772</v>
      </c>
      <c r="F2358" s="2" t="s">
        <v>413</v>
      </c>
      <c r="G2358" s="2" t="s">
        <v>2840</v>
      </c>
      <c r="H2358" s="2" t="s">
        <v>122</v>
      </c>
      <c r="I2358" s="2" t="s">
        <v>601</v>
      </c>
      <c r="J2358" s="2" t="s">
        <v>381</v>
      </c>
      <c r="K2358" s="9">
        <v>45938</v>
      </c>
      <c r="L2358" s="9">
        <v>45940</v>
      </c>
      <c r="M2358" s="9">
        <v>45938</v>
      </c>
      <c r="N2358" s="2" t="s">
        <v>2764</v>
      </c>
      <c r="O2358" s="2" t="s">
        <v>56</v>
      </c>
      <c r="P2358" s="2" t="s">
        <v>151</v>
      </c>
      <c r="Q2358" s="2" t="s">
        <v>159</v>
      </c>
      <c r="R2358" s="2" t="s">
        <v>137</v>
      </c>
      <c r="S2358" s="2" t="s">
        <v>383</v>
      </c>
      <c r="T2358" s="10">
        <v>62.19</v>
      </c>
      <c r="U2358" s="11">
        <v>1</v>
      </c>
      <c r="V2358" s="12">
        <f>T2358*U2358</f>
        <v>62.19</v>
      </c>
      <c r="W2358" s="13">
        <v>0</v>
      </c>
      <c r="X2358" s="12">
        <f>V2358-(V2358/(1+W2358))</f>
        <v>0</v>
      </c>
      <c r="Y2358" s="12">
        <f>V2358-X2358</f>
        <v>62.19</v>
      </c>
      <c r="Z2358" s="14">
        <v>75</v>
      </c>
      <c r="AA2358" s="2" t="str">
        <f>IF(V2358&gt;Z2358,"Yes","No")</f>
        <v>No</v>
      </c>
      <c r="AB2358" s="12">
        <f>V2358-Z2358</f>
        <v>-12.810000000000002</v>
      </c>
      <c r="AC2358" s="15" t="s">
        <v>130</v>
      </c>
      <c r="AD2358" s="15" t="s">
        <v>130</v>
      </c>
      <c r="AE2358" s="15" t="s">
        <v>350</v>
      </c>
      <c r="AF2358" s="12">
        <f>IF(AG2358="Rejected",0,IF(R2358="Corporate Card",0,V2358))</f>
        <v>62.19</v>
      </c>
      <c r="AG2358" s="15" t="s">
        <v>133</v>
      </c>
      <c r="AH2358" s="16">
        <v>45949</v>
      </c>
      <c r="AI2358" s="16">
        <v>45955</v>
      </c>
      <c r="AJ2358" s="16">
        <v>45965</v>
      </c>
      <c r="AK2358" s="17">
        <f>IF(AJ2358="","",AJ2358-AH2358)</f>
        <v>16</v>
      </c>
    </row>
    <row r="2359" spans="1:37">
      <c r="A2359" s="2" t="s">
        <v>2845</v>
      </c>
      <c r="B2359" s="2" t="s">
        <v>770</v>
      </c>
      <c r="C2359" s="2" t="s">
        <v>771</v>
      </c>
      <c r="D2359" s="2" t="s">
        <v>414</v>
      </c>
      <c r="E2359" s="2" t="s">
        <v>772</v>
      </c>
      <c r="F2359" s="2" t="s">
        <v>413</v>
      </c>
      <c r="G2359" s="2" t="s">
        <v>2840</v>
      </c>
      <c r="H2359" s="2" t="s">
        <v>122</v>
      </c>
      <c r="I2359" s="2" t="s">
        <v>601</v>
      </c>
      <c r="J2359" s="2" t="s">
        <v>381</v>
      </c>
      <c r="K2359" s="9">
        <v>45938</v>
      </c>
      <c r="L2359" s="9">
        <v>45940</v>
      </c>
      <c r="M2359" s="9">
        <v>45938</v>
      </c>
      <c r="N2359" s="2" t="s">
        <v>2764</v>
      </c>
      <c r="O2359" s="2" t="s">
        <v>55</v>
      </c>
      <c r="P2359" s="2" t="s">
        <v>139</v>
      </c>
      <c r="Q2359" s="2" t="s">
        <v>154</v>
      </c>
      <c r="R2359" s="2" t="s">
        <v>149</v>
      </c>
      <c r="S2359" s="2" t="s">
        <v>383</v>
      </c>
      <c r="T2359" s="10">
        <v>23.19</v>
      </c>
      <c r="U2359" s="11">
        <v>1</v>
      </c>
      <c r="V2359" s="12">
        <f>T2359*U2359</f>
        <v>23.19</v>
      </c>
      <c r="W2359" s="13">
        <v>0</v>
      </c>
      <c r="X2359" s="12">
        <f>V2359-(V2359/(1+W2359))</f>
        <v>0</v>
      </c>
      <c r="Y2359" s="12">
        <f>V2359-X2359</f>
        <v>23.19</v>
      </c>
      <c r="Z2359" s="14">
        <v>35</v>
      </c>
      <c r="AA2359" s="2" t="str">
        <f>IF(V2359&gt;Z2359,"Yes","No")</f>
        <v>No</v>
      </c>
      <c r="AB2359" s="12">
        <f>V2359-Z2359</f>
        <v>-11.809999999999999</v>
      </c>
      <c r="AC2359" s="15" t="s">
        <v>130</v>
      </c>
      <c r="AD2359" s="15" t="s">
        <v>130</v>
      </c>
      <c r="AE2359" s="15" t="s">
        <v>350</v>
      </c>
      <c r="AF2359" s="12">
        <f>IF(AG2359="Rejected",0,IF(R2359="Corporate Card",0,V2359))</f>
        <v>23.19</v>
      </c>
      <c r="AG2359" s="15" t="s">
        <v>133</v>
      </c>
      <c r="AH2359" s="16">
        <v>45949</v>
      </c>
      <c r="AI2359" s="16">
        <v>45955</v>
      </c>
      <c r="AJ2359" s="16">
        <v>45965</v>
      </c>
      <c r="AK2359" s="17">
        <f>IF(AJ2359="","",AJ2359-AH2359)</f>
        <v>16</v>
      </c>
    </row>
    <row r="2360" spans="1:37">
      <c r="A2360" s="2" t="s">
        <v>2846</v>
      </c>
      <c r="B2360" s="2" t="s">
        <v>412</v>
      </c>
      <c r="C2360" s="2" t="s">
        <v>413</v>
      </c>
      <c r="D2360" s="2" t="s">
        <v>414</v>
      </c>
      <c r="E2360" s="2" t="s">
        <v>415</v>
      </c>
      <c r="F2360" s="2" t="s">
        <v>313</v>
      </c>
      <c r="G2360" s="2" t="s">
        <v>2789</v>
      </c>
      <c r="H2360" s="2" t="s">
        <v>193</v>
      </c>
      <c r="I2360" s="2" t="s">
        <v>651</v>
      </c>
      <c r="J2360" s="2" t="s">
        <v>652</v>
      </c>
      <c r="K2360" s="9">
        <v>45934</v>
      </c>
      <c r="L2360" s="9">
        <v>45940</v>
      </c>
      <c r="M2360" s="9">
        <v>45938</v>
      </c>
      <c r="N2360" s="2" t="s">
        <v>2764</v>
      </c>
      <c r="O2360" s="2" t="s">
        <v>58</v>
      </c>
      <c r="P2360" s="2" t="s">
        <v>142</v>
      </c>
      <c r="Q2360" s="2" t="s">
        <v>296</v>
      </c>
      <c r="R2360" s="2" t="s">
        <v>149</v>
      </c>
      <c r="S2360" s="2" t="s">
        <v>654</v>
      </c>
      <c r="T2360" s="10">
        <v>71.040000000000006</v>
      </c>
      <c r="U2360" s="11">
        <v>0.72799999999999998</v>
      </c>
      <c r="V2360" s="12">
        <f>T2360*U2360</f>
        <v>51.717120000000001</v>
      </c>
      <c r="W2360" s="13">
        <v>0.13</v>
      </c>
      <c r="X2360" s="12">
        <f>V2360-(V2360/(1+W2360))</f>
        <v>5.9497571681415877</v>
      </c>
      <c r="Y2360" s="12">
        <f>V2360-X2360</f>
        <v>45.767362831858414</v>
      </c>
      <c r="Z2360" s="14">
        <v>60</v>
      </c>
      <c r="AA2360" s="2" t="str">
        <f>IF(V2360&gt;Z2360,"Yes","No")</f>
        <v>No</v>
      </c>
      <c r="AB2360" s="12">
        <f>V2360-Z2360</f>
        <v>-8.2828799999999987</v>
      </c>
      <c r="AC2360" s="15" t="s">
        <v>130</v>
      </c>
      <c r="AD2360" s="15" t="s">
        <v>131</v>
      </c>
      <c r="AE2360" s="15" t="s">
        <v>350</v>
      </c>
      <c r="AF2360" s="12">
        <f>IF(AG2360="Rejected",0,IF(R2360="Corporate Card",0,V2360))</f>
        <v>51.717120000000001</v>
      </c>
      <c r="AG2360" s="15" t="s">
        <v>133</v>
      </c>
      <c r="AH2360" s="16">
        <v>45951</v>
      </c>
      <c r="AI2360" s="16">
        <v>45959</v>
      </c>
      <c r="AJ2360" s="16">
        <v>45961</v>
      </c>
      <c r="AK2360" s="17">
        <f>IF(AJ2360="","",AJ2360-AH2360)</f>
        <v>10</v>
      </c>
    </row>
    <row r="2361" spans="1:37">
      <c r="A2361" s="2" t="s">
        <v>2847</v>
      </c>
      <c r="B2361" s="2" t="s">
        <v>412</v>
      </c>
      <c r="C2361" s="2" t="s">
        <v>413</v>
      </c>
      <c r="D2361" s="2" t="s">
        <v>414</v>
      </c>
      <c r="E2361" s="2" t="s">
        <v>415</v>
      </c>
      <c r="F2361" s="2" t="s">
        <v>313</v>
      </c>
      <c r="G2361" s="2" t="s">
        <v>2789</v>
      </c>
      <c r="H2361" s="2" t="s">
        <v>193</v>
      </c>
      <c r="I2361" s="2" t="s">
        <v>651</v>
      </c>
      <c r="J2361" s="2" t="s">
        <v>652</v>
      </c>
      <c r="K2361" s="9">
        <v>45934</v>
      </c>
      <c r="L2361" s="9">
        <v>45940</v>
      </c>
      <c r="M2361" s="9">
        <v>45938</v>
      </c>
      <c r="N2361" s="2" t="s">
        <v>2764</v>
      </c>
      <c r="O2361" s="2" t="s">
        <v>56</v>
      </c>
      <c r="P2361" s="2" t="s">
        <v>165</v>
      </c>
      <c r="Q2361" s="2" t="s">
        <v>185</v>
      </c>
      <c r="R2361" s="2" t="s">
        <v>128</v>
      </c>
      <c r="S2361" s="2" t="s">
        <v>654</v>
      </c>
      <c r="T2361" s="10">
        <v>61.6</v>
      </c>
      <c r="U2361" s="11">
        <v>0.72799999999999998</v>
      </c>
      <c r="V2361" s="12">
        <f>T2361*U2361</f>
        <v>44.844799999999999</v>
      </c>
      <c r="W2361" s="13">
        <v>0.13</v>
      </c>
      <c r="X2361" s="12">
        <f>V2361-(V2361/(1+W2361))</f>
        <v>5.1591362831858376</v>
      </c>
      <c r="Y2361" s="12">
        <f>V2361-X2361</f>
        <v>39.685663716814162</v>
      </c>
      <c r="Z2361" s="14">
        <v>75</v>
      </c>
      <c r="AA2361" s="2" t="str">
        <f>IF(V2361&gt;Z2361,"Yes","No")</f>
        <v>No</v>
      </c>
      <c r="AB2361" s="12">
        <f>V2361-Z2361</f>
        <v>-30.155200000000001</v>
      </c>
      <c r="AC2361" s="15" t="s">
        <v>130</v>
      </c>
      <c r="AD2361" s="15" t="s">
        <v>131</v>
      </c>
      <c r="AE2361" s="15" t="s">
        <v>350</v>
      </c>
      <c r="AF2361" s="12">
        <f>IF(AG2361="Rejected",0,IF(R2361="Corporate Card",0,V2361))</f>
        <v>0</v>
      </c>
      <c r="AG2361" s="15" t="s">
        <v>133</v>
      </c>
      <c r="AH2361" s="16">
        <v>45951</v>
      </c>
      <c r="AI2361" s="16">
        <v>45959</v>
      </c>
      <c r="AJ2361" s="16">
        <v>45961</v>
      </c>
      <c r="AK2361" s="17">
        <f>IF(AJ2361="","",AJ2361-AH2361)</f>
        <v>10</v>
      </c>
    </row>
    <row r="2362" spans="1:37">
      <c r="A2362" s="2" t="s">
        <v>2848</v>
      </c>
      <c r="B2362" s="2" t="s">
        <v>412</v>
      </c>
      <c r="C2362" s="2" t="s">
        <v>413</v>
      </c>
      <c r="D2362" s="2" t="s">
        <v>414</v>
      </c>
      <c r="E2362" s="2" t="s">
        <v>415</v>
      </c>
      <c r="F2362" s="2" t="s">
        <v>313</v>
      </c>
      <c r="G2362" s="2" t="s">
        <v>2789</v>
      </c>
      <c r="H2362" s="2" t="s">
        <v>193</v>
      </c>
      <c r="I2362" s="2" t="s">
        <v>651</v>
      </c>
      <c r="J2362" s="2" t="s">
        <v>652</v>
      </c>
      <c r="K2362" s="9">
        <v>45934</v>
      </c>
      <c r="L2362" s="9">
        <v>45940</v>
      </c>
      <c r="M2362" s="9">
        <v>45938</v>
      </c>
      <c r="N2362" s="2" t="s">
        <v>2764</v>
      </c>
      <c r="O2362" s="2" t="s">
        <v>55</v>
      </c>
      <c r="P2362" s="2" t="s">
        <v>139</v>
      </c>
      <c r="Q2362" s="2" t="s">
        <v>217</v>
      </c>
      <c r="R2362" s="2" t="s">
        <v>128</v>
      </c>
      <c r="S2362" s="2" t="s">
        <v>654</v>
      </c>
      <c r="T2362" s="10">
        <v>37.04</v>
      </c>
      <c r="U2362" s="11">
        <v>0.72799999999999998</v>
      </c>
      <c r="V2362" s="12">
        <f>T2362*U2362</f>
        <v>26.965119999999999</v>
      </c>
      <c r="W2362" s="13">
        <v>0.13</v>
      </c>
      <c r="X2362" s="12">
        <f>V2362-(V2362/(1+W2362))</f>
        <v>3.1021819469026539</v>
      </c>
      <c r="Y2362" s="12">
        <f>V2362-X2362</f>
        <v>23.862938053097345</v>
      </c>
      <c r="Z2362" s="14">
        <v>35</v>
      </c>
      <c r="AA2362" s="2" t="str">
        <f>IF(V2362&gt;Z2362,"Yes","No")</f>
        <v>No</v>
      </c>
      <c r="AB2362" s="12">
        <f>V2362-Z2362</f>
        <v>-8.0348800000000011</v>
      </c>
      <c r="AC2362" s="15" t="s">
        <v>130</v>
      </c>
      <c r="AD2362" s="15" t="s">
        <v>131</v>
      </c>
      <c r="AE2362" s="15" t="s">
        <v>350</v>
      </c>
      <c r="AF2362" s="12">
        <f>IF(AG2362="Rejected",0,IF(R2362="Corporate Card",0,V2362))</f>
        <v>0</v>
      </c>
      <c r="AG2362" s="15" t="s">
        <v>133</v>
      </c>
      <c r="AH2362" s="16">
        <v>45951</v>
      </c>
      <c r="AI2362" s="16">
        <v>45959</v>
      </c>
      <c r="AJ2362" s="16">
        <v>45961</v>
      </c>
      <c r="AK2362" s="17">
        <f>IF(AJ2362="","",AJ2362-AH2362)</f>
        <v>10</v>
      </c>
    </row>
    <row r="2363" spans="1:37">
      <c r="A2363" s="2" t="s">
        <v>2849</v>
      </c>
      <c r="B2363" s="2" t="s">
        <v>412</v>
      </c>
      <c r="C2363" s="2" t="s">
        <v>413</v>
      </c>
      <c r="D2363" s="2" t="s">
        <v>414</v>
      </c>
      <c r="E2363" s="2" t="s">
        <v>415</v>
      </c>
      <c r="F2363" s="2" t="s">
        <v>313</v>
      </c>
      <c r="G2363" s="2" t="s">
        <v>2834</v>
      </c>
      <c r="H2363" s="2" t="s">
        <v>122</v>
      </c>
      <c r="I2363" s="2" t="s">
        <v>1251</v>
      </c>
      <c r="J2363" s="2" t="s">
        <v>750</v>
      </c>
      <c r="K2363" s="9">
        <v>45937</v>
      </c>
      <c r="L2363" s="9">
        <v>45938</v>
      </c>
      <c r="M2363" s="9">
        <v>45938</v>
      </c>
      <c r="N2363" s="2" t="s">
        <v>2764</v>
      </c>
      <c r="O2363" s="2" t="s">
        <v>60</v>
      </c>
      <c r="P2363" s="2" t="s">
        <v>536</v>
      </c>
      <c r="Q2363" s="2" t="s">
        <v>702</v>
      </c>
      <c r="R2363" s="2" t="s">
        <v>137</v>
      </c>
      <c r="S2363" s="2" t="s">
        <v>198</v>
      </c>
      <c r="T2363" s="10">
        <v>90.08</v>
      </c>
      <c r="U2363" s="11">
        <v>1.085</v>
      </c>
      <c r="V2363" s="12">
        <f>T2363*U2363</f>
        <v>97.736799999999988</v>
      </c>
      <c r="W2363" s="13">
        <v>0.19</v>
      </c>
      <c r="X2363" s="12">
        <f>V2363-(V2363/(1+W2363))</f>
        <v>15.605035294117641</v>
      </c>
      <c r="Y2363" s="12">
        <f>V2363-X2363</f>
        <v>82.131764705882347</v>
      </c>
      <c r="Z2363" s="14">
        <v>120</v>
      </c>
      <c r="AA2363" s="2" t="str">
        <f>IF(V2363&gt;Z2363,"Yes","No")</f>
        <v>No</v>
      </c>
      <c r="AB2363" s="12">
        <f>V2363-Z2363</f>
        <v>-22.263200000000012</v>
      </c>
      <c r="AC2363" s="15" t="s">
        <v>130</v>
      </c>
      <c r="AD2363" s="15" t="s">
        <v>131</v>
      </c>
      <c r="AE2363" s="15" t="s">
        <v>858</v>
      </c>
      <c r="AF2363" s="12">
        <f>IF(AG2363="Rejected",0,IF(R2363="Corporate Card",0,V2363))</f>
        <v>97.736799999999988</v>
      </c>
      <c r="AG2363" s="15" t="s">
        <v>133</v>
      </c>
      <c r="AH2363" s="16">
        <v>45942</v>
      </c>
      <c r="AI2363" s="16">
        <v>45946</v>
      </c>
      <c r="AJ2363" s="16">
        <v>45952</v>
      </c>
      <c r="AK2363" s="17">
        <f>IF(AJ2363="","",AJ2363-AH2363)</f>
        <v>10</v>
      </c>
    </row>
    <row r="2364" spans="1:37">
      <c r="A2364" s="2" t="s">
        <v>2850</v>
      </c>
      <c r="B2364" s="2" t="s">
        <v>412</v>
      </c>
      <c r="C2364" s="2" t="s">
        <v>413</v>
      </c>
      <c r="D2364" s="2" t="s">
        <v>414</v>
      </c>
      <c r="E2364" s="2" t="s">
        <v>415</v>
      </c>
      <c r="F2364" s="2" t="s">
        <v>313</v>
      </c>
      <c r="G2364" s="2" t="s">
        <v>2834</v>
      </c>
      <c r="H2364" s="2" t="s">
        <v>122</v>
      </c>
      <c r="I2364" s="2" t="s">
        <v>1251</v>
      </c>
      <c r="J2364" s="2" t="s">
        <v>750</v>
      </c>
      <c r="K2364" s="9">
        <v>45937</v>
      </c>
      <c r="L2364" s="9">
        <v>45938</v>
      </c>
      <c r="M2364" s="9">
        <v>45938</v>
      </c>
      <c r="N2364" s="2" t="s">
        <v>2764</v>
      </c>
      <c r="O2364" s="2" t="s">
        <v>57</v>
      </c>
      <c r="P2364" s="2" t="s">
        <v>398</v>
      </c>
      <c r="Q2364" s="2" t="s">
        <v>1204</v>
      </c>
      <c r="R2364" s="2" t="s">
        <v>128</v>
      </c>
      <c r="S2364" s="2" t="s">
        <v>198</v>
      </c>
      <c r="T2364" s="10">
        <v>81.28</v>
      </c>
      <c r="U2364" s="11">
        <v>1.085</v>
      </c>
      <c r="V2364" s="12">
        <f>T2364*U2364</f>
        <v>88.188800000000001</v>
      </c>
      <c r="W2364" s="13">
        <v>0.19</v>
      </c>
      <c r="X2364" s="12">
        <f>V2364-(V2364/(1+W2364))</f>
        <v>14.080564705882352</v>
      </c>
      <c r="Y2364" s="12">
        <f>V2364-X2364</f>
        <v>74.108235294117648</v>
      </c>
      <c r="Z2364" s="14">
        <v>200</v>
      </c>
      <c r="AA2364" s="2" t="str">
        <f>IF(V2364&gt;Z2364,"Yes","No")</f>
        <v>No</v>
      </c>
      <c r="AB2364" s="12">
        <f>V2364-Z2364</f>
        <v>-111.8112</v>
      </c>
      <c r="AC2364" s="15" t="s">
        <v>130</v>
      </c>
      <c r="AD2364" s="15" t="s">
        <v>131</v>
      </c>
      <c r="AE2364" s="15" t="s">
        <v>858</v>
      </c>
      <c r="AF2364" s="12">
        <f>IF(AG2364="Rejected",0,IF(R2364="Corporate Card",0,V2364))</f>
        <v>0</v>
      </c>
      <c r="AG2364" s="15" t="s">
        <v>133</v>
      </c>
      <c r="AH2364" s="16">
        <v>45942</v>
      </c>
      <c r="AI2364" s="16">
        <v>45946</v>
      </c>
      <c r="AJ2364" s="16">
        <v>45952</v>
      </c>
      <c r="AK2364" s="17">
        <f>IF(AJ2364="","",AJ2364-AH2364)</f>
        <v>10</v>
      </c>
    </row>
    <row r="2365" spans="1:37">
      <c r="A2365" s="2" t="s">
        <v>2851</v>
      </c>
      <c r="B2365" s="2" t="s">
        <v>412</v>
      </c>
      <c r="C2365" s="2" t="s">
        <v>413</v>
      </c>
      <c r="D2365" s="2" t="s">
        <v>414</v>
      </c>
      <c r="E2365" s="2" t="s">
        <v>415</v>
      </c>
      <c r="F2365" s="2" t="s">
        <v>313</v>
      </c>
      <c r="G2365" s="2" t="s">
        <v>2834</v>
      </c>
      <c r="H2365" s="2" t="s">
        <v>122</v>
      </c>
      <c r="I2365" s="2" t="s">
        <v>1251</v>
      </c>
      <c r="J2365" s="2" t="s">
        <v>750</v>
      </c>
      <c r="K2365" s="9">
        <v>45937</v>
      </c>
      <c r="L2365" s="9">
        <v>45938</v>
      </c>
      <c r="M2365" s="9">
        <v>45938</v>
      </c>
      <c r="N2365" s="2" t="s">
        <v>2764</v>
      </c>
      <c r="O2365" s="2" t="s">
        <v>61</v>
      </c>
      <c r="P2365" s="2" t="s">
        <v>528</v>
      </c>
      <c r="Q2365" s="2" t="s">
        <v>540</v>
      </c>
      <c r="R2365" s="2" t="s">
        <v>128</v>
      </c>
      <c r="S2365" s="2" t="s">
        <v>198</v>
      </c>
      <c r="T2365" s="10">
        <v>48.24</v>
      </c>
      <c r="U2365" s="11">
        <v>1.085</v>
      </c>
      <c r="V2365" s="12">
        <f>T2365*U2365</f>
        <v>52.340400000000002</v>
      </c>
      <c r="W2365" s="13">
        <v>0</v>
      </c>
      <c r="X2365" s="12">
        <f>V2365-(V2365/(1+W2365))</f>
        <v>0</v>
      </c>
      <c r="Y2365" s="12">
        <f>V2365-X2365</f>
        <v>52.340400000000002</v>
      </c>
      <c r="Z2365" s="14">
        <v>90</v>
      </c>
      <c r="AA2365" s="2" t="str">
        <f>IF(V2365&gt;Z2365,"Yes","No")</f>
        <v>No</v>
      </c>
      <c r="AB2365" s="12">
        <f>V2365-Z2365</f>
        <v>-37.659599999999998</v>
      </c>
      <c r="AC2365" s="15" t="s">
        <v>130</v>
      </c>
      <c r="AD2365" s="15" t="s">
        <v>131</v>
      </c>
      <c r="AE2365" s="15" t="s">
        <v>858</v>
      </c>
      <c r="AF2365" s="12">
        <f>IF(AG2365="Rejected",0,IF(R2365="Corporate Card",0,V2365))</f>
        <v>0</v>
      </c>
      <c r="AG2365" s="15" t="s">
        <v>133</v>
      </c>
      <c r="AH2365" s="16">
        <v>45942</v>
      </c>
      <c r="AI2365" s="16">
        <v>45946</v>
      </c>
      <c r="AJ2365" s="16">
        <v>45952</v>
      </c>
      <c r="AK2365" s="17">
        <f>IF(AJ2365="","",AJ2365-AH2365)</f>
        <v>10</v>
      </c>
    </row>
    <row r="2366" spans="1:37">
      <c r="A2366" s="2" t="s">
        <v>2852</v>
      </c>
      <c r="B2366" s="2" t="s">
        <v>412</v>
      </c>
      <c r="C2366" s="2" t="s">
        <v>413</v>
      </c>
      <c r="D2366" s="2" t="s">
        <v>414</v>
      </c>
      <c r="E2366" s="2" t="s">
        <v>415</v>
      </c>
      <c r="F2366" s="2" t="s">
        <v>313</v>
      </c>
      <c r="G2366" s="2" t="s">
        <v>2834</v>
      </c>
      <c r="H2366" s="2" t="s">
        <v>122</v>
      </c>
      <c r="I2366" s="2" t="s">
        <v>1251</v>
      </c>
      <c r="J2366" s="2" t="s">
        <v>750</v>
      </c>
      <c r="K2366" s="9">
        <v>45937</v>
      </c>
      <c r="L2366" s="9">
        <v>45938</v>
      </c>
      <c r="M2366" s="9">
        <v>45938</v>
      </c>
      <c r="N2366" s="2" t="s">
        <v>2764</v>
      </c>
      <c r="O2366" s="2" t="s">
        <v>53</v>
      </c>
      <c r="P2366" s="2" t="s">
        <v>405</v>
      </c>
      <c r="Q2366" s="2" t="s">
        <v>458</v>
      </c>
      <c r="R2366" s="2" t="s">
        <v>128</v>
      </c>
      <c r="S2366" s="2" t="s">
        <v>198</v>
      </c>
      <c r="T2366" s="10">
        <v>218.25</v>
      </c>
      <c r="U2366" s="11">
        <v>1.085</v>
      </c>
      <c r="V2366" s="12">
        <f>T2366*U2366</f>
        <v>236.80124999999998</v>
      </c>
      <c r="W2366" s="13">
        <v>0.19</v>
      </c>
      <c r="X2366" s="12">
        <f>V2366-(V2366/(1+W2366))</f>
        <v>37.808602941176446</v>
      </c>
      <c r="Y2366" s="12">
        <f>V2366-X2366</f>
        <v>198.99264705882354</v>
      </c>
      <c r="Z2366" s="14">
        <v>280</v>
      </c>
      <c r="AA2366" s="2" t="str">
        <f>IF(V2366&gt;Z2366,"Yes","No")</f>
        <v>No</v>
      </c>
      <c r="AB2366" s="12">
        <f>V2366-Z2366</f>
        <v>-43.198750000000018</v>
      </c>
      <c r="AC2366" s="15" t="s">
        <v>130</v>
      </c>
      <c r="AD2366" s="15" t="s">
        <v>131</v>
      </c>
      <c r="AE2366" s="15" t="s">
        <v>858</v>
      </c>
      <c r="AF2366" s="12">
        <f>IF(AG2366="Rejected",0,IF(R2366="Corporate Card",0,V2366))</f>
        <v>0</v>
      </c>
      <c r="AG2366" s="15" t="s">
        <v>133</v>
      </c>
      <c r="AH2366" s="16">
        <v>45942</v>
      </c>
      <c r="AI2366" s="16">
        <v>45946</v>
      </c>
      <c r="AJ2366" s="16">
        <v>45952</v>
      </c>
      <c r="AK2366" s="17">
        <f>IF(AJ2366="","",AJ2366-AH2366)</f>
        <v>10</v>
      </c>
    </row>
    <row r="2367" spans="1:37">
      <c r="A2367" s="2" t="s">
        <v>2853</v>
      </c>
      <c r="B2367" s="2" t="s">
        <v>412</v>
      </c>
      <c r="C2367" s="2" t="s">
        <v>413</v>
      </c>
      <c r="D2367" s="2" t="s">
        <v>414</v>
      </c>
      <c r="E2367" s="2" t="s">
        <v>415</v>
      </c>
      <c r="F2367" s="2" t="s">
        <v>313</v>
      </c>
      <c r="G2367" s="2" t="s">
        <v>2834</v>
      </c>
      <c r="H2367" s="2" t="s">
        <v>122</v>
      </c>
      <c r="I2367" s="2" t="s">
        <v>1251</v>
      </c>
      <c r="J2367" s="2" t="s">
        <v>750</v>
      </c>
      <c r="K2367" s="9">
        <v>45937</v>
      </c>
      <c r="L2367" s="9">
        <v>45938</v>
      </c>
      <c r="M2367" s="9">
        <v>45938</v>
      </c>
      <c r="N2367" s="2" t="s">
        <v>2764</v>
      </c>
      <c r="O2367" s="2" t="s">
        <v>54</v>
      </c>
      <c r="P2367" s="2" t="s">
        <v>139</v>
      </c>
      <c r="Q2367" s="2" t="s">
        <v>214</v>
      </c>
      <c r="R2367" s="2" t="s">
        <v>137</v>
      </c>
      <c r="S2367" s="2" t="s">
        <v>198</v>
      </c>
      <c r="T2367" s="10">
        <v>17.100000000000001</v>
      </c>
      <c r="U2367" s="11">
        <v>1.085</v>
      </c>
      <c r="V2367" s="12">
        <f>T2367*U2367</f>
        <v>18.5535</v>
      </c>
      <c r="W2367" s="13">
        <v>0.19</v>
      </c>
      <c r="X2367" s="12">
        <f>V2367-(V2367/(1+W2367))</f>
        <v>2.9623235294117638</v>
      </c>
      <c r="Y2367" s="12">
        <f>V2367-X2367</f>
        <v>15.591176470588236</v>
      </c>
      <c r="Z2367" s="14">
        <v>25</v>
      </c>
      <c r="AA2367" s="2" t="str">
        <f>IF(V2367&gt;Z2367,"Yes","No")</f>
        <v>No</v>
      </c>
      <c r="AB2367" s="12">
        <f>V2367-Z2367</f>
        <v>-6.4465000000000003</v>
      </c>
      <c r="AC2367" s="15" t="s">
        <v>130</v>
      </c>
      <c r="AD2367" s="15" t="s">
        <v>131</v>
      </c>
      <c r="AE2367" s="15" t="s">
        <v>858</v>
      </c>
      <c r="AF2367" s="12">
        <f>IF(AG2367="Rejected",0,IF(R2367="Corporate Card",0,V2367))</f>
        <v>18.5535</v>
      </c>
      <c r="AG2367" s="15" t="s">
        <v>133</v>
      </c>
      <c r="AH2367" s="16">
        <v>45942</v>
      </c>
      <c r="AI2367" s="16">
        <v>45946</v>
      </c>
      <c r="AJ2367" s="16">
        <v>45952</v>
      </c>
      <c r="AK2367" s="17">
        <f>IF(AJ2367="","",AJ2367-AH2367)</f>
        <v>10</v>
      </c>
    </row>
    <row r="2368" spans="1:37">
      <c r="A2368" s="2" t="s">
        <v>2854</v>
      </c>
      <c r="B2368" s="2" t="s">
        <v>412</v>
      </c>
      <c r="C2368" s="2" t="s">
        <v>413</v>
      </c>
      <c r="D2368" s="2" t="s">
        <v>414</v>
      </c>
      <c r="E2368" s="2" t="s">
        <v>415</v>
      </c>
      <c r="F2368" s="2" t="s">
        <v>313</v>
      </c>
      <c r="G2368" s="2" t="s">
        <v>2834</v>
      </c>
      <c r="H2368" s="2" t="s">
        <v>122</v>
      </c>
      <c r="I2368" s="2" t="s">
        <v>1251</v>
      </c>
      <c r="J2368" s="2" t="s">
        <v>750</v>
      </c>
      <c r="K2368" s="9">
        <v>45937</v>
      </c>
      <c r="L2368" s="9">
        <v>45938</v>
      </c>
      <c r="M2368" s="9">
        <v>45938</v>
      </c>
      <c r="N2368" s="2" t="s">
        <v>2764</v>
      </c>
      <c r="O2368" s="2" t="s">
        <v>56</v>
      </c>
      <c r="P2368" s="2" t="s">
        <v>231</v>
      </c>
      <c r="Q2368" s="2" t="s">
        <v>159</v>
      </c>
      <c r="R2368" s="2" t="s">
        <v>149</v>
      </c>
      <c r="S2368" s="2" t="s">
        <v>198</v>
      </c>
      <c r="T2368" s="10">
        <v>29.78</v>
      </c>
      <c r="U2368" s="11">
        <v>1.085</v>
      </c>
      <c r="V2368" s="12">
        <f>T2368*U2368</f>
        <v>32.311300000000003</v>
      </c>
      <c r="W2368" s="13">
        <v>0.19</v>
      </c>
      <c r="X2368" s="12">
        <f>V2368-(V2368/(1+W2368))</f>
        <v>5.1589470588235287</v>
      </c>
      <c r="Y2368" s="12">
        <f>V2368-X2368</f>
        <v>27.152352941176474</v>
      </c>
      <c r="Z2368" s="14">
        <v>75</v>
      </c>
      <c r="AA2368" s="2" t="str">
        <f>IF(V2368&gt;Z2368,"Yes","No")</f>
        <v>No</v>
      </c>
      <c r="AB2368" s="12">
        <f>V2368-Z2368</f>
        <v>-42.688699999999997</v>
      </c>
      <c r="AC2368" s="15" t="s">
        <v>130</v>
      </c>
      <c r="AD2368" s="15" t="s">
        <v>131</v>
      </c>
      <c r="AE2368" s="15" t="s">
        <v>858</v>
      </c>
      <c r="AF2368" s="12">
        <f>IF(AG2368="Rejected",0,IF(R2368="Corporate Card",0,V2368))</f>
        <v>32.311300000000003</v>
      </c>
      <c r="AG2368" s="15" t="s">
        <v>133</v>
      </c>
      <c r="AH2368" s="16">
        <v>45942</v>
      </c>
      <c r="AI2368" s="16">
        <v>45946</v>
      </c>
      <c r="AJ2368" s="16">
        <v>45952</v>
      </c>
      <c r="AK2368" s="17">
        <f>IF(AJ2368="","",AJ2368-AH2368)</f>
        <v>10</v>
      </c>
    </row>
    <row r="2369" spans="1:37">
      <c r="A2369" s="2" t="s">
        <v>2855</v>
      </c>
      <c r="B2369" s="2" t="s">
        <v>412</v>
      </c>
      <c r="C2369" s="2" t="s">
        <v>413</v>
      </c>
      <c r="D2369" s="2" t="s">
        <v>414</v>
      </c>
      <c r="E2369" s="2" t="s">
        <v>415</v>
      </c>
      <c r="F2369" s="2" t="s">
        <v>313</v>
      </c>
      <c r="G2369" s="2" t="s">
        <v>2834</v>
      </c>
      <c r="H2369" s="2" t="s">
        <v>122</v>
      </c>
      <c r="I2369" s="2" t="s">
        <v>1251</v>
      </c>
      <c r="J2369" s="2" t="s">
        <v>750</v>
      </c>
      <c r="K2369" s="9">
        <v>45937</v>
      </c>
      <c r="L2369" s="9">
        <v>45938</v>
      </c>
      <c r="M2369" s="9">
        <v>45938</v>
      </c>
      <c r="N2369" s="2" t="s">
        <v>2764</v>
      </c>
      <c r="O2369" s="2" t="s">
        <v>55</v>
      </c>
      <c r="P2369" s="2" t="s">
        <v>139</v>
      </c>
      <c r="Q2369" s="2" t="s">
        <v>217</v>
      </c>
      <c r="R2369" s="2" t="s">
        <v>149</v>
      </c>
      <c r="S2369" s="2" t="s">
        <v>198</v>
      </c>
      <c r="T2369" s="10">
        <v>43.44</v>
      </c>
      <c r="U2369" s="11">
        <v>1.085</v>
      </c>
      <c r="V2369" s="12">
        <f>T2369*U2369</f>
        <v>47.132399999999997</v>
      </c>
      <c r="W2369" s="13">
        <v>0.19</v>
      </c>
      <c r="X2369" s="12">
        <f>V2369-(V2369/(1+W2369))</f>
        <v>7.5253411764705831</v>
      </c>
      <c r="Y2369" s="12">
        <f>V2369-X2369</f>
        <v>39.607058823529414</v>
      </c>
      <c r="Z2369" s="14">
        <v>35</v>
      </c>
      <c r="AA2369" s="2" t="str">
        <f>IF(V2369&gt;Z2369,"Yes","No")</f>
        <v>Yes</v>
      </c>
      <c r="AB2369" s="12">
        <f>V2369-Z2369</f>
        <v>12.132399999999997</v>
      </c>
      <c r="AC2369" s="15" t="s">
        <v>130</v>
      </c>
      <c r="AD2369" s="15" t="s">
        <v>131</v>
      </c>
      <c r="AE2369" s="15" t="s">
        <v>858</v>
      </c>
      <c r="AF2369" s="12">
        <f>IF(AG2369="Rejected",0,IF(R2369="Corporate Card",0,V2369))</f>
        <v>47.132399999999997</v>
      </c>
      <c r="AG2369" s="15" t="s">
        <v>133</v>
      </c>
      <c r="AH2369" s="16">
        <v>45942</v>
      </c>
      <c r="AI2369" s="16">
        <v>45946</v>
      </c>
      <c r="AJ2369" s="16">
        <v>45952</v>
      </c>
      <c r="AK2369" s="17">
        <f>IF(AJ2369="","",AJ2369-AH2369)</f>
        <v>10</v>
      </c>
    </row>
    <row r="2370" spans="1:37">
      <c r="A2370" s="2" t="s">
        <v>2856</v>
      </c>
      <c r="B2370" s="2" t="s">
        <v>412</v>
      </c>
      <c r="C2370" s="2" t="s">
        <v>413</v>
      </c>
      <c r="D2370" s="2" t="s">
        <v>414</v>
      </c>
      <c r="E2370" s="2" t="s">
        <v>415</v>
      </c>
      <c r="F2370" s="2" t="s">
        <v>313</v>
      </c>
      <c r="G2370" s="2" t="s">
        <v>2834</v>
      </c>
      <c r="H2370" s="2" t="s">
        <v>122</v>
      </c>
      <c r="I2370" s="2" t="s">
        <v>1251</v>
      </c>
      <c r="J2370" s="2" t="s">
        <v>750</v>
      </c>
      <c r="K2370" s="9">
        <v>45937</v>
      </c>
      <c r="L2370" s="9">
        <v>45938</v>
      </c>
      <c r="M2370" s="9">
        <v>45938</v>
      </c>
      <c r="N2370" s="2" t="s">
        <v>2764</v>
      </c>
      <c r="O2370" s="2" t="s">
        <v>62</v>
      </c>
      <c r="P2370" s="2" t="s">
        <v>533</v>
      </c>
      <c r="Q2370" s="2" t="s">
        <v>548</v>
      </c>
      <c r="R2370" s="2" t="s">
        <v>128</v>
      </c>
      <c r="S2370" s="2" t="s">
        <v>198</v>
      </c>
      <c r="T2370" s="10">
        <v>33.25</v>
      </c>
      <c r="U2370" s="11">
        <v>1.085</v>
      </c>
      <c r="V2370" s="12">
        <f>T2370*U2370</f>
        <v>36.076250000000002</v>
      </c>
      <c r="W2370" s="13">
        <v>0.19</v>
      </c>
      <c r="X2370" s="12">
        <f>V2370-(V2370/(1+W2370))</f>
        <v>5.7600735294117626</v>
      </c>
      <c r="Y2370" s="12">
        <f>V2370-X2370</f>
        <v>30.316176470588239</v>
      </c>
      <c r="Z2370" s="14">
        <v>45</v>
      </c>
      <c r="AA2370" s="2" t="str">
        <f>IF(V2370&gt;Z2370,"Yes","No")</f>
        <v>No</v>
      </c>
      <c r="AB2370" s="12">
        <f>V2370-Z2370</f>
        <v>-8.9237499999999983</v>
      </c>
      <c r="AC2370" s="15" t="s">
        <v>131</v>
      </c>
      <c r="AD2370" s="15" t="s">
        <v>131</v>
      </c>
      <c r="AE2370" s="15" t="s">
        <v>858</v>
      </c>
      <c r="AF2370" s="12">
        <f>IF(AG2370="Rejected",0,IF(R2370="Corporate Card",0,V2370))</f>
        <v>0</v>
      </c>
      <c r="AG2370" s="15" t="s">
        <v>133</v>
      </c>
      <c r="AH2370" s="16">
        <v>45942</v>
      </c>
      <c r="AI2370" s="16">
        <v>45946</v>
      </c>
      <c r="AJ2370" s="16">
        <v>45952</v>
      </c>
      <c r="AK2370" s="17">
        <f>IF(AJ2370="","",AJ2370-AH2370)</f>
        <v>10</v>
      </c>
    </row>
    <row r="2371" spans="1:37">
      <c r="A2371" s="2" t="s">
        <v>2857</v>
      </c>
      <c r="B2371" s="2" t="s">
        <v>116</v>
      </c>
      <c r="C2371" s="2" t="s">
        <v>117</v>
      </c>
      <c r="D2371" s="2" t="s">
        <v>118</v>
      </c>
      <c r="E2371" s="2" t="s">
        <v>119</v>
      </c>
      <c r="F2371" s="2" t="s">
        <v>120</v>
      </c>
      <c r="G2371" s="2" t="s">
        <v>2795</v>
      </c>
      <c r="H2371" s="2" t="s">
        <v>193</v>
      </c>
      <c r="I2371" s="2" t="s">
        <v>255</v>
      </c>
      <c r="J2371" s="2" t="s">
        <v>256</v>
      </c>
      <c r="K2371" s="9">
        <v>45934</v>
      </c>
      <c r="L2371" s="9">
        <v>45938</v>
      </c>
      <c r="M2371" s="9">
        <v>45938</v>
      </c>
      <c r="N2371" s="2" t="s">
        <v>2764</v>
      </c>
      <c r="O2371" s="2" t="s">
        <v>58</v>
      </c>
      <c r="P2371" s="2" t="s">
        <v>142</v>
      </c>
      <c r="Q2371" s="2" t="s">
        <v>203</v>
      </c>
      <c r="R2371" s="2" t="s">
        <v>137</v>
      </c>
      <c r="S2371" s="2" t="s">
        <v>259</v>
      </c>
      <c r="T2371" s="10">
        <v>7604</v>
      </c>
      <c r="U2371" s="11">
        <v>6.5500000000000003E-3</v>
      </c>
      <c r="V2371" s="12">
        <f>T2371*U2371</f>
        <v>49.806200000000004</v>
      </c>
      <c r="W2371" s="13">
        <v>0.1</v>
      </c>
      <c r="X2371" s="12">
        <f>V2371-(V2371/(1+W2371))</f>
        <v>4.5278363636363679</v>
      </c>
      <c r="Y2371" s="12">
        <f>V2371-X2371</f>
        <v>45.278363636363636</v>
      </c>
      <c r="Z2371" s="14">
        <v>60</v>
      </c>
      <c r="AA2371" s="2" t="str">
        <f>IF(V2371&gt;Z2371,"Yes","No")</f>
        <v>No</v>
      </c>
      <c r="AB2371" s="12">
        <f>V2371-Z2371</f>
        <v>-10.193799999999996</v>
      </c>
      <c r="AC2371" s="15" t="s">
        <v>130</v>
      </c>
      <c r="AD2371" s="15" t="s">
        <v>130</v>
      </c>
      <c r="AE2371" s="15" t="s">
        <v>260</v>
      </c>
      <c r="AF2371" s="12">
        <f>IF(AG2371="Rejected",0,IF(R2371="Corporate Card",0,V2371))</f>
        <v>49.806200000000004</v>
      </c>
      <c r="AG2371" s="15" t="s">
        <v>133</v>
      </c>
      <c r="AH2371" s="16">
        <v>45943</v>
      </c>
      <c r="AI2371" s="16">
        <v>45946</v>
      </c>
      <c r="AJ2371" s="16">
        <v>45958</v>
      </c>
      <c r="AK2371" s="17">
        <f>IF(AJ2371="","",AJ2371-AH2371)</f>
        <v>15</v>
      </c>
    </row>
    <row r="2372" spans="1:37">
      <c r="A2372" s="2" t="s">
        <v>2858</v>
      </c>
      <c r="B2372" s="2" t="s">
        <v>116</v>
      </c>
      <c r="C2372" s="2" t="s">
        <v>117</v>
      </c>
      <c r="D2372" s="2" t="s">
        <v>118</v>
      </c>
      <c r="E2372" s="2" t="s">
        <v>119</v>
      </c>
      <c r="F2372" s="2" t="s">
        <v>120</v>
      </c>
      <c r="G2372" s="2" t="s">
        <v>2795</v>
      </c>
      <c r="H2372" s="2" t="s">
        <v>193</v>
      </c>
      <c r="I2372" s="2" t="s">
        <v>255</v>
      </c>
      <c r="J2372" s="2" t="s">
        <v>256</v>
      </c>
      <c r="K2372" s="9">
        <v>45934</v>
      </c>
      <c r="L2372" s="9">
        <v>45938</v>
      </c>
      <c r="M2372" s="9">
        <v>45938</v>
      </c>
      <c r="N2372" s="2" t="s">
        <v>2764</v>
      </c>
      <c r="O2372" s="2" t="s">
        <v>56</v>
      </c>
      <c r="P2372" s="2" t="s">
        <v>245</v>
      </c>
      <c r="Q2372" s="2" t="s">
        <v>185</v>
      </c>
      <c r="R2372" s="2" t="s">
        <v>137</v>
      </c>
      <c r="S2372" s="2" t="s">
        <v>259</v>
      </c>
      <c r="T2372" s="10">
        <v>4086</v>
      </c>
      <c r="U2372" s="11">
        <v>6.5500000000000003E-3</v>
      </c>
      <c r="V2372" s="12">
        <f>T2372*U2372</f>
        <v>26.763300000000001</v>
      </c>
      <c r="W2372" s="13">
        <v>0.1</v>
      </c>
      <c r="X2372" s="12">
        <f>V2372-(V2372/(1+W2372))</f>
        <v>2.4330272727272764</v>
      </c>
      <c r="Y2372" s="12">
        <f>V2372-X2372</f>
        <v>24.330272727272725</v>
      </c>
      <c r="Z2372" s="14">
        <v>75</v>
      </c>
      <c r="AA2372" s="2" t="str">
        <f>IF(V2372&gt;Z2372,"Yes","No")</f>
        <v>No</v>
      </c>
      <c r="AB2372" s="12">
        <f>V2372-Z2372</f>
        <v>-48.236699999999999</v>
      </c>
      <c r="AC2372" s="15" t="s">
        <v>130</v>
      </c>
      <c r="AD2372" s="15" t="s">
        <v>130</v>
      </c>
      <c r="AE2372" s="15" t="s">
        <v>260</v>
      </c>
      <c r="AF2372" s="12">
        <f>IF(AG2372="Rejected",0,IF(R2372="Corporate Card",0,V2372))</f>
        <v>26.763300000000001</v>
      </c>
      <c r="AG2372" s="15" t="s">
        <v>133</v>
      </c>
      <c r="AH2372" s="16">
        <v>45943</v>
      </c>
      <c r="AI2372" s="16">
        <v>45946</v>
      </c>
      <c r="AJ2372" s="16">
        <v>45958</v>
      </c>
      <c r="AK2372" s="17">
        <f>IF(AJ2372="","",AJ2372-AH2372)</f>
        <v>15</v>
      </c>
    </row>
    <row r="2373" spans="1:37">
      <c r="A2373" s="2" t="s">
        <v>2859</v>
      </c>
      <c r="B2373" s="2" t="s">
        <v>116</v>
      </c>
      <c r="C2373" s="2" t="s">
        <v>117</v>
      </c>
      <c r="D2373" s="2" t="s">
        <v>118</v>
      </c>
      <c r="E2373" s="2" t="s">
        <v>119</v>
      </c>
      <c r="F2373" s="2" t="s">
        <v>120</v>
      </c>
      <c r="G2373" s="2" t="s">
        <v>2795</v>
      </c>
      <c r="H2373" s="2" t="s">
        <v>193</v>
      </c>
      <c r="I2373" s="2" t="s">
        <v>255</v>
      </c>
      <c r="J2373" s="2" t="s">
        <v>256</v>
      </c>
      <c r="K2373" s="9">
        <v>45934</v>
      </c>
      <c r="L2373" s="9">
        <v>45938</v>
      </c>
      <c r="M2373" s="9">
        <v>45938</v>
      </c>
      <c r="N2373" s="2" t="s">
        <v>2764</v>
      </c>
      <c r="O2373" s="2" t="s">
        <v>55</v>
      </c>
      <c r="P2373" s="2" t="s">
        <v>139</v>
      </c>
      <c r="Q2373" s="2" t="s">
        <v>217</v>
      </c>
      <c r="R2373" s="2" t="s">
        <v>128</v>
      </c>
      <c r="S2373" s="2" t="s">
        <v>259</v>
      </c>
      <c r="T2373" s="10">
        <v>2245</v>
      </c>
      <c r="U2373" s="11">
        <v>6.5500000000000003E-3</v>
      </c>
      <c r="V2373" s="12">
        <f>T2373*U2373</f>
        <v>14.704750000000001</v>
      </c>
      <c r="W2373" s="13">
        <v>0.1</v>
      </c>
      <c r="X2373" s="12">
        <f>V2373-(V2373/(1+W2373))</f>
        <v>1.3367954545454559</v>
      </c>
      <c r="Y2373" s="12">
        <f>V2373-X2373</f>
        <v>13.367954545454545</v>
      </c>
      <c r="Z2373" s="14">
        <v>35</v>
      </c>
      <c r="AA2373" s="2" t="str">
        <f>IF(V2373&gt;Z2373,"Yes","No")</f>
        <v>No</v>
      </c>
      <c r="AB2373" s="12">
        <f>V2373-Z2373</f>
        <v>-20.295249999999999</v>
      </c>
      <c r="AC2373" s="15" t="s">
        <v>130</v>
      </c>
      <c r="AD2373" s="15" t="s">
        <v>130</v>
      </c>
      <c r="AE2373" s="15" t="s">
        <v>260</v>
      </c>
      <c r="AF2373" s="12">
        <f>IF(AG2373="Rejected",0,IF(R2373="Corporate Card",0,V2373))</f>
        <v>0</v>
      </c>
      <c r="AG2373" s="15" t="s">
        <v>133</v>
      </c>
      <c r="AH2373" s="16">
        <v>45943</v>
      </c>
      <c r="AI2373" s="16">
        <v>45946</v>
      </c>
      <c r="AJ2373" s="16">
        <v>45958</v>
      </c>
      <c r="AK2373" s="17">
        <f>IF(AJ2373="","",AJ2373-AH2373)</f>
        <v>15</v>
      </c>
    </row>
    <row r="2374" spans="1:37">
      <c r="A2374" s="2" t="s">
        <v>2860</v>
      </c>
      <c r="B2374" s="2" t="s">
        <v>770</v>
      </c>
      <c r="C2374" s="2" t="s">
        <v>771</v>
      </c>
      <c r="D2374" s="2" t="s">
        <v>414</v>
      </c>
      <c r="E2374" s="2" t="s">
        <v>772</v>
      </c>
      <c r="F2374" s="2" t="s">
        <v>413</v>
      </c>
      <c r="G2374" s="2" t="s">
        <v>2840</v>
      </c>
      <c r="H2374" s="2" t="s">
        <v>122</v>
      </c>
      <c r="I2374" s="2" t="s">
        <v>601</v>
      </c>
      <c r="J2374" s="2" t="s">
        <v>381</v>
      </c>
      <c r="K2374" s="9">
        <v>45938</v>
      </c>
      <c r="L2374" s="9">
        <v>45940</v>
      </c>
      <c r="M2374" s="9">
        <v>45939</v>
      </c>
      <c r="N2374" s="2" t="s">
        <v>2764</v>
      </c>
      <c r="O2374" s="2" t="s">
        <v>60</v>
      </c>
      <c r="P2374" s="2" t="s">
        <v>1643</v>
      </c>
      <c r="Q2374" s="2" t="s">
        <v>503</v>
      </c>
      <c r="R2374" s="2" t="s">
        <v>128</v>
      </c>
      <c r="S2374" s="2" t="s">
        <v>383</v>
      </c>
      <c r="T2374" s="10">
        <v>97.29</v>
      </c>
      <c r="U2374" s="11">
        <v>1</v>
      </c>
      <c r="V2374" s="12">
        <f>T2374*U2374</f>
        <v>97.29</v>
      </c>
      <c r="W2374" s="13">
        <v>0</v>
      </c>
      <c r="X2374" s="12">
        <f>V2374-(V2374/(1+W2374))</f>
        <v>0</v>
      </c>
      <c r="Y2374" s="12">
        <f>V2374-X2374</f>
        <v>97.29</v>
      </c>
      <c r="Z2374" s="14">
        <v>240</v>
      </c>
      <c r="AA2374" s="2" t="str">
        <f>IF(V2374&gt;Z2374,"Yes","No")</f>
        <v>No</v>
      </c>
      <c r="AB2374" s="12">
        <f>V2374-Z2374</f>
        <v>-142.70999999999998</v>
      </c>
      <c r="AC2374" s="15" t="s">
        <v>130</v>
      </c>
      <c r="AD2374" s="15" t="s">
        <v>130</v>
      </c>
      <c r="AE2374" s="15" t="s">
        <v>350</v>
      </c>
      <c r="AF2374" s="12">
        <f>IF(AG2374="Rejected",0,IF(R2374="Corporate Card",0,V2374))</f>
        <v>0</v>
      </c>
      <c r="AG2374" s="15" t="s">
        <v>133</v>
      </c>
      <c r="AH2374" s="16">
        <v>45949</v>
      </c>
      <c r="AI2374" s="16">
        <v>45955</v>
      </c>
      <c r="AJ2374" s="16">
        <v>45965</v>
      </c>
      <c r="AK2374" s="17">
        <f>IF(AJ2374="","",AJ2374-AH2374)</f>
        <v>16</v>
      </c>
    </row>
    <row r="2375" spans="1:37">
      <c r="A2375" s="2" t="s">
        <v>2861</v>
      </c>
      <c r="B2375" s="2" t="s">
        <v>770</v>
      </c>
      <c r="C2375" s="2" t="s">
        <v>771</v>
      </c>
      <c r="D2375" s="2" t="s">
        <v>414</v>
      </c>
      <c r="E2375" s="2" t="s">
        <v>772</v>
      </c>
      <c r="F2375" s="2" t="s">
        <v>413</v>
      </c>
      <c r="G2375" s="2" t="s">
        <v>2840</v>
      </c>
      <c r="H2375" s="2" t="s">
        <v>122</v>
      </c>
      <c r="I2375" s="2" t="s">
        <v>601</v>
      </c>
      <c r="J2375" s="2" t="s">
        <v>381</v>
      </c>
      <c r="K2375" s="9">
        <v>45938</v>
      </c>
      <c r="L2375" s="9">
        <v>45940</v>
      </c>
      <c r="M2375" s="9">
        <v>45939</v>
      </c>
      <c r="N2375" s="2" t="s">
        <v>2764</v>
      </c>
      <c r="O2375" s="2" t="s">
        <v>59</v>
      </c>
      <c r="P2375" s="2" t="s">
        <v>301</v>
      </c>
      <c r="Q2375" s="2" t="s">
        <v>1000</v>
      </c>
      <c r="R2375" s="2" t="s">
        <v>149</v>
      </c>
      <c r="S2375" s="2" t="s">
        <v>383</v>
      </c>
      <c r="T2375" s="10">
        <v>141.03</v>
      </c>
      <c r="U2375" s="11">
        <v>1</v>
      </c>
      <c r="V2375" s="12">
        <f>T2375*U2375</f>
        <v>141.03</v>
      </c>
      <c r="W2375" s="13">
        <v>0</v>
      </c>
      <c r="X2375" s="12">
        <f>V2375-(V2375/(1+W2375))</f>
        <v>0</v>
      </c>
      <c r="Y2375" s="12">
        <f>V2375-X2375</f>
        <v>141.03</v>
      </c>
      <c r="Z2375" s="14">
        <v>150</v>
      </c>
      <c r="AA2375" s="2" t="str">
        <f>IF(V2375&gt;Z2375,"Yes","No")</f>
        <v>No</v>
      </c>
      <c r="AB2375" s="12">
        <f>V2375-Z2375</f>
        <v>-8.9699999999999989</v>
      </c>
      <c r="AC2375" s="15" t="s">
        <v>130</v>
      </c>
      <c r="AD2375" s="15" t="s">
        <v>130</v>
      </c>
      <c r="AE2375" s="15" t="s">
        <v>350</v>
      </c>
      <c r="AF2375" s="12">
        <f>IF(AG2375="Rejected",0,IF(R2375="Corporate Card",0,V2375))</f>
        <v>141.03</v>
      </c>
      <c r="AG2375" s="15" t="s">
        <v>133</v>
      </c>
      <c r="AH2375" s="16">
        <v>45949</v>
      </c>
      <c r="AI2375" s="16">
        <v>45955</v>
      </c>
      <c r="AJ2375" s="16">
        <v>45965</v>
      </c>
      <c r="AK2375" s="17">
        <f>IF(AJ2375="","",AJ2375-AH2375)</f>
        <v>16</v>
      </c>
    </row>
    <row r="2376" spans="1:37">
      <c r="A2376" s="2" t="s">
        <v>2862</v>
      </c>
      <c r="B2376" s="2" t="s">
        <v>770</v>
      </c>
      <c r="C2376" s="2" t="s">
        <v>771</v>
      </c>
      <c r="D2376" s="2" t="s">
        <v>414</v>
      </c>
      <c r="E2376" s="2" t="s">
        <v>772</v>
      </c>
      <c r="F2376" s="2" t="s">
        <v>413</v>
      </c>
      <c r="G2376" s="2" t="s">
        <v>2840</v>
      </c>
      <c r="H2376" s="2" t="s">
        <v>122</v>
      </c>
      <c r="I2376" s="2" t="s">
        <v>601</v>
      </c>
      <c r="J2376" s="2" t="s">
        <v>381</v>
      </c>
      <c r="K2376" s="9">
        <v>45938</v>
      </c>
      <c r="L2376" s="9">
        <v>45940</v>
      </c>
      <c r="M2376" s="9">
        <v>45939</v>
      </c>
      <c r="N2376" s="2" t="s">
        <v>2764</v>
      </c>
      <c r="O2376" s="2" t="s">
        <v>58</v>
      </c>
      <c r="P2376" s="2" t="s">
        <v>142</v>
      </c>
      <c r="Q2376" s="2" t="s">
        <v>296</v>
      </c>
      <c r="R2376" s="2" t="s">
        <v>137</v>
      </c>
      <c r="S2376" s="2" t="s">
        <v>383</v>
      </c>
      <c r="T2376" s="10">
        <v>72.680000000000007</v>
      </c>
      <c r="U2376" s="11">
        <v>1</v>
      </c>
      <c r="V2376" s="12">
        <f>T2376*U2376</f>
        <v>72.680000000000007</v>
      </c>
      <c r="W2376" s="13">
        <v>0</v>
      </c>
      <c r="X2376" s="12">
        <f>V2376-(V2376/(1+W2376))</f>
        <v>0</v>
      </c>
      <c r="Y2376" s="12">
        <f>V2376-X2376</f>
        <v>72.680000000000007</v>
      </c>
      <c r="Z2376" s="14">
        <v>60</v>
      </c>
      <c r="AA2376" s="2" t="str">
        <f>IF(V2376&gt;Z2376,"Yes","No")</f>
        <v>Yes</v>
      </c>
      <c r="AB2376" s="12">
        <f>V2376-Z2376</f>
        <v>12.680000000000007</v>
      </c>
      <c r="AC2376" s="15" t="s">
        <v>130</v>
      </c>
      <c r="AD2376" s="15" t="s">
        <v>130</v>
      </c>
      <c r="AE2376" s="15" t="s">
        <v>350</v>
      </c>
      <c r="AF2376" s="12">
        <f>IF(AG2376="Rejected",0,IF(R2376="Corporate Card",0,V2376))</f>
        <v>72.680000000000007</v>
      </c>
      <c r="AG2376" s="15" t="s">
        <v>133</v>
      </c>
      <c r="AH2376" s="16">
        <v>45949</v>
      </c>
      <c r="AI2376" s="16">
        <v>45955</v>
      </c>
      <c r="AJ2376" s="16">
        <v>45965</v>
      </c>
      <c r="AK2376" s="17">
        <f>IF(AJ2376="","",AJ2376-AH2376)</f>
        <v>16</v>
      </c>
    </row>
    <row r="2377" spans="1:37">
      <c r="A2377" s="2" t="s">
        <v>2863</v>
      </c>
      <c r="B2377" s="2" t="s">
        <v>770</v>
      </c>
      <c r="C2377" s="2" t="s">
        <v>771</v>
      </c>
      <c r="D2377" s="2" t="s">
        <v>414</v>
      </c>
      <c r="E2377" s="2" t="s">
        <v>772</v>
      </c>
      <c r="F2377" s="2" t="s">
        <v>413</v>
      </c>
      <c r="G2377" s="2" t="s">
        <v>2840</v>
      </c>
      <c r="H2377" s="2" t="s">
        <v>122</v>
      </c>
      <c r="I2377" s="2" t="s">
        <v>601</v>
      </c>
      <c r="J2377" s="2" t="s">
        <v>381</v>
      </c>
      <c r="K2377" s="9">
        <v>45938</v>
      </c>
      <c r="L2377" s="9">
        <v>45940</v>
      </c>
      <c r="M2377" s="9">
        <v>45939</v>
      </c>
      <c r="N2377" s="2" t="s">
        <v>2764</v>
      </c>
      <c r="O2377" s="2" t="s">
        <v>53</v>
      </c>
      <c r="P2377" s="2" t="s">
        <v>362</v>
      </c>
      <c r="Q2377" s="2" t="s">
        <v>146</v>
      </c>
      <c r="R2377" s="2" t="s">
        <v>137</v>
      </c>
      <c r="S2377" s="2" t="s">
        <v>383</v>
      </c>
      <c r="T2377" s="10">
        <v>309.11</v>
      </c>
      <c r="U2377" s="11">
        <v>1</v>
      </c>
      <c r="V2377" s="12">
        <f>T2377*U2377</f>
        <v>309.11</v>
      </c>
      <c r="W2377" s="13">
        <v>0</v>
      </c>
      <c r="X2377" s="12">
        <f>V2377-(V2377/(1+W2377))</f>
        <v>0</v>
      </c>
      <c r="Y2377" s="12">
        <f>V2377-X2377</f>
        <v>309.11</v>
      </c>
      <c r="Z2377" s="14">
        <v>560</v>
      </c>
      <c r="AA2377" s="2" t="str">
        <f>IF(V2377&gt;Z2377,"Yes","No")</f>
        <v>No</v>
      </c>
      <c r="AB2377" s="12">
        <f>V2377-Z2377</f>
        <v>-250.89</v>
      </c>
      <c r="AC2377" s="15" t="s">
        <v>130</v>
      </c>
      <c r="AD2377" s="15" t="s">
        <v>130</v>
      </c>
      <c r="AE2377" s="15" t="s">
        <v>350</v>
      </c>
      <c r="AF2377" s="12">
        <f>IF(AG2377="Rejected",0,IF(R2377="Corporate Card",0,V2377))</f>
        <v>309.11</v>
      </c>
      <c r="AG2377" s="15" t="s">
        <v>133</v>
      </c>
      <c r="AH2377" s="16">
        <v>45949</v>
      </c>
      <c r="AI2377" s="16">
        <v>45955</v>
      </c>
      <c r="AJ2377" s="16">
        <v>45965</v>
      </c>
      <c r="AK2377" s="17">
        <f>IF(AJ2377="","",AJ2377-AH2377)</f>
        <v>16</v>
      </c>
    </row>
    <row r="2378" spans="1:37">
      <c r="A2378" s="2" t="s">
        <v>2864</v>
      </c>
      <c r="B2378" s="2" t="s">
        <v>770</v>
      </c>
      <c r="C2378" s="2" t="s">
        <v>771</v>
      </c>
      <c r="D2378" s="2" t="s">
        <v>414</v>
      </c>
      <c r="E2378" s="2" t="s">
        <v>772</v>
      </c>
      <c r="F2378" s="2" t="s">
        <v>413</v>
      </c>
      <c r="G2378" s="2" t="s">
        <v>2840</v>
      </c>
      <c r="H2378" s="2" t="s">
        <v>122</v>
      </c>
      <c r="I2378" s="2" t="s">
        <v>601</v>
      </c>
      <c r="J2378" s="2" t="s">
        <v>381</v>
      </c>
      <c r="K2378" s="9">
        <v>45938</v>
      </c>
      <c r="L2378" s="9">
        <v>45940</v>
      </c>
      <c r="M2378" s="9">
        <v>45939</v>
      </c>
      <c r="N2378" s="2" t="s">
        <v>2764</v>
      </c>
      <c r="O2378" s="2" t="s">
        <v>54</v>
      </c>
      <c r="P2378" s="2" t="s">
        <v>139</v>
      </c>
      <c r="Q2378" s="2" t="s">
        <v>148</v>
      </c>
      <c r="R2378" s="2" t="s">
        <v>149</v>
      </c>
      <c r="S2378" s="2" t="s">
        <v>383</v>
      </c>
      <c r="T2378" s="10">
        <v>11.24</v>
      </c>
      <c r="U2378" s="11">
        <v>1</v>
      </c>
      <c r="V2378" s="12">
        <f>T2378*U2378</f>
        <v>11.24</v>
      </c>
      <c r="W2378" s="13">
        <v>0</v>
      </c>
      <c r="X2378" s="12">
        <f>V2378-(V2378/(1+W2378))</f>
        <v>0</v>
      </c>
      <c r="Y2378" s="12">
        <f>V2378-X2378</f>
        <v>11.24</v>
      </c>
      <c r="Z2378" s="14">
        <v>25</v>
      </c>
      <c r="AA2378" s="2" t="str">
        <f>IF(V2378&gt;Z2378,"Yes","No")</f>
        <v>No</v>
      </c>
      <c r="AB2378" s="12">
        <f>V2378-Z2378</f>
        <v>-13.76</v>
      </c>
      <c r="AC2378" s="15" t="s">
        <v>130</v>
      </c>
      <c r="AD2378" s="15" t="s">
        <v>130</v>
      </c>
      <c r="AE2378" s="15" t="s">
        <v>350</v>
      </c>
      <c r="AF2378" s="12">
        <f>IF(AG2378="Rejected",0,IF(R2378="Corporate Card",0,V2378))</f>
        <v>11.24</v>
      </c>
      <c r="AG2378" s="15" t="s">
        <v>133</v>
      </c>
      <c r="AH2378" s="16">
        <v>45949</v>
      </c>
      <c r="AI2378" s="16">
        <v>45955</v>
      </c>
      <c r="AJ2378" s="16">
        <v>45965</v>
      </c>
      <c r="AK2378" s="17">
        <f>IF(AJ2378="","",AJ2378-AH2378)</f>
        <v>16</v>
      </c>
    </row>
    <row r="2379" spans="1:37">
      <c r="A2379" s="2" t="s">
        <v>2865</v>
      </c>
      <c r="B2379" s="2" t="s">
        <v>770</v>
      </c>
      <c r="C2379" s="2" t="s">
        <v>771</v>
      </c>
      <c r="D2379" s="2" t="s">
        <v>414</v>
      </c>
      <c r="E2379" s="2" t="s">
        <v>772</v>
      </c>
      <c r="F2379" s="2" t="s">
        <v>413</v>
      </c>
      <c r="G2379" s="2" t="s">
        <v>2840</v>
      </c>
      <c r="H2379" s="2" t="s">
        <v>122</v>
      </c>
      <c r="I2379" s="2" t="s">
        <v>601</v>
      </c>
      <c r="J2379" s="2" t="s">
        <v>381</v>
      </c>
      <c r="K2379" s="9">
        <v>45938</v>
      </c>
      <c r="L2379" s="9">
        <v>45940</v>
      </c>
      <c r="M2379" s="9">
        <v>45939</v>
      </c>
      <c r="N2379" s="2" t="s">
        <v>2764</v>
      </c>
      <c r="O2379" s="2" t="s">
        <v>56</v>
      </c>
      <c r="P2379" s="2" t="s">
        <v>231</v>
      </c>
      <c r="Q2379" s="2" t="s">
        <v>227</v>
      </c>
      <c r="R2379" s="2" t="s">
        <v>128</v>
      </c>
      <c r="S2379" s="2" t="s">
        <v>383</v>
      </c>
      <c r="T2379" s="10">
        <v>65.56</v>
      </c>
      <c r="U2379" s="11">
        <v>1</v>
      </c>
      <c r="V2379" s="12">
        <f>T2379*U2379</f>
        <v>65.56</v>
      </c>
      <c r="W2379" s="13">
        <v>0</v>
      </c>
      <c r="X2379" s="12">
        <f>V2379-(V2379/(1+W2379))</f>
        <v>0</v>
      </c>
      <c r="Y2379" s="12">
        <f>V2379-X2379</f>
        <v>65.56</v>
      </c>
      <c r="Z2379" s="14">
        <v>75</v>
      </c>
      <c r="AA2379" s="2" t="str">
        <f>IF(V2379&gt;Z2379,"Yes","No")</f>
        <v>No</v>
      </c>
      <c r="AB2379" s="12">
        <f>V2379-Z2379</f>
        <v>-9.4399999999999977</v>
      </c>
      <c r="AC2379" s="15" t="s">
        <v>130</v>
      </c>
      <c r="AD2379" s="15" t="s">
        <v>130</v>
      </c>
      <c r="AE2379" s="15" t="s">
        <v>350</v>
      </c>
      <c r="AF2379" s="12">
        <f>IF(AG2379="Rejected",0,IF(R2379="Corporate Card",0,V2379))</f>
        <v>0</v>
      </c>
      <c r="AG2379" s="15" t="s">
        <v>133</v>
      </c>
      <c r="AH2379" s="16">
        <v>45949</v>
      </c>
      <c r="AI2379" s="16">
        <v>45955</v>
      </c>
      <c r="AJ2379" s="16">
        <v>45965</v>
      </c>
      <c r="AK2379" s="17">
        <f>IF(AJ2379="","",AJ2379-AH2379)</f>
        <v>16</v>
      </c>
    </row>
    <row r="2380" spans="1:37">
      <c r="A2380" s="2" t="s">
        <v>2866</v>
      </c>
      <c r="B2380" s="2" t="s">
        <v>770</v>
      </c>
      <c r="C2380" s="2" t="s">
        <v>771</v>
      </c>
      <c r="D2380" s="2" t="s">
        <v>414</v>
      </c>
      <c r="E2380" s="2" t="s">
        <v>772</v>
      </c>
      <c r="F2380" s="2" t="s">
        <v>413</v>
      </c>
      <c r="G2380" s="2" t="s">
        <v>2840</v>
      </c>
      <c r="H2380" s="2" t="s">
        <v>122</v>
      </c>
      <c r="I2380" s="2" t="s">
        <v>601</v>
      </c>
      <c r="J2380" s="2" t="s">
        <v>381</v>
      </c>
      <c r="K2380" s="9">
        <v>45938</v>
      </c>
      <c r="L2380" s="9">
        <v>45940</v>
      </c>
      <c r="M2380" s="9">
        <v>45939</v>
      </c>
      <c r="N2380" s="2" t="s">
        <v>2764</v>
      </c>
      <c r="O2380" s="2" t="s">
        <v>55</v>
      </c>
      <c r="P2380" s="2" t="s">
        <v>139</v>
      </c>
      <c r="Q2380" s="2" t="s">
        <v>217</v>
      </c>
      <c r="R2380" s="2" t="s">
        <v>128</v>
      </c>
      <c r="S2380" s="2" t="s">
        <v>383</v>
      </c>
      <c r="T2380" s="10">
        <v>23.7</v>
      </c>
      <c r="U2380" s="11">
        <v>1</v>
      </c>
      <c r="V2380" s="12">
        <f>T2380*U2380</f>
        <v>23.7</v>
      </c>
      <c r="W2380" s="13">
        <v>0</v>
      </c>
      <c r="X2380" s="12">
        <f>V2380-(V2380/(1+W2380))</f>
        <v>0</v>
      </c>
      <c r="Y2380" s="12">
        <f>V2380-X2380</f>
        <v>23.7</v>
      </c>
      <c r="Z2380" s="14">
        <v>35</v>
      </c>
      <c r="AA2380" s="2" t="str">
        <f>IF(V2380&gt;Z2380,"Yes","No")</f>
        <v>No</v>
      </c>
      <c r="AB2380" s="12">
        <f>V2380-Z2380</f>
        <v>-11.3</v>
      </c>
      <c r="AC2380" s="15" t="s">
        <v>130</v>
      </c>
      <c r="AD2380" s="15" t="s">
        <v>130</v>
      </c>
      <c r="AE2380" s="15" t="s">
        <v>350</v>
      </c>
      <c r="AF2380" s="12">
        <f>IF(AG2380="Rejected",0,IF(R2380="Corporate Card",0,V2380))</f>
        <v>0</v>
      </c>
      <c r="AG2380" s="15" t="s">
        <v>133</v>
      </c>
      <c r="AH2380" s="16">
        <v>45949</v>
      </c>
      <c r="AI2380" s="16">
        <v>45955</v>
      </c>
      <c r="AJ2380" s="16">
        <v>45965</v>
      </c>
      <c r="AK2380" s="17">
        <f>IF(AJ2380="","",AJ2380-AH2380)</f>
        <v>16</v>
      </c>
    </row>
    <row r="2381" spans="1:37">
      <c r="A2381" s="2" t="s">
        <v>2867</v>
      </c>
      <c r="B2381" s="2" t="s">
        <v>412</v>
      </c>
      <c r="C2381" s="2" t="s">
        <v>413</v>
      </c>
      <c r="D2381" s="2" t="s">
        <v>414</v>
      </c>
      <c r="E2381" s="2" t="s">
        <v>415</v>
      </c>
      <c r="F2381" s="2" t="s">
        <v>313</v>
      </c>
      <c r="G2381" s="2" t="s">
        <v>2789</v>
      </c>
      <c r="H2381" s="2" t="s">
        <v>193</v>
      </c>
      <c r="I2381" s="2" t="s">
        <v>651</v>
      </c>
      <c r="J2381" s="2" t="s">
        <v>652</v>
      </c>
      <c r="K2381" s="9">
        <v>45934</v>
      </c>
      <c r="L2381" s="9">
        <v>45940</v>
      </c>
      <c r="M2381" s="9">
        <v>45939</v>
      </c>
      <c r="N2381" s="2" t="s">
        <v>2764</v>
      </c>
      <c r="O2381" s="2" t="s">
        <v>58</v>
      </c>
      <c r="P2381" s="2" t="s">
        <v>142</v>
      </c>
      <c r="Q2381" s="2" t="s">
        <v>143</v>
      </c>
      <c r="R2381" s="2" t="s">
        <v>128</v>
      </c>
      <c r="S2381" s="2" t="s">
        <v>654</v>
      </c>
      <c r="T2381" s="10">
        <v>82.34</v>
      </c>
      <c r="U2381" s="11">
        <v>0.72799999999999998</v>
      </c>
      <c r="V2381" s="12">
        <f>T2381*U2381</f>
        <v>59.943519999999999</v>
      </c>
      <c r="W2381" s="13">
        <v>0.13</v>
      </c>
      <c r="X2381" s="12">
        <f>V2381-(V2381/(1+W2381))</f>
        <v>6.8961571681415847</v>
      </c>
      <c r="Y2381" s="12">
        <f>V2381-X2381</f>
        <v>53.047362831858415</v>
      </c>
      <c r="Z2381" s="14">
        <v>60</v>
      </c>
      <c r="AA2381" s="2" t="str">
        <f>IF(V2381&gt;Z2381,"Yes","No")</f>
        <v>No</v>
      </c>
      <c r="AB2381" s="12">
        <f>V2381-Z2381</f>
        <v>-5.648000000000053E-2</v>
      </c>
      <c r="AC2381" s="15" t="s">
        <v>130</v>
      </c>
      <c r="AD2381" s="15" t="s">
        <v>131</v>
      </c>
      <c r="AE2381" s="15" t="s">
        <v>350</v>
      </c>
      <c r="AF2381" s="12">
        <f>IF(AG2381="Rejected",0,IF(R2381="Corporate Card",0,V2381))</f>
        <v>0</v>
      </c>
      <c r="AG2381" s="15" t="s">
        <v>133</v>
      </c>
      <c r="AH2381" s="16">
        <v>45951</v>
      </c>
      <c r="AI2381" s="16">
        <v>45959</v>
      </c>
      <c r="AJ2381" s="16">
        <v>45961</v>
      </c>
      <c r="AK2381" s="17">
        <f>IF(AJ2381="","",AJ2381-AH2381)</f>
        <v>10</v>
      </c>
    </row>
    <row r="2382" spans="1:37">
      <c r="A2382" s="2" t="s">
        <v>2868</v>
      </c>
      <c r="B2382" s="2" t="s">
        <v>412</v>
      </c>
      <c r="C2382" s="2" t="s">
        <v>413</v>
      </c>
      <c r="D2382" s="2" t="s">
        <v>414</v>
      </c>
      <c r="E2382" s="2" t="s">
        <v>415</v>
      </c>
      <c r="F2382" s="2" t="s">
        <v>313</v>
      </c>
      <c r="G2382" s="2" t="s">
        <v>2789</v>
      </c>
      <c r="H2382" s="2" t="s">
        <v>193</v>
      </c>
      <c r="I2382" s="2" t="s">
        <v>651</v>
      </c>
      <c r="J2382" s="2" t="s">
        <v>652</v>
      </c>
      <c r="K2382" s="9">
        <v>45934</v>
      </c>
      <c r="L2382" s="9">
        <v>45940</v>
      </c>
      <c r="M2382" s="9">
        <v>45939</v>
      </c>
      <c r="N2382" s="2" t="s">
        <v>2764</v>
      </c>
      <c r="O2382" s="2" t="s">
        <v>54</v>
      </c>
      <c r="P2382" s="2" t="s">
        <v>139</v>
      </c>
      <c r="Q2382" s="2" t="s">
        <v>163</v>
      </c>
      <c r="R2382" s="2" t="s">
        <v>128</v>
      </c>
      <c r="S2382" s="2" t="s">
        <v>654</v>
      </c>
      <c r="T2382" s="10">
        <v>18.84</v>
      </c>
      <c r="U2382" s="11">
        <v>0.72799999999999998</v>
      </c>
      <c r="V2382" s="12">
        <f>T2382*U2382</f>
        <v>13.71552</v>
      </c>
      <c r="W2382" s="13">
        <v>0.13</v>
      </c>
      <c r="X2382" s="12">
        <f>V2382-(V2382/(1+W2382))</f>
        <v>1.5778916814159274</v>
      </c>
      <c r="Y2382" s="12">
        <f>V2382-X2382</f>
        <v>12.137628318584072</v>
      </c>
      <c r="Z2382" s="14">
        <v>25</v>
      </c>
      <c r="AA2382" s="2" t="str">
        <f>IF(V2382&gt;Z2382,"Yes","No")</f>
        <v>No</v>
      </c>
      <c r="AB2382" s="12">
        <f>V2382-Z2382</f>
        <v>-11.28448</v>
      </c>
      <c r="AC2382" s="15" t="s">
        <v>130</v>
      </c>
      <c r="AD2382" s="15" t="s">
        <v>131</v>
      </c>
      <c r="AE2382" s="15" t="s">
        <v>350</v>
      </c>
      <c r="AF2382" s="12">
        <f>IF(AG2382="Rejected",0,IF(R2382="Corporate Card",0,V2382))</f>
        <v>0</v>
      </c>
      <c r="AG2382" s="15" t="s">
        <v>133</v>
      </c>
      <c r="AH2382" s="16">
        <v>45951</v>
      </c>
      <c r="AI2382" s="16">
        <v>45959</v>
      </c>
      <c r="AJ2382" s="16">
        <v>45961</v>
      </c>
      <c r="AK2382" s="17">
        <f>IF(AJ2382="","",AJ2382-AH2382)</f>
        <v>10</v>
      </c>
    </row>
    <row r="2383" spans="1:37">
      <c r="A2383" s="2" t="s">
        <v>2869</v>
      </c>
      <c r="B2383" s="2" t="s">
        <v>412</v>
      </c>
      <c r="C2383" s="2" t="s">
        <v>413</v>
      </c>
      <c r="D2383" s="2" t="s">
        <v>414</v>
      </c>
      <c r="E2383" s="2" t="s">
        <v>415</v>
      </c>
      <c r="F2383" s="2" t="s">
        <v>313</v>
      </c>
      <c r="G2383" s="2" t="s">
        <v>2789</v>
      </c>
      <c r="H2383" s="2" t="s">
        <v>193</v>
      </c>
      <c r="I2383" s="2" t="s">
        <v>651</v>
      </c>
      <c r="J2383" s="2" t="s">
        <v>652</v>
      </c>
      <c r="K2383" s="9">
        <v>45934</v>
      </c>
      <c r="L2383" s="9">
        <v>45940</v>
      </c>
      <c r="M2383" s="9">
        <v>45939</v>
      </c>
      <c r="N2383" s="2" t="s">
        <v>2764</v>
      </c>
      <c r="O2383" s="2" t="s">
        <v>56</v>
      </c>
      <c r="P2383" s="2" t="s">
        <v>165</v>
      </c>
      <c r="Q2383" s="2" t="s">
        <v>166</v>
      </c>
      <c r="R2383" s="2" t="s">
        <v>137</v>
      </c>
      <c r="S2383" s="2" t="s">
        <v>654</v>
      </c>
      <c r="T2383" s="10">
        <v>42.92</v>
      </c>
      <c r="U2383" s="11">
        <v>0.72799999999999998</v>
      </c>
      <c r="V2383" s="12">
        <f>T2383*U2383</f>
        <v>31.245760000000001</v>
      </c>
      <c r="W2383" s="13">
        <v>0.13</v>
      </c>
      <c r="X2383" s="12">
        <f>V2383-(V2383/(1+W2383))</f>
        <v>3.5946449557522087</v>
      </c>
      <c r="Y2383" s="12">
        <f>V2383-X2383</f>
        <v>27.651115044247792</v>
      </c>
      <c r="Z2383" s="14">
        <v>75</v>
      </c>
      <c r="AA2383" s="2" t="str">
        <f>IF(V2383&gt;Z2383,"Yes","No")</f>
        <v>No</v>
      </c>
      <c r="AB2383" s="12">
        <f>V2383-Z2383</f>
        <v>-43.754239999999996</v>
      </c>
      <c r="AC2383" s="15" t="s">
        <v>130</v>
      </c>
      <c r="AD2383" s="15" t="s">
        <v>131</v>
      </c>
      <c r="AE2383" s="15" t="s">
        <v>350</v>
      </c>
      <c r="AF2383" s="12">
        <f>IF(AG2383="Rejected",0,IF(R2383="Corporate Card",0,V2383))</f>
        <v>31.245760000000001</v>
      </c>
      <c r="AG2383" s="15" t="s">
        <v>133</v>
      </c>
      <c r="AH2383" s="16">
        <v>45951</v>
      </c>
      <c r="AI2383" s="16">
        <v>45959</v>
      </c>
      <c r="AJ2383" s="16">
        <v>45961</v>
      </c>
      <c r="AK2383" s="17">
        <f>IF(AJ2383="","",AJ2383-AH2383)</f>
        <v>10</v>
      </c>
    </row>
    <row r="2384" spans="1:37">
      <c r="A2384" s="2" t="s">
        <v>2870</v>
      </c>
      <c r="B2384" s="2" t="s">
        <v>412</v>
      </c>
      <c r="C2384" s="2" t="s">
        <v>413</v>
      </c>
      <c r="D2384" s="2" t="s">
        <v>414</v>
      </c>
      <c r="E2384" s="2" t="s">
        <v>415</v>
      </c>
      <c r="F2384" s="2" t="s">
        <v>313</v>
      </c>
      <c r="G2384" s="2" t="s">
        <v>2789</v>
      </c>
      <c r="H2384" s="2" t="s">
        <v>193</v>
      </c>
      <c r="I2384" s="2" t="s">
        <v>651</v>
      </c>
      <c r="J2384" s="2" t="s">
        <v>652</v>
      </c>
      <c r="K2384" s="9">
        <v>45934</v>
      </c>
      <c r="L2384" s="9">
        <v>45940</v>
      </c>
      <c r="M2384" s="9">
        <v>45939</v>
      </c>
      <c r="N2384" s="2" t="s">
        <v>2764</v>
      </c>
      <c r="O2384" s="2" t="s">
        <v>55</v>
      </c>
      <c r="P2384" s="2" t="s">
        <v>139</v>
      </c>
      <c r="Q2384" s="2" t="s">
        <v>217</v>
      </c>
      <c r="R2384" s="2" t="s">
        <v>128</v>
      </c>
      <c r="S2384" s="2" t="s">
        <v>654</v>
      </c>
      <c r="T2384" s="10">
        <v>24.27</v>
      </c>
      <c r="U2384" s="11">
        <v>0.72799999999999998</v>
      </c>
      <c r="V2384" s="12">
        <f>T2384*U2384</f>
        <v>17.668559999999999</v>
      </c>
      <c r="W2384" s="13">
        <v>0.13</v>
      </c>
      <c r="X2384" s="12">
        <f>V2384-(V2384/(1+W2384))</f>
        <v>2.0326661946902647</v>
      </c>
      <c r="Y2384" s="12">
        <f>V2384-X2384</f>
        <v>15.635893805309735</v>
      </c>
      <c r="Z2384" s="14">
        <v>35</v>
      </c>
      <c r="AA2384" s="2" t="str">
        <f>IF(V2384&gt;Z2384,"Yes","No")</f>
        <v>No</v>
      </c>
      <c r="AB2384" s="12">
        <f>V2384-Z2384</f>
        <v>-17.331440000000001</v>
      </c>
      <c r="AC2384" s="15" t="s">
        <v>130</v>
      </c>
      <c r="AD2384" s="15" t="s">
        <v>131</v>
      </c>
      <c r="AE2384" s="15" t="s">
        <v>350</v>
      </c>
      <c r="AF2384" s="12">
        <f>IF(AG2384="Rejected",0,IF(R2384="Corporate Card",0,V2384))</f>
        <v>0</v>
      </c>
      <c r="AG2384" s="15" t="s">
        <v>133</v>
      </c>
      <c r="AH2384" s="16">
        <v>45951</v>
      </c>
      <c r="AI2384" s="16">
        <v>45959</v>
      </c>
      <c r="AJ2384" s="16">
        <v>45961</v>
      </c>
      <c r="AK2384" s="17">
        <f>IF(AJ2384="","",AJ2384-AH2384)</f>
        <v>10</v>
      </c>
    </row>
    <row r="2385" spans="1:37">
      <c r="A2385" s="2" t="s">
        <v>2871</v>
      </c>
      <c r="B2385" s="2" t="s">
        <v>770</v>
      </c>
      <c r="C2385" s="2" t="s">
        <v>771</v>
      </c>
      <c r="D2385" s="2" t="s">
        <v>414</v>
      </c>
      <c r="E2385" s="2" t="s">
        <v>772</v>
      </c>
      <c r="F2385" s="2" t="s">
        <v>413</v>
      </c>
      <c r="G2385" s="2" t="s">
        <v>2840</v>
      </c>
      <c r="H2385" s="2" t="s">
        <v>122</v>
      </c>
      <c r="I2385" s="2" t="s">
        <v>601</v>
      </c>
      <c r="J2385" s="2" t="s">
        <v>381</v>
      </c>
      <c r="K2385" s="9">
        <v>45938</v>
      </c>
      <c r="L2385" s="9">
        <v>45940</v>
      </c>
      <c r="M2385" s="9">
        <v>45940</v>
      </c>
      <c r="N2385" s="2" t="s">
        <v>2764</v>
      </c>
      <c r="O2385" s="2" t="s">
        <v>61</v>
      </c>
      <c r="P2385" s="2" t="s">
        <v>528</v>
      </c>
      <c r="Q2385" s="2" t="s">
        <v>529</v>
      </c>
      <c r="R2385" s="2" t="s">
        <v>137</v>
      </c>
      <c r="S2385" s="2" t="s">
        <v>383</v>
      </c>
      <c r="T2385" s="10">
        <v>87.96</v>
      </c>
      <c r="U2385" s="11">
        <v>1</v>
      </c>
      <c r="V2385" s="12">
        <f>T2385*U2385</f>
        <v>87.96</v>
      </c>
      <c r="W2385" s="13">
        <v>0</v>
      </c>
      <c r="X2385" s="12">
        <f>V2385-(V2385/(1+W2385))</f>
        <v>0</v>
      </c>
      <c r="Y2385" s="12">
        <f>V2385-X2385</f>
        <v>87.96</v>
      </c>
      <c r="Z2385" s="14">
        <v>90</v>
      </c>
      <c r="AA2385" s="2" t="str">
        <f>IF(V2385&gt;Z2385,"Yes","No")</f>
        <v>No</v>
      </c>
      <c r="AB2385" s="12">
        <f>V2385-Z2385</f>
        <v>-2.0400000000000063</v>
      </c>
      <c r="AC2385" s="15" t="s">
        <v>131</v>
      </c>
      <c r="AD2385" s="15" t="s">
        <v>130</v>
      </c>
      <c r="AE2385" s="15" t="s">
        <v>350</v>
      </c>
      <c r="AF2385" s="12">
        <f>IF(AG2385="Rejected",0,IF(R2385="Corporate Card",0,V2385))</f>
        <v>87.96</v>
      </c>
      <c r="AG2385" s="15" t="s">
        <v>133</v>
      </c>
      <c r="AH2385" s="16">
        <v>45949</v>
      </c>
      <c r="AI2385" s="16">
        <v>45955</v>
      </c>
      <c r="AJ2385" s="16">
        <v>45965</v>
      </c>
      <c r="AK2385" s="17">
        <f>IF(AJ2385="","",AJ2385-AH2385)</f>
        <v>16</v>
      </c>
    </row>
    <row r="2386" spans="1:37">
      <c r="A2386" s="2" t="s">
        <v>2872</v>
      </c>
      <c r="B2386" s="2" t="s">
        <v>770</v>
      </c>
      <c r="C2386" s="2" t="s">
        <v>771</v>
      </c>
      <c r="D2386" s="2" t="s">
        <v>414</v>
      </c>
      <c r="E2386" s="2" t="s">
        <v>772</v>
      </c>
      <c r="F2386" s="2" t="s">
        <v>413</v>
      </c>
      <c r="G2386" s="2" t="s">
        <v>2840</v>
      </c>
      <c r="H2386" s="2" t="s">
        <v>122</v>
      </c>
      <c r="I2386" s="2" t="s">
        <v>601</v>
      </c>
      <c r="J2386" s="2" t="s">
        <v>381</v>
      </c>
      <c r="K2386" s="9">
        <v>45938</v>
      </c>
      <c r="L2386" s="9">
        <v>45940</v>
      </c>
      <c r="M2386" s="9">
        <v>45940</v>
      </c>
      <c r="N2386" s="2" t="s">
        <v>2764</v>
      </c>
      <c r="O2386" s="2" t="s">
        <v>54</v>
      </c>
      <c r="P2386" s="2" t="s">
        <v>139</v>
      </c>
      <c r="Q2386" s="2" t="s">
        <v>148</v>
      </c>
      <c r="R2386" s="2" t="s">
        <v>128</v>
      </c>
      <c r="S2386" s="2" t="s">
        <v>383</v>
      </c>
      <c r="T2386" s="10">
        <v>23.62</v>
      </c>
      <c r="U2386" s="11">
        <v>1</v>
      </c>
      <c r="V2386" s="12">
        <f>T2386*U2386</f>
        <v>23.62</v>
      </c>
      <c r="W2386" s="13">
        <v>0</v>
      </c>
      <c r="X2386" s="12">
        <f>V2386-(V2386/(1+W2386))</f>
        <v>0</v>
      </c>
      <c r="Y2386" s="12">
        <f>V2386-X2386</f>
        <v>23.62</v>
      </c>
      <c r="Z2386" s="14">
        <v>25</v>
      </c>
      <c r="AA2386" s="2" t="str">
        <f>IF(V2386&gt;Z2386,"Yes","No")</f>
        <v>No</v>
      </c>
      <c r="AB2386" s="12">
        <f>V2386-Z2386</f>
        <v>-1.379999999999999</v>
      </c>
      <c r="AC2386" s="15" t="s">
        <v>130</v>
      </c>
      <c r="AD2386" s="15" t="s">
        <v>130</v>
      </c>
      <c r="AE2386" s="15" t="s">
        <v>350</v>
      </c>
      <c r="AF2386" s="12">
        <f>IF(AG2386="Rejected",0,IF(R2386="Corporate Card",0,V2386))</f>
        <v>0</v>
      </c>
      <c r="AG2386" s="15" t="s">
        <v>133</v>
      </c>
      <c r="AH2386" s="16">
        <v>45949</v>
      </c>
      <c r="AI2386" s="16">
        <v>45955</v>
      </c>
      <c r="AJ2386" s="16">
        <v>45965</v>
      </c>
      <c r="AK2386" s="17">
        <f>IF(AJ2386="","",AJ2386-AH2386)</f>
        <v>16</v>
      </c>
    </row>
    <row r="2387" spans="1:37">
      <c r="A2387" s="2" t="s">
        <v>2873</v>
      </c>
      <c r="B2387" s="2" t="s">
        <v>770</v>
      </c>
      <c r="C2387" s="2" t="s">
        <v>771</v>
      </c>
      <c r="D2387" s="2" t="s">
        <v>414</v>
      </c>
      <c r="E2387" s="2" t="s">
        <v>772</v>
      </c>
      <c r="F2387" s="2" t="s">
        <v>413</v>
      </c>
      <c r="G2387" s="2" t="s">
        <v>2840</v>
      </c>
      <c r="H2387" s="2" t="s">
        <v>122</v>
      </c>
      <c r="I2387" s="2" t="s">
        <v>601</v>
      </c>
      <c r="J2387" s="2" t="s">
        <v>381</v>
      </c>
      <c r="K2387" s="9">
        <v>45938</v>
      </c>
      <c r="L2387" s="9">
        <v>45940</v>
      </c>
      <c r="M2387" s="9">
        <v>45940</v>
      </c>
      <c r="N2387" s="2" t="s">
        <v>2764</v>
      </c>
      <c r="O2387" s="2" t="s">
        <v>56</v>
      </c>
      <c r="P2387" s="2" t="s">
        <v>231</v>
      </c>
      <c r="Q2387" s="2" t="s">
        <v>166</v>
      </c>
      <c r="R2387" s="2" t="s">
        <v>128</v>
      </c>
      <c r="S2387" s="2" t="s">
        <v>383</v>
      </c>
      <c r="T2387" s="10">
        <v>44.63</v>
      </c>
      <c r="U2387" s="11">
        <v>1</v>
      </c>
      <c r="V2387" s="12">
        <f>T2387*U2387</f>
        <v>44.63</v>
      </c>
      <c r="W2387" s="13">
        <v>0</v>
      </c>
      <c r="X2387" s="12">
        <f>V2387-(V2387/(1+W2387))</f>
        <v>0</v>
      </c>
      <c r="Y2387" s="12">
        <f>V2387-X2387</f>
        <v>44.63</v>
      </c>
      <c r="Z2387" s="14">
        <v>75</v>
      </c>
      <c r="AA2387" s="2" t="str">
        <f>IF(V2387&gt;Z2387,"Yes","No")</f>
        <v>No</v>
      </c>
      <c r="AB2387" s="12">
        <f>V2387-Z2387</f>
        <v>-30.369999999999997</v>
      </c>
      <c r="AC2387" s="15" t="s">
        <v>130</v>
      </c>
      <c r="AD2387" s="15" t="s">
        <v>130</v>
      </c>
      <c r="AE2387" s="15" t="s">
        <v>350</v>
      </c>
      <c r="AF2387" s="12">
        <f>IF(AG2387="Rejected",0,IF(R2387="Corporate Card",0,V2387))</f>
        <v>0</v>
      </c>
      <c r="AG2387" s="15" t="s">
        <v>133</v>
      </c>
      <c r="AH2387" s="16">
        <v>45949</v>
      </c>
      <c r="AI2387" s="16">
        <v>45955</v>
      </c>
      <c r="AJ2387" s="16">
        <v>45965</v>
      </c>
      <c r="AK2387" s="17">
        <f>IF(AJ2387="","",AJ2387-AH2387)</f>
        <v>16</v>
      </c>
    </row>
    <row r="2388" spans="1:37">
      <c r="A2388" s="2" t="s">
        <v>2874</v>
      </c>
      <c r="B2388" s="2" t="s">
        <v>770</v>
      </c>
      <c r="C2388" s="2" t="s">
        <v>771</v>
      </c>
      <c r="D2388" s="2" t="s">
        <v>414</v>
      </c>
      <c r="E2388" s="2" t="s">
        <v>772</v>
      </c>
      <c r="F2388" s="2" t="s">
        <v>413</v>
      </c>
      <c r="G2388" s="2" t="s">
        <v>2840</v>
      </c>
      <c r="H2388" s="2" t="s">
        <v>122</v>
      </c>
      <c r="I2388" s="2" t="s">
        <v>601</v>
      </c>
      <c r="J2388" s="2" t="s">
        <v>381</v>
      </c>
      <c r="K2388" s="9">
        <v>45938</v>
      </c>
      <c r="L2388" s="9">
        <v>45940</v>
      </c>
      <c r="M2388" s="9">
        <v>45940</v>
      </c>
      <c r="N2388" s="2" t="s">
        <v>2764</v>
      </c>
      <c r="O2388" s="2" t="s">
        <v>55</v>
      </c>
      <c r="P2388" s="2" t="s">
        <v>139</v>
      </c>
      <c r="Q2388" s="2" t="s">
        <v>154</v>
      </c>
      <c r="R2388" s="2" t="s">
        <v>128</v>
      </c>
      <c r="S2388" s="2" t="s">
        <v>383</v>
      </c>
      <c r="T2388" s="10">
        <v>16.37</v>
      </c>
      <c r="U2388" s="11">
        <v>1</v>
      </c>
      <c r="V2388" s="12">
        <f>T2388*U2388</f>
        <v>16.37</v>
      </c>
      <c r="W2388" s="13">
        <v>0</v>
      </c>
      <c r="X2388" s="12">
        <f>V2388-(V2388/(1+W2388))</f>
        <v>0</v>
      </c>
      <c r="Y2388" s="12">
        <f>V2388-X2388</f>
        <v>16.37</v>
      </c>
      <c r="Z2388" s="14">
        <v>35</v>
      </c>
      <c r="AA2388" s="2" t="str">
        <f>IF(V2388&gt;Z2388,"Yes","No")</f>
        <v>No</v>
      </c>
      <c r="AB2388" s="12">
        <f>V2388-Z2388</f>
        <v>-18.63</v>
      </c>
      <c r="AC2388" s="15" t="s">
        <v>130</v>
      </c>
      <c r="AD2388" s="15" t="s">
        <v>130</v>
      </c>
      <c r="AE2388" s="15" t="s">
        <v>350</v>
      </c>
      <c r="AF2388" s="12">
        <f>IF(AG2388="Rejected",0,IF(R2388="Corporate Card",0,V2388))</f>
        <v>0</v>
      </c>
      <c r="AG2388" s="15" t="s">
        <v>133</v>
      </c>
      <c r="AH2388" s="16">
        <v>45949</v>
      </c>
      <c r="AI2388" s="16">
        <v>45955</v>
      </c>
      <c r="AJ2388" s="16">
        <v>45965</v>
      </c>
      <c r="AK2388" s="17">
        <f>IF(AJ2388="","",AJ2388-AH2388)</f>
        <v>16</v>
      </c>
    </row>
    <row r="2389" spans="1:37">
      <c r="A2389" s="2" t="s">
        <v>2875</v>
      </c>
      <c r="B2389" s="2" t="s">
        <v>412</v>
      </c>
      <c r="C2389" s="2" t="s">
        <v>413</v>
      </c>
      <c r="D2389" s="2" t="s">
        <v>414</v>
      </c>
      <c r="E2389" s="2" t="s">
        <v>415</v>
      </c>
      <c r="F2389" s="2" t="s">
        <v>313</v>
      </c>
      <c r="G2389" s="2" t="s">
        <v>2789</v>
      </c>
      <c r="H2389" s="2" t="s">
        <v>193</v>
      </c>
      <c r="I2389" s="2" t="s">
        <v>651</v>
      </c>
      <c r="J2389" s="2" t="s">
        <v>652</v>
      </c>
      <c r="K2389" s="9">
        <v>45934</v>
      </c>
      <c r="L2389" s="9">
        <v>45940</v>
      </c>
      <c r="M2389" s="9">
        <v>45940</v>
      </c>
      <c r="N2389" s="2" t="s">
        <v>2764</v>
      </c>
      <c r="O2389" s="2" t="s">
        <v>54</v>
      </c>
      <c r="P2389" s="2" t="s">
        <v>139</v>
      </c>
      <c r="Q2389" s="2" t="s">
        <v>214</v>
      </c>
      <c r="R2389" s="2" t="s">
        <v>128</v>
      </c>
      <c r="S2389" s="2" t="s">
        <v>654</v>
      </c>
      <c r="T2389" s="10">
        <v>32.380000000000003</v>
      </c>
      <c r="U2389" s="11">
        <v>0.72799999999999998</v>
      </c>
      <c r="V2389" s="12">
        <f>T2389*U2389</f>
        <v>23.57264</v>
      </c>
      <c r="W2389" s="13">
        <v>0.13</v>
      </c>
      <c r="X2389" s="12">
        <f>V2389-(V2389/(1+W2389))</f>
        <v>2.7118966371681381</v>
      </c>
      <c r="Y2389" s="12">
        <f>V2389-X2389</f>
        <v>20.860743362831862</v>
      </c>
      <c r="Z2389" s="14">
        <v>25</v>
      </c>
      <c r="AA2389" s="2" t="str">
        <f>IF(V2389&gt;Z2389,"Yes","No")</f>
        <v>No</v>
      </c>
      <c r="AB2389" s="12">
        <f>V2389-Z2389</f>
        <v>-1.4273600000000002</v>
      </c>
      <c r="AC2389" s="15" t="s">
        <v>130</v>
      </c>
      <c r="AD2389" s="15" t="s">
        <v>131</v>
      </c>
      <c r="AE2389" s="15" t="s">
        <v>350</v>
      </c>
      <c r="AF2389" s="12">
        <f>IF(AG2389="Rejected",0,IF(R2389="Corporate Card",0,V2389))</f>
        <v>0</v>
      </c>
      <c r="AG2389" s="15" t="s">
        <v>133</v>
      </c>
      <c r="AH2389" s="16">
        <v>45951</v>
      </c>
      <c r="AI2389" s="16">
        <v>45959</v>
      </c>
      <c r="AJ2389" s="16">
        <v>45961</v>
      </c>
      <c r="AK2389" s="17">
        <f>IF(AJ2389="","",AJ2389-AH2389)</f>
        <v>10</v>
      </c>
    </row>
    <row r="2390" spans="1:37">
      <c r="A2390" s="2" t="s">
        <v>2876</v>
      </c>
      <c r="B2390" s="2" t="s">
        <v>412</v>
      </c>
      <c r="C2390" s="2" t="s">
        <v>413</v>
      </c>
      <c r="D2390" s="2" t="s">
        <v>414</v>
      </c>
      <c r="E2390" s="2" t="s">
        <v>415</v>
      </c>
      <c r="F2390" s="2" t="s">
        <v>313</v>
      </c>
      <c r="G2390" s="2" t="s">
        <v>2789</v>
      </c>
      <c r="H2390" s="2" t="s">
        <v>193</v>
      </c>
      <c r="I2390" s="2" t="s">
        <v>651</v>
      </c>
      <c r="J2390" s="2" t="s">
        <v>652</v>
      </c>
      <c r="K2390" s="9">
        <v>45934</v>
      </c>
      <c r="L2390" s="9">
        <v>45940</v>
      </c>
      <c r="M2390" s="9">
        <v>45940</v>
      </c>
      <c r="N2390" s="2" t="s">
        <v>2764</v>
      </c>
      <c r="O2390" s="2" t="s">
        <v>56</v>
      </c>
      <c r="P2390" s="2" t="s">
        <v>165</v>
      </c>
      <c r="Q2390" s="2" t="s">
        <v>185</v>
      </c>
      <c r="R2390" s="2" t="s">
        <v>149</v>
      </c>
      <c r="S2390" s="2" t="s">
        <v>654</v>
      </c>
      <c r="T2390" s="10">
        <v>124.33</v>
      </c>
      <c r="U2390" s="11">
        <v>0.72799999999999998</v>
      </c>
      <c r="V2390" s="12">
        <f>T2390*U2390</f>
        <v>90.512239999999991</v>
      </c>
      <c r="W2390" s="13">
        <v>0.13</v>
      </c>
      <c r="X2390" s="12">
        <f>V2390-(V2390/(1+W2390))</f>
        <v>10.412912566371674</v>
      </c>
      <c r="Y2390" s="12">
        <f>V2390-X2390</f>
        <v>80.099327433628318</v>
      </c>
      <c r="Z2390" s="14">
        <v>75</v>
      </c>
      <c r="AA2390" s="2" t="str">
        <f>IF(V2390&gt;Z2390,"Yes","No")</f>
        <v>Yes</v>
      </c>
      <c r="AB2390" s="12">
        <f>V2390-Z2390</f>
        <v>15.512239999999991</v>
      </c>
      <c r="AC2390" s="15" t="s">
        <v>130</v>
      </c>
      <c r="AD2390" s="15" t="s">
        <v>131</v>
      </c>
      <c r="AE2390" s="15" t="s">
        <v>350</v>
      </c>
      <c r="AF2390" s="12">
        <f>IF(AG2390="Rejected",0,IF(R2390="Corporate Card",0,V2390))</f>
        <v>90.512239999999991</v>
      </c>
      <c r="AG2390" s="15" t="s">
        <v>133</v>
      </c>
      <c r="AH2390" s="16">
        <v>45951</v>
      </c>
      <c r="AI2390" s="16">
        <v>45959</v>
      </c>
      <c r="AJ2390" s="16">
        <v>45961</v>
      </c>
      <c r="AK2390" s="17">
        <f>IF(AJ2390="","",AJ2390-AH2390)</f>
        <v>10</v>
      </c>
    </row>
    <row r="2391" spans="1:37">
      <c r="A2391" s="2" t="s">
        <v>2877</v>
      </c>
      <c r="B2391" s="2" t="s">
        <v>616</v>
      </c>
      <c r="C2391" s="2" t="s">
        <v>252</v>
      </c>
      <c r="D2391" s="2" t="s">
        <v>250</v>
      </c>
      <c r="E2391" s="2" t="s">
        <v>617</v>
      </c>
      <c r="F2391" s="2" t="s">
        <v>510</v>
      </c>
      <c r="G2391" s="2" t="s">
        <v>2878</v>
      </c>
      <c r="H2391" s="2" t="s">
        <v>348</v>
      </c>
      <c r="I2391" s="2" t="s">
        <v>1038</v>
      </c>
      <c r="J2391" s="2" t="s">
        <v>381</v>
      </c>
      <c r="K2391" s="9">
        <v>45942</v>
      </c>
      <c r="L2391" s="9">
        <v>45949</v>
      </c>
      <c r="M2391" s="9">
        <v>45942</v>
      </c>
      <c r="N2391" s="2" t="s">
        <v>2764</v>
      </c>
      <c r="O2391" s="2" t="s">
        <v>52</v>
      </c>
      <c r="P2391" s="2" t="s">
        <v>1039</v>
      </c>
      <c r="Q2391" s="2" t="s">
        <v>258</v>
      </c>
      <c r="R2391" s="2" t="s">
        <v>149</v>
      </c>
      <c r="S2391" s="2" t="s">
        <v>383</v>
      </c>
      <c r="T2391" s="10">
        <v>560.30999999999995</v>
      </c>
      <c r="U2391" s="11">
        <v>1</v>
      </c>
      <c r="V2391" s="12">
        <f>T2391*U2391</f>
        <v>560.30999999999995</v>
      </c>
      <c r="W2391" s="13">
        <v>0</v>
      </c>
      <c r="X2391" s="12">
        <f>V2391-(V2391/(1+W2391))</f>
        <v>0</v>
      </c>
      <c r="Y2391" s="12">
        <f>V2391-X2391</f>
        <v>560.30999999999995</v>
      </c>
      <c r="Z2391" s="14">
        <v>1400</v>
      </c>
      <c r="AA2391" s="2" t="str">
        <f>IF(V2391&gt;Z2391,"Yes","No")</f>
        <v>No</v>
      </c>
      <c r="AB2391" s="12">
        <f>V2391-Z2391</f>
        <v>-839.69</v>
      </c>
      <c r="AC2391" s="15" t="s">
        <v>130</v>
      </c>
      <c r="AD2391" s="15" t="s">
        <v>130</v>
      </c>
      <c r="AE2391" s="15" t="s">
        <v>260</v>
      </c>
      <c r="AF2391" s="12">
        <f>IF(AG2391="Rejected",0,IF(R2391="Corporate Card",0,V2391))</f>
        <v>560.30999999999995</v>
      </c>
      <c r="AG2391" s="15" t="s">
        <v>133</v>
      </c>
      <c r="AH2391" s="16">
        <v>45951</v>
      </c>
      <c r="AI2391" s="16">
        <v>45952</v>
      </c>
      <c r="AJ2391" s="16">
        <v>45964</v>
      </c>
      <c r="AK2391" s="17">
        <f>IF(AJ2391="","",AJ2391-AH2391)</f>
        <v>13</v>
      </c>
    </row>
    <row r="2392" spans="1:37">
      <c r="A2392" s="2" t="s">
        <v>2879</v>
      </c>
      <c r="B2392" s="2" t="s">
        <v>616</v>
      </c>
      <c r="C2392" s="2" t="s">
        <v>252</v>
      </c>
      <c r="D2392" s="2" t="s">
        <v>250</v>
      </c>
      <c r="E2392" s="2" t="s">
        <v>617</v>
      </c>
      <c r="F2392" s="2" t="s">
        <v>510</v>
      </c>
      <c r="G2392" s="2" t="s">
        <v>2878</v>
      </c>
      <c r="H2392" s="2" t="s">
        <v>348</v>
      </c>
      <c r="I2392" s="2" t="s">
        <v>1038</v>
      </c>
      <c r="J2392" s="2" t="s">
        <v>381</v>
      </c>
      <c r="K2392" s="9">
        <v>45942</v>
      </c>
      <c r="L2392" s="9">
        <v>45949</v>
      </c>
      <c r="M2392" s="9">
        <v>45942</v>
      </c>
      <c r="N2392" s="2" t="s">
        <v>2764</v>
      </c>
      <c r="O2392" s="2" t="s">
        <v>58</v>
      </c>
      <c r="P2392" s="2" t="s">
        <v>142</v>
      </c>
      <c r="Q2392" s="2" t="s">
        <v>224</v>
      </c>
      <c r="R2392" s="2" t="s">
        <v>137</v>
      </c>
      <c r="S2392" s="2" t="s">
        <v>383</v>
      </c>
      <c r="T2392" s="10">
        <v>46.41</v>
      </c>
      <c r="U2392" s="11">
        <v>1</v>
      </c>
      <c r="V2392" s="12">
        <f>T2392*U2392</f>
        <v>46.41</v>
      </c>
      <c r="W2392" s="13">
        <v>0</v>
      </c>
      <c r="X2392" s="12">
        <f>V2392-(V2392/(1+W2392))</f>
        <v>0</v>
      </c>
      <c r="Y2392" s="12">
        <f>V2392-X2392</f>
        <v>46.41</v>
      </c>
      <c r="Z2392" s="14">
        <v>60</v>
      </c>
      <c r="AA2392" s="2" t="str">
        <f>IF(V2392&gt;Z2392,"Yes","No")</f>
        <v>No</v>
      </c>
      <c r="AB2392" s="12">
        <f>V2392-Z2392</f>
        <v>-13.590000000000003</v>
      </c>
      <c r="AC2392" s="15" t="s">
        <v>130</v>
      </c>
      <c r="AD2392" s="15" t="s">
        <v>130</v>
      </c>
      <c r="AE2392" s="15" t="s">
        <v>260</v>
      </c>
      <c r="AF2392" s="12">
        <f>IF(AG2392="Rejected",0,IF(R2392="Corporate Card",0,V2392))</f>
        <v>46.41</v>
      </c>
      <c r="AG2392" s="15" t="s">
        <v>133</v>
      </c>
      <c r="AH2392" s="16">
        <v>45951</v>
      </c>
      <c r="AI2392" s="16">
        <v>45952</v>
      </c>
      <c r="AJ2392" s="16">
        <v>45964</v>
      </c>
      <c r="AK2392" s="17">
        <f>IF(AJ2392="","",AJ2392-AH2392)</f>
        <v>13</v>
      </c>
    </row>
    <row r="2393" spans="1:37">
      <c r="A2393" s="2" t="s">
        <v>2880</v>
      </c>
      <c r="B2393" s="2" t="s">
        <v>616</v>
      </c>
      <c r="C2393" s="2" t="s">
        <v>252</v>
      </c>
      <c r="D2393" s="2" t="s">
        <v>250</v>
      </c>
      <c r="E2393" s="2" t="s">
        <v>617</v>
      </c>
      <c r="F2393" s="2" t="s">
        <v>510</v>
      </c>
      <c r="G2393" s="2" t="s">
        <v>2878</v>
      </c>
      <c r="H2393" s="2" t="s">
        <v>348</v>
      </c>
      <c r="I2393" s="2" t="s">
        <v>1038</v>
      </c>
      <c r="J2393" s="2" t="s">
        <v>381</v>
      </c>
      <c r="K2393" s="9">
        <v>45942</v>
      </c>
      <c r="L2393" s="9">
        <v>45949</v>
      </c>
      <c r="M2393" s="9">
        <v>45943</v>
      </c>
      <c r="N2393" s="2" t="s">
        <v>2764</v>
      </c>
      <c r="O2393" s="2" t="s">
        <v>60</v>
      </c>
      <c r="P2393" s="2" t="s">
        <v>701</v>
      </c>
      <c r="Q2393" s="2" t="s">
        <v>702</v>
      </c>
      <c r="R2393" s="2" t="s">
        <v>128</v>
      </c>
      <c r="S2393" s="2" t="s">
        <v>383</v>
      </c>
      <c r="T2393" s="10">
        <v>523.71</v>
      </c>
      <c r="U2393" s="11">
        <v>1</v>
      </c>
      <c r="V2393" s="12">
        <f>T2393*U2393</f>
        <v>523.71</v>
      </c>
      <c r="W2393" s="13">
        <v>0</v>
      </c>
      <c r="X2393" s="12">
        <f>V2393-(V2393/(1+W2393))</f>
        <v>0</v>
      </c>
      <c r="Y2393" s="12">
        <f>V2393-X2393</f>
        <v>523.71</v>
      </c>
      <c r="Z2393" s="14">
        <v>840</v>
      </c>
      <c r="AA2393" s="2" t="str">
        <f>IF(V2393&gt;Z2393,"Yes","No")</f>
        <v>No</v>
      </c>
      <c r="AB2393" s="12">
        <f>V2393-Z2393</f>
        <v>-316.28999999999996</v>
      </c>
      <c r="AC2393" s="15" t="s">
        <v>130</v>
      </c>
      <c r="AD2393" s="15" t="s">
        <v>130</v>
      </c>
      <c r="AE2393" s="15" t="s">
        <v>260</v>
      </c>
      <c r="AF2393" s="12">
        <f>IF(AG2393="Rejected",0,IF(R2393="Corporate Card",0,V2393))</f>
        <v>0</v>
      </c>
      <c r="AG2393" s="15" t="s">
        <v>133</v>
      </c>
      <c r="AH2393" s="16">
        <v>45951</v>
      </c>
      <c r="AI2393" s="16">
        <v>45952</v>
      </c>
      <c r="AJ2393" s="16">
        <v>45964</v>
      </c>
      <c r="AK2393" s="17">
        <f>IF(AJ2393="","",AJ2393-AH2393)</f>
        <v>13</v>
      </c>
    </row>
    <row r="2394" spans="1:37">
      <c r="A2394" s="2" t="s">
        <v>2881</v>
      </c>
      <c r="B2394" s="2" t="s">
        <v>616</v>
      </c>
      <c r="C2394" s="2" t="s">
        <v>252</v>
      </c>
      <c r="D2394" s="2" t="s">
        <v>250</v>
      </c>
      <c r="E2394" s="2" t="s">
        <v>617</v>
      </c>
      <c r="F2394" s="2" t="s">
        <v>510</v>
      </c>
      <c r="G2394" s="2" t="s">
        <v>2878</v>
      </c>
      <c r="H2394" s="2" t="s">
        <v>348</v>
      </c>
      <c r="I2394" s="2" t="s">
        <v>1038</v>
      </c>
      <c r="J2394" s="2" t="s">
        <v>381</v>
      </c>
      <c r="K2394" s="9">
        <v>45942</v>
      </c>
      <c r="L2394" s="9">
        <v>45949</v>
      </c>
      <c r="M2394" s="9">
        <v>45943</v>
      </c>
      <c r="N2394" s="2" t="s">
        <v>2764</v>
      </c>
      <c r="O2394" s="2" t="s">
        <v>53</v>
      </c>
      <c r="P2394" s="2" t="s">
        <v>208</v>
      </c>
      <c r="Q2394" s="2" t="s">
        <v>146</v>
      </c>
      <c r="R2394" s="2" t="s">
        <v>128</v>
      </c>
      <c r="S2394" s="2" t="s">
        <v>383</v>
      </c>
      <c r="T2394" s="10">
        <v>1185.96</v>
      </c>
      <c r="U2394" s="11">
        <v>1</v>
      </c>
      <c r="V2394" s="12">
        <f>T2394*U2394</f>
        <v>1185.96</v>
      </c>
      <c r="W2394" s="13">
        <v>0</v>
      </c>
      <c r="X2394" s="12">
        <f>V2394-(V2394/(1+W2394))</f>
        <v>0</v>
      </c>
      <c r="Y2394" s="12">
        <f>V2394-X2394</f>
        <v>1185.96</v>
      </c>
      <c r="Z2394" s="14">
        <v>1960</v>
      </c>
      <c r="AA2394" s="2" t="str">
        <f>IF(V2394&gt;Z2394,"Yes","No")</f>
        <v>No</v>
      </c>
      <c r="AB2394" s="12">
        <f>V2394-Z2394</f>
        <v>-774.04</v>
      </c>
      <c r="AC2394" s="15" t="s">
        <v>130</v>
      </c>
      <c r="AD2394" s="15" t="s">
        <v>130</v>
      </c>
      <c r="AE2394" s="15" t="s">
        <v>260</v>
      </c>
      <c r="AF2394" s="12">
        <f>IF(AG2394="Rejected",0,IF(R2394="Corporate Card",0,V2394))</f>
        <v>0</v>
      </c>
      <c r="AG2394" s="15" t="s">
        <v>133</v>
      </c>
      <c r="AH2394" s="16">
        <v>45951</v>
      </c>
      <c r="AI2394" s="16">
        <v>45952</v>
      </c>
      <c r="AJ2394" s="16">
        <v>45964</v>
      </c>
      <c r="AK2394" s="17">
        <f>IF(AJ2394="","",AJ2394-AH2394)</f>
        <v>13</v>
      </c>
    </row>
    <row r="2395" spans="1:37">
      <c r="A2395" s="2" t="s">
        <v>2882</v>
      </c>
      <c r="B2395" s="2" t="s">
        <v>616</v>
      </c>
      <c r="C2395" s="2" t="s">
        <v>252</v>
      </c>
      <c r="D2395" s="2" t="s">
        <v>250</v>
      </c>
      <c r="E2395" s="2" t="s">
        <v>617</v>
      </c>
      <c r="F2395" s="2" t="s">
        <v>510</v>
      </c>
      <c r="G2395" s="2" t="s">
        <v>2878</v>
      </c>
      <c r="H2395" s="2" t="s">
        <v>348</v>
      </c>
      <c r="I2395" s="2" t="s">
        <v>1038</v>
      </c>
      <c r="J2395" s="2" t="s">
        <v>381</v>
      </c>
      <c r="K2395" s="9">
        <v>45942</v>
      </c>
      <c r="L2395" s="9">
        <v>45949</v>
      </c>
      <c r="M2395" s="9">
        <v>45943</v>
      </c>
      <c r="N2395" s="2" t="s">
        <v>2764</v>
      </c>
      <c r="O2395" s="2" t="s">
        <v>54</v>
      </c>
      <c r="P2395" s="2" t="s">
        <v>139</v>
      </c>
      <c r="Q2395" s="2" t="s">
        <v>140</v>
      </c>
      <c r="R2395" s="2" t="s">
        <v>128</v>
      </c>
      <c r="S2395" s="2" t="s">
        <v>383</v>
      </c>
      <c r="T2395" s="10">
        <v>14.43</v>
      </c>
      <c r="U2395" s="11">
        <v>1</v>
      </c>
      <c r="V2395" s="12">
        <f>T2395*U2395</f>
        <v>14.43</v>
      </c>
      <c r="W2395" s="13">
        <v>0</v>
      </c>
      <c r="X2395" s="12">
        <f>V2395-(V2395/(1+W2395))</f>
        <v>0</v>
      </c>
      <c r="Y2395" s="12">
        <f>V2395-X2395</f>
        <v>14.43</v>
      </c>
      <c r="Z2395" s="14">
        <v>25</v>
      </c>
      <c r="AA2395" s="2" t="str">
        <f>IF(V2395&gt;Z2395,"Yes","No")</f>
        <v>No</v>
      </c>
      <c r="AB2395" s="12">
        <f>V2395-Z2395</f>
        <v>-10.57</v>
      </c>
      <c r="AC2395" s="15" t="s">
        <v>130</v>
      </c>
      <c r="AD2395" s="15" t="s">
        <v>130</v>
      </c>
      <c r="AE2395" s="15" t="s">
        <v>260</v>
      </c>
      <c r="AF2395" s="12">
        <f>IF(AG2395="Rejected",0,IF(R2395="Corporate Card",0,V2395))</f>
        <v>0</v>
      </c>
      <c r="AG2395" s="15" t="s">
        <v>133</v>
      </c>
      <c r="AH2395" s="16">
        <v>45951</v>
      </c>
      <c r="AI2395" s="16">
        <v>45952</v>
      </c>
      <c r="AJ2395" s="16">
        <v>45964</v>
      </c>
      <c r="AK2395" s="17">
        <f>IF(AJ2395="","",AJ2395-AH2395)</f>
        <v>13</v>
      </c>
    </row>
    <row r="2396" spans="1:37">
      <c r="A2396" s="2" t="s">
        <v>2883</v>
      </c>
      <c r="B2396" s="2" t="s">
        <v>616</v>
      </c>
      <c r="C2396" s="2" t="s">
        <v>252</v>
      </c>
      <c r="D2396" s="2" t="s">
        <v>250</v>
      </c>
      <c r="E2396" s="2" t="s">
        <v>617</v>
      </c>
      <c r="F2396" s="2" t="s">
        <v>510</v>
      </c>
      <c r="G2396" s="2" t="s">
        <v>2878</v>
      </c>
      <c r="H2396" s="2" t="s">
        <v>348</v>
      </c>
      <c r="I2396" s="2" t="s">
        <v>1038</v>
      </c>
      <c r="J2396" s="2" t="s">
        <v>381</v>
      </c>
      <c r="K2396" s="9">
        <v>45942</v>
      </c>
      <c r="L2396" s="9">
        <v>45949</v>
      </c>
      <c r="M2396" s="9">
        <v>45943</v>
      </c>
      <c r="N2396" s="2" t="s">
        <v>2764</v>
      </c>
      <c r="O2396" s="2" t="s">
        <v>56</v>
      </c>
      <c r="P2396" s="2" t="s">
        <v>231</v>
      </c>
      <c r="Q2396" s="2" t="s">
        <v>227</v>
      </c>
      <c r="R2396" s="2" t="s">
        <v>128</v>
      </c>
      <c r="S2396" s="2" t="s">
        <v>383</v>
      </c>
      <c r="T2396" s="10">
        <v>69.78</v>
      </c>
      <c r="U2396" s="11">
        <v>1</v>
      </c>
      <c r="V2396" s="12">
        <f>T2396*U2396</f>
        <v>69.78</v>
      </c>
      <c r="W2396" s="13">
        <v>0</v>
      </c>
      <c r="X2396" s="12">
        <f>V2396-(V2396/(1+W2396))</f>
        <v>0</v>
      </c>
      <c r="Y2396" s="12">
        <f>V2396-X2396</f>
        <v>69.78</v>
      </c>
      <c r="Z2396" s="14">
        <v>75</v>
      </c>
      <c r="AA2396" s="2" t="str">
        <f>IF(V2396&gt;Z2396,"Yes","No")</f>
        <v>No</v>
      </c>
      <c r="AB2396" s="12">
        <f>V2396-Z2396</f>
        <v>-5.2199999999999989</v>
      </c>
      <c r="AC2396" s="15" t="s">
        <v>130</v>
      </c>
      <c r="AD2396" s="15" t="s">
        <v>130</v>
      </c>
      <c r="AE2396" s="15" t="s">
        <v>260</v>
      </c>
      <c r="AF2396" s="12">
        <f>IF(AG2396="Rejected",0,IF(R2396="Corporate Card",0,V2396))</f>
        <v>0</v>
      </c>
      <c r="AG2396" s="15" t="s">
        <v>133</v>
      </c>
      <c r="AH2396" s="16">
        <v>45951</v>
      </c>
      <c r="AI2396" s="16">
        <v>45952</v>
      </c>
      <c r="AJ2396" s="16">
        <v>45964</v>
      </c>
      <c r="AK2396" s="17">
        <f>IF(AJ2396="","",AJ2396-AH2396)</f>
        <v>13</v>
      </c>
    </row>
    <row r="2397" spans="1:37">
      <c r="A2397" s="2" t="s">
        <v>2884</v>
      </c>
      <c r="B2397" s="2" t="s">
        <v>616</v>
      </c>
      <c r="C2397" s="2" t="s">
        <v>252</v>
      </c>
      <c r="D2397" s="2" t="s">
        <v>250</v>
      </c>
      <c r="E2397" s="2" t="s">
        <v>617</v>
      </c>
      <c r="F2397" s="2" t="s">
        <v>510</v>
      </c>
      <c r="G2397" s="2" t="s">
        <v>2878</v>
      </c>
      <c r="H2397" s="2" t="s">
        <v>348</v>
      </c>
      <c r="I2397" s="2" t="s">
        <v>1038</v>
      </c>
      <c r="J2397" s="2" t="s">
        <v>381</v>
      </c>
      <c r="K2397" s="9">
        <v>45942</v>
      </c>
      <c r="L2397" s="9">
        <v>45949</v>
      </c>
      <c r="M2397" s="9">
        <v>45943</v>
      </c>
      <c r="N2397" s="2" t="s">
        <v>2764</v>
      </c>
      <c r="O2397" s="2" t="s">
        <v>55</v>
      </c>
      <c r="P2397" s="2" t="s">
        <v>139</v>
      </c>
      <c r="Q2397" s="2" t="s">
        <v>161</v>
      </c>
      <c r="R2397" s="2" t="s">
        <v>137</v>
      </c>
      <c r="S2397" s="2" t="s">
        <v>383</v>
      </c>
      <c r="T2397" s="10">
        <v>33.909999999999997</v>
      </c>
      <c r="U2397" s="11">
        <v>1</v>
      </c>
      <c r="V2397" s="12">
        <f>T2397*U2397</f>
        <v>33.909999999999997</v>
      </c>
      <c r="W2397" s="13">
        <v>0</v>
      </c>
      <c r="X2397" s="12">
        <f>V2397-(V2397/(1+W2397))</f>
        <v>0</v>
      </c>
      <c r="Y2397" s="12">
        <f>V2397-X2397</f>
        <v>33.909999999999997</v>
      </c>
      <c r="Z2397" s="14">
        <v>35</v>
      </c>
      <c r="AA2397" s="2" t="str">
        <f>IF(V2397&gt;Z2397,"Yes","No")</f>
        <v>No</v>
      </c>
      <c r="AB2397" s="12">
        <f>V2397-Z2397</f>
        <v>-1.0900000000000034</v>
      </c>
      <c r="AC2397" s="15" t="s">
        <v>130</v>
      </c>
      <c r="AD2397" s="15" t="s">
        <v>130</v>
      </c>
      <c r="AE2397" s="15" t="s">
        <v>260</v>
      </c>
      <c r="AF2397" s="12">
        <f>IF(AG2397="Rejected",0,IF(R2397="Corporate Card",0,V2397))</f>
        <v>33.909999999999997</v>
      </c>
      <c r="AG2397" s="15" t="s">
        <v>133</v>
      </c>
      <c r="AH2397" s="16">
        <v>45951</v>
      </c>
      <c r="AI2397" s="16">
        <v>45952</v>
      </c>
      <c r="AJ2397" s="16">
        <v>45964</v>
      </c>
      <c r="AK2397" s="17">
        <f>IF(AJ2397="","",AJ2397-AH2397)</f>
        <v>13</v>
      </c>
    </row>
    <row r="2398" spans="1:37">
      <c r="A2398" s="2" t="s">
        <v>2885</v>
      </c>
      <c r="B2398" s="2" t="s">
        <v>616</v>
      </c>
      <c r="C2398" s="2" t="s">
        <v>252</v>
      </c>
      <c r="D2398" s="2" t="s">
        <v>250</v>
      </c>
      <c r="E2398" s="2" t="s">
        <v>617</v>
      </c>
      <c r="F2398" s="2" t="s">
        <v>510</v>
      </c>
      <c r="G2398" s="2" t="s">
        <v>2878</v>
      </c>
      <c r="H2398" s="2" t="s">
        <v>348</v>
      </c>
      <c r="I2398" s="2" t="s">
        <v>1038</v>
      </c>
      <c r="J2398" s="2" t="s">
        <v>381</v>
      </c>
      <c r="K2398" s="9">
        <v>45942</v>
      </c>
      <c r="L2398" s="9">
        <v>45949</v>
      </c>
      <c r="M2398" s="9">
        <v>45944</v>
      </c>
      <c r="N2398" s="2" t="s">
        <v>2764</v>
      </c>
      <c r="O2398" s="2" t="s">
        <v>61</v>
      </c>
      <c r="P2398" s="2" t="s">
        <v>528</v>
      </c>
      <c r="Q2398" s="2" t="s">
        <v>1128</v>
      </c>
      <c r="R2398" s="2" t="s">
        <v>128</v>
      </c>
      <c r="S2398" s="2" t="s">
        <v>383</v>
      </c>
      <c r="T2398" s="10">
        <v>61.15</v>
      </c>
      <c r="U2398" s="11">
        <v>1</v>
      </c>
      <c r="V2398" s="12">
        <f>T2398*U2398</f>
        <v>61.15</v>
      </c>
      <c r="W2398" s="13">
        <v>0</v>
      </c>
      <c r="X2398" s="12">
        <f>V2398-(V2398/(1+W2398))</f>
        <v>0</v>
      </c>
      <c r="Y2398" s="12">
        <f>V2398-X2398</f>
        <v>61.15</v>
      </c>
      <c r="Z2398" s="14">
        <v>90</v>
      </c>
      <c r="AA2398" s="2" t="str">
        <f>IF(V2398&gt;Z2398,"Yes","No")</f>
        <v>No</v>
      </c>
      <c r="AB2398" s="12">
        <f>V2398-Z2398</f>
        <v>-28.85</v>
      </c>
      <c r="AC2398" s="15" t="s">
        <v>130</v>
      </c>
      <c r="AD2398" s="15" t="s">
        <v>130</v>
      </c>
      <c r="AE2398" s="15" t="s">
        <v>260</v>
      </c>
      <c r="AF2398" s="12">
        <f>IF(AG2398="Rejected",0,IF(R2398="Corporate Card",0,V2398))</f>
        <v>0</v>
      </c>
      <c r="AG2398" s="15" t="s">
        <v>133</v>
      </c>
      <c r="AH2398" s="16">
        <v>45951</v>
      </c>
      <c r="AI2398" s="16">
        <v>45952</v>
      </c>
      <c r="AJ2398" s="16">
        <v>45964</v>
      </c>
      <c r="AK2398" s="17">
        <f>IF(AJ2398="","",AJ2398-AH2398)</f>
        <v>13</v>
      </c>
    </row>
    <row r="2399" spans="1:37">
      <c r="A2399" s="2" t="s">
        <v>2886</v>
      </c>
      <c r="B2399" s="2" t="s">
        <v>616</v>
      </c>
      <c r="C2399" s="2" t="s">
        <v>252</v>
      </c>
      <c r="D2399" s="2" t="s">
        <v>250</v>
      </c>
      <c r="E2399" s="2" t="s">
        <v>617</v>
      </c>
      <c r="F2399" s="2" t="s">
        <v>510</v>
      </c>
      <c r="G2399" s="2" t="s">
        <v>2878</v>
      </c>
      <c r="H2399" s="2" t="s">
        <v>348</v>
      </c>
      <c r="I2399" s="2" t="s">
        <v>1038</v>
      </c>
      <c r="J2399" s="2" t="s">
        <v>381</v>
      </c>
      <c r="K2399" s="9">
        <v>45942</v>
      </c>
      <c r="L2399" s="9">
        <v>45949</v>
      </c>
      <c r="M2399" s="9">
        <v>45944</v>
      </c>
      <c r="N2399" s="2" t="s">
        <v>2764</v>
      </c>
      <c r="O2399" s="2" t="s">
        <v>56</v>
      </c>
      <c r="P2399" s="2" t="s">
        <v>165</v>
      </c>
      <c r="Q2399" s="2" t="s">
        <v>159</v>
      </c>
      <c r="R2399" s="2" t="s">
        <v>149</v>
      </c>
      <c r="S2399" s="2" t="s">
        <v>383</v>
      </c>
      <c r="T2399" s="10">
        <v>46.83</v>
      </c>
      <c r="U2399" s="11">
        <v>1</v>
      </c>
      <c r="V2399" s="12">
        <f>T2399*U2399</f>
        <v>46.83</v>
      </c>
      <c r="W2399" s="13">
        <v>0</v>
      </c>
      <c r="X2399" s="12">
        <f>V2399-(V2399/(1+W2399))</f>
        <v>0</v>
      </c>
      <c r="Y2399" s="12">
        <f>V2399-X2399</f>
        <v>46.83</v>
      </c>
      <c r="Z2399" s="14">
        <v>75</v>
      </c>
      <c r="AA2399" s="2" t="str">
        <f>IF(V2399&gt;Z2399,"Yes","No")</f>
        <v>No</v>
      </c>
      <c r="AB2399" s="12">
        <f>V2399-Z2399</f>
        <v>-28.17</v>
      </c>
      <c r="AC2399" s="15" t="s">
        <v>130</v>
      </c>
      <c r="AD2399" s="15" t="s">
        <v>130</v>
      </c>
      <c r="AE2399" s="15" t="s">
        <v>260</v>
      </c>
      <c r="AF2399" s="12">
        <f>IF(AG2399="Rejected",0,IF(R2399="Corporate Card",0,V2399))</f>
        <v>46.83</v>
      </c>
      <c r="AG2399" s="15" t="s">
        <v>133</v>
      </c>
      <c r="AH2399" s="16">
        <v>45951</v>
      </c>
      <c r="AI2399" s="16">
        <v>45952</v>
      </c>
      <c r="AJ2399" s="16">
        <v>45964</v>
      </c>
      <c r="AK2399" s="17">
        <f>IF(AJ2399="","",AJ2399-AH2399)</f>
        <v>13</v>
      </c>
    </row>
    <row r="2400" spans="1:37">
      <c r="A2400" s="2" t="s">
        <v>2887</v>
      </c>
      <c r="B2400" s="2" t="s">
        <v>616</v>
      </c>
      <c r="C2400" s="2" t="s">
        <v>252</v>
      </c>
      <c r="D2400" s="2" t="s">
        <v>250</v>
      </c>
      <c r="E2400" s="2" t="s">
        <v>617</v>
      </c>
      <c r="F2400" s="2" t="s">
        <v>510</v>
      </c>
      <c r="G2400" s="2" t="s">
        <v>2878</v>
      </c>
      <c r="H2400" s="2" t="s">
        <v>348</v>
      </c>
      <c r="I2400" s="2" t="s">
        <v>1038</v>
      </c>
      <c r="J2400" s="2" t="s">
        <v>381</v>
      </c>
      <c r="K2400" s="9">
        <v>45942</v>
      </c>
      <c r="L2400" s="9">
        <v>45949</v>
      </c>
      <c r="M2400" s="9">
        <v>45944</v>
      </c>
      <c r="N2400" s="2" t="s">
        <v>2764</v>
      </c>
      <c r="O2400" s="2" t="s">
        <v>55</v>
      </c>
      <c r="P2400" s="2" t="s">
        <v>139</v>
      </c>
      <c r="Q2400" s="2" t="s">
        <v>217</v>
      </c>
      <c r="R2400" s="2" t="s">
        <v>128</v>
      </c>
      <c r="S2400" s="2" t="s">
        <v>383</v>
      </c>
      <c r="T2400" s="10">
        <v>30.49</v>
      </c>
      <c r="U2400" s="11">
        <v>1</v>
      </c>
      <c r="V2400" s="12">
        <f>T2400*U2400</f>
        <v>30.49</v>
      </c>
      <c r="W2400" s="13">
        <v>0</v>
      </c>
      <c r="X2400" s="12">
        <f>V2400-(V2400/(1+W2400))</f>
        <v>0</v>
      </c>
      <c r="Y2400" s="12">
        <f>V2400-X2400</f>
        <v>30.49</v>
      </c>
      <c r="Z2400" s="14">
        <v>35</v>
      </c>
      <c r="AA2400" s="2" t="str">
        <f>IF(V2400&gt;Z2400,"Yes","No")</f>
        <v>No</v>
      </c>
      <c r="AB2400" s="12">
        <f>V2400-Z2400</f>
        <v>-4.5100000000000016</v>
      </c>
      <c r="AC2400" s="15" t="s">
        <v>130</v>
      </c>
      <c r="AD2400" s="15" t="s">
        <v>130</v>
      </c>
      <c r="AE2400" s="15" t="s">
        <v>260</v>
      </c>
      <c r="AF2400" s="12">
        <f>IF(AG2400="Rejected",0,IF(R2400="Corporate Card",0,V2400))</f>
        <v>0</v>
      </c>
      <c r="AG2400" s="15" t="s">
        <v>133</v>
      </c>
      <c r="AH2400" s="16">
        <v>45951</v>
      </c>
      <c r="AI2400" s="16">
        <v>45952</v>
      </c>
      <c r="AJ2400" s="16">
        <v>45964</v>
      </c>
      <c r="AK2400" s="17">
        <f>IF(AJ2400="","",AJ2400-AH2400)</f>
        <v>13</v>
      </c>
    </row>
    <row r="2401" spans="1:37">
      <c r="A2401" s="2" t="s">
        <v>2888</v>
      </c>
      <c r="B2401" s="2" t="s">
        <v>616</v>
      </c>
      <c r="C2401" s="2" t="s">
        <v>252</v>
      </c>
      <c r="D2401" s="2" t="s">
        <v>250</v>
      </c>
      <c r="E2401" s="2" t="s">
        <v>617</v>
      </c>
      <c r="F2401" s="2" t="s">
        <v>510</v>
      </c>
      <c r="G2401" s="2" t="s">
        <v>2878</v>
      </c>
      <c r="H2401" s="2" t="s">
        <v>348</v>
      </c>
      <c r="I2401" s="2" t="s">
        <v>1038</v>
      </c>
      <c r="J2401" s="2" t="s">
        <v>381</v>
      </c>
      <c r="K2401" s="9">
        <v>45942</v>
      </c>
      <c r="L2401" s="9">
        <v>45949</v>
      </c>
      <c r="M2401" s="9">
        <v>45944</v>
      </c>
      <c r="N2401" s="2" t="s">
        <v>2764</v>
      </c>
      <c r="O2401" s="2" t="s">
        <v>62</v>
      </c>
      <c r="P2401" s="2" t="s">
        <v>533</v>
      </c>
      <c r="Q2401" s="2" t="s">
        <v>548</v>
      </c>
      <c r="R2401" s="2" t="s">
        <v>128</v>
      </c>
      <c r="S2401" s="2" t="s">
        <v>383</v>
      </c>
      <c r="T2401" s="10">
        <v>18.72</v>
      </c>
      <c r="U2401" s="11">
        <v>1</v>
      </c>
      <c r="V2401" s="12">
        <f>T2401*U2401</f>
        <v>18.72</v>
      </c>
      <c r="W2401" s="13">
        <v>0</v>
      </c>
      <c r="X2401" s="12">
        <f>V2401-(V2401/(1+W2401))</f>
        <v>0</v>
      </c>
      <c r="Y2401" s="12">
        <f>V2401-X2401</f>
        <v>18.72</v>
      </c>
      <c r="Z2401" s="14">
        <v>45</v>
      </c>
      <c r="AA2401" s="2" t="str">
        <f>IF(V2401&gt;Z2401,"Yes","No")</f>
        <v>No</v>
      </c>
      <c r="AB2401" s="12">
        <f>V2401-Z2401</f>
        <v>-26.28</v>
      </c>
      <c r="AC2401" s="15" t="s">
        <v>130</v>
      </c>
      <c r="AD2401" s="15" t="s">
        <v>130</v>
      </c>
      <c r="AE2401" s="15" t="s">
        <v>260</v>
      </c>
      <c r="AF2401" s="12">
        <f>IF(AG2401="Rejected",0,IF(R2401="Corporate Card",0,V2401))</f>
        <v>0</v>
      </c>
      <c r="AG2401" s="15" t="s">
        <v>133</v>
      </c>
      <c r="AH2401" s="16">
        <v>45951</v>
      </c>
      <c r="AI2401" s="16">
        <v>45952</v>
      </c>
      <c r="AJ2401" s="16">
        <v>45964</v>
      </c>
      <c r="AK2401" s="17">
        <f>IF(AJ2401="","",AJ2401-AH2401)</f>
        <v>13</v>
      </c>
    </row>
    <row r="2402" spans="1:37">
      <c r="A2402" s="2" t="s">
        <v>2889</v>
      </c>
      <c r="B2402" s="2" t="s">
        <v>616</v>
      </c>
      <c r="C2402" s="2" t="s">
        <v>252</v>
      </c>
      <c r="D2402" s="2" t="s">
        <v>250</v>
      </c>
      <c r="E2402" s="2" t="s">
        <v>617</v>
      </c>
      <c r="F2402" s="2" t="s">
        <v>510</v>
      </c>
      <c r="G2402" s="2" t="s">
        <v>2878</v>
      </c>
      <c r="H2402" s="2" t="s">
        <v>348</v>
      </c>
      <c r="I2402" s="2" t="s">
        <v>1038</v>
      </c>
      <c r="J2402" s="2" t="s">
        <v>381</v>
      </c>
      <c r="K2402" s="9">
        <v>45942</v>
      </c>
      <c r="L2402" s="9">
        <v>45949</v>
      </c>
      <c r="M2402" s="9">
        <v>45945</v>
      </c>
      <c r="N2402" s="2" t="s">
        <v>2764</v>
      </c>
      <c r="O2402" s="2" t="s">
        <v>68</v>
      </c>
      <c r="P2402" s="2" t="s">
        <v>282</v>
      </c>
      <c r="Q2402" s="2" t="s">
        <v>283</v>
      </c>
      <c r="R2402" s="2" t="s">
        <v>149</v>
      </c>
      <c r="S2402" s="2" t="s">
        <v>383</v>
      </c>
      <c r="T2402" s="10">
        <v>17.18</v>
      </c>
      <c r="U2402" s="11">
        <v>1</v>
      </c>
      <c r="V2402" s="12">
        <f>T2402*U2402</f>
        <v>17.18</v>
      </c>
      <c r="W2402" s="13">
        <v>0</v>
      </c>
      <c r="X2402" s="12">
        <f>V2402-(V2402/(1+W2402))</f>
        <v>0</v>
      </c>
      <c r="Y2402" s="12">
        <f>V2402-X2402</f>
        <v>17.18</v>
      </c>
      <c r="Z2402" s="14">
        <v>30</v>
      </c>
      <c r="AA2402" s="2" t="str">
        <f>IF(V2402&gt;Z2402,"Yes","No")</f>
        <v>No</v>
      </c>
      <c r="AB2402" s="12">
        <f>V2402-Z2402</f>
        <v>-12.82</v>
      </c>
      <c r="AC2402" s="15" t="s">
        <v>131</v>
      </c>
      <c r="AD2402" s="15" t="s">
        <v>130</v>
      </c>
      <c r="AE2402" s="15" t="s">
        <v>260</v>
      </c>
      <c r="AF2402" s="12">
        <f>IF(AG2402="Rejected",0,IF(R2402="Corporate Card",0,V2402))</f>
        <v>17.18</v>
      </c>
      <c r="AG2402" s="15" t="s">
        <v>133</v>
      </c>
      <c r="AH2402" s="16">
        <v>45951</v>
      </c>
      <c r="AI2402" s="16">
        <v>45952</v>
      </c>
      <c r="AJ2402" s="16">
        <v>45964</v>
      </c>
      <c r="AK2402" s="17">
        <f>IF(AJ2402="","",AJ2402-AH2402)</f>
        <v>13</v>
      </c>
    </row>
    <row r="2403" spans="1:37">
      <c r="A2403" s="2" t="s">
        <v>2890</v>
      </c>
      <c r="B2403" s="2" t="s">
        <v>616</v>
      </c>
      <c r="C2403" s="2" t="s">
        <v>252</v>
      </c>
      <c r="D2403" s="2" t="s">
        <v>250</v>
      </c>
      <c r="E2403" s="2" t="s">
        <v>617</v>
      </c>
      <c r="F2403" s="2" t="s">
        <v>510</v>
      </c>
      <c r="G2403" s="2" t="s">
        <v>2878</v>
      </c>
      <c r="H2403" s="2" t="s">
        <v>348</v>
      </c>
      <c r="I2403" s="2" t="s">
        <v>1038</v>
      </c>
      <c r="J2403" s="2" t="s">
        <v>381</v>
      </c>
      <c r="K2403" s="9">
        <v>45942</v>
      </c>
      <c r="L2403" s="9">
        <v>45949</v>
      </c>
      <c r="M2403" s="9">
        <v>45945</v>
      </c>
      <c r="N2403" s="2" t="s">
        <v>2764</v>
      </c>
      <c r="O2403" s="2" t="s">
        <v>54</v>
      </c>
      <c r="P2403" s="2" t="s">
        <v>139</v>
      </c>
      <c r="Q2403" s="2" t="s">
        <v>214</v>
      </c>
      <c r="R2403" s="2" t="s">
        <v>149</v>
      </c>
      <c r="S2403" s="2" t="s">
        <v>383</v>
      </c>
      <c r="T2403" s="10">
        <v>12.21</v>
      </c>
      <c r="U2403" s="11">
        <v>1</v>
      </c>
      <c r="V2403" s="12">
        <f>T2403*U2403</f>
        <v>12.21</v>
      </c>
      <c r="W2403" s="13">
        <v>0</v>
      </c>
      <c r="X2403" s="12">
        <f>V2403-(V2403/(1+W2403))</f>
        <v>0</v>
      </c>
      <c r="Y2403" s="12">
        <f>V2403-X2403</f>
        <v>12.21</v>
      </c>
      <c r="Z2403" s="14">
        <v>25</v>
      </c>
      <c r="AA2403" s="2" t="str">
        <f>IF(V2403&gt;Z2403,"Yes","No")</f>
        <v>No</v>
      </c>
      <c r="AB2403" s="12">
        <f>V2403-Z2403</f>
        <v>-12.79</v>
      </c>
      <c r="AC2403" s="15" t="s">
        <v>131</v>
      </c>
      <c r="AD2403" s="15" t="s">
        <v>130</v>
      </c>
      <c r="AE2403" s="15" t="s">
        <v>260</v>
      </c>
      <c r="AF2403" s="12">
        <f>IF(AG2403="Rejected",0,IF(R2403="Corporate Card",0,V2403))</f>
        <v>12.21</v>
      </c>
      <c r="AG2403" s="15" t="s">
        <v>133</v>
      </c>
      <c r="AH2403" s="16">
        <v>45951</v>
      </c>
      <c r="AI2403" s="16">
        <v>45952</v>
      </c>
      <c r="AJ2403" s="16">
        <v>45964</v>
      </c>
      <c r="AK2403" s="17">
        <f>IF(AJ2403="","",AJ2403-AH2403)</f>
        <v>13</v>
      </c>
    </row>
    <row r="2404" spans="1:37">
      <c r="A2404" s="2" t="s">
        <v>2891</v>
      </c>
      <c r="B2404" s="2" t="s">
        <v>616</v>
      </c>
      <c r="C2404" s="2" t="s">
        <v>252</v>
      </c>
      <c r="D2404" s="2" t="s">
        <v>250</v>
      </c>
      <c r="E2404" s="2" t="s">
        <v>617</v>
      </c>
      <c r="F2404" s="2" t="s">
        <v>510</v>
      </c>
      <c r="G2404" s="2" t="s">
        <v>2878</v>
      </c>
      <c r="H2404" s="2" t="s">
        <v>348</v>
      </c>
      <c r="I2404" s="2" t="s">
        <v>1038</v>
      </c>
      <c r="J2404" s="2" t="s">
        <v>381</v>
      </c>
      <c r="K2404" s="9">
        <v>45942</v>
      </c>
      <c r="L2404" s="9">
        <v>45949</v>
      </c>
      <c r="M2404" s="9">
        <v>45945</v>
      </c>
      <c r="N2404" s="2" t="s">
        <v>2764</v>
      </c>
      <c r="O2404" s="2" t="s">
        <v>56</v>
      </c>
      <c r="P2404" s="2" t="s">
        <v>151</v>
      </c>
      <c r="Q2404" s="2" t="s">
        <v>185</v>
      </c>
      <c r="R2404" s="2" t="s">
        <v>128</v>
      </c>
      <c r="S2404" s="2" t="s">
        <v>383</v>
      </c>
      <c r="T2404" s="10">
        <v>57.41</v>
      </c>
      <c r="U2404" s="11">
        <v>1</v>
      </c>
      <c r="V2404" s="12">
        <f>T2404*U2404</f>
        <v>57.41</v>
      </c>
      <c r="W2404" s="13">
        <v>0</v>
      </c>
      <c r="X2404" s="12">
        <f>V2404-(V2404/(1+W2404))</f>
        <v>0</v>
      </c>
      <c r="Y2404" s="12">
        <f>V2404-X2404</f>
        <v>57.41</v>
      </c>
      <c r="Z2404" s="14">
        <v>75</v>
      </c>
      <c r="AA2404" s="2" t="str">
        <f>IF(V2404&gt;Z2404,"Yes","No")</f>
        <v>No</v>
      </c>
      <c r="AB2404" s="12">
        <f>V2404-Z2404</f>
        <v>-17.590000000000003</v>
      </c>
      <c r="AC2404" s="15" t="s">
        <v>130</v>
      </c>
      <c r="AD2404" s="15" t="s">
        <v>130</v>
      </c>
      <c r="AE2404" s="15" t="s">
        <v>260</v>
      </c>
      <c r="AF2404" s="12">
        <f>IF(AG2404="Rejected",0,IF(R2404="Corporate Card",0,V2404))</f>
        <v>0</v>
      </c>
      <c r="AG2404" s="15" t="s">
        <v>133</v>
      </c>
      <c r="AH2404" s="16">
        <v>45951</v>
      </c>
      <c r="AI2404" s="16">
        <v>45952</v>
      </c>
      <c r="AJ2404" s="16">
        <v>45964</v>
      </c>
      <c r="AK2404" s="17">
        <f>IF(AJ2404="","",AJ2404-AH2404)</f>
        <v>13</v>
      </c>
    </row>
    <row r="2405" spans="1:37">
      <c r="A2405" s="2" t="s">
        <v>2892</v>
      </c>
      <c r="B2405" s="2" t="s">
        <v>616</v>
      </c>
      <c r="C2405" s="2" t="s">
        <v>252</v>
      </c>
      <c r="D2405" s="2" t="s">
        <v>250</v>
      </c>
      <c r="E2405" s="2" t="s">
        <v>617</v>
      </c>
      <c r="F2405" s="2" t="s">
        <v>510</v>
      </c>
      <c r="G2405" s="2" t="s">
        <v>2878</v>
      </c>
      <c r="H2405" s="2" t="s">
        <v>348</v>
      </c>
      <c r="I2405" s="2" t="s">
        <v>1038</v>
      </c>
      <c r="J2405" s="2" t="s">
        <v>381</v>
      </c>
      <c r="K2405" s="9">
        <v>45942</v>
      </c>
      <c r="L2405" s="9">
        <v>45949</v>
      </c>
      <c r="M2405" s="9">
        <v>45945</v>
      </c>
      <c r="N2405" s="2" t="s">
        <v>2764</v>
      </c>
      <c r="O2405" s="2" t="s">
        <v>55</v>
      </c>
      <c r="P2405" s="2" t="s">
        <v>139</v>
      </c>
      <c r="Q2405" s="2" t="s">
        <v>187</v>
      </c>
      <c r="R2405" s="2" t="s">
        <v>128</v>
      </c>
      <c r="S2405" s="2" t="s">
        <v>383</v>
      </c>
      <c r="T2405" s="10">
        <v>15.88</v>
      </c>
      <c r="U2405" s="11">
        <v>1</v>
      </c>
      <c r="V2405" s="12">
        <f>T2405*U2405</f>
        <v>15.88</v>
      </c>
      <c r="W2405" s="13">
        <v>0</v>
      </c>
      <c r="X2405" s="12">
        <f>V2405-(V2405/(1+W2405))</f>
        <v>0</v>
      </c>
      <c r="Y2405" s="12">
        <f>V2405-X2405</f>
        <v>15.88</v>
      </c>
      <c r="Z2405" s="14">
        <v>35</v>
      </c>
      <c r="AA2405" s="2" t="str">
        <f>IF(V2405&gt;Z2405,"Yes","No")</f>
        <v>No</v>
      </c>
      <c r="AB2405" s="12">
        <f>V2405-Z2405</f>
        <v>-19.119999999999997</v>
      </c>
      <c r="AC2405" s="15" t="s">
        <v>130</v>
      </c>
      <c r="AD2405" s="15" t="s">
        <v>130</v>
      </c>
      <c r="AE2405" s="15" t="s">
        <v>260</v>
      </c>
      <c r="AF2405" s="12">
        <f>IF(AG2405="Rejected",0,IF(R2405="Corporate Card",0,V2405))</f>
        <v>0</v>
      </c>
      <c r="AG2405" s="15" t="s">
        <v>133</v>
      </c>
      <c r="AH2405" s="16">
        <v>45951</v>
      </c>
      <c r="AI2405" s="16">
        <v>45952</v>
      </c>
      <c r="AJ2405" s="16">
        <v>45964</v>
      </c>
      <c r="AK2405" s="17">
        <f>IF(AJ2405="","",AJ2405-AH2405)</f>
        <v>13</v>
      </c>
    </row>
    <row r="2406" spans="1:37">
      <c r="A2406" s="2" t="s">
        <v>2893</v>
      </c>
      <c r="B2406" s="2" t="s">
        <v>616</v>
      </c>
      <c r="C2406" s="2" t="s">
        <v>252</v>
      </c>
      <c r="D2406" s="2" t="s">
        <v>250</v>
      </c>
      <c r="E2406" s="2" t="s">
        <v>617</v>
      </c>
      <c r="F2406" s="2" t="s">
        <v>510</v>
      </c>
      <c r="G2406" s="2" t="s">
        <v>2878</v>
      </c>
      <c r="H2406" s="2" t="s">
        <v>348</v>
      </c>
      <c r="I2406" s="2" t="s">
        <v>1038</v>
      </c>
      <c r="J2406" s="2" t="s">
        <v>381</v>
      </c>
      <c r="K2406" s="9">
        <v>45942</v>
      </c>
      <c r="L2406" s="9">
        <v>45949</v>
      </c>
      <c r="M2406" s="9">
        <v>45946</v>
      </c>
      <c r="N2406" s="2" t="s">
        <v>2764</v>
      </c>
      <c r="O2406" s="2" t="s">
        <v>56</v>
      </c>
      <c r="P2406" s="2" t="s">
        <v>245</v>
      </c>
      <c r="Q2406" s="2" t="s">
        <v>185</v>
      </c>
      <c r="R2406" s="2" t="s">
        <v>128</v>
      </c>
      <c r="S2406" s="2" t="s">
        <v>383</v>
      </c>
      <c r="T2406" s="10">
        <v>63.1</v>
      </c>
      <c r="U2406" s="11">
        <v>1</v>
      </c>
      <c r="V2406" s="12">
        <f>T2406*U2406</f>
        <v>63.1</v>
      </c>
      <c r="W2406" s="13">
        <v>0</v>
      </c>
      <c r="X2406" s="12">
        <f>V2406-(V2406/(1+W2406))</f>
        <v>0</v>
      </c>
      <c r="Y2406" s="12">
        <f>V2406-X2406</f>
        <v>63.1</v>
      </c>
      <c r="Z2406" s="14">
        <v>75</v>
      </c>
      <c r="AA2406" s="2" t="str">
        <f>IF(V2406&gt;Z2406,"Yes","No")</f>
        <v>No</v>
      </c>
      <c r="AB2406" s="12">
        <f>V2406-Z2406</f>
        <v>-11.899999999999999</v>
      </c>
      <c r="AC2406" s="15" t="s">
        <v>130</v>
      </c>
      <c r="AD2406" s="15" t="s">
        <v>130</v>
      </c>
      <c r="AE2406" s="15" t="s">
        <v>260</v>
      </c>
      <c r="AF2406" s="12">
        <f>IF(AG2406="Rejected",0,IF(R2406="Corporate Card",0,V2406))</f>
        <v>0</v>
      </c>
      <c r="AG2406" s="15" t="s">
        <v>133</v>
      </c>
      <c r="AH2406" s="16">
        <v>45951</v>
      </c>
      <c r="AI2406" s="16">
        <v>45952</v>
      </c>
      <c r="AJ2406" s="16">
        <v>45964</v>
      </c>
      <c r="AK2406" s="17">
        <f>IF(AJ2406="","",AJ2406-AH2406)</f>
        <v>13</v>
      </c>
    </row>
    <row r="2407" spans="1:37">
      <c r="A2407" s="2" t="s">
        <v>2894</v>
      </c>
      <c r="B2407" s="2" t="s">
        <v>616</v>
      </c>
      <c r="C2407" s="2" t="s">
        <v>252</v>
      </c>
      <c r="D2407" s="2" t="s">
        <v>250</v>
      </c>
      <c r="E2407" s="2" t="s">
        <v>617</v>
      </c>
      <c r="F2407" s="2" t="s">
        <v>510</v>
      </c>
      <c r="G2407" s="2" t="s">
        <v>2878</v>
      </c>
      <c r="H2407" s="2" t="s">
        <v>348</v>
      </c>
      <c r="I2407" s="2" t="s">
        <v>1038</v>
      </c>
      <c r="J2407" s="2" t="s">
        <v>381</v>
      </c>
      <c r="K2407" s="9">
        <v>45942</v>
      </c>
      <c r="L2407" s="9">
        <v>45949</v>
      </c>
      <c r="M2407" s="9">
        <v>45946</v>
      </c>
      <c r="N2407" s="2" t="s">
        <v>2764</v>
      </c>
      <c r="O2407" s="2" t="s">
        <v>55</v>
      </c>
      <c r="P2407" s="2" t="s">
        <v>139</v>
      </c>
      <c r="Q2407" s="2" t="s">
        <v>161</v>
      </c>
      <c r="R2407" s="2" t="s">
        <v>128</v>
      </c>
      <c r="S2407" s="2" t="s">
        <v>383</v>
      </c>
      <c r="T2407" s="10">
        <v>45.88</v>
      </c>
      <c r="U2407" s="11">
        <v>1</v>
      </c>
      <c r="V2407" s="12">
        <f>T2407*U2407</f>
        <v>45.88</v>
      </c>
      <c r="W2407" s="13">
        <v>0</v>
      </c>
      <c r="X2407" s="12">
        <f>V2407-(V2407/(1+W2407))</f>
        <v>0</v>
      </c>
      <c r="Y2407" s="12">
        <f>V2407-X2407</f>
        <v>45.88</v>
      </c>
      <c r="Z2407" s="14">
        <v>35</v>
      </c>
      <c r="AA2407" s="2" t="str">
        <f>IF(V2407&gt;Z2407,"Yes","No")</f>
        <v>Yes</v>
      </c>
      <c r="AB2407" s="12">
        <f>V2407-Z2407</f>
        <v>10.880000000000003</v>
      </c>
      <c r="AC2407" s="15" t="s">
        <v>130</v>
      </c>
      <c r="AD2407" s="15" t="s">
        <v>130</v>
      </c>
      <c r="AE2407" s="15" t="s">
        <v>260</v>
      </c>
      <c r="AF2407" s="12">
        <f>IF(AG2407="Rejected",0,IF(R2407="Corporate Card",0,V2407))</f>
        <v>0</v>
      </c>
      <c r="AG2407" s="15" t="s">
        <v>133</v>
      </c>
      <c r="AH2407" s="16">
        <v>45951</v>
      </c>
      <c r="AI2407" s="16">
        <v>45952</v>
      </c>
      <c r="AJ2407" s="16">
        <v>45964</v>
      </c>
      <c r="AK2407" s="17">
        <f>IF(AJ2407="","",AJ2407-AH2407)</f>
        <v>13</v>
      </c>
    </row>
    <row r="2408" spans="1:37">
      <c r="A2408" s="2" t="s">
        <v>2895</v>
      </c>
      <c r="B2408" s="2" t="s">
        <v>616</v>
      </c>
      <c r="C2408" s="2" t="s">
        <v>252</v>
      </c>
      <c r="D2408" s="2" t="s">
        <v>250</v>
      </c>
      <c r="E2408" s="2" t="s">
        <v>617</v>
      </c>
      <c r="F2408" s="2" t="s">
        <v>510</v>
      </c>
      <c r="G2408" s="2" t="s">
        <v>2878</v>
      </c>
      <c r="H2408" s="2" t="s">
        <v>348</v>
      </c>
      <c r="I2408" s="2" t="s">
        <v>1038</v>
      </c>
      <c r="J2408" s="2" t="s">
        <v>381</v>
      </c>
      <c r="K2408" s="9">
        <v>45942</v>
      </c>
      <c r="L2408" s="9">
        <v>45949</v>
      </c>
      <c r="M2408" s="9">
        <v>45947</v>
      </c>
      <c r="N2408" s="2" t="s">
        <v>2764</v>
      </c>
      <c r="O2408" s="2" t="s">
        <v>58</v>
      </c>
      <c r="P2408" s="2" t="s">
        <v>142</v>
      </c>
      <c r="Q2408" s="2" t="s">
        <v>296</v>
      </c>
      <c r="R2408" s="2" t="s">
        <v>128</v>
      </c>
      <c r="S2408" s="2" t="s">
        <v>383</v>
      </c>
      <c r="T2408" s="10">
        <v>46.46</v>
      </c>
      <c r="U2408" s="11">
        <v>1</v>
      </c>
      <c r="V2408" s="12">
        <f>T2408*U2408</f>
        <v>46.46</v>
      </c>
      <c r="W2408" s="13">
        <v>0</v>
      </c>
      <c r="X2408" s="12">
        <f>V2408-(V2408/(1+W2408))</f>
        <v>0</v>
      </c>
      <c r="Y2408" s="12">
        <f>V2408-X2408</f>
        <v>46.46</v>
      </c>
      <c r="Z2408" s="14">
        <v>60</v>
      </c>
      <c r="AA2408" s="2" t="str">
        <f>IF(V2408&gt;Z2408,"Yes","No")</f>
        <v>No</v>
      </c>
      <c r="AB2408" s="12">
        <f>V2408-Z2408</f>
        <v>-13.54</v>
      </c>
      <c r="AC2408" s="15" t="s">
        <v>131</v>
      </c>
      <c r="AD2408" s="15" t="s">
        <v>130</v>
      </c>
      <c r="AE2408" s="15" t="s">
        <v>260</v>
      </c>
      <c r="AF2408" s="12">
        <f>IF(AG2408="Rejected",0,IF(R2408="Corporate Card",0,V2408))</f>
        <v>0</v>
      </c>
      <c r="AG2408" s="15" t="s">
        <v>133</v>
      </c>
      <c r="AH2408" s="16">
        <v>45951</v>
      </c>
      <c r="AI2408" s="16">
        <v>45952</v>
      </c>
      <c r="AJ2408" s="16">
        <v>45964</v>
      </c>
      <c r="AK2408" s="17">
        <f>IF(AJ2408="","",AJ2408-AH2408)</f>
        <v>13</v>
      </c>
    </row>
    <row r="2409" spans="1:37">
      <c r="A2409" s="2" t="s">
        <v>2896</v>
      </c>
      <c r="B2409" s="2" t="s">
        <v>616</v>
      </c>
      <c r="C2409" s="2" t="s">
        <v>252</v>
      </c>
      <c r="D2409" s="2" t="s">
        <v>250</v>
      </c>
      <c r="E2409" s="2" t="s">
        <v>617</v>
      </c>
      <c r="F2409" s="2" t="s">
        <v>510</v>
      </c>
      <c r="G2409" s="2" t="s">
        <v>2878</v>
      </c>
      <c r="H2409" s="2" t="s">
        <v>348</v>
      </c>
      <c r="I2409" s="2" t="s">
        <v>1038</v>
      </c>
      <c r="J2409" s="2" t="s">
        <v>381</v>
      </c>
      <c r="K2409" s="9">
        <v>45942</v>
      </c>
      <c r="L2409" s="9">
        <v>45949</v>
      </c>
      <c r="M2409" s="9">
        <v>45947</v>
      </c>
      <c r="N2409" s="2" t="s">
        <v>2764</v>
      </c>
      <c r="O2409" s="2" t="s">
        <v>56</v>
      </c>
      <c r="P2409" s="2" t="s">
        <v>151</v>
      </c>
      <c r="Q2409" s="2" t="s">
        <v>227</v>
      </c>
      <c r="R2409" s="2" t="s">
        <v>137</v>
      </c>
      <c r="S2409" s="2" t="s">
        <v>383</v>
      </c>
      <c r="T2409" s="10">
        <v>48.34</v>
      </c>
      <c r="U2409" s="11">
        <v>1</v>
      </c>
      <c r="V2409" s="12">
        <f>T2409*U2409</f>
        <v>48.34</v>
      </c>
      <c r="W2409" s="13">
        <v>0</v>
      </c>
      <c r="X2409" s="12">
        <f>V2409-(V2409/(1+W2409))</f>
        <v>0</v>
      </c>
      <c r="Y2409" s="12">
        <f>V2409-X2409</f>
        <v>48.34</v>
      </c>
      <c r="Z2409" s="14">
        <v>75</v>
      </c>
      <c r="AA2409" s="2" t="str">
        <f>IF(V2409&gt;Z2409,"Yes","No")</f>
        <v>No</v>
      </c>
      <c r="AB2409" s="12">
        <f>V2409-Z2409</f>
        <v>-26.659999999999997</v>
      </c>
      <c r="AC2409" s="15" t="s">
        <v>130</v>
      </c>
      <c r="AD2409" s="15" t="s">
        <v>130</v>
      </c>
      <c r="AE2409" s="15" t="s">
        <v>260</v>
      </c>
      <c r="AF2409" s="12">
        <f>IF(AG2409="Rejected",0,IF(R2409="Corporate Card",0,V2409))</f>
        <v>48.34</v>
      </c>
      <c r="AG2409" s="15" t="s">
        <v>133</v>
      </c>
      <c r="AH2409" s="16">
        <v>45951</v>
      </c>
      <c r="AI2409" s="16">
        <v>45952</v>
      </c>
      <c r="AJ2409" s="16">
        <v>45964</v>
      </c>
      <c r="AK2409" s="17">
        <f>IF(AJ2409="","",AJ2409-AH2409)</f>
        <v>13</v>
      </c>
    </row>
    <row r="2410" spans="1:37">
      <c r="A2410" s="2" t="s">
        <v>2897</v>
      </c>
      <c r="B2410" s="2" t="s">
        <v>616</v>
      </c>
      <c r="C2410" s="2" t="s">
        <v>252</v>
      </c>
      <c r="D2410" s="2" t="s">
        <v>250</v>
      </c>
      <c r="E2410" s="2" t="s">
        <v>617</v>
      </c>
      <c r="F2410" s="2" t="s">
        <v>510</v>
      </c>
      <c r="G2410" s="2" t="s">
        <v>2878</v>
      </c>
      <c r="H2410" s="2" t="s">
        <v>348</v>
      </c>
      <c r="I2410" s="2" t="s">
        <v>1038</v>
      </c>
      <c r="J2410" s="2" t="s">
        <v>381</v>
      </c>
      <c r="K2410" s="9">
        <v>45942</v>
      </c>
      <c r="L2410" s="9">
        <v>45949</v>
      </c>
      <c r="M2410" s="9">
        <v>45947</v>
      </c>
      <c r="N2410" s="2" t="s">
        <v>2764</v>
      </c>
      <c r="O2410" s="2" t="s">
        <v>55</v>
      </c>
      <c r="P2410" s="2" t="s">
        <v>139</v>
      </c>
      <c r="Q2410" s="2" t="s">
        <v>187</v>
      </c>
      <c r="R2410" s="2" t="s">
        <v>128</v>
      </c>
      <c r="S2410" s="2" t="s">
        <v>383</v>
      </c>
      <c r="T2410" s="10">
        <v>30.01</v>
      </c>
      <c r="U2410" s="11">
        <v>1</v>
      </c>
      <c r="V2410" s="12">
        <f>T2410*U2410</f>
        <v>30.01</v>
      </c>
      <c r="W2410" s="13">
        <v>0</v>
      </c>
      <c r="X2410" s="12">
        <f>V2410-(V2410/(1+W2410))</f>
        <v>0</v>
      </c>
      <c r="Y2410" s="12">
        <f>V2410-X2410</f>
        <v>30.01</v>
      </c>
      <c r="Z2410" s="14">
        <v>35</v>
      </c>
      <c r="AA2410" s="2" t="str">
        <f>IF(V2410&gt;Z2410,"Yes","No")</f>
        <v>No</v>
      </c>
      <c r="AB2410" s="12">
        <f>V2410-Z2410</f>
        <v>-4.9899999999999984</v>
      </c>
      <c r="AC2410" s="15" t="s">
        <v>131</v>
      </c>
      <c r="AD2410" s="15" t="s">
        <v>130</v>
      </c>
      <c r="AE2410" s="15" t="s">
        <v>260</v>
      </c>
      <c r="AF2410" s="12">
        <f>IF(AG2410="Rejected",0,IF(R2410="Corporate Card",0,V2410))</f>
        <v>0</v>
      </c>
      <c r="AG2410" s="15" t="s">
        <v>133</v>
      </c>
      <c r="AH2410" s="16">
        <v>45951</v>
      </c>
      <c r="AI2410" s="16">
        <v>45952</v>
      </c>
      <c r="AJ2410" s="16">
        <v>45964</v>
      </c>
      <c r="AK2410" s="17">
        <f>IF(AJ2410="","",AJ2410-AH2410)</f>
        <v>13</v>
      </c>
    </row>
    <row r="2411" spans="1:37">
      <c r="A2411" s="2" t="s">
        <v>2898</v>
      </c>
      <c r="B2411" s="2" t="s">
        <v>550</v>
      </c>
      <c r="C2411" s="2" t="s">
        <v>551</v>
      </c>
      <c r="D2411" s="2" t="s">
        <v>171</v>
      </c>
      <c r="E2411" s="2" t="s">
        <v>172</v>
      </c>
      <c r="F2411" s="2" t="s">
        <v>173</v>
      </c>
      <c r="G2411" s="2" t="s">
        <v>2899</v>
      </c>
      <c r="H2411" s="2" t="s">
        <v>291</v>
      </c>
      <c r="I2411" s="2" t="s">
        <v>567</v>
      </c>
      <c r="J2411" s="2" t="s">
        <v>434</v>
      </c>
      <c r="K2411" s="9">
        <v>45948</v>
      </c>
      <c r="L2411" s="9">
        <v>45952</v>
      </c>
      <c r="M2411" s="9">
        <v>45948</v>
      </c>
      <c r="N2411" s="2" t="s">
        <v>2764</v>
      </c>
      <c r="O2411" s="2" t="s">
        <v>52</v>
      </c>
      <c r="P2411" s="2" t="s">
        <v>568</v>
      </c>
      <c r="Q2411" s="2" t="s">
        <v>349</v>
      </c>
      <c r="R2411" s="2" t="s">
        <v>128</v>
      </c>
      <c r="S2411" s="2" t="s">
        <v>436</v>
      </c>
      <c r="T2411" s="10">
        <v>126512</v>
      </c>
      <c r="U2411" s="11">
        <v>1.1780000000000001E-2</v>
      </c>
      <c r="V2411" s="12">
        <f>T2411*U2411</f>
        <v>1490.3113600000001</v>
      </c>
      <c r="W2411" s="13">
        <v>0</v>
      </c>
      <c r="X2411" s="12">
        <f>V2411-(V2411/(1+W2411))</f>
        <v>0</v>
      </c>
      <c r="Y2411" s="12">
        <f>V2411-X2411</f>
        <v>1490.3113600000001</v>
      </c>
      <c r="Z2411" s="14">
        <v>1400</v>
      </c>
      <c r="AA2411" s="2" t="str">
        <f>IF(V2411&gt;Z2411,"Yes","No")</f>
        <v>Yes</v>
      </c>
      <c r="AB2411" s="12">
        <f>V2411-Z2411</f>
        <v>90.31136000000015</v>
      </c>
      <c r="AC2411" s="15" t="s">
        <v>130</v>
      </c>
      <c r="AD2411" s="15" t="s">
        <v>131</v>
      </c>
      <c r="AE2411" s="15" t="s">
        <v>514</v>
      </c>
      <c r="AF2411" s="12">
        <f>IF(AG2411="Rejected",0,IF(R2411="Corporate Card",0,V2411))</f>
        <v>0</v>
      </c>
      <c r="AG2411" s="15" t="s">
        <v>133</v>
      </c>
      <c r="AH2411" s="16">
        <v>45959</v>
      </c>
      <c r="AI2411" s="16">
        <v>45965</v>
      </c>
      <c r="AJ2411" s="16">
        <v>45977</v>
      </c>
      <c r="AK2411" s="17">
        <f>IF(AJ2411="","",AJ2411-AH2411)</f>
        <v>18</v>
      </c>
    </row>
    <row r="2412" spans="1:37">
      <c r="A2412" s="2" t="s">
        <v>2900</v>
      </c>
      <c r="B2412" s="2" t="s">
        <v>550</v>
      </c>
      <c r="C2412" s="2" t="s">
        <v>551</v>
      </c>
      <c r="D2412" s="2" t="s">
        <v>171</v>
      </c>
      <c r="E2412" s="2" t="s">
        <v>172</v>
      </c>
      <c r="F2412" s="2" t="s">
        <v>173</v>
      </c>
      <c r="G2412" s="2" t="s">
        <v>2899</v>
      </c>
      <c r="H2412" s="2" t="s">
        <v>291</v>
      </c>
      <c r="I2412" s="2" t="s">
        <v>567</v>
      </c>
      <c r="J2412" s="2" t="s">
        <v>434</v>
      </c>
      <c r="K2412" s="9">
        <v>45948</v>
      </c>
      <c r="L2412" s="9">
        <v>45952</v>
      </c>
      <c r="M2412" s="9">
        <v>45948</v>
      </c>
      <c r="N2412" s="2" t="s">
        <v>2764</v>
      </c>
      <c r="O2412" s="2" t="s">
        <v>56</v>
      </c>
      <c r="P2412" s="2" t="s">
        <v>151</v>
      </c>
      <c r="Q2412" s="2" t="s">
        <v>152</v>
      </c>
      <c r="R2412" s="2" t="s">
        <v>137</v>
      </c>
      <c r="S2412" s="2" t="s">
        <v>436</v>
      </c>
      <c r="T2412" s="10">
        <v>3322</v>
      </c>
      <c r="U2412" s="11">
        <v>1.1780000000000001E-2</v>
      </c>
      <c r="V2412" s="12">
        <f>T2412*U2412</f>
        <v>39.133160000000004</v>
      </c>
      <c r="W2412" s="13">
        <v>0.18</v>
      </c>
      <c r="X2412" s="12">
        <f>V2412-(V2412/(1+W2412))</f>
        <v>5.9694650847457638</v>
      </c>
      <c r="Y2412" s="12">
        <f>V2412-X2412</f>
        <v>33.16369491525424</v>
      </c>
      <c r="Z2412" s="14">
        <v>75</v>
      </c>
      <c r="AA2412" s="2" t="str">
        <f>IF(V2412&gt;Z2412,"Yes","No")</f>
        <v>No</v>
      </c>
      <c r="AB2412" s="12">
        <f>V2412-Z2412</f>
        <v>-35.866839999999996</v>
      </c>
      <c r="AC2412" s="15" t="s">
        <v>130</v>
      </c>
      <c r="AD2412" s="15" t="s">
        <v>131</v>
      </c>
      <c r="AE2412" s="15" t="s">
        <v>514</v>
      </c>
      <c r="AF2412" s="12">
        <f>IF(AG2412="Rejected",0,IF(R2412="Corporate Card",0,V2412))</f>
        <v>39.133160000000004</v>
      </c>
      <c r="AG2412" s="15" t="s">
        <v>133</v>
      </c>
      <c r="AH2412" s="16">
        <v>45959</v>
      </c>
      <c r="AI2412" s="16">
        <v>45965</v>
      </c>
      <c r="AJ2412" s="16">
        <v>45977</v>
      </c>
      <c r="AK2412" s="17">
        <f>IF(AJ2412="","",AJ2412-AH2412)</f>
        <v>18</v>
      </c>
    </row>
    <row r="2413" spans="1:37">
      <c r="A2413" s="2" t="s">
        <v>2901</v>
      </c>
      <c r="B2413" s="2" t="s">
        <v>550</v>
      </c>
      <c r="C2413" s="2" t="s">
        <v>551</v>
      </c>
      <c r="D2413" s="2" t="s">
        <v>171</v>
      </c>
      <c r="E2413" s="2" t="s">
        <v>172</v>
      </c>
      <c r="F2413" s="2" t="s">
        <v>173</v>
      </c>
      <c r="G2413" s="2" t="s">
        <v>2899</v>
      </c>
      <c r="H2413" s="2" t="s">
        <v>291</v>
      </c>
      <c r="I2413" s="2" t="s">
        <v>567</v>
      </c>
      <c r="J2413" s="2" t="s">
        <v>434</v>
      </c>
      <c r="K2413" s="9">
        <v>45948</v>
      </c>
      <c r="L2413" s="9">
        <v>45952</v>
      </c>
      <c r="M2413" s="9">
        <v>45948</v>
      </c>
      <c r="N2413" s="2" t="s">
        <v>2764</v>
      </c>
      <c r="O2413" s="2" t="s">
        <v>55</v>
      </c>
      <c r="P2413" s="2" t="s">
        <v>139</v>
      </c>
      <c r="Q2413" s="2" t="s">
        <v>154</v>
      </c>
      <c r="R2413" s="2" t="s">
        <v>137</v>
      </c>
      <c r="S2413" s="2" t="s">
        <v>436</v>
      </c>
      <c r="T2413" s="10">
        <v>1688</v>
      </c>
      <c r="U2413" s="11">
        <v>1.1780000000000001E-2</v>
      </c>
      <c r="V2413" s="12">
        <f>T2413*U2413</f>
        <v>19.884640000000001</v>
      </c>
      <c r="W2413" s="13">
        <v>0.18</v>
      </c>
      <c r="X2413" s="12">
        <f>V2413-(V2413/(1+W2413))</f>
        <v>3.0332501694915237</v>
      </c>
      <c r="Y2413" s="12">
        <f>V2413-X2413</f>
        <v>16.851389830508477</v>
      </c>
      <c r="Z2413" s="14">
        <v>35</v>
      </c>
      <c r="AA2413" s="2" t="str">
        <f>IF(V2413&gt;Z2413,"Yes","No")</f>
        <v>No</v>
      </c>
      <c r="AB2413" s="12">
        <f>V2413-Z2413</f>
        <v>-15.115359999999999</v>
      </c>
      <c r="AC2413" s="15" t="s">
        <v>130</v>
      </c>
      <c r="AD2413" s="15" t="s">
        <v>131</v>
      </c>
      <c r="AE2413" s="15" t="s">
        <v>514</v>
      </c>
      <c r="AF2413" s="12">
        <f>IF(AG2413="Rejected",0,IF(R2413="Corporate Card",0,V2413))</f>
        <v>19.884640000000001</v>
      </c>
      <c r="AG2413" s="15" t="s">
        <v>133</v>
      </c>
      <c r="AH2413" s="16">
        <v>45959</v>
      </c>
      <c r="AI2413" s="16">
        <v>45965</v>
      </c>
      <c r="AJ2413" s="16">
        <v>45977</v>
      </c>
      <c r="AK2413" s="17">
        <f>IF(AJ2413="","",AJ2413-AH2413)</f>
        <v>18</v>
      </c>
    </row>
    <row r="2414" spans="1:37">
      <c r="A2414" s="2" t="s">
        <v>2902</v>
      </c>
      <c r="B2414" s="2" t="s">
        <v>616</v>
      </c>
      <c r="C2414" s="2" t="s">
        <v>252</v>
      </c>
      <c r="D2414" s="2" t="s">
        <v>250</v>
      </c>
      <c r="E2414" s="2" t="s">
        <v>617</v>
      </c>
      <c r="F2414" s="2" t="s">
        <v>510</v>
      </c>
      <c r="G2414" s="2" t="s">
        <v>2878</v>
      </c>
      <c r="H2414" s="2" t="s">
        <v>348</v>
      </c>
      <c r="I2414" s="2" t="s">
        <v>1038</v>
      </c>
      <c r="J2414" s="2" t="s">
        <v>381</v>
      </c>
      <c r="K2414" s="9">
        <v>45942</v>
      </c>
      <c r="L2414" s="9">
        <v>45949</v>
      </c>
      <c r="M2414" s="9">
        <v>45948</v>
      </c>
      <c r="N2414" s="2" t="s">
        <v>2764</v>
      </c>
      <c r="O2414" s="2" t="s">
        <v>57</v>
      </c>
      <c r="P2414" s="2" t="s">
        <v>398</v>
      </c>
      <c r="Q2414" s="2" t="s">
        <v>399</v>
      </c>
      <c r="R2414" s="2" t="s">
        <v>128</v>
      </c>
      <c r="S2414" s="2" t="s">
        <v>383</v>
      </c>
      <c r="T2414" s="10">
        <v>124.43</v>
      </c>
      <c r="U2414" s="11">
        <v>1</v>
      </c>
      <c r="V2414" s="12">
        <f>T2414*U2414</f>
        <v>124.43</v>
      </c>
      <c r="W2414" s="13">
        <v>0</v>
      </c>
      <c r="X2414" s="12">
        <f>V2414-(V2414/(1+W2414))</f>
        <v>0</v>
      </c>
      <c r="Y2414" s="12">
        <f>V2414-X2414</f>
        <v>124.43</v>
      </c>
      <c r="Z2414" s="14">
        <v>200</v>
      </c>
      <c r="AA2414" s="2" t="str">
        <f>IF(V2414&gt;Z2414,"Yes","No")</f>
        <v>No</v>
      </c>
      <c r="AB2414" s="12">
        <f>V2414-Z2414</f>
        <v>-75.569999999999993</v>
      </c>
      <c r="AC2414" s="15" t="s">
        <v>130</v>
      </c>
      <c r="AD2414" s="15" t="s">
        <v>130</v>
      </c>
      <c r="AE2414" s="15" t="s">
        <v>260</v>
      </c>
      <c r="AF2414" s="12">
        <f>IF(AG2414="Rejected",0,IF(R2414="Corporate Card",0,V2414))</f>
        <v>0</v>
      </c>
      <c r="AG2414" s="15" t="s">
        <v>133</v>
      </c>
      <c r="AH2414" s="16">
        <v>45951</v>
      </c>
      <c r="AI2414" s="16">
        <v>45952</v>
      </c>
      <c r="AJ2414" s="16">
        <v>45964</v>
      </c>
      <c r="AK2414" s="17">
        <f>IF(AJ2414="","",AJ2414-AH2414)</f>
        <v>13</v>
      </c>
    </row>
    <row r="2415" spans="1:37">
      <c r="A2415" s="2" t="s">
        <v>2903</v>
      </c>
      <c r="B2415" s="2" t="s">
        <v>616</v>
      </c>
      <c r="C2415" s="2" t="s">
        <v>252</v>
      </c>
      <c r="D2415" s="2" t="s">
        <v>250</v>
      </c>
      <c r="E2415" s="2" t="s">
        <v>617</v>
      </c>
      <c r="F2415" s="2" t="s">
        <v>510</v>
      </c>
      <c r="G2415" s="2" t="s">
        <v>2878</v>
      </c>
      <c r="H2415" s="2" t="s">
        <v>348</v>
      </c>
      <c r="I2415" s="2" t="s">
        <v>1038</v>
      </c>
      <c r="J2415" s="2" t="s">
        <v>381</v>
      </c>
      <c r="K2415" s="9">
        <v>45942</v>
      </c>
      <c r="L2415" s="9">
        <v>45949</v>
      </c>
      <c r="M2415" s="9">
        <v>45948</v>
      </c>
      <c r="N2415" s="2" t="s">
        <v>2764</v>
      </c>
      <c r="O2415" s="2" t="s">
        <v>58</v>
      </c>
      <c r="P2415" s="2" t="s">
        <v>142</v>
      </c>
      <c r="Q2415" s="2" t="s">
        <v>296</v>
      </c>
      <c r="R2415" s="2" t="s">
        <v>128</v>
      </c>
      <c r="S2415" s="2" t="s">
        <v>383</v>
      </c>
      <c r="T2415" s="10">
        <v>27.56</v>
      </c>
      <c r="U2415" s="11">
        <v>1</v>
      </c>
      <c r="V2415" s="12">
        <f>T2415*U2415</f>
        <v>27.56</v>
      </c>
      <c r="W2415" s="13">
        <v>0</v>
      </c>
      <c r="X2415" s="12">
        <f>V2415-(V2415/(1+W2415))</f>
        <v>0</v>
      </c>
      <c r="Y2415" s="12">
        <f>V2415-X2415</f>
        <v>27.56</v>
      </c>
      <c r="Z2415" s="14">
        <v>60</v>
      </c>
      <c r="AA2415" s="2" t="str">
        <f>IF(V2415&gt;Z2415,"Yes","No")</f>
        <v>No</v>
      </c>
      <c r="AB2415" s="12">
        <f>V2415-Z2415</f>
        <v>-32.44</v>
      </c>
      <c r="AC2415" s="15" t="s">
        <v>131</v>
      </c>
      <c r="AD2415" s="15" t="s">
        <v>130</v>
      </c>
      <c r="AE2415" s="15" t="s">
        <v>260</v>
      </c>
      <c r="AF2415" s="12">
        <f>IF(AG2415="Rejected",0,IF(R2415="Corporate Card",0,V2415))</f>
        <v>0</v>
      </c>
      <c r="AG2415" s="15" t="s">
        <v>133</v>
      </c>
      <c r="AH2415" s="16">
        <v>45951</v>
      </c>
      <c r="AI2415" s="16">
        <v>45952</v>
      </c>
      <c r="AJ2415" s="16">
        <v>45964</v>
      </c>
      <c r="AK2415" s="17">
        <f>IF(AJ2415="","",AJ2415-AH2415)</f>
        <v>13</v>
      </c>
    </row>
    <row r="2416" spans="1:37">
      <c r="A2416" s="2" t="s">
        <v>2904</v>
      </c>
      <c r="B2416" s="2" t="s">
        <v>616</v>
      </c>
      <c r="C2416" s="2" t="s">
        <v>252</v>
      </c>
      <c r="D2416" s="2" t="s">
        <v>250</v>
      </c>
      <c r="E2416" s="2" t="s">
        <v>617</v>
      </c>
      <c r="F2416" s="2" t="s">
        <v>510</v>
      </c>
      <c r="G2416" s="2" t="s">
        <v>2878</v>
      </c>
      <c r="H2416" s="2" t="s">
        <v>348</v>
      </c>
      <c r="I2416" s="2" t="s">
        <v>1038</v>
      </c>
      <c r="J2416" s="2" t="s">
        <v>381</v>
      </c>
      <c r="K2416" s="9">
        <v>45942</v>
      </c>
      <c r="L2416" s="9">
        <v>45949</v>
      </c>
      <c r="M2416" s="9">
        <v>45948</v>
      </c>
      <c r="N2416" s="2" t="s">
        <v>2764</v>
      </c>
      <c r="O2416" s="2" t="s">
        <v>54</v>
      </c>
      <c r="P2416" s="2" t="s">
        <v>139</v>
      </c>
      <c r="Q2416" s="2" t="s">
        <v>214</v>
      </c>
      <c r="R2416" s="2" t="s">
        <v>128</v>
      </c>
      <c r="S2416" s="2" t="s">
        <v>383</v>
      </c>
      <c r="T2416" s="10">
        <v>9.82</v>
      </c>
      <c r="U2416" s="11">
        <v>1</v>
      </c>
      <c r="V2416" s="12">
        <f>T2416*U2416</f>
        <v>9.82</v>
      </c>
      <c r="W2416" s="13">
        <v>0</v>
      </c>
      <c r="X2416" s="12">
        <f>V2416-(V2416/(1+W2416))</f>
        <v>0</v>
      </c>
      <c r="Y2416" s="12">
        <f>V2416-X2416</f>
        <v>9.82</v>
      </c>
      <c r="Z2416" s="14">
        <v>25</v>
      </c>
      <c r="AA2416" s="2" t="str">
        <f>IF(V2416&gt;Z2416,"Yes","No")</f>
        <v>No</v>
      </c>
      <c r="AB2416" s="12">
        <f>V2416-Z2416</f>
        <v>-15.18</v>
      </c>
      <c r="AC2416" s="15" t="s">
        <v>130</v>
      </c>
      <c r="AD2416" s="15" t="s">
        <v>130</v>
      </c>
      <c r="AE2416" s="15" t="s">
        <v>260</v>
      </c>
      <c r="AF2416" s="12">
        <f>IF(AG2416="Rejected",0,IF(R2416="Corporate Card",0,V2416))</f>
        <v>0</v>
      </c>
      <c r="AG2416" s="15" t="s">
        <v>133</v>
      </c>
      <c r="AH2416" s="16">
        <v>45951</v>
      </c>
      <c r="AI2416" s="16">
        <v>45952</v>
      </c>
      <c r="AJ2416" s="16">
        <v>45964</v>
      </c>
      <c r="AK2416" s="17">
        <f>IF(AJ2416="","",AJ2416-AH2416)</f>
        <v>13</v>
      </c>
    </row>
    <row r="2417" spans="1:37">
      <c r="A2417" s="2" t="s">
        <v>2905</v>
      </c>
      <c r="B2417" s="2" t="s">
        <v>616</v>
      </c>
      <c r="C2417" s="2" t="s">
        <v>252</v>
      </c>
      <c r="D2417" s="2" t="s">
        <v>250</v>
      </c>
      <c r="E2417" s="2" t="s">
        <v>617</v>
      </c>
      <c r="F2417" s="2" t="s">
        <v>510</v>
      </c>
      <c r="G2417" s="2" t="s">
        <v>2878</v>
      </c>
      <c r="H2417" s="2" t="s">
        <v>348</v>
      </c>
      <c r="I2417" s="2" t="s">
        <v>1038</v>
      </c>
      <c r="J2417" s="2" t="s">
        <v>381</v>
      </c>
      <c r="K2417" s="9">
        <v>45942</v>
      </c>
      <c r="L2417" s="9">
        <v>45949</v>
      </c>
      <c r="M2417" s="9">
        <v>45948</v>
      </c>
      <c r="N2417" s="2" t="s">
        <v>2764</v>
      </c>
      <c r="O2417" s="2" t="s">
        <v>56</v>
      </c>
      <c r="P2417" s="2" t="s">
        <v>231</v>
      </c>
      <c r="Q2417" s="2" t="s">
        <v>227</v>
      </c>
      <c r="R2417" s="2" t="s">
        <v>128</v>
      </c>
      <c r="S2417" s="2" t="s">
        <v>383</v>
      </c>
      <c r="T2417" s="10">
        <v>28.32</v>
      </c>
      <c r="U2417" s="11">
        <v>1</v>
      </c>
      <c r="V2417" s="12">
        <f>T2417*U2417</f>
        <v>28.32</v>
      </c>
      <c r="W2417" s="13">
        <v>0</v>
      </c>
      <c r="X2417" s="12">
        <f>V2417-(V2417/(1+W2417))</f>
        <v>0</v>
      </c>
      <c r="Y2417" s="12">
        <f>V2417-X2417</f>
        <v>28.32</v>
      </c>
      <c r="Z2417" s="14">
        <v>75</v>
      </c>
      <c r="AA2417" s="2" t="str">
        <f>IF(V2417&gt;Z2417,"Yes","No")</f>
        <v>No</v>
      </c>
      <c r="AB2417" s="12">
        <f>V2417-Z2417</f>
        <v>-46.68</v>
      </c>
      <c r="AC2417" s="15" t="s">
        <v>130</v>
      </c>
      <c r="AD2417" s="15" t="s">
        <v>130</v>
      </c>
      <c r="AE2417" s="15" t="s">
        <v>260</v>
      </c>
      <c r="AF2417" s="12">
        <f>IF(AG2417="Rejected",0,IF(R2417="Corporate Card",0,V2417))</f>
        <v>0</v>
      </c>
      <c r="AG2417" s="15" t="s">
        <v>133</v>
      </c>
      <c r="AH2417" s="16">
        <v>45951</v>
      </c>
      <c r="AI2417" s="16">
        <v>45952</v>
      </c>
      <c r="AJ2417" s="16">
        <v>45964</v>
      </c>
      <c r="AK2417" s="17">
        <f>IF(AJ2417="","",AJ2417-AH2417)</f>
        <v>13</v>
      </c>
    </row>
    <row r="2418" spans="1:37">
      <c r="A2418" s="2" t="s">
        <v>2906</v>
      </c>
      <c r="B2418" s="2" t="s">
        <v>616</v>
      </c>
      <c r="C2418" s="2" t="s">
        <v>252</v>
      </c>
      <c r="D2418" s="2" t="s">
        <v>250</v>
      </c>
      <c r="E2418" s="2" t="s">
        <v>617</v>
      </c>
      <c r="F2418" s="2" t="s">
        <v>510</v>
      </c>
      <c r="G2418" s="2" t="s">
        <v>2878</v>
      </c>
      <c r="H2418" s="2" t="s">
        <v>348</v>
      </c>
      <c r="I2418" s="2" t="s">
        <v>1038</v>
      </c>
      <c r="J2418" s="2" t="s">
        <v>381</v>
      </c>
      <c r="K2418" s="9">
        <v>45942</v>
      </c>
      <c r="L2418" s="9">
        <v>45949</v>
      </c>
      <c r="M2418" s="9">
        <v>45948</v>
      </c>
      <c r="N2418" s="2" t="s">
        <v>2764</v>
      </c>
      <c r="O2418" s="2" t="s">
        <v>55</v>
      </c>
      <c r="P2418" s="2" t="s">
        <v>139</v>
      </c>
      <c r="Q2418" s="2" t="s">
        <v>154</v>
      </c>
      <c r="R2418" s="2" t="s">
        <v>128</v>
      </c>
      <c r="S2418" s="2" t="s">
        <v>383</v>
      </c>
      <c r="T2418" s="10">
        <v>21.38</v>
      </c>
      <c r="U2418" s="11">
        <v>1</v>
      </c>
      <c r="V2418" s="12">
        <f>T2418*U2418</f>
        <v>21.38</v>
      </c>
      <c r="W2418" s="13">
        <v>0</v>
      </c>
      <c r="X2418" s="12">
        <f>V2418-(V2418/(1+W2418))</f>
        <v>0</v>
      </c>
      <c r="Y2418" s="12">
        <f>V2418-X2418</f>
        <v>21.38</v>
      </c>
      <c r="Z2418" s="14">
        <v>35</v>
      </c>
      <c r="AA2418" s="2" t="str">
        <f>IF(V2418&gt;Z2418,"Yes","No")</f>
        <v>No</v>
      </c>
      <c r="AB2418" s="12">
        <f>V2418-Z2418</f>
        <v>-13.620000000000001</v>
      </c>
      <c r="AC2418" s="15" t="s">
        <v>130</v>
      </c>
      <c r="AD2418" s="15" t="s">
        <v>130</v>
      </c>
      <c r="AE2418" s="15" t="s">
        <v>260</v>
      </c>
      <c r="AF2418" s="12">
        <f>IF(AG2418="Rejected",0,IF(R2418="Corporate Card",0,V2418))</f>
        <v>0</v>
      </c>
      <c r="AG2418" s="15" t="s">
        <v>133</v>
      </c>
      <c r="AH2418" s="16">
        <v>45951</v>
      </c>
      <c r="AI2418" s="16">
        <v>45952</v>
      </c>
      <c r="AJ2418" s="16">
        <v>45964</v>
      </c>
      <c r="AK2418" s="17">
        <f>IF(AJ2418="","",AJ2418-AH2418)</f>
        <v>13</v>
      </c>
    </row>
    <row r="2419" spans="1:37">
      <c r="A2419" s="2" t="s">
        <v>2907</v>
      </c>
      <c r="B2419" s="2" t="s">
        <v>2212</v>
      </c>
      <c r="C2419" s="2" t="s">
        <v>346</v>
      </c>
      <c r="D2419" s="2" t="s">
        <v>344</v>
      </c>
      <c r="E2419" s="2" t="s">
        <v>2213</v>
      </c>
      <c r="F2419" s="2" t="s">
        <v>313</v>
      </c>
      <c r="G2419" s="2" t="s">
        <v>2908</v>
      </c>
      <c r="H2419" s="2" t="s">
        <v>448</v>
      </c>
      <c r="I2419" s="2" t="s">
        <v>619</v>
      </c>
      <c r="J2419" s="2" t="s">
        <v>381</v>
      </c>
      <c r="K2419" s="9">
        <v>45948</v>
      </c>
      <c r="L2419" s="9">
        <v>45952</v>
      </c>
      <c r="M2419" s="9">
        <v>45948</v>
      </c>
      <c r="N2419" s="2" t="s">
        <v>2764</v>
      </c>
      <c r="O2419" s="2" t="s">
        <v>52</v>
      </c>
      <c r="P2419" s="2" t="s">
        <v>620</v>
      </c>
      <c r="Q2419" s="2" t="s">
        <v>513</v>
      </c>
      <c r="R2419" s="2" t="s">
        <v>128</v>
      </c>
      <c r="S2419" s="2" t="s">
        <v>383</v>
      </c>
      <c r="T2419" s="10">
        <v>518.99</v>
      </c>
      <c r="U2419" s="11">
        <v>1</v>
      </c>
      <c r="V2419" s="12">
        <f>T2419*U2419</f>
        <v>518.99</v>
      </c>
      <c r="W2419" s="13">
        <v>0</v>
      </c>
      <c r="X2419" s="12">
        <f>V2419-(V2419/(1+W2419))</f>
        <v>0</v>
      </c>
      <c r="Y2419" s="12">
        <f>V2419-X2419</f>
        <v>518.99</v>
      </c>
      <c r="Z2419" s="14">
        <v>1400</v>
      </c>
      <c r="AA2419" s="2" t="str">
        <f>IF(V2419&gt;Z2419,"Yes","No")</f>
        <v>No</v>
      </c>
      <c r="AB2419" s="12">
        <f>V2419-Z2419</f>
        <v>-881.01</v>
      </c>
      <c r="AC2419" s="15" t="s">
        <v>131</v>
      </c>
      <c r="AD2419" s="15" t="s">
        <v>130</v>
      </c>
      <c r="AE2419" s="15" t="s">
        <v>260</v>
      </c>
      <c r="AF2419" s="12">
        <f>IF(AG2419="Rejected",0,IF(R2419="Corporate Card",0,V2419))</f>
        <v>0</v>
      </c>
      <c r="AG2419" s="15" t="s">
        <v>804</v>
      </c>
      <c r="AH2419" s="16">
        <v>45955</v>
      </c>
      <c r="AI2419" s="16"/>
      <c r="AJ2419" s="16"/>
      <c r="AK2419" s="17" t="str">
        <f>IF(AJ2419="","",AJ2419-AH2419)</f>
        <v/>
      </c>
    </row>
    <row r="2420" spans="1:37">
      <c r="A2420" s="2" t="s">
        <v>2909</v>
      </c>
      <c r="B2420" s="2" t="s">
        <v>2212</v>
      </c>
      <c r="C2420" s="2" t="s">
        <v>346</v>
      </c>
      <c r="D2420" s="2" t="s">
        <v>344</v>
      </c>
      <c r="E2420" s="2" t="s">
        <v>2213</v>
      </c>
      <c r="F2420" s="2" t="s">
        <v>313</v>
      </c>
      <c r="G2420" s="2" t="s">
        <v>2908</v>
      </c>
      <c r="H2420" s="2" t="s">
        <v>448</v>
      </c>
      <c r="I2420" s="2" t="s">
        <v>619</v>
      </c>
      <c r="J2420" s="2" t="s">
        <v>381</v>
      </c>
      <c r="K2420" s="9">
        <v>45948</v>
      </c>
      <c r="L2420" s="9">
        <v>45952</v>
      </c>
      <c r="M2420" s="9">
        <v>45948</v>
      </c>
      <c r="N2420" s="2" t="s">
        <v>2764</v>
      </c>
      <c r="O2420" s="2" t="s">
        <v>54</v>
      </c>
      <c r="P2420" s="2" t="s">
        <v>139</v>
      </c>
      <c r="Q2420" s="2" t="s">
        <v>214</v>
      </c>
      <c r="R2420" s="2" t="s">
        <v>137</v>
      </c>
      <c r="S2420" s="2" t="s">
        <v>383</v>
      </c>
      <c r="T2420" s="10">
        <v>9.18</v>
      </c>
      <c r="U2420" s="11">
        <v>1</v>
      </c>
      <c r="V2420" s="12">
        <f>T2420*U2420</f>
        <v>9.18</v>
      </c>
      <c r="W2420" s="13">
        <v>0</v>
      </c>
      <c r="X2420" s="12">
        <f>V2420-(V2420/(1+W2420))</f>
        <v>0</v>
      </c>
      <c r="Y2420" s="12">
        <f>V2420-X2420</f>
        <v>9.18</v>
      </c>
      <c r="Z2420" s="14">
        <v>25</v>
      </c>
      <c r="AA2420" s="2" t="str">
        <f>IF(V2420&gt;Z2420,"Yes","No")</f>
        <v>No</v>
      </c>
      <c r="AB2420" s="12">
        <f>V2420-Z2420</f>
        <v>-15.82</v>
      </c>
      <c r="AC2420" s="15" t="s">
        <v>130</v>
      </c>
      <c r="AD2420" s="15" t="s">
        <v>130</v>
      </c>
      <c r="AE2420" s="15" t="s">
        <v>260</v>
      </c>
      <c r="AF2420" s="12">
        <f>IF(AG2420="Rejected",0,IF(R2420="Corporate Card",0,V2420))</f>
        <v>0</v>
      </c>
      <c r="AG2420" s="15" t="s">
        <v>804</v>
      </c>
      <c r="AH2420" s="16">
        <v>45955</v>
      </c>
      <c r="AI2420" s="16"/>
      <c r="AJ2420" s="16"/>
      <c r="AK2420" s="17" t="str">
        <f>IF(AJ2420="","",AJ2420-AH2420)</f>
        <v/>
      </c>
    </row>
    <row r="2421" spans="1:37">
      <c r="A2421" s="2" t="s">
        <v>2910</v>
      </c>
      <c r="B2421" s="2" t="s">
        <v>550</v>
      </c>
      <c r="C2421" s="2" t="s">
        <v>551</v>
      </c>
      <c r="D2421" s="2" t="s">
        <v>171</v>
      </c>
      <c r="E2421" s="2" t="s">
        <v>172</v>
      </c>
      <c r="F2421" s="2" t="s">
        <v>173</v>
      </c>
      <c r="G2421" s="2" t="s">
        <v>2899</v>
      </c>
      <c r="H2421" s="2" t="s">
        <v>291</v>
      </c>
      <c r="I2421" s="2" t="s">
        <v>567</v>
      </c>
      <c r="J2421" s="2" t="s">
        <v>434</v>
      </c>
      <c r="K2421" s="9">
        <v>45948</v>
      </c>
      <c r="L2421" s="9">
        <v>45952</v>
      </c>
      <c r="M2421" s="9">
        <v>45949</v>
      </c>
      <c r="N2421" s="2" t="s">
        <v>2764</v>
      </c>
      <c r="O2421" s="2" t="s">
        <v>53</v>
      </c>
      <c r="P2421" s="2" t="s">
        <v>457</v>
      </c>
      <c r="Q2421" s="2" t="s">
        <v>146</v>
      </c>
      <c r="R2421" s="2" t="s">
        <v>128</v>
      </c>
      <c r="S2421" s="2" t="s">
        <v>436</v>
      </c>
      <c r="T2421" s="10">
        <v>55901</v>
      </c>
      <c r="U2421" s="11">
        <v>1.1780000000000001E-2</v>
      </c>
      <c r="V2421" s="12">
        <f>T2421*U2421</f>
        <v>658.51378</v>
      </c>
      <c r="W2421" s="13">
        <v>0.18</v>
      </c>
      <c r="X2421" s="12">
        <f>V2421-(V2421/(1+W2421))</f>
        <v>100.45125457627114</v>
      </c>
      <c r="Y2421" s="12">
        <f>V2421-X2421</f>
        <v>558.06252542372886</v>
      </c>
      <c r="Z2421" s="14">
        <v>1120</v>
      </c>
      <c r="AA2421" s="2" t="str">
        <f>IF(V2421&gt;Z2421,"Yes","No")</f>
        <v>No</v>
      </c>
      <c r="AB2421" s="12">
        <f>V2421-Z2421</f>
        <v>-461.48622</v>
      </c>
      <c r="AC2421" s="15" t="s">
        <v>130</v>
      </c>
      <c r="AD2421" s="15" t="s">
        <v>131</v>
      </c>
      <c r="AE2421" s="15" t="s">
        <v>514</v>
      </c>
      <c r="AF2421" s="12">
        <f>IF(AG2421="Rejected",0,IF(R2421="Corporate Card",0,V2421))</f>
        <v>0</v>
      </c>
      <c r="AG2421" s="15" t="s">
        <v>133</v>
      </c>
      <c r="AH2421" s="16">
        <v>45959</v>
      </c>
      <c r="AI2421" s="16">
        <v>45965</v>
      </c>
      <c r="AJ2421" s="16">
        <v>45977</v>
      </c>
      <c r="AK2421" s="17">
        <f>IF(AJ2421="","",AJ2421-AH2421)</f>
        <v>18</v>
      </c>
    </row>
    <row r="2422" spans="1:37">
      <c r="A2422" s="2" t="s">
        <v>2911</v>
      </c>
      <c r="B2422" s="2" t="s">
        <v>550</v>
      </c>
      <c r="C2422" s="2" t="s">
        <v>551</v>
      </c>
      <c r="D2422" s="2" t="s">
        <v>171</v>
      </c>
      <c r="E2422" s="2" t="s">
        <v>172</v>
      </c>
      <c r="F2422" s="2" t="s">
        <v>173</v>
      </c>
      <c r="G2422" s="2" t="s">
        <v>2899</v>
      </c>
      <c r="H2422" s="2" t="s">
        <v>291</v>
      </c>
      <c r="I2422" s="2" t="s">
        <v>567</v>
      </c>
      <c r="J2422" s="2" t="s">
        <v>434</v>
      </c>
      <c r="K2422" s="9">
        <v>45948</v>
      </c>
      <c r="L2422" s="9">
        <v>45952</v>
      </c>
      <c r="M2422" s="9">
        <v>45949</v>
      </c>
      <c r="N2422" s="2" t="s">
        <v>2764</v>
      </c>
      <c r="O2422" s="2" t="s">
        <v>54</v>
      </c>
      <c r="P2422" s="2" t="s">
        <v>139</v>
      </c>
      <c r="Q2422" s="2" t="s">
        <v>163</v>
      </c>
      <c r="R2422" s="2" t="s">
        <v>137</v>
      </c>
      <c r="S2422" s="2" t="s">
        <v>436</v>
      </c>
      <c r="T2422" s="10">
        <v>2615</v>
      </c>
      <c r="U2422" s="11">
        <v>1.1780000000000001E-2</v>
      </c>
      <c r="V2422" s="12">
        <f>T2422*U2422</f>
        <v>30.8047</v>
      </c>
      <c r="W2422" s="13">
        <v>0.18</v>
      </c>
      <c r="X2422" s="12">
        <f>V2422-(V2422/(1+W2422))</f>
        <v>4.6990220338983022</v>
      </c>
      <c r="Y2422" s="12">
        <f>V2422-X2422</f>
        <v>26.105677966101698</v>
      </c>
      <c r="Z2422" s="14">
        <v>25</v>
      </c>
      <c r="AA2422" s="2" t="str">
        <f>IF(V2422&gt;Z2422,"Yes","No")</f>
        <v>Yes</v>
      </c>
      <c r="AB2422" s="12">
        <f>V2422-Z2422</f>
        <v>5.8047000000000004</v>
      </c>
      <c r="AC2422" s="15" t="s">
        <v>130</v>
      </c>
      <c r="AD2422" s="15" t="s">
        <v>131</v>
      </c>
      <c r="AE2422" s="15" t="s">
        <v>514</v>
      </c>
      <c r="AF2422" s="12">
        <f>IF(AG2422="Rejected",0,IF(R2422="Corporate Card",0,V2422))</f>
        <v>30.8047</v>
      </c>
      <c r="AG2422" s="15" t="s">
        <v>133</v>
      </c>
      <c r="AH2422" s="16">
        <v>45959</v>
      </c>
      <c r="AI2422" s="16">
        <v>45965</v>
      </c>
      <c r="AJ2422" s="16">
        <v>45977</v>
      </c>
      <c r="AK2422" s="17">
        <f>IF(AJ2422="","",AJ2422-AH2422)</f>
        <v>18</v>
      </c>
    </row>
    <row r="2423" spans="1:37">
      <c r="A2423" s="2" t="s">
        <v>2912</v>
      </c>
      <c r="B2423" s="2" t="s">
        <v>550</v>
      </c>
      <c r="C2423" s="2" t="s">
        <v>551</v>
      </c>
      <c r="D2423" s="2" t="s">
        <v>171</v>
      </c>
      <c r="E2423" s="2" t="s">
        <v>172</v>
      </c>
      <c r="F2423" s="2" t="s">
        <v>173</v>
      </c>
      <c r="G2423" s="2" t="s">
        <v>2899</v>
      </c>
      <c r="H2423" s="2" t="s">
        <v>291</v>
      </c>
      <c r="I2423" s="2" t="s">
        <v>567</v>
      </c>
      <c r="J2423" s="2" t="s">
        <v>434</v>
      </c>
      <c r="K2423" s="9">
        <v>45948</v>
      </c>
      <c r="L2423" s="9">
        <v>45952</v>
      </c>
      <c r="M2423" s="9">
        <v>45949</v>
      </c>
      <c r="N2423" s="2" t="s">
        <v>2764</v>
      </c>
      <c r="O2423" s="2" t="s">
        <v>56</v>
      </c>
      <c r="P2423" s="2" t="s">
        <v>231</v>
      </c>
      <c r="Q2423" s="2" t="s">
        <v>185</v>
      </c>
      <c r="R2423" s="2" t="s">
        <v>149</v>
      </c>
      <c r="S2423" s="2" t="s">
        <v>436</v>
      </c>
      <c r="T2423" s="10">
        <v>4199</v>
      </c>
      <c r="U2423" s="11">
        <v>1.1780000000000001E-2</v>
      </c>
      <c r="V2423" s="12">
        <f>T2423*U2423</f>
        <v>49.464220000000005</v>
      </c>
      <c r="W2423" s="13">
        <v>0.18</v>
      </c>
      <c r="X2423" s="12">
        <f>V2423-(V2423/(1+W2423))</f>
        <v>7.5453894915254196</v>
      </c>
      <c r="Y2423" s="12">
        <f>V2423-X2423</f>
        <v>41.918830508474585</v>
      </c>
      <c r="Z2423" s="14">
        <v>75</v>
      </c>
      <c r="AA2423" s="2" t="str">
        <f>IF(V2423&gt;Z2423,"Yes","No")</f>
        <v>No</v>
      </c>
      <c r="AB2423" s="12">
        <f>V2423-Z2423</f>
        <v>-25.535779999999995</v>
      </c>
      <c r="AC2423" s="15" t="s">
        <v>130</v>
      </c>
      <c r="AD2423" s="15" t="s">
        <v>131</v>
      </c>
      <c r="AE2423" s="15" t="s">
        <v>514</v>
      </c>
      <c r="AF2423" s="12">
        <f>IF(AG2423="Rejected",0,IF(R2423="Corporate Card",0,V2423))</f>
        <v>49.464220000000005</v>
      </c>
      <c r="AG2423" s="15" t="s">
        <v>133</v>
      </c>
      <c r="AH2423" s="16">
        <v>45959</v>
      </c>
      <c r="AI2423" s="16">
        <v>45965</v>
      </c>
      <c r="AJ2423" s="16">
        <v>45977</v>
      </c>
      <c r="AK2423" s="17">
        <f>IF(AJ2423="","",AJ2423-AH2423)</f>
        <v>18</v>
      </c>
    </row>
    <row r="2424" spans="1:37">
      <c r="A2424" s="2" t="s">
        <v>2913</v>
      </c>
      <c r="B2424" s="2" t="s">
        <v>550</v>
      </c>
      <c r="C2424" s="2" t="s">
        <v>551</v>
      </c>
      <c r="D2424" s="2" t="s">
        <v>171</v>
      </c>
      <c r="E2424" s="2" t="s">
        <v>172</v>
      </c>
      <c r="F2424" s="2" t="s">
        <v>173</v>
      </c>
      <c r="G2424" s="2" t="s">
        <v>2899</v>
      </c>
      <c r="H2424" s="2" t="s">
        <v>291</v>
      </c>
      <c r="I2424" s="2" t="s">
        <v>567</v>
      </c>
      <c r="J2424" s="2" t="s">
        <v>434</v>
      </c>
      <c r="K2424" s="9">
        <v>45948</v>
      </c>
      <c r="L2424" s="9">
        <v>45952</v>
      </c>
      <c r="M2424" s="9">
        <v>45949</v>
      </c>
      <c r="N2424" s="2" t="s">
        <v>2764</v>
      </c>
      <c r="O2424" s="2" t="s">
        <v>55</v>
      </c>
      <c r="P2424" s="2" t="s">
        <v>139</v>
      </c>
      <c r="Q2424" s="2" t="s">
        <v>154</v>
      </c>
      <c r="R2424" s="2" t="s">
        <v>128</v>
      </c>
      <c r="S2424" s="2" t="s">
        <v>436</v>
      </c>
      <c r="T2424" s="10">
        <v>1577</v>
      </c>
      <c r="U2424" s="11">
        <v>1.1780000000000001E-2</v>
      </c>
      <c r="V2424" s="12">
        <f>T2424*U2424</f>
        <v>18.577059999999999</v>
      </c>
      <c r="W2424" s="13">
        <v>0.18</v>
      </c>
      <c r="X2424" s="12">
        <f>V2424-(V2424/(1+W2424))</f>
        <v>2.8337888135593214</v>
      </c>
      <c r="Y2424" s="12">
        <f>V2424-X2424</f>
        <v>15.743271186440678</v>
      </c>
      <c r="Z2424" s="14">
        <v>35</v>
      </c>
      <c r="AA2424" s="2" t="str">
        <f>IF(V2424&gt;Z2424,"Yes","No")</f>
        <v>No</v>
      </c>
      <c r="AB2424" s="12">
        <f>V2424-Z2424</f>
        <v>-16.422940000000001</v>
      </c>
      <c r="AC2424" s="15" t="s">
        <v>130</v>
      </c>
      <c r="AD2424" s="15" t="s">
        <v>131</v>
      </c>
      <c r="AE2424" s="15" t="s">
        <v>514</v>
      </c>
      <c r="AF2424" s="12">
        <f>IF(AG2424="Rejected",0,IF(R2424="Corporate Card",0,V2424))</f>
        <v>0</v>
      </c>
      <c r="AG2424" s="15" t="s">
        <v>133</v>
      </c>
      <c r="AH2424" s="16">
        <v>45959</v>
      </c>
      <c r="AI2424" s="16">
        <v>45965</v>
      </c>
      <c r="AJ2424" s="16">
        <v>45977</v>
      </c>
      <c r="AK2424" s="17">
        <f>IF(AJ2424="","",AJ2424-AH2424)</f>
        <v>18</v>
      </c>
    </row>
    <row r="2425" spans="1:37">
      <c r="A2425" s="2" t="s">
        <v>2914</v>
      </c>
      <c r="B2425" s="2" t="s">
        <v>882</v>
      </c>
      <c r="C2425" s="2" t="s">
        <v>446</v>
      </c>
      <c r="D2425" s="2" t="s">
        <v>444</v>
      </c>
      <c r="E2425" s="2" t="s">
        <v>883</v>
      </c>
      <c r="F2425" s="2" t="s">
        <v>313</v>
      </c>
      <c r="G2425" s="2" t="s">
        <v>2915</v>
      </c>
      <c r="H2425" s="2" t="s">
        <v>417</v>
      </c>
      <c r="I2425" s="2" t="s">
        <v>1251</v>
      </c>
      <c r="J2425" s="2" t="s">
        <v>750</v>
      </c>
      <c r="K2425" s="9">
        <v>45949</v>
      </c>
      <c r="L2425" s="9">
        <v>45952</v>
      </c>
      <c r="M2425" s="9">
        <v>45949</v>
      </c>
      <c r="N2425" s="2" t="s">
        <v>2764</v>
      </c>
      <c r="O2425" s="2" t="s">
        <v>52</v>
      </c>
      <c r="P2425" s="2" t="s">
        <v>1252</v>
      </c>
      <c r="Q2425" s="2" t="s">
        <v>197</v>
      </c>
      <c r="R2425" s="2" t="s">
        <v>128</v>
      </c>
      <c r="S2425" s="2" t="s">
        <v>198</v>
      </c>
      <c r="T2425" s="10">
        <v>1177.77</v>
      </c>
      <c r="U2425" s="11">
        <v>1.085</v>
      </c>
      <c r="V2425" s="12">
        <f>T2425*U2425</f>
        <v>1277.8804499999999</v>
      </c>
      <c r="W2425" s="13">
        <v>0</v>
      </c>
      <c r="X2425" s="12">
        <f>V2425-(V2425/(1+W2425))</f>
        <v>0</v>
      </c>
      <c r="Y2425" s="12">
        <f>V2425-X2425</f>
        <v>1277.8804499999999</v>
      </c>
      <c r="Z2425" s="14">
        <v>1400</v>
      </c>
      <c r="AA2425" s="2" t="str">
        <f>IF(V2425&gt;Z2425,"Yes","No")</f>
        <v>No</v>
      </c>
      <c r="AB2425" s="12">
        <f>V2425-Z2425</f>
        <v>-122.11955000000012</v>
      </c>
      <c r="AC2425" s="15" t="s">
        <v>130</v>
      </c>
      <c r="AD2425" s="15" t="s">
        <v>131</v>
      </c>
      <c r="AE2425" s="15" t="s">
        <v>180</v>
      </c>
      <c r="AF2425" s="12">
        <f>IF(AG2425="Rejected",0,IF(R2425="Corporate Card",0,V2425))</f>
        <v>0</v>
      </c>
      <c r="AG2425" s="15" t="s">
        <v>133</v>
      </c>
      <c r="AH2425" s="16">
        <v>45955</v>
      </c>
      <c r="AI2425" s="16">
        <v>45959</v>
      </c>
      <c r="AJ2425" s="16">
        <v>45970</v>
      </c>
      <c r="AK2425" s="17">
        <f>IF(AJ2425="","",AJ2425-AH2425)</f>
        <v>15</v>
      </c>
    </row>
    <row r="2426" spans="1:37">
      <c r="A2426" s="2" t="s">
        <v>2916</v>
      </c>
      <c r="B2426" s="2" t="s">
        <v>882</v>
      </c>
      <c r="C2426" s="2" t="s">
        <v>446</v>
      </c>
      <c r="D2426" s="2" t="s">
        <v>444</v>
      </c>
      <c r="E2426" s="2" t="s">
        <v>883</v>
      </c>
      <c r="F2426" s="2" t="s">
        <v>313</v>
      </c>
      <c r="G2426" s="2" t="s">
        <v>2915</v>
      </c>
      <c r="H2426" s="2" t="s">
        <v>417</v>
      </c>
      <c r="I2426" s="2" t="s">
        <v>1251</v>
      </c>
      <c r="J2426" s="2" t="s">
        <v>750</v>
      </c>
      <c r="K2426" s="9">
        <v>45949</v>
      </c>
      <c r="L2426" s="9">
        <v>45952</v>
      </c>
      <c r="M2426" s="9">
        <v>45949</v>
      </c>
      <c r="N2426" s="2" t="s">
        <v>2764</v>
      </c>
      <c r="O2426" s="2" t="s">
        <v>64</v>
      </c>
      <c r="P2426" s="2" t="s">
        <v>135</v>
      </c>
      <c r="Q2426" s="2" t="s">
        <v>513</v>
      </c>
      <c r="R2426" s="2" t="s">
        <v>128</v>
      </c>
      <c r="S2426" s="2" t="s">
        <v>198</v>
      </c>
      <c r="T2426" s="10">
        <v>39.119999999999997</v>
      </c>
      <c r="U2426" s="11">
        <v>1.085</v>
      </c>
      <c r="V2426" s="12">
        <f>T2426*U2426</f>
        <v>42.445199999999993</v>
      </c>
      <c r="W2426" s="13">
        <v>0</v>
      </c>
      <c r="X2426" s="12">
        <f>V2426-(V2426/(1+W2426))</f>
        <v>0</v>
      </c>
      <c r="Y2426" s="12">
        <f>V2426-X2426</f>
        <v>42.445199999999993</v>
      </c>
      <c r="Z2426" s="14">
        <v>120</v>
      </c>
      <c r="AA2426" s="2" t="str">
        <f>IF(V2426&gt;Z2426,"Yes","No")</f>
        <v>No</v>
      </c>
      <c r="AB2426" s="12">
        <f>V2426-Z2426</f>
        <v>-77.5548</v>
      </c>
      <c r="AC2426" s="15" t="s">
        <v>130</v>
      </c>
      <c r="AD2426" s="15" t="s">
        <v>131</v>
      </c>
      <c r="AE2426" s="15" t="s">
        <v>180</v>
      </c>
      <c r="AF2426" s="12">
        <f>IF(AG2426="Rejected",0,IF(R2426="Corporate Card",0,V2426))</f>
        <v>0</v>
      </c>
      <c r="AG2426" s="15" t="s">
        <v>133</v>
      </c>
      <c r="AH2426" s="16">
        <v>45955</v>
      </c>
      <c r="AI2426" s="16">
        <v>45959</v>
      </c>
      <c r="AJ2426" s="16">
        <v>45970</v>
      </c>
      <c r="AK2426" s="17">
        <f>IF(AJ2426="","",AJ2426-AH2426)</f>
        <v>15</v>
      </c>
    </row>
    <row r="2427" spans="1:37">
      <c r="A2427" s="2" t="s">
        <v>2917</v>
      </c>
      <c r="B2427" s="2" t="s">
        <v>882</v>
      </c>
      <c r="C2427" s="2" t="s">
        <v>446</v>
      </c>
      <c r="D2427" s="2" t="s">
        <v>444</v>
      </c>
      <c r="E2427" s="2" t="s">
        <v>883</v>
      </c>
      <c r="F2427" s="2" t="s">
        <v>313</v>
      </c>
      <c r="G2427" s="2" t="s">
        <v>2915</v>
      </c>
      <c r="H2427" s="2" t="s">
        <v>417</v>
      </c>
      <c r="I2427" s="2" t="s">
        <v>1251</v>
      </c>
      <c r="J2427" s="2" t="s">
        <v>750</v>
      </c>
      <c r="K2427" s="9">
        <v>45949</v>
      </c>
      <c r="L2427" s="9">
        <v>45952</v>
      </c>
      <c r="M2427" s="9">
        <v>45949</v>
      </c>
      <c r="N2427" s="2" t="s">
        <v>2764</v>
      </c>
      <c r="O2427" s="2" t="s">
        <v>54</v>
      </c>
      <c r="P2427" s="2" t="s">
        <v>139</v>
      </c>
      <c r="Q2427" s="2" t="s">
        <v>214</v>
      </c>
      <c r="R2427" s="2" t="s">
        <v>128</v>
      </c>
      <c r="S2427" s="2" t="s">
        <v>198</v>
      </c>
      <c r="T2427" s="10">
        <v>16.760000000000002</v>
      </c>
      <c r="U2427" s="11">
        <v>1.085</v>
      </c>
      <c r="V2427" s="12">
        <f>T2427*U2427</f>
        <v>18.1846</v>
      </c>
      <c r="W2427" s="13">
        <v>0.19</v>
      </c>
      <c r="X2427" s="12">
        <f>V2427-(V2427/(1+W2427))</f>
        <v>2.9034235294117643</v>
      </c>
      <c r="Y2427" s="12">
        <f>V2427-X2427</f>
        <v>15.281176470588235</v>
      </c>
      <c r="Z2427" s="14">
        <v>25</v>
      </c>
      <c r="AA2427" s="2" t="str">
        <f>IF(V2427&gt;Z2427,"Yes","No")</f>
        <v>No</v>
      </c>
      <c r="AB2427" s="12">
        <f>V2427-Z2427</f>
        <v>-6.8154000000000003</v>
      </c>
      <c r="AC2427" s="15" t="s">
        <v>130</v>
      </c>
      <c r="AD2427" s="15" t="s">
        <v>131</v>
      </c>
      <c r="AE2427" s="15" t="s">
        <v>180</v>
      </c>
      <c r="AF2427" s="12">
        <f>IF(AG2427="Rejected",0,IF(R2427="Corporate Card",0,V2427))</f>
        <v>0</v>
      </c>
      <c r="AG2427" s="15" t="s">
        <v>133</v>
      </c>
      <c r="AH2427" s="16">
        <v>45955</v>
      </c>
      <c r="AI2427" s="16">
        <v>45959</v>
      </c>
      <c r="AJ2427" s="16">
        <v>45970</v>
      </c>
      <c r="AK2427" s="17">
        <f>IF(AJ2427="","",AJ2427-AH2427)</f>
        <v>15</v>
      </c>
    </row>
    <row r="2428" spans="1:37">
      <c r="A2428" s="2" t="s">
        <v>2918</v>
      </c>
      <c r="B2428" s="2" t="s">
        <v>882</v>
      </c>
      <c r="C2428" s="2" t="s">
        <v>446</v>
      </c>
      <c r="D2428" s="2" t="s">
        <v>444</v>
      </c>
      <c r="E2428" s="2" t="s">
        <v>883</v>
      </c>
      <c r="F2428" s="2" t="s">
        <v>313</v>
      </c>
      <c r="G2428" s="2" t="s">
        <v>2915</v>
      </c>
      <c r="H2428" s="2" t="s">
        <v>417</v>
      </c>
      <c r="I2428" s="2" t="s">
        <v>1251</v>
      </c>
      <c r="J2428" s="2" t="s">
        <v>750</v>
      </c>
      <c r="K2428" s="9">
        <v>45949</v>
      </c>
      <c r="L2428" s="9">
        <v>45952</v>
      </c>
      <c r="M2428" s="9">
        <v>45949</v>
      </c>
      <c r="N2428" s="2" t="s">
        <v>2764</v>
      </c>
      <c r="O2428" s="2" t="s">
        <v>56</v>
      </c>
      <c r="P2428" s="2" t="s">
        <v>245</v>
      </c>
      <c r="Q2428" s="2" t="s">
        <v>227</v>
      </c>
      <c r="R2428" s="2" t="s">
        <v>137</v>
      </c>
      <c r="S2428" s="2" t="s">
        <v>198</v>
      </c>
      <c r="T2428" s="10">
        <v>57.35</v>
      </c>
      <c r="U2428" s="11">
        <v>1.085</v>
      </c>
      <c r="V2428" s="12">
        <f>T2428*U2428</f>
        <v>62.22475</v>
      </c>
      <c r="W2428" s="13">
        <v>0.19</v>
      </c>
      <c r="X2428" s="12">
        <f>V2428-(V2428/(1+W2428))</f>
        <v>9.9350441176470596</v>
      </c>
      <c r="Y2428" s="12">
        <f>V2428-X2428</f>
        <v>52.289705882352941</v>
      </c>
      <c r="Z2428" s="14">
        <v>75</v>
      </c>
      <c r="AA2428" s="2" t="str">
        <f>IF(V2428&gt;Z2428,"Yes","No")</f>
        <v>No</v>
      </c>
      <c r="AB2428" s="12">
        <f>V2428-Z2428</f>
        <v>-12.77525</v>
      </c>
      <c r="AC2428" s="15" t="s">
        <v>130</v>
      </c>
      <c r="AD2428" s="15" t="s">
        <v>131</v>
      </c>
      <c r="AE2428" s="15" t="s">
        <v>180</v>
      </c>
      <c r="AF2428" s="12">
        <f>IF(AG2428="Rejected",0,IF(R2428="Corporate Card",0,V2428))</f>
        <v>62.22475</v>
      </c>
      <c r="AG2428" s="15" t="s">
        <v>133</v>
      </c>
      <c r="AH2428" s="16">
        <v>45955</v>
      </c>
      <c r="AI2428" s="16">
        <v>45959</v>
      </c>
      <c r="AJ2428" s="16">
        <v>45970</v>
      </c>
      <c r="AK2428" s="17">
        <f>IF(AJ2428="","",AJ2428-AH2428)</f>
        <v>15</v>
      </c>
    </row>
    <row r="2429" spans="1:37">
      <c r="A2429" s="2" t="s">
        <v>2919</v>
      </c>
      <c r="B2429" s="2" t="s">
        <v>882</v>
      </c>
      <c r="C2429" s="2" t="s">
        <v>446</v>
      </c>
      <c r="D2429" s="2" t="s">
        <v>444</v>
      </c>
      <c r="E2429" s="2" t="s">
        <v>883</v>
      </c>
      <c r="F2429" s="2" t="s">
        <v>313</v>
      </c>
      <c r="G2429" s="2" t="s">
        <v>2915</v>
      </c>
      <c r="H2429" s="2" t="s">
        <v>417</v>
      </c>
      <c r="I2429" s="2" t="s">
        <v>1251</v>
      </c>
      <c r="J2429" s="2" t="s">
        <v>750</v>
      </c>
      <c r="K2429" s="9">
        <v>45949</v>
      </c>
      <c r="L2429" s="9">
        <v>45952</v>
      </c>
      <c r="M2429" s="9">
        <v>45949</v>
      </c>
      <c r="N2429" s="2" t="s">
        <v>2764</v>
      </c>
      <c r="O2429" s="2" t="s">
        <v>55</v>
      </c>
      <c r="P2429" s="2" t="s">
        <v>139</v>
      </c>
      <c r="Q2429" s="2" t="s">
        <v>187</v>
      </c>
      <c r="R2429" s="2" t="s">
        <v>149</v>
      </c>
      <c r="S2429" s="2" t="s">
        <v>198</v>
      </c>
      <c r="T2429" s="10">
        <v>17.79</v>
      </c>
      <c r="U2429" s="11">
        <v>1.085</v>
      </c>
      <c r="V2429" s="12">
        <f>T2429*U2429</f>
        <v>19.302149999999997</v>
      </c>
      <c r="W2429" s="13">
        <v>0.19</v>
      </c>
      <c r="X2429" s="12">
        <f>V2429-(V2429/(1+W2429))</f>
        <v>3.0818558823529401</v>
      </c>
      <c r="Y2429" s="12">
        <f>V2429-X2429</f>
        <v>16.220294117647057</v>
      </c>
      <c r="Z2429" s="14">
        <v>35</v>
      </c>
      <c r="AA2429" s="2" t="str">
        <f>IF(V2429&gt;Z2429,"Yes","No")</f>
        <v>No</v>
      </c>
      <c r="AB2429" s="12">
        <f>V2429-Z2429</f>
        <v>-15.697850000000003</v>
      </c>
      <c r="AC2429" s="15" t="s">
        <v>130</v>
      </c>
      <c r="AD2429" s="15" t="s">
        <v>131</v>
      </c>
      <c r="AE2429" s="15" t="s">
        <v>180</v>
      </c>
      <c r="AF2429" s="12">
        <f>IF(AG2429="Rejected",0,IF(R2429="Corporate Card",0,V2429))</f>
        <v>19.302149999999997</v>
      </c>
      <c r="AG2429" s="15" t="s">
        <v>133</v>
      </c>
      <c r="AH2429" s="16">
        <v>45955</v>
      </c>
      <c r="AI2429" s="16">
        <v>45959</v>
      </c>
      <c r="AJ2429" s="16">
        <v>45970</v>
      </c>
      <c r="AK2429" s="17">
        <f>IF(AJ2429="","",AJ2429-AH2429)</f>
        <v>15</v>
      </c>
    </row>
    <row r="2430" spans="1:37">
      <c r="A2430" s="2" t="s">
        <v>2920</v>
      </c>
      <c r="B2430" s="2" t="s">
        <v>616</v>
      </c>
      <c r="C2430" s="2" t="s">
        <v>252</v>
      </c>
      <c r="D2430" s="2" t="s">
        <v>250</v>
      </c>
      <c r="E2430" s="2" t="s">
        <v>617</v>
      </c>
      <c r="F2430" s="2" t="s">
        <v>510</v>
      </c>
      <c r="G2430" s="2" t="s">
        <v>2878</v>
      </c>
      <c r="H2430" s="2" t="s">
        <v>348</v>
      </c>
      <c r="I2430" s="2" t="s">
        <v>1038</v>
      </c>
      <c r="J2430" s="2" t="s">
        <v>381</v>
      </c>
      <c r="K2430" s="9">
        <v>45942</v>
      </c>
      <c r="L2430" s="9">
        <v>45949</v>
      </c>
      <c r="M2430" s="9">
        <v>45949</v>
      </c>
      <c r="N2430" s="2" t="s">
        <v>2764</v>
      </c>
      <c r="O2430" s="2" t="s">
        <v>54</v>
      </c>
      <c r="P2430" s="2" t="s">
        <v>139</v>
      </c>
      <c r="Q2430" s="2" t="s">
        <v>140</v>
      </c>
      <c r="R2430" s="2" t="s">
        <v>128</v>
      </c>
      <c r="S2430" s="2" t="s">
        <v>383</v>
      </c>
      <c r="T2430" s="10">
        <v>20.88</v>
      </c>
      <c r="U2430" s="11">
        <v>1</v>
      </c>
      <c r="V2430" s="12">
        <f>T2430*U2430</f>
        <v>20.88</v>
      </c>
      <c r="W2430" s="13">
        <v>0</v>
      </c>
      <c r="X2430" s="12">
        <f>V2430-(V2430/(1+W2430))</f>
        <v>0</v>
      </c>
      <c r="Y2430" s="12">
        <f>V2430-X2430</f>
        <v>20.88</v>
      </c>
      <c r="Z2430" s="14">
        <v>25</v>
      </c>
      <c r="AA2430" s="2" t="str">
        <f>IF(V2430&gt;Z2430,"Yes","No")</f>
        <v>No</v>
      </c>
      <c r="AB2430" s="12">
        <f>V2430-Z2430</f>
        <v>-4.120000000000001</v>
      </c>
      <c r="AC2430" s="15" t="s">
        <v>130</v>
      </c>
      <c r="AD2430" s="15" t="s">
        <v>130</v>
      </c>
      <c r="AE2430" s="15" t="s">
        <v>260</v>
      </c>
      <c r="AF2430" s="12">
        <f>IF(AG2430="Rejected",0,IF(R2430="Corporate Card",0,V2430))</f>
        <v>0</v>
      </c>
      <c r="AG2430" s="15" t="s">
        <v>133</v>
      </c>
      <c r="AH2430" s="16">
        <v>45951</v>
      </c>
      <c r="AI2430" s="16">
        <v>45952</v>
      </c>
      <c r="AJ2430" s="16">
        <v>45964</v>
      </c>
      <c r="AK2430" s="17">
        <f>IF(AJ2430="","",AJ2430-AH2430)</f>
        <v>13</v>
      </c>
    </row>
    <row r="2431" spans="1:37">
      <c r="A2431" s="2" t="s">
        <v>2921</v>
      </c>
      <c r="B2431" s="2" t="s">
        <v>616</v>
      </c>
      <c r="C2431" s="2" t="s">
        <v>252</v>
      </c>
      <c r="D2431" s="2" t="s">
        <v>250</v>
      </c>
      <c r="E2431" s="2" t="s">
        <v>617</v>
      </c>
      <c r="F2431" s="2" t="s">
        <v>510</v>
      </c>
      <c r="G2431" s="2" t="s">
        <v>2878</v>
      </c>
      <c r="H2431" s="2" t="s">
        <v>348</v>
      </c>
      <c r="I2431" s="2" t="s">
        <v>1038</v>
      </c>
      <c r="J2431" s="2" t="s">
        <v>381</v>
      </c>
      <c r="K2431" s="9">
        <v>45942</v>
      </c>
      <c r="L2431" s="9">
        <v>45949</v>
      </c>
      <c r="M2431" s="9">
        <v>45949</v>
      </c>
      <c r="N2431" s="2" t="s">
        <v>2764</v>
      </c>
      <c r="O2431" s="2" t="s">
        <v>56</v>
      </c>
      <c r="P2431" s="2" t="s">
        <v>151</v>
      </c>
      <c r="Q2431" s="2" t="s">
        <v>227</v>
      </c>
      <c r="R2431" s="2" t="s">
        <v>149</v>
      </c>
      <c r="S2431" s="2" t="s">
        <v>383</v>
      </c>
      <c r="T2431" s="10">
        <v>51.51</v>
      </c>
      <c r="U2431" s="11">
        <v>1</v>
      </c>
      <c r="V2431" s="12">
        <f>T2431*U2431</f>
        <v>51.51</v>
      </c>
      <c r="W2431" s="13">
        <v>0</v>
      </c>
      <c r="X2431" s="12">
        <f>V2431-(V2431/(1+W2431))</f>
        <v>0</v>
      </c>
      <c r="Y2431" s="12">
        <f>V2431-X2431</f>
        <v>51.51</v>
      </c>
      <c r="Z2431" s="14">
        <v>75</v>
      </c>
      <c r="AA2431" s="2" t="str">
        <f>IF(V2431&gt;Z2431,"Yes","No")</f>
        <v>No</v>
      </c>
      <c r="AB2431" s="12">
        <f>V2431-Z2431</f>
        <v>-23.490000000000002</v>
      </c>
      <c r="AC2431" s="15" t="s">
        <v>130</v>
      </c>
      <c r="AD2431" s="15" t="s">
        <v>130</v>
      </c>
      <c r="AE2431" s="15" t="s">
        <v>260</v>
      </c>
      <c r="AF2431" s="12">
        <f>IF(AG2431="Rejected",0,IF(R2431="Corporate Card",0,V2431))</f>
        <v>51.51</v>
      </c>
      <c r="AG2431" s="15" t="s">
        <v>133</v>
      </c>
      <c r="AH2431" s="16">
        <v>45951</v>
      </c>
      <c r="AI2431" s="16">
        <v>45952</v>
      </c>
      <c r="AJ2431" s="16">
        <v>45964</v>
      </c>
      <c r="AK2431" s="17">
        <f>IF(AJ2431="","",AJ2431-AH2431)</f>
        <v>13</v>
      </c>
    </row>
    <row r="2432" spans="1:37">
      <c r="A2432" s="2" t="s">
        <v>2922</v>
      </c>
      <c r="B2432" s="2" t="s">
        <v>616</v>
      </c>
      <c r="C2432" s="2" t="s">
        <v>252</v>
      </c>
      <c r="D2432" s="2" t="s">
        <v>250</v>
      </c>
      <c r="E2432" s="2" t="s">
        <v>617</v>
      </c>
      <c r="F2432" s="2" t="s">
        <v>510</v>
      </c>
      <c r="G2432" s="2" t="s">
        <v>2878</v>
      </c>
      <c r="H2432" s="2" t="s">
        <v>348</v>
      </c>
      <c r="I2432" s="2" t="s">
        <v>1038</v>
      </c>
      <c r="J2432" s="2" t="s">
        <v>381</v>
      </c>
      <c r="K2432" s="9">
        <v>45942</v>
      </c>
      <c r="L2432" s="9">
        <v>45949</v>
      </c>
      <c r="M2432" s="9">
        <v>45949</v>
      </c>
      <c r="N2432" s="2" t="s">
        <v>2764</v>
      </c>
      <c r="O2432" s="2" t="s">
        <v>55</v>
      </c>
      <c r="P2432" s="2" t="s">
        <v>139</v>
      </c>
      <c r="Q2432" s="2" t="s">
        <v>154</v>
      </c>
      <c r="R2432" s="2" t="s">
        <v>128</v>
      </c>
      <c r="S2432" s="2" t="s">
        <v>383</v>
      </c>
      <c r="T2432" s="10">
        <v>13.21</v>
      </c>
      <c r="U2432" s="11">
        <v>1</v>
      </c>
      <c r="V2432" s="12">
        <f>T2432*U2432</f>
        <v>13.21</v>
      </c>
      <c r="W2432" s="13">
        <v>0</v>
      </c>
      <c r="X2432" s="12">
        <f>V2432-(V2432/(1+W2432))</f>
        <v>0</v>
      </c>
      <c r="Y2432" s="12">
        <f>V2432-X2432</f>
        <v>13.21</v>
      </c>
      <c r="Z2432" s="14">
        <v>35</v>
      </c>
      <c r="AA2432" s="2" t="str">
        <f>IF(V2432&gt;Z2432,"Yes","No")</f>
        <v>No</v>
      </c>
      <c r="AB2432" s="12">
        <f>V2432-Z2432</f>
        <v>-21.79</v>
      </c>
      <c r="AC2432" s="15" t="s">
        <v>130</v>
      </c>
      <c r="AD2432" s="15" t="s">
        <v>130</v>
      </c>
      <c r="AE2432" s="15" t="s">
        <v>260</v>
      </c>
      <c r="AF2432" s="12">
        <f>IF(AG2432="Rejected",0,IF(R2432="Corporate Card",0,V2432))</f>
        <v>0</v>
      </c>
      <c r="AG2432" s="15" t="s">
        <v>133</v>
      </c>
      <c r="AH2432" s="16">
        <v>45951</v>
      </c>
      <c r="AI2432" s="16">
        <v>45952</v>
      </c>
      <c r="AJ2432" s="16">
        <v>45964</v>
      </c>
      <c r="AK2432" s="17">
        <f>IF(AJ2432="","",AJ2432-AH2432)</f>
        <v>13</v>
      </c>
    </row>
    <row r="2433" spans="1:37">
      <c r="A2433" s="2" t="s">
        <v>2923</v>
      </c>
      <c r="B2433" s="2" t="s">
        <v>2212</v>
      </c>
      <c r="C2433" s="2" t="s">
        <v>346</v>
      </c>
      <c r="D2433" s="2" t="s">
        <v>344</v>
      </c>
      <c r="E2433" s="2" t="s">
        <v>2213</v>
      </c>
      <c r="F2433" s="2" t="s">
        <v>313</v>
      </c>
      <c r="G2433" s="2" t="s">
        <v>2908</v>
      </c>
      <c r="H2433" s="2" t="s">
        <v>448</v>
      </c>
      <c r="I2433" s="2" t="s">
        <v>619</v>
      </c>
      <c r="J2433" s="2" t="s">
        <v>381</v>
      </c>
      <c r="K2433" s="9">
        <v>45948</v>
      </c>
      <c r="L2433" s="9">
        <v>45952</v>
      </c>
      <c r="M2433" s="9">
        <v>45949</v>
      </c>
      <c r="N2433" s="2" t="s">
        <v>2764</v>
      </c>
      <c r="O2433" s="2" t="s">
        <v>53</v>
      </c>
      <c r="P2433" s="2" t="s">
        <v>457</v>
      </c>
      <c r="Q2433" s="2" t="s">
        <v>458</v>
      </c>
      <c r="R2433" s="2" t="s">
        <v>128</v>
      </c>
      <c r="S2433" s="2" t="s">
        <v>383</v>
      </c>
      <c r="T2433" s="10">
        <v>779.34</v>
      </c>
      <c r="U2433" s="11">
        <v>1</v>
      </c>
      <c r="V2433" s="12">
        <f>T2433*U2433</f>
        <v>779.34</v>
      </c>
      <c r="W2433" s="13">
        <v>0</v>
      </c>
      <c r="X2433" s="12">
        <f>V2433-(V2433/(1+W2433))</f>
        <v>0</v>
      </c>
      <c r="Y2433" s="12">
        <f>V2433-X2433</f>
        <v>779.34</v>
      </c>
      <c r="Z2433" s="14">
        <v>1120</v>
      </c>
      <c r="AA2433" s="2" t="str">
        <f>IF(V2433&gt;Z2433,"Yes","No")</f>
        <v>No</v>
      </c>
      <c r="AB2433" s="12">
        <f>V2433-Z2433</f>
        <v>-340.65999999999997</v>
      </c>
      <c r="AC2433" s="15" t="s">
        <v>130</v>
      </c>
      <c r="AD2433" s="15" t="s">
        <v>130</v>
      </c>
      <c r="AE2433" s="15" t="s">
        <v>260</v>
      </c>
      <c r="AF2433" s="12">
        <f>IF(AG2433="Rejected",0,IF(R2433="Corporate Card",0,V2433))</f>
        <v>0</v>
      </c>
      <c r="AG2433" s="15" t="s">
        <v>804</v>
      </c>
      <c r="AH2433" s="16">
        <v>45955</v>
      </c>
      <c r="AI2433" s="16"/>
      <c r="AJ2433" s="16"/>
      <c r="AK2433" s="17" t="str">
        <f>IF(AJ2433="","",AJ2433-AH2433)</f>
        <v/>
      </c>
    </row>
    <row r="2434" spans="1:37">
      <c r="A2434" s="2" t="s">
        <v>2924</v>
      </c>
      <c r="B2434" s="2" t="s">
        <v>2212</v>
      </c>
      <c r="C2434" s="2" t="s">
        <v>346</v>
      </c>
      <c r="D2434" s="2" t="s">
        <v>344</v>
      </c>
      <c r="E2434" s="2" t="s">
        <v>2213</v>
      </c>
      <c r="F2434" s="2" t="s">
        <v>313</v>
      </c>
      <c r="G2434" s="2" t="s">
        <v>2908</v>
      </c>
      <c r="H2434" s="2" t="s">
        <v>448</v>
      </c>
      <c r="I2434" s="2" t="s">
        <v>619</v>
      </c>
      <c r="J2434" s="2" t="s">
        <v>381</v>
      </c>
      <c r="K2434" s="9">
        <v>45948</v>
      </c>
      <c r="L2434" s="9">
        <v>45952</v>
      </c>
      <c r="M2434" s="9">
        <v>45949</v>
      </c>
      <c r="N2434" s="2" t="s">
        <v>2764</v>
      </c>
      <c r="O2434" s="2" t="s">
        <v>54</v>
      </c>
      <c r="P2434" s="2" t="s">
        <v>139</v>
      </c>
      <c r="Q2434" s="2" t="s">
        <v>148</v>
      </c>
      <c r="R2434" s="2" t="s">
        <v>128</v>
      </c>
      <c r="S2434" s="2" t="s">
        <v>383</v>
      </c>
      <c r="T2434" s="10">
        <v>11.94</v>
      </c>
      <c r="U2434" s="11">
        <v>1</v>
      </c>
      <c r="V2434" s="12">
        <f>T2434*U2434</f>
        <v>11.94</v>
      </c>
      <c r="W2434" s="13">
        <v>0</v>
      </c>
      <c r="X2434" s="12">
        <f>V2434-(V2434/(1+W2434))</f>
        <v>0</v>
      </c>
      <c r="Y2434" s="12">
        <f>V2434-X2434</f>
        <v>11.94</v>
      </c>
      <c r="Z2434" s="14">
        <v>25</v>
      </c>
      <c r="AA2434" s="2" t="str">
        <f>IF(V2434&gt;Z2434,"Yes","No")</f>
        <v>No</v>
      </c>
      <c r="AB2434" s="12">
        <f>V2434-Z2434</f>
        <v>-13.06</v>
      </c>
      <c r="AC2434" s="15" t="s">
        <v>130</v>
      </c>
      <c r="AD2434" s="15" t="s">
        <v>130</v>
      </c>
      <c r="AE2434" s="15" t="s">
        <v>260</v>
      </c>
      <c r="AF2434" s="12">
        <f>IF(AG2434="Rejected",0,IF(R2434="Corporate Card",0,V2434))</f>
        <v>0</v>
      </c>
      <c r="AG2434" s="15" t="s">
        <v>804</v>
      </c>
      <c r="AH2434" s="16">
        <v>45955</v>
      </c>
      <c r="AI2434" s="16"/>
      <c r="AJ2434" s="16"/>
      <c r="AK2434" s="17" t="str">
        <f>IF(AJ2434="","",AJ2434-AH2434)</f>
        <v/>
      </c>
    </row>
    <row r="2435" spans="1:37">
      <c r="A2435" s="2" t="s">
        <v>2925</v>
      </c>
      <c r="B2435" s="2" t="s">
        <v>2212</v>
      </c>
      <c r="C2435" s="2" t="s">
        <v>346</v>
      </c>
      <c r="D2435" s="2" t="s">
        <v>344</v>
      </c>
      <c r="E2435" s="2" t="s">
        <v>2213</v>
      </c>
      <c r="F2435" s="2" t="s">
        <v>313</v>
      </c>
      <c r="G2435" s="2" t="s">
        <v>2908</v>
      </c>
      <c r="H2435" s="2" t="s">
        <v>448</v>
      </c>
      <c r="I2435" s="2" t="s">
        <v>619</v>
      </c>
      <c r="J2435" s="2" t="s">
        <v>381</v>
      </c>
      <c r="K2435" s="9">
        <v>45948</v>
      </c>
      <c r="L2435" s="9">
        <v>45952</v>
      </c>
      <c r="M2435" s="9">
        <v>45949</v>
      </c>
      <c r="N2435" s="2" t="s">
        <v>2764</v>
      </c>
      <c r="O2435" s="2" t="s">
        <v>56</v>
      </c>
      <c r="P2435" s="2" t="s">
        <v>231</v>
      </c>
      <c r="Q2435" s="2" t="s">
        <v>159</v>
      </c>
      <c r="R2435" s="2" t="s">
        <v>128</v>
      </c>
      <c r="S2435" s="2" t="s">
        <v>383</v>
      </c>
      <c r="T2435" s="10">
        <v>60.21</v>
      </c>
      <c r="U2435" s="11">
        <v>1</v>
      </c>
      <c r="V2435" s="12">
        <f>T2435*U2435</f>
        <v>60.21</v>
      </c>
      <c r="W2435" s="13">
        <v>0</v>
      </c>
      <c r="X2435" s="12">
        <f>V2435-(V2435/(1+W2435))</f>
        <v>0</v>
      </c>
      <c r="Y2435" s="12">
        <f>V2435-X2435</f>
        <v>60.21</v>
      </c>
      <c r="Z2435" s="14">
        <v>75</v>
      </c>
      <c r="AA2435" s="2" t="str">
        <f>IF(V2435&gt;Z2435,"Yes","No")</f>
        <v>No</v>
      </c>
      <c r="AB2435" s="12">
        <f>V2435-Z2435</f>
        <v>-14.79</v>
      </c>
      <c r="AC2435" s="15" t="s">
        <v>130</v>
      </c>
      <c r="AD2435" s="15" t="s">
        <v>130</v>
      </c>
      <c r="AE2435" s="15" t="s">
        <v>260</v>
      </c>
      <c r="AF2435" s="12">
        <f>IF(AG2435="Rejected",0,IF(R2435="Corporate Card",0,V2435))</f>
        <v>0</v>
      </c>
      <c r="AG2435" s="15" t="s">
        <v>804</v>
      </c>
      <c r="AH2435" s="16">
        <v>45955</v>
      </c>
      <c r="AI2435" s="16"/>
      <c r="AJ2435" s="16"/>
      <c r="AK2435" s="17" t="str">
        <f>IF(AJ2435="","",AJ2435-AH2435)</f>
        <v/>
      </c>
    </row>
    <row r="2436" spans="1:37">
      <c r="A2436" s="2" t="s">
        <v>2926</v>
      </c>
      <c r="B2436" s="2" t="s">
        <v>2212</v>
      </c>
      <c r="C2436" s="2" t="s">
        <v>346</v>
      </c>
      <c r="D2436" s="2" t="s">
        <v>344</v>
      </c>
      <c r="E2436" s="2" t="s">
        <v>2213</v>
      </c>
      <c r="F2436" s="2" t="s">
        <v>313</v>
      </c>
      <c r="G2436" s="2" t="s">
        <v>2908</v>
      </c>
      <c r="H2436" s="2" t="s">
        <v>448</v>
      </c>
      <c r="I2436" s="2" t="s">
        <v>619</v>
      </c>
      <c r="J2436" s="2" t="s">
        <v>381</v>
      </c>
      <c r="K2436" s="9">
        <v>45948</v>
      </c>
      <c r="L2436" s="9">
        <v>45952</v>
      </c>
      <c r="M2436" s="9">
        <v>45949</v>
      </c>
      <c r="N2436" s="2" t="s">
        <v>2764</v>
      </c>
      <c r="O2436" s="2" t="s">
        <v>55</v>
      </c>
      <c r="P2436" s="2" t="s">
        <v>139</v>
      </c>
      <c r="Q2436" s="2" t="s">
        <v>154</v>
      </c>
      <c r="R2436" s="2" t="s">
        <v>149</v>
      </c>
      <c r="S2436" s="2" t="s">
        <v>383</v>
      </c>
      <c r="T2436" s="10">
        <v>47.2</v>
      </c>
      <c r="U2436" s="11">
        <v>1</v>
      </c>
      <c r="V2436" s="12">
        <f>T2436*U2436</f>
        <v>47.2</v>
      </c>
      <c r="W2436" s="13">
        <v>0</v>
      </c>
      <c r="X2436" s="12">
        <f>V2436-(V2436/(1+W2436))</f>
        <v>0</v>
      </c>
      <c r="Y2436" s="12">
        <f>V2436-X2436</f>
        <v>47.2</v>
      </c>
      <c r="Z2436" s="14">
        <v>35</v>
      </c>
      <c r="AA2436" s="2" t="str">
        <f>IF(V2436&gt;Z2436,"Yes","No")</f>
        <v>Yes</v>
      </c>
      <c r="AB2436" s="12">
        <f>V2436-Z2436</f>
        <v>12.200000000000003</v>
      </c>
      <c r="AC2436" s="15" t="s">
        <v>131</v>
      </c>
      <c r="AD2436" s="15" t="s">
        <v>130</v>
      </c>
      <c r="AE2436" s="15" t="s">
        <v>260</v>
      </c>
      <c r="AF2436" s="12">
        <f>IF(AG2436="Rejected",0,IF(R2436="Corporate Card",0,V2436))</f>
        <v>0</v>
      </c>
      <c r="AG2436" s="15" t="s">
        <v>804</v>
      </c>
      <c r="AH2436" s="16">
        <v>45955</v>
      </c>
      <c r="AI2436" s="16"/>
      <c r="AJ2436" s="16"/>
      <c r="AK2436" s="17" t="str">
        <f>IF(AJ2436="","",AJ2436-AH2436)</f>
        <v/>
      </c>
    </row>
    <row r="2437" spans="1:37">
      <c r="A2437" s="2" t="s">
        <v>2927</v>
      </c>
      <c r="B2437" s="2" t="s">
        <v>550</v>
      </c>
      <c r="C2437" s="2" t="s">
        <v>551</v>
      </c>
      <c r="D2437" s="2" t="s">
        <v>171</v>
      </c>
      <c r="E2437" s="2" t="s">
        <v>172</v>
      </c>
      <c r="F2437" s="2" t="s">
        <v>173</v>
      </c>
      <c r="G2437" s="2" t="s">
        <v>2899</v>
      </c>
      <c r="H2437" s="2" t="s">
        <v>291</v>
      </c>
      <c r="I2437" s="2" t="s">
        <v>567</v>
      </c>
      <c r="J2437" s="2" t="s">
        <v>434</v>
      </c>
      <c r="K2437" s="9">
        <v>45948</v>
      </c>
      <c r="L2437" s="9">
        <v>45952</v>
      </c>
      <c r="M2437" s="9">
        <v>45950</v>
      </c>
      <c r="N2437" s="2" t="s">
        <v>2764</v>
      </c>
      <c r="O2437" s="2" t="s">
        <v>54</v>
      </c>
      <c r="P2437" s="2" t="s">
        <v>139</v>
      </c>
      <c r="Q2437" s="2" t="s">
        <v>214</v>
      </c>
      <c r="R2437" s="2" t="s">
        <v>128</v>
      </c>
      <c r="S2437" s="2" t="s">
        <v>436</v>
      </c>
      <c r="T2437" s="10">
        <v>1188</v>
      </c>
      <c r="U2437" s="11">
        <v>1.1780000000000001E-2</v>
      </c>
      <c r="V2437" s="12">
        <f>T2437*U2437</f>
        <v>13.99464</v>
      </c>
      <c r="W2437" s="13">
        <v>0.18</v>
      </c>
      <c r="X2437" s="12">
        <f>V2437-(V2437/(1+W2437))</f>
        <v>2.1347755932203381</v>
      </c>
      <c r="Y2437" s="12">
        <f>V2437-X2437</f>
        <v>11.859864406779662</v>
      </c>
      <c r="Z2437" s="14">
        <v>25</v>
      </c>
      <c r="AA2437" s="2" t="str">
        <f>IF(V2437&gt;Z2437,"Yes","No")</f>
        <v>No</v>
      </c>
      <c r="AB2437" s="12">
        <f>V2437-Z2437</f>
        <v>-11.00536</v>
      </c>
      <c r="AC2437" s="15" t="s">
        <v>130</v>
      </c>
      <c r="AD2437" s="15" t="s">
        <v>131</v>
      </c>
      <c r="AE2437" s="15" t="s">
        <v>514</v>
      </c>
      <c r="AF2437" s="12">
        <f>IF(AG2437="Rejected",0,IF(R2437="Corporate Card",0,V2437))</f>
        <v>0</v>
      </c>
      <c r="AG2437" s="15" t="s">
        <v>133</v>
      </c>
      <c r="AH2437" s="16">
        <v>45959</v>
      </c>
      <c r="AI2437" s="16">
        <v>45965</v>
      </c>
      <c r="AJ2437" s="16">
        <v>45977</v>
      </c>
      <c r="AK2437" s="17">
        <f>IF(AJ2437="","",AJ2437-AH2437)</f>
        <v>18</v>
      </c>
    </row>
    <row r="2438" spans="1:37">
      <c r="A2438" s="2" t="s">
        <v>2928</v>
      </c>
      <c r="B2438" s="2" t="s">
        <v>550</v>
      </c>
      <c r="C2438" s="2" t="s">
        <v>551</v>
      </c>
      <c r="D2438" s="2" t="s">
        <v>171</v>
      </c>
      <c r="E2438" s="2" t="s">
        <v>172</v>
      </c>
      <c r="F2438" s="2" t="s">
        <v>173</v>
      </c>
      <c r="G2438" s="2" t="s">
        <v>2899</v>
      </c>
      <c r="H2438" s="2" t="s">
        <v>291</v>
      </c>
      <c r="I2438" s="2" t="s">
        <v>567</v>
      </c>
      <c r="J2438" s="2" t="s">
        <v>434</v>
      </c>
      <c r="K2438" s="9">
        <v>45948</v>
      </c>
      <c r="L2438" s="9">
        <v>45952</v>
      </c>
      <c r="M2438" s="9">
        <v>45950</v>
      </c>
      <c r="N2438" s="2" t="s">
        <v>2764</v>
      </c>
      <c r="O2438" s="2" t="s">
        <v>56</v>
      </c>
      <c r="P2438" s="2" t="s">
        <v>231</v>
      </c>
      <c r="Q2438" s="2" t="s">
        <v>159</v>
      </c>
      <c r="R2438" s="2" t="s">
        <v>149</v>
      </c>
      <c r="S2438" s="2" t="s">
        <v>436</v>
      </c>
      <c r="T2438" s="10">
        <v>8096</v>
      </c>
      <c r="U2438" s="11">
        <v>1.1780000000000001E-2</v>
      </c>
      <c r="V2438" s="12">
        <f>T2438*U2438</f>
        <v>95.37088</v>
      </c>
      <c r="W2438" s="13">
        <v>0.18</v>
      </c>
      <c r="X2438" s="12">
        <f>V2438-(V2438/(1+W2438))</f>
        <v>14.548100338983048</v>
      </c>
      <c r="Y2438" s="12">
        <f>V2438-X2438</f>
        <v>80.822779661016952</v>
      </c>
      <c r="Z2438" s="14">
        <v>75</v>
      </c>
      <c r="AA2438" s="2" t="str">
        <f>IF(V2438&gt;Z2438,"Yes","No")</f>
        <v>Yes</v>
      </c>
      <c r="AB2438" s="12">
        <f>V2438-Z2438</f>
        <v>20.37088</v>
      </c>
      <c r="AC2438" s="15" t="s">
        <v>130</v>
      </c>
      <c r="AD2438" s="15" t="s">
        <v>131</v>
      </c>
      <c r="AE2438" s="15" t="s">
        <v>514</v>
      </c>
      <c r="AF2438" s="12">
        <f>IF(AG2438="Rejected",0,IF(R2438="Corporate Card",0,V2438))</f>
        <v>95.37088</v>
      </c>
      <c r="AG2438" s="15" t="s">
        <v>133</v>
      </c>
      <c r="AH2438" s="16">
        <v>45959</v>
      </c>
      <c r="AI2438" s="16">
        <v>45965</v>
      </c>
      <c r="AJ2438" s="16">
        <v>45977</v>
      </c>
      <c r="AK2438" s="17">
        <f>IF(AJ2438="","",AJ2438-AH2438)</f>
        <v>18</v>
      </c>
    </row>
    <row r="2439" spans="1:37">
      <c r="A2439" s="2" t="s">
        <v>2929</v>
      </c>
      <c r="B2439" s="2" t="s">
        <v>550</v>
      </c>
      <c r="C2439" s="2" t="s">
        <v>551</v>
      </c>
      <c r="D2439" s="2" t="s">
        <v>171</v>
      </c>
      <c r="E2439" s="2" t="s">
        <v>172</v>
      </c>
      <c r="F2439" s="2" t="s">
        <v>173</v>
      </c>
      <c r="G2439" s="2" t="s">
        <v>2899</v>
      </c>
      <c r="H2439" s="2" t="s">
        <v>291</v>
      </c>
      <c r="I2439" s="2" t="s">
        <v>567</v>
      </c>
      <c r="J2439" s="2" t="s">
        <v>434</v>
      </c>
      <c r="K2439" s="9">
        <v>45948</v>
      </c>
      <c r="L2439" s="9">
        <v>45952</v>
      </c>
      <c r="M2439" s="9">
        <v>45950</v>
      </c>
      <c r="N2439" s="2" t="s">
        <v>2764</v>
      </c>
      <c r="O2439" s="2" t="s">
        <v>55</v>
      </c>
      <c r="P2439" s="2" t="s">
        <v>139</v>
      </c>
      <c r="Q2439" s="2" t="s">
        <v>217</v>
      </c>
      <c r="R2439" s="2" t="s">
        <v>137</v>
      </c>
      <c r="S2439" s="2" t="s">
        <v>436</v>
      </c>
      <c r="T2439" s="10">
        <v>2193</v>
      </c>
      <c r="U2439" s="11">
        <v>1.1780000000000001E-2</v>
      </c>
      <c r="V2439" s="12">
        <f>T2439*U2439</f>
        <v>25.833540000000003</v>
      </c>
      <c r="W2439" s="13">
        <v>0.18</v>
      </c>
      <c r="X2439" s="12">
        <f>V2439-(V2439/(1+W2439))</f>
        <v>3.9407094915254213</v>
      </c>
      <c r="Y2439" s="12">
        <f>V2439-X2439</f>
        <v>21.892830508474582</v>
      </c>
      <c r="Z2439" s="14">
        <v>35</v>
      </c>
      <c r="AA2439" s="2" t="str">
        <f>IF(V2439&gt;Z2439,"Yes","No")</f>
        <v>No</v>
      </c>
      <c r="AB2439" s="12">
        <f>V2439-Z2439</f>
        <v>-9.1664599999999972</v>
      </c>
      <c r="AC2439" s="15" t="s">
        <v>130</v>
      </c>
      <c r="AD2439" s="15" t="s">
        <v>131</v>
      </c>
      <c r="AE2439" s="15" t="s">
        <v>514</v>
      </c>
      <c r="AF2439" s="12">
        <f>IF(AG2439="Rejected",0,IF(R2439="Corporate Card",0,V2439))</f>
        <v>25.833540000000003</v>
      </c>
      <c r="AG2439" s="15" t="s">
        <v>133</v>
      </c>
      <c r="AH2439" s="16">
        <v>45959</v>
      </c>
      <c r="AI2439" s="16">
        <v>45965</v>
      </c>
      <c r="AJ2439" s="16">
        <v>45977</v>
      </c>
      <c r="AK2439" s="17">
        <f>IF(AJ2439="","",AJ2439-AH2439)</f>
        <v>18</v>
      </c>
    </row>
    <row r="2440" spans="1:37">
      <c r="A2440" s="2" t="s">
        <v>2930</v>
      </c>
      <c r="B2440" s="2" t="s">
        <v>882</v>
      </c>
      <c r="C2440" s="2" t="s">
        <v>446</v>
      </c>
      <c r="D2440" s="2" t="s">
        <v>444</v>
      </c>
      <c r="E2440" s="2" t="s">
        <v>883</v>
      </c>
      <c r="F2440" s="2" t="s">
        <v>313</v>
      </c>
      <c r="G2440" s="2" t="s">
        <v>2915</v>
      </c>
      <c r="H2440" s="2" t="s">
        <v>417</v>
      </c>
      <c r="I2440" s="2" t="s">
        <v>1251</v>
      </c>
      <c r="J2440" s="2" t="s">
        <v>750</v>
      </c>
      <c r="K2440" s="9">
        <v>45949</v>
      </c>
      <c r="L2440" s="9">
        <v>45952</v>
      </c>
      <c r="M2440" s="9">
        <v>45950</v>
      </c>
      <c r="N2440" s="2" t="s">
        <v>2764</v>
      </c>
      <c r="O2440" s="2" t="s">
        <v>59</v>
      </c>
      <c r="P2440" s="2" t="s">
        <v>301</v>
      </c>
      <c r="Q2440" s="2" t="s">
        <v>1000</v>
      </c>
      <c r="R2440" s="2" t="s">
        <v>149</v>
      </c>
      <c r="S2440" s="2" t="s">
        <v>198</v>
      </c>
      <c r="T2440" s="10">
        <v>100.9</v>
      </c>
      <c r="U2440" s="11">
        <v>1.085</v>
      </c>
      <c r="V2440" s="12">
        <f>T2440*U2440</f>
        <v>109.4765</v>
      </c>
      <c r="W2440" s="13">
        <v>0.19</v>
      </c>
      <c r="X2440" s="12">
        <f>V2440-(V2440/(1+W2440))</f>
        <v>17.479441176470587</v>
      </c>
      <c r="Y2440" s="12">
        <f>V2440-X2440</f>
        <v>91.997058823529414</v>
      </c>
      <c r="Z2440" s="14">
        <v>150</v>
      </c>
      <c r="AA2440" s="2" t="str">
        <f>IF(V2440&gt;Z2440,"Yes","No")</f>
        <v>No</v>
      </c>
      <c r="AB2440" s="12">
        <f>V2440-Z2440</f>
        <v>-40.523499999999999</v>
      </c>
      <c r="AC2440" s="15" t="s">
        <v>130</v>
      </c>
      <c r="AD2440" s="15" t="s">
        <v>131</v>
      </c>
      <c r="AE2440" s="15" t="s">
        <v>180</v>
      </c>
      <c r="AF2440" s="12">
        <f>IF(AG2440="Rejected",0,IF(R2440="Corporate Card",0,V2440))</f>
        <v>109.4765</v>
      </c>
      <c r="AG2440" s="15" t="s">
        <v>133</v>
      </c>
      <c r="AH2440" s="16">
        <v>45955</v>
      </c>
      <c r="AI2440" s="16">
        <v>45959</v>
      </c>
      <c r="AJ2440" s="16">
        <v>45970</v>
      </c>
      <c r="AK2440" s="17">
        <f>IF(AJ2440="","",AJ2440-AH2440)</f>
        <v>15</v>
      </c>
    </row>
    <row r="2441" spans="1:37">
      <c r="A2441" s="2" t="s">
        <v>2931</v>
      </c>
      <c r="B2441" s="2" t="s">
        <v>882</v>
      </c>
      <c r="C2441" s="2" t="s">
        <v>446</v>
      </c>
      <c r="D2441" s="2" t="s">
        <v>444</v>
      </c>
      <c r="E2441" s="2" t="s">
        <v>883</v>
      </c>
      <c r="F2441" s="2" t="s">
        <v>313</v>
      </c>
      <c r="G2441" s="2" t="s">
        <v>2915</v>
      </c>
      <c r="H2441" s="2" t="s">
        <v>417</v>
      </c>
      <c r="I2441" s="2" t="s">
        <v>1251</v>
      </c>
      <c r="J2441" s="2" t="s">
        <v>750</v>
      </c>
      <c r="K2441" s="9">
        <v>45949</v>
      </c>
      <c r="L2441" s="9">
        <v>45952</v>
      </c>
      <c r="M2441" s="9">
        <v>45950</v>
      </c>
      <c r="N2441" s="2" t="s">
        <v>2764</v>
      </c>
      <c r="O2441" s="2" t="s">
        <v>58</v>
      </c>
      <c r="P2441" s="2" t="s">
        <v>142</v>
      </c>
      <c r="Q2441" s="2" t="s">
        <v>224</v>
      </c>
      <c r="R2441" s="2" t="s">
        <v>137</v>
      </c>
      <c r="S2441" s="2" t="s">
        <v>198</v>
      </c>
      <c r="T2441" s="10">
        <v>43.66</v>
      </c>
      <c r="U2441" s="11">
        <v>1.085</v>
      </c>
      <c r="V2441" s="12">
        <f>T2441*U2441</f>
        <v>47.371099999999991</v>
      </c>
      <c r="W2441" s="13">
        <v>0.19</v>
      </c>
      <c r="X2441" s="12">
        <f>V2441-(V2441/(1+W2441))</f>
        <v>7.5634529411764646</v>
      </c>
      <c r="Y2441" s="12">
        <f>V2441-X2441</f>
        <v>39.807647058823527</v>
      </c>
      <c r="Z2441" s="14">
        <v>60</v>
      </c>
      <c r="AA2441" s="2" t="str">
        <f>IF(V2441&gt;Z2441,"Yes","No")</f>
        <v>No</v>
      </c>
      <c r="AB2441" s="12">
        <f>V2441-Z2441</f>
        <v>-12.628900000000009</v>
      </c>
      <c r="AC2441" s="15" t="s">
        <v>131</v>
      </c>
      <c r="AD2441" s="15" t="s">
        <v>131</v>
      </c>
      <c r="AE2441" s="15" t="s">
        <v>180</v>
      </c>
      <c r="AF2441" s="12">
        <f>IF(AG2441="Rejected",0,IF(R2441="Corporate Card",0,V2441))</f>
        <v>47.371099999999991</v>
      </c>
      <c r="AG2441" s="15" t="s">
        <v>133</v>
      </c>
      <c r="AH2441" s="16">
        <v>45955</v>
      </c>
      <c r="AI2441" s="16">
        <v>45959</v>
      </c>
      <c r="AJ2441" s="16">
        <v>45970</v>
      </c>
      <c r="AK2441" s="17">
        <f>IF(AJ2441="","",AJ2441-AH2441)</f>
        <v>15</v>
      </c>
    </row>
    <row r="2442" spans="1:37">
      <c r="A2442" s="2" t="s">
        <v>2932</v>
      </c>
      <c r="B2442" s="2" t="s">
        <v>882</v>
      </c>
      <c r="C2442" s="2" t="s">
        <v>446</v>
      </c>
      <c r="D2442" s="2" t="s">
        <v>444</v>
      </c>
      <c r="E2442" s="2" t="s">
        <v>883</v>
      </c>
      <c r="F2442" s="2" t="s">
        <v>313</v>
      </c>
      <c r="G2442" s="2" t="s">
        <v>2915</v>
      </c>
      <c r="H2442" s="2" t="s">
        <v>417</v>
      </c>
      <c r="I2442" s="2" t="s">
        <v>1251</v>
      </c>
      <c r="J2442" s="2" t="s">
        <v>750</v>
      </c>
      <c r="K2442" s="9">
        <v>45949</v>
      </c>
      <c r="L2442" s="9">
        <v>45952</v>
      </c>
      <c r="M2442" s="9">
        <v>45950</v>
      </c>
      <c r="N2442" s="2" t="s">
        <v>2764</v>
      </c>
      <c r="O2442" s="2" t="s">
        <v>53</v>
      </c>
      <c r="P2442" s="2" t="s">
        <v>145</v>
      </c>
      <c r="Q2442" s="2" t="s">
        <v>220</v>
      </c>
      <c r="R2442" s="2" t="s">
        <v>128</v>
      </c>
      <c r="S2442" s="2" t="s">
        <v>198</v>
      </c>
      <c r="T2442" s="10">
        <v>346.81</v>
      </c>
      <c r="U2442" s="11">
        <v>1.085</v>
      </c>
      <c r="V2442" s="12">
        <f>T2442*U2442</f>
        <v>376.28884999999997</v>
      </c>
      <c r="W2442" s="13">
        <v>0.19</v>
      </c>
      <c r="X2442" s="12">
        <f>V2442-(V2442/(1+W2442))</f>
        <v>60.079732352941164</v>
      </c>
      <c r="Y2442" s="12">
        <f>V2442-X2442</f>
        <v>316.2091176470588</v>
      </c>
      <c r="Z2442" s="14">
        <v>840</v>
      </c>
      <c r="AA2442" s="2" t="str">
        <f>IF(V2442&gt;Z2442,"Yes","No")</f>
        <v>No</v>
      </c>
      <c r="AB2442" s="12">
        <f>V2442-Z2442</f>
        <v>-463.71115000000003</v>
      </c>
      <c r="AC2442" s="15" t="s">
        <v>131</v>
      </c>
      <c r="AD2442" s="15" t="s">
        <v>131</v>
      </c>
      <c r="AE2442" s="15" t="s">
        <v>180</v>
      </c>
      <c r="AF2442" s="12">
        <f>IF(AG2442="Rejected",0,IF(R2442="Corporate Card",0,V2442))</f>
        <v>0</v>
      </c>
      <c r="AG2442" s="15" t="s">
        <v>133</v>
      </c>
      <c r="AH2442" s="16">
        <v>45955</v>
      </c>
      <c r="AI2442" s="16">
        <v>45959</v>
      </c>
      <c r="AJ2442" s="16">
        <v>45970</v>
      </c>
      <c r="AK2442" s="17">
        <f>IF(AJ2442="","",AJ2442-AH2442)</f>
        <v>15</v>
      </c>
    </row>
    <row r="2443" spans="1:37">
      <c r="A2443" s="2" t="s">
        <v>2933</v>
      </c>
      <c r="B2443" s="2" t="s">
        <v>882</v>
      </c>
      <c r="C2443" s="2" t="s">
        <v>446</v>
      </c>
      <c r="D2443" s="2" t="s">
        <v>444</v>
      </c>
      <c r="E2443" s="2" t="s">
        <v>883</v>
      </c>
      <c r="F2443" s="2" t="s">
        <v>313</v>
      </c>
      <c r="G2443" s="2" t="s">
        <v>2915</v>
      </c>
      <c r="H2443" s="2" t="s">
        <v>417</v>
      </c>
      <c r="I2443" s="2" t="s">
        <v>1251</v>
      </c>
      <c r="J2443" s="2" t="s">
        <v>750</v>
      </c>
      <c r="K2443" s="9">
        <v>45949</v>
      </c>
      <c r="L2443" s="9">
        <v>45952</v>
      </c>
      <c r="M2443" s="9">
        <v>45950</v>
      </c>
      <c r="N2443" s="2" t="s">
        <v>2764</v>
      </c>
      <c r="O2443" s="2" t="s">
        <v>54</v>
      </c>
      <c r="P2443" s="2" t="s">
        <v>139</v>
      </c>
      <c r="Q2443" s="2" t="s">
        <v>140</v>
      </c>
      <c r="R2443" s="2" t="s">
        <v>128</v>
      </c>
      <c r="S2443" s="2" t="s">
        <v>198</v>
      </c>
      <c r="T2443" s="10">
        <v>21.32</v>
      </c>
      <c r="U2443" s="11">
        <v>1.085</v>
      </c>
      <c r="V2443" s="12">
        <f>T2443*U2443</f>
        <v>23.132200000000001</v>
      </c>
      <c r="W2443" s="13">
        <v>0.19</v>
      </c>
      <c r="X2443" s="12">
        <f>V2443-(V2443/(1+W2443))</f>
        <v>3.6933764705882339</v>
      </c>
      <c r="Y2443" s="12">
        <f>V2443-X2443</f>
        <v>19.438823529411767</v>
      </c>
      <c r="Z2443" s="14">
        <v>25</v>
      </c>
      <c r="AA2443" s="2" t="str">
        <f>IF(V2443&gt;Z2443,"Yes","No")</f>
        <v>No</v>
      </c>
      <c r="AB2443" s="12">
        <f>V2443-Z2443</f>
        <v>-1.867799999999999</v>
      </c>
      <c r="AC2443" s="15" t="s">
        <v>130</v>
      </c>
      <c r="AD2443" s="15" t="s">
        <v>131</v>
      </c>
      <c r="AE2443" s="15" t="s">
        <v>180</v>
      </c>
      <c r="AF2443" s="12">
        <f>IF(AG2443="Rejected",0,IF(R2443="Corporate Card",0,V2443))</f>
        <v>0</v>
      </c>
      <c r="AG2443" s="15" t="s">
        <v>133</v>
      </c>
      <c r="AH2443" s="16">
        <v>45955</v>
      </c>
      <c r="AI2443" s="16">
        <v>45959</v>
      </c>
      <c r="AJ2443" s="16">
        <v>45970</v>
      </c>
      <c r="AK2443" s="17">
        <f>IF(AJ2443="","",AJ2443-AH2443)</f>
        <v>15</v>
      </c>
    </row>
    <row r="2444" spans="1:37">
      <c r="A2444" s="2" t="s">
        <v>2934</v>
      </c>
      <c r="B2444" s="2" t="s">
        <v>882</v>
      </c>
      <c r="C2444" s="2" t="s">
        <v>446</v>
      </c>
      <c r="D2444" s="2" t="s">
        <v>444</v>
      </c>
      <c r="E2444" s="2" t="s">
        <v>883</v>
      </c>
      <c r="F2444" s="2" t="s">
        <v>313</v>
      </c>
      <c r="G2444" s="2" t="s">
        <v>2915</v>
      </c>
      <c r="H2444" s="2" t="s">
        <v>417</v>
      </c>
      <c r="I2444" s="2" t="s">
        <v>1251</v>
      </c>
      <c r="J2444" s="2" t="s">
        <v>750</v>
      </c>
      <c r="K2444" s="9">
        <v>45949</v>
      </c>
      <c r="L2444" s="9">
        <v>45952</v>
      </c>
      <c r="M2444" s="9">
        <v>45950</v>
      </c>
      <c r="N2444" s="2" t="s">
        <v>2764</v>
      </c>
      <c r="O2444" s="2" t="s">
        <v>55</v>
      </c>
      <c r="P2444" s="2" t="s">
        <v>139</v>
      </c>
      <c r="Q2444" s="2" t="s">
        <v>161</v>
      </c>
      <c r="R2444" s="2" t="s">
        <v>128</v>
      </c>
      <c r="S2444" s="2" t="s">
        <v>198</v>
      </c>
      <c r="T2444" s="10">
        <v>16.73</v>
      </c>
      <c r="U2444" s="11">
        <v>1.085</v>
      </c>
      <c r="V2444" s="12">
        <f>T2444*U2444</f>
        <v>18.152049999999999</v>
      </c>
      <c r="W2444" s="13">
        <v>0.19</v>
      </c>
      <c r="X2444" s="12">
        <f>V2444-(V2444/(1+W2444))</f>
        <v>2.8982264705882343</v>
      </c>
      <c r="Y2444" s="12">
        <f>V2444-X2444</f>
        <v>15.253823529411765</v>
      </c>
      <c r="Z2444" s="14">
        <v>35</v>
      </c>
      <c r="AA2444" s="2" t="str">
        <f>IF(V2444&gt;Z2444,"Yes","No")</f>
        <v>No</v>
      </c>
      <c r="AB2444" s="12">
        <f>V2444-Z2444</f>
        <v>-16.847950000000001</v>
      </c>
      <c r="AC2444" s="15" t="s">
        <v>130</v>
      </c>
      <c r="AD2444" s="15" t="s">
        <v>131</v>
      </c>
      <c r="AE2444" s="15" t="s">
        <v>180</v>
      </c>
      <c r="AF2444" s="12">
        <f>IF(AG2444="Rejected",0,IF(R2444="Corporate Card",0,V2444))</f>
        <v>0</v>
      </c>
      <c r="AG2444" s="15" t="s">
        <v>133</v>
      </c>
      <c r="AH2444" s="16">
        <v>45955</v>
      </c>
      <c r="AI2444" s="16">
        <v>45959</v>
      </c>
      <c r="AJ2444" s="16">
        <v>45970</v>
      </c>
      <c r="AK2444" s="17">
        <f>IF(AJ2444="","",AJ2444-AH2444)</f>
        <v>15</v>
      </c>
    </row>
    <row r="2445" spans="1:37">
      <c r="A2445" s="2" t="s">
        <v>2935</v>
      </c>
      <c r="B2445" s="2" t="s">
        <v>2212</v>
      </c>
      <c r="C2445" s="2" t="s">
        <v>346</v>
      </c>
      <c r="D2445" s="2" t="s">
        <v>344</v>
      </c>
      <c r="E2445" s="2" t="s">
        <v>2213</v>
      </c>
      <c r="F2445" s="2" t="s">
        <v>313</v>
      </c>
      <c r="G2445" s="2" t="s">
        <v>2908</v>
      </c>
      <c r="H2445" s="2" t="s">
        <v>448</v>
      </c>
      <c r="I2445" s="2" t="s">
        <v>619</v>
      </c>
      <c r="J2445" s="2" t="s">
        <v>381</v>
      </c>
      <c r="K2445" s="9">
        <v>45948</v>
      </c>
      <c r="L2445" s="9">
        <v>45952</v>
      </c>
      <c r="M2445" s="9">
        <v>45950</v>
      </c>
      <c r="N2445" s="2" t="s">
        <v>2764</v>
      </c>
      <c r="O2445" s="2" t="s">
        <v>58</v>
      </c>
      <c r="P2445" s="2" t="s">
        <v>142</v>
      </c>
      <c r="Q2445" s="2" t="s">
        <v>156</v>
      </c>
      <c r="R2445" s="2" t="s">
        <v>137</v>
      </c>
      <c r="S2445" s="2" t="s">
        <v>383</v>
      </c>
      <c r="T2445" s="10">
        <v>58.86</v>
      </c>
      <c r="U2445" s="11">
        <v>1</v>
      </c>
      <c r="V2445" s="12">
        <f>T2445*U2445</f>
        <v>58.86</v>
      </c>
      <c r="W2445" s="13">
        <v>0</v>
      </c>
      <c r="X2445" s="12">
        <f>V2445-(V2445/(1+W2445))</f>
        <v>0</v>
      </c>
      <c r="Y2445" s="12">
        <f>V2445-X2445</f>
        <v>58.86</v>
      </c>
      <c r="Z2445" s="14">
        <v>60</v>
      </c>
      <c r="AA2445" s="2" t="str">
        <f>IF(V2445&gt;Z2445,"Yes","No")</f>
        <v>No</v>
      </c>
      <c r="AB2445" s="12">
        <f>V2445-Z2445</f>
        <v>-1.1400000000000006</v>
      </c>
      <c r="AC2445" s="15" t="s">
        <v>131</v>
      </c>
      <c r="AD2445" s="15" t="s">
        <v>130</v>
      </c>
      <c r="AE2445" s="15" t="s">
        <v>260</v>
      </c>
      <c r="AF2445" s="12">
        <f>IF(AG2445="Rejected",0,IF(R2445="Corporate Card",0,V2445))</f>
        <v>0</v>
      </c>
      <c r="AG2445" s="15" t="s">
        <v>804</v>
      </c>
      <c r="AH2445" s="16">
        <v>45955</v>
      </c>
      <c r="AI2445" s="16"/>
      <c r="AJ2445" s="16"/>
      <c r="AK2445" s="17" t="str">
        <f>IF(AJ2445="","",AJ2445-AH2445)</f>
        <v/>
      </c>
    </row>
    <row r="2446" spans="1:37">
      <c r="A2446" s="2" t="s">
        <v>2936</v>
      </c>
      <c r="B2446" s="2" t="s">
        <v>2212</v>
      </c>
      <c r="C2446" s="2" t="s">
        <v>346</v>
      </c>
      <c r="D2446" s="2" t="s">
        <v>344</v>
      </c>
      <c r="E2446" s="2" t="s">
        <v>2213</v>
      </c>
      <c r="F2446" s="2" t="s">
        <v>313</v>
      </c>
      <c r="G2446" s="2" t="s">
        <v>2908</v>
      </c>
      <c r="H2446" s="2" t="s">
        <v>448</v>
      </c>
      <c r="I2446" s="2" t="s">
        <v>619</v>
      </c>
      <c r="J2446" s="2" t="s">
        <v>381</v>
      </c>
      <c r="K2446" s="9">
        <v>45948</v>
      </c>
      <c r="L2446" s="9">
        <v>45952</v>
      </c>
      <c r="M2446" s="9">
        <v>45950</v>
      </c>
      <c r="N2446" s="2" t="s">
        <v>2764</v>
      </c>
      <c r="O2446" s="2" t="s">
        <v>56</v>
      </c>
      <c r="P2446" s="2" t="s">
        <v>165</v>
      </c>
      <c r="Q2446" s="2" t="s">
        <v>159</v>
      </c>
      <c r="R2446" s="2" t="s">
        <v>128</v>
      </c>
      <c r="S2446" s="2" t="s">
        <v>383</v>
      </c>
      <c r="T2446" s="10">
        <v>54.09</v>
      </c>
      <c r="U2446" s="11">
        <v>1</v>
      </c>
      <c r="V2446" s="12">
        <f>T2446*U2446</f>
        <v>54.09</v>
      </c>
      <c r="W2446" s="13">
        <v>0</v>
      </c>
      <c r="X2446" s="12">
        <f>V2446-(V2446/(1+W2446))</f>
        <v>0</v>
      </c>
      <c r="Y2446" s="12">
        <f>V2446-X2446</f>
        <v>54.09</v>
      </c>
      <c r="Z2446" s="14">
        <v>75</v>
      </c>
      <c r="AA2446" s="2" t="str">
        <f>IF(V2446&gt;Z2446,"Yes","No")</f>
        <v>No</v>
      </c>
      <c r="AB2446" s="12">
        <f>V2446-Z2446</f>
        <v>-20.909999999999997</v>
      </c>
      <c r="AC2446" s="15" t="s">
        <v>130</v>
      </c>
      <c r="AD2446" s="15" t="s">
        <v>130</v>
      </c>
      <c r="AE2446" s="15" t="s">
        <v>260</v>
      </c>
      <c r="AF2446" s="12">
        <f>IF(AG2446="Rejected",0,IF(R2446="Corporate Card",0,V2446))</f>
        <v>0</v>
      </c>
      <c r="AG2446" s="15" t="s">
        <v>804</v>
      </c>
      <c r="AH2446" s="16">
        <v>45955</v>
      </c>
      <c r="AI2446" s="16"/>
      <c r="AJ2446" s="16"/>
      <c r="AK2446" s="17" t="str">
        <f>IF(AJ2446="","",AJ2446-AH2446)</f>
        <v/>
      </c>
    </row>
    <row r="2447" spans="1:37">
      <c r="A2447" s="2" t="s">
        <v>2937</v>
      </c>
      <c r="B2447" s="2" t="s">
        <v>2212</v>
      </c>
      <c r="C2447" s="2" t="s">
        <v>346</v>
      </c>
      <c r="D2447" s="2" t="s">
        <v>344</v>
      </c>
      <c r="E2447" s="2" t="s">
        <v>2213</v>
      </c>
      <c r="F2447" s="2" t="s">
        <v>313</v>
      </c>
      <c r="G2447" s="2" t="s">
        <v>2908</v>
      </c>
      <c r="H2447" s="2" t="s">
        <v>448</v>
      </c>
      <c r="I2447" s="2" t="s">
        <v>619</v>
      </c>
      <c r="J2447" s="2" t="s">
        <v>381</v>
      </c>
      <c r="K2447" s="9">
        <v>45948</v>
      </c>
      <c r="L2447" s="9">
        <v>45952</v>
      </c>
      <c r="M2447" s="9">
        <v>45950</v>
      </c>
      <c r="N2447" s="2" t="s">
        <v>2764</v>
      </c>
      <c r="O2447" s="2" t="s">
        <v>55</v>
      </c>
      <c r="P2447" s="2" t="s">
        <v>139</v>
      </c>
      <c r="Q2447" s="2" t="s">
        <v>217</v>
      </c>
      <c r="R2447" s="2" t="s">
        <v>128</v>
      </c>
      <c r="S2447" s="2" t="s">
        <v>383</v>
      </c>
      <c r="T2447" s="10">
        <v>18.59</v>
      </c>
      <c r="U2447" s="11">
        <v>1</v>
      </c>
      <c r="V2447" s="12">
        <f>T2447*U2447</f>
        <v>18.59</v>
      </c>
      <c r="W2447" s="13">
        <v>0</v>
      </c>
      <c r="X2447" s="12">
        <f>V2447-(V2447/(1+W2447))</f>
        <v>0</v>
      </c>
      <c r="Y2447" s="12">
        <f>V2447-X2447</f>
        <v>18.59</v>
      </c>
      <c r="Z2447" s="14">
        <v>35</v>
      </c>
      <c r="AA2447" s="2" t="str">
        <f>IF(V2447&gt;Z2447,"Yes","No")</f>
        <v>No</v>
      </c>
      <c r="AB2447" s="12">
        <f>V2447-Z2447</f>
        <v>-16.41</v>
      </c>
      <c r="AC2447" s="15" t="s">
        <v>130</v>
      </c>
      <c r="AD2447" s="15" t="s">
        <v>130</v>
      </c>
      <c r="AE2447" s="15" t="s">
        <v>260</v>
      </c>
      <c r="AF2447" s="12">
        <f>IF(AG2447="Rejected",0,IF(R2447="Corporate Card",0,V2447))</f>
        <v>0</v>
      </c>
      <c r="AG2447" s="15" t="s">
        <v>804</v>
      </c>
      <c r="AH2447" s="16">
        <v>45955</v>
      </c>
      <c r="AI2447" s="16"/>
      <c r="AJ2447" s="16"/>
      <c r="AK2447" s="17" t="str">
        <f>IF(AJ2447="","",AJ2447-AH2447)</f>
        <v/>
      </c>
    </row>
    <row r="2448" spans="1:37">
      <c r="A2448" s="2" t="s">
        <v>2938</v>
      </c>
      <c r="B2448" s="2" t="s">
        <v>375</v>
      </c>
      <c r="C2448" s="2" t="s">
        <v>376</v>
      </c>
      <c r="D2448" s="2" t="s">
        <v>344</v>
      </c>
      <c r="E2448" s="2" t="s">
        <v>377</v>
      </c>
      <c r="F2448" s="2" t="s">
        <v>346</v>
      </c>
      <c r="G2448" s="2" t="s">
        <v>2939</v>
      </c>
      <c r="H2448" s="2" t="s">
        <v>748</v>
      </c>
      <c r="I2448" s="2" t="s">
        <v>123</v>
      </c>
      <c r="J2448" s="2" t="s">
        <v>124</v>
      </c>
      <c r="K2448" s="9">
        <v>45950</v>
      </c>
      <c r="L2448" s="9">
        <v>45958</v>
      </c>
      <c r="M2448" s="9">
        <v>45950</v>
      </c>
      <c r="N2448" s="2" t="s">
        <v>2764</v>
      </c>
      <c r="O2448" s="2" t="s">
        <v>52</v>
      </c>
      <c r="P2448" s="2" t="s">
        <v>126</v>
      </c>
      <c r="Q2448" s="2" t="s">
        <v>178</v>
      </c>
      <c r="R2448" s="2" t="s">
        <v>128</v>
      </c>
      <c r="S2448" s="2" t="s">
        <v>129</v>
      </c>
      <c r="T2448" s="10">
        <v>1003.55</v>
      </c>
      <c r="U2448" s="11">
        <v>1.272</v>
      </c>
      <c r="V2448" s="12">
        <f>T2448*U2448</f>
        <v>1276.5155999999999</v>
      </c>
      <c r="W2448" s="13">
        <v>0</v>
      </c>
      <c r="X2448" s="12">
        <f>V2448-(V2448/(1+W2448))</f>
        <v>0</v>
      </c>
      <c r="Y2448" s="12">
        <f>V2448-X2448</f>
        <v>1276.5155999999999</v>
      </c>
      <c r="Z2448" s="14">
        <v>1400</v>
      </c>
      <c r="AA2448" s="2" t="str">
        <f>IF(V2448&gt;Z2448,"Yes","No")</f>
        <v>No</v>
      </c>
      <c r="AB2448" s="12">
        <f>V2448-Z2448</f>
        <v>-123.48440000000005</v>
      </c>
      <c r="AC2448" s="15" t="s">
        <v>130</v>
      </c>
      <c r="AD2448" s="15" t="s">
        <v>131</v>
      </c>
      <c r="AE2448" s="15" t="s">
        <v>421</v>
      </c>
      <c r="AF2448" s="12">
        <f>IF(AG2448="Rejected",0,IF(R2448="Corporate Card",0,V2448))</f>
        <v>0</v>
      </c>
      <c r="AG2448" s="15" t="s">
        <v>133</v>
      </c>
      <c r="AH2448" s="16">
        <v>45962</v>
      </c>
      <c r="AI2448" s="16">
        <v>45967</v>
      </c>
      <c r="AJ2448" s="16">
        <v>45974</v>
      </c>
      <c r="AK2448" s="17">
        <f>IF(AJ2448="","",AJ2448-AH2448)</f>
        <v>12</v>
      </c>
    </row>
    <row r="2449" spans="1:37">
      <c r="A2449" s="2" t="s">
        <v>2940</v>
      </c>
      <c r="B2449" s="2" t="s">
        <v>375</v>
      </c>
      <c r="C2449" s="2" t="s">
        <v>376</v>
      </c>
      <c r="D2449" s="2" t="s">
        <v>344</v>
      </c>
      <c r="E2449" s="2" t="s">
        <v>377</v>
      </c>
      <c r="F2449" s="2" t="s">
        <v>346</v>
      </c>
      <c r="G2449" s="2" t="s">
        <v>2939</v>
      </c>
      <c r="H2449" s="2" t="s">
        <v>748</v>
      </c>
      <c r="I2449" s="2" t="s">
        <v>123</v>
      </c>
      <c r="J2449" s="2" t="s">
        <v>124</v>
      </c>
      <c r="K2449" s="9">
        <v>45950</v>
      </c>
      <c r="L2449" s="9">
        <v>45958</v>
      </c>
      <c r="M2449" s="9">
        <v>45950</v>
      </c>
      <c r="N2449" s="2" t="s">
        <v>2764</v>
      </c>
      <c r="O2449" s="2" t="s">
        <v>54</v>
      </c>
      <c r="P2449" s="2" t="s">
        <v>139</v>
      </c>
      <c r="Q2449" s="2" t="s">
        <v>140</v>
      </c>
      <c r="R2449" s="2" t="s">
        <v>128</v>
      </c>
      <c r="S2449" s="2" t="s">
        <v>129</v>
      </c>
      <c r="T2449" s="10">
        <v>15.72</v>
      </c>
      <c r="U2449" s="11">
        <v>1.272</v>
      </c>
      <c r="V2449" s="12">
        <f>T2449*U2449</f>
        <v>19.995840000000001</v>
      </c>
      <c r="W2449" s="13">
        <v>0.2</v>
      </c>
      <c r="X2449" s="12">
        <f>V2449-(V2449/(1+W2449))</f>
        <v>3.3326399999999978</v>
      </c>
      <c r="Y2449" s="12">
        <f>V2449-X2449</f>
        <v>16.663200000000003</v>
      </c>
      <c r="Z2449" s="14">
        <v>25</v>
      </c>
      <c r="AA2449" s="2" t="str">
        <f>IF(V2449&gt;Z2449,"Yes","No")</f>
        <v>No</v>
      </c>
      <c r="AB2449" s="12">
        <f>V2449-Z2449</f>
        <v>-5.0041599999999988</v>
      </c>
      <c r="AC2449" s="15" t="s">
        <v>130</v>
      </c>
      <c r="AD2449" s="15" t="s">
        <v>131</v>
      </c>
      <c r="AE2449" s="15" t="s">
        <v>421</v>
      </c>
      <c r="AF2449" s="12">
        <f>IF(AG2449="Rejected",0,IF(R2449="Corporate Card",0,V2449))</f>
        <v>0</v>
      </c>
      <c r="AG2449" s="15" t="s">
        <v>133</v>
      </c>
      <c r="AH2449" s="16">
        <v>45962</v>
      </c>
      <c r="AI2449" s="16">
        <v>45967</v>
      </c>
      <c r="AJ2449" s="16">
        <v>45974</v>
      </c>
      <c r="AK2449" s="17">
        <f>IF(AJ2449="","",AJ2449-AH2449)</f>
        <v>12</v>
      </c>
    </row>
    <row r="2450" spans="1:37">
      <c r="A2450" s="2" t="s">
        <v>2941</v>
      </c>
      <c r="B2450" s="2" t="s">
        <v>375</v>
      </c>
      <c r="C2450" s="2" t="s">
        <v>376</v>
      </c>
      <c r="D2450" s="2" t="s">
        <v>344</v>
      </c>
      <c r="E2450" s="2" t="s">
        <v>377</v>
      </c>
      <c r="F2450" s="2" t="s">
        <v>346</v>
      </c>
      <c r="G2450" s="2" t="s">
        <v>2939</v>
      </c>
      <c r="H2450" s="2" t="s">
        <v>748</v>
      </c>
      <c r="I2450" s="2" t="s">
        <v>123</v>
      </c>
      <c r="J2450" s="2" t="s">
        <v>124</v>
      </c>
      <c r="K2450" s="9">
        <v>45950</v>
      </c>
      <c r="L2450" s="9">
        <v>45958</v>
      </c>
      <c r="M2450" s="9">
        <v>45950</v>
      </c>
      <c r="N2450" s="2" t="s">
        <v>2764</v>
      </c>
      <c r="O2450" s="2" t="s">
        <v>56</v>
      </c>
      <c r="P2450" s="2" t="s">
        <v>165</v>
      </c>
      <c r="Q2450" s="2" t="s">
        <v>166</v>
      </c>
      <c r="R2450" s="2" t="s">
        <v>149</v>
      </c>
      <c r="S2450" s="2" t="s">
        <v>129</v>
      </c>
      <c r="T2450" s="10">
        <v>58.54</v>
      </c>
      <c r="U2450" s="11">
        <v>1.272</v>
      </c>
      <c r="V2450" s="12">
        <f>T2450*U2450</f>
        <v>74.462879999999998</v>
      </c>
      <c r="W2450" s="13">
        <v>0.2</v>
      </c>
      <c r="X2450" s="12">
        <f>V2450-(V2450/(1+W2450))</f>
        <v>12.41048</v>
      </c>
      <c r="Y2450" s="12">
        <f>V2450-X2450</f>
        <v>62.052399999999999</v>
      </c>
      <c r="Z2450" s="14">
        <v>75</v>
      </c>
      <c r="AA2450" s="2" t="str">
        <f>IF(V2450&gt;Z2450,"Yes","No")</f>
        <v>No</v>
      </c>
      <c r="AB2450" s="12">
        <f>V2450-Z2450</f>
        <v>-0.5371200000000016</v>
      </c>
      <c r="AC2450" s="15" t="s">
        <v>130</v>
      </c>
      <c r="AD2450" s="15" t="s">
        <v>131</v>
      </c>
      <c r="AE2450" s="15" t="s">
        <v>421</v>
      </c>
      <c r="AF2450" s="12">
        <f>IF(AG2450="Rejected",0,IF(R2450="Corporate Card",0,V2450))</f>
        <v>74.462879999999998</v>
      </c>
      <c r="AG2450" s="15" t="s">
        <v>133</v>
      </c>
      <c r="AH2450" s="16">
        <v>45962</v>
      </c>
      <c r="AI2450" s="16">
        <v>45967</v>
      </c>
      <c r="AJ2450" s="16">
        <v>45974</v>
      </c>
      <c r="AK2450" s="17">
        <f>IF(AJ2450="","",AJ2450-AH2450)</f>
        <v>12</v>
      </c>
    </row>
    <row r="2451" spans="1:37">
      <c r="A2451" s="2" t="s">
        <v>2942</v>
      </c>
      <c r="B2451" s="2" t="s">
        <v>375</v>
      </c>
      <c r="C2451" s="2" t="s">
        <v>376</v>
      </c>
      <c r="D2451" s="2" t="s">
        <v>344</v>
      </c>
      <c r="E2451" s="2" t="s">
        <v>377</v>
      </c>
      <c r="F2451" s="2" t="s">
        <v>346</v>
      </c>
      <c r="G2451" s="2" t="s">
        <v>2939</v>
      </c>
      <c r="H2451" s="2" t="s">
        <v>748</v>
      </c>
      <c r="I2451" s="2" t="s">
        <v>123</v>
      </c>
      <c r="J2451" s="2" t="s">
        <v>124</v>
      </c>
      <c r="K2451" s="9">
        <v>45950</v>
      </c>
      <c r="L2451" s="9">
        <v>45958</v>
      </c>
      <c r="M2451" s="9">
        <v>45950</v>
      </c>
      <c r="N2451" s="2" t="s">
        <v>2764</v>
      </c>
      <c r="O2451" s="2" t="s">
        <v>55</v>
      </c>
      <c r="P2451" s="2" t="s">
        <v>139</v>
      </c>
      <c r="Q2451" s="2" t="s">
        <v>161</v>
      </c>
      <c r="R2451" s="2" t="s">
        <v>149</v>
      </c>
      <c r="S2451" s="2" t="s">
        <v>129</v>
      </c>
      <c r="T2451" s="10">
        <v>15.84</v>
      </c>
      <c r="U2451" s="11">
        <v>1.272</v>
      </c>
      <c r="V2451" s="12">
        <f>T2451*U2451</f>
        <v>20.148479999999999</v>
      </c>
      <c r="W2451" s="13">
        <v>0.2</v>
      </c>
      <c r="X2451" s="12">
        <f>V2451-(V2451/(1+W2451))</f>
        <v>3.3580799999999975</v>
      </c>
      <c r="Y2451" s="12">
        <f>V2451-X2451</f>
        <v>16.790400000000002</v>
      </c>
      <c r="Z2451" s="14">
        <v>35</v>
      </c>
      <c r="AA2451" s="2" t="str">
        <f>IF(V2451&gt;Z2451,"Yes","No")</f>
        <v>No</v>
      </c>
      <c r="AB2451" s="12">
        <f>V2451-Z2451</f>
        <v>-14.851520000000001</v>
      </c>
      <c r="AC2451" s="15" t="s">
        <v>130</v>
      </c>
      <c r="AD2451" s="15" t="s">
        <v>131</v>
      </c>
      <c r="AE2451" s="15" t="s">
        <v>421</v>
      </c>
      <c r="AF2451" s="12">
        <f>IF(AG2451="Rejected",0,IF(R2451="Corporate Card",0,V2451))</f>
        <v>20.148479999999999</v>
      </c>
      <c r="AG2451" s="15" t="s">
        <v>133</v>
      </c>
      <c r="AH2451" s="16">
        <v>45962</v>
      </c>
      <c r="AI2451" s="16">
        <v>45967</v>
      </c>
      <c r="AJ2451" s="16">
        <v>45974</v>
      </c>
      <c r="AK2451" s="17">
        <f>IF(AJ2451="","",AJ2451-AH2451)</f>
        <v>12</v>
      </c>
    </row>
    <row r="2452" spans="1:37">
      <c r="A2452" s="2" t="s">
        <v>2943</v>
      </c>
      <c r="B2452" s="2" t="s">
        <v>550</v>
      </c>
      <c r="C2452" s="2" t="s">
        <v>551</v>
      </c>
      <c r="D2452" s="2" t="s">
        <v>171</v>
      </c>
      <c r="E2452" s="2" t="s">
        <v>172</v>
      </c>
      <c r="F2452" s="2" t="s">
        <v>173</v>
      </c>
      <c r="G2452" s="2" t="s">
        <v>2899</v>
      </c>
      <c r="H2452" s="2" t="s">
        <v>291</v>
      </c>
      <c r="I2452" s="2" t="s">
        <v>567</v>
      </c>
      <c r="J2452" s="2" t="s">
        <v>434</v>
      </c>
      <c r="K2452" s="9">
        <v>45948</v>
      </c>
      <c r="L2452" s="9">
        <v>45952</v>
      </c>
      <c r="M2452" s="9">
        <v>45951</v>
      </c>
      <c r="N2452" s="2" t="s">
        <v>2764</v>
      </c>
      <c r="O2452" s="2" t="s">
        <v>54</v>
      </c>
      <c r="P2452" s="2" t="s">
        <v>139</v>
      </c>
      <c r="Q2452" s="2" t="s">
        <v>148</v>
      </c>
      <c r="R2452" s="2" t="s">
        <v>128</v>
      </c>
      <c r="S2452" s="2" t="s">
        <v>436</v>
      </c>
      <c r="T2452" s="10">
        <v>2084</v>
      </c>
      <c r="U2452" s="11">
        <v>1.1780000000000001E-2</v>
      </c>
      <c r="V2452" s="12">
        <f>T2452*U2452</f>
        <v>24.549520000000001</v>
      </c>
      <c r="W2452" s="13">
        <v>0.18</v>
      </c>
      <c r="X2452" s="12">
        <f>V2452-(V2452/(1+W2452))</f>
        <v>3.7448420338983048</v>
      </c>
      <c r="Y2452" s="12">
        <f>V2452-X2452</f>
        <v>20.804677966101696</v>
      </c>
      <c r="Z2452" s="14">
        <v>25</v>
      </c>
      <c r="AA2452" s="2" t="str">
        <f>IF(V2452&gt;Z2452,"Yes","No")</f>
        <v>No</v>
      </c>
      <c r="AB2452" s="12">
        <f>V2452-Z2452</f>
        <v>-0.45047999999999888</v>
      </c>
      <c r="AC2452" s="15" t="s">
        <v>130</v>
      </c>
      <c r="AD2452" s="15" t="s">
        <v>131</v>
      </c>
      <c r="AE2452" s="15" t="s">
        <v>514</v>
      </c>
      <c r="AF2452" s="12">
        <f>IF(AG2452="Rejected",0,IF(R2452="Corporate Card",0,V2452))</f>
        <v>0</v>
      </c>
      <c r="AG2452" s="15" t="s">
        <v>133</v>
      </c>
      <c r="AH2452" s="16">
        <v>45959</v>
      </c>
      <c r="AI2452" s="16">
        <v>45965</v>
      </c>
      <c r="AJ2452" s="16">
        <v>45977</v>
      </c>
      <c r="AK2452" s="17">
        <f>IF(AJ2452="","",AJ2452-AH2452)</f>
        <v>18</v>
      </c>
    </row>
    <row r="2453" spans="1:37">
      <c r="A2453" s="2" t="s">
        <v>2944</v>
      </c>
      <c r="B2453" s="2" t="s">
        <v>550</v>
      </c>
      <c r="C2453" s="2" t="s">
        <v>551</v>
      </c>
      <c r="D2453" s="2" t="s">
        <v>171</v>
      </c>
      <c r="E2453" s="2" t="s">
        <v>172</v>
      </c>
      <c r="F2453" s="2" t="s">
        <v>173</v>
      </c>
      <c r="G2453" s="2" t="s">
        <v>2899</v>
      </c>
      <c r="H2453" s="2" t="s">
        <v>291</v>
      </c>
      <c r="I2453" s="2" t="s">
        <v>567</v>
      </c>
      <c r="J2453" s="2" t="s">
        <v>434</v>
      </c>
      <c r="K2453" s="9">
        <v>45948</v>
      </c>
      <c r="L2453" s="9">
        <v>45952</v>
      </c>
      <c r="M2453" s="9">
        <v>45951</v>
      </c>
      <c r="N2453" s="2" t="s">
        <v>2764</v>
      </c>
      <c r="O2453" s="2" t="s">
        <v>56</v>
      </c>
      <c r="P2453" s="2" t="s">
        <v>245</v>
      </c>
      <c r="Q2453" s="2" t="s">
        <v>166</v>
      </c>
      <c r="R2453" s="2" t="s">
        <v>128</v>
      </c>
      <c r="S2453" s="2" t="s">
        <v>436</v>
      </c>
      <c r="T2453" s="10">
        <v>6167</v>
      </c>
      <c r="U2453" s="11">
        <v>1.1780000000000001E-2</v>
      </c>
      <c r="V2453" s="12">
        <f>T2453*U2453</f>
        <v>72.647260000000003</v>
      </c>
      <c r="W2453" s="13">
        <v>0.18</v>
      </c>
      <c r="X2453" s="12">
        <f>V2453-(V2453/(1+W2453))</f>
        <v>11.08178542372881</v>
      </c>
      <c r="Y2453" s="12">
        <f>V2453-X2453</f>
        <v>61.565474576271193</v>
      </c>
      <c r="Z2453" s="14">
        <v>75</v>
      </c>
      <c r="AA2453" s="2" t="str">
        <f>IF(V2453&gt;Z2453,"Yes","No")</f>
        <v>No</v>
      </c>
      <c r="AB2453" s="12">
        <f>V2453-Z2453</f>
        <v>-2.3527399999999972</v>
      </c>
      <c r="AC2453" s="15" t="s">
        <v>130</v>
      </c>
      <c r="AD2453" s="15" t="s">
        <v>131</v>
      </c>
      <c r="AE2453" s="15" t="s">
        <v>514</v>
      </c>
      <c r="AF2453" s="12">
        <f>IF(AG2453="Rejected",0,IF(R2453="Corporate Card",0,V2453))</f>
        <v>0</v>
      </c>
      <c r="AG2453" s="15" t="s">
        <v>133</v>
      </c>
      <c r="AH2453" s="16">
        <v>45959</v>
      </c>
      <c r="AI2453" s="16">
        <v>45965</v>
      </c>
      <c r="AJ2453" s="16">
        <v>45977</v>
      </c>
      <c r="AK2453" s="17">
        <f>IF(AJ2453="","",AJ2453-AH2453)</f>
        <v>18</v>
      </c>
    </row>
    <row r="2454" spans="1:37">
      <c r="A2454" s="2" t="s">
        <v>2945</v>
      </c>
      <c r="B2454" s="2" t="s">
        <v>882</v>
      </c>
      <c r="C2454" s="2" t="s">
        <v>446</v>
      </c>
      <c r="D2454" s="2" t="s">
        <v>444</v>
      </c>
      <c r="E2454" s="2" t="s">
        <v>883</v>
      </c>
      <c r="F2454" s="2" t="s">
        <v>313</v>
      </c>
      <c r="G2454" s="2" t="s">
        <v>2915</v>
      </c>
      <c r="H2454" s="2" t="s">
        <v>417</v>
      </c>
      <c r="I2454" s="2" t="s">
        <v>1251</v>
      </c>
      <c r="J2454" s="2" t="s">
        <v>750</v>
      </c>
      <c r="K2454" s="9">
        <v>45949</v>
      </c>
      <c r="L2454" s="9">
        <v>45952</v>
      </c>
      <c r="M2454" s="9">
        <v>45951</v>
      </c>
      <c r="N2454" s="2" t="s">
        <v>2764</v>
      </c>
      <c r="O2454" s="2" t="s">
        <v>58</v>
      </c>
      <c r="P2454" s="2" t="s">
        <v>142</v>
      </c>
      <c r="Q2454" s="2" t="s">
        <v>203</v>
      </c>
      <c r="R2454" s="2" t="s">
        <v>128</v>
      </c>
      <c r="S2454" s="2" t="s">
        <v>198</v>
      </c>
      <c r="T2454" s="10">
        <v>31.91</v>
      </c>
      <c r="U2454" s="11">
        <v>1.085</v>
      </c>
      <c r="V2454" s="12">
        <f>T2454*U2454</f>
        <v>34.622349999999997</v>
      </c>
      <c r="W2454" s="13">
        <v>0.19</v>
      </c>
      <c r="X2454" s="12">
        <f>V2454-(V2454/(1+W2454))</f>
        <v>5.5279382352941155</v>
      </c>
      <c r="Y2454" s="12">
        <f>V2454-X2454</f>
        <v>29.094411764705882</v>
      </c>
      <c r="Z2454" s="14">
        <v>60</v>
      </c>
      <c r="AA2454" s="2" t="str">
        <f>IF(V2454&gt;Z2454,"Yes","No")</f>
        <v>No</v>
      </c>
      <c r="AB2454" s="12">
        <f>V2454-Z2454</f>
        <v>-25.377650000000003</v>
      </c>
      <c r="AC2454" s="15" t="s">
        <v>130</v>
      </c>
      <c r="AD2454" s="15" t="s">
        <v>131</v>
      </c>
      <c r="AE2454" s="15" t="s">
        <v>180</v>
      </c>
      <c r="AF2454" s="12">
        <f>IF(AG2454="Rejected",0,IF(R2454="Corporate Card",0,V2454))</f>
        <v>0</v>
      </c>
      <c r="AG2454" s="15" t="s">
        <v>133</v>
      </c>
      <c r="AH2454" s="16">
        <v>45955</v>
      </c>
      <c r="AI2454" s="16">
        <v>45959</v>
      </c>
      <c r="AJ2454" s="16">
        <v>45970</v>
      </c>
      <c r="AK2454" s="17">
        <f>IF(AJ2454="","",AJ2454-AH2454)</f>
        <v>15</v>
      </c>
    </row>
    <row r="2455" spans="1:37">
      <c r="A2455" s="2" t="s">
        <v>2946</v>
      </c>
      <c r="B2455" s="2" t="s">
        <v>882</v>
      </c>
      <c r="C2455" s="2" t="s">
        <v>446</v>
      </c>
      <c r="D2455" s="2" t="s">
        <v>444</v>
      </c>
      <c r="E2455" s="2" t="s">
        <v>883</v>
      </c>
      <c r="F2455" s="2" t="s">
        <v>313</v>
      </c>
      <c r="G2455" s="2" t="s">
        <v>2915</v>
      </c>
      <c r="H2455" s="2" t="s">
        <v>417</v>
      </c>
      <c r="I2455" s="2" t="s">
        <v>1251</v>
      </c>
      <c r="J2455" s="2" t="s">
        <v>750</v>
      </c>
      <c r="K2455" s="9">
        <v>45949</v>
      </c>
      <c r="L2455" s="9">
        <v>45952</v>
      </c>
      <c r="M2455" s="9">
        <v>45951</v>
      </c>
      <c r="N2455" s="2" t="s">
        <v>2764</v>
      </c>
      <c r="O2455" s="2" t="s">
        <v>55</v>
      </c>
      <c r="P2455" s="2" t="s">
        <v>139</v>
      </c>
      <c r="Q2455" s="2" t="s">
        <v>154</v>
      </c>
      <c r="R2455" s="2" t="s">
        <v>149</v>
      </c>
      <c r="S2455" s="2" t="s">
        <v>198</v>
      </c>
      <c r="T2455" s="10">
        <v>12.18</v>
      </c>
      <c r="U2455" s="11">
        <v>1.085</v>
      </c>
      <c r="V2455" s="12">
        <f>T2455*U2455</f>
        <v>13.215299999999999</v>
      </c>
      <c r="W2455" s="13">
        <v>0.19</v>
      </c>
      <c r="X2455" s="12">
        <f>V2455-(V2455/(1+W2455))</f>
        <v>2.1100058823529402</v>
      </c>
      <c r="Y2455" s="12">
        <f>V2455-X2455</f>
        <v>11.105294117647059</v>
      </c>
      <c r="Z2455" s="14">
        <v>35</v>
      </c>
      <c r="AA2455" s="2" t="str">
        <f>IF(V2455&gt;Z2455,"Yes","No")</f>
        <v>No</v>
      </c>
      <c r="AB2455" s="12">
        <f>V2455-Z2455</f>
        <v>-21.784700000000001</v>
      </c>
      <c r="AC2455" s="15" t="s">
        <v>130</v>
      </c>
      <c r="AD2455" s="15" t="s">
        <v>131</v>
      </c>
      <c r="AE2455" s="15" t="s">
        <v>180</v>
      </c>
      <c r="AF2455" s="12">
        <f>IF(AG2455="Rejected",0,IF(R2455="Corporate Card",0,V2455))</f>
        <v>13.215299999999999</v>
      </c>
      <c r="AG2455" s="15" t="s">
        <v>133</v>
      </c>
      <c r="AH2455" s="16">
        <v>45955</v>
      </c>
      <c r="AI2455" s="16">
        <v>45959</v>
      </c>
      <c r="AJ2455" s="16">
        <v>45970</v>
      </c>
      <c r="AK2455" s="17">
        <f>IF(AJ2455="","",AJ2455-AH2455)</f>
        <v>15</v>
      </c>
    </row>
    <row r="2456" spans="1:37">
      <c r="A2456" s="2" t="s">
        <v>2947</v>
      </c>
      <c r="B2456" s="2" t="s">
        <v>2212</v>
      </c>
      <c r="C2456" s="2" t="s">
        <v>346</v>
      </c>
      <c r="D2456" s="2" t="s">
        <v>344</v>
      </c>
      <c r="E2456" s="2" t="s">
        <v>2213</v>
      </c>
      <c r="F2456" s="2" t="s">
        <v>313</v>
      </c>
      <c r="G2456" s="2" t="s">
        <v>2908</v>
      </c>
      <c r="H2456" s="2" t="s">
        <v>448</v>
      </c>
      <c r="I2456" s="2" t="s">
        <v>619</v>
      </c>
      <c r="J2456" s="2" t="s">
        <v>381</v>
      </c>
      <c r="K2456" s="9">
        <v>45948</v>
      </c>
      <c r="L2456" s="9">
        <v>45952</v>
      </c>
      <c r="M2456" s="9">
        <v>45951</v>
      </c>
      <c r="N2456" s="2" t="s">
        <v>2764</v>
      </c>
      <c r="O2456" s="2" t="s">
        <v>58</v>
      </c>
      <c r="P2456" s="2" t="s">
        <v>142</v>
      </c>
      <c r="Q2456" s="2" t="s">
        <v>203</v>
      </c>
      <c r="R2456" s="2" t="s">
        <v>149</v>
      </c>
      <c r="S2456" s="2" t="s">
        <v>383</v>
      </c>
      <c r="T2456" s="10">
        <v>69.58</v>
      </c>
      <c r="U2456" s="11">
        <v>1</v>
      </c>
      <c r="V2456" s="12">
        <f>T2456*U2456</f>
        <v>69.58</v>
      </c>
      <c r="W2456" s="13">
        <v>0</v>
      </c>
      <c r="X2456" s="12">
        <f>V2456-(V2456/(1+W2456))</f>
        <v>0</v>
      </c>
      <c r="Y2456" s="12">
        <f>V2456-X2456</f>
        <v>69.58</v>
      </c>
      <c r="Z2456" s="14">
        <v>60</v>
      </c>
      <c r="AA2456" s="2" t="str">
        <f>IF(V2456&gt;Z2456,"Yes","No")</f>
        <v>Yes</v>
      </c>
      <c r="AB2456" s="12">
        <f>V2456-Z2456</f>
        <v>9.5799999999999983</v>
      </c>
      <c r="AC2456" s="15" t="s">
        <v>130</v>
      </c>
      <c r="AD2456" s="15" t="s">
        <v>130</v>
      </c>
      <c r="AE2456" s="15" t="s">
        <v>260</v>
      </c>
      <c r="AF2456" s="12">
        <f>IF(AG2456="Rejected",0,IF(R2456="Corporate Card",0,V2456))</f>
        <v>0</v>
      </c>
      <c r="AG2456" s="15" t="s">
        <v>804</v>
      </c>
      <c r="AH2456" s="16">
        <v>45955</v>
      </c>
      <c r="AI2456" s="16"/>
      <c r="AJ2456" s="16"/>
      <c r="AK2456" s="17" t="str">
        <f>IF(AJ2456="","",AJ2456-AH2456)</f>
        <v/>
      </c>
    </row>
    <row r="2457" spans="1:37">
      <c r="A2457" s="2" t="s">
        <v>2948</v>
      </c>
      <c r="B2457" s="2" t="s">
        <v>2212</v>
      </c>
      <c r="C2457" s="2" t="s">
        <v>346</v>
      </c>
      <c r="D2457" s="2" t="s">
        <v>344</v>
      </c>
      <c r="E2457" s="2" t="s">
        <v>2213</v>
      </c>
      <c r="F2457" s="2" t="s">
        <v>313</v>
      </c>
      <c r="G2457" s="2" t="s">
        <v>2908</v>
      </c>
      <c r="H2457" s="2" t="s">
        <v>448</v>
      </c>
      <c r="I2457" s="2" t="s">
        <v>619</v>
      </c>
      <c r="J2457" s="2" t="s">
        <v>381</v>
      </c>
      <c r="K2457" s="9">
        <v>45948</v>
      </c>
      <c r="L2457" s="9">
        <v>45952</v>
      </c>
      <c r="M2457" s="9">
        <v>45951</v>
      </c>
      <c r="N2457" s="2" t="s">
        <v>2764</v>
      </c>
      <c r="O2457" s="2" t="s">
        <v>68</v>
      </c>
      <c r="P2457" s="2" t="s">
        <v>282</v>
      </c>
      <c r="Q2457" s="2" t="s">
        <v>283</v>
      </c>
      <c r="R2457" s="2" t="s">
        <v>128</v>
      </c>
      <c r="S2457" s="2" t="s">
        <v>383</v>
      </c>
      <c r="T2457" s="10">
        <v>23.21</v>
      </c>
      <c r="U2457" s="11">
        <v>1</v>
      </c>
      <c r="V2457" s="12">
        <f>T2457*U2457</f>
        <v>23.21</v>
      </c>
      <c r="W2457" s="13">
        <v>0</v>
      </c>
      <c r="X2457" s="12">
        <f>V2457-(V2457/(1+W2457))</f>
        <v>0</v>
      </c>
      <c r="Y2457" s="12">
        <f>V2457-X2457</f>
        <v>23.21</v>
      </c>
      <c r="Z2457" s="14">
        <v>30</v>
      </c>
      <c r="AA2457" s="2" t="str">
        <f>IF(V2457&gt;Z2457,"Yes","No")</f>
        <v>No</v>
      </c>
      <c r="AB2457" s="12">
        <f>V2457-Z2457</f>
        <v>-6.7899999999999991</v>
      </c>
      <c r="AC2457" s="15" t="s">
        <v>130</v>
      </c>
      <c r="AD2457" s="15" t="s">
        <v>130</v>
      </c>
      <c r="AE2457" s="15" t="s">
        <v>260</v>
      </c>
      <c r="AF2457" s="12">
        <f>IF(AG2457="Rejected",0,IF(R2457="Corporate Card",0,V2457))</f>
        <v>0</v>
      </c>
      <c r="AG2457" s="15" t="s">
        <v>804</v>
      </c>
      <c r="AH2457" s="16">
        <v>45955</v>
      </c>
      <c r="AI2457" s="16"/>
      <c r="AJ2457" s="16"/>
      <c r="AK2457" s="17" t="str">
        <f>IF(AJ2457="","",AJ2457-AH2457)</f>
        <v/>
      </c>
    </row>
    <row r="2458" spans="1:37">
      <c r="A2458" s="2" t="s">
        <v>2949</v>
      </c>
      <c r="B2458" s="2" t="s">
        <v>2212</v>
      </c>
      <c r="C2458" s="2" t="s">
        <v>346</v>
      </c>
      <c r="D2458" s="2" t="s">
        <v>344</v>
      </c>
      <c r="E2458" s="2" t="s">
        <v>2213</v>
      </c>
      <c r="F2458" s="2" t="s">
        <v>313</v>
      </c>
      <c r="G2458" s="2" t="s">
        <v>2908</v>
      </c>
      <c r="H2458" s="2" t="s">
        <v>448</v>
      </c>
      <c r="I2458" s="2" t="s">
        <v>619</v>
      </c>
      <c r="J2458" s="2" t="s">
        <v>381</v>
      </c>
      <c r="K2458" s="9">
        <v>45948</v>
      </c>
      <c r="L2458" s="9">
        <v>45952</v>
      </c>
      <c r="M2458" s="9">
        <v>45951</v>
      </c>
      <c r="N2458" s="2" t="s">
        <v>2764</v>
      </c>
      <c r="O2458" s="2" t="s">
        <v>54</v>
      </c>
      <c r="P2458" s="2" t="s">
        <v>139</v>
      </c>
      <c r="Q2458" s="2" t="s">
        <v>140</v>
      </c>
      <c r="R2458" s="2" t="s">
        <v>128</v>
      </c>
      <c r="S2458" s="2" t="s">
        <v>383</v>
      </c>
      <c r="T2458" s="10">
        <v>16.579999999999998</v>
      </c>
      <c r="U2458" s="11">
        <v>1</v>
      </c>
      <c r="V2458" s="12">
        <f>T2458*U2458</f>
        <v>16.579999999999998</v>
      </c>
      <c r="W2458" s="13">
        <v>0</v>
      </c>
      <c r="X2458" s="12">
        <f>V2458-(V2458/(1+W2458))</f>
        <v>0</v>
      </c>
      <c r="Y2458" s="12">
        <f>V2458-X2458</f>
        <v>16.579999999999998</v>
      </c>
      <c r="Z2458" s="14">
        <v>25</v>
      </c>
      <c r="AA2458" s="2" t="str">
        <f>IF(V2458&gt;Z2458,"Yes","No")</f>
        <v>No</v>
      </c>
      <c r="AB2458" s="12">
        <f>V2458-Z2458</f>
        <v>-8.4200000000000017</v>
      </c>
      <c r="AC2458" s="15" t="s">
        <v>130</v>
      </c>
      <c r="AD2458" s="15" t="s">
        <v>130</v>
      </c>
      <c r="AE2458" s="15" t="s">
        <v>260</v>
      </c>
      <c r="AF2458" s="12">
        <f>IF(AG2458="Rejected",0,IF(R2458="Corporate Card",0,V2458))</f>
        <v>0</v>
      </c>
      <c r="AG2458" s="15" t="s">
        <v>804</v>
      </c>
      <c r="AH2458" s="16">
        <v>45955</v>
      </c>
      <c r="AI2458" s="16"/>
      <c r="AJ2458" s="16"/>
      <c r="AK2458" s="17" t="str">
        <f>IF(AJ2458="","",AJ2458-AH2458)</f>
        <v/>
      </c>
    </row>
    <row r="2459" spans="1:37">
      <c r="A2459" s="2" t="s">
        <v>2950</v>
      </c>
      <c r="B2459" s="2" t="s">
        <v>2212</v>
      </c>
      <c r="C2459" s="2" t="s">
        <v>346</v>
      </c>
      <c r="D2459" s="2" t="s">
        <v>344</v>
      </c>
      <c r="E2459" s="2" t="s">
        <v>2213</v>
      </c>
      <c r="F2459" s="2" t="s">
        <v>313</v>
      </c>
      <c r="G2459" s="2" t="s">
        <v>2908</v>
      </c>
      <c r="H2459" s="2" t="s">
        <v>448</v>
      </c>
      <c r="I2459" s="2" t="s">
        <v>619</v>
      </c>
      <c r="J2459" s="2" t="s">
        <v>381</v>
      </c>
      <c r="K2459" s="9">
        <v>45948</v>
      </c>
      <c r="L2459" s="9">
        <v>45952</v>
      </c>
      <c r="M2459" s="9">
        <v>45951</v>
      </c>
      <c r="N2459" s="2" t="s">
        <v>2764</v>
      </c>
      <c r="O2459" s="2" t="s">
        <v>56</v>
      </c>
      <c r="P2459" s="2" t="s">
        <v>151</v>
      </c>
      <c r="Q2459" s="2" t="s">
        <v>159</v>
      </c>
      <c r="R2459" s="2" t="s">
        <v>128</v>
      </c>
      <c r="S2459" s="2" t="s">
        <v>383</v>
      </c>
      <c r="T2459" s="10">
        <v>58.23</v>
      </c>
      <c r="U2459" s="11">
        <v>1</v>
      </c>
      <c r="V2459" s="12">
        <f>T2459*U2459</f>
        <v>58.23</v>
      </c>
      <c r="W2459" s="13">
        <v>0</v>
      </c>
      <c r="X2459" s="12">
        <f>V2459-(V2459/(1+W2459))</f>
        <v>0</v>
      </c>
      <c r="Y2459" s="12">
        <f>V2459-X2459</f>
        <v>58.23</v>
      </c>
      <c r="Z2459" s="14">
        <v>75</v>
      </c>
      <c r="AA2459" s="2" t="str">
        <f>IF(V2459&gt;Z2459,"Yes","No")</f>
        <v>No</v>
      </c>
      <c r="AB2459" s="12">
        <f>V2459-Z2459</f>
        <v>-16.770000000000003</v>
      </c>
      <c r="AC2459" s="15" t="s">
        <v>130</v>
      </c>
      <c r="AD2459" s="15" t="s">
        <v>130</v>
      </c>
      <c r="AE2459" s="15" t="s">
        <v>260</v>
      </c>
      <c r="AF2459" s="12">
        <f>IF(AG2459="Rejected",0,IF(R2459="Corporate Card",0,V2459))</f>
        <v>0</v>
      </c>
      <c r="AG2459" s="15" t="s">
        <v>804</v>
      </c>
      <c r="AH2459" s="16">
        <v>45955</v>
      </c>
      <c r="AI2459" s="16"/>
      <c r="AJ2459" s="16"/>
      <c r="AK2459" s="17" t="str">
        <f>IF(AJ2459="","",AJ2459-AH2459)</f>
        <v/>
      </c>
    </row>
    <row r="2460" spans="1:37">
      <c r="A2460" s="2" t="s">
        <v>2951</v>
      </c>
      <c r="B2460" s="2" t="s">
        <v>2212</v>
      </c>
      <c r="C2460" s="2" t="s">
        <v>346</v>
      </c>
      <c r="D2460" s="2" t="s">
        <v>344</v>
      </c>
      <c r="E2460" s="2" t="s">
        <v>2213</v>
      </c>
      <c r="F2460" s="2" t="s">
        <v>313</v>
      </c>
      <c r="G2460" s="2" t="s">
        <v>2908</v>
      </c>
      <c r="H2460" s="2" t="s">
        <v>448</v>
      </c>
      <c r="I2460" s="2" t="s">
        <v>619</v>
      </c>
      <c r="J2460" s="2" t="s">
        <v>381</v>
      </c>
      <c r="K2460" s="9">
        <v>45948</v>
      </c>
      <c r="L2460" s="9">
        <v>45952</v>
      </c>
      <c r="M2460" s="9">
        <v>45951</v>
      </c>
      <c r="N2460" s="2" t="s">
        <v>2764</v>
      </c>
      <c r="O2460" s="2" t="s">
        <v>55</v>
      </c>
      <c r="P2460" s="2" t="s">
        <v>139</v>
      </c>
      <c r="Q2460" s="2" t="s">
        <v>161</v>
      </c>
      <c r="R2460" s="2" t="s">
        <v>128</v>
      </c>
      <c r="S2460" s="2" t="s">
        <v>383</v>
      </c>
      <c r="T2460" s="10">
        <v>32.75</v>
      </c>
      <c r="U2460" s="11">
        <v>1</v>
      </c>
      <c r="V2460" s="12">
        <f>T2460*U2460</f>
        <v>32.75</v>
      </c>
      <c r="W2460" s="13">
        <v>0</v>
      </c>
      <c r="X2460" s="12">
        <f>V2460-(V2460/(1+W2460))</f>
        <v>0</v>
      </c>
      <c r="Y2460" s="12">
        <f>V2460-X2460</f>
        <v>32.75</v>
      </c>
      <c r="Z2460" s="14">
        <v>35</v>
      </c>
      <c r="AA2460" s="2" t="str">
        <f>IF(V2460&gt;Z2460,"Yes","No")</f>
        <v>No</v>
      </c>
      <c r="AB2460" s="12">
        <f>V2460-Z2460</f>
        <v>-2.25</v>
      </c>
      <c r="AC2460" s="15" t="s">
        <v>130</v>
      </c>
      <c r="AD2460" s="15" t="s">
        <v>130</v>
      </c>
      <c r="AE2460" s="15" t="s">
        <v>260</v>
      </c>
      <c r="AF2460" s="12">
        <f>IF(AG2460="Rejected",0,IF(R2460="Corporate Card",0,V2460))</f>
        <v>0</v>
      </c>
      <c r="AG2460" s="15" t="s">
        <v>804</v>
      </c>
      <c r="AH2460" s="16">
        <v>45955</v>
      </c>
      <c r="AI2460" s="16"/>
      <c r="AJ2460" s="16"/>
      <c r="AK2460" s="17" t="str">
        <f>IF(AJ2460="","",AJ2460-AH2460)</f>
        <v/>
      </c>
    </row>
    <row r="2461" spans="1:37">
      <c r="A2461" s="2" t="s">
        <v>2952</v>
      </c>
      <c r="B2461" s="2" t="s">
        <v>375</v>
      </c>
      <c r="C2461" s="2" t="s">
        <v>376</v>
      </c>
      <c r="D2461" s="2" t="s">
        <v>344</v>
      </c>
      <c r="E2461" s="2" t="s">
        <v>377</v>
      </c>
      <c r="F2461" s="2" t="s">
        <v>346</v>
      </c>
      <c r="G2461" s="2" t="s">
        <v>2939</v>
      </c>
      <c r="H2461" s="2" t="s">
        <v>748</v>
      </c>
      <c r="I2461" s="2" t="s">
        <v>123</v>
      </c>
      <c r="J2461" s="2" t="s">
        <v>124</v>
      </c>
      <c r="K2461" s="9">
        <v>45950</v>
      </c>
      <c r="L2461" s="9">
        <v>45958</v>
      </c>
      <c r="M2461" s="9">
        <v>45951</v>
      </c>
      <c r="N2461" s="2" t="s">
        <v>2764</v>
      </c>
      <c r="O2461" s="2" t="s">
        <v>53</v>
      </c>
      <c r="P2461" s="2" t="s">
        <v>669</v>
      </c>
      <c r="Q2461" s="2" t="s">
        <v>146</v>
      </c>
      <c r="R2461" s="2" t="s">
        <v>137</v>
      </c>
      <c r="S2461" s="2" t="s">
        <v>129</v>
      </c>
      <c r="T2461" s="10">
        <v>1595.64</v>
      </c>
      <c r="U2461" s="11">
        <v>1.272</v>
      </c>
      <c r="V2461" s="12">
        <f>T2461*U2461</f>
        <v>2029.6540800000002</v>
      </c>
      <c r="W2461" s="13">
        <v>0.2</v>
      </c>
      <c r="X2461" s="12">
        <f>V2461-(V2461/(1+W2461))</f>
        <v>338.27567999999997</v>
      </c>
      <c r="Y2461" s="12">
        <f>V2461-X2461</f>
        <v>1691.3784000000003</v>
      </c>
      <c r="Z2461" s="14">
        <v>2240</v>
      </c>
      <c r="AA2461" s="2" t="str">
        <f>IF(V2461&gt;Z2461,"Yes","No")</f>
        <v>No</v>
      </c>
      <c r="AB2461" s="12">
        <f>V2461-Z2461</f>
        <v>-210.34591999999975</v>
      </c>
      <c r="AC2461" s="15" t="s">
        <v>130</v>
      </c>
      <c r="AD2461" s="15" t="s">
        <v>131</v>
      </c>
      <c r="AE2461" s="15" t="s">
        <v>421</v>
      </c>
      <c r="AF2461" s="12">
        <f>IF(AG2461="Rejected",0,IF(R2461="Corporate Card",0,V2461))</f>
        <v>2029.6540800000002</v>
      </c>
      <c r="AG2461" s="15" t="s">
        <v>133</v>
      </c>
      <c r="AH2461" s="16">
        <v>45962</v>
      </c>
      <c r="AI2461" s="16">
        <v>45967</v>
      </c>
      <c r="AJ2461" s="16">
        <v>45974</v>
      </c>
      <c r="AK2461" s="17">
        <f>IF(AJ2461="","",AJ2461-AH2461)</f>
        <v>12</v>
      </c>
    </row>
    <row r="2462" spans="1:37">
      <c r="A2462" s="2" t="s">
        <v>2953</v>
      </c>
      <c r="B2462" s="2" t="s">
        <v>375</v>
      </c>
      <c r="C2462" s="2" t="s">
        <v>376</v>
      </c>
      <c r="D2462" s="2" t="s">
        <v>344</v>
      </c>
      <c r="E2462" s="2" t="s">
        <v>377</v>
      </c>
      <c r="F2462" s="2" t="s">
        <v>346</v>
      </c>
      <c r="G2462" s="2" t="s">
        <v>2939</v>
      </c>
      <c r="H2462" s="2" t="s">
        <v>748</v>
      </c>
      <c r="I2462" s="2" t="s">
        <v>123</v>
      </c>
      <c r="J2462" s="2" t="s">
        <v>124</v>
      </c>
      <c r="K2462" s="9">
        <v>45950</v>
      </c>
      <c r="L2462" s="9">
        <v>45958</v>
      </c>
      <c r="M2462" s="9">
        <v>45951</v>
      </c>
      <c r="N2462" s="2" t="s">
        <v>2764</v>
      </c>
      <c r="O2462" s="2" t="s">
        <v>65</v>
      </c>
      <c r="P2462" s="2" t="s">
        <v>211</v>
      </c>
      <c r="Q2462" s="2" t="s">
        <v>364</v>
      </c>
      <c r="R2462" s="2" t="s">
        <v>128</v>
      </c>
      <c r="S2462" s="2" t="s">
        <v>129</v>
      </c>
      <c r="T2462" s="10">
        <v>20.54</v>
      </c>
      <c r="U2462" s="11">
        <v>1.272</v>
      </c>
      <c r="V2462" s="12">
        <f>T2462*U2462</f>
        <v>26.12688</v>
      </c>
      <c r="W2462" s="13">
        <v>0.2</v>
      </c>
      <c r="X2462" s="12">
        <f>V2462-(V2462/(1+W2462))</f>
        <v>4.3544799999999988</v>
      </c>
      <c r="Y2462" s="12">
        <f>V2462-X2462</f>
        <v>21.772400000000001</v>
      </c>
      <c r="Z2462" s="14">
        <v>55</v>
      </c>
      <c r="AA2462" s="2" t="str">
        <f>IF(V2462&gt;Z2462,"Yes","No")</f>
        <v>No</v>
      </c>
      <c r="AB2462" s="12">
        <f>V2462-Z2462</f>
        <v>-28.87312</v>
      </c>
      <c r="AC2462" s="15" t="s">
        <v>130</v>
      </c>
      <c r="AD2462" s="15" t="s">
        <v>131</v>
      </c>
      <c r="AE2462" s="15" t="s">
        <v>421</v>
      </c>
      <c r="AF2462" s="12">
        <f>IF(AG2462="Rejected",0,IF(R2462="Corporate Card",0,V2462))</f>
        <v>0</v>
      </c>
      <c r="AG2462" s="15" t="s">
        <v>133</v>
      </c>
      <c r="AH2462" s="16">
        <v>45962</v>
      </c>
      <c r="AI2462" s="16">
        <v>45967</v>
      </c>
      <c r="AJ2462" s="16">
        <v>45974</v>
      </c>
      <c r="AK2462" s="17">
        <f>IF(AJ2462="","",AJ2462-AH2462)</f>
        <v>12</v>
      </c>
    </row>
    <row r="2463" spans="1:37">
      <c r="A2463" s="2" t="s">
        <v>2954</v>
      </c>
      <c r="B2463" s="2" t="s">
        <v>375</v>
      </c>
      <c r="C2463" s="2" t="s">
        <v>376</v>
      </c>
      <c r="D2463" s="2" t="s">
        <v>344</v>
      </c>
      <c r="E2463" s="2" t="s">
        <v>377</v>
      </c>
      <c r="F2463" s="2" t="s">
        <v>346</v>
      </c>
      <c r="G2463" s="2" t="s">
        <v>2939</v>
      </c>
      <c r="H2463" s="2" t="s">
        <v>748</v>
      </c>
      <c r="I2463" s="2" t="s">
        <v>123</v>
      </c>
      <c r="J2463" s="2" t="s">
        <v>124</v>
      </c>
      <c r="K2463" s="9">
        <v>45950</v>
      </c>
      <c r="L2463" s="9">
        <v>45958</v>
      </c>
      <c r="M2463" s="9">
        <v>45951</v>
      </c>
      <c r="N2463" s="2" t="s">
        <v>2764</v>
      </c>
      <c r="O2463" s="2" t="s">
        <v>54</v>
      </c>
      <c r="P2463" s="2" t="s">
        <v>139</v>
      </c>
      <c r="Q2463" s="2" t="s">
        <v>140</v>
      </c>
      <c r="R2463" s="2" t="s">
        <v>149</v>
      </c>
      <c r="S2463" s="2" t="s">
        <v>129</v>
      </c>
      <c r="T2463" s="10">
        <v>7.22</v>
      </c>
      <c r="U2463" s="11">
        <v>1.272</v>
      </c>
      <c r="V2463" s="12">
        <f>T2463*U2463</f>
        <v>9.18384</v>
      </c>
      <c r="W2463" s="13">
        <v>0.2</v>
      </c>
      <c r="X2463" s="12">
        <f>V2463-(V2463/(1+W2463))</f>
        <v>1.53064</v>
      </c>
      <c r="Y2463" s="12">
        <f>V2463-X2463</f>
        <v>7.6532</v>
      </c>
      <c r="Z2463" s="14">
        <v>25</v>
      </c>
      <c r="AA2463" s="2" t="str">
        <f>IF(V2463&gt;Z2463,"Yes","No")</f>
        <v>No</v>
      </c>
      <c r="AB2463" s="12">
        <f>V2463-Z2463</f>
        <v>-15.81616</v>
      </c>
      <c r="AC2463" s="15" t="s">
        <v>130</v>
      </c>
      <c r="AD2463" s="15" t="s">
        <v>131</v>
      </c>
      <c r="AE2463" s="15" t="s">
        <v>421</v>
      </c>
      <c r="AF2463" s="12">
        <f>IF(AG2463="Rejected",0,IF(R2463="Corporate Card",0,V2463))</f>
        <v>9.18384</v>
      </c>
      <c r="AG2463" s="15" t="s">
        <v>133</v>
      </c>
      <c r="AH2463" s="16">
        <v>45962</v>
      </c>
      <c r="AI2463" s="16">
        <v>45967</v>
      </c>
      <c r="AJ2463" s="16">
        <v>45974</v>
      </c>
      <c r="AK2463" s="17">
        <f>IF(AJ2463="","",AJ2463-AH2463)</f>
        <v>12</v>
      </c>
    </row>
    <row r="2464" spans="1:37">
      <c r="A2464" s="2" t="s">
        <v>2955</v>
      </c>
      <c r="B2464" s="2" t="s">
        <v>375</v>
      </c>
      <c r="C2464" s="2" t="s">
        <v>376</v>
      </c>
      <c r="D2464" s="2" t="s">
        <v>344</v>
      </c>
      <c r="E2464" s="2" t="s">
        <v>377</v>
      </c>
      <c r="F2464" s="2" t="s">
        <v>346</v>
      </c>
      <c r="G2464" s="2" t="s">
        <v>2939</v>
      </c>
      <c r="H2464" s="2" t="s">
        <v>748</v>
      </c>
      <c r="I2464" s="2" t="s">
        <v>123</v>
      </c>
      <c r="J2464" s="2" t="s">
        <v>124</v>
      </c>
      <c r="K2464" s="9">
        <v>45950</v>
      </c>
      <c r="L2464" s="9">
        <v>45958</v>
      </c>
      <c r="M2464" s="9">
        <v>45951</v>
      </c>
      <c r="N2464" s="2" t="s">
        <v>2764</v>
      </c>
      <c r="O2464" s="2" t="s">
        <v>56</v>
      </c>
      <c r="P2464" s="2" t="s">
        <v>231</v>
      </c>
      <c r="Q2464" s="2" t="s">
        <v>227</v>
      </c>
      <c r="R2464" s="2" t="s">
        <v>128</v>
      </c>
      <c r="S2464" s="2" t="s">
        <v>129</v>
      </c>
      <c r="T2464" s="10">
        <v>40.36</v>
      </c>
      <c r="U2464" s="11">
        <v>1.272</v>
      </c>
      <c r="V2464" s="12">
        <f>T2464*U2464</f>
        <v>51.337919999999997</v>
      </c>
      <c r="W2464" s="13">
        <v>0.2</v>
      </c>
      <c r="X2464" s="12">
        <f>V2464-(V2464/(1+W2464))</f>
        <v>8.5563199999999995</v>
      </c>
      <c r="Y2464" s="12">
        <f>V2464-X2464</f>
        <v>42.781599999999997</v>
      </c>
      <c r="Z2464" s="14">
        <v>75</v>
      </c>
      <c r="AA2464" s="2" t="str">
        <f>IF(V2464&gt;Z2464,"Yes","No")</f>
        <v>No</v>
      </c>
      <c r="AB2464" s="12">
        <f>V2464-Z2464</f>
        <v>-23.662080000000003</v>
      </c>
      <c r="AC2464" s="15" t="s">
        <v>130</v>
      </c>
      <c r="AD2464" s="15" t="s">
        <v>131</v>
      </c>
      <c r="AE2464" s="15" t="s">
        <v>421</v>
      </c>
      <c r="AF2464" s="12">
        <f>IF(AG2464="Rejected",0,IF(R2464="Corporate Card",0,V2464))</f>
        <v>0</v>
      </c>
      <c r="AG2464" s="15" t="s">
        <v>133</v>
      </c>
      <c r="AH2464" s="16">
        <v>45962</v>
      </c>
      <c r="AI2464" s="16">
        <v>45967</v>
      </c>
      <c r="AJ2464" s="16">
        <v>45974</v>
      </c>
      <c r="AK2464" s="17">
        <f>IF(AJ2464="","",AJ2464-AH2464)</f>
        <v>12</v>
      </c>
    </row>
    <row r="2465" spans="1:37">
      <c r="A2465" s="2" t="s">
        <v>2956</v>
      </c>
      <c r="B2465" s="2" t="s">
        <v>375</v>
      </c>
      <c r="C2465" s="2" t="s">
        <v>376</v>
      </c>
      <c r="D2465" s="2" t="s">
        <v>344</v>
      </c>
      <c r="E2465" s="2" t="s">
        <v>377</v>
      </c>
      <c r="F2465" s="2" t="s">
        <v>346</v>
      </c>
      <c r="G2465" s="2" t="s">
        <v>2939</v>
      </c>
      <c r="H2465" s="2" t="s">
        <v>748</v>
      </c>
      <c r="I2465" s="2" t="s">
        <v>123</v>
      </c>
      <c r="J2465" s="2" t="s">
        <v>124</v>
      </c>
      <c r="K2465" s="9">
        <v>45950</v>
      </c>
      <c r="L2465" s="9">
        <v>45958</v>
      </c>
      <c r="M2465" s="9">
        <v>45951</v>
      </c>
      <c r="N2465" s="2" t="s">
        <v>2764</v>
      </c>
      <c r="O2465" s="2" t="s">
        <v>55</v>
      </c>
      <c r="P2465" s="2" t="s">
        <v>139</v>
      </c>
      <c r="Q2465" s="2" t="s">
        <v>161</v>
      </c>
      <c r="R2465" s="2" t="s">
        <v>128</v>
      </c>
      <c r="S2465" s="2" t="s">
        <v>129</v>
      </c>
      <c r="T2465" s="10">
        <v>33.47</v>
      </c>
      <c r="U2465" s="11">
        <v>1.272</v>
      </c>
      <c r="V2465" s="12">
        <f>T2465*U2465</f>
        <v>42.573839999999997</v>
      </c>
      <c r="W2465" s="13">
        <v>0.2</v>
      </c>
      <c r="X2465" s="12">
        <f>V2465-(V2465/(1+W2465))</f>
        <v>7.095639999999996</v>
      </c>
      <c r="Y2465" s="12">
        <f>V2465-X2465</f>
        <v>35.478200000000001</v>
      </c>
      <c r="Z2465" s="14">
        <v>35</v>
      </c>
      <c r="AA2465" s="2" t="str">
        <f>IF(V2465&gt;Z2465,"Yes","No")</f>
        <v>Yes</v>
      </c>
      <c r="AB2465" s="12">
        <f>V2465-Z2465</f>
        <v>7.573839999999997</v>
      </c>
      <c r="AC2465" s="15" t="s">
        <v>130</v>
      </c>
      <c r="AD2465" s="15" t="s">
        <v>131</v>
      </c>
      <c r="AE2465" s="15" t="s">
        <v>421</v>
      </c>
      <c r="AF2465" s="12">
        <f>IF(AG2465="Rejected",0,IF(R2465="Corporate Card",0,V2465))</f>
        <v>0</v>
      </c>
      <c r="AG2465" s="15" t="s">
        <v>133</v>
      </c>
      <c r="AH2465" s="16">
        <v>45962</v>
      </c>
      <c r="AI2465" s="16">
        <v>45967</v>
      </c>
      <c r="AJ2465" s="16">
        <v>45974</v>
      </c>
      <c r="AK2465" s="17">
        <f>IF(AJ2465="","",AJ2465-AH2465)</f>
        <v>12</v>
      </c>
    </row>
    <row r="2466" spans="1:37">
      <c r="A2466" s="2" t="s">
        <v>2957</v>
      </c>
      <c r="B2466" s="2" t="s">
        <v>550</v>
      </c>
      <c r="C2466" s="2" t="s">
        <v>551</v>
      </c>
      <c r="D2466" s="2" t="s">
        <v>171</v>
      </c>
      <c r="E2466" s="2" t="s">
        <v>172</v>
      </c>
      <c r="F2466" s="2" t="s">
        <v>173</v>
      </c>
      <c r="G2466" s="2" t="s">
        <v>2899</v>
      </c>
      <c r="H2466" s="2" t="s">
        <v>291</v>
      </c>
      <c r="I2466" s="2" t="s">
        <v>567</v>
      </c>
      <c r="J2466" s="2" t="s">
        <v>434</v>
      </c>
      <c r="K2466" s="9">
        <v>45948</v>
      </c>
      <c r="L2466" s="9">
        <v>45952</v>
      </c>
      <c r="M2466" s="9">
        <v>45952</v>
      </c>
      <c r="N2466" s="2" t="s">
        <v>2764</v>
      </c>
      <c r="O2466" s="2" t="s">
        <v>56</v>
      </c>
      <c r="P2466" s="2" t="s">
        <v>165</v>
      </c>
      <c r="Q2466" s="2" t="s">
        <v>166</v>
      </c>
      <c r="R2466" s="2" t="s">
        <v>137</v>
      </c>
      <c r="S2466" s="2" t="s">
        <v>436</v>
      </c>
      <c r="T2466" s="10">
        <v>3350</v>
      </c>
      <c r="U2466" s="11">
        <v>1.1780000000000001E-2</v>
      </c>
      <c r="V2466" s="12">
        <f>T2466*U2466</f>
        <v>39.463000000000001</v>
      </c>
      <c r="W2466" s="13">
        <v>0.18</v>
      </c>
      <c r="X2466" s="12">
        <f>V2466-(V2466/(1+W2466))</f>
        <v>6.0197796610169476</v>
      </c>
      <c r="Y2466" s="12">
        <f>V2466-X2466</f>
        <v>33.443220338983053</v>
      </c>
      <c r="Z2466" s="14">
        <v>75</v>
      </c>
      <c r="AA2466" s="2" t="str">
        <f>IF(V2466&gt;Z2466,"Yes","No")</f>
        <v>No</v>
      </c>
      <c r="AB2466" s="12">
        <f>V2466-Z2466</f>
        <v>-35.536999999999999</v>
      </c>
      <c r="AC2466" s="15" t="s">
        <v>130</v>
      </c>
      <c r="AD2466" s="15" t="s">
        <v>131</v>
      </c>
      <c r="AE2466" s="15" t="s">
        <v>514</v>
      </c>
      <c r="AF2466" s="12">
        <f>IF(AG2466="Rejected",0,IF(R2466="Corporate Card",0,V2466))</f>
        <v>39.463000000000001</v>
      </c>
      <c r="AG2466" s="15" t="s">
        <v>133</v>
      </c>
      <c r="AH2466" s="16">
        <v>45959</v>
      </c>
      <c r="AI2466" s="16">
        <v>45965</v>
      </c>
      <c r="AJ2466" s="16">
        <v>45977</v>
      </c>
      <c r="AK2466" s="17">
        <f>IF(AJ2466="","",AJ2466-AH2466)</f>
        <v>18</v>
      </c>
    </row>
    <row r="2467" spans="1:37">
      <c r="A2467" s="2" t="s">
        <v>2958</v>
      </c>
      <c r="B2467" s="2" t="s">
        <v>550</v>
      </c>
      <c r="C2467" s="2" t="s">
        <v>551</v>
      </c>
      <c r="D2467" s="2" t="s">
        <v>171</v>
      </c>
      <c r="E2467" s="2" t="s">
        <v>172</v>
      </c>
      <c r="F2467" s="2" t="s">
        <v>173</v>
      </c>
      <c r="G2467" s="2" t="s">
        <v>2899</v>
      </c>
      <c r="H2467" s="2" t="s">
        <v>291</v>
      </c>
      <c r="I2467" s="2" t="s">
        <v>567</v>
      </c>
      <c r="J2467" s="2" t="s">
        <v>434</v>
      </c>
      <c r="K2467" s="9">
        <v>45948</v>
      </c>
      <c r="L2467" s="9">
        <v>45952</v>
      </c>
      <c r="M2467" s="9">
        <v>45952</v>
      </c>
      <c r="N2467" s="2" t="s">
        <v>2764</v>
      </c>
      <c r="O2467" s="2" t="s">
        <v>55</v>
      </c>
      <c r="P2467" s="2" t="s">
        <v>139</v>
      </c>
      <c r="Q2467" s="2" t="s">
        <v>161</v>
      </c>
      <c r="R2467" s="2" t="s">
        <v>149</v>
      </c>
      <c r="S2467" s="2" t="s">
        <v>436</v>
      </c>
      <c r="T2467" s="10">
        <v>2807</v>
      </c>
      <c r="U2467" s="11">
        <v>1.1780000000000001E-2</v>
      </c>
      <c r="V2467" s="12">
        <f>T2467*U2467</f>
        <v>33.066459999999999</v>
      </c>
      <c r="W2467" s="13">
        <v>0.18</v>
      </c>
      <c r="X2467" s="12">
        <f>V2467-(V2467/(1+W2467))</f>
        <v>5.0440362711864388</v>
      </c>
      <c r="Y2467" s="12">
        <f>V2467-X2467</f>
        <v>28.02242372881356</v>
      </c>
      <c r="Z2467" s="14">
        <v>35</v>
      </c>
      <c r="AA2467" s="2" t="str">
        <f>IF(V2467&gt;Z2467,"Yes","No")</f>
        <v>No</v>
      </c>
      <c r="AB2467" s="12">
        <f>V2467-Z2467</f>
        <v>-1.9335400000000007</v>
      </c>
      <c r="AC2467" s="15" t="s">
        <v>130</v>
      </c>
      <c r="AD2467" s="15" t="s">
        <v>131</v>
      </c>
      <c r="AE2467" s="15" t="s">
        <v>514</v>
      </c>
      <c r="AF2467" s="12">
        <f>IF(AG2467="Rejected",0,IF(R2467="Corporate Card",0,V2467))</f>
        <v>33.066459999999999</v>
      </c>
      <c r="AG2467" s="15" t="s">
        <v>133</v>
      </c>
      <c r="AH2467" s="16">
        <v>45959</v>
      </c>
      <c r="AI2467" s="16">
        <v>45965</v>
      </c>
      <c r="AJ2467" s="16">
        <v>45977</v>
      </c>
      <c r="AK2467" s="17">
        <f>IF(AJ2467="","",AJ2467-AH2467)</f>
        <v>18</v>
      </c>
    </row>
    <row r="2468" spans="1:37">
      <c r="A2468" s="2" t="s">
        <v>2959</v>
      </c>
      <c r="B2468" s="2" t="s">
        <v>882</v>
      </c>
      <c r="C2468" s="2" t="s">
        <v>446</v>
      </c>
      <c r="D2468" s="2" t="s">
        <v>444</v>
      </c>
      <c r="E2468" s="2" t="s">
        <v>883</v>
      </c>
      <c r="F2468" s="2" t="s">
        <v>313</v>
      </c>
      <c r="G2468" s="2" t="s">
        <v>2915</v>
      </c>
      <c r="H2468" s="2" t="s">
        <v>417</v>
      </c>
      <c r="I2468" s="2" t="s">
        <v>1251</v>
      </c>
      <c r="J2468" s="2" t="s">
        <v>750</v>
      </c>
      <c r="K2468" s="9">
        <v>45949</v>
      </c>
      <c r="L2468" s="9">
        <v>45952</v>
      </c>
      <c r="M2468" s="9">
        <v>45952</v>
      </c>
      <c r="N2468" s="2" t="s">
        <v>2764</v>
      </c>
      <c r="O2468" s="2" t="s">
        <v>54</v>
      </c>
      <c r="P2468" s="2" t="s">
        <v>139</v>
      </c>
      <c r="Q2468" s="2" t="s">
        <v>163</v>
      </c>
      <c r="R2468" s="2" t="s">
        <v>128</v>
      </c>
      <c r="S2468" s="2" t="s">
        <v>198</v>
      </c>
      <c r="T2468" s="10">
        <v>11.43</v>
      </c>
      <c r="U2468" s="11">
        <v>1.085</v>
      </c>
      <c r="V2468" s="12">
        <f>T2468*U2468</f>
        <v>12.401549999999999</v>
      </c>
      <c r="W2468" s="13">
        <v>0.19</v>
      </c>
      <c r="X2468" s="12">
        <f>V2468-(V2468/(1+W2468))</f>
        <v>1.9800794117647058</v>
      </c>
      <c r="Y2468" s="12">
        <f>V2468-X2468</f>
        <v>10.421470588235293</v>
      </c>
      <c r="Z2468" s="14">
        <v>25</v>
      </c>
      <c r="AA2468" s="2" t="str">
        <f>IF(V2468&gt;Z2468,"Yes","No")</f>
        <v>No</v>
      </c>
      <c r="AB2468" s="12">
        <f>V2468-Z2468</f>
        <v>-12.598450000000001</v>
      </c>
      <c r="AC2468" s="15" t="s">
        <v>130</v>
      </c>
      <c r="AD2468" s="15" t="s">
        <v>131</v>
      </c>
      <c r="AE2468" s="15" t="s">
        <v>180</v>
      </c>
      <c r="AF2468" s="12">
        <f>IF(AG2468="Rejected",0,IF(R2468="Corporate Card",0,V2468))</f>
        <v>0</v>
      </c>
      <c r="AG2468" s="15" t="s">
        <v>133</v>
      </c>
      <c r="AH2468" s="16">
        <v>45955</v>
      </c>
      <c r="AI2468" s="16">
        <v>45959</v>
      </c>
      <c r="AJ2468" s="16">
        <v>45970</v>
      </c>
      <c r="AK2468" s="17">
        <f>IF(AJ2468="","",AJ2468-AH2468)</f>
        <v>15</v>
      </c>
    </row>
    <row r="2469" spans="1:37">
      <c r="A2469" s="2" t="s">
        <v>2960</v>
      </c>
      <c r="B2469" s="2" t="s">
        <v>882</v>
      </c>
      <c r="C2469" s="2" t="s">
        <v>446</v>
      </c>
      <c r="D2469" s="2" t="s">
        <v>444</v>
      </c>
      <c r="E2469" s="2" t="s">
        <v>883</v>
      </c>
      <c r="F2469" s="2" t="s">
        <v>313</v>
      </c>
      <c r="G2469" s="2" t="s">
        <v>2915</v>
      </c>
      <c r="H2469" s="2" t="s">
        <v>417</v>
      </c>
      <c r="I2469" s="2" t="s">
        <v>1251</v>
      </c>
      <c r="J2469" s="2" t="s">
        <v>750</v>
      </c>
      <c r="K2469" s="9">
        <v>45949</v>
      </c>
      <c r="L2469" s="9">
        <v>45952</v>
      </c>
      <c r="M2469" s="9">
        <v>45952</v>
      </c>
      <c r="N2469" s="2" t="s">
        <v>2764</v>
      </c>
      <c r="O2469" s="2" t="s">
        <v>55</v>
      </c>
      <c r="P2469" s="2" t="s">
        <v>139</v>
      </c>
      <c r="Q2469" s="2" t="s">
        <v>161</v>
      </c>
      <c r="R2469" s="2" t="s">
        <v>137</v>
      </c>
      <c r="S2469" s="2" t="s">
        <v>198</v>
      </c>
      <c r="T2469" s="10">
        <v>27.58</v>
      </c>
      <c r="U2469" s="11">
        <v>1.085</v>
      </c>
      <c r="V2469" s="12">
        <f>T2469*U2469</f>
        <v>29.924299999999999</v>
      </c>
      <c r="W2469" s="13">
        <v>0.19</v>
      </c>
      <c r="X2469" s="12">
        <f>V2469-(V2469/(1+W2469))</f>
        <v>4.7778294117647029</v>
      </c>
      <c r="Y2469" s="12">
        <f>V2469-X2469</f>
        <v>25.146470588235296</v>
      </c>
      <c r="Z2469" s="14">
        <v>35</v>
      </c>
      <c r="AA2469" s="2" t="str">
        <f>IF(V2469&gt;Z2469,"Yes","No")</f>
        <v>No</v>
      </c>
      <c r="AB2469" s="12">
        <f>V2469-Z2469</f>
        <v>-5.0757000000000012</v>
      </c>
      <c r="AC2469" s="15" t="s">
        <v>130</v>
      </c>
      <c r="AD2469" s="15" t="s">
        <v>131</v>
      </c>
      <c r="AE2469" s="15" t="s">
        <v>180</v>
      </c>
      <c r="AF2469" s="12">
        <f>IF(AG2469="Rejected",0,IF(R2469="Corporate Card",0,V2469))</f>
        <v>29.924299999999999</v>
      </c>
      <c r="AG2469" s="15" t="s">
        <v>133</v>
      </c>
      <c r="AH2469" s="16">
        <v>45955</v>
      </c>
      <c r="AI2469" s="16">
        <v>45959</v>
      </c>
      <c r="AJ2469" s="16">
        <v>45970</v>
      </c>
      <c r="AK2469" s="17">
        <f>IF(AJ2469="","",AJ2469-AH2469)</f>
        <v>15</v>
      </c>
    </row>
    <row r="2470" spans="1:37">
      <c r="A2470" s="2" t="s">
        <v>2961</v>
      </c>
      <c r="B2470" s="2" t="s">
        <v>2212</v>
      </c>
      <c r="C2470" s="2" t="s">
        <v>346</v>
      </c>
      <c r="D2470" s="2" t="s">
        <v>344</v>
      </c>
      <c r="E2470" s="2" t="s">
        <v>2213</v>
      </c>
      <c r="F2470" s="2" t="s">
        <v>313</v>
      </c>
      <c r="G2470" s="2" t="s">
        <v>2908</v>
      </c>
      <c r="H2470" s="2" t="s">
        <v>448</v>
      </c>
      <c r="I2470" s="2" t="s">
        <v>619</v>
      </c>
      <c r="J2470" s="2" t="s">
        <v>381</v>
      </c>
      <c r="K2470" s="9">
        <v>45948</v>
      </c>
      <c r="L2470" s="9">
        <v>45952</v>
      </c>
      <c r="M2470" s="9">
        <v>45952</v>
      </c>
      <c r="N2470" s="2" t="s">
        <v>2764</v>
      </c>
      <c r="O2470" s="2" t="s">
        <v>58</v>
      </c>
      <c r="P2470" s="2" t="s">
        <v>142</v>
      </c>
      <c r="Q2470" s="2" t="s">
        <v>296</v>
      </c>
      <c r="R2470" s="2" t="s">
        <v>128</v>
      </c>
      <c r="S2470" s="2" t="s">
        <v>383</v>
      </c>
      <c r="T2470" s="10">
        <v>23.75</v>
      </c>
      <c r="U2470" s="11">
        <v>1</v>
      </c>
      <c r="V2470" s="12">
        <f>T2470*U2470</f>
        <v>23.75</v>
      </c>
      <c r="W2470" s="13">
        <v>0</v>
      </c>
      <c r="X2470" s="12">
        <f>V2470-(V2470/(1+W2470))</f>
        <v>0</v>
      </c>
      <c r="Y2470" s="12">
        <f>V2470-X2470</f>
        <v>23.75</v>
      </c>
      <c r="Z2470" s="14">
        <v>60</v>
      </c>
      <c r="AA2470" s="2" t="str">
        <f>IF(V2470&gt;Z2470,"Yes","No")</f>
        <v>No</v>
      </c>
      <c r="AB2470" s="12">
        <f>V2470-Z2470</f>
        <v>-36.25</v>
      </c>
      <c r="AC2470" s="15" t="s">
        <v>130</v>
      </c>
      <c r="AD2470" s="15" t="s">
        <v>130</v>
      </c>
      <c r="AE2470" s="15" t="s">
        <v>260</v>
      </c>
      <c r="AF2470" s="12">
        <f>IF(AG2470="Rejected",0,IF(R2470="Corporate Card",0,V2470))</f>
        <v>0</v>
      </c>
      <c r="AG2470" s="15" t="s">
        <v>804</v>
      </c>
      <c r="AH2470" s="16">
        <v>45955</v>
      </c>
      <c r="AI2470" s="16"/>
      <c r="AJ2470" s="16"/>
      <c r="AK2470" s="17" t="str">
        <f>IF(AJ2470="","",AJ2470-AH2470)</f>
        <v/>
      </c>
    </row>
    <row r="2471" spans="1:37">
      <c r="A2471" s="2" t="s">
        <v>2962</v>
      </c>
      <c r="B2471" s="2" t="s">
        <v>2212</v>
      </c>
      <c r="C2471" s="2" t="s">
        <v>346</v>
      </c>
      <c r="D2471" s="2" t="s">
        <v>344</v>
      </c>
      <c r="E2471" s="2" t="s">
        <v>2213</v>
      </c>
      <c r="F2471" s="2" t="s">
        <v>313</v>
      </c>
      <c r="G2471" s="2" t="s">
        <v>2908</v>
      </c>
      <c r="H2471" s="2" t="s">
        <v>448</v>
      </c>
      <c r="I2471" s="2" t="s">
        <v>619</v>
      </c>
      <c r="J2471" s="2" t="s">
        <v>381</v>
      </c>
      <c r="K2471" s="9">
        <v>45948</v>
      </c>
      <c r="L2471" s="9">
        <v>45952</v>
      </c>
      <c r="M2471" s="9">
        <v>45952</v>
      </c>
      <c r="N2471" s="2" t="s">
        <v>2764</v>
      </c>
      <c r="O2471" s="2" t="s">
        <v>56</v>
      </c>
      <c r="P2471" s="2" t="s">
        <v>245</v>
      </c>
      <c r="Q2471" s="2" t="s">
        <v>166</v>
      </c>
      <c r="R2471" s="2" t="s">
        <v>149</v>
      </c>
      <c r="S2471" s="2" t="s">
        <v>383</v>
      </c>
      <c r="T2471" s="10">
        <v>71.510000000000005</v>
      </c>
      <c r="U2471" s="11">
        <v>1</v>
      </c>
      <c r="V2471" s="12">
        <f>T2471*U2471</f>
        <v>71.510000000000005</v>
      </c>
      <c r="W2471" s="13">
        <v>0</v>
      </c>
      <c r="X2471" s="12">
        <f>V2471-(V2471/(1+W2471))</f>
        <v>0</v>
      </c>
      <c r="Y2471" s="12">
        <f>V2471-X2471</f>
        <v>71.510000000000005</v>
      </c>
      <c r="Z2471" s="14">
        <v>75</v>
      </c>
      <c r="AA2471" s="2" t="str">
        <f>IF(V2471&gt;Z2471,"Yes","No")</f>
        <v>No</v>
      </c>
      <c r="AB2471" s="12">
        <f>V2471-Z2471</f>
        <v>-3.4899999999999949</v>
      </c>
      <c r="AC2471" s="15" t="s">
        <v>130</v>
      </c>
      <c r="AD2471" s="15" t="s">
        <v>130</v>
      </c>
      <c r="AE2471" s="15" t="s">
        <v>260</v>
      </c>
      <c r="AF2471" s="12">
        <f>IF(AG2471="Rejected",0,IF(R2471="Corporate Card",0,V2471))</f>
        <v>0</v>
      </c>
      <c r="AG2471" s="15" t="s">
        <v>804</v>
      </c>
      <c r="AH2471" s="16">
        <v>45955</v>
      </c>
      <c r="AI2471" s="16"/>
      <c r="AJ2471" s="16"/>
      <c r="AK2471" s="17" t="str">
        <f>IF(AJ2471="","",AJ2471-AH2471)</f>
        <v/>
      </c>
    </row>
    <row r="2472" spans="1:37">
      <c r="A2472" s="2" t="s">
        <v>2963</v>
      </c>
      <c r="B2472" s="2" t="s">
        <v>375</v>
      </c>
      <c r="C2472" s="2" t="s">
        <v>376</v>
      </c>
      <c r="D2472" s="2" t="s">
        <v>344</v>
      </c>
      <c r="E2472" s="2" t="s">
        <v>377</v>
      </c>
      <c r="F2472" s="2" t="s">
        <v>346</v>
      </c>
      <c r="G2472" s="2" t="s">
        <v>2939</v>
      </c>
      <c r="H2472" s="2" t="s">
        <v>748</v>
      </c>
      <c r="I2472" s="2" t="s">
        <v>123</v>
      </c>
      <c r="J2472" s="2" t="s">
        <v>124</v>
      </c>
      <c r="K2472" s="9">
        <v>45950</v>
      </c>
      <c r="L2472" s="9">
        <v>45958</v>
      </c>
      <c r="M2472" s="9">
        <v>45952</v>
      </c>
      <c r="N2472" s="2" t="s">
        <v>2764</v>
      </c>
      <c r="O2472" s="2" t="s">
        <v>54</v>
      </c>
      <c r="P2472" s="2" t="s">
        <v>139</v>
      </c>
      <c r="Q2472" s="2" t="s">
        <v>148</v>
      </c>
      <c r="R2472" s="2" t="s">
        <v>137</v>
      </c>
      <c r="S2472" s="2" t="s">
        <v>129</v>
      </c>
      <c r="T2472" s="10">
        <v>11.06</v>
      </c>
      <c r="U2472" s="11">
        <v>1.272</v>
      </c>
      <c r="V2472" s="12">
        <f>T2472*U2472</f>
        <v>14.068320000000002</v>
      </c>
      <c r="W2472" s="13">
        <v>0.2</v>
      </c>
      <c r="X2472" s="12">
        <f>V2472-(V2472/(1+W2472))</f>
        <v>2.3447200000000006</v>
      </c>
      <c r="Y2472" s="12">
        <f>V2472-X2472</f>
        <v>11.723600000000001</v>
      </c>
      <c r="Z2472" s="14">
        <v>25</v>
      </c>
      <c r="AA2472" s="2" t="str">
        <f>IF(V2472&gt;Z2472,"Yes","No")</f>
        <v>No</v>
      </c>
      <c r="AB2472" s="12">
        <f>V2472-Z2472</f>
        <v>-10.931679999999998</v>
      </c>
      <c r="AC2472" s="15" t="s">
        <v>130</v>
      </c>
      <c r="AD2472" s="15" t="s">
        <v>131</v>
      </c>
      <c r="AE2472" s="15" t="s">
        <v>421</v>
      </c>
      <c r="AF2472" s="12">
        <f>IF(AG2472="Rejected",0,IF(R2472="Corporate Card",0,V2472))</f>
        <v>14.068320000000002</v>
      </c>
      <c r="AG2472" s="15" t="s">
        <v>133</v>
      </c>
      <c r="AH2472" s="16">
        <v>45962</v>
      </c>
      <c r="AI2472" s="16">
        <v>45967</v>
      </c>
      <c r="AJ2472" s="16">
        <v>45974</v>
      </c>
      <c r="AK2472" s="17">
        <f>IF(AJ2472="","",AJ2472-AH2472)</f>
        <v>12</v>
      </c>
    </row>
    <row r="2473" spans="1:37">
      <c r="A2473" s="2" t="s">
        <v>2964</v>
      </c>
      <c r="B2473" s="2" t="s">
        <v>375</v>
      </c>
      <c r="C2473" s="2" t="s">
        <v>376</v>
      </c>
      <c r="D2473" s="2" t="s">
        <v>344</v>
      </c>
      <c r="E2473" s="2" t="s">
        <v>377</v>
      </c>
      <c r="F2473" s="2" t="s">
        <v>346</v>
      </c>
      <c r="G2473" s="2" t="s">
        <v>2939</v>
      </c>
      <c r="H2473" s="2" t="s">
        <v>748</v>
      </c>
      <c r="I2473" s="2" t="s">
        <v>123</v>
      </c>
      <c r="J2473" s="2" t="s">
        <v>124</v>
      </c>
      <c r="K2473" s="9">
        <v>45950</v>
      </c>
      <c r="L2473" s="9">
        <v>45958</v>
      </c>
      <c r="M2473" s="9">
        <v>45952</v>
      </c>
      <c r="N2473" s="2" t="s">
        <v>2764</v>
      </c>
      <c r="O2473" s="2" t="s">
        <v>56</v>
      </c>
      <c r="P2473" s="2" t="s">
        <v>151</v>
      </c>
      <c r="Q2473" s="2" t="s">
        <v>185</v>
      </c>
      <c r="R2473" s="2" t="s">
        <v>128</v>
      </c>
      <c r="S2473" s="2" t="s">
        <v>129</v>
      </c>
      <c r="T2473" s="10">
        <v>35.76</v>
      </c>
      <c r="U2473" s="11">
        <v>1.272</v>
      </c>
      <c r="V2473" s="12">
        <f>T2473*U2473</f>
        <v>45.486719999999998</v>
      </c>
      <c r="W2473" s="13">
        <v>0.2</v>
      </c>
      <c r="X2473" s="12">
        <f>V2473-(V2473/(1+W2473))</f>
        <v>7.5811199999999985</v>
      </c>
      <c r="Y2473" s="12">
        <f>V2473-X2473</f>
        <v>37.9056</v>
      </c>
      <c r="Z2473" s="14">
        <v>75</v>
      </c>
      <c r="AA2473" s="2" t="str">
        <f>IF(V2473&gt;Z2473,"Yes","No")</f>
        <v>No</v>
      </c>
      <c r="AB2473" s="12">
        <f>V2473-Z2473</f>
        <v>-29.513280000000002</v>
      </c>
      <c r="AC2473" s="15" t="s">
        <v>130</v>
      </c>
      <c r="AD2473" s="15" t="s">
        <v>131</v>
      </c>
      <c r="AE2473" s="15" t="s">
        <v>421</v>
      </c>
      <c r="AF2473" s="12">
        <f>IF(AG2473="Rejected",0,IF(R2473="Corporate Card",0,V2473))</f>
        <v>0</v>
      </c>
      <c r="AG2473" s="15" t="s">
        <v>133</v>
      </c>
      <c r="AH2473" s="16">
        <v>45962</v>
      </c>
      <c r="AI2473" s="16">
        <v>45967</v>
      </c>
      <c r="AJ2473" s="16">
        <v>45974</v>
      </c>
      <c r="AK2473" s="17">
        <f>IF(AJ2473="","",AJ2473-AH2473)</f>
        <v>12</v>
      </c>
    </row>
    <row r="2474" spans="1:37">
      <c r="A2474" s="2" t="s">
        <v>2965</v>
      </c>
      <c r="B2474" s="2" t="s">
        <v>375</v>
      </c>
      <c r="C2474" s="2" t="s">
        <v>376</v>
      </c>
      <c r="D2474" s="2" t="s">
        <v>344</v>
      </c>
      <c r="E2474" s="2" t="s">
        <v>377</v>
      </c>
      <c r="F2474" s="2" t="s">
        <v>346</v>
      </c>
      <c r="G2474" s="2" t="s">
        <v>2939</v>
      </c>
      <c r="H2474" s="2" t="s">
        <v>748</v>
      </c>
      <c r="I2474" s="2" t="s">
        <v>123</v>
      </c>
      <c r="J2474" s="2" t="s">
        <v>124</v>
      </c>
      <c r="K2474" s="9">
        <v>45950</v>
      </c>
      <c r="L2474" s="9">
        <v>45958</v>
      </c>
      <c r="M2474" s="9">
        <v>45952</v>
      </c>
      <c r="N2474" s="2" t="s">
        <v>2764</v>
      </c>
      <c r="O2474" s="2" t="s">
        <v>55</v>
      </c>
      <c r="P2474" s="2" t="s">
        <v>139</v>
      </c>
      <c r="Q2474" s="2" t="s">
        <v>217</v>
      </c>
      <c r="R2474" s="2" t="s">
        <v>149</v>
      </c>
      <c r="S2474" s="2" t="s">
        <v>129</v>
      </c>
      <c r="T2474" s="10">
        <v>22.83</v>
      </c>
      <c r="U2474" s="11">
        <v>1.272</v>
      </c>
      <c r="V2474" s="12">
        <f>T2474*U2474</f>
        <v>29.039759999999998</v>
      </c>
      <c r="W2474" s="13">
        <v>0.2</v>
      </c>
      <c r="X2474" s="12">
        <f>V2474-(V2474/(1+W2474))</f>
        <v>4.8399599999999978</v>
      </c>
      <c r="Y2474" s="12">
        <f>V2474-X2474</f>
        <v>24.1998</v>
      </c>
      <c r="Z2474" s="14">
        <v>35</v>
      </c>
      <c r="AA2474" s="2" t="str">
        <f>IF(V2474&gt;Z2474,"Yes","No")</f>
        <v>No</v>
      </c>
      <c r="AB2474" s="12">
        <f>V2474-Z2474</f>
        <v>-5.9602400000000024</v>
      </c>
      <c r="AC2474" s="15" t="s">
        <v>130</v>
      </c>
      <c r="AD2474" s="15" t="s">
        <v>131</v>
      </c>
      <c r="AE2474" s="15" t="s">
        <v>421</v>
      </c>
      <c r="AF2474" s="12">
        <f>IF(AG2474="Rejected",0,IF(R2474="Corporate Card",0,V2474))</f>
        <v>29.039759999999998</v>
      </c>
      <c r="AG2474" s="15" t="s">
        <v>133</v>
      </c>
      <c r="AH2474" s="16">
        <v>45962</v>
      </c>
      <c r="AI2474" s="16">
        <v>45967</v>
      </c>
      <c r="AJ2474" s="16">
        <v>45974</v>
      </c>
      <c r="AK2474" s="17">
        <f>IF(AJ2474="","",AJ2474-AH2474)</f>
        <v>12</v>
      </c>
    </row>
    <row r="2475" spans="1:37">
      <c r="A2475" s="2" t="s">
        <v>2966</v>
      </c>
      <c r="B2475" s="2" t="s">
        <v>863</v>
      </c>
      <c r="C2475" s="2" t="s">
        <v>864</v>
      </c>
      <c r="D2475" s="2" t="s">
        <v>865</v>
      </c>
      <c r="E2475" s="2" t="s">
        <v>866</v>
      </c>
      <c r="F2475" s="2" t="s">
        <v>867</v>
      </c>
      <c r="G2475" s="2" t="s">
        <v>2967</v>
      </c>
      <c r="H2475" s="2" t="s">
        <v>122</v>
      </c>
      <c r="I2475" s="2" t="s">
        <v>194</v>
      </c>
      <c r="J2475" s="2" t="s">
        <v>195</v>
      </c>
      <c r="K2475" s="9">
        <v>45952</v>
      </c>
      <c r="L2475" s="9">
        <v>45958</v>
      </c>
      <c r="M2475" s="9">
        <v>45952</v>
      </c>
      <c r="N2475" s="2" t="s">
        <v>2764</v>
      </c>
      <c r="O2475" s="2" t="s">
        <v>52</v>
      </c>
      <c r="P2475" s="2" t="s">
        <v>196</v>
      </c>
      <c r="Q2475" s="2" t="s">
        <v>349</v>
      </c>
      <c r="R2475" s="2" t="s">
        <v>128</v>
      </c>
      <c r="S2475" s="2" t="s">
        <v>198</v>
      </c>
      <c r="T2475" s="10">
        <v>1298.07</v>
      </c>
      <c r="U2475" s="11">
        <v>1.085</v>
      </c>
      <c r="V2475" s="12">
        <f>T2475*U2475</f>
        <v>1408.4059499999998</v>
      </c>
      <c r="W2475" s="13">
        <v>0</v>
      </c>
      <c r="X2475" s="12">
        <f>V2475-(V2475/(1+W2475))</f>
        <v>0</v>
      </c>
      <c r="Y2475" s="12">
        <f>V2475-X2475</f>
        <v>1408.4059499999998</v>
      </c>
      <c r="Z2475" s="14">
        <v>1400</v>
      </c>
      <c r="AA2475" s="2" t="str">
        <f>IF(V2475&gt;Z2475,"Yes","No")</f>
        <v>Yes</v>
      </c>
      <c r="AB2475" s="12">
        <f>V2475-Z2475</f>
        <v>8.4059499999998479</v>
      </c>
      <c r="AC2475" s="15" t="s">
        <v>130</v>
      </c>
      <c r="AD2475" s="15" t="s">
        <v>131</v>
      </c>
      <c r="AE2475" s="15" t="s">
        <v>858</v>
      </c>
      <c r="AF2475" s="12">
        <f>IF(AG2475="Rejected",0,IF(R2475="Corporate Card",0,V2475))</f>
        <v>0</v>
      </c>
      <c r="AG2475" s="15" t="s">
        <v>133</v>
      </c>
      <c r="AH2475" s="16">
        <v>45959</v>
      </c>
      <c r="AI2475" s="16">
        <v>45963</v>
      </c>
      <c r="AJ2475" s="16">
        <v>45975</v>
      </c>
      <c r="AK2475" s="17">
        <f>IF(AJ2475="","",AJ2475-AH2475)</f>
        <v>16</v>
      </c>
    </row>
    <row r="2476" spans="1:37">
      <c r="A2476" s="2" t="s">
        <v>2968</v>
      </c>
      <c r="B2476" s="2" t="s">
        <v>863</v>
      </c>
      <c r="C2476" s="2" t="s">
        <v>864</v>
      </c>
      <c r="D2476" s="2" t="s">
        <v>865</v>
      </c>
      <c r="E2476" s="2" t="s">
        <v>866</v>
      </c>
      <c r="F2476" s="2" t="s">
        <v>867</v>
      </c>
      <c r="G2476" s="2" t="s">
        <v>2967</v>
      </c>
      <c r="H2476" s="2" t="s">
        <v>122</v>
      </c>
      <c r="I2476" s="2" t="s">
        <v>194</v>
      </c>
      <c r="J2476" s="2" t="s">
        <v>195</v>
      </c>
      <c r="K2476" s="9">
        <v>45952</v>
      </c>
      <c r="L2476" s="9">
        <v>45958</v>
      </c>
      <c r="M2476" s="9">
        <v>45952</v>
      </c>
      <c r="N2476" s="2" t="s">
        <v>2764</v>
      </c>
      <c r="O2476" s="2" t="s">
        <v>58</v>
      </c>
      <c r="P2476" s="2" t="s">
        <v>142</v>
      </c>
      <c r="Q2476" s="2" t="s">
        <v>143</v>
      </c>
      <c r="R2476" s="2" t="s">
        <v>149</v>
      </c>
      <c r="S2476" s="2" t="s">
        <v>198</v>
      </c>
      <c r="T2476" s="10">
        <v>42.32</v>
      </c>
      <c r="U2476" s="11">
        <v>1.085</v>
      </c>
      <c r="V2476" s="12">
        <f>T2476*U2476</f>
        <v>45.917200000000001</v>
      </c>
      <c r="W2476" s="13">
        <v>0.19</v>
      </c>
      <c r="X2476" s="12">
        <f>V2476-(V2476/(1+W2476))</f>
        <v>7.3313176470588246</v>
      </c>
      <c r="Y2476" s="12">
        <f>V2476-X2476</f>
        <v>38.585882352941177</v>
      </c>
      <c r="Z2476" s="14">
        <v>60</v>
      </c>
      <c r="AA2476" s="2" t="str">
        <f>IF(V2476&gt;Z2476,"Yes","No")</f>
        <v>No</v>
      </c>
      <c r="AB2476" s="12">
        <f>V2476-Z2476</f>
        <v>-14.082799999999999</v>
      </c>
      <c r="AC2476" s="15" t="s">
        <v>130</v>
      </c>
      <c r="AD2476" s="15" t="s">
        <v>131</v>
      </c>
      <c r="AE2476" s="15" t="s">
        <v>858</v>
      </c>
      <c r="AF2476" s="12">
        <f>IF(AG2476="Rejected",0,IF(R2476="Corporate Card",0,V2476))</f>
        <v>45.917200000000001</v>
      </c>
      <c r="AG2476" s="15" t="s">
        <v>133</v>
      </c>
      <c r="AH2476" s="16">
        <v>45959</v>
      </c>
      <c r="AI2476" s="16">
        <v>45963</v>
      </c>
      <c r="AJ2476" s="16">
        <v>45975</v>
      </c>
      <c r="AK2476" s="17">
        <f>IF(AJ2476="","",AJ2476-AH2476)</f>
        <v>16</v>
      </c>
    </row>
    <row r="2477" spans="1:37">
      <c r="A2477" s="2" t="s">
        <v>2969</v>
      </c>
      <c r="B2477" s="2" t="s">
        <v>863</v>
      </c>
      <c r="C2477" s="2" t="s">
        <v>864</v>
      </c>
      <c r="D2477" s="2" t="s">
        <v>865</v>
      </c>
      <c r="E2477" s="2" t="s">
        <v>866</v>
      </c>
      <c r="F2477" s="2" t="s">
        <v>867</v>
      </c>
      <c r="G2477" s="2" t="s">
        <v>2967</v>
      </c>
      <c r="H2477" s="2" t="s">
        <v>122</v>
      </c>
      <c r="I2477" s="2" t="s">
        <v>194</v>
      </c>
      <c r="J2477" s="2" t="s">
        <v>195</v>
      </c>
      <c r="K2477" s="9">
        <v>45952</v>
      </c>
      <c r="L2477" s="9">
        <v>45958</v>
      </c>
      <c r="M2477" s="9">
        <v>45952</v>
      </c>
      <c r="N2477" s="2" t="s">
        <v>2764</v>
      </c>
      <c r="O2477" s="2" t="s">
        <v>54</v>
      </c>
      <c r="P2477" s="2" t="s">
        <v>139</v>
      </c>
      <c r="Q2477" s="2" t="s">
        <v>140</v>
      </c>
      <c r="R2477" s="2" t="s">
        <v>149</v>
      </c>
      <c r="S2477" s="2" t="s">
        <v>198</v>
      </c>
      <c r="T2477" s="10">
        <v>9.26</v>
      </c>
      <c r="U2477" s="11">
        <v>1.085</v>
      </c>
      <c r="V2477" s="12">
        <f>T2477*U2477</f>
        <v>10.047099999999999</v>
      </c>
      <c r="W2477" s="13">
        <v>0.19</v>
      </c>
      <c r="X2477" s="12">
        <f>V2477-(V2477/(1+W2477))</f>
        <v>1.6041588235294117</v>
      </c>
      <c r="Y2477" s="12">
        <f>V2477-X2477</f>
        <v>8.4429411764705868</v>
      </c>
      <c r="Z2477" s="14">
        <v>25</v>
      </c>
      <c r="AA2477" s="2" t="str">
        <f>IF(V2477&gt;Z2477,"Yes","No")</f>
        <v>No</v>
      </c>
      <c r="AB2477" s="12">
        <f>V2477-Z2477</f>
        <v>-14.952900000000001</v>
      </c>
      <c r="AC2477" s="15" t="s">
        <v>130</v>
      </c>
      <c r="AD2477" s="15" t="s">
        <v>131</v>
      </c>
      <c r="AE2477" s="15" t="s">
        <v>858</v>
      </c>
      <c r="AF2477" s="12">
        <f>IF(AG2477="Rejected",0,IF(R2477="Corporate Card",0,V2477))</f>
        <v>10.047099999999999</v>
      </c>
      <c r="AG2477" s="15" t="s">
        <v>133</v>
      </c>
      <c r="AH2477" s="16">
        <v>45959</v>
      </c>
      <c r="AI2477" s="16">
        <v>45963</v>
      </c>
      <c r="AJ2477" s="16">
        <v>45975</v>
      </c>
      <c r="AK2477" s="17">
        <f>IF(AJ2477="","",AJ2477-AH2477)</f>
        <v>16</v>
      </c>
    </row>
    <row r="2478" spans="1:37">
      <c r="A2478" s="2" t="s">
        <v>2970</v>
      </c>
      <c r="B2478" s="2" t="s">
        <v>863</v>
      </c>
      <c r="C2478" s="2" t="s">
        <v>864</v>
      </c>
      <c r="D2478" s="2" t="s">
        <v>865</v>
      </c>
      <c r="E2478" s="2" t="s">
        <v>866</v>
      </c>
      <c r="F2478" s="2" t="s">
        <v>867</v>
      </c>
      <c r="G2478" s="2" t="s">
        <v>2967</v>
      </c>
      <c r="H2478" s="2" t="s">
        <v>122</v>
      </c>
      <c r="I2478" s="2" t="s">
        <v>194</v>
      </c>
      <c r="J2478" s="2" t="s">
        <v>195</v>
      </c>
      <c r="K2478" s="9">
        <v>45952</v>
      </c>
      <c r="L2478" s="9">
        <v>45958</v>
      </c>
      <c r="M2478" s="9">
        <v>45952</v>
      </c>
      <c r="N2478" s="2" t="s">
        <v>2764</v>
      </c>
      <c r="O2478" s="2" t="s">
        <v>56</v>
      </c>
      <c r="P2478" s="2" t="s">
        <v>165</v>
      </c>
      <c r="Q2478" s="2" t="s">
        <v>185</v>
      </c>
      <c r="R2478" s="2" t="s">
        <v>137</v>
      </c>
      <c r="S2478" s="2" t="s">
        <v>198</v>
      </c>
      <c r="T2478" s="10">
        <v>84.12</v>
      </c>
      <c r="U2478" s="11">
        <v>1.085</v>
      </c>
      <c r="V2478" s="12">
        <f>T2478*U2478</f>
        <v>91.270200000000003</v>
      </c>
      <c r="W2478" s="13">
        <v>0.19</v>
      </c>
      <c r="X2478" s="12">
        <f>V2478-(V2478/(1+W2478))</f>
        <v>14.572552941176468</v>
      </c>
      <c r="Y2478" s="12">
        <f>V2478-X2478</f>
        <v>76.697647058823534</v>
      </c>
      <c r="Z2478" s="14">
        <v>75</v>
      </c>
      <c r="AA2478" s="2" t="str">
        <f>IF(V2478&gt;Z2478,"Yes","No")</f>
        <v>Yes</v>
      </c>
      <c r="AB2478" s="12">
        <f>V2478-Z2478</f>
        <v>16.270200000000003</v>
      </c>
      <c r="AC2478" s="15" t="s">
        <v>130</v>
      </c>
      <c r="AD2478" s="15" t="s">
        <v>131</v>
      </c>
      <c r="AE2478" s="15" t="s">
        <v>858</v>
      </c>
      <c r="AF2478" s="12">
        <f>IF(AG2478="Rejected",0,IF(R2478="Corporate Card",0,V2478))</f>
        <v>91.270200000000003</v>
      </c>
      <c r="AG2478" s="15" t="s">
        <v>133</v>
      </c>
      <c r="AH2478" s="16">
        <v>45959</v>
      </c>
      <c r="AI2478" s="16">
        <v>45963</v>
      </c>
      <c r="AJ2478" s="16">
        <v>45975</v>
      </c>
      <c r="AK2478" s="17">
        <f>IF(AJ2478="","",AJ2478-AH2478)</f>
        <v>16</v>
      </c>
    </row>
    <row r="2479" spans="1:37">
      <c r="A2479" s="2" t="s">
        <v>2971</v>
      </c>
      <c r="B2479" s="2" t="s">
        <v>863</v>
      </c>
      <c r="C2479" s="2" t="s">
        <v>864</v>
      </c>
      <c r="D2479" s="2" t="s">
        <v>865</v>
      </c>
      <c r="E2479" s="2" t="s">
        <v>866</v>
      </c>
      <c r="F2479" s="2" t="s">
        <v>867</v>
      </c>
      <c r="G2479" s="2" t="s">
        <v>2967</v>
      </c>
      <c r="H2479" s="2" t="s">
        <v>122</v>
      </c>
      <c r="I2479" s="2" t="s">
        <v>194</v>
      </c>
      <c r="J2479" s="2" t="s">
        <v>195</v>
      </c>
      <c r="K2479" s="9">
        <v>45952</v>
      </c>
      <c r="L2479" s="9">
        <v>45958</v>
      </c>
      <c r="M2479" s="9">
        <v>45952</v>
      </c>
      <c r="N2479" s="2" t="s">
        <v>2764</v>
      </c>
      <c r="O2479" s="2" t="s">
        <v>55</v>
      </c>
      <c r="P2479" s="2" t="s">
        <v>139</v>
      </c>
      <c r="Q2479" s="2" t="s">
        <v>187</v>
      </c>
      <c r="R2479" s="2" t="s">
        <v>137</v>
      </c>
      <c r="S2479" s="2" t="s">
        <v>198</v>
      </c>
      <c r="T2479" s="10">
        <v>35.31</v>
      </c>
      <c r="U2479" s="11">
        <v>1.085</v>
      </c>
      <c r="V2479" s="12">
        <f>T2479*U2479</f>
        <v>38.311350000000004</v>
      </c>
      <c r="W2479" s="13">
        <v>0.19</v>
      </c>
      <c r="X2479" s="12">
        <f>V2479-(V2479/(1+W2479))</f>
        <v>6.1169382352941142</v>
      </c>
      <c r="Y2479" s="12">
        <f>V2479-X2479</f>
        <v>32.19441176470589</v>
      </c>
      <c r="Z2479" s="14">
        <v>35</v>
      </c>
      <c r="AA2479" s="2" t="str">
        <f>IF(V2479&gt;Z2479,"Yes","No")</f>
        <v>Yes</v>
      </c>
      <c r="AB2479" s="12">
        <f>V2479-Z2479</f>
        <v>3.3113500000000045</v>
      </c>
      <c r="AC2479" s="15" t="s">
        <v>130</v>
      </c>
      <c r="AD2479" s="15" t="s">
        <v>131</v>
      </c>
      <c r="AE2479" s="15" t="s">
        <v>858</v>
      </c>
      <c r="AF2479" s="12">
        <f>IF(AG2479="Rejected",0,IF(R2479="Corporate Card",0,V2479))</f>
        <v>38.311350000000004</v>
      </c>
      <c r="AG2479" s="15" t="s">
        <v>133</v>
      </c>
      <c r="AH2479" s="16">
        <v>45959</v>
      </c>
      <c r="AI2479" s="16">
        <v>45963</v>
      </c>
      <c r="AJ2479" s="16">
        <v>45975</v>
      </c>
      <c r="AK2479" s="17">
        <f>IF(AJ2479="","",AJ2479-AH2479)</f>
        <v>16</v>
      </c>
    </row>
    <row r="2480" spans="1:37">
      <c r="A2480" s="2" t="s">
        <v>2972</v>
      </c>
      <c r="B2480" s="2" t="s">
        <v>863</v>
      </c>
      <c r="C2480" s="2" t="s">
        <v>864</v>
      </c>
      <c r="D2480" s="2" t="s">
        <v>865</v>
      </c>
      <c r="E2480" s="2" t="s">
        <v>866</v>
      </c>
      <c r="F2480" s="2" t="s">
        <v>867</v>
      </c>
      <c r="G2480" s="2" t="s">
        <v>2967</v>
      </c>
      <c r="H2480" s="2" t="s">
        <v>122</v>
      </c>
      <c r="I2480" s="2" t="s">
        <v>194</v>
      </c>
      <c r="J2480" s="2" t="s">
        <v>195</v>
      </c>
      <c r="K2480" s="9">
        <v>45952</v>
      </c>
      <c r="L2480" s="9">
        <v>45958</v>
      </c>
      <c r="M2480" s="9">
        <v>45952</v>
      </c>
      <c r="N2480" s="2" t="s">
        <v>2764</v>
      </c>
      <c r="O2480" s="2" t="s">
        <v>66</v>
      </c>
      <c r="P2480" s="2" t="s">
        <v>489</v>
      </c>
      <c r="Q2480" s="2" t="s">
        <v>490</v>
      </c>
      <c r="R2480" s="2" t="s">
        <v>128</v>
      </c>
      <c r="S2480" s="2" t="s">
        <v>198</v>
      </c>
      <c r="T2480" s="10">
        <v>170.71</v>
      </c>
      <c r="U2480" s="11">
        <v>1.085</v>
      </c>
      <c r="V2480" s="12">
        <f>T2480*U2480</f>
        <v>185.22035</v>
      </c>
      <c r="W2480" s="13">
        <v>0</v>
      </c>
      <c r="X2480" s="12">
        <f>V2480-(V2480/(1+W2480))</f>
        <v>0</v>
      </c>
      <c r="Y2480" s="12">
        <f>V2480-X2480</f>
        <v>185.22035</v>
      </c>
      <c r="Z2480" s="14">
        <v>250</v>
      </c>
      <c r="AA2480" s="2" t="str">
        <f>IF(V2480&gt;Z2480,"Yes","No")</f>
        <v>No</v>
      </c>
      <c r="AB2480" s="12">
        <f>V2480-Z2480</f>
        <v>-64.779650000000004</v>
      </c>
      <c r="AC2480" s="15" t="s">
        <v>130</v>
      </c>
      <c r="AD2480" s="15" t="s">
        <v>131</v>
      </c>
      <c r="AE2480" s="15" t="s">
        <v>858</v>
      </c>
      <c r="AF2480" s="12">
        <f>IF(AG2480="Rejected",0,IF(R2480="Corporate Card",0,V2480))</f>
        <v>0</v>
      </c>
      <c r="AG2480" s="15" t="s">
        <v>133</v>
      </c>
      <c r="AH2480" s="16">
        <v>45959</v>
      </c>
      <c r="AI2480" s="16">
        <v>45963</v>
      </c>
      <c r="AJ2480" s="16">
        <v>45975</v>
      </c>
      <c r="AK2480" s="17">
        <f>IF(AJ2480="","",AJ2480-AH2480)</f>
        <v>16</v>
      </c>
    </row>
    <row r="2481" spans="1:37">
      <c r="A2481" s="2" t="s">
        <v>2973</v>
      </c>
      <c r="B2481" s="2" t="s">
        <v>116</v>
      </c>
      <c r="C2481" s="2" t="s">
        <v>117</v>
      </c>
      <c r="D2481" s="2" t="s">
        <v>118</v>
      </c>
      <c r="E2481" s="2" t="s">
        <v>119</v>
      </c>
      <c r="F2481" s="2" t="s">
        <v>120</v>
      </c>
      <c r="G2481" s="2" t="s">
        <v>2974</v>
      </c>
      <c r="H2481" s="2" t="s">
        <v>379</v>
      </c>
      <c r="I2481" s="2" t="s">
        <v>194</v>
      </c>
      <c r="J2481" s="2" t="s">
        <v>195</v>
      </c>
      <c r="K2481" s="9">
        <v>45953</v>
      </c>
      <c r="L2481" s="9">
        <v>45956</v>
      </c>
      <c r="M2481" s="9">
        <v>45953</v>
      </c>
      <c r="N2481" s="2" t="s">
        <v>2764</v>
      </c>
      <c r="O2481" s="2" t="s">
        <v>52</v>
      </c>
      <c r="P2481" s="2" t="s">
        <v>196</v>
      </c>
      <c r="Q2481" s="2" t="s">
        <v>197</v>
      </c>
      <c r="R2481" s="2" t="s">
        <v>149</v>
      </c>
      <c r="S2481" s="2" t="s">
        <v>198</v>
      </c>
      <c r="T2481" s="10">
        <v>3436.38</v>
      </c>
      <c r="U2481" s="11">
        <v>1.085</v>
      </c>
      <c r="V2481" s="12">
        <f>T2481*U2481</f>
        <v>3728.4722999999999</v>
      </c>
      <c r="W2481" s="13">
        <v>0</v>
      </c>
      <c r="X2481" s="12">
        <f>V2481-(V2481/(1+W2481))</f>
        <v>0</v>
      </c>
      <c r="Y2481" s="12">
        <f>V2481-X2481</f>
        <v>3728.4722999999999</v>
      </c>
      <c r="Z2481" s="14">
        <v>1400</v>
      </c>
      <c r="AA2481" s="2" t="str">
        <f>IF(V2481&gt;Z2481,"Yes","No")</f>
        <v>Yes</v>
      </c>
      <c r="AB2481" s="12">
        <f>V2481-Z2481</f>
        <v>2328.4722999999999</v>
      </c>
      <c r="AC2481" s="15" t="s">
        <v>130</v>
      </c>
      <c r="AD2481" s="15" t="s">
        <v>131</v>
      </c>
      <c r="AE2481" s="15" t="s">
        <v>350</v>
      </c>
      <c r="AF2481" s="12">
        <f>IF(AG2481="Rejected",0,IF(R2481="Corporate Card",0,V2481))</f>
        <v>3728.4722999999999</v>
      </c>
      <c r="AG2481" s="15" t="s">
        <v>133</v>
      </c>
      <c r="AH2481" s="16">
        <v>45959</v>
      </c>
      <c r="AI2481" s="16">
        <v>45966</v>
      </c>
      <c r="AJ2481" s="16">
        <v>45969</v>
      </c>
      <c r="AK2481" s="17">
        <f>IF(AJ2481="","",AJ2481-AH2481)</f>
        <v>10</v>
      </c>
    </row>
    <row r="2482" spans="1:37">
      <c r="A2482" s="2" t="s">
        <v>2975</v>
      </c>
      <c r="B2482" s="2" t="s">
        <v>116</v>
      </c>
      <c r="C2482" s="2" t="s">
        <v>117</v>
      </c>
      <c r="D2482" s="2" t="s">
        <v>118</v>
      </c>
      <c r="E2482" s="2" t="s">
        <v>119</v>
      </c>
      <c r="F2482" s="2" t="s">
        <v>120</v>
      </c>
      <c r="G2482" s="2" t="s">
        <v>2974</v>
      </c>
      <c r="H2482" s="2" t="s">
        <v>379</v>
      </c>
      <c r="I2482" s="2" t="s">
        <v>194</v>
      </c>
      <c r="J2482" s="2" t="s">
        <v>195</v>
      </c>
      <c r="K2482" s="9">
        <v>45953</v>
      </c>
      <c r="L2482" s="9">
        <v>45956</v>
      </c>
      <c r="M2482" s="9">
        <v>45953</v>
      </c>
      <c r="N2482" s="2" t="s">
        <v>2764</v>
      </c>
      <c r="O2482" s="2" t="s">
        <v>64</v>
      </c>
      <c r="P2482" s="2" t="s">
        <v>135</v>
      </c>
      <c r="Q2482" s="2" t="s">
        <v>513</v>
      </c>
      <c r="R2482" s="2" t="s">
        <v>128</v>
      </c>
      <c r="S2482" s="2" t="s">
        <v>198</v>
      </c>
      <c r="T2482" s="10">
        <v>60.79</v>
      </c>
      <c r="U2482" s="11">
        <v>1.085</v>
      </c>
      <c r="V2482" s="12">
        <f>T2482*U2482</f>
        <v>65.957149999999999</v>
      </c>
      <c r="W2482" s="13">
        <v>0</v>
      </c>
      <c r="X2482" s="12">
        <f>V2482-(V2482/(1+W2482))</f>
        <v>0</v>
      </c>
      <c r="Y2482" s="12">
        <f>V2482-X2482</f>
        <v>65.957149999999999</v>
      </c>
      <c r="Z2482" s="14">
        <v>120</v>
      </c>
      <c r="AA2482" s="2" t="str">
        <f>IF(V2482&gt;Z2482,"Yes","No")</f>
        <v>No</v>
      </c>
      <c r="AB2482" s="12">
        <f>V2482-Z2482</f>
        <v>-54.042850000000001</v>
      </c>
      <c r="AC2482" s="15" t="s">
        <v>130</v>
      </c>
      <c r="AD2482" s="15" t="s">
        <v>131</v>
      </c>
      <c r="AE2482" s="15" t="s">
        <v>350</v>
      </c>
      <c r="AF2482" s="12">
        <f>IF(AG2482="Rejected",0,IF(R2482="Corporate Card",0,V2482))</f>
        <v>0</v>
      </c>
      <c r="AG2482" s="15" t="s">
        <v>133</v>
      </c>
      <c r="AH2482" s="16">
        <v>45959</v>
      </c>
      <c r="AI2482" s="16">
        <v>45966</v>
      </c>
      <c r="AJ2482" s="16">
        <v>45969</v>
      </c>
      <c r="AK2482" s="17">
        <f>IF(AJ2482="","",AJ2482-AH2482)</f>
        <v>10</v>
      </c>
    </row>
    <row r="2483" spans="1:37">
      <c r="A2483" s="2" t="s">
        <v>2976</v>
      </c>
      <c r="B2483" s="2" t="s">
        <v>116</v>
      </c>
      <c r="C2483" s="2" t="s">
        <v>117</v>
      </c>
      <c r="D2483" s="2" t="s">
        <v>118</v>
      </c>
      <c r="E2483" s="2" t="s">
        <v>119</v>
      </c>
      <c r="F2483" s="2" t="s">
        <v>120</v>
      </c>
      <c r="G2483" s="2" t="s">
        <v>2974</v>
      </c>
      <c r="H2483" s="2" t="s">
        <v>379</v>
      </c>
      <c r="I2483" s="2" t="s">
        <v>194</v>
      </c>
      <c r="J2483" s="2" t="s">
        <v>195</v>
      </c>
      <c r="K2483" s="9">
        <v>45953</v>
      </c>
      <c r="L2483" s="9">
        <v>45956</v>
      </c>
      <c r="M2483" s="9">
        <v>45953</v>
      </c>
      <c r="N2483" s="2" t="s">
        <v>2764</v>
      </c>
      <c r="O2483" s="2" t="s">
        <v>58</v>
      </c>
      <c r="P2483" s="2" t="s">
        <v>142</v>
      </c>
      <c r="Q2483" s="2" t="s">
        <v>156</v>
      </c>
      <c r="R2483" s="2" t="s">
        <v>128</v>
      </c>
      <c r="S2483" s="2" t="s">
        <v>198</v>
      </c>
      <c r="T2483" s="10">
        <v>24.76</v>
      </c>
      <c r="U2483" s="11">
        <v>1.085</v>
      </c>
      <c r="V2483" s="12">
        <f>T2483*U2483</f>
        <v>26.864599999999999</v>
      </c>
      <c r="W2483" s="13">
        <v>0.19</v>
      </c>
      <c r="X2483" s="12">
        <f>V2483-(V2483/(1+W2483))</f>
        <v>4.2893058823529415</v>
      </c>
      <c r="Y2483" s="12">
        <f>V2483-X2483</f>
        <v>22.575294117647058</v>
      </c>
      <c r="Z2483" s="14">
        <v>60</v>
      </c>
      <c r="AA2483" s="2" t="str">
        <f>IF(V2483&gt;Z2483,"Yes","No")</f>
        <v>No</v>
      </c>
      <c r="AB2483" s="12">
        <f>V2483-Z2483</f>
        <v>-33.135400000000004</v>
      </c>
      <c r="AC2483" s="15" t="s">
        <v>130</v>
      </c>
      <c r="AD2483" s="15" t="s">
        <v>131</v>
      </c>
      <c r="AE2483" s="15" t="s">
        <v>350</v>
      </c>
      <c r="AF2483" s="12">
        <f>IF(AG2483="Rejected",0,IF(R2483="Corporate Card",0,V2483))</f>
        <v>0</v>
      </c>
      <c r="AG2483" s="15" t="s">
        <v>133</v>
      </c>
      <c r="AH2483" s="16">
        <v>45959</v>
      </c>
      <c r="AI2483" s="16">
        <v>45966</v>
      </c>
      <c r="AJ2483" s="16">
        <v>45969</v>
      </c>
      <c r="AK2483" s="17">
        <f>IF(AJ2483="","",AJ2483-AH2483)</f>
        <v>10</v>
      </c>
    </row>
    <row r="2484" spans="1:37">
      <c r="A2484" s="2" t="s">
        <v>2977</v>
      </c>
      <c r="B2484" s="2" t="s">
        <v>116</v>
      </c>
      <c r="C2484" s="2" t="s">
        <v>117</v>
      </c>
      <c r="D2484" s="2" t="s">
        <v>118</v>
      </c>
      <c r="E2484" s="2" t="s">
        <v>119</v>
      </c>
      <c r="F2484" s="2" t="s">
        <v>120</v>
      </c>
      <c r="G2484" s="2" t="s">
        <v>2974</v>
      </c>
      <c r="H2484" s="2" t="s">
        <v>379</v>
      </c>
      <c r="I2484" s="2" t="s">
        <v>194</v>
      </c>
      <c r="J2484" s="2" t="s">
        <v>195</v>
      </c>
      <c r="K2484" s="9">
        <v>45953</v>
      </c>
      <c r="L2484" s="9">
        <v>45956</v>
      </c>
      <c r="M2484" s="9">
        <v>45953</v>
      </c>
      <c r="N2484" s="2" t="s">
        <v>2764</v>
      </c>
      <c r="O2484" s="2" t="s">
        <v>54</v>
      </c>
      <c r="P2484" s="2" t="s">
        <v>139</v>
      </c>
      <c r="Q2484" s="2" t="s">
        <v>214</v>
      </c>
      <c r="R2484" s="2" t="s">
        <v>128</v>
      </c>
      <c r="S2484" s="2" t="s">
        <v>198</v>
      </c>
      <c r="T2484" s="10">
        <v>17.37</v>
      </c>
      <c r="U2484" s="11">
        <v>1.085</v>
      </c>
      <c r="V2484" s="12">
        <f>T2484*U2484</f>
        <v>18.846450000000001</v>
      </c>
      <c r="W2484" s="13">
        <v>0.19</v>
      </c>
      <c r="X2484" s="12">
        <f>V2484-(V2484/(1+W2484))</f>
        <v>3.009097058823528</v>
      </c>
      <c r="Y2484" s="12">
        <f>V2484-X2484</f>
        <v>15.837352941176473</v>
      </c>
      <c r="Z2484" s="14">
        <v>25</v>
      </c>
      <c r="AA2484" s="2" t="str">
        <f>IF(V2484&gt;Z2484,"Yes","No")</f>
        <v>No</v>
      </c>
      <c r="AB2484" s="12">
        <f>V2484-Z2484</f>
        <v>-6.1535499999999992</v>
      </c>
      <c r="AC2484" s="15" t="s">
        <v>130</v>
      </c>
      <c r="AD2484" s="15" t="s">
        <v>131</v>
      </c>
      <c r="AE2484" s="15" t="s">
        <v>350</v>
      </c>
      <c r="AF2484" s="12">
        <f>IF(AG2484="Rejected",0,IF(R2484="Corporate Card",0,V2484))</f>
        <v>0</v>
      </c>
      <c r="AG2484" s="15" t="s">
        <v>133</v>
      </c>
      <c r="AH2484" s="16">
        <v>45959</v>
      </c>
      <c r="AI2484" s="16">
        <v>45966</v>
      </c>
      <c r="AJ2484" s="16">
        <v>45969</v>
      </c>
      <c r="AK2484" s="17">
        <f>IF(AJ2484="","",AJ2484-AH2484)</f>
        <v>10</v>
      </c>
    </row>
    <row r="2485" spans="1:37">
      <c r="A2485" s="2" t="s">
        <v>2978</v>
      </c>
      <c r="B2485" s="2" t="s">
        <v>116</v>
      </c>
      <c r="C2485" s="2" t="s">
        <v>117</v>
      </c>
      <c r="D2485" s="2" t="s">
        <v>118</v>
      </c>
      <c r="E2485" s="2" t="s">
        <v>119</v>
      </c>
      <c r="F2485" s="2" t="s">
        <v>120</v>
      </c>
      <c r="G2485" s="2" t="s">
        <v>2974</v>
      </c>
      <c r="H2485" s="2" t="s">
        <v>379</v>
      </c>
      <c r="I2485" s="2" t="s">
        <v>194</v>
      </c>
      <c r="J2485" s="2" t="s">
        <v>195</v>
      </c>
      <c r="K2485" s="9">
        <v>45953</v>
      </c>
      <c r="L2485" s="9">
        <v>45956</v>
      </c>
      <c r="M2485" s="9">
        <v>45953</v>
      </c>
      <c r="N2485" s="2" t="s">
        <v>2764</v>
      </c>
      <c r="O2485" s="2" t="s">
        <v>56</v>
      </c>
      <c r="P2485" s="2" t="s">
        <v>165</v>
      </c>
      <c r="Q2485" s="2" t="s">
        <v>152</v>
      </c>
      <c r="R2485" s="2" t="s">
        <v>128</v>
      </c>
      <c r="S2485" s="2" t="s">
        <v>198</v>
      </c>
      <c r="T2485" s="10">
        <v>49.93</v>
      </c>
      <c r="U2485" s="11">
        <v>1.085</v>
      </c>
      <c r="V2485" s="12">
        <f>T2485*U2485</f>
        <v>54.174050000000001</v>
      </c>
      <c r="W2485" s="13">
        <v>0.19</v>
      </c>
      <c r="X2485" s="12">
        <f>V2485-(V2485/(1+W2485))</f>
        <v>8.6496382352941126</v>
      </c>
      <c r="Y2485" s="12">
        <f>V2485-X2485</f>
        <v>45.524411764705889</v>
      </c>
      <c r="Z2485" s="14">
        <v>75</v>
      </c>
      <c r="AA2485" s="2" t="str">
        <f>IF(V2485&gt;Z2485,"Yes","No")</f>
        <v>No</v>
      </c>
      <c r="AB2485" s="12">
        <f>V2485-Z2485</f>
        <v>-20.825949999999999</v>
      </c>
      <c r="AC2485" s="15" t="s">
        <v>130</v>
      </c>
      <c r="AD2485" s="15" t="s">
        <v>131</v>
      </c>
      <c r="AE2485" s="15" t="s">
        <v>350</v>
      </c>
      <c r="AF2485" s="12">
        <f>IF(AG2485="Rejected",0,IF(R2485="Corporate Card",0,V2485))</f>
        <v>0</v>
      </c>
      <c r="AG2485" s="15" t="s">
        <v>133</v>
      </c>
      <c r="AH2485" s="16">
        <v>45959</v>
      </c>
      <c r="AI2485" s="16">
        <v>45966</v>
      </c>
      <c r="AJ2485" s="16">
        <v>45969</v>
      </c>
      <c r="AK2485" s="17">
        <f>IF(AJ2485="","",AJ2485-AH2485)</f>
        <v>10</v>
      </c>
    </row>
    <row r="2486" spans="1:37">
      <c r="A2486" s="2" t="s">
        <v>2979</v>
      </c>
      <c r="B2486" s="2" t="s">
        <v>550</v>
      </c>
      <c r="C2486" s="2" t="s">
        <v>551</v>
      </c>
      <c r="D2486" s="2" t="s">
        <v>171</v>
      </c>
      <c r="E2486" s="2" t="s">
        <v>172</v>
      </c>
      <c r="F2486" s="2" t="s">
        <v>173</v>
      </c>
      <c r="G2486" s="2" t="s">
        <v>2980</v>
      </c>
      <c r="H2486" s="2" t="s">
        <v>803</v>
      </c>
      <c r="I2486" s="2" t="s">
        <v>619</v>
      </c>
      <c r="J2486" s="2" t="s">
        <v>381</v>
      </c>
      <c r="K2486" s="9">
        <v>45953</v>
      </c>
      <c r="L2486" s="9">
        <v>45961</v>
      </c>
      <c r="M2486" s="9">
        <v>45953</v>
      </c>
      <c r="N2486" s="2" t="s">
        <v>2764</v>
      </c>
      <c r="O2486" s="2" t="s">
        <v>52</v>
      </c>
      <c r="P2486" s="2" t="s">
        <v>620</v>
      </c>
      <c r="Q2486" s="2" t="s">
        <v>178</v>
      </c>
      <c r="R2486" s="2" t="s">
        <v>137</v>
      </c>
      <c r="S2486" s="2" t="s">
        <v>383</v>
      </c>
      <c r="T2486" s="10">
        <v>882.53</v>
      </c>
      <c r="U2486" s="11">
        <v>1</v>
      </c>
      <c r="V2486" s="12">
        <f>T2486*U2486</f>
        <v>882.53</v>
      </c>
      <c r="W2486" s="13">
        <v>0</v>
      </c>
      <c r="X2486" s="12">
        <f>V2486-(V2486/(1+W2486))</f>
        <v>0</v>
      </c>
      <c r="Y2486" s="12">
        <f>V2486-X2486</f>
        <v>882.53</v>
      </c>
      <c r="Z2486" s="14">
        <v>1400</v>
      </c>
      <c r="AA2486" s="2" t="str">
        <f>IF(V2486&gt;Z2486,"Yes","No")</f>
        <v>No</v>
      </c>
      <c r="AB2486" s="12">
        <f>V2486-Z2486</f>
        <v>-517.47</v>
      </c>
      <c r="AC2486" s="15" t="s">
        <v>131</v>
      </c>
      <c r="AD2486" s="15" t="s">
        <v>130</v>
      </c>
      <c r="AE2486" s="15" t="s">
        <v>858</v>
      </c>
      <c r="AF2486" s="12">
        <f>IF(AG2486="Rejected",0,IF(R2486="Corporate Card",0,V2486))</f>
        <v>882.53</v>
      </c>
      <c r="AG2486" s="15" t="s">
        <v>133</v>
      </c>
      <c r="AH2486" s="16">
        <v>45968</v>
      </c>
      <c r="AI2486" s="16">
        <v>45972</v>
      </c>
      <c r="AJ2486" s="16">
        <v>45983</v>
      </c>
      <c r="AK2486" s="17">
        <f>IF(AJ2486="","",AJ2486-AH2486)</f>
        <v>15</v>
      </c>
    </row>
    <row r="2487" spans="1:37">
      <c r="A2487" s="2" t="s">
        <v>2981</v>
      </c>
      <c r="B2487" s="2" t="s">
        <v>550</v>
      </c>
      <c r="C2487" s="2" t="s">
        <v>551</v>
      </c>
      <c r="D2487" s="2" t="s">
        <v>171</v>
      </c>
      <c r="E2487" s="2" t="s">
        <v>172</v>
      </c>
      <c r="F2487" s="2" t="s">
        <v>173</v>
      </c>
      <c r="G2487" s="2" t="s">
        <v>2980</v>
      </c>
      <c r="H2487" s="2" t="s">
        <v>803</v>
      </c>
      <c r="I2487" s="2" t="s">
        <v>619</v>
      </c>
      <c r="J2487" s="2" t="s">
        <v>381</v>
      </c>
      <c r="K2487" s="9">
        <v>45953</v>
      </c>
      <c r="L2487" s="9">
        <v>45961</v>
      </c>
      <c r="M2487" s="9">
        <v>45953</v>
      </c>
      <c r="N2487" s="2" t="s">
        <v>2764</v>
      </c>
      <c r="O2487" s="2" t="s">
        <v>64</v>
      </c>
      <c r="P2487" s="2" t="s">
        <v>135</v>
      </c>
      <c r="Q2487" s="2" t="s">
        <v>513</v>
      </c>
      <c r="R2487" s="2" t="s">
        <v>137</v>
      </c>
      <c r="S2487" s="2" t="s">
        <v>383</v>
      </c>
      <c r="T2487" s="10">
        <v>167.3</v>
      </c>
      <c r="U2487" s="11">
        <v>1</v>
      </c>
      <c r="V2487" s="12">
        <f>T2487*U2487</f>
        <v>167.3</v>
      </c>
      <c r="W2487" s="13">
        <v>0</v>
      </c>
      <c r="X2487" s="12">
        <f>V2487-(V2487/(1+W2487))</f>
        <v>0</v>
      </c>
      <c r="Y2487" s="12">
        <f>V2487-X2487</f>
        <v>167.3</v>
      </c>
      <c r="Z2487" s="14">
        <v>120</v>
      </c>
      <c r="AA2487" s="2" t="str">
        <f>IF(V2487&gt;Z2487,"Yes","No")</f>
        <v>Yes</v>
      </c>
      <c r="AB2487" s="12">
        <f>V2487-Z2487</f>
        <v>47.300000000000011</v>
      </c>
      <c r="AC2487" s="15" t="s">
        <v>130</v>
      </c>
      <c r="AD2487" s="15" t="s">
        <v>130</v>
      </c>
      <c r="AE2487" s="15" t="s">
        <v>858</v>
      </c>
      <c r="AF2487" s="12">
        <f>IF(AG2487="Rejected",0,IF(R2487="Corporate Card",0,V2487))</f>
        <v>167.3</v>
      </c>
      <c r="AG2487" s="15" t="s">
        <v>133</v>
      </c>
      <c r="AH2487" s="16">
        <v>45968</v>
      </c>
      <c r="AI2487" s="16">
        <v>45972</v>
      </c>
      <c r="AJ2487" s="16">
        <v>45983</v>
      </c>
      <c r="AK2487" s="17">
        <f>IF(AJ2487="","",AJ2487-AH2487)</f>
        <v>15</v>
      </c>
    </row>
    <row r="2488" spans="1:37">
      <c r="A2488" s="2" t="s">
        <v>2982</v>
      </c>
      <c r="B2488" s="2" t="s">
        <v>550</v>
      </c>
      <c r="C2488" s="2" t="s">
        <v>551</v>
      </c>
      <c r="D2488" s="2" t="s">
        <v>171</v>
      </c>
      <c r="E2488" s="2" t="s">
        <v>172</v>
      </c>
      <c r="F2488" s="2" t="s">
        <v>173</v>
      </c>
      <c r="G2488" s="2" t="s">
        <v>2980</v>
      </c>
      <c r="H2488" s="2" t="s">
        <v>803</v>
      </c>
      <c r="I2488" s="2" t="s">
        <v>619</v>
      </c>
      <c r="J2488" s="2" t="s">
        <v>381</v>
      </c>
      <c r="K2488" s="9">
        <v>45953</v>
      </c>
      <c r="L2488" s="9">
        <v>45961</v>
      </c>
      <c r="M2488" s="9">
        <v>45953</v>
      </c>
      <c r="N2488" s="2" t="s">
        <v>2764</v>
      </c>
      <c r="O2488" s="2" t="s">
        <v>58</v>
      </c>
      <c r="P2488" s="2" t="s">
        <v>142</v>
      </c>
      <c r="Q2488" s="2" t="s">
        <v>224</v>
      </c>
      <c r="R2488" s="2" t="s">
        <v>137</v>
      </c>
      <c r="S2488" s="2" t="s">
        <v>383</v>
      </c>
      <c r="T2488" s="10">
        <v>36.700000000000003</v>
      </c>
      <c r="U2488" s="11">
        <v>1</v>
      </c>
      <c r="V2488" s="12">
        <f>T2488*U2488</f>
        <v>36.700000000000003</v>
      </c>
      <c r="W2488" s="13">
        <v>0</v>
      </c>
      <c r="X2488" s="12">
        <f>V2488-(V2488/(1+W2488))</f>
        <v>0</v>
      </c>
      <c r="Y2488" s="12">
        <f>V2488-X2488</f>
        <v>36.700000000000003</v>
      </c>
      <c r="Z2488" s="14">
        <v>60</v>
      </c>
      <c r="AA2488" s="2" t="str">
        <f>IF(V2488&gt;Z2488,"Yes","No")</f>
        <v>No</v>
      </c>
      <c r="AB2488" s="12">
        <f>V2488-Z2488</f>
        <v>-23.299999999999997</v>
      </c>
      <c r="AC2488" s="15" t="s">
        <v>130</v>
      </c>
      <c r="AD2488" s="15" t="s">
        <v>130</v>
      </c>
      <c r="AE2488" s="15" t="s">
        <v>858</v>
      </c>
      <c r="AF2488" s="12">
        <f>IF(AG2488="Rejected",0,IF(R2488="Corporate Card",0,V2488))</f>
        <v>36.700000000000003</v>
      </c>
      <c r="AG2488" s="15" t="s">
        <v>133</v>
      </c>
      <c r="AH2488" s="16">
        <v>45968</v>
      </c>
      <c r="AI2488" s="16">
        <v>45972</v>
      </c>
      <c r="AJ2488" s="16">
        <v>45983</v>
      </c>
      <c r="AK2488" s="17">
        <f>IF(AJ2488="","",AJ2488-AH2488)</f>
        <v>15</v>
      </c>
    </row>
    <row r="2489" spans="1:37">
      <c r="A2489" s="2" t="s">
        <v>2983</v>
      </c>
      <c r="B2489" s="2" t="s">
        <v>550</v>
      </c>
      <c r="C2489" s="2" t="s">
        <v>551</v>
      </c>
      <c r="D2489" s="2" t="s">
        <v>171</v>
      </c>
      <c r="E2489" s="2" t="s">
        <v>172</v>
      </c>
      <c r="F2489" s="2" t="s">
        <v>173</v>
      </c>
      <c r="G2489" s="2" t="s">
        <v>2980</v>
      </c>
      <c r="H2489" s="2" t="s">
        <v>803</v>
      </c>
      <c r="I2489" s="2" t="s">
        <v>619</v>
      </c>
      <c r="J2489" s="2" t="s">
        <v>381</v>
      </c>
      <c r="K2489" s="9">
        <v>45953</v>
      </c>
      <c r="L2489" s="9">
        <v>45961</v>
      </c>
      <c r="M2489" s="9">
        <v>45953</v>
      </c>
      <c r="N2489" s="2" t="s">
        <v>2764</v>
      </c>
      <c r="O2489" s="2" t="s">
        <v>54</v>
      </c>
      <c r="P2489" s="2" t="s">
        <v>139</v>
      </c>
      <c r="Q2489" s="2" t="s">
        <v>140</v>
      </c>
      <c r="R2489" s="2" t="s">
        <v>149</v>
      </c>
      <c r="S2489" s="2" t="s">
        <v>383</v>
      </c>
      <c r="T2489" s="10">
        <v>31.6</v>
      </c>
      <c r="U2489" s="11">
        <v>1</v>
      </c>
      <c r="V2489" s="12">
        <f>T2489*U2489</f>
        <v>31.6</v>
      </c>
      <c r="W2489" s="13">
        <v>0</v>
      </c>
      <c r="X2489" s="12">
        <f>V2489-(V2489/(1+W2489))</f>
        <v>0</v>
      </c>
      <c r="Y2489" s="12">
        <f>V2489-X2489</f>
        <v>31.6</v>
      </c>
      <c r="Z2489" s="14">
        <v>25</v>
      </c>
      <c r="AA2489" s="2" t="str">
        <f>IF(V2489&gt;Z2489,"Yes","No")</f>
        <v>Yes</v>
      </c>
      <c r="AB2489" s="12">
        <f>V2489-Z2489</f>
        <v>6.6000000000000014</v>
      </c>
      <c r="AC2489" s="15" t="s">
        <v>130</v>
      </c>
      <c r="AD2489" s="15" t="s">
        <v>130</v>
      </c>
      <c r="AE2489" s="15" t="s">
        <v>858</v>
      </c>
      <c r="AF2489" s="12">
        <f>IF(AG2489="Rejected",0,IF(R2489="Corporate Card",0,V2489))</f>
        <v>31.6</v>
      </c>
      <c r="AG2489" s="15" t="s">
        <v>133</v>
      </c>
      <c r="AH2489" s="16">
        <v>45968</v>
      </c>
      <c r="AI2489" s="16">
        <v>45972</v>
      </c>
      <c r="AJ2489" s="16">
        <v>45983</v>
      </c>
      <c r="AK2489" s="17">
        <f>IF(AJ2489="","",AJ2489-AH2489)</f>
        <v>15</v>
      </c>
    </row>
    <row r="2490" spans="1:37">
      <c r="A2490" s="2" t="s">
        <v>2984</v>
      </c>
      <c r="B2490" s="2" t="s">
        <v>550</v>
      </c>
      <c r="C2490" s="2" t="s">
        <v>551</v>
      </c>
      <c r="D2490" s="2" t="s">
        <v>171</v>
      </c>
      <c r="E2490" s="2" t="s">
        <v>172</v>
      </c>
      <c r="F2490" s="2" t="s">
        <v>173</v>
      </c>
      <c r="G2490" s="2" t="s">
        <v>2980</v>
      </c>
      <c r="H2490" s="2" t="s">
        <v>803</v>
      </c>
      <c r="I2490" s="2" t="s">
        <v>619</v>
      </c>
      <c r="J2490" s="2" t="s">
        <v>381</v>
      </c>
      <c r="K2490" s="9">
        <v>45953</v>
      </c>
      <c r="L2490" s="9">
        <v>45961</v>
      </c>
      <c r="M2490" s="9">
        <v>45953</v>
      </c>
      <c r="N2490" s="2" t="s">
        <v>2764</v>
      </c>
      <c r="O2490" s="2" t="s">
        <v>56</v>
      </c>
      <c r="P2490" s="2" t="s">
        <v>165</v>
      </c>
      <c r="Q2490" s="2" t="s">
        <v>152</v>
      </c>
      <c r="R2490" s="2" t="s">
        <v>149</v>
      </c>
      <c r="S2490" s="2" t="s">
        <v>383</v>
      </c>
      <c r="T2490" s="10">
        <v>37.42</v>
      </c>
      <c r="U2490" s="11">
        <v>1</v>
      </c>
      <c r="V2490" s="12">
        <f>T2490*U2490</f>
        <v>37.42</v>
      </c>
      <c r="W2490" s="13">
        <v>0</v>
      </c>
      <c r="X2490" s="12">
        <f>V2490-(V2490/(1+W2490))</f>
        <v>0</v>
      </c>
      <c r="Y2490" s="12">
        <f>V2490-X2490</f>
        <v>37.42</v>
      </c>
      <c r="Z2490" s="14">
        <v>75</v>
      </c>
      <c r="AA2490" s="2" t="str">
        <f>IF(V2490&gt;Z2490,"Yes","No")</f>
        <v>No</v>
      </c>
      <c r="AB2490" s="12">
        <f>V2490-Z2490</f>
        <v>-37.58</v>
      </c>
      <c r="AC2490" s="15" t="s">
        <v>130</v>
      </c>
      <c r="AD2490" s="15" t="s">
        <v>130</v>
      </c>
      <c r="AE2490" s="15" t="s">
        <v>858</v>
      </c>
      <c r="AF2490" s="12">
        <f>IF(AG2490="Rejected",0,IF(R2490="Corporate Card",0,V2490))</f>
        <v>37.42</v>
      </c>
      <c r="AG2490" s="15" t="s">
        <v>133</v>
      </c>
      <c r="AH2490" s="16">
        <v>45968</v>
      </c>
      <c r="AI2490" s="16">
        <v>45972</v>
      </c>
      <c r="AJ2490" s="16">
        <v>45983</v>
      </c>
      <c r="AK2490" s="17">
        <f>IF(AJ2490="","",AJ2490-AH2490)</f>
        <v>15</v>
      </c>
    </row>
    <row r="2491" spans="1:37">
      <c r="A2491" s="2" t="s">
        <v>2985</v>
      </c>
      <c r="B2491" s="2" t="s">
        <v>550</v>
      </c>
      <c r="C2491" s="2" t="s">
        <v>551</v>
      </c>
      <c r="D2491" s="2" t="s">
        <v>171</v>
      </c>
      <c r="E2491" s="2" t="s">
        <v>172</v>
      </c>
      <c r="F2491" s="2" t="s">
        <v>173</v>
      </c>
      <c r="G2491" s="2" t="s">
        <v>2980</v>
      </c>
      <c r="H2491" s="2" t="s">
        <v>803</v>
      </c>
      <c r="I2491" s="2" t="s">
        <v>619</v>
      </c>
      <c r="J2491" s="2" t="s">
        <v>381</v>
      </c>
      <c r="K2491" s="9">
        <v>45953</v>
      </c>
      <c r="L2491" s="9">
        <v>45961</v>
      </c>
      <c r="M2491" s="9">
        <v>45953</v>
      </c>
      <c r="N2491" s="2" t="s">
        <v>2764</v>
      </c>
      <c r="O2491" s="2" t="s">
        <v>55</v>
      </c>
      <c r="P2491" s="2" t="s">
        <v>139</v>
      </c>
      <c r="Q2491" s="2" t="s">
        <v>154</v>
      </c>
      <c r="R2491" s="2" t="s">
        <v>128</v>
      </c>
      <c r="S2491" s="2" t="s">
        <v>383</v>
      </c>
      <c r="T2491" s="10">
        <v>16.05</v>
      </c>
      <c r="U2491" s="11">
        <v>1</v>
      </c>
      <c r="V2491" s="12">
        <f>T2491*U2491</f>
        <v>16.05</v>
      </c>
      <c r="W2491" s="13">
        <v>0</v>
      </c>
      <c r="X2491" s="12">
        <f>V2491-(V2491/(1+W2491))</f>
        <v>0</v>
      </c>
      <c r="Y2491" s="12">
        <f>V2491-X2491</f>
        <v>16.05</v>
      </c>
      <c r="Z2491" s="14">
        <v>35</v>
      </c>
      <c r="AA2491" s="2" t="str">
        <f>IF(V2491&gt;Z2491,"Yes","No")</f>
        <v>No</v>
      </c>
      <c r="AB2491" s="12">
        <f>V2491-Z2491</f>
        <v>-18.95</v>
      </c>
      <c r="AC2491" s="15" t="s">
        <v>130</v>
      </c>
      <c r="AD2491" s="15" t="s">
        <v>130</v>
      </c>
      <c r="AE2491" s="15" t="s">
        <v>858</v>
      </c>
      <c r="AF2491" s="12">
        <f>IF(AG2491="Rejected",0,IF(R2491="Corporate Card",0,V2491))</f>
        <v>0</v>
      </c>
      <c r="AG2491" s="15" t="s">
        <v>133</v>
      </c>
      <c r="AH2491" s="16">
        <v>45968</v>
      </c>
      <c r="AI2491" s="16">
        <v>45972</v>
      </c>
      <c r="AJ2491" s="16">
        <v>45983</v>
      </c>
      <c r="AK2491" s="17">
        <f>IF(AJ2491="","",AJ2491-AH2491)</f>
        <v>15</v>
      </c>
    </row>
    <row r="2492" spans="1:37">
      <c r="A2492" s="2" t="s">
        <v>2986</v>
      </c>
      <c r="B2492" s="2" t="s">
        <v>375</v>
      </c>
      <c r="C2492" s="2" t="s">
        <v>376</v>
      </c>
      <c r="D2492" s="2" t="s">
        <v>344</v>
      </c>
      <c r="E2492" s="2" t="s">
        <v>377</v>
      </c>
      <c r="F2492" s="2" t="s">
        <v>346</v>
      </c>
      <c r="G2492" s="2" t="s">
        <v>2939</v>
      </c>
      <c r="H2492" s="2" t="s">
        <v>748</v>
      </c>
      <c r="I2492" s="2" t="s">
        <v>123</v>
      </c>
      <c r="J2492" s="2" t="s">
        <v>124</v>
      </c>
      <c r="K2492" s="9">
        <v>45950</v>
      </c>
      <c r="L2492" s="9">
        <v>45958</v>
      </c>
      <c r="M2492" s="9">
        <v>45953</v>
      </c>
      <c r="N2492" s="2" t="s">
        <v>2764</v>
      </c>
      <c r="O2492" s="2" t="s">
        <v>54</v>
      </c>
      <c r="P2492" s="2" t="s">
        <v>139</v>
      </c>
      <c r="Q2492" s="2" t="s">
        <v>163</v>
      </c>
      <c r="R2492" s="2" t="s">
        <v>149</v>
      </c>
      <c r="S2492" s="2" t="s">
        <v>129</v>
      </c>
      <c r="T2492" s="10">
        <v>7.45</v>
      </c>
      <c r="U2492" s="11">
        <v>1.272</v>
      </c>
      <c r="V2492" s="12">
        <f>T2492*U2492</f>
        <v>9.4763999999999999</v>
      </c>
      <c r="W2492" s="13">
        <v>0.2</v>
      </c>
      <c r="X2492" s="12">
        <f>V2492-(V2492/(1+W2492))</f>
        <v>1.5793999999999997</v>
      </c>
      <c r="Y2492" s="12">
        <f>V2492-X2492</f>
        <v>7.8970000000000002</v>
      </c>
      <c r="Z2492" s="14">
        <v>25</v>
      </c>
      <c r="AA2492" s="2" t="str">
        <f>IF(V2492&gt;Z2492,"Yes","No")</f>
        <v>No</v>
      </c>
      <c r="AB2492" s="12">
        <f>V2492-Z2492</f>
        <v>-15.5236</v>
      </c>
      <c r="AC2492" s="15" t="s">
        <v>130</v>
      </c>
      <c r="AD2492" s="15" t="s">
        <v>131</v>
      </c>
      <c r="AE2492" s="15" t="s">
        <v>421</v>
      </c>
      <c r="AF2492" s="12">
        <f>IF(AG2492="Rejected",0,IF(R2492="Corporate Card",0,V2492))</f>
        <v>9.4763999999999999</v>
      </c>
      <c r="AG2492" s="15" t="s">
        <v>133</v>
      </c>
      <c r="AH2492" s="16">
        <v>45962</v>
      </c>
      <c r="AI2492" s="16">
        <v>45967</v>
      </c>
      <c r="AJ2492" s="16">
        <v>45974</v>
      </c>
      <c r="AK2492" s="17">
        <f>IF(AJ2492="","",AJ2492-AH2492)</f>
        <v>12</v>
      </c>
    </row>
    <row r="2493" spans="1:37">
      <c r="A2493" s="2" t="s">
        <v>2987</v>
      </c>
      <c r="B2493" s="2" t="s">
        <v>375</v>
      </c>
      <c r="C2493" s="2" t="s">
        <v>376</v>
      </c>
      <c r="D2493" s="2" t="s">
        <v>344</v>
      </c>
      <c r="E2493" s="2" t="s">
        <v>377</v>
      </c>
      <c r="F2493" s="2" t="s">
        <v>346</v>
      </c>
      <c r="G2493" s="2" t="s">
        <v>2939</v>
      </c>
      <c r="H2493" s="2" t="s">
        <v>748</v>
      </c>
      <c r="I2493" s="2" t="s">
        <v>123</v>
      </c>
      <c r="J2493" s="2" t="s">
        <v>124</v>
      </c>
      <c r="K2493" s="9">
        <v>45950</v>
      </c>
      <c r="L2493" s="9">
        <v>45958</v>
      </c>
      <c r="M2493" s="9">
        <v>45953</v>
      </c>
      <c r="N2493" s="2" t="s">
        <v>2764</v>
      </c>
      <c r="O2493" s="2" t="s">
        <v>56</v>
      </c>
      <c r="P2493" s="2" t="s">
        <v>245</v>
      </c>
      <c r="Q2493" s="2" t="s">
        <v>185</v>
      </c>
      <c r="R2493" s="2" t="s">
        <v>149</v>
      </c>
      <c r="S2493" s="2" t="s">
        <v>129</v>
      </c>
      <c r="T2493" s="10">
        <v>21.03</v>
      </c>
      <c r="U2493" s="11">
        <v>1.272</v>
      </c>
      <c r="V2493" s="12">
        <f>T2493*U2493</f>
        <v>26.750160000000001</v>
      </c>
      <c r="W2493" s="13">
        <v>0.2</v>
      </c>
      <c r="X2493" s="12">
        <f>V2493-(V2493/(1+W2493))</f>
        <v>4.458359999999999</v>
      </c>
      <c r="Y2493" s="12">
        <f>V2493-X2493</f>
        <v>22.291800000000002</v>
      </c>
      <c r="Z2493" s="14">
        <v>75</v>
      </c>
      <c r="AA2493" s="2" t="str">
        <f>IF(V2493&gt;Z2493,"Yes","No")</f>
        <v>No</v>
      </c>
      <c r="AB2493" s="12">
        <f>V2493-Z2493</f>
        <v>-48.249839999999999</v>
      </c>
      <c r="AC2493" s="15" t="s">
        <v>131</v>
      </c>
      <c r="AD2493" s="15" t="s">
        <v>131</v>
      </c>
      <c r="AE2493" s="15" t="s">
        <v>421</v>
      </c>
      <c r="AF2493" s="12">
        <f>IF(AG2493="Rejected",0,IF(R2493="Corporate Card",0,V2493))</f>
        <v>26.750160000000001</v>
      </c>
      <c r="AG2493" s="15" t="s">
        <v>133</v>
      </c>
      <c r="AH2493" s="16">
        <v>45962</v>
      </c>
      <c r="AI2493" s="16">
        <v>45967</v>
      </c>
      <c r="AJ2493" s="16">
        <v>45974</v>
      </c>
      <c r="AK2493" s="17">
        <f>IF(AJ2493="","",AJ2493-AH2493)</f>
        <v>12</v>
      </c>
    </row>
    <row r="2494" spans="1:37">
      <c r="A2494" s="2" t="s">
        <v>2988</v>
      </c>
      <c r="B2494" s="2" t="s">
        <v>375</v>
      </c>
      <c r="C2494" s="2" t="s">
        <v>376</v>
      </c>
      <c r="D2494" s="2" t="s">
        <v>344</v>
      </c>
      <c r="E2494" s="2" t="s">
        <v>377</v>
      </c>
      <c r="F2494" s="2" t="s">
        <v>346</v>
      </c>
      <c r="G2494" s="2" t="s">
        <v>2939</v>
      </c>
      <c r="H2494" s="2" t="s">
        <v>748</v>
      </c>
      <c r="I2494" s="2" t="s">
        <v>123</v>
      </c>
      <c r="J2494" s="2" t="s">
        <v>124</v>
      </c>
      <c r="K2494" s="9">
        <v>45950</v>
      </c>
      <c r="L2494" s="9">
        <v>45958</v>
      </c>
      <c r="M2494" s="9">
        <v>45953</v>
      </c>
      <c r="N2494" s="2" t="s">
        <v>2764</v>
      </c>
      <c r="O2494" s="2" t="s">
        <v>55</v>
      </c>
      <c r="P2494" s="2" t="s">
        <v>139</v>
      </c>
      <c r="Q2494" s="2" t="s">
        <v>154</v>
      </c>
      <c r="R2494" s="2" t="s">
        <v>128</v>
      </c>
      <c r="S2494" s="2" t="s">
        <v>129</v>
      </c>
      <c r="T2494" s="10">
        <v>19.22</v>
      </c>
      <c r="U2494" s="11">
        <v>1.272</v>
      </c>
      <c r="V2494" s="12">
        <f>T2494*U2494</f>
        <v>24.447839999999999</v>
      </c>
      <c r="W2494" s="13">
        <v>0.2</v>
      </c>
      <c r="X2494" s="12">
        <f>V2494-(V2494/(1+W2494))</f>
        <v>4.0746399999999987</v>
      </c>
      <c r="Y2494" s="12">
        <f>V2494-X2494</f>
        <v>20.373200000000001</v>
      </c>
      <c r="Z2494" s="14">
        <v>35</v>
      </c>
      <c r="AA2494" s="2" t="str">
        <f>IF(V2494&gt;Z2494,"Yes","No")</f>
        <v>No</v>
      </c>
      <c r="AB2494" s="12">
        <f>V2494-Z2494</f>
        <v>-10.552160000000001</v>
      </c>
      <c r="AC2494" s="15" t="s">
        <v>130</v>
      </c>
      <c r="AD2494" s="15" t="s">
        <v>131</v>
      </c>
      <c r="AE2494" s="15" t="s">
        <v>421</v>
      </c>
      <c r="AF2494" s="12">
        <f>IF(AG2494="Rejected",0,IF(R2494="Corporate Card",0,V2494))</f>
        <v>0</v>
      </c>
      <c r="AG2494" s="15" t="s">
        <v>133</v>
      </c>
      <c r="AH2494" s="16">
        <v>45962</v>
      </c>
      <c r="AI2494" s="16">
        <v>45967</v>
      </c>
      <c r="AJ2494" s="16">
        <v>45974</v>
      </c>
      <c r="AK2494" s="17">
        <f>IF(AJ2494="","",AJ2494-AH2494)</f>
        <v>12</v>
      </c>
    </row>
    <row r="2495" spans="1:37">
      <c r="A2495" s="2" t="s">
        <v>2989</v>
      </c>
      <c r="B2495" s="2" t="s">
        <v>863</v>
      </c>
      <c r="C2495" s="2" t="s">
        <v>864</v>
      </c>
      <c r="D2495" s="2" t="s">
        <v>865</v>
      </c>
      <c r="E2495" s="2" t="s">
        <v>866</v>
      </c>
      <c r="F2495" s="2" t="s">
        <v>867</v>
      </c>
      <c r="G2495" s="2" t="s">
        <v>2967</v>
      </c>
      <c r="H2495" s="2" t="s">
        <v>122</v>
      </c>
      <c r="I2495" s="2" t="s">
        <v>194</v>
      </c>
      <c r="J2495" s="2" t="s">
        <v>195</v>
      </c>
      <c r="K2495" s="9">
        <v>45952</v>
      </c>
      <c r="L2495" s="9">
        <v>45958</v>
      </c>
      <c r="M2495" s="9">
        <v>45953</v>
      </c>
      <c r="N2495" s="2" t="s">
        <v>2764</v>
      </c>
      <c r="O2495" s="2" t="s">
        <v>58</v>
      </c>
      <c r="P2495" s="2" t="s">
        <v>142</v>
      </c>
      <c r="Q2495" s="2" t="s">
        <v>224</v>
      </c>
      <c r="R2495" s="2" t="s">
        <v>149</v>
      </c>
      <c r="S2495" s="2" t="s">
        <v>198</v>
      </c>
      <c r="T2495" s="10">
        <v>30.57</v>
      </c>
      <c r="U2495" s="11">
        <v>1.085</v>
      </c>
      <c r="V2495" s="12">
        <f>T2495*U2495</f>
        <v>33.16845</v>
      </c>
      <c r="W2495" s="13">
        <v>0.19</v>
      </c>
      <c r="X2495" s="12">
        <f>V2495-(V2495/(1+W2495))</f>
        <v>5.2958029411764684</v>
      </c>
      <c r="Y2495" s="12">
        <f>V2495-X2495</f>
        <v>27.872647058823532</v>
      </c>
      <c r="Z2495" s="14">
        <v>60</v>
      </c>
      <c r="AA2495" s="2" t="str">
        <f>IF(V2495&gt;Z2495,"Yes","No")</f>
        <v>No</v>
      </c>
      <c r="AB2495" s="12">
        <f>V2495-Z2495</f>
        <v>-26.83155</v>
      </c>
      <c r="AC2495" s="15" t="s">
        <v>130</v>
      </c>
      <c r="AD2495" s="15" t="s">
        <v>131</v>
      </c>
      <c r="AE2495" s="15" t="s">
        <v>858</v>
      </c>
      <c r="AF2495" s="12">
        <f>IF(AG2495="Rejected",0,IF(R2495="Corporate Card",0,V2495))</f>
        <v>33.16845</v>
      </c>
      <c r="AG2495" s="15" t="s">
        <v>133</v>
      </c>
      <c r="AH2495" s="16">
        <v>45959</v>
      </c>
      <c r="AI2495" s="16">
        <v>45963</v>
      </c>
      <c r="AJ2495" s="16">
        <v>45975</v>
      </c>
      <c r="AK2495" s="17">
        <f>IF(AJ2495="","",AJ2495-AH2495)</f>
        <v>16</v>
      </c>
    </row>
    <row r="2496" spans="1:37">
      <c r="A2496" s="2" t="s">
        <v>2990</v>
      </c>
      <c r="B2496" s="2" t="s">
        <v>863</v>
      </c>
      <c r="C2496" s="2" t="s">
        <v>864</v>
      </c>
      <c r="D2496" s="2" t="s">
        <v>865</v>
      </c>
      <c r="E2496" s="2" t="s">
        <v>866</v>
      </c>
      <c r="F2496" s="2" t="s">
        <v>867</v>
      </c>
      <c r="G2496" s="2" t="s">
        <v>2967</v>
      </c>
      <c r="H2496" s="2" t="s">
        <v>122</v>
      </c>
      <c r="I2496" s="2" t="s">
        <v>194</v>
      </c>
      <c r="J2496" s="2" t="s">
        <v>195</v>
      </c>
      <c r="K2496" s="9">
        <v>45952</v>
      </c>
      <c r="L2496" s="9">
        <v>45958</v>
      </c>
      <c r="M2496" s="9">
        <v>45953</v>
      </c>
      <c r="N2496" s="2" t="s">
        <v>2764</v>
      </c>
      <c r="O2496" s="2" t="s">
        <v>53</v>
      </c>
      <c r="P2496" s="2" t="s">
        <v>467</v>
      </c>
      <c r="Q2496" s="2" t="s">
        <v>209</v>
      </c>
      <c r="R2496" s="2" t="s">
        <v>128</v>
      </c>
      <c r="S2496" s="2" t="s">
        <v>198</v>
      </c>
      <c r="T2496" s="10">
        <v>796.4</v>
      </c>
      <c r="U2496" s="11">
        <v>1.085</v>
      </c>
      <c r="V2496" s="12">
        <f>T2496*U2496</f>
        <v>864.09399999999994</v>
      </c>
      <c r="W2496" s="13">
        <v>0.19</v>
      </c>
      <c r="X2496" s="12">
        <f>V2496-(V2496/(1+W2496))</f>
        <v>137.96458823529406</v>
      </c>
      <c r="Y2496" s="12">
        <f>V2496-X2496</f>
        <v>726.12941176470588</v>
      </c>
      <c r="Z2496" s="14">
        <v>1680</v>
      </c>
      <c r="AA2496" s="2" t="str">
        <f>IF(V2496&gt;Z2496,"Yes","No")</f>
        <v>No</v>
      </c>
      <c r="AB2496" s="12">
        <f>V2496-Z2496</f>
        <v>-815.90600000000006</v>
      </c>
      <c r="AC2496" s="15" t="s">
        <v>130</v>
      </c>
      <c r="AD2496" s="15" t="s">
        <v>131</v>
      </c>
      <c r="AE2496" s="15" t="s">
        <v>858</v>
      </c>
      <c r="AF2496" s="12">
        <f>IF(AG2496="Rejected",0,IF(R2496="Corporate Card",0,V2496))</f>
        <v>0</v>
      </c>
      <c r="AG2496" s="15" t="s">
        <v>133</v>
      </c>
      <c r="AH2496" s="16">
        <v>45959</v>
      </c>
      <c r="AI2496" s="16">
        <v>45963</v>
      </c>
      <c r="AJ2496" s="16">
        <v>45975</v>
      </c>
      <c r="AK2496" s="17">
        <f>IF(AJ2496="","",AJ2496-AH2496)</f>
        <v>16</v>
      </c>
    </row>
    <row r="2497" spans="1:37">
      <c r="A2497" s="2" t="s">
        <v>2991</v>
      </c>
      <c r="B2497" s="2" t="s">
        <v>863</v>
      </c>
      <c r="C2497" s="2" t="s">
        <v>864</v>
      </c>
      <c r="D2497" s="2" t="s">
        <v>865</v>
      </c>
      <c r="E2497" s="2" t="s">
        <v>866</v>
      </c>
      <c r="F2497" s="2" t="s">
        <v>867</v>
      </c>
      <c r="G2497" s="2" t="s">
        <v>2967</v>
      </c>
      <c r="H2497" s="2" t="s">
        <v>122</v>
      </c>
      <c r="I2497" s="2" t="s">
        <v>194</v>
      </c>
      <c r="J2497" s="2" t="s">
        <v>195</v>
      </c>
      <c r="K2497" s="9">
        <v>45952</v>
      </c>
      <c r="L2497" s="9">
        <v>45958</v>
      </c>
      <c r="M2497" s="9">
        <v>45953</v>
      </c>
      <c r="N2497" s="2" t="s">
        <v>2764</v>
      </c>
      <c r="O2497" s="2" t="s">
        <v>65</v>
      </c>
      <c r="P2497" s="2" t="s">
        <v>211</v>
      </c>
      <c r="Q2497" s="2" t="s">
        <v>364</v>
      </c>
      <c r="R2497" s="2" t="s">
        <v>149</v>
      </c>
      <c r="S2497" s="2" t="s">
        <v>198</v>
      </c>
      <c r="T2497" s="10">
        <v>47.95</v>
      </c>
      <c r="U2497" s="11">
        <v>1.085</v>
      </c>
      <c r="V2497" s="12">
        <f>T2497*U2497</f>
        <v>52.025750000000002</v>
      </c>
      <c r="W2497" s="13">
        <v>0.19</v>
      </c>
      <c r="X2497" s="12">
        <f>V2497-(V2497/(1+W2497))</f>
        <v>8.3066323529411719</v>
      </c>
      <c r="Y2497" s="12">
        <f>V2497-X2497</f>
        <v>43.71911764705883</v>
      </c>
      <c r="Z2497" s="14">
        <v>55</v>
      </c>
      <c r="AA2497" s="2" t="str">
        <f>IF(V2497&gt;Z2497,"Yes","No")</f>
        <v>No</v>
      </c>
      <c r="AB2497" s="12">
        <f>V2497-Z2497</f>
        <v>-2.9742499999999978</v>
      </c>
      <c r="AC2497" s="15" t="s">
        <v>130</v>
      </c>
      <c r="AD2497" s="15" t="s">
        <v>131</v>
      </c>
      <c r="AE2497" s="15" t="s">
        <v>858</v>
      </c>
      <c r="AF2497" s="12">
        <f>IF(AG2497="Rejected",0,IF(R2497="Corporate Card",0,V2497))</f>
        <v>52.025750000000002</v>
      </c>
      <c r="AG2497" s="15" t="s">
        <v>133</v>
      </c>
      <c r="AH2497" s="16">
        <v>45959</v>
      </c>
      <c r="AI2497" s="16">
        <v>45963</v>
      </c>
      <c r="AJ2497" s="16">
        <v>45975</v>
      </c>
      <c r="AK2497" s="17">
        <f>IF(AJ2497="","",AJ2497-AH2497)</f>
        <v>16</v>
      </c>
    </row>
    <row r="2498" spans="1:37">
      <c r="A2498" s="2" t="s">
        <v>2992</v>
      </c>
      <c r="B2498" s="2" t="s">
        <v>863</v>
      </c>
      <c r="C2498" s="2" t="s">
        <v>864</v>
      </c>
      <c r="D2498" s="2" t="s">
        <v>865</v>
      </c>
      <c r="E2498" s="2" t="s">
        <v>866</v>
      </c>
      <c r="F2498" s="2" t="s">
        <v>867</v>
      </c>
      <c r="G2498" s="2" t="s">
        <v>2967</v>
      </c>
      <c r="H2498" s="2" t="s">
        <v>122</v>
      </c>
      <c r="I2498" s="2" t="s">
        <v>194</v>
      </c>
      <c r="J2498" s="2" t="s">
        <v>195</v>
      </c>
      <c r="K2498" s="9">
        <v>45952</v>
      </c>
      <c r="L2498" s="9">
        <v>45958</v>
      </c>
      <c r="M2498" s="9">
        <v>45953</v>
      </c>
      <c r="N2498" s="2" t="s">
        <v>2764</v>
      </c>
      <c r="O2498" s="2" t="s">
        <v>54</v>
      </c>
      <c r="P2498" s="2" t="s">
        <v>139</v>
      </c>
      <c r="Q2498" s="2" t="s">
        <v>214</v>
      </c>
      <c r="R2498" s="2" t="s">
        <v>149</v>
      </c>
      <c r="S2498" s="2" t="s">
        <v>198</v>
      </c>
      <c r="T2498" s="10">
        <v>9.16</v>
      </c>
      <c r="U2498" s="11">
        <v>1.085</v>
      </c>
      <c r="V2498" s="12">
        <f>T2498*U2498</f>
        <v>9.9385999999999992</v>
      </c>
      <c r="W2498" s="13">
        <v>0.19</v>
      </c>
      <c r="X2498" s="12">
        <f>V2498-(V2498/(1+W2498))</f>
        <v>1.5868352941176465</v>
      </c>
      <c r="Y2498" s="12">
        <f>V2498-X2498</f>
        <v>8.3517647058823528</v>
      </c>
      <c r="Z2498" s="14">
        <v>25</v>
      </c>
      <c r="AA2498" s="2" t="str">
        <f>IF(V2498&gt;Z2498,"Yes","No")</f>
        <v>No</v>
      </c>
      <c r="AB2498" s="12">
        <f>V2498-Z2498</f>
        <v>-15.061400000000001</v>
      </c>
      <c r="AC2498" s="15" t="s">
        <v>130</v>
      </c>
      <c r="AD2498" s="15" t="s">
        <v>131</v>
      </c>
      <c r="AE2498" s="15" t="s">
        <v>858</v>
      </c>
      <c r="AF2498" s="12">
        <f>IF(AG2498="Rejected",0,IF(R2498="Corporate Card",0,V2498))</f>
        <v>9.9385999999999992</v>
      </c>
      <c r="AG2498" s="15" t="s">
        <v>133</v>
      </c>
      <c r="AH2498" s="16">
        <v>45959</v>
      </c>
      <c r="AI2498" s="16">
        <v>45963</v>
      </c>
      <c r="AJ2498" s="16">
        <v>45975</v>
      </c>
      <c r="AK2498" s="17">
        <f>IF(AJ2498="","",AJ2498-AH2498)</f>
        <v>16</v>
      </c>
    </row>
    <row r="2499" spans="1:37">
      <c r="A2499" s="2" t="s">
        <v>2993</v>
      </c>
      <c r="B2499" s="2" t="s">
        <v>863</v>
      </c>
      <c r="C2499" s="2" t="s">
        <v>864</v>
      </c>
      <c r="D2499" s="2" t="s">
        <v>865</v>
      </c>
      <c r="E2499" s="2" t="s">
        <v>866</v>
      </c>
      <c r="F2499" s="2" t="s">
        <v>867</v>
      </c>
      <c r="G2499" s="2" t="s">
        <v>2967</v>
      </c>
      <c r="H2499" s="2" t="s">
        <v>122</v>
      </c>
      <c r="I2499" s="2" t="s">
        <v>194</v>
      </c>
      <c r="J2499" s="2" t="s">
        <v>195</v>
      </c>
      <c r="K2499" s="9">
        <v>45952</v>
      </c>
      <c r="L2499" s="9">
        <v>45958</v>
      </c>
      <c r="M2499" s="9">
        <v>45953</v>
      </c>
      <c r="N2499" s="2" t="s">
        <v>2764</v>
      </c>
      <c r="O2499" s="2" t="s">
        <v>56</v>
      </c>
      <c r="P2499" s="2" t="s">
        <v>165</v>
      </c>
      <c r="Q2499" s="2" t="s">
        <v>166</v>
      </c>
      <c r="R2499" s="2" t="s">
        <v>128</v>
      </c>
      <c r="S2499" s="2" t="s">
        <v>198</v>
      </c>
      <c r="T2499" s="10">
        <v>45.96</v>
      </c>
      <c r="U2499" s="11">
        <v>1.085</v>
      </c>
      <c r="V2499" s="12">
        <f>T2499*U2499</f>
        <v>49.866599999999998</v>
      </c>
      <c r="W2499" s="13">
        <v>0.19</v>
      </c>
      <c r="X2499" s="12">
        <f>V2499-(V2499/(1+W2499))</f>
        <v>7.9618941176470557</v>
      </c>
      <c r="Y2499" s="12">
        <f>V2499-X2499</f>
        <v>41.904705882352943</v>
      </c>
      <c r="Z2499" s="14">
        <v>75</v>
      </c>
      <c r="AA2499" s="2" t="str">
        <f>IF(V2499&gt;Z2499,"Yes","No")</f>
        <v>No</v>
      </c>
      <c r="AB2499" s="12">
        <f>V2499-Z2499</f>
        <v>-25.133400000000002</v>
      </c>
      <c r="AC2499" s="15" t="s">
        <v>130</v>
      </c>
      <c r="AD2499" s="15" t="s">
        <v>131</v>
      </c>
      <c r="AE2499" s="15" t="s">
        <v>858</v>
      </c>
      <c r="AF2499" s="12">
        <f>IF(AG2499="Rejected",0,IF(R2499="Corporate Card",0,V2499))</f>
        <v>0</v>
      </c>
      <c r="AG2499" s="15" t="s">
        <v>133</v>
      </c>
      <c r="AH2499" s="16">
        <v>45959</v>
      </c>
      <c r="AI2499" s="16">
        <v>45963</v>
      </c>
      <c r="AJ2499" s="16">
        <v>45975</v>
      </c>
      <c r="AK2499" s="17">
        <f>IF(AJ2499="","",AJ2499-AH2499)</f>
        <v>16</v>
      </c>
    </row>
    <row r="2500" spans="1:37">
      <c r="A2500" s="2" t="s">
        <v>2994</v>
      </c>
      <c r="B2500" s="2" t="s">
        <v>116</v>
      </c>
      <c r="C2500" s="2" t="s">
        <v>117</v>
      </c>
      <c r="D2500" s="2" t="s">
        <v>118</v>
      </c>
      <c r="E2500" s="2" t="s">
        <v>119</v>
      </c>
      <c r="F2500" s="2" t="s">
        <v>120</v>
      </c>
      <c r="G2500" s="2" t="s">
        <v>2974</v>
      </c>
      <c r="H2500" s="2" t="s">
        <v>379</v>
      </c>
      <c r="I2500" s="2" t="s">
        <v>194</v>
      </c>
      <c r="J2500" s="2" t="s">
        <v>195</v>
      </c>
      <c r="K2500" s="9">
        <v>45953</v>
      </c>
      <c r="L2500" s="9">
        <v>45956</v>
      </c>
      <c r="M2500" s="9">
        <v>45954</v>
      </c>
      <c r="N2500" s="2" t="s">
        <v>2764</v>
      </c>
      <c r="O2500" s="2" t="s">
        <v>53</v>
      </c>
      <c r="P2500" s="2" t="s">
        <v>145</v>
      </c>
      <c r="Q2500" s="2" t="s">
        <v>146</v>
      </c>
      <c r="R2500" s="2" t="s">
        <v>128</v>
      </c>
      <c r="S2500" s="2" t="s">
        <v>198</v>
      </c>
      <c r="T2500" s="10">
        <v>643.91999999999996</v>
      </c>
      <c r="U2500" s="11">
        <v>1.085</v>
      </c>
      <c r="V2500" s="12">
        <f>T2500*U2500</f>
        <v>698.65319999999997</v>
      </c>
      <c r="W2500" s="13">
        <v>0.19</v>
      </c>
      <c r="X2500" s="12">
        <f>V2500-(V2500/(1+W2500))</f>
        <v>111.54967058823524</v>
      </c>
      <c r="Y2500" s="12">
        <f>V2500-X2500</f>
        <v>587.10352941176473</v>
      </c>
      <c r="Z2500" s="14">
        <v>840</v>
      </c>
      <c r="AA2500" s="2" t="str">
        <f>IF(V2500&gt;Z2500,"Yes","No")</f>
        <v>No</v>
      </c>
      <c r="AB2500" s="12">
        <f>V2500-Z2500</f>
        <v>-141.34680000000003</v>
      </c>
      <c r="AC2500" s="15" t="s">
        <v>130</v>
      </c>
      <c r="AD2500" s="15" t="s">
        <v>131</v>
      </c>
      <c r="AE2500" s="15" t="s">
        <v>350</v>
      </c>
      <c r="AF2500" s="12">
        <f>IF(AG2500="Rejected",0,IF(R2500="Corporate Card",0,V2500))</f>
        <v>0</v>
      </c>
      <c r="AG2500" s="15" t="s">
        <v>133</v>
      </c>
      <c r="AH2500" s="16">
        <v>45959</v>
      </c>
      <c r="AI2500" s="16">
        <v>45966</v>
      </c>
      <c r="AJ2500" s="16">
        <v>45969</v>
      </c>
      <c r="AK2500" s="17">
        <f>IF(AJ2500="","",AJ2500-AH2500)</f>
        <v>10</v>
      </c>
    </row>
    <row r="2501" spans="1:37">
      <c r="A2501" s="2" t="s">
        <v>2995</v>
      </c>
      <c r="B2501" s="2" t="s">
        <v>116</v>
      </c>
      <c r="C2501" s="2" t="s">
        <v>117</v>
      </c>
      <c r="D2501" s="2" t="s">
        <v>118</v>
      </c>
      <c r="E2501" s="2" t="s">
        <v>119</v>
      </c>
      <c r="F2501" s="2" t="s">
        <v>120</v>
      </c>
      <c r="G2501" s="2" t="s">
        <v>2974</v>
      </c>
      <c r="H2501" s="2" t="s">
        <v>379</v>
      </c>
      <c r="I2501" s="2" t="s">
        <v>194</v>
      </c>
      <c r="J2501" s="2" t="s">
        <v>195</v>
      </c>
      <c r="K2501" s="9">
        <v>45953</v>
      </c>
      <c r="L2501" s="9">
        <v>45956</v>
      </c>
      <c r="M2501" s="9">
        <v>45954</v>
      </c>
      <c r="N2501" s="2" t="s">
        <v>2764</v>
      </c>
      <c r="O2501" s="2" t="s">
        <v>65</v>
      </c>
      <c r="P2501" s="2" t="s">
        <v>211</v>
      </c>
      <c r="Q2501" s="2" t="s">
        <v>460</v>
      </c>
      <c r="R2501" s="2" t="s">
        <v>128</v>
      </c>
      <c r="S2501" s="2" t="s">
        <v>198</v>
      </c>
      <c r="T2501" s="10">
        <v>42.92</v>
      </c>
      <c r="U2501" s="11">
        <v>1.085</v>
      </c>
      <c r="V2501" s="12">
        <f>T2501*U2501</f>
        <v>46.568199999999997</v>
      </c>
      <c r="W2501" s="13">
        <v>0.19</v>
      </c>
      <c r="X2501" s="12">
        <f>V2501-(V2501/(1+W2501))</f>
        <v>7.4352588235294093</v>
      </c>
      <c r="Y2501" s="12">
        <f>V2501-X2501</f>
        <v>39.132941176470588</v>
      </c>
      <c r="Z2501" s="14">
        <v>55</v>
      </c>
      <c r="AA2501" s="2" t="str">
        <f>IF(V2501&gt;Z2501,"Yes","No")</f>
        <v>No</v>
      </c>
      <c r="AB2501" s="12">
        <f>V2501-Z2501</f>
        <v>-8.4318000000000026</v>
      </c>
      <c r="AC2501" s="15" t="s">
        <v>130</v>
      </c>
      <c r="AD2501" s="15" t="s">
        <v>131</v>
      </c>
      <c r="AE2501" s="15" t="s">
        <v>350</v>
      </c>
      <c r="AF2501" s="12">
        <f>IF(AG2501="Rejected",0,IF(R2501="Corporate Card",0,V2501))</f>
        <v>0</v>
      </c>
      <c r="AG2501" s="15" t="s">
        <v>133</v>
      </c>
      <c r="AH2501" s="16">
        <v>45959</v>
      </c>
      <c r="AI2501" s="16">
        <v>45966</v>
      </c>
      <c r="AJ2501" s="16">
        <v>45969</v>
      </c>
      <c r="AK2501" s="17">
        <f>IF(AJ2501="","",AJ2501-AH2501)</f>
        <v>10</v>
      </c>
    </row>
    <row r="2502" spans="1:37">
      <c r="A2502" s="2" t="s">
        <v>2996</v>
      </c>
      <c r="B2502" s="2" t="s">
        <v>116</v>
      </c>
      <c r="C2502" s="2" t="s">
        <v>117</v>
      </c>
      <c r="D2502" s="2" t="s">
        <v>118</v>
      </c>
      <c r="E2502" s="2" t="s">
        <v>119</v>
      </c>
      <c r="F2502" s="2" t="s">
        <v>120</v>
      </c>
      <c r="G2502" s="2" t="s">
        <v>2974</v>
      </c>
      <c r="H2502" s="2" t="s">
        <v>379</v>
      </c>
      <c r="I2502" s="2" t="s">
        <v>194</v>
      </c>
      <c r="J2502" s="2" t="s">
        <v>195</v>
      </c>
      <c r="K2502" s="9">
        <v>45953</v>
      </c>
      <c r="L2502" s="9">
        <v>45956</v>
      </c>
      <c r="M2502" s="9">
        <v>45954</v>
      </c>
      <c r="N2502" s="2" t="s">
        <v>2764</v>
      </c>
      <c r="O2502" s="2" t="s">
        <v>56</v>
      </c>
      <c r="P2502" s="2" t="s">
        <v>245</v>
      </c>
      <c r="Q2502" s="2" t="s">
        <v>152</v>
      </c>
      <c r="R2502" s="2" t="s">
        <v>128</v>
      </c>
      <c r="S2502" s="2" t="s">
        <v>198</v>
      </c>
      <c r="T2502" s="10">
        <v>41.17</v>
      </c>
      <c r="U2502" s="11">
        <v>1.085</v>
      </c>
      <c r="V2502" s="12">
        <f>T2502*U2502</f>
        <v>44.669449999999998</v>
      </c>
      <c r="W2502" s="13">
        <v>0.19</v>
      </c>
      <c r="X2502" s="12">
        <f>V2502-(V2502/(1+W2502))</f>
        <v>7.1320970588235255</v>
      </c>
      <c r="Y2502" s="12">
        <f>V2502-X2502</f>
        <v>37.537352941176472</v>
      </c>
      <c r="Z2502" s="14">
        <v>75</v>
      </c>
      <c r="AA2502" s="2" t="str">
        <f>IF(V2502&gt;Z2502,"Yes","No")</f>
        <v>No</v>
      </c>
      <c r="AB2502" s="12">
        <f>V2502-Z2502</f>
        <v>-30.330550000000002</v>
      </c>
      <c r="AC2502" s="15" t="s">
        <v>130</v>
      </c>
      <c r="AD2502" s="15" t="s">
        <v>131</v>
      </c>
      <c r="AE2502" s="15" t="s">
        <v>350</v>
      </c>
      <c r="AF2502" s="12">
        <f>IF(AG2502="Rejected",0,IF(R2502="Corporate Card",0,V2502))</f>
        <v>0</v>
      </c>
      <c r="AG2502" s="15" t="s">
        <v>133</v>
      </c>
      <c r="AH2502" s="16">
        <v>45959</v>
      </c>
      <c r="AI2502" s="16">
        <v>45966</v>
      </c>
      <c r="AJ2502" s="16">
        <v>45969</v>
      </c>
      <c r="AK2502" s="17">
        <f>IF(AJ2502="","",AJ2502-AH2502)</f>
        <v>10</v>
      </c>
    </row>
    <row r="2503" spans="1:37">
      <c r="A2503" s="2" t="s">
        <v>2997</v>
      </c>
      <c r="B2503" s="2" t="s">
        <v>116</v>
      </c>
      <c r="C2503" s="2" t="s">
        <v>117</v>
      </c>
      <c r="D2503" s="2" t="s">
        <v>118</v>
      </c>
      <c r="E2503" s="2" t="s">
        <v>119</v>
      </c>
      <c r="F2503" s="2" t="s">
        <v>120</v>
      </c>
      <c r="G2503" s="2" t="s">
        <v>2974</v>
      </c>
      <c r="H2503" s="2" t="s">
        <v>379</v>
      </c>
      <c r="I2503" s="2" t="s">
        <v>194</v>
      </c>
      <c r="J2503" s="2" t="s">
        <v>195</v>
      </c>
      <c r="K2503" s="9">
        <v>45953</v>
      </c>
      <c r="L2503" s="9">
        <v>45956</v>
      </c>
      <c r="M2503" s="9">
        <v>45954</v>
      </c>
      <c r="N2503" s="2" t="s">
        <v>2764</v>
      </c>
      <c r="O2503" s="2" t="s">
        <v>55</v>
      </c>
      <c r="P2503" s="2" t="s">
        <v>139</v>
      </c>
      <c r="Q2503" s="2" t="s">
        <v>217</v>
      </c>
      <c r="R2503" s="2" t="s">
        <v>128</v>
      </c>
      <c r="S2503" s="2" t="s">
        <v>198</v>
      </c>
      <c r="T2503" s="10">
        <v>12.01</v>
      </c>
      <c r="U2503" s="11">
        <v>1.085</v>
      </c>
      <c r="V2503" s="12">
        <f>T2503*U2503</f>
        <v>13.030849999999999</v>
      </c>
      <c r="W2503" s="13">
        <v>0.19</v>
      </c>
      <c r="X2503" s="12">
        <f>V2503-(V2503/(1+W2503))</f>
        <v>2.0805558823529413</v>
      </c>
      <c r="Y2503" s="12">
        <f>V2503-X2503</f>
        <v>10.950294117647058</v>
      </c>
      <c r="Z2503" s="14">
        <v>35</v>
      </c>
      <c r="AA2503" s="2" t="str">
        <f>IF(V2503&gt;Z2503,"Yes","No")</f>
        <v>No</v>
      </c>
      <c r="AB2503" s="12">
        <f>V2503-Z2503</f>
        <v>-21.969149999999999</v>
      </c>
      <c r="AC2503" s="15" t="s">
        <v>130</v>
      </c>
      <c r="AD2503" s="15" t="s">
        <v>131</v>
      </c>
      <c r="AE2503" s="15" t="s">
        <v>350</v>
      </c>
      <c r="AF2503" s="12">
        <f>IF(AG2503="Rejected",0,IF(R2503="Corporate Card",0,V2503))</f>
        <v>0</v>
      </c>
      <c r="AG2503" s="15" t="s">
        <v>133</v>
      </c>
      <c r="AH2503" s="16">
        <v>45959</v>
      </c>
      <c r="AI2503" s="16">
        <v>45966</v>
      </c>
      <c r="AJ2503" s="16">
        <v>45969</v>
      </c>
      <c r="AK2503" s="17">
        <f>IF(AJ2503="","",AJ2503-AH2503)</f>
        <v>10</v>
      </c>
    </row>
    <row r="2504" spans="1:37">
      <c r="A2504" s="2" t="s">
        <v>2998</v>
      </c>
      <c r="B2504" s="2" t="s">
        <v>550</v>
      </c>
      <c r="C2504" s="2" t="s">
        <v>551</v>
      </c>
      <c r="D2504" s="2" t="s">
        <v>171</v>
      </c>
      <c r="E2504" s="2" t="s">
        <v>172</v>
      </c>
      <c r="F2504" s="2" t="s">
        <v>173</v>
      </c>
      <c r="G2504" s="2" t="s">
        <v>2980</v>
      </c>
      <c r="H2504" s="2" t="s">
        <v>803</v>
      </c>
      <c r="I2504" s="2" t="s">
        <v>619</v>
      </c>
      <c r="J2504" s="2" t="s">
        <v>381</v>
      </c>
      <c r="K2504" s="9">
        <v>45953</v>
      </c>
      <c r="L2504" s="9">
        <v>45961</v>
      </c>
      <c r="M2504" s="9">
        <v>45954</v>
      </c>
      <c r="N2504" s="2" t="s">
        <v>2764</v>
      </c>
      <c r="O2504" s="2" t="s">
        <v>59</v>
      </c>
      <c r="P2504" s="2" t="s">
        <v>301</v>
      </c>
      <c r="Q2504" s="2" t="s">
        <v>1000</v>
      </c>
      <c r="R2504" s="2" t="s">
        <v>137</v>
      </c>
      <c r="S2504" s="2" t="s">
        <v>383</v>
      </c>
      <c r="T2504" s="10">
        <v>101.01</v>
      </c>
      <c r="U2504" s="11">
        <v>1</v>
      </c>
      <c r="V2504" s="12">
        <f>T2504*U2504</f>
        <v>101.01</v>
      </c>
      <c r="W2504" s="13">
        <v>0</v>
      </c>
      <c r="X2504" s="12">
        <f>V2504-(V2504/(1+W2504))</f>
        <v>0</v>
      </c>
      <c r="Y2504" s="12">
        <f>V2504-X2504</f>
        <v>101.01</v>
      </c>
      <c r="Z2504" s="14">
        <v>150</v>
      </c>
      <c r="AA2504" s="2" t="str">
        <f>IF(V2504&gt;Z2504,"Yes","No")</f>
        <v>No</v>
      </c>
      <c r="AB2504" s="12">
        <f>V2504-Z2504</f>
        <v>-48.989999999999995</v>
      </c>
      <c r="AC2504" s="15" t="s">
        <v>130</v>
      </c>
      <c r="AD2504" s="15" t="s">
        <v>130</v>
      </c>
      <c r="AE2504" s="15" t="s">
        <v>858</v>
      </c>
      <c r="AF2504" s="12">
        <f>IF(AG2504="Rejected",0,IF(R2504="Corporate Card",0,V2504))</f>
        <v>101.01</v>
      </c>
      <c r="AG2504" s="15" t="s">
        <v>133</v>
      </c>
      <c r="AH2504" s="16">
        <v>45968</v>
      </c>
      <c r="AI2504" s="16">
        <v>45972</v>
      </c>
      <c r="AJ2504" s="16">
        <v>45983</v>
      </c>
      <c r="AK2504" s="17">
        <f>IF(AJ2504="","",AJ2504-AH2504)</f>
        <v>15</v>
      </c>
    </row>
    <row r="2505" spans="1:37">
      <c r="A2505" s="2" t="s">
        <v>2999</v>
      </c>
      <c r="B2505" s="2" t="s">
        <v>550</v>
      </c>
      <c r="C2505" s="2" t="s">
        <v>551</v>
      </c>
      <c r="D2505" s="2" t="s">
        <v>171</v>
      </c>
      <c r="E2505" s="2" t="s">
        <v>172</v>
      </c>
      <c r="F2505" s="2" t="s">
        <v>173</v>
      </c>
      <c r="G2505" s="2" t="s">
        <v>2980</v>
      </c>
      <c r="H2505" s="2" t="s">
        <v>803</v>
      </c>
      <c r="I2505" s="2" t="s">
        <v>619</v>
      </c>
      <c r="J2505" s="2" t="s">
        <v>381</v>
      </c>
      <c r="K2505" s="9">
        <v>45953</v>
      </c>
      <c r="L2505" s="9">
        <v>45961</v>
      </c>
      <c r="M2505" s="9">
        <v>45954</v>
      </c>
      <c r="N2505" s="2" t="s">
        <v>2764</v>
      </c>
      <c r="O2505" s="2" t="s">
        <v>58</v>
      </c>
      <c r="P2505" s="2" t="s">
        <v>142</v>
      </c>
      <c r="Q2505" s="2" t="s">
        <v>143</v>
      </c>
      <c r="R2505" s="2" t="s">
        <v>137</v>
      </c>
      <c r="S2505" s="2" t="s">
        <v>383</v>
      </c>
      <c r="T2505" s="10">
        <v>33.479999999999997</v>
      </c>
      <c r="U2505" s="11">
        <v>1</v>
      </c>
      <c r="V2505" s="12">
        <f>T2505*U2505</f>
        <v>33.479999999999997</v>
      </c>
      <c r="W2505" s="13">
        <v>0</v>
      </c>
      <c r="X2505" s="12">
        <f>V2505-(V2505/(1+W2505))</f>
        <v>0</v>
      </c>
      <c r="Y2505" s="12">
        <f>V2505-X2505</f>
        <v>33.479999999999997</v>
      </c>
      <c r="Z2505" s="14">
        <v>60</v>
      </c>
      <c r="AA2505" s="2" t="str">
        <f>IF(V2505&gt;Z2505,"Yes","No")</f>
        <v>No</v>
      </c>
      <c r="AB2505" s="12">
        <f>V2505-Z2505</f>
        <v>-26.520000000000003</v>
      </c>
      <c r="AC2505" s="15" t="s">
        <v>130</v>
      </c>
      <c r="AD2505" s="15" t="s">
        <v>130</v>
      </c>
      <c r="AE2505" s="15" t="s">
        <v>858</v>
      </c>
      <c r="AF2505" s="12">
        <f>IF(AG2505="Rejected",0,IF(R2505="Corporate Card",0,V2505))</f>
        <v>33.479999999999997</v>
      </c>
      <c r="AG2505" s="15" t="s">
        <v>133</v>
      </c>
      <c r="AH2505" s="16">
        <v>45968</v>
      </c>
      <c r="AI2505" s="16">
        <v>45972</v>
      </c>
      <c r="AJ2505" s="16">
        <v>45983</v>
      </c>
      <c r="AK2505" s="17">
        <f>IF(AJ2505="","",AJ2505-AH2505)</f>
        <v>15</v>
      </c>
    </row>
    <row r="2506" spans="1:37">
      <c r="A2506" s="2" t="s">
        <v>3000</v>
      </c>
      <c r="B2506" s="2" t="s">
        <v>550</v>
      </c>
      <c r="C2506" s="2" t="s">
        <v>551</v>
      </c>
      <c r="D2506" s="2" t="s">
        <v>171</v>
      </c>
      <c r="E2506" s="2" t="s">
        <v>172</v>
      </c>
      <c r="F2506" s="2" t="s">
        <v>173</v>
      </c>
      <c r="G2506" s="2" t="s">
        <v>2980</v>
      </c>
      <c r="H2506" s="2" t="s">
        <v>803</v>
      </c>
      <c r="I2506" s="2" t="s">
        <v>619</v>
      </c>
      <c r="J2506" s="2" t="s">
        <v>381</v>
      </c>
      <c r="K2506" s="9">
        <v>45953</v>
      </c>
      <c r="L2506" s="9">
        <v>45961</v>
      </c>
      <c r="M2506" s="9">
        <v>45954</v>
      </c>
      <c r="N2506" s="2" t="s">
        <v>2764</v>
      </c>
      <c r="O2506" s="2" t="s">
        <v>53</v>
      </c>
      <c r="P2506" s="2" t="s">
        <v>669</v>
      </c>
      <c r="Q2506" s="2" t="s">
        <v>146</v>
      </c>
      <c r="R2506" s="2" t="s">
        <v>149</v>
      </c>
      <c r="S2506" s="2" t="s">
        <v>383</v>
      </c>
      <c r="T2506" s="10">
        <v>1774</v>
      </c>
      <c r="U2506" s="11">
        <v>1</v>
      </c>
      <c r="V2506" s="12">
        <f>T2506*U2506</f>
        <v>1774</v>
      </c>
      <c r="W2506" s="13">
        <v>0</v>
      </c>
      <c r="X2506" s="12">
        <f>V2506-(V2506/(1+W2506))</f>
        <v>0</v>
      </c>
      <c r="Y2506" s="12">
        <f>V2506-X2506</f>
        <v>1774</v>
      </c>
      <c r="Z2506" s="14">
        <v>2240</v>
      </c>
      <c r="AA2506" s="2" t="str">
        <f>IF(V2506&gt;Z2506,"Yes","No")</f>
        <v>No</v>
      </c>
      <c r="AB2506" s="12">
        <f>V2506-Z2506</f>
        <v>-466</v>
      </c>
      <c r="AC2506" s="15" t="s">
        <v>130</v>
      </c>
      <c r="AD2506" s="15" t="s">
        <v>130</v>
      </c>
      <c r="AE2506" s="15" t="s">
        <v>858</v>
      </c>
      <c r="AF2506" s="12">
        <f>IF(AG2506="Rejected",0,IF(R2506="Corporate Card",0,V2506))</f>
        <v>1774</v>
      </c>
      <c r="AG2506" s="15" t="s">
        <v>133</v>
      </c>
      <c r="AH2506" s="16">
        <v>45968</v>
      </c>
      <c r="AI2506" s="16">
        <v>45972</v>
      </c>
      <c r="AJ2506" s="16">
        <v>45983</v>
      </c>
      <c r="AK2506" s="17">
        <f>IF(AJ2506="","",AJ2506-AH2506)</f>
        <v>15</v>
      </c>
    </row>
    <row r="2507" spans="1:37">
      <c r="A2507" s="2" t="s">
        <v>3001</v>
      </c>
      <c r="B2507" s="2" t="s">
        <v>550</v>
      </c>
      <c r="C2507" s="2" t="s">
        <v>551</v>
      </c>
      <c r="D2507" s="2" t="s">
        <v>171</v>
      </c>
      <c r="E2507" s="2" t="s">
        <v>172</v>
      </c>
      <c r="F2507" s="2" t="s">
        <v>173</v>
      </c>
      <c r="G2507" s="2" t="s">
        <v>2980</v>
      </c>
      <c r="H2507" s="2" t="s">
        <v>803</v>
      </c>
      <c r="I2507" s="2" t="s">
        <v>619</v>
      </c>
      <c r="J2507" s="2" t="s">
        <v>381</v>
      </c>
      <c r="K2507" s="9">
        <v>45953</v>
      </c>
      <c r="L2507" s="9">
        <v>45961</v>
      </c>
      <c r="M2507" s="9">
        <v>45954</v>
      </c>
      <c r="N2507" s="2" t="s">
        <v>2764</v>
      </c>
      <c r="O2507" s="2" t="s">
        <v>54</v>
      </c>
      <c r="P2507" s="2" t="s">
        <v>139</v>
      </c>
      <c r="Q2507" s="2" t="s">
        <v>140</v>
      </c>
      <c r="R2507" s="2" t="s">
        <v>137</v>
      </c>
      <c r="S2507" s="2" t="s">
        <v>383</v>
      </c>
      <c r="T2507" s="10">
        <v>10.88</v>
      </c>
      <c r="U2507" s="11">
        <v>1</v>
      </c>
      <c r="V2507" s="12">
        <f>T2507*U2507</f>
        <v>10.88</v>
      </c>
      <c r="W2507" s="13">
        <v>0</v>
      </c>
      <c r="X2507" s="12">
        <f>V2507-(V2507/(1+W2507))</f>
        <v>0</v>
      </c>
      <c r="Y2507" s="12">
        <f>V2507-X2507</f>
        <v>10.88</v>
      </c>
      <c r="Z2507" s="14">
        <v>25</v>
      </c>
      <c r="AA2507" s="2" t="str">
        <f>IF(V2507&gt;Z2507,"Yes","No")</f>
        <v>No</v>
      </c>
      <c r="AB2507" s="12">
        <f>V2507-Z2507</f>
        <v>-14.12</v>
      </c>
      <c r="AC2507" s="15" t="s">
        <v>130</v>
      </c>
      <c r="AD2507" s="15" t="s">
        <v>130</v>
      </c>
      <c r="AE2507" s="15" t="s">
        <v>858</v>
      </c>
      <c r="AF2507" s="12">
        <f>IF(AG2507="Rejected",0,IF(R2507="Corporate Card",0,V2507))</f>
        <v>10.88</v>
      </c>
      <c r="AG2507" s="15" t="s">
        <v>133</v>
      </c>
      <c r="AH2507" s="16">
        <v>45968</v>
      </c>
      <c r="AI2507" s="16">
        <v>45972</v>
      </c>
      <c r="AJ2507" s="16">
        <v>45983</v>
      </c>
      <c r="AK2507" s="17">
        <f>IF(AJ2507="","",AJ2507-AH2507)</f>
        <v>15</v>
      </c>
    </row>
    <row r="2508" spans="1:37">
      <c r="A2508" s="2" t="s">
        <v>3002</v>
      </c>
      <c r="B2508" s="2" t="s">
        <v>550</v>
      </c>
      <c r="C2508" s="2" t="s">
        <v>551</v>
      </c>
      <c r="D2508" s="2" t="s">
        <v>171</v>
      </c>
      <c r="E2508" s="2" t="s">
        <v>172</v>
      </c>
      <c r="F2508" s="2" t="s">
        <v>173</v>
      </c>
      <c r="G2508" s="2" t="s">
        <v>2980</v>
      </c>
      <c r="H2508" s="2" t="s">
        <v>803</v>
      </c>
      <c r="I2508" s="2" t="s">
        <v>619</v>
      </c>
      <c r="J2508" s="2" t="s">
        <v>381</v>
      </c>
      <c r="K2508" s="9">
        <v>45953</v>
      </c>
      <c r="L2508" s="9">
        <v>45961</v>
      </c>
      <c r="M2508" s="9">
        <v>45954</v>
      </c>
      <c r="N2508" s="2" t="s">
        <v>2764</v>
      </c>
      <c r="O2508" s="2" t="s">
        <v>56</v>
      </c>
      <c r="P2508" s="2" t="s">
        <v>231</v>
      </c>
      <c r="Q2508" s="2" t="s">
        <v>152</v>
      </c>
      <c r="R2508" s="2" t="s">
        <v>128</v>
      </c>
      <c r="S2508" s="2" t="s">
        <v>383</v>
      </c>
      <c r="T2508" s="10">
        <v>58.33</v>
      </c>
      <c r="U2508" s="11">
        <v>1</v>
      </c>
      <c r="V2508" s="12">
        <f>T2508*U2508</f>
        <v>58.33</v>
      </c>
      <c r="W2508" s="13">
        <v>0</v>
      </c>
      <c r="X2508" s="12">
        <f>V2508-(V2508/(1+W2508))</f>
        <v>0</v>
      </c>
      <c r="Y2508" s="12">
        <f>V2508-X2508</f>
        <v>58.33</v>
      </c>
      <c r="Z2508" s="14">
        <v>75</v>
      </c>
      <c r="AA2508" s="2" t="str">
        <f>IF(V2508&gt;Z2508,"Yes","No")</f>
        <v>No</v>
      </c>
      <c r="AB2508" s="12">
        <f>V2508-Z2508</f>
        <v>-16.670000000000002</v>
      </c>
      <c r="AC2508" s="15" t="s">
        <v>130</v>
      </c>
      <c r="AD2508" s="15" t="s">
        <v>130</v>
      </c>
      <c r="AE2508" s="15" t="s">
        <v>858</v>
      </c>
      <c r="AF2508" s="12">
        <f>IF(AG2508="Rejected",0,IF(R2508="Corporate Card",0,V2508))</f>
        <v>0</v>
      </c>
      <c r="AG2508" s="15" t="s">
        <v>133</v>
      </c>
      <c r="AH2508" s="16">
        <v>45968</v>
      </c>
      <c r="AI2508" s="16">
        <v>45972</v>
      </c>
      <c r="AJ2508" s="16">
        <v>45983</v>
      </c>
      <c r="AK2508" s="17">
        <f>IF(AJ2508="","",AJ2508-AH2508)</f>
        <v>15</v>
      </c>
    </row>
    <row r="2509" spans="1:37">
      <c r="A2509" s="2" t="s">
        <v>3003</v>
      </c>
      <c r="B2509" s="2" t="s">
        <v>550</v>
      </c>
      <c r="C2509" s="2" t="s">
        <v>551</v>
      </c>
      <c r="D2509" s="2" t="s">
        <v>171</v>
      </c>
      <c r="E2509" s="2" t="s">
        <v>172</v>
      </c>
      <c r="F2509" s="2" t="s">
        <v>173</v>
      </c>
      <c r="G2509" s="2" t="s">
        <v>2980</v>
      </c>
      <c r="H2509" s="2" t="s">
        <v>803</v>
      </c>
      <c r="I2509" s="2" t="s">
        <v>619</v>
      </c>
      <c r="J2509" s="2" t="s">
        <v>381</v>
      </c>
      <c r="K2509" s="9">
        <v>45953</v>
      </c>
      <c r="L2509" s="9">
        <v>45961</v>
      </c>
      <c r="M2509" s="9">
        <v>45954</v>
      </c>
      <c r="N2509" s="2" t="s">
        <v>2764</v>
      </c>
      <c r="O2509" s="2" t="s">
        <v>55</v>
      </c>
      <c r="P2509" s="2" t="s">
        <v>139</v>
      </c>
      <c r="Q2509" s="2" t="s">
        <v>187</v>
      </c>
      <c r="R2509" s="2" t="s">
        <v>128</v>
      </c>
      <c r="S2509" s="2" t="s">
        <v>383</v>
      </c>
      <c r="T2509" s="10">
        <v>27.59</v>
      </c>
      <c r="U2509" s="11">
        <v>1</v>
      </c>
      <c r="V2509" s="12">
        <f>T2509*U2509</f>
        <v>27.59</v>
      </c>
      <c r="W2509" s="13">
        <v>0</v>
      </c>
      <c r="X2509" s="12">
        <f>V2509-(V2509/(1+W2509))</f>
        <v>0</v>
      </c>
      <c r="Y2509" s="12">
        <f>V2509-X2509</f>
        <v>27.59</v>
      </c>
      <c r="Z2509" s="14">
        <v>35</v>
      </c>
      <c r="AA2509" s="2" t="str">
        <f>IF(V2509&gt;Z2509,"Yes","No")</f>
        <v>No</v>
      </c>
      <c r="AB2509" s="12">
        <f>V2509-Z2509</f>
        <v>-7.41</v>
      </c>
      <c r="AC2509" s="15" t="s">
        <v>130</v>
      </c>
      <c r="AD2509" s="15" t="s">
        <v>130</v>
      </c>
      <c r="AE2509" s="15" t="s">
        <v>858</v>
      </c>
      <c r="AF2509" s="12">
        <f>IF(AG2509="Rejected",0,IF(R2509="Corporate Card",0,V2509))</f>
        <v>0</v>
      </c>
      <c r="AG2509" s="15" t="s">
        <v>133</v>
      </c>
      <c r="AH2509" s="16">
        <v>45968</v>
      </c>
      <c r="AI2509" s="16">
        <v>45972</v>
      </c>
      <c r="AJ2509" s="16">
        <v>45983</v>
      </c>
      <c r="AK2509" s="17">
        <f>IF(AJ2509="","",AJ2509-AH2509)</f>
        <v>15</v>
      </c>
    </row>
    <row r="2510" spans="1:37">
      <c r="A2510" s="2" t="s">
        <v>3004</v>
      </c>
      <c r="B2510" s="2" t="s">
        <v>375</v>
      </c>
      <c r="C2510" s="2" t="s">
        <v>376</v>
      </c>
      <c r="D2510" s="2" t="s">
        <v>344</v>
      </c>
      <c r="E2510" s="2" t="s">
        <v>377</v>
      </c>
      <c r="F2510" s="2" t="s">
        <v>346</v>
      </c>
      <c r="G2510" s="2" t="s">
        <v>2939</v>
      </c>
      <c r="H2510" s="2" t="s">
        <v>748</v>
      </c>
      <c r="I2510" s="2" t="s">
        <v>123</v>
      </c>
      <c r="J2510" s="2" t="s">
        <v>124</v>
      </c>
      <c r="K2510" s="9">
        <v>45950</v>
      </c>
      <c r="L2510" s="9">
        <v>45958</v>
      </c>
      <c r="M2510" s="9">
        <v>45954</v>
      </c>
      <c r="N2510" s="2" t="s">
        <v>2764</v>
      </c>
      <c r="O2510" s="2" t="s">
        <v>54</v>
      </c>
      <c r="P2510" s="2" t="s">
        <v>139</v>
      </c>
      <c r="Q2510" s="2" t="s">
        <v>163</v>
      </c>
      <c r="R2510" s="2" t="s">
        <v>137</v>
      </c>
      <c r="S2510" s="2" t="s">
        <v>129</v>
      </c>
      <c r="T2510" s="10">
        <v>8.15</v>
      </c>
      <c r="U2510" s="11">
        <v>1.272</v>
      </c>
      <c r="V2510" s="12">
        <f>T2510*U2510</f>
        <v>10.366800000000001</v>
      </c>
      <c r="W2510" s="13">
        <v>0.2</v>
      </c>
      <c r="X2510" s="12">
        <f>V2510-(V2510/(1+W2510))</f>
        <v>1.7278000000000002</v>
      </c>
      <c r="Y2510" s="12">
        <f>V2510-X2510</f>
        <v>8.6390000000000011</v>
      </c>
      <c r="Z2510" s="14">
        <v>25</v>
      </c>
      <c r="AA2510" s="2" t="str">
        <f>IF(V2510&gt;Z2510,"Yes","No")</f>
        <v>No</v>
      </c>
      <c r="AB2510" s="12">
        <f>V2510-Z2510</f>
        <v>-14.633199999999999</v>
      </c>
      <c r="AC2510" s="15" t="s">
        <v>130</v>
      </c>
      <c r="AD2510" s="15" t="s">
        <v>131</v>
      </c>
      <c r="AE2510" s="15" t="s">
        <v>421</v>
      </c>
      <c r="AF2510" s="12">
        <f>IF(AG2510="Rejected",0,IF(R2510="Corporate Card",0,V2510))</f>
        <v>10.366800000000001</v>
      </c>
      <c r="AG2510" s="15" t="s">
        <v>133</v>
      </c>
      <c r="AH2510" s="16">
        <v>45962</v>
      </c>
      <c r="AI2510" s="16">
        <v>45967</v>
      </c>
      <c r="AJ2510" s="16">
        <v>45974</v>
      </c>
      <c r="AK2510" s="17">
        <f>IF(AJ2510="","",AJ2510-AH2510)</f>
        <v>12</v>
      </c>
    </row>
    <row r="2511" spans="1:37">
      <c r="A2511" s="2" t="s">
        <v>3005</v>
      </c>
      <c r="B2511" s="2" t="s">
        <v>375</v>
      </c>
      <c r="C2511" s="2" t="s">
        <v>376</v>
      </c>
      <c r="D2511" s="2" t="s">
        <v>344</v>
      </c>
      <c r="E2511" s="2" t="s">
        <v>377</v>
      </c>
      <c r="F2511" s="2" t="s">
        <v>346</v>
      </c>
      <c r="G2511" s="2" t="s">
        <v>2939</v>
      </c>
      <c r="H2511" s="2" t="s">
        <v>748</v>
      </c>
      <c r="I2511" s="2" t="s">
        <v>123</v>
      </c>
      <c r="J2511" s="2" t="s">
        <v>124</v>
      </c>
      <c r="K2511" s="9">
        <v>45950</v>
      </c>
      <c r="L2511" s="9">
        <v>45958</v>
      </c>
      <c r="M2511" s="9">
        <v>45954</v>
      </c>
      <c r="N2511" s="2" t="s">
        <v>2764</v>
      </c>
      <c r="O2511" s="2" t="s">
        <v>56</v>
      </c>
      <c r="P2511" s="2" t="s">
        <v>231</v>
      </c>
      <c r="Q2511" s="2" t="s">
        <v>152</v>
      </c>
      <c r="R2511" s="2" t="s">
        <v>128</v>
      </c>
      <c r="S2511" s="2" t="s">
        <v>129</v>
      </c>
      <c r="T2511" s="10">
        <v>56.03</v>
      </c>
      <c r="U2511" s="11">
        <v>1.272</v>
      </c>
      <c r="V2511" s="12">
        <f>T2511*U2511</f>
        <v>71.270160000000004</v>
      </c>
      <c r="W2511" s="13">
        <v>0.2</v>
      </c>
      <c r="X2511" s="12">
        <f>V2511-(V2511/(1+W2511))</f>
        <v>11.878360000000001</v>
      </c>
      <c r="Y2511" s="12">
        <f>V2511-X2511</f>
        <v>59.391800000000003</v>
      </c>
      <c r="Z2511" s="14">
        <v>75</v>
      </c>
      <c r="AA2511" s="2" t="str">
        <f>IF(V2511&gt;Z2511,"Yes","No")</f>
        <v>No</v>
      </c>
      <c r="AB2511" s="12">
        <f>V2511-Z2511</f>
        <v>-3.7298399999999958</v>
      </c>
      <c r="AC2511" s="15" t="s">
        <v>131</v>
      </c>
      <c r="AD2511" s="15" t="s">
        <v>131</v>
      </c>
      <c r="AE2511" s="15" t="s">
        <v>421</v>
      </c>
      <c r="AF2511" s="12">
        <f>IF(AG2511="Rejected",0,IF(R2511="Corporate Card",0,V2511))</f>
        <v>0</v>
      </c>
      <c r="AG2511" s="15" t="s">
        <v>133</v>
      </c>
      <c r="AH2511" s="16">
        <v>45962</v>
      </c>
      <c r="AI2511" s="16">
        <v>45967</v>
      </c>
      <c r="AJ2511" s="16">
        <v>45974</v>
      </c>
      <c r="AK2511" s="17">
        <f>IF(AJ2511="","",AJ2511-AH2511)</f>
        <v>12</v>
      </c>
    </row>
    <row r="2512" spans="1:37">
      <c r="A2512" s="2" t="s">
        <v>3006</v>
      </c>
      <c r="B2512" s="2" t="s">
        <v>375</v>
      </c>
      <c r="C2512" s="2" t="s">
        <v>376</v>
      </c>
      <c r="D2512" s="2" t="s">
        <v>344</v>
      </c>
      <c r="E2512" s="2" t="s">
        <v>377</v>
      </c>
      <c r="F2512" s="2" t="s">
        <v>346</v>
      </c>
      <c r="G2512" s="2" t="s">
        <v>2939</v>
      </c>
      <c r="H2512" s="2" t="s">
        <v>748</v>
      </c>
      <c r="I2512" s="2" t="s">
        <v>123</v>
      </c>
      <c r="J2512" s="2" t="s">
        <v>124</v>
      </c>
      <c r="K2512" s="9">
        <v>45950</v>
      </c>
      <c r="L2512" s="9">
        <v>45958</v>
      </c>
      <c r="M2512" s="9">
        <v>45954</v>
      </c>
      <c r="N2512" s="2" t="s">
        <v>2764</v>
      </c>
      <c r="O2512" s="2" t="s">
        <v>55</v>
      </c>
      <c r="P2512" s="2" t="s">
        <v>139</v>
      </c>
      <c r="Q2512" s="2" t="s">
        <v>161</v>
      </c>
      <c r="R2512" s="2" t="s">
        <v>149</v>
      </c>
      <c r="S2512" s="2" t="s">
        <v>129</v>
      </c>
      <c r="T2512" s="10">
        <v>15.33</v>
      </c>
      <c r="U2512" s="11">
        <v>1.272</v>
      </c>
      <c r="V2512" s="12">
        <f>T2512*U2512</f>
        <v>19.499760000000002</v>
      </c>
      <c r="W2512" s="13">
        <v>0.2</v>
      </c>
      <c r="X2512" s="12">
        <f>V2512-(V2512/(1+W2512))</f>
        <v>3.249959999999998</v>
      </c>
      <c r="Y2512" s="12">
        <f>V2512-X2512</f>
        <v>16.249800000000004</v>
      </c>
      <c r="Z2512" s="14">
        <v>35</v>
      </c>
      <c r="AA2512" s="2" t="str">
        <f>IF(V2512&gt;Z2512,"Yes","No")</f>
        <v>No</v>
      </c>
      <c r="AB2512" s="12">
        <f>V2512-Z2512</f>
        <v>-15.500239999999998</v>
      </c>
      <c r="AC2512" s="15" t="s">
        <v>130</v>
      </c>
      <c r="AD2512" s="15" t="s">
        <v>131</v>
      </c>
      <c r="AE2512" s="15" t="s">
        <v>421</v>
      </c>
      <c r="AF2512" s="12">
        <f>IF(AG2512="Rejected",0,IF(R2512="Corporate Card",0,V2512))</f>
        <v>19.499760000000002</v>
      </c>
      <c r="AG2512" s="15" t="s">
        <v>133</v>
      </c>
      <c r="AH2512" s="16">
        <v>45962</v>
      </c>
      <c r="AI2512" s="16">
        <v>45967</v>
      </c>
      <c r="AJ2512" s="16">
        <v>45974</v>
      </c>
      <c r="AK2512" s="17">
        <f>IF(AJ2512="","",AJ2512-AH2512)</f>
        <v>12</v>
      </c>
    </row>
    <row r="2513" spans="1:37">
      <c r="A2513" s="2" t="s">
        <v>3007</v>
      </c>
      <c r="B2513" s="2" t="s">
        <v>863</v>
      </c>
      <c r="C2513" s="2" t="s">
        <v>864</v>
      </c>
      <c r="D2513" s="2" t="s">
        <v>865</v>
      </c>
      <c r="E2513" s="2" t="s">
        <v>866</v>
      </c>
      <c r="F2513" s="2" t="s">
        <v>867</v>
      </c>
      <c r="G2513" s="2" t="s">
        <v>2967</v>
      </c>
      <c r="H2513" s="2" t="s">
        <v>122</v>
      </c>
      <c r="I2513" s="2" t="s">
        <v>194</v>
      </c>
      <c r="J2513" s="2" t="s">
        <v>195</v>
      </c>
      <c r="K2513" s="9">
        <v>45952</v>
      </c>
      <c r="L2513" s="9">
        <v>45958</v>
      </c>
      <c r="M2513" s="9">
        <v>45954</v>
      </c>
      <c r="N2513" s="2" t="s">
        <v>2764</v>
      </c>
      <c r="O2513" s="2" t="s">
        <v>58</v>
      </c>
      <c r="P2513" s="2" t="s">
        <v>142</v>
      </c>
      <c r="Q2513" s="2" t="s">
        <v>143</v>
      </c>
      <c r="R2513" s="2" t="s">
        <v>128</v>
      </c>
      <c r="S2513" s="2" t="s">
        <v>198</v>
      </c>
      <c r="T2513" s="10">
        <v>20.09</v>
      </c>
      <c r="U2513" s="11">
        <v>1.085</v>
      </c>
      <c r="V2513" s="12">
        <f>T2513*U2513</f>
        <v>21.797650000000001</v>
      </c>
      <c r="W2513" s="13">
        <v>0.19</v>
      </c>
      <c r="X2513" s="12">
        <f>V2513-(V2513/(1+W2513))</f>
        <v>3.4802970588235276</v>
      </c>
      <c r="Y2513" s="12">
        <f>V2513-X2513</f>
        <v>18.317352941176473</v>
      </c>
      <c r="Z2513" s="14">
        <v>60</v>
      </c>
      <c r="AA2513" s="2" t="str">
        <f>IF(V2513&gt;Z2513,"Yes","No")</f>
        <v>No</v>
      </c>
      <c r="AB2513" s="12">
        <f>V2513-Z2513</f>
        <v>-38.202349999999996</v>
      </c>
      <c r="AC2513" s="15" t="s">
        <v>130</v>
      </c>
      <c r="AD2513" s="15" t="s">
        <v>131</v>
      </c>
      <c r="AE2513" s="15" t="s">
        <v>858</v>
      </c>
      <c r="AF2513" s="12">
        <f>IF(AG2513="Rejected",0,IF(R2513="Corporate Card",0,V2513))</f>
        <v>0</v>
      </c>
      <c r="AG2513" s="15" t="s">
        <v>133</v>
      </c>
      <c r="AH2513" s="16">
        <v>45959</v>
      </c>
      <c r="AI2513" s="16">
        <v>45963</v>
      </c>
      <c r="AJ2513" s="16">
        <v>45975</v>
      </c>
      <c r="AK2513" s="17">
        <f>IF(AJ2513="","",AJ2513-AH2513)</f>
        <v>16</v>
      </c>
    </row>
    <row r="2514" spans="1:37">
      <c r="A2514" s="2" t="s">
        <v>3008</v>
      </c>
      <c r="B2514" s="2" t="s">
        <v>863</v>
      </c>
      <c r="C2514" s="2" t="s">
        <v>864</v>
      </c>
      <c r="D2514" s="2" t="s">
        <v>865</v>
      </c>
      <c r="E2514" s="2" t="s">
        <v>866</v>
      </c>
      <c r="F2514" s="2" t="s">
        <v>867</v>
      </c>
      <c r="G2514" s="2" t="s">
        <v>2967</v>
      </c>
      <c r="H2514" s="2" t="s">
        <v>122</v>
      </c>
      <c r="I2514" s="2" t="s">
        <v>194</v>
      </c>
      <c r="J2514" s="2" t="s">
        <v>195</v>
      </c>
      <c r="K2514" s="9">
        <v>45952</v>
      </c>
      <c r="L2514" s="9">
        <v>45958</v>
      </c>
      <c r="M2514" s="9">
        <v>45954</v>
      </c>
      <c r="N2514" s="2" t="s">
        <v>2764</v>
      </c>
      <c r="O2514" s="2" t="s">
        <v>54</v>
      </c>
      <c r="P2514" s="2" t="s">
        <v>139</v>
      </c>
      <c r="Q2514" s="2" t="s">
        <v>163</v>
      </c>
      <c r="R2514" s="2" t="s">
        <v>137</v>
      </c>
      <c r="S2514" s="2" t="s">
        <v>198</v>
      </c>
      <c r="T2514" s="10">
        <v>16.39</v>
      </c>
      <c r="U2514" s="11">
        <v>1.085</v>
      </c>
      <c r="V2514" s="12">
        <f>T2514*U2514</f>
        <v>17.783149999999999</v>
      </c>
      <c r="W2514" s="13">
        <v>0.19</v>
      </c>
      <c r="X2514" s="12">
        <f>V2514-(V2514/(1+W2514))</f>
        <v>2.8393264705882348</v>
      </c>
      <c r="Y2514" s="12">
        <f>V2514-X2514</f>
        <v>14.943823529411764</v>
      </c>
      <c r="Z2514" s="14">
        <v>25</v>
      </c>
      <c r="AA2514" s="2" t="str">
        <f>IF(V2514&gt;Z2514,"Yes","No")</f>
        <v>No</v>
      </c>
      <c r="AB2514" s="12">
        <f>V2514-Z2514</f>
        <v>-7.2168500000000009</v>
      </c>
      <c r="AC2514" s="15" t="s">
        <v>130</v>
      </c>
      <c r="AD2514" s="15" t="s">
        <v>131</v>
      </c>
      <c r="AE2514" s="15" t="s">
        <v>858</v>
      </c>
      <c r="AF2514" s="12">
        <f>IF(AG2514="Rejected",0,IF(R2514="Corporate Card",0,V2514))</f>
        <v>17.783149999999999</v>
      </c>
      <c r="AG2514" s="15" t="s">
        <v>133</v>
      </c>
      <c r="AH2514" s="16">
        <v>45959</v>
      </c>
      <c r="AI2514" s="16">
        <v>45963</v>
      </c>
      <c r="AJ2514" s="16">
        <v>45975</v>
      </c>
      <c r="AK2514" s="17">
        <f>IF(AJ2514="","",AJ2514-AH2514)</f>
        <v>16</v>
      </c>
    </row>
    <row r="2515" spans="1:37">
      <c r="A2515" s="2" t="s">
        <v>3009</v>
      </c>
      <c r="B2515" s="2" t="s">
        <v>863</v>
      </c>
      <c r="C2515" s="2" t="s">
        <v>864</v>
      </c>
      <c r="D2515" s="2" t="s">
        <v>865</v>
      </c>
      <c r="E2515" s="2" t="s">
        <v>866</v>
      </c>
      <c r="F2515" s="2" t="s">
        <v>867</v>
      </c>
      <c r="G2515" s="2" t="s">
        <v>2967</v>
      </c>
      <c r="H2515" s="2" t="s">
        <v>122</v>
      </c>
      <c r="I2515" s="2" t="s">
        <v>194</v>
      </c>
      <c r="J2515" s="2" t="s">
        <v>195</v>
      </c>
      <c r="K2515" s="9">
        <v>45952</v>
      </c>
      <c r="L2515" s="9">
        <v>45958</v>
      </c>
      <c r="M2515" s="9">
        <v>45954</v>
      </c>
      <c r="N2515" s="2" t="s">
        <v>2764</v>
      </c>
      <c r="O2515" s="2" t="s">
        <v>56</v>
      </c>
      <c r="P2515" s="2" t="s">
        <v>245</v>
      </c>
      <c r="Q2515" s="2" t="s">
        <v>185</v>
      </c>
      <c r="R2515" s="2" t="s">
        <v>128</v>
      </c>
      <c r="S2515" s="2" t="s">
        <v>198</v>
      </c>
      <c r="T2515" s="10">
        <v>41.03</v>
      </c>
      <c r="U2515" s="11">
        <v>1.085</v>
      </c>
      <c r="V2515" s="12">
        <f>T2515*U2515</f>
        <v>44.51755</v>
      </c>
      <c r="W2515" s="13">
        <v>0.19</v>
      </c>
      <c r="X2515" s="12">
        <f>V2515-(V2515/(1+W2515))</f>
        <v>7.1078441176470548</v>
      </c>
      <c r="Y2515" s="12">
        <f>V2515-X2515</f>
        <v>37.409705882352945</v>
      </c>
      <c r="Z2515" s="14">
        <v>75</v>
      </c>
      <c r="AA2515" s="2" t="str">
        <f>IF(V2515&gt;Z2515,"Yes","No")</f>
        <v>No</v>
      </c>
      <c r="AB2515" s="12">
        <f>V2515-Z2515</f>
        <v>-30.48245</v>
      </c>
      <c r="AC2515" s="15" t="s">
        <v>130</v>
      </c>
      <c r="AD2515" s="15" t="s">
        <v>131</v>
      </c>
      <c r="AE2515" s="15" t="s">
        <v>858</v>
      </c>
      <c r="AF2515" s="12">
        <f>IF(AG2515="Rejected",0,IF(R2515="Corporate Card",0,V2515))</f>
        <v>0</v>
      </c>
      <c r="AG2515" s="15" t="s">
        <v>133</v>
      </c>
      <c r="AH2515" s="16">
        <v>45959</v>
      </c>
      <c r="AI2515" s="16">
        <v>45963</v>
      </c>
      <c r="AJ2515" s="16">
        <v>45975</v>
      </c>
      <c r="AK2515" s="17">
        <f>IF(AJ2515="","",AJ2515-AH2515)</f>
        <v>16</v>
      </c>
    </row>
    <row r="2516" spans="1:37">
      <c r="A2516" s="2" t="s">
        <v>3010</v>
      </c>
      <c r="B2516" s="2" t="s">
        <v>863</v>
      </c>
      <c r="C2516" s="2" t="s">
        <v>864</v>
      </c>
      <c r="D2516" s="2" t="s">
        <v>865</v>
      </c>
      <c r="E2516" s="2" t="s">
        <v>866</v>
      </c>
      <c r="F2516" s="2" t="s">
        <v>867</v>
      </c>
      <c r="G2516" s="2" t="s">
        <v>2967</v>
      </c>
      <c r="H2516" s="2" t="s">
        <v>122</v>
      </c>
      <c r="I2516" s="2" t="s">
        <v>194</v>
      </c>
      <c r="J2516" s="2" t="s">
        <v>195</v>
      </c>
      <c r="K2516" s="9">
        <v>45952</v>
      </c>
      <c r="L2516" s="9">
        <v>45958</v>
      </c>
      <c r="M2516" s="9">
        <v>45954</v>
      </c>
      <c r="N2516" s="2" t="s">
        <v>2764</v>
      </c>
      <c r="O2516" s="2" t="s">
        <v>55</v>
      </c>
      <c r="P2516" s="2" t="s">
        <v>139</v>
      </c>
      <c r="Q2516" s="2" t="s">
        <v>217</v>
      </c>
      <c r="R2516" s="2" t="s">
        <v>128</v>
      </c>
      <c r="S2516" s="2" t="s">
        <v>198</v>
      </c>
      <c r="T2516" s="10">
        <v>24.52</v>
      </c>
      <c r="U2516" s="11">
        <v>1.085</v>
      </c>
      <c r="V2516" s="12">
        <f>T2516*U2516</f>
        <v>26.604199999999999</v>
      </c>
      <c r="W2516" s="13">
        <v>0.19</v>
      </c>
      <c r="X2516" s="12">
        <f>V2516-(V2516/(1+W2516))</f>
        <v>4.2477294117647055</v>
      </c>
      <c r="Y2516" s="12">
        <f>V2516-X2516</f>
        <v>22.356470588235293</v>
      </c>
      <c r="Z2516" s="14">
        <v>35</v>
      </c>
      <c r="AA2516" s="2" t="str">
        <f>IF(V2516&gt;Z2516,"Yes","No")</f>
        <v>No</v>
      </c>
      <c r="AB2516" s="12">
        <f>V2516-Z2516</f>
        <v>-8.3958000000000013</v>
      </c>
      <c r="AC2516" s="15" t="s">
        <v>130</v>
      </c>
      <c r="AD2516" s="15" t="s">
        <v>131</v>
      </c>
      <c r="AE2516" s="15" t="s">
        <v>858</v>
      </c>
      <c r="AF2516" s="12">
        <f>IF(AG2516="Rejected",0,IF(R2516="Corporate Card",0,V2516))</f>
        <v>0</v>
      </c>
      <c r="AG2516" s="15" t="s">
        <v>133</v>
      </c>
      <c r="AH2516" s="16">
        <v>45959</v>
      </c>
      <c r="AI2516" s="16">
        <v>45963</v>
      </c>
      <c r="AJ2516" s="16">
        <v>45975</v>
      </c>
      <c r="AK2516" s="17">
        <f>IF(AJ2516="","",AJ2516-AH2516)</f>
        <v>16</v>
      </c>
    </row>
    <row r="2517" spans="1:37">
      <c r="A2517" s="2" t="s">
        <v>3011</v>
      </c>
      <c r="B2517" s="2" t="s">
        <v>116</v>
      </c>
      <c r="C2517" s="2" t="s">
        <v>117</v>
      </c>
      <c r="D2517" s="2" t="s">
        <v>118</v>
      </c>
      <c r="E2517" s="2" t="s">
        <v>119</v>
      </c>
      <c r="F2517" s="2" t="s">
        <v>120</v>
      </c>
      <c r="G2517" s="2" t="s">
        <v>2974</v>
      </c>
      <c r="H2517" s="2" t="s">
        <v>379</v>
      </c>
      <c r="I2517" s="2" t="s">
        <v>194</v>
      </c>
      <c r="J2517" s="2" t="s">
        <v>195</v>
      </c>
      <c r="K2517" s="9">
        <v>45953</v>
      </c>
      <c r="L2517" s="9">
        <v>45956</v>
      </c>
      <c r="M2517" s="9">
        <v>45955</v>
      </c>
      <c r="N2517" s="2" t="s">
        <v>2764</v>
      </c>
      <c r="O2517" s="2" t="s">
        <v>67</v>
      </c>
      <c r="P2517" s="2" t="s">
        <v>401</v>
      </c>
      <c r="Q2517" s="2" t="s">
        <v>402</v>
      </c>
      <c r="R2517" s="2" t="s">
        <v>149</v>
      </c>
      <c r="S2517" s="2" t="s">
        <v>198</v>
      </c>
      <c r="T2517" s="10">
        <v>33.74</v>
      </c>
      <c r="U2517" s="11">
        <v>1.085</v>
      </c>
      <c r="V2517" s="12">
        <f>T2517*U2517</f>
        <v>36.607900000000001</v>
      </c>
      <c r="W2517" s="13">
        <v>0.19</v>
      </c>
      <c r="X2517" s="12">
        <f>V2517-(V2517/(1+W2517))</f>
        <v>5.8449588235294101</v>
      </c>
      <c r="Y2517" s="12">
        <f>V2517-X2517</f>
        <v>30.762941176470591</v>
      </c>
      <c r="Z2517" s="14">
        <v>100</v>
      </c>
      <c r="AA2517" s="2" t="str">
        <f>IF(V2517&gt;Z2517,"Yes","No")</f>
        <v>No</v>
      </c>
      <c r="AB2517" s="12">
        <f>V2517-Z2517</f>
        <v>-63.392099999999999</v>
      </c>
      <c r="AC2517" s="15" t="s">
        <v>130</v>
      </c>
      <c r="AD2517" s="15" t="s">
        <v>131</v>
      </c>
      <c r="AE2517" s="15" t="s">
        <v>350</v>
      </c>
      <c r="AF2517" s="12">
        <f>IF(AG2517="Rejected",0,IF(R2517="Corporate Card",0,V2517))</f>
        <v>36.607900000000001</v>
      </c>
      <c r="AG2517" s="15" t="s">
        <v>133</v>
      </c>
      <c r="AH2517" s="16">
        <v>45959</v>
      </c>
      <c r="AI2517" s="16">
        <v>45966</v>
      </c>
      <c r="AJ2517" s="16">
        <v>45969</v>
      </c>
      <c r="AK2517" s="17">
        <f>IF(AJ2517="","",AJ2517-AH2517)</f>
        <v>10</v>
      </c>
    </row>
    <row r="2518" spans="1:37">
      <c r="A2518" s="2" t="s">
        <v>3012</v>
      </c>
      <c r="B2518" s="2" t="s">
        <v>116</v>
      </c>
      <c r="C2518" s="2" t="s">
        <v>117</v>
      </c>
      <c r="D2518" s="2" t="s">
        <v>118</v>
      </c>
      <c r="E2518" s="2" t="s">
        <v>119</v>
      </c>
      <c r="F2518" s="2" t="s">
        <v>120</v>
      </c>
      <c r="G2518" s="2" t="s">
        <v>2974</v>
      </c>
      <c r="H2518" s="2" t="s">
        <v>379</v>
      </c>
      <c r="I2518" s="2" t="s">
        <v>194</v>
      </c>
      <c r="J2518" s="2" t="s">
        <v>195</v>
      </c>
      <c r="K2518" s="9">
        <v>45953</v>
      </c>
      <c r="L2518" s="9">
        <v>45956</v>
      </c>
      <c r="M2518" s="9">
        <v>45955</v>
      </c>
      <c r="N2518" s="2" t="s">
        <v>2764</v>
      </c>
      <c r="O2518" s="2" t="s">
        <v>54</v>
      </c>
      <c r="P2518" s="2" t="s">
        <v>139</v>
      </c>
      <c r="Q2518" s="2" t="s">
        <v>140</v>
      </c>
      <c r="R2518" s="2" t="s">
        <v>137</v>
      </c>
      <c r="S2518" s="2" t="s">
        <v>198</v>
      </c>
      <c r="T2518" s="10">
        <v>17.14</v>
      </c>
      <c r="U2518" s="11">
        <v>1.085</v>
      </c>
      <c r="V2518" s="12">
        <f>T2518*U2518</f>
        <v>18.596900000000002</v>
      </c>
      <c r="W2518" s="13">
        <v>0.19</v>
      </c>
      <c r="X2518" s="12">
        <f>V2518-(V2518/(1+W2518))</f>
        <v>2.969252941176471</v>
      </c>
      <c r="Y2518" s="12">
        <f>V2518-X2518</f>
        <v>15.627647058823531</v>
      </c>
      <c r="Z2518" s="14">
        <v>25</v>
      </c>
      <c r="AA2518" s="2" t="str">
        <f>IF(V2518&gt;Z2518,"Yes","No")</f>
        <v>No</v>
      </c>
      <c r="AB2518" s="12">
        <f>V2518-Z2518</f>
        <v>-6.4030999999999985</v>
      </c>
      <c r="AC2518" s="15" t="s">
        <v>130</v>
      </c>
      <c r="AD2518" s="15" t="s">
        <v>131</v>
      </c>
      <c r="AE2518" s="15" t="s">
        <v>350</v>
      </c>
      <c r="AF2518" s="12">
        <f>IF(AG2518="Rejected",0,IF(R2518="Corporate Card",0,V2518))</f>
        <v>18.596900000000002</v>
      </c>
      <c r="AG2518" s="15" t="s">
        <v>133</v>
      </c>
      <c r="AH2518" s="16">
        <v>45959</v>
      </c>
      <c r="AI2518" s="16">
        <v>45966</v>
      </c>
      <c r="AJ2518" s="16">
        <v>45969</v>
      </c>
      <c r="AK2518" s="17">
        <f>IF(AJ2518="","",AJ2518-AH2518)</f>
        <v>10</v>
      </c>
    </row>
    <row r="2519" spans="1:37">
      <c r="A2519" s="2" t="s">
        <v>3013</v>
      </c>
      <c r="B2519" s="2" t="s">
        <v>116</v>
      </c>
      <c r="C2519" s="2" t="s">
        <v>117</v>
      </c>
      <c r="D2519" s="2" t="s">
        <v>118</v>
      </c>
      <c r="E2519" s="2" t="s">
        <v>119</v>
      </c>
      <c r="F2519" s="2" t="s">
        <v>120</v>
      </c>
      <c r="G2519" s="2" t="s">
        <v>2974</v>
      </c>
      <c r="H2519" s="2" t="s">
        <v>379</v>
      </c>
      <c r="I2519" s="2" t="s">
        <v>194</v>
      </c>
      <c r="J2519" s="2" t="s">
        <v>195</v>
      </c>
      <c r="K2519" s="9">
        <v>45953</v>
      </c>
      <c r="L2519" s="9">
        <v>45956</v>
      </c>
      <c r="M2519" s="9">
        <v>45955</v>
      </c>
      <c r="N2519" s="2" t="s">
        <v>2764</v>
      </c>
      <c r="O2519" s="2" t="s">
        <v>56</v>
      </c>
      <c r="P2519" s="2" t="s">
        <v>245</v>
      </c>
      <c r="Q2519" s="2" t="s">
        <v>185</v>
      </c>
      <c r="R2519" s="2" t="s">
        <v>149</v>
      </c>
      <c r="S2519" s="2" t="s">
        <v>198</v>
      </c>
      <c r="T2519" s="10">
        <v>26.04</v>
      </c>
      <c r="U2519" s="11">
        <v>1.085</v>
      </c>
      <c r="V2519" s="12">
        <f>T2519*U2519</f>
        <v>28.253399999999999</v>
      </c>
      <c r="W2519" s="13">
        <v>0.19</v>
      </c>
      <c r="X2519" s="12">
        <f>V2519-(V2519/(1+W2519))</f>
        <v>4.5110470588235287</v>
      </c>
      <c r="Y2519" s="12">
        <f>V2519-X2519</f>
        <v>23.74235294117647</v>
      </c>
      <c r="Z2519" s="14">
        <v>75</v>
      </c>
      <c r="AA2519" s="2" t="str">
        <f>IF(V2519&gt;Z2519,"Yes","No")</f>
        <v>No</v>
      </c>
      <c r="AB2519" s="12">
        <f>V2519-Z2519</f>
        <v>-46.746600000000001</v>
      </c>
      <c r="AC2519" s="15" t="s">
        <v>130</v>
      </c>
      <c r="AD2519" s="15" t="s">
        <v>131</v>
      </c>
      <c r="AE2519" s="15" t="s">
        <v>350</v>
      </c>
      <c r="AF2519" s="12">
        <f>IF(AG2519="Rejected",0,IF(R2519="Corporate Card",0,V2519))</f>
        <v>28.253399999999999</v>
      </c>
      <c r="AG2519" s="15" t="s">
        <v>133</v>
      </c>
      <c r="AH2519" s="16">
        <v>45959</v>
      </c>
      <c r="AI2519" s="16">
        <v>45966</v>
      </c>
      <c r="AJ2519" s="16">
        <v>45969</v>
      </c>
      <c r="AK2519" s="17">
        <f>IF(AJ2519="","",AJ2519-AH2519)</f>
        <v>10</v>
      </c>
    </row>
    <row r="2520" spans="1:37">
      <c r="A2520" s="2" t="s">
        <v>3014</v>
      </c>
      <c r="B2520" s="2" t="s">
        <v>116</v>
      </c>
      <c r="C2520" s="2" t="s">
        <v>117</v>
      </c>
      <c r="D2520" s="2" t="s">
        <v>118</v>
      </c>
      <c r="E2520" s="2" t="s">
        <v>119</v>
      </c>
      <c r="F2520" s="2" t="s">
        <v>120</v>
      </c>
      <c r="G2520" s="2" t="s">
        <v>2974</v>
      </c>
      <c r="H2520" s="2" t="s">
        <v>379</v>
      </c>
      <c r="I2520" s="2" t="s">
        <v>194</v>
      </c>
      <c r="J2520" s="2" t="s">
        <v>195</v>
      </c>
      <c r="K2520" s="9">
        <v>45953</v>
      </c>
      <c r="L2520" s="9">
        <v>45956</v>
      </c>
      <c r="M2520" s="9">
        <v>45955</v>
      </c>
      <c r="N2520" s="2" t="s">
        <v>2764</v>
      </c>
      <c r="O2520" s="2" t="s">
        <v>55</v>
      </c>
      <c r="P2520" s="2" t="s">
        <v>139</v>
      </c>
      <c r="Q2520" s="2" t="s">
        <v>161</v>
      </c>
      <c r="R2520" s="2" t="s">
        <v>128</v>
      </c>
      <c r="S2520" s="2" t="s">
        <v>198</v>
      </c>
      <c r="T2520" s="10">
        <v>20.83</v>
      </c>
      <c r="U2520" s="11">
        <v>1.085</v>
      </c>
      <c r="V2520" s="12">
        <f>T2520*U2520</f>
        <v>22.600549999999998</v>
      </c>
      <c r="W2520" s="13">
        <v>0.19</v>
      </c>
      <c r="X2520" s="12">
        <f>V2520-(V2520/(1+W2520))</f>
        <v>3.6084911764705865</v>
      </c>
      <c r="Y2520" s="12">
        <f>V2520-X2520</f>
        <v>18.992058823529412</v>
      </c>
      <c r="Z2520" s="14">
        <v>35</v>
      </c>
      <c r="AA2520" s="2" t="str">
        <f>IF(V2520&gt;Z2520,"Yes","No")</f>
        <v>No</v>
      </c>
      <c r="AB2520" s="12">
        <f>V2520-Z2520</f>
        <v>-12.399450000000002</v>
      </c>
      <c r="AC2520" s="15" t="s">
        <v>130</v>
      </c>
      <c r="AD2520" s="15" t="s">
        <v>131</v>
      </c>
      <c r="AE2520" s="15" t="s">
        <v>350</v>
      </c>
      <c r="AF2520" s="12">
        <f>IF(AG2520="Rejected",0,IF(R2520="Corporate Card",0,V2520))</f>
        <v>0</v>
      </c>
      <c r="AG2520" s="15" t="s">
        <v>133</v>
      </c>
      <c r="AH2520" s="16">
        <v>45959</v>
      </c>
      <c r="AI2520" s="16">
        <v>45966</v>
      </c>
      <c r="AJ2520" s="16">
        <v>45969</v>
      </c>
      <c r="AK2520" s="17">
        <f>IF(AJ2520="","",AJ2520-AH2520)</f>
        <v>10</v>
      </c>
    </row>
    <row r="2521" spans="1:37">
      <c r="A2521" s="2" t="s">
        <v>3015</v>
      </c>
      <c r="B2521" s="2" t="s">
        <v>550</v>
      </c>
      <c r="C2521" s="2" t="s">
        <v>551</v>
      </c>
      <c r="D2521" s="2" t="s">
        <v>171</v>
      </c>
      <c r="E2521" s="2" t="s">
        <v>172</v>
      </c>
      <c r="F2521" s="2" t="s">
        <v>173</v>
      </c>
      <c r="G2521" s="2" t="s">
        <v>2980</v>
      </c>
      <c r="H2521" s="2" t="s">
        <v>803</v>
      </c>
      <c r="I2521" s="2" t="s">
        <v>619</v>
      </c>
      <c r="J2521" s="2" t="s">
        <v>381</v>
      </c>
      <c r="K2521" s="9">
        <v>45953</v>
      </c>
      <c r="L2521" s="9">
        <v>45961</v>
      </c>
      <c r="M2521" s="9">
        <v>45955</v>
      </c>
      <c r="N2521" s="2" t="s">
        <v>2764</v>
      </c>
      <c r="O2521" s="2" t="s">
        <v>54</v>
      </c>
      <c r="P2521" s="2" t="s">
        <v>139</v>
      </c>
      <c r="Q2521" s="2" t="s">
        <v>148</v>
      </c>
      <c r="R2521" s="2" t="s">
        <v>128</v>
      </c>
      <c r="S2521" s="2" t="s">
        <v>383</v>
      </c>
      <c r="T2521" s="10">
        <v>11.52</v>
      </c>
      <c r="U2521" s="11">
        <v>1</v>
      </c>
      <c r="V2521" s="12">
        <f>T2521*U2521</f>
        <v>11.52</v>
      </c>
      <c r="W2521" s="13">
        <v>0</v>
      </c>
      <c r="X2521" s="12">
        <f>V2521-(V2521/(1+W2521))</f>
        <v>0</v>
      </c>
      <c r="Y2521" s="12">
        <f>V2521-X2521</f>
        <v>11.52</v>
      </c>
      <c r="Z2521" s="14">
        <v>25</v>
      </c>
      <c r="AA2521" s="2" t="str">
        <f>IF(V2521&gt;Z2521,"Yes","No")</f>
        <v>No</v>
      </c>
      <c r="AB2521" s="12">
        <f>V2521-Z2521</f>
        <v>-13.48</v>
      </c>
      <c r="AC2521" s="15" t="s">
        <v>130</v>
      </c>
      <c r="AD2521" s="15" t="s">
        <v>130</v>
      </c>
      <c r="AE2521" s="15" t="s">
        <v>858</v>
      </c>
      <c r="AF2521" s="12">
        <f>IF(AG2521="Rejected",0,IF(R2521="Corporate Card",0,V2521))</f>
        <v>0</v>
      </c>
      <c r="AG2521" s="15" t="s">
        <v>133</v>
      </c>
      <c r="AH2521" s="16">
        <v>45968</v>
      </c>
      <c r="AI2521" s="16">
        <v>45972</v>
      </c>
      <c r="AJ2521" s="16">
        <v>45983</v>
      </c>
      <c r="AK2521" s="17">
        <f>IF(AJ2521="","",AJ2521-AH2521)</f>
        <v>15</v>
      </c>
    </row>
    <row r="2522" spans="1:37">
      <c r="A2522" s="2" t="s">
        <v>3016</v>
      </c>
      <c r="B2522" s="2" t="s">
        <v>550</v>
      </c>
      <c r="C2522" s="2" t="s">
        <v>551</v>
      </c>
      <c r="D2522" s="2" t="s">
        <v>171</v>
      </c>
      <c r="E2522" s="2" t="s">
        <v>172</v>
      </c>
      <c r="F2522" s="2" t="s">
        <v>173</v>
      </c>
      <c r="G2522" s="2" t="s">
        <v>2980</v>
      </c>
      <c r="H2522" s="2" t="s">
        <v>803</v>
      </c>
      <c r="I2522" s="2" t="s">
        <v>619</v>
      </c>
      <c r="J2522" s="2" t="s">
        <v>381</v>
      </c>
      <c r="K2522" s="9">
        <v>45953</v>
      </c>
      <c r="L2522" s="9">
        <v>45961</v>
      </c>
      <c r="M2522" s="9">
        <v>45955</v>
      </c>
      <c r="N2522" s="2" t="s">
        <v>2764</v>
      </c>
      <c r="O2522" s="2" t="s">
        <v>56</v>
      </c>
      <c r="P2522" s="2" t="s">
        <v>151</v>
      </c>
      <c r="Q2522" s="2" t="s">
        <v>227</v>
      </c>
      <c r="R2522" s="2" t="s">
        <v>128</v>
      </c>
      <c r="S2522" s="2" t="s">
        <v>383</v>
      </c>
      <c r="T2522" s="10">
        <v>79.14</v>
      </c>
      <c r="U2522" s="11">
        <v>1</v>
      </c>
      <c r="V2522" s="12">
        <f>T2522*U2522</f>
        <v>79.14</v>
      </c>
      <c r="W2522" s="13">
        <v>0</v>
      </c>
      <c r="X2522" s="12">
        <f>V2522-(V2522/(1+W2522))</f>
        <v>0</v>
      </c>
      <c r="Y2522" s="12">
        <f>V2522-X2522</f>
        <v>79.14</v>
      </c>
      <c r="Z2522" s="14">
        <v>75</v>
      </c>
      <c r="AA2522" s="2" t="str">
        <f>IF(V2522&gt;Z2522,"Yes","No")</f>
        <v>Yes</v>
      </c>
      <c r="AB2522" s="12">
        <f>V2522-Z2522</f>
        <v>4.1400000000000006</v>
      </c>
      <c r="AC2522" s="15" t="s">
        <v>130</v>
      </c>
      <c r="AD2522" s="15" t="s">
        <v>130</v>
      </c>
      <c r="AE2522" s="15" t="s">
        <v>858</v>
      </c>
      <c r="AF2522" s="12">
        <f>IF(AG2522="Rejected",0,IF(R2522="Corporate Card",0,V2522))</f>
        <v>0</v>
      </c>
      <c r="AG2522" s="15" t="s">
        <v>133</v>
      </c>
      <c r="AH2522" s="16">
        <v>45968</v>
      </c>
      <c r="AI2522" s="16">
        <v>45972</v>
      </c>
      <c r="AJ2522" s="16">
        <v>45983</v>
      </c>
      <c r="AK2522" s="17">
        <f>IF(AJ2522="","",AJ2522-AH2522)</f>
        <v>15</v>
      </c>
    </row>
    <row r="2523" spans="1:37">
      <c r="A2523" s="2" t="s">
        <v>3017</v>
      </c>
      <c r="B2523" s="2" t="s">
        <v>550</v>
      </c>
      <c r="C2523" s="2" t="s">
        <v>551</v>
      </c>
      <c r="D2523" s="2" t="s">
        <v>171</v>
      </c>
      <c r="E2523" s="2" t="s">
        <v>172</v>
      </c>
      <c r="F2523" s="2" t="s">
        <v>173</v>
      </c>
      <c r="G2523" s="2" t="s">
        <v>2980</v>
      </c>
      <c r="H2523" s="2" t="s">
        <v>803</v>
      </c>
      <c r="I2523" s="2" t="s">
        <v>619</v>
      </c>
      <c r="J2523" s="2" t="s">
        <v>381</v>
      </c>
      <c r="K2523" s="9">
        <v>45953</v>
      </c>
      <c r="L2523" s="9">
        <v>45961</v>
      </c>
      <c r="M2523" s="9">
        <v>45955</v>
      </c>
      <c r="N2523" s="2" t="s">
        <v>2764</v>
      </c>
      <c r="O2523" s="2" t="s">
        <v>55</v>
      </c>
      <c r="P2523" s="2" t="s">
        <v>139</v>
      </c>
      <c r="Q2523" s="2" t="s">
        <v>161</v>
      </c>
      <c r="R2523" s="2" t="s">
        <v>128</v>
      </c>
      <c r="S2523" s="2" t="s">
        <v>383</v>
      </c>
      <c r="T2523" s="10">
        <v>34.020000000000003</v>
      </c>
      <c r="U2523" s="11">
        <v>1</v>
      </c>
      <c r="V2523" s="12">
        <f>T2523*U2523</f>
        <v>34.020000000000003</v>
      </c>
      <c r="W2523" s="13">
        <v>0</v>
      </c>
      <c r="X2523" s="12">
        <f>V2523-(V2523/(1+W2523))</f>
        <v>0</v>
      </c>
      <c r="Y2523" s="12">
        <f>V2523-X2523</f>
        <v>34.020000000000003</v>
      </c>
      <c r="Z2523" s="14">
        <v>35</v>
      </c>
      <c r="AA2523" s="2" t="str">
        <f>IF(V2523&gt;Z2523,"Yes","No")</f>
        <v>No</v>
      </c>
      <c r="AB2523" s="12">
        <f>V2523-Z2523</f>
        <v>-0.97999999999999687</v>
      </c>
      <c r="AC2523" s="15" t="s">
        <v>130</v>
      </c>
      <c r="AD2523" s="15" t="s">
        <v>130</v>
      </c>
      <c r="AE2523" s="15" t="s">
        <v>858</v>
      </c>
      <c r="AF2523" s="12">
        <f>IF(AG2523="Rejected",0,IF(R2523="Corporate Card",0,V2523))</f>
        <v>0</v>
      </c>
      <c r="AG2523" s="15" t="s">
        <v>133</v>
      </c>
      <c r="AH2523" s="16">
        <v>45968</v>
      </c>
      <c r="AI2523" s="16">
        <v>45972</v>
      </c>
      <c r="AJ2523" s="16">
        <v>45983</v>
      </c>
      <c r="AK2523" s="17">
        <f>IF(AJ2523="","",AJ2523-AH2523)</f>
        <v>15</v>
      </c>
    </row>
    <row r="2524" spans="1:37">
      <c r="A2524" s="2" t="s">
        <v>3018</v>
      </c>
      <c r="B2524" s="2" t="s">
        <v>287</v>
      </c>
      <c r="C2524" s="2" t="s">
        <v>288</v>
      </c>
      <c r="D2524" s="2" t="s">
        <v>171</v>
      </c>
      <c r="E2524" s="2" t="s">
        <v>289</v>
      </c>
      <c r="F2524" s="2" t="s">
        <v>173</v>
      </c>
      <c r="G2524" s="2" t="s">
        <v>3019</v>
      </c>
      <c r="H2524" s="2" t="s">
        <v>291</v>
      </c>
      <c r="I2524" s="2" t="s">
        <v>418</v>
      </c>
      <c r="J2524" s="2" t="s">
        <v>381</v>
      </c>
      <c r="K2524" s="9">
        <v>45955</v>
      </c>
      <c r="L2524" s="9">
        <v>45959</v>
      </c>
      <c r="M2524" s="9">
        <v>45955</v>
      </c>
      <c r="N2524" s="2" t="s">
        <v>2764</v>
      </c>
      <c r="O2524" s="2" t="s">
        <v>52</v>
      </c>
      <c r="P2524" s="2" t="s">
        <v>419</v>
      </c>
      <c r="Q2524" s="2" t="s">
        <v>197</v>
      </c>
      <c r="R2524" s="2" t="s">
        <v>137</v>
      </c>
      <c r="S2524" s="2" t="s">
        <v>383</v>
      </c>
      <c r="T2524" s="10">
        <v>1166.97</v>
      </c>
      <c r="U2524" s="11">
        <v>1</v>
      </c>
      <c r="V2524" s="12">
        <f>T2524*U2524</f>
        <v>1166.97</v>
      </c>
      <c r="W2524" s="13">
        <v>0</v>
      </c>
      <c r="X2524" s="12">
        <f>V2524-(V2524/(1+W2524))</f>
        <v>0</v>
      </c>
      <c r="Y2524" s="12">
        <f>V2524-X2524</f>
        <v>1166.97</v>
      </c>
      <c r="Z2524" s="14">
        <v>1400</v>
      </c>
      <c r="AA2524" s="2" t="str">
        <f>IF(V2524&gt;Z2524,"Yes","No")</f>
        <v>No</v>
      </c>
      <c r="AB2524" s="12">
        <f>V2524-Z2524</f>
        <v>-233.02999999999997</v>
      </c>
      <c r="AC2524" s="15" t="s">
        <v>130</v>
      </c>
      <c r="AD2524" s="15" t="s">
        <v>130</v>
      </c>
      <c r="AE2524" s="15" t="s">
        <v>514</v>
      </c>
      <c r="AF2524" s="12">
        <f>IF(AG2524="Rejected",0,IF(R2524="Corporate Card",0,V2524))</f>
        <v>1166.97</v>
      </c>
      <c r="AG2524" s="15" t="s">
        <v>133</v>
      </c>
      <c r="AH2524" s="16">
        <v>45964</v>
      </c>
      <c r="AI2524" s="16">
        <v>45969</v>
      </c>
      <c r="AJ2524" s="16">
        <v>45982</v>
      </c>
      <c r="AK2524" s="17">
        <f>IF(AJ2524="","",AJ2524-AH2524)</f>
        <v>18</v>
      </c>
    </row>
    <row r="2525" spans="1:37">
      <c r="A2525" s="2" t="s">
        <v>3020</v>
      </c>
      <c r="B2525" s="2" t="s">
        <v>287</v>
      </c>
      <c r="C2525" s="2" t="s">
        <v>288</v>
      </c>
      <c r="D2525" s="2" t="s">
        <v>171</v>
      </c>
      <c r="E2525" s="2" t="s">
        <v>289</v>
      </c>
      <c r="F2525" s="2" t="s">
        <v>173</v>
      </c>
      <c r="G2525" s="2" t="s">
        <v>3019</v>
      </c>
      <c r="H2525" s="2" t="s">
        <v>291</v>
      </c>
      <c r="I2525" s="2" t="s">
        <v>418</v>
      </c>
      <c r="J2525" s="2" t="s">
        <v>381</v>
      </c>
      <c r="K2525" s="9">
        <v>45955</v>
      </c>
      <c r="L2525" s="9">
        <v>45959</v>
      </c>
      <c r="M2525" s="9">
        <v>45955</v>
      </c>
      <c r="N2525" s="2" t="s">
        <v>2764</v>
      </c>
      <c r="O2525" s="2" t="s">
        <v>64</v>
      </c>
      <c r="P2525" s="2" t="s">
        <v>135</v>
      </c>
      <c r="Q2525" s="2" t="s">
        <v>513</v>
      </c>
      <c r="R2525" s="2" t="s">
        <v>128</v>
      </c>
      <c r="S2525" s="2" t="s">
        <v>383</v>
      </c>
      <c r="T2525" s="10">
        <v>102.14</v>
      </c>
      <c r="U2525" s="11">
        <v>1</v>
      </c>
      <c r="V2525" s="12">
        <f>T2525*U2525</f>
        <v>102.14</v>
      </c>
      <c r="W2525" s="13">
        <v>0</v>
      </c>
      <c r="X2525" s="12">
        <f>V2525-(V2525/(1+W2525))</f>
        <v>0</v>
      </c>
      <c r="Y2525" s="12">
        <f>V2525-X2525</f>
        <v>102.14</v>
      </c>
      <c r="Z2525" s="14">
        <v>120</v>
      </c>
      <c r="AA2525" s="2" t="str">
        <f>IF(V2525&gt;Z2525,"Yes","No")</f>
        <v>No</v>
      </c>
      <c r="AB2525" s="12">
        <f>V2525-Z2525</f>
        <v>-17.86</v>
      </c>
      <c r="AC2525" s="15" t="s">
        <v>131</v>
      </c>
      <c r="AD2525" s="15" t="s">
        <v>130</v>
      </c>
      <c r="AE2525" s="15" t="s">
        <v>514</v>
      </c>
      <c r="AF2525" s="12">
        <f>IF(AG2525="Rejected",0,IF(R2525="Corporate Card",0,V2525))</f>
        <v>0</v>
      </c>
      <c r="AG2525" s="15" t="s">
        <v>133</v>
      </c>
      <c r="AH2525" s="16">
        <v>45964</v>
      </c>
      <c r="AI2525" s="16">
        <v>45969</v>
      </c>
      <c r="AJ2525" s="16">
        <v>45982</v>
      </c>
      <c r="AK2525" s="17">
        <f>IF(AJ2525="","",AJ2525-AH2525)</f>
        <v>18</v>
      </c>
    </row>
    <row r="2526" spans="1:37">
      <c r="A2526" s="2" t="s">
        <v>3021</v>
      </c>
      <c r="B2526" s="2" t="s">
        <v>287</v>
      </c>
      <c r="C2526" s="2" t="s">
        <v>288</v>
      </c>
      <c r="D2526" s="2" t="s">
        <v>171</v>
      </c>
      <c r="E2526" s="2" t="s">
        <v>289</v>
      </c>
      <c r="F2526" s="2" t="s">
        <v>173</v>
      </c>
      <c r="G2526" s="2" t="s">
        <v>3019</v>
      </c>
      <c r="H2526" s="2" t="s">
        <v>291</v>
      </c>
      <c r="I2526" s="2" t="s">
        <v>418</v>
      </c>
      <c r="J2526" s="2" t="s">
        <v>381</v>
      </c>
      <c r="K2526" s="9">
        <v>45955</v>
      </c>
      <c r="L2526" s="9">
        <v>45959</v>
      </c>
      <c r="M2526" s="9">
        <v>45955</v>
      </c>
      <c r="N2526" s="2" t="s">
        <v>2764</v>
      </c>
      <c r="O2526" s="2" t="s">
        <v>55</v>
      </c>
      <c r="P2526" s="2" t="s">
        <v>139</v>
      </c>
      <c r="Q2526" s="2" t="s">
        <v>154</v>
      </c>
      <c r="R2526" s="2" t="s">
        <v>149</v>
      </c>
      <c r="S2526" s="2" t="s">
        <v>383</v>
      </c>
      <c r="T2526" s="10">
        <v>27.44</v>
      </c>
      <c r="U2526" s="11">
        <v>1</v>
      </c>
      <c r="V2526" s="12">
        <f>T2526*U2526</f>
        <v>27.44</v>
      </c>
      <c r="W2526" s="13">
        <v>0</v>
      </c>
      <c r="X2526" s="12">
        <f>V2526-(V2526/(1+W2526))</f>
        <v>0</v>
      </c>
      <c r="Y2526" s="12">
        <f>V2526-X2526</f>
        <v>27.44</v>
      </c>
      <c r="Z2526" s="14">
        <v>35</v>
      </c>
      <c r="AA2526" s="2" t="str">
        <f>IF(V2526&gt;Z2526,"Yes","No")</f>
        <v>No</v>
      </c>
      <c r="AB2526" s="12">
        <f>V2526-Z2526</f>
        <v>-7.5599999999999987</v>
      </c>
      <c r="AC2526" s="15" t="s">
        <v>130</v>
      </c>
      <c r="AD2526" s="15" t="s">
        <v>130</v>
      </c>
      <c r="AE2526" s="15" t="s">
        <v>514</v>
      </c>
      <c r="AF2526" s="12">
        <f>IF(AG2526="Rejected",0,IF(R2526="Corporate Card",0,V2526))</f>
        <v>27.44</v>
      </c>
      <c r="AG2526" s="15" t="s">
        <v>133</v>
      </c>
      <c r="AH2526" s="16">
        <v>45964</v>
      </c>
      <c r="AI2526" s="16">
        <v>45969</v>
      </c>
      <c r="AJ2526" s="16">
        <v>45982</v>
      </c>
      <c r="AK2526" s="17">
        <f>IF(AJ2526="","",AJ2526-AH2526)</f>
        <v>18</v>
      </c>
    </row>
    <row r="2527" spans="1:37">
      <c r="A2527" s="2" t="s">
        <v>3022</v>
      </c>
      <c r="B2527" s="2" t="s">
        <v>375</v>
      </c>
      <c r="C2527" s="2" t="s">
        <v>376</v>
      </c>
      <c r="D2527" s="2" t="s">
        <v>344</v>
      </c>
      <c r="E2527" s="2" t="s">
        <v>377</v>
      </c>
      <c r="F2527" s="2" t="s">
        <v>346</v>
      </c>
      <c r="G2527" s="2" t="s">
        <v>2939</v>
      </c>
      <c r="H2527" s="2" t="s">
        <v>748</v>
      </c>
      <c r="I2527" s="2" t="s">
        <v>123</v>
      </c>
      <c r="J2527" s="2" t="s">
        <v>124</v>
      </c>
      <c r="K2527" s="9">
        <v>45950</v>
      </c>
      <c r="L2527" s="9">
        <v>45958</v>
      </c>
      <c r="M2527" s="9">
        <v>45955</v>
      </c>
      <c r="N2527" s="2" t="s">
        <v>2764</v>
      </c>
      <c r="O2527" s="2" t="s">
        <v>54</v>
      </c>
      <c r="P2527" s="2" t="s">
        <v>139</v>
      </c>
      <c r="Q2527" s="2" t="s">
        <v>148</v>
      </c>
      <c r="R2527" s="2" t="s">
        <v>149</v>
      </c>
      <c r="S2527" s="2" t="s">
        <v>129</v>
      </c>
      <c r="T2527" s="10">
        <v>9.8800000000000008</v>
      </c>
      <c r="U2527" s="11">
        <v>1.272</v>
      </c>
      <c r="V2527" s="12">
        <f>T2527*U2527</f>
        <v>12.567360000000001</v>
      </c>
      <c r="W2527" s="13">
        <v>0.2</v>
      </c>
      <c r="X2527" s="12">
        <f>V2527-(V2527/(1+W2527))</f>
        <v>2.0945599999999995</v>
      </c>
      <c r="Y2527" s="12">
        <f>V2527-X2527</f>
        <v>10.472800000000001</v>
      </c>
      <c r="Z2527" s="14">
        <v>25</v>
      </c>
      <c r="AA2527" s="2" t="str">
        <f>IF(V2527&gt;Z2527,"Yes","No")</f>
        <v>No</v>
      </c>
      <c r="AB2527" s="12">
        <f>V2527-Z2527</f>
        <v>-12.432639999999999</v>
      </c>
      <c r="AC2527" s="15" t="s">
        <v>130</v>
      </c>
      <c r="AD2527" s="15" t="s">
        <v>131</v>
      </c>
      <c r="AE2527" s="15" t="s">
        <v>421</v>
      </c>
      <c r="AF2527" s="12">
        <f>IF(AG2527="Rejected",0,IF(R2527="Corporate Card",0,V2527))</f>
        <v>12.567360000000001</v>
      </c>
      <c r="AG2527" s="15" t="s">
        <v>133</v>
      </c>
      <c r="AH2527" s="16">
        <v>45962</v>
      </c>
      <c r="AI2527" s="16">
        <v>45967</v>
      </c>
      <c r="AJ2527" s="16">
        <v>45974</v>
      </c>
      <c r="AK2527" s="17">
        <f>IF(AJ2527="","",AJ2527-AH2527)</f>
        <v>12</v>
      </c>
    </row>
    <row r="2528" spans="1:37">
      <c r="A2528" s="2" t="s">
        <v>3023</v>
      </c>
      <c r="B2528" s="2" t="s">
        <v>375</v>
      </c>
      <c r="C2528" s="2" t="s">
        <v>376</v>
      </c>
      <c r="D2528" s="2" t="s">
        <v>344</v>
      </c>
      <c r="E2528" s="2" t="s">
        <v>377</v>
      </c>
      <c r="F2528" s="2" t="s">
        <v>346</v>
      </c>
      <c r="G2528" s="2" t="s">
        <v>2939</v>
      </c>
      <c r="H2528" s="2" t="s">
        <v>748</v>
      </c>
      <c r="I2528" s="2" t="s">
        <v>123</v>
      </c>
      <c r="J2528" s="2" t="s">
        <v>124</v>
      </c>
      <c r="K2528" s="9">
        <v>45950</v>
      </c>
      <c r="L2528" s="9">
        <v>45958</v>
      </c>
      <c r="M2528" s="9">
        <v>45955</v>
      </c>
      <c r="N2528" s="2" t="s">
        <v>2764</v>
      </c>
      <c r="O2528" s="2" t="s">
        <v>56</v>
      </c>
      <c r="P2528" s="2" t="s">
        <v>151</v>
      </c>
      <c r="Q2528" s="2" t="s">
        <v>152</v>
      </c>
      <c r="R2528" s="2" t="s">
        <v>128</v>
      </c>
      <c r="S2528" s="2" t="s">
        <v>129</v>
      </c>
      <c r="T2528" s="10">
        <v>26.02</v>
      </c>
      <c r="U2528" s="11">
        <v>1.272</v>
      </c>
      <c r="V2528" s="12">
        <f>T2528*U2528</f>
        <v>33.097439999999999</v>
      </c>
      <c r="W2528" s="13">
        <v>0.2</v>
      </c>
      <c r="X2528" s="12">
        <f>V2528-(V2528/(1+W2528))</f>
        <v>5.5162399999999998</v>
      </c>
      <c r="Y2528" s="12">
        <f>V2528-X2528</f>
        <v>27.581199999999999</v>
      </c>
      <c r="Z2528" s="14">
        <v>75</v>
      </c>
      <c r="AA2528" s="2" t="str">
        <f>IF(V2528&gt;Z2528,"Yes","No")</f>
        <v>No</v>
      </c>
      <c r="AB2528" s="12">
        <f>V2528-Z2528</f>
        <v>-41.902560000000001</v>
      </c>
      <c r="AC2528" s="15" t="s">
        <v>130</v>
      </c>
      <c r="AD2528" s="15" t="s">
        <v>131</v>
      </c>
      <c r="AE2528" s="15" t="s">
        <v>421</v>
      </c>
      <c r="AF2528" s="12">
        <f>IF(AG2528="Rejected",0,IF(R2528="Corporate Card",0,V2528))</f>
        <v>0</v>
      </c>
      <c r="AG2528" s="15" t="s">
        <v>133</v>
      </c>
      <c r="AH2528" s="16">
        <v>45962</v>
      </c>
      <c r="AI2528" s="16">
        <v>45967</v>
      </c>
      <c r="AJ2528" s="16">
        <v>45974</v>
      </c>
      <c r="AK2528" s="17">
        <f>IF(AJ2528="","",AJ2528-AH2528)</f>
        <v>12</v>
      </c>
    </row>
    <row r="2529" spans="1:37">
      <c r="A2529" s="2" t="s">
        <v>3024</v>
      </c>
      <c r="B2529" s="2" t="s">
        <v>863</v>
      </c>
      <c r="C2529" s="2" t="s">
        <v>864</v>
      </c>
      <c r="D2529" s="2" t="s">
        <v>865</v>
      </c>
      <c r="E2529" s="2" t="s">
        <v>866</v>
      </c>
      <c r="F2529" s="2" t="s">
        <v>867</v>
      </c>
      <c r="G2529" s="2" t="s">
        <v>2967</v>
      </c>
      <c r="H2529" s="2" t="s">
        <v>122</v>
      </c>
      <c r="I2529" s="2" t="s">
        <v>194</v>
      </c>
      <c r="J2529" s="2" t="s">
        <v>195</v>
      </c>
      <c r="K2529" s="9">
        <v>45952</v>
      </c>
      <c r="L2529" s="9">
        <v>45958</v>
      </c>
      <c r="M2529" s="9">
        <v>45955</v>
      </c>
      <c r="N2529" s="2" t="s">
        <v>2764</v>
      </c>
      <c r="O2529" s="2" t="s">
        <v>68</v>
      </c>
      <c r="P2529" s="2" t="s">
        <v>282</v>
      </c>
      <c r="Q2529" s="2" t="s">
        <v>283</v>
      </c>
      <c r="R2529" s="2" t="s">
        <v>128</v>
      </c>
      <c r="S2529" s="2" t="s">
        <v>198</v>
      </c>
      <c r="T2529" s="10">
        <v>25.26</v>
      </c>
      <c r="U2529" s="11">
        <v>1.085</v>
      </c>
      <c r="V2529" s="12">
        <f>T2529*U2529</f>
        <v>27.4071</v>
      </c>
      <c r="W2529" s="13">
        <v>0.19</v>
      </c>
      <c r="X2529" s="12">
        <f>V2529-(V2529/(1+W2529))</f>
        <v>4.3759235294117644</v>
      </c>
      <c r="Y2529" s="12">
        <f>V2529-X2529</f>
        <v>23.031176470588235</v>
      </c>
      <c r="Z2529" s="14">
        <v>30</v>
      </c>
      <c r="AA2529" s="2" t="str">
        <f>IF(V2529&gt;Z2529,"Yes","No")</f>
        <v>No</v>
      </c>
      <c r="AB2529" s="12">
        <f>V2529-Z2529</f>
        <v>-2.5929000000000002</v>
      </c>
      <c r="AC2529" s="15" t="s">
        <v>130</v>
      </c>
      <c r="AD2529" s="15" t="s">
        <v>131</v>
      </c>
      <c r="AE2529" s="15" t="s">
        <v>858</v>
      </c>
      <c r="AF2529" s="12">
        <f>IF(AG2529="Rejected",0,IF(R2529="Corporate Card",0,V2529))</f>
        <v>0</v>
      </c>
      <c r="AG2529" s="15" t="s">
        <v>133</v>
      </c>
      <c r="AH2529" s="16">
        <v>45959</v>
      </c>
      <c r="AI2529" s="16">
        <v>45963</v>
      </c>
      <c r="AJ2529" s="16">
        <v>45975</v>
      </c>
      <c r="AK2529" s="17">
        <f>IF(AJ2529="","",AJ2529-AH2529)</f>
        <v>16</v>
      </c>
    </row>
    <row r="2530" spans="1:37">
      <c r="A2530" s="2" t="s">
        <v>3025</v>
      </c>
      <c r="B2530" s="2" t="s">
        <v>863</v>
      </c>
      <c r="C2530" s="2" t="s">
        <v>864</v>
      </c>
      <c r="D2530" s="2" t="s">
        <v>865</v>
      </c>
      <c r="E2530" s="2" t="s">
        <v>866</v>
      </c>
      <c r="F2530" s="2" t="s">
        <v>867</v>
      </c>
      <c r="G2530" s="2" t="s">
        <v>2967</v>
      </c>
      <c r="H2530" s="2" t="s">
        <v>122</v>
      </c>
      <c r="I2530" s="2" t="s">
        <v>194</v>
      </c>
      <c r="J2530" s="2" t="s">
        <v>195</v>
      </c>
      <c r="K2530" s="9">
        <v>45952</v>
      </c>
      <c r="L2530" s="9">
        <v>45958</v>
      </c>
      <c r="M2530" s="9">
        <v>45955</v>
      </c>
      <c r="N2530" s="2" t="s">
        <v>2764</v>
      </c>
      <c r="O2530" s="2" t="s">
        <v>56</v>
      </c>
      <c r="P2530" s="2" t="s">
        <v>245</v>
      </c>
      <c r="Q2530" s="2" t="s">
        <v>185</v>
      </c>
      <c r="R2530" s="2" t="s">
        <v>128</v>
      </c>
      <c r="S2530" s="2" t="s">
        <v>198</v>
      </c>
      <c r="T2530" s="10">
        <v>37.770000000000003</v>
      </c>
      <c r="U2530" s="11">
        <v>1.085</v>
      </c>
      <c r="V2530" s="12">
        <f>T2530*U2530</f>
        <v>40.980450000000005</v>
      </c>
      <c r="W2530" s="13">
        <v>0.19</v>
      </c>
      <c r="X2530" s="12">
        <f>V2530-(V2530/(1+W2530))</f>
        <v>6.5430970588235269</v>
      </c>
      <c r="Y2530" s="12">
        <f>V2530-X2530</f>
        <v>34.437352941176478</v>
      </c>
      <c r="Z2530" s="14">
        <v>75</v>
      </c>
      <c r="AA2530" s="2" t="str">
        <f>IF(V2530&gt;Z2530,"Yes","No")</f>
        <v>No</v>
      </c>
      <c r="AB2530" s="12">
        <f>V2530-Z2530</f>
        <v>-34.019549999999995</v>
      </c>
      <c r="AC2530" s="15" t="s">
        <v>130</v>
      </c>
      <c r="AD2530" s="15" t="s">
        <v>131</v>
      </c>
      <c r="AE2530" s="15" t="s">
        <v>858</v>
      </c>
      <c r="AF2530" s="12">
        <f>IF(AG2530="Rejected",0,IF(R2530="Corporate Card",0,V2530))</f>
        <v>0</v>
      </c>
      <c r="AG2530" s="15" t="s">
        <v>133</v>
      </c>
      <c r="AH2530" s="16">
        <v>45959</v>
      </c>
      <c r="AI2530" s="16">
        <v>45963</v>
      </c>
      <c r="AJ2530" s="16">
        <v>45975</v>
      </c>
      <c r="AK2530" s="17">
        <f>IF(AJ2530="","",AJ2530-AH2530)</f>
        <v>16</v>
      </c>
    </row>
    <row r="2531" spans="1:37">
      <c r="A2531" s="2" t="s">
        <v>3026</v>
      </c>
      <c r="B2531" s="2" t="s">
        <v>863</v>
      </c>
      <c r="C2531" s="2" t="s">
        <v>864</v>
      </c>
      <c r="D2531" s="2" t="s">
        <v>865</v>
      </c>
      <c r="E2531" s="2" t="s">
        <v>866</v>
      </c>
      <c r="F2531" s="2" t="s">
        <v>867</v>
      </c>
      <c r="G2531" s="2" t="s">
        <v>2967</v>
      </c>
      <c r="H2531" s="2" t="s">
        <v>122</v>
      </c>
      <c r="I2531" s="2" t="s">
        <v>194</v>
      </c>
      <c r="J2531" s="2" t="s">
        <v>195</v>
      </c>
      <c r="K2531" s="9">
        <v>45952</v>
      </c>
      <c r="L2531" s="9">
        <v>45958</v>
      </c>
      <c r="M2531" s="9">
        <v>45955</v>
      </c>
      <c r="N2531" s="2" t="s">
        <v>2764</v>
      </c>
      <c r="O2531" s="2" t="s">
        <v>55</v>
      </c>
      <c r="P2531" s="2" t="s">
        <v>139</v>
      </c>
      <c r="Q2531" s="2" t="s">
        <v>217</v>
      </c>
      <c r="R2531" s="2" t="s">
        <v>137</v>
      </c>
      <c r="S2531" s="2" t="s">
        <v>198</v>
      </c>
      <c r="T2531" s="10">
        <v>21.22</v>
      </c>
      <c r="U2531" s="11">
        <v>1.085</v>
      </c>
      <c r="V2531" s="12">
        <f>T2531*U2531</f>
        <v>23.023699999999998</v>
      </c>
      <c r="W2531" s="13">
        <v>0.19</v>
      </c>
      <c r="X2531" s="12">
        <f>V2531-(V2531/(1+W2531))</f>
        <v>3.6760529411764686</v>
      </c>
      <c r="Y2531" s="12">
        <f>V2531-X2531</f>
        <v>19.347647058823529</v>
      </c>
      <c r="Z2531" s="14">
        <v>35</v>
      </c>
      <c r="AA2531" s="2" t="str">
        <f>IF(V2531&gt;Z2531,"Yes","No")</f>
        <v>No</v>
      </c>
      <c r="AB2531" s="12">
        <f>V2531-Z2531</f>
        <v>-11.976300000000002</v>
      </c>
      <c r="AC2531" s="15" t="s">
        <v>130</v>
      </c>
      <c r="AD2531" s="15" t="s">
        <v>131</v>
      </c>
      <c r="AE2531" s="15" t="s">
        <v>858</v>
      </c>
      <c r="AF2531" s="12">
        <f>IF(AG2531="Rejected",0,IF(R2531="Corporate Card",0,V2531))</f>
        <v>23.023699999999998</v>
      </c>
      <c r="AG2531" s="15" t="s">
        <v>133</v>
      </c>
      <c r="AH2531" s="16">
        <v>45959</v>
      </c>
      <c r="AI2531" s="16">
        <v>45963</v>
      </c>
      <c r="AJ2531" s="16">
        <v>45975</v>
      </c>
      <c r="AK2531" s="17">
        <f>IF(AJ2531="","",AJ2531-AH2531)</f>
        <v>16</v>
      </c>
    </row>
    <row r="2532" spans="1:37">
      <c r="A2532" s="2" t="s">
        <v>3027</v>
      </c>
      <c r="B2532" s="2" t="s">
        <v>116</v>
      </c>
      <c r="C2532" s="2" t="s">
        <v>117</v>
      </c>
      <c r="D2532" s="2" t="s">
        <v>118</v>
      </c>
      <c r="E2532" s="2" t="s">
        <v>119</v>
      </c>
      <c r="F2532" s="2" t="s">
        <v>120</v>
      </c>
      <c r="G2532" s="2" t="s">
        <v>2974</v>
      </c>
      <c r="H2532" s="2" t="s">
        <v>379</v>
      </c>
      <c r="I2532" s="2" t="s">
        <v>194</v>
      </c>
      <c r="J2532" s="2" t="s">
        <v>195</v>
      </c>
      <c r="K2532" s="9">
        <v>45953</v>
      </c>
      <c r="L2532" s="9">
        <v>45956</v>
      </c>
      <c r="M2532" s="9">
        <v>45956</v>
      </c>
      <c r="N2532" s="2" t="s">
        <v>2764</v>
      </c>
      <c r="O2532" s="2" t="s">
        <v>54</v>
      </c>
      <c r="P2532" s="2" t="s">
        <v>139</v>
      </c>
      <c r="Q2532" s="2" t="s">
        <v>148</v>
      </c>
      <c r="R2532" s="2" t="s">
        <v>128</v>
      </c>
      <c r="S2532" s="2" t="s">
        <v>198</v>
      </c>
      <c r="T2532" s="10">
        <v>20.16</v>
      </c>
      <c r="U2532" s="11">
        <v>1.085</v>
      </c>
      <c r="V2532" s="12">
        <f>T2532*U2532</f>
        <v>21.8736</v>
      </c>
      <c r="W2532" s="13">
        <v>0.19</v>
      </c>
      <c r="X2532" s="12">
        <f>V2532-(V2532/(1+W2532))</f>
        <v>3.4924235294117629</v>
      </c>
      <c r="Y2532" s="12">
        <f>V2532-X2532</f>
        <v>18.381176470588237</v>
      </c>
      <c r="Z2532" s="14">
        <v>25</v>
      </c>
      <c r="AA2532" s="2" t="str">
        <f>IF(V2532&gt;Z2532,"Yes","No")</f>
        <v>No</v>
      </c>
      <c r="AB2532" s="12">
        <f>V2532-Z2532</f>
        <v>-3.1264000000000003</v>
      </c>
      <c r="AC2532" s="15" t="s">
        <v>130</v>
      </c>
      <c r="AD2532" s="15" t="s">
        <v>131</v>
      </c>
      <c r="AE2532" s="15" t="s">
        <v>350</v>
      </c>
      <c r="AF2532" s="12">
        <f>IF(AG2532="Rejected",0,IF(R2532="Corporate Card",0,V2532))</f>
        <v>0</v>
      </c>
      <c r="AG2532" s="15" t="s">
        <v>133</v>
      </c>
      <c r="AH2532" s="16">
        <v>45959</v>
      </c>
      <c r="AI2532" s="16">
        <v>45966</v>
      </c>
      <c r="AJ2532" s="16">
        <v>45969</v>
      </c>
      <c r="AK2532" s="17">
        <f>IF(AJ2532="","",AJ2532-AH2532)</f>
        <v>10</v>
      </c>
    </row>
    <row r="2533" spans="1:37">
      <c r="A2533" s="2" t="s">
        <v>3028</v>
      </c>
      <c r="B2533" s="2" t="s">
        <v>116</v>
      </c>
      <c r="C2533" s="2" t="s">
        <v>117</v>
      </c>
      <c r="D2533" s="2" t="s">
        <v>118</v>
      </c>
      <c r="E2533" s="2" t="s">
        <v>119</v>
      </c>
      <c r="F2533" s="2" t="s">
        <v>120</v>
      </c>
      <c r="G2533" s="2" t="s">
        <v>2974</v>
      </c>
      <c r="H2533" s="2" t="s">
        <v>379</v>
      </c>
      <c r="I2533" s="2" t="s">
        <v>194</v>
      </c>
      <c r="J2533" s="2" t="s">
        <v>195</v>
      </c>
      <c r="K2533" s="9">
        <v>45953</v>
      </c>
      <c r="L2533" s="9">
        <v>45956</v>
      </c>
      <c r="M2533" s="9">
        <v>45956</v>
      </c>
      <c r="N2533" s="2" t="s">
        <v>2764</v>
      </c>
      <c r="O2533" s="2" t="s">
        <v>55</v>
      </c>
      <c r="P2533" s="2" t="s">
        <v>139</v>
      </c>
      <c r="Q2533" s="2" t="s">
        <v>187</v>
      </c>
      <c r="R2533" s="2" t="s">
        <v>128</v>
      </c>
      <c r="S2533" s="2" t="s">
        <v>198</v>
      </c>
      <c r="T2533" s="10">
        <v>22.89</v>
      </c>
      <c r="U2533" s="11">
        <v>1.085</v>
      </c>
      <c r="V2533" s="12">
        <f>T2533*U2533</f>
        <v>24.835650000000001</v>
      </c>
      <c r="W2533" s="13">
        <v>0.19</v>
      </c>
      <c r="X2533" s="12">
        <f>V2533-(V2533/(1+W2533))</f>
        <v>3.9653558823529416</v>
      </c>
      <c r="Y2533" s="12">
        <f>V2533-X2533</f>
        <v>20.87029411764706</v>
      </c>
      <c r="Z2533" s="14">
        <v>35</v>
      </c>
      <c r="AA2533" s="2" t="str">
        <f>IF(V2533&gt;Z2533,"Yes","No")</f>
        <v>No</v>
      </c>
      <c r="AB2533" s="12">
        <f>V2533-Z2533</f>
        <v>-10.164349999999999</v>
      </c>
      <c r="AC2533" s="15" t="s">
        <v>130</v>
      </c>
      <c r="AD2533" s="15" t="s">
        <v>131</v>
      </c>
      <c r="AE2533" s="15" t="s">
        <v>350</v>
      </c>
      <c r="AF2533" s="12">
        <f>IF(AG2533="Rejected",0,IF(R2533="Corporate Card",0,V2533))</f>
        <v>0</v>
      </c>
      <c r="AG2533" s="15" t="s">
        <v>133</v>
      </c>
      <c r="AH2533" s="16">
        <v>45959</v>
      </c>
      <c r="AI2533" s="16">
        <v>45966</v>
      </c>
      <c r="AJ2533" s="16">
        <v>45969</v>
      </c>
      <c r="AK2533" s="17">
        <f>IF(AJ2533="","",AJ2533-AH2533)</f>
        <v>10</v>
      </c>
    </row>
    <row r="2534" spans="1:37">
      <c r="A2534" s="2" t="s">
        <v>3029</v>
      </c>
      <c r="B2534" s="2" t="s">
        <v>550</v>
      </c>
      <c r="C2534" s="2" t="s">
        <v>551</v>
      </c>
      <c r="D2534" s="2" t="s">
        <v>171</v>
      </c>
      <c r="E2534" s="2" t="s">
        <v>172</v>
      </c>
      <c r="F2534" s="2" t="s">
        <v>173</v>
      </c>
      <c r="G2534" s="2" t="s">
        <v>2980</v>
      </c>
      <c r="H2534" s="2" t="s">
        <v>803</v>
      </c>
      <c r="I2534" s="2" t="s">
        <v>619</v>
      </c>
      <c r="J2534" s="2" t="s">
        <v>381</v>
      </c>
      <c r="K2534" s="9">
        <v>45953</v>
      </c>
      <c r="L2534" s="9">
        <v>45961</v>
      </c>
      <c r="M2534" s="9">
        <v>45956</v>
      </c>
      <c r="N2534" s="2" t="s">
        <v>2764</v>
      </c>
      <c r="O2534" s="2" t="s">
        <v>68</v>
      </c>
      <c r="P2534" s="2" t="s">
        <v>282</v>
      </c>
      <c r="Q2534" s="2" t="s">
        <v>283</v>
      </c>
      <c r="R2534" s="2" t="s">
        <v>149</v>
      </c>
      <c r="S2534" s="2" t="s">
        <v>383</v>
      </c>
      <c r="T2534" s="10">
        <v>22.66</v>
      </c>
      <c r="U2534" s="11">
        <v>1</v>
      </c>
      <c r="V2534" s="12">
        <f>T2534*U2534</f>
        <v>22.66</v>
      </c>
      <c r="W2534" s="13">
        <v>0</v>
      </c>
      <c r="X2534" s="12">
        <f>V2534-(V2534/(1+W2534))</f>
        <v>0</v>
      </c>
      <c r="Y2534" s="12">
        <f>V2534-X2534</f>
        <v>22.66</v>
      </c>
      <c r="Z2534" s="14">
        <v>30</v>
      </c>
      <c r="AA2534" s="2" t="str">
        <f>IF(V2534&gt;Z2534,"Yes","No")</f>
        <v>No</v>
      </c>
      <c r="AB2534" s="12">
        <f>V2534-Z2534</f>
        <v>-7.34</v>
      </c>
      <c r="AC2534" s="15" t="s">
        <v>130</v>
      </c>
      <c r="AD2534" s="15" t="s">
        <v>130</v>
      </c>
      <c r="AE2534" s="15" t="s">
        <v>858</v>
      </c>
      <c r="AF2534" s="12">
        <f>IF(AG2534="Rejected",0,IF(R2534="Corporate Card",0,V2534))</f>
        <v>22.66</v>
      </c>
      <c r="AG2534" s="15" t="s">
        <v>133</v>
      </c>
      <c r="AH2534" s="16">
        <v>45968</v>
      </c>
      <c r="AI2534" s="16">
        <v>45972</v>
      </c>
      <c r="AJ2534" s="16">
        <v>45983</v>
      </c>
      <c r="AK2534" s="17">
        <f>IF(AJ2534="","",AJ2534-AH2534)</f>
        <v>15</v>
      </c>
    </row>
    <row r="2535" spans="1:37">
      <c r="A2535" s="2" t="s">
        <v>3030</v>
      </c>
      <c r="B2535" s="2" t="s">
        <v>550</v>
      </c>
      <c r="C2535" s="2" t="s">
        <v>551</v>
      </c>
      <c r="D2535" s="2" t="s">
        <v>171</v>
      </c>
      <c r="E2535" s="2" t="s">
        <v>172</v>
      </c>
      <c r="F2535" s="2" t="s">
        <v>173</v>
      </c>
      <c r="G2535" s="2" t="s">
        <v>2980</v>
      </c>
      <c r="H2535" s="2" t="s">
        <v>803</v>
      </c>
      <c r="I2535" s="2" t="s">
        <v>619</v>
      </c>
      <c r="J2535" s="2" t="s">
        <v>381</v>
      </c>
      <c r="K2535" s="9">
        <v>45953</v>
      </c>
      <c r="L2535" s="9">
        <v>45961</v>
      </c>
      <c r="M2535" s="9">
        <v>45956</v>
      </c>
      <c r="N2535" s="2" t="s">
        <v>2764</v>
      </c>
      <c r="O2535" s="2" t="s">
        <v>54</v>
      </c>
      <c r="P2535" s="2" t="s">
        <v>139</v>
      </c>
      <c r="Q2535" s="2" t="s">
        <v>140</v>
      </c>
      <c r="R2535" s="2" t="s">
        <v>128</v>
      </c>
      <c r="S2535" s="2" t="s">
        <v>383</v>
      </c>
      <c r="T2535" s="10">
        <v>14.73</v>
      </c>
      <c r="U2535" s="11">
        <v>1</v>
      </c>
      <c r="V2535" s="12">
        <f>T2535*U2535</f>
        <v>14.73</v>
      </c>
      <c r="W2535" s="13">
        <v>0</v>
      </c>
      <c r="X2535" s="12">
        <f>V2535-(V2535/(1+W2535))</f>
        <v>0</v>
      </c>
      <c r="Y2535" s="12">
        <f>V2535-X2535</f>
        <v>14.73</v>
      </c>
      <c r="Z2535" s="14">
        <v>25</v>
      </c>
      <c r="AA2535" s="2" t="str">
        <f>IF(V2535&gt;Z2535,"Yes","No")</f>
        <v>No</v>
      </c>
      <c r="AB2535" s="12">
        <f>V2535-Z2535</f>
        <v>-10.27</v>
      </c>
      <c r="AC2535" s="15" t="s">
        <v>130</v>
      </c>
      <c r="AD2535" s="15" t="s">
        <v>130</v>
      </c>
      <c r="AE2535" s="15" t="s">
        <v>858</v>
      </c>
      <c r="AF2535" s="12">
        <f>IF(AG2535="Rejected",0,IF(R2535="Corporate Card",0,V2535))</f>
        <v>0</v>
      </c>
      <c r="AG2535" s="15" t="s">
        <v>133</v>
      </c>
      <c r="AH2535" s="16">
        <v>45968</v>
      </c>
      <c r="AI2535" s="16">
        <v>45972</v>
      </c>
      <c r="AJ2535" s="16">
        <v>45983</v>
      </c>
      <c r="AK2535" s="17">
        <f>IF(AJ2535="","",AJ2535-AH2535)</f>
        <v>15</v>
      </c>
    </row>
    <row r="2536" spans="1:37">
      <c r="A2536" s="2" t="s">
        <v>3031</v>
      </c>
      <c r="B2536" s="2" t="s">
        <v>550</v>
      </c>
      <c r="C2536" s="2" t="s">
        <v>551</v>
      </c>
      <c r="D2536" s="2" t="s">
        <v>171</v>
      </c>
      <c r="E2536" s="2" t="s">
        <v>172</v>
      </c>
      <c r="F2536" s="2" t="s">
        <v>173</v>
      </c>
      <c r="G2536" s="2" t="s">
        <v>2980</v>
      </c>
      <c r="H2536" s="2" t="s">
        <v>803</v>
      </c>
      <c r="I2536" s="2" t="s">
        <v>619</v>
      </c>
      <c r="J2536" s="2" t="s">
        <v>381</v>
      </c>
      <c r="K2536" s="9">
        <v>45953</v>
      </c>
      <c r="L2536" s="9">
        <v>45961</v>
      </c>
      <c r="M2536" s="9">
        <v>45956</v>
      </c>
      <c r="N2536" s="2" t="s">
        <v>2764</v>
      </c>
      <c r="O2536" s="2" t="s">
        <v>56</v>
      </c>
      <c r="P2536" s="2" t="s">
        <v>151</v>
      </c>
      <c r="Q2536" s="2" t="s">
        <v>159</v>
      </c>
      <c r="R2536" s="2" t="s">
        <v>137</v>
      </c>
      <c r="S2536" s="2" t="s">
        <v>383</v>
      </c>
      <c r="T2536" s="10">
        <v>82.99</v>
      </c>
      <c r="U2536" s="11">
        <v>1</v>
      </c>
      <c r="V2536" s="12">
        <f>T2536*U2536</f>
        <v>82.99</v>
      </c>
      <c r="W2536" s="13">
        <v>0</v>
      </c>
      <c r="X2536" s="12">
        <f>V2536-(V2536/(1+W2536))</f>
        <v>0</v>
      </c>
      <c r="Y2536" s="12">
        <f>V2536-X2536</f>
        <v>82.99</v>
      </c>
      <c r="Z2536" s="14">
        <v>75</v>
      </c>
      <c r="AA2536" s="2" t="str">
        <f>IF(V2536&gt;Z2536,"Yes","No")</f>
        <v>Yes</v>
      </c>
      <c r="AB2536" s="12">
        <f>V2536-Z2536</f>
        <v>7.9899999999999949</v>
      </c>
      <c r="AC2536" s="15" t="s">
        <v>130</v>
      </c>
      <c r="AD2536" s="15" t="s">
        <v>130</v>
      </c>
      <c r="AE2536" s="15" t="s">
        <v>858</v>
      </c>
      <c r="AF2536" s="12">
        <f>IF(AG2536="Rejected",0,IF(R2536="Corporate Card",0,V2536))</f>
        <v>82.99</v>
      </c>
      <c r="AG2536" s="15" t="s">
        <v>133</v>
      </c>
      <c r="AH2536" s="16">
        <v>45968</v>
      </c>
      <c r="AI2536" s="16">
        <v>45972</v>
      </c>
      <c r="AJ2536" s="16">
        <v>45983</v>
      </c>
      <c r="AK2536" s="17">
        <f>IF(AJ2536="","",AJ2536-AH2536)</f>
        <v>15</v>
      </c>
    </row>
    <row r="2537" spans="1:37">
      <c r="A2537" s="2" t="s">
        <v>3032</v>
      </c>
      <c r="B2537" s="2" t="s">
        <v>550</v>
      </c>
      <c r="C2537" s="2" t="s">
        <v>551</v>
      </c>
      <c r="D2537" s="2" t="s">
        <v>171</v>
      </c>
      <c r="E2537" s="2" t="s">
        <v>172</v>
      </c>
      <c r="F2537" s="2" t="s">
        <v>173</v>
      </c>
      <c r="G2537" s="2" t="s">
        <v>2980</v>
      </c>
      <c r="H2537" s="2" t="s">
        <v>803</v>
      </c>
      <c r="I2537" s="2" t="s">
        <v>619</v>
      </c>
      <c r="J2537" s="2" t="s">
        <v>381</v>
      </c>
      <c r="K2537" s="9">
        <v>45953</v>
      </c>
      <c r="L2537" s="9">
        <v>45961</v>
      </c>
      <c r="M2537" s="9">
        <v>45956</v>
      </c>
      <c r="N2537" s="2" t="s">
        <v>2764</v>
      </c>
      <c r="O2537" s="2" t="s">
        <v>55</v>
      </c>
      <c r="P2537" s="2" t="s">
        <v>139</v>
      </c>
      <c r="Q2537" s="2" t="s">
        <v>187</v>
      </c>
      <c r="R2537" s="2" t="s">
        <v>137</v>
      </c>
      <c r="S2537" s="2" t="s">
        <v>383</v>
      </c>
      <c r="T2537" s="10">
        <v>13.36</v>
      </c>
      <c r="U2537" s="11">
        <v>1</v>
      </c>
      <c r="V2537" s="12">
        <f>T2537*U2537</f>
        <v>13.36</v>
      </c>
      <c r="W2537" s="13">
        <v>0</v>
      </c>
      <c r="X2537" s="12">
        <f>V2537-(V2537/(1+W2537))</f>
        <v>0</v>
      </c>
      <c r="Y2537" s="12">
        <f>V2537-X2537</f>
        <v>13.36</v>
      </c>
      <c r="Z2537" s="14">
        <v>35</v>
      </c>
      <c r="AA2537" s="2" t="str">
        <f>IF(V2537&gt;Z2537,"Yes","No")</f>
        <v>No</v>
      </c>
      <c r="AB2537" s="12">
        <f>V2537-Z2537</f>
        <v>-21.64</v>
      </c>
      <c r="AC2537" s="15" t="s">
        <v>130</v>
      </c>
      <c r="AD2537" s="15" t="s">
        <v>130</v>
      </c>
      <c r="AE2537" s="15" t="s">
        <v>858</v>
      </c>
      <c r="AF2537" s="12">
        <f>IF(AG2537="Rejected",0,IF(R2537="Corporate Card",0,V2537))</f>
        <v>13.36</v>
      </c>
      <c r="AG2537" s="15" t="s">
        <v>133</v>
      </c>
      <c r="AH2537" s="16">
        <v>45968</v>
      </c>
      <c r="AI2537" s="16">
        <v>45972</v>
      </c>
      <c r="AJ2537" s="16">
        <v>45983</v>
      </c>
      <c r="AK2537" s="17">
        <f>IF(AJ2537="","",AJ2537-AH2537)</f>
        <v>15</v>
      </c>
    </row>
    <row r="2538" spans="1:37">
      <c r="A2538" s="2" t="s">
        <v>3033</v>
      </c>
      <c r="B2538" s="2" t="s">
        <v>287</v>
      </c>
      <c r="C2538" s="2" t="s">
        <v>288</v>
      </c>
      <c r="D2538" s="2" t="s">
        <v>171</v>
      </c>
      <c r="E2538" s="2" t="s">
        <v>289</v>
      </c>
      <c r="F2538" s="2" t="s">
        <v>173</v>
      </c>
      <c r="G2538" s="2" t="s">
        <v>3019</v>
      </c>
      <c r="H2538" s="2" t="s">
        <v>291</v>
      </c>
      <c r="I2538" s="2" t="s">
        <v>418</v>
      </c>
      <c r="J2538" s="2" t="s">
        <v>381</v>
      </c>
      <c r="K2538" s="9">
        <v>45955</v>
      </c>
      <c r="L2538" s="9">
        <v>45959</v>
      </c>
      <c r="M2538" s="9">
        <v>45956</v>
      </c>
      <c r="N2538" s="2" t="s">
        <v>2764</v>
      </c>
      <c r="O2538" s="2" t="s">
        <v>58</v>
      </c>
      <c r="P2538" s="2" t="s">
        <v>142</v>
      </c>
      <c r="Q2538" s="2" t="s">
        <v>203</v>
      </c>
      <c r="R2538" s="2" t="s">
        <v>149</v>
      </c>
      <c r="S2538" s="2" t="s">
        <v>383</v>
      </c>
      <c r="T2538" s="10">
        <v>55.55</v>
      </c>
      <c r="U2538" s="11">
        <v>1</v>
      </c>
      <c r="V2538" s="12">
        <f>T2538*U2538</f>
        <v>55.55</v>
      </c>
      <c r="W2538" s="13">
        <v>0</v>
      </c>
      <c r="X2538" s="12">
        <f>V2538-(V2538/(1+W2538))</f>
        <v>0</v>
      </c>
      <c r="Y2538" s="12">
        <f>V2538-X2538</f>
        <v>55.55</v>
      </c>
      <c r="Z2538" s="14">
        <v>60</v>
      </c>
      <c r="AA2538" s="2" t="str">
        <f>IF(V2538&gt;Z2538,"Yes","No")</f>
        <v>No</v>
      </c>
      <c r="AB2538" s="12">
        <f>V2538-Z2538</f>
        <v>-4.4500000000000028</v>
      </c>
      <c r="AC2538" s="15" t="s">
        <v>130</v>
      </c>
      <c r="AD2538" s="15" t="s">
        <v>130</v>
      </c>
      <c r="AE2538" s="15" t="s">
        <v>514</v>
      </c>
      <c r="AF2538" s="12">
        <f>IF(AG2538="Rejected",0,IF(R2538="Corporate Card",0,V2538))</f>
        <v>55.55</v>
      </c>
      <c r="AG2538" s="15" t="s">
        <v>133</v>
      </c>
      <c r="AH2538" s="16">
        <v>45964</v>
      </c>
      <c r="AI2538" s="16">
        <v>45969</v>
      </c>
      <c r="AJ2538" s="16">
        <v>45982</v>
      </c>
      <c r="AK2538" s="17">
        <f>IF(AJ2538="","",AJ2538-AH2538)</f>
        <v>18</v>
      </c>
    </row>
    <row r="2539" spans="1:37">
      <c r="A2539" s="2" t="s">
        <v>3034</v>
      </c>
      <c r="B2539" s="2" t="s">
        <v>287</v>
      </c>
      <c r="C2539" s="2" t="s">
        <v>288</v>
      </c>
      <c r="D2539" s="2" t="s">
        <v>171</v>
      </c>
      <c r="E2539" s="2" t="s">
        <v>289</v>
      </c>
      <c r="F2539" s="2" t="s">
        <v>173</v>
      </c>
      <c r="G2539" s="2" t="s">
        <v>3019</v>
      </c>
      <c r="H2539" s="2" t="s">
        <v>291</v>
      </c>
      <c r="I2539" s="2" t="s">
        <v>418</v>
      </c>
      <c r="J2539" s="2" t="s">
        <v>381</v>
      </c>
      <c r="K2539" s="9">
        <v>45955</v>
      </c>
      <c r="L2539" s="9">
        <v>45959</v>
      </c>
      <c r="M2539" s="9">
        <v>45956</v>
      </c>
      <c r="N2539" s="2" t="s">
        <v>2764</v>
      </c>
      <c r="O2539" s="2" t="s">
        <v>53</v>
      </c>
      <c r="P2539" s="2" t="s">
        <v>457</v>
      </c>
      <c r="Q2539" s="2" t="s">
        <v>458</v>
      </c>
      <c r="R2539" s="2" t="s">
        <v>137</v>
      </c>
      <c r="S2539" s="2" t="s">
        <v>383</v>
      </c>
      <c r="T2539" s="10">
        <v>913.64</v>
      </c>
      <c r="U2539" s="11">
        <v>1</v>
      </c>
      <c r="V2539" s="12">
        <f>T2539*U2539</f>
        <v>913.64</v>
      </c>
      <c r="W2539" s="13">
        <v>0</v>
      </c>
      <c r="X2539" s="12">
        <f>V2539-(V2539/(1+W2539))</f>
        <v>0</v>
      </c>
      <c r="Y2539" s="12">
        <f>V2539-X2539</f>
        <v>913.64</v>
      </c>
      <c r="Z2539" s="14">
        <v>1120</v>
      </c>
      <c r="AA2539" s="2" t="str">
        <f>IF(V2539&gt;Z2539,"Yes","No")</f>
        <v>No</v>
      </c>
      <c r="AB2539" s="12">
        <f>V2539-Z2539</f>
        <v>-206.36</v>
      </c>
      <c r="AC2539" s="15" t="s">
        <v>130</v>
      </c>
      <c r="AD2539" s="15" t="s">
        <v>130</v>
      </c>
      <c r="AE2539" s="15" t="s">
        <v>514</v>
      </c>
      <c r="AF2539" s="12">
        <f>IF(AG2539="Rejected",0,IF(R2539="Corporate Card",0,V2539))</f>
        <v>913.64</v>
      </c>
      <c r="AG2539" s="15" t="s">
        <v>133</v>
      </c>
      <c r="AH2539" s="16">
        <v>45964</v>
      </c>
      <c r="AI2539" s="16">
        <v>45969</v>
      </c>
      <c r="AJ2539" s="16">
        <v>45982</v>
      </c>
      <c r="AK2539" s="17">
        <f>IF(AJ2539="","",AJ2539-AH2539)</f>
        <v>18</v>
      </c>
    </row>
    <row r="2540" spans="1:37">
      <c r="A2540" s="2" t="s">
        <v>3035</v>
      </c>
      <c r="B2540" s="2" t="s">
        <v>287</v>
      </c>
      <c r="C2540" s="2" t="s">
        <v>288</v>
      </c>
      <c r="D2540" s="2" t="s">
        <v>171</v>
      </c>
      <c r="E2540" s="2" t="s">
        <v>289</v>
      </c>
      <c r="F2540" s="2" t="s">
        <v>173</v>
      </c>
      <c r="G2540" s="2" t="s">
        <v>3019</v>
      </c>
      <c r="H2540" s="2" t="s">
        <v>291</v>
      </c>
      <c r="I2540" s="2" t="s">
        <v>418</v>
      </c>
      <c r="J2540" s="2" t="s">
        <v>381</v>
      </c>
      <c r="K2540" s="9">
        <v>45955</v>
      </c>
      <c r="L2540" s="9">
        <v>45959</v>
      </c>
      <c r="M2540" s="9">
        <v>45956</v>
      </c>
      <c r="N2540" s="2" t="s">
        <v>2764</v>
      </c>
      <c r="O2540" s="2" t="s">
        <v>54</v>
      </c>
      <c r="P2540" s="2" t="s">
        <v>139</v>
      </c>
      <c r="Q2540" s="2" t="s">
        <v>140</v>
      </c>
      <c r="R2540" s="2" t="s">
        <v>137</v>
      </c>
      <c r="S2540" s="2" t="s">
        <v>383</v>
      </c>
      <c r="T2540" s="10">
        <v>13.89</v>
      </c>
      <c r="U2540" s="11">
        <v>1</v>
      </c>
      <c r="V2540" s="12">
        <f>T2540*U2540</f>
        <v>13.89</v>
      </c>
      <c r="W2540" s="13">
        <v>0</v>
      </c>
      <c r="X2540" s="12">
        <f>V2540-(V2540/(1+W2540))</f>
        <v>0</v>
      </c>
      <c r="Y2540" s="12">
        <f>V2540-X2540</f>
        <v>13.89</v>
      </c>
      <c r="Z2540" s="14">
        <v>25</v>
      </c>
      <c r="AA2540" s="2" t="str">
        <f>IF(V2540&gt;Z2540,"Yes","No")</f>
        <v>No</v>
      </c>
      <c r="AB2540" s="12">
        <f>V2540-Z2540</f>
        <v>-11.11</v>
      </c>
      <c r="AC2540" s="15" t="s">
        <v>130</v>
      </c>
      <c r="AD2540" s="15" t="s">
        <v>130</v>
      </c>
      <c r="AE2540" s="15" t="s">
        <v>514</v>
      </c>
      <c r="AF2540" s="12">
        <f>IF(AG2540="Rejected",0,IF(R2540="Corporate Card",0,V2540))</f>
        <v>13.89</v>
      </c>
      <c r="AG2540" s="15" t="s">
        <v>133</v>
      </c>
      <c r="AH2540" s="16">
        <v>45964</v>
      </c>
      <c r="AI2540" s="16">
        <v>45969</v>
      </c>
      <c r="AJ2540" s="16">
        <v>45982</v>
      </c>
      <c r="AK2540" s="17">
        <f>IF(AJ2540="","",AJ2540-AH2540)</f>
        <v>18</v>
      </c>
    </row>
    <row r="2541" spans="1:37">
      <c r="A2541" s="2" t="s">
        <v>3036</v>
      </c>
      <c r="B2541" s="2" t="s">
        <v>287</v>
      </c>
      <c r="C2541" s="2" t="s">
        <v>288</v>
      </c>
      <c r="D2541" s="2" t="s">
        <v>171</v>
      </c>
      <c r="E2541" s="2" t="s">
        <v>289</v>
      </c>
      <c r="F2541" s="2" t="s">
        <v>173</v>
      </c>
      <c r="G2541" s="2" t="s">
        <v>3019</v>
      </c>
      <c r="H2541" s="2" t="s">
        <v>291</v>
      </c>
      <c r="I2541" s="2" t="s">
        <v>418</v>
      </c>
      <c r="J2541" s="2" t="s">
        <v>381</v>
      </c>
      <c r="K2541" s="9">
        <v>45955</v>
      </c>
      <c r="L2541" s="9">
        <v>45959</v>
      </c>
      <c r="M2541" s="9">
        <v>45956</v>
      </c>
      <c r="N2541" s="2" t="s">
        <v>2764</v>
      </c>
      <c r="O2541" s="2" t="s">
        <v>56</v>
      </c>
      <c r="P2541" s="2" t="s">
        <v>231</v>
      </c>
      <c r="Q2541" s="2" t="s">
        <v>185</v>
      </c>
      <c r="R2541" s="2" t="s">
        <v>128</v>
      </c>
      <c r="S2541" s="2" t="s">
        <v>383</v>
      </c>
      <c r="T2541" s="10">
        <v>45.7</v>
      </c>
      <c r="U2541" s="11">
        <v>1</v>
      </c>
      <c r="V2541" s="12">
        <f>T2541*U2541</f>
        <v>45.7</v>
      </c>
      <c r="W2541" s="13">
        <v>0</v>
      </c>
      <c r="X2541" s="12">
        <f>V2541-(V2541/(1+W2541))</f>
        <v>0</v>
      </c>
      <c r="Y2541" s="12">
        <f>V2541-X2541</f>
        <v>45.7</v>
      </c>
      <c r="Z2541" s="14">
        <v>75</v>
      </c>
      <c r="AA2541" s="2" t="str">
        <f>IF(V2541&gt;Z2541,"Yes","No")</f>
        <v>No</v>
      </c>
      <c r="AB2541" s="12">
        <f>V2541-Z2541</f>
        <v>-29.299999999999997</v>
      </c>
      <c r="AC2541" s="15" t="s">
        <v>130</v>
      </c>
      <c r="AD2541" s="15" t="s">
        <v>130</v>
      </c>
      <c r="AE2541" s="15" t="s">
        <v>514</v>
      </c>
      <c r="AF2541" s="12">
        <f>IF(AG2541="Rejected",0,IF(R2541="Corporate Card",0,V2541))</f>
        <v>0</v>
      </c>
      <c r="AG2541" s="15" t="s">
        <v>133</v>
      </c>
      <c r="AH2541" s="16">
        <v>45964</v>
      </c>
      <c r="AI2541" s="16">
        <v>45969</v>
      </c>
      <c r="AJ2541" s="16">
        <v>45982</v>
      </c>
      <c r="AK2541" s="17">
        <f>IF(AJ2541="","",AJ2541-AH2541)</f>
        <v>18</v>
      </c>
    </row>
    <row r="2542" spans="1:37">
      <c r="A2542" s="2" t="s">
        <v>3037</v>
      </c>
      <c r="B2542" s="2" t="s">
        <v>287</v>
      </c>
      <c r="C2542" s="2" t="s">
        <v>288</v>
      </c>
      <c r="D2542" s="2" t="s">
        <v>171</v>
      </c>
      <c r="E2542" s="2" t="s">
        <v>289</v>
      </c>
      <c r="F2542" s="2" t="s">
        <v>173</v>
      </c>
      <c r="G2542" s="2" t="s">
        <v>3019</v>
      </c>
      <c r="H2542" s="2" t="s">
        <v>291</v>
      </c>
      <c r="I2542" s="2" t="s">
        <v>418</v>
      </c>
      <c r="J2542" s="2" t="s">
        <v>381</v>
      </c>
      <c r="K2542" s="9">
        <v>45955</v>
      </c>
      <c r="L2542" s="9">
        <v>45959</v>
      </c>
      <c r="M2542" s="9">
        <v>45956</v>
      </c>
      <c r="N2542" s="2" t="s">
        <v>2764</v>
      </c>
      <c r="O2542" s="2" t="s">
        <v>55</v>
      </c>
      <c r="P2542" s="2" t="s">
        <v>139</v>
      </c>
      <c r="Q2542" s="2" t="s">
        <v>161</v>
      </c>
      <c r="R2542" s="2" t="s">
        <v>149</v>
      </c>
      <c r="S2542" s="2" t="s">
        <v>383</v>
      </c>
      <c r="T2542" s="10">
        <v>16.37</v>
      </c>
      <c r="U2542" s="11">
        <v>1</v>
      </c>
      <c r="V2542" s="12">
        <f>T2542*U2542</f>
        <v>16.37</v>
      </c>
      <c r="W2542" s="13">
        <v>0</v>
      </c>
      <c r="X2542" s="12">
        <f>V2542-(V2542/(1+W2542))</f>
        <v>0</v>
      </c>
      <c r="Y2542" s="12">
        <f>V2542-X2542</f>
        <v>16.37</v>
      </c>
      <c r="Z2542" s="14">
        <v>35</v>
      </c>
      <c r="AA2542" s="2" t="str">
        <f>IF(V2542&gt;Z2542,"Yes","No")</f>
        <v>No</v>
      </c>
      <c r="AB2542" s="12">
        <f>V2542-Z2542</f>
        <v>-18.63</v>
      </c>
      <c r="AC2542" s="15" t="s">
        <v>130</v>
      </c>
      <c r="AD2542" s="15" t="s">
        <v>130</v>
      </c>
      <c r="AE2542" s="15" t="s">
        <v>514</v>
      </c>
      <c r="AF2542" s="12">
        <f>IF(AG2542="Rejected",0,IF(R2542="Corporate Card",0,V2542))</f>
        <v>16.37</v>
      </c>
      <c r="AG2542" s="15" t="s">
        <v>133</v>
      </c>
      <c r="AH2542" s="16">
        <v>45964</v>
      </c>
      <c r="AI2542" s="16">
        <v>45969</v>
      </c>
      <c r="AJ2542" s="16">
        <v>45982</v>
      </c>
      <c r="AK2542" s="17">
        <f>IF(AJ2542="","",AJ2542-AH2542)</f>
        <v>18</v>
      </c>
    </row>
    <row r="2543" spans="1:37">
      <c r="A2543" s="2" t="s">
        <v>3038</v>
      </c>
      <c r="B2543" s="2" t="s">
        <v>375</v>
      </c>
      <c r="C2543" s="2" t="s">
        <v>376</v>
      </c>
      <c r="D2543" s="2" t="s">
        <v>344</v>
      </c>
      <c r="E2543" s="2" t="s">
        <v>377</v>
      </c>
      <c r="F2543" s="2" t="s">
        <v>346</v>
      </c>
      <c r="G2543" s="2" t="s">
        <v>2939</v>
      </c>
      <c r="H2543" s="2" t="s">
        <v>748</v>
      </c>
      <c r="I2543" s="2" t="s">
        <v>123</v>
      </c>
      <c r="J2543" s="2" t="s">
        <v>124</v>
      </c>
      <c r="K2543" s="9">
        <v>45950</v>
      </c>
      <c r="L2543" s="9">
        <v>45958</v>
      </c>
      <c r="M2543" s="9">
        <v>45956</v>
      </c>
      <c r="N2543" s="2" t="s">
        <v>2764</v>
      </c>
      <c r="O2543" s="2" t="s">
        <v>54</v>
      </c>
      <c r="P2543" s="2" t="s">
        <v>139</v>
      </c>
      <c r="Q2543" s="2" t="s">
        <v>214</v>
      </c>
      <c r="R2543" s="2" t="s">
        <v>128</v>
      </c>
      <c r="S2543" s="2" t="s">
        <v>129</v>
      </c>
      <c r="T2543" s="10">
        <v>18.61</v>
      </c>
      <c r="U2543" s="11">
        <v>1.272</v>
      </c>
      <c r="V2543" s="12">
        <f>T2543*U2543</f>
        <v>23.67192</v>
      </c>
      <c r="W2543" s="13">
        <v>0.2</v>
      </c>
      <c r="X2543" s="12">
        <f>V2543-(V2543/(1+W2543))</f>
        <v>3.9453199999999988</v>
      </c>
      <c r="Y2543" s="12">
        <f>V2543-X2543</f>
        <v>19.726600000000001</v>
      </c>
      <c r="Z2543" s="14">
        <v>25</v>
      </c>
      <c r="AA2543" s="2" t="str">
        <f>IF(V2543&gt;Z2543,"Yes","No")</f>
        <v>No</v>
      </c>
      <c r="AB2543" s="12">
        <f>V2543-Z2543</f>
        <v>-1.3280799999999999</v>
      </c>
      <c r="AC2543" s="15" t="s">
        <v>130</v>
      </c>
      <c r="AD2543" s="15" t="s">
        <v>131</v>
      </c>
      <c r="AE2543" s="15" t="s">
        <v>421</v>
      </c>
      <c r="AF2543" s="12">
        <f>IF(AG2543="Rejected",0,IF(R2543="Corporate Card",0,V2543))</f>
        <v>0</v>
      </c>
      <c r="AG2543" s="15" t="s">
        <v>133</v>
      </c>
      <c r="AH2543" s="16">
        <v>45962</v>
      </c>
      <c r="AI2543" s="16">
        <v>45967</v>
      </c>
      <c r="AJ2543" s="16">
        <v>45974</v>
      </c>
      <c r="AK2543" s="17">
        <f>IF(AJ2543="","",AJ2543-AH2543)</f>
        <v>12</v>
      </c>
    </row>
    <row r="2544" spans="1:37">
      <c r="A2544" s="2" t="s">
        <v>3039</v>
      </c>
      <c r="B2544" s="2" t="s">
        <v>375</v>
      </c>
      <c r="C2544" s="2" t="s">
        <v>376</v>
      </c>
      <c r="D2544" s="2" t="s">
        <v>344</v>
      </c>
      <c r="E2544" s="2" t="s">
        <v>377</v>
      </c>
      <c r="F2544" s="2" t="s">
        <v>346</v>
      </c>
      <c r="G2544" s="2" t="s">
        <v>2939</v>
      </c>
      <c r="H2544" s="2" t="s">
        <v>748</v>
      </c>
      <c r="I2544" s="2" t="s">
        <v>123</v>
      </c>
      <c r="J2544" s="2" t="s">
        <v>124</v>
      </c>
      <c r="K2544" s="9">
        <v>45950</v>
      </c>
      <c r="L2544" s="9">
        <v>45958</v>
      </c>
      <c r="M2544" s="9">
        <v>45956</v>
      </c>
      <c r="N2544" s="2" t="s">
        <v>2764</v>
      </c>
      <c r="O2544" s="2" t="s">
        <v>55</v>
      </c>
      <c r="P2544" s="2" t="s">
        <v>139</v>
      </c>
      <c r="Q2544" s="2" t="s">
        <v>161</v>
      </c>
      <c r="R2544" s="2" t="s">
        <v>128</v>
      </c>
      <c r="S2544" s="2" t="s">
        <v>129</v>
      </c>
      <c r="T2544" s="10">
        <v>12.57</v>
      </c>
      <c r="U2544" s="11">
        <v>1.272</v>
      </c>
      <c r="V2544" s="12">
        <f>T2544*U2544</f>
        <v>15.989040000000001</v>
      </c>
      <c r="W2544" s="13">
        <v>0.2</v>
      </c>
      <c r="X2544" s="12">
        <f>V2544-(V2544/(1+W2544))</f>
        <v>2.6648399999999999</v>
      </c>
      <c r="Y2544" s="12">
        <f>V2544-X2544</f>
        <v>13.324200000000001</v>
      </c>
      <c r="Z2544" s="14">
        <v>35</v>
      </c>
      <c r="AA2544" s="2" t="str">
        <f>IF(V2544&gt;Z2544,"Yes","No")</f>
        <v>No</v>
      </c>
      <c r="AB2544" s="12">
        <f>V2544-Z2544</f>
        <v>-19.010959999999997</v>
      </c>
      <c r="AC2544" s="15" t="s">
        <v>131</v>
      </c>
      <c r="AD2544" s="15" t="s">
        <v>131</v>
      </c>
      <c r="AE2544" s="15" t="s">
        <v>421</v>
      </c>
      <c r="AF2544" s="12">
        <f>IF(AG2544="Rejected",0,IF(R2544="Corporate Card",0,V2544))</f>
        <v>0</v>
      </c>
      <c r="AG2544" s="15" t="s">
        <v>133</v>
      </c>
      <c r="AH2544" s="16">
        <v>45962</v>
      </c>
      <c r="AI2544" s="16">
        <v>45967</v>
      </c>
      <c r="AJ2544" s="16">
        <v>45974</v>
      </c>
      <c r="AK2544" s="17">
        <f>IF(AJ2544="","",AJ2544-AH2544)</f>
        <v>12</v>
      </c>
    </row>
    <row r="2545" spans="1:37">
      <c r="A2545" s="2" t="s">
        <v>3040</v>
      </c>
      <c r="B2545" s="2" t="s">
        <v>863</v>
      </c>
      <c r="C2545" s="2" t="s">
        <v>864</v>
      </c>
      <c r="D2545" s="2" t="s">
        <v>865</v>
      </c>
      <c r="E2545" s="2" t="s">
        <v>866</v>
      </c>
      <c r="F2545" s="2" t="s">
        <v>867</v>
      </c>
      <c r="G2545" s="2" t="s">
        <v>2967</v>
      </c>
      <c r="H2545" s="2" t="s">
        <v>122</v>
      </c>
      <c r="I2545" s="2" t="s">
        <v>194</v>
      </c>
      <c r="J2545" s="2" t="s">
        <v>195</v>
      </c>
      <c r="K2545" s="9">
        <v>45952</v>
      </c>
      <c r="L2545" s="9">
        <v>45958</v>
      </c>
      <c r="M2545" s="9">
        <v>45956</v>
      </c>
      <c r="N2545" s="2" t="s">
        <v>2764</v>
      </c>
      <c r="O2545" s="2" t="s">
        <v>56</v>
      </c>
      <c r="P2545" s="2" t="s">
        <v>165</v>
      </c>
      <c r="Q2545" s="2" t="s">
        <v>166</v>
      </c>
      <c r="R2545" s="2" t="s">
        <v>128</v>
      </c>
      <c r="S2545" s="2" t="s">
        <v>198</v>
      </c>
      <c r="T2545" s="10">
        <v>25.62</v>
      </c>
      <c r="U2545" s="11">
        <v>1.085</v>
      </c>
      <c r="V2545" s="12">
        <f>T2545*U2545</f>
        <v>27.797699999999999</v>
      </c>
      <c r="W2545" s="13">
        <v>0.19</v>
      </c>
      <c r="X2545" s="12">
        <f>V2545-(V2545/(1+W2545))</f>
        <v>4.4382882352941166</v>
      </c>
      <c r="Y2545" s="12">
        <f>V2545-X2545</f>
        <v>23.359411764705882</v>
      </c>
      <c r="Z2545" s="14">
        <v>75</v>
      </c>
      <c r="AA2545" s="2" t="str">
        <f>IF(V2545&gt;Z2545,"Yes","No")</f>
        <v>No</v>
      </c>
      <c r="AB2545" s="12">
        <f>V2545-Z2545</f>
        <v>-47.202300000000001</v>
      </c>
      <c r="AC2545" s="15" t="s">
        <v>130</v>
      </c>
      <c r="AD2545" s="15" t="s">
        <v>131</v>
      </c>
      <c r="AE2545" s="15" t="s">
        <v>858</v>
      </c>
      <c r="AF2545" s="12">
        <f>IF(AG2545="Rejected",0,IF(R2545="Corporate Card",0,V2545))</f>
        <v>0</v>
      </c>
      <c r="AG2545" s="15" t="s">
        <v>133</v>
      </c>
      <c r="AH2545" s="16">
        <v>45959</v>
      </c>
      <c r="AI2545" s="16">
        <v>45963</v>
      </c>
      <c r="AJ2545" s="16">
        <v>45975</v>
      </c>
      <c r="AK2545" s="17">
        <f>IF(AJ2545="","",AJ2545-AH2545)</f>
        <v>16</v>
      </c>
    </row>
    <row r="2546" spans="1:37">
      <c r="A2546" s="2" t="s">
        <v>3041</v>
      </c>
      <c r="B2546" s="2" t="s">
        <v>863</v>
      </c>
      <c r="C2546" s="2" t="s">
        <v>864</v>
      </c>
      <c r="D2546" s="2" t="s">
        <v>865</v>
      </c>
      <c r="E2546" s="2" t="s">
        <v>866</v>
      </c>
      <c r="F2546" s="2" t="s">
        <v>867</v>
      </c>
      <c r="G2546" s="2" t="s">
        <v>2967</v>
      </c>
      <c r="H2546" s="2" t="s">
        <v>122</v>
      </c>
      <c r="I2546" s="2" t="s">
        <v>194</v>
      </c>
      <c r="J2546" s="2" t="s">
        <v>195</v>
      </c>
      <c r="K2546" s="9">
        <v>45952</v>
      </c>
      <c r="L2546" s="9">
        <v>45958</v>
      </c>
      <c r="M2546" s="9">
        <v>45956</v>
      </c>
      <c r="N2546" s="2" t="s">
        <v>2764</v>
      </c>
      <c r="O2546" s="2" t="s">
        <v>55</v>
      </c>
      <c r="P2546" s="2" t="s">
        <v>139</v>
      </c>
      <c r="Q2546" s="2" t="s">
        <v>161</v>
      </c>
      <c r="R2546" s="2" t="s">
        <v>149</v>
      </c>
      <c r="S2546" s="2" t="s">
        <v>198</v>
      </c>
      <c r="T2546" s="10">
        <v>13.26</v>
      </c>
      <c r="U2546" s="11">
        <v>1.085</v>
      </c>
      <c r="V2546" s="12">
        <f>T2546*U2546</f>
        <v>14.387099999999998</v>
      </c>
      <c r="W2546" s="13">
        <v>0.19</v>
      </c>
      <c r="X2546" s="12">
        <f>V2546-(V2546/(1+W2546))</f>
        <v>2.2970999999999986</v>
      </c>
      <c r="Y2546" s="12">
        <f>V2546-X2546</f>
        <v>12.09</v>
      </c>
      <c r="Z2546" s="14">
        <v>35</v>
      </c>
      <c r="AA2546" s="2" t="str">
        <f>IF(V2546&gt;Z2546,"Yes","No")</f>
        <v>No</v>
      </c>
      <c r="AB2546" s="12">
        <f>V2546-Z2546</f>
        <v>-20.612900000000003</v>
      </c>
      <c r="AC2546" s="15" t="s">
        <v>130</v>
      </c>
      <c r="AD2546" s="15" t="s">
        <v>131</v>
      </c>
      <c r="AE2546" s="15" t="s">
        <v>858</v>
      </c>
      <c r="AF2546" s="12">
        <f>IF(AG2546="Rejected",0,IF(R2546="Corporate Card",0,V2546))</f>
        <v>14.387099999999998</v>
      </c>
      <c r="AG2546" s="15" t="s">
        <v>133</v>
      </c>
      <c r="AH2546" s="16">
        <v>45959</v>
      </c>
      <c r="AI2546" s="16">
        <v>45963</v>
      </c>
      <c r="AJ2546" s="16">
        <v>45975</v>
      </c>
      <c r="AK2546" s="17">
        <f>IF(AJ2546="","",AJ2546-AH2546)</f>
        <v>16</v>
      </c>
    </row>
    <row r="2547" spans="1:37">
      <c r="A2547" s="2" t="s">
        <v>3042</v>
      </c>
      <c r="B2547" s="2" t="s">
        <v>550</v>
      </c>
      <c r="C2547" s="2" t="s">
        <v>551</v>
      </c>
      <c r="D2547" s="2" t="s">
        <v>171</v>
      </c>
      <c r="E2547" s="2" t="s">
        <v>172</v>
      </c>
      <c r="F2547" s="2" t="s">
        <v>173</v>
      </c>
      <c r="G2547" s="2" t="s">
        <v>2980</v>
      </c>
      <c r="H2547" s="2" t="s">
        <v>803</v>
      </c>
      <c r="I2547" s="2" t="s">
        <v>619</v>
      </c>
      <c r="J2547" s="2" t="s">
        <v>381</v>
      </c>
      <c r="K2547" s="9">
        <v>45953</v>
      </c>
      <c r="L2547" s="9">
        <v>45961</v>
      </c>
      <c r="M2547" s="9">
        <v>45957</v>
      </c>
      <c r="N2547" s="2" t="s">
        <v>2764</v>
      </c>
      <c r="O2547" s="2" t="s">
        <v>54</v>
      </c>
      <c r="P2547" s="2" t="s">
        <v>139</v>
      </c>
      <c r="Q2547" s="2" t="s">
        <v>148</v>
      </c>
      <c r="R2547" s="2" t="s">
        <v>128</v>
      </c>
      <c r="S2547" s="2" t="s">
        <v>383</v>
      </c>
      <c r="T2547" s="10">
        <v>17.34</v>
      </c>
      <c r="U2547" s="11">
        <v>1</v>
      </c>
      <c r="V2547" s="12">
        <f>T2547*U2547</f>
        <v>17.34</v>
      </c>
      <c r="W2547" s="13">
        <v>0</v>
      </c>
      <c r="X2547" s="12">
        <f>V2547-(V2547/(1+W2547))</f>
        <v>0</v>
      </c>
      <c r="Y2547" s="12">
        <f>V2547-X2547</f>
        <v>17.34</v>
      </c>
      <c r="Z2547" s="14">
        <v>25</v>
      </c>
      <c r="AA2547" s="2" t="str">
        <f>IF(V2547&gt;Z2547,"Yes","No")</f>
        <v>No</v>
      </c>
      <c r="AB2547" s="12">
        <f>V2547-Z2547</f>
        <v>-7.66</v>
      </c>
      <c r="AC2547" s="15" t="s">
        <v>130</v>
      </c>
      <c r="AD2547" s="15" t="s">
        <v>130</v>
      </c>
      <c r="AE2547" s="15" t="s">
        <v>858</v>
      </c>
      <c r="AF2547" s="12">
        <f>IF(AG2547="Rejected",0,IF(R2547="Corporate Card",0,V2547))</f>
        <v>0</v>
      </c>
      <c r="AG2547" s="15" t="s">
        <v>133</v>
      </c>
      <c r="AH2547" s="16">
        <v>45968</v>
      </c>
      <c r="AI2547" s="16">
        <v>45972</v>
      </c>
      <c r="AJ2547" s="16">
        <v>45983</v>
      </c>
      <c r="AK2547" s="17">
        <f>IF(AJ2547="","",AJ2547-AH2547)</f>
        <v>15</v>
      </c>
    </row>
    <row r="2548" spans="1:37">
      <c r="A2548" s="2" t="s">
        <v>3043</v>
      </c>
      <c r="B2548" s="2" t="s">
        <v>550</v>
      </c>
      <c r="C2548" s="2" t="s">
        <v>551</v>
      </c>
      <c r="D2548" s="2" t="s">
        <v>171</v>
      </c>
      <c r="E2548" s="2" t="s">
        <v>172</v>
      </c>
      <c r="F2548" s="2" t="s">
        <v>173</v>
      </c>
      <c r="G2548" s="2" t="s">
        <v>2980</v>
      </c>
      <c r="H2548" s="2" t="s">
        <v>803</v>
      </c>
      <c r="I2548" s="2" t="s">
        <v>619</v>
      </c>
      <c r="J2548" s="2" t="s">
        <v>381</v>
      </c>
      <c r="K2548" s="9">
        <v>45953</v>
      </c>
      <c r="L2548" s="9">
        <v>45961</v>
      </c>
      <c r="M2548" s="9">
        <v>45957</v>
      </c>
      <c r="N2548" s="2" t="s">
        <v>2764</v>
      </c>
      <c r="O2548" s="2" t="s">
        <v>56</v>
      </c>
      <c r="P2548" s="2" t="s">
        <v>245</v>
      </c>
      <c r="Q2548" s="2" t="s">
        <v>152</v>
      </c>
      <c r="R2548" s="2" t="s">
        <v>128</v>
      </c>
      <c r="S2548" s="2" t="s">
        <v>383</v>
      </c>
      <c r="T2548" s="10">
        <v>26.62</v>
      </c>
      <c r="U2548" s="11">
        <v>1</v>
      </c>
      <c r="V2548" s="12">
        <f>T2548*U2548</f>
        <v>26.62</v>
      </c>
      <c r="W2548" s="13">
        <v>0</v>
      </c>
      <c r="X2548" s="12">
        <f>V2548-(V2548/(1+W2548))</f>
        <v>0</v>
      </c>
      <c r="Y2548" s="12">
        <f>V2548-X2548</f>
        <v>26.62</v>
      </c>
      <c r="Z2548" s="14">
        <v>75</v>
      </c>
      <c r="AA2548" s="2" t="str">
        <f>IF(V2548&gt;Z2548,"Yes","No")</f>
        <v>No</v>
      </c>
      <c r="AB2548" s="12">
        <f>V2548-Z2548</f>
        <v>-48.379999999999995</v>
      </c>
      <c r="AC2548" s="15" t="s">
        <v>130</v>
      </c>
      <c r="AD2548" s="15" t="s">
        <v>130</v>
      </c>
      <c r="AE2548" s="15" t="s">
        <v>858</v>
      </c>
      <c r="AF2548" s="12">
        <f>IF(AG2548="Rejected",0,IF(R2548="Corporate Card",0,V2548))</f>
        <v>0</v>
      </c>
      <c r="AG2548" s="15" t="s">
        <v>133</v>
      </c>
      <c r="AH2548" s="16">
        <v>45968</v>
      </c>
      <c r="AI2548" s="16">
        <v>45972</v>
      </c>
      <c r="AJ2548" s="16">
        <v>45983</v>
      </c>
      <c r="AK2548" s="17">
        <f>IF(AJ2548="","",AJ2548-AH2548)</f>
        <v>15</v>
      </c>
    </row>
    <row r="2549" spans="1:37">
      <c r="A2549" s="2" t="s">
        <v>3044</v>
      </c>
      <c r="B2549" s="2" t="s">
        <v>550</v>
      </c>
      <c r="C2549" s="2" t="s">
        <v>551</v>
      </c>
      <c r="D2549" s="2" t="s">
        <v>171</v>
      </c>
      <c r="E2549" s="2" t="s">
        <v>172</v>
      </c>
      <c r="F2549" s="2" t="s">
        <v>173</v>
      </c>
      <c r="G2549" s="2" t="s">
        <v>2980</v>
      </c>
      <c r="H2549" s="2" t="s">
        <v>803</v>
      </c>
      <c r="I2549" s="2" t="s">
        <v>619</v>
      </c>
      <c r="J2549" s="2" t="s">
        <v>381</v>
      </c>
      <c r="K2549" s="9">
        <v>45953</v>
      </c>
      <c r="L2549" s="9">
        <v>45961</v>
      </c>
      <c r="M2549" s="9">
        <v>45957</v>
      </c>
      <c r="N2549" s="2" t="s">
        <v>2764</v>
      </c>
      <c r="O2549" s="2" t="s">
        <v>55</v>
      </c>
      <c r="P2549" s="2" t="s">
        <v>139</v>
      </c>
      <c r="Q2549" s="2" t="s">
        <v>154</v>
      </c>
      <c r="R2549" s="2" t="s">
        <v>128</v>
      </c>
      <c r="S2549" s="2" t="s">
        <v>383</v>
      </c>
      <c r="T2549" s="10">
        <v>19.649999999999999</v>
      </c>
      <c r="U2549" s="11">
        <v>1</v>
      </c>
      <c r="V2549" s="12">
        <f>T2549*U2549</f>
        <v>19.649999999999999</v>
      </c>
      <c r="W2549" s="13">
        <v>0</v>
      </c>
      <c r="X2549" s="12">
        <f>V2549-(V2549/(1+W2549))</f>
        <v>0</v>
      </c>
      <c r="Y2549" s="12">
        <f>V2549-X2549</f>
        <v>19.649999999999999</v>
      </c>
      <c r="Z2549" s="14">
        <v>35</v>
      </c>
      <c r="AA2549" s="2" t="str">
        <f>IF(V2549&gt;Z2549,"Yes","No")</f>
        <v>No</v>
      </c>
      <c r="AB2549" s="12">
        <f>V2549-Z2549</f>
        <v>-15.350000000000001</v>
      </c>
      <c r="AC2549" s="15" t="s">
        <v>131</v>
      </c>
      <c r="AD2549" s="15" t="s">
        <v>130</v>
      </c>
      <c r="AE2549" s="15" t="s">
        <v>858</v>
      </c>
      <c r="AF2549" s="12">
        <f>IF(AG2549="Rejected",0,IF(R2549="Corporate Card",0,V2549))</f>
        <v>0</v>
      </c>
      <c r="AG2549" s="15" t="s">
        <v>133</v>
      </c>
      <c r="AH2549" s="16">
        <v>45968</v>
      </c>
      <c r="AI2549" s="16">
        <v>45972</v>
      </c>
      <c r="AJ2549" s="16">
        <v>45983</v>
      </c>
      <c r="AK2549" s="17">
        <f>IF(AJ2549="","",AJ2549-AH2549)</f>
        <v>15</v>
      </c>
    </row>
    <row r="2550" spans="1:37">
      <c r="A2550" s="2" t="s">
        <v>3045</v>
      </c>
      <c r="B2550" s="2" t="s">
        <v>287</v>
      </c>
      <c r="C2550" s="2" t="s">
        <v>288</v>
      </c>
      <c r="D2550" s="2" t="s">
        <v>171</v>
      </c>
      <c r="E2550" s="2" t="s">
        <v>289</v>
      </c>
      <c r="F2550" s="2" t="s">
        <v>173</v>
      </c>
      <c r="G2550" s="2" t="s">
        <v>3019</v>
      </c>
      <c r="H2550" s="2" t="s">
        <v>291</v>
      </c>
      <c r="I2550" s="2" t="s">
        <v>418</v>
      </c>
      <c r="J2550" s="2" t="s">
        <v>381</v>
      </c>
      <c r="K2550" s="9">
        <v>45955</v>
      </c>
      <c r="L2550" s="9">
        <v>45959</v>
      </c>
      <c r="M2550" s="9">
        <v>45957</v>
      </c>
      <c r="N2550" s="2" t="s">
        <v>2764</v>
      </c>
      <c r="O2550" s="2" t="s">
        <v>58</v>
      </c>
      <c r="P2550" s="2" t="s">
        <v>142</v>
      </c>
      <c r="Q2550" s="2" t="s">
        <v>224</v>
      </c>
      <c r="R2550" s="2" t="s">
        <v>149</v>
      </c>
      <c r="S2550" s="2" t="s">
        <v>383</v>
      </c>
      <c r="T2550" s="10">
        <v>30.91</v>
      </c>
      <c r="U2550" s="11">
        <v>1</v>
      </c>
      <c r="V2550" s="12">
        <f>T2550*U2550</f>
        <v>30.91</v>
      </c>
      <c r="W2550" s="13">
        <v>0</v>
      </c>
      <c r="X2550" s="12">
        <f>V2550-(V2550/(1+W2550))</f>
        <v>0</v>
      </c>
      <c r="Y2550" s="12">
        <f>V2550-X2550</f>
        <v>30.91</v>
      </c>
      <c r="Z2550" s="14">
        <v>60</v>
      </c>
      <c r="AA2550" s="2" t="str">
        <f>IF(V2550&gt;Z2550,"Yes","No")</f>
        <v>No</v>
      </c>
      <c r="AB2550" s="12">
        <f>V2550-Z2550</f>
        <v>-29.09</v>
      </c>
      <c r="AC2550" s="15" t="s">
        <v>130</v>
      </c>
      <c r="AD2550" s="15" t="s">
        <v>130</v>
      </c>
      <c r="AE2550" s="15" t="s">
        <v>514</v>
      </c>
      <c r="AF2550" s="12">
        <f>IF(AG2550="Rejected",0,IF(R2550="Corporate Card",0,V2550))</f>
        <v>30.91</v>
      </c>
      <c r="AG2550" s="15" t="s">
        <v>133</v>
      </c>
      <c r="AH2550" s="16">
        <v>45964</v>
      </c>
      <c r="AI2550" s="16">
        <v>45969</v>
      </c>
      <c r="AJ2550" s="16">
        <v>45982</v>
      </c>
      <c r="AK2550" s="17">
        <f>IF(AJ2550="","",AJ2550-AH2550)</f>
        <v>18</v>
      </c>
    </row>
    <row r="2551" spans="1:37">
      <c r="A2551" s="2" t="s">
        <v>3046</v>
      </c>
      <c r="B2551" s="2" t="s">
        <v>287</v>
      </c>
      <c r="C2551" s="2" t="s">
        <v>288</v>
      </c>
      <c r="D2551" s="2" t="s">
        <v>171</v>
      </c>
      <c r="E2551" s="2" t="s">
        <v>289</v>
      </c>
      <c r="F2551" s="2" t="s">
        <v>173</v>
      </c>
      <c r="G2551" s="2" t="s">
        <v>3019</v>
      </c>
      <c r="H2551" s="2" t="s">
        <v>291</v>
      </c>
      <c r="I2551" s="2" t="s">
        <v>418</v>
      </c>
      <c r="J2551" s="2" t="s">
        <v>381</v>
      </c>
      <c r="K2551" s="9">
        <v>45955</v>
      </c>
      <c r="L2551" s="9">
        <v>45959</v>
      </c>
      <c r="M2551" s="9">
        <v>45957</v>
      </c>
      <c r="N2551" s="2" t="s">
        <v>2764</v>
      </c>
      <c r="O2551" s="2" t="s">
        <v>54</v>
      </c>
      <c r="P2551" s="2" t="s">
        <v>139</v>
      </c>
      <c r="Q2551" s="2" t="s">
        <v>148</v>
      </c>
      <c r="R2551" s="2" t="s">
        <v>137</v>
      </c>
      <c r="S2551" s="2" t="s">
        <v>383</v>
      </c>
      <c r="T2551" s="10">
        <v>13.08</v>
      </c>
      <c r="U2551" s="11">
        <v>1</v>
      </c>
      <c r="V2551" s="12">
        <f>T2551*U2551</f>
        <v>13.08</v>
      </c>
      <c r="W2551" s="13">
        <v>0</v>
      </c>
      <c r="X2551" s="12">
        <f>V2551-(V2551/(1+W2551))</f>
        <v>0</v>
      </c>
      <c r="Y2551" s="12">
        <f>V2551-X2551</f>
        <v>13.08</v>
      </c>
      <c r="Z2551" s="14">
        <v>25</v>
      </c>
      <c r="AA2551" s="2" t="str">
        <f>IF(V2551&gt;Z2551,"Yes","No")</f>
        <v>No</v>
      </c>
      <c r="AB2551" s="12">
        <f>V2551-Z2551</f>
        <v>-11.92</v>
      </c>
      <c r="AC2551" s="15" t="s">
        <v>130</v>
      </c>
      <c r="AD2551" s="15" t="s">
        <v>130</v>
      </c>
      <c r="AE2551" s="15" t="s">
        <v>514</v>
      </c>
      <c r="AF2551" s="12">
        <f>IF(AG2551="Rejected",0,IF(R2551="Corporate Card",0,V2551))</f>
        <v>13.08</v>
      </c>
      <c r="AG2551" s="15" t="s">
        <v>133</v>
      </c>
      <c r="AH2551" s="16">
        <v>45964</v>
      </c>
      <c r="AI2551" s="16">
        <v>45969</v>
      </c>
      <c r="AJ2551" s="16">
        <v>45982</v>
      </c>
      <c r="AK2551" s="17">
        <f>IF(AJ2551="","",AJ2551-AH2551)</f>
        <v>18</v>
      </c>
    </row>
    <row r="2552" spans="1:37">
      <c r="A2552" s="2" t="s">
        <v>3047</v>
      </c>
      <c r="B2552" s="2" t="s">
        <v>287</v>
      </c>
      <c r="C2552" s="2" t="s">
        <v>288</v>
      </c>
      <c r="D2552" s="2" t="s">
        <v>171</v>
      </c>
      <c r="E2552" s="2" t="s">
        <v>289</v>
      </c>
      <c r="F2552" s="2" t="s">
        <v>173</v>
      </c>
      <c r="G2552" s="2" t="s">
        <v>3019</v>
      </c>
      <c r="H2552" s="2" t="s">
        <v>291</v>
      </c>
      <c r="I2552" s="2" t="s">
        <v>418</v>
      </c>
      <c r="J2552" s="2" t="s">
        <v>381</v>
      </c>
      <c r="K2552" s="9">
        <v>45955</v>
      </c>
      <c r="L2552" s="9">
        <v>45959</v>
      </c>
      <c r="M2552" s="9">
        <v>45957</v>
      </c>
      <c r="N2552" s="2" t="s">
        <v>2764</v>
      </c>
      <c r="O2552" s="2" t="s">
        <v>56</v>
      </c>
      <c r="P2552" s="2" t="s">
        <v>165</v>
      </c>
      <c r="Q2552" s="2" t="s">
        <v>152</v>
      </c>
      <c r="R2552" s="2" t="s">
        <v>128</v>
      </c>
      <c r="S2552" s="2" t="s">
        <v>383</v>
      </c>
      <c r="T2552" s="10">
        <v>59.39</v>
      </c>
      <c r="U2552" s="11">
        <v>1</v>
      </c>
      <c r="V2552" s="12">
        <f>T2552*U2552</f>
        <v>59.39</v>
      </c>
      <c r="W2552" s="13">
        <v>0</v>
      </c>
      <c r="X2552" s="12">
        <f>V2552-(V2552/(1+W2552))</f>
        <v>0</v>
      </c>
      <c r="Y2552" s="12">
        <f>V2552-X2552</f>
        <v>59.39</v>
      </c>
      <c r="Z2552" s="14">
        <v>75</v>
      </c>
      <c r="AA2552" s="2" t="str">
        <f>IF(V2552&gt;Z2552,"Yes","No")</f>
        <v>No</v>
      </c>
      <c r="AB2552" s="12">
        <f>V2552-Z2552</f>
        <v>-15.61</v>
      </c>
      <c r="AC2552" s="15" t="s">
        <v>130</v>
      </c>
      <c r="AD2552" s="15" t="s">
        <v>130</v>
      </c>
      <c r="AE2552" s="15" t="s">
        <v>514</v>
      </c>
      <c r="AF2552" s="12">
        <f>IF(AG2552="Rejected",0,IF(R2552="Corporate Card",0,V2552))</f>
        <v>0</v>
      </c>
      <c r="AG2552" s="15" t="s">
        <v>133</v>
      </c>
      <c r="AH2552" s="16">
        <v>45964</v>
      </c>
      <c r="AI2552" s="16">
        <v>45969</v>
      </c>
      <c r="AJ2552" s="16">
        <v>45982</v>
      </c>
      <c r="AK2552" s="17">
        <f>IF(AJ2552="","",AJ2552-AH2552)</f>
        <v>18</v>
      </c>
    </row>
    <row r="2553" spans="1:37">
      <c r="A2553" s="2" t="s">
        <v>3048</v>
      </c>
      <c r="B2553" s="2" t="s">
        <v>287</v>
      </c>
      <c r="C2553" s="2" t="s">
        <v>288</v>
      </c>
      <c r="D2553" s="2" t="s">
        <v>171</v>
      </c>
      <c r="E2553" s="2" t="s">
        <v>289</v>
      </c>
      <c r="F2553" s="2" t="s">
        <v>173</v>
      </c>
      <c r="G2553" s="2" t="s">
        <v>3019</v>
      </c>
      <c r="H2553" s="2" t="s">
        <v>291</v>
      </c>
      <c r="I2553" s="2" t="s">
        <v>418</v>
      </c>
      <c r="J2553" s="2" t="s">
        <v>381</v>
      </c>
      <c r="K2553" s="9">
        <v>45955</v>
      </c>
      <c r="L2553" s="9">
        <v>45959</v>
      </c>
      <c r="M2553" s="9">
        <v>45957</v>
      </c>
      <c r="N2553" s="2" t="s">
        <v>2764</v>
      </c>
      <c r="O2553" s="2" t="s">
        <v>55</v>
      </c>
      <c r="P2553" s="2" t="s">
        <v>139</v>
      </c>
      <c r="Q2553" s="2" t="s">
        <v>154</v>
      </c>
      <c r="R2553" s="2" t="s">
        <v>128</v>
      </c>
      <c r="S2553" s="2" t="s">
        <v>383</v>
      </c>
      <c r="T2553" s="10">
        <v>24.91</v>
      </c>
      <c r="U2553" s="11">
        <v>1</v>
      </c>
      <c r="V2553" s="12">
        <f>T2553*U2553</f>
        <v>24.91</v>
      </c>
      <c r="W2553" s="13">
        <v>0</v>
      </c>
      <c r="X2553" s="12">
        <f>V2553-(V2553/(1+W2553))</f>
        <v>0</v>
      </c>
      <c r="Y2553" s="12">
        <f>V2553-X2553</f>
        <v>24.91</v>
      </c>
      <c r="Z2553" s="14">
        <v>35</v>
      </c>
      <c r="AA2553" s="2" t="str">
        <f>IF(V2553&gt;Z2553,"Yes","No")</f>
        <v>No</v>
      </c>
      <c r="AB2553" s="12">
        <f>V2553-Z2553</f>
        <v>-10.09</v>
      </c>
      <c r="AC2553" s="15" t="s">
        <v>130</v>
      </c>
      <c r="AD2553" s="15" t="s">
        <v>130</v>
      </c>
      <c r="AE2553" s="15" t="s">
        <v>514</v>
      </c>
      <c r="AF2553" s="12">
        <f>IF(AG2553="Rejected",0,IF(R2553="Corporate Card",0,V2553))</f>
        <v>0</v>
      </c>
      <c r="AG2553" s="15" t="s">
        <v>133</v>
      </c>
      <c r="AH2553" s="16">
        <v>45964</v>
      </c>
      <c r="AI2553" s="16">
        <v>45969</v>
      </c>
      <c r="AJ2553" s="16">
        <v>45982</v>
      </c>
      <c r="AK2553" s="17">
        <f>IF(AJ2553="","",AJ2553-AH2553)</f>
        <v>18</v>
      </c>
    </row>
    <row r="2554" spans="1:37">
      <c r="A2554" s="2" t="s">
        <v>3049</v>
      </c>
      <c r="B2554" s="2" t="s">
        <v>375</v>
      </c>
      <c r="C2554" s="2" t="s">
        <v>376</v>
      </c>
      <c r="D2554" s="2" t="s">
        <v>344</v>
      </c>
      <c r="E2554" s="2" t="s">
        <v>377</v>
      </c>
      <c r="F2554" s="2" t="s">
        <v>346</v>
      </c>
      <c r="G2554" s="2" t="s">
        <v>2939</v>
      </c>
      <c r="H2554" s="2" t="s">
        <v>748</v>
      </c>
      <c r="I2554" s="2" t="s">
        <v>123</v>
      </c>
      <c r="J2554" s="2" t="s">
        <v>124</v>
      </c>
      <c r="K2554" s="9">
        <v>45950</v>
      </c>
      <c r="L2554" s="9">
        <v>45958</v>
      </c>
      <c r="M2554" s="9">
        <v>45957</v>
      </c>
      <c r="N2554" s="2" t="s">
        <v>2764</v>
      </c>
      <c r="O2554" s="2" t="s">
        <v>57</v>
      </c>
      <c r="P2554" s="2" t="s">
        <v>398</v>
      </c>
      <c r="Q2554" s="2" t="s">
        <v>495</v>
      </c>
      <c r="R2554" s="2" t="s">
        <v>128</v>
      </c>
      <c r="S2554" s="2" t="s">
        <v>129</v>
      </c>
      <c r="T2554" s="10">
        <v>128.38999999999999</v>
      </c>
      <c r="U2554" s="11">
        <v>1.272</v>
      </c>
      <c r="V2554" s="12">
        <f>T2554*U2554</f>
        <v>163.31207999999998</v>
      </c>
      <c r="W2554" s="13">
        <v>0.2</v>
      </c>
      <c r="X2554" s="12">
        <f>V2554-(V2554/(1+W2554))</f>
        <v>27.218679999999978</v>
      </c>
      <c r="Y2554" s="12">
        <f>V2554-X2554</f>
        <v>136.0934</v>
      </c>
      <c r="Z2554" s="14">
        <v>200</v>
      </c>
      <c r="AA2554" s="2" t="str">
        <f>IF(V2554&gt;Z2554,"Yes","No")</f>
        <v>No</v>
      </c>
      <c r="AB2554" s="12">
        <f>V2554-Z2554</f>
        <v>-36.68792000000002</v>
      </c>
      <c r="AC2554" s="15" t="s">
        <v>130</v>
      </c>
      <c r="AD2554" s="15" t="s">
        <v>131</v>
      </c>
      <c r="AE2554" s="15" t="s">
        <v>421</v>
      </c>
      <c r="AF2554" s="12">
        <f>IF(AG2554="Rejected",0,IF(R2554="Corporate Card",0,V2554))</f>
        <v>0</v>
      </c>
      <c r="AG2554" s="15" t="s">
        <v>133</v>
      </c>
      <c r="AH2554" s="16">
        <v>45962</v>
      </c>
      <c r="AI2554" s="16">
        <v>45967</v>
      </c>
      <c r="AJ2554" s="16">
        <v>45974</v>
      </c>
      <c r="AK2554" s="17">
        <f>IF(AJ2554="","",AJ2554-AH2554)</f>
        <v>12</v>
      </c>
    </row>
    <row r="2555" spans="1:37">
      <c r="A2555" s="2" t="s">
        <v>3050</v>
      </c>
      <c r="B2555" s="2" t="s">
        <v>375</v>
      </c>
      <c r="C2555" s="2" t="s">
        <v>376</v>
      </c>
      <c r="D2555" s="2" t="s">
        <v>344</v>
      </c>
      <c r="E2555" s="2" t="s">
        <v>377</v>
      </c>
      <c r="F2555" s="2" t="s">
        <v>346</v>
      </c>
      <c r="G2555" s="2" t="s">
        <v>2939</v>
      </c>
      <c r="H2555" s="2" t="s">
        <v>748</v>
      </c>
      <c r="I2555" s="2" t="s">
        <v>123</v>
      </c>
      <c r="J2555" s="2" t="s">
        <v>124</v>
      </c>
      <c r="K2555" s="9">
        <v>45950</v>
      </c>
      <c r="L2555" s="9">
        <v>45958</v>
      </c>
      <c r="M2555" s="9">
        <v>45957</v>
      </c>
      <c r="N2555" s="2" t="s">
        <v>2764</v>
      </c>
      <c r="O2555" s="2" t="s">
        <v>54</v>
      </c>
      <c r="P2555" s="2" t="s">
        <v>139</v>
      </c>
      <c r="Q2555" s="2" t="s">
        <v>214</v>
      </c>
      <c r="R2555" s="2" t="s">
        <v>128</v>
      </c>
      <c r="S2555" s="2" t="s">
        <v>129</v>
      </c>
      <c r="T2555" s="10">
        <v>18.46</v>
      </c>
      <c r="U2555" s="11">
        <v>1.272</v>
      </c>
      <c r="V2555" s="12">
        <f>T2555*U2555</f>
        <v>23.481120000000001</v>
      </c>
      <c r="W2555" s="13">
        <v>0.2</v>
      </c>
      <c r="X2555" s="12">
        <f>V2555-(V2555/(1+W2555))</f>
        <v>3.9135199999999983</v>
      </c>
      <c r="Y2555" s="12">
        <f>V2555-X2555</f>
        <v>19.567600000000002</v>
      </c>
      <c r="Z2555" s="14">
        <v>25</v>
      </c>
      <c r="AA2555" s="2" t="str">
        <f>IF(V2555&gt;Z2555,"Yes","No")</f>
        <v>No</v>
      </c>
      <c r="AB2555" s="12">
        <f>V2555-Z2555</f>
        <v>-1.5188799999999993</v>
      </c>
      <c r="AC2555" s="15" t="s">
        <v>130</v>
      </c>
      <c r="AD2555" s="15" t="s">
        <v>131</v>
      </c>
      <c r="AE2555" s="15" t="s">
        <v>421</v>
      </c>
      <c r="AF2555" s="12">
        <f>IF(AG2555="Rejected",0,IF(R2555="Corporate Card",0,V2555))</f>
        <v>0</v>
      </c>
      <c r="AG2555" s="15" t="s">
        <v>133</v>
      </c>
      <c r="AH2555" s="16">
        <v>45962</v>
      </c>
      <c r="AI2555" s="16">
        <v>45967</v>
      </c>
      <c r="AJ2555" s="16">
        <v>45974</v>
      </c>
      <c r="AK2555" s="17">
        <f>IF(AJ2555="","",AJ2555-AH2555)</f>
        <v>12</v>
      </c>
    </row>
    <row r="2556" spans="1:37">
      <c r="A2556" s="2" t="s">
        <v>3051</v>
      </c>
      <c r="B2556" s="2" t="s">
        <v>375</v>
      </c>
      <c r="C2556" s="2" t="s">
        <v>376</v>
      </c>
      <c r="D2556" s="2" t="s">
        <v>344</v>
      </c>
      <c r="E2556" s="2" t="s">
        <v>377</v>
      </c>
      <c r="F2556" s="2" t="s">
        <v>346</v>
      </c>
      <c r="G2556" s="2" t="s">
        <v>2939</v>
      </c>
      <c r="H2556" s="2" t="s">
        <v>748</v>
      </c>
      <c r="I2556" s="2" t="s">
        <v>123</v>
      </c>
      <c r="J2556" s="2" t="s">
        <v>124</v>
      </c>
      <c r="K2556" s="9">
        <v>45950</v>
      </c>
      <c r="L2556" s="9">
        <v>45958</v>
      </c>
      <c r="M2556" s="9">
        <v>45957</v>
      </c>
      <c r="N2556" s="2" t="s">
        <v>2764</v>
      </c>
      <c r="O2556" s="2" t="s">
        <v>56</v>
      </c>
      <c r="P2556" s="2" t="s">
        <v>231</v>
      </c>
      <c r="Q2556" s="2" t="s">
        <v>166</v>
      </c>
      <c r="R2556" s="2" t="s">
        <v>128</v>
      </c>
      <c r="S2556" s="2" t="s">
        <v>129</v>
      </c>
      <c r="T2556" s="10">
        <v>55.77</v>
      </c>
      <c r="U2556" s="11">
        <v>1.272</v>
      </c>
      <c r="V2556" s="12">
        <f>T2556*U2556</f>
        <v>70.939440000000005</v>
      </c>
      <c r="W2556" s="13">
        <v>0.2</v>
      </c>
      <c r="X2556" s="12">
        <f>V2556-(V2556/(1+W2556))</f>
        <v>11.823239999999998</v>
      </c>
      <c r="Y2556" s="12">
        <f>V2556-X2556</f>
        <v>59.116200000000006</v>
      </c>
      <c r="Z2556" s="14">
        <v>75</v>
      </c>
      <c r="AA2556" s="2" t="str">
        <f>IF(V2556&gt;Z2556,"Yes","No")</f>
        <v>No</v>
      </c>
      <c r="AB2556" s="12">
        <f>V2556-Z2556</f>
        <v>-4.0605599999999953</v>
      </c>
      <c r="AC2556" s="15" t="s">
        <v>130</v>
      </c>
      <c r="AD2556" s="15" t="s">
        <v>131</v>
      </c>
      <c r="AE2556" s="15" t="s">
        <v>421</v>
      </c>
      <c r="AF2556" s="12">
        <f>IF(AG2556="Rejected",0,IF(R2556="Corporate Card",0,V2556))</f>
        <v>0</v>
      </c>
      <c r="AG2556" s="15" t="s">
        <v>133</v>
      </c>
      <c r="AH2556" s="16">
        <v>45962</v>
      </c>
      <c r="AI2556" s="16">
        <v>45967</v>
      </c>
      <c r="AJ2556" s="16">
        <v>45974</v>
      </c>
      <c r="AK2556" s="17">
        <f>IF(AJ2556="","",AJ2556-AH2556)</f>
        <v>12</v>
      </c>
    </row>
    <row r="2557" spans="1:37">
      <c r="A2557" s="2" t="s">
        <v>3052</v>
      </c>
      <c r="B2557" s="2" t="s">
        <v>375</v>
      </c>
      <c r="C2557" s="2" t="s">
        <v>376</v>
      </c>
      <c r="D2557" s="2" t="s">
        <v>344</v>
      </c>
      <c r="E2557" s="2" t="s">
        <v>377</v>
      </c>
      <c r="F2557" s="2" t="s">
        <v>346</v>
      </c>
      <c r="G2557" s="2" t="s">
        <v>2939</v>
      </c>
      <c r="H2557" s="2" t="s">
        <v>748</v>
      </c>
      <c r="I2557" s="2" t="s">
        <v>123</v>
      </c>
      <c r="J2557" s="2" t="s">
        <v>124</v>
      </c>
      <c r="K2557" s="9">
        <v>45950</v>
      </c>
      <c r="L2557" s="9">
        <v>45958</v>
      </c>
      <c r="M2557" s="9">
        <v>45957</v>
      </c>
      <c r="N2557" s="2" t="s">
        <v>2764</v>
      </c>
      <c r="O2557" s="2" t="s">
        <v>55</v>
      </c>
      <c r="P2557" s="2" t="s">
        <v>139</v>
      </c>
      <c r="Q2557" s="2" t="s">
        <v>217</v>
      </c>
      <c r="R2557" s="2" t="s">
        <v>128</v>
      </c>
      <c r="S2557" s="2" t="s">
        <v>129</v>
      </c>
      <c r="T2557" s="10">
        <v>33.29</v>
      </c>
      <c r="U2557" s="11">
        <v>1.272</v>
      </c>
      <c r="V2557" s="12">
        <f>T2557*U2557</f>
        <v>42.344879999999996</v>
      </c>
      <c r="W2557" s="13">
        <v>0.2</v>
      </c>
      <c r="X2557" s="12">
        <f>V2557-(V2557/(1+W2557))</f>
        <v>7.0574799999999982</v>
      </c>
      <c r="Y2557" s="12">
        <f>V2557-X2557</f>
        <v>35.287399999999998</v>
      </c>
      <c r="Z2557" s="14">
        <v>35</v>
      </c>
      <c r="AA2557" s="2" t="str">
        <f>IF(V2557&gt;Z2557,"Yes","No")</f>
        <v>Yes</v>
      </c>
      <c r="AB2557" s="12">
        <f>V2557-Z2557</f>
        <v>7.3448799999999963</v>
      </c>
      <c r="AC2557" s="15" t="s">
        <v>130</v>
      </c>
      <c r="AD2557" s="15" t="s">
        <v>131</v>
      </c>
      <c r="AE2557" s="15" t="s">
        <v>421</v>
      </c>
      <c r="AF2557" s="12">
        <f>IF(AG2557="Rejected",0,IF(R2557="Corporate Card",0,V2557))</f>
        <v>0</v>
      </c>
      <c r="AG2557" s="15" t="s">
        <v>133</v>
      </c>
      <c r="AH2557" s="16">
        <v>45962</v>
      </c>
      <c r="AI2557" s="16">
        <v>45967</v>
      </c>
      <c r="AJ2557" s="16">
        <v>45974</v>
      </c>
      <c r="AK2557" s="17">
        <f>IF(AJ2557="","",AJ2557-AH2557)</f>
        <v>12</v>
      </c>
    </row>
    <row r="2558" spans="1:37">
      <c r="A2558" s="2" t="s">
        <v>3053</v>
      </c>
      <c r="B2558" s="2" t="s">
        <v>863</v>
      </c>
      <c r="C2558" s="2" t="s">
        <v>864</v>
      </c>
      <c r="D2558" s="2" t="s">
        <v>865</v>
      </c>
      <c r="E2558" s="2" t="s">
        <v>866</v>
      </c>
      <c r="F2558" s="2" t="s">
        <v>867</v>
      </c>
      <c r="G2558" s="2" t="s">
        <v>2967</v>
      </c>
      <c r="H2558" s="2" t="s">
        <v>122</v>
      </c>
      <c r="I2558" s="2" t="s">
        <v>194</v>
      </c>
      <c r="J2558" s="2" t="s">
        <v>195</v>
      </c>
      <c r="K2558" s="9">
        <v>45952</v>
      </c>
      <c r="L2558" s="9">
        <v>45958</v>
      </c>
      <c r="M2558" s="9">
        <v>45957</v>
      </c>
      <c r="N2558" s="2" t="s">
        <v>2764</v>
      </c>
      <c r="O2558" s="2" t="s">
        <v>54</v>
      </c>
      <c r="P2558" s="2" t="s">
        <v>139</v>
      </c>
      <c r="Q2558" s="2" t="s">
        <v>140</v>
      </c>
      <c r="R2558" s="2" t="s">
        <v>128</v>
      </c>
      <c r="S2558" s="2" t="s">
        <v>198</v>
      </c>
      <c r="T2558" s="10">
        <v>19.47</v>
      </c>
      <c r="U2558" s="11">
        <v>1.085</v>
      </c>
      <c r="V2558" s="12">
        <f>T2558*U2558</f>
        <v>21.124949999999998</v>
      </c>
      <c r="W2558" s="13">
        <v>0.19</v>
      </c>
      <c r="X2558" s="12">
        <f>V2558-(V2558/(1+W2558))</f>
        <v>3.3728911764705884</v>
      </c>
      <c r="Y2558" s="12">
        <f>V2558-X2558</f>
        <v>17.75205882352941</v>
      </c>
      <c r="Z2558" s="14">
        <v>25</v>
      </c>
      <c r="AA2558" s="2" t="str">
        <f>IF(V2558&gt;Z2558,"Yes","No")</f>
        <v>No</v>
      </c>
      <c r="AB2558" s="12">
        <f>V2558-Z2558</f>
        <v>-3.8750500000000017</v>
      </c>
      <c r="AC2558" s="15" t="s">
        <v>130</v>
      </c>
      <c r="AD2558" s="15" t="s">
        <v>131</v>
      </c>
      <c r="AE2558" s="15" t="s">
        <v>858</v>
      </c>
      <c r="AF2558" s="12">
        <f>IF(AG2558="Rejected",0,IF(R2558="Corporate Card",0,V2558))</f>
        <v>0</v>
      </c>
      <c r="AG2558" s="15" t="s">
        <v>133</v>
      </c>
      <c r="AH2558" s="16">
        <v>45959</v>
      </c>
      <c r="AI2558" s="16">
        <v>45963</v>
      </c>
      <c r="AJ2558" s="16">
        <v>45975</v>
      </c>
      <c r="AK2558" s="17">
        <f>IF(AJ2558="","",AJ2558-AH2558)</f>
        <v>16</v>
      </c>
    </row>
    <row r="2559" spans="1:37">
      <c r="A2559" s="2" t="s">
        <v>3054</v>
      </c>
      <c r="B2559" s="2" t="s">
        <v>863</v>
      </c>
      <c r="C2559" s="2" t="s">
        <v>864</v>
      </c>
      <c r="D2559" s="2" t="s">
        <v>865</v>
      </c>
      <c r="E2559" s="2" t="s">
        <v>866</v>
      </c>
      <c r="F2559" s="2" t="s">
        <v>867</v>
      </c>
      <c r="G2559" s="2" t="s">
        <v>2967</v>
      </c>
      <c r="H2559" s="2" t="s">
        <v>122</v>
      </c>
      <c r="I2559" s="2" t="s">
        <v>194</v>
      </c>
      <c r="J2559" s="2" t="s">
        <v>195</v>
      </c>
      <c r="K2559" s="9">
        <v>45952</v>
      </c>
      <c r="L2559" s="9">
        <v>45958</v>
      </c>
      <c r="M2559" s="9">
        <v>45957</v>
      </c>
      <c r="N2559" s="2" t="s">
        <v>2764</v>
      </c>
      <c r="O2559" s="2" t="s">
        <v>56</v>
      </c>
      <c r="P2559" s="2" t="s">
        <v>151</v>
      </c>
      <c r="Q2559" s="2" t="s">
        <v>185</v>
      </c>
      <c r="R2559" s="2" t="s">
        <v>128</v>
      </c>
      <c r="S2559" s="2" t="s">
        <v>198</v>
      </c>
      <c r="T2559" s="10">
        <v>57.1</v>
      </c>
      <c r="U2559" s="11">
        <v>1.085</v>
      </c>
      <c r="V2559" s="12">
        <f>T2559*U2559</f>
        <v>61.953499999999998</v>
      </c>
      <c r="W2559" s="13">
        <v>0.19</v>
      </c>
      <c r="X2559" s="12">
        <f>V2559-(V2559/(1+W2559))</f>
        <v>9.8917352941176446</v>
      </c>
      <c r="Y2559" s="12">
        <f>V2559-X2559</f>
        <v>52.061764705882354</v>
      </c>
      <c r="Z2559" s="14">
        <v>75</v>
      </c>
      <c r="AA2559" s="2" t="str">
        <f>IF(V2559&gt;Z2559,"Yes","No")</f>
        <v>No</v>
      </c>
      <c r="AB2559" s="12">
        <f>V2559-Z2559</f>
        <v>-13.046500000000002</v>
      </c>
      <c r="AC2559" s="15" t="s">
        <v>130</v>
      </c>
      <c r="AD2559" s="15" t="s">
        <v>131</v>
      </c>
      <c r="AE2559" s="15" t="s">
        <v>858</v>
      </c>
      <c r="AF2559" s="12">
        <f>IF(AG2559="Rejected",0,IF(R2559="Corporate Card",0,V2559))</f>
        <v>0</v>
      </c>
      <c r="AG2559" s="15" t="s">
        <v>133</v>
      </c>
      <c r="AH2559" s="16">
        <v>45959</v>
      </c>
      <c r="AI2559" s="16">
        <v>45963</v>
      </c>
      <c r="AJ2559" s="16">
        <v>45975</v>
      </c>
      <c r="AK2559" s="17">
        <f>IF(AJ2559="","",AJ2559-AH2559)</f>
        <v>16</v>
      </c>
    </row>
    <row r="2560" spans="1:37">
      <c r="A2560" s="2" t="s">
        <v>3055</v>
      </c>
      <c r="B2560" s="2" t="s">
        <v>863</v>
      </c>
      <c r="C2560" s="2" t="s">
        <v>864</v>
      </c>
      <c r="D2560" s="2" t="s">
        <v>865</v>
      </c>
      <c r="E2560" s="2" t="s">
        <v>866</v>
      </c>
      <c r="F2560" s="2" t="s">
        <v>867</v>
      </c>
      <c r="G2560" s="2" t="s">
        <v>2967</v>
      </c>
      <c r="H2560" s="2" t="s">
        <v>122</v>
      </c>
      <c r="I2560" s="2" t="s">
        <v>194</v>
      </c>
      <c r="J2560" s="2" t="s">
        <v>195</v>
      </c>
      <c r="K2560" s="9">
        <v>45952</v>
      </c>
      <c r="L2560" s="9">
        <v>45958</v>
      </c>
      <c r="M2560" s="9">
        <v>45957</v>
      </c>
      <c r="N2560" s="2" t="s">
        <v>2764</v>
      </c>
      <c r="O2560" s="2" t="s">
        <v>55</v>
      </c>
      <c r="P2560" s="2" t="s">
        <v>139</v>
      </c>
      <c r="Q2560" s="2" t="s">
        <v>217</v>
      </c>
      <c r="R2560" s="2" t="s">
        <v>137</v>
      </c>
      <c r="S2560" s="2" t="s">
        <v>198</v>
      </c>
      <c r="T2560" s="10">
        <v>27.73</v>
      </c>
      <c r="U2560" s="11">
        <v>1.085</v>
      </c>
      <c r="V2560" s="12">
        <f>T2560*U2560</f>
        <v>30.087049999999998</v>
      </c>
      <c r="W2560" s="13">
        <v>0.19</v>
      </c>
      <c r="X2560" s="12">
        <f>V2560-(V2560/(1+W2560))</f>
        <v>4.8038147058823526</v>
      </c>
      <c r="Y2560" s="12">
        <f>V2560-X2560</f>
        <v>25.283235294117645</v>
      </c>
      <c r="Z2560" s="14">
        <v>35</v>
      </c>
      <c r="AA2560" s="2" t="str">
        <f>IF(V2560&gt;Z2560,"Yes","No")</f>
        <v>No</v>
      </c>
      <c r="AB2560" s="12">
        <f>V2560-Z2560</f>
        <v>-4.9129500000000021</v>
      </c>
      <c r="AC2560" s="15" t="s">
        <v>130</v>
      </c>
      <c r="AD2560" s="15" t="s">
        <v>131</v>
      </c>
      <c r="AE2560" s="15" t="s">
        <v>858</v>
      </c>
      <c r="AF2560" s="12">
        <f>IF(AG2560="Rejected",0,IF(R2560="Corporate Card",0,V2560))</f>
        <v>30.087049999999998</v>
      </c>
      <c r="AG2560" s="15" t="s">
        <v>133</v>
      </c>
      <c r="AH2560" s="16">
        <v>45959</v>
      </c>
      <c r="AI2560" s="16">
        <v>45963</v>
      </c>
      <c r="AJ2560" s="16">
        <v>45975</v>
      </c>
      <c r="AK2560" s="17">
        <f>IF(AJ2560="","",AJ2560-AH2560)</f>
        <v>16</v>
      </c>
    </row>
    <row r="2561" spans="1:37">
      <c r="A2561" s="2" t="s">
        <v>3056</v>
      </c>
      <c r="B2561" s="2" t="s">
        <v>550</v>
      </c>
      <c r="C2561" s="2" t="s">
        <v>551</v>
      </c>
      <c r="D2561" s="2" t="s">
        <v>171</v>
      </c>
      <c r="E2561" s="2" t="s">
        <v>172</v>
      </c>
      <c r="F2561" s="2" t="s">
        <v>173</v>
      </c>
      <c r="G2561" s="2" t="s">
        <v>2980</v>
      </c>
      <c r="H2561" s="2" t="s">
        <v>803</v>
      </c>
      <c r="I2561" s="2" t="s">
        <v>619</v>
      </c>
      <c r="J2561" s="2" t="s">
        <v>381</v>
      </c>
      <c r="K2561" s="9">
        <v>45953</v>
      </c>
      <c r="L2561" s="9">
        <v>45961</v>
      </c>
      <c r="M2561" s="9">
        <v>45958</v>
      </c>
      <c r="N2561" s="2" t="s">
        <v>2764</v>
      </c>
      <c r="O2561" s="2" t="s">
        <v>58</v>
      </c>
      <c r="P2561" s="2" t="s">
        <v>142</v>
      </c>
      <c r="Q2561" s="2" t="s">
        <v>224</v>
      </c>
      <c r="R2561" s="2" t="s">
        <v>137</v>
      </c>
      <c r="S2561" s="2" t="s">
        <v>383</v>
      </c>
      <c r="T2561" s="10">
        <v>47.9</v>
      </c>
      <c r="U2561" s="11">
        <v>1</v>
      </c>
      <c r="V2561" s="12">
        <f>T2561*U2561</f>
        <v>47.9</v>
      </c>
      <c r="W2561" s="13">
        <v>0</v>
      </c>
      <c r="X2561" s="12">
        <f>V2561-(V2561/(1+W2561))</f>
        <v>0</v>
      </c>
      <c r="Y2561" s="12">
        <f>V2561-X2561</f>
        <v>47.9</v>
      </c>
      <c r="Z2561" s="14">
        <v>60</v>
      </c>
      <c r="AA2561" s="2" t="str">
        <f>IF(V2561&gt;Z2561,"Yes","No")</f>
        <v>No</v>
      </c>
      <c r="AB2561" s="12">
        <f>V2561-Z2561</f>
        <v>-12.100000000000001</v>
      </c>
      <c r="AC2561" s="15" t="s">
        <v>131</v>
      </c>
      <c r="AD2561" s="15" t="s">
        <v>130</v>
      </c>
      <c r="AE2561" s="15" t="s">
        <v>858</v>
      </c>
      <c r="AF2561" s="12">
        <f>IF(AG2561="Rejected",0,IF(R2561="Corporate Card",0,V2561))</f>
        <v>47.9</v>
      </c>
      <c r="AG2561" s="15" t="s">
        <v>133</v>
      </c>
      <c r="AH2561" s="16">
        <v>45968</v>
      </c>
      <c r="AI2561" s="16">
        <v>45972</v>
      </c>
      <c r="AJ2561" s="16">
        <v>45983</v>
      </c>
      <c r="AK2561" s="17">
        <f>IF(AJ2561="","",AJ2561-AH2561)</f>
        <v>15</v>
      </c>
    </row>
    <row r="2562" spans="1:37">
      <c r="A2562" s="2" t="s">
        <v>3057</v>
      </c>
      <c r="B2562" s="2" t="s">
        <v>550</v>
      </c>
      <c r="C2562" s="2" t="s">
        <v>551</v>
      </c>
      <c r="D2562" s="2" t="s">
        <v>171</v>
      </c>
      <c r="E2562" s="2" t="s">
        <v>172</v>
      </c>
      <c r="F2562" s="2" t="s">
        <v>173</v>
      </c>
      <c r="G2562" s="2" t="s">
        <v>2980</v>
      </c>
      <c r="H2562" s="2" t="s">
        <v>803</v>
      </c>
      <c r="I2562" s="2" t="s">
        <v>619</v>
      </c>
      <c r="J2562" s="2" t="s">
        <v>381</v>
      </c>
      <c r="K2562" s="9">
        <v>45953</v>
      </c>
      <c r="L2562" s="9">
        <v>45961</v>
      </c>
      <c r="M2562" s="9">
        <v>45958</v>
      </c>
      <c r="N2562" s="2" t="s">
        <v>2764</v>
      </c>
      <c r="O2562" s="2" t="s">
        <v>54</v>
      </c>
      <c r="P2562" s="2" t="s">
        <v>139</v>
      </c>
      <c r="Q2562" s="2" t="s">
        <v>140</v>
      </c>
      <c r="R2562" s="2" t="s">
        <v>128</v>
      </c>
      <c r="S2562" s="2" t="s">
        <v>383</v>
      </c>
      <c r="T2562" s="10">
        <v>17.75</v>
      </c>
      <c r="U2562" s="11">
        <v>1</v>
      </c>
      <c r="V2562" s="12">
        <f>T2562*U2562</f>
        <v>17.75</v>
      </c>
      <c r="W2562" s="13">
        <v>0</v>
      </c>
      <c r="X2562" s="12">
        <f>V2562-(V2562/(1+W2562))</f>
        <v>0</v>
      </c>
      <c r="Y2562" s="12">
        <f>V2562-X2562</f>
        <v>17.75</v>
      </c>
      <c r="Z2562" s="14">
        <v>25</v>
      </c>
      <c r="AA2562" s="2" t="str">
        <f>IF(V2562&gt;Z2562,"Yes","No")</f>
        <v>No</v>
      </c>
      <c r="AB2562" s="12">
        <f>V2562-Z2562</f>
        <v>-7.25</v>
      </c>
      <c r="AC2562" s="15" t="s">
        <v>130</v>
      </c>
      <c r="AD2562" s="15" t="s">
        <v>130</v>
      </c>
      <c r="AE2562" s="15" t="s">
        <v>858</v>
      </c>
      <c r="AF2562" s="12">
        <f>IF(AG2562="Rejected",0,IF(R2562="Corporate Card",0,V2562))</f>
        <v>0</v>
      </c>
      <c r="AG2562" s="15" t="s">
        <v>133</v>
      </c>
      <c r="AH2562" s="16">
        <v>45968</v>
      </c>
      <c r="AI2562" s="16">
        <v>45972</v>
      </c>
      <c r="AJ2562" s="16">
        <v>45983</v>
      </c>
      <c r="AK2562" s="17">
        <f>IF(AJ2562="","",AJ2562-AH2562)</f>
        <v>15</v>
      </c>
    </row>
    <row r="2563" spans="1:37">
      <c r="A2563" s="2" t="s">
        <v>3058</v>
      </c>
      <c r="B2563" s="2" t="s">
        <v>550</v>
      </c>
      <c r="C2563" s="2" t="s">
        <v>551</v>
      </c>
      <c r="D2563" s="2" t="s">
        <v>171</v>
      </c>
      <c r="E2563" s="2" t="s">
        <v>172</v>
      </c>
      <c r="F2563" s="2" t="s">
        <v>173</v>
      </c>
      <c r="G2563" s="2" t="s">
        <v>2980</v>
      </c>
      <c r="H2563" s="2" t="s">
        <v>803</v>
      </c>
      <c r="I2563" s="2" t="s">
        <v>619</v>
      </c>
      <c r="J2563" s="2" t="s">
        <v>381</v>
      </c>
      <c r="K2563" s="9">
        <v>45953</v>
      </c>
      <c r="L2563" s="9">
        <v>45961</v>
      </c>
      <c r="M2563" s="9">
        <v>45958</v>
      </c>
      <c r="N2563" s="2" t="s">
        <v>2764</v>
      </c>
      <c r="O2563" s="2" t="s">
        <v>56</v>
      </c>
      <c r="P2563" s="2" t="s">
        <v>245</v>
      </c>
      <c r="Q2563" s="2" t="s">
        <v>152</v>
      </c>
      <c r="R2563" s="2" t="s">
        <v>137</v>
      </c>
      <c r="S2563" s="2" t="s">
        <v>383</v>
      </c>
      <c r="T2563" s="10">
        <v>29.91</v>
      </c>
      <c r="U2563" s="11">
        <v>1</v>
      </c>
      <c r="V2563" s="12">
        <f>T2563*U2563</f>
        <v>29.91</v>
      </c>
      <c r="W2563" s="13">
        <v>0</v>
      </c>
      <c r="X2563" s="12">
        <f>V2563-(V2563/(1+W2563))</f>
        <v>0</v>
      </c>
      <c r="Y2563" s="12">
        <f>V2563-X2563</f>
        <v>29.91</v>
      </c>
      <c r="Z2563" s="14">
        <v>75</v>
      </c>
      <c r="AA2563" s="2" t="str">
        <f>IF(V2563&gt;Z2563,"Yes","No")</f>
        <v>No</v>
      </c>
      <c r="AB2563" s="12">
        <f>V2563-Z2563</f>
        <v>-45.09</v>
      </c>
      <c r="AC2563" s="15" t="s">
        <v>130</v>
      </c>
      <c r="AD2563" s="15" t="s">
        <v>130</v>
      </c>
      <c r="AE2563" s="15" t="s">
        <v>858</v>
      </c>
      <c r="AF2563" s="12">
        <f>IF(AG2563="Rejected",0,IF(R2563="Corporate Card",0,V2563))</f>
        <v>29.91</v>
      </c>
      <c r="AG2563" s="15" t="s">
        <v>133</v>
      </c>
      <c r="AH2563" s="16">
        <v>45968</v>
      </c>
      <c r="AI2563" s="16">
        <v>45972</v>
      </c>
      <c r="AJ2563" s="16">
        <v>45983</v>
      </c>
      <c r="AK2563" s="17">
        <f>IF(AJ2563="","",AJ2563-AH2563)</f>
        <v>15</v>
      </c>
    </row>
    <row r="2564" spans="1:37">
      <c r="A2564" s="2" t="s">
        <v>3059</v>
      </c>
      <c r="B2564" s="2" t="s">
        <v>550</v>
      </c>
      <c r="C2564" s="2" t="s">
        <v>551</v>
      </c>
      <c r="D2564" s="2" t="s">
        <v>171</v>
      </c>
      <c r="E2564" s="2" t="s">
        <v>172</v>
      </c>
      <c r="F2564" s="2" t="s">
        <v>173</v>
      </c>
      <c r="G2564" s="2" t="s">
        <v>2980</v>
      </c>
      <c r="H2564" s="2" t="s">
        <v>803</v>
      </c>
      <c r="I2564" s="2" t="s">
        <v>619</v>
      </c>
      <c r="J2564" s="2" t="s">
        <v>381</v>
      </c>
      <c r="K2564" s="9">
        <v>45953</v>
      </c>
      <c r="L2564" s="9">
        <v>45961</v>
      </c>
      <c r="M2564" s="9">
        <v>45958</v>
      </c>
      <c r="N2564" s="2" t="s">
        <v>2764</v>
      </c>
      <c r="O2564" s="2" t="s">
        <v>55</v>
      </c>
      <c r="P2564" s="2" t="s">
        <v>139</v>
      </c>
      <c r="Q2564" s="2" t="s">
        <v>217</v>
      </c>
      <c r="R2564" s="2" t="s">
        <v>128</v>
      </c>
      <c r="S2564" s="2" t="s">
        <v>383</v>
      </c>
      <c r="T2564" s="10">
        <v>13.78</v>
      </c>
      <c r="U2564" s="11">
        <v>1</v>
      </c>
      <c r="V2564" s="12">
        <f>T2564*U2564</f>
        <v>13.78</v>
      </c>
      <c r="W2564" s="13">
        <v>0</v>
      </c>
      <c r="X2564" s="12">
        <f>V2564-(V2564/(1+W2564))</f>
        <v>0</v>
      </c>
      <c r="Y2564" s="12">
        <f>V2564-X2564</f>
        <v>13.78</v>
      </c>
      <c r="Z2564" s="14">
        <v>35</v>
      </c>
      <c r="AA2564" s="2" t="str">
        <f>IF(V2564&gt;Z2564,"Yes","No")</f>
        <v>No</v>
      </c>
      <c r="AB2564" s="12">
        <f>V2564-Z2564</f>
        <v>-21.22</v>
      </c>
      <c r="AC2564" s="15" t="s">
        <v>130</v>
      </c>
      <c r="AD2564" s="15" t="s">
        <v>130</v>
      </c>
      <c r="AE2564" s="15" t="s">
        <v>858</v>
      </c>
      <c r="AF2564" s="12">
        <f>IF(AG2564="Rejected",0,IF(R2564="Corporate Card",0,V2564))</f>
        <v>0</v>
      </c>
      <c r="AG2564" s="15" t="s">
        <v>133</v>
      </c>
      <c r="AH2564" s="16">
        <v>45968</v>
      </c>
      <c r="AI2564" s="16">
        <v>45972</v>
      </c>
      <c r="AJ2564" s="16">
        <v>45983</v>
      </c>
      <c r="AK2564" s="17">
        <f>IF(AJ2564="","",AJ2564-AH2564)</f>
        <v>15</v>
      </c>
    </row>
    <row r="2565" spans="1:37">
      <c r="A2565" s="2" t="s">
        <v>3060</v>
      </c>
      <c r="B2565" s="2" t="s">
        <v>287</v>
      </c>
      <c r="C2565" s="2" t="s">
        <v>288</v>
      </c>
      <c r="D2565" s="2" t="s">
        <v>171</v>
      </c>
      <c r="E2565" s="2" t="s">
        <v>289</v>
      </c>
      <c r="F2565" s="2" t="s">
        <v>173</v>
      </c>
      <c r="G2565" s="2" t="s">
        <v>3019</v>
      </c>
      <c r="H2565" s="2" t="s">
        <v>291</v>
      </c>
      <c r="I2565" s="2" t="s">
        <v>418</v>
      </c>
      <c r="J2565" s="2" t="s">
        <v>381</v>
      </c>
      <c r="K2565" s="9">
        <v>45955</v>
      </c>
      <c r="L2565" s="9">
        <v>45959</v>
      </c>
      <c r="M2565" s="9">
        <v>45958</v>
      </c>
      <c r="N2565" s="2" t="s">
        <v>2764</v>
      </c>
      <c r="O2565" s="2" t="s">
        <v>58</v>
      </c>
      <c r="P2565" s="2" t="s">
        <v>142</v>
      </c>
      <c r="Q2565" s="2" t="s">
        <v>203</v>
      </c>
      <c r="R2565" s="2" t="s">
        <v>128</v>
      </c>
      <c r="S2565" s="2" t="s">
        <v>383</v>
      </c>
      <c r="T2565" s="10">
        <v>24.94</v>
      </c>
      <c r="U2565" s="11">
        <v>1</v>
      </c>
      <c r="V2565" s="12">
        <f>T2565*U2565</f>
        <v>24.94</v>
      </c>
      <c r="W2565" s="13">
        <v>0</v>
      </c>
      <c r="X2565" s="12">
        <f>V2565-(V2565/(1+W2565))</f>
        <v>0</v>
      </c>
      <c r="Y2565" s="12">
        <f>V2565-X2565</f>
        <v>24.94</v>
      </c>
      <c r="Z2565" s="14">
        <v>60</v>
      </c>
      <c r="AA2565" s="2" t="str">
        <f>IF(V2565&gt;Z2565,"Yes","No")</f>
        <v>No</v>
      </c>
      <c r="AB2565" s="12">
        <f>V2565-Z2565</f>
        <v>-35.06</v>
      </c>
      <c r="AC2565" s="15" t="s">
        <v>130</v>
      </c>
      <c r="AD2565" s="15" t="s">
        <v>130</v>
      </c>
      <c r="AE2565" s="15" t="s">
        <v>514</v>
      </c>
      <c r="AF2565" s="12">
        <f>IF(AG2565="Rejected",0,IF(R2565="Corporate Card",0,V2565))</f>
        <v>0</v>
      </c>
      <c r="AG2565" s="15" t="s">
        <v>133</v>
      </c>
      <c r="AH2565" s="16">
        <v>45964</v>
      </c>
      <c r="AI2565" s="16">
        <v>45969</v>
      </c>
      <c r="AJ2565" s="16">
        <v>45982</v>
      </c>
      <c r="AK2565" s="17">
        <f>IF(AJ2565="","",AJ2565-AH2565)</f>
        <v>18</v>
      </c>
    </row>
    <row r="2566" spans="1:37">
      <c r="A2566" s="2" t="s">
        <v>3061</v>
      </c>
      <c r="B2566" s="2" t="s">
        <v>287</v>
      </c>
      <c r="C2566" s="2" t="s">
        <v>288</v>
      </c>
      <c r="D2566" s="2" t="s">
        <v>171</v>
      </c>
      <c r="E2566" s="2" t="s">
        <v>289</v>
      </c>
      <c r="F2566" s="2" t="s">
        <v>173</v>
      </c>
      <c r="G2566" s="2" t="s">
        <v>3019</v>
      </c>
      <c r="H2566" s="2" t="s">
        <v>291</v>
      </c>
      <c r="I2566" s="2" t="s">
        <v>418</v>
      </c>
      <c r="J2566" s="2" t="s">
        <v>381</v>
      </c>
      <c r="K2566" s="9">
        <v>45955</v>
      </c>
      <c r="L2566" s="9">
        <v>45959</v>
      </c>
      <c r="M2566" s="9">
        <v>45958</v>
      </c>
      <c r="N2566" s="2" t="s">
        <v>2764</v>
      </c>
      <c r="O2566" s="2" t="s">
        <v>54</v>
      </c>
      <c r="P2566" s="2" t="s">
        <v>139</v>
      </c>
      <c r="Q2566" s="2" t="s">
        <v>214</v>
      </c>
      <c r="R2566" s="2" t="s">
        <v>128</v>
      </c>
      <c r="S2566" s="2" t="s">
        <v>383</v>
      </c>
      <c r="T2566" s="10">
        <v>33.97</v>
      </c>
      <c r="U2566" s="11">
        <v>1</v>
      </c>
      <c r="V2566" s="12">
        <f>T2566*U2566</f>
        <v>33.97</v>
      </c>
      <c r="W2566" s="13">
        <v>0</v>
      </c>
      <c r="X2566" s="12">
        <f>V2566-(V2566/(1+W2566))</f>
        <v>0</v>
      </c>
      <c r="Y2566" s="12">
        <f>V2566-X2566</f>
        <v>33.97</v>
      </c>
      <c r="Z2566" s="14">
        <v>25</v>
      </c>
      <c r="AA2566" s="2" t="str">
        <f>IF(V2566&gt;Z2566,"Yes","No")</f>
        <v>Yes</v>
      </c>
      <c r="AB2566" s="12">
        <f>V2566-Z2566</f>
        <v>8.9699999999999989</v>
      </c>
      <c r="AC2566" s="15" t="s">
        <v>130</v>
      </c>
      <c r="AD2566" s="15" t="s">
        <v>130</v>
      </c>
      <c r="AE2566" s="15" t="s">
        <v>514</v>
      </c>
      <c r="AF2566" s="12">
        <f>IF(AG2566="Rejected",0,IF(R2566="Corporate Card",0,V2566))</f>
        <v>0</v>
      </c>
      <c r="AG2566" s="15" t="s">
        <v>133</v>
      </c>
      <c r="AH2566" s="16">
        <v>45964</v>
      </c>
      <c r="AI2566" s="16">
        <v>45969</v>
      </c>
      <c r="AJ2566" s="16">
        <v>45982</v>
      </c>
      <c r="AK2566" s="17">
        <f>IF(AJ2566="","",AJ2566-AH2566)</f>
        <v>18</v>
      </c>
    </row>
    <row r="2567" spans="1:37">
      <c r="A2567" s="2" t="s">
        <v>3062</v>
      </c>
      <c r="B2567" s="2" t="s">
        <v>287</v>
      </c>
      <c r="C2567" s="2" t="s">
        <v>288</v>
      </c>
      <c r="D2567" s="2" t="s">
        <v>171</v>
      </c>
      <c r="E2567" s="2" t="s">
        <v>289</v>
      </c>
      <c r="F2567" s="2" t="s">
        <v>173</v>
      </c>
      <c r="G2567" s="2" t="s">
        <v>3019</v>
      </c>
      <c r="H2567" s="2" t="s">
        <v>291</v>
      </c>
      <c r="I2567" s="2" t="s">
        <v>418</v>
      </c>
      <c r="J2567" s="2" t="s">
        <v>381</v>
      </c>
      <c r="K2567" s="9">
        <v>45955</v>
      </c>
      <c r="L2567" s="9">
        <v>45959</v>
      </c>
      <c r="M2567" s="9">
        <v>45958</v>
      </c>
      <c r="N2567" s="2" t="s">
        <v>2764</v>
      </c>
      <c r="O2567" s="2" t="s">
        <v>56</v>
      </c>
      <c r="P2567" s="2" t="s">
        <v>165</v>
      </c>
      <c r="Q2567" s="2" t="s">
        <v>159</v>
      </c>
      <c r="R2567" s="2" t="s">
        <v>149</v>
      </c>
      <c r="S2567" s="2" t="s">
        <v>383</v>
      </c>
      <c r="T2567" s="10">
        <v>42.13</v>
      </c>
      <c r="U2567" s="11">
        <v>1</v>
      </c>
      <c r="V2567" s="12">
        <f>T2567*U2567</f>
        <v>42.13</v>
      </c>
      <c r="W2567" s="13">
        <v>0</v>
      </c>
      <c r="X2567" s="12">
        <f>V2567-(V2567/(1+W2567))</f>
        <v>0</v>
      </c>
      <c r="Y2567" s="12">
        <f>V2567-X2567</f>
        <v>42.13</v>
      </c>
      <c r="Z2567" s="14">
        <v>75</v>
      </c>
      <c r="AA2567" s="2" t="str">
        <f>IF(V2567&gt;Z2567,"Yes","No")</f>
        <v>No</v>
      </c>
      <c r="AB2567" s="12">
        <f>V2567-Z2567</f>
        <v>-32.869999999999997</v>
      </c>
      <c r="AC2567" s="15" t="s">
        <v>130</v>
      </c>
      <c r="AD2567" s="15" t="s">
        <v>130</v>
      </c>
      <c r="AE2567" s="15" t="s">
        <v>514</v>
      </c>
      <c r="AF2567" s="12">
        <f>IF(AG2567="Rejected",0,IF(R2567="Corporate Card",0,V2567))</f>
        <v>42.13</v>
      </c>
      <c r="AG2567" s="15" t="s">
        <v>133</v>
      </c>
      <c r="AH2567" s="16">
        <v>45964</v>
      </c>
      <c r="AI2567" s="16">
        <v>45969</v>
      </c>
      <c r="AJ2567" s="16">
        <v>45982</v>
      </c>
      <c r="AK2567" s="17">
        <f>IF(AJ2567="","",AJ2567-AH2567)</f>
        <v>18</v>
      </c>
    </row>
    <row r="2568" spans="1:37">
      <c r="A2568" s="2" t="s">
        <v>3063</v>
      </c>
      <c r="B2568" s="2" t="s">
        <v>287</v>
      </c>
      <c r="C2568" s="2" t="s">
        <v>288</v>
      </c>
      <c r="D2568" s="2" t="s">
        <v>171</v>
      </c>
      <c r="E2568" s="2" t="s">
        <v>289</v>
      </c>
      <c r="F2568" s="2" t="s">
        <v>173</v>
      </c>
      <c r="G2568" s="2" t="s">
        <v>3019</v>
      </c>
      <c r="H2568" s="2" t="s">
        <v>291</v>
      </c>
      <c r="I2568" s="2" t="s">
        <v>418</v>
      </c>
      <c r="J2568" s="2" t="s">
        <v>381</v>
      </c>
      <c r="K2568" s="9">
        <v>45955</v>
      </c>
      <c r="L2568" s="9">
        <v>45959</v>
      </c>
      <c r="M2568" s="9">
        <v>45958</v>
      </c>
      <c r="N2568" s="2" t="s">
        <v>2764</v>
      </c>
      <c r="O2568" s="2" t="s">
        <v>55</v>
      </c>
      <c r="P2568" s="2" t="s">
        <v>139</v>
      </c>
      <c r="Q2568" s="2" t="s">
        <v>154</v>
      </c>
      <c r="R2568" s="2" t="s">
        <v>137</v>
      </c>
      <c r="S2568" s="2" t="s">
        <v>383</v>
      </c>
      <c r="T2568" s="10">
        <v>12.37</v>
      </c>
      <c r="U2568" s="11">
        <v>1</v>
      </c>
      <c r="V2568" s="12">
        <f>T2568*U2568</f>
        <v>12.37</v>
      </c>
      <c r="W2568" s="13">
        <v>0</v>
      </c>
      <c r="X2568" s="12">
        <f>V2568-(V2568/(1+W2568))</f>
        <v>0</v>
      </c>
      <c r="Y2568" s="12">
        <f>V2568-X2568</f>
        <v>12.37</v>
      </c>
      <c r="Z2568" s="14">
        <v>35</v>
      </c>
      <c r="AA2568" s="2" t="str">
        <f>IF(V2568&gt;Z2568,"Yes","No")</f>
        <v>No</v>
      </c>
      <c r="AB2568" s="12">
        <f>V2568-Z2568</f>
        <v>-22.630000000000003</v>
      </c>
      <c r="AC2568" s="15" t="s">
        <v>130</v>
      </c>
      <c r="AD2568" s="15" t="s">
        <v>130</v>
      </c>
      <c r="AE2568" s="15" t="s">
        <v>514</v>
      </c>
      <c r="AF2568" s="12">
        <f>IF(AG2568="Rejected",0,IF(R2568="Corporate Card",0,V2568))</f>
        <v>12.37</v>
      </c>
      <c r="AG2568" s="15" t="s">
        <v>133</v>
      </c>
      <c r="AH2568" s="16">
        <v>45964</v>
      </c>
      <c r="AI2568" s="16">
        <v>45969</v>
      </c>
      <c r="AJ2568" s="16">
        <v>45982</v>
      </c>
      <c r="AK2568" s="17">
        <f>IF(AJ2568="","",AJ2568-AH2568)</f>
        <v>18</v>
      </c>
    </row>
    <row r="2569" spans="1:37">
      <c r="A2569" s="2" t="s">
        <v>3064</v>
      </c>
      <c r="B2569" s="2" t="s">
        <v>189</v>
      </c>
      <c r="C2569" s="2" t="s">
        <v>190</v>
      </c>
      <c r="D2569" s="2" t="s">
        <v>171</v>
      </c>
      <c r="E2569" s="2" t="s">
        <v>191</v>
      </c>
      <c r="F2569" s="2" t="s">
        <v>173</v>
      </c>
      <c r="G2569" s="2" t="s">
        <v>3065</v>
      </c>
      <c r="H2569" s="2" t="s">
        <v>417</v>
      </c>
      <c r="I2569" s="2" t="s">
        <v>1251</v>
      </c>
      <c r="J2569" s="2" t="s">
        <v>750</v>
      </c>
      <c r="K2569" s="9">
        <v>45958</v>
      </c>
      <c r="L2569" s="9">
        <v>45963</v>
      </c>
      <c r="M2569" s="9">
        <v>45958</v>
      </c>
      <c r="N2569" s="2" t="s">
        <v>2764</v>
      </c>
      <c r="O2569" s="2" t="s">
        <v>52</v>
      </c>
      <c r="P2569" s="2" t="s">
        <v>1252</v>
      </c>
      <c r="Q2569" s="2" t="s">
        <v>127</v>
      </c>
      <c r="R2569" s="2" t="s">
        <v>128</v>
      </c>
      <c r="S2569" s="2" t="s">
        <v>198</v>
      </c>
      <c r="T2569" s="10">
        <v>1758.17</v>
      </c>
      <c r="U2569" s="11">
        <v>1.085</v>
      </c>
      <c r="V2569" s="12">
        <f>T2569*U2569</f>
        <v>1907.61445</v>
      </c>
      <c r="W2569" s="13">
        <v>0</v>
      </c>
      <c r="X2569" s="12">
        <f>V2569-(V2569/(1+W2569))</f>
        <v>0</v>
      </c>
      <c r="Y2569" s="12">
        <f>V2569-X2569</f>
        <v>1907.61445</v>
      </c>
      <c r="Z2569" s="14">
        <v>1400</v>
      </c>
      <c r="AA2569" s="2" t="str">
        <f>IF(V2569&gt;Z2569,"Yes","No")</f>
        <v>Yes</v>
      </c>
      <c r="AB2569" s="12">
        <f>V2569-Z2569</f>
        <v>507.61445000000003</v>
      </c>
      <c r="AC2569" s="15" t="s">
        <v>130</v>
      </c>
      <c r="AD2569" s="15" t="s">
        <v>131</v>
      </c>
      <c r="AE2569" s="15" t="s">
        <v>132</v>
      </c>
      <c r="AF2569" s="12">
        <f>IF(AG2569="Rejected",0,IF(R2569="Corporate Card",0,V2569))</f>
        <v>0</v>
      </c>
      <c r="AG2569" s="15" t="s">
        <v>133</v>
      </c>
      <c r="AH2569" s="16">
        <v>45967</v>
      </c>
      <c r="AI2569" s="16">
        <v>45974</v>
      </c>
      <c r="AJ2569" s="16">
        <v>45982</v>
      </c>
      <c r="AK2569" s="17">
        <f>IF(AJ2569="","",AJ2569-AH2569)</f>
        <v>15</v>
      </c>
    </row>
    <row r="2570" spans="1:37">
      <c r="A2570" s="2" t="s">
        <v>3066</v>
      </c>
      <c r="B2570" s="2" t="s">
        <v>189</v>
      </c>
      <c r="C2570" s="2" t="s">
        <v>190</v>
      </c>
      <c r="D2570" s="2" t="s">
        <v>171</v>
      </c>
      <c r="E2570" s="2" t="s">
        <v>191</v>
      </c>
      <c r="F2570" s="2" t="s">
        <v>173</v>
      </c>
      <c r="G2570" s="2" t="s">
        <v>3065</v>
      </c>
      <c r="H2570" s="2" t="s">
        <v>417</v>
      </c>
      <c r="I2570" s="2" t="s">
        <v>1251</v>
      </c>
      <c r="J2570" s="2" t="s">
        <v>750</v>
      </c>
      <c r="K2570" s="9">
        <v>45958</v>
      </c>
      <c r="L2570" s="9">
        <v>45963</v>
      </c>
      <c r="M2570" s="9">
        <v>45958</v>
      </c>
      <c r="N2570" s="2" t="s">
        <v>2764</v>
      </c>
      <c r="O2570" s="2" t="s">
        <v>64</v>
      </c>
      <c r="P2570" s="2" t="s">
        <v>135</v>
      </c>
      <c r="Q2570" s="2" t="s">
        <v>420</v>
      </c>
      <c r="R2570" s="2" t="s">
        <v>149</v>
      </c>
      <c r="S2570" s="2" t="s">
        <v>198</v>
      </c>
      <c r="T2570" s="10">
        <v>61.47</v>
      </c>
      <c r="U2570" s="11">
        <v>1.085</v>
      </c>
      <c r="V2570" s="12">
        <f>T2570*U2570</f>
        <v>66.694949999999992</v>
      </c>
      <c r="W2570" s="13">
        <v>0</v>
      </c>
      <c r="X2570" s="12">
        <f>V2570-(V2570/(1+W2570))</f>
        <v>0</v>
      </c>
      <c r="Y2570" s="12">
        <f>V2570-X2570</f>
        <v>66.694949999999992</v>
      </c>
      <c r="Z2570" s="14">
        <v>120</v>
      </c>
      <c r="AA2570" s="2" t="str">
        <f>IF(V2570&gt;Z2570,"Yes","No")</f>
        <v>No</v>
      </c>
      <c r="AB2570" s="12">
        <f>V2570-Z2570</f>
        <v>-53.305050000000008</v>
      </c>
      <c r="AC2570" s="15" t="s">
        <v>130</v>
      </c>
      <c r="AD2570" s="15" t="s">
        <v>131</v>
      </c>
      <c r="AE2570" s="15" t="s">
        <v>132</v>
      </c>
      <c r="AF2570" s="12">
        <f>IF(AG2570="Rejected",0,IF(R2570="Corporate Card",0,V2570))</f>
        <v>66.694949999999992</v>
      </c>
      <c r="AG2570" s="15" t="s">
        <v>133</v>
      </c>
      <c r="AH2570" s="16">
        <v>45967</v>
      </c>
      <c r="AI2570" s="16">
        <v>45974</v>
      </c>
      <c r="AJ2570" s="16">
        <v>45982</v>
      </c>
      <c r="AK2570" s="17">
        <f>IF(AJ2570="","",AJ2570-AH2570)</f>
        <v>15</v>
      </c>
    </row>
    <row r="2571" spans="1:37">
      <c r="A2571" s="2" t="s">
        <v>3067</v>
      </c>
      <c r="B2571" s="2" t="s">
        <v>189</v>
      </c>
      <c r="C2571" s="2" t="s">
        <v>190</v>
      </c>
      <c r="D2571" s="2" t="s">
        <v>171</v>
      </c>
      <c r="E2571" s="2" t="s">
        <v>191</v>
      </c>
      <c r="F2571" s="2" t="s">
        <v>173</v>
      </c>
      <c r="G2571" s="2" t="s">
        <v>3065</v>
      </c>
      <c r="H2571" s="2" t="s">
        <v>417</v>
      </c>
      <c r="I2571" s="2" t="s">
        <v>1251</v>
      </c>
      <c r="J2571" s="2" t="s">
        <v>750</v>
      </c>
      <c r="K2571" s="9">
        <v>45958</v>
      </c>
      <c r="L2571" s="9">
        <v>45963</v>
      </c>
      <c r="M2571" s="9">
        <v>45958</v>
      </c>
      <c r="N2571" s="2" t="s">
        <v>2764</v>
      </c>
      <c r="O2571" s="2" t="s">
        <v>54</v>
      </c>
      <c r="P2571" s="2" t="s">
        <v>139</v>
      </c>
      <c r="Q2571" s="2" t="s">
        <v>214</v>
      </c>
      <c r="R2571" s="2" t="s">
        <v>149</v>
      </c>
      <c r="S2571" s="2" t="s">
        <v>198</v>
      </c>
      <c r="T2571" s="10">
        <v>22.63</v>
      </c>
      <c r="U2571" s="11">
        <v>1.085</v>
      </c>
      <c r="V2571" s="12">
        <f>T2571*U2571</f>
        <v>24.553549999999998</v>
      </c>
      <c r="W2571" s="13">
        <v>0.19</v>
      </c>
      <c r="X2571" s="12">
        <f>V2571-(V2571/(1+W2571))</f>
        <v>3.9203147058823511</v>
      </c>
      <c r="Y2571" s="12">
        <f>V2571-X2571</f>
        <v>20.633235294117647</v>
      </c>
      <c r="Z2571" s="14">
        <v>25</v>
      </c>
      <c r="AA2571" s="2" t="str">
        <f>IF(V2571&gt;Z2571,"Yes","No")</f>
        <v>No</v>
      </c>
      <c r="AB2571" s="12">
        <f>V2571-Z2571</f>
        <v>-0.44645000000000223</v>
      </c>
      <c r="AC2571" s="15" t="s">
        <v>130</v>
      </c>
      <c r="AD2571" s="15" t="s">
        <v>131</v>
      </c>
      <c r="AE2571" s="15" t="s">
        <v>132</v>
      </c>
      <c r="AF2571" s="12">
        <f>IF(AG2571="Rejected",0,IF(R2571="Corporate Card",0,V2571))</f>
        <v>24.553549999999998</v>
      </c>
      <c r="AG2571" s="15" t="s">
        <v>133</v>
      </c>
      <c r="AH2571" s="16">
        <v>45967</v>
      </c>
      <c r="AI2571" s="16">
        <v>45974</v>
      </c>
      <c r="AJ2571" s="16">
        <v>45982</v>
      </c>
      <c r="AK2571" s="17">
        <f>IF(AJ2571="","",AJ2571-AH2571)</f>
        <v>15</v>
      </c>
    </row>
    <row r="2572" spans="1:37">
      <c r="A2572" s="2" t="s">
        <v>3068</v>
      </c>
      <c r="B2572" s="2" t="s">
        <v>189</v>
      </c>
      <c r="C2572" s="2" t="s">
        <v>190</v>
      </c>
      <c r="D2572" s="2" t="s">
        <v>171</v>
      </c>
      <c r="E2572" s="2" t="s">
        <v>191</v>
      </c>
      <c r="F2572" s="2" t="s">
        <v>173</v>
      </c>
      <c r="G2572" s="2" t="s">
        <v>3065</v>
      </c>
      <c r="H2572" s="2" t="s">
        <v>417</v>
      </c>
      <c r="I2572" s="2" t="s">
        <v>1251</v>
      </c>
      <c r="J2572" s="2" t="s">
        <v>750</v>
      </c>
      <c r="K2572" s="9">
        <v>45958</v>
      </c>
      <c r="L2572" s="9">
        <v>45963</v>
      </c>
      <c r="M2572" s="9">
        <v>45958</v>
      </c>
      <c r="N2572" s="2" t="s">
        <v>2764</v>
      </c>
      <c r="O2572" s="2" t="s">
        <v>56</v>
      </c>
      <c r="P2572" s="2" t="s">
        <v>245</v>
      </c>
      <c r="Q2572" s="2" t="s">
        <v>152</v>
      </c>
      <c r="R2572" s="2" t="s">
        <v>128</v>
      </c>
      <c r="S2572" s="2" t="s">
        <v>198</v>
      </c>
      <c r="T2572" s="10">
        <v>59.59</v>
      </c>
      <c r="U2572" s="11">
        <v>1.085</v>
      </c>
      <c r="V2572" s="12">
        <f>T2572*U2572</f>
        <v>64.655150000000006</v>
      </c>
      <c r="W2572" s="13">
        <v>0.19</v>
      </c>
      <c r="X2572" s="12">
        <f>V2572-(V2572/(1+W2572))</f>
        <v>10.323091176470584</v>
      </c>
      <c r="Y2572" s="12">
        <f>V2572-X2572</f>
        <v>54.332058823529422</v>
      </c>
      <c r="Z2572" s="14">
        <v>75</v>
      </c>
      <c r="AA2572" s="2" t="str">
        <f>IF(V2572&gt;Z2572,"Yes","No")</f>
        <v>No</v>
      </c>
      <c r="AB2572" s="12">
        <f>V2572-Z2572</f>
        <v>-10.344849999999994</v>
      </c>
      <c r="AC2572" s="15" t="s">
        <v>130</v>
      </c>
      <c r="AD2572" s="15" t="s">
        <v>131</v>
      </c>
      <c r="AE2572" s="15" t="s">
        <v>132</v>
      </c>
      <c r="AF2572" s="12">
        <f>IF(AG2572="Rejected",0,IF(R2572="Corporate Card",0,V2572))</f>
        <v>0</v>
      </c>
      <c r="AG2572" s="15" t="s">
        <v>133</v>
      </c>
      <c r="AH2572" s="16">
        <v>45967</v>
      </c>
      <c r="AI2572" s="16">
        <v>45974</v>
      </c>
      <c r="AJ2572" s="16">
        <v>45982</v>
      </c>
      <c r="AK2572" s="17">
        <f>IF(AJ2572="","",AJ2572-AH2572)</f>
        <v>15</v>
      </c>
    </row>
    <row r="2573" spans="1:37">
      <c r="A2573" s="2" t="s">
        <v>3069</v>
      </c>
      <c r="B2573" s="2" t="s">
        <v>189</v>
      </c>
      <c r="C2573" s="2" t="s">
        <v>190</v>
      </c>
      <c r="D2573" s="2" t="s">
        <v>171</v>
      </c>
      <c r="E2573" s="2" t="s">
        <v>191</v>
      </c>
      <c r="F2573" s="2" t="s">
        <v>173</v>
      </c>
      <c r="G2573" s="2" t="s">
        <v>3065</v>
      </c>
      <c r="H2573" s="2" t="s">
        <v>417</v>
      </c>
      <c r="I2573" s="2" t="s">
        <v>1251</v>
      </c>
      <c r="J2573" s="2" t="s">
        <v>750</v>
      </c>
      <c r="K2573" s="9">
        <v>45958</v>
      </c>
      <c r="L2573" s="9">
        <v>45963</v>
      </c>
      <c r="M2573" s="9">
        <v>45958</v>
      </c>
      <c r="N2573" s="2" t="s">
        <v>2764</v>
      </c>
      <c r="O2573" s="2" t="s">
        <v>55</v>
      </c>
      <c r="P2573" s="2" t="s">
        <v>139</v>
      </c>
      <c r="Q2573" s="2" t="s">
        <v>187</v>
      </c>
      <c r="R2573" s="2" t="s">
        <v>149</v>
      </c>
      <c r="S2573" s="2" t="s">
        <v>198</v>
      </c>
      <c r="T2573" s="10">
        <v>17.29</v>
      </c>
      <c r="U2573" s="11">
        <v>1.085</v>
      </c>
      <c r="V2573" s="12">
        <f>T2573*U2573</f>
        <v>18.759649999999997</v>
      </c>
      <c r="W2573" s="13">
        <v>0.19</v>
      </c>
      <c r="X2573" s="12">
        <f>V2573-(V2573/(1+W2573))</f>
        <v>2.9952382352941171</v>
      </c>
      <c r="Y2573" s="12">
        <f>V2573-X2573</f>
        <v>15.76441176470588</v>
      </c>
      <c r="Z2573" s="14">
        <v>35</v>
      </c>
      <c r="AA2573" s="2" t="str">
        <f>IF(V2573&gt;Z2573,"Yes","No")</f>
        <v>No</v>
      </c>
      <c r="AB2573" s="12">
        <f>V2573-Z2573</f>
        <v>-16.240350000000003</v>
      </c>
      <c r="AC2573" s="15" t="s">
        <v>130</v>
      </c>
      <c r="AD2573" s="15" t="s">
        <v>131</v>
      </c>
      <c r="AE2573" s="15" t="s">
        <v>132</v>
      </c>
      <c r="AF2573" s="12">
        <f>IF(AG2573="Rejected",0,IF(R2573="Corporate Card",0,V2573))</f>
        <v>18.759649999999997</v>
      </c>
      <c r="AG2573" s="15" t="s">
        <v>133</v>
      </c>
      <c r="AH2573" s="16">
        <v>45967</v>
      </c>
      <c r="AI2573" s="16">
        <v>45974</v>
      </c>
      <c r="AJ2573" s="16">
        <v>45982</v>
      </c>
      <c r="AK2573" s="17">
        <f>IF(AJ2573="","",AJ2573-AH2573)</f>
        <v>15</v>
      </c>
    </row>
    <row r="2574" spans="1:37">
      <c r="A2574" s="2" t="s">
        <v>3070</v>
      </c>
      <c r="B2574" s="2" t="s">
        <v>375</v>
      </c>
      <c r="C2574" s="2" t="s">
        <v>376</v>
      </c>
      <c r="D2574" s="2" t="s">
        <v>344</v>
      </c>
      <c r="E2574" s="2" t="s">
        <v>377</v>
      </c>
      <c r="F2574" s="2" t="s">
        <v>346</v>
      </c>
      <c r="G2574" s="2" t="s">
        <v>2939</v>
      </c>
      <c r="H2574" s="2" t="s">
        <v>748</v>
      </c>
      <c r="I2574" s="2" t="s">
        <v>123</v>
      </c>
      <c r="J2574" s="2" t="s">
        <v>124</v>
      </c>
      <c r="K2574" s="9">
        <v>45950</v>
      </c>
      <c r="L2574" s="9">
        <v>45958</v>
      </c>
      <c r="M2574" s="9">
        <v>45958</v>
      </c>
      <c r="N2574" s="2" t="s">
        <v>2764</v>
      </c>
      <c r="O2574" s="2" t="s">
        <v>58</v>
      </c>
      <c r="P2574" s="2" t="s">
        <v>142</v>
      </c>
      <c r="Q2574" s="2" t="s">
        <v>143</v>
      </c>
      <c r="R2574" s="2" t="s">
        <v>137</v>
      </c>
      <c r="S2574" s="2" t="s">
        <v>129</v>
      </c>
      <c r="T2574" s="10">
        <v>35.909999999999997</v>
      </c>
      <c r="U2574" s="11">
        <v>1.272</v>
      </c>
      <c r="V2574" s="12">
        <f>T2574*U2574</f>
        <v>45.677519999999994</v>
      </c>
      <c r="W2574" s="13">
        <v>0.2</v>
      </c>
      <c r="X2574" s="12">
        <f>V2574-(V2574/(1+W2574))</f>
        <v>7.6129199999999955</v>
      </c>
      <c r="Y2574" s="12">
        <f>V2574-X2574</f>
        <v>38.064599999999999</v>
      </c>
      <c r="Z2574" s="14">
        <v>60</v>
      </c>
      <c r="AA2574" s="2" t="str">
        <f>IF(V2574&gt;Z2574,"Yes","No")</f>
        <v>No</v>
      </c>
      <c r="AB2574" s="12">
        <f>V2574-Z2574</f>
        <v>-14.322480000000006</v>
      </c>
      <c r="AC2574" s="15" t="s">
        <v>130</v>
      </c>
      <c r="AD2574" s="15" t="s">
        <v>131</v>
      </c>
      <c r="AE2574" s="15" t="s">
        <v>421</v>
      </c>
      <c r="AF2574" s="12">
        <f>IF(AG2574="Rejected",0,IF(R2574="Corporate Card",0,V2574))</f>
        <v>45.677519999999994</v>
      </c>
      <c r="AG2574" s="15" t="s">
        <v>133</v>
      </c>
      <c r="AH2574" s="16">
        <v>45962</v>
      </c>
      <c r="AI2574" s="16">
        <v>45967</v>
      </c>
      <c r="AJ2574" s="16">
        <v>45974</v>
      </c>
      <c r="AK2574" s="17">
        <f>IF(AJ2574="","",AJ2574-AH2574)</f>
        <v>12</v>
      </c>
    </row>
    <row r="2575" spans="1:37">
      <c r="A2575" s="2" t="s">
        <v>3071</v>
      </c>
      <c r="B2575" s="2" t="s">
        <v>375</v>
      </c>
      <c r="C2575" s="2" t="s">
        <v>376</v>
      </c>
      <c r="D2575" s="2" t="s">
        <v>344</v>
      </c>
      <c r="E2575" s="2" t="s">
        <v>377</v>
      </c>
      <c r="F2575" s="2" t="s">
        <v>346</v>
      </c>
      <c r="G2575" s="2" t="s">
        <v>2939</v>
      </c>
      <c r="H2575" s="2" t="s">
        <v>748</v>
      </c>
      <c r="I2575" s="2" t="s">
        <v>123</v>
      </c>
      <c r="J2575" s="2" t="s">
        <v>124</v>
      </c>
      <c r="K2575" s="9">
        <v>45950</v>
      </c>
      <c r="L2575" s="9">
        <v>45958</v>
      </c>
      <c r="M2575" s="9">
        <v>45958</v>
      </c>
      <c r="N2575" s="2" t="s">
        <v>2764</v>
      </c>
      <c r="O2575" s="2" t="s">
        <v>55</v>
      </c>
      <c r="P2575" s="2" t="s">
        <v>139</v>
      </c>
      <c r="Q2575" s="2" t="s">
        <v>161</v>
      </c>
      <c r="R2575" s="2" t="s">
        <v>128</v>
      </c>
      <c r="S2575" s="2" t="s">
        <v>129</v>
      </c>
      <c r="T2575" s="10">
        <v>26.32</v>
      </c>
      <c r="U2575" s="11">
        <v>1.272</v>
      </c>
      <c r="V2575" s="12">
        <f>T2575*U2575</f>
        <v>33.479039999999998</v>
      </c>
      <c r="W2575" s="13">
        <v>0.2</v>
      </c>
      <c r="X2575" s="12">
        <f>V2575-(V2575/(1+W2575))</f>
        <v>5.5798399999999972</v>
      </c>
      <c r="Y2575" s="12">
        <f>V2575-X2575</f>
        <v>27.8992</v>
      </c>
      <c r="Z2575" s="14">
        <v>35</v>
      </c>
      <c r="AA2575" s="2" t="str">
        <f>IF(V2575&gt;Z2575,"Yes","No")</f>
        <v>No</v>
      </c>
      <c r="AB2575" s="12">
        <f>V2575-Z2575</f>
        <v>-1.5209600000000023</v>
      </c>
      <c r="AC2575" s="15" t="s">
        <v>130</v>
      </c>
      <c r="AD2575" s="15" t="s">
        <v>131</v>
      </c>
      <c r="AE2575" s="15" t="s">
        <v>421</v>
      </c>
      <c r="AF2575" s="12">
        <f>IF(AG2575="Rejected",0,IF(R2575="Corporate Card",0,V2575))</f>
        <v>0</v>
      </c>
      <c r="AG2575" s="15" t="s">
        <v>133</v>
      </c>
      <c r="AH2575" s="16">
        <v>45962</v>
      </c>
      <c r="AI2575" s="16">
        <v>45967</v>
      </c>
      <c r="AJ2575" s="16">
        <v>45974</v>
      </c>
      <c r="AK2575" s="17">
        <f>IF(AJ2575="","",AJ2575-AH2575)</f>
        <v>12</v>
      </c>
    </row>
    <row r="2576" spans="1:37">
      <c r="A2576" s="2" t="s">
        <v>3072</v>
      </c>
      <c r="B2576" s="2" t="s">
        <v>863</v>
      </c>
      <c r="C2576" s="2" t="s">
        <v>864</v>
      </c>
      <c r="D2576" s="2" t="s">
        <v>865</v>
      </c>
      <c r="E2576" s="2" t="s">
        <v>866</v>
      </c>
      <c r="F2576" s="2" t="s">
        <v>867</v>
      </c>
      <c r="G2576" s="2" t="s">
        <v>2967</v>
      </c>
      <c r="H2576" s="2" t="s">
        <v>122</v>
      </c>
      <c r="I2576" s="2" t="s">
        <v>194</v>
      </c>
      <c r="J2576" s="2" t="s">
        <v>195</v>
      </c>
      <c r="K2576" s="9">
        <v>45952</v>
      </c>
      <c r="L2576" s="9">
        <v>45958</v>
      </c>
      <c r="M2576" s="9">
        <v>45958</v>
      </c>
      <c r="N2576" s="2" t="s">
        <v>2764</v>
      </c>
      <c r="O2576" s="2" t="s">
        <v>54</v>
      </c>
      <c r="P2576" s="2" t="s">
        <v>139</v>
      </c>
      <c r="Q2576" s="2" t="s">
        <v>214</v>
      </c>
      <c r="R2576" s="2" t="s">
        <v>137</v>
      </c>
      <c r="S2576" s="2" t="s">
        <v>198</v>
      </c>
      <c r="T2576" s="10">
        <v>29.16</v>
      </c>
      <c r="U2576" s="11">
        <v>1.085</v>
      </c>
      <c r="V2576" s="12">
        <f>T2576*U2576</f>
        <v>31.6386</v>
      </c>
      <c r="W2576" s="13">
        <v>0.19</v>
      </c>
      <c r="X2576" s="12">
        <f>V2576-(V2576/(1+W2576))</f>
        <v>5.051541176470586</v>
      </c>
      <c r="Y2576" s="12">
        <f>V2576-X2576</f>
        <v>26.587058823529414</v>
      </c>
      <c r="Z2576" s="14">
        <v>25</v>
      </c>
      <c r="AA2576" s="2" t="str">
        <f>IF(V2576&gt;Z2576,"Yes","No")</f>
        <v>Yes</v>
      </c>
      <c r="AB2576" s="12">
        <f>V2576-Z2576</f>
        <v>6.6386000000000003</v>
      </c>
      <c r="AC2576" s="15" t="s">
        <v>131</v>
      </c>
      <c r="AD2576" s="15" t="s">
        <v>131</v>
      </c>
      <c r="AE2576" s="15" t="s">
        <v>858</v>
      </c>
      <c r="AF2576" s="12">
        <f>IF(AG2576="Rejected",0,IF(R2576="Corporate Card",0,V2576))</f>
        <v>31.6386</v>
      </c>
      <c r="AG2576" s="15" t="s">
        <v>133</v>
      </c>
      <c r="AH2576" s="16">
        <v>45959</v>
      </c>
      <c r="AI2576" s="16">
        <v>45963</v>
      </c>
      <c r="AJ2576" s="16">
        <v>45975</v>
      </c>
      <c r="AK2576" s="17">
        <f>IF(AJ2576="","",AJ2576-AH2576)</f>
        <v>16</v>
      </c>
    </row>
    <row r="2577" spans="1:37">
      <c r="A2577" s="2" t="s">
        <v>3073</v>
      </c>
      <c r="B2577" s="2" t="s">
        <v>863</v>
      </c>
      <c r="C2577" s="2" t="s">
        <v>864</v>
      </c>
      <c r="D2577" s="2" t="s">
        <v>865</v>
      </c>
      <c r="E2577" s="2" t="s">
        <v>866</v>
      </c>
      <c r="F2577" s="2" t="s">
        <v>867</v>
      </c>
      <c r="G2577" s="2" t="s">
        <v>2967</v>
      </c>
      <c r="H2577" s="2" t="s">
        <v>122</v>
      </c>
      <c r="I2577" s="2" t="s">
        <v>194</v>
      </c>
      <c r="J2577" s="2" t="s">
        <v>195</v>
      </c>
      <c r="K2577" s="9">
        <v>45952</v>
      </c>
      <c r="L2577" s="9">
        <v>45958</v>
      </c>
      <c r="M2577" s="9">
        <v>45958</v>
      </c>
      <c r="N2577" s="2" t="s">
        <v>2764</v>
      </c>
      <c r="O2577" s="2" t="s">
        <v>56</v>
      </c>
      <c r="P2577" s="2" t="s">
        <v>165</v>
      </c>
      <c r="Q2577" s="2" t="s">
        <v>227</v>
      </c>
      <c r="R2577" s="2" t="s">
        <v>149</v>
      </c>
      <c r="S2577" s="2" t="s">
        <v>198</v>
      </c>
      <c r="T2577" s="10">
        <v>59.56</v>
      </c>
      <c r="U2577" s="11">
        <v>1.085</v>
      </c>
      <c r="V2577" s="12">
        <f>T2577*U2577</f>
        <v>64.622600000000006</v>
      </c>
      <c r="W2577" s="13">
        <v>0.19</v>
      </c>
      <c r="X2577" s="12">
        <f>V2577-(V2577/(1+W2577))</f>
        <v>10.317894117647057</v>
      </c>
      <c r="Y2577" s="12">
        <f>V2577-X2577</f>
        <v>54.304705882352948</v>
      </c>
      <c r="Z2577" s="14">
        <v>75</v>
      </c>
      <c r="AA2577" s="2" t="str">
        <f>IF(V2577&gt;Z2577,"Yes","No")</f>
        <v>No</v>
      </c>
      <c r="AB2577" s="12">
        <f>V2577-Z2577</f>
        <v>-10.377399999999994</v>
      </c>
      <c r="AC2577" s="15" t="s">
        <v>130</v>
      </c>
      <c r="AD2577" s="15" t="s">
        <v>131</v>
      </c>
      <c r="AE2577" s="15" t="s">
        <v>858</v>
      </c>
      <c r="AF2577" s="12">
        <f>IF(AG2577="Rejected",0,IF(R2577="Corporate Card",0,V2577))</f>
        <v>64.622600000000006</v>
      </c>
      <c r="AG2577" s="15" t="s">
        <v>133</v>
      </c>
      <c r="AH2577" s="16">
        <v>45959</v>
      </c>
      <c r="AI2577" s="16">
        <v>45963</v>
      </c>
      <c r="AJ2577" s="16">
        <v>45975</v>
      </c>
      <c r="AK2577" s="17">
        <f>IF(AJ2577="","",AJ2577-AH2577)</f>
        <v>16</v>
      </c>
    </row>
    <row r="2578" spans="1:37">
      <c r="A2578" s="2" t="s">
        <v>3074</v>
      </c>
      <c r="B2578" s="2" t="s">
        <v>863</v>
      </c>
      <c r="C2578" s="2" t="s">
        <v>864</v>
      </c>
      <c r="D2578" s="2" t="s">
        <v>865</v>
      </c>
      <c r="E2578" s="2" t="s">
        <v>866</v>
      </c>
      <c r="F2578" s="2" t="s">
        <v>867</v>
      </c>
      <c r="G2578" s="2" t="s">
        <v>2967</v>
      </c>
      <c r="H2578" s="2" t="s">
        <v>122</v>
      </c>
      <c r="I2578" s="2" t="s">
        <v>194</v>
      </c>
      <c r="J2578" s="2" t="s">
        <v>195</v>
      </c>
      <c r="K2578" s="9">
        <v>45952</v>
      </c>
      <c r="L2578" s="9">
        <v>45958</v>
      </c>
      <c r="M2578" s="9">
        <v>45958</v>
      </c>
      <c r="N2578" s="2" t="s">
        <v>2764</v>
      </c>
      <c r="O2578" s="2" t="s">
        <v>55</v>
      </c>
      <c r="P2578" s="2" t="s">
        <v>139</v>
      </c>
      <c r="Q2578" s="2" t="s">
        <v>154</v>
      </c>
      <c r="R2578" s="2" t="s">
        <v>128</v>
      </c>
      <c r="S2578" s="2" t="s">
        <v>198</v>
      </c>
      <c r="T2578" s="10">
        <v>27.69</v>
      </c>
      <c r="U2578" s="11">
        <v>1.085</v>
      </c>
      <c r="V2578" s="12">
        <f>T2578*U2578</f>
        <v>30.04365</v>
      </c>
      <c r="W2578" s="13">
        <v>0.19</v>
      </c>
      <c r="X2578" s="12">
        <f>V2578-(V2578/(1+W2578))</f>
        <v>4.7968852941176472</v>
      </c>
      <c r="Y2578" s="12">
        <f>V2578-X2578</f>
        <v>25.246764705882352</v>
      </c>
      <c r="Z2578" s="14">
        <v>35</v>
      </c>
      <c r="AA2578" s="2" t="str">
        <f>IF(V2578&gt;Z2578,"Yes","No")</f>
        <v>No</v>
      </c>
      <c r="AB2578" s="12">
        <f>V2578-Z2578</f>
        <v>-4.9563500000000005</v>
      </c>
      <c r="AC2578" s="15" t="s">
        <v>131</v>
      </c>
      <c r="AD2578" s="15" t="s">
        <v>131</v>
      </c>
      <c r="AE2578" s="15" t="s">
        <v>858</v>
      </c>
      <c r="AF2578" s="12">
        <f>IF(AG2578="Rejected",0,IF(R2578="Corporate Card",0,V2578))</f>
        <v>0</v>
      </c>
      <c r="AG2578" s="15" t="s">
        <v>133</v>
      </c>
      <c r="AH2578" s="16">
        <v>45959</v>
      </c>
      <c r="AI2578" s="16">
        <v>45963</v>
      </c>
      <c r="AJ2578" s="16">
        <v>45975</v>
      </c>
      <c r="AK2578" s="17">
        <f>IF(AJ2578="","",AJ2578-AH2578)</f>
        <v>16</v>
      </c>
    </row>
    <row r="2579" spans="1:37">
      <c r="A2579" s="2" t="s">
        <v>3075</v>
      </c>
      <c r="B2579" s="2" t="s">
        <v>442</v>
      </c>
      <c r="C2579" s="2" t="s">
        <v>443</v>
      </c>
      <c r="D2579" s="2" t="s">
        <v>444</v>
      </c>
      <c r="E2579" s="2" t="s">
        <v>445</v>
      </c>
      <c r="F2579" s="2" t="s">
        <v>446</v>
      </c>
      <c r="G2579" s="2" t="s">
        <v>3076</v>
      </c>
      <c r="H2579" s="2" t="s">
        <v>803</v>
      </c>
      <c r="I2579" s="2" t="s">
        <v>1038</v>
      </c>
      <c r="J2579" s="2" t="s">
        <v>381</v>
      </c>
      <c r="K2579" s="9">
        <v>45959</v>
      </c>
      <c r="L2579" s="9">
        <v>45961</v>
      </c>
      <c r="M2579" s="9">
        <v>45959</v>
      </c>
      <c r="N2579" s="2" t="s">
        <v>2764</v>
      </c>
      <c r="O2579" s="2" t="s">
        <v>52</v>
      </c>
      <c r="P2579" s="2" t="s">
        <v>1039</v>
      </c>
      <c r="Q2579" s="2" t="s">
        <v>420</v>
      </c>
      <c r="R2579" s="2" t="s">
        <v>128</v>
      </c>
      <c r="S2579" s="2" t="s">
        <v>383</v>
      </c>
      <c r="T2579" s="10">
        <v>945.57</v>
      </c>
      <c r="U2579" s="11">
        <v>1</v>
      </c>
      <c r="V2579" s="12">
        <f>T2579*U2579</f>
        <v>945.57</v>
      </c>
      <c r="W2579" s="13">
        <v>0</v>
      </c>
      <c r="X2579" s="12">
        <f>V2579-(V2579/(1+W2579))</f>
        <v>0</v>
      </c>
      <c r="Y2579" s="12">
        <f>V2579-X2579</f>
        <v>945.57</v>
      </c>
      <c r="Z2579" s="14">
        <v>1400</v>
      </c>
      <c r="AA2579" s="2" t="str">
        <f>IF(V2579&gt;Z2579,"Yes","No")</f>
        <v>No</v>
      </c>
      <c r="AB2579" s="12">
        <f>V2579-Z2579</f>
        <v>-454.42999999999995</v>
      </c>
      <c r="AC2579" s="15" t="s">
        <v>130</v>
      </c>
      <c r="AD2579" s="15" t="s">
        <v>130</v>
      </c>
      <c r="AE2579" s="15" t="s">
        <v>180</v>
      </c>
      <c r="AF2579" s="12">
        <f>IF(AG2579="Rejected",0,IF(R2579="Corporate Card",0,V2579))</f>
        <v>0</v>
      </c>
      <c r="AG2579" s="15" t="s">
        <v>133</v>
      </c>
      <c r="AH2579" s="16">
        <v>45973</v>
      </c>
      <c r="AI2579" s="16">
        <v>45977</v>
      </c>
      <c r="AJ2579" s="16">
        <v>45987</v>
      </c>
      <c r="AK2579" s="17">
        <f>IF(AJ2579="","",AJ2579-AH2579)</f>
        <v>14</v>
      </c>
    </row>
    <row r="2580" spans="1:37">
      <c r="A2580" s="2" t="s">
        <v>3077</v>
      </c>
      <c r="B2580" s="2" t="s">
        <v>442</v>
      </c>
      <c r="C2580" s="2" t="s">
        <v>443</v>
      </c>
      <c r="D2580" s="2" t="s">
        <v>444</v>
      </c>
      <c r="E2580" s="2" t="s">
        <v>445</v>
      </c>
      <c r="F2580" s="2" t="s">
        <v>446</v>
      </c>
      <c r="G2580" s="2" t="s">
        <v>3076</v>
      </c>
      <c r="H2580" s="2" t="s">
        <v>803</v>
      </c>
      <c r="I2580" s="2" t="s">
        <v>1038</v>
      </c>
      <c r="J2580" s="2" t="s">
        <v>381</v>
      </c>
      <c r="K2580" s="9">
        <v>45959</v>
      </c>
      <c r="L2580" s="9">
        <v>45961</v>
      </c>
      <c r="M2580" s="9">
        <v>45959</v>
      </c>
      <c r="N2580" s="2" t="s">
        <v>2764</v>
      </c>
      <c r="O2580" s="2" t="s">
        <v>56</v>
      </c>
      <c r="P2580" s="2" t="s">
        <v>231</v>
      </c>
      <c r="Q2580" s="2" t="s">
        <v>185</v>
      </c>
      <c r="R2580" s="2" t="s">
        <v>128</v>
      </c>
      <c r="S2580" s="2" t="s">
        <v>383</v>
      </c>
      <c r="T2580" s="10">
        <v>112.25</v>
      </c>
      <c r="U2580" s="11">
        <v>1</v>
      </c>
      <c r="V2580" s="12">
        <f>T2580*U2580</f>
        <v>112.25</v>
      </c>
      <c r="W2580" s="13">
        <v>0</v>
      </c>
      <c r="X2580" s="12">
        <f>V2580-(V2580/(1+W2580))</f>
        <v>0</v>
      </c>
      <c r="Y2580" s="12">
        <f>V2580-X2580</f>
        <v>112.25</v>
      </c>
      <c r="Z2580" s="14">
        <v>75</v>
      </c>
      <c r="AA2580" s="2" t="str">
        <f>IF(V2580&gt;Z2580,"Yes","No")</f>
        <v>Yes</v>
      </c>
      <c r="AB2580" s="12">
        <f>V2580-Z2580</f>
        <v>37.25</v>
      </c>
      <c r="AC2580" s="15" t="s">
        <v>130</v>
      </c>
      <c r="AD2580" s="15" t="s">
        <v>130</v>
      </c>
      <c r="AE2580" s="15" t="s">
        <v>180</v>
      </c>
      <c r="AF2580" s="12">
        <f>IF(AG2580="Rejected",0,IF(R2580="Corporate Card",0,V2580))</f>
        <v>0</v>
      </c>
      <c r="AG2580" s="15" t="s">
        <v>133</v>
      </c>
      <c r="AH2580" s="16">
        <v>45973</v>
      </c>
      <c r="AI2580" s="16">
        <v>45977</v>
      </c>
      <c r="AJ2580" s="16">
        <v>45987</v>
      </c>
      <c r="AK2580" s="17">
        <f>IF(AJ2580="","",AJ2580-AH2580)</f>
        <v>14</v>
      </c>
    </row>
    <row r="2581" spans="1:37">
      <c r="A2581" s="2" t="s">
        <v>3078</v>
      </c>
      <c r="B2581" s="2" t="s">
        <v>442</v>
      </c>
      <c r="C2581" s="2" t="s">
        <v>443</v>
      </c>
      <c r="D2581" s="2" t="s">
        <v>444</v>
      </c>
      <c r="E2581" s="2" t="s">
        <v>445</v>
      </c>
      <c r="F2581" s="2" t="s">
        <v>446</v>
      </c>
      <c r="G2581" s="2" t="s">
        <v>3076</v>
      </c>
      <c r="H2581" s="2" t="s">
        <v>803</v>
      </c>
      <c r="I2581" s="2" t="s">
        <v>1038</v>
      </c>
      <c r="J2581" s="2" t="s">
        <v>381</v>
      </c>
      <c r="K2581" s="9">
        <v>45959</v>
      </c>
      <c r="L2581" s="9">
        <v>45961</v>
      </c>
      <c r="M2581" s="9">
        <v>45959</v>
      </c>
      <c r="N2581" s="2" t="s">
        <v>2764</v>
      </c>
      <c r="O2581" s="2" t="s">
        <v>55</v>
      </c>
      <c r="P2581" s="2" t="s">
        <v>139</v>
      </c>
      <c r="Q2581" s="2" t="s">
        <v>217</v>
      </c>
      <c r="R2581" s="2" t="s">
        <v>137</v>
      </c>
      <c r="S2581" s="2" t="s">
        <v>383</v>
      </c>
      <c r="T2581" s="10">
        <v>27.52</v>
      </c>
      <c r="U2581" s="11">
        <v>1</v>
      </c>
      <c r="V2581" s="12">
        <f>T2581*U2581</f>
        <v>27.52</v>
      </c>
      <c r="W2581" s="13">
        <v>0</v>
      </c>
      <c r="X2581" s="12">
        <f>V2581-(V2581/(1+W2581))</f>
        <v>0</v>
      </c>
      <c r="Y2581" s="12">
        <f>V2581-X2581</f>
        <v>27.52</v>
      </c>
      <c r="Z2581" s="14">
        <v>35</v>
      </c>
      <c r="AA2581" s="2" t="str">
        <f>IF(V2581&gt;Z2581,"Yes","No")</f>
        <v>No</v>
      </c>
      <c r="AB2581" s="12">
        <f>V2581-Z2581</f>
        <v>-7.48</v>
      </c>
      <c r="AC2581" s="15" t="s">
        <v>131</v>
      </c>
      <c r="AD2581" s="15" t="s">
        <v>130</v>
      </c>
      <c r="AE2581" s="15" t="s">
        <v>180</v>
      </c>
      <c r="AF2581" s="12">
        <f>IF(AG2581="Rejected",0,IF(R2581="Corporate Card",0,V2581))</f>
        <v>27.52</v>
      </c>
      <c r="AG2581" s="15" t="s">
        <v>133</v>
      </c>
      <c r="AH2581" s="16">
        <v>45973</v>
      </c>
      <c r="AI2581" s="16">
        <v>45977</v>
      </c>
      <c r="AJ2581" s="16">
        <v>45987</v>
      </c>
      <c r="AK2581" s="17">
        <f>IF(AJ2581="","",AJ2581-AH2581)</f>
        <v>14</v>
      </c>
    </row>
    <row r="2582" spans="1:37">
      <c r="A2582" s="2" t="s">
        <v>3079</v>
      </c>
      <c r="B2582" s="2" t="s">
        <v>550</v>
      </c>
      <c r="C2582" s="2" t="s">
        <v>551</v>
      </c>
      <c r="D2582" s="2" t="s">
        <v>171</v>
      </c>
      <c r="E2582" s="2" t="s">
        <v>172</v>
      </c>
      <c r="F2582" s="2" t="s">
        <v>173</v>
      </c>
      <c r="G2582" s="2" t="s">
        <v>2980</v>
      </c>
      <c r="H2582" s="2" t="s">
        <v>803</v>
      </c>
      <c r="I2582" s="2" t="s">
        <v>619</v>
      </c>
      <c r="J2582" s="2" t="s">
        <v>381</v>
      </c>
      <c r="K2582" s="9">
        <v>45953</v>
      </c>
      <c r="L2582" s="9">
        <v>45961</v>
      </c>
      <c r="M2582" s="9">
        <v>45959</v>
      </c>
      <c r="N2582" s="2" t="s">
        <v>2764</v>
      </c>
      <c r="O2582" s="2" t="s">
        <v>58</v>
      </c>
      <c r="P2582" s="2" t="s">
        <v>142</v>
      </c>
      <c r="Q2582" s="2" t="s">
        <v>156</v>
      </c>
      <c r="R2582" s="2" t="s">
        <v>128</v>
      </c>
      <c r="S2582" s="2" t="s">
        <v>383</v>
      </c>
      <c r="T2582" s="10">
        <v>45.31</v>
      </c>
      <c r="U2582" s="11">
        <v>1</v>
      </c>
      <c r="V2582" s="12">
        <f>T2582*U2582</f>
        <v>45.31</v>
      </c>
      <c r="W2582" s="13">
        <v>0</v>
      </c>
      <c r="X2582" s="12">
        <f>V2582-(V2582/(1+W2582))</f>
        <v>0</v>
      </c>
      <c r="Y2582" s="12">
        <f>V2582-X2582</f>
        <v>45.31</v>
      </c>
      <c r="Z2582" s="14">
        <v>60</v>
      </c>
      <c r="AA2582" s="2" t="str">
        <f>IF(V2582&gt;Z2582,"Yes","No")</f>
        <v>No</v>
      </c>
      <c r="AB2582" s="12">
        <f>V2582-Z2582</f>
        <v>-14.689999999999998</v>
      </c>
      <c r="AC2582" s="15" t="s">
        <v>131</v>
      </c>
      <c r="AD2582" s="15" t="s">
        <v>130</v>
      </c>
      <c r="AE2582" s="15" t="s">
        <v>858</v>
      </c>
      <c r="AF2582" s="12">
        <f>IF(AG2582="Rejected",0,IF(R2582="Corporate Card",0,V2582))</f>
        <v>0</v>
      </c>
      <c r="AG2582" s="15" t="s">
        <v>133</v>
      </c>
      <c r="AH2582" s="16">
        <v>45968</v>
      </c>
      <c r="AI2582" s="16">
        <v>45972</v>
      </c>
      <c r="AJ2582" s="16">
        <v>45983</v>
      </c>
      <c r="AK2582" s="17">
        <f>IF(AJ2582="","",AJ2582-AH2582)</f>
        <v>15</v>
      </c>
    </row>
    <row r="2583" spans="1:37">
      <c r="A2583" s="2" t="s">
        <v>3080</v>
      </c>
      <c r="B2583" s="2" t="s">
        <v>550</v>
      </c>
      <c r="C2583" s="2" t="s">
        <v>551</v>
      </c>
      <c r="D2583" s="2" t="s">
        <v>171</v>
      </c>
      <c r="E2583" s="2" t="s">
        <v>172</v>
      </c>
      <c r="F2583" s="2" t="s">
        <v>173</v>
      </c>
      <c r="G2583" s="2" t="s">
        <v>2980</v>
      </c>
      <c r="H2583" s="2" t="s">
        <v>803</v>
      </c>
      <c r="I2583" s="2" t="s">
        <v>619</v>
      </c>
      <c r="J2583" s="2" t="s">
        <v>381</v>
      </c>
      <c r="K2583" s="9">
        <v>45953</v>
      </c>
      <c r="L2583" s="9">
        <v>45961</v>
      </c>
      <c r="M2583" s="9">
        <v>45959</v>
      </c>
      <c r="N2583" s="2" t="s">
        <v>2764</v>
      </c>
      <c r="O2583" s="2" t="s">
        <v>54</v>
      </c>
      <c r="P2583" s="2" t="s">
        <v>139</v>
      </c>
      <c r="Q2583" s="2" t="s">
        <v>148</v>
      </c>
      <c r="R2583" s="2" t="s">
        <v>128</v>
      </c>
      <c r="S2583" s="2" t="s">
        <v>383</v>
      </c>
      <c r="T2583" s="10">
        <v>17.57</v>
      </c>
      <c r="U2583" s="11">
        <v>1</v>
      </c>
      <c r="V2583" s="12">
        <f>T2583*U2583</f>
        <v>17.57</v>
      </c>
      <c r="W2583" s="13">
        <v>0</v>
      </c>
      <c r="X2583" s="12">
        <f>V2583-(V2583/(1+W2583))</f>
        <v>0</v>
      </c>
      <c r="Y2583" s="12">
        <f>V2583-X2583</f>
        <v>17.57</v>
      </c>
      <c r="Z2583" s="14">
        <v>25</v>
      </c>
      <c r="AA2583" s="2" t="str">
        <f>IF(V2583&gt;Z2583,"Yes","No")</f>
        <v>No</v>
      </c>
      <c r="AB2583" s="12">
        <f>V2583-Z2583</f>
        <v>-7.43</v>
      </c>
      <c r="AC2583" s="15" t="s">
        <v>130</v>
      </c>
      <c r="AD2583" s="15" t="s">
        <v>130</v>
      </c>
      <c r="AE2583" s="15" t="s">
        <v>858</v>
      </c>
      <c r="AF2583" s="12">
        <f>IF(AG2583="Rejected",0,IF(R2583="Corporate Card",0,V2583))</f>
        <v>0</v>
      </c>
      <c r="AG2583" s="15" t="s">
        <v>133</v>
      </c>
      <c r="AH2583" s="16">
        <v>45968</v>
      </c>
      <c r="AI2583" s="16">
        <v>45972</v>
      </c>
      <c r="AJ2583" s="16">
        <v>45983</v>
      </c>
      <c r="AK2583" s="17">
        <f>IF(AJ2583="","",AJ2583-AH2583)</f>
        <v>15</v>
      </c>
    </row>
    <row r="2584" spans="1:37">
      <c r="A2584" s="2" t="s">
        <v>3081</v>
      </c>
      <c r="B2584" s="2" t="s">
        <v>550</v>
      </c>
      <c r="C2584" s="2" t="s">
        <v>551</v>
      </c>
      <c r="D2584" s="2" t="s">
        <v>171</v>
      </c>
      <c r="E2584" s="2" t="s">
        <v>172</v>
      </c>
      <c r="F2584" s="2" t="s">
        <v>173</v>
      </c>
      <c r="G2584" s="2" t="s">
        <v>2980</v>
      </c>
      <c r="H2584" s="2" t="s">
        <v>803</v>
      </c>
      <c r="I2584" s="2" t="s">
        <v>619</v>
      </c>
      <c r="J2584" s="2" t="s">
        <v>381</v>
      </c>
      <c r="K2584" s="9">
        <v>45953</v>
      </c>
      <c r="L2584" s="9">
        <v>45961</v>
      </c>
      <c r="M2584" s="9">
        <v>45959</v>
      </c>
      <c r="N2584" s="2" t="s">
        <v>2764</v>
      </c>
      <c r="O2584" s="2" t="s">
        <v>56</v>
      </c>
      <c r="P2584" s="2" t="s">
        <v>245</v>
      </c>
      <c r="Q2584" s="2" t="s">
        <v>159</v>
      </c>
      <c r="R2584" s="2" t="s">
        <v>149</v>
      </c>
      <c r="S2584" s="2" t="s">
        <v>383</v>
      </c>
      <c r="T2584" s="10">
        <v>38.92</v>
      </c>
      <c r="U2584" s="11">
        <v>1</v>
      </c>
      <c r="V2584" s="12">
        <f>T2584*U2584</f>
        <v>38.92</v>
      </c>
      <c r="W2584" s="13">
        <v>0</v>
      </c>
      <c r="X2584" s="12">
        <f>V2584-(V2584/(1+W2584))</f>
        <v>0</v>
      </c>
      <c r="Y2584" s="12">
        <f>V2584-X2584</f>
        <v>38.92</v>
      </c>
      <c r="Z2584" s="14">
        <v>75</v>
      </c>
      <c r="AA2584" s="2" t="str">
        <f>IF(V2584&gt;Z2584,"Yes","No")</f>
        <v>No</v>
      </c>
      <c r="AB2584" s="12">
        <f>V2584-Z2584</f>
        <v>-36.08</v>
      </c>
      <c r="AC2584" s="15" t="s">
        <v>130</v>
      </c>
      <c r="AD2584" s="15" t="s">
        <v>130</v>
      </c>
      <c r="AE2584" s="15" t="s">
        <v>858</v>
      </c>
      <c r="AF2584" s="12">
        <f>IF(AG2584="Rejected",0,IF(R2584="Corporate Card",0,V2584))</f>
        <v>38.92</v>
      </c>
      <c r="AG2584" s="15" t="s">
        <v>133</v>
      </c>
      <c r="AH2584" s="16">
        <v>45968</v>
      </c>
      <c r="AI2584" s="16">
        <v>45972</v>
      </c>
      <c r="AJ2584" s="16">
        <v>45983</v>
      </c>
      <c r="AK2584" s="17">
        <f>IF(AJ2584="","",AJ2584-AH2584)</f>
        <v>15</v>
      </c>
    </row>
    <row r="2585" spans="1:37">
      <c r="A2585" s="2" t="s">
        <v>3082</v>
      </c>
      <c r="B2585" s="2" t="s">
        <v>550</v>
      </c>
      <c r="C2585" s="2" t="s">
        <v>551</v>
      </c>
      <c r="D2585" s="2" t="s">
        <v>171</v>
      </c>
      <c r="E2585" s="2" t="s">
        <v>172</v>
      </c>
      <c r="F2585" s="2" t="s">
        <v>173</v>
      </c>
      <c r="G2585" s="2" t="s">
        <v>2980</v>
      </c>
      <c r="H2585" s="2" t="s">
        <v>803</v>
      </c>
      <c r="I2585" s="2" t="s">
        <v>619</v>
      </c>
      <c r="J2585" s="2" t="s">
        <v>381</v>
      </c>
      <c r="K2585" s="9">
        <v>45953</v>
      </c>
      <c r="L2585" s="9">
        <v>45961</v>
      </c>
      <c r="M2585" s="9">
        <v>45959</v>
      </c>
      <c r="N2585" s="2" t="s">
        <v>2764</v>
      </c>
      <c r="O2585" s="2" t="s">
        <v>55</v>
      </c>
      <c r="P2585" s="2" t="s">
        <v>139</v>
      </c>
      <c r="Q2585" s="2" t="s">
        <v>217</v>
      </c>
      <c r="R2585" s="2" t="s">
        <v>137</v>
      </c>
      <c r="S2585" s="2" t="s">
        <v>383</v>
      </c>
      <c r="T2585" s="10">
        <v>20.010000000000002</v>
      </c>
      <c r="U2585" s="11">
        <v>1</v>
      </c>
      <c r="V2585" s="12">
        <f>T2585*U2585</f>
        <v>20.010000000000002</v>
      </c>
      <c r="W2585" s="13">
        <v>0</v>
      </c>
      <c r="X2585" s="12">
        <f>V2585-(V2585/(1+W2585))</f>
        <v>0</v>
      </c>
      <c r="Y2585" s="12">
        <f>V2585-X2585</f>
        <v>20.010000000000002</v>
      </c>
      <c r="Z2585" s="14">
        <v>35</v>
      </c>
      <c r="AA2585" s="2" t="str">
        <f>IF(V2585&gt;Z2585,"Yes","No")</f>
        <v>No</v>
      </c>
      <c r="AB2585" s="12">
        <f>V2585-Z2585</f>
        <v>-14.989999999999998</v>
      </c>
      <c r="AC2585" s="15" t="s">
        <v>130</v>
      </c>
      <c r="AD2585" s="15" t="s">
        <v>130</v>
      </c>
      <c r="AE2585" s="15" t="s">
        <v>858</v>
      </c>
      <c r="AF2585" s="12">
        <f>IF(AG2585="Rejected",0,IF(R2585="Corporate Card",0,V2585))</f>
        <v>20.010000000000002</v>
      </c>
      <c r="AG2585" s="15" t="s">
        <v>133</v>
      </c>
      <c r="AH2585" s="16">
        <v>45968</v>
      </c>
      <c r="AI2585" s="16">
        <v>45972</v>
      </c>
      <c r="AJ2585" s="16">
        <v>45983</v>
      </c>
      <c r="AK2585" s="17">
        <f>IF(AJ2585="","",AJ2585-AH2585)</f>
        <v>15</v>
      </c>
    </row>
    <row r="2586" spans="1:37">
      <c r="A2586" s="2" t="s">
        <v>3083</v>
      </c>
      <c r="B2586" s="2" t="s">
        <v>287</v>
      </c>
      <c r="C2586" s="2" t="s">
        <v>288</v>
      </c>
      <c r="D2586" s="2" t="s">
        <v>171</v>
      </c>
      <c r="E2586" s="2" t="s">
        <v>289</v>
      </c>
      <c r="F2586" s="2" t="s">
        <v>173</v>
      </c>
      <c r="G2586" s="2" t="s">
        <v>3019</v>
      </c>
      <c r="H2586" s="2" t="s">
        <v>291</v>
      </c>
      <c r="I2586" s="2" t="s">
        <v>418</v>
      </c>
      <c r="J2586" s="2" t="s">
        <v>381</v>
      </c>
      <c r="K2586" s="9">
        <v>45955</v>
      </c>
      <c r="L2586" s="9">
        <v>45959</v>
      </c>
      <c r="M2586" s="9">
        <v>45959</v>
      </c>
      <c r="N2586" s="2" t="s">
        <v>2764</v>
      </c>
      <c r="O2586" s="2" t="s">
        <v>54</v>
      </c>
      <c r="P2586" s="2" t="s">
        <v>139</v>
      </c>
      <c r="Q2586" s="2" t="s">
        <v>163</v>
      </c>
      <c r="R2586" s="2" t="s">
        <v>128</v>
      </c>
      <c r="S2586" s="2" t="s">
        <v>383</v>
      </c>
      <c r="T2586" s="10">
        <v>14.63</v>
      </c>
      <c r="U2586" s="11">
        <v>1</v>
      </c>
      <c r="V2586" s="12">
        <f>T2586*U2586</f>
        <v>14.63</v>
      </c>
      <c r="W2586" s="13">
        <v>0</v>
      </c>
      <c r="X2586" s="12">
        <f>V2586-(V2586/(1+W2586))</f>
        <v>0</v>
      </c>
      <c r="Y2586" s="12">
        <f>V2586-X2586</f>
        <v>14.63</v>
      </c>
      <c r="Z2586" s="14">
        <v>25</v>
      </c>
      <c r="AA2586" s="2" t="str">
        <f>IF(V2586&gt;Z2586,"Yes","No")</f>
        <v>No</v>
      </c>
      <c r="AB2586" s="12">
        <f>V2586-Z2586</f>
        <v>-10.37</v>
      </c>
      <c r="AC2586" s="15" t="s">
        <v>130</v>
      </c>
      <c r="AD2586" s="15" t="s">
        <v>130</v>
      </c>
      <c r="AE2586" s="15" t="s">
        <v>514</v>
      </c>
      <c r="AF2586" s="12">
        <f>IF(AG2586="Rejected",0,IF(R2586="Corporate Card",0,V2586))</f>
        <v>0</v>
      </c>
      <c r="AG2586" s="15" t="s">
        <v>133</v>
      </c>
      <c r="AH2586" s="16">
        <v>45964</v>
      </c>
      <c r="AI2586" s="16">
        <v>45969</v>
      </c>
      <c r="AJ2586" s="16">
        <v>45982</v>
      </c>
      <c r="AK2586" s="17">
        <f>IF(AJ2586="","",AJ2586-AH2586)</f>
        <v>18</v>
      </c>
    </row>
    <row r="2587" spans="1:37">
      <c r="A2587" s="2" t="s">
        <v>3084</v>
      </c>
      <c r="B2587" s="2" t="s">
        <v>287</v>
      </c>
      <c r="C2587" s="2" t="s">
        <v>288</v>
      </c>
      <c r="D2587" s="2" t="s">
        <v>171</v>
      </c>
      <c r="E2587" s="2" t="s">
        <v>289</v>
      </c>
      <c r="F2587" s="2" t="s">
        <v>173</v>
      </c>
      <c r="G2587" s="2" t="s">
        <v>3019</v>
      </c>
      <c r="H2587" s="2" t="s">
        <v>291</v>
      </c>
      <c r="I2587" s="2" t="s">
        <v>418</v>
      </c>
      <c r="J2587" s="2" t="s">
        <v>381</v>
      </c>
      <c r="K2587" s="9">
        <v>45955</v>
      </c>
      <c r="L2587" s="9">
        <v>45959</v>
      </c>
      <c r="M2587" s="9">
        <v>45959</v>
      </c>
      <c r="N2587" s="2" t="s">
        <v>2764</v>
      </c>
      <c r="O2587" s="2" t="s">
        <v>56</v>
      </c>
      <c r="P2587" s="2" t="s">
        <v>245</v>
      </c>
      <c r="Q2587" s="2" t="s">
        <v>159</v>
      </c>
      <c r="R2587" s="2" t="s">
        <v>128</v>
      </c>
      <c r="S2587" s="2" t="s">
        <v>383</v>
      </c>
      <c r="T2587" s="10">
        <v>55.79</v>
      </c>
      <c r="U2587" s="11">
        <v>1</v>
      </c>
      <c r="V2587" s="12">
        <f>T2587*U2587</f>
        <v>55.79</v>
      </c>
      <c r="W2587" s="13">
        <v>0</v>
      </c>
      <c r="X2587" s="12">
        <f>V2587-(V2587/(1+W2587))</f>
        <v>0</v>
      </c>
      <c r="Y2587" s="12">
        <f>V2587-X2587</f>
        <v>55.79</v>
      </c>
      <c r="Z2587" s="14">
        <v>75</v>
      </c>
      <c r="AA2587" s="2" t="str">
        <f>IF(V2587&gt;Z2587,"Yes","No")</f>
        <v>No</v>
      </c>
      <c r="AB2587" s="12">
        <f>V2587-Z2587</f>
        <v>-19.21</v>
      </c>
      <c r="AC2587" s="15" t="s">
        <v>130</v>
      </c>
      <c r="AD2587" s="15" t="s">
        <v>130</v>
      </c>
      <c r="AE2587" s="15" t="s">
        <v>514</v>
      </c>
      <c r="AF2587" s="12">
        <f>IF(AG2587="Rejected",0,IF(R2587="Corporate Card",0,V2587))</f>
        <v>0</v>
      </c>
      <c r="AG2587" s="15" t="s">
        <v>133</v>
      </c>
      <c r="AH2587" s="16">
        <v>45964</v>
      </c>
      <c r="AI2587" s="16">
        <v>45969</v>
      </c>
      <c r="AJ2587" s="16">
        <v>45982</v>
      </c>
      <c r="AK2587" s="17">
        <f>IF(AJ2587="","",AJ2587-AH2587)</f>
        <v>18</v>
      </c>
    </row>
    <row r="2588" spans="1:37">
      <c r="A2588" s="2" t="s">
        <v>3085</v>
      </c>
      <c r="B2588" s="2" t="s">
        <v>287</v>
      </c>
      <c r="C2588" s="2" t="s">
        <v>288</v>
      </c>
      <c r="D2588" s="2" t="s">
        <v>171</v>
      </c>
      <c r="E2588" s="2" t="s">
        <v>289</v>
      </c>
      <c r="F2588" s="2" t="s">
        <v>173</v>
      </c>
      <c r="G2588" s="2" t="s">
        <v>3019</v>
      </c>
      <c r="H2588" s="2" t="s">
        <v>291</v>
      </c>
      <c r="I2588" s="2" t="s">
        <v>418</v>
      </c>
      <c r="J2588" s="2" t="s">
        <v>381</v>
      </c>
      <c r="K2588" s="9">
        <v>45955</v>
      </c>
      <c r="L2588" s="9">
        <v>45959</v>
      </c>
      <c r="M2588" s="9">
        <v>45959</v>
      </c>
      <c r="N2588" s="2" t="s">
        <v>2764</v>
      </c>
      <c r="O2588" s="2" t="s">
        <v>55</v>
      </c>
      <c r="P2588" s="2" t="s">
        <v>139</v>
      </c>
      <c r="Q2588" s="2" t="s">
        <v>154</v>
      </c>
      <c r="R2588" s="2" t="s">
        <v>149</v>
      </c>
      <c r="S2588" s="2" t="s">
        <v>383</v>
      </c>
      <c r="T2588" s="10">
        <v>25.79</v>
      </c>
      <c r="U2588" s="11">
        <v>1</v>
      </c>
      <c r="V2588" s="12">
        <f>T2588*U2588</f>
        <v>25.79</v>
      </c>
      <c r="W2588" s="13">
        <v>0</v>
      </c>
      <c r="X2588" s="12">
        <f>V2588-(V2588/(1+W2588))</f>
        <v>0</v>
      </c>
      <c r="Y2588" s="12">
        <f>V2588-X2588</f>
        <v>25.79</v>
      </c>
      <c r="Z2588" s="14">
        <v>35</v>
      </c>
      <c r="AA2588" s="2" t="str">
        <f>IF(V2588&gt;Z2588,"Yes","No")</f>
        <v>No</v>
      </c>
      <c r="AB2588" s="12">
        <f>V2588-Z2588</f>
        <v>-9.2100000000000009</v>
      </c>
      <c r="AC2588" s="15" t="s">
        <v>130</v>
      </c>
      <c r="AD2588" s="15" t="s">
        <v>130</v>
      </c>
      <c r="AE2588" s="15" t="s">
        <v>514</v>
      </c>
      <c r="AF2588" s="12">
        <f>IF(AG2588="Rejected",0,IF(R2588="Corporate Card",0,V2588))</f>
        <v>25.79</v>
      </c>
      <c r="AG2588" s="15" t="s">
        <v>133</v>
      </c>
      <c r="AH2588" s="16">
        <v>45964</v>
      </c>
      <c r="AI2588" s="16">
        <v>45969</v>
      </c>
      <c r="AJ2588" s="16">
        <v>45982</v>
      </c>
      <c r="AK2588" s="17">
        <f>IF(AJ2588="","",AJ2588-AH2588)</f>
        <v>18</v>
      </c>
    </row>
    <row r="2589" spans="1:37">
      <c r="A2589" s="2" t="s">
        <v>3086</v>
      </c>
      <c r="B2589" s="2" t="s">
        <v>189</v>
      </c>
      <c r="C2589" s="2" t="s">
        <v>190</v>
      </c>
      <c r="D2589" s="2" t="s">
        <v>171</v>
      </c>
      <c r="E2589" s="2" t="s">
        <v>191</v>
      </c>
      <c r="F2589" s="2" t="s">
        <v>173</v>
      </c>
      <c r="G2589" s="2" t="s">
        <v>3065</v>
      </c>
      <c r="H2589" s="2" t="s">
        <v>417</v>
      </c>
      <c r="I2589" s="2" t="s">
        <v>1251</v>
      </c>
      <c r="J2589" s="2" t="s">
        <v>750</v>
      </c>
      <c r="K2589" s="9">
        <v>45958</v>
      </c>
      <c r="L2589" s="9">
        <v>45963</v>
      </c>
      <c r="M2589" s="9">
        <v>45959</v>
      </c>
      <c r="N2589" s="2" t="s">
        <v>2764</v>
      </c>
      <c r="O2589" s="2" t="s">
        <v>53</v>
      </c>
      <c r="P2589" s="2" t="s">
        <v>271</v>
      </c>
      <c r="Q2589" s="2" t="s">
        <v>305</v>
      </c>
      <c r="R2589" s="2" t="s">
        <v>128</v>
      </c>
      <c r="S2589" s="2" t="s">
        <v>198</v>
      </c>
      <c r="T2589" s="10">
        <v>1257.6400000000001</v>
      </c>
      <c r="U2589" s="11">
        <v>1.085</v>
      </c>
      <c r="V2589" s="12">
        <f>T2589*U2589</f>
        <v>1364.5394000000001</v>
      </c>
      <c r="W2589" s="13">
        <v>0.19</v>
      </c>
      <c r="X2589" s="12">
        <f>V2589-(V2589/(1+W2589))</f>
        <v>217.86763529411769</v>
      </c>
      <c r="Y2589" s="12">
        <f>V2589-X2589</f>
        <v>1146.6717647058824</v>
      </c>
      <c r="Z2589" s="14">
        <v>1400</v>
      </c>
      <c r="AA2589" s="2" t="str">
        <f>IF(V2589&gt;Z2589,"Yes","No")</f>
        <v>No</v>
      </c>
      <c r="AB2589" s="12">
        <f>V2589-Z2589</f>
        <v>-35.460599999999886</v>
      </c>
      <c r="AC2589" s="15" t="s">
        <v>130</v>
      </c>
      <c r="AD2589" s="15" t="s">
        <v>131</v>
      </c>
      <c r="AE2589" s="15" t="s">
        <v>132</v>
      </c>
      <c r="AF2589" s="12">
        <f>IF(AG2589="Rejected",0,IF(R2589="Corporate Card",0,V2589))</f>
        <v>0</v>
      </c>
      <c r="AG2589" s="15" t="s">
        <v>133</v>
      </c>
      <c r="AH2589" s="16">
        <v>45967</v>
      </c>
      <c r="AI2589" s="16">
        <v>45974</v>
      </c>
      <c r="AJ2589" s="16">
        <v>45982</v>
      </c>
      <c r="AK2589" s="17">
        <f>IF(AJ2589="","",AJ2589-AH2589)</f>
        <v>15</v>
      </c>
    </row>
    <row r="2590" spans="1:37">
      <c r="A2590" s="2" t="s">
        <v>3087</v>
      </c>
      <c r="B2590" s="2" t="s">
        <v>189</v>
      </c>
      <c r="C2590" s="2" t="s">
        <v>190</v>
      </c>
      <c r="D2590" s="2" t="s">
        <v>171</v>
      </c>
      <c r="E2590" s="2" t="s">
        <v>191</v>
      </c>
      <c r="F2590" s="2" t="s">
        <v>173</v>
      </c>
      <c r="G2590" s="2" t="s">
        <v>3065</v>
      </c>
      <c r="H2590" s="2" t="s">
        <v>417</v>
      </c>
      <c r="I2590" s="2" t="s">
        <v>1251</v>
      </c>
      <c r="J2590" s="2" t="s">
        <v>750</v>
      </c>
      <c r="K2590" s="9">
        <v>45958</v>
      </c>
      <c r="L2590" s="9">
        <v>45963</v>
      </c>
      <c r="M2590" s="9">
        <v>45959</v>
      </c>
      <c r="N2590" s="2" t="s">
        <v>2764</v>
      </c>
      <c r="O2590" s="2" t="s">
        <v>56</v>
      </c>
      <c r="P2590" s="2" t="s">
        <v>151</v>
      </c>
      <c r="Q2590" s="2" t="s">
        <v>159</v>
      </c>
      <c r="R2590" s="2" t="s">
        <v>128</v>
      </c>
      <c r="S2590" s="2" t="s">
        <v>198</v>
      </c>
      <c r="T2590" s="10">
        <v>33.92</v>
      </c>
      <c r="U2590" s="11">
        <v>1.085</v>
      </c>
      <c r="V2590" s="12">
        <f>T2590*U2590</f>
        <v>36.803200000000004</v>
      </c>
      <c r="W2590" s="13">
        <v>0.19</v>
      </c>
      <c r="X2590" s="12">
        <f>V2590-(V2590/(1+W2590))</f>
        <v>5.8761411764705862</v>
      </c>
      <c r="Y2590" s="12">
        <f>V2590-X2590</f>
        <v>30.927058823529418</v>
      </c>
      <c r="Z2590" s="14">
        <v>75</v>
      </c>
      <c r="AA2590" s="2" t="str">
        <f>IF(V2590&gt;Z2590,"Yes","No")</f>
        <v>No</v>
      </c>
      <c r="AB2590" s="12">
        <f>V2590-Z2590</f>
        <v>-38.196799999999996</v>
      </c>
      <c r="AC2590" s="15" t="s">
        <v>130</v>
      </c>
      <c r="AD2590" s="15" t="s">
        <v>131</v>
      </c>
      <c r="AE2590" s="15" t="s">
        <v>132</v>
      </c>
      <c r="AF2590" s="12">
        <f>IF(AG2590="Rejected",0,IF(R2590="Corporate Card",0,V2590))</f>
        <v>0</v>
      </c>
      <c r="AG2590" s="15" t="s">
        <v>133</v>
      </c>
      <c r="AH2590" s="16">
        <v>45967</v>
      </c>
      <c r="AI2590" s="16">
        <v>45974</v>
      </c>
      <c r="AJ2590" s="16">
        <v>45982</v>
      </c>
      <c r="AK2590" s="17">
        <f>IF(AJ2590="","",AJ2590-AH2590)</f>
        <v>15</v>
      </c>
    </row>
    <row r="2591" spans="1:37">
      <c r="A2591" s="2" t="s">
        <v>3088</v>
      </c>
      <c r="B2591" s="2" t="s">
        <v>189</v>
      </c>
      <c r="C2591" s="2" t="s">
        <v>190</v>
      </c>
      <c r="D2591" s="2" t="s">
        <v>171</v>
      </c>
      <c r="E2591" s="2" t="s">
        <v>191</v>
      </c>
      <c r="F2591" s="2" t="s">
        <v>173</v>
      </c>
      <c r="G2591" s="2" t="s">
        <v>3065</v>
      </c>
      <c r="H2591" s="2" t="s">
        <v>417</v>
      </c>
      <c r="I2591" s="2" t="s">
        <v>1251</v>
      </c>
      <c r="J2591" s="2" t="s">
        <v>750</v>
      </c>
      <c r="K2591" s="9">
        <v>45958</v>
      </c>
      <c r="L2591" s="9">
        <v>45963</v>
      </c>
      <c r="M2591" s="9">
        <v>45959</v>
      </c>
      <c r="N2591" s="2" t="s">
        <v>2764</v>
      </c>
      <c r="O2591" s="2" t="s">
        <v>55</v>
      </c>
      <c r="P2591" s="2" t="s">
        <v>139</v>
      </c>
      <c r="Q2591" s="2" t="s">
        <v>154</v>
      </c>
      <c r="R2591" s="2" t="s">
        <v>128</v>
      </c>
      <c r="S2591" s="2" t="s">
        <v>198</v>
      </c>
      <c r="T2591" s="10">
        <v>15.26</v>
      </c>
      <c r="U2591" s="11">
        <v>1.085</v>
      </c>
      <c r="V2591" s="12">
        <f>T2591*U2591</f>
        <v>16.557099999999998</v>
      </c>
      <c r="W2591" s="13">
        <v>0.19</v>
      </c>
      <c r="X2591" s="12">
        <f>V2591-(V2591/(1+W2591))</f>
        <v>2.6435705882352938</v>
      </c>
      <c r="Y2591" s="12">
        <f>V2591-X2591</f>
        <v>13.913529411764705</v>
      </c>
      <c r="Z2591" s="14">
        <v>35</v>
      </c>
      <c r="AA2591" s="2" t="str">
        <f>IF(V2591&gt;Z2591,"Yes","No")</f>
        <v>No</v>
      </c>
      <c r="AB2591" s="12">
        <f>V2591-Z2591</f>
        <v>-18.442900000000002</v>
      </c>
      <c r="AC2591" s="15" t="s">
        <v>130</v>
      </c>
      <c r="AD2591" s="15" t="s">
        <v>131</v>
      </c>
      <c r="AE2591" s="15" t="s">
        <v>132</v>
      </c>
      <c r="AF2591" s="12">
        <f>IF(AG2591="Rejected",0,IF(R2591="Corporate Card",0,V2591))</f>
        <v>0</v>
      </c>
      <c r="AG2591" s="15" t="s">
        <v>133</v>
      </c>
      <c r="AH2591" s="16">
        <v>45967</v>
      </c>
      <c r="AI2591" s="16">
        <v>45974</v>
      </c>
      <c r="AJ2591" s="16">
        <v>45982</v>
      </c>
      <c r="AK2591" s="17">
        <f>IF(AJ2591="","",AJ2591-AH2591)</f>
        <v>15</v>
      </c>
    </row>
    <row r="2592" spans="1:37">
      <c r="A2592" s="2" t="s">
        <v>3089</v>
      </c>
      <c r="B2592" s="2" t="s">
        <v>442</v>
      </c>
      <c r="C2592" s="2" t="s">
        <v>443</v>
      </c>
      <c r="D2592" s="2" t="s">
        <v>444</v>
      </c>
      <c r="E2592" s="2" t="s">
        <v>445</v>
      </c>
      <c r="F2592" s="2" t="s">
        <v>446</v>
      </c>
      <c r="G2592" s="2" t="s">
        <v>3076</v>
      </c>
      <c r="H2592" s="2" t="s">
        <v>803</v>
      </c>
      <c r="I2592" s="2" t="s">
        <v>1038</v>
      </c>
      <c r="J2592" s="2" t="s">
        <v>381</v>
      </c>
      <c r="K2592" s="9">
        <v>45959</v>
      </c>
      <c r="L2592" s="9">
        <v>45961</v>
      </c>
      <c r="M2592" s="9">
        <v>45960</v>
      </c>
      <c r="N2592" s="2" t="s">
        <v>2764</v>
      </c>
      <c r="O2592" s="2" t="s">
        <v>60</v>
      </c>
      <c r="P2592" s="2" t="s">
        <v>1643</v>
      </c>
      <c r="Q2592" s="2" t="s">
        <v>503</v>
      </c>
      <c r="R2592" s="2" t="s">
        <v>128</v>
      </c>
      <c r="S2592" s="2" t="s">
        <v>383</v>
      </c>
      <c r="T2592" s="10">
        <v>107.48</v>
      </c>
      <c r="U2592" s="11">
        <v>1</v>
      </c>
      <c r="V2592" s="12">
        <f>T2592*U2592</f>
        <v>107.48</v>
      </c>
      <c r="W2592" s="13">
        <v>0</v>
      </c>
      <c r="X2592" s="12">
        <f>V2592-(V2592/(1+W2592))</f>
        <v>0</v>
      </c>
      <c r="Y2592" s="12">
        <f>V2592-X2592</f>
        <v>107.48</v>
      </c>
      <c r="Z2592" s="14">
        <v>240</v>
      </c>
      <c r="AA2592" s="2" t="str">
        <f>IF(V2592&gt;Z2592,"Yes","No")</f>
        <v>No</v>
      </c>
      <c r="AB2592" s="12">
        <f>V2592-Z2592</f>
        <v>-132.51999999999998</v>
      </c>
      <c r="AC2592" s="15" t="s">
        <v>130</v>
      </c>
      <c r="AD2592" s="15" t="s">
        <v>130</v>
      </c>
      <c r="AE2592" s="15" t="s">
        <v>180</v>
      </c>
      <c r="AF2592" s="12">
        <f>IF(AG2592="Rejected",0,IF(R2592="Corporate Card",0,V2592))</f>
        <v>0</v>
      </c>
      <c r="AG2592" s="15" t="s">
        <v>133</v>
      </c>
      <c r="AH2592" s="16">
        <v>45973</v>
      </c>
      <c r="AI2592" s="16">
        <v>45977</v>
      </c>
      <c r="AJ2592" s="16">
        <v>45987</v>
      </c>
      <c r="AK2592" s="17">
        <f>IF(AJ2592="","",AJ2592-AH2592)</f>
        <v>14</v>
      </c>
    </row>
    <row r="2593" spans="1:37">
      <c r="A2593" s="2" t="s">
        <v>3090</v>
      </c>
      <c r="B2593" s="2" t="s">
        <v>442</v>
      </c>
      <c r="C2593" s="2" t="s">
        <v>443</v>
      </c>
      <c r="D2593" s="2" t="s">
        <v>444</v>
      </c>
      <c r="E2593" s="2" t="s">
        <v>445</v>
      </c>
      <c r="F2593" s="2" t="s">
        <v>446</v>
      </c>
      <c r="G2593" s="2" t="s">
        <v>3076</v>
      </c>
      <c r="H2593" s="2" t="s">
        <v>803</v>
      </c>
      <c r="I2593" s="2" t="s">
        <v>1038</v>
      </c>
      <c r="J2593" s="2" t="s">
        <v>381</v>
      </c>
      <c r="K2593" s="9">
        <v>45959</v>
      </c>
      <c r="L2593" s="9">
        <v>45961</v>
      </c>
      <c r="M2593" s="9">
        <v>45960</v>
      </c>
      <c r="N2593" s="2" t="s">
        <v>2764</v>
      </c>
      <c r="O2593" s="2" t="s">
        <v>53</v>
      </c>
      <c r="P2593" s="2" t="s">
        <v>362</v>
      </c>
      <c r="Q2593" s="2" t="s">
        <v>272</v>
      </c>
      <c r="R2593" s="2" t="s">
        <v>128</v>
      </c>
      <c r="S2593" s="2" t="s">
        <v>383</v>
      </c>
      <c r="T2593" s="10">
        <v>407.22</v>
      </c>
      <c r="U2593" s="11">
        <v>1</v>
      </c>
      <c r="V2593" s="12">
        <f>T2593*U2593</f>
        <v>407.22</v>
      </c>
      <c r="W2593" s="13">
        <v>0</v>
      </c>
      <c r="X2593" s="12">
        <f>V2593-(V2593/(1+W2593))</f>
        <v>0</v>
      </c>
      <c r="Y2593" s="12">
        <f>V2593-X2593</f>
        <v>407.22</v>
      </c>
      <c r="Z2593" s="14">
        <v>560</v>
      </c>
      <c r="AA2593" s="2" t="str">
        <f>IF(V2593&gt;Z2593,"Yes","No")</f>
        <v>No</v>
      </c>
      <c r="AB2593" s="12">
        <f>V2593-Z2593</f>
        <v>-152.77999999999997</v>
      </c>
      <c r="AC2593" s="15" t="s">
        <v>130</v>
      </c>
      <c r="AD2593" s="15" t="s">
        <v>130</v>
      </c>
      <c r="AE2593" s="15" t="s">
        <v>180</v>
      </c>
      <c r="AF2593" s="12">
        <f>IF(AG2593="Rejected",0,IF(R2593="Corporate Card",0,V2593))</f>
        <v>0</v>
      </c>
      <c r="AG2593" s="15" t="s">
        <v>133</v>
      </c>
      <c r="AH2593" s="16">
        <v>45973</v>
      </c>
      <c r="AI2593" s="16">
        <v>45977</v>
      </c>
      <c r="AJ2593" s="16">
        <v>45987</v>
      </c>
      <c r="AK2593" s="17">
        <f>IF(AJ2593="","",AJ2593-AH2593)</f>
        <v>14</v>
      </c>
    </row>
    <row r="2594" spans="1:37">
      <c r="A2594" s="2" t="s">
        <v>3091</v>
      </c>
      <c r="B2594" s="2" t="s">
        <v>442</v>
      </c>
      <c r="C2594" s="2" t="s">
        <v>443</v>
      </c>
      <c r="D2594" s="2" t="s">
        <v>444</v>
      </c>
      <c r="E2594" s="2" t="s">
        <v>445</v>
      </c>
      <c r="F2594" s="2" t="s">
        <v>446</v>
      </c>
      <c r="G2594" s="2" t="s">
        <v>3076</v>
      </c>
      <c r="H2594" s="2" t="s">
        <v>803</v>
      </c>
      <c r="I2594" s="2" t="s">
        <v>1038</v>
      </c>
      <c r="J2594" s="2" t="s">
        <v>381</v>
      </c>
      <c r="K2594" s="9">
        <v>45959</v>
      </c>
      <c r="L2594" s="9">
        <v>45961</v>
      </c>
      <c r="M2594" s="9">
        <v>45960</v>
      </c>
      <c r="N2594" s="2" t="s">
        <v>2764</v>
      </c>
      <c r="O2594" s="2" t="s">
        <v>54</v>
      </c>
      <c r="P2594" s="2" t="s">
        <v>139</v>
      </c>
      <c r="Q2594" s="2" t="s">
        <v>148</v>
      </c>
      <c r="R2594" s="2" t="s">
        <v>128</v>
      </c>
      <c r="S2594" s="2" t="s">
        <v>383</v>
      </c>
      <c r="T2594" s="10">
        <v>16.62</v>
      </c>
      <c r="U2594" s="11">
        <v>1</v>
      </c>
      <c r="V2594" s="12">
        <f>T2594*U2594</f>
        <v>16.62</v>
      </c>
      <c r="W2594" s="13">
        <v>0</v>
      </c>
      <c r="X2594" s="12">
        <f>V2594-(V2594/(1+W2594))</f>
        <v>0</v>
      </c>
      <c r="Y2594" s="12">
        <f>V2594-X2594</f>
        <v>16.62</v>
      </c>
      <c r="Z2594" s="14">
        <v>25</v>
      </c>
      <c r="AA2594" s="2" t="str">
        <f>IF(V2594&gt;Z2594,"Yes","No")</f>
        <v>No</v>
      </c>
      <c r="AB2594" s="12">
        <f>V2594-Z2594</f>
        <v>-8.379999999999999</v>
      </c>
      <c r="AC2594" s="15" t="s">
        <v>130</v>
      </c>
      <c r="AD2594" s="15" t="s">
        <v>130</v>
      </c>
      <c r="AE2594" s="15" t="s">
        <v>180</v>
      </c>
      <c r="AF2594" s="12">
        <f>IF(AG2594="Rejected",0,IF(R2594="Corporate Card",0,V2594))</f>
        <v>0</v>
      </c>
      <c r="AG2594" s="15" t="s">
        <v>133</v>
      </c>
      <c r="AH2594" s="16">
        <v>45973</v>
      </c>
      <c r="AI2594" s="16">
        <v>45977</v>
      </c>
      <c r="AJ2594" s="16">
        <v>45987</v>
      </c>
      <c r="AK2594" s="17">
        <f>IF(AJ2594="","",AJ2594-AH2594)</f>
        <v>14</v>
      </c>
    </row>
    <row r="2595" spans="1:37">
      <c r="A2595" s="2" t="s">
        <v>3092</v>
      </c>
      <c r="B2595" s="2" t="s">
        <v>442</v>
      </c>
      <c r="C2595" s="2" t="s">
        <v>443</v>
      </c>
      <c r="D2595" s="2" t="s">
        <v>444</v>
      </c>
      <c r="E2595" s="2" t="s">
        <v>445</v>
      </c>
      <c r="F2595" s="2" t="s">
        <v>446</v>
      </c>
      <c r="G2595" s="2" t="s">
        <v>3076</v>
      </c>
      <c r="H2595" s="2" t="s">
        <v>803</v>
      </c>
      <c r="I2595" s="2" t="s">
        <v>1038</v>
      </c>
      <c r="J2595" s="2" t="s">
        <v>381</v>
      </c>
      <c r="K2595" s="9">
        <v>45959</v>
      </c>
      <c r="L2595" s="9">
        <v>45961</v>
      </c>
      <c r="M2595" s="9">
        <v>45960</v>
      </c>
      <c r="N2595" s="2" t="s">
        <v>2764</v>
      </c>
      <c r="O2595" s="2" t="s">
        <v>56</v>
      </c>
      <c r="P2595" s="2" t="s">
        <v>165</v>
      </c>
      <c r="Q2595" s="2" t="s">
        <v>185</v>
      </c>
      <c r="R2595" s="2" t="s">
        <v>149</v>
      </c>
      <c r="S2595" s="2" t="s">
        <v>383</v>
      </c>
      <c r="T2595" s="10">
        <v>41.05</v>
      </c>
      <c r="U2595" s="11">
        <v>1</v>
      </c>
      <c r="V2595" s="12">
        <f>T2595*U2595</f>
        <v>41.05</v>
      </c>
      <c r="W2595" s="13">
        <v>0</v>
      </c>
      <c r="X2595" s="12">
        <f>V2595-(V2595/(1+W2595))</f>
        <v>0</v>
      </c>
      <c r="Y2595" s="12">
        <f>V2595-X2595</f>
        <v>41.05</v>
      </c>
      <c r="Z2595" s="14">
        <v>75</v>
      </c>
      <c r="AA2595" s="2" t="str">
        <f>IF(V2595&gt;Z2595,"Yes","No")</f>
        <v>No</v>
      </c>
      <c r="AB2595" s="12">
        <f>V2595-Z2595</f>
        <v>-33.950000000000003</v>
      </c>
      <c r="AC2595" s="15" t="s">
        <v>130</v>
      </c>
      <c r="AD2595" s="15" t="s">
        <v>130</v>
      </c>
      <c r="AE2595" s="15" t="s">
        <v>180</v>
      </c>
      <c r="AF2595" s="12">
        <f>IF(AG2595="Rejected",0,IF(R2595="Corporate Card",0,V2595))</f>
        <v>41.05</v>
      </c>
      <c r="AG2595" s="15" t="s">
        <v>133</v>
      </c>
      <c r="AH2595" s="16">
        <v>45973</v>
      </c>
      <c r="AI2595" s="16">
        <v>45977</v>
      </c>
      <c r="AJ2595" s="16">
        <v>45987</v>
      </c>
      <c r="AK2595" s="17">
        <f>IF(AJ2595="","",AJ2595-AH2595)</f>
        <v>14</v>
      </c>
    </row>
    <row r="2596" spans="1:37">
      <c r="A2596" s="2" t="s">
        <v>3093</v>
      </c>
      <c r="B2596" s="2" t="s">
        <v>550</v>
      </c>
      <c r="C2596" s="2" t="s">
        <v>551</v>
      </c>
      <c r="D2596" s="2" t="s">
        <v>171</v>
      </c>
      <c r="E2596" s="2" t="s">
        <v>172</v>
      </c>
      <c r="F2596" s="2" t="s">
        <v>173</v>
      </c>
      <c r="G2596" s="2" t="s">
        <v>2980</v>
      </c>
      <c r="H2596" s="2" t="s">
        <v>803</v>
      </c>
      <c r="I2596" s="2" t="s">
        <v>619</v>
      </c>
      <c r="J2596" s="2" t="s">
        <v>381</v>
      </c>
      <c r="K2596" s="9">
        <v>45953</v>
      </c>
      <c r="L2596" s="9">
        <v>45961</v>
      </c>
      <c r="M2596" s="9">
        <v>45960</v>
      </c>
      <c r="N2596" s="2" t="s">
        <v>2764</v>
      </c>
      <c r="O2596" s="2" t="s">
        <v>67</v>
      </c>
      <c r="P2596" s="2" t="s">
        <v>401</v>
      </c>
      <c r="Q2596" s="2" t="s">
        <v>402</v>
      </c>
      <c r="R2596" s="2" t="s">
        <v>149</v>
      </c>
      <c r="S2596" s="2" t="s">
        <v>383</v>
      </c>
      <c r="T2596" s="10">
        <v>38.04</v>
      </c>
      <c r="U2596" s="11">
        <v>1</v>
      </c>
      <c r="V2596" s="12">
        <f>T2596*U2596</f>
        <v>38.04</v>
      </c>
      <c r="W2596" s="13">
        <v>0</v>
      </c>
      <c r="X2596" s="12">
        <f>V2596-(V2596/(1+W2596))</f>
        <v>0</v>
      </c>
      <c r="Y2596" s="12">
        <f>V2596-X2596</f>
        <v>38.04</v>
      </c>
      <c r="Z2596" s="14">
        <v>100</v>
      </c>
      <c r="AA2596" s="2" t="str">
        <f>IF(V2596&gt;Z2596,"Yes","No")</f>
        <v>No</v>
      </c>
      <c r="AB2596" s="12">
        <f>V2596-Z2596</f>
        <v>-61.96</v>
      </c>
      <c r="AC2596" s="15" t="s">
        <v>130</v>
      </c>
      <c r="AD2596" s="15" t="s">
        <v>130</v>
      </c>
      <c r="AE2596" s="15" t="s">
        <v>858</v>
      </c>
      <c r="AF2596" s="12">
        <f>IF(AG2596="Rejected",0,IF(R2596="Corporate Card",0,V2596))</f>
        <v>38.04</v>
      </c>
      <c r="AG2596" s="15" t="s">
        <v>133</v>
      </c>
      <c r="AH2596" s="16">
        <v>45968</v>
      </c>
      <c r="AI2596" s="16">
        <v>45972</v>
      </c>
      <c r="AJ2596" s="16">
        <v>45983</v>
      </c>
      <c r="AK2596" s="17">
        <f>IF(AJ2596="","",AJ2596-AH2596)</f>
        <v>15</v>
      </c>
    </row>
    <row r="2597" spans="1:37">
      <c r="A2597" s="2" t="s">
        <v>3094</v>
      </c>
      <c r="B2597" s="2" t="s">
        <v>550</v>
      </c>
      <c r="C2597" s="2" t="s">
        <v>551</v>
      </c>
      <c r="D2597" s="2" t="s">
        <v>171</v>
      </c>
      <c r="E2597" s="2" t="s">
        <v>172</v>
      </c>
      <c r="F2597" s="2" t="s">
        <v>173</v>
      </c>
      <c r="G2597" s="2" t="s">
        <v>2980</v>
      </c>
      <c r="H2597" s="2" t="s">
        <v>803</v>
      </c>
      <c r="I2597" s="2" t="s">
        <v>619</v>
      </c>
      <c r="J2597" s="2" t="s">
        <v>381</v>
      </c>
      <c r="K2597" s="9">
        <v>45953</v>
      </c>
      <c r="L2597" s="9">
        <v>45961</v>
      </c>
      <c r="M2597" s="9">
        <v>45960</v>
      </c>
      <c r="N2597" s="2" t="s">
        <v>2764</v>
      </c>
      <c r="O2597" s="2" t="s">
        <v>58</v>
      </c>
      <c r="P2597" s="2" t="s">
        <v>142</v>
      </c>
      <c r="Q2597" s="2" t="s">
        <v>156</v>
      </c>
      <c r="R2597" s="2" t="s">
        <v>128</v>
      </c>
      <c r="S2597" s="2" t="s">
        <v>383</v>
      </c>
      <c r="T2597" s="10">
        <v>29.34</v>
      </c>
      <c r="U2597" s="11">
        <v>1</v>
      </c>
      <c r="V2597" s="12">
        <f>T2597*U2597</f>
        <v>29.34</v>
      </c>
      <c r="W2597" s="13">
        <v>0</v>
      </c>
      <c r="X2597" s="12">
        <f>V2597-(V2597/(1+W2597))</f>
        <v>0</v>
      </c>
      <c r="Y2597" s="12">
        <f>V2597-X2597</f>
        <v>29.34</v>
      </c>
      <c r="Z2597" s="14">
        <v>60</v>
      </c>
      <c r="AA2597" s="2" t="str">
        <f>IF(V2597&gt;Z2597,"Yes","No")</f>
        <v>No</v>
      </c>
      <c r="AB2597" s="12">
        <f>V2597-Z2597</f>
        <v>-30.66</v>
      </c>
      <c r="AC2597" s="15" t="s">
        <v>130</v>
      </c>
      <c r="AD2597" s="15" t="s">
        <v>130</v>
      </c>
      <c r="AE2597" s="15" t="s">
        <v>858</v>
      </c>
      <c r="AF2597" s="12">
        <f>IF(AG2597="Rejected",0,IF(R2597="Corporate Card",0,V2597))</f>
        <v>0</v>
      </c>
      <c r="AG2597" s="15" t="s">
        <v>133</v>
      </c>
      <c r="AH2597" s="16">
        <v>45968</v>
      </c>
      <c r="AI2597" s="16">
        <v>45972</v>
      </c>
      <c r="AJ2597" s="16">
        <v>45983</v>
      </c>
      <c r="AK2597" s="17">
        <f>IF(AJ2597="","",AJ2597-AH2597)</f>
        <v>15</v>
      </c>
    </row>
    <row r="2598" spans="1:37">
      <c r="A2598" s="2" t="s">
        <v>3095</v>
      </c>
      <c r="B2598" s="2" t="s">
        <v>550</v>
      </c>
      <c r="C2598" s="2" t="s">
        <v>551</v>
      </c>
      <c r="D2598" s="2" t="s">
        <v>171</v>
      </c>
      <c r="E2598" s="2" t="s">
        <v>172</v>
      </c>
      <c r="F2598" s="2" t="s">
        <v>173</v>
      </c>
      <c r="G2598" s="2" t="s">
        <v>2980</v>
      </c>
      <c r="H2598" s="2" t="s">
        <v>803</v>
      </c>
      <c r="I2598" s="2" t="s">
        <v>619</v>
      </c>
      <c r="J2598" s="2" t="s">
        <v>381</v>
      </c>
      <c r="K2598" s="9">
        <v>45953</v>
      </c>
      <c r="L2598" s="9">
        <v>45961</v>
      </c>
      <c r="M2598" s="9">
        <v>45960</v>
      </c>
      <c r="N2598" s="2" t="s">
        <v>2764</v>
      </c>
      <c r="O2598" s="2" t="s">
        <v>56</v>
      </c>
      <c r="P2598" s="2" t="s">
        <v>245</v>
      </c>
      <c r="Q2598" s="2" t="s">
        <v>159</v>
      </c>
      <c r="R2598" s="2" t="s">
        <v>128</v>
      </c>
      <c r="S2598" s="2" t="s">
        <v>383</v>
      </c>
      <c r="T2598" s="10">
        <v>74.02</v>
      </c>
      <c r="U2598" s="11">
        <v>1</v>
      </c>
      <c r="V2598" s="12">
        <f>T2598*U2598</f>
        <v>74.02</v>
      </c>
      <c r="W2598" s="13">
        <v>0</v>
      </c>
      <c r="X2598" s="12">
        <f>V2598-(V2598/(1+W2598))</f>
        <v>0</v>
      </c>
      <c r="Y2598" s="12">
        <f>V2598-X2598</f>
        <v>74.02</v>
      </c>
      <c r="Z2598" s="14">
        <v>75</v>
      </c>
      <c r="AA2598" s="2" t="str">
        <f>IF(V2598&gt;Z2598,"Yes","No")</f>
        <v>No</v>
      </c>
      <c r="AB2598" s="12">
        <f>V2598-Z2598</f>
        <v>-0.98000000000000398</v>
      </c>
      <c r="AC2598" s="15" t="s">
        <v>130</v>
      </c>
      <c r="AD2598" s="15" t="s">
        <v>130</v>
      </c>
      <c r="AE2598" s="15" t="s">
        <v>858</v>
      </c>
      <c r="AF2598" s="12">
        <f>IF(AG2598="Rejected",0,IF(R2598="Corporate Card",0,V2598))</f>
        <v>0</v>
      </c>
      <c r="AG2598" s="15" t="s">
        <v>133</v>
      </c>
      <c r="AH2598" s="16">
        <v>45968</v>
      </c>
      <c r="AI2598" s="16">
        <v>45972</v>
      </c>
      <c r="AJ2598" s="16">
        <v>45983</v>
      </c>
      <c r="AK2598" s="17">
        <f>IF(AJ2598="","",AJ2598-AH2598)</f>
        <v>15</v>
      </c>
    </row>
    <row r="2599" spans="1:37">
      <c r="A2599" s="2" t="s">
        <v>3096</v>
      </c>
      <c r="B2599" s="2" t="s">
        <v>550</v>
      </c>
      <c r="C2599" s="2" t="s">
        <v>551</v>
      </c>
      <c r="D2599" s="2" t="s">
        <v>171</v>
      </c>
      <c r="E2599" s="2" t="s">
        <v>172</v>
      </c>
      <c r="F2599" s="2" t="s">
        <v>173</v>
      </c>
      <c r="G2599" s="2" t="s">
        <v>2980</v>
      </c>
      <c r="H2599" s="2" t="s">
        <v>803</v>
      </c>
      <c r="I2599" s="2" t="s">
        <v>619</v>
      </c>
      <c r="J2599" s="2" t="s">
        <v>381</v>
      </c>
      <c r="K2599" s="9">
        <v>45953</v>
      </c>
      <c r="L2599" s="9">
        <v>45961</v>
      </c>
      <c r="M2599" s="9">
        <v>45960</v>
      </c>
      <c r="N2599" s="2" t="s">
        <v>2764</v>
      </c>
      <c r="O2599" s="2" t="s">
        <v>55</v>
      </c>
      <c r="P2599" s="2" t="s">
        <v>139</v>
      </c>
      <c r="Q2599" s="2" t="s">
        <v>161</v>
      </c>
      <c r="R2599" s="2" t="s">
        <v>149</v>
      </c>
      <c r="S2599" s="2" t="s">
        <v>383</v>
      </c>
      <c r="T2599" s="10">
        <v>33.39</v>
      </c>
      <c r="U2599" s="11">
        <v>1</v>
      </c>
      <c r="V2599" s="12">
        <f>T2599*U2599</f>
        <v>33.39</v>
      </c>
      <c r="W2599" s="13">
        <v>0</v>
      </c>
      <c r="X2599" s="12">
        <f>V2599-(V2599/(1+W2599))</f>
        <v>0</v>
      </c>
      <c r="Y2599" s="12">
        <f>V2599-X2599</f>
        <v>33.39</v>
      </c>
      <c r="Z2599" s="14">
        <v>35</v>
      </c>
      <c r="AA2599" s="2" t="str">
        <f>IF(V2599&gt;Z2599,"Yes","No")</f>
        <v>No</v>
      </c>
      <c r="AB2599" s="12">
        <f>V2599-Z2599</f>
        <v>-1.6099999999999994</v>
      </c>
      <c r="AC2599" s="15" t="s">
        <v>130</v>
      </c>
      <c r="AD2599" s="15" t="s">
        <v>130</v>
      </c>
      <c r="AE2599" s="15" t="s">
        <v>858</v>
      </c>
      <c r="AF2599" s="12">
        <f>IF(AG2599="Rejected",0,IF(R2599="Corporate Card",0,V2599))</f>
        <v>33.39</v>
      </c>
      <c r="AG2599" s="15" t="s">
        <v>133</v>
      </c>
      <c r="AH2599" s="16">
        <v>45968</v>
      </c>
      <c r="AI2599" s="16">
        <v>45972</v>
      </c>
      <c r="AJ2599" s="16">
        <v>45983</v>
      </c>
      <c r="AK2599" s="17">
        <f>IF(AJ2599="","",AJ2599-AH2599)</f>
        <v>15</v>
      </c>
    </row>
    <row r="2600" spans="1:37">
      <c r="A2600" s="2" t="s">
        <v>3097</v>
      </c>
      <c r="B2600" s="2" t="s">
        <v>189</v>
      </c>
      <c r="C2600" s="2" t="s">
        <v>190</v>
      </c>
      <c r="D2600" s="2" t="s">
        <v>171</v>
      </c>
      <c r="E2600" s="2" t="s">
        <v>191</v>
      </c>
      <c r="F2600" s="2" t="s">
        <v>173</v>
      </c>
      <c r="G2600" s="2" t="s">
        <v>3065</v>
      </c>
      <c r="H2600" s="2" t="s">
        <v>417</v>
      </c>
      <c r="I2600" s="2" t="s">
        <v>1251</v>
      </c>
      <c r="J2600" s="2" t="s">
        <v>750</v>
      </c>
      <c r="K2600" s="9">
        <v>45958</v>
      </c>
      <c r="L2600" s="9">
        <v>45963</v>
      </c>
      <c r="M2600" s="9">
        <v>45960</v>
      </c>
      <c r="N2600" s="2" t="s">
        <v>2764</v>
      </c>
      <c r="O2600" s="2" t="s">
        <v>58</v>
      </c>
      <c r="P2600" s="2" t="s">
        <v>142</v>
      </c>
      <c r="Q2600" s="2" t="s">
        <v>224</v>
      </c>
      <c r="R2600" s="2" t="s">
        <v>149</v>
      </c>
      <c r="S2600" s="2" t="s">
        <v>198</v>
      </c>
      <c r="T2600" s="10">
        <v>27.53</v>
      </c>
      <c r="U2600" s="11">
        <v>1.085</v>
      </c>
      <c r="V2600" s="12">
        <f>T2600*U2600</f>
        <v>29.870049999999999</v>
      </c>
      <c r="W2600" s="13">
        <v>0.19</v>
      </c>
      <c r="X2600" s="12">
        <f>V2600-(V2600/(1+W2600))</f>
        <v>4.769167647058822</v>
      </c>
      <c r="Y2600" s="12">
        <f>V2600-X2600</f>
        <v>25.100882352941177</v>
      </c>
      <c r="Z2600" s="14">
        <v>60</v>
      </c>
      <c r="AA2600" s="2" t="str">
        <f>IF(V2600&gt;Z2600,"Yes","No")</f>
        <v>No</v>
      </c>
      <c r="AB2600" s="12">
        <f>V2600-Z2600</f>
        <v>-30.129950000000001</v>
      </c>
      <c r="AC2600" s="15" t="s">
        <v>130</v>
      </c>
      <c r="AD2600" s="15" t="s">
        <v>131</v>
      </c>
      <c r="AE2600" s="15" t="s">
        <v>132</v>
      </c>
      <c r="AF2600" s="12">
        <f>IF(AG2600="Rejected",0,IF(R2600="Corporate Card",0,V2600))</f>
        <v>29.870049999999999</v>
      </c>
      <c r="AG2600" s="15" t="s">
        <v>133</v>
      </c>
      <c r="AH2600" s="16">
        <v>45967</v>
      </c>
      <c r="AI2600" s="16">
        <v>45974</v>
      </c>
      <c r="AJ2600" s="16">
        <v>45982</v>
      </c>
      <c r="AK2600" s="17">
        <f>IF(AJ2600="","",AJ2600-AH2600)</f>
        <v>15</v>
      </c>
    </row>
    <row r="2601" spans="1:37">
      <c r="A2601" s="2" t="s">
        <v>3098</v>
      </c>
      <c r="B2601" s="2" t="s">
        <v>189</v>
      </c>
      <c r="C2601" s="2" t="s">
        <v>190</v>
      </c>
      <c r="D2601" s="2" t="s">
        <v>171</v>
      </c>
      <c r="E2601" s="2" t="s">
        <v>191</v>
      </c>
      <c r="F2601" s="2" t="s">
        <v>173</v>
      </c>
      <c r="G2601" s="2" t="s">
        <v>3065</v>
      </c>
      <c r="H2601" s="2" t="s">
        <v>417</v>
      </c>
      <c r="I2601" s="2" t="s">
        <v>1251</v>
      </c>
      <c r="J2601" s="2" t="s">
        <v>750</v>
      </c>
      <c r="K2601" s="9">
        <v>45958</v>
      </c>
      <c r="L2601" s="9">
        <v>45963</v>
      </c>
      <c r="M2601" s="9">
        <v>45960</v>
      </c>
      <c r="N2601" s="2" t="s">
        <v>2764</v>
      </c>
      <c r="O2601" s="2" t="s">
        <v>56</v>
      </c>
      <c r="P2601" s="2" t="s">
        <v>165</v>
      </c>
      <c r="Q2601" s="2" t="s">
        <v>185</v>
      </c>
      <c r="R2601" s="2" t="s">
        <v>137</v>
      </c>
      <c r="S2601" s="2" t="s">
        <v>198</v>
      </c>
      <c r="T2601" s="10">
        <v>57.75</v>
      </c>
      <c r="U2601" s="11">
        <v>1.085</v>
      </c>
      <c r="V2601" s="12">
        <f>T2601*U2601</f>
        <v>62.658749999999998</v>
      </c>
      <c r="W2601" s="13">
        <v>0.19</v>
      </c>
      <c r="X2601" s="12">
        <f>V2601-(V2601/(1+W2601))</f>
        <v>10.004338235294114</v>
      </c>
      <c r="Y2601" s="12">
        <f>V2601-X2601</f>
        <v>52.654411764705884</v>
      </c>
      <c r="Z2601" s="14">
        <v>75</v>
      </c>
      <c r="AA2601" s="2" t="str">
        <f>IF(V2601&gt;Z2601,"Yes","No")</f>
        <v>No</v>
      </c>
      <c r="AB2601" s="12">
        <f>V2601-Z2601</f>
        <v>-12.341250000000002</v>
      </c>
      <c r="AC2601" s="15" t="s">
        <v>130</v>
      </c>
      <c r="AD2601" s="15" t="s">
        <v>131</v>
      </c>
      <c r="AE2601" s="15" t="s">
        <v>132</v>
      </c>
      <c r="AF2601" s="12">
        <f>IF(AG2601="Rejected",0,IF(R2601="Corporate Card",0,V2601))</f>
        <v>62.658749999999998</v>
      </c>
      <c r="AG2601" s="15" t="s">
        <v>133</v>
      </c>
      <c r="AH2601" s="16">
        <v>45967</v>
      </c>
      <c r="AI2601" s="16">
        <v>45974</v>
      </c>
      <c r="AJ2601" s="16">
        <v>45982</v>
      </c>
      <c r="AK2601" s="17">
        <f>IF(AJ2601="","",AJ2601-AH2601)</f>
        <v>15</v>
      </c>
    </row>
    <row r="2602" spans="1:37">
      <c r="A2602" s="2" t="s">
        <v>3099</v>
      </c>
      <c r="B2602" s="2" t="s">
        <v>1235</v>
      </c>
      <c r="C2602" s="2" t="s">
        <v>867</v>
      </c>
      <c r="D2602" s="2" t="s">
        <v>865</v>
      </c>
      <c r="E2602" s="2" t="s">
        <v>1236</v>
      </c>
      <c r="F2602" s="2" t="s">
        <v>313</v>
      </c>
      <c r="G2602" s="2" t="s">
        <v>3100</v>
      </c>
      <c r="H2602" s="2" t="s">
        <v>379</v>
      </c>
      <c r="I2602" s="2" t="s">
        <v>194</v>
      </c>
      <c r="J2602" s="2" t="s">
        <v>195</v>
      </c>
      <c r="K2602" s="9">
        <v>45960</v>
      </c>
      <c r="L2602" s="9">
        <v>45967</v>
      </c>
      <c r="M2602" s="9">
        <v>45960</v>
      </c>
      <c r="N2602" s="2" t="s">
        <v>2764</v>
      </c>
      <c r="O2602" s="2" t="s">
        <v>52</v>
      </c>
      <c r="P2602" s="2" t="s">
        <v>196</v>
      </c>
      <c r="Q2602" s="2" t="s">
        <v>127</v>
      </c>
      <c r="R2602" s="2" t="s">
        <v>137</v>
      </c>
      <c r="S2602" s="2" t="s">
        <v>198</v>
      </c>
      <c r="T2602" s="10">
        <v>1515.15</v>
      </c>
      <c r="U2602" s="11">
        <v>1.085</v>
      </c>
      <c r="V2602" s="12">
        <f>T2602*U2602</f>
        <v>1643.9377500000001</v>
      </c>
      <c r="W2602" s="13">
        <v>0</v>
      </c>
      <c r="X2602" s="12">
        <f>V2602-(V2602/(1+W2602))</f>
        <v>0</v>
      </c>
      <c r="Y2602" s="12">
        <f>V2602-X2602</f>
        <v>1643.9377500000001</v>
      </c>
      <c r="Z2602" s="14">
        <v>1400</v>
      </c>
      <c r="AA2602" s="2" t="str">
        <f>IF(V2602&gt;Z2602,"Yes","No")</f>
        <v>Yes</v>
      </c>
      <c r="AB2602" s="12">
        <f>V2602-Z2602</f>
        <v>243.93775000000005</v>
      </c>
      <c r="AC2602" s="15" t="s">
        <v>131</v>
      </c>
      <c r="AD2602" s="15" t="s">
        <v>130</v>
      </c>
      <c r="AE2602" s="15" t="s">
        <v>260</v>
      </c>
      <c r="AF2602" s="12">
        <f>IF(AG2602="Rejected",0,IF(R2602="Corporate Card",0,V2602))</f>
        <v>1643.9377500000001</v>
      </c>
      <c r="AG2602" s="15" t="s">
        <v>133</v>
      </c>
      <c r="AH2602" s="16">
        <v>45971</v>
      </c>
      <c r="AI2602" s="16">
        <v>45974</v>
      </c>
      <c r="AJ2602" s="16">
        <v>45980</v>
      </c>
      <c r="AK2602" s="17">
        <f>IF(AJ2602="","",AJ2602-AH2602)</f>
        <v>9</v>
      </c>
    </row>
    <row r="2603" spans="1:37">
      <c r="A2603" s="2" t="s">
        <v>3101</v>
      </c>
      <c r="B2603" s="2" t="s">
        <v>1235</v>
      </c>
      <c r="C2603" s="2" t="s">
        <v>867</v>
      </c>
      <c r="D2603" s="2" t="s">
        <v>865</v>
      </c>
      <c r="E2603" s="2" t="s">
        <v>1236</v>
      </c>
      <c r="F2603" s="2" t="s">
        <v>313</v>
      </c>
      <c r="G2603" s="2" t="s">
        <v>3100</v>
      </c>
      <c r="H2603" s="2" t="s">
        <v>379</v>
      </c>
      <c r="I2603" s="2" t="s">
        <v>194</v>
      </c>
      <c r="J2603" s="2" t="s">
        <v>195</v>
      </c>
      <c r="K2603" s="9">
        <v>45960</v>
      </c>
      <c r="L2603" s="9">
        <v>45967</v>
      </c>
      <c r="M2603" s="9">
        <v>45960</v>
      </c>
      <c r="N2603" s="2" t="s">
        <v>2764</v>
      </c>
      <c r="O2603" s="2" t="s">
        <v>58</v>
      </c>
      <c r="P2603" s="2" t="s">
        <v>142</v>
      </c>
      <c r="Q2603" s="2" t="s">
        <v>203</v>
      </c>
      <c r="R2603" s="2" t="s">
        <v>128</v>
      </c>
      <c r="S2603" s="2" t="s">
        <v>198</v>
      </c>
      <c r="T2603" s="10">
        <v>53.84</v>
      </c>
      <c r="U2603" s="11">
        <v>1.085</v>
      </c>
      <c r="V2603" s="12">
        <f>T2603*U2603</f>
        <v>58.416400000000003</v>
      </c>
      <c r="W2603" s="13">
        <v>0.19</v>
      </c>
      <c r="X2603" s="12">
        <f>V2603-(V2603/(1+W2603))</f>
        <v>9.3269882352941167</v>
      </c>
      <c r="Y2603" s="12">
        <f>V2603-X2603</f>
        <v>49.089411764705886</v>
      </c>
      <c r="Z2603" s="14">
        <v>60</v>
      </c>
      <c r="AA2603" s="2" t="str">
        <f>IF(V2603&gt;Z2603,"Yes","No")</f>
        <v>No</v>
      </c>
      <c r="AB2603" s="12">
        <f>V2603-Z2603</f>
        <v>-1.583599999999997</v>
      </c>
      <c r="AC2603" s="15" t="s">
        <v>130</v>
      </c>
      <c r="AD2603" s="15" t="s">
        <v>130</v>
      </c>
      <c r="AE2603" s="15" t="s">
        <v>260</v>
      </c>
      <c r="AF2603" s="12">
        <f>IF(AG2603="Rejected",0,IF(R2603="Corporate Card",0,V2603))</f>
        <v>0</v>
      </c>
      <c r="AG2603" s="15" t="s">
        <v>133</v>
      </c>
      <c r="AH2603" s="16">
        <v>45971</v>
      </c>
      <c r="AI2603" s="16">
        <v>45974</v>
      </c>
      <c r="AJ2603" s="16">
        <v>45980</v>
      </c>
      <c r="AK2603" s="17">
        <f>IF(AJ2603="","",AJ2603-AH2603)</f>
        <v>9</v>
      </c>
    </row>
    <row r="2604" spans="1:37">
      <c r="A2604" s="2" t="s">
        <v>3102</v>
      </c>
      <c r="B2604" s="2" t="s">
        <v>1235</v>
      </c>
      <c r="C2604" s="2" t="s">
        <v>867</v>
      </c>
      <c r="D2604" s="2" t="s">
        <v>865</v>
      </c>
      <c r="E2604" s="2" t="s">
        <v>1236</v>
      </c>
      <c r="F2604" s="2" t="s">
        <v>313</v>
      </c>
      <c r="G2604" s="2" t="s">
        <v>3100</v>
      </c>
      <c r="H2604" s="2" t="s">
        <v>379</v>
      </c>
      <c r="I2604" s="2" t="s">
        <v>194</v>
      </c>
      <c r="J2604" s="2" t="s">
        <v>195</v>
      </c>
      <c r="K2604" s="9">
        <v>45960</v>
      </c>
      <c r="L2604" s="9">
        <v>45967</v>
      </c>
      <c r="M2604" s="9">
        <v>45960</v>
      </c>
      <c r="N2604" s="2" t="s">
        <v>2764</v>
      </c>
      <c r="O2604" s="2" t="s">
        <v>54</v>
      </c>
      <c r="P2604" s="2" t="s">
        <v>139</v>
      </c>
      <c r="Q2604" s="2" t="s">
        <v>140</v>
      </c>
      <c r="R2604" s="2" t="s">
        <v>149</v>
      </c>
      <c r="S2604" s="2" t="s">
        <v>198</v>
      </c>
      <c r="T2604" s="10">
        <v>16.78</v>
      </c>
      <c r="U2604" s="11">
        <v>1.085</v>
      </c>
      <c r="V2604" s="12">
        <f>T2604*U2604</f>
        <v>18.206300000000002</v>
      </c>
      <c r="W2604" s="13">
        <v>0.19</v>
      </c>
      <c r="X2604" s="12">
        <f>V2604-(V2604/(1+W2604))</f>
        <v>2.906888235294117</v>
      </c>
      <c r="Y2604" s="12">
        <f>V2604-X2604</f>
        <v>15.299411764705885</v>
      </c>
      <c r="Z2604" s="14">
        <v>25</v>
      </c>
      <c r="AA2604" s="2" t="str">
        <f>IF(V2604&gt;Z2604,"Yes","No")</f>
        <v>No</v>
      </c>
      <c r="AB2604" s="12">
        <f>V2604-Z2604</f>
        <v>-6.7936999999999976</v>
      </c>
      <c r="AC2604" s="15" t="s">
        <v>130</v>
      </c>
      <c r="AD2604" s="15" t="s">
        <v>130</v>
      </c>
      <c r="AE2604" s="15" t="s">
        <v>260</v>
      </c>
      <c r="AF2604" s="12">
        <f>IF(AG2604="Rejected",0,IF(R2604="Corporate Card",0,V2604))</f>
        <v>18.206300000000002</v>
      </c>
      <c r="AG2604" s="15" t="s">
        <v>133</v>
      </c>
      <c r="AH2604" s="16">
        <v>45971</v>
      </c>
      <c r="AI2604" s="16">
        <v>45974</v>
      </c>
      <c r="AJ2604" s="16">
        <v>45980</v>
      </c>
      <c r="AK2604" s="17">
        <f>IF(AJ2604="","",AJ2604-AH2604)</f>
        <v>9</v>
      </c>
    </row>
    <row r="2605" spans="1:37">
      <c r="A2605" s="2" t="s">
        <v>3103</v>
      </c>
      <c r="B2605" s="2" t="s">
        <v>1235</v>
      </c>
      <c r="C2605" s="2" t="s">
        <v>867</v>
      </c>
      <c r="D2605" s="2" t="s">
        <v>865</v>
      </c>
      <c r="E2605" s="2" t="s">
        <v>1236</v>
      </c>
      <c r="F2605" s="2" t="s">
        <v>313</v>
      </c>
      <c r="G2605" s="2" t="s">
        <v>3100</v>
      </c>
      <c r="H2605" s="2" t="s">
        <v>379</v>
      </c>
      <c r="I2605" s="2" t="s">
        <v>194</v>
      </c>
      <c r="J2605" s="2" t="s">
        <v>195</v>
      </c>
      <c r="K2605" s="9">
        <v>45960</v>
      </c>
      <c r="L2605" s="9">
        <v>45967</v>
      </c>
      <c r="M2605" s="9">
        <v>45960</v>
      </c>
      <c r="N2605" s="2" t="s">
        <v>2764</v>
      </c>
      <c r="O2605" s="2" t="s">
        <v>56</v>
      </c>
      <c r="P2605" s="2" t="s">
        <v>245</v>
      </c>
      <c r="Q2605" s="2" t="s">
        <v>159</v>
      </c>
      <c r="R2605" s="2" t="s">
        <v>128</v>
      </c>
      <c r="S2605" s="2" t="s">
        <v>198</v>
      </c>
      <c r="T2605" s="10">
        <v>41.86</v>
      </c>
      <c r="U2605" s="11">
        <v>1.085</v>
      </c>
      <c r="V2605" s="12">
        <f>T2605*U2605</f>
        <v>45.418099999999995</v>
      </c>
      <c r="W2605" s="13">
        <v>0.19</v>
      </c>
      <c r="X2605" s="12">
        <f>V2605-(V2605/(1+W2605))</f>
        <v>7.2516294117647035</v>
      </c>
      <c r="Y2605" s="12">
        <f>V2605-X2605</f>
        <v>38.166470588235292</v>
      </c>
      <c r="Z2605" s="14">
        <v>75</v>
      </c>
      <c r="AA2605" s="2" t="str">
        <f>IF(V2605&gt;Z2605,"Yes","No")</f>
        <v>No</v>
      </c>
      <c r="AB2605" s="12">
        <f>V2605-Z2605</f>
        <v>-29.581900000000005</v>
      </c>
      <c r="AC2605" s="15" t="s">
        <v>131</v>
      </c>
      <c r="AD2605" s="15" t="s">
        <v>130</v>
      </c>
      <c r="AE2605" s="15" t="s">
        <v>260</v>
      </c>
      <c r="AF2605" s="12">
        <f>IF(AG2605="Rejected",0,IF(R2605="Corporate Card",0,V2605))</f>
        <v>0</v>
      </c>
      <c r="AG2605" s="15" t="s">
        <v>133</v>
      </c>
      <c r="AH2605" s="16">
        <v>45971</v>
      </c>
      <c r="AI2605" s="16">
        <v>45974</v>
      </c>
      <c r="AJ2605" s="16">
        <v>45980</v>
      </c>
      <c r="AK2605" s="17">
        <f>IF(AJ2605="","",AJ2605-AH2605)</f>
        <v>9</v>
      </c>
    </row>
    <row r="2606" spans="1:37">
      <c r="A2606" s="2" t="s">
        <v>3104</v>
      </c>
      <c r="B2606" s="2" t="s">
        <v>1235</v>
      </c>
      <c r="C2606" s="2" t="s">
        <v>867</v>
      </c>
      <c r="D2606" s="2" t="s">
        <v>865</v>
      </c>
      <c r="E2606" s="2" t="s">
        <v>1236</v>
      </c>
      <c r="F2606" s="2" t="s">
        <v>313</v>
      </c>
      <c r="G2606" s="2" t="s">
        <v>3100</v>
      </c>
      <c r="H2606" s="2" t="s">
        <v>379</v>
      </c>
      <c r="I2606" s="2" t="s">
        <v>194</v>
      </c>
      <c r="J2606" s="2" t="s">
        <v>195</v>
      </c>
      <c r="K2606" s="9">
        <v>45960</v>
      </c>
      <c r="L2606" s="9">
        <v>45967</v>
      </c>
      <c r="M2606" s="9">
        <v>45960</v>
      </c>
      <c r="N2606" s="2" t="s">
        <v>2764</v>
      </c>
      <c r="O2606" s="2" t="s">
        <v>55</v>
      </c>
      <c r="P2606" s="2" t="s">
        <v>139</v>
      </c>
      <c r="Q2606" s="2" t="s">
        <v>161</v>
      </c>
      <c r="R2606" s="2" t="s">
        <v>128</v>
      </c>
      <c r="S2606" s="2" t="s">
        <v>198</v>
      </c>
      <c r="T2606" s="10">
        <v>19.59</v>
      </c>
      <c r="U2606" s="11">
        <v>1.085</v>
      </c>
      <c r="V2606" s="12">
        <f>T2606*U2606</f>
        <v>21.25515</v>
      </c>
      <c r="W2606" s="13">
        <v>0.19</v>
      </c>
      <c r="X2606" s="12">
        <f>V2606-(V2606/(1+W2606))</f>
        <v>3.3936794117647047</v>
      </c>
      <c r="Y2606" s="12">
        <f>V2606-X2606</f>
        <v>17.861470588235296</v>
      </c>
      <c r="Z2606" s="14">
        <v>35</v>
      </c>
      <c r="AA2606" s="2" t="str">
        <f>IF(V2606&gt;Z2606,"Yes","No")</f>
        <v>No</v>
      </c>
      <c r="AB2606" s="12">
        <f>V2606-Z2606</f>
        <v>-13.74485</v>
      </c>
      <c r="AC2606" s="15" t="s">
        <v>130</v>
      </c>
      <c r="AD2606" s="15" t="s">
        <v>130</v>
      </c>
      <c r="AE2606" s="15" t="s">
        <v>260</v>
      </c>
      <c r="AF2606" s="12">
        <f>IF(AG2606="Rejected",0,IF(R2606="Corporate Card",0,V2606))</f>
        <v>0</v>
      </c>
      <c r="AG2606" s="15" t="s">
        <v>133</v>
      </c>
      <c r="AH2606" s="16">
        <v>45971</v>
      </c>
      <c r="AI2606" s="16">
        <v>45974</v>
      </c>
      <c r="AJ2606" s="16">
        <v>45980</v>
      </c>
      <c r="AK2606" s="17">
        <f>IF(AJ2606="","",AJ2606-AH2606)</f>
        <v>9</v>
      </c>
    </row>
    <row r="2607" spans="1:37">
      <c r="A2607" s="2" t="s">
        <v>3105</v>
      </c>
      <c r="B2607" s="2" t="s">
        <v>1235</v>
      </c>
      <c r="C2607" s="2" t="s">
        <v>867</v>
      </c>
      <c r="D2607" s="2" t="s">
        <v>865</v>
      </c>
      <c r="E2607" s="2" t="s">
        <v>1236</v>
      </c>
      <c r="F2607" s="2" t="s">
        <v>313</v>
      </c>
      <c r="G2607" s="2" t="s">
        <v>3100</v>
      </c>
      <c r="H2607" s="2" t="s">
        <v>379</v>
      </c>
      <c r="I2607" s="2" t="s">
        <v>194</v>
      </c>
      <c r="J2607" s="2" t="s">
        <v>195</v>
      </c>
      <c r="K2607" s="9">
        <v>45960</v>
      </c>
      <c r="L2607" s="9">
        <v>45967</v>
      </c>
      <c r="M2607" s="9">
        <v>45960</v>
      </c>
      <c r="N2607" s="2" t="s">
        <v>2764</v>
      </c>
      <c r="O2607" s="2" t="s">
        <v>66</v>
      </c>
      <c r="P2607" s="2" t="s">
        <v>489</v>
      </c>
      <c r="Q2607" s="2" t="s">
        <v>490</v>
      </c>
      <c r="R2607" s="2" t="s">
        <v>137</v>
      </c>
      <c r="S2607" s="2" t="s">
        <v>198</v>
      </c>
      <c r="T2607" s="10">
        <v>200.66</v>
      </c>
      <c r="U2607" s="11">
        <v>1.085</v>
      </c>
      <c r="V2607" s="12">
        <f>T2607*U2607</f>
        <v>217.71609999999998</v>
      </c>
      <c r="W2607" s="13">
        <v>0</v>
      </c>
      <c r="X2607" s="12">
        <f>V2607-(V2607/(1+W2607))</f>
        <v>0</v>
      </c>
      <c r="Y2607" s="12">
        <f>V2607-X2607</f>
        <v>217.71609999999998</v>
      </c>
      <c r="Z2607" s="14">
        <v>250</v>
      </c>
      <c r="AA2607" s="2" t="str">
        <f>IF(V2607&gt;Z2607,"Yes","No")</f>
        <v>No</v>
      </c>
      <c r="AB2607" s="12">
        <f>V2607-Z2607</f>
        <v>-32.283900000000017</v>
      </c>
      <c r="AC2607" s="15" t="s">
        <v>130</v>
      </c>
      <c r="AD2607" s="15" t="s">
        <v>130</v>
      </c>
      <c r="AE2607" s="15" t="s">
        <v>260</v>
      </c>
      <c r="AF2607" s="12">
        <f>IF(AG2607="Rejected",0,IF(R2607="Corporate Card",0,V2607))</f>
        <v>217.71609999999998</v>
      </c>
      <c r="AG2607" s="15" t="s">
        <v>133</v>
      </c>
      <c r="AH2607" s="16">
        <v>45971</v>
      </c>
      <c r="AI2607" s="16">
        <v>45974</v>
      </c>
      <c r="AJ2607" s="16">
        <v>45980</v>
      </c>
      <c r="AK2607" s="17">
        <f>IF(AJ2607="","",AJ2607-AH2607)</f>
        <v>9</v>
      </c>
    </row>
    <row r="2608" spans="1:37">
      <c r="A2608" s="2" t="s">
        <v>3106</v>
      </c>
      <c r="B2608" s="2" t="s">
        <v>442</v>
      </c>
      <c r="C2608" s="2" t="s">
        <v>443</v>
      </c>
      <c r="D2608" s="2" t="s">
        <v>444</v>
      </c>
      <c r="E2608" s="2" t="s">
        <v>445</v>
      </c>
      <c r="F2608" s="2" t="s">
        <v>446</v>
      </c>
      <c r="G2608" s="2" t="s">
        <v>3076</v>
      </c>
      <c r="H2608" s="2" t="s">
        <v>803</v>
      </c>
      <c r="I2608" s="2" t="s">
        <v>1038</v>
      </c>
      <c r="J2608" s="2" t="s">
        <v>381</v>
      </c>
      <c r="K2608" s="9">
        <v>45959</v>
      </c>
      <c r="L2608" s="9">
        <v>45961</v>
      </c>
      <c r="M2608" s="9">
        <v>45961</v>
      </c>
      <c r="N2608" s="2" t="s">
        <v>2764</v>
      </c>
      <c r="O2608" s="2" t="s">
        <v>61</v>
      </c>
      <c r="P2608" s="2" t="s">
        <v>528</v>
      </c>
      <c r="Q2608" s="2" t="s">
        <v>529</v>
      </c>
      <c r="R2608" s="2" t="s">
        <v>149</v>
      </c>
      <c r="S2608" s="2" t="s">
        <v>383</v>
      </c>
      <c r="T2608" s="10">
        <v>39.26</v>
      </c>
      <c r="U2608" s="11">
        <v>1</v>
      </c>
      <c r="V2608" s="12">
        <f>T2608*U2608</f>
        <v>39.26</v>
      </c>
      <c r="W2608" s="13">
        <v>0</v>
      </c>
      <c r="X2608" s="12">
        <f>V2608-(V2608/(1+W2608))</f>
        <v>0</v>
      </c>
      <c r="Y2608" s="12">
        <f>V2608-X2608</f>
        <v>39.26</v>
      </c>
      <c r="Z2608" s="14">
        <v>90</v>
      </c>
      <c r="AA2608" s="2" t="str">
        <f>IF(V2608&gt;Z2608,"Yes","No")</f>
        <v>No</v>
      </c>
      <c r="AB2608" s="12">
        <f>V2608-Z2608</f>
        <v>-50.74</v>
      </c>
      <c r="AC2608" s="15" t="s">
        <v>130</v>
      </c>
      <c r="AD2608" s="15" t="s">
        <v>130</v>
      </c>
      <c r="AE2608" s="15" t="s">
        <v>180</v>
      </c>
      <c r="AF2608" s="12">
        <f>IF(AG2608="Rejected",0,IF(R2608="Corporate Card",0,V2608))</f>
        <v>39.26</v>
      </c>
      <c r="AG2608" s="15" t="s">
        <v>133</v>
      </c>
      <c r="AH2608" s="16">
        <v>45973</v>
      </c>
      <c r="AI2608" s="16">
        <v>45977</v>
      </c>
      <c r="AJ2608" s="16">
        <v>45987</v>
      </c>
      <c r="AK2608" s="17">
        <f>IF(AJ2608="","",AJ2608-AH2608)</f>
        <v>14</v>
      </c>
    </row>
    <row r="2609" spans="1:37">
      <c r="A2609" s="2" t="s">
        <v>3107</v>
      </c>
      <c r="B2609" s="2" t="s">
        <v>442</v>
      </c>
      <c r="C2609" s="2" t="s">
        <v>443</v>
      </c>
      <c r="D2609" s="2" t="s">
        <v>444</v>
      </c>
      <c r="E2609" s="2" t="s">
        <v>445</v>
      </c>
      <c r="F2609" s="2" t="s">
        <v>446</v>
      </c>
      <c r="G2609" s="2" t="s">
        <v>3076</v>
      </c>
      <c r="H2609" s="2" t="s">
        <v>803</v>
      </c>
      <c r="I2609" s="2" t="s">
        <v>1038</v>
      </c>
      <c r="J2609" s="2" t="s">
        <v>381</v>
      </c>
      <c r="K2609" s="9">
        <v>45959</v>
      </c>
      <c r="L2609" s="9">
        <v>45961</v>
      </c>
      <c r="M2609" s="9">
        <v>45961</v>
      </c>
      <c r="N2609" s="2" t="s">
        <v>2764</v>
      </c>
      <c r="O2609" s="2" t="s">
        <v>58</v>
      </c>
      <c r="P2609" s="2" t="s">
        <v>142</v>
      </c>
      <c r="Q2609" s="2" t="s">
        <v>296</v>
      </c>
      <c r="R2609" s="2" t="s">
        <v>128</v>
      </c>
      <c r="S2609" s="2" t="s">
        <v>383</v>
      </c>
      <c r="T2609" s="10">
        <v>23.34</v>
      </c>
      <c r="U2609" s="11">
        <v>1</v>
      </c>
      <c r="V2609" s="12">
        <f>T2609*U2609</f>
        <v>23.34</v>
      </c>
      <c r="W2609" s="13">
        <v>0</v>
      </c>
      <c r="X2609" s="12">
        <f>V2609-(V2609/(1+W2609))</f>
        <v>0</v>
      </c>
      <c r="Y2609" s="12">
        <f>V2609-X2609</f>
        <v>23.34</v>
      </c>
      <c r="Z2609" s="14">
        <v>60</v>
      </c>
      <c r="AA2609" s="2" t="str">
        <f>IF(V2609&gt;Z2609,"Yes","No")</f>
        <v>No</v>
      </c>
      <c r="AB2609" s="12">
        <f>V2609-Z2609</f>
        <v>-36.659999999999997</v>
      </c>
      <c r="AC2609" s="15" t="s">
        <v>131</v>
      </c>
      <c r="AD2609" s="15" t="s">
        <v>130</v>
      </c>
      <c r="AE2609" s="15" t="s">
        <v>180</v>
      </c>
      <c r="AF2609" s="12">
        <f>IF(AG2609="Rejected",0,IF(R2609="Corporate Card",0,V2609))</f>
        <v>0</v>
      </c>
      <c r="AG2609" s="15" t="s">
        <v>133</v>
      </c>
      <c r="AH2609" s="16">
        <v>45973</v>
      </c>
      <c r="AI2609" s="16">
        <v>45977</v>
      </c>
      <c r="AJ2609" s="16">
        <v>45987</v>
      </c>
      <c r="AK2609" s="17">
        <f>IF(AJ2609="","",AJ2609-AH2609)</f>
        <v>14</v>
      </c>
    </row>
    <row r="2610" spans="1:37">
      <c r="A2610" s="2" t="s">
        <v>3108</v>
      </c>
      <c r="B2610" s="2" t="s">
        <v>442</v>
      </c>
      <c r="C2610" s="2" t="s">
        <v>443</v>
      </c>
      <c r="D2610" s="2" t="s">
        <v>444</v>
      </c>
      <c r="E2610" s="2" t="s">
        <v>445</v>
      </c>
      <c r="F2610" s="2" t="s">
        <v>446</v>
      </c>
      <c r="G2610" s="2" t="s">
        <v>3076</v>
      </c>
      <c r="H2610" s="2" t="s">
        <v>803</v>
      </c>
      <c r="I2610" s="2" t="s">
        <v>1038</v>
      </c>
      <c r="J2610" s="2" t="s">
        <v>381</v>
      </c>
      <c r="K2610" s="9">
        <v>45959</v>
      </c>
      <c r="L2610" s="9">
        <v>45961</v>
      </c>
      <c r="M2610" s="9">
        <v>45961</v>
      </c>
      <c r="N2610" s="2" t="s">
        <v>2764</v>
      </c>
      <c r="O2610" s="2" t="s">
        <v>54</v>
      </c>
      <c r="P2610" s="2" t="s">
        <v>139</v>
      </c>
      <c r="Q2610" s="2" t="s">
        <v>163</v>
      </c>
      <c r="R2610" s="2" t="s">
        <v>128</v>
      </c>
      <c r="S2610" s="2" t="s">
        <v>383</v>
      </c>
      <c r="T2610" s="10">
        <v>13.3</v>
      </c>
      <c r="U2610" s="11">
        <v>1</v>
      </c>
      <c r="V2610" s="12">
        <f>T2610*U2610</f>
        <v>13.3</v>
      </c>
      <c r="W2610" s="13">
        <v>0</v>
      </c>
      <c r="X2610" s="12">
        <f>V2610-(V2610/(1+W2610))</f>
        <v>0</v>
      </c>
      <c r="Y2610" s="12">
        <f>V2610-X2610</f>
        <v>13.3</v>
      </c>
      <c r="Z2610" s="14">
        <v>25</v>
      </c>
      <c r="AA2610" s="2" t="str">
        <f>IF(V2610&gt;Z2610,"Yes","No")</f>
        <v>No</v>
      </c>
      <c r="AB2610" s="12">
        <f>V2610-Z2610</f>
        <v>-11.7</v>
      </c>
      <c r="AC2610" s="15" t="s">
        <v>130</v>
      </c>
      <c r="AD2610" s="15" t="s">
        <v>130</v>
      </c>
      <c r="AE2610" s="15" t="s">
        <v>180</v>
      </c>
      <c r="AF2610" s="12">
        <f>IF(AG2610="Rejected",0,IF(R2610="Corporate Card",0,V2610))</f>
        <v>0</v>
      </c>
      <c r="AG2610" s="15" t="s">
        <v>133</v>
      </c>
      <c r="AH2610" s="16">
        <v>45973</v>
      </c>
      <c r="AI2610" s="16">
        <v>45977</v>
      </c>
      <c r="AJ2610" s="16">
        <v>45987</v>
      </c>
      <c r="AK2610" s="17">
        <f>IF(AJ2610="","",AJ2610-AH2610)</f>
        <v>14</v>
      </c>
    </row>
    <row r="2611" spans="1:37">
      <c r="A2611" s="2" t="s">
        <v>3109</v>
      </c>
      <c r="B2611" s="2" t="s">
        <v>442</v>
      </c>
      <c r="C2611" s="2" t="s">
        <v>443</v>
      </c>
      <c r="D2611" s="2" t="s">
        <v>444</v>
      </c>
      <c r="E2611" s="2" t="s">
        <v>445</v>
      </c>
      <c r="F2611" s="2" t="s">
        <v>446</v>
      </c>
      <c r="G2611" s="2" t="s">
        <v>3076</v>
      </c>
      <c r="H2611" s="2" t="s">
        <v>803</v>
      </c>
      <c r="I2611" s="2" t="s">
        <v>1038</v>
      </c>
      <c r="J2611" s="2" t="s">
        <v>381</v>
      </c>
      <c r="K2611" s="9">
        <v>45959</v>
      </c>
      <c r="L2611" s="9">
        <v>45961</v>
      </c>
      <c r="M2611" s="9">
        <v>45961</v>
      </c>
      <c r="N2611" s="2" t="s">
        <v>2764</v>
      </c>
      <c r="O2611" s="2" t="s">
        <v>55</v>
      </c>
      <c r="P2611" s="2" t="s">
        <v>139</v>
      </c>
      <c r="Q2611" s="2" t="s">
        <v>187</v>
      </c>
      <c r="R2611" s="2" t="s">
        <v>128</v>
      </c>
      <c r="S2611" s="2" t="s">
        <v>383</v>
      </c>
      <c r="T2611" s="10">
        <v>22.82</v>
      </c>
      <c r="U2611" s="11">
        <v>1</v>
      </c>
      <c r="V2611" s="12">
        <f>T2611*U2611</f>
        <v>22.82</v>
      </c>
      <c r="W2611" s="13">
        <v>0</v>
      </c>
      <c r="X2611" s="12">
        <f>V2611-(V2611/(1+W2611))</f>
        <v>0</v>
      </c>
      <c r="Y2611" s="12">
        <f>V2611-X2611</f>
        <v>22.82</v>
      </c>
      <c r="Z2611" s="14">
        <v>35</v>
      </c>
      <c r="AA2611" s="2" t="str">
        <f>IF(V2611&gt;Z2611,"Yes","No")</f>
        <v>No</v>
      </c>
      <c r="AB2611" s="12">
        <f>V2611-Z2611</f>
        <v>-12.18</v>
      </c>
      <c r="AC2611" s="15" t="s">
        <v>130</v>
      </c>
      <c r="AD2611" s="15" t="s">
        <v>130</v>
      </c>
      <c r="AE2611" s="15" t="s">
        <v>180</v>
      </c>
      <c r="AF2611" s="12">
        <f>IF(AG2611="Rejected",0,IF(R2611="Corporate Card",0,V2611))</f>
        <v>0</v>
      </c>
      <c r="AG2611" s="15" t="s">
        <v>133</v>
      </c>
      <c r="AH2611" s="16">
        <v>45973</v>
      </c>
      <c r="AI2611" s="16">
        <v>45977</v>
      </c>
      <c r="AJ2611" s="16">
        <v>45987</v>
      </c>
      <c r="AK2611" s="17">
        <f>IF(AJ2611="","",AJ2611-AH2611)</f>
        <v>14</v>
      </c>
    </row>
    <row r="2612" spans="1:37">
      <c r="A2612" s="2" t="s">
        <v>3110</v>
      </c>
      <c r="B2612" s="2" t="s">
        <v>550</v>
      </c>
      <c r="C2612" s="2" t="s">
        <v>551</v>
      </c>
      <c r="D2612" s="2" t="s">
        <v>171</v>
      </c>
      <c r="E2612" s="2" t="s">
        <v>172</v>
      </c>
      <c r="F2612" s="2" t="s">
        <v>173</v>
      </c>
      <c r="G2612" s="2" t="s">
        <v>2980</v>
      </c>
      <c r="H2612" s="2" t="s">
        <v>803</v>
      </c>
      <c r="I2612" s="2" t="s">
        <v>619</v>
      </c>
      <c r="J2612" s="2" t="s">
        <v>381</v>
      </c>
      <c r="K2612" s="9">
        <v>45953</v>
      </c>
      <c r="L2612" s="9">
        <v>45961</v>
      </c>
      <c r="M2612" s="9">
        <v>45961</v>
      </c>
      <c r="N2612" s="2" t="s">
        <v>2764</v>
      </c>
      <c r="O2612" s="2" t="s">
        <v>54</v>
      </c>
      <c r="P2612" s="2" t="s">
        <v>139</v>
      </c>
      <c r="Q2612" s="2" t="s">
        <v>140</v>
      </c>
      <c r="R2612" s="2" t="s">
        <v>128</v>
      </c>
      <c r="S2612" s="2" t="s">
        <v>383</v>
      </c>
      <c r="T2612" s="10">
        <v>11.4</v>
      </c>
      <c r="U2612" s="11">
        <v>1</v>
      </c>
      <c r="V2612" s="12">
        <f>T2612*U2612</f>
        <v>11.4</v>
      </c>
      <c r="W2612" s="13">
        <v>0</v>
      </c>
      <c r="X2612" s="12">
        <f>V2612-(V2612/(1+W2612))</f>
        <v>0</v>
      </c>
      <c r="Y2612" s="12">
        <f>V2612-X2612</f>
        <v>11.4</v>
      </c>
      <c r="Z2612" s="14">
        <v>25</v>
      </c>
      <c r="AA2612" s="2" t="str">
        <f>IF(V2612&gt;Z2612,"Yes","No")</f>
        <v>No</v>
      </c>
      <c r="AB2612" s="12">
        <f>V2612-Z2612</f>
        <v>-13.6</v>
      </c>
      <c r="AC2612" s="15" t="s">
        <v>130</v>
      </c>
      <c r="AD2612" s="15" t="s">
        <v>130</v>
      </c>
      <c r="AE2612" s="15" t="s">
        <v>858</v>
      </c>
      <c r="AF2612" s="12">
        <f>IF(AG2612="Rejected",0,IF(R2612="Corporate Card",0,V2612))</f>
        <v>0</v>
      </c>
      <c r="AG2612" s="15" t="s">
        <v>133</v>
      </c>
      <c r="AH2612" s="16">
        <v>45968</v>
      </c>
      <c r="AI2612" s="16">
        <v>45972</v>
      </c>
      <c r="AJ2612" s="16">
        <v>45983</v>
      </c>
      <c r="AK2612" s="17">
        <f>IF(AJ2612="","",AJ2612-AH2612)</f>
        <v>15</v>
      </c>
    </row>
    <row r="2613" spans="1:37">
      <c r="A2613" s="2" t="s">
        <v>3111</v>
      </c>
      <c r="B2613" s="2" t="s">
        <v>550</v>
      </c>
      <c r="C2613" s="2" t="s">
        <v>551</v>
      </c>
      <c r="D2613" s="2" t="s">
        <v>171</v>
      </c>
      <c r="E2613" s="2" t="s">
        <v>172</v>
      </c>
      <c r="F2613" s="2" t="s">
        <v>173</v>
      </c>
      <c r="G2613" s="2" t="s">
        <v>2980</v>
      </c>
      <c r="H2613" s="2" t="s">
        <v>803</v>
      </c>
      <c r="I2613" s="2" t="s">
        <v>619</v>
      </c>
      <c r="J2613" s="2" t="s">
        <v>381</v>
      </c>
      <c r="K2613" s="9">
        <v>45953</v>
      </c>
      <c r="L2613" s="9">
        <v>45961</v>
      </c>
      <c r="M2613" s="9">
        <v>45961</v>
      </c>
      <c r="N2613" s="2" t="s">
        <v>2764</v>
      </c>
      <c r="O2613" s="2" t="s">
        <v>56</v>
      </c>
      <c r="P2613" s="2" t="s">
        <v>165</v>
      </c>
      <c r="Q2613" s="2" t="s">
        <v>159</v>
      </c>
      <c r="R2613" s="2" t="s">
        <v>128</v>
      </c>
      <c r="S2613" s="2" t="s">
        <v>383</v>
      </c>
      <c r="T2613" s="10">
        <v>56.08</v>
      </c>
      <c r="U2613" s="11">
        <v>1</v>
      </c>
      <c r="V2613" s="12">
        <f>T2613*U2613</f>
        <v>56.08</v>
      </c>
      <c r="W2613" s="13">
        <v>0</v>
      </c>
      <c r="X2613" s="12">
        <f>V2613-(V2613/(1+W2613))</f>
        <v>0</v>
      </c>
      <c r="Y2613" s="12">
        <f>V2613-X2613</f>
        <v>56.08</v>
      </c>
      <c r="Z2613" s="14">
        <v>75</v>
      </c>
      <c r="AA2613" s="2" t="str">
        <f>IF(V2613&gt;Z2613,"Yes","No")</f>
        <v>No</v>
      </c>
      <c r="AB2613" s="12">
        <f>V2613-Z2613</f>
        <v>-18.920000000000002</v>
      </c>
      <c r="AC2613" s="15" t="s">
        <v>130</v>
      </c>
      <c r="AD2613" s="15" t="s">
        <v>130</v>
      </c>
      <c r="AE2613" s="15" t="s">
        <v>858</v>
      </c>
      <c r="AF2613" s="12">
        <f>IF(AG2613="Rejected",0,IF(R2613="Corporate Card",0,V2613))</f>
        <v>0</v>
      </c>
      <c r="AG2613" s="15" t="s">
        <v>133</v>
      </c>
      <c r="AH2613" s="16">
        <v>45968</v>
      </c>
      <c r="AI2613" s="16">
        <v>45972</v>
      </c>
      <c r="AJ2613" s="16">
        <v>45983</v>
      </c>
      <c r="AK2613" s="17">
        <f>IF(AJ2613="","",AJ2613-AH2613)</f>
        <v>15</v>
      </c>
    </row>
    <row r="2614" spans="1:37">
      <c r="A2614" s="2" t="s">
        <v>3112</v>
      </c>
      <c r="B2614" s="2" t="s">
        <v>550</v>
      </c>
      <c r="C2614" s="2" t="s">
        <v>551</v>
      </c>
      <c r="D2614" s="2" t="s">
        <v>171</v>
      </c>
      <c r="E2614" s="2" t="s">
        <v>172</v>
      </c>
      <c r="F2614" s="2" t="s">
        <v>173</v>
      </c>
      <c r="G2614" s="2" t="s">
        <v>2980</v>
      </c>
      <c r="H2614" s="2" t="s">
        <v>803</v>
      </c>
      <c r="I2614" s="2" t="s">
        <v>619</v>
      </c>
      <c r="J2614" s="2" t="s">
        <v>381</v>
      </c>
      <c r="K2614" s="9">
        <v>45953</v>
      </c>
      <c r="L2614" s="9">
        <v>45961</v>
      </c>
      <c r="M2614" s="9">
        <v>45961</v>
      </c>
      <c r="N2614" s="2" t="s">
        <v>2764</v>
      </c>
      <c r="O2614" s="2" t="s">
        <v>55</v>
      </c>
      <c r="P2614" s="2" t="s">
        <v>139</v>
      </c>
      <c r="Q2614" s="2" t="s">
        <v>161</v>
      </c>
      <c r="R2614" s="2" t="s">
        <v>128</v>
      </c>
      <c r="S2614" s="2" t="s">
        <v>383</v>
      </c>
      <c r="T2614" s="10">
        <v>26.21</v>
      </c>
      <c r="U2614" s="11">
        <v>1</v>
      </c>
      <c r="V2614" s="12">
        <f>T2614*U2614</f>
        <v>26.21</v>
      </c>
      <c r="W2614" s="13">
        <v>0</v>
      </c>
      <c r="X2614" s="12">
        <f>V2614-(V2614/(1+W2614))</f>
        <v>0</v>
      </c>
      <c r="Y2614" s="12">
        <f>V2614-X2614</f>
        <v>26.21</v>
      </c>
      <c r="Z2614" s="14">
        <v>35</v>
      </c>
      <c r="AA2614" s="2" t="str">
        <f>IF(V2614&gt;Z2614,"Yes","No")</f>
        <v>No</v>
      </c>
      <c r="AB2614" s="12">
        <f>V2614-Z2614</f>
        <v>-8.7899999999999991</v>
      </c>
      <c r="AC2614" s="15" t="s">
        <v>131</v>
      </c>
      <c r="AD2614" s="15" t="s">
        <v>130</v>
      </c>
      <c r="AE2614" s="15" t="s">
        <v>858</v>
      </c>
      <c r="AF2614" s="12">
        <f>IF(AG2614="Rejected",0,IF(R2614="Corporate Card",0,V2614))</f>
        <v>0</v>
      </c>
      <c r="AG2614" s="15" t="s">
        <v>133</v>
      </c>
      <c r="AH2614" s="16">
        <v>45968</v>
      </c>
      <c r="AI2614" s="16">
        <v>45972</v>
      </c>
      <c r="AJ2614" s="16">
        <v>45983</v>
      </c>
      <c r="AK2614" s="17">
        <f>IF(AJ2614="","",AJ2614-AH2614)</f>
        <v>15</v>
      </c>
    </row>
    <row r="2615" spans="1:37">
      <c r="A2615" s="2" t="s">
        <v>3113</v>
      </c>
      <c r="B2615" s="2" t="s">
        <v>189</v>
      </c>
      <c r="C2615" s="2" t="s">
        <v>190</v>
      </c>
      <c r="D2615" s="2" t="s">
        <v>171</v>
      </c>
      <c r="E2615" s="2" t="s">
        <v>191</v>
      </c>
      <c r="F2615" s="2" t="s">
        <v>173</v>
      </c>
      <c r="G2615" s="2" t="s">
        <v>3065</v>
      </c>
      <c r="H2615" s="2" t="s">
        <v>417</v>
      </c>
      <c r="I2615" s="2" t="s">
        <v>1251</v>
      </c>
      <c r="J2615" s="2" t="s">
        <v>750</v>
      </c>
      <c r="K2615" s="9">
        <v>45958</v>
      </c>
      <c r="L2615" s="9">
        <v>45963</v>
      </c>
      <c r="M2615" s="9">
        <v>45961</v>
      </c>
      <c r="N2615" s="2" t="s">
        <v>2764</v>
      </c>
      <c r="O2615" s="2" t="s">
        <v>58</v>
      </c>
      <c r="P2615" s="2" t="s">
        <v>142</v>
      </c>
      <c r="Q2615" s="2" t="s">
        <v>156</v>
      </c>
      <c r="R2615" s="2" t="s">
        <v>128</v>
      </c>
      <c r="S2615" s="2" t="s">
        <v>198</v>
      </c>
      <c r="T2615" s="10">
        <v>25.83</v>
      </c>
      <c r="U2615" s="11">
        <v>1.085</v>
      </c>
      <c r="V2615" s="12">
        <f>T2615*U2615</f>
        <v>28.025549999999996</v>
      </c>
      <c r="W2615" s="13">
        <v>0.19</v>
      </c>
      <c r="X2615" s="12">
        <f>V2615-(V2615/(1+W2615))</f>
        <v>4.4746676470588227</v>
      </c>
      <c r="Y2615" s="12">
        <f>V2615-X2615</f>
        <v>23.550882352941173</v>
      </c>
      <c r="Z2615" s="14">
        <v>60</v>
      </c>
      <c r="AA2615" s="2" t="str">
        <f>IF(V2615&gt;Z2615,"Yes","No")</f>
        <v>No</v>
      </c>
      <c r="AB2615" s="12">
        <f>V2615-Z2615</f>
        <v>-31.974450000000004</v>
      </c>
      <c r="AC2615" s="15" t="s">
        <v>130</v>
      </c>
      <c r="AD2615" s="15" t="s">
        <v>131</v>
      </c>
      <c r="AE2615" s="15" t="s">
        <v>132</v>
      </c>
      <c r="AF2615" s="12">
        <f>IF(AG2615="Rejected",0,IF(R2615="Corporate Card",0,V2615))</f>
        <v>0</v>
      </c>
      <c r="AG2615" s="15" t="s">
        <v>133</v>
      </c>
      <c r="AH2615" s="16">
        <v>45967</v>
      </c>
      <c r="AI2615" s="16">
        <v>45974</v>
      </c>
      <c r="AJ2615" s="16">
        <v>45982</v>
      </c>
      <c r="AK2615" s="17">
        <f>IF(AJ2615="","",AJ2615-AH2615)</f>
        <v>15</v>
      </c>
    </row>
    <row r="2616" spans="1:37">
      <c r="A2616" s="2" t="s">
        <v>3114</v>
      </c>
      <c r="B2616" s="2" t="s">
        <v>189</v>
      </c>
      <c r="C2616" s="2" t="s">
        <v>190</v>
      </c>
      <c r="D2616" s="2" t="s">
        <v>171</v>
      </c>
      <c r="E2616" s="2" t="s">
        <v>191</v>
      </c>
      <c r="F2616" s="2" t="s">
        <v>173</v>
      </c>
      <c r="G2616" s="2" t="s">
        <v>3065</v>
      </c>
      <c r="H2616" s="2" t="s">
        <v>417</v>
      </c>
      <c r="I2616" s="2" t="s">
        <v>1251</v>
      </c>
      <c r="J2616" s="2" t="s">
        <v>750</v>
      </c>
      <c r="K2616" s="9">
        <v>45958</v>
      </c>
      <c r="L2616" s="9">
        <v>45963</v>
      </c>
      <c r="M2616" s="9">
        <v>45961</v>
      </c>
      <c r="N2616" s="2" t="s">
        <v>2764</v>
      </c>
      <c r="O2616" s="2" t="s">
        <v>68</v>
      </c>
      <c r="P2616" s="2" t="s">
        <v>282</v>
      </c>
      <c r="Q2616" s="2" t="s">
        <v>283</v>
      </c>
      <c r="R2616" s="2" t="s">
        <v>128</v>
      </c>
      <c r="S2616" s="2" t="s">
        <v>198</v>
      </c>
      <c r="T2616" s="10">
        <v>16.3</v>
      </c>
      <c r="U2616" s="11">
        <v>1.085</v>
      </c>
      <c r="V2616" s="12">
        <f>T2616*U2616</f>
        <v>17.685500000000001</v>
      </c>
      <c r="W2616" s="13">
        <v>0.19</v>
      </c>
      <c r="X2616" s="12">
        <f>V2616-(V2616/(1+W2616))</f>
        <v>2.8237352941176468</v>
      </c>
      <c r="Y2616" s="12">
        <f>V2616-X2616</f>
        <v>14.861764705882354</v>
      </c>
      <c r="Z2616" s="14">
        <v>30</v>
      </c>
      <c r="AA2616" s="2" t="str">
        <f>IF(V2616&gt;Z2616,"Yes","No")</f>
        <v>No</v>
      </c>
      <c r="AB2616" s="12">
        <f>V2616-Z2616</f>
        <v>-12.314499999999999</v>
      </c>
      <c r="AC2616" s="15" t="s">
        <v>130</v>
      </c>
      <c r="AD2616" s="15" t="s">
        <v>131</v>
      </c>
      <c r="AE2616" s="15" t="s">
        <v>132</v>
      </c>
      <c r="AF2616" s="12">
        <f>IF(AG2616="Rejected",0,IF(R2616="Corporate Card",0,V2616))</f>
        <v>0</v>
      </c>
      <c r="AG2616" s="15" t="s">
        <v>133</v>
      </c>
      <c r="AH2616" s="16">
        <v>45967</v>
      </c>
      <c r="AI2616" s="16">
        <v>45974</v>
      </c>
      <c r="AJ2616" s="16">
        <v>45982</v>
      </c>
      <c r="AK2616" s="17">
        <f>IF(AJ2616="","",AJ2616-AH2616)</f>
        <v>15</v>
      </c>
    </row>
    <row r="2617" spans="1:37">
      <c r="A2617" s="2" t="s">
        <v>3115</v>
      </c>
      <c r="B2617" s="2" t="s">
        <v>189</v>
      </c>
      <c r="C2617" s="2" t="s">
        <v>190</v>
      </c>
      <c r="D2617" s="2" t="s">
        <v>171</v>
      </c>
      <c r="E2617" s="2" t="s">
        <v>191</v>
      </c>
      <c r="F2617" s="2" t="s">
        <v>173</v>
      </c>
      <c r="G2617" s="2" t="s">
        <v>3065</v>
      </c>
      <c r="H2617" s="2" t="s">
        <v>417</v>
      </c>
      <c r="I2617" s="2" t="s">
        <v>1251</v>
      </c>
      <c r="J2617" s="2" t="s">
        <v>750</v>
      </c>
      <c r="K2617" s="9">
        <v>45958</v>
      </c>
      <c r="L2617" s="9">
        <v>45963</v>
      </c>
      <c r="M2617" s="9">
        <v>45961</v>
      </c>
      <c r="N2617" s="2" t="s">
        <v>2764</v>
      </c>
      <c r="O2617" s="2" t="s">
        <v>54</v>
      </c>
      <c r="P2617" s="2" t="s">
        <v>139</v>
      </c>
      <c r="Q2617" s="2" t="s">
        <v>163</v>
      </c>
      <c r="R2617" s="2" t="s">
        <v>128</v>
      </c>
      <c r="S2617" s="2" t="s">
        <v>198</v>
      </c>
      <c r="T2617" s="10">
        <v>10.39</v>
      </c>
      <c r="U2617" s="11">
        <v>1.085</v>
      </c>
      <c r="V2617" s="12">
        <f>T2617*U2617</f>
        <v>11.273150000000001</v>
      </c>
      <c r="W2617" s="13">
        <v>0.19</v>
      </c>
      <c r="X2617" s="12">
        <f>V2617-(V2617/(1+W2617))</f>
        <v>1.7999147058823528</v>
      </c>
      <c r="Y2617" s="12">
        <f>V2617-X2617</f>
        <v>9.4732352941176483</v>
      </c>
      <c r="Z2617" s="14">
        <v>25</v>
      </c>
      <c r="AA2617" s="2" t="str">
        <f>IF(V2617&gt;Z2617,"Yes","No")</f>
        <v>No</v>
      </c>
      <c r="AB2617" s="12">
        <f>V2617-Z2617</f>
        <v>-13.726849999999999</v>
      </c>
      <c r="AC2617" s="15" t="s">
        <v>130</v>
      </c>
      <c r="AD2617" s="15" t="s">
        <v>131</v>
      </c>
      <c r="AE2617" s="15" t="s">
        <v>132</v>
      </c>
      <c r="AF2617" s="12">
        <f>IF(AG2617="Rejected",0,IF(R2617="Corporate Card",0,V2617))</f>
        <v>0</v>
      </c>
      <c r="AG2617" s="15" t="s">
        <v>133</v>
      </c>
      <c r="AH2617" s="16">
        <v>45967</v>
      </c>
      <c r="AI2617" s="16">
        <v>45974</v>
      </c>
      <c r="AJ2617" s="16">
        <v>45982</v>
      </c>
      <c r="AK2617" s="17">
        <f>IF(AJ2617="","",AJ2617-AH2617)</f>
        <v>15</v>
      </c>
    </row>
    <row r="2618" spans="1:37">
      <c r="A2618" s="2" t="s">
        <v>3116</v>
      </c>
      <c r="B2618" s="2" t="s">
        <v>189</v>
      </c>
      <c r="C2618" s="2" t="s">
        <v>190</v>
      </c>
      <c r="D2618" s="2" t="s">
        <v>171</v>
      </c>
      <c r="E2618" s="2" t="s">
        <v>191</v>
      </c>
      <c r="F2618" s="2" t="s">
        <v>173</v>
      </c>
      <c r="G2618" s="2" t="s">
        <v>3065</v>
      </c>
      <c r="H2618" s="2" t="s">
        <v>417</v>
      </c>
      <c r="I2618" s="2" t="s">
        <v>1251</v>
      </c>
      <c r="J2618" s="2" t="s">
        <v>750</v>
      </c>
      <c r="K2618" s="9">
        <v>45958</v>
      </c>
      <c r="L2618" s="9">
        <v>45963</v>
      </c>
      <c r="M2618" s="9">
        <v>45961</v>
      </c>
      <c r="N2618" s="2" t="s">
        <v>2764</v>
      </c>
      <c r="O2618" s="2" t="s">
        <v>56</v>
      </c>
      <c r="P2618" s="2" t="s">
        <v>245</v>
      </c>
      <c r="Q2618" s="2" t="s">
        <v>227</v>
      </c>
      <c r="R2618" s="2" t="s">
        <v>128</v>
      </c>
      <c r="S2618" s="2" t="s">
        <v>198</v>
      </c>
      <c r="T2618" s="10">
        <v>52.54</v>
      </c>
      <c r="U2618" s="11">
        <v>1.085</v>
      </c>
      <c r="V2618" s="12">
        <f>T2618*U2618</f>
        <v>57.005899999999997</v>
      </c>
      <c r="W2618" s="13">
        <v>0.19</v>
      </c>
      <c r="X2618" s="12">
        <f>V2618-(V2618/(1+W2618))</f>
        <v>9.1017823529411714</v>
      </c>
      <c r="Y2618" s="12">
        <f>V2618-X2618</f>
        <v>47.904117647058825</v>
      </c>
      <c r="Z2618" s="14">
        <v>75</v>
      </c>
      <c r="AA2618" s="2" t="str">
        <f>IF(V2618&gt;Z2618,"Yes","No")</f>
        <v>No</v>
      </c>
      <c r="AB2618" s="12">
        <f>V2618-Z2618</f>
        <v>-17.994100000000003</v>
      </c>
      <c r="AC2618" s="15" t="s">
        <v>130</v>
      </c>
      <c r="AD2618" s="15" t="s">
        <v>131</v>
      </c>
      <c r="AE2618" s="15" t="s">
        <v>132</v>
      </c>
      <c r="AF2618" s="12">
        <f>IF(AG2618="Rejected",0,IF(R2618="Corporate Card",0,V2618))</f>
        <v>0</v>
      </c>
      <c r="AG2618" s="15" t="s">
        <v>133</v>
      </c>
      <c r="AH2618" s="16">
        <v>45967</v>
      </c>
      <c r="AI2618" s="16">
        <v>45974</v>
      </c>
      <c r="AJ2618" s="16">
        <v>45982</v>
      </c>
      <c r="AK2618" s="17">
        <f>IF(AJ2618="","",AJ2618-AH2618)</f>
        <v>15</v>
      </c>
    </row>
    <row r="2619" spans="1:37">
      <c r="A2619" s="2" t="s">
        <v>3117</v>
      </c>
      <c r="B2619" s="2" t="s">
        <v>189</v>
      </c>
      <c r="C2619" s="2" t="s">
        <v>190</v>
      </c>
      <c r="D2619" s="2" t="s">
        <v>171</v>
      </c>
      <c r="E2619" s="2" t="s">
        <v>191</v>
      </c>
      <c r="F2619" s="2" t="s">
        <v>173</v>
      </c>
      <c r="G2619" s="2" t="s">
        <v>3065</v>
      </c>
      <c r="H2619" s="2" t="s">
        <v>417</v>
      </c>
      <c r="I2619" s="2" t="s">
        <v>1251</v>
      </c>
      <c r="J2619" s="2" t="s">
        <v>750</v>
      </c>
      <c r="K2619" s="9">
        <v>45958</v>
      </c>
      <c r="L2619" s="9">
        <v>45963</v>
      </c>
      <c r="M2619" s="9">
        <v>45961</v>
      </c>
      <c r="N2619" s="2" t="s">
        <v>2764</v>
      </c>
      <c r="O2619" s="2" t="s">
        <v>55</v>
      </c>
      <c r="P2619" s="2" t="s">
        <v>139</v>
      </c>
      <c r="Q2619" s="2" t="s">
        <v>217</v>
      </c>
      <c r="R2619" s="2" t="s">
        <v>128</v>
      </c>
      <c r="S2619" s="2" t="s">
        <v>198</v>
      </c>
      <c r="T2619" s="10">
        <v>26.95</v>
      </c>
      <c r="U2619" s="11">
        <v>1.085</v>
      </c>
      <c r="V2619" s="12">
        <f>T2619*U2619</f>
        <v>29.240749999999998</v>
      </c>
      <c r="W2619" s="13">
        <v>0.19</v>
      </c>
      <c r="X2619" s="12">
        <f>V2619-(V2619/(1+W2619))</f>
        <v>4.6686911764705883</v>
      </c>
      <c r="Y2619" s="12">
        <f>V2619-X2619</f>
        <v>24.57205882352941</v>
      </c>
      <c r="Z2619" s="14">
        <v>35</v>
      </c>
      <c r="AA2619" s="2" t="str">
        <f>IF(V2619&gt;Z2619,"Yes","No")</f>
        <v>No</v>
      </c>
      <c r="AB2619" s="12">
        <f>V2619-Z2619</f>
        <v>-5.7592500000000015</v>
      </c>
      <c r="AC2619" s="15" t="s">
        <v>130</v>
      </c>
      <c r="AD2619" s="15" t="s">
        <v>131</v>
      </c>
      <c r="AE2619" s="15" t="s">
        <v>132</v>
      </c>
      <c r="AF2619" s="12">
        <f>IF(AG2619="Rejected",0,IF(R2619="Corporate Card",0,V2619))</f>
        <v>0</v>
      </c>
      <c r="AG2619" s="15" t="s">
        <v>133</v>
      </c>
      <c r="AH2619" s="16">
        <v>45967</v>
      </c>
      <c r="AI2619" s="16">
        <v>45974</v>
      </c>
      <c r="AJ2619" s="16">
        <v>45982</v>
      </c>
      <c r="AK2619" s="17">
        <f>IF(AJ2619="","",AJ2619-AH2619)</f>
        <v>15</v>
      </c>
    </row>
    <row r="2620" spans="1:37">
      <c r="A2620" s="2" t="s">
        <v>3118</v>
      </c>
      <c r="B2620" s="2" t="s">
        <v>1235</v>
      </c>
      <c r="C2620" s="2" t="s">
        <v>867</v>
      </c>
      <c r="D2620" s="2" t="s">
        <v>865</v>
      </c>
      <c r="E2620" s="2" t="s">
        <v>1236</v>
      </c>
      <c r="F2620" s="2" t="s">
        <v>313</v>
      </c>
      <c r="G2620" s="2" t="s">
        <v>3100</v>
      </c>
      <c r="H2620" s="2" t="s">
        <v>379</v>
      </c>
      <c r="I2620" s="2" t="s">
        <v>194</v>
      </c>
      <c r="J2620" s="2" t="s">
        <v>195</v>
      </c>
      <c r="K2620" s="9">
        <v>45960</v>
      </c>
      <c r="L2620" s="9">
        <v>45967</v>
      </c>
      <c r="M2620" s="9">
        <v>45961</v>
      </c>
      <c r="N2620" s="2" t="s">
        <v>2764</v>
      </c>
      <c r="O2620" s="2" t="s">
        <v>59</v>
      </c>
      <c r="P2620" s="2" t="s">
        <v>301</v>
      </c>
      <c r="Q2620" s="2" t="s">
        <v>581</v>
      </c>
      <c r="R2620" s="2" t="s">
        <v>128</v>
      </c>
      <c r="S2620" s="2" t="s">
        <v>198</v>
      </c>
      <c r="T2620" s="10">
        <v>56.29</v>
      </c>
      <c r="U2620" s="11">
        <v>1.085</v>
      </c>
      <c r="V2620" s="12">
        <f>T2620*U2620</f>
        <v>61.074649999999998</v>
      </c>
      <c r="W2620" s="13">
        <v>0.19</v>
      </c>
      <c r="X2620" s="12">
        <f>V2620-(V2620/(1+W2620))</f>
        <v>9.7514147058823468</v>
      </c>
      <c r="Y2620" s="12">
        <f>V2620-X2620</f>
        <v>51.323235294117652</v>
      </c>
      <c r="Z2620" s="14">
        <v>150</v>
      </c>
      <c r="AA2620" s="2" t="str">
        <f>IF(V2620&gt;Z2620,"Yes","No")</f>
        <v>No</v>
      </c>
      <c r="AB2620" s="12">
        <f>V2620-Z2620</f>
        <v>-88.925350000000009</v>
      </c>
      <c r="AC2620" s="15" t="s">
        <v>130</v>
      </c>
      <c r="AD2620" s="15" t="s">
        <v>130</v>
      </c>
      <c r="AE2620" s="15" t="s">
        <v>260</v>
      </c>
      <c r="AF2620" s="12">
        <f>IF(AG2620="Rejected",0,IF(R2620="Corporate Card",0,V2620))</f>
        <v>0</v>
      </c>
      <c r="AG2620" s="15" t="s">
        <v>133</v>
      </c>
      <c r="AH2620" s="16">
        <v>45971</v>
      </c>
      <c r="AI2620" s="16">
        <v>45974</v>
      </c>
      <c r="AJ2620" s="16">
        <v>45980</v>
      </c>
      <c r="AK2620" s="17">
        <f>IF(AJ2620="","",AJ2620-AH2620)</f>
        <v>9</v>
      </c>
    </row>
    <row r="2621" spans="1:37">
      <c r="A2621" s="2" t="s">
        <v>3119</v>
      </c>
      <c r="B2621" s="2" t="s">
        <v>1235</v>
      </c>
      <c r="C2621" s="2" t="s">
        <v>867</v>
      </c>
      <c r="D2621" s="2" t="s">
        <v>865</v>
      </c>
      <c r="E2621" s="2" t="s">
        <v>1236</v>
      </c>
      <c r="F2621" s="2" t="s">
        <v>313</v>
      </c>
      <c r="G2621" s="2" t="s">
        <v>3100</v>
      </c>
      <c r="H2621" s="2" t="s">
        <v>379</v>
      </c>
      <c r="I2621" s="2" t="s">
        <v>194</v>
      </c>
      <c r="J2621" s="2" t="s">
        <v>195</v>
      </c>
      <c r="K2621" s="9">
        <v>45960</v>
      </c>
      <c r="L2621" s="9">
        <v>45967</v>
      </c>
      <c r="M2621" s="9">
        <v>45961</v>
      </c>
      <c r="N2621" s="2" t="s">
        <v>2764</v>
      </c>
      <c r="O2621" s="2" t="s">
        <v>53</v>
      </c>
      <c r="P2621" s="2" t="s">
        <v>208</v>
      </c>
      <c r="Q2621" s="2" t="s">
        <v>458</v>
      </c>
      <c r="R2621" s="2" t="s">
        <v>128</v>
      </c>
      <c r="S2621" s="2" t="s">
        <v>198</v>
      </c>
      <c r="T2621" s="10">
        <v>1535.34</v>
      </c>
      <c r="U2621" s="11">
        <v>1.085</v>
      </c>
      <c r="V2621" s="12">
        <f>T2621*U2621</f>
        <v>1665.8438999999998</v>
      </c>
      <c r="W2621" s="13">
        <v>0.19</v>
      </c>
      <c r="X2621" s="12">
        <f>V2621-(V2621/(1+W2621))</f>
        <v>265.97507647058819</v>
      </c>
      <c r="Y2621" s="12">
        <f>V2621-X2621</f>
        <v>1399.8688235294117</v>
      </c>
      <c r="Z2621" s="14">
        <v>1960</v>
      </c>
      <c r="AA2621" s="2" t="str">
        <f>IF(V2621&gt;Z2621,"Yes","No")</f>
        <v>No</v>
      </c>
      <c r="AB2621" s="12">
        <f>V2621-Z2621</f>
        <v>-294.15610000000015</v>
      </c>
      <c r="AC2621" s="15" t="s">
        <v>130</v>
      </c>
      <c r="AD2621" s="15" t="s">
        <v>130</v>
      </c>
      <c r="AE2621" s="15" t="s">
        <v>260</v>
      </c>
      <c r="AF2621" s="12">
        <f>IF(AG2621="Rejected",0,IF(R2621="Corporate Card",0,V2621))</f>
        <v>0</v>
      </c>
      <c r="AG2621" s="15" t="s">
        <v>133</v>
      </c>
      <c r="AH2621" s="16">
        <v>45971</v>
      </c>
      <c r="AI2621" s="16">
        <v>45974</v>
      </c>
      <c r="AJ2621" s="16">
        <v>45980</v>
      </c>
      <c r="AK2621" s="17">
        <f>IF(AJ2621="","",AJ2621-AH2621)</f>
        <v>9</v>
      </c>
    </row>
    <row r="2622" spans="1:37">
      <c r="A2622" s="2" t="s">
        <v>3120</v>
      </c>
      <c r="B2622" s="2" t="s">
        <v>1235</v>
      </c>
      <c r="C2622" s="2" t="s">
        <v>867</v>
      </c>
      <c r="D2622" s="2" t="s">
        <v>865</v>
      </c>
      <c r="E2622" s="2" t="s">
        <v>1236</v>
      </c>
      <c r="F2622" s="2" t="s">
        <v>313</v>
      </c>
      <c r="G2622" s="2" t="s">
        <v>3100</v>
      </c>
      <c r="H2622" s="2" t="s">
        <v>379</v>
      </c>
      <c r="I2622" s="2" t="s">
        <v>194</v>
      </c>
      <c r="J2622" s="2" t="s">
        <v>195</v>
      </c>
      <c r="K2622" s="9">
        <v>45960</v>
      </c>
      <c r="L2622" s="9">
        <v>45967</v>
      </c>
      <c r="M2622" s="9">
        <v>45961</v>
      </c>
      <c r="N2622" s="2" t="s">
        <v>2764</v>
      </c>
      <c r="O2622" s="2" t="s">
        <v>54</v>
      </c>
      <c r="P2622" s="2" t="s">
        <v>139</v>
      </c>
      <c r="Q2622" s="2" t="s">
        <v>214</v>
      </c>
      <c r="R2622" s="2" t="s">
        <v>128</v>
      </c>
      <c r="S2622" s="2" t="s">
        <v>198</v>
      </c>
      <c r="T2622" s="10">
        <v>19.71</v>
      </c>
      <c r="U2622" s="11">
        <v>1.085</v>
      </c>
      <c r="V2622" s="12">
        <f>T2622*U2622</f>
        <v>21.385349999999999</v>
      </c>
      <c r="W2622" s="13">
        <v>0.19</v>
      </c>
      <c r="X2622" s="12">
        <f>V2622-(V2622/(1+W2622))</f>
        <v>3.4144676470588209</v>
      </c>
      <c r="Y2622" s="12">
        <f>V2622-X2622</f>
        <v>17.970882352941178</v>
      </c>
      <c r="Z2622" s="14">
        <v>25</v>
      </c>
      <c r="AA2622" s="2" t="str">
        <f>IF(V2622&gt;Z2622,"Yes","No")</f>
        <v>No</v>
      </c>
      <c r="AB2622" s="12">
        <f>V2622-Z2622</f>
        <v>-3.614650000000001</v>
      </c>
      <c r="AC2622" s="15" t="s">
        <v>130</v>
      </c>
      <c r="AD2622" s="15" t="s">
        <v>130</v>
      </c>
      <c r="AE2622" s="15" t="s">
        <v>260</v>
      </c>
      <c r="AF2622" s="12">
        <f>IF(AG2622="Rejected",0,IF(R2622="Corporate Card",0,V2622))</f>
        <v>0</v>
      </c>
      <c r="AG2622" s="15" t="s">
        <v>133</v>
      </c>
      <c r="AH2622" s="16">
        <v>45971</v>
      </c>
      <c r="AI2622" s="16">
        <v>45974</v>
      </c>
      <c r="AJ2622" s="16">
        <v>45980</v>
      </c>
      <c r="AK2622" s="17">
        <f>IF(AJ2622="","",AJ2622-AH2622)</f>
        <v>9</v>
      </c>
    </row>
    <row r="2623" spans="1:37">
      <c r="A2623" s="2" t="s">
        <v>3121</v>
      </c>
      <c r="B2623" s="2" t="s">
        <v>1235</v>
      </c>
      <c r="C2623" s="2" t="s">
        <v>867</v>
      </c>
      <c r="D2623" s="2" t="s">
        <v>865</v>
      </c>
      <c r="E2623" s="2" t="s">
        <v>1236</v>
      </c>
      <c r="F2623" s="2" t="s">
        <v>313</v>
      </c>
      <c r="G2623" s="2" t="s">
        <v>3100</v>
      </c>
      <c r="H2623" s="2" t="s">
        <v>379</v>
      </c>
      <c r="I2623" s="2" t="s">
        <v>194</v>
      </c>
      <c r="J2623" s="2" t="s">
        <v>195</v>
      </c>
      <c r="K2623" s="9">
        <v>45960</v>
      </c>
      <c r="L2623" s="9">
        <v>45967</v>
      </c>
      <c r="M2623" s="9">
        <v>45961</v>
      </c>
      <c r="N2623" s="2" t="s">
        <v>2764</v>
      </c>
      <c r="O2623" s="2" t="s">
        <v>56</v>
      </c>
      <c r="P2623" s="2" t="s">
        <v>231</v>
      </c>
      <c r="Q2623" s="2" t="s">
        <v>159</v>
      </c>
      <c r="R2623" s="2" t="s">
        <v>128</v>
      </c>
      <c r="S2623" s="2" t="s">
        <v>198</v>
      </c>
      <c r="T2623" s="10">
        <v>65.11</v>
      </c>
      <c r="U2623" s="11">
        <v>1.085</v>
      </c>
      <c r="V2623" s="12">
        <f>T2623*U2623</f>
        <v>70.644350000000003</v>
      </c>
      <c r="W2623" s="13">
        <v>0.19</v>
      </c>
      <c r="X2623" s="12">
        <f>V2623-(V2623/(1+W2623))</f>
        <v>11.279350000000001</v>
      </c>
      <c r="Y2623" s="12">
        <f>V2623-X2623</f>
        <v>59.365000000000002</v>
      </c>
      <c r="Z2623" s="14">
        <v>75</v>
      </c>
      <c r="AA2623" s="2" t="str">
        <f>IF(V2623&gt;Z2623,"Yes","No")</f>
        <v>No</v>
      </c>
      <c r="AB2623" s="12">
        <f>V2623-Z2623</f>
        <v>-4.3556499999999971</v>
      </c>
      <c r="AC2623" s="15" t="s">
        <v>130</v>
      </c>
      <c r="AD2623" s="15" t="s">
        <v>130</v>
      </c>
      <c r="AE2623" s="15" t="s">
        <v>260</v>
      </c>
      <c r="AF2623" s="12">
        <f>IF(AG2623="Rejected",0,IF(R2623="Corporate Card",0,V2623))</f>
        <v>0</v>
      </c>
      <c r="AG2623" s="15" t="s">
        <v>133</v>
      </c>
      <c r="AH2623" s="16">
        <v>45971</v>
      </c>
      <c r="AI2623" s="16">
        <v>45974</v>
      </c>
      <c r="AJ2623" s="16">
        <v>45980</v>
      </c>
      <c r="AK2623" s="17">
        <f>IF(AJ2623="","",AJ2623-AH2623)</f>
        <v>9</v>
      </c>
    </row>
    <row r="2624" spans="1:37">
      <c r="A2624" s="2" t="s">
        <v>3122</v>
      </c>
      <c r="B2624" s="2" t="s">
        <v>1235</v>
      </c>
      <c r="C2624" s="2" t="s">
        <v>867</v>
      </c>
      <c r="D2624" s="2" t="s">
        <v>865</v>
      </c>
      <c r="E2624" s="2" t="s">
        <v>1236</v>
      </c>
      <c r="F2624" s="2" t="s">
        <v>313</v>
      </c>
      <c r="G2624" s="2" t="s">
        <v>3100</v>
      </c>
      <c r="H2624" s="2" t="s">
        <v>379</v>
      </c>
      <c r="I2624" s="2" t="s">
        <v>194</v>
      </c>
      <c r="J2624" s="2" t="s">
        <v>195</v>
      </c>
      <c r="K2624" s="9">
        <v>45960</v>
      </c>
      <c r="L2624" s="9">
        <v>45967</v>
      </c>
      <c r="M2624" s="9">
        <v>45961</v>
      </c>
      <c r="N2624" s="2" t="s">
        <v>2764</v>
      </c>
      <c r="O2624" s="2" t="s">
        <v>55</v>
      </c>
      <c r="P2624" s="2" t="s">
        <v>139</v>
      </c>
      <c r="Q2624" s="2" t="s">
        <v>161</v>
      </c>
      <c r="R2624" s="2" t="s">
        <v>149</v>
      </c>
      <c r="S2624" s="2" t="s">
        <v>198</v>
      </c>
      <c r="T2624" s="10">
        <v>28.14</v>
      </c>
      <c r="U2624" s="11">
        <v>1.085</v>
      </c>
      <c r="V2624" s="12">
        <f>T2624*U2624</f>
        <v>30.5319</v>
      </c>
      <c r="W2624" s="13">
        <v>0.19</v>
      </c>
      <c r="X2624" s="12">
        <f>V2624-(V2624/(1+W2624))</f>
        <v>4.8748411764705857</v>
      </c>
      <c r="Y2624" s="12">
        <f>V2624-X2624</f>
        <v>25.657058823529415</v>
      </c>
      <c r="Z2624" s="14">
        <v>35</v>
      </c>
      <c r="AA2624" s="2" t="str">
        <f>IF(V2624&gt;Z2624,"Yes","No")</f>
        <v>No</v>
      </c>
      <c r="AB2624" s="12">
        <f>V2624-Z2624</f>
        <v>-4.4680999999999997</v>
      </c>
      <c r="AC2624" s="15" t="s">
        <v>130</v>
      </c>
      <c r="AD2624" s="15" t="s">
        <v>130</v>
      </c>
      <c r="AE2624" s="15" t="s">
        <v>260</v>
      </c>
      <c r="AF2624" s="12">
        <f>IF(AG2624="Rejected",0,IF(R2624="Corporate Card",0,V2624))</f>
        <v>30.5319</v>
      </c>
      <c r="AG2624" s="15" t="s">
        <v>133</v>
      </c>
      <c r="AH2624" s="16">
        <v>45971</v>
      </c>
      <c r="AI2624" s="16">
        <v>45974</v>
      </c>
      <c r="AJ2624" s="16">
        <v>45980</v>
      </c>
      <c r="AK2624" s="17">
        <f>IF(AJ2624="","",AJ2624-AH2624)</f>
        <v>9</v>
      </c>
    </row>
    <row r="2625" spans="1:37">
      <c r="A2625" s="2" t="s">
        <v>3123</v>
      </c>
      <c r="B2625" s="2" t="s">
        <v>189</v>
      </c>
      <c r="C2625" s="2" t="s">
        <v>190</v>
      </c>
      <c r="D2625" s="2" t="s">
        <v>171</v>
      </c>
      <c r="E2625" s="2" t="s">
        <v>191</v>
      </c>
      <c r="F2625" s="2" t="s">
        <v>173</v>
      </c>
      <c r="G2625" s="2" t="s">
        <v>3065</v>
      </c>
      <c r="H2625" s="2" t="s">
        <v>417</v>
      </c>
      <c r="I2625" s="2" t="s">
        <v>1251</v>
      </c>
      <c r="J2625" s="2" t="s">
        <v>750</v>
      </c>
      <c r="K2625" s="9">
        <v>45958</v>
      </c>
      <c r="L2625" s="9">
        <v>45963</v>
      </c>
      <c r="M2625" s="9">
        <v>45962</v>
      </c>
      <c r="N2625" s="2" t="s">
        <v>3124</v>
      </c>
      <c r="O2625" s="2" t="s">
        <v>54</v>
      </c>
      <c r="P2625" s="2" t="s">
        <v>139</v>
      </c>
      <c r="Q2625" s="2" t="s">
        <v>140</v>
      </c>
      <c r="R2625" s="2" t="s">
        <v>128</v>
      </c>
      <c r="S2625" s="2" t="s">
        <v>198</v>
      </c>
      <c r="T2625" s="10">
        <v>19.88</v>
      </c>
      <c r="U2625" s="11">
        <v>1.085</v>
      </c>
      <c r="V2625" s="12">
        <f>T2625*U2625</f>
        <v>21.569799999999997</v>
      </c>
      <c r="W2625" s="13">
        <v>0.19</v>
      </c>
      <c r="X2625" s="12">
        <f>V2625-(V2625/(1+W2625))</f>
        <v>3.4439176470588215</v>
      </c>
      <c r="Y2625" s="12">
        <f>V2625-X2625</f>
        <v>18.125882352941176</v>
      </c>
      <c r="Z2625" s="14">
        <v>25</v>
      </c>
      <c r="AA2625" s="2" t="str">
        <f>IF(V2625&gt;Z2625,"Yes","No")</f>
        <v>No</v>
      </c>
      <c r="AB2625" s="12">
        <f>V2625-Z2625</f>
        <v>-3.4302000000000028</v>
      </c>
      <c r="AC2625" s="15" t="s">
        <v>130</v>
      </c>
      <c r="AD2625" s="15" t="s">
        <v>131</v>
      </c>
      <c r="AE2625" s="15" t="s">
        <v>132</v>
      </c>
      <c r="AF2625" s="12">
        <f>IF(AG2625="Rejected",0,IF(R2625="Corporate Card",0,V2625))</f>
        <v>0</v>
      </c>
      <c r="AG2625" s="15" t="s">
        <v>133</v>
      </c>
      <c r="AH2625" s="16">
        <v>45967</v>
      </c>
      <c r="AI2625" s="16">
        <v>45974</v>
      </c>
      <c r="AJ2625" s="16">
        <v>45982</v>
      </c>
      <c r="AK2625" s="17">
        <f>IF(AJ2625="","",AJ2625-AH2625)</f>
        <v>15</v>
      </c>
    </row>
    <row r="2626" spans="1:37">
      <c r="A2626" s="2" t="s">
        <v>3125</v>
      </c>
      <c r="B2626" s="2" t="s">
        <v>189</v>
      </c>
      <c r="C2626" s="2" t="s">
        <v>190</v>
      </c>
      <c r="D2626" s="2" t="s">
        <v>171</v>
      </c>
      <c r="E2626" s="2" t="s">
        <v>191</v>
      </c>
      <c r="F2626" s="2" t="s">
        <v>173</v>
      </c>
      <c r="G2626" s="2" t="s">
        <v>3065</v>
      </c>
      <c r="H2626" s="2" t="s">
        <v>417</v>
      </c>
      <c r="I2626" s="2" t="s">
        <v>1251</v>
      </c>
      <c r="J2626" s="2" t="s">
        <v>750</v>
      </c>
      <c r="K2626" s="9">
        <v>45958</v>
      </c>
      <c r="L2626" s="9">
        <v>45963</v>
      </c>
      <c r="M2626" s="9">
        <v>45962</v>
      </c>
      <c r="N2626" s="2" t="s">
        <v>3124</v>
      </c>
      <c r="O2626" s="2" t="s">
        <v>56</v>
      </c>
      <c r="P2626" s="2" t="s">
        <v>151</v>
      </c>
      <c r="Q2626" s="2" t="s">
        <v>185</v>
      </c>
      <c r="R2626" s="2" t="s">
        <v>149</v>
      </c>
      <c r="S2626" s="2" t="s">
        <v>198</v>
      </c>
      <c r="T2626" s="10">
        <v>44.19</v>
      </c>
      <c r="U2626" s="11">
        <v>1.085</v>
      </c>
      <c r="V2626" s="12">
        <f>T2626*U2626</f>
        <v>47.946149999999996</v>
      </c>
      <c r="W2626" s="13">
        <v>0.19</v>
      </c>
      <c r="X2626" s="12">
        <f>V2626-(V2626/(1+W2626))</f>
        <v>7.655267647058821</v>
      </c>
      <c r="Y2626" s="12">
        <f>V2626-X2626</f>
        <v>40.290882352941175</v>
      </c>
      <c r="Z2626" s="14">
        <v>75</v>
      </c>
      <c r="AA2626" s="2" t="str">
        <f>IF(V2626&gt;Z2626,"Yes","No")</f>
        <v>No</v>
      </c>
      <c r="AB2626" s="12">
        <f>V2626-Z2626</f>
        <v>-27.053850000000004</v>
      </c>
      <c r="AC2626" s="15" t="s">
        <v>130</v>
      </c>
      <c r="AD2626" s="15" t="s">
        <v>131</v>
      </c>
      <c r="AE2626" s="15" t="s">
        <v>132</v>
      </c>
      <c r="AF2626" s="12">
        <f>IF(AG2626="Rejected",0,IF(R2626="Corporate Card",0,V2626))</f>
        <v>47.946149999999996</v>
      </c>
      <c r="AG2626" s="15" t="s">
        <v>133</v>
      </c>
      <c r="AH2626" s="16">
        <v>45967</v>
      </c>
      <c r="AI2626" s="16">
        <v>45974</v>
      </c>
      <c r="AJ2626" s="16">
        <v>45982</v>
      </c>
      <c r="AK2626" s="17">
        <f>IF(AJ2626="","",AJ2626-AH2626)</f>
        <v>15</v>
      </c>
    </row>
    <row r="2627" spans="1:37">
      <c r="A2627" s="2" t="s">
        <v>3126</v>
      </c>
      <c r="B2627" s="2" t="s">
        <v>189</v>
      </c>
      <c r="C2627" s="2" t="s">
        <v>190</v>
      </c>
      <c r="D2627" s="2" t="s">
        <v>171</v>
      </c>
      <c r="E2627" s="2" t="s">
        <v>191</v>
      </c>
      <c r="F2627" s="2" t="s">
        <v>173</v>
      </c>
      <c r="G2627" s="2" t="s">
        <v>3065</v>
      </c>
      <c r="H2627" s="2" t="s">
        <v>417</v>
      </c>
      <c r="I2627" s="2" t="s">
        <v>1251</v>
      </c>
      <c r="J2627" s="2" t="s">
        <v>750</v>
      </c>
      <c r="K2627" s="9">
        <v>45958</v>
      </c>
      <c r="L2627" s="9">
        <v>45963</v>
      </c>
      <c r="M2627" s="9">
        <v>45962</v>
      </c>
      <c r="N2627" s="2" t="s">
        <v>3124</v>
      </c>
      <c r="O2627" s="2" t="s">
        <v>55</v>
      </c>
      <c r="P2627" s="2" t="s">
        <v>139</v>
      </c>
      <c r="Q2627" s="2" t="s">
        <v>217</v>
      </c>
      <c r="R2627" s="2" t="s">
        <v>128</v>
      </c>
      <c r="S2627" s="2" t="s">
        <v>198</v>
      </c>
      <c r="T2627" s="10">
        <v>18.86</v>
      </c>
      <c r="U2627" s="11">
        <v>1.085</v>
      </c>
      <c r="V2627" s="12">
        <f>T2627*U2627</f>
        <v>20.463099999999997</v>
      </c>
      <c r="W2627" s="13">
        <v>0.19</v>
      </c>
      <c r="X2627" s="12">
        <f>V2627-(V2627/(1+W2627))</f>
        <v>3.2672176470588212</v>
      </c>
      <c r="Y2627" s="12">
        <f>V2627-X2627</f>
        <v>17.195882352941176</v>
      </c>
      <c r="Z2627" s="14">
        <v>35</v>
      </c>
      <c r="AA2627" s="2" t="str">
        <f>IF(V2627&gt;Z2627,"Yes","No")</f>
        <v>No</v>
      </c>
      <c r="AB2627" s="12">
        <f>V2627-Z2627</f>
        <v>-14.536900000000003</v>
      </c>
      <c r="AC2627" s="15" t="s">
        <v>130</v>
      </c>
      <c r="AD2627" s="15" t="s">
        <v>131</v>
      </c>
      <c r="AE2627" s="15" t="s">
        <v>132</v>
      </c>
      <c r="AF2627" s="12">
        <f>IF(AG2627="Rejected",0,IF(R2627="Corporate Card",0,V2627))</f>
        <v>0</v>
      </c>
      <c r="AG2627" s="15" t="s">
        <v>133</v>
      </c>
      <c r="AH2627" s="16">
        <v>45967</v>
      </c>
      <c r="AI2627" s="16">
        <v>45974</v>
      </c>
      <c r="AJ2627" s="16">
        <v>45982</v>
      </c>
      <c r="AK2627" s="17">
        <f>IF(AJ2627="","",AJ2627-AH2627)</f>
        <v>15</v>
      </c>
    </row>
    <row r="2628" spans="1:37">
      <c r="A2628" s="2" t="s">
        <v>3127</v>
      </c>
      <c r="B2628" s="2" t="s">
        <v>1235</v>
      </c>
      <c r="C2628" s="2" t="s">
        <v>867</v>
      </c>
      <c r="D2628" s="2" t="s">
        <v>865</v>
      </c>
      <c r="E2628" s="2" t="s">
        <v>1236</v>
      </c>
      <c r="F2628" s="2" t="s">
        <v>313</v>
      </c>
      <c r="G2628" s="2" t="s">
        <v>3100</v>
      </c>
      <c r="H2628" s="2" t="s">
        <v>379</v>
      </c>
      <c r="I2628" s="2" t="s">
        <v>194</v>
      </c>
      <c r="J2628" s="2" t="s">
        <v>195</v>
      </c>
      <c r="K2628" s="9">
        <v>45960</v>
      </c>
      <c r="L2628" s="9">
        <v>45967</v>
      </c>
      <c r="M2628" s="9">
        <v>45962</v>
      </c>
      <c r="N2628" s="2" t="s">
        <v>3124</v>
      </c>
      <c r="O2628" s="2" t="s">
        <v>56</v>
      </c>
      <c r="P2628" s="2" t="s">
        <v>245</v>
      </c>
      <c r="Q2628" s="2" t="s">
        <v>227</v>
      </c>
      <c r="R2628" s="2" t="s">
        <v>128</v>
      </c>
      <c r="S2628" s="2" t="s">
        <v>198</v>
      </c>
      <c r="T2628" s="10">
        <v>66.38</v>
      </c>
      <c r="U2628" s="11">
        <v>1.085</v>
      </c>
      <c r="V2628" s="12">
        <f>T2628*U2628</f>
        <v>72.022299999999987</v>
      </c>
      <c r="W2628" s="13">
        <v>0.19</v>
      </c>
      <c r="X2628" s="12">
        <f>V2628-(V2628/(1+W2628))</f>
        <v>11.499358823529406</v>
      </c>
      <c r="Y2628" s="12">
        <f>V2628-X2628</f>
        <v>60.522941176470582</v>
      </c>
      <c r="Z2628" s="14">
        <v>75</v>
      </c>
      <c r="AA2628" s="2" t="str">
        <f>IF(V2628&gt;Z2628,"Yes","No")</f>
        <v>No</v>
      </c>
      <c r="AB2628" s="12">
        <f>V2628-Z2628</f>
        <v>-2.9777000000000129</v>
      </c>
      <c r="AC2628" s="15" t="s">
        <v>130</v>
      </c>
      <c r="AD2628" s="15" t="s">
        <v>130</v>
      </c>
      <c r="AE2628" s="15" t="s">
        <v>260</v>
      </c>
      <c r="AF2628" s="12">
        <f>IF(AG2628="Rejected",0,IF(R2628="Corporate Card",0,V2628))</f>
        <v>0</v>
      </c>
      <c r="AG2628" s="15" t="s">
        <v>133</v>
      </c>
      <c r="AH2628" s="16">
        <v>45971</v>
      </c>
      <c r="AI2628" s="16">
        <v>45974</v>
      </c>
      <c r="AJ2628" s="16">
        <v>45980</v>
      </c>
      <c r="AK2628" s="17">
        <f>IF(AJ2628="","",AJ2628-AH2628)</f>
        <v>9</v>
      </c>
    </row>
    <row r="2629" spans="1:37">
      <c r="A2629" s="2" t="s">
        <v>3128</v>
      </c>
      <c r="B2629" s="2" t="s">
        <v>189</v>
      </c>
      <c r="C2629" s="2" t="s">
        <v>190</v>
      </c>
      <c r="D2629" s="2" t="s">
        <v>171</v>
      </c>
      <c r="E2629" s="2" t="s">
        <v>191</v>
      </c>
      <c r="F2629" s="2" t="s">
        <v>173</v>
      </c>
      <c r="G2629" s="2" t="s">
        <v>3065</v>
      </c>
      <c r="H2629" s="2" t="s">
        <v>417</v>
      </c>
      <c r="I2629" s="2" t="s">
        <v>1251</v>
      </c>
      <c r="J2629" s="2" t="s">
        <v>750</v>
      </c>
      <c r="K2629" s="9">
        <v>45958</v>
      </c>
      <c r="L2629" s="9">
        <v>45963</v>
      </c>
      <c r="M2629" s="9">
        <v>45963</v>
      </c>
      <c r="N2629" s="2" t="s">
        <v>3124</v>
      </c>
      <c r="O2629" s="2" t="s">
        <v>58</v>
      </c>
      <c r="P2629" s="2" t="s">
        <v>142</v>
      </c>
      <c r="Q2629" s="2" t="s">
        <v>296</v>
      </c>
      <c r="R2629" s="2" t="s">
        <v>137</v>
      </c>
      <c r="S2629" s="2" t="s">
        <v>198</v>
      </c>
      <c r="T2629" s="10">
        <v>40.86</v>
      </c>
      <c r="U2629" s="11">
        <v>1.085</v>
      </c>
      <c r="V2629" s="12">
        <f>T2629*U2629</f>
        <v>44.333099999999995</v>
      </c>
      <c r="W2629" s="13">
        <v>0.19</v>
      </c>
      <c r="X2629" s="12">
        <f>V2629-(V2629/(1+W2629))</f>
        <v>7.0783941176470577</v>
      </c>
      <c r="Y2629" s="12">
        <f>V2629-X2629</f>
        <v>37.254705882352937</v>
      </c>
      <c r="Z2629" s="14">
        <v>60</v>
      </c>
      <c r="AA2629" s="2" t="str">
        <f>IF(V2629&gt;Z2629,"Yes","No")</f>
        <v>No</v>
      </c>
      <c r="AB2629" s="12">
        <f>V2629-Z2629</f>
        <v>-15.666900000000005</v>
      </c>
      <c r="AC2629" s="15" t="s">
        <v>130</v>
      </c>
      <c r="AD2629" s="15" t="s">
        <v>131</v>
      </c>
      <c r="AE2629" s="15" t="s">
        <v>132</v>
      </c>
      <c r="AF2629" s="12">
        <f>IF(AG2629="Rejected",0,IF(R2629="Corporate Card",0,V2629))</f>
        <v>44.333099999999995</v>
      </c>
      <c r="AG2629" s="15" t="s">
        <v>133</v>
      </c>
      <c r="AH2629" s="16">
        <v>45967</v>
      </c>
      <c r="AI2629" s="16">
        <v>45974</v>
      </c>
      <c r="AJ2629" s="16">
        <v>45982</v>
      </c>
      <c r="AK2629" s="17">
        <f>IF(AJ2629="","",AJ2629-AH2629)</f>
        <v>15</v>
      </c>
    </row>
    <row r="2630" spans="1:37">
      <c r="A2630" s="2" t="s">
        <v>3129</v>
      </c>
      <c r="B2630" s="2" t="s">
        <v>189</v>
      </c>
      <c r="C2630" s="2" t="s">
        <v>190</v>
      </c>
      <c r="D2630" s="2" t="s">
        <v>171</v>
      </c>
      <c r="E2630" s="2" t="s">
        <v>191</v>
      </c>
      <c r="F2630" s="2" t="s">
        <v>173</v>
      </c>
      <c r="G2630" s="2" t="s">
        <v>3065</v>
      </c>
      <c r="H2630" s="2" t="s">
        <v>417</v>
      </c>
      <c r="I2630" s="2" t="s">
        <v>1251</v>
      </c>
      <c r="J2630" s="2" t="s">
        <v>750</v>
      </c>
      <c r="K2630" s="9">
        <v>45958</v>
      </c>
      <c r="L2630" s="9">
        <v>45963</v>
      </c>
      <c r="M2630" s="9">
        <v>45963</v>
      </c>
      <c r="N2630" s="2" t="s">
        <v>3124</v>
      </c>
      <c r="O2630" s="2" t="s">
        <v>54</v>
      </c>
      <c r="P2630" s="2" t="s">
        <v>139</v>
      </c>
      <c r="Q2630" s="2" t="s">
        <v>214</v>
      </c>
      <c r="R2630" s="2" t="s">
        <v>137</v>
      </c>
      <c r="S2630" s="2" t="s">
        <v>198</v>
      </c>
      <c r="T2630" s="10">
        <v>19.7</v>
      </c>
      <c r="U2630" s="11">
        <v>1.085</v>
      </c>
      <c r="V2630" s="12">
        <f>T2630*U2630</f>
        <v>21.374499999999998</v>
      </c>
      <c r="W2630" s="13">
        <v>0.19</v>
      </c>
      <c r="X2630" s="12">
        <f>V2630-(V2630/(1+W2630))</f>
        <v>3.4127352941176454</v>
      </c>
      <c r="Y2630" s="12">
        <f>V2630-X2630</f>
        <v>17.961764705882352</v>
      </c>
      <c r="Z2630" s="14">
        <v>25</v>
      </c>
      <c r="AA2630" s="2" t="str">
        <f>IF(V2630&gt;Z2630,"Yes","No")</f>
        <v>No</v>
      </c>
      <c r="AB2630" s="12">
        <f>V2630-Z2630</f>
        <v>-3.6255000000000024</v>
      </c>
      <c r="AC2630" s="15" t="s">
        <v>130</v>
      </c>
      <c r="AD2630" s="15" t="s">
        <v>131</v>
      </c>
      <c r="AE2630" s="15" t="s">
        <v>132</v>
      </c>
      <c r="AF2630" s="12">
        <f>IF(AG2630="Rejected",0,IF(R2630="Corporate Card",0,V2630))</f>
        <v>21.374499999999998</v>
      </c>
      <c r="AG2630" s="15" t="s">
        <v>133</v>
      </c>
      <c r="AH2630" s="16">
        <v>45967</v>
      </c>
      <c r="AI2630" s="16">
        <v>45974</v>
      </c>
      <c r="AJ2630" s="16">
        <v>45982</v>
      </c>
      <c r="AK2630" s="17">
        <f>IF(AJ2630="","",AJ2630-AH2630)</f>
        <v>15</v>
      </c>
    </row>
    <row r="2631" spans="1:37">
      <c r="A2631" s="2" t="s">
        <v>3130</v>
      </c>
      <c r="B2631" s="2" t="s">
        <v>189</v>
      </c>
      <c r="C2631" s="2" t="s">
        <v>190</v>
      </c>
      <c r="D2631" s="2" t="s">
        <v>171</v>
      </c>
      <c r="E2631" s="2" t="s">
        <v>191</v>
      </c>
      <c r="F2631" s="2" t="s">
        <v>173</v>
      </c>
      <c r="G2631" s="2" t="s">
        <v>3065</v>
      </c>
      <c r="H2631" s="2" t="s">
        <v>417</v>
      </c>
      <c r="I2631" s="2" t="s">
        <v>1251</v>
      </c>
      <c r="J2631" s="2" t="s">
        <v>750</v>
      </c>
      <c r="K2631" s="9">
        <v>45958</v>
      </c>
      <c r="L2631" s="9">
        <v>45963</v>
      </c>
      <c r="M2631" s="9">
        <v>45963</v>
      </c>
      <c r="N2631" s="2" t="s">
        <v>3124</v>
      </c>
      <c r="O2631" s="2" t="s">
        <v>56</v>
      </c>
      <c r="P2631" s="2" t="s">
        <v>151</v>
      </c>
      <c r="Q2631" s="2" t="s">
        <v>227</v>
      </c>
      <c r="R2631" s="2" t="s">
        <v>149</v>
      </c>
      <c r="S2631" s="2" t="s">
        <v>198</v>
      </c>
      <c r="T2631" s="10">
        <v>33.18</v>
      </c>
      <c r="U2631" s="11">
        <v>1.085</v>
      </c>
      <c r="V2631" s="12">
        <f>T2631*U2631</f>
        <v>36.000299999999996</v>
      </c>
      <c r="W2631" s="13">
        <v>0.19</v>
      </c>
      <c r="X2631" s="12">
        <f>V2631-(V2631/(1+W2631))</f>
        <v>5.7479470588235273</v>
      </c>
      <c r="Y2631" s="12">
        <f>V2631-X2631</f>
        <v>30.252352941176468</v>
      </c>
      <c r="Z2631" s="14">
        <v>75</v>
      </c>
      <c r="AA2631" s="2" t="str">
        <f>IF(V2631&gt;Z2631,"Yes","No")</f>
        <v>No</v>
      </c>
      <c r="AB2631" s="12">
        <f>V2631-Z2631</f>
        <v>-38.999700000000004</v>
      </c>
      <c r="AC2631" s="15" t="s">
        <v>130</v>
      </c>
      <c r="AD2631" s="15" t="s">
        <v>131</v>
      </c>
      <c r="AE2631" s="15" t="s">
        <v>132</v>
      </c>
      <c r="AF2631" s="12">
        <f>IF(AG2631="Rejected",0,IF(R2631="Corporate Card",0,V2631))</f>
        <v>36.000299999999996</v>
      </c>
      <c r="AG2631" s="15" t="s">
        <v>133</v>
      </c>
      <c r="AH2631" s="16">
        <v>45967</v>
      </c>
      <c r="AI2631" s="16">
        <v>45974</v>
      </c>
      <c r="AJ2631" s="16">
        <v>45982</v>
      </c>
      <c r="AK2631" s="17">
        <f>IF(AJ2631="","",AJ2631-AH2631)</f>
        <v>15</v>
      </c>
    </row>
    <row r="2632" spans="1:37">
      <c r="A2632" s="2" t="s">
        <v>3131</v>
      </c>
      <c r="B2632" s="2" t="s">
        <v>189</v>
      </c>
      <c r="C2632" s="2" t="s">
        <v>190</v>
      </c>
      <c r="D2632" s="2" t="s">
        <v>171</v>
      </c>
      <c r="E2632" s="2" t="s">
        <v>191</v>
      </c>
      <c r="F2632" s="2" t="s">
        <v>173</v>
      </c>
      <c r="G2632" s="2" t="s">
        <v>3065</v>
      </c>
      <c r="H2632" s="2" t="s">
        <v>417</v>
      </c>
      <c r="I2632" s="2" t="s">
        <v>1251</v>
      </c>
      <c r="J2632" s="2" t="s">
        <v>750</v>
      </c>
      <c r="K2632" s="9">
        <v>45958</v>
      </c>
      <c r="L2632" s="9">
        <v>45963</v>
      </c>
      <c r="M2632" s="9">
        <v>45963</v>
      </c>
      <c r="N2632" s="2" t="s">
        <v>3124</v>
      </c>
      <c r="O2632" s="2" t="s">
        <v>55</v>
      </c>
      <c r="P2632" s="2" t="s">
        <v>139</v>
      </c>
      <c r="Q2632" s="2" t="s">
        <v>217</v>
      </c>
      <c r="R2632" s="2" t="s">
        <v>128</v>
      </c>
      <c r="S2632" s="2" t="s">
        <v>198</v>
      </c>
      <c r="T2632" s="10">
        <v>17.64</v>
      </c>
      <c r="U2632" s="11">
        <v>1.085</v>
      </c>
      <c r="V2632" s="12">
        <f>T2632*U2632</f>
        <v>19.139399999999998</v>
      </c>
      <c r="W2632" s="13">
        <v>0.19</v>
      </c>
      <c r="X2632" s="12">
        <f>V2632-(V2632/(1+W2632))</f>
        <v>3.0558705882352939</v>
      </c>
      <c r="Y2632" s="12">
        <f>V2632-X2632</f>
        <v>16.083529411764705</v>
      </c>
      <c r="Z2632" s="14">
        <v>35</v>
      </c>
      <c r="AA2632" s="2" t="str">
        <f>IF(V2632&gt;Z2632,"Yes","No")</f>
        <v>No</v>
      </c>
      <c r="AB2632" s="12">
        <f>V2632-Z2632</f>
        <v>-15.860600000000002</v>
      </c>
      <c r="AC2632" s="15" t="s">
        <v>130</v>
      </c>
      <c r="AD2632" s="15" t="s">
        <v>131</v>
      </c>
      <c r="AE2632" s="15" t="s">
        <v>132</v>
      </c>
      <c r="AF2632" s="12">
        <f>IF(AG2632="Rejected",0,IF(R2632="Corporate Card",0,V2632))</f>
        <v>0</v>
      </c>
      <c r="AG2632" s="15" t="s">
        <v>133</v>
      </c>
      <c r="AH2632" s="16">
        <v>45967</v>
      </c>
      <c r="AI2632" s="16">
        <v>45974</v>
      </c>
      <c r="AJ2632" s="16">
        <v>45982</v>
      </c>
      <c r="AK2632" s="17">
        <f>IF(AJ2632="","",AJ2632-AH2632)</f>
        <v>15</v>
      </c>
    </row>
    <row r="2633" spans="1:37">
      <c r="A2633" s="2" t="s">
        <v>3132</v>
      </c>
      <c r="B2633" s="2" t="s">
        <v>1235</v>
      </c>
      <c r="C2633" s="2" t="s">
        <v>867</v>
      </c>
      <c r="D2633" s="2" t="s">
        <v>865</v>
      </c>
      <c r="E2633" s="2" t="s">
        <v>1236</v>
      </c>
      <c r="F2633" s="2" t="s">
        <v>313</v>
      </c>
      <c r="G2633" s="2" t="s">
        <v>3100</v>
      </c>
      <c r="H2633" s="2" t="s">
        <v>379</v>
      </c>
      <c r="I2633" s="2" t="s">
        <v>194</v>
      </c>
      <c r="J2633" s="2" t="s">
        <v>195</v>
      </c>
      <c r="K2633" s="9">
        <v>45960</v>
      </c>
      <c r="L2633" s="9">
        <v>45967</v>
      </c>
      <c r="M2633" s="9">
        <v>45963</v>
      </c>
      <c r="N2633" s="2" t="s">
        <v>3124</v>
      </c>
      <c r="O2633" s="2" t="s">
        <v>58</v>
      </c>
      <c r="P2633" s="2" t="s">
        <v>142</v>
      </c>
      <c r="Q2633" s="2" t="s">
        <v>224</v>
      </c>
      <c r="R2633" s="2" t="s">
        <v>137</v>
      </c>
      <c r="S2633" s="2" t="s">
        <v>198</v>
      </c>
      <c r="T2633" s="10">
        <v>43.46</v>
      </c>
      <c r="U2633" s="11">
        <v>1.085</v>
      </c>
      <c r="V2633" s="12">
        <f>T2633*U2633</f>
        <v>47.1541</v>
      </c>
      <c r="W2633" s="13">
        <v>0.19</v>
      </c>
      <c r="X2633" s="12">
        <f>V2633-(V2633/(1+W2633))</f>
        <v>7.5288058823529411</v>
      </c>
      <c r="Y2633" s="12">
        <f>V2633-X2633</f>
        <v>39.625294117647059</v>
      </c>
      <c r="Z2633" s="14">
        <v>60</v>
      </c>
      <c r="AA2633" s="2" t="str">
        <f>IF(V2633&gt;Z2633,"Yes","No")</f>
        <v>No</v>
      </c>
      <c r="AB2633" s="12">
        <f>V2633-Z2633</f>
        <v>-12.8459</v>
      </c>
      <c r="AC2633" s="15" t="s">
        <v>130</v>
      </c>
      <c r="AD2633" s="15" t="s">
        <v>130</v>
      </c>
      <c r="AE2633" s="15" t="s">
        <v>260</v>
      </c>
      <c r="AF2633" s="12">
        <f>IF(AG2633="Rejected",0,IF(R2633="Corporate Card",0,V2633))</f>
        <v>47.1541</v>
      </c>
      <c r="AG2633" s="15" t="s">
        <v>133</v>
      </c>
      <c r="AH2633" s="16">
        <v>45971</v>
      </c>
      <c r="AI2633" s="16">
        <v>45974</v>
      </c>
      <c r="AJ2633" s="16">
        <v>45980</v>
      </c>
      <c r="AK2633" s="17">
        <f>IF(AJ2633="","",AJ2633-AH2633)</f>
        <v>9</v>
      </c>
    </row>
    <row r="2634" spans="1:37">
      <c r="A2634" s="2" t="s">
        <v>3133</v>
      </c>
      <c r="B2634" s="2" t="s">
        <v>1235</v>
      </c>
      <c r="C2634" s="2" t="s">
        <v>867</v>
      </c>
      <c r="D2634" s="2" t="s">
        <v>865</v>
      </c>
      <c r="E2634" s="2" t="s">
        <v>1236</v>
      </c>
      <c r="F2634" s="2" t="s">
        <v>313</v>
      </c>
      <c r="G2634" s="2" t="s">
        <v>3100</v>
      </c>
      <c r="H2634" s="2" t="s">
        <v>379</v>
      </c>
      <c r="I2634" s="2" t="s">
        <v>194</v>
      </c>
      <c r="J2634" s="2" t="s">
        <v>195</v>
      </c>
      <c r="K2634" s="9">
        <v>45960</v>
      </c>
      <c r="L2634" s="9">
        <v>45967</v>
      </c>
      <c r="M2634" s="9">
        <v>45963</v>
      </c>
      <c r="N2634" s="2" t="s">
        <v>3124</v>
      </c>
      <c r="O2634" s="2" t="s">
        <v>56</v>
      </c>
      <c r="P2634" s="2" t="s">
        <v>151</v>
      </c>
      <c r="Q2634" s="2" t="s">
        <v>166</v>
      </c>
      <c r="R2634" s="2" t="s">
        <v>128</v>
      </c>
      <c r="S2634" s="2" t="s">
        <v>198</v>
      </c>
      <c r="T2634" s="10">
        <v>33.19</v>
      </c>
      <c r="U2634" s="11">
        <v>1.085</v>
      </c>
      <c r="V2634" s="12">
        <f>T2634*U2634</f>
        <v>36.011149999999994</v>
      </c>
      <c r="W2634" s="13">
        <v>0.19</v>
      </c>
      <c r="X2634" s="12">
        <f>V2634-(V2634/(1+W2634))</f>
        <v>5.7496794117647028</v>
      </c>
      <c r="Y2634" s="12">
        <f>V2634-X2634</f>
        <v>30.261470588235291</v>
      </c>
      <c r="Z2634" s="14">
        <v>75</v>
      </c>
      <c r="AA2634" s="2" t="str">
        <f>IF(V2634&gt;Z2634,"Yes","No")</f>
        <v>No</v>
      </c>
      <c r="AB2634" s="12">
        <f>V2634-Z2634</f>
        <v>-38.988850000000006</v>
      </c>
      <c r="AC2634" s="15" t="s">
        <v>130</v>
      </c>
      <c r="AD2634" s="15" t="s">
        <v>130</v>
      </c>
      <c r="AE2634" s="15" t="s">
        <v>260</v>
      </c>
      <c r="AF2634" s="12">
        <f>IF(AG2634="Rejected",0,IF(R2634="Corporate Card",0,V2634))</f>
        <v>0</v>
      </c>
      <c r="AG2634" s="15" t="s">
        <v>133</v>
      </c>
      <c r="AH2634" s="16">
        <v>45971</v>
      </c>
      <c r="AI2634" s="16">
        <v>45974</v>
      </c>
      <c r="AJ2634" s="16">
        <v>45980</v>
      </c>
      <c r="AK2634" s="17">
        <f>IF(AJ2634="","",AJ2634-AH2634)</f>
        <v>9</v>
      </c>
    </row>
    <row r="2635" spans="1:37">
      <c r="A2635" s="2" t="s">
        <v>3134</v>
      </c>
      <c r="B2635" s="2" t="s">
        <v>1235</v>
      </c>
      <c r="C2635" s="2" t="s">
        <v>867</v>
      </c>
      <c r="D2635" s="2" t="s">
        <v>865</v>
      </c>
      <c r="E2635" s="2" t="s">
        <v>1236</v>
      </c>
      <c r="F2635" s="2" t="s">
        <v>313</v>
      </c>
      <c r="G2635" s="2" t="s">
        <v>3100</v>
      </c>
      <c r="H2635" s="2" t="s">
        <v>379</v>
      </c>
      <c r="I2635" s="2" t="s">
        <v>194</v>
      </c>
      <c r="J2635" s="2" t="s">
        <v>195</v>
      </c>
      <c r="K2635" s="9">
        <v>45960</v>
      </c>
      <c r="L2635" s="9">
        <v>45967</v>
      </c>
      <c r="M2635" s="9">
        <v>45963</v>
      </c>
      <c r="N2635" s="2" t="s">
        <v>3124</v>
      </c>
      <c r="O2635" s="2" t="s">
        <v>55</v>
      </c>
      <c r="P2635" s="2" t="s">
        <v>139</v>
      </c>
      <c r="Q2635" s="2" t="s">
        <v>154</v>
      </c>
      <c r="R2635" s="2" t="s">
        <v>128</v>
      </c>
      <c r="S2635" s="2" t="s">
        <v>198</v>
      </c>
      <c r="T2635" s="10">
        <v>17.920000000000002</v>
      </c>
      <c r="U2635" s="11">
        <v>1.085</v>
      </c>
      <c r="V2635" s="12">
        <f>T2635*U2635</f>
        <v>19.443200000000001</v>
      </c>
      <c r="W2635" s="13">
        <v>0.19</v>
      </c>
      <c r="X2635" s="12">
        <f>V2635-(V2635/(1+W2635))</f>
        <v>3.1043764705882353</v>
      </c>
      <c r="Y2635" s="12">
        <f>V2635-X2635</f>
        <v>16.338823529411766</v>
      </c>
      <c r="Z2635" s="14">
        <v>35</v>
      </c>
      <c r="AA2635" s="2" t="str">
        <f>IF(V2635&gt;Z2635,"Yes","No")</f>
        <v>No</v>
      </c>
      <c r="AB2635" s="12">
        <f>V2635-Z2635</f>
        <v>-15.556799999999999</v>
      </c>
      <c r="AC2635" s="15" t="s">
        <v>130</v>
      </c>
      <c r="AD2635" s="15" t="s">
        <v>130</v>
      </c>
      <c r="AE2635" s="15" t="s">
        <v>260</v>
      </c>
      <c r="AF2635" s="12">
        <f>IF(AG2635="Rejected",0,IF(R2635="Corporate Card",0,V2635))</f>
        <v>0</v>
      </c>
      <c r="AG2635" s="15" t="s">
        <v>133</v>
      </c>
      <c r="AH2635" s="16">
        <v>45971</v>
      </c>
      <c r="AI2635" s="16">
        <v>45974</v>
      </c>
      <c r="AJ2635" s="16">
        <v>45980</v>
      </c>
      <c r="AK2635" s="17">
        <f>IF(AJ2635="","",AJ2635-AH2635)</f>
        <v>9</v>
      </c>
    </row>
    <row r="2636" spans="1:37">
      <c r="A2636" s="2" t="s">
        <v>3135</v>
      </c>
      <c r="B2636" s="2" t="s">
        <v>2399</v>
      </c>
      <c r="C2636" s="2" t="s">
        <v>120</v>
      </c>
      <c r="D2636" s="2" t="s">
        <v>118</v>
      </c>
      <c r="E2636" s="2" t="s">
        <v>2400</v>
      </c>
      <c r="F2636" s="2" t="s">
        <v>311</v>
      </c>
      <c r="G2636" s="2" t="s">
        <v>3136</v>
      </c>
      <c r="H2636" s="2" t="s">
        <v>448</v>
      </c>
      <c r="I2636" s="2" t="s">
        <v>1251</v>
      </c>
      <c r="J2636" s="2" t="s">
        <v>750</v>
      </c>
      <c r="K2636" s="9">
        <v>45963</v>
      </c>
      <c r="L2636" s="9">
        <v>45968</v>
      </c>
      <c r="M2636" s="9">
        <v>45963</v>
      </c>
      <c r="N2636" s="2" t="s">
        <v>3124</v>
      </c>
      <c r="O2636" s="2" t="s">
        <v>52</v>
      </c>
      <c r="P2636" s="2" t="s">
        <v>1252</v>
      </c>
      <c r="Q2636" s="2" t="s">
        <v>127</v>
      </c>
      <c r="R2636" s="2" t="s">
        <v>149</v>
      </c>
      <c r="S2636" s="2" t="s">
        <v>198</v>
      </c>
      <c r="T2636" s="10">
        <v>1067.72</v>
      </c>
      <c r="U2636" s="11">
        <v>1.085</v>
      </c>
      <c r="V2636" s="12">
        <f>T2636*U2636</f>
        <v>1158.4762000000001</v>
      </c>
      <c r="W2636" s="13">
        <v>0</v>
      </c>
      <c r="X2636" s="12">
        <f>V2636-(V2636/(1+W2636))</f>
        <v>0</v>
      </c>
      <c r="Y2636" s="12">
        <f>V2636-X2636</f>
        <v>1158.4762000000001</v>
      </c>
      <c r="Z2636" s="14">
        <v>1400</v>
      </c>
      <c r="AA2636" s="2" t="str">
        <f>IF(V2636&gt;Z2636,"Yes","No")</f>
        <v>No</v>
      </c>
      <c r="AB2636" s="12">
        <f>V2636-Z2636</f>
        <v>-241.52379999999994</v>
      </c>
      <c r="AC2636" s="15" t="s">
        <v>130</v>
      </c>
      <c r="AD2636" s="15" t="s">
        <v>131</v>
      </c>
      <c r="AE2636" s="15" t="s">
        <v>858</v>
      </c>
      <c r="AF2636" s="12">
        <f>IF(AG2636="Rejected",0,IF(R2636="Corporate Card",0,V2636))</f>
        <v>1158.4762000000001</v>
      </c>
      <c r="AG2636" s="15" t="s">
        <v>133</v>
      </c>
      <c r="AH2636" s="16">
        <v>45976</v>
      </c>
      <c r="AI2636" s="16">
        <v>45984</v>
      </c>
      <c r="AJ2636" s="16">
        <v>45987</v>
      </c>
      <c r="AK2636" s="17">
        <f>IF(AJ2636="","",AJ2636-AH2636)</f>
        <v>11</v>
      </c>
    </row>
    <row r="2637" spans="1:37">
      <c r="A2637" s="2" t="s">
        <v>3137</v>
      </c>
      <c r="B2637" s="2" t="s">
        <v>2399</v>
      </c>
      <c r="C2637" s="2" t="s">
        <v>120</v>
      </c>
      <c r="D2637" s="2" t="s">
        <v>118</v>
      </c>
      <c r="E2637" s="2" t="s">
        <v>2400</v>
      </c>
      <c r="F2637" s="2" t="s">
        <v>311</v>
      </c>
      <c r="G2637" s="2" t="s">
        <v>3136</v>
      </c>
      <c r="H2637" s="2" t="s">
        <v>448</v>
      </c>
      <c r="I2637" s="2" t="s">
        <v>1251</v>
      </c>
      <c r="J2637" s="2" t="s">
        <v>750</v>
      </c>
      <c r="K2637" s="9">
        <v>45963</v>
      </c>
      <c r="L2637" s="9">
        <v>45968</v>
      </c>
      <c r="M2637" s="9">
        <v>45963</v>
      </c>
      <c r="N2637" s="2" t="s">
        <v>3124</v>
      </c>
      <c r="O2637" s="2" t="s">
        <v>64</v>
      </c>
      <c r="P2637" s="2" t="s">
        <v>135</v>
      </c>
      <c r="Q2637" s="2" t="s">
        <v>420</v>
      </c>
      <c r="R2637" s="2" t="s">
        <v>149</v>
      </c>
      <c r="S2637" s="2" t="s">
        <v>198</v>
      </c>
      <c r="T2637" s="10">
        <v>81.05</v>
      </c>
      <c r="U2637" s="11">
        <v>1.085</v>
      </c>
      <c r="V2637" s="12">
        <f>T2637*U2637</f>
        <v>87.939249999999987</v>
      </c>
      <c r="W2637" s="13">
        <v>0</v>
      </c>
      <c r="X2637" s="12">
        <f>V2637-(V2637/(1+W2637))</f>
        <v>0</v>
      </c>
      <c r="Y2637" s="12">
        <f>V2637-X2637</f>
        <v>87.939249999999987</v>
      </c>
      <c r="Z2637" s="14">
        <v>120</v>
      </c>
      <c r="AA2637" s="2" t="str">
        <f>IF(V2637&gt;Z2637,"Yes","No")</f>
        <v>No</v>
      </c>
      <c r="AB2637" s="12">
        <f>V2637-Z2637</f>
        <v>-32.060750000000013</v>
      </c>
      <c r="AC2637" s="15" t="s">
        <v>130</v>
      </c>
      <c r="AD2637" s="15" t="s">
        <v>131</v>
      </c>
      <c r="AE2637" s="15" t="s">
        <v>858</v>
      </c>
      <c r="AF2637" s="12">
        <f>IF(AG2637="Rejected",0,IF(R2637="Corporate Card",0,V2637))</f>
        <v>87.939249999999987</v>
      </c>
      <c r="AG2637" s="15" t="s">
        <v>133</v>
      </c>
      <c r="AH2637" s="16">
        <v>45976</v>
      </c>
      <c r="AI2637" s="16">
        <v>45984</v>
      </c>
      <c r="AJ2637" s="16">
        <v>45987</v>
      </c>
      <c r="AK2637" s="17">
        <f>IF(AJ2637="","",AJ2637-AH2637)</f>
        <v>11</v>
      </c>
    </row>
    <row r="2638" spans="1:37">
      <c r="A2638" s="2" t="s">
        <v>3138</v>
      </c>
      <c r="B2638" s="2" t="s">
        <v>2399</v>
      </c>
      <c r="C2638" s="2" t="s">
        <v>120</v>
      </c>
      <c r="D2638" s="2" t="s">
        <v>118</v>
      </c>
      <c r="E2638" s="2" t="s">
        <v>2400</v>
      </c>
      <c r="F2638" s="2" t="s">
        <v>311</v>
      </c>
      <c r="G2638" s="2" t="s">
        <v>3136</v>
      </c>
      <c r="H2638" s="2" t="s">
        <v>448</v>
      </c>
      <c r="I2638" s="2" t="s">
        <v>1251</v>
      </c>
      <c r="J2638" s="2" t="s">
        <v>750</v>
      </c>
      <c r="K2638" s="9">
        <v>45963</v>
      </c>
      <c r="L2638" s="9">
        <v>45968</v>
      </c>
      <c r="M2638" s="9">
        <v>45963</v>
      </c>
      <c r="N2638" s="2" t="s">
        <v>3124</v>
      </c>
      <c r="O2638" s="2" t="s">
        <v>54</v>
      </c>
      <c r="P2638" s="2" t="s">
        <v>139</v>
      </c>
      <c r="Q2638" s="2" t="s">
        <v>163</v>
      </c>
      <c r="R2638" s="2" t="s">
        <v>137</v>
      </c>
      <c r="S2638" s="2" t="s">
        <v>198</v>
      </c>
      <c r="T2638" s="10">
        <v>22.24</v>
      </c>
      <c r="U2638" s="11">
        <v>1.085</v>
      </c>
      <c r="V2638" s="12">
        <f>T2638*U2638</f>
        <v>24.130399999999998</v>
      </c>
      <c r="W2638" s="13">
        <v>0.19</v>
      </c>
      <c r="X2638" s="12">
        <f>V2638-(V2638/(1+W2638))</f>
        <v>3.8527529411764689</v>
      </c>
      <c r="Y2638" s="12">
        <f>V2638-X2638</f>
        <v>20.277647058823529</v>
      </c>
      <c r="Z2638" s="14">
        <v>25</v>
      </c>
      <c r="AA2638" s="2" t="str">
        <f>IF(V2638&gt;Z2638,"Yes","No")</f>
        <v>No</v>
      </c>
      <c r="AB2638" s="12">
        <f>V2638-Z2638</f>
        <v>-0.86960000000000193</v>
      </c>
      <c r="AC2638" s="15" t="s">
        <v>130</v>
      </c>
      <c r="AD2638" s="15" t="s">
        <v>131</v>
      </c>
      <c r="AE2638" s="15" t="s">
        <v>858</v>
      </c>
      <c r="AF2638" s="12">
        <f>IF(AG2638="Rejected",0,IF(R2638="Corporate Card",0,V2638))</f>
        <v>24.130399999999998</v>
      </c>
      <c r="AG2638" s="15" t="s">
        <v>133</v>
      </c>
      <c r="AH2638" s="16">
        <v>45976</v>
      </c>
      <c r="AI2638" s="16">
        <v>45984</v>
      </c>
      <c r="AJ2638" s="16">
        <v>45987</v>
      </c>
      <c r="AK2638" s="17">
        <f>IF(AJ2638="","",AJ2638-AH2638)</f>
        <v>11</v>
      </c>
    </row>
    <row r="2639" spans="1:37">
      <c r="A2639" s="2" t="s">
        <v>3139</v>
      </c>
      <c r="B2639" s="2" t="s">
        <v>2399</v>
      </c>
      <c r="C2639" s="2" t="s">
        <v>120</v>
      </c>
      <c r="D2639" s="2" t="s">
        <v>118</v>
      </c>
      <c r="E2639" s="2" t="s">
        <v>2400</v>
      </c>
      <c r="F2639" s="2" t="s">
        <v>311</v>
      </c>
      <c r="G2639" s="2" t="s">
        <v>3136</v>
      </c>
      <c r="H2639" s="2" t="s">
        <v>448</v>
      </c>
      <c r="I2639" s="2" t="s">
        <v>1251</v>
      </c>
      <c r="J2639" s="2" t="s">
        <v>750</v>
      </c>
      <c r="K2639" s="9">
        <v>45963</v>
      </c>
      <c r="L2639" s="9">
        <v>45968</v>
      </c>
      <c r="M2639" s="9">
        <v>45963</v>
      </c>
      <c r="N2639" s="2" t="s">
        <v>3124</v>
      </c>
      <c r="O2639" s="2" t="s">
        <v>56</v>
      </c>
      <c r="P2639" s="2" t="s">
        <v>165</v>
      </c>
      <c r="Q2639" s="2" t="s">
        <v>166</v>
      </c>
      <c r="R2639" s="2" t="s">
        <v>128</v>
      </c>
      <c r="S2639" s="2" t="s">
        <v>198</v>
      </c>
      <c r="T2639" s="10">
        <v>93.98</v>
      </c>
      <c r="U2639" s="11">
        <v>1.085</v>
      </c>
      <c r="V2639" s="12">
        <f>T2639*U2639</f>
        <v>101.9683</v>
      </c>
      <c r="W2639" s="13">
        <v>0.19</v>
      </c>
      <c r="X2639" s="12">
        <f>V2639-(V2639/(1+W2639))</f>
        <v>16.28065294117647</v>
      </c>
      <c r="Y2639" s="12">
        <f>V2639-X2639</f>
        <v>85.687647058823529</v>
      </c>
      <c r="Z2639" s="14">
        <v>75</v>
      </c>
      <c r="AA2639" s="2" t="str">
        <f>IF(V2639&gt;Z2639,"Yes","No")</f>
        <v>Yes</v>
      </c>
      <c r="AB2639" s="12">
        <f>V2639-Z2639</f>
        <v>26.968299999999999</v>
      </c>
      <c r="AC2639" s="15" t="s">
        <v>130</v>
      </c>
      <c r="AD2639" s="15" t="s">
        <v>131</v>
      </c>
      <c r="AE2639" s="15" t="s">
        <v>858</v>
      </c>
      <c r="AF2639" s="12">
        <f>IF(AG2639="Rejected",0,IF(R2639="Corporate Card",0,V2639))</f>
        <v>0</v>
      </c>
      <c r="AG2639" s="15" t="s">
        <v>133</v>
      </c>
      <c r="AH2639" s="16">
        <v>45976</v>
      </c>
      <c r="AI2639" s="16">
        <v>45984</v>
      </c>
      <c r="AJ2639" s="16">
        <v>45987</v>
      </c>
      <c r="AK2639" s="17">
        <f>IF(AJ2639="","",AJ2639-AH2639)</f>
        <v>11</v>
      </c>
    </row>
    <row r="2640" spans="1:37">
      <c r="A2640" s="2" t="s">
        <v>3140</v>
      </c>
      <c r="B2640" s="2" t="s">
        <v>2399</v>
      </c>
      <c r="C2640" s="2" t="s">
        <v>120</v>
      </c>
      <c r="D2640" s="2" t="s">
        <v>118</v>
      </c>
      <c r="E2640" s="2" t="s">
        <v>2400</v>
      </c>
      <c r="F2640" s="2" t="s">
        <v>311</v>
      </c>
      <c r="G2640" s="2" t="s">
        <v>3136</v>
      </c>
      <c r="H2640" s="2" t="s">
        <v>448</v>
      </c>
      <c r="I2640" s="2" t="s">
        <v>1251</v>
      </c>
      <c r="J2640" s="2" t="s">
        <v>750</v>
      </c>
      <c r="K2640" s="9">
        <v>45963</v>
      </c>
      <c r="L2640" s="9">
        <v>45968</v>
      </c>
      <c r="M2640" s="9">
        <v>45963</v>
      </c>
      <c r="N2640" s="2" t="s">
        <v>3124</v>
      </c>
      <c r="O2640" s="2" t="s">
        <v>55</v>
      </c>
      <c r="P2640" s="2" t="s">
        <v>139</v>
      </c>
      <c r="Q2640" s="2" t="s">
        <v>187</v>
      </c>
      <c r="R2640" s="2" t="s">
        <v>149</v>
      </c>
      <c r="S2640" s="2" t="s">
        <v>198</v>
      </c>
      <c r="T2640" s="10">
        <v>16.28</v>
      </c>
      <c r="U2640" s="11">
        <v>1.085</v>
      </c>
      <c r="V2640" s="12">
        <f>T2640*U2640</f>
        <v>17.663800000000002</v>
      </c>
      <c r="W2640" s="13">
        <v>0.19</v>
      </c>
      <c r="X2640" s="12">
        <f>V2640-(V2640/(1+W2640))</f>
        <v>2.8202705882352941</v>
      </c>
      <c r="Y2640" s="12">
        <f>V2640-X2640</f>
        <v>14.843529411764708</v>
      </c>
      <c r="Z2640" s="14">
        <v>35</v>
      </c>
      <c r="AA2640" s="2" t="str">
        <f>IF(V2640&gt;Z2640,"Yes","No")</f>
        <v>No</v>
      </c>
      <c r="AB2640" s="12">
        <f>V2640-Z2640</f>
        <v>-17.336199999999998</v>
      </c>
      <c r="AC2640" s="15" t="s">
        <v>130</v>
      </c>
      <c r="AD2640" s="15" t="s">
        <v>131</v>
      </c>
      <c r="AE2640" s="15" t="s">
        <v>858</v>
      </c>
      <c r="AF2640" s="12">
        <f>IF(AG2640="Rejected",0,IF(R2640="Corporate Card",0,V2640))</f>
        <v>17.663800000000002</v>
      </c>
      <c r="AG2640" s="15" t="s">
        <v>133</v>
      </c>
      <c r="AH2640" s="16">
        <v>45976</v>
      </c>
      <c r="AI2640" s="16">
        <v>45984</v>
      </c>
      <c r="AJ2640" s="16">
        <v>45987</v>
      </c>
      <c r="AK2640" s="17">
        <f>IF(AJ2640="","",AJ2640-AH2640)</f>
        <v>11</v>
      </c>
    </row>
    <row r="2641" spans="1:37">
      <c r="A2641" s="2" t="s">
        <v>3141</v>
      </c>
      <c r="B2641" s="2" t="s">
        <v>1235</v>
      </c>
      <c r="C2641" s="2" t="s">
        <v>867</v>
      </c>
      <c r="D2641" s="2" t="s">
        <v>865</v>
      </c>
      <c r="E2641" s="2" t="s">
        <v>1236</v>
      </c>
      <c r="F2641" s="2" t="s">
        <v>313</v>
      </c>
      <c r="G2641" s="2" t="s">
        <v>3100</v>
      </c>
      <c r="H2641" s="2" t="s">
        <v>379</v>
      </c>
      <c r="I2641" s="2" t="s">
        <v>194</v>
      </c>
      <c r="J2641" s="2" t="s">
        <v>195</v>
      </c>
      <c r="K2641" s="9">
        <v>45960</v>
      </c>
      <c r="L2641" s="9">
        <v>45967</v>
      </c>
      <c r="M2641" s="9">
        <v>45964</v>
      </c>
      <c r="N2641" s="2" t="s">
        <v>3124</v>
      </c>
      <c r="O2641" s="2" t="s">
        <v>54</v>
      </c>
      <c r="P2641" s="2" t="s">
        <v>139</v>
      </c>
      <c r="Q2641" s="2" t="s">
        <v>148</v>
      </c>
      <c r="R2641" s="2" t="s">
        <v>128</v>
      </c>
      <c r="S2641" s="2" t="s">
        <v>198</v>
      </c>
      <c r="T2641" s="10">
        <v>18.84</v>
      </c>
      <c r="U2641" s="11">
        <v>1.085</v>
      </c>
      <c r="V2641" s="12">
        <f>T2641*U2641</f>
        <v>20.441399999999998</v>
      </c>
      <c r="W2641" s="13">
        <v>0.19</v>
      </c>
      <c r="X2641" s="12">
        <f>V2641-(V2641/(1+W2641))</f>
        <v>3.2637529411764703</v>
      </c>
      <c r="Y2641" s="12">
        <f>V2641-X2641</f>
        <v>17.177647058823528</v>
      </c>
      <c r="Z2641" s="14">
        <v>25</v>
      </c>
      <c r="AA2641" s="2" t="str">
        <f>IF(V2641&gt;Z2641,"Yes","No")</f>
        <v>No</v>
      </c>
      <c r="AB2641" s="12">
        <f>V2641-Z2641</f>
        <v>-4.558600000000002</v>
      </c>
      <c r="AC2641" s="15" t="s">
        <v>130</v>
      </c>
      <c r="AD2641" s="15" t="s">
        <v>130</v>
      </c>
      <c r="AE2641" s="15" t="s">
        <v>260</v>
      </c>
      <c r="AF2641" s="12">
        <f>IF(AG2641="Rejected",0,IF(R2641="Corporate Card",0,V2641))</f>
        <v>0</v>
      </c>
      <c r="AG2641" s="15" t="s">
        <v>133</v>
      </c>
      <c r="AH2641" s="16">
        <v>45971</v>
      </c>
      <c r="AI2641" s="16">
        <v>45974</v>
      </c>
      <c r="AJ2641" s="16">
        <v>45980</v>
      </c>
      <c r="AK2641" s="17">
        <f>IF(AJ2641="","",AJ2641-AH2641)</f>
        <v>9</v>
      </c>
    </row>
    <row r="2642" spans="1:37">
      <c r="A2642" s="2" t="s">
        <v>3142</v>
      </c>
      <c r="B2642" s="2" t="s">
        <v>1235</v>
      </c>
      <c r="C2642" s="2" t="s">
        <v>867</v>
      </c>
      <c r="D2642" s="2" t="s">
        <v>865</v>
      </c>
      <c r="E2642" s="2" t="s">
        <v>1236</v>
      </c>
      <c r="F2642" s="2" t="s">
        <v>313</v>
      </c>
      <c r="G2642" s="2" t="s">
        <v>3100</v>
      </c>
      <c r="H2642" s="2" t="s">
        <v>379</v>
      </c>
      <c r="I2642" s="2" t="s">
        <v>194</v>
      </c>
      <c r="J2642" s="2" t="s">
        <v>195</v>
      </c>
      <c r="K2642" s="9">
        <v>45960</v>
      </c>
      <c r="L2642" s="9">
        <v>45967</v>
      </c>
      <c r="M2642" s="9">
        <v>45964</v>
      </c>
      <c r="N2642" s="2" t="s">
        <v>3124</v>
      </c>
      <c r="O2642" s="2" t="s">
        <v>56</v>
      </c>
      <c r="P2642" s="2" t="s">
        <v>231</v>
      </c>
      <c r="Q2642" s="2" t="s">
        <v>185</v>
      </c>
      <c r="R2642" s="2" t="s">
        <v>128</v>
      </c>
      <c r="S2642" s="2" t="s">
        <v>198</v>
      </c>
      <c r="T2642" s="10">
        <v>60.44</v>
      </c>
      <c r="U2642" s="11">
        <v>1.085</v>
      </c>
      <c r="V2642" s="12">
        <f>T2642*U2642</f>
        <v>65.577399999999997</v>
      </c>
      <c r="W2642" s="13">
        <v>0.19</v>
      </c>
      <c r="X2642" s="12">
        <f>V2642-(V2642/(1+W2642))</f>
        <v>10.470341176470583</v>
      </c>
      <c r="Y2642" s="12">
        <f>V2642-X2642</f>
        <v>55.107058823529414</v>
      </c>
      <c r="Z2642" s="14">
        <v>75</v>
      </c>
      <c r="AA2642" s="2" t="str">
        <f>IF(V2642&gt;Z2642,"Yes","No")</f>
        <v>No</v>
      </c>
      <c r="AB2642" s="12">
        <f>V2642-Z2642</f>
        <v>-9.4226000000000028</v>
      </c>
      <c r="AC2642" s="15" t="s">
        <v>130</v>
      </c>
      <c r="AD2642" s="15" t="s">
        <v>130</v>
      </c>
      <c r="AE2642" s="15" t="s">
        <v>260</v>
      </c>
      <c r="AF2642" s="12">
        <f>IF(AG2642="Rejected",0,IF(R2642="Corporate Card",0,V2642))</f>
        <v>0</v>
      </c>
      <c r="AG2642" s="15" t="s">
        <v>133</v>
      </c>
      <c r="AH2642" s="16">
        <v>45971</v>
      </c>
      <c r="AI2642" s="16">
        <v>45974</v>
      </c>
      <c r="AJ2642" s="16">
        <v>45980</v>
      </c>
      <c r="AK2642" s="17">
        <f>IF(AJ2642="","",AJ2642-AH2642)</f>
        <v>9</v>
      </c>
    </row>
    <row r="2643" spans="1:37">
      <c r="A2643" s="2" t="s">
        <v>3143</v>
      </c>
      <c r="B2643" s="2" t="s">
        <v>1235</v>
      </c>
      <c r="C2643" s="2" t="s">
        <v>867</v>
      </c>
      <c r="D2643" s="2" t="s">
        <v>865</v>
      </c>
      <c r="E2643" s="2" t="s">
        <v>1236</v>
      </c>
      <c r="F2643" s="2" t="s">
        <v>313</v>
      </c>
      <c r="G2643" s="2" t="s">
        <v>3100</v>
      </c>
      <c r="H2643" s="2" t="s">
        <v>379</v>
      </c>
      <c r="I2643" s="2" t="s">
        <v>194</v>
      </c>
      <c r="J2643" s="2" t="s">
        <v>195</v>
      </c>
      <c r="K2643" s="9">
        <v>45960</v>
      </c>
      <c r="L2643" s="9">
        <v>45967</v>
      </c>
      <c r="M2643" s="9">
        <v>45964</v>
      </c>
      <c r="N2643" s="2" t="s">
        <v>3124</v>
      </c>
      <c r="O2643" s="2" t="s">
        <v>55</v>
      </c>
      <c r="P2643" s="2" t="s">
        <v>139</v>
      </c>
      <c r="Q2643" s="2" t="s">
        <v>217</v>
      </c>
      <c r="R2643" s="2" t="s">
        <v>137</v>
      </c>
      <c r="S2643" s="2" t="s">
        <v>198</v>
      </c>
      <c r="T2643" s="10">
        <v>18.079999999999998</v>
      </c>
      <c r="U2643" s="11">
        <v>1.085</v>
      </c>
      <c r="V2643" s="12">
        <f>T2643*U2643</f>
        <v>19.616799999999998</v>
      </c>
      <c r="W2643" s="13">
        <v>0.19</v>
      </c>
      <c r="X2643" s="12">
        <f>V2643-(V2643/(1+W2643))</f>
        <v>3.1320941176470569</v>
      </c>
      <c r="Y2643" s="12">
        <f>V2643-X2643</f>
        <v>16.484705882352941</v>
      </c>
      <c r="Z2643" s="14">
        <v>35</v>
      </c>
      <c r="AA2643" s="2" t="str">
        <f>IF(V2643&gt;Z2643,"Yes","No")</f>
        <v>No</v>
      </c>
      <c r="AB2643" s="12">
        <f>V2643-Z2643</f>
        <v>-15.383200000000002</v>
      </c>
      <c r="AC2643" s="15" t="s">
        <v>130</v>
      </c>
      <c r="AD2643" s="15" t="s">
        <v>130</v>
      </c>
      <c r="AE2643" s="15" t="s">
        <v>260</v>
      </c>
      <c r="AF2643" s="12">
        <f>IF(AG2643="Rejected",0,IF(R2643="Corporate Card",0,V2643))</f>
        <v>19.616799999999998</v>
      </c>
      <c r="AG2643" s="15" t="s">
        <v>133</v>
      </c>
      <c r="AH2643" s="16">
        <v>45971</v>
      </c>
      <c r="AI2643" s="16">
        <v>45974</v>
      </c>
      <c r="AJ2643" s="16">
        <v>45980</v>
      </c>
      <c r="AK2643" s="17">
        <f>IF(AJ2643="","",AJ2643-AH2643)</f>
        <v>9</v>
      </c>
    </row>
    <row r="2644" spans="1:37">
      <c r="A2644" s="2" t="s">
        <v>3144</v>
      </c>
      <c r="B2644" s="2" t="s">
        <v>2399</v>
      </c>
      <c r="C2644" s="2" t="s">
        <v>120</v>
      </c>
      <c r="D2644" s="2" t="s">
        <v>118</v>
      </c>
      <c r="E2644" s="2" t="s">
        <v>2400</v>
      </c>
      <c r="F2644" s="2" t="s">
        <v>311</v>
      </c>
      <c r="G2644" s="2" t="s">
        <v>3136</v>
      </c>
      <c r="H2644" s="2" t="s">
        <v>448</v>
      </c>
      <c r="I2644" s="2" t="s">
        <v>1251</v>
      </c>
      <c r="J2644" s="2" t="s">
        <v>750</v>
      </c>
      <c r="K2644" s="9">
        <v>45963</v>
      </c>
      <c r="L2644" s="9">
        <v>45968</v>
      </c>
      <c r="M2644" s="9">
        <v>45964</v>
      </c>
      <c r="N2644" s="2" t="s">
        <v>3124</v>
      </c>
      <c r="O2644" s="2" t="s">
        <v>58</v>
      </c>
      <c r="P2644" s="2" t="s">
        <v>142</v>
      </c>
      <c r="Q2644" s="2" t="s">
        <v>224</v>
      </c>
      <c r="R2644" s="2" t="s">
        <v>137</v>
      </c>
      <c r="S2644" s="2" t="s">
        <v>198</v>
      </c>
      <c r="T2644" s="10">
        <v>28.55</v>
      </c>
      <c r="U2644" s="11">
        <v>1.085</v>
      </c>
      <c r="V2644" s="12">
        <f>T2644*U2644</f>
        <v>30.976749999999999</v>
      </c>
      <c r="W2644" s="13">
        <v>0.19</v>
      </c>
      <c r="X2644" s="12">
        <f>V2644-(V2644/(1+W2644))</f>
        <v>4.9458676470588223</v>
      </c>
      <c r="Y2644" s="12">
        <f>V2644-X2644</f>
        <v>26.030882352941177</v>
      </c>
      <c r="Z2644" s="14">
        <v>60</v>
      </c>
      <c r="AA2644" s="2" t="str">
        <f>IF(V2644&gt;Z2644,"Yes","No")</f>
        <v>No</v>
      </c>
      <c r="AB2644" s="12">
        <f>V2644-Z2644</f>
        <v>-29.023250000000001</v>
      </c>
      <c r="AC2644" s="15" t="s">
        <v>130</v>
      </c>
      <c r="AD2644" s="15" t="s">
        <v>131</v>
      </c>
      <c r="AE2644" s="15" t="s">
        <v>858</v>
      </c>
      <c r="AF2644" s="12">
        <f>IF(AG2644="Rejected",0,IF(R2644="Corporate Card",0,V2644))</f>
        <v>30.976749999999999</v>
      </c>
      <c r="AG2644" s="15" t="s">
        <v>133</v>
      </c>
      <c r="AH2644" s="16">
        <v>45976</v>
      </c>
      <c r="AI2644" s="16">
        <v>45984</v>
      </c>
      <c r="AJ2644" s="16">
        <v>45987</v>
      </c>
      <c r="AK2644" s="17">
        <f>IF(AJ2644="","",AJ2644-AH2644)</f>
        <v>11</v>
      </c>
    </row>
    <row r="2645" spans="1:37">
      <c r="A2645" s="2" t="s">
        <v>3145</v>
      </c>
      <c r="B2645" s="2" t="s">
        <v>2399</v>
      </c>
      <c r="C2645" s="2" t="s">
        <v>120</v>
      </c>
      <c r="D2645" s="2" t="s">
        <v>118</v>
      </c>
      <c r="E2645" s="2" t="s">
        <v>2400</v>
      </c>
      <c r="F2645" s="2" t="s">
        <v>311</v>
      </c>
      <c r="G2645" s="2" t="s">
        <v>3136</v>
      </c>
      <c r="H2645" s="2" t="s">
        <v>448</v>
      </c>
      <c r="I2645" s="2" t="s">
        <v>1251</v>
      </c>
      <c r="J2645" s="2" t="s">
        <v>750</v>
      </c>
      <c r="K2645" s="9">
        <v>45963</v>
      </c>
      <c r="L2645" s="9">
        <v>45968</v>
      </c>
      <c r="M2645" s="9">
        <v>45964</v>
      </c>
      <c r="N2645" s="2" t="s">
        <v>3124</v>
      </c>
      <c r="O2645" s="2" t="s">
        <v>53</v>
      </c>
      <c r="P2645" s="2" t="s">
        <v>271</v>
      </c>
      <c r="Q2645" s="2" t="s">
        <v>146</v>
      </c>
      <c r="R2645" s="2" t="s">
        <v>137</v>
      </c>
      <c r="S2645" s="2" t="s">
        <v>198</v>
      </c>
      <c r="T2645" s="10">
        <v>861.78</v>
      </c>
      <c r="U2645" s="11">
        <v>1.085</v>
      </c>
      <c r="V2645" s="12">
        <f>T2645*U2645</f>
        <v>935.03129999999999</v>
      </c>
      <c r="W2645" s="13">
        <v>0.19</v>
      </c>
      <c r="X2645" s="12">
        <f>V2645-(V2645/(1+W2645))</f>
        <v>149.29071176470586</v>
      </c>
      <c r="Y2645" s="12">
        <f>V2645-X2645</f>
        <v>785.74058823529413</v>
      </c>
      <c r="Z2645" s="14">
        <v>1400</v>
      </c>
      <c r="AA2645" s="2" t="str">
        <f>IF(V2645&gt;Z2645,"Yes","No")</f>
        <v>No</v>
      </c>
      <c r="AB2645" s="12">
        <f>V2645-Z2645</f>
        <v>-464.96870000000001</v>
      </c>
      <c r="AC2645" s="15" t="s">
        <v>130</v>
      </c>
      <c r="AD2645" s="15" t="s">
        <v>131</v>
      </c>
      <c r="AE2645" s="15" t="s">
        <v>858</v>
      </c>
      <c r="AF2645" s="12">
        <f>IF(AG2645="Rejected",0,IF(R2645="Corporate Card",0,V2645))</f>
        <v>935.03129999999999</v>
      </c>
      <c r="AG2645" s="15" t="s">
        <v>133</v>
      </c>
      <c r="AH2645" s="16">
        <v>45976</v>
      </c>
      <c r="AI2645" s="16">
        <v>45984</v>
      </c>
      <c r="AJ2645" s="16">
        <v>45987</v>
      </c>
      <c r="AK2645" s="17">
        <f>IF(AJ2645="","",AJ2645-AH2645)</f>
        <v>11</v>
      </c>
    </row>
    <row r="2646" spans="1:37">
      <c r="A2646" s="2" t="s">
        <v>3146</v>
      </c>
      <c r="B2646" s="2" t="s">
        <v>2399</v>
      </c>
      <c r="C2646" s="2" t="s">
        <v>120</v>
      </c>
      <c r="D2646" s="2" t="s">
        <v>118</v>
      </c>
      <c r="E2646" s="2" t="s">
        <v>2400</v>
      </c>
      <c r="F2646" s="2" t="s">
        <v>311</v>
      </c>
      <c r="G2646" s="2" t="s">
        <v>3136</v>
      </c>
      <c r="H2646" s="2" t="s">
        <v>448</v>
      </c>
      <c r="I2646" s="2" t="s">
        <v>1251</v>
      </c>
      <c r="J2646" s="2" t="s">
        <v>750</v>
      </c>
      <c r="K2646" s="9">
        <v>45963</v>
      </c>
      <c r="L2646" s="9">
        <v>45968</v>
      </c>
      <c r="M2646" s="9">
        <v>45964</v>
      </c>
      <c r="N2646" s="2" t="s">
        <v>3124</v>
      </c>
      <c r="O2646" s="2" t="s">
        <v>65</v>
      </c>
      <c r="P2646" s="2" t="s">
        <v>211</v>
      </c>
      <c r="Q2646" s="2" t="s">
        <v>212</v>
      </c>
      <c r="R2646" s="2" t="s">
        <v>128</v>
      </c>
      <c r="S2646" s="2" t="s">
        <v>198</v>
      </c>
      <c r="T2646" s="10">
        <v>27.12</v>
      </c>
      <c r="U2646" s="11">
        <v>1.085</v>
      </c>
      <c r="V2646" s="12">
        <f>T2646*U2646</f>
        <v>29.4252</v>
      </c>
      <c r="W2646" s="13">
        <v>0.19</v>
      </c>
      <c r="X2646" s="12">
        <f>V2646-(V2646/(1+W2646))</f>
        <v>4.6981411764705889</v>
      </c>
      <c r="Y2646" s="12">
        <f>V2646-X2646</f>
        <v>24.727058823529411</v>
      </c>
      <c r="Z2646" s="14">
        <v>55</v>
      </c>
      <c r="AA2646" s="2" t="str">
        <f>IF(V2646&gt;Z2646,"Yes","No")</f>
        <v>No</v>
      </c>
      <c r="AB2646" s="12">
        <f>V2646-Z2646</f>
        <v>-25.5748</v>
      </c>
      <c r="AC2646" s="15" t="s">
        <v>130</v>
      </c>
      <c r="AD2646" s="15" t="s">
        <v>131</v>
      </c>
      <c r="AE2646" s="15" t="s">
        <v>858</v>
      </c>
      <c r="AF2646" s="12">
        <f>IF(AG2646="Rejected",0,IF(R2646="Corporate Card",0,V2646))</f>
        <v>0</v>
      </c>
      <c r="AG2646" s="15" t="s">
        <v>133</v>
      </c>
      <c r="AH2646" s="16">
        <v>45976</v>
      </c>
      <c r="AI2646" s="16">
        <v>45984</v>
      </c>
      <c r="AJ2646" s="16">
        <v>45987</v>
      </c>
      <c r="AK2646" s="17">
        <f>IF(AJ2646="","",AJ2646-AH2646)</f>
        <v>11</v>
      </c>
    </row>
    <row r="2647" spans="1:37">
      <c r="A2647" s="2" t="s">
        <v>3147</v>
      </c>
      <c r="B2647" s="2" t="s">
        <v>2399</v>
      </c>
      <c r="C2647" s="2" t="s">
        <v>120</v>
      </c>
      <c r="D2647" s="2" t="s">
        <v>118</v>
      </c>
      <c r="E2647" s="2" t="s">
        <v>2400</v>
      </c>
      <c r="F2647" s="2" t="s">
        <v>311</v>
      </c>
      <c r="G2647" s="2" t="s">
        <v>3136</v>
      </c>
      <c r="H2647" s="2" t="s">
        <v>448</v>
      </c>
      <c r="I2647" s="2" t="s">
        <v>1251</v>
      </c>
      <c r="J2647" s="2" t="s">
        <v>750</v>
      </c>
      <c r="K2647" s="9">
        <v>45963</v>
      </c>
      <c r="L2647" s="9">
        <v>45968</v>
      </c>
      <c r="M2647" s="9">
        <v>45964</v>
      </c>
      <c r="N2647" s="2" t="s">
        <v>3124</v>
      </c>
      <c r="O2647" s="2" t="s">
        <v>54</v>
      </c>
      <c r="P2647" s="2" t="s">
        <v>139</v>
      </c>
      <c r="Q2647" s="2" t="s">
        <v>140</v>
      </c>
      <c r="R2647" s="2" t="s">
        <v>137</v>
      </c>
      <c r="S2647" s="2" t="s">
        <v>198</v>
      </c>
      <c r="T2647" s="10">
        <v>22.06</v>
      </c>
      <c r="U2647" s="11">
        <v>1.085</v>
      </c>
      <c r="V2647" s="12">
        <f>T2647*U2647</f>
        <v>23.935099999999998</v>
      </c>
      <c r="W2647" s="13">
        <v>0.19</v>
      </c>
      <c r="X2647" s="12">
        <f>V2647-(V2647/(1+W2647))</f>
        <v>3.8215705882352928</v>
      </c>
      <c r="Y2647" s="12">
        <f>V2647-X2647</f>
        <v>20.113529411764706</v>
      </c>
      <c r="Z2647" s="14">
        <v>25</v>
      </c>
      <c r="AA2647" s="2" t="str">
        <f>IF(V2647&gt;Z2647,"Yes","No")</f>
        <v>No</v>
      </c>
      <c r="AB2647" s="12">
        <f>V2647-Z2647</f>
        <v>-1.0649000000000015</v>
      </c>
      <c r="AC2647" s="15" t="s">
        <v>130</v>
      </c>
      <c r="AD2647" s="15" t="s">
        <v>131</v>
      </c>
      <c r="AE2647" s="15" t="s">
        <v>858</v>
      </c>
      <c r="AF2647" s="12">
        <f>IF(AG2647="Rejected",0,IF(R2647="Corporate Card",0,V2647))</f>
        <v>23.935099999999998</v>
      </c>
      <c r="AG2647" s="15" t="s">
        <v>133</v>
      </c>
      <c r="AH2647" s="16">
        <v>45976</v>
      </c>
      <c r="AI2647" s="16">
        <v>45984</v>
      </c>
      <c r="AJ2647" s="16">
        <v>45987</v>
      </c>
      <c r="AK2647" s="17">
        <f>IF(AJ2647="","",AJ2647-AH2647)</f>
        <v>11</v>
      </c>
    </row>
    <row r="2648" spans="1:37">
      <c r="A2648" s="2" t="s">
        <v>3148</v>
      </c>
      <c r="B2648" s="2" t="s">
        <v>2399</v>
      </c>
      <c r="C2648" s="2" t="s">
        <v>120</v>
      </c>
      <c r="D2648" s="2" t="s">
        <v>118</v>
      </c>
      <c r="E2648" s="2" t="s">
        <v>2400</v>
      </c>
      <c r="F2648" s="2" t="s">
        <v>311</v>
      </c>
      <c r="G2648" s="2" t="s">
        <v>3136</v>
      </c>
      <c r="H2648" s="2" t="s">
        <v>448</v>
      </c>
      <c r="I2648" s="2" t="s">
        <v>1251</v>
      </c>
      <c r="J2648" s="2" t="s">
        <v>750</v>
      </c>
      <c r="K2648" s="9">
        <v>45963</v>
      </c>
      <c r="L2648" s="9">
        <v>45968</v>
      </c>
      <c r="M2648" s="9">
        <v>45964</v>
      </c>
      <c r="N2648" s="2" t="s">
        <v>3124</v>
      </c>
      <c r="O2648" s="2" t="s">
        <v>56</v>
      </c>
      <c r="P2648" s="2" t="s">
        <v>151</v>
      </c>
      <c r="Q2648" s="2" t="s">
        <v>152</v>
      </c>
      <c r="R2648" s="2" t="s">
        <v>149</v>
      </c>
      <c r="S2648" s="2" t="s">
        <v>198</v>
      </c>
      <c r="T2648" s="10">
        <v>45.62</v>
      </c>
      <c r="U2648" s="11">
        <v>1.085</v>
      </c>
      <c r="V2648" s="12">
        <f>T2648*U2648</f>
        <v>49.497699999999995</v>
      </c>
      <c r="W2648" s="13">
        <v>0.19</v>
      </c>
      <c r="X2648" s="12">
        <f>V2648-(V2648/(1+W2648))</f>
        <v>7.9029941176470544</v>
      </c>
      <c r="Y2648" s="12">
        <f>V2648-X2648</f>
        <v>41.59470588235294</v>
      </c>
      <c r="Z2648" s="14">
        <v>75</v>
      </c>
      <c r="AA2648" s="2" t="str">
        <f>IF(V2648&gt;Z2648,"Yes","No")</f>
        <v>No</v>
      </c>
      <c r="AB2648" s="12">
        <f>V2648-Z2648</f>
        <v>-25.502300000000005</v>
      </c>
      <c r="AC2648" s="15" t="s">
        <v>130</v>
      </c>
      <c r="AD2648" s="15" t="s">
        <v>131</v>
      </c>
      <c r="AE2648" s="15" t="s">
        <v>858</v>
      </c>
      <c r="AF2648" s="12">
        <f>IF(AG2648="Rejected",0,IF(R2648="Corporate Card",0,V2648))</f>
        <v>49.497699999999995</v>
      </c>
      <c r="AG2648" s="15" t="s">
        <v>133</v>
      </c>
      <c r="AH2648" s="16">
        <v>45976</v>
      </c>
      <c r="AI2648" s="16">
        <v>45984</v>
      </c>
      <c r="AJ2648" s="16">
        <v>45987</v>
      </c>
      <c r="AK2648" s="17">
        <f>IF(AJ2648="","",AJ2648-AH2648)</f>
        <v>11</v>
      </c>
    </row>
    <row r="2649" spans="1:37">
      <c r="A2649" s="2" t="s">
        <v>3149</v>
      </c>
      <c r="B2649" s="2" t="s">
        <v>2399</v>
      </c>
      <c r="C2649" s="2" t="s">
        <v>120</v>
      </c>
      <c r="D2649" s="2" t="s">
        <v>118</v>
      </c>
      <c r="E2649" s="2" t="s">
        <v>2400</v>
      </c>
      <c r="F2649" s="2" t="s">
        <v>311</v>
      </c>
      <c r="G2649" s="2" t="s">
        <v>3136</v>
      </c>
      <c r="H2649" s="2" t="s">
        <v>448</v>
      </c>
      <c r="I2649" s="2" t="s">
        <v>1251</v>
      </c>
      <c r="J2649" s="2" t="s">
        <v>750</v>
      </c>
      <c r="K2649" s="9">
        <v>45963</v>
      </c>
      <c r="L2649" s="9">
        <v>45968</v>
      </c>
      <c r="M2649" s="9">
        <v>45964</v>
      </c>
      <c r="N2649" s="2" t="s">
        <v>3124</v>
      </c>
      <c r="O2649" s="2" t="s">
        <v>55</v>
      </c>
      <c r="P2649" s="2" t="s">
        <v>139</v>
      </c>
      <c r="Q2649" s="2" t="s">
        <v>161</v>
      </c>
      <c r="R2649" s="2" t="s">
        <v>128</v>
      </c>
      <c r="S2649" s="2" t="s">
        <v>198</v>
      </c>
      <c r="T2649" s="10">
        <v>17.36</v>
      </c>
      <c r="U2649" s="11">
        <v>1.085</v>
      </c>
      <c r="V2649" s="12">
        <f>T2649*U2649</f>
        <v>18.835599999999999</v>
      </c>
      <c r="W2649" s="13">
        <v>0.19</v>
      </c>
      <c r="X2649" s="12">
        <f>V2649-(V2649/(1+W2649))</f>
        <v>3.0073647058823525</v>
      </c>
      <c r="Y2649" s="12">
        <f>V2649-X2649</f>
        <v>15.828235294117647</v>
      </c>
      <c r="Z2649" s="14">
        <v>35</v>
      </c>
      <c r="AA2649" s="2" t="str">
        <f>IF(V2649&gt;Z2649,"Yes","No")</f>
        <v>No</v>
      </c>
      <c r="AB2649" s="12">
        <f>V2649-Z2649</f>
        <v>-16.164400000000001</v>
      </c>
      <c r="AC2649" s="15" t="s">
        <v>130</v>
      </c>
      <c r="AD2649" s="15" t="s">
        <v>131</v>
      </c>
      <c r="AE2649" s="15" t="s">
        <v>858</v>
      </c>
      <c r="AF2649" s="12">
        <f>IF(AG2649="Rejected",0,IF(R2649="Corporate Card",0,V2649))</f>
        <v>0</v>
      </c>
      <c r="AG2649" s="15" t="s">
        <v>133</v>
      </c>
      <c r="AH2649" s="16">
        <v>45976</v>
      </c>
      <c r="AI2649" s="16">
        <v>45984</v>
      </c>
      <c r="AJ2649" s="16">
        <v>45987</v>
      </c>
      <c r="AK2649" s="17">
        <f>IF(AJ2649="","",AJ2649-AH2649)</f>
        <v>11</v>
      </c>
    </row>
    <row r="2650" spans="1:37">
      <c r="A2650" s="2" t="s">
        <v>3150</v>
      </c>
      <c r="B2650" s="2" t="s">
        <v>1235</v>
      </c>
      <c r="C2650" s="2" t="s">
        <v>867</v>
      </c>
      <c r="D2650" s="2" t="s">
        <v>865</v>
      </c>
      <c r="E2650" s="2" t="s">
        <v>1236</v>
      </c>
      <c r="F2650" s="2" t="s">
        <v>313</v>
      </c>
      <c r="G2650" s="2" t="s">
        <v>3100</v>
      </c>
      <c r="H2650" s="2" t="s">
        <v>379</v>
      </c>
      <c r="I2650" s="2" t="s">
        <v>194</v>
      </c>
      <c r="J2650" s="2" t="s">
        <v>195</v>
      </c>
      <c r="K2650" s="9">
        <v>45960</v>
      </c>
      <c r="L2650" s="9">
        <v>45967</v>
      </c>
      <c r="M2650" s="9">
        <v>45965</v>
      </c>
      <c r="N2650" s="2" t="s">
        <v>3124</v>
      </c>
      <c r="O2650" s="2" t="s">
        <v>58</v>
      </c>
      <c r="P2650" s="2" t="s">
        <v>142</v>
      </c>
      <c r="Q2650" s="2" t="s">
        <v>203</v>
      </c>
      <c r="R2650" s="2" t="s">
        <v>128</v>
      </c>
      <c r="S2650" s="2" t="s">
        <v>198</v>
      </c>
      <c r="T2650" s="10">
        <v>20.48</v>
      </c>
      <c r="U2650" s="11">
        <v>1.085</v>
      </c>
      <c r="V2650" s="12">
        <f>T2650*U2650</f>
        <v>22.220800000000001</v>
      </c>
      <c r="W2650" s="13">
        <v>0.19</v>
      </c>
      <c r="X2650" s="12">
        <f>V2650-(V2650/(1+W2650))</f>
        <v>3.5478588235294097</v>
      </c>
      <c r="Y2650" s="12">
        <f>V2650-X2650</f>
        <v>18.672941176470591</v>
      </c>
      <c r="Z2650" s="14">
        <v>60</v>
      </c>
      <c r="AA2650" s="2" t="str">
        <f>IF(V2650&gt;Z2650,"Yes","No")</f>
        <v>No</v>
      </c>
      <c r="AB2650" s="12">
        <f>V2650-Z2650</f>
        <v>-37.779200000000003</v>
      </c>
      <c r="AC2650" s="15" t="s">
        <v>130</v>
      </c>
      <c r="AD2650" s="15" t="s">
        <v>130</v>
      </c>
      <c r="AE2650" s="15" t="s">
        <v>260</v>
      </c>
      <c r="AF2650" s="12">
        <f>IF(AG2650="Rejected",0,IF(R2650="Corporate Card",0,V2650))</f>
        <v>0</v>
      </c>
      <c r="AG2650" s="15" t="s">
        <v>133</v>
      </c>
      <c r="AH2650" s="16">
        <v>45971</v>
      </c>
      <c r="AI2650" s="16">
        <v>45974</v>
      </c>
      <c r="AJ2650" s="16">
        <v>45980</v>
      </c>
      <c r="AK2650" s="17">
        <f>IF(AJ2650="","",AJ2650-AH2650)</f>
        <v>9</v>
      </c>
    </row>
    <row r="2651" spans="1:37">
      <c r="A2651" s="2" t="s">
        <v>3151</v>
      </c>
      <c r="B2651" s="2" t="s">
        <v>1235</v>
      </c>
      <c r="C2651" s="2" t="s">
        <v>867</v>
      </c>
      <c r="D2651" s="2" t="s">
        <v>865</v>
      </c>
      <c r="E2651" s="2" t="s">
        <v>1236</v>
      </c>
      <c r="F2651" s="2" t="s">
        <v>313</v>
      </c>
      <c r="G2651" s="2" t="s">
        <v>3100</v>
      </c>
      <c r="H2651" s="2" t="s">
        <v>379</v>
      </c>
      <c r="I2651" s="2" t="s">
        <v>194</v>
      </c>
      <c r="J2651" s="2" t="s">
        <v>195</v>
      </c>
      <c r="K2651" s="9">
        <v>45960</v>
      </c>
      <c r="L2651" s="9">
        <v>45967</v>
      </c>
      <c r="M2651" s="9">
        <v>45965</v>
      </c>
      <c r="N2651" s="2" t="s">
        <v>3124</v>
      </c>
      <c r="O2651" s="2" t="s">
        <v>54</v>
      </c>
      <c r="P2651" s="2" t="s">
        <v>139</v>
      </c>
      <c r="Q2651" s="2" t="s">
        <v>140</v>
      </c>
      <c r="R2651" s="2" t="s">
        <v>128</v>
      </c>
      <c r="S2651" s="2" t="s">
        <v>198</v>
      </c>
      <c r="T2651" s="10">
        <v>11.04</v>
      </c>
      <c r="U2651" s="11">
        <v>1.085</v>
      </c>
      <c r="V2651" s="12">
        <f>T2651*U2651</f>
        <v>11.978399999999999</v>
      </c>
      <c r="W2651" s="13">
        <v>0.19</v>
      </c>
      <c r="X2651" s="12">
        <f>V2651-(V2651/(1+W2651))</f>
        <v>1.9125176470588237</v>
      </c>
      <c r="Y2651" s="12">
        <f>V2651-X2651</f>
        <v>10.065882352941175</v>
      </c>
      <c r="Z2651" s="14">
        <v>25</v>
      </c>
      <c r="AA2651" s="2" t="str">
        <f>IF(V2651&gt;Z2651,"Yes","No")</f>
        <v>No</v>
      </c>
      <c r="AB2651" s="12">
        <f>V2651-Z2651</f>
        <v>-13.021600000000001</v>
      </c>
      <c r="AC2651" s="15" t="s">
        <v>130</v>
      </c>
      <c r="AD2651" s="15" t="s">
        <v>130</v>
      </c>
      <c r="AE2651" s="15" t="s">
        <v>260</v>
      </c>
      <c r="AF2651" s="12">
        <f>IF(AG2651="Rejected",0,IF(R2651="Corporate Card",0,V2651))</f>
        <v>0</v>
      </c>
      <c r="AG2651" s="15" t="s">
        <v>133</v>
      </c>
      <c r="AH2651" s="16">
        <v>45971</v>
      </c>
      <c r="AI2651" s="16">
        <v>45974</v>
      </c>
      <c r="AJ2651" s="16">
        <v>45980</v>
      </c>
      <c r="AK2651" s="17">
        <f>IF(AJ2651="","",AJ2651-AH2651)</f>
        <v>9</v>
      </c>
    </row>
    <row r="2652" spans="1:37">
      <c r="A2652" s="2" t="s">
        <v>3152</v>
      </c>
      <c r="B2652" s="2" t="s">
        <v>1235</v>
      </c>
      <c r="C2652" s="2" t="s">
        <v>867</v>
      </c>
      <c r="D2652" s="2" t="s">
        <v>865</v>
      </c>
      <c r="E2652" s="2" t="s">
        <v>1236</v>
      </c>
      <c r="F2652" s="2" t="s">
        <v>313</v>
      </c>
      <c r="G2652" s="2" t="s">
        <v>3100</v>
      </c>
      <c r="H2652" s="2" t="s">
        <v>379</v>
      </c>
      <c r="I2652" s="2" t="s">
        <v>194</v>
      </c>
      <c r="J2652" s="2" t="s">
        <v>195</v>
      </c>
      <c r="K2652" s="9">
        <v>45960</v>
      </c>
      <c r="L2652" s="9">
        <v>45967</v>
      </c>
      <c r="M2652" s="9">
        <v>45965</v>
      </c>
      <c r="N2652" s="2" t="s">
        <v>3124</v>
      </c>
      <c r="O2652" s="2" t="s">
        <v>56</v>
      </c>
      <c r="P2652" s="2" t="s">
        <v>151</v>
      </c>
      <c r="Q2652" s="2" t="s">
        <v>227</v>
      </c>
      <c r="R2652" s="2" t="s">
        <v>137</v>
      </c>
      <c r="S2652" s="2" t="s">
        <v>198</v>
      </c>
      <c r="T2652" s="10">
        <v>62.58</v>
      </c>
      <c r="U2652" s="11">
        <v>1.085</v>
      </c>
      <c r="V2652" s="12">
        <f>T2652*U2652</f>
        <v>67.899299999999997</v>
      </c>
      <c r="W2652" s="13">
        <v>0.19</v>
      </c>
      <c r="X2652" s="12">
        <f>V2652-(V2652/(1+W2652))</f>
        <v>10.841064705882353</v>
      </c>
      <c r="Y2652" s="12">
        <f>V2652-X2652</f>
        <v>57.058235294117644</v>
      </c>
      <c r="Z2652" s="14">
        <v>75</v>
      </c>
      <c r="AA2652" s="2" t="str">
        <f>IF(V2652&gt;Z2652,"Yes","No")</f>
        <v>No</v>
      </c>
      <c r="AB2652" s="12">
        <f>V2652-Z2652</f>
        <v>-7.1007000000000033</v>
      </c>
      <c r="AC2652" s="15" t="s">
        <v>131</v>
      </c>
      <c r="AD2652" s="15" t="s">
        <v>130</v>
      </c>
      <c r="AE2652" s="15" t="s">
        <v>260</v>
      </c>
      <c r="AF2652" s="12">
        <f>IF(AG2652="Rejected",0,IF(R2652="Corporate Card",0,V2652))</f>
        <v>67.899299999999997</v>
      </c>
      <c r="AG2652" s="15" t="s">
        <v>133</v>
      </c>
      <c r="AH2652" s="16">
        <v>45971</v>
      </c>
      <c r="AI2652" s="16">
        <v>45974</v>
      </c>
      <c r="AJ2652" s="16">
        <v>45980</v>
      </c>
      <c r="AK2652" s="17">
        <f>IF(AJ2652="","",AJ2652-AH2652)</f>
        <v>9</v>
      </c>
    </row>
    <row r="2653" spans="1:37">
      <c r="A2653" s="2" t="s">
        <v>3153</v>
      </c>
      <c r="B2653" s="2" t="s">
        <v>1235</v>
      </c>
      <c r="C2653" s="2" t="s">
        <v>867</v>
      </c>
      <c r="D2653" s="2" t="s">
        <v>865</v>
      </c>
      <c r="E2653" s="2" t="s">
        <v>1236</v>
      </c>
      <c r="F2653" s="2" t="s">
        <v>313</v>
      </c>
      <c r="G2653" s="2" t="s">
        <v>3100</v>
      </c>
      <c r="H2653" s="2" t="s">
        <v>379</v>
      </c>
      <c r="I2653" s="2" t="s">
        <v>194</v>
      </c>
      <c r="J2653" s="2" t="s">
        <v>195</v>
      </c>
      <c r="K2653" s="9">
        <v>45960</v>
      </c>
      <c r="L2653" s="9">
        <v>45967</v>
      </c>
      <c r="M2653" s="9">
        <v>45965</v>
      </c>
      <c r="N2653" s="2" t="s">
        <v>3124</v>
      </c>
      <c r="O2653" s="2" t="s">
        <v>55</v>
      </c>
      <c r="P2653" s="2" t="s">
        <v>139</v>
      </c>
      <c r="Q2653" s="2" t="s">
        <v>217</v>
      </c>
      <c r="R2653" s="2" t="s">
        <v>149</v>
      </c>
      <c r="S2653" s="2" t="s">
        <v>198</v>
      </c>
      <c r="T2653" s="10">
        <v>22.16</v>
      </c>
      <c r="U2653" s="11">
        <v>1.085</v>
      </c>
      <c r="V2653" s="12">
        <f>T2653*U2653</f>
        <v>24.043599999999998</v>
      </c>
      <c r="W2653" s="13">
        <v>0.19</v>
      </c>
      <c r="X2653" s="12">
        <f>V2653-(V2653/(1+W2653))</f>
        <v>3.8388941176470581</v>
      </c>
      <c r="Y2653" s="12">
        <f>V2653-X2653</f>
        <v>20.20470588235294</v>
      </c>
      <c r="Z2653" s="14">
        <v>35</v>
      </c>
      <c r="AA2653" s="2" t="str">
        <f>IF(V2653&gt;Z2653,"Yes","No")</f>
        <v>No</v>
      </c>
      <c r="AB2653" s="12">
        <f>V2653-Z2653</f>
        <v>-10.956400000000002</v>
      </c>
      <c r="AC2653" s="15" t="s">
        <v>130</v>
      </c>
      <c r="AD2653" s="15" t="s">
        <v>130</v>
      </c>
      <c r="AE2653" s="15" t="s">
        <v>260</v>
      </c>
      <c r="AF2653" s="12">
        <f>IF(AG2653="Rejected",0,IF(R2653="Corporate Card",0,V2653))</f>
        <v>24.043599999999998</v>
      </c>
      <c r="AG2653" s="15" t="s">
        <v>133</v>
      </c>
      <c r="AH2653" s="16">
        <v>45971</v>
      </c>
      <c r="AI2653" s="16">
        <v>45974</v>
      </c>
      <c r="AJ2653" s="16">
        <v>45980</v>
      </c>
      <c r="AK2653" s="17">
        <f>IF(AJ2653="","",AJ2653-AH2653)</f>
        <v>9</v>
      </c>
    </row>
    <row r="2654" spans="1:37">
      <c r="A2654" s="2" t="s">
        <v>3154</v>
      </c>
      <c r="B2654" s="2" t="s">
        <v>2399</v>
      </c>
      <c r="C2654" s="2" t="s">
        <v>120</v>
      </c>
      <c r="D2654" s="2" t="s">
        <v>118</v>
      </c>
      <c r="E2654" s="2" t="s">
        <v>2400</v>
      </c>
      <c r="F2654" s="2" t="s">
        <v>311</v>
      </c>
      <c r="G2654" s="2" t="s">
        <v>3136</v>
      </c>
      <c r="H2654" s="2" t="s">
        <v>448</v>
      </c>
      <c r="I2654" s="2" t="s">
        <v>1251</v>
      </c>
      <c r="J2654" s="2" t="s">
        <v>750</v>
      </c>
      <c r="K2654" s="9">
        <v>45963</v>
      </c>
      <c r="L2654" s="9">
        <v>45968</v>
      </c>
      <c r="M2654" s="9">
        <v>45965</v>
      </c>
      <c r="N2654" s="2" t="s">
        <v>3124</v>
      </c>
      <c r="O2654" s="2" t="s">
        <v>58</v>
      </c>
      <c r="P2654" s="2" t="s">
        <v>142</v>
      </c>
      <c r="Q2654" s="2" t="s">
        <v>296</v>
      </c>
      <c r="R2654" s="2" t="s">
        <v>128</v>
      </c>
      <c r="S2654" s="2" t="s">
        <v>198</v>
      </c>
      <c r="T2654" s="10">
        <v>39.97</v>
      </c>
      <c r="U2654" s="11">
        <v>1.085</v>
      </c>
      <c r="V2654" s="12">
        <f>T2654*U2654</f>
        <v>43.367449999999998</v>
      </c>
      <c r="W2654" s="13">
        <v>0.19</v>
      </c>
      <c r="X2654" s="12">
        <f>V2654-(V2654/(1+W2654))</f>
        <v>6.9242147058823491</v>
      </c>
      <c r="Y2654" s="12">
        <f>V2654-X2654</f>
        <v>36.443235294117649</v>
      </c>
      <c r="Z2654" s="14">
        <v>60</v>
      </c>
      <c r="AA2654" s="2" t="str">
        <f>IF(V2654&gt;Z2654,"Yes","No")</f>
        <v>No</v>
      </c>
      <c r="AB2654" s="12">
        <f>V2654-Z2654</f>
        <v>-16.632550000000002</v>
      </c>
      <c r="AC2654" s="15" t="s">
        <v>130</v>
      </c>
      <c r="AD2654" s="15" t="s">
        <v>131</v>
      </c>
      <c r="AE2654" s="15" t="s">
        <v>858</v>
      </c>
      <c r="AF2654" s="12">
        <f>IF(AG2654="Rejected",0,IF(R2654="Corporate Card",0,V2654))</f>
        <v>0</v>
      </c>
      <c r="AG2654" s="15" t="s">
        <v>133</v>
      </c>
      <c r="AH2654" s="16">
        <v>45976</v>
      </c>
      <c r="AI2654" s="16">
        <v>45984</v>
      </c>
      <c r="AJ2654" s="16">
        <v>45987</v>
      </c>
      <c r="AK2654" s="17">
        <f>IF(AJ2654="","",AJ2654-AH2654)</f>
        <v>11</v>
      </c>
    </row>
    <row r="2655" spans="1:37">
      <c r="A2655" s="2" t="s">
        <v>3155</v>
      </c>
      <c r="B2655" s="2" t="s">
        <v>2399</v>
      </c>
      <c r="C2655" s="2" t="s">
        <v>120</v>
      </c>
      <c r="D2655" s="2" t="s">
        <v>118</v>
      </c>
      <c r="E2655" s="2" t="s">
        <v>2400</v>
      </c>
      <c r="F2655" s="2" t="s">
        <v>311</v>
      </c>
      <c r="G2655" s="2" t="s">
        <v>3136</v>
      </c>
      <c r="H2655" s="2" t="s">
        <v>448</v>
      </c>
      <c r="I2655" s="2" t="s">
        <v>1251</v>
      </c>
      <c r="J2655" s="2" t="s">
        <v>750</v>
      </c>
      <c r="K2655" s="9">
        <v>45963</v>
      </c>
      <c r="L2655" s="9">
        <v>45968</v>
      </c>
      <c r="M2655" s="9">
        <v>45965</v>
      </c>
      <c r="N2655" s="2" t="s">
        <v>3124</v>
      </c>
      <c r="O2655" s="2" t="s">
        <v>56</v>
      </c>
      <c r="P2655" s="2" t="s">
        <v>151</v>
      </c>
      <c r="Q2655" s="2" t="s">
        <v>227</v>
      </c>
      <c r="R2655" s="2" t="s">
        <v>128</v>
      </c>
      <c r="S2655" s="2" t="s">
        <v>198</v>
      </c>
      <c r="T2655" s="10">
        <v>35.33</v>
      </c>
      <c r="U2655" s="11">
        <v>1.085</v>
      </c>
      <c r="V2655" s="12">
        <f>T2655*U2655</f>
        <v>38.33305</v>
      </c>
      <c r="W2655" s="13">
        <v>0.19</v>
      </c>
      <c r="X2655" s="12">
        <f>V2655-(V2655/(1+W2655))</f>
        <v>6.1204029411764722</v>
      </c>
      <c r="Y2655" s="12">
        <f>V2655-X2655</f>
        <v>32.212647058823528</v>
      </c>
      <c r="Z2655" s="14">
        <v>75</v>
      </c>
      <c r="AA2655" s="2" t="str">
        <f>IF(V2655&gt;Z2655,"Yes","No")</f>
        <v>No</v>
      </c>
      <c r="AB2655" s="12">
        <f>V2655-Z2655</f>
        <v>-36.66695</v>
      </c>
      <c r="AC2655" s="15" t="s">
        <v>130</v>
      </c>
      <c r="AD2655" s="15" t="s">
        <v>131</v>
      </c>
      <c r="AE2655" s="15" t="s">
        <v>858</v>
      </c>
      <c r="AF2655" s="12">
        <f>IF(AG2655="Rejected",0,IF(R2655="Corporate Card",0,V2655))</f>
        <v>0</v>
      </c>
      <c r="AG2655" s="15" t="s">
        <v>133</v>
      </c>
      <c r="AH2655" s="16">
        <v>45976</v>
      </c>
      <c r="AI2655" s="16">
        <v>45984</v>
      </c>
      <c r="AJ2655" s="16">
        <v>45987</v>
      </c>
      <c r="AK2655" s="17">
        <f>IF(AJ2655="","",AJ2655-AH2655)</f>
        <v>11</v>
      </c>
    </row>
    <row r="2656" spans="1:37">
      <c r="A2656" s="2" t="s">
        <v>3156</v>
      </c>
      <c r="B2656" s="2" t="s">
        <v>2399</v>
      </c>
      <c r="C2656" s="2" t="s">
        <v>120</v>
      </c>
      <c r="D2656" s="2" t="s">
        <v>118</v>
      </c>
      <c r="E2656" s="2" t="s">
        <v>2400</v>
      </c>
      <c r="F2656" s="2" t="s">
        <v>311</v>
      </c>
      <c r="G2656" s="2" t="s">
        <v>3136</v>
      </c>
      <c r="H2656" s="2" t="s">
        <v>448</v>
      </c>
      <c r="I2656" s="2" t="s">
        <v>1251</v>
      </c>
      <c r="J2656" s="2" t="s">
        <v>750</v>
      </c>
      <c r="K2656" s="9">
        <v>45963</v>
      </c>
      <c r="L2656" s="9">
        <v>45968</v>
      </c>
      <c r="M2656" s="9">
        <v>45965</v>
      </c>
      <c r="N2656" s="2" t="s">
        <v>3124</v>
      </c>
      <c r="O2656" s="2" t="s">
        <v>55</v>
      </c>
      <c r="P2656" s="2" t="s">
        <v>139</v>
      </c>
      <c r="Q2656" s="2" t="s">
        <v>187</v>
      </c>
      <c r="R2656" s="2" t="s">
        <v>128</v>
      </c>
      <c r="S2656" s="2" t="s">
        <v>198</v>
      </c>
      <c r="T2656" s="10">
        <v>25.78</v>
      </c>
      <c r="U2656" s="11">
        <v>1.085</v>
      </c>
      <c r="V2656" s="12">
        <f>T2656*U2656</f>
        <v>27.971299999999999</v>
      </c>
      <c r="W2656" s="13">
        <v>0.19</v>
      </c>
      <c r="X2656" s="12">
        <f>V2656-(V2656/(1+W2656))</f>
        <v>4.4660058823529383</v>
      </c>
      <c r="Y2656" s="12">
        <f>V2656-X2656</f>
        <v>23.505294117647061</v>
      </c>
      <c r="Z2656" s="14">
        <v>35</v>
      </c>
      <c r="AA2656" s="2" t="str">
        <f>IF(V2656&gt;Z2656,"Yes","No")</f>
        <v>No</v>
      </c>
      <c r="AB2656" s="12">
        <f>V2656-Z2656</f>
        <v>-7.0287000000000006</v>
      </c>
      <c r="AC2656" s="15" t="s">
        <v>130</v>
      </c>
      <c r="AD2656" s="15" t="s">
        <v>131</v>
      </c>
      <c r="AE2656" s="15" t="s">
        <v>858</v>
      </c>
      <c r="AF2656" s="12">
        <f>IF(AG2656="Rejected",0,IF(R2656="Corporate Card",0,V2656))</f>
        <v>0</v>
      </c>
      <c r="AG2656" s="15" t="s">
        <v>133</v>
      </c>
      <c r="AH2656" s="16">
        <v>45976</v>
      </c>
      <c r="AI2656" s="16">
        <v>45984</v>
      </c>
      <c r="AJ2656" s="16">
        <v>45987</v>
      </c>
      <c r="AK2656" s="17">
        <f>IF(AJ2656="","",AJ2656-AH2656)</f>
        <v>11</v>
      </c>
    </row>
    <row r="2657" spans="1:37">
      <c r="A2657" s="2" t="s">
        <v>3157</v>
      </c>
      <c r="B2657" s="2" t="s">
        <v>2212</v>
      </c>
      <c r="C2657" s="2" t="s">
        <v>346</v>
      </c>
      <c r="D2657" s="2" t="s">
        <v>344</v>
      </c>
      <c r="E2657" s="2" t="s">
        <v>2213</v>
      </c>
      <c r="F2657" s="2" t="s">
        <v>313</v>
      </c>
      <c r="G2657" s="2" t="s">
        <v>3158</v>
      </c>
      <c r="H2657" s="2" t="s">
        <v>803</v>
      </c>
      <c r="I2657" s="2" t="s">
        <v>175</v>
      </c>
      <c r="J2657" s="2" t="s">
        <v>176</v>
      </c>
      <c r="K2657" s="9">
        <v>45966</v>
      </c>
      <c r="L2657" s="9">
        <v>45967</v>
      </c>
      <c r="M2657" s="9">
        <v>45966</v>
      </c>
      <c r="N2657" s="2" t="s">
        <v>3124</v>
      </c>
      <c r="O2657" s="2" t="s">
        <v>52</v>
      </c>
      <c r="P2657" s="2" t="s">
        <v>177</v>
      </c>
      <c r="Q2657" s="2" t="s">
        <v>513</v>
      </c>
      <c r="R2657" s="2" t="s">
        <v>137</v>
      </c>
      <c r="S2657" s="2" t="s">
        <v>179</v>
      </c>
      <c r="T2657" s="10">
        <v>5770.17</v>
      </c>
      <c r="U2657" s="11">
        <v>0.18099999999999999</v>
      </c>
      <c r="V2657" s="12">
        <f>T2657*U2657</f>
        <v>1044.40077</v>
      </c>
      <c r="W2657" s="13">
        <v>0</v>
      </c>
      <c r="X2657" s="12">
        <f>V2657-(V2657/(1+W2657))</f>
        <v>0</v>
      </c>
      <c r="Y2657" s="12">
        <f>V2657-X2657</f>
        <v>1044.40077</v>
      </c>
      <c r="Z2657" s="14">
        <v>1400</v>
      </c>
      <c r="AA2657" s="2" t="str">
        <f>IF(V2657&gt;Z2657,"Yes","No")</f>
        <v>No</v>
      </c>
      <c r="AB2657" s="12">
        <f>V2657-Z2657</f>
        <v>-355.59923000000003</v>
      </c>
      <c r="AC2657" s="15" t="s">
        <v>130</v>
      </c>
      <c r="AD2657" s="15" t="s">
        <v>131</v>
      </c>
      <c r="AE2657" s="15" t="s">
        <v>437</v>
      </c>
      <c r="AF2657" s="12">
        <f>IF(AG2657="Rejected",0,IF(R2657="Corporate Card",0,V2657))</f>
        <v>1044.40077</v>
      </c>
      <c r="AG2657" s="15" t="s">
        <v>133</v>
      </c>
      <c r="AH2657" s="16">
        <v>45978</v>
      </c>
      <c r="AI2657" s="16">
        <v>45984</v>
      </c>
      <c r="AJ2657" s="16">
        <v>45992</v>
      </c>
      <c r="AK2657" s="17">
        <f>IF(AJ2657="","",AJ2657-AH2657)</f>
        <v>14</v>
      </c>
    </row>
    <row r="2658" spans="1:37">
      <c r="A2658" s="2" t="s">
        <v>3159</v>
      </c>
      <c r="B2658" s="2" t="s">
        <v>2212</v>
      </c>
      <c r="C2658" s="2" t="s">
        <v>346</v>
      </c>
      <c r="D2658" s="2" t="s">
        <v>344</v>
      </c>
      <c r="E2658" s="2" t="s">
        <v>2213</v>
      </c>
      <c r="F2658" s="2" t="s">
        <v>313</v>
      </c>
      <c r="G2658" s="2" t="s">
        <v>3158</v>
      </c>
      <c r="H2658" s="2" t="s">
        <v>803</v>
      </c>
      <c r="I2658" s="2" t="s">
        <v>175</v>
      </c>
      <c r="J2658" s="2" t="s">
        <v>176</v>
      </c>
      <c r="K2658" s="9">
        <v>45966</v>
      </c>
      <c r="L2658" s="9">
        <v>45967</v>
      </c>
      <c r="M2658" s="9">
        <v>45966</v>
      </c>
      <c r="N2658" s="2" t="s">
        <v>3124</v>
      </c>
      <c r="O2658" s="2" t="s">
        <v>58</v>
      </c>
      <c r="P2658" s="2" t="s">
        <v>142</v>
      </c>
      <c r="Q2658" s="2" t="s">
        <v>143</v>
      </c>
      <c r="R2658" s="2" t="s">
        <v>128</v>
      </c>
      <c r="S2658" s="2" t="s">
        <v>179</v>
      </c>
      <c r="T2658" s="10">
        <v>177.74</v>
      </c>
      <c r="U2658" s="11">
        <v>0.18099999999999999</v>
      </c>
      <c r="V2658" s="12">
        <f>T2658*U2658</f>
        <v>32.170940000000002</v>
      </c>
      <c r="W2658" s="13">
        <v>0.17</v>
      </c>
      <c r="X2658" s="12">
        <f>V2658-(V2658/(1+W2658))</f>
        <v>4.6744100854700825</v>
      </c>
      <c r="Y2658" s="12">
        <f>V2658-X2658</f>
        <v>27.496529914529919</v>
      </c>
      <c r="Z2658" s="14">
        <v>60</v>
      </c>
      <c r="AA2658" s="2" t="str">
        <f>IF(V2658&gt;Z2658,"Yes","No")</f>
        <v>No</v>
      </c>
      <c r="AB2658" s="12">
        <f>V2658-Z2658</f>
        <v>-27.829059999999998</v>
      </c>
      <c r="AC2658" s="15" t="s">
        <v>130</v>
      </c>
      <c r="AD2658" s="15" t="s">
        <v>131</v>
      </c>
      <c r="AE2658" s="15" t="s">
        <v>437</v>
      </c>
      <c r="AF2658" s="12">
        <f>IF(AG2658="Rejected",0,IF(R2658="Corporate Card",0,V2658))</f>
        <v>0</v>
      </c>
      <c r="AG2658" s="15" t="s">
        <v>133</v>
      </c>
      <c r="AH2658" s="16">
        <v>45978</v>
      </c>
      <c r="AI2658" s="16">
        <v>45984</v>
      </c>
      <c r="AJ2658" s="16">
        <v>45992</v>
      </c>
      <c r="AK2658" s="17">
        <f>IF(AJ2658="","",AJ2658-AH2658)</f>
        <v>14</v>
      </c>
    </row>
    <row r="2659" spans="1:37">
      <c r="A2659" s="2" t="s">
        <v>3160</v>
      </c>
      <c r="B2659" s="2" t="s">
        <v>2212</v>
      </c>
      <c r="C2659" s="2" t="s">
        <v>346</v>
      </c>
      <c r="D2659" s="2" t="s">
        <v>344</v>
      </c>
      <c r="E2659" s="2" t="s">
        <v>2213</v>
      </c>
      <c r="F2659" s="2" t="s">
        <v>313</v>
      </c>
      <c r="G2659" s="2" t="s">
        <v>3158</v>
      </c>
      <c r="H2659" s="2" t="s">
        <v>803</v>
      </c>
      <c r="I2659" s="2" t="s">
        <v>175</v>
      </c>
      <c r="J2659" s="2" t="s">
        <v>176</v>
      </c>
      <c r="K2659" s="9">
        <v>45966</v>
      </c>
      <c r="L2659" s="9">
        <v>45967</v>
      </c>
      <c r="M2659" s="9">
        <v>45966</v>
      </c>
      <c r="N2659" s="2" t="s">
        <v>3124</v>
      </c>
      <c r="O2659" s="2" t="s">
        <v>54</v>
      </c>
      <c r="P2659" s="2" t="s">
        <v>139</v>
      </c>
      <c r="Q2659" s="2" t="s">
        <v>148</v>
      </c>
      <c r="R2659" s="2" t="s">
        <v>128</v>
      </c>
      <c r="S2659" s="2" t="s">
        <v>179</v>
      </c>
      <c r="T2659" s="10">
        <v>76.56</v>
      </c>
      <c r="U2659" s="11">
        <v>0.18099999999999999</v>
      </c>
      <c r="V2659" s="12">
        <f>T2659*U2659</f>
        <v>13.85736</v>
      </c>
      <c r="W2659" s="13">
        <v>0.17</v>
      </c>
      <c r="X2659" s="12">
        <f>V2659-(V2659/(1+W2659))</f>
        <v>2.0134625641025625</v>
      </c>
      <c r="Y2659" s="12">
        <f>V2659-X2659</f>
        <v>11.843897435897437</v>
      </c>
      <c r="Z2659" s="14">
        <v>25</v>
      </c>
      <c r="AA2659" s="2" t="str">
        <f>IF(V2659&gt;Z2659,"Yes","No")</f>
        <v>No</v>
      </c>
      <c r="AB2659" s="12">
        <f>V2659-Z2659</f>
        <v>-11.14264</v>
      </c>
      <c r="AC2659" s="15" t="s">
        <v>130</v>
      </c>
      <c r="AD2659" s="15" t="s">
        <v>131</v>
      </c>
      <c r="AE2659" s="15" t="s">
        <v>437</v>
      </c>
      <c r="AF2659" s="12">
        <f>IF(AG2659="Rejected",0,IF(R2659="Corporate Card",0,V2659))</f>
        <v>0</v>
      </c>
      <c r="AG2659" s="15" t="s">
        <v>133</v>
      </c>
      <c r="AH2659" s="16">
        <v>45978</v>
      </c>
      <c r="AI2659" s="16">
        <v>45984</v>
      </c>
      <c r="AJ2659" s="16">
        <v>45992</v>
      </c>
      <c r="AK2659" s="17">
        <f>IF(AJ2659="","",AJ2659-AH2659)</f>
        <v>14</v>
      </c>
    </row>
    <row r="2660" spans="1:37">
      <c r="A2660" s="2" t="s">
        <v>3161</v>
      </c>
      <c r="B2660" s="2" t="s">
        <v>2212</v>
      </c>
      <c r="C2660" s="2" t="s">
        <v>346</v>
      </c>
      <c r="D2660" s="2" t="s">
        <v>344</v>
      </c>
      <c r="E2660" s="2" t="s">
        <v>2213</v>
      </c>
      <c r="F2660" s="2" t="s">
        <v>313</v>
      </c>
      <c r="G2660" s="2" t="s">
        <v>3158</v>
      </c>
      <c r="H2660" s="2" t="s">
        <v>803</v>
      </c>
      <c r="I2660" s="2" t="s">
        <v>175</v>
      </c>
      <c r="J2660" s="2" t="s">
        <v>176</v>
      </c>
      <c r="K2660" s="9">
        <v>45966</v>
      </c>
      <c r="L2660" s="9">
        <v>45967</v>
      </c>
      <c r="M2660" s="9">
        <v>45966</v>
      </c>
      <c r="N2660" s="2" t="s">
        <v>3124</v>
      </c>
      <c r="O2660" s="2" t="s">
        <v>56</v>
      </c>
      <c r="P2660" s="2" t="s">
        <v>245</v>
      </c>
      <c r="Q2660" s="2" t="s">
        <v>185</v>
      </c>
      <c r="R2660" s="2" t="s">
        <v>128</v>
      </c>
      <c r="S2660" s="2" t="s">
        <v>179</v>
      </c>
      <c r="T2660" s="10">
        <v>168.64</v>
      </c>
      <c r="U2660" s="11">
        <v>0.18099999999999999</v>
      </c>
      <c r="V2660" s="12">
        <f>T2660*U2660</f>
        <v>30.523839999999996</v>
      </c>
      <c r="W2660" s="13">
        <v>0.17</v>
      </c>
      <c r="X2660" s="12">
        <f>V2660-(V2660/(1+W2660))</f>
        <v>4.4350878632478619</v>
      </c>
      <c r="Y2660" s="12">
        <f>V2660-X2660</f>
        <v>26.088752136752134</v>
      </c>
      <c r="Z2660" s="14">
        <v>75</v>
      </c>
      <c r="AA2660" s="2" t="str">
        <f>IF(V2660&gt;Z2660,"Yes","No")</f>
        <v>No</v>
      </c>
      <c r="AB2660" s="12">
        <f>V2660-Z2660</f>
        <v>-44.476160000000007</v>
      </c>
      <c r="AC2660" s="15" t="s">
        <v>130</v>
      </c>
      <c r="AD2660" s="15" t="s">
        <v>131</v>
      </c>
      <c r="AE2660" s="15" t="s">
        <v>437</v>
      </c>
      <c r="AF2660" s="12">
        <f>IF(AG2660="Rejected",0,IF(R2660="Corporate Card",0,V2660))</f>
        <v>0</v>
      </c>
      <c r="AG2660" s="15" t="s">
        <v>133</v>
      </c>
      <c r="AH2660" s="16">
        <v>45978</v>
      </c>
      <c r="AI2660" s="16">
        <v>45984</v>
      </c>
      <c r="AJ2660" s="16">
        <v>45992</v>
      </c>
      <c r="AK2660" s="17">
        <f>IF(AJ2660="","",AJ2660-AH2660)</f>
        <v>14</v>
      </c>
    </row>
    <row r="2661" spans="1:37">
      <c r="A2661" s="2" t="s">
        <v>3162</v>
      </c>
      <c r="B2661" s="2" t="s">
        <v>2212</v>
      </c>
      <c r="C2661" s="2" t="s">
        <v>346</v>
      </c>
      <c r="D2661" s="2" t="s">
        <v>344</v>
      </c>
      <c r="E2661" s="2" t="s">
        <v>2213</v>
      </c>
      <c r="F2661" s="2" t="s">
        <v>313</v>
      </c>
      <c r="G2661" s="2" t="s">
        <v>3158</v>
      </c>
      <c r="H2661" s="2" t="s">
        <v>803</v>
      </c>
      <c r="I2661" s="2" t="s">
        <v>175</v>
      </c>
      <c r="J2661" s="2" t="s">
        <v>176</v>
      </c>
      <c r="K2661" s="9">
        <v>45966</v>
      </c>
      <c r="L2661" s="9">
        <v>45967</v>
      </c>
      <c r="M2661" s="9">
        <v>45966</v>
      </c>
      <c r="N2661" s="2" t="s">
        <v>3124</v>
      </c>
      <c r="O2661" s="2" t="s">
        <v>55</v>
      </c>
      <c r="P2661" s="2" t="s">
        <v>139</v>
      </c>
      <c r="Q2661" s="2" t="s">
        <v>161</v>
      </c>
      <c r="R2661" s="2" t="s">
        <v>149</v>
      </c>
      <c r="S2661" s="2" t="s">
        <v>179</v>
      </c>
      <c r="T2661" s="10">
        <v>136.49</v>
      </c>
      <c r="U2661" s="11">
        <v>0.18099999999999999</v>
      </c>
      <c r="V2661" s="12">
        <f>T2661*U2661</f>
        <v>24.704689999999999</v>
      </c>
      <c r="W2661" s="13">
        <v>0.17</v>
      </c>
      <c r="X2661" s="12">
        <f>V2661-(V2661/(1+W2661))</f>
        <v>3.5895703418803393</v>
      </c>
      <c r="Y2661" s="12">
        <f>V2661-X2661</f>
        <v>21.11511965811966</v>
      </c>
      <c r="Z2661" s="14">
        <v>35</v>
      </c>
      <c r="AA2661" s="2" t="str">
        <f>IF(V2661&gt;Z2661,"Yes","No")</f>
        <v>No</v>
      </c>
      <c r="AB2661" s="12">
        <f>V2661-Z2661</f>
        <v>-10.295310000000001</v>
      </c>
      <c r="AC2661" s="15" t="s">
        <v>130</v>
      </c>
      <c r="AD2661" s="15" t="s">
        <v>131</v>
      </c>
      <c r="AE2661" s="15" t="s">
        <v>437</v>
      </c>
      <c r="AF2661" s="12">
        <f>IF(AG2661="Rejected",0,IF(R2661="Corporate Card",0,V2661))</f>
        <v>24.704689999999999</v>
      </c>
      <c r="AG2661" s="15" t="s">
        <v>133</v>
      </c>
      <c r="AH2661" s="16">
        <v>45978</v>
      </c>
      <c r="AI2661" s="16">
        <v>45984</v>
      </c>
      <c r="AJ2661" s="16">
        <v>45992</v>
      </c>
      <c r="AK2661" s="17">
        <f>IF(AJ2661="","",AJ2661-AH2661)</f>
        <v>14</v>
      </c>
    </row>
    <row r="2662" spans="1:37">
      <c r="A2662" s="2" t="s">
        <v>3163</v>
      </c>
      <c r="B2662" s="2" t="s">
        <v>1235</v>
      </c>
      <c r="C2662" s="2" t="s">
        <v>867</v>
      </c>
      <c r="D2662" s="2" t="s">
        <v>865</v>
      </c>
      <c r="E2662" s="2" t="s">
        <v>1236</v>
      </c>
      <c r="F2662" s="2" t="s">
        <v>313</v>
      </c>
      <c r="G2662" s="2" t="s">
        <v>3100</v>
      </c>
      <c r="H2662" s="2" t="s">
        <v>379</v>
      </c>
      <c r="I2662" s="2" t="s">
        <v>194</v>
      </c>
      <c r="J2662" s="2" t="s">
        <v>195</v>
      </c>
      <c r="K2662" s="9">
        <v>45960</v>
      </c>
      <c r="L2662" s="9">
        <v>45967</v>
      </c>
      <c r="M2662" s="9">
        <v>45966</v>
      </c>
      <c r="N2662" s="2" t="s">
        <v>3124</v>
      </c>
      <c r="O2662" s="2" t="s">
        <v>58</v>
      </c>
      <c r="P2662" s="2" t="s">
        <v>142</v>
      </c>
      <c r="Q2662" s="2" t="s">
        <v>156</v>
      </c>
      <c r="R2662" s="2" t="s">
        <v>137</v>
      </c>
      <c r="S2662" s="2" t="s">
        <v>198</v>
      </c>
      <c r="T2662" s="10">
        <v>47.24</v>
      </c>
      <c r="U2662" s="11">
        <v>1.085</v>
      </c>
      <c r="V2662" s="12">
        <f>T2662*U2662</f>
        <v>51.255400000000002</v>
      </c>
      <c r="W2662" s="13">
        <v>0.19</v>
      </c>
      <c r="X2662" s="12">
        <f>V2662-(V2662/(1+W2662))</f>
        <v>8.1836352941176429</v>
      </c>
      <c r="Y2662" s="12">
        <f>V2662-X2662</f>
        <v>43.071764705882359</v>
      </c>
      <c r="Z2662" s="14">
        <v>60</v>
      </c>
      <c r="AA2662" s="2" t="str">
        <f>IF(V2662&gt;Z2662,"Yes","No")</f>
        <v>No</v>
      </c>
      <c r="AB2662" s="12">
        <f>V2662-Z2662</f>
        <v>-8.7445999999999984</v>
      </c>
      <c r="AC2662" s="15" t="s">
        <v>130</v>
      </c>
      <c r="AD2662" s="15" t="s">
        <v>130</v>
      </c>
      <c r="AE2662" s="15" t="s">
        <v>260</v>
      </c>
      <c r="AF2662" s="12">
        <f>IF(AG2662="Rejected",0,IF(R2662="Corporate Card",0,V2662))</f>
        <v>51.255400000000002</v>
      </c>
      <c r="AG2662" s="15" t="s">
        <v>133</v>
      </c>
      <c r="AH2662" s="16">
        <v>45971</v>
      </c>
      <c r="AI2662" s="16">
        <v>45974</v>
      </c>
      <c r="AJ2662" s="16">
        <v>45980</v>
      </c>
      <c r="AK2662" s="17">
        <f>IF(AJ2662="","",AJ2662-AH2662)</f>
        <v>9</v>
      </c>
    </row>
    <row r="2663" spans="1:37">
      <c r="A2663" s="2" t="s">
        <v>3164</v>
      </c>
      <c r="B2663" s="2" t="s">
        <v>1235</v>
      </c>
      <c r="C2663" s="2" t="s">
        <v>867</v>
      </c>
      <c r="D2663" s="2" t="s">
        <v>865</v>
      </c>
      <c r="E2663" s="2" t="s">
        <v>1236</v>
      </c>
      <c r="F2663" s="2" t="s">
        <v>313</v>
      </c>
      <c r="G2663" s="2" t="s">
        <v>3100</v>
      </c>
      <c r="H2663" s="2" t="s">
        <v>379</v>
      </c>
      <c r="I2663" s="2" t="s">
        <v>194</v>
      </c>
      <c r="J2663" s="2" t="s">
        <v>195</v>
      </c>
      <c r="K2663" s="9">
        <v>45960</v>
      </c>
      <c r="L2663" s="9">
        <v>45967</v>
      </c>
      <c r="M2663" s="9">
        <v>45966</v>
      </c>
      <c r="N2663" s="2" t="s">
        <v>3124</v>
      </c>
      <c r="O2663" s="2" t="s">
        <v>54</v>
      </c>
      <c r="P2663" s="2" t="s">
        <v>139</v>
      </c>
      <c r="Q2663" s="2" t="s">
        <v>140</v>
      </c>
      <c r="R2663" s="2" t="s">
        <v>128</v>
      </c>
      <c r="S2663" s="2" t="s">
        <v>198</v>
      </c>
      <c r="T2663" s="10">
        <v>10.63</v>
      </c>
      <c r="U2663" s="11">
        <v>1.085</v>
      </c>
      <c r="V2663" s="12">
        <f>T2663*U2663</f>
        <v>11.53355</v>
      </c>
      <c r="W2663" s="13">
        <v>0.19</v>
      </c>
      <c r="X2663" s="12">
        <f>V2663-(V2663/(1+W2663))</f>
        <v>1.841491176470587</v>
      </c>
      <c r="Y2663" s="12">
        <f>V2663-X2663</f>
        <v>9.6920588235294129</v>
      </c>
      <c r="Z2663" s="14">
        <v>25</v>
      </c>
      <c r="AA2663" s="2" t="str">
        <f>IF(V2663&gt;Z2663,"Yes","No")</f>
        <v>No</v>
      </c>
      <c r="AB2663" s="12">
        <f>V2663-Z2663</f>
        <v>-13.46645</v>
      </c>
      <c r="AC2663" s="15" t="s">
        <v>130</v>
      </c>
      <c r="AD2663" s="15" t="s">
        <v>130</v>
      </c>
      <c r="AE2663" s="15" t="s">
        <v>260</v>
      </c>
      <c r="AF2663" s="12">
        <f>IF(AG2663="Rejected",0,IF(R2663="Corporate Card",0,V2663))</f>
        <v>0</v>
      </c>
      <c r="AG2663" s="15" t="s">
        <v>133</v>
      </c>
      <c r="AH2663" s="16">
        <v>45971</v>
      </c>
      <c r="AI2663" s="16">
        <v>45974</v>
      </c>
      <c r="AJ2663" s="16">
        <v>45980</v>
      </c>
      <c r="AK2663" s="17">
        <f>IF(AJ2663="","",AJ2663-AH2663)</f>
        <v>9</v>
      </c>
    </row>
    <row r="2664" spans="1:37">
      <c r="A2664" s="2" t="s">
        <v>3165</v>
      </c>
      <c r="B2664" s="2" t="s">
        <v>1235</v>
      </c>
      <c r="C2664" s="2" t="s">
        <v>867</v>
      </c>
      <c r="D2664" s="2" t="s">
        <v>865</v>
      </c>
      <c r="E2664" s="2" t="s">
        <v>1236</v>
      </c>
      <c r="F2664" s="2" t="s">
        <v>313</v>
      </c>
      <c r="G2664" s="2" t="s">
        <v>3100</v>
      </c>
      <c r="H2664" s="2" t="s">
        <v>379</v>
      </c>
      <c r="I2664" s="2" t="s">
        <v>194</v>
      </c>
      <c r="J2664" s="2" t="s">
        <v>195</v>
      </c>
      <c r="K2664" s="9">
        <v>45960</v>
      </c>
      <c r="L2664" s="9">
        <v>45967</v>
      </c>
      <c r="M2664" s="9">
        <v>45966</v>
      </c>
      <c r="N2664" s="2" t="s">
        <v>3124</v>
      </c>
      <c r="O2664" s="2" t="s">
        <v>56</v>
      </c>
      <c r="P2664" s="2" t="s">
        <v>231</v>
      </c>
      <c r="Q2664" s="2" t="s">
        <v>152</v>
      </c>
      <c r="R2664" s="2" t="s">
        <v>128</v>
      </c>
      <c r="S2664" s="2" t="s">
        <v>198</v>
      </c>
      <c r="T2664" s="10">
        <v>53.56</v>
      </c>
      <c r="U2664" s="11">
        <v>1.085</v>
      </c>
      <c r="V2664" s="12">
        <f>T2664*U2664</f>
        <v>58.1126</v>
      </c>
      <c r="W2664" s="13">
        <v>0.19</v>
      </c>
      <c r="X2664" s="12">
        <f>V2664-(V2664/(1+W2664))</f>
        <v>9.2784823529411753</v>
      </c>
      <c r="Y2664" s="12">
        <f>V2664-X2664</f>
        <v>48.834117647058825</v>
      </c>
      <c r="Z2664" s="14">
        <v>75</v>
      </c>
      <c r="AA2664" s="2" t="str">
        <f>IF(V2664&gt;Z2664,"Yes","No")</f>
        <v>No</v>
      </c>
      <c r="AB2664" s="12">
        <f>V2664-Z2664</f>
        <v>-16.8874</v>
      </c>
      <c r="AC2664" s="15" t="s">
        <v>130</v>
      </c>
      <c r="AD2664" s="15" t="s">
        <v>130</v>
      </c>
      <c r="AE2664" s="15" t="s">
        <v>260</v>
      </c>
      <c r="AF2664" s="12">
        <f>IF(AG2664="Rejected",0,IF(R2664="Corporate Card",0,V2664))</f>
        <v>0</v>
      </c>
      <c r="AG2664" s="15" t="s">
        <v>133</v>
      </c>
      <c r="AH2664" s="16">
        <v>45971</v>
      </c>
      <c r="AI2664" s="16">
        <v>45974</v>
      </c>
      <c r="AJ2664" s="16">
        <v>45980</v>
      </c>
      <c r="AK2664" s="17">
        <f>IF(AJ2664="","",AJ2664-AH2664)</f>
        <v>9</v>
      </c>
    </row>
    <row r="2665" spans="1:37">
      <c r="A2665" s="2" t="s">
        <v>3166</v>
      </c>
      <c r="B2665" s="2" t="s">
        <v>1235</v>
      </c>
      <c r="C2665" s="2" t="s">
        <v>867</v>
      </c>
      <c r="D2665" s="2" t="s">
        <v>865</v>
      </c>
      <c r="E2665" s="2" t="s">
        <v>1236</v>
      </c>
      <c r="F2665" s="2" t="s">
        <v>313</v>
      </c>
      <c r="G2665" s="2" t="s">
        <v>3100</v>
      </c>
      <c r="H2665" s="2" t="s">
        <v>379</v>
      </c>
      <c r="I2665" s="2" t="s">
        <v>194</v>
      </c>
      <c r="J2665" s="2" t="s">
        <v>195</v>
      </c>
      <c r="K2665" s="9">
        <v>45960</v>
      </c>
      <c r="L2665" s="9">
        <v>45967</v>
      </c>
      <c r="M2665" s="9">
        <v>45966</v>
      </c>
      <c r="N2665" s="2" t="s">
        <v>3124</v>
      </c>
      <c r="O2665" s="2" t="s">
        <v>55</v>
      </c>
      <c r="P2665" s="2" t="s">
        <v>139</v>
      </c>
      <c r="Q2665" s="2" t="s">
        <v>187</v>
      </c>
      <c r="R2665" s="2" t="s">
        <v>128</v>
      </c>
      <c r="S2665" s="2" t="s">
        <v>198</v>
      </c>
      <c r="T2665" s="10">
        <v>26.2</v>
      </c>
      <c r="U2665" s="11">
        <v>1.085</v>
      </c>
      <c r="V2665" s="12">
        <f>T2665*U2665</f>
        <v>28.427</v>
      </c>
      <c r="W2665" s="13">
        <v>0.19</v>
      </c>
      <c r="X2665" s="12">
        <f>V2665-(V2665/(1+W2665))</f>
        <v>4.5387647058823504</v>
      </c>
      <c r="Y2665" s="12">
        <f>V2665-X2665</f>
        <v>23.888235294117649</v>
      </c>
      <c r="Z2665" s="14">
        <v>35</v>
      </c>
      <c r="AA2665" s="2" t="str">
        <f>IF(V2665&gt;Z2665,"Yes","No")</f>
        <v>No</v>
      </c>
      <c r="AB2665" s="12">
        <f>V2665-Z2665</f>
        <v>-6.5730000000000004</v>
      </c>
      <c r="AC2665" s="15" t="s">
        <v>130</v>
      </c>
      <c r="AD2665" s="15" t="s">
        <v>130</v>
      </c>
      <c r="AE2665" s="15" t="s">
        <v>260</v>
      </c>
      <c r="AF2665" s="12">
        <f>IF(AG2665="Rejected",0,IF(R2665="Corporate Card",0,V2665))</f>
        <v>0</v>
      </c>
      <c r="AG2665" s="15" t="s">
        <v>133</v>
      </c>
      <c r="AH2665" s="16">
        <v>45971</v>
      </c>
      <c r="AI2665" s="16">
        <v>45974</v>
      </c>
      <c r="AJ2665" s="16">
        <v>45980</v>
      </c>
      <c r="AK2665" s="17">
        <f>IF(AJ2665="","",AJ2665-AH2665)</f>
        <v>9</v>
      </c>
    </row>
    <row r="2666" spans="1:37">
      <c r="A2666" s="2" t="s">
        <v>3167</v>
      </c>
      <c r="B2666" s="2" t="s">
        <v>2399</v>
      </c>
      <c r="C2666" s="2" t="s">
        <v>120</v>
      </c>
      <c r="D2666" s="2" t="s">
        <v>118</v>
      </c>
      <c r="E2666" s="2" t="s">
        <v>2400</v>
      </c>
      <c r="F2666" s="2" t="s">
        <v>311</v>
      </c>
      <c r="G2666" s="2" t="s">
        <v>3136</v>
      </c>
      <c r="H2666" s="2" t="s">
        <v>448</v>
      </c>
      <c r="I2666" s="2" t="s">
        <v>1251</v>
      </c>
      <c r="J2666" s="2" t="s">
        <v>750</v>
      </c>
      <c r="K2666" s="9">
        <v>45963</v>
      </c>
      <c r="L2666" s="9">
        <v>45968</v>
      </c>
      <c r="M2666" s="9">
        <v>45966</v>
      </c>
      <c r="N2666" s="2" t="s">
        <v>3124</v>
      </c>
      <c r="O2666" s="2" t="s">
        <v>58</v>
      </c>
      <c r="P2666" s="2" t="s">
        <v>142</v>
      </c>
      <c r="Q2666" s="2" t="s">
        <v>203</v>
      </c>
      <c r="R2666" s="2" t="s">
        <v>149</v>
      </c>
      <c r="S2666" s="2" t="s">
        <v>198</v>
      </c>
      <c r="T2666" s="10">
        <v>44.06</v>
      </c>
      <c r="U2666" s="11">
        <v>1.085</v>
      </c>
      <c r="V2666" s="12">
        <f>T2666*U2666</f>
        <v>47.805100000000003</v>
      </c>
      <c r="W2666" s="13">
        <v>0.19</v>
      </c>
      <c r="X2666" s="12">
        <f>V2666-(V2666/(1+W2666))</f>
        <v>7.6327470588235258</v>
      </c>
      <c r="Y2666" s="12">
        <f>V2666-X2666</f>
        <v>40.172352941176477</v>
      </c>
      <c r="Z2666" s="14">
        <v>60</v>
      </c>
      <c r="AA2666" s="2" t="str">
        <f>IF(V2666&gt;Z2666,"Yes","No")</f>
        <v>No</v>
      </c>
      <c r="AB2666" s="12">
        <f>V2666-Z2666</f>
        <v>-12.194899999999997</v>
      </c>
      <c r="AC2666" s="15" t="s">
        <v>130</v>
      </c>
      <c r="AD2666" s="15" t="s">
        <v>131</v>
      </c>
      <c r="AE2666" s="15" t="s">
        <v>858</v>
      </c>
      <c r="AF2666" s="12">
        <f>IF(AG2666="Rejected",0,IF(R2666="Corporate Card",0,V2666))</f>
        <v>47.805100000000003</v>
      </c>
      <c r="AG2666" s="15" t="s">
        <v>133</v>
      </c>
      <c r="AH2666" s="16">
        <v>45976</v>
      </c>
      <c r="AI2666" s="16">
        <v>45984</v>
      </c>
      <c r="AJ2666" s="16">
        <v>45987</v>
      </c>
      <c r="AK2666" s="17">
        <f>IF(AJ2666="","",AJ2666-AH2666)</f>
        <v>11</v>
      </c>
    </row>
    <row r="2667" spans="1:37">
      <c r="A2667" s="2" t="s">
        <v>3168</v>
      </c>
      <c r="B2667" s="2" t="s">
        <v>2399</v>
      </c>
      <c r="C2667" s="2" t="s">
        <v>120</v>
      </c>
      <c r="D2667" s="2" t="s">
        <v>118</v>
      </c>
      <c r="E2667" s="2" t="s">
        <v>2400</v>
      </c>
      <c r="F2667" s="2" t="s">
        <v>311</v>
      </c>
      <c r="G2667" s="2" t="s">
        <v>3136</v>
      </c>
      <c r="H2667" s="2" t="s">
        <v>448</v>
      </c>
      <c r="I2667" s="2" t="s">
        <v>1251</v>
      </c>
      <c r="J2667" s="2" t="s">
        <v>750</v>
      </c>
      <c r="K2667" s="9">
        <v>45963</v>
      </c>
      <c r="L2667" s="9">
        <v>45968</v>
      </c>
      <c r="M2667" s="9">
        <v>45966</v>
      </c>
      <c r="N2667" s="2" t="s">
        <v>3124</v>
      </c>
      <c r="O2667" s="2" t="s">
        <v>68</v>
      </c>
      <c r="P2667" s="2" t="s">
        <v>282</v>
      </c>
      <c r="Q2667" s="2" t="s">
        <v>283</v>
      </c>
      <c r="R2667" s="2" t="s">
        <v>128</v>
      </c>
      <c r="S2667" s="2" t="s">
        <v>198</v>
      </c>
      <c r="T2667" s="10">
        <v>40.79</v>
      </c>
      <c r="U2667" s="11">
        <v>1.085</v>
      </c>
      <c r="V2667" s="12">
        <f>T2667*U2667</f>
        <v>44.257149999999996</v>
      </c>
      <c r="W2667" s="13">
        <v>0.19</v>
      </c>
      <c r="X2667" s="12">
        <f>V2667-(V2667/(1+W2667))</f>
        <v>7.0662676470588224</v>
      </c>
      <c r="Y2667" s="12">
        <f>V2667-X2667</f>
        <v>37.190882352941173</v>
      </c>
      <c r="Z2667" s="14">
        <v>30</v>
      </c>
      <c r="AA2667" s="2" t="str">
        <f>IF(V2667&gt;Z2667,"Yes","No")</f>
        <v>Yes</v>
      </c>
      <c r="AB2667" s="12">
        <f>V2667-Z2667</f>
        <v>14.257149999999996</v>
      </c>
      <c r="AC2667" s="15" t="s">
        <v>130</v>
      </c>
      <c r="AD2667" s="15" t="s">
        <v>131</v>
      </c>
      <c r="AE2667" s="15" t="s">
        <v>858</v>
      </c>
      <c r="AF2667" s="12">
        <f>IF(AG2667="Rejected",0,IF(R2667="Corporate Card",0,V2667))</f>
        <v>0</v>
      </c>
      <c r="AG2667" s="15" t="s">
        <v>133</v>
      </c>
      <c r="AH2667" s="16">
        <v>45976</v>
      </c>
      <c r="AI2667" s="16">
        <v>45984</v>
      </c>
      <c r="AJ2667" s="16">
        <v>45987</v>
      </c>
      <c r="AK2667" s="17">
        <f>IF(AJ2667="","",AJ2667-AH2667)</f>
        <v>11</v>
      </c>
    </row>
    <row r="2668" spans="1:37">
      <c r="A2668" s="2" t="s">
        <v>3169</v>
      </c>
      <c r="B2668" s="2" t="s">
        <v>2399</v>
      </c>
      <c r="C2668" s="2" t="s">
        <v>120</v>
      </c>
      <c r="D2668" s="2" t="s">
        <v>118</v>
      </c>
      <c r="E2668" s="2" t="s">
        <v>2400</v>
      </c>
      <c r="F2668" s="2" t="s">
        <v>311</v>
      </c>
      <c r="G2668" s="2" t="s">
        <v>3136</v>
      </c>
      <c r="H2668" s="2" t="s">
        <v>448</v>
      </c>
      <c r="I2668" s="2" t="s">
        <v>1251</v>
      </c>
      <c r="J2668" s="2" t="s">
        <v>750</v>
      </c>
      <c r="K2668" s="9">
        <v>45963</v>
      </c>
      <c r="L2668" s="9">
        <v>45968</v>
      </c>
      <c r="M2668" s="9">
        <v>45966</v>
      </c>
      <c r="N2668" s="2" t="s">
        <v>3124</v>
      </c>
      <c r="O2668" s="2" t="s">
        <v>54</v>
      </c>
      <c r="P2668" s="2" t="s">
        <v>139</v>
      </c>
      <c r="Q2668" s="2" t="s">
        <v>214</v>
      </c>
      <c r="R2668" s="2" t="s">
        <v>128</v>
      </c>
      <c r="S2668" s="2" t="s">
        <v>198</v>
      </c>
      <c r="T2668" s="10">
        <v>13.43</v>
      </c>
      <c r="U2668" s="11">
        <v>1.085</v>
      </c>
      <c r="V2668" s="12">
        <f>T2668*U2668</f>
        <v>14.571549999999998</v>
      </c>
      <c r="W2668" s="13">
        <v>0.19</v>
      </c>
      <c r="X2668" s="12">
        <f>V2668-(V2668/(1+W2668))</f>
        <v>2.3265499999999992</v>
      </c>
      <c r="Y2668" s="12">
        <f>V2668-X2668</f>
        <v>12.244999999999999</v>
      </c>
      <c r="Z2668" s="14">
        <v>25</v>
      </c>
      <c r="AA2668" s="2" t="str">
        <f>IF(V2668&gt;Z2668,"Yes","No")</f>
        <v>No</v>
      </c>
      <c r="AB2668" s="12">
        <f>V2668-Z2668</f>
        <v>-10.428450000000002</v>
      </c>
      <c r="AC2668" s="15" t="s">
        <v>130</v>
      </c>
      <c r="AD2668" s="15" t="s">
        <v>131</v>
      </c>
      <c r="AE2668" s="15" t="s">
        <v>858</v>
      </c>
      <c r="AF2668" s="12">
        <f>IF(AG2668="Rejected",0,IF(R2668="Corporate Card",0,V2668))</f>
        <v>0</v>
      </c>
      <c r="AG2668" s="15" t="s">
        <v>133</v>
      </c>
      <c r="AH2668" s="16">
        <v>45976</v>
      </c>
      <c r="AI2668" s="16">
        <v>45984</v>
      </c>
      <c r="AJ2668" s="16">
        <v>45987</v>
      </c>
      <c r="AK2668" s="17">
        <f>IF(AJ2668="","",AJ2668-AH2668)</f>
        <v>11</v>
      </c>
    </row>
    <row r="2669" spans="1:37">
      <c r="A2669" s="2" t="s">
        <v>3170</v>
      </c>
      <c r="B2669" s="2" t="s">
        <v>2399</v>
      </c>
      <c r="C2669" s="2" t="s">
        <v>120</v>
      </c>
      <c r="D2669" s="2" t="s">
        <v>118</v>
      </c>
      <c r="E2669" s="2" t="s">
        <v>2400</v>
      </c>
      <c r="F2669" s="2" t="s">
        <v>311</v>
      </c>
      <c r="G2669" s="2" t="s">
        <v>3136</v>
      </c>
      <c r="H2669" s="2" t="s">
        <v>448</v>
      </c>
      <c r="I2669" s="2" t="s">
        <v>1251</v>
      </c>
      <c r="J2669" s="2" t="s">
        <v>750</v>
      </c>
      <c r="K2669" s="9">
        <v>45963</v>
      </c>
      <c r="L2669" s="9">
        <v>45968</v>
      </c>
      <c r="M2669" s="9">
        <v>45966</v>
      </c>
      <c r="N2669" s="2" t="s">
        <v>3124</v>
      </c>
      <c r="O2669" s="2" t="s">
        <v>56</v>
      </c>
      <c r="P2669" s="2" t="s">
        <v>231</v>
      </c>
      <c r="Q2669" s="2" t="s">
        <v>159</v>
      </c>
      <c r="R2669" s="2" t="s">
        <v>128</v>
      </c>
      <c r="S2669" s="2" t="s">
        <v>198</v>
      </c>
      <c r="T2669" s="10">
        <v>73.040000000000006</v>
      </c>
      <c r="U2669" s="11">
        <v>1.085</v>
      </c>
      <c r="V2669" s="12">
        <f>T2669*U2669</f>
        <v>79.248400000000004</v>
      </c>
      <c r="W2669" s="13">
        <v>0.19</v>
      </c>
      <c r="X2669" s="12">
        <f>V2669-(V2669/(1+W2669))</f>
        <v>12.653105882352932</v>
      </c>
      <c r="Y2669" s="12">
        <f>V2669-X2669</f>
        <v>66.595294117647072</v>
      </c>
      <c r="Z2669" s="14">
        <v>75</v>
      </c>
      <c r="AA2669" s="2" t="str">
        <f>IF(V2669&gt;Z2669,"Yes","No")</f>
        <v>Yes</v>
      </c>
      <c r="AB2669" s="12">
        <f>V2669-Z2669</f>
        <v>4.2484000000000037</v>
      </c>
      <c r="AC2669" s="15" t="s">
        <v>131</v>
      </c>
      <c r="AD2669" s="15" t="s">
        <v>131</v>
      </c>
      <c r="AE2669" s="15" t="s">
        <v>858</v>
      </c>
      <c r="AF2669" s="12">
        <f>IF(AG2669="Rejected",0,IF(R2669="Corporate Card",0,V2669))</f>
        <v>0</v>
      </c>
      <c r="AG2669" s="15" t="s">
        <v>133</v>
      </c>
      <c r="AH2669" s="16">
        <v>45976</v>
      </c>
      <c r="AI2669" s="16">
        <v>45984</v>
      </c>
      <c r="AJ2669" s="16">
        <v>45987</v>
      </c>
      <c r="AK2669" s="17">
        <f>IF(AJ2669="","",AJ2669-AH2669)</f>
        <v>11</v>
      </c>
    </row>
    <row r="2670" spans="1:37">
      <c r="A2670" s="2" t="s">
        <v>3171</v>
      </c>
      <c r="B2670" s="2" t="s">
        <v>2399</v>
      </c>
      <c r="C2670" s="2" t="s">
        <v>120</v>
      </c>
      <c r="D2670" s="2" t="s">
        <v>118</v>
      </c>
      <c r="E2670" s="2" t="s">
        <v>2400</v>
      </c>
      <c r="F2670" s="2" t="s">
        <v>311</v>
      </c>
      <c r="G2670" s="2" t="s">
        <v>3136</v>
      </c>
      <c r="H2670" s="2" t="s">
        <v>448</v>
      </c>
      <c r="I2670" s="2" t="s">
        <v>1251</v>
      </c>
      <c r="J2670" s="2" t="s">
        <v>750</v>
      </c>
      <c r="K2670" s="9">
        <v>45963</v>
      </c>
      <c r="L2670" s="9">
        <v>45968</v>
      </c>
      <c r="M2670" s="9">
        <v>45966</v>
      </c>
      <c r="N2670" s="2" t="s">
        <v>3124</v>
      </c>
      <c r="O2670" s="2" t="s">
        <v>55</v>
      </c>
      <c r="P2670" s="2" t="s">
        <v>139</v>
      </c>
      <c r="Q2670" s="2" t="s">
        <v>161</v>
      </c>
      <c r="R2670" s="2" t="s">
        <v>137</v>
      </c>
      <c r="S2670" s="2" t="s">
        <v>198</v>
      </c>
      <c r="T2670" s="10">
        <v>28.38</v>
      </c>
      <c r="U2670" s="11">
        <v>1.085</v>
      </c>
      <c r="V2670" s="12">
        <f>T2670*U2670</f>
        <v>30.792299999999997</v>
      </c>
      <c r="W2670" s="13">
        <v>0.19</v>
      </c>
      <c r="X2670" s="12">
        <f>V2670-(V2670/(1+W2670))</f>
        <v>4.9164176470588217</v>
      </c>
      <c r="Y2670" s="12">
        <f>V2670-X2670</f>
        <v>25.875882352941176</v>
      </c>
      <c r="Z2670" s="14">
        <v>35</v>
      </c>
      <c r="AA2670" s="2" t="str">
        <f>IF(V2670&gt;Z2670,"Yes","No")</f>
        <v>No</v>
      </c>
      <c r="AB2670" s="12">
        <f>V2670-Z2670</f>
        <v>-4.2077000000000027</v>
      </c>
      <c r="AC2670" s="15" t="s">
        <v>130</v>
      </c>
      <c r="AD2670" s="15" t="s">
        <v>131</v>
      </c>
      <c r="AE2670" s="15" t="s">
        <v>858</v>
      </c>
      <c r="AF2670" s="12">
        <f>IF(AG2670="Rejected",0,IF(R2670="Corporate Card",0,V2670))</f>
        <v>30.792299999999997</v>
      </c>
      <c r="AG2670" s="15" t="s">
        <v>133</v>
      </c>
      <c r="AH2670" s="16">
        <v>45976</v>
      </c>
      <c r="AI2670" s="16">
        <v>45984</v>
      </c>
      <c r="AJ2670" s="16">
        <v>45987</v>
      </c>
      <c r="AK2670" s="17">
        <f>IF(AJ2670="","",AJ2670-AH2670)</f>
        <v>11</v>
      </c>
    </row>
    <row r="2671" spans="1:37">
      <c r="A2671" s="2" t="s">
        <v>3172</v>
      </c>
      <c r="B2671" s="2" t="s">
        <v>2212</v>
      </c>
      <c r="C2671" s="2" t="s">
        <v>346</v>
      </c>
      <c r="D2671" s="2" t="s">
        <v>344</v>
      </c>
      <c r="E2671" s="2" t="s">
        <v>2213</v>
      </c>
      <c r="F2671" s="2" t="s">
        <v>313</v>
      </c>
      <c r="G2671" s="2" t="s">
        <v>3158</v>
      </c>
      <c r="H2671" s="2" t="s">
        <v>803</v>
      </c>
      <c r="I2671" s="2" t="s">
        <v>175</v>
      </c>
      <c r="J2671" s="2" t="s">
        <v>176</v>
      </c>
      <c r="K2671" s="9">
        <v>45966</v>
      </c>
      <c r="L2671" s="9">
        <v>45967</v>
      </c>
      <c r="M2671" s="9">
        <v>45967</v>
      </c>
      <c r="N2671" s="2" t="s">
        <v>3124</v>
      </c>
      <c r="O2671" s="2" t="s">
        <v>53</v>
      </c>
      <c r="P2671" s="2" t="s">
        <v>405</v>
      </c>
      <c r="Q2671" s="2" t="s">
        <v>272</v>
      </c>
      <c r="R2671" s="2" t="s">
        <v>128</v>
      </c>
      <c r="S2671" s="2" t="s">
        <v>179</v>
      </c>
      <c r="T2671" s="10">
        <v>594.82000000000005</v>
      </c>
      <c r="U2671" s="11">
        <v>0.18099999999999999</v>
      </c>
      <c r="V2671" s="12">
        <f>T2671*U2671</f>
        <v>107.66242000000001</v>
      </c>
      <c r="W2671" s="13">
        <v>0.17</v>
      </c>
      <c r="X2671" s="12">
        <f>V2671-(V2671/(1+W2671))</f>
        <v>15.643257606837608</v>
      </c>
      <c r="Y2671" s="12">
        <f>V2671-X2671</f>
        <v>92.019162393162404</v>
      </c>
      <c r="Z2671" s="14">
        <v>280</v>
      </c>
      <c r="AA2671" s="2" t="str">
        <f>IF(V2671&gt;Z2671,"Yes","No")</f>
        <v>No</v>
      </c>
      <c r="AB2671" s="12">
        <f>V2671-Z2671</f>
        <v>-172.33758</v>
      </c>
      <c r="AC2671" s="15" t="s">
        <v>130</v>
      </c>
      <c r="AD2671" s="15" t="s">
        <v>131</v>
      </c>
      <c r="AE2671" s="15" t="s">
        <v>437</v>
      </c>
      <c r="AF2671" s="12">
        <f>IF(AG2671="Rejected",0,IF(R2671="Corporate Card",0,V2671))</f>
        <v>0</v>
      </c>
      <c r="AG2671" s="15" t="s">
        <v>133</v>
      </c>
      <c r="AH2671" s="16">
        <v>45978</v>
      </c>
      <c r="AI2671" s="16">
        <v>45984</v>
      </c>
      <c r="AJ2671" s="16">
        <v>45992</v>
      </c>
      <c r="AK2671" s="17">
        <f>IF(AJ2671="","",AJ2671-AH2671)</f>
        <v>14</v>
      </c>
    </row>
    <row r="2672" spans="1:37">
      <c r="A2672" s="2" t="s">
        <v>3173</v>
      </c>
      <c r="B2672" s="2" t="s">
        <v>2212</v>
      </c>
      <c r="C2672" s="2" t="s">
        <v>346</v>
      </c>
      <c r="D2672" s="2" t="s">
        <v>344</v>
      </c>
      <c r="E2672" s="2" t="s">
        <v>2213</v>
      </c>
      <c r="F2672" s="2" t="s">
        <v>313</v>
      </c>
      <c r="G2672" s="2" t="s">
        <v>3158</v>
      </c>
      <c r="H2672" s="2" t="s">
        <v>803</v>
      </c>
      <c r="I2672" s="2" t="s">
        <v>175</v>
      </c>
      <c r="J2672" s="2" t="s">
        <v>176</v>
      </c>
      <c r="K2672" s="9">
        <v>45966</v>
      </c>
      <c r="L2672" s="9">
        <v>45967</v>
      </c>
      <c r="M2672" s="9">
        <v>45967</v>
      </c>
      <c r="N2672" s="2" t="s">
        <v>3124</v>
      </c>
      <c r="O2672" s="2" t="s">
        <v>54</v>
      </c>
      <c r="P2672" s="2" t="s">
        <v>139</v>
      </c>
      <c r="Q2672" s="2" t="s">
        <v>214</v>
      </c>
      <c r="R2672" s="2" t="s">
        <v>128</v>
      </c>
      <c r="S2672" s="2" t="s">
        <v>179</v>
      </c>
      <c r="T2672" s="10">
        <v>72.319999999999993</v>
      </c>
      <c r="U2672" s="11">
        <v>0.18099999999999999</v>
      </c>
      <c r="V2672" s="12">
        <f>T2672*U2672</f>
        <v>13.089919999999998</v>
      </c>
      <c r="W2672" s="13">
        <v>0.17</v>
      </c>
      <c r="X2672" s="12">
        <f>V2672-(V2672/(1+W2672))</f>
        <v>1.9019541880341873</v>
      </c>
      <c r="Y2672" s="12">
        <f>V2672-X2672</f>
        <v>11.18796581196581</v>
      </c>
      <c r="Z2672" s="14">
        <v>25</v>
      </c>
      <c r="AA2672" s="2" t="str">
        <f>IF(V2672&gt;Z2672,"Yes","No")</f>
        <v>No</v>
      </c>
      <c r="AB2672" s="12">
        <f>V2672-Z2672</f>
        <v>-11.910080000000002</v>
      </c>
      <c r="AC2672" s="15" t="s">
        <v>131</v>
      </c>
      <c r="AD2672" s="15" t="s">
        <v>131</v>
      </c>
      <c r="AE2672" s="15" t="s">
        <v>437</v>
      </c>
      <c r="AF2672" s="12">
        <f>IF(AG2672="Rejected",0,IF(R2672="Corporate Card",0,V2672))</f>
        <v>0</v>
      </c>
      <c r="AG2672" s="15" t="s">
        <v>133</v>
      </c>
      <c r="AH2672" s="16">
        <v>45978</v>
      </c>
      <c r="AI2672" s="16">
        <v>45984</v>
      </c>
      <c r="AJ2672" s="16">
        <v>45992</v>
      </c>
      <c r="AK2672" s="17">
        <f>IF(AJ2672="","",AJ2672-AH2672)</f>
        <v>14</v>
      </c>
    </row>
    <row r="2673" spans="1:37">
      <c r="A2673" s="2" t="s">
        <v>3174</v>
      </c>
      <c r="B2673" s="2" t="s">
        <v>2212</v>
      </c>
      <c r="C2673" s="2" t="s">
        <v>346</v>
      </c>
      <c r="D2673" s="2" t="s">
        <v>344</v>
      </c>
      <c r="E2673" s="2" t="s">
        <v>2213</v>
      </c>
      <c r="F2673" s="2" t="s">
        <v>313</v>
      </c>
      <c r="G2673" s="2" t="s">
        <v>3158</v>
      </c>
      <c r="H2673" s="2" t="s">
        <v>803</v>
      </c>
      <c r="I2673" s="2" t="s">
        <v>175</v>
      </c>
      <c r="J2673" s="2" t="s">
        <v>176</v>
      </c>
      <c r="K2673" s="9">
        <v>45966</v>
      </c>
      <c r="L2673" s="9">
        <v>45967</v>
      </c>
      <c r="M2673" s="9">
        <v>45967</v>
      </c>
      <c r="N2673" s="2" t="s">
        <v>3124</v>
      </c>
      <c r="O2673" s="2" t="s">
        <v>56</v>
      </c>
      <c r="P2673" s="2" t="s">
        <v>231</v>
      </c>
      <c r="Q2673" s="2" t="s">
        <v>227</v>
      </c>
      <c r="R2673" s="2" t="s">
        <v>128</v>
      </c>
      <c r="S2673" s="2" t="s">
        <v>179</v>
      </c>
      <c r="T2673" s="10">
        <v>237.86</v>
      </c>
      <c r="U2673" s="11">
        <v>0.18099999999999999</v>
      </c>
      <c r="V2673" s="12">
        <f>T2673*U2673</f>
        <v>43.052660000000003</v>
      </c>
      <c r="W2673" s="13">
        <v>0.17</v>
      </c>
      <c r="X2673" s="12">
        <f>V2673-(V2673/(1+W2673))</f>
        <v>6.2555147008546967</v>
      </c>
      <c r="Y2673" s="12">
        <f>V2673-X2673</f>
        <v>36.797145299145306</v>
      </c>
      <c r="Z2673" s="14">
        <v>75</v>
      </c>
      <c r="AA2673" s="2" t="str">
        <f>IF(V2673&gt;Z2673,"Yes","No")</f>
        <v>No</v>
      </c>
      <c r="AB2673" s="12">
        <f>V2673-Z2673</f>
        <v>-31.947339999999997</v>
      </c>
      <c r="AC2673" s="15" t="s">
        <v>130</v>
      </c>
      <c r="AD2673" s="15" t="s">
        <v>131</v>
      </c>
      <c r="AE2673" s="15" t="s">
        <v>437</v>
      </c>
      <c r="AF2673" s="12">
        <f>IF(AG2673="Rejected",0,IF(R2673="Corporate Card",0,V2673))</f>
        <v>0</v>
      </c>
      <c r="AG2673" s="15" t="s">
        <v>133</v>
      </c>
      <c r="AH2673" s="16">
        <v>45978</v>
      </c>
      <c r="AI2673" s="16">
        <v>45984</v>
      </c>
      <c r="AJ2673" s="16">
        <v>45992</v>
      </c>
      <c r="AK2673" s="17">
        <f>IF(AJ2673="","",AJ2673-AH2673)</f>
        <v>14</v>
      </c>
    </row>
    <row r="2674" spans="1:37">
      <c r="A2674" s="2" t="s">
        <v>3175</v>
      </c>
      <c r="B2674" s="2" t="s">
        <v>2212</v>
      </c>
      <c r="C2674" s="2" t="s">
        <v>346</v>
      </c>
      <c r="D2674" s="2" t="s">
        <v>344</v>
      </c>
      <c r="E2674" s="2" t="s">
        <v>2213</v>
      </c>
      <c r="F2674" s="2" t="s">
        <v>313</v>
      </c>
      <c r="G2674" s="2" t="s">
        <v>3158</v>
      </c>
      <c r="H2674" s="2" t="s">
        <v>803</v>
      </c>
      <c r="I2674" s="2" t="s">
        <v>175</v>
      </c>
      <c r="J2674" s="2" t="s">
        <v>176</v>
      </c>
      <c r="K2674" s="9">
        <v>45966</v>
      </c>
      <c r="L2674" s="9">
        <v>45967</v>
      </c>
      <c r="M2674" s="9">
        <v>45967</v>
      </c>
      <c r="N2674" s="2" t="s">
        <v>3124</v>
      </c>
      <c r="O2674" s="2" t="s">
        <v>55</v>
      </c>
      <c r="P2674" s="2" t="s">
        <v>139</v>
      </c>
      <c r="Q2674" s="2" t="s">
        <v>154</v>
      </c>
      <c r="R2674" s="2" t="s">
        <v>128</v>
      </c>
      <c r="S2674" s="2" t="s">
        <v>179</v>
      </c>
      <c r="T2674" s="10">
        <v>72.489999999999995</v>
      </c>
      <c r="U2674" s="11">
        <v>0.18099999999999999</v>
      </c>
      <c r="V2674" s="12">
        <f>T2674*U2674</f>
        <v>13.120689999999998</v>
      </c>
      <c r="W2674" s="13">
        <v>0.17</v>
      </c>
      <c r="X2674" s="12">
        <f>V2674-(V2674/(1+W2674))</f>
        <v>1.9064250427350409</v>
      </c>
      <c r="Y2674" s="12">
        <f>V2674-X2674</f>
        <v>11.214264957264957</v>
      </c>
      <c r="Z2674" s="14">
        <v>35</v>
      </c>
      <c r="AA2674" s="2" t="str">
        <f>IF(V2674&gt;Z2674,"Yes","No")</f>
        <v>No</v>
      </c>
      <c r="AB2674" s="12">
        <f>V2674-Z2674</f>
        <v>-21.879310000000004</v>
      </c>
      <c r="AC2674" s="15" t="s">
        <v>130</v>
      </c>
      <c r="AD2674" s="15" t="s">
        <v>131</v>
      </c>
      <c r="AE2674" s="15" t="s">
        <v>437</v>
      </c>
      <c r="AF2674" s="12">
        <f>IF(AG2674="Rejected",0,IF(R2674="Corporate Card",0,V2674))</f>
        <v>0</v>
      </c>
      <c r="AG2674" s="15" t="s">
        <v>133</v>
      </c>
      <c r="AH2674" s="16">
        <v>45978</v>
      </c>
      <c r="AI2674" s="16">
        <v>45984</v>
      </c>
      <c r="AJ2674" s="16">
        <v>45992</v>
      </c>
      <c r="AK2674" s="17">
        <f>IF(AJ2674="","",AJ2674-AH2674)</f>
        <v>14</v>
      </c>
    </row>
    <row r="2675" spans="1:37">
      <c r="A2675" s="2" t="s">
        <v>3176</v>
      </c>
      <c r="B2675" s="2" t="s">
        <v>1235</v>
      </c>
      <c r="C2675" s="2" t="s">
        <v>867</v>
      </c>
      <c r="D2675" s="2" t="s">
        <v>865</v>
      </c>
      <c r="E2675" s="2" t="s">
        <v>1236</v>
      </c>
      <c r="F2675" s="2" t="s">
        <v>313</v>
      </c>
      <c r="G2675" s="2" t="s">
        <v>3100</v>
      </c>
      <c r="H2675" s="2" t="s">
        <v>379</v>
      </c>
      <c r="I2675" s="2" t="s">
        <v>194</v>
      </c>
      <c r="J2675" s="2" t="s">
        <v>195</v>
      </c>
      <c r="K2675" s="9">
        <v>45960</v>
      </c>
      <c r="L2675" s="9">
        <v>45967</v>
      </c>
      <c r="M2675" s="9">
        <v>45967</v>
      </c>
      <c r="N2675" s="2" t="s">
        <v>3124</v>
      </c>
      <c r="O2675" s="2" t="s">
        <v>54</v>
      </c>
      <c r="P2675" s="2" t="s">
        <v>139</v>
      </c>
      <c r="Q2675" s="2" t="s">
        <v>148</v>
      </c>
      <c r="R2675" s="2" t="s">
        <v>128</v>
      </c>
      <c r="S2675" s="2" t="s">
        <v>198</v>
      </c>
      <c r="T2675" s="10">
        <v>18.420000000000002</v>
      </c>
      <c r="U2675" s="11">
        <v>1.085</v>
      </c>
      <c r="V2675" s="12">
        <f>T2675*U2675</f>
        <v>19.985700000000001</v>
      </c>
      <c r="W2675" s="13">
        <v>0.19</v>
      </c>
      <c r="X2675" s="12">
        <f>V2675-(V2675/(1+W2675))</f>
        <v>3.1909941176470582</v>
      </c>
      <c r="Y2675" s="12">
        <f>V2675-X2675</f>
        <v>16.794705882352943</v>
      </c>
      <c r="Z2675" s="14">
        <v>25</v>
      </c>
      <c r="AA2675" s="2" t="str">
        <f>IF(V2675&gt;Z2675,"Yes","No")</f>
        <v>No</v>
      </c>
      <c r="AB2675" s="12">
        <f>V2675-Z2675</f>
        <v>-5.0142999999999986</v>
      </c>
      <c r="AC2675" s="15" t="s">
        <v>130</v>
      </c>
      <c r="AD2675" s="15" t="s">
        <v>130</v>
      </c>
      <c r="AE2675" s="15" t="s">
        <v>260</v>
      </c>
      <c r="AF2675" s="12">
        <f>IF(AG2675="Rejected",0,IF(R2675="Corporate Card",0,V2675))</f>
        <v>0</v>
      </c>
      <c r="AG2675" s="15" t="s">
        <v>133</v>
      </c>
      <c r="AH2675" s="16">
        <v>45971</v>
      </c>
      <c r="AI2675" s="16">
        <v>45974</v>
      </c>
      <c r="AJ2675" s="16">
        <v>45980</v>
      </c>
      <c r="AK2675" s="17">
        <f>IF(AJ2675="","",AJ2675-AH2675)</f>
        <v>9</v>
      </c>
    </row>
    <row r="2676" spans="1:37">
      <c r="A2676" s="2" t="s">
        <v>3177</v>
      </c>
      <c r="B2676" s="2" t="s">
        <v>1235</v>
      </c>
      <c r="C2676" s="2" t="s">
        <v>867</v>
      </c>
      <c r="D2676" s="2" t="s">
        <v>865</v>
      </c>
      <c r="E2676" s="2" t="s">
        <v>1236</v>
      </c>
      <c r="F2676" s="2" t="s">
        <v>313</v>
      </c>
      <c r="G2676" s="2" t="s">
        <v>3100</v>
      </c>
      <c r="H2676" s="2" t="s">
        <v>379</v>
      </c>
      <c r="I2676" s="2" t="s">
        <v>194</v>
      </c>
      <c r="J2676" s="2" t="s">
        <v>195</v>
      </c>
      <c r="K2676" s="9">
        <v>45960</v>
      </c>
      <c r="L2676" s="9">
        <v>45967</v>
      </c>
      <c r="M2676" s="9">
        <v>45967</v>
      </c>
      <c r="N2676" s="2" t="s">
        <v>3124</v>
      </c>
      <c r="O2676" s="2" t="s">
        <v>55</v>
      </c>
      <c r="P2676" s="2" t="s">
        <v>139</v>
      </c>
      <c r="Q2676" s="2" t="s">
        <v>217</v>
      </c>
      <c r="R2676" s="2" t="s">
        <v>137</v>
      </c>
      <c r="S2676" s="2" t="s">
        <v>198</v>
      </c>
      <c r="T2676" s="10">
        <v>25.71</v>
      </c>
      <c r="U2676" s="11">
        <v>1.085</v>
      </c>
      <c r="V2676" s="12">
        <f>T2676*U2676</f>
        <v>27.895350000000001</v>
      </c>
      <c r="W2676" s="13">
        <v>0.19</v>
      </c>
      <c r="X2676" s="12">
        <f>V2676-(V2676/(1+W2676))</f>
        <v>4.4538794117647065</v>
      </c>
      <c r="Y2676" s="12">
        <f>V2676-X2676</f>
        <v>23.441470588235294</v>
      </c>
      <c r="Z2676" s="14">
        <v>35</v>
      </c>
      <c r="AA2676" s="2" t="str">
        <f>IF(V2676&gt;Z2676,"Yes","No")</f>
        <v>No</v>
      </c>
      <c r="AB2676" s="12">
        <f>V2676-Z2676</f>
        <v>-7.1046499999999995</v>
      </c>
      <c r="AC2676" s="15" t="s">
        <v>130</v>
      </c>
      <c r="AD2676" s="15" t="s">
        <v>130</v>
      </c>
      <c r="AE2676" s="15" t="s">
        <v>260</v>
      </c>
      <c r="AF2676" s="12">
        <f>IF(AG2676="Rejected",0,IF(R2676="Corporate Card",0,V2676))</f>
        <v>27.895350000000001</v>
      </c>
      <c r="AG2676" s="15" t="s">
        <v>133</v>
      </c>
      <c r="AH2676" s="16">
        <v>45971</v>
      </c>
      <c r="AI2676" s="16">
        <v>45974</v>
      </c>
      <c r="AJ2676" s="16">
        <v>45980</v>
      </c>
      <c r="AK2676" s="17">
        <f>IF(AJ2676="","",AJ2676-AH2676)</f>
        <v>9</v>
      </c>
    </row>
    <row r="2677" spans="1:37">
      <c r="A2677" s="2" t="s">
        <v>3178</v>
      </c>
      <c r="B2677" s="2" t="s">
        <v>2399</v>
      </c>
      <c r="C2677" s="2" t="s">
        <v>120</v>
      </c>
      <c r="D2677" s="2" t="s">
        <v>118</v>
      </c>
      <c r="E2677" s="2" t="s">
        <v>2400</v>
      </c>
      <c r="F2677" s="2" t="s">
        <v>311</v>
      </c>
      <c r="G2677" s="2" t="s">
        <v>3136</v>
      </c>
      <c r="H2677" s="2" t="s">
        <v>448</v>
      </c>
      <c r="I2677" s="2" t="s">
        <v>1251</v>
      </c>
      <c r="J2677" s="2" t="s">
        <v>750</v>
      </c>
      <c r="K2677" s="9">
        <v>45963</v>
      </c>
      <c r="L2677" s="9">
        <v>45968</v>
      </c>
      <c r="M2677" s="9">
        <v>45967</v>
      </c>
      <c r="N2677" s="2" t="s">
        <v>3124</v>
      </c>
      <c r="O2677" s="2" t="s">
        <v>67</v>
      </c>
      <c r="P2677" s="2" t="s">
        <v>401</v>
      </c>
      <c r="Q2677" s="2" t="s">
        <v>574</v>
      </c>
      <c r="R2677" s="2" t="s">
        <v>149</v>
      </c>
      <c r="S2677" s="2" t="s">
        <v>198</v>
      </c>
      <c r="T2677" s="10">
        <v>53.21</v>
      </c>
      <c r="U2677" s="11">
        <v>1.085</v>
      </c>
      <c r="V2677" s="12">
        <f>T2677*U2677</f>
        <v>57.732849999999999</v>
      </c>
      <c r="W2677" s="13">
        <v>0.19</v>
      </c>
      <c r="X2677" s="12">
        <f>V2677-(V2677/(1+W2677))</f>
        <v>9.2178499999999985</v>
      </c>
      <c r="Y2677" s="12">
        <f>V2677-X2677</f>
        <v>48.515000000000001</v>
      </c>
      <c r="Z2677" s="14">
        <v>100</v>
      </c>
      <c r="AA2677" s="2" t="str">
        <f>IF(V2677&gt;Z2677,"Yes","No")</f>
        <v>No</v>
      </c>
      <c r="AB2677" s="12">
        <f>V2677-Z2677</f>
        <v>-42.267150000000001</v>
      </c>
      <c r="AC2677" s="15" t="s">
        <v>130</v>
      </c>
      <c r="AD2677" s="15" t="s">
        <v>131</v>
      </c>
      <c r="AE2677" s="15" t="s">
        <v>858</v>
      </c>
      <c r="AF2677" s="12">
        <f>IF(AG2677="Rejected",0,IF(R2677="Corporate Card",0,V2677))</f>
        <v>57.732849999999999</v>
      </c>
      <c r="AG2677" s="15" t="s">
        <v>133</v>
      </c>
      <c r="AH2677" s="16">
        <v>45976</v>
      </c>
      <c r="AI2677" s="16">
        <v>45984</v>
      </c>
      <c r="AJ2677" s="16">
        <v>45987</v>
      </c>
      <c r="AK2677" s="17">
        <f>IF(AJ2677="","",AJ2677-AH2677)</f>
        <v>11</v>
      </c>
    </row>
    <row r="2678" spans="1:37">
      <c r="A2678" s="2" t="s">
        <v>3179</v>
      </c>
      <c r="B2678" s="2" t="s">
        <v>2399</v>
      </c>
      <c r="C2678" s="2" t="s">
        <v>120</v>
      </c>
      <c r="D2678" s="2" t="s">
        <v>118</v>
      </c>
      <c r="E2678" s="2" t="s">
        <v>2400</v>
      </c>
      <c r="F2678" s="2" t="s">
        <v>311</v>
      </c>
      <c r="G2678" s="2" t="s">
        <v>3136</v>
      </c>
      <c r="H2678" s="2" t="s">
        <v>448</v>
      </c>
      <c r="I2678" s="2" t="s">
        <v>1251</v>
      </c>
      <c r="J2678" s="2" t="s">
        <v>750</v>
      </c>
      <c r="K2678" s="9">
        <v>45963</v>
      </c>
      <c r="L2678" s="9">
        <v>45968</v>
      </c>
      <c r="M2678" s="9">
        <v>45967</v>
      </c>
      <c r="N2678" s="2" t="s">
        <v>3124</v>
      </c>
      <c r="O2678" s="2" t="s">
        <v>58</v>
      </c>
      <c r="P2678" s="2" t="s">
        <v>142</v>
      </c>
      <c r="Q2678" s="2" t="s">
        <v>296</v>
      </c>
      <c r="R2678" s="2" t="s">
        <v>137</v>
      </c>
      <c r="S2678" s="2" t="s">
        <v>198</v>
      </c>
      <c r="T2678" s="10">
        <v>38.200000000000003</v>
      </c>
      <c r="U2678" s="11">
        <v>1.085</v>
      </c>
      <c r="V2678" s="12">
        <f>T2678*U2678</f>
        <v>41.447000000000003</v>
      </c>
      <c r="W2678" s="13">
        <v>0.19</v>
      </c>
      <c r="X2678" s="12">
        <f>V2678-(V2678/(1+W2678))</f>
        <v>6.6175882352941144</v>
      </c>
      <c r="Y2678" s="12">
        <f>V2678-X2678</f>
        <v>34.829411764705888</v>
      </c>
      <c r="Z2678" s="14">
        <v>60</v>
      </c>
      <c r="AA2678" s="2" t="str">
        <f>IF(V2678&gt;Z2678,"Yes","No")</f>
        <v>No</v>
      </c>
      <c r="AB2678" s="12">
        <f>V2678-Z2678</f>
        <v>-18.552999999999997</v>
      </c>
      <c r="AC2678" s="15" t="s">
        <v>130</v>
      </c>
      <c r="AD2678" s="15" t="s">
        <v>131</v>
      </c>
      <c r="AE2678" s="15" t="s">
        <v>858</v>
      </c>
      <c r="AF2678" s="12">
        <f>IF(AG2678="Rejected",0,IF(R2678="Corporate Card",0,V2678))</f>
        <v>41.447000000000003</v>
      </c>
      <c r="AG2678" s="15" t="s">
        <v>133</v>
      </c>
      <c r="AH2678" s="16">
        <v>45976</v>
      </c>
      <c r="AI2678" s="16">
        <v>45984</v>
      </c>
      <c r="AJ2678" s="16">
        <v>45987</v>
      </c>
      <c r="AK2678" s="17">
        <f>IF(AJ2678="","",AJ2678-AH2678)</f>
        <v>11</v>
      </c>
    </row>
    <row r="2679" spans="1:37">
      <c r="A2679" s="2" t="s">
        <v>3180</v>
      </c>
      <c r="B2679" s="2" t="s">
        <v>2399</v>
      </c>
      <c r="C2679" s="2" t="s">
        <v>120</v>
      </c>
      <c r="D2679" s="2" t="s">
        <v>118</v>
      </c>
      <c r="E2679" s="2" t="s">
        <v>2400</v>
      </c>
      <c r="F2679" s="2" t="s">
        <v>311</v>
      </c>
      <c r="G2679" s="2" t="s">
        <v>3136</v>
      </c>
      <c r="H2679" s="2" t="s">
        <v>448</v>
      </c>
      <c r="I2679" s="2" t="s">
        <v>1251</v>
      </c>
      <c r="J2679" s="2" t="s">
        <v>750</v>
      </c>
      <c r="K2679" s="9">
        <v>45963</v>
      </c>
      <c r="L2679" s="9">
        <v>45968</v>
      </c>
      <c r="M2679" s="9">
        <v>45967</v>
      </c>
      <c r="N2679" s="2" t="s">
        <v>3124</v>
      </c>
      <c r="O2679" s="2" t="s">
        <v>54</v>
      </c>
      <c r="P2679" s="2" t="s">
        <v>139</v>
      </c>
      <c r="Q2679" s="2" t="s">
        <v>214</v>
      </c>
      <c r="R2679" s="2" t="s">
        <v>128</v>
      </c>
      <c r="S2679" s="2" t="s">
        <v>198</v>
      </c>
      <c r="T2679" s="10">
        <v>18.309999999999999</v>
      </c>
      <c r="U2679" s="11">
        <v>1.085</v>
      </c>
      <c r="V2679" s="12">
        <f>T2679*U2679</f>
        <v>19.866349999999997</v>
      </c>
      <c r="W2679" s="13">
        <v>0.19</v>
      </c>
      <c r="X2679" s="12">
        <f>V2679-(V2679/(1+W2679))</f>
        <v>3.1719382352941174</v>
      </c>
      <c r="Y2679" s="12">
        <f>V2679-X2679</f>
        <v>16.69441176470588</v>
      </c>
      <c r="Z2679" s="14">
        <v>25</v>
      </c>
      <c r="AA2679" s="2" t="str">
        <f>IF(V2679&gt;Z2679,"Yes","No")</f>
        <v>No</v>
      </c>
      <c r="AB2679" s="12">
        <f>V2679-Z2679</f>
        <v>-5.1336500000000029</v>
      </c>
      <c r="AC2679" s="15" t="s">
        <v>130</v>
      </c>
      <c r="AD2679" s="15" t="s">
        <v>131</v>
      </c>
      <c r="AE2679" s="15" t="s">
        <v>858</v>
      </c>
      <c r="AF2679" s="12">
        <f>IF(AG2679="Rejected",0,IF(R2679="Corporate Card",0,V2679))</f>
        <v>0</v>
      </c>
      <c r="AG2679" s="15" t="s">
        <v>133</v>
      </c>
      <c r="AH2679" s="16">
        <v>45976</v>
      </c>
      <c r="AI2679" s="16">
        <v>45984</v>
      </c>
      <c r="AJ2679" s="16">
        <v>45987</v>
      </c>
      <c r="AK2679" s="17">
        <f>IF(AJ2679="","",AJ2679-AH2679)</f>
        <v>11</v>
      </c>
    </row>
    <row r="2680" spans="1:37">
      <c r="A2680" s="2" t="s">
        <v>3181</v>
      </c>
      <c r="B2680" s="2" t="s">
        <v>2399</v>
      </c>
      <c r="C2680" s="2" t="s">
        <v>120</v>
      </c>
      <c r="D2680" s="2" t="s">
        <v>118</v>
      </c>
      <c r="E2680" s="2" t="s">
        <v>2400</v>
      </c>
      <c r="F2680" s="2" t="s">
        <v>311</v>
      </c>
      <c r="G2680" s="2" t="s">
        <v>3136</v>
      </c>
      <c r="H2680" s="2" t="s">
        <v>448</v>
      </c>
      <c r="I2680" s="2" t="s">
        <v>1251</v>
      </c>
      <c r="J2680" s="2" t="s">
        <v>750</v>
      </c>
      <c r="K2680" s="9">
        <v>45963</v>
      </c>
      <c r="L2680" s="9">
        <v>45968</v>
      </c>
      <c r="M2680" s="9">
        <v>45967</v>
      </c>
      <c r="N2680" s="2" t="s">
        <v>3124</v>
      </c>
      <c r="O2680" s="2" t="s">
        <v>55</v>
      </c>
      <c r="P2680" s="2" t="s">
        <v>139</v>
      </c>
      <c r="Q2680" s="2" t="s">
        <v>161</v>
      </c>
      <c r="R2680" s="2" t="s">
        <v>128</v>
      </c>
      <c r="S2680" s="2" t="s">
        <v>198</v>
      </c>
      <c r="T2680" s="10">
        <v>12.34</v>
      </c>
      <c r="U2680" s="11">
        <v>1.085</v>
      </c>
      <c r="V2680" s="12">
        <f>T2680*U2680</f>
        <v>13.3889</v>
      </c>
      <c r="W2680" s="13">
        <v>0.19</v>
      </c>
      <c r="X2680" s="12">
        <f>V2680-(V2680/(1+W2680))</f>
        <v>2.1377235294117636</v>
      </c>
      <c r="Y2680" s="12">
        <f>V2680-X2680</f>
        <v>11.251176470588236</v>
      </c>
      <c r="Z2680" s="14">
        <v>35</v>
      </c>
      <c r="AA2680" s="2" t="str">
        <f>IF(V2680&gt;Z2680,"Yes","No")</f>
        <v>No</v>
      </c>
      <c r="AB2680" s="12">
        <f>V2680-Z2680</f>
        <v>-21.6111</v>
      </c>
      <c r="AC2680" s="15" t="s">
        <v>130</v>
      </c>
      <c r="AD2680" s="15" t="s">
        <v>131</v>
      </c>
      <c r="AE2680" s="15" t="s">
        <v>858</v>
      </c>
      <c r="AF2680" s="12">
        <f>IF(AG2680="Rejected",0,IF(R2680="Corporate Card",0,V2680))</f>
        <v>0</v>
      </c>
      <c r="AG2680" s="15" t="s">
        <v>133</v>
      </c>
      <c r="AH2680" s="16">
        <v>45976</v>
      </c>
      <c r="AI2680" s="16">
        <v>45984</v>
      </c>
      <c r="AJ2680" s="16">
        <v>45987</v>
      </c>
      <c r="AK2680" s="17">
        <f>IF(AJ2680="","",AJ2680-AH2680)</f>
        <v>11</v>
      </c>
    </row>
    <row r="2681" spans="1:37">
      <c r="A2681" s="2" t="s">
        <v>3182</v>
      </c>
      <c r="B2681" s="2" t="s">
        <v>863</v>
      </c>
      <c r="C2681" s="2" t="s">
        <v>864</v>
      </c>
      <c r="D2681" s="2" t="s">
        <v>865</v>
      </c>
      <c r="E2681" s="2" t="s">
        <v>866</v>
      </c>
      <c r="F2681" s="2" t="s">
        <v>867</v>
      </c>
      <c r="G2681" s="2" t="s">
        <v>3183</v>
      </c>
      <c r="H2681" s="2" t="s">
        <v>379</v>
      </c>
      <c r="I2681" s="2" t="s">
        <v>601</v>
      </c>
      <c r="J2681" s="2" t="s">
        <v>381</v>
      </c>
      <c r="K2681" s="9">
        <v>45968</v>
      </c>
      <c r="L2681" s="9">
        <v>45969</v>
      </c>
      <c r="M2681" s="9">
        <v>45968</v>
      </c>
      <c r="N2681" s="2" t="s">
        <v>3124</v>
      </c>
      <c r="O2681" s="2" t="s">
        <v>52</v>
      </c>
      <c r="P2681" s="2" t="s">
        <v>602</v>
      </c>
      <c r="Q2681" s="2" t="s">
        <v>127</v>
      </c>
      <c r="R2681" s="2" t="s">
        <v>128</v>
      </c>
      <c r="S2681" s="2" t="s">
        <v>383</v>
      </c>
      <c r="T2681" s="10">
        <v>900.36</v>
      </c>
      <c r="U2681" s="11">
        <v>1</v>
      </c>
      <c r="V2681" s="12">
        <f>T2681*U2681</f>
        <v>900.36</v>
      </c>
      <c r="W2681" s="13">
        <v>0</v>
      </c>
      <c r="X2681" s="12">
        <f>V2681-(V2681/(1+W2681))</f>
        <v>0</v>
      </c>
      <c r="Y2681" s="12">
        <f>V2681-X2681</f>
        <v>900.36</v>
      </c>
      <c r="Z2681" s="14">
        <v>1400</v>
      </c>
      <c r="AA2681" s="2" t="str">
        <f>IF(V2681&gt;Z2681,"Yes","No")</f>
        <v>No</v>
      </c>
      <c r="AB2681" s="12">
        <f>V2681-Z2681</f>
        <v>-499.64</v>
      </c>
      <c r="AC2681" s="15" t="s">
        <v>130</v>
      </c>
      <c r="AD2681" s="15" t="s">
        <v>131</v>
      </c>
      <c r="AE2681" s="15" t="s">
        <v>132</v>
      </c>
      <c r="AF2681" s="12">
        <f>IF(AG2681="Rejected",0,IF(R2681="Corporate Card",0,V2681))</f>
        <v>0</v>
      </c>
      <c r="AG2681" s="15" t="s">
        <v>133</v>
      </c>
      <c r="AH2681" s="16">
        <v>45981</v>
      </c>
      <c r="AI2681" s="16">
        <v>45982</v>
      </c>
      <c r="AJ2681" s="16">
        <v>45987</v>
      </c>
      <c r="AK2681" s="17">
        <f>IF(AJ2681="","",AJ2681-AH2681)</f>
        <v>6</v>
      </c>
    </row>
    <row r="2682" spans="1:37">
      <c r="A2682" s="2" t="s">
        <v>3184</v>
      </c>
      <c r="B2682" s="2" t="s">
        <v>863</v>
      </c>
      <c r="C2682" s="2" t="s">
        <v>864</v>
      </c>
      <c r="D2682" s="2" t="s">
        <v>865</v>
      </c>
      <c r="E2682" s="2" t="s">
        <v>866</v>
      </c>
      <c r="F2682" s="2" t="s">
        <v>867</v>
      </c>
      <c r="G2682" s="2" t="s">
        <v>3183</v>
      </c>
      <c r="H2682" s="2" t="s">
        <v>379</v>
      </c>
      <c r="I2682" s="2" t="s">
        <v>601</v>
      </c>
      <c r="J2682" s="2" t="s">
        <v>381</v>
      </c>
      <c r="K2682" s="9">
        <v>45968</v>
      </c>
      <c r="L2682" s="9">
        <v>45969</v>
      </c>
      <c r="M2682" s="9">
        <v>45968</v>
      </c>
      <c r="N2682" s="2" t="s">
        <v>3124</v>
      </c>
      <c r="O2682" s="2" t="s">
        <v>54</v>
      </c>
      <c r="P2682" s="2" t="s">
        <v>139</v>
      </c>
      <c r="Q2682" s="2" t="s">
        <v>214</v>
      </c>
      <c r="R2682" s="2" t="s">
        <v>128</v>
      </c>
      <c r="S2682" s="2" t="s">
        <v>383</v>
      </c>
      <c r="T2682" s="10">
        <v>36.450000000000003</v>
      </c>
      <c r="U2682" s="11">
        <v>1</v>
      </c>
      <c r="V2682" s="12">
        <f>T2682*U2682</f>
        <v>36.450000000000003</v>
      </c>
      <c r="W2682" s="13">
        <v>0</v>
      </c>
      <c r="X2682" s="12">
        <f>V2682-(V2682/(1+W2682))</f>
        <v>0</v>
      </c>
      <c r="Y2682" s="12">
        <f>V2682-X2682</f>
        <v>36.450000000000003</v>
      </c>
      <c r="Z2682" s="14">
        <v>25</v>
      </c>
      <c r="AA2682" s="2" t="str">
        <f>IF(V2682&gt;Z2682,"Yes","No")</f>
        <v>Yes</v>
      </c>
      <c r="AB2682" s="12">
        <f>V2682-Z2682</f>
        <v>11.450000000000003</v>
      </c>
      <c r="AC2682" s="15" t="s">
        <v>130</v>
      </c>
      <c r="AD2682" s="15" t="s">
        <v>131</v>
      </c>
      <c r="AE2682" s="15" t="s">
        <v>132</v>
      </c>
      <c r="AF2682" s="12">
        <f>IF(AG2682="Rejected",0,IF(R2682="Corporate Card",0,V2682))</f>
        <v>0</v>
      </c>
      <c r="AG2682" s="15" t="s">
        <v>133</v>
      </c>
      <c r="AH2682" s="16">
        <v>45981</v>
      </c>
      <c r="AI2682" s="16">
        <v>45982</v>
      </c>
      <c r="AJ2682" s="16">
        <v>45987</v>
      </c>
      <c r="AK2682" s="17">
        <f>IF(AJ2682="","",AJ2682-AH2682)</f>
        <v>6</v>
      </c>
    </row>
    <row r="2683" spans="1:37">
      <c r="A2683" s="2" t="s">
        <v>3185</v>
      </c>
      <c r="B2683" s="2" t="s">
        <v>863</v>
      </c>
      <c r="C2683" s="2" t="s">
        <v>864</v>
      </c>
      <c r="D2683" s="2" t="s">
        <v>865</v>
      </c>
      <c r="E2683" s="2" t="s">
        <v>866</v>
      </c>
      <c r="F2683" s="2" t="s">
        <v>867</v>
      </c>
      <c r="G2683" s="2" t="s">
        <v>3183</v>
      </c>
      <c r="H2683" s="2" t="s">
        <v>379</v>
      </c>
      <c r="I2683" s="2" t="s">
        <v>601</v>
      </c>
      <c r="J2683" s="2" t="s">
        <v>381</v>
      </c>
      <c r="K2683" s="9">
        <v>45968</v>
      </c>
      <c r="L2683" s="9">
        <v>45969</v>
      </c>
      <c r="M2683" s="9">
        <v>45968</v>
      </c>
      <c r="N2683" s="2" t="s">
        <v>3124</v>
      </c>
      <c r="O2683" s="2" t="s">
        <v>56</v>
      </c>
      <c r="P2683" s="2" t="s">
        <v>245</v>
      </c>
      <c r="Q2683" s="2" t="s">
        <v>227</v>
      </c>
      <c r="R2683" s="2" t="s">
        <v>128</v>
      </c>
      <c r="S2683" s="2" t="s">
        <v>383</v>
      </c>
      <c r="T2683" s="10">
        <v>98.57</v>
      </c>
      <c r="U2683" s="11">
        <v>1</v>
      </c>
      <c r="V2683" s="12">
        <f>T2683*U2683</f>
        <v>98.57</v>
      </c>
      <c r="W2683" s="13">
        <v>0</v>
      </c>
      <c r="X2683" s="12">
        <f>V2683-(V2683/(1+W2683))</f>
        <v>0</v>
      </c>
      <c r="Y2683" s="12">
        <f>V2683-X2683</f>
        <v>98.57</v>
      </c>
      <c r="Z2683" s="14">
        <v>75</v>
      </c>
      <c r="AA2683" s="2" t="str">
        <f>IF(V2683&gt;Z2683,"Yes","No")</f>
        <v>Yes</v>
      </c>
      <c r="AB2683" s="12">
        <f>V2683-Z2683</f>
        <v>23.569999999999993</v>
      </c>
      <c r="AC2683" s="15" t="s">
        <v>130</v>
      </c>
      <c r="AD2683" s="15" t="s">
        <v>131</v>
      </c>
      <c r="AE2683" s="15" t="s">
        <v>132</v>
      </c>
      <c r="AF2683" s="12">
        <f>IF(AG2683="Rejected",0,IF(R2683="Corporate Card",0,V2683))</f>
        <v>0</v>
      </c>
      <c r="AG2683" s="15" t="s">
        <v>133</v>
      </c>
      <c r="AH2683" s="16">
        <v>45981</v>
      </c>
      <c r="AI2683" s="16">
        <v>45982</v>
      </c>
      <c r="AJ2683" s="16">
        <v>45987</v>
      </c>
      <c r="AK2683" s="17">
        <f>IF(AJ2683="","",AJ2683-AH2683)</f>
        <v>6</v>
      </c>
    </row>
    <row r="2684" spans="1:37">
      <c r="A2684" s="2" t="s">
        <v>3186</v>
      </c>
      <c r="B2684" s="2" t="s">
        <v>2399</v>
      </c>
      <c r="C2684" s="2" t="s">
        <v>120</v>
      </c>
      <c r="D2684" s="2" t="s">
        <v>118</v>
      </c>
      <c r="E2684" s="2" t="s">
        <v>2400</v>
      </c>
      <c r="F2684" s="2" t="s">
        <v>311</v>
      </c>
      <c r="G2684" s="2" t="s">
        <v>3136</v>
      </c>
      <c r="H2684" s="2" t="s">
        <v>448</v>
      </c>
      <c r="I2684" s="2" t="s">
        <v>1251</v>
      </c>
      <c r="J2684" s="2" t="s">
        <v>750</v>
      </c>
      <c r="K2684" s="9">
        <v>45963</v>
      </c>
      <c r="L2684" s="9">
        <v>45968</v>
      </c>
      <c r="M2684" s="9">
        <v>45968</v>
      </c>
      <c r="N2684" s="2" t="s">
        <v>3124</v>
      </c>
      <c r="O2684" s="2" t="s">
        <v>58</v>
      </c>
      <c r="P2684" s="2" t="s">
        <v>142</v>
      </c>
      <c r="Q2684" s="2" t="s">
        <v>203</v>
      </c>
      <c r="R2684" s="2" t="s">
        <v>149</v>
      </c>
      <c r="S2684" s="2" t="s">
        <v>198</v>
      </c>
      <c r="T2684" s="10">
        <v>51.09</v>
      </c>
      <c r="U2684" s="11">
        <v>1.085</v>
      </c>
      <c r="V2684" s="12">
        <f>T2684*U2684</f>
        <v>55.432650000000002</v>
      </c>
      <c r="W2684" s="13">
        <v>0.19</v>
      </c>
      <c r="X2684" s="12">
        <f>V2684-(V2684/(1+W2684))</f>
        <v>8.8505911764705871</v>
      </c>
      <c r="Y2684" s="12">
        <f>V2684-X2684</f>
        <v>46.582058823529415</v>
      </c>
      <c r="Z2684" s="14">
        <v>60</v>
      </c>
      <c r="AA2684" s="2" t="str">
        <f>IF(V2684&gt;Z2684,"Yes","No")</f>
        <v>No</v>
      </c>
      <c r="AB2684" s="12">
        <f>V2684-Z2684</f>
        <v>-4.5673499999999976</v>
      </c>
      <c r="AC2684" s="15" t="s">
        <v>130</v>
      </c>
      <c r="AD2684" s="15" t="s">
        <v>131</v>
      </c>
      <c r="AE2684" s="15" t="s">
        <v>858</v>
      </c>
      <c r="AF2684" s="12">
        <f>IF(AG2684="Rejected",0,IF(R2684="Corporate Card",0,V2684))</f>
        <v>55.432650000000002</v>
      </c>
      <c r="AG2684" s="15" t="s">
        <v>133</v>
      </c>
      <c r="AH2684" s="16">
        <v>45976</v>
      </c>
      <c r="AI2684" s="16">
        <v>45984</v>
      </c>
      <c r="AJ2684" s="16">
        <v>45987</v>
      </c>
      <c r="AK2684" s="17">
        <f>IF(AJ2684="","",AJ2684-AH2684)</f>
        <v>11</v>
      </c>
    </row>
    <row r="2685" spans="1:37">
      <c r="A2685" s="2" t="s">
        <v>3187</v>
      </c>
      <c r="B2685" s="2" t="s">
        <v>2399</v>
      </c>
      <c r="C2685" s="2" t="s">
        <v>120</v>
      </c>
      <c r="D2685" s="2" t="s">
        <v>118</v>
      </c>
      <c r="E2685" s="2" t="s">
        <v>2400</v>
      </c>
      <c r="F2685" s="2" t="s">
        <v>311</v>
      </c>
      <c r="G2685" s="2" t="s">
        <v>3136</v>
      </c>
      <c r="H2685" s="2" t="s">
        <v>448</v>
      </c>
      <c r="I2685" s="2" t="s">
        <v>1251</v>
      </c>
      <c r="J2685" s="2" t="s">
        <v>750</v>
      </c>
      <c r="K2685" s="9">
        <v>45963</v>
      </c>
      <c r="L2685" s="9">
        <v>45968</v>
      </c>
      <c r="M2685" s="9">
        <v>45968</v>
      </c>
      <c r="N2685" s="2" t="s">
        <v>3124</v>
      </c>
      <c r="O2685" s="2" t="s">
        <v>54</v>
      </c>
      <c r="P2685" s="2" t="s">
        <v>139</v>
      </c>
      <c r="Q2685" s="2" t="s">
        <v>214</v>
      </c>
      <c r="R2685" s="2" t="s">
        <v>128</v>
      </c>
      <c r="S2685" s="2" t="s">
        <v>198</v>
      </c>
      <c r="T2685" s="10">
        <v>20.81</v>
      </c>
      <c r="U2685" s="11">
        <v>1.085</v>
      </c>
      <c r="V2685" s="12">
        <f>T2685*U2685</f>
        <v>22.578849999999999</v>
      </c>
      <c r="W2685" s="13">
        <v>0.19</v>
      </c>
      <c r="X2685" s="12">
        <f>V2685-(V2685/(1+W2685))</f>
        <v>3.6050264705882356</v>
      </c>
      <c r="Y2685" s="12">
        <f>V2685-X2685</f>
        <v>18.973823529411764</v>
      </c>
      <c r="Z2685" s="14">
        <v>25</v>
      </c>
      <c r="AA2685" s="2" t="str">
        <f>IF(V2685&gt;Z2685,"Yes","No")</f>
        <v>No</v>
      </c>
      <c r="AB2685" s="12">
        <f>V2685-Z2685</f>
        <v>-2.4211500000000008</v>
      </c>
      <c r="AC2685" s="15" t="s">
        <v>130</v>
      </c>
      <c r="AD2685" s="15" t="s">
        <v>131</v>
      </c>
      <c r="AE2685" s="15" t="s">
        <v>858</v>
      </c>
      <c r="AF2685" s="12">
        <f>IF(AG2685="Rejected",0,IF(R2685="Corporate Card",0,V2685))</f>
        <v>0</v>
      </c>
      <c r="AG2685" s="15" t="s">
        <v>133</v>
      </c>
      <c r="AH2685" s="16">
        <v>45976</v>
      </c>
      <c r="AI2685" s="16">
        <v>45984</v>
      </c>
      <c r="AJ2685" s="16">
        <v>45987</v>
      </c>
      <c r="AK2685" s="17">
        <f>IF(AJ2685="","",AJ2685-AH2685)</f>
        <v>11</v>
      </c>
    </row>
    <row r="2686" spans="1:37">
      <c r="A2686" s="2" t="s">
        <v>3188</v>
      </c>
      <c r="B2686" s="2" t="s">
        <v>2399</v>
      </c>
      <c r="C2686" s="2" t="s">
        <v>120</v>
      </c>
      <c r="D2686" s="2" t="s">
        <v>118</v>
      </c>
      <c r="E2686" s="2" t="s">
        <v>2400</v>
      </c>
      <c r="F2686" s="2" t="s">
        <v>311</v>
      </c>
      <c r="G2686" s="2" t="s">
        <v>3136</v>
      </c>
      <c r="H2686" s="2" t="s">
        <v>448</v>
      </c>
      <c r="I2686" s="2" t="s">
        <v>1251</v>
      </c>
      <c r="J2686" s="2" t="s">
        <v>750</v>
      </c>
      <c r="K2686" s="9">
        <v>45963</v>
      </c>
      <c r="L2686" s="9">
        <v>45968</v>
      </c>
      <c r="M2686" s="9">
        <v>45968</v>
      </c>
      <c r="N2686" s="2" t="s">
        <v>3124</v>
      </c>
      <c r="O2686" s="2" t="s">
        <v>56</v>
      </c>
      <c r="P2686" s="2" t="s">
        <v>245</v>
      </c>
      <c r="Q2686" s="2" t="s">
        <v>159</v>
      </c>
      <c r="R2686" s="2" t="s">
        <v>128</v>
      </c>
      <c r="S2686" s="2" t="s">
        <v>198</v>
      </c>
      <c r="T2686" s="10">
        <v>64.7</v>
      </c>
      <c r="U2686" s="11">
        <v>1.085</v>
      </c>
      <c r="V2686" s="12">
        <f>T2686*U2686</f>
        <v>70.1995</v>
      </c>
      <c r="W2686" s="13">
        <v>0.19</v>
      </c>
      <c r="X2686" s="12">
        <f>V2686-(V2686/(1+W2686))</f>
        <v>11.208323529411764</v>
      </c>
      <c r="Y2686" s="12">
        <f>V2686-X2686</f>
        <v>58.991176470588236</v>
      </c>
      <c r="Z2686" s="14">
        <v>75</v>
      </c>
      <c r="AA2686" s="2" t="str">
        <f>IF(V2686&gt;Z2686,"Yes","No")</f>
        <v>No</v>
      </c>
      <c r="AB2686" s="12">
        <f>V2686-Z2686</f>
        <v>-4.8004999999999995</v>
      </c>
      <c r="AC2686" s="15" t="s">
        <v>130</v>
      </c>
      <c r="AD2686" s="15" t="s">
        <v>131</v>
      </c>
      <c r="AE2686" s="15" t="s">
        <v>858</v>
      </c>
      <c r="AF2686" s="12">
        <f>IF(AG2686="Rejected",0,IF(R2686="Corporate Card",0,V2686))</f>
        <v>0</v>
      </c>
      <c r="AG2686" s="15" t="s">
        <v>133</v>
      </c>
      <c r="AH2686" s="16">
        <v>45976</v>
      </c>
      <c r="AI2686" s="16">
        <v>45984</v>
      </c>
      <c r="AJ2686" s="16">
        <v>45987</v>
      </c>
      <c r="AK2686" s="17">
        <f>IF(AJ2686="","",AJ2686-AH2686)</f>
        <v>11</v>
      </c>
    </row>
    <row r="2687" spans="1:37">
      <c r="A2687" s="2" t="s">
        <v>3189</v>
      </c>
      <c r="B2687" s="2" t="s">
        <v>2399</v>
      </c>
      <c r="C2687" s="2" t="s">
        <v>120</v>
      </c>
      <c r="D2687" s="2" t="s">
        <v>118</v>
      </c>
      <c r="E2687" s="2" t="s">
        <v>2400</v>
      </c>
      <c r="F2687" s="2" t="s">
        <v>311</v>
      </c>
      <c r="G2687" s="2" t="s">
        <v>3136</v>
      </c>
      <c r="H2687" s="2" t="s">
        <v>448</v>
      </c>
      <c r="I2687" s="2" t="s">
        <v>1251</v>
      </c>
      <c r="J2687" s="2" t="s">
        <v>750</v>
      </c>
      <c r="K2687" s="9">
        <v>45963</v>
      </c>
      <c r="L2687" s="9">
        <v>45968</v>
      </c>
      <c r="M2687" s="9">
        <v>45968</v>
      </c>
      <c r="N2687" s="2" t="s">
        <v>3124</v>
      </c>
      <c r="O2687" s="2" t="s">
        <v>55</v>
      </c>
      <c r="P2687" s="2" t="s">
        <v>139</v>
      </c>
      <c r="Q2687" s="2" t="s">
        <v>154</v>
      </c>
      <c r="R2687" s="2" t="s">
        <v>128</v>
      </c>
      <c r="S2687" s="2" t="s">
        <v>198</v>
      </c>
      <c r="T2687" s="10">
        <v>22.59</v>
      </c>
      <c r="U2687" s="11">
        <v>1.085</v>
      </c>
      <c r="V2687" s="12">
        <f>T2687*U2687</f>
        <v>24.510149999999999</v>
      </c>
      <c r="W2687" s="13">
        <v>0.19</v>
      </c>
      <c r="X2687" s="12">
        <f>V2687-(V2687/(1+W2687))</f>
        <v>3.9133852941176457</v>
      </c>
      <c r="Y2687" s="12">
        <f>V2687-X2687</f>
        <v>20.596764705882354</v>
      </c>
      <c r="Z2687" s="14">
        <v>35</v>
      </c>
      <c r="AA2687" s="2" t="str">
        <f>IF(V2687&gt;Z2687,"Yes","No")</f>
        <v>No</v>
      </c>
      <c r="AB2687" s="12">
        <f>V2687-Z2687</f>
        <v>-10.489850000000001</v>
      </c>
      <c r="AC2687" s="15" t="s">
        <v>130</v>
      </c>
      <c r="AD2687" s="15" t="s">
        <v>131</v>
      </c>
      <c r="AE2687" s="15" t="s">
        <v>858</v>
      </c>
      <c r="AF2687" s="12">
        <f>IF(AG2687="Rejected",0,IF(R2687="Corporate Card",0,V2687))</f>
        <v>0</v>
      </c>
      <c r="AG2687" s="15" t="s">
        <v>133</v>
      </c>
      <c r="AH2687" s="16">
        <v>45976</v>
      </c>
      <c r="AI2687" s="16">
        <v>45984</v>
      </c>
      <c r="AJ2687" s="16">
        <v>45987</v>
      </c>
      <c r="AK2687" s="17">
        <f>IF(AJ2687="","",AJ2687-AH2687)</f>
        <v>11</v>
      </c>
    </row>
    <row r="2688" spans="1:37">
      <c r="A2688" s="2" t="s">
        <v>3190</v>
      </c>
      <c r="B2688" s="2" t="s">
        <v>863</v>
      </c>
      <c r="C2688" s="2" t="s">
        <v>864</v>
      </c>
      <c r="D2688" s="2" t="s">
        <v>865</v>
      </c>
      <c r="E2688" s="2" t="s">
        <v>866</v>
      </c>
      <c r="F2688" s="2" t="s">
        <v>867</v>
      </c>
      <c r="G2688" s="2" t="s">
        <v>3183</v>
      </c>
      <c r="H2688" s="2" t="s">
        <v>379</v>
      </c>
      <c r="I2688" s="2" t="s">
        <v>601</v>
      </c>
      <c r="J2688" s="2" t="s">
        <v>381</v>
      </c>
      <c r="K2688" s="9">
        <v>45968</v>
      </c>
      <c r="L2688" s="9">
        <v>45969</v>
      </c>
      <c r="M2688" s="9">
        <v>45969</v>
      </c>
      <c r="N2688" s="2" t="s">
        <v>3124</v>
      </c>
      <c r="O2688" s="2" t="s">
        <v>58</v>
      </c>
      <c r="P2688" s="2" t="s">
        <v>142</v>
      </c>
      <c r="Q2688" s="2" t="s">
        <v>203</v>
      </c>
      <c r="R2688" s="2" t="s">
        <v>128</v>
      </c>
      <c r="S2688" s="2" t="s">
        <v>383</v>
      </c>
      <c r="T2688" s="10">
        <v>51.66</v>
      </c>
      <c r="U2688" s="11">
        <v>1</v>
      </c>
      <c r="V2688" s="12">
        <f>T2688*U2688</f>
        <v>51.66</v>
      </c>
      <c r="W2688" s="13">
        <v>0</v>
      </c>
      <c r="X2688" s="12">
        <f>V2688-(V2688/(1+W2688))</f>
        <v>0</v>
      </c>
      <c r="Y2688" s="12">
        <f>V2688-X2688</f>
        <v>51.66</v>
      </c>
      <c r="Z2688" s="14">
        <v>60</v>
      </c>
      <c r="AA2688" s="2" t="str">
        <f>IF(V2688&gt;Z2688,"Yes","No")</f>
        <v>No</v>
      </c>
      <c r="AB2688" s="12">
        <f>V2688-Z2688</f>
        <v>-8.3400000000000034</v>
      </c>
      <c r="AC2688" s="15" t="s">
        <v>130</v>
      </c>
      <c r="AD2688" s="15" t="s">
        <v>131</v>
      </c>
      <c r="AE2688" s="15" t="s">
        <v>132</v>
      </c>
      <c r="AF2688" s="12">
        <f>IF(AG2688="Rejected",0,IF(R2688="Corporate Card",0,V2688))</f>
        <v>0</v>
      </c>
      <c r="AG2688" s="15" t="s">
        <v>133</v>
      </c>
      <c r="AH2688" s="16">
        <v>45981</v>
      </c>
      <c r="AI2688" s="16">
        <v>45982</v>
      </c>
      <c r="AJ2688" s="16">
        <v>45987</v>
      </c>
      <c r="AK2688" s="17">
        <f>IF(AJ2688="","",AJ2688-AH2688)</f>
        <v>6</v>
      </c>
    </row>
    <row r="2689" spans="1:37">
      <c r="A2689" s="2" t="s">
        <v>3191</v>
      </c>
      <c r="B2689" s="2" t="s">
        <v>863</v>
      </c>
      <c r="C2689" s="2" t="s">
        <v>864</v>
      </c>
      <c r="D2689" s="2" t="s">
        <v>865</v>
      </c>
      <c r="E2689" s="2" t="s">
        <v>866</v>
      </c>
      <c r="F2689" s="2" t="s">
        <v>867</v>
      </c>
      <c r="G2689" s="2" t="s">
        <v>3183</v>
      </c>
      <c r="H2689" s="2" t="s">
        <v>379</v>
      </c>
      <c r="I2689" s="2" t="s">
        <v>601</v>
      </c>
      <c r="J2689" s="2" t="s">
        <v>381</v>
      </c>
      <c r="K2689" s="9">
        <v>45968</v>
      </c>
      <c r="L2689" s="9">
        <v>45969</v>
      </c>
      <c r="M2689" s="9">
        <v>45969</v>
      </c>
      <c r="N2689" s="2" t="s">
        <v>3124</v>
      </c>
      <c r="O2689" s="2" t="s">
        <v>53</v>
      </c>
      <c r="P2689" s="2" t="s">
        <v>405</v>
      </c>
      <c r="Q2689" s="2" t="s">
        <v>305</v>
      </c>
      <c r="R2689" s="2" t="s">
        <v>137</v>
      </c>
      <c r="S2689" s="2" t="s">
        <v>383</v>
      </c>
      <c r="T2689" s="10">
        <v>207.5</v>
      </c>
      <c r="U2689" s="11">
        <v>1</v>
      </c>
      <c r="V2689" s="12">
        <f>T2689*U2689</f>
        <v>207.5</v>
      </c>
      <c r="W2689" s="13">
        <v>0</v>
      </c>
      <c r="X2689" s="12">
        <f>V2689-(V2689/(1+W2689))</f>
        <v>0</v>
      </c>
      <c r="Y2689" s="12">
        <f>V2689-X2689</f>
        <v>207.5</v>
      </c>
      <c r="Z2689" s="14">
        <v>280</v>
      </c>
      <c r="AA2689" s="2" t="str">
        <f>IF(V2689&gt;Z2689,"Yes","No")</f>
        <v>No</v>
      </c>
      <c r="AB2689" s="12">
        <f>V2689-Z2689</f>
        <v>-72.5</v>
      </c>
      <c r="AC2689" s="15" t="s">
        <v>130</v>
      </c>
      <c r="AD2689" s="15" t="s">
        <v>131</v>
      </c>
      <c r="AE2689" s="15" t="s">
        <v>132</v>
      </c>
      <c r="AF2689" s="12">
        <f>IF(AG2689="Rejected",0,IF(R2689="Corporate Card",0,V2689))</f>
        <v>207.5</v>
      </c>
      <c r="AG2689" s="15" t="s">
        <v>133</v>
      </c>
      <c r="AH2689" s="16">
        <v>45981</v>
      </c>
      <c r="AI2689" s="16">
        <v>45982</v>
      </c>
      <c r="AJ2689" s="16">
        <v>45987</v>
      </c>
      <c r="AK2689" s="17">
        <f>IF(AJ2689="","",AJ2689-AH2689)</f>
        <v>6</v>
      </c>
    </row>
    <row r="2690" spans="1:37">
      <c r="A2690" s="2" t="s">
        <v>3192</v>
      </c>
      <c r="B2690" s="2" t="s">
        <v>863</v>
      </c>
      <c r="C2690" s="2" t="s">
        <v>864</v>
      </c>
      <c r="D2690" s="2" t="s">
        <v>865</v>
      </c>
      <c r="E2690" s="2" t="s">
        <v>866</v>
      </c>
      <c r="F2690" s="2" t="s">
        <v>867</v>
      </c>
      <c r="G2690" s="2" t="s">
        <v>3183</v>
      </c>
      <c r="H2690" s="2" t="s">
        <v>379</v>
      </c>
      <c r="I2690" s="2" t="s">
        <v>601</v>
      </c>
      <c r="J2690" s="2" t="s">
        <v>381</v>
      </c>
      <c r="K2690" s="9">
        <v>45968</v>
      </c>
      <c r="L2690" s="9">
        <v>45969</v>
      </c>
      <c r="M2690" s="9">
        <v>45969</v>
      </c>
      <c r="N2690" s="2" t="s">
        <v>3124</v>
      </c>
      <c r="O2690" s="2" t="s">
        <v>54</v>
      </c>
      <c r="P2690" s="2" t="s">
        <v>139</v>
      </c>
      <c r="Q2690" s="2" t="s">
        <v>140</v>
      </c>
      <c r="R2690" s="2" t="s">
        <v>137</v>
      </c>
      <c r="S2690" s="2" t="s">
        <v>383</v>
      </c>
      <c r="T2690" s="10">
        <v>24.12</v>
      </c>
      <c r="U2690" s="11">
        <v>1</v>
      </c>
      <c r="V2690" s="12">
        <f>T2690*U2690</f>
        <v>24.12</v>
      </c>
      <c r="W2690" s="13">
        <v>0</v>
      </c>
      <c r="X2690" s="12">
        <f>V2690-(V2690/(1+W2690))</f>
        <v>0</v>
      </c>
      <c r="Y2690" s="12">
        <f>V2690-X2690</f>
        <v>24.12</v>
      </c>
      <c r="Z2690" s="14">
        <v>25</v>
      </c>
      <c r="AA2690" s="2" t="str">
        <f>IF(V2690&gt;Z2690,"Yes","No")</f>
        <v>No</v>
      </c>
      <c r="AB2690" s="12">
        <f>V2690-Z2690</f>
        <v>-0.87999999999999901</v>
      </c>
      <c r="AC2690" s="15" t="s">
        <v>130</v>
      </c>
      <c r="AD2690" s="15" t="s">
        <v>131</v>
      </c>
      <c r="AE2690" s="15" t="s">
        <v>132</v>
      </c>
      <c r="AF2690" s="12">
        <f>IF(AG2690="Rejected",0,IF(R2690="Corporate Card",0,V2690))</f>
        <v>24.12</v>
      </c>
      <c r="AG2690" s="15" t="s">
        <v>133</v>
      </c>
      <c r="AH2690" s="16">
        <v>45981</v>
      </c>
      <c r="AI2690" s="16">
        <v>45982</v>
      </c>
      <c r="AJ2690" s="16">
        <v>45987</v>
      </c>
      <c r="AK2690" s="17">
        <f>IF(AJ2690="","",AJ2690-AH2690)</f>
        <v>6</v>
      </c>
    </row>
    <row r="2691" spans="1:37">
      <c r="A2691" s="2" t="s">
        <v>3193</v>
      </c>
      <c r="B2691" s="2" t="s">
        <v>863</v>
      </c>
      <c r="C2691" s="2" t="s">
        <v>864</v>
      </c>
      <c r="D2691" s="2" t="s">
        <v>865</v>
      </c>
      <c r="E2691" s="2" t="s">
        <v>866</v>
      </c>
      <c r="F2691" s="2" t="s">
        <v>867</v>
      </c>
      <c r="G2691" s="2" t="s">
        <v>3183</v>
      </c>
      <c r="H2691" s="2" t="s">
        <v>379</v>
      </c>
      <c r="I2691" s="2" t="s">
        <v>601</v>
      </c>
      <c r="J2691" s="2" t="s">
        <v>381</v>
      </c>
      <c r="K2691" s="9">
        <v>45968</v>
      </c>
      <c r="L2691" s="9">
        <v>45969</v>
      </c>
      <c r="M2691" s="9">
        <v>45969</v>
      </c>
      <c r="N2691" s="2" t="s">
        <v>3124</v>
      </c>
      <c r="O2691" s="2" t="s">
        <v>56</v>
      </c>
      <c r="P2691" s="2" t="s">
        <v>151</v>
      </c>
      <c r="Q2691" s="2" t="s">
        <v>227</v>
      </c>
      <c r="R2691" s="2" t="s">
        <v>128</v>
      </c>
      <c r="S2691" s="2" t="s">
        <v>383</v>
      </c>
      <c r="T2691" s="10">
        <v>39.99</v>
      </c>
      <c r="U2691" s="11">
        <v>1</v>
      </c>
      <c r="V2691" s="12">
        <f>T2691*U2691</f>
        <v>39.99</v>
      </c>
      <c r="W2691" s="13">
        <v>0</v>
      </c>
      <c r="X2691" s="12">
        <f>V2691-(V2691/(1+W2691))</f>
        <v>0</v>
      </c>
      <c r="Y2691" s="12">
        <f>V2691-X2691</f>
        <v>39.99</v>
      </c>
      <c r="Z2691" s="14">
        <v>75</v>
      </c>
      <c r="AA2691" s="2" t="str">
        <f>IF(V2691&gt;Z2691,"Yes","No")</f>
        <v>No</v>
      </c>
      <c r="AB2691" s="12">
        <f>V2691-Z2691</f>
        <v>-35.01</v>
      </c>
      <c r="AC2691" s="15" t="s">
        <v>130</v>
      </c>
      <c r="AD2691" s="15" t="s">
        <v>131</v>
      </c>
      <c r="AE2691" s="15" t="s">
        <v>132</v>
      </c>
      <c r="AF2691" s="12">
        <f>IF(AG2691="Rejected",0,IF(R2691="Corporate Card",0,V2691))</f>
        <v>0</v>
      </c>
      <c r="AG2691" s="15" t="s">
        <v>133</v>
      </c>
      <c r="AH2691" s="16">
        <v>45981</v>
      </c>
      <c r="AI2691" s="16">
        <v>45982</v>
      </c>
      <c r="AJ2691" s="16">
        <v>45987</v>
      </c>
      <c r="AK2691" s="17">
        <f>IF(AJ2691="","",AJ2691-AH2691)</f>
        <v>6</v>
      </c>
    </row>
    <row r="2692" spans="1:37">
      <c r="A2692" s="2" t="s">
        <v>3194</v>
      </c>
      <c r="B2692" s="2" t="s">
        <v>863</v>
      </c>
      <c r="C2692" s="2" t="s">
        <v>864</v>
      </c>
      <c r="D2692" s="2" t="s">
        <v>865</v>
      </c>
      <c r="E2692" s="2" t="s">
        <v>866</v>
      </c>
      <c r="F2692" s="2" t="s">
        <v>867</v>
      </c>
      <c r="G2692" s="2" t="s">
        <v>3183</v>
      </c>
      <c r="H2692" s="2" t="s">
        <v>379</v>
      </c>
      <c r="I2692" s="2" t="s">
        <v>601</v>
      </c>
      <c r="J2692" s="2" t="s">
        <v>381</v>
      </c>
      <c r="K2692" s="9">
        <v>45968</v>
      </c>
      <c r="L2692" s="9">
        <v>45969</v>
      </c>
      <c r="M2692" s="9">
        <v>45969</v>
      </c>
      <c r="N2692" s="2" t="s">
        <v>3124</v>
      </c>
      <c r="O2692" s="2" t="s">
        <v>55</v>
      </c>
      <c r="P2692" s="2" t="s">
        <v>139</v>
      </c>
      <c r="Q2692" s="2" t="s">
        <v>187</v>
      </c>
      <c r="R2692" s="2" t="s">
        <v>149</v>
      </c>
      <c r="S2692" s="2" t="s">
        <v>383</v>
      </c>
      <c r="T2692" s="10">
        <v>27.39</v>
      </c>
      <c r="U2692" s="11">
        <v>1</v>
      </c>
      <c r="V2692" s="12">
        <f>T2692*U2692</f>
        <v>27.39</v>
      </c>
      <c r="W2692" s="13">
        <v>0</v>
      </c>
      <c r="X2692" s="12">
        <f>V2692-(V2692/(1+W2692))</f>
        <v>0</v>
      </c>
      <c r="Y2692" s="12">
        <f>V2692-X2692</f>
        <v>27.39</v>
      </c>
      <c r="Z2692" s="14">
        <v>35</v>
      </c>
      <c r="AA2692" s="2" t="str">
        <f>IF(V2692&gt;Z2692,"Yes","No")</f>
        <v>No</v>
      </c>
      <c r="AB2692" s="12">
        <f>V2692-Z2692</f>
        <v>-7.6099999999999994</v>
      </c>
      <c r="AC2692" s="15" t="s">
        <v>130</v>
      </c>
      <c r="AD2692" s="15" t="s">
        <v>131</v>
      </c>
      <c r="AE2692" s="15" t="s">
        <v>132</v>
      </c>
      <c r="AF2692" s="12">
        <f>IF(AG2692="Rejected",0,IF(R2692="Corporate Card",0,V2692))</f>
        <v>27.39</v>
      </c>
      <c r="AG2692" s="15" t="s">
        <v>133</v>
      </c>
      <c r="AH2692" s="16">
        <v>45981</v>
      </c>
      <c r="AI2692" s="16">
        <v>45982</v>
      </c>
      <c r="AJ2692" s="16">
        <v>45987</v>
      </c>
      <c r="AK2692" s="17">
        <f>IF(AJ2692="","",AJ2692-AH2692)</f>
        <v>6</v>
      </c>
    </row>
    <row r="2693" spans="1:37">
      <c r="A2693" s="2" t="s">
        <v>3195</v>
      </c>
      <c r="B2693" s="2" t="s">
        <v>863</v>
      </c>
      <c r="C2693" s="2" t="s">
        <v>864</v>
      </c>
      <c r="D2693" s="2" t="s">
        <v>865</v>
      </c>
      <c r="E2693" s="2" t="s">
        <v>866</v>
      </c>
      <c r="F2693" s="2" t="s">
        <v>867</v>
      </c>
      <c r="G2693" s="2" t="s">
        <v>3183</v>
      </c>
      <c r="H2693" s="2" t="s">
        <v>379</v>
      </c>
      <c r="I2693" s="2" t="s">
        <v>601</v>
      </c>
      <c r="J2693" s="2" t="s">
        <v>381</v>
      </c>
      <c r="K2693" s="9">
        <v>45968</v>
      </c>
      <c r="L2693" s="9">
        <v>45969</v>
      </c>
      <c r="M2693" s="9">
        <v>45969</v>
      </c>
      <c r="N2693" s="2" t="s">
        <v>3124</v>
      </c>
      <c r="O2693" s="2" t="s">
        <v>69</v>
      </c>
      <c r="P2693" s="2" t="s">
        <v>409</v>
      </c>
      <c r="Q2693" s="2" t="s">
        <v>410</v>
      </c>
      <c r="R2693" s="2" t="s">
        <v>128</v>
      </c>
      <c r="S2693" s="2" t="s">
        <v>383</v>
      </c>
      <c r="T2693" s="10">
        <v>40.97</v>
      </c>
      <c r="U2693" s="11">
        <v>1</v>
      </c>
      <c r="V2693" s="12">
        <f>T2693*U2693</f>
        <v>40.97</v>
      </c>
      <c r="W2693" s="13">
        <v>0</v>
      </c>
      <c r="X2693" s="12">
        <f>V2693-(V2693/(1+W2693))</f>
        <v>0</v>
      </c>
      <c r="Y2693" s="12">
        <f>V2693-X2693</f>
        <v>40.97</v>
      </c>
      <c r="Z2693" s="14">
        <v>60</v>
      </c>
      <c r="AA2693" s="2" t="str">
        <f>IF(V2693&gt;Z2693,"Yes","No")</f>
        <v>No</v>
      </c>
      <c r="AB2693" s="12">
        <f>V2693-Z2693</f>
        <v>-19.03</v>
      </c>
      <c r="AC2693" s="15" t="s">
        <v>130</v>
      </c>
      <c r="AD2693" s="15" t="s">
        <v>131</v>
      </c>
      <c r="AE2693" s="15" t="s">
        <v>132</v>
      </c>
      <c r="AF2693" s="12">
        <f>IF(AG2693="Rejected",0,IF(R2693="Corporate Card",0,V2693))</f>
        <v>0</v>
      </c>
      <c r="AG2693" s="15" t="s">
        <v>133</v>
      </c>
      <c r="AH2693" s="16">
        <v>45981</v>
      </c>
      <c r="AI2693" s="16">
        <v>45982</v>
      </c>
      <c r="AJ2693" s="16">
        <v>45987</v>
      </c>
      <c r="AK2693" s="17">
        <f>IF(AJ2693="","",AJ2693-AH2693)</f>
        <v>6</v>
      </c>
    </row>
    <row r="2694" spans="1:37">
      <c r="A2694" s="2" t="s">
        <v>3196</v>
      </c>
      <c r="B2694" s="2" t="s">
        <v>169</v>
      </c>
      <c r="C2694" s="2" t="s">
        <v>170</v>
      </c>
      <c r="D2694" s="2" t="s">
        <v>171</v>
      </c>
      <c r="E2694" s="2" t="s">
        <v>172</v>
      </c>
      <c r="F2694" s="2" t="s">
        <v>173</v>
      </c>
      <c r="G2694" s="2" t="s">
        <v>3197</v>
      </c>
      <c r="H2694" s="2" t="s">
        <v>348</v>
      </c>
      <c r="I2694" s="2" t="s">
        <v>175</v>
      </c>
      <c r="J2694" s="2" t="s">
        <v>176</v>
      </c>
      <c r="K2694" s="9">
        <v>45971</v>
      </c>
      <c r="L2694" s="9">
        <v>45976</v>
      </c>
      <c r="M2694" s="9">
        <v>45971</v>
      </c>
      <c r="N2694" s="2" t="s">
        <v>3124</v>
      </c>
      <c r="O2694" s="2" t="s">
        <v>52</v>
      </c>
      <c r="P2694" s="2" t="s">
        <v>177</v>
      </c>
      <c r="Q2694" s="2" t="s">
        <v>513</v>
      </c>
      <c r="R2694" s="2" t="s">
        <v>137</v>
      </c>
      <c r="S2694" s="2" t="s">
        <v>179</v>
      </c>
      <c r="T2694" s="10">
        <v>8439.81</v>
      </c>
      <c r="U2694" s="11">
        <v>0.18099999999999999</v>
      </c>
      <c r="V2694" s="12">
        <f>T2694*U2694</f>
        <v>1527.6056099999998</v>
      </c>
      <c r="W2694" s="13">
        <v>0</v>
      </c>
      <c r="X2694" s="12">
        <f>V2694-(V2694/(1+W2694))</f>
        <v>0</v>
      </c>
      <c r="Y2694" s="12">
        <f>V2694-X2694</f>
        <v>1527.6056099999998</v>
      </c>
      <c r="Z2694" s="14">
        <v>1400</v>
      </c>
      <c r="AA2694" s="2" t="str">
        <f>IF(V2694&gt;Z2694,"Yes","No")</f>
        <v>Yes</v>
      </c>
      <c r="AB2694" s="12">
        <f>V2694-Z2694</f>
        <v>127.60560999999984</v>
      </c>
      <c r="AC2694" s="15" t="s">
        <v>130</v>
      </c>
      <c r="AD2694" s="15" t="s">
        <v>130</v>
      </c>
      <c r="AE2694" s="15" t="s">
        <v>437</v>
      </c>
      <c r="AF2694" s="12">
        <f>IF(AG2694="Rejected",0,IF(R2694="Corporate Card",0,V2694))</f>
        <v>1527.6056099999998</v>
      </c>
      <c r="AG2694" s="15" t="s">
        <v>133</v>
      </c>
      <c r="AH2694" s="16">
        <v>45984</v>
      </c>
      <c r="AI2694" s="16">
        <v>45992</v>
      </c>
      <c r="AJ2694" s="16">
        <v>46004</v>
      </c>
      <c r="AK2694" s="17">
        <f>IF(AJ2694="","",AJ2694-AH2694)</f>
        <v>20</v>
      </c>
    </row>
    <row r="2695" spans="1:37">
      <c r="A2695" s="2" t="s">
        <v>3198</v>
      </c>
      <c r="B2695" s="2" t="s">
        <v>169</v>
      </c>
      <c r="C2695" s="2" t="s">
        <v>170</v>
      </c>
      <c r="D2695" s="2" t="s">
        <v>171</v>
      </c>
      <c r="E2695" s="2" t="s">
        <v>172</v>
      </c>
      <c r="F2695" s="2" t="s">
        <v>173</v>
      </c>
      <c r="G2695" s="2" t="s">
        <v>3197</v>
      </c>
      <c r="H2695" s="2" t="s">
        <v>348</v>
      </c>
      <c r="I2695" s="2" t="s">
        <v>175</v>
      </c>
      <c r="J2695" s="2" t="s">
        <v>176</v>
      </c>
      <c r="K2695" s="9">
        <v>45971</v>
      </c>
      <c r="L2695" s="9">
        <v>45976</v>
      </c>
      <c r="M2695" s="9">
        <v>45971</v>
      </c>
      <c r="N2695" s="2" t="s">
        <v>3124</v>
      </c>
      <c r="O2695" s="2" t="s">
        <v>54</v>
      </c>
      <c r="P2695" s="2" t="s">
        <v>139</v>
      </c>
      <c r="Q2695" s="2" t="s">
        <v>163</v>
      </c>
      <c r="R2695" s="2" t="s">
        <v>137</v>
      </c>
      <c r="S2695" s="2" t="s">
        <v>179</v>
      </c>
      <c r="T2695" s="10">
        <v>65.53</v>
      </c>
      <c r="U2695" s="11">
        <v>0.18099999999999999</v>
      </c>
      <c r="V2695" s="12">
        <f>T2695*U2695</f>
        <v>11.86093</v>
      </c>
      <c r="W2695" s="13">
        <v>0.17</v>
      </c>
      <c r="X2695" s="12">
        <f>V2695-(V2695/(1+W2695))</f>
        <v>1.7233829914529917</v>
      </c>
      <c r="Y2695" s="12">
        <f>V2695-X2695</f>
        <v>10.137547008547008</v>
      </c>
      <c r="Z2695" s="14">
        <v>25</v>
      </c>
      <c r="AA2695" s="2" t="str">
        <f>IF(V2695&gt;Z2695,"Yes","No")</f>
        <v>No</v>
      </c>
      <c r="AB2695" s="12">
        <f>V2695-Z2695</f>
        <v>-13.13907</v>
      </c>
      <c r="AC2695" s="15" t="s">
        <v>130</v>
      </c>
      <c r="AD2695" s="15" t="s">
        <v>130</v>
      </c>
      <c r="AE2695" s="15" t="s">
        <v>437</v>
      </c>
      <c r="AF2695" s="12">
        <f>IF(AG2695="Rejected",0,IF(R2695="Corporate Card",0,V2695))</f>
        <v>11.86093</v>
      </c>
      <c r="AG2695" s="15" t="s">
        <v>133</v>
      </c>
      <c r="AH2695" s="16">
        <v>45984</v>
      </c>
      <c r="AI2695" s="16">
        <v>45992</v>
      </c>
      <c r="AJ2695" s="16">
        <v>46004</v>
      </c>
      <c r="AK2695" s="17">
        <f>IF(AJ2695="","",AJ2695-AH2695)</f>
        <v>20</v>
      </c>
    </row>
    <row r="2696" spans="1:37">
      <c r="A2696" s="2" t="s">
        <v>3199</v>
      </c>
      <c r="B2696" s="2" t="s">
        <v>169</v>
      </c>
      <c r="C2696" s="2" t="s">
        <v>170</v>
      </c>
      <c r="D2696" s="2" t="s">
        <v>171</v>
      </c>
      <c r="E2696" s="2" t="s">
        <v>172</v>
      </c>
      <c r="F2696" s="2" t="s">
        <v>173</v>
      </c>
      <c r="G2696" s="2" t="s">
        <v>3197</v>
      </c>
      <c r="H2696" s="2" t="s">
        <v>348</v>
      </c>
      <c r="I2696" s="2" t="s">
        <v>175</v>
      </c>
      <c r="J2696" s="2" t="s">
        <v>176</v>
      </c>
      <c r="K2696" s="9">
        <v>45971</v>
      </c>
      <c r="L2696" s="9">
        <v>45976</v>
      </c>
      <c r="M2696" s="9">
        <v>45971</v>
      </c>
      <c r="N2696" s="2" t="s">
        <v>3124</v>
      </c>
      <c r="O2696" s="2" t="s">
        <v>56</v>
      </c>
      <c r="P2696" s="2" t="s">
        <v>151</v>
      </c>
      <c r="Q2696" s="2" t="s">
        <v>159</v>
      </c>
      <c r="R2696" s="2" t="s">
        <v>137</v>
      </c>
      <c r="S2696" s="2" t="s">
        <v>179</v>
      </c>
      <c r="T2696" s="10">
        <v>325.44</v>
      </c>
      <c r="U2696" s="11">
        <v>0.18099999999999999</v>
      </c>
      <c r="V2696" s="12">
        <f>T2696*U2696</f>
        <v>58.904640000000001</v>
      </c>
      <c r="W2696" s="13">
        <v>0.17</v>
      </c>
      <c r="X2696" s="12">
        <f>V2696-(V2696/(1+W2696))</f>
        <v>8.55879384615384</v>
      </c>
      <c r="Y2696" s="12">
        <f>V2696-X2696</f>
        <v>50.345846153846161</v>
      </c>
      <c r="Z2696" s="14">
        <v>75</v>
      </c>
      <c r="AA2696" s="2" t="str">
        <f>IF(V2696&gt;Z2696,"Yes","No")</f>
        <v>No</v>
      </c>
      <c r="AB2696" s="12">
        <f>V2696-Z2696</f>
        <v>-16.095359999999999</v>
      </c>
      <c r="AC2696" s="15" t="s">
        <v>130</v>
      </c>
      <c r="AD2696" s="15" t="s">
        <v>130</v>
      </c>
      <c r="AE2696" s="15" t="s">
        <v>437</v>
      </c>
      <c r="AF2696" s="12">
        <f>IF(AG2696="Rejected",0,IF(R2696="Corporate Card",0,V2696))</f>
        <v>58.904640000000001</v>
      </c>
      <c r="AG2696" s="15" t="s">
        <v>133</v>
      </c>
      <c r="AH2696" s="16">
        <v>45984</v>
      </c>
      <c r="AI2696" s="16">
        <v>45992</v>
      </c>
      <c r="AJ2696" s="16">
        <v>46004</v>
      </c>
      <c r="AK2696" s="17">
        <f>IF(AJ2696="","",AJ2696-AH2696)</f>
        <v>20</v>
      </c>
    </row>
    <row r="2697" spans="1:37">
      <c r="A2697" s="2" t="s">
        <v>3200</v>
      </c>
      <c r="B2697" s="2" t="s">
        <v>169</v>
      </c>
      <c r="C2697" s="2" t="s">
        <v>170</v>
      </c>
      <c r="D2697" s="2" t="s">
        <v>171</v>
      </c>
      <c r="E2697" s="2" t="s">
        <v>172</v>
      </c>
      <c r="F2697" s="2" t="s">
        <v>173</v>
      </c>
      <c r="G2697" s="2" t="s">
        <v>3197</v>
      </c>
      <c r="H2697" s="2" t="s">
        <v>348</v>
      </c>
      <c r="I2697" s="2" t="s">
        <v>175</v>
      </c>
      <c r="J2697" s="2" t="s">
        <v>176</v>
      </c>
      <c r="K2697" s="9">
        <v>45971</v>
      </c>
      <c r="L2697" s="9">
        <v>45976</v>
      </c>
      <c r="M2697" s="9">
        <v>45971</v>
      </c>
      <c r="N2697" s="2" t="s">
        <v>3124</v>
      </c>
      <c r="O2697" s="2" t="s">
        <v>55</v>
      </c>
      <c r="P2697" s="2" t="s">
        <v>139</v>
      </c>
      <c r="Q2697" s="2" t="s">
        <v>154</v>
      </c>
      <c r="R2697" s="2" t="s">
        <v>128</v>
      </c>
      <c r="S2697" s="2" t="s">
        <v>179</v>
      </c>
      <c r="T2697" s="10">
        <v>143.38999999999999</v>
      </c>
      <c r="U2697" s="11">
        <v>0.18099999999999999</v>
      </c>
      <c r="V2697" s="12">
        <f>T2697*U2697</f>
        <v>25.953589999999998</v>
      </c>
      <c r="W2697" s="13">
        <v>0.17</v>
      </c>
      <c r="X2697" s="12">
        <f>V2697-(V2697/(1+W2697))</f>
        <v>3.7710344444444424</v>
      </c>
      <c r="Y2697" s="12">
        <f>V2697-X2697</f>
        <v>22.182555555555556</v>
      </c>
      <c r="Z2697" s="14">
        <v>35</v>
      </c>
      <c r="AA2697" s="2" t="str">
        <f>IF(V2697&gt;Z2697,"Yes","No")</f>
        <v>No</v>
      </c>
      <c r="AB2697" s="12">
        <f>V2697-Z2697</f>
        <v>-9.0464100000000016</v>
      </c>
      <c r="AC2697" s="15" t="s">
        <v>130</v>
      </c>
      <c r="AD2697" s="15" t="s">
        <v>130</v>
      </c>
      <c r="AE2697" s="15" t="s">
        <v>437</v>
      </c>
      <c r="AF2697" s="12">
        <f>IF(AG2697="Rejected",0,IF(R2697="Corporate Card",0,V2697))</f>
        <v>0</v>
      </c>
      <c r="AG2697" s="15" t="s">
        <v>133</v>
      </c>
      <c r="AH2697" s="16">
        <v>45984</v>
      </c>
      <c r="AI2697" s="16">
        <v>45992</v>
      </c>
      <c r="AJ2697" s="16">
        <v>46004</v>
      </c>
      <c r="AK2697" s="17">
        <f>IF(AJ2697="","",AJ2697-AH2697)</f>
        <v>20</v>
      </c>
    </row>
    <row r="2698" spans="1:37">
      <c r="A2698" s="2" t="s">
        <v>3201</v>
      </c>
      <c r="B2698" s="2" t="s">
        <v>169</v>
      </c>
      <c r="C2698" s="2" t="s">
        <v>170</v>
      </c>
      <c r="D2698" s="2" t="s">
        <v>171</v>
      </c>
      <c r="E2698" s="2" t="s">
        <v>172</v>
      </c>
      <c r="F2698" s="2" t="s">
        <v>173</v>
      </c>
      <c r="G2698" s="2" t="s">
        <v>3197</v>
      </c>
      <c r="H2698" s="2" t="s">
        <v>348</v>
      </c>
      <c r="I2698" s="2" t="s">
        <v>175</v>
      </c>
      <c r="J2698" s="2" t="s">
        <v>176</v>
      </c>
      <c r="K2698" s="9">
        <v>45971</v>
      </c>
      <c r="L2698" s="9">
        <v>45976</v>
      </c>
      <c r="M2698" s="9">
        <v>45972</v>
      </c>
      <c r="N2698" s="2" t="s">
        <v>3124</v>
      </c>
      <c r="O2698" s="2" t="s">
        <v>60</v>
      </c>
      <c r="P2698" s="2" t="s">
        <v>1677</v>
      </c>
      <c r="Q2698" s="2" t="s">
        <v>503</v>
      </c>
      <c r="R2698" s="2" t="s">
        <v>128</v>
      </c>
      <c r="S2698" s="2" t="s">
        <v>179</v>
      </c>
      <c r="T2698" s="10">
        <v>2214.34</v>
      </c>
      <c r="U2698" s="11">
        <v>0.18099999999999999</v>
      </c>
      <c r="V2698" s="12">
        <f>T2698*U2698</f>
        <v>400.79554000000002</v>
      </c>
      <c r="W2698" s="13">
        <v>0.17</v>
      </c>
      <c r="X2698" s="12">
        <f>V2698-(V2698/(1+W2698))</f>
        <v>58.235249401709382</v>
      </c>
      <c r="Y2698" s="12">
        <f>V2698-X2698</f>
        <v>342.56029059829063</v>
      </c>
      <c r="Z2698" s="14">
        <v>600</v>
      </c>
      <c r="AA2698" s="2" t="str">
        <f>IF(V2698&gt;Z2698,"Yes","No")</f>
        <v>No</v>
      </c>
      <c r="AB2698" s="12">
        <f>V2698-Z2698</f>
        <v>-199.20445999999998</v>
      </c>
      <c r="AC2698" s="15" t="s">
        <v>130</v>
      </c>
      <c r="AD2698" s="15" t="s">
        <v>130</v>
      </c>
      <c r="AE2698" s="15" t="s">
        <v>437</v>
      </c>
      <c r="AF2698" s="12">
        <f>IF(AG2698="Rejected",0,IF(R2698="Corporate Card",0,V2698))</f>
        <v>0</v>
      </c>
      <c r="AG2698" s="15" t="s">
        <v>133</v>
      </c>
      <c r="AH2698" s="16">
        <v>45984</v>
      </c>
      <c r="AI2698" s="16">
        <v>45992</v>
      </c>
      <c r="AJ2698" s="16">
        <v>46004</v>
      </c>
      <c r="AK2698" s="17">
        <f>IF(AJ2698="","",AJ2698-AH2698)</f>
        <v>20</v>
      </c>
    </row>
    <row r="2699" spans="1:37">
      <c r="A2699" s="2" t="s">
        <v>3202</v>
      </c>
      <c r="B2699" s="2" t="s">
        <v>169</v>
      </c>
      <c r="C2699" s="2" t="s">
        <v>170</v>
      </c>
      <c r="D2699" s="2" t="s">
        <v>171</v>
      </c>
      <c r="E2699" s="2" t="s">
        <v>172</v>
      </c>
      <c r="F2699" s="2" t="s">
        <v>173</v>
      </c>
      <c r="G2699" s="2" t="s">
        <v>3197</v>
      </c>
      <c r="H2699" s="2" t="s">
        <v>348</v>
      </c>
      <c r="I2699" s="2" t="s">
        <v>175</v>
      </c>
      <c r="J2699" s="2" t="s">
        <v>176</v>
      </c>
      <c r="K2699" s="9">
        <v>45971</v>
      </c>
      <c r="L2699" s="9">
        <v>45976</v>
      </c>
      <c r="M2699" s="9">
        <v>45972</v>
      </c>
      <c r="N2699" s="2" t="s">
        <v>3124</v>
      </c>
      <c r="O2699" s="2" t="s">
        <v>53</v>
      </c>
      <c r="P2699" s="2" t="s">
        <v>271</v>
      </c>
      <c r="Q2699" s="2" t="s">
        <v>209</v>
      </c>
      <c r="R2699" s="2" t="s">
        <v>137</v>
      </c>
      <c r="S2699" s="2" t="s">
        <v>179</v>
      </c>
      <c r="T2699" s="10">
        <v>3332.53</v>
      </c>
      <c r="U2699" s="11">
        <v>0.18099999999999999</v>
      </c>
      <c r="V2699" s="12">
        <f>T2699*U2699</f>
        <v>603.18793000000005</v>
      </c>
      <c r="W2699" s="13">
        <v>0.17</v>
      </c>
      <c r="X2699" s="12">
        <f>V2699-(V2699/(1+W2699))</f>
        <v>87.642690683760634</v>
      </c>
      <c r="Y2699" s="12">
        <f>V2699-X2699</f>
        <v>515.54523931623942</v>
      </c>
      <c r="Z2699" s="14">
        <v>1400</v>
      </c>
      <c r="AA2699" s="2" t="str">
        <f>IF(V2699&gt;Z2699,"Yes","No")</f>
        <v>No</v>
      </c>
      <c r="AB2699" s="12">
        <f>V2699-Z2699</f>
        <v>-796.81206999999995</v>
      </c>
      <c r="AC2699" s="15" t="s">
        <v>130</v>
      </c>
      <c r="AD2699" s="15" t="s">
        <v>130</v>
      </c>
      <c r="AE2699" s="15" t="s">
        <v>437</v>
      </c>
      <c r="AF2699" s="12">
        <f>IF(AG2699="Rejected",0,IF(R2699="Corporate Card",0,V2699))</f>
        <v>603.18793000000005</v>
      </c>
      <c r="AG2699" s="15" t="s">
        <v>133</v>
      </c>
      <c r="AH2699" s="16">
        <v>45984</v>
      </c>
      <c r="AI2699" s="16">
        <v>45992</v>
      </c>
      <c r="AJ2699" s="16">
        <v>46004</v>
      </c>
      <c r="AK2699" s="17">
        <f>IF(AJ2699="","",AJ2699-AH2699)</f>
        <v>20</v>
      </c>
    </row>
    <row r="2700" spans="1:37">
      <c r="A2700" s="2" t="s">
        <v>3203</v>
      </c>
      <c r="B2700" s="2" t="s">
        <v>169</v>
      </c>
      <c r="C2700" s="2" t="s">
        <v>170</v>
      </c>
      <c r="D2700" s="2" t="s">
        <v>171</v>
      </c>
      <c r="E2700" s="2" t="s">
        <v>172</v>
      </c>
      <c r="F2700" s="2" t="s">
        <v>173</v>
      </c>
      <c r="G2700" s="2" t="s">
        <v>3197</v>
      </c>
      <c r="H2700" s="2" t="s">
        <v>348</v>
      </c>
      <c r="I2700" s="2" t="s">
        <v>175</v>
      </c>
      <c r="J2700" s="2" t="s">
        <v>176</v>
      </c>
      <c r="K2700" s="9">
        <v>45971</v>
      </c>
      <c r="L2700" s="9">
        <v>45976</v>
      </c>
      <c r="M2700" s="9">
        <v>45972</v>
      </c>
      <c r="N2700" s="2" t="s">
        <v>3124</v>
      </c>
      <c r="O2700" s="2" t="s">
        <v>65</v>
      </c>
      <c r="P2700" s="2" t="s">
        <v>211</v>
      </c>
      <c r="Q2700" s="2" t="s">
        <v>212</v>
      </c>
      <c r="R2700" s="2" t="s">
        <v>128</v>
      </c>
      <c r="S2700" s="2" t="s">
        <v>179</v>
      </c>
      <c r="T2700" s="10">
        <v>199.31</v>
      </c>
      <c r="U2700" s="11">
        <v>0.18099999999999999</v>
      </c>
      <c r="V2700" s="12">
        <f>T2700*U2700</f>
        <v>36.075110000000002</v>
      </c>
      <c r="W2700" s="13">
        <v>0.17</v>
      </c>
      <c r="X2700" s="12">
        <f>V2700-(V2700/(1+W2700))</f>
        <v>5.241682649572649</v>
      </c>
      <c r="Y2700" s="12">
        <f>V2700-X2700</f>
        <v>30.833427350427353</v>
      </c>
      <c r="Z2700" s="14">
        <v>55</v>
      </c>
      <c r="AA2700" s="2" t="str">
        <f>IF(V2700&gt;Z2700,"Yes","No")</f>
        <v>No</v>
      </c>
      <c r="AB2700" s="12">
        <f>V2700-Z2700</f>
        <v>-18.924889999999998</v>
      </c>
      <c r="AC2700" s="15" t="s">
        <v>130</v>
      </c>
      <c r="AD2700" s="15" t="s">
        <v>130</v>
      </c>
      <c r="AE2700" s="15" t="s">
        <v>437</v>
      </c>
      <c r="AF2700" s="12">
        <f>IF(AG2700="Rejected",0,IF(R2700="Corporate Card",0,V2700))</f>
        <v>0</v>
      </c>
      <c r="AG2700" s="15" t="s">
        <v>133</v>
      </c>
      <c r="AH2700" s="16">
        <v>45984</v>
      </c>
      <c r="AI2700" s="16">
        <v>45992</v>
      </c>
      <c r="AJ2700" s="16">
        <v>46004</v>
      </c>
      <c r="AK2700" s="17">
        <f>IF(AJ2700="","",AJ2700-AH2700)</f>
        <v>20</v>
      </c>
    </row>
    <row r="2701" spans="1:37">
      <c r="A2701" s="2" t="s">
        <v>3204</v>
      </c>
      <c r="B2701" s="2" t="s">
        <v>169</v>
      </c>
      <c r="C2701" s="2" t="s">
        <v>170</v>
      </c>
      <c r="D2701" s="2" t="s">
        <v>171</v>
      </c>
      <c r="E2701" s="2" t="s">
        <v>172</v>
      </c>
      <c r="F2701" s="2" t="s">
        <v>173</v>
      </c>
      <c r="G2701" s="2" t="s">
        <v>3197</v>
      </c>
      <c r="H2701" s="2" t="s">
        <v>348</v>
      </c>
      <c r="I2701" s="2" t="s">
        <v>175</v>
      </c>
      <c r="J2701" s="2" t="s">
        <v>176</v>
      </c>
      <c r="K2701" s="9">
        <v>45971</v>
      </c>
      <c r="L2701" s="9">
        <v>45976</v>
      </c>
      <c r="M2701" s="9">
        <v>45972</v>
      </c>
      <c r="N2701" s="2" t="s">
        <v>3124</v>
      </c>
      <c r="O2701" s="2" t="s">
        <v>54</v>
      </c>
      <c r="P2701" s="2" t="s">
        <v>139</v>
      </c>
      <c r="Q2701" s="2" t="s">
        <v>214</v>
      </c>
      <c r="R2701" s="2" t="s">
        <v>128</v>
      </c>
      <c r="S2701" s="2" t="s">
        <v>179</v>
      </c>
      <c r="T2701" s="10">
        <v>117.11</v>
      </c>
      <c r="U2701" s="11">
        <v>0.18099999999999999</v>
      </c>
      <c r="V2701" s="12">
        <f>T2701*U2701</f>
        <v>21.196909999999999</v>
      </c>
      <c r="W2701" s="13">
        <v>0.17</v>
      </c>
      <c r="X2701" s="12">
        <f>V2701-(V2701/(1+W2701))</f>
        <v>3.0798929059829057</v>
      </c>
      <c r="Y2701" s="12">
        <f>V2701-X2701</f>
        <v>18.117017094017093</v>
      </c>
      <c r="Z2701" s="14">
        <v>25</v>
      </c>
      <c r="AA2701" s="2" t="str">
        <f>IF(V2701&gt;Z2701,"Yes","No")</f>
        <v>No</v>
      </c>
      <c r="AB2701" s="12">
        <f>V2701-Z2701</f>
        <v>-3.803090000000001</v>
      </c>
      <c r="AC2701" s="15" t="s">
        <v>130</v>
      </c>
      <c r="AD2701" s="15" t="s">
        <v>130</v>
      </c>
      <c r="AE2701" s="15" t="s">
        <v>437</v>
      </c>
      <c r="AF2701" s="12">
        <f>IF(AG2701="Rejected",0,IF(R2701="Corporate Card",0,V2701))</f>
        <v>0</v>
      </c>
      <c r="AG2701" s="15" t="s">
        <v>133</v>
      </c>
      <c r="AH2701" s="16">
        <v>45984</v>
      </c>
      <c r="AI2701" s="16">
        <v>45992</v>
      </c>
      <c r="AJ2701" s="16">
        <v>46004</v>
      </c>
      <c r="AK2701" s="17">
        <f>IF(AJ2701="","",AJ2701-AH2701)</f>
        <v>20</v>
      </c>
    </row>
    <row r="2702" spans="1:37">
      <c r="A2702" s="2" t="s">
        <v>3205</v>
      </c>
      <c r="B2702" s="2" t="s">
        <v>169</v>
      </c>
      <c r="C2702" s="2" t="s">
        <v>170</v>
      </c>
      <c r="D2702" s="2" t="s">
        <v>171</v>
      </c>
      <c r="E2702" s="2" t="s">
        <v>172</v>
      </c>
      <c r="F2702" s="2" t="s">
        <v>173</v>
      </c>
      <c r="G2702" s="2" t="s">
        <v>3197</v>
      </c>
      <c r="H2702" s="2" t="s">
        <v>348</v>
      </c>
      <c r="I2702" s="2" t="s">
        <v>175</v>
      </c>
      <c r="J2702" s="2" t="s">
        <v>176</v>
      </c>
      <c r="K2702" s="9">
        <v>45971</v>
      </c>
      <c r="L2702" s="9">
        <v>45976</v>
      </c>
      <c r="M2702" s="9">
        <v>45972</v>
      </c>
      <c r="N2702" s="2" t="s">
        <v>3124</v>
      </c>
      <c r="O2702" s="2" t="s">
        <v>55</v>
      </c>
      <c r="P2702" s="2" t="s">
        <v>139</v>
      </c>
      <c r="Q2702" s="2" t="s">
        <v>154</v>
      </c>
      <c r="R2702" s="2" t="s">
        <v>128</v>
      </c>
      <c r="S2702" s="2" t="s">
        <v>179</v>
      </c>
      <c r="T2702" s="10">
        <v>109</v>
      </c>
      <c r="U2702" s="11">
        <v>0.18099999999999999</v>
      </c>
      <c r="V2702" s="12">
        <f>T2702*U2702</f>
        <v>19.728999999999999</v>
      </c>
      <c r="W2702" s="13">
        <v>0.17</v>
      </c>
      <c r="X2702" s="12">
        <f>V2702-(V2702/(1+W2702))</f>
        <v>2.8666068376068381</v>
      </c>
      <c r="Y2702" s="12">
        <f>V2702-X2702</f>
        <v>16.862393162393161</v>
      </c>
      <c r="Z2702" s="14">
        <v>35</v>
      </c>
      <c r="AA2702" s="2" t="str">
        <f>IF(V2702&gt;Z2702,"Yes","No")</f>
        <v>No</v>
      </c>
      <c r="AB2702" s="12">
        <f>V2702-Z2702</f>
        <v>-15.271000000000001</v>
      </c>
      <c r="AC2702" s="15" t="s">
        <v>130</v>
      </c>
      <c r="AD2702" s="15" t="s">
        <v>130</v>
      </c>
      <c r="AE2702" s="15" t="s">
        <v>437</v>
      </c>
      <c r="AF2702" s="12">
        <f>IF(AG2702="Rejected",0,IF(R2702="Corporate Card",0,V2702))</f>
        <v>0</v>
      </c>
      <c r="AG2702" s="15" t="s">
        <v>133</v>
      </c>
      <c r="AH2702" s="16">
        <v>45984</v>
      </c>
      <c r="AI2702" s="16">
        <v>45992</v>
      </c>
      <c r="AJ2702" s="16">
        <v>46004</v>
      </c>
      <c r="AK2702" s="17">
        <f>IF(AJ2702="","",AJ2702-AH2702)</f>
        <v>20</v>
      </c>
    </row>
    <row r="2703" spans="1:37">
      <c r="A2703" s="2" t="s">
        <v>3206</v>
      </c>
      <c r="B2703" s="2" t="s">
        <v>882</v>
      </c>
      <c r="C2703" s="2" t="s">
        <v>446</v>
      </c>
      <c r="D2703" s="2" t="s">
        <v>444</v>
      </c>
      <c r="E2703" s="2" t="s">
        <v>883</v>
      </c>
      <c r="F2703" s="2" t="s">
        <v>313</v>
      </c>
      <c r="G2703" s="2" t="s">
        <v>3207</v>
      </c>
      <c r="H2703" s="2" t="s">
        <v>348</v>
      </c>
      <c r="I2703" s="2" t="s">
        <v>619</v>
      </c>
      <c r="J2703" s="2" t="s">
        <v>381</v>
      </c>
      <c r="K2703" s="9">
        <v>45973</v>
      </c>
      <c r="L2703" s="9">
        <v>45977</v>
      </c>
      <c r="M2703" s="9">
        <v>45973</v>
      </c>
      <c r="N2703" s="2" t="s">
        <v>3124</v>
      </c>
      <c r="O2703" s="2" t="s">
        <v>52</v>
      </c>
      <c r="P2703" s="2" t="s">
        <v>620</v>
      </c>
      <c r="Q2703" s="2" t="s">
        <v>420</v>
      </c>
      <c r="R2703" s="2" t="s">
        <v>128</v>
      </c>
      <c r="S2703" s="2" t="s">
        <v>383</v>
      </c>
      <c r="T2703" s="10">
        <v>495.7</v>
      </c>
      <c r="U2703" s="11">
        <v>1</v>
      </c>
      <c r="V2703" s="12">
        <f>T2703*U2703</f>
        <v>495.7</v>
      </c>
      <c r="W2703" s="13">
        <v>0</v>
      </c>
      <c r="X2703" s="12">
        <f>V2703-(V2703/(1+W2703))</f>
        <v>0</v>
      </c>
      <c r="Y2703" s="12">
        <f>V2703-X2703</f>
        <v>495.7</v>
      </c>
      <c r="Z2703" s="14">
        <v>1400</v>
      </c>
      <c r="AA2703" s="2" t="str">
        <f>IF(V2703&gt;Z2703,"Yes","No")</f>
        <v>No</v>
      </c>
      <c r="AB2703" s="12">
        <f>V2703-Z2703</f>
        <v>-904.3</v>
      </c>
      <c r="AC2703" s="15" t="s">
        <v>130</v>
      </c>
      <c r="AD2703" s="15" t="s">
        <v>130</v>
      </c>
      <c r="AE2703" s="15" t="s">
        <v>421</v>
      </c>
      <c r="AF2703" s="12">
        <f>IF(AG2703="Rejected",0,IF(R2703="Corporate Card",0,V2703))</f>
        <v>0</v>
      </c>
      <c r="AG2703" s="15" t="s">
        <v>133</v>
      </c>
      <c r="AH2703" s="16">
        <v>45985</v>
      </c>
      <c r="AI2703" s="16">
        <v>45993</v>
      </c>
      <c r="AJ2703" s="16">
        <v>46002</v>
      </c>
      <c r="AK2703" s="17">
        <f>IF(AJ2703="","",AJ2703-AH2703)</f>
        <v>17</v>
      </c>
    </row>
    <row r="2704" spans="1:37">
      <c r="A2704" s="2" t="s">
        <v>3208</v>
      </c>
      <c r="B2704" s="2" t="s">
        <v>882</v>
      </c>
      <c r="C2704" s="2" t="s">
        <v>446</v>
      </c>
      <c r="D2704" s="2" t="s">
        <v>444</v>
      </c>
      <c r="E2704" s="2" t="s">
        <v>883</v>
      </c>
      <c r="F2704" s="2" t="s">
        <v>313</v>
      </c>
      <c r="G2704" s="2" t="s">
        <v>3207</v>
      </c>
      <c r="H2704" s="2" t="s">
        <v>348</v>
      </c>
      <c r="I2704" s="2" t="s">
        <v>619</v>
      </c>
      <c r="J2704" s="2" t="s">
        <v>381</v>
      </c>
      <c r="K2704" s="9">
        <v>45973</v>
      </c>
      <c r="L2704" s="9">
        <v>45977</v>
      </c>
      <c r="M2704" s="9">
        <v>45973</v>
      </c>
      <c r="N2704" s="2" t="s">
        <v>3124</v>
      </c>
      <c r="O2704" s="2" t="s">
        <v>58</v>
      </c>
      <c r="P2704" s="2" t="s">
        <v>142</v>
      </c>
      <c r="Q2704" s="2" t="s">
        <v>143</v>
      </c>
      <c r="R2704" s="2" t="s">
        <v>137</v>
      </c>
      <c r="S2704" s="2" t="s">
        <v>383</v>
      </c>
      <c r="T2704" s="10">
        <v>54.12</v>
      </c>
      <c r="U2704" s="11">
        <v>1</v>
      </c>
      <c r="V2704" s="12">
        <f>T2704*U2704</f>
        <v>54.12</v>
      </c>
      <c r="W2704" s="13">
        <v>0</v>
      </c>
      <c r="X2704" s="12">
        <f>V2704-(V2704/(1+W2704))</f>
        <v>0</v>
      </c>
      <c r="Y2704" s="12">
        <f>V2704-X2704</f>
        <v>54.12</v>
      </c>
      <c r="Z2704" s="14">
        <v>60</v>
      </c>
      <c r="AA2704" s="2" t="str">
        <f>IF(V2704&gt;Z2704,"Yes","No")</f>
        <v>No</v>
      </c>
      <c r="AB2704" s="12">
        <f>V2704-Z2704</f>
        <v>-5.8800000000000026</v>
      </c>
      <c r="AC2704" s="15" t="s">
        <v>130</v>
      </c>
      <c r="AD2704" s="15" t="s">
        <v>130</v>
      </c>
      <c r="AE2704" s="15" t="s">
        <v>421</v>
      </c>
      <c r="AF2704" s="12">
        <f>IF(AG2704="Rejected",0,IF(R2704="Corporate Card",0,V2704))</f>
        <v>54.12</v>
      </c>
      <c r="AG2704" s="15" t="s">
        <v>133</v>
      </c>
      <c r="AH2704" s="16">
        <v>45985</v>
      </c>
      <c r="AI2704" s="16">
        <v>45993</v>
      </c>
      <c r="AJ2704" s="16">
        <v>46002</v>
      </c>
      <c r="AK2704" s="17">
        <f>IF(AJ2704="","",AJ2704-AH2704)</f>
        <v>17</v>
      </c>
    </row>
    <row r="2705" spans="1:37">
      <c r="A2705" s="2" t="s">
        <v>3209</v>
      </c>
      <c r="B2705" s="2" t="s">
        <v>882</v>
      </c>
      <c r="C2705" s="2" t="s">
        <v>446</v>
      </c>
      <c r="D2705" s="2" t="s">
        <v>444</v>
      </c>
      <c r="E2705" s="2" t="s">
        <v>883</v>
      </c>
      <c r="F2705" s="2" t="s">
        <v>313</v>
      </c>
      <c r="G2705" s="2" t="s">
        <v>3207</v>
      </c>
      <c r="H2705" s="2" t="s">
        <v>348</v>
      </c>
      <c r="I2705" s="2" t="s">
        <v>619</v>
      </c>
      <c r="J2705" s="2" t="s">
        <v>381</v>
      </c>
      <c r="K2705" s="9">
        <v>45973</v>
      </c>
      <c r="L2705" s="9">
        <v>45977</v>
      </c>
      <c r="M2705" s="9">
        <v>45973</v>
      </c>
      <c r="N2705" s="2" t="s">
        <v>3124</v>
      </c>
      <c r="O2705" s="2" t="s">
        <v>56</v>
      </c>
      <c r="P2705" s="2" t="s">
        <v>231</v>
      </c>
      <c r="Q2705" s="2" t="s">
        <v>185</v>
      </c>
      <c r="R2705" s="2" t="s">
        <v>137</v>
      </c>
      <c r="S2705" s="2" t="s">
        <v>383</v>
      </c>
      <c r="T2705" s="10">
        <v>38.840000000000003</v>
      </c>
      <c r="U2705" s="11">
        <v>1</v>
      </c>
      <c r="V2705" s="12">
        <f>T2705*U2705</f>
        <v>38.840000000000003</v>
      </c>
      <c r="W2705" s="13">
        <v>0</v>
      </c>
      <c r="X2705" s="12">
        <f>V2705-(V2705/(1+W2705))</f>
        <v>0</v>
      </c>
      <c r="Y2705" s="12">
        <f>V2705-X2705</f>
        <v>38.840000000000003</v>
      </c>
      <c r="Z2705" s="14">
        <v>75</v>
      </c>
      <c r="AA2705" s="2" t="str">
        <f>IF(V2705&gt;Z2705,"Yes","No")</f>
        <v>No</v>
      </c>
      <c r="AB2705" s="12">
        <f>V2705-Z2705</f>
        <v>-36.159999999999997</v>
      </c>
      <c r="AC2705" s="15" t="s">
        <v>130</v>
      </c>
      <c r="AD2705" s="15" t="s">
        <v>130</v>
      </c>
      <c r="AE2705" s="15" t="s">
        <v>421</v>
      </c>
      <c r="AF2705" s="12">
        <f>IF(AG2705="Rejected",0,IF(R2705="Corporate Card",0,V2705))</f>
        <v>38.840000000000003</v>
      </c>
      <c r="AG2705" s="15" t="s">
        <v>133</v>
      </c>
      <c r="AH2705" s="16">
        <v>45985</v>
      </c>
      <c r="AI2705" s="16">
        <v>45993</v>
      </c>
      <c r="AJ2705" s="16">
        <v>46002</v>
      </c>
      <c r="AK2705" s="17">
        <f>IF(AJ2705="","",AJ2705-AH2705)</f>
        <v>17</v>
      </c>
    </row>
    <row r="2706" spans="1:37">
      <c r="A2706" s="2" t="s">
        <v>3210</v>
      </c>
      <c r="B2706" s="2" t="s">
        <v>882</v>
      </c>
      <c r="C2706" s="2" t="s">
        <v>446</v>
      </c>
      <c r="D2706" s="2" t="s">
        <v>444</v>
      </c>
      <c r="E2706" s="2" t="s">
        <v>883</v>
      </c>
      <c r="F2706" s="2" t="s">
        <v>313</v>
      </c>
      <c r="G2706" s="2" t="s">
        <v>3207</v>
      </c>
      <c r="H2706" s="2" t="s">
        <v>348</v>
      </c>
      <c r="I2706" s="2" t="s">
        <v>619</v>
      </c>
      <c r="J2706" s="2" t="s">
        <v>381</v>
      </c>
      <c r="K2706" s="9">
        <v>45973</v>
      </c>
      <c r="L2706" s="9">
        <v>45977</v>
      </c>
      <c r="M2706" s="9">
        <v>45973</v>
      </c>
      <c r="N2706" s="2" t="s">
        <v>3124</v>
      </c>
      <c r="O2706" s="2" t="s">
        <v>55</v>
      </c>
      <c r="P2706" s="2" t="s">
        <v>139</v>
      </c>
      <c r="Q2706" s="2" t="s">
        <v>187</v>
      </c>
      <c r="R2706" s="2" t="s">
        <v>128</v>
      </c>
      <c r="S2706" s="2" t="s">
        <v>383</v>
      </c>
      <c r="T2706" s="10">
        <v>26.69</v>
      </c>
      <c r="U2706" s="11">
        <v>1</v>
      </c>
      <c r="V2706" s="12">
        <f>T2706*U2706</f>
        <v>26.69</v>
      </c>
      <c r="W2706" s="13">
        <v>0</v>
      </c>
      <c r="X2706" s="12">
        <f>V2706-(V2706/(1+W2706))</f>
        <v>0</v>
      </c>
      <c r="Y2706" s="12">
        <f>V2706-X2706</f>
        <v>26.69</v>
      </c>
      <c r="Z2706" s="14">
        <v>35</v>
      </c>
      <c r="AA2706" s="2" t="str">
        <f>IF(V2706&gt;Z2706,"Yes","No")</f>
        <v>No</v>
      </c>
      <c r="AB2706" s="12">
        <f>V2706-Z2706</f>
        <v>-8.3099999999999987</v>
      </c>
      <c r="AC2706" s="15" t="s">
        <v>130</v>
      </c>
      <c r="AD2706" s="15" t="s">
        <v>130</v>
      </c>
      <c r="AE2706" s="15" t="s">
        <v>421</v>
      </c>
      <c r="AF2706" s="12">
        <f>IF(AG2706="Rejected",0,IF(R2706="Corporate Card",0,V2706))</f>
        <v>0</v>
      </c>
      <c r="AG2706" s="15" t="s">
        <v>133</v>
      </c>
      <c r="AH2706" s="16">
        <v>45985</v>
      </c>
      <c r="AI2706" s="16">
        <v>45993</v>
      </c>
      <c r="AJ2706" s="16">
        <v>46002</v>
      </c>
      <c r="AK2706" s="17">
        <f>IF(AJ2706="","",AJ2706-AH2706)</f>
        <v>17</v>
      </c>
    </row>
    <row r="2707" spans="1:37">
      <c r="A2707" s="2" t="s">
        <v>3211</v>
      </c>
      <c r="B2707" s="2" t="s">
        <v>1235</v>
      </c>
      <c r="C2707" s="2" t="s">
        <v>867</v>
      </c>
      <c r="D2707" s="2" t="s">
        <v>865</v>
      </c>
      <c r="E2707" s="2" t="s">
        <v>1236</v>
      </c>
      <c r="F2707" s="2" t="s">
        <v>313</v>
      </c>
      <c r="G2707" s="2" t="s">
        <v>3212</v>
      </c>
      <c r="H2707" s="2" t="s">
        <v>122</v>
      </c>
      <c r="I2707" s="2" t="s">
        <v>175</v>
      </c>
      <c r="J2707" s="2" t="s">
        <v>176</v>
      </c>
      <c r="K2707" s="9">
        <v>45973</v>
      </c>
      <c r="L2707" s="9">
        <v>45976</v>
      </c>
      <c r="M2707" s="9">
        <v>45973</v>
      </c>
      <c r="N2707" s="2" t="s">
        <v>3124</v>
      </c>
      <c r="O2707" s="2" t="s">
        <v>52</v>
      </c>
      <c r="P2707" s="2" t="s">
        <v>177</v>
      </c>
      <c r="Q2707" s="2" t="s">
        <v>197</v>
      </c>
      <c r="R2707" s="2" t="s">
        <v>137</v>
      </c>
      <c r="S2707" s="2" t="s">
        <v>179</v>
      </c>
      <c r="T2707" s="10">
        <v>7313.93</v>
      </c>
      <c r="U2707" s="11">
        <v>0.18099999999999999</v>
      </c>
      <c r="V2707" s="12">
        <f>T2707*U2707</f>
        <v>1323.82133</v>
      </c>
      <c r="W2707" s="13">
        <v>0</v>
      </c>
      <c r="X2707" s="12">
        <f>V2707-(V2707/(1+W2707))</f>
        <v>0</v>
      </c>
      <c r="Y2707" s="12">
        <f>V2707-X2707</f>
        <v>1323.82133</v>
      </c>
      <c r="Z2707" s="14">
        <v>1400</v>
      </c>
      <c r="AA2707" s="2" t="str">
        <f>IF(V2707&gt;Z2707,"Yes","No")</f>
        <v>No</v>
      </c>
      <c r="AB2707" s="12">
        <f>V2707-Z2707</f>
        <v>-76.178670000000011</v>
      </c>
      <c r="AC2707" s="15" t="s">
        <v>131</v>
      </c>
      <c r="AD2707" s="15" t="s">
        <v>131</v>
      </c>
      <c r="AE2707" s="15" t="s">
        <v>858</v>
      </c>
      <c r="AF2707" s="12">
        <f>IF(AG2707="Rejected",0,IF(R2707="Corporate Card",0,V2707))</f>
        <v>1323.82133</v>
      </c>
      <c r="AG2707" s="15" t="s">
        <v>133</v>
      </c>
      <c r="AH2707" s="16">
        <v>45980</v>
      </c>
      <c r="AI2707" s="16">
        <v>45984</v>
      </c>
      <c r="AJ2707" s="16">
        <v>45991</v>
      </c>
      <c r="AK2707" s="17">
        <f>IF(AJ2707="","",AJ2707-AH2707)</f>
        <v>11</v>
      </c>
    </row>
    <row r="2708" spans="1:37">
      <c r="A2708" s="2" t="s">
        <v>3213</v>
      </c>
      <c r="B2708" s="2" t="s">
        <v>1235</v>
      </c>
      <c r="C2708" s="2" t="s">
        <v>867</v>
      </c>
      <c r="D2708" s="2" t="s">
        <v>865</v>
      </c>
      <c r="E2708" s="2" t="s">
        <v>1236</v>
      </c>
      <c r="F2708" s="2" t="s">
        <v>313</v>
      </c>
      <c r="G2708" s="2" t="s">
        <v>3212</v>
      </c>
      <c r="H2708" s="2" t="s">
        <v>122</v>
      </c>
      <c r="I2708" s="2" t="s">
        <v>175</v>
      </c>
      <c r="J2708" s="2" t="s">
        <v>176</v>
      </c>
      <c r="K2708" s="9">
        <v>45973</v>
      </c>
      <c r="L2708" s="9">
        <v>45976</v>
      </c>
      <c r="M2708" s="9">
        <v>45973</v>
      </c>
      <c r="N2708" s="2" t="s">
        <v>3124</v>
      </c>
      <c r="O2708" s="2" t="s">
        <v>54</v>
      </c>
      <c r="P2708" s="2" t="s">
        <v>139</v>
      </c>
      <c r="Q2708" s="2" t="s">
        <v>148</v>
      </c>
      <c r="R2708" s="2" t="s">
        <v>128</v>
      </c>
      <c r="S2708" s="2" t="s">
        <v>179</v>
      </c>
      <c r="T2708" s="10">
        <v>195.57</v>
      </c>
      <c r="U2708" s="11">
        <v>0.18099999999999999</v>
      </c>
      <c r="V2708" s="12">
        <f>T2708*U2708</f>
        <v>35.39817</v>
      </c>
      <c r="W2708" s="13">
        <v>0.17</v>
      </c>
      <c r="X2708" s="12">
        <f>V2708-(V2708/(1+W2708))</f>
        <v>5.1433238461538444</v>
      </c>
      <c r="Y2708" s="12">
        <f>V2708-X2708</f>
        <v>30.254846153846156</v>
      </c>
      <c r="Z2708" s="14">
        <v>25</v>
      </c>
      <c r="AA2708" s="2" t="str">
        <f>IF(V2708&gt;Z2708,"Yes","No")</f>
        <v>Yes</v>
      </c>
      <c r="AB2708" s="12">
        <f>V2708-Z2708</f>
        <v>10.39817</v>
      </c>
      <c r="AC2708" s="15" t="s">
        <v>130</v>
      </c>
      <c r="AD2708" s="15" t="s">
        <v>131</v>
      </c>
      <c r="AE2708" s="15" t="s">
        <v>858</v>
      </c>
      <c r="AF2708" s="12">
        <f>IF(AG2708="Rejected",0,IF(R2708="Corporate Card",0,V2708))</f>
        <v>0</v>
      </c>
      <c r="AG2708" s="15" t="s">
        <v>133</v>
      </c>
      <c r="AH2708" s="16">
        <v>45980</v>
      </c>
      <c r="AI2708" s="16">
        <v>45984</v>
      </c>
      <c r="AJ2708" s="16">
        <v>45991</v>
      </c>
      <c r="AK2708" s="17">
        <f>IF(AJ2708="","",AJ2708-AH2708)</f>
        <v>11</v>
      </c>
    </row>
    <row r="2709" spans="1:37">
      <c r="A2709" s="2" t="s">
        <v>3214</v>
      </c>
      <c r="B2709" s="2" t="s">
        <v>1235</v>
      </c>
      <c r="C2709" s="2" t="s">
        <v>867</v>
      </c>
      <c r="D2709" s="2" t="s">
        <v>865</v>
      </c>
      <c r="E2709" s="2" t="s">
        <v>1236</v>
      </c>
      <c r="F2709" s="2" t="s">
        <v>313</v>
      </c>
      <c r="G2709" s="2" t="s">
        <v>3212</v>
      </c>
      <c r="H2709" s="2" t="s">
        <v>122</v>
      </c>
      <c r="I2709" s="2" t="s">
        <v>175</v>
      </c>
      <c r="J2709" s="2" t="s">
        <v>176</v>
      </c>
      <c r="K2709" s="9">
        <v>45973</v>
      </c>
      <c r="L2709" s="9">
        <v>45976</v>
      </c>
      <c r="M2709" s="9">
        <v>45973</v>
      </c>
      <c r="N2709" s="2" t="s">
        <v>3124</v>
      </c>
      <c r="O2709" s="2" t="s">
        <v>66</v>
      </c>
      <c r="P2709" s="2" t="s">
        <v>489</v>
      </c>
      <c r="Q2709" s="2" t="s">
        <v>783</v>
      </c>
      <c r="R2709" s="2" t="s">
        <v>128</v>
      </c>
      <c r="S2709" s="2" t="s">
        <v>179</v>
      </c>
      <c r="T2709" s="10">
        <v>796.1</v>
      </c>
      <c r="U2709" s="11">
        <v>0.18099999999999999</v>
      </c>
      <c r="V2709" s="12">
        <f>T2709*U2709</f>
        <v>144.0941</v>
      </c>
      <c r="W2709" s="13">
        <v>0</v>
      </c>
      <c r="X2709" s="12">
        <f>V2709-(V2709/(1+W2709))</f>
        <v>0</v>
      </c>
      <c r="Y2709" s="12">
        <f>V2709-X2709</f>
        <v>144.0941</v>
      </c>
      <c r="Z2709" s="14">
        <v>250</v>
      </c>
      <c r="AA2709" s="2" t="str">
        <f>IF(V2709&gt;Z2709,"Yes","No")</f>
        <v>No</v>
      </c>
      <c r="AB2709" s="12">
        <f>V2709-Z2709</f>
        <v>-105.9059</v>
      </c>
      <c r="AC2709" s="15" t="s">
        <v>130</v>
      </c>
      <c r="AD2709" s="15" t="s">
        <v>131</v>
      </c>
      <c r="AE2709" s="15" t="s">
        <v>858</v>
      </c>
      <c r="AF2709" s="12">
        <f>IF(AG2709="Rejected",0,IF(R2709="Corporate Card",0,V2709))</f>
        <v>0</v>
      </c>
      <c r="AG2709" s="15" t="s">
        <v>133</v>
      </c>
      <c r="AH2709" s="16">
        <v>45980</v>
      </c>
      <c r="AI2709" s="16">
        <v>45984</v>
      </c>
      <c r="AJ2709" s="16">
        <v>45991</v>
      </c>
      <c r="AK2709" s="17">
        <f>IF(AJ2709="","",AJ2709-AH2709)</f>
        <v>11</v>
      </c>
    </row>
    <row r="2710" spans="1:37">
      <c r="A2710" s="2" t="s">
        <v>3215</v>
      </c>
      <c r="B2710" s="2" t="s">
        <v>169</v>
      </c>
      <c r="C2710" s="2" t="s">
        <v>170</v>
      </c>
      <c r="D2710" s="2" t="s">
        <v>171</v>
      </c>
      <c r="E2710" s="2" t="s">
        <v>172</v>
      </c>
      <c r="F2710" s="2" t="s">
        <v>173</v>
      </c>
      <c r="G2710" s="2" t="s">
        <v>3197</v>
      </c>
      <c r="H2710" s="2" t="s">
        <v>348</v>
      </c>
      <c r="I2710" s="2" t="s">
        <v>175</v>
      </c>
      <c r="J2710" s="2" t="s">
        <v>176</v>
      </c>
      <c r="K2710" s="9">
        <v>45971</v>
      </c>
      <c r="L2710" s="9">
        <v>45976</v>
      </c>
      <c r="M2710" s="9">
        <v>45973</v>
      </c>
      <c r="N2710" s="2" t="s">
        <v>3124</v>
      </c>
      <c r="O2710" s="2" t="s">
        <v>58</v>
      </c>
      <c r="P2710" s="2" t="s">
        <v>142</v>
      </c>
      <c r="Q2710" s="2" t="s">
        <v>296</v>
      </c>
      <c r="R2710" s="2" t="s">
        <v>128</v>
      </c>
      <c r="S2710" s="2" t="s">
        <v>179</v>
      </c>
      <c r="T2710" s="10">
        <v>252.61</v>
      </c>
      <c r="U2710" s="11">
        <v>0.18099999999999999</v>
      </c>
      <c r="V2710" s="12">
        <f>T2710*U2710</f>
        <v>45.722410000000004</v>
      </c>
      <c r="W2710" s="13">
        <v>0.17</v>
      </c>
      <c r="X2710" s="12">
        <f>V2710-(V2710/(1+W2710))</f>
        <v>6.6434270940170919</v>
      </c>
      <c r="Y2710" s="12">
        <f>V2710-X2710</f>
        <v>39.078982905982912</v>
      </c>
      <c r="Z2710" s="14">
        <v>60</v>
      </c>
      <c r="AA2710" s="2" t="str">
        <f>IF(V2710&gt;Z2710,"Yes","No")</f>
        <v>No</v>
      </c>
      <c r="AB2710" s="12">
        <f>V2710-Z2710</f>
        <v>-14.277589999999996</v>
      </c>
      <c r="AC2710" s="15" t="s">
        <v>130</v>
      </c>
      <c r="AD2710" s="15" t="s">
        <v>130</v>
      </c>
      <c r="AE2710" s="15" t="s">
        <v>437</v>
      </c>
      <c r="AF2710" s="12">
        <f>IF(AG2710="Rejected",0,IF(R2710="Corporate Card",0,V2710))</f>
        <v>0</v>
      </c>
      <c r="AG2710" s="15" t="s">
        <v>133</v>
      </c>
      <c r="AH2710" s="16">
        <v>45984</v>
      </c>
      <c r="AI2710" s="16">
        <v>45992</v>
      </c>
      <c r="AJ2710" s="16">
        <v>46004</v>
      </c>
      <c r="AK2710" s="17">
        <f>IF(AJ2710="","",AJ2710-AH2710)</f>
        <v>20</v>
      </c>
    </row>
    <row r="2711" spans="1:37">
      <c r="A2711" s="2" t="s">
        <v>3216</v>
      </c>
      <c r="B2711" s="2" t="s">
        <v>169</v>
      </c>
      <c r="C2711" s="2" t="s">
        <v>170</v>
      </c>
      <c r="D2711" s="2" t="s">
        <v>171</v>
      </c>
      <c r="E2711" s="2" t="s">
        <v>172</v>
      </c>
      <c r="F2711" s="2" t="s">
        <v>173</v>
      </c>
      <c r="G2711" s="2" t="s">
        <v>3197</v>
      </c>
      <c r="H2711" s="2" t="s">
        <v>348</v>
      </c>
      <c r="I2711" s="2" t="s">
        <v>175</v>
      </c>
      <c r="J2711" s="2" t="s">
        <v>176</v>
      </c>
      <c r="K2711" s="9">
        <v>45971</v>
      </c>
      <c r="L2711" s="9">
        <v>45976</v>
      </c>
      <c r="M2711" s="9">
        <v>45973</v>
      </c>
      <c r="N2711" s="2" t="s">
        <v>3124</v>
      </c>
      <c r="O2711" s="2" t="s">
        <v>54</v>
      </c>
      <c r="P2711" s="2" t="s">
        <v>139</v>
      </c>
      <c r="Q2711" s="2" t="s">
        <v>214</v>
      </c>
      <c r="R2711" s="2" t="s">
        <v>137</v>
      </c>
      <c r="S2711" s="2" t="s">
        <v>179</v>
      </c>
      <c r="T2711" s="10">
        <v>126.06</v>
      </c>
      <c r="U2711" s="11">
        <v>0.18099999999999999</v>
      </c>
      <c r="V2711" s="12">
        <f>T2711*U2711</f>
        <v>22.816859999999998</v>
      </c>
      <c r="W2711" s="13">
        <v>0.17</v>
      </c>
      <c r="X2711" s="12">
        <f>V2711-(V2711/(1+W2711))</f>
        <v>3.3152702564102547</v>
      </c>
      <c r="Y2711" s="12">
        <f>V2711-X2711</f>
        <v>19.501589743589744</v>
      </c>
      <c r="Z2711" s="14">
        <v>25</v>
      </c>
      <c r="AA2711" s="2" t="str">
        <f>IF(V2711&gt;Z2711,"Yes","No")</f>
        <v>No</v>
      </c>
      <c r="AB2711" s="12">
        <f>V2711-Z2711</f>
        <v>-2.1831400000000016</v>
      </c>
      <c r="AC2711" s="15" t="s">
        <v>130</v>
      </c>
      <c r="AD2711" s="15" t="s">
        <v>130</v>
      </c>
      <c r="AE2711" s="15" t="s">
        <v>437</v>
      </c>
      <c r="AF2711" s="12">
        <f>IF(AG2711="Rejected",0,IF(R2711="Corporate Card",0,V2711))</f>
        <v>22.816859999999998</v>
      </c>
      <c r="AG2711" s="15" t="s">
        <v>133</v>
      </c>
      <c r="AH2711" s="16">
        <v>45984</v>
      </c>
      <c r="AI2711" s="16">
        <v>45992</v>
      </c>
      <c r="AJ2711" s="16">
        <v>46004</v>
      </c>
      <c r="AK2711" s="17">
        <f>IF(AJ2711="","",AJ2711-AH2711)</f>
        <v>20</v>
      </c>
    </row>
    <row r="2712" spans="1:37">
      <c r="A2712" s="2" t="s">
        <v>3217</v>
      </c>
      <c r="B2712" s="2" t="s">
        <v>169</v>
      </c>
      <c r="C2712" s="2" t="s">
        <v>170</v>
      </c>
      <c r="D2712" s="2" t="s">
        <v>171</v>
      </c>
      <c r="E2712" s="2" t="s">
        <v>172</v>
      </c>
      <c r="F2712" s="2" t="s">
        <v>173</v>
      </c>
      <c r="G2712" s="2" t="s">
        <v>3197</v>
      </c>
      <c r="H2712" s="2" t="s">
        <v>348</v>
      </c>
      <c r="I2712" s="2" t="s">
        <v>175</v>
      </c>
      <c r="J2712" s="2" t="s">
        <v>176</v>
      </c>
      <c r="K2712" s="9">
        <v>45971</v>
      </c>
      <c r="L2712" s="9">
        <v>45976</v>
      </c>
      <c r="M2712" s="9">
        <v>45973</v>
      </c>
      <c r="N2712" s="2" t="s">
        <v>3124</v>
      </c>
      <c r="O2712" s="2" t="s">
        <v>56</v>
      </c>
      <c r="P2712" s="2" t="s">
        <v>231</v>
      </c>
      <c r="Q2712" s="2" t="s">
        <v>159</v>
      </c>
      <c r="R2712" s="2" t="s">
        <v>128</v>
      </c>
      <c r="S2712" s="2" t="s">
        <v>179</v>
      </c>
      <c r="T2712" s="10">
        <v>387.32</v>
      </c>
      <c r="U2712" s="11">
        <v>0.18099999999999999</v>
      </c>
      <c r="V2712" s="12">
        <f>T2712*U2712</f>
        <v>70.104919999999993</v>
      </c>
      <c r="W2712" s="13">
        <v>0.17</v>
      </c>
      <c r="X2712" s="12">
        <f>V2712-(V2712/(1+W2712))</f>
        <v>10.186184957264956</v>
      </c>
      <c r="Y2712" s="12">
        <f>V2712-X2712</f>
        <v>59.918735042735037</v>
      </c>
      <c r="Z2712" s="14">
        <v>75</v>
      </c>
      <c r="AA2712" s="2" t="str">
        <f>IF(V2712&gt;Z2712,"Yes","No")</f>
        <v>No</v>
      </c>
      <c r="AB2712" s="12">
        <f>V2712-Z2712</f>
        <v>-4.8950800000000072</v>
      </c>
      <c r="AC2712" s="15" t="s">
        <v>131</v>
      </c>
      <c r="AD2712" s="15" t="s">
        <v>130</v>
      </c>
      <c r="AE2712" s="15" t="s">
        <v>437</v>
      </c>
      <c r="AF2712" s="12">
        <f>IF(AG2712="Rejected",0,IF(R2712="Corporate Card",0,V2712))</f>
        <v>0</v>
      </c>
      <c r="AG2712" s="15" t="s">
        <v>133</v>
      </c>
      <c r="AH2712" s="16">
        <v>45984</v>
      </c>
      <c r="AI2712" s="16">
        <v>45992</v>
      </c>
      <c r="AJ2712" s="16">
        <v>46004</v>
      </c>
      <c r="AK2712" s="17">
        <f>IF(AJ2712="","",AJ2712-AH2712)</f>
        <v>20</v>
      </c>
    </row>
    <row r="2713" spans="1:37">
      <c r="A2713" s="2" t="s">
        <v>3218</v>
      </c>
      <c r="B2713" s="2" t="s">
        <v>169</v>
      </c>
      <c r="C2713" s="2" t="s">
        <v>170</v>
      </c>
      <c r="D2713" s="2" t="s">
        <v>171</v>
      </c>
      <c r="E2713" s="2" t="s">
        <v>172</v>
      </c>
      <c r="F2713" s="2" t="s">
        <v>173</v>
      </c>
      <c r="G2713" s="2" t="s">
        <v>3197</v>
      </c>
      <c r="H2713" s="2" t="s">
        <v>348</v>
      </c>
      <c r="I2713" s="2" t="s">
        <v>175</v>
      </c>
      <c r="J2713" s="2" t="s">
        <v>176</v>
      </c>
      <c r="K2713" s="9">
        <v>45971</v>
      </c>
      <c r="L2713" s="9">
        <v>45976</v>
      </c>
      <c r="M2713" s="9">
        <v>45973</v>
      </c>
      <c r="N2713" s="2" t="s">
        <v>3124</v>
      </c>
      <c r="O2713" s="2" t="s">
        <v>55</v>
      </c>
      <c r="P2713" s="2" t="s">
        <v>139</v>
      </c>
      <c r="Q2713" s="2" t="s">
        <v>161</v>
      </c>
      <c r="R2713" s="2" t="s">
        <v>128</v>
      </c>
      <c r="S2713" s="2" t="s">
        <v>179</v>
      </c>
      <c r="T2713" s="10">
        <v>154.75</v>
      </c>
      <c r="U2713" s="11">
        <v>0.18099999999999999</v>
      </c>
      <c r="V2713" s="12">
        <f>T2713*U2713</f>
        <v>28.00975</v>
      </c>
      <c r="W2713" s="13">
        <v>0.17</v>
      </c>
      <c r="X2713" s="12">
        <f>V2713-(V2713/(1+W2713))</f>
        <v>4.0697927350427321</v>
      </c>
      <c r="Y2713" s="12">
        <f>V2713-X2713</f>
        <v>23.939957264957268</v>
      </c>
      <c r="Z2713" s="14">
        <v>35</v>
      </c>
      <c r="AA2713" s="2" t="str">
        <f>IF(V2713&gt;Z2713,"Yes","No")</f>
        <v>No</v>
      </c>
      <c r="AB2713" s="12">
        <f>V2713-Z2713</f>
        <v>-6.9902499999999996</v>
      </c>
      <c r="AC2713" s="15" t="s">
        <v>131</v>
      </c>
      <c r="AD2713" s="15" t="s">
        <v>130</v>
      </c>
      <c r="AE2713" s="15" t="s">
        <v>437</v>
      </c>
      <c r="AF2713" s="12">
        <f>IF(AG2713="Rejected",0,IF(R2713="Corporate Card",0,V2713))</f>
        <v>0</v>
      </c>
      <c r="AG2713" s="15" t="s">
        <v>133</v>
      </c>
      <c r="AH2713" s="16">
        <v>45984</v>
      </c>
      <c r="AI2713" s="16">
        <v>45992</v>
      </c>
      <c r="AJ2713" s="16">
        <v>46004</v>
      </c>
      <c r="AK2713" s="17">
        <f>IF(AJ2713="","",AJ2713-AH2713)</f>
        <v>20</v>
      </c>
    </row>
    <row r="2714" spans="1:37">
      <c r="A2714" s="2" t="s">
        <v>3219</v>
      </c>
      <c r="B2714" s="2" t="s">
        <v>169</v>
      </c>
      <c r="C2714" s="2" t="s">
        <v>170</v>
      </c>
      <c r="D2714" s="2" t="s">
        <v>171</v>
      </c>
      <c r="E2714" s="2" t="s">
        <v>172</v>
      </c>
      <c r="F2714" s="2" t="s">
        <v>173</v>
      </c>
      <c r="G2714" s="2" t="s">
        <v>3197</v>
      </c>
      <c r="H2714" s="2" t="s">
        <v>348</v>
      </c>
      <c r="I2714" s="2" t="s">
        <v>175</v>
      </c>
      <c r="J2714" s="2" t="s">
        <v>176</v>
      </c>
      <c r="K2714" s="9">
        <v>45971</v>
      </c>
      <c r="L2714" s="9">
        <v>45976</v>
      </c>
      <c r="M2714" s="9">
        <v>45973</v>
      </c>
      <c r="N2714" s="2" t="s">
        <v>3124</v>
      </c>
      <c r="O2714" s="2" t="s">
        <v>62</v>
      </c>
      <c r="P2714" s="2" t="s">
        <v>533</v>
      </c>
      <c r="Q2714" s="2" t="s">
        <v>534</v>
      </c>
      <c r="R2714" s="2" t="s">
        <v>137</v>
      </c>
      <c r="S2714" s="2" t="s">
        <v>179</v>
      </c>
      <c r="T2714" s="10">
        <v>193.62</v>
      </c>
      <c r="U2714" s="11">
        <v>0.18099999999999999</v>
      </c>
      <c r="V2714" s="12">
        <f>T2714*U2714</f>
        <v>35.04522</v>
      </c>
      <c r="W2714" s="13">
        <v>0.17</v>
      </c>
      <c r="X2714" s="12">
        <f>V2714-(V2714/(1+W2714))</f>
        <v>5.0920405128205104</v>
      </c>
      <c r="Y2714" s="12">
        <f>V2714-X2714</f>
        <v>29.95317948717949</v>
      </c>
      <c r="Z2714" s="14">
        <v>45</v>
      </c>
      <c r="AA2714" s="2" t="str">
        <f>IF(V2714&gt;Z2714,"Yes","No")</f>
        <v>No</v>
      </c>
      <c r="AB2714" s="12">
        <f>V2714-Z2714</f>
        <v>-9.9547799999999995</v>
      </c>
      <c r="AC2714" s="15" t="s">
        <v>130</v>
      </c>
      <c r="AD2714" s="15" t="s">
        <v>130</v>
      </c>
      <c r="AE2714" s="15" t="s">
        <v>437</v>
      </c>
      <c r="AF2714" s="12">
        <f>IF(AG2714="Rejected",0,IF(R2714="Corporate Card",0,V2714))</f>
        <v>35.04522</v>
      </c>
      <c r="AG2714" s="15" t="s">
        <v>133</v>
      </c>
      <c r="AH2714" s="16">
        <v>45984</v>
      </c>
      <c r="AI2714" s="16">
        <v>45992</v>
      </c>
      <c r="AJ2714" s="16">
        <v>46004</v>
      </c>
      <c r="AK2714" s="17">
        <f>IF(AJ2714="","",AJ2714-AH2714)</f>
        <v>20</v>
      </c>
    </row>
    <row r="2715" spans="1:37">
      <c r="A2715" s="2" t="s">
        <v>3220</v>
      </c>
      <c r="B2715" s="2" t="s">
        <v>882</v>
      </c>
      <c r="C2715" s="2" t="s">
        <v>446</v>
      </c>
      <c r="D2715" s="2" t="s">
        <v>444</v>
      </c>
      <c r="E2715" s="2" t="s">
        <v>883</v>
      </c>
      <c r="F2715" s="2" t="s">
        <v>313</v>
      </c>
      <c r="G2715" s="2" t="s">
        <v>3207</v>
      </c>
      <c r="H2715" s="2" t="s">
        <v>348</v>
      </c>
      <c r="I2715" s="2" t="s">
        <v>619</v>
      </c>
      <c r="J2715" s="2" t="s">
        <v>381</v>
      </c>
      <c r="K2715" s="9">
        <v>45973</v>
      </c>
      <c r="L2715" s="9">
        <v>45977</v>
      </c>
      <c r="M2715" s="9">
        <v>45974</v>
      </c>
      <c r="N2715" s="2" t="s">
        <v>3124</v>
      </c>
      <c r="O2715" s="2" t="s">
        <v>58</v>
      </c>
      <c r="P2715" s="2" t="s">
        <v>142</v>
      </c>
      <c r="Q2715" s="2" t="s">
        <v>143</v>
      </c>
      <c r="R2715" s="2" t="s">
        <v>137</v>
      </c>
      <c r="S2715" s="2" t="s">
        <v>383</v>
      </c>
      <c r="T2715" s="10">
        <v>27.76</v>
      </c>
      <c r="U2715" s="11">
        <v>1</v>
      </c>
      <c r="V2715" s="12">
        <f>T2715*U2715</f>
        <v>27.76</v>
      </c>
      <c r="W2715" s="13">
        <v>0</v>
      </c>
      <c r="X2715" s="12">
        <f>V2715-(V2715/(1+W2715))</f>
        <v>0</v>
      </c>
      <c r="Y2715" s="12">
        <f>V2715-X2715</f>
        <v>27.76</v>
      </c>
      <c r="Z2715" s="14">
        <v>60</v>
      </c>
      <c r="AA2715" s="2" t="str">
        <f>IF(V2715&gt;Z2715,"Yes","No")</f>
        <v>No</v>
      </c>
      <c r="AB2715" s="12">
        <f>V2715-Z2715</f>
        <v>-32.239999999999995</v>
      </c>
      <c r="AC2715" s="15" t="s">
        <v>130</v>
      </c>
      <c r="AD2715" s="15" t="s">
        <v>130</v>
      </c>
      <c r="AE2715" s="15" t="s">
        <v>421</v>
      </c>
      <c r="AF2715" s="12">
        <f>IF(AG2715="Rejected",0,IF(R2715="Corporate Card",0,V2715))</f>
        <v>27.76</v>
      </c>
      <c r="AG2715" s="15" t="s">
        <v>133</v>
      </c>
      <c r="AH2715" s="16">
        <v>45985</v>
      </c>
      <c r="AI2715" s="16">
        <v>45993</v>
      </c>
      <c r="AJ2715" s="16">
        <v>46002</v>
      </c>
      <c r="AK2715" s="17">
        <f>IF(AJ2715="","",AJ2715-AH2715)</f>
        <v>17</v>
      </c>
    </row>
    <row r="2716" spans="1:37">
      <c r="A2716" s="2" t="s">
        <v>3221</v>
      </c>
      <c r="B2716" s="2" t="s">
        <v>882</v>
      </c>
      <c r="C2716" s="2" t="s">
        <v>446</v>
      </c>
      <c r="D2716" s="2" t="s">
        <v>444</v>
      </c>
      <c r="E2716" s="2" t="s">
        <v>883</v>
      </c>
      <c r="F2716" s="2" t="s">
        <v>313</v>
      </c>
      <c r="G2716" s="2" t="s">
        <v>3207</v>
      </c>
      <c r="H2716" s="2" t="s">
        <v>348</v>
      </c>
      <c r="I2716" s="2" t="s">
        <v>619</v>
      </c>
      <c r="J2716" s="2" t="s">
        <v>381</v>
      </c>
      <c r="K2716" s="9">
        <v>45973</v>
      </c>
      <c r="L2716" s="9">
        <v>45977</v>
      </c>
      <c r="M2716" s="9">
        <v>45974</v>
      </c>
      <c r="N2716" s="2" t="s">
        <v>3124</v>
      </c>
      <c r="O2716" s="2" t="s">
        <v>53</v>
      </c>
      <c r="P2716" s="2" t="s">
        <v>457</v>
      </c>
      <c r="Q2716" s="2" t="s">
        <v>272</v>
      </c>
      <c r="R2716" s="2" t="s">
        <v>128</v>
      </c>
      <c r="S2716" s="2" t="s">
        <v>383</v>
      </c>
      <c r="T2716" s="10">
        <v>1508.63</v>
      </c>
      <c r="U2716" s="11">
        <v>1</v>
      </c>
      <c r="V2716" s="12">
        <f>T2716*U2716</f>
        <v>1508.63</v>
      </c>
      <c r="W2716" s="13">
        <v>0</v>
      </c>
      <c r="X2716" s="12">
        <f>V2716-(V2716/(1+W2716))</f>
        <v>0</v>
      </c>
      <c r="Y2716" s="12">
        <f>V2716-X2716</f>
        <v>1508.63</v>
      </c>
      <c r="Z2716" s="14">
        <v>1120</v>
      </c>
      <c r="AA2716" s="2" t="str">
        <f>IF(V2716&gt;Z2716,"Yes","No")</f>
        <v>Yes</v>
      </c>
      <c r="AB2716" s="12">
        <f>V2716-Z2716</f>
        <v>388.63000000000011</v>
      </c>
      <c r="AC2716" s="15" t="s">
        <v>130</v>
      </c>
      <c r="AD2716" s="15" t="s">
        <v>130</v>
      </c>
      <c r="AE2716" s="15" t="s">
        <v>421</v>
      </c>
      <c r="AF2716" s="12">
        <f>IF(AG2716="Rejected",0,IF(R2716="Corporate Card",0,V2716))</f>
        <v>0</v>
      </c>
      <c r="AG2716" s="15" t="s">
        <v>133</v>
      </c>
      <c r="AH2716" s="16">
        <v>45985</v>
      </c>
      <c r="AI2716" s="16">
        <v>45993</v>
      </c>
      <c r="AJ2716" s="16">
        <v>46002</v>
      </c>
      <c r="AK2716" s="17">
        <f>IF(AJ2716="","",AJ2716-AH2716)</f>
        <v>17</v>
      </c>
    </row>
    <row r="2717" spans="1:37">
      <c r="A2717" s="2" t="s">
        <v>3222</v>
      </c>
      <c r="B2717" s="2" t="s">
        <v>882</v>
      </c>
      <c r="C2717" s="2" t="s">
        <v>446</v>
      </c>
      <c r="D2717" s="2" t="s">
        <v>444</v>
      </c>
      <c r="E2717" s="2" t="s">
        <v>883</v>
      </c>
      <c r="F2717" s="2" t="s">
        <v>313</v>
      </c>
      <c r="G2717" s="2" t="s">
        <v>3207</v>
      </c>
      <c r="H2717" s="2" t="s">
        <v>348</v>
      </c>
      <c r="I2717" s="2" t="s">
        <v>619</v>
      </c>
      <c r="J2717" s="2" t="s">
        <v>381</v>
      </c>
      <c r="K2717" s="9">
        <v>45973</v>
      </c>
      <c r="L2717" s="9">
        <v>45977</v>
      </c>
      <c r="M2717" s="9">
        <v>45974</v>
      </c>
      <c r="N2717" s="2" t="s">
        <v>3124</v>
      </c>
      <c r="O2717" s="2" t="s">
        <v>54</v>
      </c>
      <c r="P2717" s="2" t="s">
        <v>139</v>
      </c>
      <c r="Q2717" s="2" t="s">
        <v>148</v>
      </c>
      <c r="R2717" s="2" t="s">
        <v>149</v>
      </c>
      <c r="S2717" s="2" t="s">
        <v>383</v>
      </c>
      <c r="T2717" s="10">
        <v>10.81</v>
      </c>
      <c r="U2717" s="11">
        <v>1</v>
      </c>
      <c r="V2717" s="12">
        <f>T2717*U2717</f>
        <v>10.81</v>
      </c>
      <c r="W2717" s="13">
        <v>0</v>
      </c>
      <c r="X2717" s="12">
        <f>V2717-(V2717/(1+W2717))</f>
        <v>0</v>
      </c>
      <c r="Y2717" s="12">
        <f>V2717-X2717</f>
        <v>10.81</v>
      </c>
      <c r="Z2717" s="14">
        <v>25</v>
      </c>
      <c r="AA2717" s="2" t="str">
        <f>IF(V2717&gt;Z2717,"Yes","No")</f>
        <v>No</v>
      </c>
      <c r="AB2717" s="12">
        <f>V2717-Z2717</f>
        <v>-14.19</v>
      </c>
      <c r="AC2717" s="15" t="s">
        <v>130</v>
      </c>
      <c r="AD2717" s="15" t="s">
        <v>130</v>
      </c>
      <c r="AE2717" s="15" t="s">
        <v>421</v>
      </c>
      <c r="AF2717" s="12">
        <f>IF(AG2717="Rejected",0,IF(R2717="Corporate Card",0,V2717))</f>
        <v>10.81</v>
      </c>
      <c r="AG2717" s="15" t="s">
        <v>133</v>
      </c>
      <c r="AH2717" s="16">
        <v>45985</v>
      </c>
      <c r="AI2717" s="16">
        <v>45993</v>
      </c>
      <c r="AJ2717" s="16">
        <v>46002</v>
      </c>
      <c r="AK2717" s="17">
        <f>IF(AJ2717="","",AJ2717-AH2717)</f>
        <v>17</v>
      </c>
    </row>
    <row r="2718" spans="1:37">
      <c r="A2718" s="2" t="s">
        <v>3223</v>
      </c>
      <c r="B2718" s="2" t="s">
        <v>882</v>
      </c>
      <c r="C2718" s="2" t="s">
        <v>446</v>
      </c>
      <c r="D2718" s="2" t="s">
        <v>444</v>
      </c>
      <c r="E2718" s="2" t="s">
        <v>883</v>
      </c>
      <c r="F2718" s="2" t="s">
        <v>313</v>
      </c>
      <c r="G2718" s="2" t="s">
        <v>3207</v>
      </c>
      <c r="H2718" s="2" t="s">
        <v>348</v>
      </c>
      <c r="I2718" s="2" t="s">
        <v>619</v>
      </c>
      <c r="J2718" s="2" t="s">
        <v>381</v>
      </c>
      <c r="K2718" s="9">
        <v>45973</v>
      </c>
      <c r="L2718" s="9">
        <v>45977</v>
      </c>
      <c r="M2718" s="9">
        <v>45974</v>
      </c>
      <c r="N2718" s="2" t="s">
        <v>3124</v>
      </c>
      <c r="O2718" s="2" t="s">
        <v>56</v>
      </c>
      <c r="P2718" s="2" t="s">
        <v>165</v>
      </c>
      <c r="Q2718" s="2" t="s">
        <v>185</v>
      </c>
      <c r="R2718" s="2" t="s">
        <v>149</v>
      </c>
      <c r="S2718" s="2" t="s">
        <v>383</v>
      </c>
      <c r="T2718" s="10">
        <v>41.12</v>
      </c>
      <c r="U2718" s="11">
        <v>1</v>
      </c>
      <c r="V2718" s="12">
        <f>T2718*U2718</f>
        <v>41.12</v>
      </c>
      <c r="W2718" s="13">
        <v>0</v>
      </c>
      <c r="X2718" s="12">
        <f>V2718-(V2718/(1+W2718))</f>
        <v>0</v>
      </c>
      <c r="Y2718" s="12">
        <f>V2718-X2718</f>
        <v>41.12</v>
      </c>
      <c r="Z2718" s="14">
        <v>75</v>
      </c>
      <c r="AA2718" s="2" t="str">
        <f>IF(V2718&gt;Z2718,"Yes","No")</f>
        <v>No</v>
      </c>
      <c r="AB2718" s="12">
        <f>V2718-Z2718</f>
        <v>-33.880000000000003</v>
      </c>
      <c r="AC2718" s="15" t="s">
        <v>130</v>
      </c>
      <c r="AD2718" s="15" t="s">
        <v>130</v>
      </c>
      <c r="AE2718" s="15" t="s">
        <v>421</v>
      </c>
      <c r="AF2718" s="12">
        <f>IF(AG2718="Rejected",0,IF(R2718="Corporate Card",0,V2718))</f>
        <v>41.12</v>
      </c>
      <c r="AG2718" s="15" t="s">
        <v>133</v>
      </c>
      <c r="AH2718" s="16">
        <v>45985</v>
      </c>
      <c r="AI2718" s="16">
        <v>45993</v>
      </c>
      <c r="AJ2718" s="16">
        <v>46002</v>
      </c>
      <c r="AK2718" s="17">
        <f>IF(AJ2718="","",AJ2718-AH2718)</f>
        <v>17</v>
      </c>
    </row>
    <row r="2719" spans="1:37">
      <c r="A2719" s="2" t="s">
        <v>3224</v>
      </c>
      <c r="B2719" s="2" t="s">
        <v>882</v>
      </c>
      <c r="C2719" s="2" t="s">
        <v>446</v>
      </c>
      <c r="D2719" s="2" t="s">
        <v>444</v>
      </c>
      <c r="E2719" s="2" t="s">
        <v>883</v>
      </c>
      <c r="F2719" s="2" t="s">
        <v>313</v>
      </c>
      <c r="G2719" s="2" t="s">
        <v>3207</v>
      </c>
      <c r="H2719" s="2" t="s">
        <v>348</v>
      </c>
      <c r="I2719" s="2" t="s">
        <v>619</v>
      </c>
      <c r="J2719" s="2" t="s">
        <v>381</v>
      </c>
      <c r="K2719" s="9">
        <v>45973</v>
      </c>
      <c r="L2719" s="9">
        <v>45977</v>
      </c>
      <c r="M2719" s="9">
        <v>45974</v>
      </c>
      <c r="N2719" s="2" t="s">
        <v>3124</v>
      </c>
      <c r="O2719" s="2" t="s">
        <v>55</v>
      </c>
      <c r="P2719" s="2" t="s">
        <v>139</v>
      </c>
      <c r="Q2719" s="2" t="s">
        <v>217</v>
      </c>
      <c r="R2719" s="2" t="s">
        <v>128</v>
      </c>
      <c r="S2719" s="2" t="s">
        <v>383</v>
      </c>
      <c r="T2719" s="10">
        <v>15.33</v>
      </c>
      <c r="U2719" s="11">
        <v>1</v>
      </c>
      <c r="V2719" s="12">
        <f>T2719*U2719</f>
        <v>15.33</v>
      </c>
      <c r="W2719" s="13">
        <v>0</v>
      </c>
      <c r="X2719" s="12">
        <f>V2719-(V2719/(1+W2719))</f>
        <v>0</v>
      </c>
      <c r="Y2719" s="12">
        <f>V2719-X2719</f>
        <v>15.33</v>
      </c>
      <c r="Z2719" s="14">
        <v>35</v>
      </c>
      <c r="AA2719" s="2" t="str">
        <f>IF(V2719&gt;Z2719,"Yes","No")</f>
        <v>No</v>
      </c>
      <c r="AB2719" s="12">
        <f>V2719-Z2719</f>
        <v>-19.670000000000002</v>
      </c>
      <c r="AC2719" s="15" t="s">
        <v>130</v>
      </c>
      <c r="AD2719" s="15" t="s">
        <v>130</v>
      </c>
      <c r="AE2719" s="15" t="s">
        <v>421</v>
      </c>
      <c r="AF2719" s="12">
        <f>IF(AG2719="Rejected",0,IF(R2719="Corporate Card",0,V2719))</f>
        <v>0</v>
      </c>
      <c r="AG2719" s="15" t="s">
        <v>133</v>
      </c>
      <c r="AH2719" s="16">
        <v>45985</v>
      </c>
      <c r="AI2719" s="16">
        <v>45993</v>
      </c>
      <c r="AJ2719" s="16">
        <v>46002</v>
      </c>
      <c r="AK2719" s="17">
        <f>IF(AJ2719="","",AJ2719-AH2719)</f>
        <v>17</v>
      </c>
    </row>
    <row r="2720" spans="1:37">
      <c r="A2720" s="2" t="s">
        <v>3225</v>
      </c>
      <c r="B2720" s="2" t="s">
        <v>550</v>
      </c>
      <c r="C2720" s="2" t="s">
        <v>551</v>
      </c>
      <c r="D2720" s="2" t="s">
        <v>171</v>
      </c>
      <c r="E2720" s="2" t="s">
        <v>172</v>
      </c>
      <c r="F2720" s="2" t="s">
        <v>173</v>
      </c>
      <c r="G2720" s="2" t="s">
        <v>3226</v>
      </c>
      <c r="H2720" s="2" t="s">
        <v>254</v>
      </c>
      <c r="I2720" s="2" t="s">
        <v>749</v>
      </c>
      <c r="J2720" s="2" t="s">
        <v>750</v>
      </c>
      <c r="K2720" s="9">
        <v>45974</v>
      </c>
      <c r="L2720" s="9">
        <v>45977</v>
      </c>
      <c r="M2720" s="9">
        <v>45974</v>
      </c>
      <c r="N2720" s="2" t="s">
        <v>3124</v>
      </c>
      <c r="O2720" s="2" t="s">
        <v>52</v>
      </c>
      <c r="P2720" s="2" t="s">
        <v>751</v>
      </c>
      <c r="Q2720" s="2" t="s">
        <v>513</v>
      </c>
      <c r="R2720" s="2" t="s">
        <v>137</v>
      </c>
      <c r="S2720" s="2" t="s">
        <v>198</v>
      </c>
      <c r="T2720" s="10">
        <v>3227.41</v>
      </c>
      <c r="U2720" s="11">
        <v>1.085</v>
      </c>
      <c r="V2720" s="12">
        <f>T2720*U2720</f>
        <v>3501.7398499999999</v>
      </c>
      <c r="W2720" s="13">
        <v>0</v>
      </c>
      <c r="X2720" s="12">
        <f>V2720-(V2720/(1+W2720))</f>
        <v>0</v>
      </c>
      <c r="Y2720" s="12">
        <f>V2720-X2720</f>
        <v>3501.7398499999999</v>
      </c>
      <c r="Z2720" s="14">
        <v>1400</v>
      </c>
      <c r="AA2720" s="2" t="str">
        <f>IF(V2720&gt;Z2720,"Yes","No")</f>
        <v>Yes</v>
      </c>
      <c r="AB2720" s="12">
        <f>V2720-Z2720</f>
        <v>2101.7398499999999</v>
      </c>
      <c r="AC2720" s="15" t="s">
        <v>130</v>
      </c>
      <c r="AD2720" s="15" t="s">
        <v>131</v>
      </c>
      <c r="AE2720" s="15" t="s">
        <v>350</v>
      </c>
      <c r="AF2720" s="12">
        <f>IF(AG2720="Rejected",0,IF(R2720="Corporate Card",0,V2720))</f>
        <v>3501.7398499999999</v>
      </c>
      <c r="AG2720" s="15" t="s">
        <v>133</v>
      </c>
      <c r="AH2720" s="16">
        <v>45986</v>
      </c>
      <c r="AI2720" s="16">
        <v>45990</v>
      </c>
      <c r="AJ2720" s="16">
        <v>45995</v>
      </c>
      <c r="AK2720" s="17">
        <f>IF(AJ2720="","",AJ2720-AH2720)</f>
        <v>9</v>
      </c>
    </row>
    <row r="2721" spans="1:37">
      <c r="A2721" s="2" t="s">
        <v>3227</v>
      </c>
      <c r="B2721" s="2" t="s">
        <v>550</v>
      </c>
      <c r="C2721" s="2" t="s">
        <v>551</v>
      </c>
      <c r="D2721" s="2" t="s">
        <v>171</v>
      </c>
      <c r="E2721" s="2" t="s">
        <v>172</v>
      </c>
      <c r="F2721" s="2" t="s">
        <v>173</v>
      </c>
      <c r="G2721" s="2" t="s">
        <v>3226</v>
      </c>
      <c r="H2721" s="2" t="s">
        <v>254</v>
      </c>
      <c r="I2721" s="2" t="s">
        <v>749</v>
      </c>
      <c r="J2721" s="2" t="s">
        <v>750</v>
      </c>
      <c r="K2721" s="9">
        <v>45974</v>
      </c>
      <c r="L2721" s="9">
        <v>45977</v>
      </c>
      <c r="M2721" s="9">
        <v>45974</v>
      </c>
      <c r="N2721" s="2" t="s">
        <v>3124</v>
      </c>
      <c r="O2721" s="2" t="s">
        <v>64</v>
      </c>
      <c r="P2721" s="2" t="s">
        <v>135</v>
      </c>
      <c r="Q2721" s="2" t="s">
        <v>127</v>
      </c>
      <c r="R2721" s="2" t="s">
        <v>137</v>
      </c>
      <c r="S2721" s="2" t="s">
        <v>198</v>
      </c>
      <c r="T2721" s="10">
        <v>122.22</v>
      </c>
      <c r="U2721" s="11">
        <v>1.085</v>
      </c>
      <c r="V2721" s="12">
        <f>T2721*U2721</f>
        <v>132.6087</v>
      </c>
      <c r="W2721" s="13">
        <v>0</v>
      </c>
      <c r="X2721" s="12">
        <f>V2721-(V2721/(1+W2721))</f>
        <v>0</v>
      </c>
      <c r="Y2721" s="12">
        <f>V2721-X2721</f>
        <v>132.6087</v>
      </c>
      <c r="Z2721" s="14">
        <v>120</v>
      </c>
      <c r="AA2721" s="2" t="str">
        <f>IF(V2721&gt;Z2721,"Yes","No")</f>
        <v>Yes</v>
      </c>
      <c r="AB2721" s="12">
        <f>V2721-Z2721</f>
        <v>12.608699999999999</v>
      </c>
      <c r="AC2721" s="15" t="s">
        <v>130</v>
      </c>
      <c r="AD2721" s="15" t="s">
        <v>131</v>
      </c>
      <c r="AE2721" s="15" t="s">
        <v>350</v>
      </c>
      <c r="AF2721" s="12">
        <f>IF(AG2721="Rejected",0,IF(R2721="Corporate Card",0,V2721))</f>
        <v>132.6087</v>
      </c>
      <c r="AG2721" s="15" t="s">
        <v>133</v>
      </c>
      <c r="AH2721" s="16">
        <v>45986</v>
      </c>
      <c r="AI2721" s="16">
        <v>45990</v>
      </c>
      <c r="AJ2721" s="16">
        <v>45995</v>
      </c>
      <c r="AK2721" s="17">
        <f>IF(AJ2721="","",AJ2721-AH2721)</f>
        <v>9</v>
      </c>
    </row>
    <row r="2722" spans="1:37">
      <c r="A2722" s="2" t="s">
        <v>3228</v>
      </c>
      <c r="B2722" s="2" t="s">
        <v>550</v>
      </c>
      <c r="C2722" s="2" t="s">
        <v>551</v>
      </c>
      <c r="D2722" s="2" t="s">
        <v>171</v>
      </c>
      <c r="E2722" s="2" t="s">
        <v>172</v>
      </c>
      <c r="F2722" s="2" t="s">
        <v>173</v>
      </c>
      <c r="G2722" s="2" t="s">
        <v>3226</v>
      </c>
      <c r="H2722" s="2" t="s">
        <v>254</v>
      </c>
      <c r="I2722" s="2" t="s">
        <v>749</v>
      </c>
      <c r="J2722" s="2" t="s">
        <v>750</v>
      </c>
      <c r="K2722" s="9">
        <v>45974</v>
      </c>
      <c r="L2722" s="9">
        <v>45977</v>
      </c>
      <c r="M2722" s="9">
        <v>45974</v>
      </c>
      <c r="N2722" s="2" t="s">
        <v>3124</v>
      </c>
      <c r="O2722" s="2" t="s">
        <v>63</v>
      </c>
      <c r="P2722" s="2" t="s">
        <v>200</v>
      </c>
      <c r="Q2722" s="2" t="s">
        <v>1347</v>
      </c>
      <c r="R2722" s="2" t="s">
        <v>137</v>
      </c>
      <c r="S2722" s="2" t="s">
        <v>198</v>
      </c>
      <c r="T2722" s="10">
        <v>1024.54</v>
      </c>
      <c r="U2722" s="11">
        <v>1.085</v>
      </c>
      <c r="V2722" s="12">
        <f>T2722*U2722</f>
        <v>1111.6259</v>
      </c>
      <c r="W2722" s="13">
        <v>0</v>
      </c>
      <c r="X2722" s="12">
        <f>V2722-(V2722/(1+W2722))</f>
        <v>0</v>
      </c>
      <c r="Y2722" s="12">
        <f>V2722-X2722</f>
        <v>1111.6259</v>
      </c>
      <c r="Z2722" s="14">
        <v>1200</v>
      </c>
      <c r="AA2722" s="2" t="str">
        <f>IF(V2722&gt;Z2722,"Yes","No")</f>
        <v>No</v>
      </c>
      <c r="AB2722" s="12">
        <f>V2722-Z2722</f>
        <v>-88.374099999999999</v>
      </c>
      <c r="AC2722" s="15" t="s">
        <v>130</v>
      </c>
      <c r="AD2722" s="15" t="s">
        <v>131</v>
      </c>
      <c r="AE2722" s="15" t="s">
        <v>350</v>
      </c>
      <c r="AF2722" s="12">
        <f>IF(AG2722="Rejected",0,IF(R2722="Corporate Card",0,V2722))</f>
        <v>1111.6259</v>
      </c>
      <c r="AG2722" s="15" t="s">
        <v>133</v>
      </c>
      <c r="AH2722" s="16">
        <v>45986</v>
      </c>
      <c r="AI2722" s="16">
        <v>45990</v>
      </c>
      <c r="AJ2722" s="16">
        <v>45995</v>
      </c>
      <c r="AK2722" s="17">
        <f>IF(AJ2722="","",AJ2722-AH2722)</f>
        <v>9</v>
      </c>
    </row>
    <row r="2723" spans="1:37">
      <c r="A2723" s="2" t="s">
        <v>3229</v>
      </c>
      <c r="B2723" s="2" t="s">
        <v>550</v>
      </c>
      <c r="C2723" s="2" t="s">
        <v>551</v>
      </c>
      <c r="D2723" s="2" t="s">
        <v>171</v>
      </c>
      <c r="E2723" s="2" t="s">
        <v>172</v>
      </c>
      <c r="F2723" s="2" t="s">
        <v>173</v>
      </c>
      <c r="G2723" s="2" t="s">
        <v>3226</v>
      </c>
      <c r="H2723" s="2" t="s">
        <v>254</v>
      </c>
      <c r="I2723" s="2" t="s">
        <v>749</v>
      </c>
      <c r="J2723" s="2" t="s">
        <v>750</v>
      </c>
      <c r="K2723" s="9">
        <v>45974</v>
      </c>
      <c r="L2723" s="9">
        <v>45977</v>
      </c>
      <c r="M2723" s="9">
        <v>45974</v>
      </c>
      <c r="N2723" s="2" t="s">
        <v>3124</v>
      </c>
      <c r="O2723" s="2" t="s">
        <v>58</v>
      </c>
      <c r="P2723" s="2" t="s">
        <v>142</v>
      </c>
      <c r="Q2723" s="2" t="s">
        <v>203</v>
      </c>
      <c r="R2723" s="2" t="s">
        <v>128</v>
      </c>
      <c r="S2723" s="2" t="s">
        <v>198</v>
      </c>
      <c r="T2723" s="10">
        <v>52.17</v>
      </c>
      <c r="U2723" s="11">
        <v>1.085</v>
      </c>
      <c r="V2723" s="12">
        <f>T2723*U2723</f>
        <v>56.60445</v>
      </c>
      <c r="W2723" s="13">
        <v>0.19</v>
      </c>
      <c r="X2723" s="12">
        <f>V2723-(V2723/(1+W2723))</f>
        <v>9.0376852941176438</v>
      </c>
      <c r="Y2723" s="12">
        <f>V2723-X2723</f>
        <v>47.566764705882356</v>
      </c>
      <c r="Z2723" s="14">
        <v>60</v>
      </c>
      <c r="AA2723" s="2" t="str">
        <f>IF(V2723&gt;Z2723,"Yes","No")</f>
        <v>No</v>
      </c>
      <c r="AB2723" s="12">
        <f>V2723-Z2723</f>
        <v>-3.3955500000000001</v>
      </c>
      <c r="AC2723" s="15" t="s">
        <v>130</v>
      </c>
      <c r="AD2723" s="15" t="s">
        <v>131</v>
      </c>
      <c r="AE2723" s="15" t="s">
        <v>350</v>
      </c>
      <c r="AF2723" s="12">
        <f>IF(AG2723="Rejected",0,IF(R2723="Corporate Card",0,V2723))</f>
        <v>0</v>
      </c>
      <c r="AG2723" s="15" t="s">
        <v>133</v>
      </c>
      <c r="AH2723" s="16">
        <v>45986</v>
      </c>
      <c r="AI2723" s="16">
        <v>45990</v>
      </c>
      <c r="AJ2723" s="16">
        <v>45995</v>
      </c>
      <c r="AK2723" s="17">
        <f>IF(AJ2723="","",AJ2723-AH2723)</f>
        <v>9</v>
      </c>
    </row>
    <row r="2724" spans="1:37">
      <c r="A2724" s="2" t="s">
        <v>3230</v>
      </c>
      <c r="B2724" s="2" t="s">
        <v>550</v>
      </c>
      <c r="C2724" s="2" t="s">
        <v>551</v>
      </c>
      <c r="D2724" s="2" t="s">
        <v>171</v>
      </c>
      <c r="E2724" s="2" t="s">
        <v>172</v>
      </c>
      <c r="F2724" s="2" t="s">
        <v>173</v>
      </c>
      <c r="G2724" s="2" t="s">
        <v>3226</v>
      </c>
      <c r="H2724" s="2" t="s">
        <v>254</v>
      </c>
      <c r="I2724" s="2" t="s">
        <v>749</v>
      </c>
      <c r="J2724" s="2" t="s">
        <v>750</v>
      </c>
      <c r="K2724" s="9">
        <v>45974</v>
      </c>
      <c r="L2724" s="9">
        <v>45977</v>
      </c>
      <c r="M2724" s="9">
        <v>45974</v>
      </c>
      <c r="N2724" s="2" t="s">
        <v>3124</v>
      </c>
      <c r="O2724" s="2" t="s">
        <v>54</v>
      </c>
      <c r="P2724" s="2" t="s">
        <v>139</v>
      </c>
      <c r="Q2724" s="2" t="s">
        <v>214</v>
      </c>
      <c r="R2724" s="2" t="s">
        <v>149</v>
      </c>
      <c r="S2724" s="2" t="s">
        <v>198</v>
      </c>
      <c r="T2724" s="10">
        <v>18</v>
      </c>
      <c r="U2724" s="11">
        <v>1.085</v>
      </c>
      <c r="V2724" s="12">
        <f>T2724*U2724</f>
        <v>19.53</v>
      </c>
      <c r="W2724" s="13">
        <v>0.19</v>
      </c>
      <c r="X2724" s="12">
        <f>V2724-(V2724/(1+W2724))</f>
        <v>3.1182352941176461</v>
      </c>
      <c r="Y2724" s="12">
        <f>V2724-X2724</f>
        <v>16.411764705882355</v>
      </c>
      <c r="Z2724" s="14">
        <v>25</v>
      </c>
      <c r="AA2724" s="2" t="str">
        <f>IF(V2724&gt;Z2724,"Yes","No")</f>
        <v>No</v>
      </c>
      <c r="AB2724" s="12">
        <f>V2724-Z2724</f>
        <v>-5.4699999999999989</v>
      </c>
      <c r="AC2724" s="15" t="s">
        <v>130</v>
      </c>
      <c r="AD2724" s="15" t="s">
        <v>131</v>
      </c>
      <c r="AE2724" s="15" t="s">
        <v>350</v>
      </c>
      <c r="AF2724" s="12">
        <f>IF(AG2724="Rejected",0,IF(R2724="Corporate Card",0,V2724))</f>
        <v>19.53</v>
      </c>
      <c r="AG2724" s="15" t="s">
        <v>133</v>
      </c>
      <c r="AH2724" s="16">
        <v>45986</v>
      </c>
      <c r="AI2724" s="16">
        <v>45990</v>
      </c>
      <c r="AJ2724" s="16">
        <v>45995</v>
      </c>
      <c r="AK2724" s="17">
        <f>IF(AJ2724="","",AJ2724-AH2724)</f>
        <v>9</v>
      </c>
    </row>
    <row r="2725" spans="1:37">
      <c r="A2725" s="2" t="s">
        <v>3231</v>
      </c>
      <c r="B2725" s="2" t="s">
        <v>550</v>
      </c>
      <c r="C2725" s="2" t="s">
        <v>551</v>
      </c>
      <c r="D2725" s="2" t="s">
        <v>171</v>
      </c>
      <c r="E2725" s="2" t="s">
        <v>172</v>
      </c>
      <c r="F2725" s="2" t="s">
        <v>173</v>
      </c>
      <c r="G2725" s="2" t="s">
        <v>3226</v>
      </c>
      <c r="H2725" s="2" t="s">
        <v>254</v>
      </c>
      <c r="I2725" s="2" t="s">
        <v>749</v>
      </c>
      <c r="J2725" s="2" t="s">
        <v>750</v>
      </c>
      <c r="K2725" s="9">
        <v>45974</v>
      </c>
      <c r="L2725" s="9">
        <v>45977</v>
      </c>
      <c r="M2725" s="9">
        <v>45974</v>
      </c>
      <c r="N2725" s="2" t="s">
        <v>3124</v>
      </c>
      <c r="O2725" s="2" t="s">
        <v>56</v>
      </c>
      <c r="P2725" s="2" t="s">
        <v>231</v>
      </c>
      <c r="Q2725" s="2" t="s">
        <v>227</v>
      </c>
      <c r="R2725" s="2" t="s">
        <v>128</v>
      </c>
      <c r="S2725" s="2" t="s">
        <v>198</v>
      </c>
      <c r="T2725" s="10">
        <v>24.26</v>
      </c>
      <c r="U2725" s="11">
        <v>1.085</v>
      </c>
      <c r="V2725" s="12">
        <f>T2725*U2725</f>
        <v>26.322100000000002</v>
      </c>
      <c r="W2725" s="13">
        <v>0.19</v>
      </c>
      <c r="X2725" s="12">
        <f>V2725-(V2725/(1+W2725))</f>
        <v>4.2026882352941186</v>
      </c>
      <c r="Y2725" s="12">
        <f>V2725-X2725</f>
        <v>22.119411764705884</v>
      </c>
      <c r="Z2725" s="14">
        <v>75</v>
      </c>
      <c r="AA2725" s="2" t="str">
        <f>IF(V2725&gt;Z2725,"Yes","No")</f>
        <v>No</v>
      </c>
      <c r="AB2725" s="12">
        <f>V2725-Z2725</f>
        <v>-48.677899999999994</v>
      </c>
      <c r="AC2725" s="15" t="s">
        <v>130</v>
      </c>
      <c r="AD2725" s="15" t="s">
        <v>131</v>
      </c>
      <c r="AE2725" s="15" t="s">
        <v>350</v>
      </c>
      <c r="AF2725" s="12">
        <f>IF(AG2725="Rejected",0,IF(R2725="Corporate Card",0,V2725))</f>
        <v>0</v>
      </c>
      <c r="AG2725" s="15" t="s">
        <v>133</v>
      </c>
      <c r="AH2725" s="16">
        <v>45986</v>
      </c>
      <c r="AI2725" s="16">
        <v>45990</v>
      </c>
      <c r="AJ2725" s="16">
        <v>45995</v>
      </c>
      <c r="AK2725" s="17">
        <f>IF(AJ2725="","",AJ2725-AH2725)</f>
        <v>9</v>
      </c>
    </row>
    <row r="2726" spans="1:37">
      <c r="A2726" s="2" t="s">
        <v>3232</v>
      </c>
      <c r="B2726" s="2" t="s">
        <v>550</v>
      </c>
      <c r="C2726" s="2" t="s">
        <v>551</v>
      </c>
      <c r="D2726" s="2" t="s">
        <v>171</v>
      </c>
      <c r="E2726" s="2" t="s">
        <v>172</v>
      </c>
      <c r="F2726" s="2" t="s">
        <v>173</v>
      </c>
      <c r="G2726" s="2" t="s">
        <v>3226</v>
      </c>
      <c r="H2726" s="2" t="s">
        <v>254</v>
      </c>
      <c r="I2726" s="2" t="s">
        <v>749</v>
      </c>
      <c r="J2726" s="2" t="s">
        <v>750</v>
      </c>
      <c r="K2726" s="9">
        <v>45974</v>
      </c>
      <c r="L2726" s="9">
        <v>45977</v>
      </c>
      <c r="M2726" s="9">
        <v>45974</v>
      </c>
      <c r="N2726" s="2" t="s">
        <v>3124</v>
      </c>
      <c r="O2726" s="2" t="s">
        <v>55</v>
      </c>
      <c r="P2726" s="2" t="s">
        <v>139</v>
      </c>
      <c r="Q2726" s="2" t="s">
        <v>154</v>
      </c>
      <c r="R2726" s="2" t="s">
        <v>128</v>
      </c>
      <c r="S2726" s="2" t="s">
        <v>198</v>
      </c>
      <c r="T2726" s="10">
        <v>24.82</v>
      </c>
      <c r="U2726" s="11">
        <v>1.085</v>
      </c>
      <c r="V2726" s="12">
        <f>T2726*U2726</f>
        <v>26.9297</v>
      </c>
      <c r="W2726" s="13">
        <v>0.19</v>
      </c>
      <c r="X2726" s="12">
        <f>V2726-(V2726/(1+W2726))</f>
        <v>4.2996999999999979</v>
      </c>
      <c r="Y2726" s="12">
        <f>V2726-X2726</f>
        <v>22.630000000000003</v>
      </c>
      <c r="Z2726" s="14">
        <v>35</v>
      </c>
      <c r="AA2726" s="2" t="str">
        <f>IF(V2726&gt;Z2726,"Yes","No")</f>
        <v>No</v>
      </c>
      <c r="AB2726" s="12">
        <f>V2726-Z2726</f>
        <v>-8.0702999999999996</v>
      </c>
      <c r="AC2726" s="15" t="s">
        <v>130</v>
      </c>
      <c r="AD2726" s="15" t="s">
        <v>131</v>
      </c>
      <c r="AE2726" s="15" t="s">
        <v>350</v>
      </c>
      <c r="AF2726" s="12">
        <f>IF(AG2726="Rejected",0,IF(R2726="Corporate Card",0,V2726))</f>
        <v>0</v>
      </c>
      <c r="AG2726" s="15" t="s">
        <v>133</v>
      </c>
      <c r="AH2726" s="16">
        <v>45986</v>
      </c>
      <c r="AI2726" s="16">
        <v>45990</v>
      </c>
      <c r="AJ2726" s="16">
        <v>45995</v>
      </c>
      <c r="AK2726" s="17">
        <f>IF(AJ2726="","",AJ2726-AH2726)</f>
        <v>9</v>
      </c>
    </row>
    <row r="2727" spans="1:37">
      <c r="A2727" s="2" t="s">
        <v>3233</v>
      </c>
      <c r="B2727" s="2" t="s">
        <v>1235</v>
      </c>
      <c r="C2727" s="2" t="s">
        <v>867</v>
      </c>
      <c r="D2727" s="2" t="s">
        <v>865</v>
      </c>
      <c r="E2727" s="2" t="s">
        <v>1236</v>
      </c>
      <c r="F2727" s="2" t="s">
        <v>313</v>
      </c>
      <c r="G2727" s="2" t="s">
        <v>3212</v>
      </c>
      <c r="H2727" s="2" t="s">
        <v>122</v>
      </c>
      <c r="I2727" s="2" t="s">
        <v>175</v>
      </c>
      <c r="J2727" s="2" t="s">
        <v>176</v>
      </c>
      <c r="K2727" s="9">
        <v>45973</v>
      </c>
      <c r="L2727" s="9">
        <v>45976</v>
      </c>
      <c r="M2727" s="9">
        <v>45974</v>
      </c>
      <c r="N2727" s="2" t="s">
        <v>3124</v>
      </c>
      <c r="O2727" s="2" t="s">
        <v>59</v>
      </c>
      <c r="P2727" s="2" t="s">
        <v>301</v>
      </c>
      <c r="Q2727" s="2" t="s">
        <v>452</v>
      </c>
      <c r="R2727" s="2" t="s">
        <v>128</v>
      </c>
      <c r="S2727" s="2" t="s">
        <v>179</v>
      </c>
      <c r="T2727" s="10">
        <v>1006.13</v>
      </c>
      <c r="U2727" s="11">
        <v>0.18099999999999999</v>
      </c>
      <c r="V2727" s="12">
        <f>T2727*U2727</f>
        <v>182.10953000000001</v>
      </c>
      <c r="W2727" s="13">
        <v>0.17</v>
      </c>
      <c r="X2727" s="12">
        <f>V2727-(V2727/(1+W2727))</f>
        <v>26.460359059829045</v>
      </c>
      <c r="Y2727" s="12">
        <f>V2727-X2727</f>
        <v>155.64917094017096</v>
      </c>
      <c r="Z2727" s="14">
        <v>150</v>
      </c>
      <c r="AA2727" s="2" t="str">
        <f>IF(V2727&gt;Z2727,"Yes","No")</f>
        <v>Yes</v>
      </c>
      <c r="AB2727" s="12">
        <f>V2727-Z2727</f>
        <v>32.109530000000007</v>
      </c>
      <c r="AC2727" s="15" t="s">
        <v>130</v>
      </c>
      <c r="AD2727" s="15" t="s">
        <v>131</v>
      </c>
      <c r="AE2727" s="15" t="s">
        <v>858</v>
      </c>
      <c r="AF2727" s="12">
        <f>IF(AG2727="Rejected",0,IF(R2727="Corporate Card",0,V2727))</f>
        <v>0</v>
      </c>
      <c r="AG2727" s="15" t="s">
        <v>133</v>
      </c>
      <c r="AH2727" s="16">
        <v>45980</v>
      </c>
      <c r="AI2727" s="16">
        <v>45984</v>
      </c>
      <c r="AJ2727" s="16">
        <v>45991</v>
      </c>
      <c r="AK2727" s="17">
        <f>IF(AJ2727="","",AJ2727-AH2727)</f>
        <v>11</v>
      </c>
    </row>
    <row r="2728" spans="1:37">
      <c r="A2728" s="2" t="s">
        <v>3234</v>
      </c>
      <c r="B2728" s="2" t="s">
        <v>1235</v>
      </c>
      <c r="C2728" s="2" t="s">
        <v>867</v>
      </c>
      <c r="D2728" s="2" t="s">
        <v>865</v>
      </c>
      <c r="E2728" s="2" t="s">
        <v>1236</v>
      </c>
      <c r="F2728" s="2" t="s">
        <v>313</v>
      </c>
      <c r="G2728" s="2" t="s">
        <v>3212</v>
      </c>
      <c r="H2728" s="2" t="s">
        <v>122</v>
      </c>
      <c r="I2728" s="2" t="s">
        <v>175</v>
      </c>
      <c r="J2728" s="2" t="s">
        <v>176</v>
      </c>
      <c r="K2728" s="9">
        <v>45973</v>
      </c>
      <c r="L2728" s="9">
        <v>45976</v>
      </c>
      <c r="M2728" s="9">
        <v>45974</v>
      </c>
      <c r="N2728" s="2" t="s">
        <v>3124</v>
      </c>
      <c r="O2728" s="2" t="s">
        <v>53</v>
      </c>
      <c r="P2728" s="2" t="s">
        <v>145</v>
      </c>
      <c r="Q2728" s="2" t="s">
        <v>305</v>
      </c>
      <c r="R2728" s="2" t="s">
        <v>149</v>
      </c>
      <c r="S2728" s="2" t="s">
        <v>179</v>
      </c>
      <c r="T2728" s="10">
        <v>3146.58</v>
      </c>
      <c r="U2728" s="11">
        <v>0.18099999999999999</v>
      </c>
      <c r="V2728" s="12">
        <f>T2728*U2728</f>
        <v>569.53098</v>
      </c>
      <c r="W2728" s="13">
        <v>0.17</v>
      </c>
      <c r="X2728" s="12">
        <f>V2728-(V2728/(1+W2728))</f>
        <v>82.752364615384579</v>
      </c>
      <c r="Y2728" s="12">
        <f>V2728-X2728</f>
        <v>486.77861538461542</v>
      </c>
      <c r="Z2728" s="14">
        <v>840</v>
      </c>
      <c r="AA2728" s="2" t="str">
        <f>IF(V2728&gt;Z2728,"Yes","No")</f>
        <v>No</v>
      </c>
      <c r="AB2728" s="12">
        <f>V2728-Z2728</f>
        <v>-270.46902</v>
      </c>
      <c r="AC2728" s="15" t="s">
        <v>130</v>
      </c>
      <c r="AD2728" s="15" t="s">
        <v>131</v>
      </c>
      <c r="AE2728" s="15" t="s">
        <v>858</v>
      </c>
      <c r="AF2728" s="12">
        <f>IF(AG2728="Rejected",0,IF(R2728="Corporate Card",0,V2728))</f>
        <v>569.53098</v>
      </c>
      <c r="AG2728" s="15" t="s">
        <v>133</v>
      </c>
      <c r="AH2728" s="16">
        <v>45980</v>
      </c>
      <c r="AI2728" s="16">
        <v>45984</v>
      </c>
      <c r="AJ2728" s="16">
        <v>45991</v>
      </c>
      <c r="AK2728" s="17">
        <f>IF(AJ2728="","",AJ2728-AH2728)</f>
        <v>11</v>
      </c>
    </row>
    <row r="2729" spans="1:37">
      <c r="A2729" s="2" t="s">
        <v>3235</v>
      </c>
      <c r="B2729" s="2" t="s">
        <v>1235</v>
      </c>
      <c r="C2729" s="2" t="s">
        <v>867</v>
      </c>
      <c r="D2729" s="2" t="s">
        <v>865</v>
      </c>
      <c r="E2729" s="2" t="s">
        <v>1236</v>
      </c>
      <c r="F2729" s="2" t="s">
        <v>313</v>
      </c>
      <c r="G2729" s="2" t="s">
        <v>3212</v>
      </c>
      <c r="H2729" s="2" t="s">
        <v>122</v>
      </c>
      <c r="I2729" s="2" t="s">
        <v>175</v>
      </c>
      <c r="J2729" s="2" t="s">
        <v>176</v>
      </c>
      <c r="K2729" s="9">
        <v>45973</v>
      </c>
      <c r="L2729" s="9">
        <v>45976</v>
      </c>
      <c r="M2729" s="9">
        <v>45974</v>
      </c>
      <c r="N2729" s="2" t="s">
        <v>3124</v>
      </c>
      <c r="O2729" s="2" t="s">
        <v>65</v>
      </c>
      <c r="P2729" s="2" t="s">
        <v>211</v>
      </c>
      <c r="Q2729" s="2" t="s">
        <v>460</v>
      </c>
      <c r="R2729" s="2" t="s">
        <v>137</v>
      </c>
      <c r="S2729" s="2" t="s">
        <v>179</v>
      </c>
      <c r="T2729" s="10">
        <v>242.08</v>
      </c>
      <c r="U2729" s="11">
        <v>0.18099999999999999</v>
      </c>
      <c r="V2729" s="12">
        <f>T2729*U2729</f>
        <v>43.816479999999999</v>
      </c>
      <c r="W2729" s="13">
        <v>0.17</v>
      </c>
      <c r="X2729" s="12">
        <f>V2729-(V2729/(1+W2729))</f>
        <v>6.3664970940170917</v>
      </c>
      <c r="Y2729" s="12">
        <f>V2729-X2729</f>
        <v>37.449982905982907</v>
      </c>
      <c r="Z2729" s="14">
        <v>55</v>
      </c>
      <c r="AA2729" s="2" t="str">
        <f>IF(V2729&gt;Z2729,"Yes","No")</f>
        <v>No</v>
      </c>
      <c r="AB2729" s="12">
        <f>V2729-Z2729</f>
        <v>-11.183520000000001</v>
      </c>
      <c r="AC2729" s="15" t="s">
        <v>130</v>
      </c>
      <c r="AD2729" s="15" t="s">
        <v>131</v>
      </c>
      <c r="AE2729" s="15" t="s">
        <v>858</v>
      </c>
      <c r="AF2729" s="12">
        <f>IF(AG2729="Rejected",0,IF(R2729="Corporate Card",0,V2729))</f>
        <v>43.816479999999999</v>
      </c>
      <c r="AG2729" s="15" t="s">
        <v>133</v>
      </c>
      <c r="AH2729" s="16">
        <v>45980</v>
      </c>
      <c r="AI2729" s="16">
        <v>45984</v>
      </c>
      <c r="AJ2729" s="16">
        <v>45991</v>
      </c>
      <c r="AK2729" s="17">
        <f>IF(AJ2729="","",AJ2729-AH2729)</f>
        <v>11</v>
      </c>
    </row>
    <row r="2730" spans="1:37">
      <c r="A2730" s="2" t="s">
        <v>3236</v>
      </c>
      <c r="B2730" s="2" t="s">
        <v>1235</v>
      </c>
      <c r="C2730" s="2" t="s">
        <v>867</v>
      </c>
      <c r="D2730" s="2" t="s">
        <v>865</v>
      </c>
      <c r="E2730" s="2" t="s">
        <v>1236</v>
      </c>
      <c r="F2730" s="2" t="s">
        <v>313</v>
      </c>
      <c r="G2730" s="2" t="s">
        <v>3212</v>
      </c>
      <c r="H2730" s="2" t="s">
        <v>122</v>
      </c>
      <c r="I2730" s="2" t="s">
        <v>175</v>
      </c>
      <c r="J2730" s="2" t="s">
        <v>176</v>
      </c>
      <c r="K2730" s="9">
        <v>45973</v>
      </c>
      <c r="L2730" s="9">
        <v>45976</v>
      </c>
      <c r="M2730" s="9">
        <v>45974</v>
      </c>
      <c r="N2730" s="2" t="s">
        <v>3124</v>
      </c>
      <c r="O2730" s="2" t="s">
        <v>54</v>
      </c>
      <c r="P2730" s="2" t="s">
        <v>139</v>
      </c>
      <c r="Q2730" s="2" t="s">
        <v>214</v>
      </c>
      <c r="R2730" s="2" t="s">
        <v>137</v>
      </c>
      <c r="S2730" s="2" t="s">
        <v>179</v>
      </c>
      <c r="T2730" s="10">
        <v>117.74</v>
      </c>
      <c r="U2730" s="11">
        <v>0.18099999999999999</v>
      </c>
      <c r="V2730" s="12">
        <f>T2730*U2730</f>
        <v>21.310939999999999</v>
      </c>
      <c r="W2730" s="13">
        <v>0.17</v>
      </c>
      <c r="X2730" s="12">
        <f>V2730-(V2730/(1+W2730))</f>
        <v>3.0964613675213677</v>
      </c>
      <c r="Y2730" s="12">
        <f>V2730-X2730</f>
        <v>18.214478632478631</v>
      </c>
      <c r="Z2730" s="14">
        <v>25</v>
      </c>
      <c r="AA2730" s="2" t="str">
        <f>IF(V2730&gt;Z2730,"Yes","No")</f>
        <v>No</v>
      </c>
      <c r="AB2730" s="12">
        <f>V2730-Z2730</f>
        <v>-3.6890600000000013</v>
      </c>
      <c r="AC2730" s="15" t="s">
        <v>130</v>
      </c>
      <c r="AD2730" s="15" t="s">
        <v>131</v>
      </c>
      <c r="AE2730" s="15" t="s">
        <v>858</v>
      </c>
      <c r="AF2730" s="12">
        <f>IF(AG2730="Rejected",0,IF(R2730="Corporate Card",0,V2730))</f>
        <v>21.310939999999999</v>
      </c>
      <c r="AG2730" s="15" t="s">
        <v>133</v>
      </c>
      <c r="AH2730" s="16">
        <v>45980</v>
      </c>
      <c r="AI2730" s="16">
        <v>45984</v>
      </c>
      <c r="AJ2730" s="16">
        <v>45991</v>
      </c>
      <c r="AK2730" s="17">
        <f>IF(AJ2730="","",AJ2730-AH2730)</f>
        <v>11</v>
      </c>
    </row>
    <row r="2731" spans="1:37">
      <c r="A2731" s="2" t="s">
        <v>3237</v>
      </c>
      <c r="B2731" s="2" t="s">
        <v>1235</v>
      </c>
      <c r="C2731" s="2" t="s">
        <v>867</v>
      </c>
      <c r="D2731" s="2" t="s">
        <v>865</v>
      </c>
      <c r="E2731" s="2" t="s">
        <v>1236</v>
      </c>
      <c r="F2731" s="2" t="s">
        <v>313</v>
      </c>
      <c r="G2731" s="2" t="s">
        <v>3212</v>
      </c>
      <c r="H2731" s="2" t="s">
        <v>122</v>
      </c>
      <c r="I2731" s="2" t="s">
        <v>175</v>
      </c>
      <c r="J2731" s="2" t="s">
        <v>176</v>
      </c>
      <c r="K2731" s="9">
        <v>45973</v>
      </c>
      <c r="L2731" s="9">
        <v>45976</v>
      </c>
      <c r="M2731" s="9">
        <v>45974</v>
      </c>
      <c r="N2731" s="2" t="s">
        <v>3124</v>
      </c>
      <c r="O2731" s="2" t="s">
        <v>55</v>
      </c>
      <c r="P2731" s="2" t="s">
        <v>139</v>
      </c>
      <c r="Q2731" s="2" t="s">
        <v>161</v>
      </c>
      <c r="R2731" s="2" t="s">
        <v>149</v>
      </c>
      <c r="S2731" s="2" t="s">
        <v>179</v>
      </c>
      <c r="T2731" s="10">
        <v>160.33000000000001</v>
      </c>
      <c r="U2731" s="11">
        <v>0.18099999999999999</v>
      </c>
      <c r="V2731" s="12">
        <f>T2731*U2731</f>
        <v>29.019730000000003</v>
      </c>
      <c r="W2731" s="13">
        <v>0.17</v>
      </c>
      <c r="X2731" s="12">
        <f>V2731-(V2731/(1+W2731))</f>
        <v>4.2165419658119632</v>
      </c>
      <c r="Y2731" s="12">
        <f>V2731-X2731</f>
        <v>24.80318803418804</v>
      </c>
      <c r="Z2731" s="14">
        <v>35</v>
      </c>
      <c r="AA2731" s="2" t="str">
        <f>IF(V2731&gt;Z2731,"Yes","No")</f>
        <v>No</v>
      </c>
      <c r="AB2731" s="12">
        <f>V2731-Z2731</f>
        <v>-5.9802699999999973</v>
      </c>
      <c r="AC2731" s="15" t="s">
        <v>130</v>
      </c>
      <c r="AD2731" s="15" t="s">
        <v>131</v>
      </c>
      <c r="AE2731" s="15" t="s">
        <v>858</v>
      </c>
      <c r="AF2731" s="12">
        <f>IF(AG2731="Rejected",0,IF(R2731="Corporate Card",0,V2731))</f>
        <v>29.019730000000003</v>
      </c>
      <c r="AG2731" s="15" t="s">
        <v>133</v>
      </c>
      <c r="AH2731" s="16">
        <v>45980</v>
      </c>
      <c r="AI2731" s="16">
        <v>45984</v>
      </c>
      <c r="AJ2731" s="16">
        <v>45991</v>
      </c>
      <c r="AK2731" s="17">
        <f>IF(AJ2731="","",AJ2731-AH2731)</f>
        <v>11</v>
      </c>
    </row>
    <row r="2732" spans="1:37">
      <c r="A2732" s="2" t="s">
        <v>3238</v>
      </c>
      <c r="B2732" s="2" t="s">
        <v>169</v>
      </c>
      <c r="C2732" s="2" t="s">
        <v>170</v>
      </c>
      <c r="D2732" s="2" t="s">
        <v>171</v>
      </c>
      <c r="E2732" s="2" t="s">
        <v>172</v>
      </c>
      <c r="F2732" s="2" t="s">
        <v>173</v>
      </c>
      <c r="G2732" s="2" t="s">
        <v>3197</v>
      </c>
      <c r="H2732" s="2" t="s">
        <v>348</v>
      </c>
      <c r="I2732" s="2" t="s">
        <v>175</v>
      </c>
      <c r="J2732" s="2" t="s">
        <v>176</v>
      </c>
      <c r="K2732" s="9">
        <v>45971</v>
      </c>
      <c r="L2732" s="9">
        <v>45976</v>
      </c>
      <c r="M2732" s="9">
        <v>45974</v>
      </c>
      <c r="N2732" s="2" t="s">
        <v>3124</v>
      </c>
      <c r="O2732" s="2" t="s">
        <v>54</v>
      </c>
      <c r="P2732" s="2" t="s">
        <v>139</v>
      </c>
      <c r="Q2732" s="2" t="s">
        <v>140</v>
      </c>
      <c r="R2732" s="2" t="s">
        <v>137</v>
      </c>
      <c r="S2732" s="2" t="s">
        <v>179</v>
      </c>
      <c r="T2732" s="10">
        <v>50.07</v>
      </c>
      <c r="U2732" s="11">
        <v>0.18099999999999999</v>
      </c>
      <c r="V2732" s="12">
        <f>T2732*U2732</f>
        <v>9.0626699999999989</v>
      </c>
      <c r="W2732" s="13">
        <v>0.17</v>
      </c>
      <c r="X2732" s="12">
        <f>V2732-(V2732/(1+W2732))</f>
        <v>1.3167982051282046</v>
      </c>
      <c r="Y2732" s="12">
        <f>V2732-X2732</f>
        <v>7.7458717948717943</v>
      </c>
      <c r="Z2732" s="14">
        <v>25</v>
      </c>
      <c r="AA2732" s="2" t="str">
        <f>IF(V2732&gt;Z2732,"Yes","No")</f>
        <v>No</v>
      </c>
      <c r="AB2732" s="12">
        <f>V2732-Z2732</f>
        <v>-15.937330000000001</v>
      </c>
      <c r="AC2732" s="15" t="s">
        <v>130</v>
      </c>
      <c r="AD2732" s="15" t="s">
        <v>130</v>
      </c>
      <c r="AE2732" s="15" t="s">
        <v>437</v>
      </c>
      <c r="AF2732" s="12">
        <f>IF(AG2732="Rejected",0,IF(R2732="Corporate Card",0,V2732))</f>
        <v>9.0626699999999989</v>
      </c>
      <c r="AG2732" s="15" t="s">
        <v>133</v>
      </c>
      <c r="AH2732" s="16">
        <v>45984</v>
      </c>
      <c r="AI2732" s="16">
        <v>45992</v>
      </c>
      <c r="AJ2732" s="16">
        <v>46004</v>
      </c>
      <c r="AK2732" s="17">
        <f>IF(AJ2732="","",AJ2732-AH2732)</f>
        <v>20</v>
      </c>
    </row>
    <row r="2733" spans="1:37">
      <c r="A2733" s="2" t="s">
        <v>3239</v>
      </c>
      <c r="B2733" s="2" t="s">
        <v>169</v>
      </c>
      <c r="C2733" s="2" t="s">
        <v>170</v>
      </c>
      <c r="D2733" s="2" t="s">
        <v>171</v>
      </c>
      <c r="E2733" s="2" t="s">
        <v>172</v>
      </c>
      <c r="F2733" s="2" t="s">
        <v>173</v>
      </c>
      <c r="G2733" s="2" t="s">
        <v>3197</v>
      </c>
      <c r="H2733" s="2" t="s">
        <v>348</v>
      </c>
      <c r="I2733" s="2" t="s">
        <v>175</v>
      </c>
      <c r="J2733" s="2" t="s">
        <v>176</v>
      </c>
      <c r="K2733" s="9">
        <v>45971</v>
      </c>
      <c r="L2733" s="9">
        <v>45976</v>
      </c>
      <c r="M2733" s="9">
        <v>45974</v>
      </c>
      <c r="N2733" s="2" t="s">
        <v>3124</v>
      </c>
      <c r="O2733" s="2" t="s">
        <v>56</v>
      </c>
      <c r="P2733" s="2" t="s">
        <v>151</v>
      </c>
      <c r="Q2733" s="2" t="s">
        <v>166</v>
      </c>
      <c r="R2733" s="2" t="s">
        <v>128</v>
      </c>
      <c r="S2733" s="2" t="s">
        <v>179</v>
      </c>
      <c r="T2733" s="10">
        <v>152.72999999999999</v>
      </c>
      <c r="U2733" s="11">
        <v>0.18099999999999999</v>
      </c>
      <c r="V2733" s="12">
        <f>T2733*U2733</f>
        <v>27.644129999999997</v>
      </c>
      <c r="W2733" s="13">
        <v>0.17</v>
      </c>
      <c r="X2733" s="12">
        <f>V2733-(V2733/(1+W2733))</f>
        <v>4.0166684615384582</v>
      </c>
      <c r="Y2733" s="12">
        <f>V2733-X2733</f>
        <v>23.627461538461539</v>
      </c>
      <c r="Z2733" s="14">
        <v>75</v>
      </c>
      <c r="AA2733" s="2" t="str">
        <f>IF(V2733&gt;Z2733,"Yes","No")</f>
        <v>No</v>
      </c>
      <c r="AB2733" s="12">
        <f>V2733-Z2733</f>
        <v>-47.355870000000003</v>
      </c>
      <c r="AC2733" s="15" t="s">
        <v>130</v>
      </c>
      <c r="AD2733" s="15" t="s">
        <v>130</v>
      </c>
      <c r="AE2733" s="15" t="s">
        <v>437</v>
      </c>
      <c r="AF2733" s="12">
        <f>IF(AG2733="Rejected",0,IF(R2733="Corporate Card",0,V2733))</f>
        <v>0</v>
      </c>
      <c r="AG2733" s="15" t="s">
        <v>133</v>
      </c>
      <c r="AH2733" s="16">
        <v>45984</v>
      </c>
      <c r="AI2733" s="16">
        <v>45992</v>
      </c>
      <c r="AJ2733" s="16">
        <v>46004</v>
      </c>
      <c r="AK2733" s="17">
        <f>IF(AJ2733="","",AJ2733-AH2733)</f>
        <v>20</v>
      </c>
    </row>
    <row r="2734" spans="1:37">
      <c r="A2734" s="2" t="s">
        <v>3240</v>
      </c>
      <c r="B2734" s="2" t="s">
        <v>882</v>
      </c>
      <c r="C2734" s="2" t="s">
        <v>446</v>
      </c>
      <c r="D2734" s="2" t="s">
        <v>444</v>
      </c>
      <c r="E2734" s="2" t="s">
        <v>883</v>
      </c>
      <c r="F2734" s="2" t="s">
        <v>313</v>
      </c>
      <c r="G2734" s="2" t="s">
        <v>3207</v>
      </c>
      <c r="H2734" s="2" t="s">
        <v>348</v>
      </c>
      <c r="I2734" s="2" t="s">
        <v>619</v>
      </c>
      <c r="J2734" s="2" t="s">
        <v>381</v>
      </c>
      <c r="K2734" s="9">
        <v>45973</v>
      </c>
      <c r="L2734" s="9">
        <v>45977</v>
      </c>
      <c r="M2734" s="9">
        <v>45975</v>
      </c>
      <c r="N2734" s="2" t="s">
        <v>3124</v>
      </c>
      <c r="O2734" s="2" t="s">
        <v>58</v>
      </c>
      <c r="P2734" s="2" t="s">
        <v>142</v>
      </c>
      <c r="Q2734" s="2" t="s">
        <v>156</v>
      </c>
      <c r="R2734" s="2" t="s">
        <v>128</v>
      </c>
      <c r="S2734" s="2" t="s">
        <v>383</v>
      </c>
      <c r="T2734" s="10">
        <v>30.04</v>
      </c>
      <c r="U2734" s="11">
        <v>1</v>
      </c>
      <c r="V2734" s="12">
        <f>T2734*U2734</f>
        <v>30.04</v>
      </c>
      <c r="W2734" s="13">
        <v>0</v>
      </c>
      <c r="X2734" s="12">
        <f>V2734-(V2734/(1+W2734))</f>
        <v>0</v>
      </c>
      <c r="Y2734" s="12">
        <f>V2734-X2734</f>
        <v>30.04</v>
      </c>
      <c r="Z2734" s="14">
        <v>60</v>
      </c>
      <c r="AA2734" s="2" t="str">
        <f>IF(V2734&gt;Z2734,"Yes","No")</f>
        <v>No</v>
      </c>
      <c r="AB2734" s="12">
        <f>V2734-Z2734</f>
        <v>-29.96</v>
      </c>
      <c r="AC2734" s="15" t="s">
        <v>130</v>
      </c>
      <c r="AD2734" s="15" t="s">
        <v>130</v>
      </c>
      <c r="AE2734" s="15" t="s">
        <v>421</v>
      </c>
      <c r="AF2734" s="12">
        <f>IF(AG2734="Rejected",0,IF(R2734="Corporate Card",0,V2734))</f>
        <v>0</v>
      </c>
      <c r="AG2734" s="15" t="s">
        <v>133</v>
      </c>
      <c r="AH2734" s="16">
        <v>45985</v>
      </c>
      <c r="AI2734" s="16">
        <v>45993</v>
      </c>
      <c r="AJ2734" s="16">
        <v>46002</v>
      </c>
      <c r="AK2734" s="17">
        <f>IF(AJ2734="","",AJ2734-AH2734)</f>
        <v>17</v>
      </c>
    </row>
    <row r="2735" spans="1:37">
      <c r="A2735" s="2" t="s">
        <v>3241</v>
      </c>
      <c r="B2735" s="2" t="s">
        <v>882</v>
      </c>
      <c r="C2735" s="2" t="s">
        <v>446</v>
      </c>
      <c r="D2735" s="2" t="s">
        <v>444</v>
      </c>
      <c r="E2735" s="2" t="s">
        <v>883</v>
      </c>
      <c r="F2735" s="2" t="s">
        <v>313</v>
      </c>
      <c r="G2735" s="2" t="s">
        <v>3207</v>
      </c>
      <c r="H2735" s="2" t="s">
        <v>348</v>
      </c>
      <c r="I2735" s="2" t="s">
        <v>619</v>
      </c>
      <c r="J2735" s="2" t="s">
        <v>381</v>
      </c>
      <c r="K2735" s="9">
        <v>45973</v>
      </c>
      <c r="L2735" s="9">
        <v>45977</v>
      </c>
      <c r="M2735" s="9">
        <v>45975</v>
      </c>
      <c r="N2735" s="2" t="s">
        <v>3124</v>
      </c>
      <c r="O2735" s="2" t="s">
        <v>54</v>
      </c>
      <c r="P2735" s="2" t="s">
        <v>139</v>
      </c>
      <c r="Q2735" s="2" t="s">
        <v>148</v>
      </c>
      <c r="R2735" s="2" t="s">
        <v>128</v>
      </c>
      <c r="S2735" s="2" t="s">
        <v>383</v>
      </c>
      <c r="T2735" s="10">
        <v>16.14</v>
      </c>
      <c r="U2735" s="11">
        <v>1</v>
      </c>
      <c r="V2735" s="12">
        <f>T2735*U2735</f>
        <v>16.14</v>
      </c>
      <c r="W2735" s="13">
        <v>0</v>
      </c>
      <c r="X2735" s="12">
        <f>V2735-(V2735/(1+W2735))</f>
        <v>0</v>
      </c>
      <c r="Y2735" s="12">
        <f>V2735-X2735</f>
        <v>16.14</v>
      </c>
      <c r="Z2735" s="14">
        <v>25</v>
      </c>
      <c r="AA2735" s="2" t="str">
        <f>IF(V2735&gt;Z2735,"Yes","No")</f>
        <v>No</v>
      </c>
      <c r="AB2735" s="12">
        <f>V2735-Z2735</f>
        <v>-8.86</v>
      </c>
      <c r="AC2735" s="15" t="s">
        <v>130</v>
      </c>
      <c r="AD2735" s="15" t="s">
        <v>130</v>
      </c>
      <c r="AE2735" s="15" t="s">
        <v>421</v>
      </c>
      <c r="AF2735" s="12">
        <f>IF(AG2735="Rejected",0,IF(R2735="Corporate Card",0,V2735))</f>
        <v>0</v>
      </c>
      <c r="AG2735" s="15" t="s">
        <v>133</v>
      </c>
      <c r="AH2735" s="16">
        <v>45985</v>
      </c>
      <c r="AI2735" s="16">
        <v>45993</v>
      </c>
      <c r="AJ2735" s="16">
        <v>46002</v>
      </c>
      <c r="AK2735" s="17">
        <f>IF(AJ2735="","",AJ2735-AH2735)</f>
        <v>17</v>
      </c>
    </row>
    <row r="2736" spans="1:37">
      <c r="A2736" s="2" t="s">
        <v>3242</v>
      </c>
      <c r="B2736" s="2" t="s">
        <v>882</v>
      </c>
      <c r="C2736" s="2" t="s">
        <v>446</v>
      </c>
      <c r="D2736" s="2" t="s">
        <v>444</v>
      </c>
      <c r="E2736" s="2" t="s">
        <v>883</v>
      </c>
      <c r="F2736" s="2" t="s">
        <v>313</v>
      </c>
      <c r="G2736" s="2" t="s">
        <v>3207</v>
      </c>
      <c r="H2736" s="2" t="s">
        <v>348</v>
      </c>
      <c r="I2736" s="2" t="s">
        <v>619</v>
      </c>
      <c r="J2736" s="2" t="s">
        <v>381</v>
      </c>
      <c r="K2736" s="9">
        <v>45973</v>
      </c>
      <c r="L2736" s="9">
        <v>45977</v>
      </c>
      <c r="M2736" s="9">
        <v>45975</v>
      </c>
      <c r="N2736" s="2" t="s">
        <v>3124</v>
      </c>
      <c r="O2736" s="2" t="s">
        <v>56</v>
      </c>
      <c r="P2736" s="2" t="s">
        <v>231</v>
      </c>
      <c r="Q2736" s="2" t="s">
        <v>159</v>
      </c>
      <c r="R2736" s="2" t="s">
        <v>128</v>
      </c>
      <c r="S2736" s="2" t="s">
        <v>383</v>
      </c>
      <c r="T2736" s="10">
        <v>72.91</v>
      </c>
      <c r="U2736" s="11">
        <v>1</v>
      </c>
      <c r="V2736" s="12">
        <f>T2736*U2736</f>
        <v>72.91</v>
      </c>
      <c r="W2736" s="13">
        <v>0</v>
      </c>
      <c r="X2736" s="12">
        <f>V2736-(V2736/(1+W2736))</f>
        <v>0</v>
      </c>
      <c r="Y2736" s="12">
        <f>V2736-X2736</f>
        <v>72.91</v>
      </c>
      <c r="Z2736" s="14">
        <v>75</v>
      </c>
      <c r="AA2736" s="2" t="str">
        <f>IF(V2736&gt;Z2736,"Yes","No")</f>
        <v>No</v>
      </c>
      <c r="AB2736" s="12">
        <f>V2736-Z2736</f>
        <v>-2.0900000000000034</v>
      </c>
      <c r="AC2736" s="15" t="s">
        <v>130</v>
      </c>
      <c r="AD2736" s="15" t="s">
        <v>130</v>
      </c>
      <c r="AE2736" s="15" t="s">
        <v>421</v>
      </c>
      <c r="AF2736" s="12">
        <f>IF(AG2736="Rejected",0,IF(R2736="Corporate Card",0,V2736))</f>
        <v>0</v>
      </c>
      <c r="AG2736" s="15" t="s">
        <v>133</v>
      </c>
      <c r="AH2736" s="16">
        <v>45985</v>
      </c>
      <c r="AI2736" s="16">
        <v>45993</v>
      </c>
      <c r="AJ2736" s="16">
        <v>46002</v>
      </c>
      <c r="AK2736" s="17">
        <f>IF(AJ2736="","",AJ2736-AH2736)</f>
        <v>17</v>
      </c>
    </row>
    <row r="2737" spans="1:37">
      <c r="A2737" s="2" t="s">
        <v>3243</v>
      </c>
      <c r="B2737" s="2" t="s">
        <v>550</v>
      </c>
      <c r="C2737" s="2" t="s">
        <v>551</v>
      </c>
      <c r="D2737" s="2" t="s">
        <v>171</v>
      </c>
      <c r="E2737" s="2" t="s">
        <v>172</v>
      </c>
      <c r="F2737" s="2" t="s">
        <v>173</v>
      </c>
      <c r="G2737" s="2" t="s">
        <v>3226</v>
      </c>
      <c r="H2737" s="2" t="s">
        <v>254</v>
      </c>
      <c r="I2737" s="2" t="s">
        <v>749</v>
      </c>
      <c r="J2737" s="2" t="s">
        <v>750</v>
      </c>
      <c r="K2737" s="9">
        <v>45974</v>
      </c>
      <c r="L2737" s="9">
        <v>45977</v>
      </c>
      <c r="M2737" s="9">
        <v>45975</v>
      </c>
      <c r="N2737" s="2" t="s">
        <v>3124</v>
      </c>
      <c r="O2737" s="2" t="s">
        <v>53</v>
      </c>
      <c r="P2737" s="2" t="s">
        <v>145</v>
      </c>
      <c r="Q2737" s="2" t="s">
        <v>146</v>
      </c>
      <c r="R2737" s="2" t="s">
        <v>149</v>
      </c>
      <c r="S2737" s="2" t="s">
        <v>198</v>
      </c>
      <c r="T2737" s="10">
        <v>517.73</v>
      </c>
      <c r="U2737" s="11">
        <v>1.085</v>
      </c>
      <c r="V2737" s="12">
        <f>T2737*U2737</f>
        <v>561.73704999999995</v>
      </c>
      <c r="W2737" s="13">
        <v>0.19</v>
      </c>
      <c r="X2737" s="12">
        <f>V2737-(V2737/(1+W2737))</f>
        <v>89.689108823529409</v>
      </c>
      <c r="Y2737" s="12">
        <f>V2737-X2737</f>
        <v>472.04794117647054</v>
      </c>
      <c r="Z2737" s="14">
        <v>840</v>
      </c>
      <c r="AA2737" s="2" t="str">
        <f>IF(V2737&gt;Z2737,"Yes","No")</f>
        <v>No</v>
      </c>
      <c r="AB2737" s="12">
        <f>V2737-Z2737</f>
        <v>-278.26295000000005</v>
      </c>
      <c r="AC2737" s="15" t="s">
        <v>130</v>
      </c>
      <c r="AD2737" s="15" t="s">
        <v>131</v>
      </c>
      <c r="AE2737" s="15" t="s">
        <v>350</v>
      </c>
      <c r="AF2737" s="12">
        <f>IF(AG2737="Rejected",0,IF(R2737="Corporate Card",0,V2737))</f>
        <v>561.73704999999995</v>
      </c>
      <c r="AG2737" s="15" t="s">
        <v>133</v>
      </c>
      <c r="AH2737" s="16">
        <v>45986</v>
      </c>
      <c r="AI2737" s="16">
        <v>45990</v>
      </c>
      <c r="AJ2737" s="16">
        <v>45995</v>
      </c>
      <c r="AK2737" s="17">
        <f>IF(AJ2737="","",AJ2737-AH2737)</f>
        <v>9</v>
      </c>
    </row>
    <row r="2738" spans="1:37">
      <c r="A2738" s="2" t="s">
        <v>3244</v>
      </c>
      <c r="B2738" s="2" t="s">
        <v>550</v>
      </c>
      <c r="C2738" s="2" t="s">
        <v>551</v>
      </c>
      <c r="D2738" s="2" t="s">
        <v>171</v>
      </c>
      <c r="E2738" s="2" t="s">
        <v>172</v>
      </c>
      <c r="F2738" s="2" t="s">
        <v>173</v>
      </c>
      <c r="G2738" s="2" t="s">
        <v>3226</v>
      </c>
      <c r="H2738" s="2" t="s">
        <v>254</v>
      </c>
      <c r="I2738" s="2" t="s">
        <v>749</v>
      </c>
      <c r="J2738" s="2" t="s">
        <v>750</v>
      </c>
      <c r="K2738" s="9">
        <v>45974</v>
      </c>
      <c r="L2738" s="9">
        <v>45977</v>
      </c>
      <c r="M2738" s="9">
        <v>45975</v>
      </c>
      <c r="N2738" s="2" t="s">
        <v>3124</v>
      </c>
      <c r="O2738" s="2" t="s">
        <v>54</v>
      </c>
      <c r="P2738" s="2" t="s">
        <v>139</v>
      </c>
      <c r="Q2738" s="2" t="s">
        <v>214</v>
      </c>
      <c r="R2738" s="2" t="s">
        <v>128</v>
      </c>
      <c r="S2738" s="2" t="s">
        <v>198</v>
      </c>
      <c r="T2738" s="10">
        <v>19.61</v>
      </c>
      <c r="U2738" s="11">
        <v>1.085</v>
      </c>
      <c r="V2738" s="12">
        <f>T2738*U2738</f>
        <v>21.27685</v>
      </c>
      <c r="W2738" s="13">
        <v>0.19</v>
      </c>
      <c r="X2738" s="12">
        <f>V2738-(V2738/(1+W2738))</f>
        <v>3.3971441176470591</v>
      </c>
      <c r="Y2738" s="12">
        <f>V2738-X2738</f>
        <v>17.87970588235294</v>
      </c>
      <c r="Z2738" s="14">
        <v>25</v>
      </c>
      <c r="AA2738" s="2" t="str">
        <f>IF(V2738&gt;Z2738,"Yes","No")</f>
        <v>No</v>
      </c>
      <c r="AB2738" s="12">
        <f>V2738-Z2738</f>
        <v>-3.7231500000000004</v>
      </c>
      <c r="AC2738" s="15" t="s">
        <v>130</v>
      </c>
      <c r="AD2738" s="15" t="s">
        <v>131</v>
      </c>
      <c r="AE2738" s="15" t="s">
        <v>350</v>
      </c>
      <c r="AF2738" s="12">
        <f>IF(AG2738="Rejected",0,IF(R2738="Corporate Card",0,V2738))</f>
        <v>0</v>
      </c>
      <c r="AG2738" s="15" t="s">
        <v>133</v>
      </c>
      <c r="AH2738" s="16">
        <v>45986</v>
      </c>
      <c r="AI2738" s="16">
        <v>45990</v>
      </c>
      <c r="AJ2738" s="16">
        <v>45995</v>
      </c>
      <c r="AK2738" s="17">
        <f>IF(AJ2738="","",AJ2738-AH2738)</f>
        <v>9</v>
      </c>
    </row>
    <row r="2739" spans="1:37">
      <c r="A2739" s="2" t="s">
        <v>3245</v>
      </c>
      <c r="B2739" s="2" t="s">
        <v>550</v>
      </c>
      <c r="C2739" s="2" t="s">
        <v>551</v>
      </c>
      <c r="D2739" s="2" t="s">
        <v>171</v>
      </c>
      <c r="E2739" s="2" t="s">
        <v>172</v>
      </c>
      <c r="F2739" s="2" t="s">
        <v>173</v>
      </c>
      <c r="G2739" s="2" t="s">
        <v>3226</v>
      </c>
      <c r="H2739" s="2" t="s">
        <v>254</v>
      </c>
      <c r="I2739" s="2" t="s">
        <v>749</v>
      </c>
      <c r="J2739" s="2" t="s">
        <v>750</v>
      </c>
      <c r="K2739" s="9">
        <v>45974</v>
      </c>
      <c r="L2739" s="9">
        <v>45977</v>
      </c>
      <c r="M2739" s="9">
        <v>45975</v>
      </c>
      <c r="N2739" s="2" t="s">
        <v>3124</v>
      </c>
      <c r="O2739" s="2" t="s">
        <v>55</v>
      </c>
      <c r="P2739" s="2" t="s">
        <v>139</v>
      </c>
      <c r="Q2739" s="2" t="s">
        <v>217</v>
      </c>
      <c r="R2739" s="2" t="s">
        <v>149</v>
      </c>
      <c r="S2739" s="2" t="s">
        <v>198</v>
      </c>
      <c r="T2739" s="10">
        <v>27.93</v>
      </c>
      <c r="U2739" s="11">
        <v>1.085</v>
      </c>
      <c r="V2739" s="12">
        <f>T2739*U2739</f>
        <v>30.30405</v>
      </c>
      <c r="W2739" s="13">
        <v>0.19</v>
      </c>
      <c r="X2739" s="12">
        <f>V2739-(V2739/(1+W2739))</f>
        <v>4.8384617647058796</v>
      </c>
      <c r="Y2739" s="12">
        <f>V2739-X2739</f>
        <v>25.465588235294121</v>
      </c>
      <c r="Z2739" s="14">
        <v>35</v>
      </c>
      <c r="AA2739" s="2" t="str">
        <f>IF(V2739&gt;Z2739,"Yes","No")</f>
        <v>No</v>
      </c>
      <c r="AB2739" s="12">
        <f>V2739-Z2739</f>
        <v>-4.6959499999999998</v>
      </c>
      <c r="AC2739" s="15" t="s">
        <v>130</v>
      </c>
      <c r="AD2739" s="15" t="s">
        <v>131</v>
      </c>
      <c r="AE2739" s="15" t="s">
        <v>350</v>
      </c>
      <c r="AF2739" s="12">
        <f>IF(AG2739="Rejected",0,IF(R2739="Corporate Card",0,V2739))</f>
        <v>30.30405</v>
      </c>
      <c r="AG2739" s="15" t="s">
        <v>133</v>
      </c>
      <c r="AH2739" s="16">
        <v>45986</v>
      </c>
      <c r="AI2739" s="16">
        <v>45990</v>
      </c>
      <c r="AJ2739" s="16">
        <v>45995</v>
      </c>
      <c r="AK2739" s="17">
        <f>IF(AJ2739="","",AJ2739-AH2739)</f>
        <v>9</v>
      </c>
    </row>
    <row r="2740" spans="1:37">
      <c r="A2740" s="2" t="s">
        <v>3246</v>
      </c>
      <c r="B2740" s="2" t="s">
        <v>1235</v>
      </c>
      <c r="C2740" s="2" t="s">
        <v>867</v>
      </c>
      <c r="D2740" s="2" t="s">
        <v>865</v>
      </c>
      <c r="E2740" s="2" t="s">
        <v>1236</v>
      </c>
      <c r="F2740" s="2" t="s">
        <v>313</v>
      </c>
      <c r="G2740" s="2" t="s">
        <v>3212</v>
      </c>
      <c r="H2740" s="2" t="s">
        <v>122</v>
      </c>
      <c r="I2740" s="2" t="s">
        <v>175</v>
      </c>
      <c r="J2740" s="2" t="s">
        <v>176</v>
      </c>
      <c r="K2740" s="9">
        <v>45973</v>
      </c>
      <c r="L2740" s="9">
        <v>45976</v>
      </c>
      <c r="M2740" s="9">
        <v>45975</v>
      </c>
      <c r="N2740" s="2" t="s">
        <v>3124</v>
      </c>
      <c r="O2740" s="2" t="s">
        <v>67</v>
      </c>
      <c r="P2740" s="2" t="s">
        <v>401</v>
      </c>
      <c r="Q2740" s="2" t="s">
        <v>574</v>
      </c>
      <c r="R2740" s="2" t="s">
        <v>128</v>
      </c>
      <c r="S2740" s="2" t="s">
        <v>179</v>
      </c>
      <c r="T2740" s="10">
        <v>326.89</v>
      </c>
      <c r="U2740" s="11">
        <v>0.18099999999999999</v>
      </c>
      <c r="V2740" s="12">
        <f>T2740*U2740</f>
        <v>59.167089999999995</v>
      </c>
      <c r="W2740" s="13">
        <v>0.17</v>
      </c>
      <c r="X2740" s="12">
        <f>V2740-(V2740/(1+W2740))</f>
        <v>8.5969276068376033</v>
      </c>
      <c r="Y2740" s="12">
        <f>V2740-X2740</f>
        <v>50.570162393162391</v>
      </c>
      <c r="Z2740" s="14">
        <v>100</v>
      </c>
      <c r="AA2740" s="2" t="str">
        <f>IF(V2740&gt;Z2740,"Yes","No")</f>
        <v>No</v>
      </c>
      <c r="AB2740" s="12">
        <f>V2740-Z2740</f>
        <v>-40.832910000000005</v>
      </c>
      <c r="AC2740" s="15" t="s">
        <v>130</v>
      </c>
      <c r="AD2740" s="15" t="s">
        <v>131</v>
      </c>
      <c r="AE2740" s="15" t="s">
        <v>858</v>
      </c>
      <c r="AF2740" s="12">
        <f>IF(AG2740="Rejected",0,IF(R2740="Corporate Card",0,V2740))</f>
        <v>0</v>
      </c>
      <c r="AG2740" s="15" t="s">
        <v>133</v>
      </c>
      <c r="AH2740" s="16">
        <v>45980</v>
      </c>
      <c r="AI2740" s="16">
        <v>45984</v>
      </c>
      <c r="AJ2740" s="16">
        <v>45991</v>
      </c>
      <c r="AK2740" s="17">
        <f>IF(AJ2740="","",AJ2740-AH2740)</f>
        <v>11</v>
      </c>
    </row>
    <row r="2741" spans="1:37">
      <c r="A2741" s="2" t="s">
        <v>3247</v>
      </c>
      <c r="B2741" s="2" t="s">
        <v>1235</v>
      </c>
      <c r="C2741" s="2" t="s">
        <v>867</v>
      </c>
      <c r="D2741" s="2" t="s">
        <v>865</v>
      </c>
      <c r="E2741" s="2" t="s">
        <v>1236</v>
      </c>
      <c r="F2741" s="2" t="s">
        <v>313</v>
      </c>
      <c r="G2741" s="2" t="s">
        <v>3212</v>
      </c>
      <c r="H2741" s="2" t="s">
        <v>122</v>
      </c>
      <c r="I2741" s="2" t="s">
        <v>175</v>
      </c>
      <c r="J2741" s="2" t="s">
        <v>176</v>
      </c>
      <c r="K2741" s="9">
        <v>45973</v>
      </c>
      <c r="L2741" s="9">
        <v>45976</v>
      </c>
      <c r="M2741" s="9">
        <v>45975</v>
      </c>
      <c r="N2741" s="2" t="s">
        <v>3124</v>
      </c>
      <c r="O2741" s="2" t="s">
        <v>54</v>
      </c>
      <c r="P2741" s="2" t="s">
        <v>139</v>
      </c>
      <c r="Q2741" s="2" t="s">
        <v>214</v>
      </c>
      <c r="R2741" s="2" t="s">
        <v>149</v>
      </c>
      <c r="S2741" s="2" t="s">
        <v>179</v>
      </c>
      <c r="T2741" s="10">
        <v>113.93</v>
      </c>
      <c r="U2741" s="11">
        <v>0.18099999999999999</v>
      </c>
      <c r="V2741" s="12">
        <f>T2741*U2741</f>
        <v>20.62133</v>
      </c>
      <c r="W2741" s="13">
        <v>0.17</v>
      </c>
      <c r="X2741" s="12">
        <f>V2741-(V2741/(1+W2741))</f>
        <v>2.9962616239316233</v>
      </c>
      <c r="Y2741" s="12">
        <f>V2741-X2741</f>
        <v>17.625068376068377</v>
      </c>
      <c r="Z2741" s="14">
        <v>25</v>
      </c>
      <c r="AA2741" s="2" t="str">
        <f>IF(V2741&gt;Z2741,"Yes","No")</f>
        <v>No</v>
      </c>
      <c r="AB2741" s="12">
        <f>V2741-Z2741</f>
        <v>-4.3786699999999996</v>
      </c>
      <c r="AC2741" s="15" t="s">
        <v>130</v>
      </c>
      <c r="AD2741" s="15" t="s">
        <v>131</v>
      </c>
      <c r="AE2741" s="15" t="s">
        <v>858</v>
      </c>
      <c r="AF2741" s="12">
        <f>IF(AG2741="Rejected",0,IF(R2741="Corporate Card",0,V2741))</f>
        <v>20.62133</v>
      </c>
      <c r="AG2741" s="15" t="s">
        <v>133</v>
      </c>
      <c r="AH2741" s="16">
        <v>45980</v>
      </c>
      <c r="AI2741" s="16">
        <v>45984</v>
      </c>
      <c r="AJ2741" s="16">
        <v>45991</v>
      </c>
      <c r="AK2741" s="17">
        <f>IF(AJ2741="","",AJ2741-AH2741)</f>
        <v>11</v>
      </c>
    </row>
    <row r="2742" spans="1:37">
      <c r="A2742" s="2" t="s">
        <v>3248</v>
      </c>
      <c r="B2742" s="2" t="s">
        <v>1235</v>
      </c>
      <c r="C2742" s="2" t="s">
        <v>867</v>
      </c>
      <c r="D2742" s="2" t="s">
        <v>865</v>
      </c>
      <c r="E2742" s="2" t="s">
        <v>1236</v>
      </c>
      <c r="F2742" s="2" t="s">
        <v>313</v>
      </c>
      <c r="G2742" s="2" t="s">
        <v>3212</v>
      </c>
      <c r="H2742" s="2" t="s">
        <v>122</v>
      </c>
      <c r="I2742" s="2" t="s">
        <v>175</v>
      </c>
      <c r="J2742" s="2" t="s">
        <v>176</v>
      </c>
      <c r="K2742" s="9">
        <v>45973</v>
      </c>
      <c r="L2742" s="9">
        <v>45976</v>
      </c>
      <c r="M2742" s="9">
        <v>45975</v>
      </c>
      <c r="N2742" s="2" t="s">
        <v>3124</v>
      </c>
      <c r="O2742" s="2" t="s">
        <v>56</v>
      </c>
      <c r="P2742" s="2" t="s">
        <v>165</v>
      </c>
      <c r="Q2742" s="2" t="s">
        <v>227</v>
      </c>
      <c r="R2742" s="2" t="s">
        <v>128</v>
      </c>
      <c r="S2742" s="2" t="s">
        <v>179</v>
      </c>
      <c r="T2742" s="10">
        <v>350.87</v>
      </c>
      <c r="U2742" s="11">
        <v>0.18099999999999999</v>
      </c>
      <c r="V2742" s="12">
        <f>T2742*U2742</f>
        <v>63.507469999999998</v>
      </c>
      <c r="W2742" s="13">
        <v>0.17</v>
      </c>
      <c r="X2742" s="12">
        <f>V2742-(V2742/(1+W2742))</f>
        <v>9.2275811111111068</v>
      </c>
      <c r="Y2742" s="12">
        <f>V2742-X2742</f>
        <v>54.279888888888891</v>
      </c>
      <c r="Z2742" s="14">
        <v>75</v>
      </c>
      <c r="AA2742" s="2" t="str">
        <f>IF(V2742&gt;Z2742,"Yes","No")</f>
        <v>No</v>
      </c>
      <c r="AB2742" s="12">
        <f>V2742-Z2742</f>
        <v>-11.492530000000002</v>
      </c>
      <c r="AC2742" s="15" t="s">
        <v>130</v>
      </c>
      <c r="AD2742" s="15" t="s">
        <v>131</v>
      </c>
      <c r="AE2742" s="15" t="s">
        <v>858</v>
      </c>
      <c r="AF2742" s="12">
        <f>IF(AG2742="Rejected",0,IF(R2742="Corporate Card",0,V2742))</f>
        <v>0</v>
      </c>
      <c r="AG2742" s="15" t="s">
        <v>133</v>
      </c>
      <c r="AH2742" s="16">
        <v>45980</v>
      </c>
      <c r="AI2742" s="16">
        <v>45984</v>
      </c>
      <c r="AJ2742" s="16">
        <v>45991</v>
      </c>
      <c r="AK2742" s="17">
        <f>IF(AJ2742="","",AJ2742-AH2742)</f>
        <v>11</v>
      </c>
    </row>
    <row r="2743" spans="1:37">
      <c r="A2743" s="2" t="s">
        <v>3249</v>
      </c>
      <c r="B2743" s="2" t="s">
        <v>1235</v>
      </c>
      <c r="C2743" s="2" t="s">
        <v>867</v>
      </c>
      <c r="D2743" s="2" t="s">
        <v>865</v>
      </c>
      <c r="E2743" s="2" t="s">
        <v>1236</v>
      </c>
      <c r="F2743" s="2" t="s">
        <v>313</v>
      </c>
      <c r="G2743" s="2" t="s">
        <v>3212</v>
      </c>
      <c r="H2743" s="2" t="s">
        <v>122</v>
      </c>
      <c r="I2743" s="2" t="s">
        <v>175</v>
      </c>
      <c r="J2743" s="2" t="s">
        <v>176</v>
      </c>
      <c r="K2743" s="9">
        <v>45973</v>
      </c>
      <c r="L2743" s="9">
        <v>45976</v>
      </c>
      <c r="M2743" s="9">
        <v>45975</v>
      </c>
      <c r="N2743" s="2" t="s">
        <v>3124</v>
      </c>
      <c r="O2743" s="2" t="s">
        <v>55</v>
      </c>
      <c r="P2743" s="2" t="s">
        <v>139</v>
      </c>
      <c r="Q2743" s="2" t="s">
        <v>161</v>
      </c>
      <c r="R2743" s="2" t="s">
        <v>128</v>
      </c>
      <c r="S2743" s="2" t="s">
        <v>179</v>
      </c>
      <c r="T2743" s="10">
        <v>96.76</v>
      </c>
      <c r="U2743" s="11">
        <v>0.18099999999999999</v>
      </c>
      <c r="V2743" s="12">
        <f>T2743*U2743</f>
        <v>17.513560000000002</v>
      </c>
      <c r="W2743" s="13">
        <v>0.17</v>
      </c>
      <c r="X2743" s="12">
        <f>V2743-(V2743/(1+W2743))</f>
        <v>2.5447052991452992</v>
      </c>
      <c r="Y2743" s="12">
        <f>V2743-X2743</f>
        <v>14.968854700854703</v>
      </c>
      <c r="Z2743" s="14">
        <v>35</v>
      </c>
      <c r="AA2743" s="2" t="str">
        <f>IF(V2743&gt;Z2743,"Yes","No")</f>
        <v>No</v>
      </c>
      <c r="AB2743" s="12">
        <f>V2743-Z2743</f>
        <v>-17.486439999999998</v>
      </c>
      <c r="AC2743" s="15" t="s">
        <v>130</v>
      </c>
      <c r="AD2743" s="15" t="s">
        <v>131</v>
      </c>
      <c r="AE2743" s="15" t="s">
        <v>858</v>
      </c>
      <c r="AF2743" s="12">
        <f>IF(AG2743="Rejected",0,IF(R2743="Corporate Card",0,V2743))</f>
        <v>0</v>
      </c>
      <c r="AG2743" s="15" t="s">
        <v>133</v>
      </c>
      <c r="AH2743" s="16">
        <v>45980</v>
      </c>
      <c r="AI2743" s="16">
        <v>45984</v>
      </c>
      <c r="AJ2743" s="16">
        <v>45991</v>
      </c>
      <c r="AK2743" s="17">
        <f>IF(AJ2743="","",AJ2743-AH2743)</f>
        <v>11</v>
      </c>
    </row>
    <row r="2744" spans="1:37">
      <c r="A2744" s="2" t="s">
        <v>3250</v>
      </c>
      <c r="B2744" s="2" t="s">
        <v>169</v>
      </c>
      <c r="C2744" s="2" t="s">
        <v>170</v>
      </c>
      <c r="D2744" s="2" t="s">
        <v>171</v>
      </c>
      <c r="E2744" s="2" t="s">
        <v>172</v>
      </c>
      <c r="F2744" s="2" t="s">
        <v>173</v>
      </c>
      <c r="G2744" s="2" t="s">
        <v>3197</v>
      </c>
      <c r="H2744" s="2" t="s">
        <v>348</v>
      </c>
      <c r="I2744" s="2" t="s">
        <v>175</v>
      </c>
      <c r="J2744" s="2" t="s">
        <v>176</v>
      </c>
      <c r="K2744" s="9">
        <v>45971</v>
      </c>
      <c r="L2744" s="9">
        <v>45976</v>
      </c>
      <c r="M2744" s="9">
        <v>45975</v>
      </c>
      <c r="N2744" s="2" t="s">
        <v>3124</v>
      </c>
      <c r="O2744" s="2" t="s">
        <v>57</v>
      </c>
      <c r="P2744" s="2" t="s">
        <v>398</v>
      </c>
      <c r="Q2744" s="2" t="s">
        <v>1204</v>
      </c>
      <c r="R2744" s="2" t="s">
        <v>149</v>
      </c>
      <c r="S2744" s="2" t="s">
        <v>179</v>
      </c>
      <c r="T2744" s="10">
        <v>1083.26</v>
      </c>
      <c r="U2744" s="11">
        <v>0.18099999999999999</v>
      </c>
      <c r="V2744" s="12">
        <f>T2744*U2744</f>
        <v>196.07005999999998</v>
      </c>
      <c r="W2744" s="13">
        <v>0.17</v>
      </c>
      <c r="X2744" s="12">
        <f>V2744-(V2744/(1+W2744))</f>
        <v>28.488812136752131</v>
      </c>
      <c r="Y2744" s="12">
        <f>V2744-X2744</f>
        <v>167.58124786324785</v>
      </c>
      <c r="Z2744" s="14">
        <v>200</v>
      </c>
      <c r="AA2744" s="2" t="str">
        <f>IF(V2744&gt;Z2744,"Yes","No")</f>
        <v>No</v>
      </c>
      <c r="AB2744" s="12">
        <f>V2744-Z2744</f>
        <v>-3.9299400000000162</v>
      </c>
      <c r="AC2744" s="15" t="s">
        <v>130</v>
      </c>
      <c r="AD2744" s="15" t="s">
        <v>130</v>
      </c>
      <c r="AE2744" s="15" t="s">
        <v>437</v>
      </c>
      <c r="AF2744" s="12">
        <f>IF(AG2744="Rejected",0,IF(R2744="Corporate Card",0,V2744))</f>
        <v>196.07005999999998</v>
      </c>
      <c r="AG2744" s="15" t="s">
        <v>133</v>
      </c>
      <c r="AH2744" s="16">
        <v>45984</v>
      </c>
      <c r="AI2744" s="16">
        <v>45992</v>
      </c>
      <c r="AJ2744" s="16">
        <v>46004</v>
      </c>
      <c r="AK2744" s="17">
        <f>IF(AJ2744="","",AJ2744-AH2744)</f>
        <v>20</v>
      </c>
    </row>
    <row r="2745" spans="1:37">
      <c r="A2745" s="2" t="s">
        <v>3251</v>
      </c>
      <c r="B2745" s="2" t="s">
        <v>169</v>
      </c>
      <c r="C2745" s="2" t="s">
        <v>170</v>
      </c>
      <c r="D2745" s="2" t="s">
        <v>171</v>
      </c>
      <c r="E2745" s="2" t="s">
        <v>172</v>
      </c>
      <c r="F2745" s="2" t="s">
        <v>173</v>
      </c>
      <c r="G2745" s="2" t="s">
        <v>3197</v>
      </c>
      <c r="H2745" s="2" t="s">
        <v>348</v>
      </c>
      <c r="I2745" s="2" t="s">
        <v>175</v>
      </c>
      <c r="J2745" s="2" t="s">
        <v>176</v>
      </c>
      <c r="K2745" s="9">
        <v>45971</v>
      </c>
      <c r="L2745" s="9">
        <v>45976</v>
      </c>
      <c r="M2745" s="9">
        <v>45975</v>
      </c>
      <c r="N2745" s="2" t="s">
        <v>3124</v>
      </c>
      <c r="O2745" s="2" t="s">
        <v>58</v>
      </c>
      <c r="P2745" s="2" t="s">
        <v>142</v>
      </c>
      <c r="Q2745" s="2" t="s">
        <v>203</v>
      </c>
      <c r="R2745" s="2" t="s">
        <v>128</v>
      </c>
      <c r="S2745" s="2" t="s">
        <v>179</v>
      </c>
      <c r="T2745" s="10">
        <v>300</v>
      </c>
      <c r="U2745" s="11">
        <v>0.18099999999999999</v>
      </c>
      <c r="V2745" s="12">
        <f>T2745*U2745</f>
        <v>54.3</v>
      </c>
      <c r="W2745" s="13">
        <v>0.17</v>
      </c>
      <c r="X2745" s="12">
        <f>V2745-(V2745/(1+W2745))</f>
        <v>7.8897435897435884</v>
      </c>
      <c r="Y2745" s="12">
        <f>V2745-X2745</f>
        <v>46.410256410256409</v>
      </c>
      <c r="Z2745" s="14">
        <v>60</v>
      </c>
      <c r="AA2745" s="2" t="str">
        <f>IF(V2745&gt;Z2745,"Yes","No")</f>
        <v>No</v>
      </c>
      <c r="AB2745" s="12">
        <f>V2745-Z2745</f>
        <v>-5.7000000000000028</v>
      </c>
      <c r="AC2745" s="15" t="s">
        <v>130</v>
      </c>
      <c r="AD2745" s="15" t="s">
        <v>130</v>
      </c>
      <c r="AE2745" s="15" t="s">
        <v>437</v>
      </c>
      <c r="AF2745" s="12">
        <f>IF(AG2745="Rejected",0,IF(R2745="Corporate Card",0,V2745))</f>
        <v>0</v>
      </c>
      <c r="AG2745" s="15" t="s">
        <v>133</v>
      </c>
      <c r="AH2745" s="16">
        <v>45984</v>
      </c>
      <c r="AI2745" s="16">
        <v>45992</v>
      </c>
      <c r="AJ2745" s="16">
        <v>46004</v>
      </c>
      <c r="AK2745" s="17">
        <f>IF(AJ2745="","",AJ2745-AH2745)</f>
        <v>20</v>
      </c>
    </row>
    <row r="2746" spans="1:37">
      <c r="A2746" s="2" t="s">
        <v>3252</v>
      </c>
      <c r="B2746" s="2" t="s">
        <v>169</v>
      </c>
      <c r="C2746" s="2" t="s">
        <v>170</v>
      </c>
      <c r="D2746" s="2" t="s">
        <v>171</v>
      </c>
      <c r="E2746" s="2" t="s">
        <v>172</v>
      </c>
      <c r="F2746" s="2" t="s">
        <v>173</v>
      </c>
      <c r="G2746" s="2" t="s">
        <v>3197</v>
      </c>
      <c r="H2746" s="2" t="s">
        <v>348</v>
      </c>
      <c r="I2746" s="2" t="s">
        <v>175</v>
      </c>
      <c r="J2746" s="2" t="s">
        <v>176</v>
      </c>
      <c r="K2746" s="9">
        <v>45971</v>
      </c>
      <c r="L2746" s="9">
        <v>45976</v>
      </c>
      <c r="M2746" s="9">
        <v>45975</v>
      </c>
      <c r="N2746" s="2" t="s">
        <v>3124</v>
      </c>
      <c r="O2746" s="2" t="s">
        <v>54</v>
      </c>
      <c r="P2746" s="2" t="s">
        <v>139</v>
      </c>
      <c r="Q2746" s="2" t="s">
        <v>214</v>
      </c>
      <c r="R2746" s="2" t="s">
        <v>128</v>
      </c>
      <c r="S2746" s="2" t="s">
        <v>179</v>
      </c>
      <c r="T2746" s="10">
        <v>120.47</v>
      </c>
      <c r="U2746" s="11">
        <v>0.18099999999999999</v>
      </c>
      <c r="V2746" s="12">
        <f>T2746*U2746</f>
        <v>21.805070000000001</v>
      </c>
      <c r="W2746" s="13">
        <v>0.17</v>
      </c>
      <c r="X2746" s="12">
        <f>V2746-(V2746/(1+W2746))</f>
        <v>3.1682580341880318</v>
      </c>
      <c r="Y2746" s="12">
        <f>V2746-X2746</f>
        <v>18.636811965811969</v>
      </c>
      <c r="Z2746" s="14">
        <v>25</v>
      </c>
      <c r="AA2746" s="2" t="str">
        <f>IF(V2746&gt;Z2746,"Yes","No")</f>
        <v>No</v>
      </c>
      <c r="AB2746" s="12">
        <f>V2746-Z2746</f>
        <v>-3.1949299999999994</v>
      </c>
      <c r="AC2746" s="15" t="s">
        <v>130</v>
      </c>
      <c r="AD2746" s="15" t="s">
        <v>130</v>
      </c>
      <c r="AE2746" s="15" t="s">
        <v>437</v>
      </c>
      <c r="AF2746" s="12">
        <f>IF(AG2746="Rejected",0,IF(R2746="Corporate Card",0,V2746))</f>
        <v>0</v>
      </c>
      <c r="AG2746" s="15" t="s">
        <v>133</v>
      </c>
      <c r="AH2746" s="16">
        <v>45984</v>
      </c>
      <c r="AI2746" s="16">
        <v>45992</v>
      </c>
      <c r="AJ2746" s="16">
        <v>46004</v>
      </c>
      <c r="AK2746" s="17">
        <f>IF(AJ2746="","",AJ2746-AH2746)</f>
        <v>20</v>
      </c>
    </row>
    <row r="2747" spans="1:37">
      <c r="A2747" s="2" t="s">
        <v>3253</v>
      </c>
      <c r="B2747" s="2" t="s">
        <v>169</v>
      </c>
      <c r="C2747" s="2" t="s">
        <v>170</v>
      </c>
      <c r="D2747" s="2" t="s">
        <v>171</v>
      </c>
      <c r="E2747" s="2" t="s">
        <v>172</v>
      </c>
      <c r="F2747" s="2" t="s">
        <v>173</v>
      </c>
      <c r="G2747" s="2" t="s">
        <v>3197</v>
      </c>
      <c r="H2747" s="2" t="s">
        <v>348</v>
      </c>
      <c r="I2747" s="2" t="s">
        <v>175</v>
      </c>
      <c r="J2747" s="2" t="s">
        <v>176</v>
      </c>
      <c r="K2747" s="9">
        <v>45971</v>
      </c>
      <c r="L2747" s="9">
        <v>45976</v>
      </c>
      <c r="M2747" s="9">
        <v>45975</v>
      </c>
      <c r="N2747" s="2" t="s">
        <v>3124</v>
      </c>
      <c r="O2747" s="2" t="s">
        <v>55</v>
      </c>
      <c r="P2747" s="2" t="s">
        <v>139</v>
      </c>
      <c r="Q2747" s="2" t="s">
        <v>161</v>
      </c>
      <c r="R2747" s="2" t="s">
        <v>128</v>
      </c>
      <c r="S2747" s="2" t="s">
        <v>179</v>
      </c>
      <c r="T2747" s="10">
        <v>176.81</v>
      </c>
      <c r="U2747" s="11">
        <v>0.18099999999999999</v>
      </c>
      <c r="V2747" s="12">
        <f>T2747*U2747</f>
        <v>32.002609999999997</v>
      </c>
      <c r="W2747" s="13">
        <v>0.17</v>
      </c>
      <c r="X2747" s="12">
        <f>V2747-(V2747/(1+W2747))</f>
        <v>4.6499518803418773</v>
      </c>
      <c r="Y2747" s="12">
        <f>V2747-X2747</f>
        <v>27.35265811965812</v>
      </c>
      <c r="Z2747" s="14">
        <v>35</v>
      </c>
      <c r="AA2747" s="2" t="str">
        <f>IF(V2747&gt;Z2747,"Yes","No")</f>
        <v>No</v>
      </c>
      <c r="AB2747" s="12">
        <f>V2747-Z2747</f>
        <v>-2.9973900000000029</v>
      </c>
      <c r="AC2747" s="15" t="s">
        <v>130</v>
      </c>
      <c r="AD2747" s="15" t="s">
        <v>130</v>
      </c>
      <c r="AE2747" s="15" t="s">
        <v>437</v>
      </c>
      <c r="AF2747" s="12">
        <f>IF(AG2747="Rejected",0,IF(R2747="Corporate Card",0,V2747))</f>
        <v>0</v>
      </c>
      <c r="AG2747" s="15" t="s">
        <v>133</v>
      </c>
      <c r="AH2747" s="16">
        <v>45984</v>
      </c>
      <c r="AI2747" s="16">
        <v>45992</v>
      </c>
      <c r="AJ2747" s="16">
        <v>46004</v>
      </c>
      <c r="AK2747" s="17">
        <f>IF(AJ2747="","",AJ2747-AH2747)</f>
        <v>20</v>
      </c>
    </row>
    <row r="2748" spans="1:37">
      <c r="A2748" s="2" t="s">
        <v>3254</v>
      </c>
      <c r="B2748" s="2" t="s">
        <v>882</v>
      </c>
      <c r="C2748" s="2" t="s">
        <v>446</v>
      </c>
      <c r="D2748" s="2" t="s">
        <v>444</v>
      </c>
      <c r="E2748" s="2" t="s">
        <v>883</v>
      </c>
      <c r="F2748" s="2" t="s">
        <v>313</v>
      </c>
      <c r="G2748" s="2" t="s">
        <v>3207</v>
      </c>
      <c r="H2748" s="2" t="s">
        <v>348</v>
      </c>
      <c r="I2748" s="2" t="s">
        <v>619</v>
      </c>
      <c r="J2748" s="2" t="s">
        <v>381</v>
      </c>
      <c r="K2748" s="9">
        <v>45973</v>
      </c>
      <c r="L2748" s="9">
        <v>45977</v>
      </c>
      <c r="M2748" s="9">
        <v>45976</v>
      </c>
      <c r="N2748" s="2" t="s">
        <v>3124</v>
      </c>
      <c r="O2748" s="2" t="s">
        <v>57</v>
      </c>
      <c r="P2748" s="2" t="s">
        <v>398</v>
      </c>
      <c r="Q2748" s="2" t="s">
        <v>495</v>
      </c>
      <c r="R2748" s="2" t="s">
        <v>128</v>
      </c>
      <c r="S2748" s="2" t="s">
        <v>383</v>
      </c>
      <c r="T2748" s="10">
        <v>147.29</v>
      </c>
      <c r="U2748" s="11">
        <v>1</v>
      </c>
      <c r="V2748" s="12">
        <f>T2748*U2748</f>
        <v>147.29</v>
      </c>
      <c r="W2748" s="13">
        <v>0</v>
      </c>
      <c r="X2748" s="12">
        <f>V2748-(V2748/(1+W2748))</f>
        <v>0</v>
      </c>
      <c r="Y2748" s="12">
        <f>V2748-X2748</f>
        <v>147.29</v>
      </c>
      <c r="Z2748" s="14">
        <v>200</v>
      </c>
      <c r="AA2748" s="2" t="str">
        <f>IF(V2748&gt;Z2748,"Yes","No")</f>
        <v>No</v>
      </c>
      <c r="AB2748" s="12">
        <f>V2748-Z2748</f>
        <v>-52.710000000000008</v>
      </c>
      <c r="AC2748" s="15" t="s">
        <v>130</v>
      </c>
      <c r="AD2748" s="15" t="s">
        <v>130</v>
      </c>
      <c r="AE2748" s="15" t="s">
        <v>421</v>
      </c>
      <c r="AF2748" s="12">
        <f>IF(AG2748="Rejected",0,IF(R2748="Corporate Card",0,V2748))</f>
        <v>0</v>
      </c>
      <c r="AG2748" s="15" t="s">
        <v>133</v>
      </c>
      <c r="AH2748" s="16">
        <v>45985</v>
      </c>
      <c r="AI2748" s="16">
        <v>45993</v>
      </c>
      <c r="AJ2748" s="16">
        <v>46002</v>
      </c>
      <c r="AK2748" s="17">
        <f>IF(AJ2748="","",AJ2748-AH2748)</f>
        <v>17</v>
      </c>
    </row>
    <row r="2749" spans="1:37">
      <c r="A2749" s="2" t="s">
        <v>3255</v>
      </c>
      <c r="B2749" s="2" t="s">
        <v>882</v>
      </c>
      <c r="C2749" s="2" t="s">
        <v>446</v>
      </c>
      <c r="D2749" s="2" t="s">
        <v>444</v>
      </c>
      <c r="E2749" s="2" t="s">
        <v>883</v>
      </c>
      <c r="F2749" s="2" t="s">
        <v>313</v>
      </c>
      <c r="G2749" s="2" t="s">
        <v>3207</v>
      </c>
      <c r="H2749" s="2" t="s">
        <v>348</v>
      </c>
      <c r="I2749" s="2" t="s">
        <v>619</v>
      </c>
      <c r="J2749" s="2" t="s">
        <v>381</v>
      </c>
      <c r="K2749" s="9">
        <v>45973</v>
      </c>
      <c r="L2749" s="9">
        <v>45977</v>
      </c>
      <c r="M2749" s="9">
        <v>45976</v>
      </c>
      <c r="N2749" s="2" t="s">
        <v>3124</v>
      </c>
      <c r="O2749" s="2" t="s">
        <v>54</v>
      </c>
      <c r="P2749" s="2" t="s">
        <v>139</v>
      </c>
      <c r="Q2749" s="2" t="s">
        <v>214</v>
      </c>
      <c r="R2749" s="2" t="s">
        <v>137</v>
      </c>
      <c r="S2749" s="2" t="s">
        <v>383</v>
      </c>
      <c r="T2749" s="10">
        <v>28.62</v>
      </c>
      <c r="U2749" s="11">
        <v>1</v>
      </c>
      <c r="V2749" s="12">
        <f>T2749*U2749</f>
        <v>28.62</v>
      </c>
      <c r="W2749" s="13">
        <v>0</v>
      </c>
      <c r="X2749" s="12">
        <f>V2749-(V2749/(1+W2749))</f>
        <v>0</v>
      </c>
      <c r="Y2749" s="12">
        <f>V2749-X2749</f>
        <v>28.62</v>
      </c>
      <c r="Z2749" s="14">
        <v>25</v>
      </c>
      <c r="AA2749" s="2" t="str">
        <f>IF(V2749&gt;Z2749,"Yes","No")</f>
        <v>Yes</v>
      </c>
      <c r="AB2749" s="12">
        <f>V2749-Z2749</f>
        <v>3.620000000000001</v>
      </c>
      <c r="AC2749" s="15" t="s">
        <v>130</v>
      </c>
      <c r="AD2749" s="15" t="s">
        <v>130</v>
      </c>
      <c r="AE2749" s="15" t="s">
        <v>421</v>
      </c>
      <c r="AF2749" s="12">
        <f>IF(AG2749="Rejected",0,IF(R2749="Corporate Card",0,V2749))</f>
        <v>28.62</v>
      </c>
      <c r="AG2749" s="15" t="s">
        <v>133</v>
      </c>
      <c r="AH2749" s="16">
        <v>45985</v>
      </c>
      <c r="AI2749" s="16">
        <v>45993</v>
      </c>
      <c r="AJ2749" s="16">
        <v>46002</v>
      </c>
      <c r="AK2749" s="17">
        <f>IF(AJ2749="","",AJ2749-AH2749)</f>
        <v>17</v>
      </c>
    </row>
    <row r="2750" spans="1:37">
      <c r="A2750" s="2" t="s">
        <v>3256</v>
      </c>
      <c r="B2750" s="2" t="s">
        <v>882</v>
      </c>
      <c r="C2750" s="2" t="s">
        <v>446</v>
      </c>
      <c r="D2750" s="2" t="s">
        <v>444</v>
      </c>
      <c r="E2750" s="2" t="s">
        <v>883</v>
      </c>
      <c r="F2750" s="2" t="s">
        <v>313</v>
      </c>
      <c r="G2750" s="2" t="s">
        <v>3207</v>
      </c>
      <c r="H2750" s="2" t="s">
        <v>348</v>
      </c>
      <c r="I2750" s="2" t="s">
        <v>619</v>
      </c>
      <c r="J2750" s="2" t="s">
        <v>381</v>
      </c>
      <c r="K2750" s="9">
        <v>45973</v>
      </c>
      <c r="L2750" s="9">
        <v>45977</v>
      </c>
      <c r="M2750" s="9">
        <v>45976</v>
      </c>
      <c r="N2750" s="2" t="s">
        <v>3124</v>
      </c>
      <c r="O2750" s="2" t="s">
        <v>56</v>
      </c>
      <c r="P2750" s="2" t="s">
        <v>151</v>
      </c>
      <c r="Q2750" s="2" t="s">
        <v>166</v>
      </c>
      <c r="R2750" s="2" t="s">
        <v>137</v>
      </c>
      <c r="S2750" s="2" t="s">
        <v>383</v>
      </c>
      <c r="T2750" s="10">
        <v>51.7</v>
      </c>
      <c r="U2750" s="11">
        <v>1</v>
      </c>
      <c r="V2750" s="12">
        <f>T2750*U2750</f>
        <v>51.7</v>
      </c>
      <c r="W2750" s="13">
        <v>0</v>
      </c>
      <c r="X2750" s="12">
        <f>V2750-(V2750/(1+W2750))</f>
        <v>0</v>
      </c>
      <c r="Y2750" s="12">
        <f>V2750-X2750</f>
        <v>51.7</v>
      </c>
      <c r="Z2750" s="14">
        <v>75</v>
      </c>
      <c r="AA2750" s="2" t="str">
        <f>IF(V2750&gt;Z2750,"Yes","No")</f>
        <v>No</v>
      </c>
      <c r="AB2750" s="12">
        <f>V2750-Z2750</f>
        <v>-23.299999999999997</v>
      </c>
      <c r="AC2750" s="15" t="s">
        <v>130</v>
      </c>
      <c r="AD2750" s="15" t="s">
        <v>130</v>
      </c>
      <c r="AE2750" s="15" t="s">
        <v>421</v>
      </c>
      <c r="AF2750" s="12">
        <f>IF(AG2750="Rejected",0,IF(R2750="Corporate Card",0,V2750))</f>
        <v>51.7</v>
      </c>
      <c r="AG2750" s="15" t="s">
        <v>133</v>
      </c>
      <c r="AH2750" s="16">
        <v>45985</v>
      </c>
      <c r="AI2750" s="16">
        <v>45993</v>
      </c>
      <c r="AJ2750" s="16">
        <v>46002</v>
      </c>
      <c r="AK2750" s="17">
        <f>IF(AJ2750="","",AJ2750-AH2750)</f>
        <v>17</v>
      </c>
    </row>
    <row r="2751" spans="1:37">
      <c r="A2751" s="2" t="s">
        <v>3257</v>
      </c>
      <c r="B2751" s="2" t="s">
        <v>882</v>
      </c>
      <c r="C2751" s="2" t="s">
        <v>446</v>
      </c>
      <c r="D2751" s="2" t="s">
        <v>444</v>
      </c>
      <c r="E2751" s="2" t="s">
        <v>883</v>
      </c>
      <c r="F2751" s="2" t="s">
        <v>313</v>
      </c>
      <c r="G2751" s="2" t="s">
        <v>3207</v>
      </c>
      <c r="H2751" s="2" t="s">
        <v>348</v>
      </c>
      <c r="I2751" s="2" t="s">
        <v>619</v>
      </c>
      <c r="J2751" s="2" t="s">
        <v>381</v>
      </c>
      <c r="K2751" s="9">
        <v>45973</v>
      </c>
      <c r="L2751" s="9">
        <v>45977</v>
      </c>
      <c r="M2751" s="9">
        <v>45976</v>
      </c>
      <c r="N2751" s="2" t="s">
        <v>3124</v>
      </c>
      <c r="O2751" s="2" t="s">
        <v>55</v>
      </c>
      <c r="P2751" s="2" t="s">
        <v>139</v>
      </c>
      <c r="Q2751" s="2" t="s">
        <v>161</v>
      </c>
      <c r="R2751" s="2" t="s">
        <v>128</v>
      </c>
      <c r="S2751" s="2" t="s">
        <v>383</v>
      </c>
      <c r="T2751" s="10">
        <v>18.79</v>
      </c>
      <c r="U2751" s="11">
        <v>1</v>
      </c>
      <c r="V2751" s="12">
        <f>T2751*U2751</f>
        <v>18.79</v>
      </c>
      <c r="W2751" s="13">
        <v>0</v>
      </c>
      <c r="X2751" s="12">
        <f>V2751-(V2751/(1+W2751))</f>
        <v>0</v>
      </c>
      <c r="Y2751" s="12">
        <f>V2751-X2751</f>
        <v>18.79</v>
      </c>
      <c r="Z2751" s="14">
        <v>35</v>
      </c>
      <c r="AA2751" s="2" t="str">
        <f>IF(V2751&gt;Z2751,"Yes","No")</f>
        <v>No</v>
      </c>
      <c r="AB2751" s="12">
        <f>V2751-Z2751</f>
        <v>-16.21</v>
      </c>
      <c r="AC2751" s="15" t="s">
        <v>130</v>
      </c>
      <c r="AD2751" s="15" t="s">
        <v>130</v>
      </c>
      <c r="AE2751" s="15" t="s">
        <v>421</v>
      </c>
      <c r="AF2751" s="12">
        <f>IF(AG2751="Rejected",0,IF(R2751="Corporate Card",0,V2751))</f>
        <v>0</v>
      </c>
      <c r="AG2751" s="15" t="s">
        <v>133</v>
      </c>
      <c r="AH2751" s="16">
        <v>45985</v>
      </c>
      <c r="AI2751" s="16">
        <v>45993</v>
      </c>
      <c r="AJ2751" s="16">
        <v>46002</v>
      </c>
      <c r="AK2751" s="17">
        <f>IF(AJ2751="","",AJ2751-AH2751)</f>
        <v>17</v>
      </c>
    </row>
    <row r="2752" spans="1:37">
      <c r="A2752" s="2" t="s">
        <v>3258</v>
      </c>
      <c r="B2752" s="2" t="s">
        <v>550</v>
      </c>
      <c r="C2752" s="2" t="s">
        <v>551</v>
      </c>
      <c r="D2752" s="2" t="s">
        <v>171</v>
      </c>
      <c r="E2752" s="2" t="s">
        <v>172</v>
      </c>
      <c r="F2752" s="2" t="s">
        <v>173</v>
      </c>
      <c r="G2752" s="2" t="s">
        <v>3226</v>
      </c>
      <c r="H2752" s="2" t="s">
        <v>254</v>
      </c>
      <c r="I2752" s="2" t="s">
        <v>749</v>
      </c>
      <c r="J2752" s="2" t="s">
        <v>750</v>
      </c>
      <c r="K2752" s="9">
        <v>45974</v>
      </c>
      <c r="L2752" s="9">
        <v>45977</v>
      </c>
      <c r="M2752" s="9">
        <v>45976</v>
      </c>
      <c r="N2752" s="2" t="s">
        <v>3124</v>
      </c>
      <c r="O2752" s="2" t="s">
        <v>54</v>
      </c>
      <c r="P2752" s="2" t="s">
        <v>139</v>
      </c>
      <c r="Q2752" s="2" t="s">
        <v>140</v>
      </c>
      <c r="R2752" s="2" t="s">
        <v>128</v>
      </c>
      <c r="S2752" s="2" t="s">
        <v>198</v>
      </c>
      <c r="T2752" s="10">
        <v>14.62</v>
      </c>
      <c r="U2752" s="11">
        <v>1.085</v>
      </c>
      <c r="V2752" s="12">
        <f>T2752*U2752</f>
        <v>15.862699999999998</v>
      </c>
      <c r="W2752" s="13">
        <v>0.19</v>
      </c>
      <c r="X2752" s="12">
        <f>V2752-(V2752/(1+W2752))</f>
        <v>2.5326999999999984</v>
      </c>
      <c r="Y2752" s="12">
        <f>V2752-X2752</f>
        <v>13.33</v>
      </c>
      <c r="Z2752" s="14">
        <v>25</v>
      </c>
      <c r="AA2752" s="2" t="str">
        <f>IF(V2752&gt;Z2752,"Yes","No")</f>
        <v>No</v>
      </c>
      <c r="AB2752" s="12">
        <f>V2752-Z2752</f>
        <v>-9.1373000000000015</v>
      </c>
      <c r="AC2752" s="15" t="s">
        <v>130</v>
      </c>
      <c r="AD2752" s="15" t="s">
        <v>131</v>
      </c>
      <c r="AE2752" s="15" t="s">
        <v>350</v>
      </c>
      <c r="AF2752" s="12">
        <f>IF(AG2752="Rejected",0,IF(R2752="Corporate Card",0,V2752))</f>
        <v>0</v>
      </c>
      <c r="AG2752" s="15" t="s">
        <v>133</v>
      </c>
      <c r="AH2752" s="16">
        <v>45986</v>
      </c>
      <c r="AI2752" s="16">
        <v>45990</v>
      </c>
      <c r="AJ2752" s="16">
        <v>45995</v>
      </c>
      <c r="AK2752" s="17">
        <f>IF(AJ2752="","",AJ2752-AH2752)</f>
        <v>9</v>
      </c>
    </row>
    <row r="2753" spans="1:37">
      <c r="A2753" s="2" t="s">
        <v>3259</v>
      </c>
      <c r="B2753" s="2" t="s">
        <v>550</v>
      </c>
      <c r="C2753" s="2" t="s">
        <v>551</v>
      </c>
      <c r="D2753" s="2" t="s">
        <v>171</v>
      </c>
      <c r="E2753" s="2" t="s">
        <v>172</v>
      </c>
      <c r="F2753" s="2" t="s">
        <v>173</v>
      </c>
      <c r="G2753" s="2" t="s">
        <v>3226</v>
      </c>
      <c r="H2753" s="2" t="s">
        <v>254</v>
      </c>
      <c r="I2753" s="2" t="s">
        <v>749</v>
      </c>
      <c r="J2753" s="2" t="s">
        <v>750</v>
      </c>
      <c r="K2753" s="9">
        <v>45974</v>
      </c>
      <c r="L2753" s="9">
        <v>45977</v>
      </c>
      <c r="M2753" s="9">
        <v>45976</v>
      </c>
      <c r="N2753" s="2" t="s">
        <v>3124</v>
      </c>
      <c r="O2753" s="2" t="s">
        <v>56</v>
      </c>
      <c r="P2753" s="2" t="s">
        <v>151</v>
      </c>
      <c r="Q2753" s="2" t="s">
        <v>152</v>
      </c>
      <c r="R2753" s="2" t="s">
        <v>128</v>
      </c>
      <c r="S2753" s="2" t="s">
        <v>198</v>
      </c>
      <c r="T2753" s="10">
        <v>48.91</v>
      </c>
      <c r="U2753" s="11">
        <v>1.085</v>
      </c>
      <c r="V2753" s="12">
        <f>T2753*U2753</f>
        <v>53.067349999999998</v>
      </c>
      <c r="W2753" s="13">
        <v>0.19</v>
      </c>
      <c r="X2753" s="12">
        <f>V2753-(V2753/(1+W2753))</f>
        <v>8.4729382352941158</v>
      </c>
      <c r="Y2753" s="12">
        <f>V2753-X2753</f>
        <v>44.594411764705882</v>
      </c>
      <c r="Z2753" s="14">
        <v>75</v>
      </c>
      <c r="AA2753" s="2" t="str">
        <f>IF(V2753&gt;Z2753,"Yes","No")</f>
        <v>No</v>
      </c>
      <c r="AB2753" s="12">
        <f>V2753-Z2753</f>
        <v>-21.932650000000002</v>
      </c>
      <c r="AC2753" s="15" t="s">
        <v>130</v>
      </c>
      <c r="AD2753" s="15" t="s">
        <v>131</v>
      </c>
      <c r="AE2753" s="15" t="s">
        <v>350</v>
      </c>
      <c r="AF2753" s="12">
        <f>IF(AG2753="Rejected",0,IF(R2753="Corporate Card",0,V2753))</f>
        <v>0</v>
      </c>
      <c r="AG2753" s="15" t="s">
        <v>133</v>
      </c>
      <c r="AH2753" s="16">
        <v>45986</v>
      </c>
      <c r="AI2753" s="16">
        <v>45990</v>
      </c>
      <c r="AJ2753" s="16">
        <v>45995</v>
      </c>
      <c r="AK2753" s="17">
        <f>IF(AJ2753="","",AJ2753-AH2753)</f>
        <v>9</v>
      </c>
    </row>
    <row r="2754" spans="1:37">
      <c r="A2754" s="2" t="s">
        <v>3260</v>
      </c>
      <c r="B2754" s="2" t="s">
        <v>550</v>
      </c>
      <c r="C2754" s="2" t="s">
        <v>551</v>
      </c>
      <c r="D2754" s="2" t="s">
        <v>171</v>
      </c>
      <c r="E2754" s="2" t="s">
        <v>172</v>
      </c>
      <c r="F2754" s="2" t="s">
        <v>173</v>
      </c>
      <c r="G2754" s="2" t="s">
        <v>3226</v>
      </c>
      <c r="H2754" s="2" t="s">
        <v>254</v>
      </c>
      <c r="I2754" s="2" t="s">
        <v>749</v>
      </c>
      <c r="J2754" s="2" t="s">
        <v>750</v>
      </c>
      <c r="K2754" s="9">
        <v>45974</v>
      </c>
      <c r="L2754" s="9">
        <v>45977</v>
      </c>
      <c r="M2754" s="9">
        <v>45976</v>
      </c>
      <c r="N2754" s="2" t="s">
        <v>3124</v>
      </c>
      <c r="O2754" s="2" t="s">
        <v>55</v>
      </c>
      <c r="P2754" s="2" t="s">
        <v>139</v>
      </c>
      <c r="Q2754" s="2" t="s">
        <v>187</v>
      </c>
      <c r="R2754" s="2" t="s">
        <v>128</v>
      </c>
      <c r="S2754" s="2" t="s">
        <v>198</v>
      </c>
      <c r="T2754" s="10">
        <v>17.28</v>
      </c>
      <c r="U2754" s="11">
        <v>1.085</v>
      </c>
      <c r="V2754" s="12">
        <f>T2754*U2754</f>
        <v>18.748799999999999</v>
      </c>
      <c r="W2754" s="13">
        <v>0.19</v>
      </c>
      <c r="X2754" s="12">
        <f>V2754-(V2754/(1+W2754))</f>
        <v>2.9935058823529399</v>
      </c>
      <c r="Y2754" s="12">
        <f>V2754-X2754</f>
        <v>15.755294117647059</v>
      </c>
      <c r="Z2754" s="14">
        <v>35</v>
      </c>
      <c r="AA2754" s="2" t="str">
        <f>IF(V2754&gt;Z2754,"Yes","No")</f>
        <v>No</v>
      </c>
      <c r="AB2754" s="12">
        <f>V2754-Z2754</f>
        <v>-16.251200000000001</v>
      </c>
      <c r="AC2754" s="15" t="s">
        <v>130</v>
      </c>
      <c r="AD2754" s="15" t="s">
        <v>131</v>
      </c>
      <c r="AE2754" s="15" t="s">
        <v>350</v>
      </c>
      <c r="AF2754" s="12">
        <f>IF(AG2754="Rejected",0,IF(R2754="Corporate Card",0,V2754))</f>
        <v>0</v>
      </c>
      <c r="AG2754" s="15" t="s">
        <v>133</v>
      </c>
      <c r="AH2754" s="16">
        <v>45986</v>
      </c>
      <c r="AI2754" s="16">
        <v>45990</v>
      </c>
      <c r="AJ2754" s="16">
        <v>45995</v>
      </c>
      <c r="AK2754" s="17">
        <f>IF(AJ2754="","",AJ2754-AH2754)</f>
        <v>9</v>
      </c>
    </row>
    <row r="2755" spans="1:37">
      <c r="A2755" s="2" t="s">
        <v>3261</v>
      </c>
      <c r="B2755" s="2" t="s">
        <v>1235</v>
      </c>
      <c r="C2755" s="2" t="s">
        <v>867</v>
      </c>
      <c r="D2755" s="2" t="s">
        <v>865</v>
      </c>
      <c r="E2755" s="2" t="s">
        <v>1236</v>
      </c>
      <c r="F2755" s="2" t="s">
        <v>313</v>
      </c>
      <c r="G2755" s="2" t="s">
        <v>3212</v>
      </c>
      <c r="H2755" s="2" t="s">
        <v>122</v>
      </c>
      <c r="I2755" s="2" t="s">
        <v>175</v>
      </c>
      <c r="J2755" s="2" t="s">
        <v>176</v>
      </c>
      <c r="K2755" s="9">
        <v>45973</v>
      </c>
      <c r="L2755" s="9">
        <v>45976</v>
      </c>
      <c r="M2755" s="9">
        <v>45976</v>
      </c>
      <c r="N2755" s="2" t="s">
        <v>3124</v>
      </c>
      <c r="O2755" s="2" t="s">
        <v>54</v>
      </c>
      <c r="P2755" s="2" t="s">
        <v>139</v>
      </c>
      <c r="Q2755" s="2" t="s">
        <v>163</v>
      </c>
      <c r="R2755" s="2" t="s">
        <v>137</v>
      </c>
      <c r="S2755" s="2" t="s">
        <v>179</v>
      </c>
      <c r="T2755" s="10">
        <v>81.16</v>
      </c>
      <c r="U2755" s="11">
        <v>0.18099999999999999</v>
      </c>
      <c r="V2755" s="12">
        <f>T2755*U2755</f>
        <v>14.689959999999999</v>
      </c>
      <c r="W2755" s="13">
        <v>0.17</v>
      </c>
      <c r="X2755" s="12">
        <f>V2755-(V2755/(1+W2755))</f>
        <v>2.1344386324786324</v>
      </c>
      <c r="Y2755" s="12">
        <f>V2755-X2755</f>
        <v>12.555521367521367</v>
      </c>
      <c r="Z2755" s="14">
        <v>25</v>
      </c>
      <c r="AA2755" s="2" t="str">
        <f>IF(V2755&gt;Z2755,"Yes","No")</f>
        <v>No</v>
      </c>
      <c r="AB2755" s="12">
        <f>V2755-Z2755</f>
        <v>-10.310040000000001</v>
      </c>
      <c r="AC2755" s="15" t="s">
        <v>130</v>
      </c>
      <c r="AD2755" s="15" t="s">
        <v>131</v>
      </c>
      <c r="AE2755" s="15" t="s">
        <v>858</v>
      </c>
      <c r="AF2755" s="12">
        <f>IF(AG2755="Rejected",0,IF(R2755="Corporate Card",0,V2755))</f>
        <v>14.689959999999999</v>
      </c>
      <c r="AG2755" s="15" t="s">
        <v>133</v>
      </c>
      <c r="AH2755" s="16">
        <v>45980</v>
      </c>
      <c r="AI2755" s="16">
        <v>45984</v>
      </c>
      <c r="AJ2755" s="16">
        <v>45991</v>
      </c>
      <c r="AK2755" s="17">
        <f>IF(AJ2755="","",AJ2755-AH2755)</f>
        <v>11</v>
      </c>
    </row>
    <row r="2756" spans="1:37">
      <c r="A2756" s="2" t="s">
        <v>3262</v>
      </c>
      <c r="B2756" s="2" t="s">
        <v>1235</v>
      </c>
      <c r="C2756" s="2" t="s">
        <v>867</v>
      </c>
      <c r="D2756" s="2" t="s">
        <v>865</v>
      </c>
      <c r="E2756" s="2" t="s">
        <v>1236</v>
      </c>
      <c r="F2756" s="2" t="s">
        <v>313</v>
      </c>
      <c r="G2756" s="2" t="s">
        <v>3212</v>
      </c>
      <c r="H2756" s="2" t="s">
        <v>122</v>
      </c>
      <c r="I2756" s="2" t="s">
        <v>175</v>
      </c>
      <c r="J2756" s="2" t="s">
        <v>176</v>
      </c>
      <c r="K2756" s="9">
        <v>45973</v>
      </c>
      <c r="L2756" s="9">
        <v>45976</v>
      </c>
      <c r="M2756" s="9">
        <v>45976</v>
      </c>
      <c r="N2756" s="2" t="s">
        <v>3124</v>
      </c>
      <c r="O2756" s="2" t="s">
        <v>55</v>
      </c>
      <c r="P2756" s="2" t="s">
        <v>139</v>
      </c>
      <c r="Q2756" s="2" t="s">
        <v>187</v>
      </c>
      <c r="R2756" s="2" t="s">
        <v>128</v>
      </c>
      <c r="S2756" s="2" t="s">
        <v>179</v>
      </c>
      <c r="T2756" s="10">
        <v>104.12</v>
      </c>
      <c r="U2756" s="11">
        <v>0.18099999999999999</v>
      </c>
      <c r="V2756" s="12">
        <f>T2756*U2756</f>
        <v>18.84572</v>
      </c>
      <c r="W2756" s="13">
        <v>0.17</v>
      </c>
      <c r="X2756" s="12">
        <f>V2756-(V2756/(1+W2756))</f>
        <v>2.7382670085470089</v>
      </c>
      <c r="Y2756" s="12">
        <f>V2756-X2756</f>
        <v>16.107452991452991</v>
      </c>
      <c r="Z2756" s="14">
        <v>35</v>
      </c>
      <c r="AA2756" s="2" t="str">
        <f>IF(V2756&gt;Z2756,"Yes","No")</f>
        <v>No</v>
      </c>
      <c r="AB2756" s="12">
        <f>V2756-Z2756</f>
        <v>-16.15428</v>
      </c>
      <c r="AC2756" s="15" t="s">
        <v>131</v>
      </c>
      <c r="AD2756" s="15" t="s">
        <v>131</v>
      </c>
      <c r="AE2756" s="15" t="s">
        <v>858</v>
      </c>
      <c r="AF2756" s="12">
        <f>IF(AG2756="Rejected",0,IF(R2756="Corporate Card",0,V2756))</f>
        <v>0</v>
      </c>
      <c r="AG2756" s="15" t="s">
        <v>133</v>
      </c>
      <c r="AH2756" s="16">
        <v>45980</v>
      </c>
      <c r="AI2756" s="16">
        <v>45984</v>
      </c>
      <c r="AJ2756" s="16">
        <v>45991</v>
      </c>
      <c r="AK2756" s="17">
        <f>IF(AJ2756="","",AJ2756-AH2756)</f>
        <v>11</v>
      </c>
    </row>
    <row r="2757" spans="1:37">
      <c r="A2757" s="2" t="s">
        <v>3263</v>
      </c>
      <c r="B2757" s="2" t="s">
        <v>169</v>
      </c>
      <c r="C2757" s="2" t="s">
        <v>170</v>
      </c>
      <c r="D2757" s="2" t="s">
        <v>171</v>
      </c>
      <c r="E2757" s="2" t="s">
        <v>172</v>
      </c>
      <c r="F2757" s="2" t="s">
        <v>173</v>
      </c>
      <c r="G2757" s="2" t="s">
        <v>3197</v>
      </c>
      <c r="H2757" s="2" t="s">
        <v>348</v>
      </c>
      <c r="I2757" s="2" t="s">
        <v>175</v>
      </c>
      <c r="J2757" s="2" t="s">
        <v>176</v>
      </c>
      <c r="K2757" s="9">
        <v>45971</v>
      </c>
      <c r="L2757" s="9">
        <v>45976</v>
      </c>
      <c r="M2757" s="9">
        <v>45976</v>
      </c>
      <c r="N2757" s="2" t="s">
        <v>3124</v>
      </c>
      <c r="O2757" s="2" t="s">
        <v>58</v>
      </c>
      <c r="P2757" s="2" t="s">
        <v>142</v>
      </c>
      <c r="Q2757" s="2" t="s">
        <v>143</v>
      </c>
      <c r="R2757" s="2" t="s">
        <v>137</v>
      </c>
      <c r="S2757" s="2" t="s">
        <v>179</v>
      </c>
      <c r="T2757" s="10">
        <v>244.17</v>
      </c>
      <c r="U2757" s="11">
        <v>0.18099999999999999</v>
      </c>
      <c r="V2757" s="12">
        <f>T2757*U2757</f>
        <v>44.194769999999998</v>
      </c>
      <c r="W2757" s="13">
        <v>0.17</v>
      </c>
      <c r="X2757" s="12">
        <f>V2757-(V2757/(1+W2757))</f>
        <v>6.4214623076923019</v>
      </c>
      <c r="Y2757" s="12">
        <f>V2757-X2757</f>
        <v>37.773307692307696</v>
      </c>
      <c r="Z2757" s="14">
        <v>60</v>
      </c>
      <c r="AA2757" s="2" t="str">
        <f>IF(V2757&gt;Z2757,"Yes","No")</f>
        <v>No</v>
      </c>
      <c r="AB2757" s="12">
        <f>V2757-Z2757</f>
        <v>-15.805230000000002</v>
      </c>
      <c r="AC2757" s="15" t="s">
        <v>130</v>
      </c>
      <c r="AD2757" s="15" t="s">
        <v>130</v>
      </c>
      <c r="AE2757" s="15" t="s">
        <v>437</v>
      </c>
      <c r="AF2757" s="12">
        <f>IF(AG2757="Rejected",0,IF(R2757="Corporate Card",0,V2757))</f>
        <v>44.194769999999998</v>
      </c>
      <c r="AG2757" s="15" t="s">
        <v>133</v>
      </c>
      <c r="AH2757" s="16">
        <v>45984</v>
      </c>
      <c r="AI2757" s="16">
        <v>45992</v>
      </c>
      <c r="AJ2757" s="16">
        <v>46004</v>
      </c>
      <c r="AK2757" s="17">
        <f>IF(AJ2757="","",AJ2757-AH2757)</f>
        <v>20</v>
      </c>
    </row>
    <row r="2758" spans="1:37">
      <c r="A2758" s="2" t="s">
        <v>3264</v>
      </c>
      <c r="B2758" s="2" t="s">
        <v>169</v>
      </c>
      <c r="C2758" s="2" t="s">
        <v>170</v>
      </c>
      <c r="D2758" s="2" t="s">
        <v>171</v>
      </c>
      <c r="E2758" s="2" t="s">
        <v>172</v>
      </c>
      <c r="F2758" s="2" t="s">
        <v>173</v>
      </c>
      <c r="G2758" s="2" t="s">
        <v>3197</v>
      </c>
      <c r="H2758" s="2" t="s">
        <v>348</v>
      </c>
      <c r="I2758" s="2" t="s">
        <v>175</v>
      </c>
      <c r="J2758" s="2" t="s">
        <v>176</v>
      </c>
      <c r="K2758" s="9">
        <v>45971</v>
      </c>
      <c r="L2758" s="9">
        <v>45976</v>
      </c>
      <c r="M2758" s="9">
        <v>45976</v>
      </c>
      <c r="N2758" s="2" t="s">
        <v>3124</v>
      </c>
      <c r="O2758" s="2" t="s">
        <v>54</v>
      </c>
      <c r="P2758" s="2" t="s">
        <v>139</v>
      </c>
      <c r="Q2758" s="2" t="s">
        <v>163</v>
      </c>
      <c r="R2758" s="2" t="s">
        <v>128</v>
      </c>
      <c r="S2758" s="2" t="s">
        <v>179</v>
      </c>
      <c r="T2758" s="10">
        <v>106.27</v>
      </c>
      <c r="U2758" s="11">
        <v>0.18099999999999999</v>
      </c>
      <c r="V2758" s="12">
        <f>T2758*U2758</f>
        <v>19.234869999999997</v>
      </c>
      <c r="W2758" s="13">
        <v>0.17</v>
      </c>
      <c r="X2758" s="12">
        <f>V2758-(V2758/(1+W2758))</f>
        <v>2.7948101709401705</v>
      </c>
      <c r="Y2758" s="12">
        <f>V2758-X2758</f>
        <v>16.440059829059827</v>
      </c>
      <c r="Z2758" s="14">
        <v>25</v>
      </c>
      <c r="AA2758" s="2" t="str">
        <f>IF(V2758&gt;Z2758,"Yes","No")</f>
        <v>No</v>
      </c>
      <c r="AB2758" s="12">
        <f>V2758-Z2758</f>
        <v>-5.7651300000000028</v>
      </c>
      <c r="AC2758" s="15" t="s">
        <v>130</v>
      </c>
      <c r="AD2758" s="15" t="s">
        <v>130</v>
      </c>
      <c r="AE2758" s="15" t="s">
        <v>437</v>
      </c>
      <c r="AF2758" s="12">
        <f>IF(AG2758="Rejected",0,IF(R2758="Corporate Card",0,V2758))</f>
        <v>0</v>
      </c>
      <c r="AG2758" s="15" t="s">
        <v>133</v>
      </c>
      <c r="AH2758" s="16">
        <v>45984</v>
      </c>
      <c r="AI2758" s="16">
        <v>45992</v>
      </c>
      <c r="AJ2758" s="16">
        <v>46004</v>
      </c>
      <c r="AK2758" s="17">
        <f>IF(AJ2758="","",AJ2758-AH2758)</f>
        <v>20</v>
      </c>
    </row>
    <row r="2759" spans="1:37">
      <c r="A2759" s="2" t="s">
        <v>3265</v>
      </c>
      <c r="B2759" s="2" t="s">
        <v>169</v>
      </c>
      <c r="C2759" s="2" t="s">
        <v>170</v>
      </c>
      <c r="D2759" s="2" t="s">
        <v>171</v>
      </c>
      <c r="E2759" s="2" t="s">
        <v>172</v>
      </c>
      <c r="F2759" s="2" t="s">
        <v>173</v>
      </c>
      <c r="G2759" s="2" t="s">
        <v>3197</v>
      </c>
      <c r="H2759" s="2" t="s">
        <v>348</v>
      </c>
      <c r="I2759" s="2" t="s">
        <v>175</v>
      </c>
      <c r="J2759" s="2" t="s">
        <v>176</v>
      </c>
      <c r="K2759" s="9">
        <v>45971</v>
      </c>
      <c r="L2759" s="9">
        <v>45976</v>
      </c>
      <c r="M2759" s="9">
        <v>45976</v>
      </c>
      <c r="N2759" s="2" t="s">
        <v>3124</v>
      </c>
      <c r="O2759" s="2" t="s">
        <v>56</v>
      </c>
      <c r="P2759" s="2" t="s">
        <v>151</v>
      </c>
      <c r="Q2759" s="2" t="s">
        <v>227</v>
      </c>
      <c r="R2759" s="2" t="s">
        <v>128</v>
      </c>
      <c r="S2759" s="2" t="s">
        <v>179</v>
      </c>
      <c r="T2759" s="10">
        <v>351.7</v>
      </c>
      <c r="U2759" s="11">
        <v>0.18099999999999999</v>
      </c>
      <c r="V2759" s="12">
        <f>T2759*U2759</f>
        <v>63.657699999999998</v>
      </c>
      <c r="W2759" s="13">
        <v>0.17</v>
      </c>
      <c r="X2759" s="12">
        <f>V2759-(V2759/(1+W2759))</f>
        <v>9.2494094017094</v>
      </c>
      <c r="Y2759" s="12">
        <f>V2759-X2759</f>
        <v>54.408290598290598</v>
      </c>
      <c r="Z2759" s="14">
        <v>75</v>
      </c>
      <c r="AA2759" s="2" t="str">
        <f>IF(V2759&gt;Z2759,"Yes","No")</f>
        <v>No</v>
      </c>
      <c r="AB2759" s="12">
        <f>V2759-Z2759</f>
        <v>-11.342300000000002</v>
      </c>
      <c r="AC2759" s="15" t="s">
        <v>130</v>
      </c>
      <c r="AD2759" s="15" t="s">
        <v>130</v>
      </c>
      <c r="AE2759" s="15" t="s">
        <v>437</v>
      </c>
      <c r="AF2759" s="12">
        <f>IF(AG2759="Rejected",0,IF(R2759="Corporate Card",0,V2759))</f>
        <v>0</v>
      </c>
      <c r="AG2759" s="15" t="s">
        <v>133</v>
      </c>
      <c r="AH2759" s="16">
        <v>45984</v>
      </c>
      <c r="AI2759" s="16">
        <v>45992</v>
      </c>
      <c r="AJ2759" s="16">
        <v>46004</v>
      </c>
      <c r="AK2759" s="17">
        <f>IF(AJ2759="","",AJ2759-AH2759)</f>
        <v>20</v>
      </c>
    </row>
    <row r="2760" spans="1:37">
      <c r="A2760" s="2" t="s">
        <v>3266</v>
      </c>
      <c r="B2760" s="2" t="s">
        <v>169</v>
      </c>
      <c r="C2760" s="2" t="s">
        <v>170</v>
      </c>
      <c r="D2760" s="2" t="s">
        <v>171</v>
      </c>
      <c r="E2760" s="2" t="s">
        <v>172</v>
      </c>
      <c r="F2760" s="2" t="s">
        <v>173</v>
      </c>
      <c r="G2760" s="2" t="s">
        <v>3197</v>
      </c>
      <c r="H2760" s="2" t="s">
        <v>348</v>
      </c>
      <c r="I2760" s="2" t="s">
        <v>175</v>
      </c>
      <c r="J2760" s="2" t="s">
        <v>176</v>
      </c>
      <c r="K2760" s="9">
        <v>45971</v>
      </c>
      <c r="L2760" s="9">
        <v>45976</v>
      </c>
      <c r="M2760" s="9">
        <v>45976</v>
      </c>
      <c r="N2760" s="2" t="s">
        <v>3124</v>
      </c>
      <c r="O2760" s="2" t="s">
        <v>55</v>
      </c>
      <c r="P2760" s="2" t="s">
        <v>139</v>
      </c>
      <c r="Q2760" s="2" t="s">
        <v>154</v>
      </c>
      <c r="R2760" s="2" t="s">
        <v>128</v>
      </c>
      <c r="S2760" s="2" t="s">
        <v>179</v>
      </c>
      <c r="T2760" s="10">
        <v>236.8</v>
      </c>
      <c r="U2760" s="11">
        <v>0.18099999999999999</v>
      </c>
      <c r="V2760" s="12">
        <f>T2760*U2760</f>
        <v>42.860799999999998</v>
      </c>
      <c r="W2760" s="13">
        <v>0.17</v>
      </c>
      <c r="X2760" s="12">
        <f>V2760-(V2760/(1+W2760))</f>
        <v>6.2276376068376038</v>
      </c>
      <c r="Y2760" s="12">
        <f>V2760-X2760</f>
        <v>36.633162393162394</v>
      </c>
      <c r="Z2760" s="14">
        <v>35</v>
      </c>
      <c r="AA2760" s="2" t="str">
        <f>IF(V2760&gt;Z2760,"Yes","No")</f>
        <v>Yes</v>
      </c>
      <c r="AB2760" s="12">
        <f>V2760-Z2760</f>
        <v>7.8607999999999976</v>
      </c>
      <c r="AC2760" s="15" t="s">
        <v>130</v>
      </c>
      <c r="AD2760" s="15" t="s">
        <v>130</v>
      </c>
      <c r="AE2760" s="15" t="s">
        <v>437</v>
      </c>
      <c r="AF2760" s="12">
        <f>IF(AG2760="Rejected",0,IF(R2760="Corporate Card",0,V2760))</f>
        <v>0</v>
      </c>
      <c r="AG2760" s="15" t="s">
        <v>133</v>
      </c>
      <c r="AH2760" s="16">
        <v>45984</v>
      </c>
      <c r="AI2760" s="16">
        <v>45992</v>
      </c>
      <c r="AJ2760" s="16">
        <v>46004</v>
      </c>
      <c r="AK2760" s="17">
        <f>IF(AJ2760="","",AJ2760-AH2760)</f>
        <v>20</v>
      </c>
    </row>
    <row r="2761" spans="1:37">
      <c r="A2761" s="2" t="s">
        <v>3267</v>
      </c>
      <c r="B2761" s="2" t="s">
        <v>882</v>
      </c>
      <c r="C2761" s="2" t="s">
        <v>446</v>
      </c>
      <c r="D2761" s="2" t="s">
        <v>444</v>
      </c>
      <c r="E2761" s="2" t="s">
        <v>883</v>
      </c>
      <c r="F2761" s="2" t="s">
        <v>313</v>
      </c>
      <c r="G2761" s="2" t="s">
        <v>3207</v>
      </c>
      <c r="H2761" s="2" t="s">
        <v>348</v>
      </c>
      <c r="I2761" s="2" t="s">
        <v>619</v>
      </c>
      <c r="J2761" s="2" t="s">
        <v>381</v>
      </c>
      <c r="K2761" s="9">
        <v>45973</v>
      </c>
      <c r="L2761" s="9">
        <v>45977</v>
      </c>
      <c r="M2761" s="9">
        <v>45977</v>
      </c>
      <c r="N2761" s="2" t="s">
        <v>3124</v>
      </c>
      <c r="O2761" s="2" t="s">
        <v>58</v>
      </c>
      <c r="P2761" s="2" t="s">
        <v>142</v>
      </c>
      <c r="Q2761" s="2" t="s">
        <v>143</v>
      </c>
      <c r="R2761" s="2" t="s">
        <v>128</v>
      </c>
      <c r="S2761" s="2" t="s">
        <v>383</v>
      </c>
      <c r="T2761" s="10">
        <v>49.66</v>
      </c>
      <c r="U2761" s="11">
        <v>1</v>
      </c>
      <c r="V2761" s="12">
        <f>T2761*U2761</f>
        <v>49.66</v>
      </c>
      <c r="W2761" s="13">
        <v>0</v>
      </c>
      <c r="X2761" s="12">
        <f>V2761-(V2761/(1+W2761))</f>
        <v>0</v>
      </c>
      <c r="Y2761" s="12">
        <f>V2761-X2761</f>
        <v>49.66</v>
      </c>
      <c r="Z2761" s="14">
        <v>60</v>
      </c>
      <c r="AA2761" s="2" t="str">
        <f>IF(V2761&gt;Z2761,"Yes","No")</f>
        <v>No</v>
      </c>
      <c r="AB2761" s="12">
        <f>V2761-Z2761</f>
        <v>-10.340000000000003</v>
      </c>
      <c r="AC2761" s="15" t="s">
        <v>130</v>
      </c>
      <c r="AD2761" s="15" t="s">
        <v>130</v>
      </c>
      <c r="AE2761" s="15" t="s">
        <v>421</v>
      </c>
      <c r="AF2761" s="12">
        <f>IF(AG2761="Rejected",0,IF(R2761="Corporate Card",0,V2761))</f>
        <v>0</v>
      </c>
      <c r="AG2761" s="15" t="s">
        <v>133</v>
      </c>
      <c r="AH2761" s="16">
        <v>45985</v>
      </c>
      <c r="AI2761" s="16">
        <v>45993</v>
      </c>
      <c r="AJ2761" s="16">
        <v>46002</v>
      </c>
      <c r="AK2761" s="17">
        <f>IF(AJ2761="","",AJ2761-AH2761)</f>
        <v>17</v>
      </c>
    </row>
    <row r="2762" spans="1:37">
      <c r="A2762" s="2" t="s">
        <v>3268</v>
      </c>
      <c r="B2762" s="2" t="s">
        <v>882</v>
      </c>
      <c r="C2762" s="2" t="s">
        <v>446</v>
      </c>
      <c r="D2762" s="2" t="s">
        <v>444</v>
      </c>
      <c r="E2762" s="2" t="s">
        <v>883</v>
      </c>
      <c r="F2762" s="2" t="s">
        <v>313</v>
      </c>
      <c r="G2762" s="2" t="s">
        <v>3207</v>
      </c>
      <c r="H2762" s="2" t="s">
        <v>348</v>
      </c>
      <c r="I2762" s="2" t="s">
        <v>619</v>
      </c>
      <c r="J2762" s="2" t="s">
        <v>381</v>
      </c>
      <c r="K2762" s="9">
        <v>45973</v>
      </c>
      <c r="L2762" s="9">
        <v>45977</v>
      </c>
      <c r="M2762" s="9">
        <v>45977</v>
      </c>
      <c r="N2762" s="2" t="s">
        <v>3124</v>
      </c>
      <c r="O2762" s="2" t="s">
        <v>54</v>
      </c>
      <c r="P2762" s="2" t="s">
        <v>139</v>
      </c>
      <c r="Q2762" s="2" t="s">
        <v>140</v>
      </c>
      <c r="R2762" s="2" t="s">
        <v>149</v>
      </c>
      <c r="S2762" s="2" t="s">
        <v>383</v>
      </c>
      <c r="T2762" s="10">
        <v>20.91</v>
      </c>
      <c r="U2762" s="11">
        <v>1</v>
      </c>
      <c r="V2762" s="12">
        <f>T2762*U2762</f>
        <v>20.91</v>
      </c>
      <c r="W2762" s="13">
        <v>0</v>
      </c>
      <c r="X2762" s="12">
        <f>V2762-(V2762/(1+W2762))</f>
        <v>0</v>
      </c>
      <c r="Y2762" s="12">
        <f>V2762-X2762</f>
        <v>20.91</v>
      </c>
      <c r="Z2762" s="14">
        <v>25</v>
      </c>
      <c r="AA2762" s="2" t="str">
        <f>IF(V2762&gt;Z2762,"Yes","No")</f>
        <v>No</v>
      </c>
      <c r="AB2762" s="12">
        <f>V2762-Z2762</f>
        <v>-4.09</v>
      </c>
      <c r="AC2762" s="15" t="s">
        <v>130</v>
      </c>
      <c r="AD2762" s="15" t="s">
        <v>130</v>
      </c>
      <c r="AE2762" s="15" t="s">
        <v>421</v>
      </c>
      <c r="AF2762" s="12">
        <f>IF(AG2762="Rejected",0,IF(R2762="Corporate Card",0,V2762))</f>
        <v>20.91</v>
      </c>
      <c r="AG2762" s="15" t="s">
        <v>133</v>
      </c>
      <c r="AH2762" s="16">
        <v>45985</v>
      </c>
      <c r="AI2762" s="16">
        <v>45993</v>
      </c>
      <c r="AJ2762" s="16">
        <v>46002</v>
      </c>
      <c r="AK2762" s="17">
        <f>IF(AJ2762="","",AJ2762-AH2762)</f>
        <v>17</v>
      </c>
    </row>
    <row r="2763" spans="1:37">
      <c r="A2763" s="2" t="s">
        <v>3269</v>
      </c>
      <c r="B2763" s="2" t="s">
        <v>882</v>
      </c>
      <c r="C2763" s="2" t="s">
        <v>446</v>
      </c>
      <c r="D2763" s="2" t="s">
        <v>444</v>
      </c>
      <c r="E2763" s="2" t="s">
        <v>883</v>
      </c>
      <c r="F2763" s="2" t="s">
        <v>313</v>
      </c>
      <c r="G2763" s="2" t="s">
        <v>3207</v>
      </c>
      <c r="H2763" s="2" t="s">
        <v>348</v>
      </c>
      <c r="I2763" s="2" t="s">
        <v>619</v>
      </c>
      <c r="J2763" s="2" t="s">
        <v>381</v>
      </c>
      <c r="K2763" s="9">
        <v>45973</v>
      </c>
      <c r="L2763" s="9">
        <v>45977</v>
      </c>
      <c r="M2763" s="9">
        <v>45977</v>
      </c>
      <c r="N2763" s="2" t="s">
        <v>3124</v>
      </c>
      <c r="O2763" s="2" t="s">
        <v>56</v>
      </c>
      <c r="P2763" s="2" t="s">
        <v>151</v>
      </c>
      <c r="Q2763" s="2" t="s">
        <v>152</v>
      </c>
      <c r="R2763" s="2" t="s">
        <v>128</v>
      </c>
      <c r="S2763" s="2" t="s">
        <v>383</v>
      </c>
      <c r="T2763" s="10">
        <v>36.53</v>
      </c>
      <c r="U2763" s="11">
        <v>1</v>
      </c>
      <c r="V2763" s="12">
        <f>T2763*U2763</f>
        <v>36.53</v>
      </c>
      <c r="W2763" s="13">
        <v>0</v>
      </c>
      <c r="X2763" s="12">
        <f>V2763-(V2763/(1+W2763))</f>
        <v>0</v>
      </c>
      <c r="Y2763" s="12">
        <f>V2763-X2763</f>
        <v>36.53</v>
      </c>
      <c r="Z2763" s="14">
        <v>75</v>
      </c>
      <c r="AA2763" s="2" t="str">
        <f>IF(V2763&gt;Z2763,"Yes","No")</f>
        <v>No</v>
      </c>
      <c r="AB2763" s="12">
        <f>V2763-Z2763</f>
        <v>-38.47</v>
      </c>
      <c r="AC2763" s="15" t="s">
        <v>130</v>
      </c>
      <c r="AD2763" s="15" t="s">
        <v>130</v>
      </c>
      <c r="AE2763" s="15" t="s">
        <v>421</v>
      </c>
      <c r="AF2763" s="12">
        <f>IF(AG2763="Rejected",0,IF(R2763="Corporate Card",0,V2763))</f>
        <v>0</v>
      </c>
      <c r="AG2763" s="15" t="s">
        <v>133</v>
      </c>
      <c r="AH2763" s="16">
        <v>45985</v>
      </c>
      <c r="AI2763" s="16">
        <v>45993</v>
      </c>
      <c r="AJ2763" s="16">
        <v>46002</v>
      </c>
      <c r="AK2763" s="17">
        <f>IF(AJ2763="","",AJ2763-AH2763)</f>
        <v>17</v>
      </c>
    </row>
    <row r="2764" spans="1:37">
      <c r="A2764" s="2" t="s">
        <v>3270</v>
      </c>
      <c r="B2764" s="2" t="s">
        <v>882</v>
      </c>
      <c r="C2764" s="2" t="s">
        <v>446</v>
      </c>
      <c r="D2764" s="2" t="s">
        <v>444</v>
      </c>
      <c r="E2764" s="2" t="s">
        <v>883</v>
      </c>
      <c r="F2764" s="2" t="s">
        <v>313</v>
      </c>
      <c r="G2764" s="2" t="s">
        <v>3207</v>
      </c>
      <c r="H2764" s="2" t="s">
        <v>348</v>
      </c>
      <c r="I2764" s="2" t="s">
        <v>619</v>
      </c>
      <c r="J2764" s="2" t="s">
        <v>381</v>
      </c>
      <c r="K2764" s="9">
        <v>45973</v>
      </c>
      <c r="L2764" s="9">
        <v>45977</v>
      </c>
      <c r="M2764" s="9">
        <v>45977</v>
      </c>
      <c r="N2764" s="2" t="s">
        <v>3124</v>
      </c>
      <c r="O2764" s="2" t="s">
        <v>55</v>
      </c>
      <c r="P2764" s="2" t="s">
        <v>139</v>
      </c>
      <c r="Q2764" s="2" t="s">
        <v>154</v>
      </c>
      <c r="R2764" s="2" t="s">
        <v>128</v>
      </c>
      <c r="S2764" s="2" t="s">
        <v>383</v>
      </c>
      <c r="T2764" s="10">
        <v>15.02</v>
      </c>
      <c r="U2764" s="11">
        <v>1</v>
      </c>
      <c r="V2764" s="12">
        <f>T2764*U2764</f>
        <v>15.02</v>
      </c>
      <c r="W2764" s="13">
        <v>0</v>
      </c>
      <c r="X2764" s="12">
        <f>V2764-(V2764/(1+W2764))</f>
        <v>0</v>
      </c>
      <c r="Y2764" s="12">
        <f>V2764-X2764</f>
        <v>15.02</v>
      </c>
      <c r="Z2764" s="14">
        <v>35</v>
      </c>
      <c r="AA2764" s="2" t="str">
        <f>IF(V2764&gt;Z2764,"Yes","No")</f>
        <v>No</v>
      </c>
      <c r="AB2764" s="12">
        <f>V2764-Z2764</f>
        <v>-19.98</v>
      </c>
      <c r="AC2764" s="15" t="s">
        <v>130</v>
      </c>
      <c r="AD2764" s="15" t="s">
        <v>130</v>
      </c>
      <c r="AE2764" s="15" t="s">
        <v>421</v>
      </c>
      <c r="AF2764" s="12">
        <f>IF(AG2764="Rejected",0,IF(R2764="Corporate Card",0,V2764))</f>
        <v>0</v>
      </c>
      <c r="AG2764" s="15" t="s">
        <v>133</v>
      </c>
      <c r="AH2764" s="16">
        <v>45985</v>
      </c>
      <c r="AI2764" s="16">
        <v>45993</v>
      </c>
      <c r="AJ2764" s="16">
        <v>46002</v>
      </c>
      <c r="AK2764" s="17">
        <f>IF(AJ2764="","",AJ2764-AH2764)</f>
        <v>17</v>
      </c>
    </row>
    <row r="2765" spans="1:37">
      <c r="A2765" s="2" t="s">
        <v>3271</v>
      </c>
      <c r="B2765" s="2" t="s">
        <v>550</v>
      </c>
      <c r="C2765" s="2" t="s">
        <v>551</v>
      </c>
      <c r="D2765" s="2" t="s">
        <v>171</v>
      </c>
      <c r="E2765" s="2" t="s">
        <v>172</v>
      </c>
      <c r="F2765" s="2" t="s">
        <v>173</v>
      </c>
      <c r="G2765" s="2" t="s">
        <v>3226</v>
      </c>
      <c r="H2765" s="2" t="s">
        <v>254</v>
      </c>
      <c r="I2765" s="2" t="s">
        <v>749</v>
      </c>
      <c r="J2765" s="2" t="s">
        <v>750</v>
      </c>
      <c r="K2765" s="9">
        <v>45974</v>
      </c>
      <c r="L2765" s="9">
        <v>45977</v>
      </c>
      <c r="M2765" s="9">
        <v>45977</v>
      </c>
      <c r="N2765" s="2" t="s">
        <v>3124</v>
      </c>
      <c r="O2765" s="2" t="s">
        <v>54</v>
      </c>
      <c r="P2765" s="2" t="s">
        <v>139</v>
      </c>
      <c r="Q2765" s="2" t="s">
        <v>140</v>
      </c>
      <c r="R2765" s="2" t="s">
        <v>137</v>
      </c>
      <c r="S2765" s="2" t="s">
        <v>198</v>
      </c>
      <c r="T2765" s="10">
        <v>21.63</v>
      </c>
      <c r="U2765" s="11">
        <v>1.085</v>
      </c>
      <c r="V2765" s="12">
        <f>T2765*U2765</f>
        <v>23.468549999999997</v>
      </c>
      <c r="W2765" s="13">
        <v>0.19</v>
      </c>
      <c r="X2765" s="12">
        <f>V2765-(V2765/(1+W2765))</f>
        <v>3.7470794117647053</v>
      </c>
      <c r="Y2765" s="12">
        <f>V2765-X2765</f>
        <v>19.721470588235292</v>
      </c>
      <c r="Z2765" s="14">
        <v>25</v>
      </c>
      <c r="AA2765" s="2" t="str">
        <f>IF(V2765&gt;Z2765,"Yes","No")</f>
        <v>No</v>
      </c>
      <c r="AB2765" s="12">
        <f>V2765-Z2765</f>
        <v>-1.5314500000000031</v>
      </c>
      <c r="AC2765" s="15" t="s">
        <v>130</v>
      </c>
      <c r="AD2765" s="15" t="s">
        <v>131</v>
      </c>
      <c r="AE2765" s="15" t="s">
        <v>350</v>
      </c>
      <c r="AF2765" s="12">
        <f>IF(AG2765="Rejected",0,IF(R2765="Corporate Card",0,V2765))</f>
        <v>23.468549999999997</v>
      </c>
      <c r="AG2765" s="15" t="s">
        <v>133</v>
      </c>
      <c r="AH2765" s="16">
        <v>45986</v>
      </c>
      <c r="AI2765" s="16">
        <v>45990</v>
      </c>
      <c r="AJ2765" s="16">
        <v>45995</v>
      </c>
      <c r="AK2765" s="17">
        <f>IF(AJ2765="","",AJ2765-AH2765)</f>
        <v>9</v>
      </c>
    </row>
    <row r="2766" spans="1:37">
      <c r="A2766" s="2" t="s">
        <v>3272</v>
      </c>
      <c r="B2766" s="2" t="s">
        <v>550</v>
      </c>
      <c r="C2766" s="2" t="s">
        <v>551</v>
      </c>
      <c r="D2766" s="2" t="s">
        <v>171</v>
      </c>
      <c r="E2766" s="2" t="s">
        <v>172</v>
      </c>
      <c r="F2766" s="2" t="s">
        <v>173</v>
      </c>
      <c r="G2766" s="2" t="s">
        <v>3226</v>
      </c>
      <c r="H2766" s="2" t="s">
        <v>254</v>
      </c>
      <c r="I2766" s="2" t="s">
        <v>749</v>
      </c>
      <c r="J2766" s="2" t="s">
        <v>750</v>
      </c>
      <c r="K2766" s="9">
        <v>45974</v>
      </c>
      <c r="L2766" s="9">
        <v>45977</v>
      </c>
      <c r="M2766" s="9">
        <v>45977</v>
      </c>
      <c r="N2766" s="2" t="s">
        <v>3124</v>
      </c>
      <c r="O2766" s="2" t="s">
        <v>56</v>
      </c>
      <c r="P2766" s="2" t="s">
        <v>165</v>
      </c>
      <c r="Q2766" s="2" t="s">
        <v>185</v>
      </c>
      <c r="R2766" s="2" t="s">
        <v>149</v>
      </c>
      <c r="S2766" s="2" t="s">
        <v>198</v>
      </c>
      <c r="T2766" s="10">
        <v>33.07</v>
      </c>
      <c r="U2766" s="11">
        <v>1.085</v>
      </c>
      <c r="V2766" s="12">
        <f>T2766*U2766</f>
        <v>35.880949999999999</v>
      </c>
      <c r="W2766" s="13">
        <v>0.19</v>
      </c>
      <c r="X2766" s="12">
        <f>V2766-(V2766/(1+W2766))</f>
        <v>5.7288911764705865</v>
      </c>
      <c r="Y2766" s="12">
        <f>V2766-X2766</f>
        <v>30.152058823529412</v>
      </c>
      <c r="Z2766" s="14">
        <v>75</v>
      </c>
      <c r="AA2766" s="2" t="str">
        <f>IF(V2766&gt;Z2766,"Yes","No")</f>
        <v>No</v>
      </c>
      <c r="AB2766" s="12">
        <f>V2766-Z2766</f>
        <v>-39.119050000000001</v>
      </c>
      <c r="AC2766" s="15" t="s">
        <v>130</v>
      </c>
      <c r="AD2766" s="15" t="s">
        <v>131</v>
      </c>
      <c r="AE2766" s="15" t="s">
        <v>350</v>
      </c>
      <c r="AF2766" s="12">
        <f>IF(AG2766="Rejected",0,IF(R2766="Corporate Card",0,V2766))</f>
        <v>35.880949999999999</v>
      </c>
      <c r="AG2766" s="15" t="s">
        <v>133</v>
      </c>
      <c r="AH2766" s="16">
        <v>45986</v>
      </c>
      <c r="AI2766" s="16">
        <v>45990</v>
      </c>
      <c r="AJ2766" s="16">
        <v>45995</v>
      </c>
      <c r="AK2766" s="17">
        <f>IF(AJ2766="","",AJ2766-AH2766)</f>
        <v>9</v>
      </c>
    </row>
    <row r="2767" spans="1:37">
      <c r="A2767" s="2" t="s">
        <v>3273</v>
      </c>
      <c r="B2767" s="2" t="s">
        <v>550</v>
      </c>
      <c r="C2767" s="2" t="s">
        <v>551</v>
      </c>
      <c r="D2767" s="2" t="s">
        <v>171</v>
      </c>
      <c r="E2767" s="2" t="s">
        <v>172</v>
      </c>
      <c r="F2767" s="2" t="s">
        <v>173</v>
      </c>
      <c r="G2767" s="2" t="s">
        <v>3226</v>
      </c>
      <c r="H2767" s="2" t="s">
        <v>254</v>
      </c>
      <c r="I2767" s="2" t="s">
        <v>749</v>
      </c>
      <c r="J2767" s="2" t="s">
        <v>750</v>
      </c>
      <c r="K2767" s="9">
        <v>45974</v>
      </c>
      <c r="L2767" s="9">
        <v>45977</v>
      </c>
      <c r="M2767" s="9">
        <v>45977</v>
      </c>
      <c r="N2767" s="2" t="s">
        <v>3124</v>
      </c>
      <c r="O2767" s="2" t="s">
        <v>55</v>
      </c>
      <c r="P2767" s="2" t="s">
        <v>139</v>
      </c>
      <c r="Q2767" s="2" t="s">
        <v>161</v>
      </c>
      <c r="R2767" s="2" t="s">
        <v>128</v>
      </c>
      <c r="S2767" s="2" t="s">
        <v>198</v>
      </c>
      <c r="T2767" s="10">
        <v>27.31</v>
      </c>
      <c r="U2767" s="11">
        <v>1.085</v>
      </c>
      <c r="V2767" s="12">
        <f>T2767*U2767</f>
        <v>29.631349999999998</v>
      </c>
      <c r="W2767" s="13">
        <v>0.19</v>
      </c>
      <c r="X2767" s="12">
        <f>V2767-(V2767/(1+W2767))</f>
        <v>4.7310558823529405</v>
      </c>
      <c r="Y2767" s="12">
        <f>V2767-X2767</f>
        <v>24.900294117647057</v>
      </c>
      <c r="Z2767" s="14">
        <v>35</v>
      </c>
      <c r="AA2767" s="2" t="str">
        <f>IF(V2767&gt;Z2767,"Yes","No")</f>
        <v>No</v>
      </c>
      <c r="AB2767" s="12">
        <f>V2767-Z2767</f>
        <v>-5.3686500000000024</v>
      </c>
      <c r="AC2767" s="15" t="s">
        <v>130</v>
      </c>
      <c r="AD2767" s="15" t="s">
        <v>131</v>
      </c>
      <c r="AE2767" s="15" t="s">
        <v>350</v>
      </c>
      <c r="AF2767" s="12">
        <f>IF(AG2767="Rejected",0,IF(R2767="Corporate Card",0,V2767))</f>
        <v>0</v>
      </c>
      <c r="AG2767" s="15" t="s">
        <v>133</v>
      </c>
      <c r="AH2767" s="16">
        <v>45986</v>
      </c>
      <c r="AI2767" s="16">
        <v>45990</v>
      </c>
      <c r="AJ2767" s="16">
        <v>45995</v>
      </c>
      <c r="AK2767" s="17">
        <f>IF(AJ2767="","",AJ2767-AH2767)</f>
        <v>9</v>
      </c>
    </row>
    <row r="2768" spans="1:37">
      <c r="A2768" s="2" t="s">
        <v>3274</v>
      </c>
      <c r="B2768" s="2" t="s">
        <v>648</v>
      </c>
      <c r="C2768" s="2" t="s">
        <v>173</v>
      </c>
      <c r="D2768" s="2" t="s">
        <v>171</v>
      </c>
      <c r="E2768" s="2" t="s">
        <v>649</v>
      </c>
      <c r="F2768" s="2" t="s">
        <v>313</v>
      </c>
      <c r="G2768" s="2" t="s">
        <v>3275</v>
      </c>
      <c r="H2768" s="2" t="s">
        <v>193</v>
      </c>
      <c r="I2768" s="2" t="s">
        <v>553</v>
      </c>
      <c r="J2768" s="2" t="s">
        <v>553</v>
      </c>
      <c r="K2768" s="9">
        <v>45978</v>
      </c>
      <c r="L2768" s="9">
        <v>45982</v>
      </c>
      <c r="M2768" s="9">
        <v>45978</v>
      </c>
      <c r="N2768" s="2" t="s">
        <v>3124</v>
      </c>
      <c r="O2768" s="2" t="s">
        <v>52</v>
      </c>
      <c r="P2768" s="2" t="s">
        <v>554</v>
      </c>
      <c r="Q2768" s="2" t="s">
        <v>349</v>
      </c>
      <c r="R2768" s="2" t="s">
        <v>128</v>
      </c>
      <c r="S2768" s="2" t="s">
        <v>555</v>
      </c>
      <c r="T2768" s="10">
        <v>2210.56</v>
      </c>
      <c r="U2768" s="11">
        <v>0.74299999999999999</v>
      </c>
      <c r="V2768" s="12">
        <f>T2768*U2768</f>
        <v>1642.4460799999999</v>
      </c>
      <c r="W2768" s="13">
        <v>0</v>
      </c>
      <c r="X2768" s="12">
        <f>V2768-(V2768/(1+W2768))</f>
        <v>0</v>
      </c>
      <c r="Y2768" s="12">
        <f>V2768-X2768</f>
        <v>1642.4460799999999</v>
      </c>
      <c r="Z2768" s="14">
        <v>1400</v>
      </c>
      <c r="AA2768" s="2" t="str">
        <f>IF(V2768&gt;Z2768,"Yes","No")</f>
        <v>Yes</v>
      </c>
      <c r="AB2768" s="12">
        <f>V2768-Z2768</f>
        <v>242.44607999999994</v>
      </c>
      <c r="AC2768" s="15" t="s">
        <v>130</v>
      </c>
      <c r="AD2768" s="15" t="s">
        <v>131</v>
      </c>
      <c r="AE2768" s="15" t="s">
        <v>132</v>
      </c>
      <c r="AF2768" s="12">
        <f>IF(AG2768="Rejected",0,IF(R2768="Corporate Card",0,V2768))</f>
        <v>0</v>
      </c>
      <c r="AG2768" s="15" t="s">
        <v>133</v>
      </c>
      <c r="AH2768" s="16">
        <v>45985</v>
      </c>
      <c r="AI2768" s="16">
        <v>45989</v>
      </c>
      <c r="AJ2768" s="16">
        <v>45995</v>
      </c>
      <c r="AK2768" s="17">
        <f>IF(AJ2768="","",AJ2768-AH2768)</f>
        <v>10</v>
      </c>
    </row>
    <row r="2769" spans="1:37">
      <c r="A2769" s="2" t="s">
        <v>3276</v>
      </c>
      <c r="B2769" s="2" t="s">
        <v>648</v>
      </c>
      <c r="C2769" s="2" t="s">
        <v>173</v>
      </c>
      <c r="D2769" s="2" t="s">
        <v>171</v>
      </c>
      <c r="E2769" s="2" t="s">
        <v>649</v>
      </c>
      <c r="F2769" s="2" t="s">
        <v>313</v>
      </c>
      <c r="G2769" s="2" t="s">
        <v>3275</v>
      </c>
      <c r="H2769" s="2" t="s">
        <v>193</v>
      </c>
      <c r="I2769" s="2" t="s">
        <v>553</v>
      </c>
      <c r="J2769" s="2" t="s">
        <v>553</v>
      </c>
      <c r="K2769" s="9">
        <v>45978</v>
      </c>
      <c r="L2769" s="9">
        <v>45982</v>
      </c>
      <c r="M2769" s="9">
        <v>45978</v>
      </c>
      <c r="N2769" s="2" t="s">
        <v>3124</v>
      </c>
      <c r="O2769" s="2" t="s">
        <v>63</v>
      </c>
      <c r="P2769" s="2" t="s">
        <v>200</v>
      </c>
      <c r="Q2769" s="2" t="s">
        <v>484</v>
      </c>
      <c r="R2769" s="2" t="s">
        <v>149</v>
      </c>
      <c r="S2769" s="2" t="s">
        <v>555</v>
      </c>
      <c r="T2769" s="10">
        <v>781.15</v>
      </c>
      <c r="U2769" s="11">
        <v>0.74299999999999999</v>
      </c>
      <c r="V2769" s="12">
        <f>T2769*U2769</f>
        <v>580.39445000000001</v>
      </c>
      <c r="W2769" s="13">
        <v>0</v>
      </c>
      <c r="X2769" s="12">
        <f>V2769-(V2769/(1+W2769))</f>
        <v>0</v>
      </c>
      <c r="Y2769" s="12">
        <f>V2769-X2769</f>
        <v>580.39445000000001</v>
      </c>
      <c r="Z2769" s="14">
        <v>1200</v>
      </c>
      <c r="AA2769" s="2" t="str">
        <f>IF(V2769&gt;Z2769,"Yes","No")</f>
        <v>No</v>
      </c>
      <c r="AB2769" s="12">
        <f>V2769-Z2769</f>
        <v>-619.60554999999999</v>
      </c>
      <c r="AC2769" s="15" t="s">
        <v>130</v>
      </c>
      <c r="AD2769" s="15" t="s">
        <v>131</v>
      </c>
      <c r="AE2769" s="15" t="s">
        <v>132</v>
      </c>
      <c r="AF2769" s="12">
        <f>IF(AG2769="Rejected",0,IF(R2769="Corporate Card",0,V2769))</f>
        <v>580.39445000000001</v>
      </c>
      <c r="AG2769" s="15" t="s">
        <v>133</v>
      </c>
      <c r="AH2769" s="16">
        <v>45985</v>
      </c>
      <c r="AI2769" s="16">
        <v>45989</v>
      </c>
      <c r="AJ2769" s="16">
        <v>45995</v>
      </c>
      <c r="AK2769" s="17">
        <f>IF(AJ2769="","",AJ2769-AH2769)</f>
        <v>10</v>
      </c>
    </row>
    <row r="2770" spans="1:37">
      <c r="A2770" s="2" t="s">
        <v>3277</v>
      </c>
      <c r="B2770" s="2" t="s">
        <v>648</v>
      </c>
      <c r="C2770" s="2" t="s">
        <v>173</v>
      </c>
      <c r="D2770" s="2" t="s">
        <v>171</v>
      </c>
      <c r="E2770" s="2" t="s">
        <v>649</v>
      </c>
      <c r="F2770" s="2" t="s">
        <v>313</v>
      </c>
      <c r="G2770" s="2" t="s">
        <v>3275</v>
      </c>
      <c r="H2770" s="2" t="s">
        <v>193</v>
      </c>
      <c r="I2770" s="2" t="s">
        <v>553</v>
      </c>
      <c r="J2770" s="2" t="s">
        <v>553</v>
      </c>
      <c r="K2770" s="9">
        <v>45978</v>
      </c>
      <c r="L2770" s="9">
        <v>45982</v>
      </c>
      <c r="M2770" s="9">
        <v>45978</v>
      </c>
      <c r="N2770" s="2" t="s">
        <v>3124</v>
      </c>
      <c r="O2770" s="2" t="s">
        <v>54</v>
      </c>
      <c r="P2770" s="2" t="s">
        <v>139</v>
      </c>
      <c r="Q2770" s="2" t="s">
        <v>148</v>
      </c>
      <c r="R2770" s="2" t="s">
        <v>128</v>
      </c>
      <c r="S2770" s="2" t="s">
        <v>555</v>
      </c>
      <c r="T2770" s="10">
        <v>23.14</v>
      </c>
      <c r="U2770" s="11">
        <v>0.74299999999999999</v>
      </c>
      <c r="V2770" s="12">
        <f>T2770*U2770</f>
        <v>17.193020000000001</v>
      </c>
      <c r="W2770" s="13">
        <v>0.09</v>
      </c>
      <c r="X2770" s="12">
        <f>V2770-(V2770/(1+W2770))</f>
        <v>1.4196071559633037</v>
      </c>
      <c r="Y2770" s="12">
        <f>V2770-X2770</f>
        <v>15.773412844036697</v>
      </c>
      <c r="Z2770" s="14">
        <v>25</v>
      </c>
      <c r="AA2770" s="2" t="str">
        <f>IF(V2770&gt;Z2770,"Yes","No")</f>
        <v>No</v>
      </c>
      <c r="AB2770" s="12">
        <f>V2770-Z2770</f>
        <v>-7.8069799999999994</v>
      </c>
      <c r="AC2770" s="15" t="s">
        <v>130</v>
      </c>
      <c r="AD2770" s="15" t="s">
        <v>131</v>
      </c>
      <c r="AE2770" s="15" t="s">
        <v>132</v>
      </c>
      <c r="AF2770" s="12">
        <f>IF(AG2770="Rejected",0,IF(R2770="Corporate Card",0,V2770))</f>
        <v>0</v>
      </c>
      <c r="AG2770" s="15" t="s">
        <v>133</v>
      </c>
      <c r="AH2770" s="16">
        <v>45985</v>
      </c>
      <c r="AI2770" s="16">
        <v>45989</v>
      </c>
      <c r="AJ2770" s="16">
        <v>45995</v>
      </c>
      <c r="AK2770" s="17">
        <f>IF(AJ2770="","",AJ2770-AH2770)</f>
        <v>10</v>
      </c>
    </row>
    <row r="2771" spans="1:37">
      <c r="A2771" s="2" t="s">
        <v>3278</v>
      </c>
      <c r="B2771" s="2" t="s">
        <v>648</v>
      </c>
      <c r="C2771" s="2" t="s">
        <v>173</v>
      </c>
      <c r="D2771" s="2" t="s">
        <v>171</v>
      </c>
      <c r="E2771" s="2" t="s">
        <v>649</v>
      </c>
      <c r="F2771" s="2" t="s">
        <v>313</v>
      </c>
      <c r="G2771" s="2" t="s">
        <v>3275</v>
      </c>
      <c r="H2771" s="2" t="s">
        <v>193</v>
      </c>
      <c r="I2771" s="2" t="s">
        <v>553</v>
      </c>
      <c r="J2771" s="2" t="s">
        <v>553</v>
      </c>
      <c r="K2771" s="9">
        <v>45978</v>
      </c>
      <c r="L2771" s="9">
        <v>45982</v>
      </c>
      <c r="M2771" s="9">
        <v>45978</v>
      </c>
      <c r="N2771" s="2" t="s">
        <v>3124</v>
      </c>
      <c r="O2771" s="2" t="s">
        <v>56</v>
      </c>
      <c r="P2771" s="2" t="s">
        <v>151</v>
      </c>
      <c r="Q2771" s="2" t="s">
        <v>159</v>
      </c>
      <c r="R2771" s="2" t="s">
        <v>128</v>
      </c>
      <c r="S2771" s="2" t="s">
        <v>555</v>
      </c>
      <c r="T2771" s="10">
        <v>98.14</v>
      </c>
      <c r="U2771" s="11">
        <v>0.74299999999999999</v>
      </c>
      <c r="V2771" s="12">
        <f>T2771*U2771</f>
        <v>72.918019999999999</v>
      </c>
      <c r="W2771" s="13">
        <v>0.09</v>
      </c>
      <c r="X2771" s="12">
        <f>V2771-(V2771/(1+W2771))</f>
        <v>6.0207539449541372</v>
      </c>
      <c r="Y2771" s="12">
        <f>V2771-X2771</f>
        <v>66.897266055045861</v>
      </c>
      <c r="Z2771" s="14">
        <v>75</v>
      </c>
      <c r="AA2771" s="2" t="str">
        <f>IF(V2771&gt;Z2771,"Yes","No")</f>
        <v>No</v>
      </c>
      <c r="AB2771" s="12">
        <f>V2771-Z2771</f>
        <v>-2.0819800000000015</v>
      </c>
      <c r="AC2771" s="15" t="s">
        <v>130</v>
      </c>
      <c r="AD2771" s="15" t="s">
        <v>131</v>
      </c>
      <c r="AE2771" s="15" t="s">
        <v>132</v>
      </c>
      <c r="AF2771" s="12">
        <f>IF(AG2771="Rejected",0,IF(R2771="Corporate Card",0,V2771))</f>
        <v>0</v>
      </c>
      <c r="AG2771" s="15" t="s">
        <v>133</v>
      </c>
      <c r="AH2771" s="16">
        <v>45985</v>
      </c>
      <c r="AI2771" s="16">
        <v>45989</v>
      </c>
      <c r="AJ2771" s="16">
        <v>45995</v>
      </c>
      <c r="AK2771" s="17">
        <f>IF(AJ2771="","",AJ2771-AH2771)</f>
        <v>10</v>
      </c>
    </row>
    <row r="2772" spans="1:37">
      <c r="A2772" s="2" t="s">
        <v>3279</v>
      </c>
      <c r="B2772" s="2" t="s">
        <v>648</v>
      </c>
      <c r="C2772" s="2" t="s">
        <v>173</v>
      </c>
      <c r="D2772" s="2" t="s">
        <v>171</v>
      </c>
      <c r="E2772" s="2" t="s">
        <v>649</v>
      </c>
      <c r="F2772" s="2" t="s">
        <v>313</v>
      </c>
      <c r="G2772" s="2" t="s">
        <v>3275</v>
      </c>
      <c r="H2772" s="2" t="s">
        <v>193</v>
      </c>
      <c r="I2772" s="2" t="s">
        <v>553</v>
      </c>
      <c r="J2772" s="2" t="s">
        <v>553</v>
      </c>
      <c r="K2772" s="9">
        <v>45978</v>
      </c>
      <c r="L2772" s="9">
        <v>45982</v>
      </c>
      <c r="M2772" s="9">
        <v>45978</v>
      </c>
      <c r="N2772" s="2" t="s">
        <v>3124</v>
      </c>
      <c r="O2772" s="2" t="s">
        <v>55</v>
      </c>
      <c r="P2772" s="2" t="s">
        <v>139</v>
      </c>
      <c r="Q2772" s="2" t="s">
        <v>217</v>
      </c>
      <c r="R2772" s="2" t="s">
        <v>128</v>
      </c>
      <c r="S2772" s="2" t="s">
        <v>555</v>
      </c>
      <c r="T2772" s="10">
        <v>26.18</v>
      </c>
      <c r="U2772" s="11">
        <v>0.74299999999999999</v>
      </c>
      <c r="V2772" s="12">
        <f>T2772*U2772</f>
        <v>19.451740000000001</v>
      </c>
      <c r="W2772" s="13">
        <v>0.09</v>
      </c>
      <c r="X2772" s="12">
        <f>V2772-(V2772/(1+W2772))</f>
        <v>1.6061069724770647</v>
      </c>
      <c r="Y2772" s="12">
        <f>V2772-X2772</f>
        <v>17.845633027522936</v>
      </c>
      <c r="Z2772" s="14">
        <v>35</v>
      </c>
      <c r="AA2772" s="2" t="str">
        <f>IF(V2772&gt;Z2772,"Yes","No")</f>
        <v>No</v>
      </c>
      <c r="AB2772" s="12">
        <f>V2772-Z2772</f>
        <v>-15.548259999999999</v>
      </c>
      <c r="AC2772" s="15" t="s">
        <v>130</v>
      </c>
      <c r="AD2772" s="15" t="s">
        <v>131</v>
      </c>
      <c r="AE2772" s="15" t="s">
        <v>132</v>
      </c>
      <c r="AF2772" s="12">
        <f>IF(AG2772="Rejected",0,IF(R2772="Corporate Card",0,V2772))</f>
        <v>0</v>
      </c>
      <c r="AG2772" s="15" t="s">
        <v>133</v>
      </c>
      <c r="AH2772" s="16">
        <v>45985</v>
      </c>
      <c r="AI2772" s="16">
        <v>45989</v>
      </c>
      <c r="AJ2772" s="16">
        <v>45995</v>
      </c>
      <c r="AK2772" s="17">
        <f>IF(AJ2772="","",AJ2772-AH2772)</f>
        <v>10</v>
      </c>
    </row>
    <row r="2773" spans="1:37">
      <c r="A2773" s="2" t="s">
        <v>3280</v>
      </c>
      <c r="B2773" s="2" t="s">
        <v>648</v>
      </c>
      <c r="C2773" s="2" t="s">
        <v>173</v>
      </c>
      <c r="D2773" s="2" t="s">
        <v>171</v>
      </c>
      <c r="E2773" s="2" t="s">
        <v>649</v>
      </c>
      <c r="F2773" s="2" t="s">
        <v>313</v>
      </c>
      <c r="G2773" s="2" t="s">
        <v>3275</v>
      </c>
      <c r="H2773" s="2" t="s">
        <v>193</v>
      </c>
      <c r="I2773" s="2" t="s">
        <v>553</v>
      </c>
      <c r="J2773" s="2" t="s">
        <v>553</v>
      </c>
      <c r="K2773" s="9">
        <v>45978</v>
      </c>
      <c r="L2773" s="9">
        <v>45982</v>
      </c>
      <c r="M2773" s="9">
        <v>45979</v>
      </c>
      <c r="N2773" s="2" t="s">
        <v>3124</v>
      </c>
      <c r="O2773" s="2" t="s">
        <v>59</v>
      </c>
      <c r="P2773" s="2" t="s">
        <v>301</v>
      </c>
      <c r="Q2773" s="2" t="s">
        <v>452</v>
      </c>
      <c r="R2773" s="2" t="s">
        <v>149</v>
      </c>
      <c r="S2773" s="2" t="s">
        <v>555</v>
      </c>
      <c r="T2773" s="10">
        <v>114.53</v>
      </c>
      <c r="U2773" s="11">
        <v>0.74299999999999999</v>
      </c>
      <c r="V2773" s="12">
        <f>T2773*U2773</f>
        <v>85.095789999999994</v>
      </c>
      <c r="W2773" s="13">
        <v>0.09</v>
      </c>
      <c r="X2773" s="12">
        <f>V2773-(V2773/(1+W2773))</f>
        <v>7.0262578899082655</v>
      </c>
      <c r="Y2773" s="12">
        <f>V2773-X2773</f>
        <v>78.069532110091728</v>
      </c>
      <c r="Z2773" s="14">
        <v>150</v>
      </c>
      <c r="AA2773" s="2" t="str">
        <f>IF(V2773&gt;Z2773,"Yes","No")</f>
        <v>No</v>
      </c>
      <c r="AB2773" s="12">
        <f>V2773-Z2773</f>
        <v>-64.904210000000006</v>
      </c>
      <c r="AC2773" s="15" t="s">
        <v>130</v>
      </c>
      <c r="AD2773" s="15" t="s">
        <v>131</v>
      </c>
      <c r="AE2773" s="15" t="s">
        <v>132</v>
      </c>
      <c r="AF2773" s="12">
        <f>IF(AG2773="Rejected",0,IF(R2773="Corporate Card",0,V2773))</f>
        <v>85.095789999999994</v>
      </c>
      <c r="AG2773" s="15" t="s">
        <v>133</v>
      </c>
      <c r="AH2773" s="16">
        <v>45985</v>
      </c>
      <c r="AI2773" s="16">
        <v>45989</v>
      </c>
      <c r="AJ2773" s="16">
        <v>45995</v>
      </c>
      <c r="AK2773" s="17">
        <f>IF(AJ2773="","",AJ2773-AH2773)</f>
        <v>10</v>
      </c>
    </row>
    <row r="2774" spans="1:37">
      <c r="A2774" s="2" t="s">
        <v>3281</v>
      </c>
      <c r="B2774" s="2" t="s">
        <v>648</v>
      </c>
      <c r="C2774" s="2" t="s">
        <v>173</v>
      </c>
      <c r="D2774" s="2" t="s">
        <v>171</v>
      </c>
      <c r="E2774" s="2" t="s">
        <v>649</v>
      </c>
      <c r="F2774" s="2" t="s">
        <v>313</v>
      </c>
      <c r="G2774" s="2" t="s">
        <v>3275</v>
      </c>
      <c r="H2774" s="2" t="s">
        <v>193</v>
      </c>
      <c r="I2774" s="2" t="s">
        <v>553</v>
      </c>
      <c r="J2774" s="2" t="s">
        <v>553</v>
      </c>
      <c r="K2774" s="9">
        <v>45978</v>
      </c>
      <c r="L2774" s="9">
        <v>45982</v>
      </c>
      <c r="M2774" s="9">
        <v>45979</v>
      </c>
      <c r="N2774" s="2" t="s">
        <v>3124</v>
      </c>
      <c r="O2774" s="2" t="s">
        <v>58</v>
      </c>
      <c r="P2774" s="2" t="s">
        <v>142</v>
      </c>
      <c r="Q2774" s="2" t="s">
        <v>296</v>
      </c>
      <c r="R2774" s="2" t="s">
        <v>137</v>
      </c>
      <c r="S2774" s="2" t="s">
        <v>555</v>
      </c>
      <c r="T2774" s="10">
        <v>62.46</v>
      </c>
      <c r="U2774" s="11">
        <v>0.74299999999999999</v>
      </c>
      <c r="V2774" s="12">
        <f>T2774*U2774</f>
        <v>46.407780000000002</v>
      </c>
      <c r="W2774" s="13">
        <v>0.09</v>
      </c>
      <c r="X2774" s="12">
        <f>V2774-(V2774/(1+W2774))</f>
        <v>3.8318350458715642</v>
      </c>
      <c r="Y2774" s="12">
        <f>V2774-X2774</f>
        <v>42.575944954128438</v>
      </c>
      <c r="Z2774" s="14">
        <v>60</v>
      </c>
      <c r="AA2774" s="2" t="str">
        <f>IF(V2774&gt;Z2774,"Yes","No")</f>
        <v>No</v>
      </c>
      <c r="AB2774" s="12">
        <f>V2774-Z2774</f>
        <v>-13.592219999999998</v>
      </c>
      <c r="AC2774" s="15" t="s">
        <v>131</v>
      </c>
      <c r="AD2774" s="15" t="s">
        <v>131</v>
      </c>
      <c r="AE2774" s="15" t="s">
        <v>132</v>
      </c>
      <c r="AF2774" s="12">
        <f>IF(AG2774="Rejected",0,IF(R2774="Corporate Card",0,V2774))</f>
        <v>46.407780000000002</v>
      </c>
      <c r="AG2774" s="15" t="s">
        <v>133</v>
      </c>
      <c r="AH2774" s="16">
        <v>45985</v>
      </c>
      <c r="AI2774" s="16">
        <v>45989</v>
      </c>
      <c r="AJ2774" s="16">
        <v>45995</v>
      </c>
      <c r="AK2774" s="17">
        <f>IF(AJ2774="","",AJ2774-AH2774)</f>
        <v>10</v>
      </c>
    </row>
    <row r="2775" spans="1:37">
      <c r="A2775" s="2" t="s">
        <v>3282</v>
      </c>
      <c r="B2775" s="2" t="s">
        <v>648</v>
      </c>
      <c r="C2775" s="2" t="s">
        <v>173</v>
      </c>
      <c r="D2775" s="2" t="s">
        <v>171</v>
      </c>
      <c r="E2775" s="2" t="s">
        <v>649</v>
      </c>
      <c r="F2775" s="2" t="s">
        <v>313</v>
      </c>
      <c r="G2775" s="2" t="s">
        <v>3275</v>
      </c>
      <c r="H2775" s="2" t="s">
        <v>193</v>
      </c>
      <c r="I2775" s="2" t="s">
        <v>553</v>
      </c>
      <c r="J2775" s="2" t="s">
        <v>553</v>
      </c>
      <c r="K2775" s="9">
        <v>45978</v>
      </c>
      <c r="L2775" s="9">
        <v>45982</v>
      </c>
      <c r="M2775" s="9">
        <v>45979</v>
      </c>
      <c r="N2775" s="2" t="s">
        <v>3124</v>
      </c>
      <c r="O2775" s="2" t="s">
        <v>53</v>
      </c>
      <c r="P2775" s="2" t="s">
        <v>457</v>
      </c>
      <c r="Q2775" s="2" t="s">
        <v>305</v>
      </c>
      <c r="R2775" s="2" t="s">
        <v>128</v>
      </c>
      <c r="S2775" s="2" t="s">
        <v>555</v>
      </c>
      <c r="T2775" s="10">
        <v>617.92999999999995</v>
      </c>
      <c r="U2775" s="11">
        <v>0.74299999999999999</v>
      </c>
      <c r="V2775" s="12">
        <f>T2775*U2775</f>
        <v>459.12198999999998</v>
      </c>
      <c r="W2775" s="13">
        <v>0.09</v>
      </c>
      <c r="X2775" s="12">
        <f>V2775-(V2775/(1+W2775))</f>
        <v>37.909155137614732</v>
      </c>
      <c r="Y2775" s="12">
        <f>V2775-X2775</f>
        <v>421.21283486238525</v>
      </c>
      <c r="Z2775" s="14">
        <v>1120</v>
      </c>
      <c r="AA2775" s="2" t="str">
        <f>IF(V2775&gt;Z2775,"Yes","No")</f>
        <v>No</v>
      </c>
      <c r="AB2775" s="12">
        <f>V2775-Z2775</f>
        <v>-660.87801000000002</v>
      </c>
      <c r="AC2775" s="15" t="s">
        <v>130</v>
      </c>
      <c r="AD2775" s="15" t="s">
        <v>131</v>
      </c>
      <c r="AE2775" s="15" t="s">
        <v>132</v>
      </c>
      <c r="AF2775" s="12">
        <f>IF(AG2775="Rejected",0,IF(R2775="Corporate Card",0,V2775))</f>
        <v>0</v>
      </c>
      <c r="AG2775" s="15" t="s">
        <v>133</v>
      </c>
      <c r="AH2775" s="16">
        <v>45985</v>
      </c>
      <c r="AI2775" s="16">
        <v>45989</v>
      </c>
      <c r="AJ2775" s="16">
        <v>45995</v>
      </c>
      <c r="AK2775" s="17">
        <f>IF(AJ2775="","",AJ2775-AH2775)</f>
        <v>10</v>
      </c>
    </row>
    <row r="2776" spans="1:37">
      <c r="A2776" s="2" t="s">
        <v>3283</v>
      </c>
      <c r="B2776" s="2" t="s">
        <v>648</v>
      </c>
      <c r="C2776" s="2" t="s">
        <v>173</v>
      </c>
      <c r="D2776" s="2" t="s">
        <v>171</v>
      </c>
      <c r="E2776" s="2" t="s">
        <v>649</v>
      </c>
      <c r="F2776" s="2" t="s">
        <v>313</v>
      </c>
      <c r="G2776" s="2" t="s">
        <v>3275</v>
      </c>
      <c r="H2776" s="2" t="s">
        <v>193</v>
      </c>
      <c r="I2776" s="2" t="s">
        <v>553</v>
      </c>
      <c r="J2776" s="2" t="s">
        <v>553</v>
      </c>
      <c r="K2776" s="9">
        <v>45978</v>
      </c>
      <c r="L2776" s="9">
        <v>45982</v>
      </c>
      <c r="M2776" s="9">
        <v>45979</v>
      </c>
      <c r="N2776" s="2" t="s">
        <v>3124</v>
      </c>
      <c r="O2776" s="2" t="s">
        <v>54</v>
      </c>
      <c r="P2776" s="2" t="s">
        <v>139</v>
      </c>
      <c r="Q2776" s="2" t="s">
        <v>140</v>
      </c>
      <c r="R2776" s="2" t="s">
        <v>149</v>
      </c>
      <c r="S2776" s="2" t="s">
        <v>555</v>
      </c>
      <c r="T2776" s="10">
        <v>25.24</v>
      </c>
      <c r="U2776" s="11">
        <v>0.74299999999999999</v>
      </c>
      <c r="V2776" s="12">
        <f>T2776*U2776</f>
        <v>18.753319999999999</v>
      </c>
      <c r="W2776" s="13">
        <v>0.09</v>
      </c>
      <c r="X2776" s="12">
        <f>V2776-(V2776/(1+W2776))</f>
        <v>1.5484392660550483</v>
      </c>
      <c r="Y2776" s="12">
        <f>V2776-X2776</f>
        <v>17.20488073394495</v>
      </c>
      <c r="Z2776" s="14">
        <v>25</v>
      </c>
      <c r="AA2776" s="2" t="str">
        <f>IF(V2776&gt;Z2776,"Yes","No")</f>
        <v>No</v>
      </c>
      <c r="AB2776" s="12">
        <f>V2776-Z2776</f>
        <v>-6.2466800000000013</v>
      </c>
      <c r="AC2776" s="15" t="s">
        <v>130</v>
      </c>
      <c r="AD2776" s="15" t="s">
        <v>131</v>
      </c>
      <c r="AE2776" s="15" t="s">
        <v>132</v>
      </c>
      <c r="AF2776" s="12">
        <f>IF(AG2776="Rejected",0,IF(R2776="Corporate Card",0,V2776))</f>
        <v>18.753319999999999</v>
      </c>
      <c r="AG2776" s="15" t="s">
        <v>133</v>
      </c>
      <c r="AH2776" s="16">
        <v>45985</v>
      </c>
      <c r="AI2776" s="16">
        <v>45989</v>
      </c>
      <c r="AJ2776" s="16">
        <v>45995</v>
      </c>
      <c r="AK2776" s="17">
        <f>IF(AJ2776="","",AJ2776-AH2776)</f>
        <v>10</v>
      </c>
    </row>
    <row r="2777" spans="1:37">
      <c r="A2777" s="2" t="s">
        <v>3284</v>
      </c>
      <c r="B2777" s="2" t="s">
        <v>648</v>
      </c>
      <c r="C2777" s="2" t="s">
        <v>173</v>
      </c>
      <c r="D2777" s="2" t="s">
        <v>171</v>
      </c>
      <c r="E2777" s="2" t="s">
        <v>649</v>
      </c>
      <c r="F2777" s="2" t="s">
        <v>313</v>
      </c>
      <c r="G2777" s="2" t="s">
        <v>3275</v>
      </c>
      <c r="H2777" s="2" t="s">
        <v>193</v>
      </c>
      <c r="I2777" s="2" t="s">
        <v>553</v>
      </c>
      <c r="J2777" s="2" t="s">
        <v>553</v>
      </c>
      <c r="K2777" s="9">
        <v>45978</v>
      </c>
      <c r="L2777" s="9">
        <v>45982</v>
      </c>
      <c r="M2777" s="9">
        <v>45979</v>
      </c>
      <c r="N2777" s="2" t="s">
        <v>3124</v>
      </c>
      <c r="O2777" s="2" t="s">
        <v>56</v>
      </c>
      <c r="P2777" s="2" t="s">
        <v>231</v>
      </c>
      <c r="Q2777" s="2" t="s">
        <v>166</v>
      </c>
      <c r="R2777" s="2" t="s">
        <v>128</v>
      </c>
      <c r="S2777" s="2" t="s">
        <v>555</v>
      </c>
      <c r="T2777" s="10">
        <v>82.1</v>
      </c>
      <c r="U2777" s="11">
        <v>0.74299999999999999</v>
      </c>
      <c r="V2777" s="12">
        <f>T2777*U2777</f>
        <v>61.000299999999996</v>
      </c>
      <c r="W2777" s="13">
        <v>0.09</v>
      </c>
      <c r="X2777" s="12">
        <f>V2777-(V2777/(1+W2777))</f>
        <v>5.0367220183486268</v>
      </c>
      <c r="Y2777" s="12">
        <f>V2777-X2777</f>
        <v>55.963577981651369</v>
      </c>
      <c r="Z2777" s="14">
        <v>75</v>
      </c>
      <c r="AA2777" s="2" t="str">
        <f>IF(V2777&gt;Z2777,"Yes","No")</f>
        <v>No</v>
      </c>
      <c r="AB2777" s="12">
        <f>V2777-Z2777</f>
        <v>-13.999700000000004</v>
      </c>
      <c r="AC2777" s="15" t="s">
        <v>130</v>
      </c>
      <c r="AD2777" s="15" t="s">
        <v>131</v>
      </c>
      <c r="AE2777" s="15" t="s">
        <v>132</v>
      </c>
      <c r="AF2777" s="12">
        <f>IF(AG2777="Rejected",0,IF(R2777="Corporate Card",0,V2777))</f>
        <v>0</v>
      </c>
      <c r="AG2777" s="15" t="s">
        <v>133</v>
      </c>
      <c r="AH2777" s="16">
        <v>45985</v>
      </c>
      <c r="AI2777" s="16">
        <v>45989</v>
      </c>
      <c r="AJ2777" s="16">
        <v>45995</v>
      </c>
      <c r="AK2777" s="17">
        <f>IF(AJ2777="","",AJ2777-AH2777)</f>
        <v>10</v>
      </c>
    </row>
    <row r="2778" spans="1:37">
      <c r="A2778" s="2" t="s">
        <v>3285</v>
      </c>
      <c r="B2778" s="2" t="s">
        <v>648</v>
      </c>
      <c r="C2778" s="2" t="s">
        <v>173</v>
      </c>
      <c r="D2778" s="2" t="s">
        <v>171</v>
      </c>
      <c r="E2778" s="2" t="s">
        <v>649</v>
      </c>
      <c r="F2778" s="2" t="s">
        <v>313</v>
      </c>
      <c r="G2778" s="2" t="s">
        <v>3275</v>
      </c>
      <c r="H2778" s="2" t="s">
        <v>193</v>
      </c>
      <c r="I2778" s="2" t="s">
        <v>553</v>
      </c>
      <c r="J2778" s="2" t="s">
        <v>553</v>
      </c>
      <c r="K2778" s="9">
        <v>45978</v>
      </c>
      <c r="L2778" s="9">
        <v>45982</v>
      </c>
      <c r="M2778" s="9">
        <v>45979</v>
      </c>
      <c r="N2778" s="2" t="s">
        <v>3124</v>
      </c>
      <c r="O2778" s="2" t="s">
        <v>55</v>
      </c>
      <c r="P2778" s="2" t="s">
        <v>139</v>
      </c>
      <c r="Q2778" s="2" t="s">
        <v>217</v>
      </c>
      <c r="R2778" s="2" t="s">
        <v>128</v>
      </c>
      <c r="S2778" s="2" t="s">
        <v>555</v>
      </c>
      <c r="T2778" s="10">
        <v>36.64</v>
      </c>
      <c r="U2778" s="11">
        <v>0.74299999999999999</v>
      </c>
      <c r="V2778" s="12">
        <f>T2778*U2778</f>
        <v>27.223520000000001</v>
      </c>
      <c r="W2778" s="13">
        <v>0.09</v>
      </c>
      <c r="X2778" s="12">
        <f>V2778-(V2778/(1+W2778))</f>
        <v>2.2478135779816526</v>
      </c>
      <c r="Y2778" s="12">
        <f>V2778-X2778</f>
        <v>24.975706422018348</v>
      </c>
      <c r="Z2778" s="14">
        <v>35</v>
      </c>
      <c r="AA2778" s="2" t="str">
        <f>IF(V2778&gt;Z2778,"Yes","No")</f>
        <v>No</v>
      </c>
      <c r="AB2778" s="12">
        <f>V2778-Z2778</f>
        <v>-7.7764799999999994</v>
      </c>
      <c r="AC2778" s="15" t="s">
        <v>130</v>
      </c>
      <c r="AD2778" s="15" t="s">
        <v>131</v>
      </c>
      <c r="AE2778" s="15" t="s">
        <v>132</v>
      </c>
      <c r="AF2778" s="12">
        <f>IF(AG2778="Rejected",0,IF(R2778="Corporate Card",0,V2778))</f>
        <v>0</v>
      </c>
      <c r="AG2778" s="15" t="s">
        <v>133</v>
      </c>
      <c r="AH2778" s="16">
        <v>45985</v>
      </c>
      <c r="AI2778" s="16">
        <v>45989</v>
      </c>
      <c r="AJ2778" s="16">
        <v>45995</v>
      </c>
      <c r="AK2778" s="17">
        <f>IF(AJ2778="","",AJ2778-AH2778)</f>
        <v>10</v>
      </c>
    </row>
    <row r="2779" spans="1:37">
      <c r="A2779" s="2" t="s">
        <v>3286</v>
      </c>
      <c r="B2779" s="2" t="s">
        <v>648</v>
      </c>
      <c r="C2779" s="2" t="s">
        <v>173</v>
      </c>
      <c r="D2779" s="2" t="s">
        <v>171</v>
      </c>
      <c r="E2779" s="2" t="s">
        <v>649</v>
      </c>
      <c r="F2779" s="2" t="s">
        <v>313</v>
      </c>
      <c r="G2779" s="2" t="s">
        <v>3275</v>
      </c>
      <c r="H2779" s="2" t="s">
        <v>193</v>
      </c>
      <c r="I2779" s="2" t="s">
        <v>553</v>
      </c>
      <c r="J2779" s="2" t="s">
        <v>553</v>
      </c>
      <c r="K2779" s="9">
        <v>45978</v>
      </c>
      <c r="L2779" s="9">
        <v>45982</v>
      </c>
      <c r="M2779" s="9">
        <v>45981</v>
      </c>
      <c r="N2779" s="2" t="s">
        <v>3124</v>
      </c>
      <c r="O2779" s="2" t="s">
        <v>54</v>
      </c>
      <c r="P2779" s="2" t="s">
        <v>139</v>
      </c>
      <c r="Q2779" s="2" t="s">
        <v>214</v>
      </c>
      <c r="R2779" s="2" t="s">
        <v>128</v>
      </c>
      <c r="S2779" s="2" t="s">
        <v>555</v>
      </c>
      <c r="T2779" s="10">
        <v>25.69</v>
      </c>
      <c r="U2779" s="11">
        <v>0.74299999999999999</v>
      </c>
      <c r="V2779" s="12">
        <f>T2779*U2779</f>
        <v>19.087669999999999</v>
      </c>
      <c r="W2779" s="13">
        <v>0.09</v>
      </c>
      <c r="X2779" s="12">
        <f>V2779-(V2779/(1+W2779))</f>
        <v>1.5760461467889932</v>
      </c>
      <c r="Y2779" s="12">
        <f>V2779-X2779</f>
        <v>17.511623853211006</v>
      </c>
      <c r="Z2779" s="14">
        <v>25</v>
      </c>
      <c r="AA2779" s="2" t="str">
        <f>IF(V2779&gt;Z2779,"Yes","No")</f>
        <v>No</v>
      </c>
      <c r="AB2779" s="12">
        <f>V2779-Z2779</f>
        <v>-5.9123300000000008</v>
      </c>
      <c r="AC2779" s="15" t="s">
        <v>130</v>
      </c>
      <c r="AD2779" s="15" t="s">
        <v>131</v>
      </c>
      <c r="AE2779" s="15" t="s">
        <v>132</v>
      </c>
      <c r="AF2779" s="12">
        <f>IF(AG2779="Rejected",0,IF(R2779="Corporate Card",0,V2779))</f>
        <v>0</v>
      </c>
      <c r="AG2779" s="15" t="s">
        <v>133</v>
      </c>
      <c r="AH2779" s="16">
        <v>45985</v>
      </c>
      <c r="AI2779" s="16">
        <v>45989</v>
      </c>
      <c r="AJ2779" s="16">
        <v>45995</v>
      </c>
      <c r="AK2779" s="17">
        <f>IF(AJ2779="","",AJ2779-AH2779)</f>
        <v>10</v>
      </c>
    </row>
    <row r="2780" spans="1:37">
      <c r="A2780" s="2" t="s">
        <v>3287</v>
      </c>
      <c r="B2780" s="2" t="s">
        <v>648</v>
      </c>
      <c r="C2780" s="2" t="s">
        <v>173</v>
      </c>
      <c r="D2780" s="2" t="s">
        <v>171</v>
      </c>
      <c r="E2780" s="2" t="s">
        <v>649</v>
      </c>
      <c r="F2780" s="2" t="s">
        <v>313</v>
      </c>
      <c r="G2780" s="2" t="s">
        <v>3275</v>
      </c>
      <c r="H2780" s="2" t="s">
        <v>193</v>
      </c>
      <c r="I2780" s="2" t="s">
        <v>553</v>
      </c>
      <c r="J2780" s="2" t="s">
        <v>553</v>
      </c>
      <c r="K2780" s="9">
        <v>45978</v>
      </c>
      <c r="L2780" s="9">
        <v>45982</v>
      </c>
      <c r="M2780" s="9">
        <v>45981</v>
      </c>
      <c r="N2780" s="2" t="s">
        <v>3124</v>
      </c>
      <c r="O2780" s="2" t="s">
        <v>55</v>
      </c>
      <c r="P2780" s="2" t="s">
        <v>139</v>
      </c>
      <c r="Q2780" s="2" t="s">
        <v>187</v>
      </c>
      <c r="R2780" s="2" t="s">
        <v>128</v>
      </c>
      <c r="S2780" s="2" t="s">
        <v>555</v>
      </c>
      <c r="T2780" s="10">
        <v>27.2</v>
      </c>
      <c r="U2780" s="11">
        <v>0.74299999999999999</v>
      </c>
      <c r="V2780" s="12">
        <f>T2780*U2780</f>
        <v>20.209599999999998</v>
      </c>
      <c r="W2780" s="13">
        <v>0.09</v>
      </c>
      <c r="X2780" s="12">
        <f>V2780-(V2780/(1+W2780))</f>
        <v>1.6686825688073412</v>
      </c>
      <c r="Y2780" s="12">
        <f>V2780-X2780</f>
        <v>18.540917431192657</v>
      </c>
      <c r="Z2780" s="14">
        <v>35</v>
      </c>
      <c r="AA2780" s="2" t="str">
        <f>IF(V2780&gt;Z2780,"Yes","No")</f>
        <v>No</v>
      </c>
      <c r="AB2780" s="12">
        <f>V2780-Z2780</f>
        <v>-14.790400000000002</v>
      </c>
      <c r="AC2780" s="15" t="s">
        <v>130</v>
      </c>
      <c r="AD2780" s="15" t="s">
        <v>131</v>
      </c>
      <c r="AE2780" s="15" t="s">
        <v>132</v>
      </c>
      <c r="AF2780" s="12">
        <f>IF(AG2780="Rejected",0,IF(R2780="Corporate Card",0,V2780))</f>
        <v>0</v>
      </c>
      <c r="AG2780" s="15" t="s">
        <v>133</v>
      </c>
      <c r="AH2780" s="16">
        <v>45985</v>
      </c>
      <c r="AI2780" s="16">
        <v>45989</v>
      </c>
      <c r="AJ2780" s="16">
        <v>45995</v>
      </c>
      <c r="AK2780" s="17">
        <f>IF(AJ2780="","",AJ2780-AH2780)</f>
        <v>10</v>
      </c>
    </row>
    <row r="2781" spans="1:37">
      <c r="A2781" s="2" t="s">
        <v>3288</v>
      </c>
      <c r="B2781" s="2" t="s">
        <v>648</v>
      </c>
      <c r="C2781" s="2" t="s">
        <v>173</v>
      </c>
      <c r="D2781" s="2" t="s">
        <v>171</v>
      </c>
      <c r="E2781" s="2" t="s">
        <v>649</v>
      </c>
      <c r="F2781" s="2" t="s">
        <v>313</v>
      </c>
      <c r="G2781" s="2" t="s">
        <v>3275</v>
      </c>
      <c r="H2781" s="2" t="s">
        <v>193</v>
      </c>
      <c r="I2781" s="2" t="s">
        <v>553</v>
      </c>
      <c r="J2781" s="2" t="s">
        <v>553</v>
      </c>
      <c r="K2781" s="9">
        <v>45978</v>
      </c>
      <c r="L2781" s="9">
        <v>45982</v>
      </c>
      <c r="M2781" s="9">
        <v>45982</v>
      </c>
      <c r="N2781" s="2" t="s">
        <v>3124</v>
      </c>
      <c r="O2781" s="2" t="s">
        <v>54</v>
      </c>
      <c r="P2781" s="2" t="s">
        <v>139</v>
      </c>
      <c r="Q2781" s="2" t="s">
        <v>148</v>
      </c>
      <c r="R2781" s="2" t="s">
        <v>137</v>
      </c>
      <c r="S2781" s="2" t="s">
        <v>555</v>
      </c>
      <c r="T2781" s="10">
        <v>42.84</v>
      </c>
      <c r="U2781" s="11">
        <v>0.74299999999999999</v>
      </c>
      <c r="V2781" s="12">
        <f>T2781*U2781</f>
        <v>31.830120000000001</v>
      </c>
      <c r="W2781" s="13">
        <v>0.09</v>
      </c>
      <c r="X2781" s="12">
        <f>V2781-(V2781/(1+W2781))</f>
        <v>2.6281750458715614</v>
      </c>
      <c r="Y2781" s="12">
        <f>V2781-X2781</f>
        <v>29.201944954128439</v>
      </c>
      <c r="Z2781" s="14">
        <v>25</v>
      </c>
      <c r="AA2781" s="2" t="str">
        <f>IF(V2781&gt;Z2781,"Yes","No")</f>
        <v>Yes</v>
      </c>
      <c r="AB2781" s="12">
        <f>V2781-Z2781</f>
        <v>6.8301200000000009</v>
      </c>
      <c r="AC2781" s="15" t="s">
        <v>130</v>
      </c>
      <c r="AD2781" s="15" t="s">
        <v>131</v>
      </c>
      <c r="AE2781" s="15" t="s">
        <v>132</v>
      </c>
      <c r="AF2781" s="12">
        <f>IF(AG2781="Rejected",0,IF(R2781="Corporate Card",0,V2781))</f>
        <v>31.830120000000001</v>
      </c>
      <c r="AG2781" s="15" t="s">
        <v>133</v>
      </c>
      <c r="AH2781" s="16">
        <v>45985</v>
      </c>
      <c r="AI2781" s="16">
        <v>45989</v>
      </c>
      <c r="AJ2781" s="16">
        <v>45995</v>
      </c>
      <c r="AK2781" s="17">
        <f>IF(AJ2781="","",AJ2781-AH2781)</f>
        <v>10</v>
      </c>
    </row>
    <row r="2782" spans="1:37">
      <c r="A2782" s="2" t="s">
        <v>3289</v>
      </c>
      <c r="B2782" s="2" t="s">
        <v>648</v>
      </c>
      <c r="C2782" s="2" t="s">
        <v>173</v>
      </c>
      <c r="D2782" s="2" t="s">
        <v>171</v>
      </c>
      <c r="E2782" s="2" t="s">
        <v>649</v>
      </c>
      <c r="F2782" s="2" t="s">
        <v>313</v>
      </c>
      <c r="G2782" s="2" t="s">
        <v>3275</v>
      </c>
      <c r="H2782" s="2" t="s">
        <v>193</v>
      </c>
      <c r="I2782" s="2" t="s">
        <v>553</v>
      </c>
      <c r="J2782" s="2" t="s">
        <v>553</v>
      </c>
      <c r="K2782" s="9">
        <v>45978</v>
      </c>
      <c r="L2782" s="9">
        <v>45982</v>
      </c>
      <c r="M2782" s="9">
        <v>45982</v>
      </c>
      <c r="N2782" s="2" t="s">
        <v>3124</v>
      </c>
      <c r="O2782" s="2" t="s">
        <v>56</v>
      </c>
      <c r="P2782" s="2" t="s">
        <v>245</v>
      </c>
      <c r="Q2782" s="2" t="s">
        <v>227</v>
      </c>
      <c r="R2782" s="2" t="s">
        <v>149</v>
      </c>
      <c r="S2782" s="2" t="s">
        <v>555</v>
      </c>
      <c r="T2782" s="10">
        <v>84.27</v>
      </c>
      <c r="U2782" s="11">
        <v>0.74299999999999999</v>
      </c>
      <c r="V2782" s="12">
        <f>T2782*U2782</f>
        <v>62.612609999999997</v>
      </c>
      <c r="W2782" s="13">
        <v>0.09</v>
      </c>
      <c r="X2782" s="12">
        <f>V2782-(V2782/(1+W2782))</f>
        <v>5.1698485321100947</v>
      </c>
      <c r="Y2782" s="12">
        <f>V2782-X2782</f>
        <v>57.442761467889902</v>
      </c>
      <c r="Z2782" s="14">
        <v>75</v>
      </c>
      <c r="AA2782" s="2" t="str">
        <f>IF(V2782&gt;Z2782,"Yes","No")</f>
        <v>No</v>
      </c>
      <c r="AB2782" s="12">
        <f>V2782-Z2782</f>
        <v>-12.387390000000003</v>
      </c>
      <c r="AC2782" s="15" t="s">
        <v>130</v>
      </c>
      <c r="AD2782" s="15" t="s">
        <v>131</v>
      </c>
      <c r="AE2782" s="15" t="s">
        <v>132</v>
      </c>
      <c r="AF2782" s="12">
        <f>IF(AG2782="Rejected",0,IF(R2782="Corporate Card",0,V2782))</f>
        <v>62.612609999999997</v>
      </c>
      <c r="AG2782" s="15" t="s">
        <v>133</v>
      </c>
      <c r="AH2782" s="16">
        <v>45985</v>
      </c>
      <c r="AI2782" s="16">
        <v>45989</v>
      </c>
      <c r="AJ2782" s="16">
        <v>45995</v>
      </c>
      <c r="AK2782" s="17">
        <f>IF(AJ2782="","",AJ2782-AH2782)</f>
        <v>10</v>
      </c>
    </row>
    <row r="2783" spans="1:37">
      <c r="A2783" s="2" t="s">
        <v>3290</v>
      </c>
      <c r="B2783" s="2" t="s">
        <v>616</v>
      </c>
      <c r="C2783" s="2" t="s">
        <v>252</v>
      </c>
      <c r="D2783" s="2" t="s">
        <v>250</v>
      </c>
      <c r="E2783" s="2" t="s">
        <v>617</v>
      </c>
      <c r="F2783" s="2" t="s">
        <v>510</v>
      </c>
      <c r="G2783" s="2" t="s">
        <v>3291</v>
      </c>
      <c r="H2783" s="2" t="s">
        <v>417</v>
      </c>
      <c r="I2783" s="2" t="s">
        <v>255</v>
      </c>
      <c r="J2783" s="2" t="s">
        <v>256</v>
      </c>
      <c r="K2783" s="9">
        <v>45984</v>
      </c>
      <c r="L2783" s="9">
        <v>45989</v>
      </c>
      <c r="M2783" s="9">
        <v>45984</v>
      </c>
      <c r="N2783" s="2" t="s">
        <v>3124</v>
      </c>
      <c r="O2783" s="2" t="s">
        <v>52</v>
      </c>
      <c r="P2783" s="2" t="s">
        <v>257</v>
      </c>
      <c r="Q2783" s="2" t="s">
        <v>127</v>
      </c>
      <c r="R2783" s="2" t="s">
        <v>149</v>
      </c>
      <c r="S2783" s="2" t="s">
        <v>259</v>
      </c>
      <c r="T2783" s="10">
        <v>152623</v>
      </c>
      <c r="U2783" s="11">
        <v>6.5500000000000003E-3</v>
      </c>
      <c r="V2783" s="12">
        <f>T2783*U2783</f>
        <v>999.68065000000001</v>
      </c>
      <c r="W2783" s="13">
        <v>0</v>
      </c>
      <c r="X2783" s="12">
        <f>V2783-(V2783/(1+W2783))</f>
        <v>0</v>
      </c>
      <c r="Y2783" s="12">
        <f>V2783-X2783</f>
        <v>999.68065000000001</v>
      </c>
      <c r="Z2783" s="14">
        <v>1400</v>
      </c>
      <c r="AA2783" s="2" t="str">
        <f>IF(V2783&gt;Z2783,"Yes","No")</f>
        <v>No</v>
      </c>
      <c r="AB2783" s="12">
        <f>V2783-Z2783</f>
        <v>-400.31934999999999</v>
      </c>
      <c r="AC2783" s="15" t="s">
        <v>130</v>
      </c>
      <c r="AD2783" s="15" t="s">
        <v>131</v>
      </c>
      <c r="AE2783" s="15" t="s">
        <v>132</v>
      </c>
      <c r="AF2783" s="12">
        <f>IF(AG2783="Rejected",0,IF(R2783="Corporate Card",0,V2783))</f>
        <v>999.68065000000001</v>
      </c>
      <c r="AG2783" s="15" t="s">
        <v>133</v>
      </c>
      <c r="AH2783" s="16">
        <v>45994</v>
      </c>
      <c r="AI2783" s="16">
        <v>45998</v>
      </c>
      <c r="AJ2783" s="16">
        <v>46012</v>
      </c>
      <c r="AK2783" s="17">
        <f>IF(AJ2783="","",AJ2783-AH2783)</f>
        <v>18</v>
      </c>
    </row>
    <row r="2784" spans="1:37">
      <c r="A2784" s="2" t="s">
        <v>3292</v>
      </c>
      <c r="B2784" s="2" t="s">
        <v>616</v>
      </c>
      <c r="C2784" s="2" t="s">
        <v>252</v>
      </c>
      <c r="D2784" s="2" t="s">
        <v>250</v>
      </c>
      <c r="E2784" s="2" t="s">
        <v>617</v>
      </c>
      <c r="F2784" s="2" t="s">
        <v>510</v>
      </c>
      <c r="G2784" s="2" t="s">
        <v>3291</v>
      </c>
      <c r="H2784" s="2" t="s">
        <v>417</v>
      </c>
      <c r="I2784" s="2" t="s">
        <v>255</v>
      </c>
      <c r="J2784" s="2" t="s">
        <v>256</v>
      </c>
      <c r="K2784" s="9">
        <v>45984</v>
      </c>
      <c r="L2784" s="9">
        <v>45989</v>
      </c>
      <c r="M2784" s="9">
        <v>45984</v>
      </c>
      <c r="N2784" s="2" t="s">
        <v>3124</v>
      </c>
      <c r="O2784" s="2" t="s">
        <v>54</v>
      </c>
      <c r="P2784" s="2" t="s">
        <v>139</v>
      </c>
      <c r="Q2784" s="2" t="s">
        <v>140</v>
      </c>
      <c r="R2784" s="2" t="s">
        <v>128</v>
      </c>
      <c r="S2784" s="2" t="s">
        <v>259</v>
      </c>
      <c r="T2784" s="10">
        <v>2733</v>
      </c>
      <c r="U2784" s="11">
        <v>6.5500000000000003E-3</v>
      </c>
      <c r="V2784" s="12">
        <f>T2784*U2784</f>
        <v>17.901150000000001</v>
      </c>
      <c r="W2784" s="13">
        <v>0.1</v>
      </c>
      <c r="X2784" s="12">
        <f>V2784-(V2784/(1+W2784))</f>
        <v>1.6273772727272728</v>
      </c>
      <c r="Y2784" s="12">
        <f>V2784-X2784</f>
        <v>16.273772727272728</v>
      </c>
      <c r="Z2784" s="14">
        <v>25</v>
      </c>
      <c r="AA2784" s="2" t="str">
        <f>IF(V2784&gt;Z2784,"Yes","No")</f>
        <v>No</v>
      </c>
      <c r="AB2784" s="12">
        <f>V2784-Z2784</f>
        <v>-7.0988499999999988</v>
      </c>
      <c r="AC2784" s="15" t="s">
        <v>130</v>
      </c>
      <c r="AD2784" s="15" t="s">
        <v>131</v>
      </c>
      <c r="AE2784" s="15" t="s">
        <v>132</v>
      </c>
      <c r="AF2784" s="12">
        <f>IF(AG2784="Rejected",0,IF(R2784="Corporate Card",0,V2784))</f>
        <v>0</v>
      </c>
      <c r="AG2784" s="15" t="s">
        <v>133</v>
      </c>
      <c r="AH2784" s="16">
        <v>45994</v>
      </c>
      <c r="AI2784" s="16">
        <v>45998</v>
      </c>
      <c r="AJ2784" s="16">
        <v>46012</v>
      </c>
      <c r="AK2784" s="17">
        <f>IF(AJ2784="","",AJ2784-AH2784)</f>
        <v>18</v>
      </c>
    </row>
    <row r="2785" spans="1:37">
      <c r="A2785" s="2" t="s">
        <v>3293</v>
      </c>
      <c r="B2785" s="2" t="s">
        <v>616</v>
      </c>
      <c r="C2785" s="2" t="s">
        <v>252</v>
      </c>
      <c r="D2785" s="2" t="s">
        <v>250</v>
      </c>
      <c r="E2785" s="2" t="s">
        <v>617</v>
      </c>
      <c r="F2785" s="2" t="s">
        <v>510</v>
      </c>
      <c r="G2785" s="2" t="s">
        <v>3291</v>
      </c>
      <c r="H2785" s="2" t="s">
        <v>417</v>
      </c>
      <c r="I2785" s="2" t="s">
        <v>255</v>
      </c>
      <c r="J2785" s="2" t="s">
        <v>256</v>
      </c>
      <c r="K2785" s="9">
        <v>45984</v>
      </c>
      <c r="L2785" s="9">
        <v>45989</v>
      </c>
      <c r="M2785" s="9">
        <v>45984</v>
      </c>
      <c r="N2785" s="2" t="s">
        <v>3124</v>
      </c>
      <c r="O2785" s="2" t="s">
        <v>56</v>
      </c>
      <c r="P2785" s="2" t="s">
        <v>151</v>
      </c>
      <c r="Q2785" s="2" t="s">
        <v>166</v>
      </c>
      <c r="R2785" s="2" t="s">
        <v>149</v>
      </c>
      <c r="S2785" s="2" t="s">
        <v>259</v>
      </c>
      <c r="T2785" s="10">
        <v>11313</v>
      </c>
      <c r="U2785" s="11">
        <v>6.5500000000000003E-3</v>
      </c>
      <c r="V2785" s="12">
        <f>T2785*U2785</f>
        <v>74.100149999999999</v>
      </c>
      <c r="W2785" s="13">
        <v>0.1</v>
      </c>
      <c r="X2785" s="12">
        <f>V2785-(V2785/(1+W2785))</f>
        <v>6.7363772727272817</v>
      </c>
      <c r="Y2785" s="12">
        <f>V2785-X2785</f>
        <v>67.363772727272718</v>
      </c>
      <c r="Z2785" s="14">
        <v>75</v>
      </c>
      <c r="AA2785" s="2" t="str">
        <f>IF(V2785&gt;Z2785,"Yes","No")</f>
        <v>No</v>
      </c>
      <c r="AB2785" s="12">
        <f>V2785-Z2785</f>
        <v>-0.8998500000000007</v>
      </c>
      <c r="AC2785" s="15" t="s">
        <v>130</v>
      </c>
      <c r="AD2785" s="15" t="s">
        <v>131</v>
      </c>
      <c r="AE2785" s="15" t="s">
        <v>132</v>
      </c>
      <c r="AF2785" s="12">
        <f>IF(AG2785="Rejected",0,IF(R2785="Corporate Card",0,V2785))</f>
        <v>74.100149999999999</v>
      </c>
      <c r="AG2785" s="15" t="s">
        <v>133</v>
      </c>
      <c r="AH2785" s="16">
        <v>45994</v>
      </c>
      <c r="AI2785" s="16">
        <v>45998</v>
      </c>
      <c r="AJ2785" s="16">
        <v>46012</v>
      </c>
      <c r="AK2785" s="17">
        <f>IF(AJ2785="","",AJ2785-AH2785)</f>
        <v>18</v>
      </c>
    </row>
    <row r="2786" spans="1:37">
      <c r="A2786" s="2" t="s">
        <v>3294</v>
      </c>
      <c r="B2786" s="2" t="s">
        <v>616</v>
      </c>
      <c r="C2786" s="2" t="s">
        <v>252</v>
      </c>
      <c r="D2786" s="2" t="s">
        <v>250</v>
      </c>
      <c r="E2786" s="2" t="s">
        <v>617</v>
      </c>
      <c r="F2786" s="2" t="s">
        <v>510</v>
      </c>
      <c r="G2786" s="2" t="s">
        <v>3291</v>
      </c>
      <c r="H2786" s="2" t="s">
        <v>417</v>
      </c>
      <c r="I2786" s="2" t="s">
        <v>255</v>
      </c>
      <c r="J2786" s="2" t="s">
        <v>256</v>
      </c>
      <c r="K2786" s="9">
        <v>45984</v>
      </c>
      <c r="L2786" s="9">
        <v>45989</v>
      </c>
      <c r="M2786" s="9">
        <v>45984</v>
      </c>
      <c r="N2786" s="2" t="s">
        <v>3124</v>
      </c>
      <c r="O2786" s="2" t="s">
        <v>55</v>
      </c>
      <c r="P2786" s="2" t="s">
        <v>139</v>
      </c>
      <c r="Q2786" s="2" t="s">
        <v>161</v>
      </c>
      <c r="R2786" s="2" t="s">
        <v>149</v>
      </c>
      <c r="S2786" s="2" t="s">
        <v>259</v>
      </c>
      <c r="T2786" s="10">
        <v>4306</v>
      </c>
      <c r="U2786" s="11">
        <v>6.5500000000000003E-3</v>
      </c>
      <c r="V2786" s="12">
        <f>T2786*U2786</f>
        <v>28.2043</v>
      </c>
      <c r="W2786" s="13">
        <v>0.1</v>
      </c>
      <c r="X2786" s="12">
        <f>V2786-(V2786/(1+W2786))</f>
        <v>2.564027272727273</v>
      </c>
      <c r="Y2786" s="12">
        <f>V2786-X2786</f>
        <v>25.640272727272727</v>
      </c>
      <c r="Z2786" s="14">
        <v>35</v>
      </c>
      <c r="AA2786" s="2" t="str">
        <f>IF(V2786&gt;Z2786,"Yes","No")</f>
        <v>No</v>
      </c>
      <c r="AB2786" s="12">
        <f>V2786-Z2786</f>
        <v>-6.7957000000000001</v>
      </c>
      <c r="AC2786" s="15" t="s">
        <v>130</v>
      </c>
      <c r="AD2786" s="15" t="s">
        <v>131</v>
      </c>
      <c r="AE2786" s="15" t="s">
        <v>132</v>
      </c>
      <c r="AF2786" s="12">
        <f>IF(AG2786="Rejected",0,IF(R2786="Corporate Card",0,V2786))</f>
        <v>28.2043</v>
      </c>
      <c r="AG2786" s="15" t="s">
        <v>133</v>
      </c>
      <c r="AH2786" s="16">
        <v>45994</v>
      </c>
      <c r="AI2786" s="16">
        <v>45998</v>
      </c>
      <c r="AJ2786" s="16">
        <v>46012</v>
      </c>
      <c r="AK2786" s="17">
        <f>IF(AJ2786="","",AJ2786-AH2786)</f>
        <v>18</v>
      </c>
    </row>
    <row r="2787" spans="1:37">
      <c r="A2787" s="2" t="s">
        <v>3295</v>
      </c>
      <c r="B2787" s="2" t="s">
        <v>616</v>
      </c>
      <c r="C2787" s="2" t="s">
        <v>252</v>
      </c>
      <c r="D2787" s="2" t="s">
        <v>250</v>
      </c>
      <c r="E2787" s="2" t="s">
        <v>617</v>
      </c>
      <c r="F2787" s="2" t="s">
        <v>510</v>
      </c>
      <c r="G2787" s="2" t="s">
        <v>3291</v>
      </c>
      <c r="H2787" s="2" t="s">
        <v>417</v>
      </c>
      <c r="I2787" s="2" t="s">
        <v>255</v>
      </c>
      <c r="J2787" s="2" t="s">
        <v>256</v>
      </c>
      <c r="K2787" s="9">
        <v>45984</v>
      </c>
      <c r="L2787" s="9">
        <v>45989</v>
      </c>
      <c r="M2787" s="9">
        <v>45984</v>
      </c>
      <c r="N2787" s="2" t="s">
        <v>3124</v>
      </c>
      <c r="O2787" s="2" t="s">
        <v>66</v>
      </c>
      <c r="P2787" s="2" t="s">
        <v>489</v>
      </c>
      <c r="Q2787" s="2" t="s">
        <v>947</v>
      </c>
      <c r="R2787" s="2" t="s">
        <v>128</v>
      </c>
      <c r="S2787" s="2" t="s">
        <v>259</v>
      </c>
      <c r="T2787" s="10">
        <v>32320</v>
      </c>
      <c r="U2787" s="11">
        <v>6.5500000000000003E-3</v>
      </c>
      <c r="V2787" s="12">
        <f>T2787*U2787</f>
        <v>211.696</v>
      </c>
      <c r="W2787" s="13">
        <v>0</v>
      </c>
      <c r="X2787" s="12">
        <f>V2787-(V2787/(1+W2787))</f>
        <v>0</v>
      </c>
      <c r="Y2787" s="12">
        <f>V2787-X2787</f>
        <v>211.696</v>
      </c>
      <c r="Z2787" s="14">
        <v>250</v>
      </c>
      <c r="AA2787" s="2" t="str">
        <f>IF(V2787&gt;Z2787,"Yes","No")</f>
        <v>No</v>
      </c>
      <c r="AB2787" s="12">
        <f>V2787-Z2787</f>
        <v>-38.304000000000002</v>
      </c>
      <c r="AC2787" s="15" t="s">
        <v>130</v>
      </c>
      <c r="AD2787" s="15" t="s">
        <v>131</v>
      </c>
      <c r="AE2787" s="15" t="s">
        <v>132</v>
      </c>
      <c r="AF2787" s="12">
        <f>IF(AG2787="Rejected",0,IF(R2787="Corporate Card",0,V2787))</f>
        <v>0</v>
      </c>
      <c r="AG2787" s="15" t="s">
        <v>133</v>
      </c>
      <c r="AH2787" s="16">
        <v>45994</v>
      </c>
      <c r="AI2787" s="16">
        <v>45998</v>
      </c>
      <c r="AJ2787" s="16">
        <v>46012</v>
      </c>
      <c r="AK2787" s="17">
        <f>IF(AJ2787="","",AJ2787-AH2787)</f>
        <v>18</v>
      </c>
    </row>
    <row r="2788" spans="1:37">
      <c r="A2788" s="2" t="s">
        <v>3296</v>
      </c>
      <c r="B2788" s="2" t="s">
        <v>616</v>
      </c>
      <c r="C2788" s="2" t="s">
        <v>252</v>
      </c>
      <c r="D2788" s="2" t="s">
        <v>250</v>
      </c>
      <c r="E2788" s="2" t="s">
        <v>617</v>
      </c>
      <c r="F2788" s="2" t="s">
        <v>510</v>
      </c>
      <c r="G2788" s="2" t="s">
        <v>3291</v>
      </c>
      <c r="H2788" s="2" t="s">
        <v>417</v>
      </c>
      <c r="I2788" s="2" t="s">
        <v>255</v>
      </c>
      <c r="J2788" s="2" t="s">
        <v>256</v>
      </c>
      <c r="K2788" s="9">
        <v>45984</v>
      </c>
      <c r="L2788" s="9">
        <v>45989</v>
      </c>
      <c r="M2788" s="9">
        <v>45985</v>
      </c>
      <c r="N2788" s="2" t="s">
        <v>3124</v>
      </c>
      <c r="O2788" s="2" t="s">
        <v>60</v>
      </c>
      <c r="P2788" s="2" t="s">
        <v>1677</v>
      </c>
      <c r="Q2788" s="2" t="s">
        <v>955</v>
      </c>
      <c r="R2788" s="2" t="s">
        <v>128</v>
      </c>
      <c r="S2788" s="2" t="s">
        <v>259</v>
      </c>
      <c r="T2788" s="10">
        <v>61106</v>
      </c>
      <c r="U2788" s="11">
        <v>6.5500000000000003E-3</v>
      </c>
      <c r="V2788" s="12">
        <f>T2788*U2788</f>
        <v>400.24430000000001</v>
      </c>
      <c r="W2788" s="13">
        <v>0.1</v>
      </c>
      <c r="X2788" s="12">
        <f>V2788-(V2788/(1+W2788))</f>
        <v>36.385845454545461</v>
      </c>
      <c r="Y2788" s="12">
        <f>V2788-X2788</f>
        <v>363.85845454545455</v>
      </c>
      <c r="Z2788" s="14">
        <v>600</v>
      </c>
      <c r="AA2788" s="2" t="str">
        <f>IF(V2788&gt;Z2788,"Yes","No")</f>
        <v>No</v>
      </c>
      <c r="AB2788" s="12">
        <f>V2788-Z2788</f>
        <v>-199.75569999999999</v>
      </c>
      <c r="AC2788" s="15" t="s">
        <v>130</v>
      </c>
      <c r="AD2788" s="15" t="s">
        <v>131</v>
      </c>
      <c r="AE2788" s="15" t="s">
        <v>132</v>
      </c>
      <c r="AF2788" s="12">
        <f>IF(AG2788="Rejected",0,IF(R2788="Corporate Card",0,V2788))</f>
        <v>0</v>
      </c>
      <c r="AG2788" s="15" t="s">
        <v>133</v>
      </c>
      <c r="AH2788" s="16">
        <v>45994</v>
      </c>
      <c r="AI2788" s="16">
        <v>45998</v>
      </c>
      <c r="AJ2788" s="16">
        <v>46012</v>
      </c>
      <c r="AK2788" s="17">
        <f>IF(AJ2788="","",AJ2788-AH2788)</f>
        <v>18</v>
      </c>
    </row>
    <row r="2789" spans="1:37">
      <c r="A2789" s="2" t="s">
        <v>3297</v>
      </c>
      <c r="B2789" s="2" t="s">
        <v>616</v>
      </c>
      <c r="C2789" s="2" t="s">
        <v>252</v>
      </c>
      <c r="D2789" s="2" t="s">
        <v>250</v>
      </c>
      <c r="E2789" s="2" t="s">
        <v>617</v>
      </c>
      <c r="F2789" s="2" t="s">
        <v>510</v>
      </c>
      <c r="G2789" s="2" t="s">
        <v>3291</v>
      </c>
      <c r="H2789" s="2" t="s">
        <v>417</v>
      </c>
      <c r="I2789" s="2" t="s">
        <v>255</v>
      </c>
      <c r="J2789" s="2" t="s">
        <v>256</v>
      </c>
      <c r="K2789" s="9">
        <v>45984</v>
      </c>
      <c r="L2789" s="9">
        <v>45989</v>
      </c>
      <c r="M2789" s="9">
        <v>45985</v>
      </c>
      <c r="N2789" s="2" t="s">
        <v>3124</v>
      </c>
      <c r="O2789" s="2" t="s">
        <v>59</v>
      </c>
      <c r="P2789" s="2" t="s">
        <v>301</v>
      </c>
      <c r="Q2789" s="2" t="s">
        <v>581</v>
      </c>
      <c r="R2789" s="2" t="s">
        <v>128</v>
      </c>
      <c r="S2789" s="2" t="s">
        <v>259</v>
      </c>
      <c r="T2789" s="10">
        <v>14197</v>
      </c>
      <c r="U2789" s="11">
        <v>6.5500000000000003E-3</v>
      </c>
      <c r="V2789" s="12">
        <f>T2789*U2789</f>
        <v>92.990350000000007</v>
      </c>
      <c r="W2789" s="13">
        <v>0.1</v>
      </c>
      <c r="X2789" s="12">
        <f>V2789-(V2789/(1+W2789))</f>
        <v>8.4536681818181876</v>
      </c>
      <c r="Y2789" s="12">
        <f>V2789-X2789</f>
        <v>84.536681818181819</v>
      </c>
      <c r="Z2789" s="14">
        <v>150</v>
      </c>
      <c r="AA2789" s="2" t="str">
        <f>IF(V2789&gt;Z2789,"Yes","No")</f>
        <v>No</v>
      </c>
      <c r="AB2789" s="12">
        <f>V2789-Z2789</f>
        <v>-57.009649999999993</v>
      </c>
      <c r="AC2789" s="15" t="s">
        <v>130</v>
      </c>
      <c r="AD2789" s="15" t="s">
        <v>131</v>
      </c>
      <c r="AE2789" s="15" t="s">
        <v>132</v>
      </c>
      <c r="AF2789" s="12">
        <f>IF(AG2789="Rejected",0,IF(R2789="Corporate Card",0,V2789))</f>
        <v>0</v>
      </c>
      <c r="AG2789" s="15" t="s">
        <v>133</v>
      </c>
      <c r="AH2789" s="16">
        <v>45994</v>
      </c>
      <c r="AI2789" s="16">
        <v>45998</v>
      </c>
      <c r="AJ2789" s="16">
        <v>46012</v>
      </c>
      <c r="AK2789" s="17">
        <f>IF(AJ2789="","",AJ2789-AH2789)</f>
        <v>18</v>
      </c>
    </row>
    <row r="2790" spans="1:37">
      <c r="A2790" s="2" t="s">
        <v>3298</v>
      </c>
      <c r="B2790" s="2" t="s">
        <v>616</v>
      </c>
      <c r="C2790" s="2" t="s">
        <v>252</v>
      </c>
      <c r="D2790" s="2" t="s">
        <v>250</v>
      </c>
      <c r="E2790" s="2" t="s">
        <v>617</v>
      </c>
      <c r="F2790" s="2" t="s">
        <v>510</v>
      </c>
      <c r="G2790" s="2" t="s">
        <v>3291</v>
      </c>
      <c r="H2790" s="2" t="s">
        <v>417</v>
      </c>
      <c r="I2790" s="2" t="s">
        <v>255</v>
      </c>
      <c r="J2790" s="2" t="s">
        <v>256</v>
      </c>
      <c r="K2790" s="9">
        <v>45984</v>
      </c>
      <c r="L2790" s="9">
        <v>45989</v>
      </c>
      <c r="M2790" s="9">
        <v>45985</v>
      </c>
      <c r="N2790" s="2" t="s">
        <v>3124</v>
      </c>
      <c r="O2790" s="2" t="s">
        <v>53</v>
      </c>
      <c r="P2790" s="2" t="s">
        <v>271</v>
      </c>
      <c r="Q2790" s="2" t="s">
        <v>146</v>
      </c>
      <c r="R2790" s="2" t="s">
        <v>128</v>
      </c>
      <c r="S2790" s="2" t="s">
        <v>259</v>
      </c>
      <c r="T2790" s="10">
        <v>116433</v>
      </c>
      <c r="U2790" s="11">
        <v>6.5500000000000003E-3</v>
      </c>
      <c r="V2790" s="12">
        <f>T2790*U2790</f>
        <v>762.63615000000004</v>
      </c>
      <c r="W2790" s="13">
        <v>0.1</v>
      </c>
      <c r="X2790" s="12">
        <f>V2790-(V2790/(1+W2790))</f>
        <v>69.330559090909105</v>
      </c>
      <c r="Y2790" s="12">
        <f>V2790-X2790</f>
        <v>693.30559090909094</v>
      </c>
      <c r="Z2790" s="14">
        <v>1400</v>
      </c>
      <c r="AA2790" s="2" t="str">
        <f>IF(V2790&gt;Z2790,"Yes","No")</f>
        <v>No</v>
      </c>
      <c r="AB2790" s="12">
        <f>V2790-Z2790</f>
        <v>-637.36384999999996</v>
      </c>
      <c r="AC2790" s="15" t="s">
        <v>130</v>
      </c>
      <c r="AD2790" s="15" t="s">
        <v>131</v>
      </c>
      <c r="AE2790" s="15" t="s">
        <v>132</v>
      </c>
      <c r="AF2790" s="12">
        <f>IF(AG2790="Rejected",0,IF(R2790="Corporate Card",0,V2790))</f>
        <v>0</v>
      </c>
      <c r="AG2790" s="15" t="s">
        <v>133</v>
      </c>
      <c r="AH2790" s="16">
        <v>45994</v>
      </c>
      <c r="AI2790" s="16">
        <v>45998</v>
      </c>
      <c r="AJ2790" s="16">
        <v>46012</v>
      </c>
      <c r="AK2790" s="17">
        <f>IF(AJ2790="","",AJ2790-AH2790)</f>
        <v>18</v>
      </c>
    </row>
    <row r="2791" spans="1:37">
      <c r="A2791" s="2" t="s">
        <v>3299</v>
      </c>
      <c r="B2791" s="2" t="s">
        <v>616</v>
      </c>
      <c r="C2791" s="2" t="s">
        <v>252</v>
      </c>
      <c r="D2791" s="2" t="s">
        <v>250</v>
      </c>
      <c r="E2791" s="2" t="s">
        <v>617</v>
      </c>
      <c r="F2791" s="2" t="s">
        <v>510</v>
      </c>
      <c r="G2791" s="2" t="s">
        <v>3291</v>
      </c>
      <c r="H2791" s="2" t="s">
        <v>417</v>
      </c>
      <c r="I2791" s="2" t="s">
        <v>255</v>
      </c>
      <c r="J2791" s="2" t="s">
        <v>256</v>
      </c>
      <c r="K2791" s="9">
        <v>45984</v>
      </c>
      <c r="L2791" s="9">
        <v>45989</v>
      </c>
      <c r="M2791" s="9">
        <v>45985</v>
      </c>
      <c r="N2791" s="2" t="s">
        <v>3124</v>
      </c>
      <c r="O2791" s="2" t="s">
        <v>65</v>
      </c>
      <c r="P2791" s="2" t="s">
        <v>211</v>
      </c>
      <c r="Q2791" s="2" t="s">
        <v>460</v>
      </c>
      <c r="R2791" s="2" t="s">
        <v>128</v>
      </c>
      <c r="S2791" s="2" t="s">
        <v>259</v>
      </c>
      <c r="T2791" s="10">
        <v>7654</v>
      </c>
      <c r="U2791" s="11">
        <v>6.5500000000000003E-3</v>
      </c>
      <c r="V2791" s="12">
        <f>T2791*U2791</f>
        <v>50.133700000000005</v>
      </c>
      <c r="W2791" s="13">
        <v>0.1</v>
      </c>
      <c r="X2791" s="12">
        <f>V2791-(V2791/(1+W2791))</f>
        <v>4.5576090909090965</v>
      </c>
      <c r="Y2791" s="12">
        <f>V2791-X2791</f>
        <v>45.576090909090908</v>
      </c>
      <c r="Z2791" s="14">
        <v>55</v>
      </c>
      <c r="AA2791" s="2" t="str">
        <f>IF(V2791&gt;Z2791,"Yes","No")</f>
        <v>No</v>
      </c>
      <c r="AB2791" s="12">
        <f>V2791-Z2791</f>
        <v>-4.8662999999999954</v>
      </c>
      <c r="AC2791" s="15" t="s">
        <v>130</v>
      </c>
      <c r="AD2791" s="15" t="s">
        <v>131</v>
      </c>
      <c r="AE2791" s="15" t="s">
        <v>132</v>
      </c>
      <c r="AF2791" s="12">
        <f>IF(AG2791="Rejected",0,IF(R2791="Corporate Card",0,V2791))</f>
        <v>0</v>
      </c>
      <c r="AG2791" s="15" t="s">
        <v>133</v>
      </c>
      <c r="AH2791" s="16">
        <v>45994</v>
      </c>
      <c r="AI2791" s="16">
        <v>45998</v>
      </c>
      <c r="AJ2791" s="16">
        <v>46012</v>
      </c>
      <c r="AK2791" s="17">
        <f>IF(AJ2791="","",AJ2791-AH2791)</f>
        <v>18</v>
      </c>
    </row>
    <row r="2792" spans="1:37">
      <c r="A2792" s="2" t="s">
        <v>3300</v>
      </c>
      <c r="B2792" s="2" t="s">
        <v>616</v>
      </c>
      <c r="C2792" s="2" t="s">
        <v>252</v>
      </c>
      <c r="D2792" s="2" t="s">
        <v>250</v>
      </c>
      <c r="E2792" s="2" t="s">
        <v>617</v>
      </c>
      <c r="F2792" s="2" t="s">
        <v>510</v>
      </c>
      <c r="G2792" s="2" t="s">
        <v>3291</v>
      </c>
      <c r="H2792" s="2" t="s">
        <v>417</v>
      </c>
      <c r="I2792" s="2" t="s">
        <v>255</v>
      </c>
      <c r="J2792" s="2" t="s">
        <v>256</v>
      </c>
      <c r="K2792" s="9">
        <v>45984</v>
      </c>
      <c r="L2792" s="9">
        <v>45989</v>
      </c>
      <c r="M2792" s="9">
        <v>45985</v>
      </c>
      <c r="N2792" s="2" t="s">
        <v>3124</v>
      </c>
      <c r="O2792" s="2" t="s">
        <v>54</v>
      </c>
      <c r="P2792" s="2" t="s">
        <v>139</v>
      </c>
      <c r="Q2792" s="2" t="s">
        <v>140</v>
      </c>
      <c r="R2792" s="2" t="s">
        <v>149</v>
      </c>
      <c r="S2792" s="2" t="s">
        <v>259</v>
      </c>
      <c r="T2792" s="10">
        <v>1975</v>
      </c>
      <c r="U2792" s="11">
        <v>6.5500000000000003E-3</v>
      </c>
      <c r="V2792" s="12">
        <f>T2792*U2792</f>
        <v>12.936250000000001</v>
      </c>
      <c r="W2792" s="13">
        <v>0.1</v>
      </c>
      <c r="X2792" s="12">
        <f>V2792-(V2792/(1+W2792))</f>
        <v>1.1760227272727288</v>
      </c>
      <c r="Y2792" s="12">
        <f>V2792-X2792</f>
        <v>11.760227272727272</v>
      </c>
      <c r="Z2792" s="14">
        <v>25</v>
      </c>
      <c r="AA2792" s="2" t="str">
        <f>IF(V2792&gt;Z2792,"Yes","No")</f>
        <v>No</v>
      </c>
      <c r="AB2792" s="12">
        <f>V2792-Z2792</f>
        <v>-12.063749999999999</v>
      </c>
      <c r="AC2792" s="15" t="s">
        <v>130</v>
      </c>
      <c r="AD2792" s="15" t="s">
        <v>131</v>
      </c>
      <c r="AE2792" s="15" t="s">
        <v>132</v>
      </c>
      <c r="AF2792" s="12">
        <f>IF(AG2792="Rejected",0,IF(R2792="Corporate Card",0,V2792))</f>
        <v>12.936250000000001</v>
      </c>
      <c r="AG2792" s="15" t="s">
        <v>133</v>
      </c>
      <c r="AH2792" s="16">
        <v>45994</v>
      </c>
      <c r="AI2792" s="16">
        <v>45998</v>
      </c>
      <c r="AJ2792" s="16">
        <v>46012</v>
      </c>
      <c r="AK2792" s="17">
        <f>IF(AJ2792="","",AJ2792-AH2792)</f>
        <v>18</v>
      </c>
    </row>
    <row r="2793" spans="1:37">
      <c r="A2793" s="2" t="s">
        <v>3301</v>
      </c>
      <c r="B2793" s="2" t="s">
        <v>616</v>
      </c>
      <c r="C2793" s="2" t="s">
        <v>252</v>
      </c>
      <c r="D2793" s="2" t="s">
        <v>250</v>
      </c>
      <c r="E2793" s="2" t="s">
        <v>617</v>
      </c>
      <c r="F2793" s="2" t="s">
        <v>510</v>
      </c>
      <c r="G2793" s="2" t="s">
        <v>3291</v>
      </c>
      <c r="H2793" s="2" t="s">
        <v>417</v>
      </c>
      <c r="I2793" s="2" t="s">
        <v>255</v>
      </c>
      <c r="J2793" s="2" t="s">
        <v>256</v>
      </c>
      <c r="K2793" s="9">
        <v>45984</v>
      </c>
      <c r="L2793" s="9">
        <v>45989</v>
      </c>
      <c r="M2793" s="9">
        <v>45985</v>
      </c>
      <c r="N2793" s="2" t="s">
        <v>3124</v>
      </c>
      <c r="O2793" s="2" t="s">
        <v>56</v>
      </c>
      <c r="P2793" s="2" t="s">
        <v>245</v>
      </c>
      <c r="Q2793" s="2" t="s">
        <v>185</v>
      </c>
      <c r="R2793" s="2" t="s">
        <v>128</v>
      </c>
      <c r="S2793" s="2" t="s">
        <v>259</v>
      </c>
      <c r="T2793" s="10">
        <v>5273</v>
      </c>
      <c r="U2793" s="11">
        <v>6.5500000000000003E-3</v>
      </c>
      <c r="V2793" s="12">
        <f>T2793*U2793</f>
        <v>34.538150000000002</v>
      </c>
      <c r="W2793" s="13">
        <v>0.1</v>
      </c>
      <c r="X2793" s="12">
        <f>V2793-(V2793/(1+W2793))</f>
        <v>3.1398318181818219</v>
      </c>
      <c r="Y2793" s="12">
        <f>V2793-X2793</f>
        <v>31.39831818181818</v>
      </c>
      <c r="Z2793" s="14">
        <v>75</v>
      </c>
      <c r="AA2793" s="2" t="str">
        <f>IF(V2793&gt;Z2793,"Yes","No")</f>
        <v>No</v>
      </c>
      <c r="AB2793" s="12">
        <f>V2793-Z2793</f>
        <v>-40.461849999999998</v>
      </c>
      <c r="AC2793" s="15" t="s">
        <v>130</v>
      </c>
      <c r="AD2793" s="15" t="s">
        <v>131</v>
      </c>
      <c r="AE2793" s="15" t="s">
        <v>132</v>
      </c>
      <c r="AF2793" s="12">
        <f>IF(AG2793="Rejected",0,IF(R2793="Corporate Card",0,V2793))</f>
        <v>0</v>
      </c>
      <c r="AG2793" s="15" t="s">
        <v>133</v>
      </c>
      <c r="AH2793" s="16">
        <v>45994</v>
      </c>
      <c r="AI2793" s="16">
        <v>45998</v>
      </c>
      <c r="AJ2793" s="16">
        <v>46012</v>
      </c>
      <c r="AK2793" s="17">
        <f>IF(AJ2793="","",AJ2793-AH2793)</f>
        <v>18</v>
      </c>
    </row>
    <row r="2794" spans="1:37">
      <c r="A2794" s="2" t="s">
        <v>3302</v>
      </c>
      <c r="B2794" s="2" t="s">
        <v>616</v>
      </c>
      <c r="C2794" s="2" t="s">
        <v>252</v>
      </c>
      <c r="D2794" s="2" t="s">
        <v>250</v>
      </c>
      <c r="E2794" s="2" t="s">
        <v>617</v>
      </c>
      <c r="F2794" s="2" t="s">
        <v>510</v>
      </c>
      <c r="G2794" s="2" t="s">
        <v>3291</v>
      </c>
      <c r="H2794" s="2" t="s">
        <v>417</v>
      </c>
      <c r="I2794" s="2" t="s">
        <v>255</v>
      </c>
      <c r="J2794" s="2" t="s">
        <v>256</v>
      </c>
      <c r="K2794" s="9">
        <v>45984</v>
      </c>
      <c r="L2794" s="9">
        <v>45989</v>
      </c>
      <c r="M2794" s="9">
        <v>45985</v>
      </c>
      <c r="N2794" s="2" t="s">
        <v>3124</v>
      </c>
      <c r="O2794" s="2" t="s">
        <v>55</v>
      </c>
      <c r="P2794" s="2" t="s">
        <v>139</v>
      </c>
      <c r="Q2794" s="2" t="s">
        <v>187</v>
      </c>
      <c r="R2794" s="2" t="s">
        <v>128</v>
      </c>
      <c r="S2794" s="2" t="s">
        <v>259</v>
      </c>
      <c r="T2794" s="10">
        <v>4640</v>
      </c>
      <c r="U2794" s="11">
        <v>6.5500000000000003E-3</v>
      </c>
      <c r="V2794" s="12">
        <f>T2794*U2794</f>
        <v>30.392000000000003</v>
      </c>
      <c r="W2794" s="13">
        <v>0.1</v>
      </c>
      <c r="X2794" s="12">
        <f>V2794-(V2794/(1+W2794))</f>
        <v>2.7629090909090941</v>
      </c>
      <c r="Y2794" s="12">
        <f>V2794-X2794</f>
        <v>27.629090909090909</v>
      </c>
      <c r="Z2794" s="14">
        <v>35</v>
      </c>
      <c r="AA2794" s="2" t="str">
        <f>IF(V2794&gt;Z2794,"Yes","No")</f>
        <v>No</v>
      </c>
      <c r="AB2794" s="12">
        <f>V2794-Z2794</f>
        <v>-4.607999999999997</v>
      </c>
      <c r="AC2794" s="15" t="s">
        <v>130</v>
      </c>
      <c r="AD2794" s="15" t="s">
        <v>131</v>
      </c>
      <c r="AE2794" s="15" t="s">
        <v>132</v>
      </c>
      <c r="AF2794" s="12">
        <f>IF(AG2794="Rejected",0,IF(R2794="Corporate Card",0,V2794))</f>
        <v>0</v>
      </c>
      <c r="AG2794" s="15" t="s">
        <v>133</v>
      </c>
      <c r="AH2794" s="16">
        <v>45994</v>
      </c>
      <c r="AI2794" s="16">
        <v>45998</v>
      </c>
      <c r="AJ2794" s="16">
        <v>46012</v>
      </c>
      <c r="AK2794" s="17">
        <f>IF(AJ2794="","",AJ2794-AH2794)</f>
        <v>18</v>
      </c>
    </row>
    <row r="2795" spans="1:37">
      <c r="A2795" s="2" t="s">
        <v>3303</v>
      </c>
      <c r="B2795" s="2" t="s">
        <v>310</v>
      </c>
      <c r="C2795" s="2" t="s">
        <v>311</v>
      </c>
      <c r="D2795" s="2" t="s">
        <v>118</v>
      </c>
      <c r="E2795" s="2" t="s">
        <v>312</v>
      </c>
      <c r="F2795" s="2" t="s">
        <v>313</v>
      </c>
      <c r="G2795" s="2" t="s">
        <v>3304</v>
      </c>
      <c r="H2795" s="2" t="s">
        <v>291</v>
      </c>
      <c r="I2795" s="2" t="s">
        <v>255</v>
      </c>
      <c r="J2795" s="2" t="s">
        <v>256</v>
      </c>
      <c r="K2795" s="9">
        <v>45986</v>
      </c>
      <c r="L2795" s="9">
        <v>45987</v>
      </c>
      <c r="M2795" s="9">
        <v>45986</v>
      </c>
      <c r="N2795" s="2" t="s">
        <v>3124</v>
      </c>
      <c r="O2795" s="2" t="s">
        <v>52</v>
      </c>
      <c r="P2795" s="2" t="s">
        <v>257</v>
      </c>
      <c r="Q2795" s="2" t="s">
        <v>420</v>
      </c>
      <c r="R2795" s="2" t="s">
        <v>137</v>
      </c>
      <c r="S2795" s="2" t="s">
        <v>259</v>
      </c>
      <c r="T2795" s="10">
        <v>144431</v>
      </c>
      <c r="U2795" s="11">
        <v>6.5500000000000003E-3</v>
      </c>
      <c r="V2795" s="12">
        <f>T2795*U2795</f>
        <v>946.02305000000001</v>
      </c>
      <c r="W2795" s="13">
        <v>0</v>
      </c>
      <c r="X2795" s="12">
        <f>V2795-(V2795/(1+W2795))</f>
        <v>0</v>
      </c>
      <c r="Y2795" s="12">
        <f>V2795-X2795</f>
        <v>946.02305000000001</v>
      </c>
      <c r="Z2795" s="14">
        <v>1400</v>
      </c>
      <c r="AA2795" s="2" t="str">
        <f>IF(V2795&gt;Z2795,"Yes","No")</f>
        <v>No</v>
      </c>
      <c r="AB2795" s="12">
        <f>V2795-Z2795</f>
        <v>-453.97694999999999</v>
      </c>
      <c r="AC2795" s="15" t="s">
        <v>130</v>
      </c>
      <c r="AD2795" s="15" t="s">
        <v>131</v>
      </c>
      <c r="AE2795" s="15" t="s">
        <v>858</v>
      </c>
      <c r="AF2795" s="12">
        <f>IF(AG2795="Rejected",0,IF(R2795="Corporate Card",0,V2795))</f>
        <v>946.02305000000001</v>
      </c>
      <c r="AG2795" s="15" t="s">
        <v>133</v>
      </c>
      <c r="AH2795" s="16">
        <v>45988</v>
      </c>
      <c r="AI2795" s="16">
        <v>45989</v>
      </c>
      <c r="AJ2795" s="16">
        <v>45999</v>
      </c>
      <c r="AK2795" s="17">
        <f>IF(AJ2795="","",AJ2795-AH2795)</f>
        <v>11</v>
      </c>
    </row>
    <row r="2796" spans="1:37">
      <c r="A2796" s="2" t="s">
        <v>3305</v>
      </c>
      <c r="B2796" s="2" t="s">
        <v>310</v>
      </c>
      <c r="C2796" s="2" t="s">
        <v>311</v>
      </c>
      <c r="D2796" s="2" t="s">
        <v>118</v>
      </c>
      <c r="E2796" s="2" t="s">
        <v>312</v>
      </c>
      <c r="F2796" s="2" t="s">
        <v>313</v>
      </c>
      <c r="G2796" s="2" t="s">
        <v>3304</v>
      </c>
      <c r="H2796" s="2" t="s">
        <v>291</v>
      </c>
      <c r="I2796" s="2" t="s">
        <v>255</v>
      </c>
      <c r="J2796" s="2" t="s">
        <v>256</v>
      </c>
      <c r="K2796" s="9">
        <v>45986</v>
      </c>
      <c r="L2796" s="9">
        <v>45987</v>
      </c>
      <c r="M2796" s="9">
        <v>45986</v>
      </c>
      <c r="N2796" s="2" t="s">
        <v>3124</v>
      </c>
      <c r="O2796" s="2" t="s">
        <v>58</v>
      </c>
      <c r="P2796" s="2" t="s">
        <v>142</v>
      </c>
      <c r="Q2796" s="2" t="s">
        <v>143</v>
      </c>
      <c r="R2796" s="2" t="s">
        <v>128</v>
      </c>
      <c r="S2796" s="2" t="s">
        <v>259</v>
      </c>
      <c r="T2796" s="10">
        <v>3837</v>
      </c>
      <c r="U2796" s="11">
        <v>6.5500000000000003E-3</v>
      </c>
      <c r="V2796" s="12">
        <f>T2796*U2796</f>
        <v>25.132350000000002</v>
      </c>
      <c r="W2796" s="13">
        <v>0.1</v>
      </c>
      <c r="X2796" s="12">
        <f>V2796-(V2796/(1+W2796))</f>
        <v>2.2847590909090947</v>
      </c>
      <c r="Y2796" s="12">
        <f>V2796-X2796</f>
        <v>22.847590909090908</v>
      </c>
      <c r="Z2796" s="14">
        <v>60</v>
      </c>
      <c r="AA2796" s="2" t="str">
        <f>IF(V2796&gt;Z2796,"Yes","No")</f>
        <v>No</v>
      </c>
      <c r="AB2796" s="12">
        <f>V2796-Z2796</f>
        <v>-34.867649999999998</v>
      </c>
      <c r="AC2796" s="15" t="s">
        <v>130</v>
      </c>
      <c r="AD2796" s="15" t="s">
        <v>131</v>
      </c>
      <c r="AE2796" s="15" t="s">
        <v>858</v>
      </c>
      <c r="AF2796" s="12">
        <f>IF(AG2796="Rejected",0,IF(R2796="Corporate Card",0,V2796))</f>
        <v>0</v>
      </c>
      <c r="AG2796" s="15" t="s">
        <v>133</v>
      </c>
      <c r="AH2796" s="16">
        <v>45988</v>
      </c>
      <c r="AI2796" s="16">
        <v>45989</v>
      </c>
      <c r="AJ2796" s="16">
        <v>45999</v>
      </c>
      <c r="AK2796" s="17">
        <f>IF(AJ2796="","",AJ2796-AH2796)</f>
        <v>11</v>
      </c>
    </row>
    <row r="2797" spans="1:37">
      <c r="A2797" s="2" t="s">
        <v>3306</v>
      </c>
      <c r="B2797" s="2" t="s">
        <v>310</v>
      </c>
      <c r="C2797" s="2" t="s">
        <v>311</v>
      </c>
      <c r="D2797" s="2" t="s">
        <v>118</v>
      </c>
      <c r="E2797" s="2" t="s">
        <v>312</v>
      </c>
      <c r="F2797" s="2" t="s">
        <v>313</v>
      </c>
      <c r="G2797" s="2" t="s">
        <v>3304</v>
      </c>
      <c r="H2797" s="2" t="s">
        <v>291</v>
      </c>
      <c r="I2797" s="2" t="s">
        <v>255</v>
      </c>
      <c r="J2797" s="2" t="s">
        <v>256</v>
      </c>
      <c r="K2797" s="9">
        <v>45986</v>
      </c>
      <c r="L2797" s="9">
        <v>45987</v>
      </c>
      <c r="M2797" s="9">
        <v>45986</v>
      </c>
      <c r="N2797" s="2" t="s">
        <v>3124</v>
      </c>
      <c r="O2797" s="2" t="s">
        <v>54</v>
      </c>
      <c r="P2797" s="2" t="s">
        <v>139</v>
      </c>
      <c r="Q2797" s="2" t="s">
        <v>140</v>
      </c>
      <c r="R2797" s="2" t="s">
        <v>128</v>
      </c>
      <c r="S2797" s="2" t="s">
        <v>259</v>
      </c>
      <c r="T2797" s="10">
        <v>1554</v>
      </c>
      <c r="U2797" s="11">
        <v>6.5500000000000003E-3</v>
      </c>
      <c r="V2797" s="12">
        <f>T2797*U2797</f>
        <v>10.178700000000001</v>
      </c>
      <c r="W2797" s="13">
        <v>0.1</v>
      </c>
      <c r="X2797" s="12">
        <f>V2797-(V2797/(1+W2797))</f>
        <v>0.92533636363636518</v>
      </c>
      <c r="Y2797" s="12">
        <f>V2797-X2797</f>
        <v>9.2533636363636358</v>
      </c>
      <c r="Z2797" s="14">
        <v>25</v>
      </c>
      <c r="AA2797" s="2" t="str">
        <f>IF(V2797&gt;Z2797,"Yes","No")</f>
        <v>No</v>
      </c>
      <c r="AB2797" s="12">
        <f>V2797-Z2797</f>
        <v>-14.821299999999999</v>
      </c>
      <c r="AC2797" s="15" t="s">
        <v>130</v>
      </c>
      <c r="AD2797" s="15" t="s">
        <v>131</v>
      </c>
      <c r="AE2797" s="15" t="s">
        <v>858</v>
      </c>
      <c r="AF2797" s="12">
        <f>IF(AG2797="Rejected",0,IF(R2797="Corporate Card",0,V2797))</f>
        <v>0</v>
      </c>
      <c r="AG2797" s="15" t="s">
        <v>133</v>
      </c>
      <c r="AH2797" s="16">
        <v>45988</v>
      </c>
      <c r="AI2797" s="16">
        <v>45989</v>
      </c>
      <c r="AJ2797" s="16">
        <v>45999</v>
      </c>
      <c r="AK2797" s="17">
        <f>IF(AJ2797="","",AJ2797-AH2797)</f>
        <v>11</v>
      </c>
    </row>
    <row r="2798" spans="1:37">
      <c r="A2798" s="2" t="s">
        <v>3307</v>
      </c>
      <c r="B2798" s="2" t="s">
        <v>310</v>
      </c>
      <c r="C2798" s="2" t="s">
        <v>311</v>
      </c>
      <c r="D2798" s="2" t="s">
        <v>118</v>
      </c>
      <c r="E2798" s="2" t="s">
        <v>312</v>
      </c>
      <c r="F2798" s="2" t="s">
        <v>313</v>
      </c>
      <c r="G2798" s="2" t="s">
        <v>3304</v>
      </c>
      <c r="H2798" s="2" t="s">
        <v>291</v>
      </c>
      <c r="I2798" s="2" t="s">
        <v>255</v>
      </c>
      <c r="J2798" s="2" t="s">
        <v>256</v>
      </c>
      <c r="K2798" s="9">
        <v>45986</v>
      </c>
      <c r="L2798" s="9">
        <v>45987</v>
      </c>
      <c r="M2798" s="9">
        <v>45986</v>
      </c>
      <c r="N2798" s="2" t="s">
        <v>3124</v>
      </c>
      <c r="O2798" s="2" t="s">
        <v>55</v>
      </c>
      <c r="P2798" s="2" t="s">
        <v>139</v>
      </c>
      <c r="Q2798" s="2" t="s">
        <v>154</v>
      </c>
      <c r="R2798" s="2" t="s">
        <v>128</v>
      </c>
      <c r="S2798" s="2" t="s">
        <v>259</v>
      </c>
      <c r="T2798" s="10">
        <v>3108</v>
      </c>
      <c r="U2798" s="11">
        <v>6.5500000000000003E-3</v>
      </c>
      <c r="V2798" s="12">
        <f>T2798*U2798</f>
        <v>20.357400000000002</v>
      </c>
      <c r="W2798" s="13">
        <v>0.1</v>
      </c>
      <c r="X2798" s="12">
        <f>V2798-(V2798/(1+W2798))</f>
        <v>1.8506727272727304</v>
      </c>
      <c r="Y2798" s="12">
        <f>V2798-X2798</f>
        <v>18.506727272727272</v>
      </c>
      <c r="Z2798" s="14">
        <v>35</v>
      </c>
      <c r="AA2798" s="2" t="str">
        <f>IF(V2798&gt;Z2798,"Yes","No")</f>
        <v>No</v>
      </c>
      <c r="AB2798" s="12">
        <f>V2798-Z2798</f>
        <v>-14.642599999999998</v>
      </c>
      <c r="AC2798" s="15" t="s">
        <v>130</v>
      </c>
      <c r="AD2798" s="15" t="s">
        <v>131</v>
      </c>
      <c r="AE2798" s="15" t="s">
        <v>858</v>
      </c>
      <c r="AF2798" s="12">
        <f>IF(AG2798="Rejected",0,IF(R2798="Corporate Card",0,V2798))</f>
        <v>0</v>
      </c>
      <c r="AG2798" s="15" t="s">
        <v>133</v>
      </c>
      <c r="AH2798" s="16">
        <v>45988</v>
      </c>
      <c r="AI2798" s="16">
        <v>45989</v>
      </c>
      <c r="AJ2798" s="16">
        <v>45999</v>
      </c>
      <c r="AK2798" s="17">
        <f>IF(AJ2798="","",AJ2798-AH2798)</f>
        <v>11</v>
      </c>
    </row>
    <row r="2799" spans="1:37">
      <c r="A2799" s="2" t="s">
        <v>3308</v>
      </c>
      <c r="B2799" s="2" t="s">
        <v>616</v>
      </c>
      <c r="C2799" s="2" t="s">
        <v>252</v>
      </c>
      <c r="D2799" s="2" t="s">
        <v>250</v>
      </c>
      <c r="E2799" s="2" t="s">
        <v>617</v>
      </c>
      <c r="F2799" s="2" t="s">
        <v>510</v>
      </c>
      <c r="G2799" s="2" t="s">
        <v>3291</v>
      </c>
      <c r="H2799" s="2" t="s">
        <v>417</v>
      </c>
      <c r="I2799" s="2" t="s">
        <v>255</v>
      </c>
      <c r="J2799" s="2" t="s">
        <v>256</v>
      </c>
      <c r="K2799" s="9">
        <v>45984</v>
      </c>
      <c r="L2799" s="9">
        <v>45989</v>
      </c>
      <c r="M2799" s="9">
        <v>45986</v>
      </c>
      <c r="N2799" s="2" t="s">
        <v>3124</v>
      </c>
      <c r="O2799" s="2" t="s">
        <v>61</v>
      </c>
      <c r="P2799" s="2" t="s">
        <v>528</v>
      </c>
      <c r="Q2799" s="2" t="s">
        <v>1128</v>
      </c>
      <c r="R2799" s="2" t="s">
        <v>128</v>
      </c>
      <c r="S2799" s="2" t="s">
        <v>259</v>
      </c>
      <c r="T2799" s="10">
        <v>11401</v>
      </c>
      <c r="U2799" s="11">
        <v>6.5500000000000003E-3</v>
      </c>
      <c r="V2799" s="12">
        <f>T2799*U2799</f>
        <v>74.676550000000006</v>
      </c>
      <c r="W2799" s="13">
        <v>0</v>
      </c>
      <c r="X2799" s="12">
        <f>V2799-(V2799/(1+W2799))</f>
        <v>0</v>
      </c>
      <c r="Y2799" s="12">
        <f>V2799-X2799</f>
        <v>74.676550000000006</v>
      </c>
      <c r="Z2799" s="14">
        <v>90</v>
      </c>
      <c r="AA2799" s="2" t="str">
        <f>IF(V2799&gt;Z2799,"Yes","No")</f>
        <v>No</v>
      </c>
      <c r="AB2799" s="12">
        <f>V2799-Z2799</f>
        <v>-15.323449999999994</v>
      </c>
      <c r="AC2799" s="15" t="s">
        <v>130</v>
      </c>
      <c r="AD2799" s="15" t="s">
        <v>131</v>
      </c>
      <c r="AE2799" s="15" t="s">
        <v>132</v>
      </c>
      <c r="AF2799" s="12">
        <f>IF(AG2799="Rejected",0,IF(R2799="Corporate Card",0,V2799))</f>
        <v>0</v>
      </c>
      <c r="AG2799" s="15" t="s">
        <v>133</v>
      </c>
      <c r="AH2799" s="16">
        <v>45994</v>
      </c>
      <c r="AI2799" s="16">
        <v>45998</v>
      </c>
      <c r="AJ2799" s="16">
        <v>46012</v>
      </c>
      <c r="AK2799" s="17">
        <f>IF(AJ2799="","",AJ2799-AH2799)</f>
        <v>18</v>
      </c>
    </row>
    <row r="2800" spans="1:37">
      <c r="A2800" s="2" t="s">
        <v>3309</v>
      </c>
      <c r="B2800" s="2" t="s">
        <v>616</v>
      </c>
      <c r="C2800" s="2" t="s">
        <v>252</v>
      </c>
      <c r="D2800" s="2" t="s">
        <v>250</v>
      </c>
      <c r="E2800" s="2" t="s">
        <v>617</v>
      </c>
      <c r="F2800" s="2" t="s">
        <v>510</v>
      </c>
      <c r="G2800" s="2" t="s">
        <v>3291</v>
      </c>
      <c r="H2800" s="2" t="s">
        <v>417</v>
      </c>
      <c r="I2800" s="2" t="s">
        <v>255</v>
      </c>
      <c r="J2800" s="2" t="s">
        <v>256</v>
      </c>
      <c r="K2800" s="9">
        <v>45984</v>
      </c>
      <c r="L2800" s="9">
        <v>45989</v>
      </c>
      <c r="M2800" s="9">
        <v>45986</v>
      </c>
      <c r="N2800" s="2" t="s">
        <v>3124</v>
      </c>
      <c r="O2800" s="2" t="s">
        <v>58</v>
      </c>
      <c r="P2800" s="2" t="s">
        <v>142</v>
      </c>
      <c r="Q2800" s="2" t="s">
        <v>156</v>
      </c>
      <c r="R2800" s="2" t="s">
        <v>128</v>
      </c>
      <c r="S2800" s="2" t="s">
        <v>259</v>
      </c>
      <c r="T2800" s="10">
        <v>8025</v>
      </c>
      <c r="U2800" s="11">
        <v>6.5500000000000003E-3</v>
      </c>
      <c r="V2800" s="12">
        <f>T2800*U2800</f>
        <v>52.563749999999999</v>
      </c>
      <c r="W2800" s="13">
        <v>0.1</v>
      </c>
      <c r="X2800" s="12">
        <f>V2800-(V2800/(1+W2800))</f>
        <v>4.7785227272727298</v>
      </c>
      <c r="Y2800" s="12">
        <f>V2800-X2800</f>
        <v>47.785227272727269</v>
      </c>
      <c r="Z2800" s="14">
        <v>60</v>
      </c>
      <c r="AA2800" s="2" t="str">
        <f>IF(V2800&gt;Z2800,"Yes","No")</f>
        <v>No</v>
      </c>
      <c r="AB2800" s="12">
        <f>V2800-Z2800</f>
        <v>-7.4362500000000011</v>
      </c>
      <c r="AC2800" s="15" t="s">
        <v>130</v>
      </c>
      <c r="AD2800" s="15" t="s">
        <v>131</v>
      </c>
      <c r="AE2800" s="15" t="s">
        <v>132</v>
      </c>
      <c r="AF2800" s="12">
        <f>IF(AG2800="Rejected",0,IF(R2800="Corporate Card",0,V2800))</f>
        <v>0</v>
      </c>
      <c r="AG2800" s="15" t="s">
        <v>133</v>
      </c>
      <c r="AH2800" s="16">
        <v>45994</v>
      </c>
      <c r="AI2800" s="16">
        <v>45998</v>
      </c>
      <c r="AJ2800" s="16">
        <v>46012</v>
      </c>
      <c r="AK2800" s="17">
        <f>IF(AJ2800="","",AJ2800-AH2800)</f>
        <v>18</v>
      </c>
    </row>
    <row r="2801" spans="1:37">
      <c r="A2801" s="2" t="s">
        <v>3310</v>
      </c>
      <c r="B2801" s="2" t="s">
        <v>616</v>
      </c>
      <c r="C2801" s="2" t="s">
        <v>252</v>
      </c>
      <c r="D2801" s="2" t="s">
        <v>250</v>
      </c>
      <c r="E2801" s="2" t="s">
        <v>617</v>
      </c>
      <c r="F2801" s="2" t="s">
        <v>510</v>
      </c>
      <c r="G2801" s="2" t="s">
        <v>3291</v>
      </c>
      <c r="H2801" s="2" t="s">
        <v>417</v>
      </c>
      <c r="I2801" s="2" t="s">
        <v>255</v>
      </c>
      <c r="J2801" s="2" t="s">
        <v>256</v>
      </c>
      <c r="K2801" s="9">
        <v>45984</v>
      </c>
      <c r="L2801" s="9">
        <v>45989</v>
      </c>
      <c r="M2801" s="9">
        <v>45986</v>
      </c>
      <c r="N2801" s="2" t="s">
        <v>3124</v>
      </c>
      <c r="O2801" s="2" t="s">
        <v>54</v>
      </c>
      <c r="P2801" s="2" t="s">
        <v>139</v>
      </c>
      <c r="Q2801" s="2" t="s">
        <v>214</v>
      </c>
      <c r="R2801" s="2" t="s">
        <v>128</v>
      </c>
      <c r="S2801" s="2" t="s">
        <v>259</v>
      </c>
      <c r="T2801" s="10">
        <v>2532</v>
      </c>
      <c r="U2801" s="11">
        <v>6.5500000000000003E-3</v>
      </c>
      <c r="V2801" s="12">
        <f>T2801*U2801</f>
        <v>16.584600000000002</v>
      </c>
      <c r="W2801" s="13">
        <v>0.1</v>
      </c>
      <c r="X2801" s="12">
        <f>V2801-(V2801/(1+W2801))</f>
        <v>1.5076909090909112</v>
      </c>
      <c r="Y2801" s="12">
        <f>V2801-X2801</f>
        <v>15.076909090909091</v>
      </c>
      <c r="Z2801" s="14">
        <v>25</v>
      </c>
      <c r="AA2801" s="2" t="str">
        <f>IF(V2801&gt;Z2801,"Yes","No")</f>
        <v>No</v>
      </c>
      <c r="AB2801" s="12">
        <f>V2801-Z2801</f>
        <v>-8.4153999999999982</v>
      </c>
      <c r="AC2801" s="15" t="s">
        <v>130</v>
      </c>
      <c r="AD2801" s="15" t="s">
        <v>131</v>
      </c>
      <c r="AE2801" s="15" t="s">
        <v>132</v>
      </c>
      <c r="AF2801" s="12">
        <f>IF(AG2801="Rejected",0,IF(R2801="Corporate Card",0,V2801))</f>
        <v>0</v>
      </c>
      <c r="AG2801" s="15" t="s">
        <v>133</v>
      </c>
      <c r="AH2801" s="16">
        <v>45994</v>
      </c>
      <c r="AI2801" s="16">
        <v>45998</v>
      </c>
      <c r="AJ2801" s="16">
        <v>46012</v>
      </c>
      <c r="AK2801" s="17">
        <f>IF(AJ2801="","",AJ2801-AH2801)</f>
        <v>18</v>
      </c>
    </row>
    <row r="2802" spans="1:37">
      <c r="A2802" s="2" t="s">
        <v>3311</v>
      </c>
      <c r="B2802" s="2" t="s">
        <v>616</v>
      </c>
      <c r="C2802" s="2" t="s">
        <v>252</v>
      </c>
      <c r="D2802" s="2" t="s">
        <v>250</v>
      </c>
      <c r="E2802" s="2" t="s">
        <v>617</v>
      </c>
      <c r="F2802" s="2" t="s">
        <v>510</v>
      </c>
      <c r="G2802" s="2" t="s">
        <v>3291</v>
      </c>
      <c r="H2802" s="2" t="s">
        <v>417</v>
      </c>
      <c r="I2802" s="2" t="s">
        <v>255</v>
      </c>
      <c r="J2802" s="2" t="s">
        <v>256</v>
      </c>
      <c r="K2802" s="9">
        <v>45984</v>
      </c>
      <c r="L2802" s="9">
        <v>45989</v>
      </c>
      <c r="M2802" s="9">
        <v>45986</v>
      </c>
      <c r="N2802" s="2" t="s">
        <v>3124</v>
      </c>
      <c r="O2802" s="2" t="s">
        <v>56</v>
      </c>
      <c r="P2802" s="2" t="s">
        <v>245</v>
      </c>
      <c r="Q2802" s="2" t="s">
        <v>227</v>
      </c>
      <c r="R2802" s="2" t="s">
        <v>137</v>
      </c>
      <c r="S2802" s="2" t="s">
        <v>259</v>
      </c>
      <c r="T2802" s="10">
        <v>4088</v>
      </c>
      <c r="U2802" s="11">
        <v>6.5500000000000003E-3</v>
      </c>
      <c r="V2802" s="12">
        <f>T2802*U2802</f>
        <v>26.776400000000002</v>
      </c>
      <c r="W2802" s="13">
        <v>0.1</v>
      </c>
      <c r="X2802" s="12">
        <f>V2802-(V2802/(1+W2802))</f>
        <v>2.4342181818181849</v>
      </c>
      <c r="Y2802" s="12">
        <f>V2802-X2802</f>
        <v>24.342181818181817</v>
      </c>
      <c r="Z2802" s="14">
        <v>75</v>
      </c>
      <c r="AA2802" s="2" t="str">
        <f>IF(V2802&gt;Z2802,"Yes","No")</f>
        <v>No</v>
      </c>
      <c r="AB2802" s="12">
        <f>V2802-Z2802</f>
        <v>-48.223599999999998</v>
      </c>
      <c r="AC2802" s="15" t="s">
        <v>130</v>
      </c>
      <c r="AD2802" s="15" t="s">
        <v>131</v>
      </c>
      <c r="AE2802" s="15" t="s">
        <v>132</v>
      </c>
      <c r="AF2802" s="12">
        <f>IF(AG2802="Rejected",0,IF(R2802="Corporate Card",0,V2802))</f>
        <v>26.776400000000002</v>
      </c>
      <c r="AG2802" s="15" t="s">
        <v>133</v>
      </c>
      <c r="AH2802" s="16">
        <v>45994</v>
      </c>
      <c r="AI2802" s="16">
        <v>45998</v>
      </c>
      <c r="AJ2802" s="16">
        <v>46012</v>
      </c>
      <c r="AK2802" s="17">
        <f>IF(AJ2802="","",AJ2802-AH2802)</f>
        <v>18</v>
      </c>
    </row>
    <row r="2803" spans="1:37">
      <c r="A2803" s="2" t="s">
        <v>3312</v>
      </c>
      <c r="B2803" s="2" t="s">
        <v>616</v>
      </c>
      <c r="C2803" s="2" t="s">
        <v>252</v>
      </c>
      <c r="D2803" s="2" t="s">
        <v>250</v>
      </c>
      <c r="E2803" s="2" t="s">
        <v>617</v>
      </c>
      <c r="F2803" s="2" t="s">
        <v>510</v>
      </c>
      <c r="G2803" s="2" t="s">
        <v>3291</v>
      </c>
      <c r="H2803" s="2" t="s">
        <v>417</v>
      </c>
      <c r="I2803" s="2" t="s">
        <v>255</v>
      </c>
      <c r="J2803" s="2" t="s">
        <v>256</v>
      </c>
      <c r="K2803" s="9">
        <v>45984</v>
      </c>
      <c r="L2803" s="9">
        <v>45989</v>
      </c>
      <c r="M2803" s="9">
        <v>45986</v>
      </c>
      <c r="N2803" s="2" t="s">
        <v>3124</v>
      </c>
      <c r="O2803" s="2" t="s">
        <v>55</v>
      </c>
      <c r="P2803" s="2" t="s">
        <v>139</v>
      </c>
      <c r="Q2803" s="2" t="s">
        <v>187</v>
      </c>
      <c r="R2803" s="2" t="s">
        <v>149</v>
      </c>
      <c r="S2803" s="2" t="s">
        <v>259</v>
      </c>
      <c r="T2803" s="10">
        <v>3682</v>
      </c>
      <c r="U2803" s="11">
        <v>6.5500000000000003E-3</v>
      </c>
      <c r="V2803" s="12">
        <f>T2803*U2803</f>
        <v>24.117100000000001</v>
      </c>
      <c r="W2803" s="13">
        <v>0.1</v>
      </c>
      <c r="X2803" s="12">
        <f>V2803-(V2803/(1+W2803))</f>
        <v>2.1924636363636374</v>
      </c>
      <c r="Y2803" s="12">
        <f>V2803-X2803</f>
        <v>21.924636363636363</v>
      </c>
      <c r="Z2803" s="14">
        <v>35</v>
      </c>
      <c r="AA2803" s="2" t="str">
        <f>IF(V2803&gt;Z2803,"Yes","No")</f>
        <v>No</v>
      </c>
      <c r="AB2803" s="12">
        <f>V2803-Z2803</f>
        <v>-10.882899999999999</v>
      </c>
      <c r="AC2803" s="15" t="s">
        <v>131</v>
      </c>
      <c r="AD2803" s="15" t="s">
        <v>131</v>
      </c>
      <c r="AE2803" s="15" t="s">
        <v>132</v>
      </c>
      <c r="AF2803" s="12">
        <f>IF(AG2803="Rejected",0,IF(R2803="Corporate Card",0,V2803))</f>
        <v>24.117100000000001</v>
      </c>
      <c r="AG2803" s="15" t="s">
        <v>133</v>
      </c>
      <c r="AH2803" s="16">
        <v>45994</v>
      </c>
      <c r="AI2803" s="16">
        <v>45998</v>
      </c>
      <c r="AJ2803" s="16">
        <v>46012</v>
      </c>
      <c r="AK2803" s="17">
        <f>IF(AJ2803="","",AJ2803-AH2803)</f>
        <v>18</v>
      </c>
    </row>
    <row r="2804" spans="1:37">
      <c r="A2804" s="2" t="s">
        <v>3313</v>
      </c>
      <c r="B2804" s="2" t="s">
        <v>310</v>
      </c>
      <c r="C2804" s="2" t="s">
        <v>311</v>
      </c>
      <c r="D2804" s="2" t="s">
        <v>118</v>
      </c>
      <c r="E2804" s="2" t="s">
        <v>312</v>
      </c>
      <c r="F2804" s="2" t="s">
        <v>313</v>
      </c>
      <c r="G2804" s="2" t="s">
        <v>3304</v>
      </c>
      <c r="H2804" s="2" t="s">
        <v>291</v>
      </c>
      <c r="I2804" s="2" t="s">
        <v>255</v>
      </c>
      <c r="J2804" s="2" t="s">
        <v>256</v>
      </c>
      <c r="K2804" s="9">
        <v>45986</v>
      </c>
      <c r="L2804" s="9">
        <v>45987</v>
      </c>
      <c r="M2804" s="9">
        <v>45987</v>
      </c>
      <c r="N2804" s="2" t="s">
        <v>3124</v>
      </c>
      <c r="O2804" s="2" t="s">
        <v>58</v>
      </c>
      <c r="P2804" s="2" t="s">
        <v>142</v>
      </c>
      <c r="Q2804" s="2" t="s">
        <v>296</v>
      </c>
      <c r="R2804" s="2" t="s">
        <v>128</v>
      </c>
      <c r="S2804" s="2" t="s">
        <v>259</v>
      </c>
      <c r="T2804" s="10">
        <v>3216</v>
      </c>
      <c r="U2804" s="11">
        <v>6.5500000000000003E-3</v>
      </c>
      <c r="V2804" s="12">
        <f>T2804*U2804</f>
        <v>21.064800000000002</v>
      </c>
      <c r="W2804" s="13">
        <v>0.1</v>
      </c>
      <c r="X2804" s="12">
        <f>V2804-(V2804/(1+W2804))</f>
        <v>1.9149818181818183</v>
      </c>
      <c r="Y2804" s="12">
        <f>V2804-X2804</f>
        <v>19.149818181818183</v>
      </c>
      <c r="Z2804" s="14">
        <v>60</v>
      </c>
      <c r="AA2804" s="2" t="str">
        <f>IF(V2804&gt;Z2804,"Yes","No")</f>
        <v>No</v>
      </c>
      <c r="AB2804" s="12">
        <f>V2804-Z2804</f>
        <v>-38.935199999999995</v>
      </c>
      <c r="AC2804" s="15" t="s">
        <v>130</v>
      </c>
      <c r="AD2804" s="15" t="s">
        <v>131</v>
      </c>
      <c r="AE2804" s="15" t="s">
        <v>858</v>
      </c>
      <c r="AF2804" s="12">
        <f>IF(AG2804="Rejected",0,IF(R2804="Corporate Card",0,V2804))</f>
        <v>0</v>
      </c>
      <c r="AG2804" s="15" t="s">
        <v>133</v>
      </c>
      <c r="AH2804" s="16">
        <v>45988</v>
      </c>
      <c r="AI2804" s="16">
        <v>45989</v>
      </c>
      <c r="AJ2804" s="16">
        <v>45999</v>
      </c>
      <c r="AK2804" s="17">
        <f>IF(AJ2804="","",AJ2804-AH2804)</f>
        <v>11</v>
      </c>
    </row>
    <row r="2805" spans="1:37">
      <c r="A2805" s="2" t="s">
        <v>3314</v>
      </c>
      <c r="B2805" s="2" t="s">
        <v>310</v>
      </c>
      <c r="C2805" s="2" t="s">
        <v>311</v>
      </c>
      <c r="D2805" s="2" t="s">
        <v>118</v>
      </c>
      <c r="E2805" s="2" t="s">
        <v>312</v>
      </c>
      <c r="F2805" s="2" t="s">
        <v>313</v>
      </c>
      <c r="G2805" s="2" t="s">
        <v>3304</v>
      </c>
      <c r="H2805" s="2" t="s">
        <v>291</v>
      </c>
      <c r="I2805" s="2" t="s">
        <v>255</v>
      </c>
      <c r="J2805" s="2" t="s">
        <v>256</v>
      </c>
      <c r="K2805" s="9">
        <v>45986</v>
      </c>
      <c r="L2805" s="9">
        <v>45987</v>
      </c>
      <c r="M2805" s="9">
        <v>45987</v>
      </c>
      <c r="N2805" s="2" t="s">
        <v>3124</v>
      </c>
      <c r="O2805" s="2" t="s">
        <v>53</v>
      </c>
      <c r="P2805" s="2" t="s">
        <v>405</v>
      </c>
      <c r="Q2805" s="2" t="s">
        <v>220</v>
      </c>
      <c r="R2805" s="2" t="s">
        <v>137</v>
      </c>
      <c r="S2805" s="2" t="s">
        <v>259</v>
      </c>
      <c r="T2805" s="10">
        <v>22055</v>
      </c>
      <c r="U2805" s="11">
        <v>6.5500000000000003E-3</v>
      </c>
      <c r="V2805" s="12">
        <f>T2805*U2805</f>
        <v>144.46025</v>
      </c>
      <c r="W2805" s="13">
        <v>0.1</v>
      </c>
      <c r="X2805" s="12">
        <f>V2805-(V2805/(1+W2805))</f>
        <v>13.132750000000016</v>
      </c>
      <c r="Y2805" s="12">
        <f>V2805-X2805</f>
        <v>131.32749999999999</v>
      </c>
      <c r="Z2805" s="14">
        <v>280</v>
      </c>
      <c r="AA2805" s="2" t="str">
        <f>IF(V2805&gt;Z2805,"Yes","No")</f>
        <v>No</v>
      </c>
      <c r="AB2805" s="12">
        <f>V2805-Z2805</f>
        <v>-135.53975</v>
      </c>
      <c r="AC2805" s="15" t="s">
        <v>130</v>
      </c>
      <c r="AD2805" s="15" t="s">
        <v>131</v>
      </c>
      <c r="AE2805" s="15" t="s">
        <v>858</v>
      </c>
      <c r="AF2805" s="12">
        <f>IF(AG2805="Rejected",0,IF(R2805="Corporate Card",0,V2805))</f>
        <v>144.46025</v>
      </c>
      <c r="AG2805" s="15" t="s">
        <v>133</v>
      </c>
      <c r="AH2805" s="16">
        <v>45988</v>
      </c>
      <c r="AI2805" s="16">
        <v>45989</v>
      </c>
      <c r="AJ2805" s="16">
        <v>45999</v>
      </c>
      <c r="AK2805" s="17">
        <f>IF(AJ2805="","",AJ2805-AH2805)</f>
        <v>11</v>
      </c>
    </row>
    <row r="2806" spans="1:37">
      <c r="A2806" s="2" t="s">
        <v>3315</v>
      </c>
      <c r="B2806" s="2" t="s">
        <v>310</v>
      </c>
      <c r="C2806" s="2" t="s">
        <v>311</v>
      </c>
      <c r="D2806" s="2" t="s">
        <v>118</v>
      </c>
      <c r="E2806" s="2" t="s">
        <v>312</v>
      </c>
      <c r="F2806" s="2" t="s">
        <v>313</v>
      </c>
      <c r="G2806" s="2" t="s">
        <v>3304</v>
      </c>
      <c r="H2806" s="2" t="s">
        <v>291</v>
      </c>
      <c r="I2806" s="2" t="s">
        <v>255</v>
      </c>
      <c r="J2806" s="2" t="s">
        <v>256</v>
      </c>
      <c r="K2806" s="9">
        <v>45986</v>
      </c>
      <c r="L2806" s="9">
        <v>45987</v>
      </c>
      <c r="M2806" s="9">
        <v>45987</v>
      </c>
      <c r="N2806" s="2" t="s">
        <v>3124</v>
      </c>
      <c r="O2806" s="2" t="s">
        <v>54</v>
      </c>
      <c r="P2806" s="2" t="s">
        <v>139</v>
      </c>
      <c r="Q2806" s="2" t="s">
        <v>148</v>
      </c>
      <c r="R2806" s="2" t="s">
        <v>137</v>
      </c>
      <c r="S2806" s="2" t="s">
        <v>259</v>
      </c>
      <c r="T2806" s="10">
        <v>1440</v>
      </c>
      <c r="U2806" s="11">
        <v>6.5500000000000003E-3</v>
      </c>
      <c r="V2806" s="12">
        <f>T2806*U2806</f>
        <v>9.4320000000000004</v>
      </c>
      <c r="W2806" s="13">
        <v>0.1</v>
      </c>
      <c r="X2806" s="12">
        <f>V2806-(V2806/(1+W2806))</f>
        <v>0.85745454545454614</v>
      </c>
      <c r="Y2806" s="12">
        <f>V2806-X2806</f>
        <v>8.5745454545454542</v>
      </c>
      <c r="Z2806" s="14">
        <v>25</v>
      </c>
      <c r="AA2806" s="2" t="str">
        <f>IF(V2806&gt;Z2806,"Yes","No")</f>
        <v>No</v>
      </c>
      <c r="AB2806" s="12">
        <f>V2806-Z2806</f>
        <v>-15.568</v>
      </c>
      <c r="AC2806" s="15" t="s">
        <v>130</v>
      </c>
      <c r="AD2806" s="15" t="s">
        <v>131</v>
      </c>
      <c r="AE2806" s="15" t="s">
        <v>858</v>
      </c>
      <c r="AF2806" s="12">
        <f>IF(AG2806="Rejected",0,IF(R2806="Corporate Card",0,V2806))</f>
        <v>9.4320000000000004</v>
      </c>
      <c r="AG2806" s="15" t="s">
        <v>133</v>
      </c>
      <c r="AH2806" s="16">
        <v>45988</v>
      </c>
      <c r="AI2806" s="16">
        <v>45989</v>
      </c>
      <c r="AJ2806" s="16">
        <v>45999</v>
      </c>
      <c r="AK2806" s="17">
        <f>IF(AJ2806="","",AJ2806-AH2806)</f>
        <v>11</v>
      </c>
    </row>
    <row r="2807" spans="1:37">
      <c r="A2807" s="2" t="s">
        <v>3316</v>
      </c>
      <c r="B2807" s="2" t="s">
        <v>310</v>
      </c>
      <c r="C2807" s="2" t="s">
        <v>311</v>
      </c>
      <c r="D2807" s="2" t="s">
        <v>118</v>
      </c>
      <c r="E2807" s="2" t="s">
        <v>312</v>
      </c>
      <c r="F2807" s="2" t="s">
        <v>313</v>
      </c>
      <c r="G2807" s="2" t="s">
        <v>3304</v>
      </c>
      <c r="H2807" s="2" t="s">
        <v>291</v>
      </c>
      <c r="I2807" s="2" t="s">
        <v>255</v>
      </c>
      <c r="J2807" s="2" t="s">
        <v>256</v>
      </c>
      <c r="K2807" s="9">
        <v>45986</v>
      </c>
      <c r="L2807" s="9">
        <v>45987</v>
      </c>
      <c r="M2807" s="9">
        <v>45987</v>
      </c>
      <c r="N2807" s="2" t="s">
        <v>3124</v>
      </c>
      <c r="O2807" s="2" t="s">
        <v>55</v>
      </c>
      <c r="P2807" s="2" t="s">
        <v>139</v>
      </c>
      <c r="Q2807" s="2" t="s">
        <v>161</v>
      </c>
      <c r="R2807" s="2" t="s">
        <v>137</v>
      </c>
      <c r="S2807" s="2" t="s">
        <v>259</v>
      </c>
      <c r="T2807" s="10">
        <v>2217</v>
      </c>
      <c r="U2807" s="11">
        <v>6.5500000000000003E-3</v>
      </c>
      <c r="V2807" s="12">
        <f>T2807*U2807</f>
        <v>14.52135</v>
      </c>
      <c r="W2807" s="13">
        <v>0.1</v>
      </c>
      <c r="X2807" s="12">
        <f>V2807-(V2807/(1+W2807))</f>
        <v>1.3201227272727287</v>
      </c>
      <c r="Y2807" s="12">
        <f>V2807-X2807</f>
        <v>13.201227272727271</v>
      </c>
      <c r="Z2807" s="14">
        <v>35</v>
      </c>
      <c r="AA2807" s="2" t="str">
        <f>IF(V2807&gt;Z2807,"Yes","No")</f>
        <v>No</v>
      </c>
      <c r="AB2807" s="12">
        <f>V2807-Z2807</f>
        <v>-20.478650000000002</v>
      </c>
      <c r="AC2807" s="15" t="s">
        <v>130</v>
      </c>
      <c r="AD2807" s="15" t="s">
        <v>131</v>
      </c>
      <c r="AE2807" s="15" t="s">
        <v>858</v>
      </c>
      <c r="AF2807" s="12">
        <f>IF(AG2807="Rejected",0,IF(R2807="Corporate Card",0,V2807))</f>
        <v>14.52135</v>
      </c>
      <c r="AG2807" s="15" t="s">
        <v>133</v>
      </c>
      <c r="AH2807" s="16">
        <v>45988</v>
      </c>
      <c r="AI2807" s="16">
        <v>45989</v>
      </c>
      <c r="AJ2807" s="16">
        <v>45999</v>
      </c>
      <c r="AK2807" s="17">
        <f>IF(AJ2807="","",AJ2807-AH2807)</f>
        <v>11</v>
      </c>
    </row>
    <row r="2808" spans="1:37">
      <c r="A2808" s="2" t="s">
        <v>3317</v>
      </c>
      <c r="B2808" s="2" t="s">
        <v>616</v>
      </c>
      <c r="C2808" s="2" t="s">
        <v>252</v>
      </c>
      <c r="D2808" s="2" t="s">
        <v>250</v>
      </c>
      <c r="E2808" s="2" t="s">
        <v>617</v>
      </c>
      <c r="F2808" s="2" t="s">
        <v>510</v>
      </c>
      <c r="G2808" s="2" t="s">
        <v>3291</v>
      </c>
      <c r="H2808" s="2" t="s">
        <v>417</v>
      </c>
      <c r="I2808" s="2" t="s">
        <v>255</v>
      </c>
      <c r="J2808" s="2" t="s">
        <v>256</v>
      </c>
      <c r="K2808" s="9">
        <v>45984</v>
      </c>
      <c r="L2808" s="9">
        <v>45989</v>
      </c>
      <c r="M2808" s="9">
        <v>45987</v>
      </c>
      <c r="N2808" s="2" t="s">
        <v>3124</v>
      </c>
      <c r="O2808" s="2" t="s">
        <v>58</v>
      </c>
      <c r="P2808" s="2" t="s">
        <v>142</v>
      </c>
      <c r="Q2808" s="2" t="s">
        <v>296</v>
      </c>
      <c r="R2808" s="2" t="s">
        <v>128</v>
      </c>
      <c r="S2808" s="2" t="s">
        <v>259</v>
      </c>
      <c r="T2808" s="10">
        <v>5549</v>
      </c>
      <c r="U2808" s="11">
        <v>6.5500000000000003E-3</v>
      </c>
      <c r="V2808" s="12">
        <f>T2808*U2808</f>
        <v>36.345950000000002</v>
      </c>
      <c r="W2808" s="13">
        <v>0.1</v>
      </c>
      <c r="X2808" s="12">
        <f>V2808-(V2808/(1+W2808))</f>
        <v>3.3041772727272729</v>
      </c>
      <c r="Y2808" s="12">
        <f>V2808-X2808</f>
        <v>33.041772727272729</v>
      </c>
      <c r="Z2808" s="14">
        <v>60</v>
      </c>
      <c r="AA2808" s="2" t="str">
        <f>IF(V2808&gt;Z2808,"Yes","No")</f>
        <v>No</v>
      </c>
      <c r="AB2808" s="12">
        <f>V2808-Z2808</f>
        <v>-23.654049999999998</v>
      </c>
      <c r="AC2808" s="15" t="s">
        <v>130</v>
      </c>
      <c r="AD2808" s="15" t="s">
        <v>131</v>
      </c>
      <c r="AE2808" s="15" t="s">
        <v>132</v>
      </c>
      <c r="AF2808" s="12">
        <f>IF(AG2808="Rejected",0,IF(R2808="Corporate Card",0,V2808))</f>
        <v>0</v>
      </c>
      <c r="AG2808" s="15" t="s">
        <v>133</v>
      </c>
      <c r="AH2808" s="16">
        <v>45994</v>
      </c>
      <c r="AI2808" s="16">
        <v>45998</v>
      </c>
      <c r="AJ2808" s="16">
        <v>46012</v>
      </c>
      <c r="AK2808" s="17">
        <f>IF(AJ2808="","",AJ2808-AH2808)</f>
        <v>18</v>
      </c>
    </row>
    <row r="2809" spans="1:37">
      <c r="A2809" s="2" t="s">
        <v>3318</v>
      </c>
      <c r="B2809" s="2" t="s">
        <v>616</v>
      </c>
      <c r="C2809" s="2" t="s">
        <v>252</v>
      </c>
      <c r="D2809" s="2" t="s">
        <v>250</v>
      </c>
      <c r="E2809" s="2" t="s">
        <v>617</v>
      </c>
      <c r="F2809" s="2" t="s">
        <v>510</v>
      </c>
      <c r="G2809" s="2" t="s">
        <v>3291</v>
      </c>
      <c r="H2809" s="2" t="s">
        <v>417</v>
      </c>
      <c r="I2809" s="2" t="s">
        <v>255</v>
      </c>
      <c r="J2809" s="2" t="s">
        <v>256</v>
      </c>
      <c r="K2809" s="9">
        <v>45984</v>
      </c>
      <c r="L2809" s="9">
        <v>45989</v>
      </c>
      <c r="M2809" s="9">
        <v>45987</v>
      </c>
      <c r="N2809" s="2" t="s">
        <v>3124</v>
      </c>
      <c r="O2809" s="2" t="s">
        <v>68</v>
      </c>
      <c r="P2809" s="2" t="s">
        <v>282</v>
      </c>
      <c r="Q2809" s="2" t="s">
        <v>283</v>
      </c>
      <c r="R2809" s="2" t="s">
        <v>137</v>
      </c>
      <c r="S2809" s="2" t="s">
        <v>259</v>
      </c>
      <c r="T2809" s="10">
        <v>6359</v>
      </c>
      <c r="U2809" s="11">
        <v>6.5500000000000003E-3</v>
      </c>
      <c r="V2809" s="12">
        <f>T2809*U2809</f>
        <v>41.651450000000004</v>
      </c>
      <c r="W2809" s="13">
        <v>0.1</v>
      </c>
      <c r="X2809" s="12">
        <f>V2809-(V2809/(1+W2809))</f>
        <v>3.7864954545454594</v>
      </c>
      <c r="Y2809" s="12">
        <f>V2809-X2809</f>
        <v>37.864954545454545</v>
      </c>
      <c r="Z2809" s="14">
        <v>30</v>
      </c>
      <c r="AA2809" s="2" t="str">
        <f>IF(V2809&gt;Z2809,"Yes","No")</f>
        <v>Yes</v>
      </c>
      <c r="AB2809" s="12">
        <f>V2809-Z2809</f>
        <v>11.651450000000004</v>
      </c>
      <c r="AC2809" s="15" t="s">
        <v>131</v>
      </c>
      <c r="AD2809" s="15" t="s">
        <v>131</v>
      </c>
      <c r="AE2809" s="15" t="s">
        <v>132</v>
      </c>
      <c r="AF2809" s="12">
        <f>IF(AG2809="Rejected",0,IF(R2809="Corporate Card",0,V2809))</f>
        <v>41.651450000000004</v>
      </c>
      <c r="AG2809" s="15" t="s">
        <v>133</v>
      </c>
      <c r="AH2809" s="16">
        <v>45994</v>
      </c>
      <c r="AI2809" s="16">
        <v>45998</v>
      </c>
      <c r="AJ2809" s="16">
        <v>46012</v>
      </c>
      <c r="AK2809" s="17">
        <f>IF(AJ2809="","",AJ2809-AH2809)</f>
        <v>18</v>
      </c>
    </row>
    <row r="2810" spans="1:37">
      <c r="A2810" s="2" t="s">
        <v>3319</v>
      </c>
      <c r="B2810" s="2" t="s">
        <v>616</v>
      </c>
      <c r="C2810" s="2" t="s">
        <v>252</v>
      </c>
      <c r="D2810" s="2" t="s">
        <v>250</v>
      </c>
      <c r="E2810" s="2" t="s">
        <v>617</v>
      </c>
      <c r="F2810" s="2" t="s">
        <v>510</v>
      </c>
      <c r="G2810" s="2" t="s">
        <v>3291</v>
      </c>
      <c r="H2810" s="2" t="s">
        <v>417</v>
      </c>
      <c r="I2810" s="2" t="s">
        <v>255</v>
      </c>
      <c r="J2810" s="2" t="s">
        <v>256</v>
      </c>
      <c r="K2810" s="9">
        <v>45984</v>
      </c>
      <c r="L2810" s="9">
        <v>45989</v>
      </c>
      <c r="M2810" s="9">
        <v>45987</v>
      </c>
      <c r="N2810" s="2" t="s">
        <v>3124</v>
      </c>
      <c r="O2810" s="2" t="s">
        <v>56</v>
      </c>
      <c r="P2810" s="2" t="s">
        <v>151</v>
      </c>
      <c r="Q2810" s="2" t="s">
        <v>227</v>
      </c>
      <c r="R2810" s="2" t="s">
        <v>128</v>
      </c>
      <c r="S2810" s="2" t="s">
        <v>259</v>
      </c>
      <c r="T2810" s="10">
        <v>8944</v>
      </c>
      <c r="U2810" s="11">
        <v>6.5500000000000003E-3</v>
      </c>
      <c r="V2810" s="12">
        <f>T2810*U2810</f>
        <v>58.583200000000005</v>
      </c>
      <c r="W2810" s="13">
        <v>0.1</v>
      </c>
      <c r="X2810" s="12">
        <f>V2810-(V2810/(1+W2810))</f>
        <v>5.3257454545454621</v>
      </c>
      <c r="Y2810" s="12">
        <f>V2810-X2810</f>
        <v>53.257454545454543</v>
      </c>
      <c r="Z2810" s="14">
        <v>75</v>
      </c>
      <c r="AA2810" s="2" t="str">
        <f>IF(V2810&gt;Z2810,"Yes","No")</f>
        <v>No</v>
      </c>
      <c r="AB2810" s="12">
        <f>V2810-Z2810</f>
        <v>-16.416799999999995</v>
      </c>
      <c r="AC2810" s="15" t="s">
        <v>130</v>
      </c>
      <c r="AD2810" s="15" t="s">
        <v>131</v>
      </c>
      <c r="AE2810" s="15" t="s">
        <v>132</v>
      </c>
      <c r="AF2810" s="12">
        <f>IF(AG2810="Rejected",0,IF(R2810="Corporate Card",0,V2810))</f>
        <v>0</v>
      </c>
      <c r="AG2810" s="15" t="s">
        <v>133</v>
      </c>
      <c r="AH2810" s="16">
        <v>45994</v>
      </c>
      <c r="AI2810" s="16">
        <v>45998</v>
      </c>
      <c r="AJ2810" s="16">
        <v>46012</v>
      </c>
      <c r="AK2810" s="17">
        <f>IF(AJ2810="","",AJ2810-AH2810)</f>
        <v>18</v>
      </c>
    </row>
    <row r="2811" spans="1:37">
      <c r="A2811" s="2" t="s">
        <v>3320</v>
      </c>
      <c r="B2811" s="2" t="s">
        <v>616</v>
      </c>
      <c r="C2811" s="2" t="s">
        <v>252</v>
      </c>
      <c r="D2811" s="2" t="s">
        <v>250</v>
      </c>
      <c r="E2811" s="2" t="s">
        <v>617</v>
      </c>
      <c r="F2811" s="2" t="s">
        <v>510</v>
      </c>
      <c r="G2811" s="2" t="s">
        <v>3291</v>
      </c>
      <c r="H2811" s="2" t="s">
        <v>417</v>
      </c>
      <c r="I2811" s="2" t="s">
        <v>255</v>
      </c>
      <c r="J2811" s="2" t="s">
        <v>256</v>
      </c>
      <c r="K2811" s="9">
        <v>45984</v>
      </c>
      <c r="L2811" s="9">
        <v>45989</v>
      </c>
      <c r="M2811" s="9">
        <v>45987</v>
      </c>
      <c r="N2811" s="2" t="s">
        <v>3124</v>
      </c>
      <c r="O2811" s="2" t="s">
        <v>55</v>
      </c>
      <c r="P2811" s="2" t="s">
        <v>139</v>
      </c>
      <c r="Q2811" s="2" t="s">
        <v>217</v>
      </c>
      <c r="R2811" s="2" t="s">
        <v>128</v>
      </c>
      <c r="S2811" s="2" t="s">
        <v>259</v>
      </c>
      <c r="T2811" s="10">
        <v>2349</v>
      </c>
      <c r="U2811" s="11">
        <v>6.5500000000000003E-3</v>
      </c>
      <c r="V2811" s="12">
        <f>T2811*U2811</f>
        <v>15.385950000000001</v>
      </c>
      <c r="W2811" s="13">
        <v>0.1</v>
      </c>
      <c r="X2811" s="12">
        <f>V2811-(V2811/(1+W2811))</f>
        <v>1.3987227272727285</v>
      </c>
      <c r="Y2811" s="12">
        <f>V2811-X2811</f>
        <v>13.987227272727273</v>
      </c>
      <c r="Z2811" s="14">
        <v>35</v>
      </c>
      <c r="AA2811" s="2" t="str">
        <f>IF(V2811&gt;Z2811,"Yes","No")</f>
        <v>No</v>
      </c>
      <c r="AB2811" s="12">
        <f>V2811-Z2811</f>
        <v>-19.614049999999999</v>
      </c>
      <c r="AC2811" s="15" t="s">
        <v>130</v>
      </c>
      <c r="AD2811" s="15" t="s">
        <v>131</v>
      </c>
      <c r="AE2811" s="15" t="s">
        <v>132</v>
      </c>
      <c r="AF2811" s="12">
        <f>IF(AG2811="Rejected",0,IF(R2811="Corporate Card",0,V2811))</f>
        <v>0</v>
      </c>
      <c r="AG2811" s="15" t="s">
        <v>133</v>
      </c>
      <c r="AH2811" s="16">
        <v>45994</v>
      </c>
      <c r="AI2811" s="16">
        <v>45998</v>
      </c>
      <c r="AJ2811" s="16">
        <v>46012</v>
      </c>
      <c r="AK2811" s="17">
        <f>IF(AJ2811="","",AJ2811-AH2811)</f>
        <v>18</v>
      </c>
    </row>
    <row r="2812" spans="1:37">
      <c r="A2812" s="2" t="s">
        <v>3321</v>
      </c>
      <c r="B2812" s="2" t="s">
        <v>2212</v>
      </c>
      <c r="C2812" s="2" t="s">
        <v>346</v>
      </c>
      <c r="D2812" s="2" t="s">
        <v>344</v>
      </c>
      <c r="E2812" s="2" t="s">
        <v>2213</v>
      </c>
      <c r="F2812" s="2" t="s">
        <v>313</v>
      </c>
      <c r="G2812" s="2" t="s">
        <v>3322</v>
      </c>
      <c r="H2812" s="2" t="s">
        <v>748</v>
      </c>
      <c r="I2812" s="2" t="s">
        <v>380</v>
      </c>
      <c r="J2812" s="2" t="s">
        <v>381</v>
      </c>
      <c r="K2812" s="9">
        <v>45987</v>
      </c>
      <c r="L2812" s="9">
        <v>45995</v>
      </c>
      <c r="M2812" s="9">
        <v>45987</v>
      </c>
      <c r="N2812" s="2" t="s">
        <v>3124</v>
      </c>
      <c r="O2812" s="2" t="s">
        <v>52</v>
      </c>
      <c r="P2812" s="2" t="s">
        <v>382</v>
      </c>
      <c r="Q2812" s="2" t="s">
        <v>127</v>
      </c>
      <c r="R2812" s="2" t="s">
        <v>128</v>
      </c>
      <c r="S2812" s="2" t="s">
        <v>383</v>
      </c>
      <c r="T2812" s="10">
        <v>981.33</v>
      </c>
      <c r="U2812" s="11">
        <v>1</v>
      </c>
      <c r="V2812" s="12">
        <f>T2812*U2812</f>
        <v>981.33</v>
      </c>
      <c r="W2812" s="13">
        <v>0</v>
      </c>
      <c r="X2812" s="12">
        <f>V2812-(V2812/(1+W2812))</f>
        <v>0</v>
      </c>
      <c r="Y2812" s="12">
        <f>V2812-X2812</f>
        <v>981.33</v>
      </c>
      <c r="Z2812" s="14">
        <v>1400</v>
      </c>
      <c r="AA2812" s="2" t="str">
        <f>IF(V2812&gt;Z2812,"Yes","No")</f>
        <v>No</v>
      </c>
      <c r="AB2812" s="12">
        <f>V2812-Z2812</f>
        <v>-418.66999999999996</v>
      </c>
      <c r="AC2812" s="15" t="s">
        <v>130</v>
      </c>
      <c r="AD2812" s="15" t="s">
        <v>130</v>
      </c>
      <c r="AE2812" s="15" t="s">
        <v>260</v>
      </c>
      <c r="AF2812" s="12">
        <f>IF(AG2812="Rejected",0,IF(R2812="Corporate Card",0,V2812))</f>
        <v>0</v>
      </c>
      <c r="AG2812" s="15" t="s">
        <v>133</v>
      </c>
      <c r="AH2812" s="16">
        <v>46004</v>
      </c>
      <c r="AI2812" s="16">
        <v>46008</v>
      </c>
      <c r="AJ2812" s="16">
        <v>46021</v>
      </c>
      <c r="AK2812" s="17">
        <f>IF(AJ2812="","",AJ2812-AH2812)</f>
        <v>17</v>
      </c>
    </row>
    <row r="2813" spans="1:37">
      <c r="A2813" s="2" t="s">
        <v>3323</v>
      </c>
      <c r="B2813" s="2" t="s">
        <v>2212</v>
      </c>
      <c r="C2813" s="2" t="s">
        <v>346</v>
      </c>
      <c r="D2813" s="2" t="s">
        <v>344</v>
      </c>
      <c r="E2813" s="2" t="s">
        <v>2213</v>
      </c>
      <c r="F2813" s="2" t="s">
        <v>313</v>
      </c>
      <c r="G2813" s="2" t="s">
        <v>3322</v>
      </c>
      <c r="H2813" s="2" t="s">
        <v>748</v>
      </c>
      <c r="I2813" s="2" t="s">
        <v>380</v>
      </c>
      <c r="J2813" s="2" t="s">
        <v>381</v>
      </c>
      <c r="K2813" s="9">
        <v>45987</v>
      </c>
      <c r="L2813" s="9">
        <v>45995</v>
      </c>
      <c r="M2813" s="9">
        <v>45987</v>
      </c>
      <c r="N2813" s="2" t="s">
        <v>3124</v>
      </c>
      <c r="O2813" s="2" t="s">
        <v>64</v>
      </c>
      <c r="P2813" s="2" t="s">
        <v>135</v>
      </c>
      <c r="Q2813" s="2" t="s">
        <v>127</v>
      </c>
      <c r="R2813" s="2" t="s">
        <v>128</v>
      </c>
      <c r="S2813" s="2" t="s">
        <v>383</v>
      </c>
      <c r="T2813" s="10">
        <v>90.88</v>
      </c>
      <c r="U2813" s="11">
        <v>1</v>
      </c>
      <c r="V2813" s="12">
        <f>T2813*U2813</f>
        <v>90.88</v>
      </c>
      <c r="W2813" s="13">
        <v>0</v>
      </c>
      <c r="X2813" s="12">
        <f>V2813-(V2813/(1+W2813))</f>
        <v>0</v>
      </c>
      <c r="Y2813" s="12">
        <f>V2813-X2813</f>
        <v>90.88</v>
      </c>
      <c r="Z2813" s="14">
        <v>120</v>
      </c>
      <c r="AA2813" s="2" t="str">
        <f>IF(V2813&gt;Z2813,"Yes","No")</f>
        <v>No</v>
      </c>
      <c r="AB2813" s="12">
        <f>V2813-Z2813</f>
        <v>-29.120000000000005</v>
      </c>
      <c r="AC2813" s="15" t="s">
        <v>130</v>
      </c>
      <c r="AD2813" s="15" t="s">
        <v>130</v>
      </c>
      <c r="AE2813" s="15" t="s">
        <v>260</v>
      </c>
      <c r="AF2813" s="12">
        <f>IF(AG2813="Rejected",0,IF(R2813="Corporate Card",0,V2813))</f>
        <v>0</v>
      </c>
      <c r="AG2813" s="15" t="s">
        <v>133</v>
      </c>
      <c r="AH2813" s="16">
        <v>46004</v>
      </c>
      <c r="AI2813" s="16">
        <v>46008</v>
      </c>
      <c r="AJ2813" s="16">
        <v>46021</v>
      </c>
      <c r="AK2813" s="17">
        <f>IF(AJ2813="","",AJ2813-AH2813)</f>
        <v>17</v>
      </c>
    </row>
    <row r="2814" spans="1:37">
      <c r="A2814" s="2" t="s">
        <v>3324</v>
      </c>
      <c r="B2814" s="2" t="s">
        <v>2212</v>
      </c>
      <c r="C2814" s="2" t="s">
        <v>346</v>
      </c>
      <c r="D2814" s="2" t="s">
        <v>344</v>
      </c>
      <c r="E2814" s="2" t="s">
        <v>2213</v>
      </c>
      <c r="F2814" s="2" t="s">
        <v>313</v>
      </c>
      <c r="G2814" s="2" t="s">
        <v>3322</v>
      </c>
      <c r="H2814" s="2" t="s">
        <v>748</v>
      </c>
      <c r="I2814" s="2" t="s">
        <v>380</v>
      </c>
      <c r="J2814" s="2" t="s">
        <v>381</v>
      </c>
      <c r="K2814" s="9">
        <v>45987</v>
      </c>
      <c r="L2814" s="9">
        <v>45995</v>
      </c>
      <c r="M2814" s="9">
        <v>45987</v>
      </c>
      <c r="N2814" s="2" t="s">
        <v>3124</v>
      </c>
      <c r="O2814" s="2" t="s">
        <v>55</v>
      </c>
      <c r="P2814" s="2" t="s">
        <v>139</v>
      </c>
      <c r="Q2814" s="2" t="s">
        <v>187</v>
      </c>
      <c r="R2814" s="2" t="s">
        <v>149</v>
      </c>
      <c r="S2814" s="2" t="s">
        <v>383</v>
      </c>
      <c r="T2814" s="10">
        <v>22.51</v>
      </c>
      <c r="U2814" s="11">
        <v>1</v>
      </c>
      <c r="V2814" s="12">
        <f>T2814*U2814</f>
        <v>22.51</v>
      </c>
      <c r="W2814" s="13">
        <v>0</v>
      </c>
      <c r="X2814" s="12">
        <f>V2814-(V2814/(1+W2814))</f>
        <v>0</v>
      </c>
      <c r="Y2814" s="12">
        <f>V2814-X2814</f>
        <v>22.51</v>
      </c>
      <c r="Z2814" s="14">
        <v>35</v>
      </c>
      <c r="AA2814" s="2" t="str">
        <f>IF(V2814&gt;Z2814,"Yes","No")</f>
        <v>No</v>
      </c>
      <c r="AB2814" s="12">
        <f>V2814-Z2814</f>
        <v>-12.489999999999998</v>
      </c>
      <c r="AC2814" s="15" t="s">
        <v>130</v>
      </c>
      <c r="AD2814" s="15" t="s">
        <v>130</v>
      </c>
      <c r="AE2814" s="15" t="s">
        <v>260</v>
      </c>
      <c r="AF2814" s="12">
        <f>IF(AG2814="Rejected",0,IF(R2814="Corporate Card",0,V2814))</f>
        <v>22.51</v>
      </c>
      <c r="AG2814" s="15" t="s">
        <v>133</v>
      </c>
      <c r="AH2814" s="16">
        <v>46004</v>
      </c>
      <c r="AI2814" s="16">
        <v>46008</v>
      </c>
      <c r="AJ2814" s="16">
        <v>46021</v>
      </c>
      <c r="AK2814" s="17">
        <f>IF(AJ2814="","",AJ2814-AH2814)</f>
        <v>17</v>
      </c>
    </row>
    <row r="2815" spans="1:37">
      <c r="A2815" s="2" t="s">
        <v>3325</v>
      </c>
      <c r="B2815" s="2" t="s">
        <v>863</v>
      </c>
      <c r="C2815" s="2" t="s">
        <v>864</v>
      </c>
      <c r="D2815" s="2" t="s">
        <v>865</v>
      </c>
      <c r="E2815" s="2" t="s">
        <v>866</v>
      </c>
      <c r="F2815" s="2" t="s">
        <v>867</v>
      </c>
      <c r="G2815" s="2" t="s">
        <v>3326</v>
      </c>
      <c r="H2815" s="2" t="s">
        <v>254</v>
      </c>
      <c r="I2815" s="2" t="s">
        <v>651</v>
      </c>
      <c r="J2815" s="2" t="s">
        <v>652</v>
      </c>
      <c r="K2815" s="9">
        <v>45988</v>
      </c>
      <c r="L2815" s="9">
        <v>45996</v>
      </c>
      <c r="M2815" s="9">
        <v>45988</v>
      </c>
      <c r="N2815" s="2" t="s">
        <v>3124</v>
      </c>
      <c r="O2815" s="2" t="s">
        <v>52</v>
      </c>
      <c r="P2815" s="2" t="s">
        <v>653</v>
      </c>
      <c r="Q2815" s="2" t="s">
        <v>136</v>
      </c>
      <c r="R2815" s="2" t="s">
        <v>128</v>
      </c>
      <c r="S2815" s="2" t="s">
        <v>654</v>
      </c>
      <c r="T2815" s="10">
        <v>3662.39</v>
      </c>
      <c r="U2815" s="11">
        <v>0.72799999999999998</v>
      </c>
      <c r="V2815" s="12">
        <f>T2815*U2815</f>
        <v>2666.21992</v>
      </c>
      <c r="W2815" s="13">
        <v>0</v>
      </c>
      <c r="X2815" s="12">
        <f>V2815-(V2815/(1+W2815))</f>
        <v>0</v>
      </c>
      <c r="Y2815" s="12">
        <f>V2815-X2815</f>
        <v>2666.21992</v>
      </c>
      <c r="Z2815" s="14">
        <v>1400</v>
      </c>
      <c r="AA2815" s="2" t="str">
        <f>IF(V2815&gt;Z2815,"Yes","No")</f>
        <v>Yes</v>
      </c>
      <c r="AB2815" s="12">
        <f>V2815-Z2815</f>
        <v>1266.21992</v>
      </c>
      <c r="AC2815" s="15" t="s">
        <v>130</v>
      </c>
      <c r="AD2815" s="15" t="s">
        <v>131</v>
      </c>
      <c r="AE2815" s="15" t="s">
        <v>437</v>
      </c>
      <c r="AF2815" s="12">
        <f>IF(AG2815="Rejected",0,IF(R2815="Corporate Card",0,V2815))</f>
        <v>0</v>
      </c>
      <c r="AG2815" s="15" t="s">
        <v>181</v>
      </c>
      <c r="AH2815" s="16">
        <v>45998</v>
      </c>
      <c r="AI2815" s="16"/>
      <c r="AJ2815" s="16"/>
      <c r="AK2815" s="17" t="str">
        <f>IF(AJ2815="","",AJ2815-AH2815)</f>
        <v/>
      </c>
    </row>
    <row r="2816" spans="1:37">
      <c r="A2816" s="2" t="s">
        <v>3327</v>
      </c>
      <c r="B2816" s="2" t="s">
        <v>863</v>
      </c>
      <c r="C2816" s="2" t="s">
        <v>864</v>
      </c>
      <c r="D2816" s="2" t="s">
        <v>865</v>
      </c>
      <c r="E2816" s="2" t="s">
        <v>866</v>
      </c>
      <c r="F2816" s="2" t="s">
        <v>867</v>
      </c>
      <c r="G2816" s="2" t="s">
        <v>3326</v>
      </c>
      <c r="H2816" s="2" t="s">
        <v>254</v>
      </c>
      <c r="I2816" s="2" t="s">
        <v>651</v>
      </c>
      <c r="J2816" s="2" t="s">
        <v>652</v>
      </c>
      <c r="K2816" s="9">
        <v>45988</v>
      </c>
      <c r="L2816" s="9">
        <v>45996</v>
      </c>
      <c r="M2816" s="9">
        <v>45988</v>
      </c>
      <c r="N2816" s="2" t="s">
        <v>3124</v>
      </c>
      <c r="O2816" s="2" t="s">
        <v>64</v>
      </c>
      <c r="P2816" s="2" t="s">
        <v>135</v>
      </c>
      <c r="Q2816" s="2" t="s">
        <v>513</v>
      </c>
      <c r="R2816" s="2" t="s">
        <v>128</v>
      </c>
      <c r="S2816" s="2" t="s">
        <v>654</v>
      </c>
      <c r="T2816" s="10">
        <v>121.26</v>
      </c>
      <c r="U2816" s="11">
        <v>0.72799999999999998</v>
      </c>
      <c r="V2816" s="12">
        <f>T2816*U2816</f>
        <v>88.277280000000005</v>
      </c>
      <c r="W2816" s="13">
        <v>0</v>
      </c>
      <c r="X2816" s="12">
        <f>V2816-(V2816/(1+W2816))</f>
        <v>0</v>
      </c>
      <c r="Y2816" s="12">
        <f>V2816-X2816</f>
        <v>88.277280000000005</v>
      </c>
      <c r="Z2816" s="14">
        <v>120</v>
      </c>
      <c r="AA2816" s="2" t="str">
        <f>IF(V2816&gt;Z2816,"Yes","No")</f>
        <v>No</v>
      </c>
      <c r="AB2816" s="12">
        <f>V2816-Z2816</f>
        <v>-31.722719999999995</v>
      </c>
      <c r="AC2816" s="15" t="s">
        <v>130</v>
      </c>
      <c r="AD2816" s="15" t="s">
        <v>131</v>
      </c>
      <c r="AE2816" s="15" t="s">
        <v>437</v>
      </c>
      <c r="AF2816" s="12">
        <f>IF(AG2816="Rejected",0,IF(R2816="Corporate Card",0,V2816))</f>
        <v>0</v>
      </c>
      <c r="AG2816" s="15" t="s">
        <v>181</v>
      </c>
      <c r="AH2816" s="16">
        <v>45998</v>
      </c>
      <c r="AI2816" s="16"/>
      <c r="AJ2816" s="16"/>
      <c r="AK2816" s="17" t="str">
        <f>IF(AJ2816="","",AJ2816-AH2816)</f>
        <v/>
      </c>
    </row>
    <row r="2817" spans="1:37">
      <c r="A2817" s="2" t="s">
        <v>3328</v>
      </c>
      <c r="B2817" s="2" t="s">
        <v>863</v>
      </c>
      <c r="C2817" s="2" t="s">
        <v>864</v>
      </c>
      <c r="D2817" s="2" t="s">
        <v>865</v>
      </c>
      <c r="E2817" s="2" t="s">
        <v>866</v>
      </c>
      <c r="F2817" s="2" t="s">
        <v>867</v>
      </c>
      <c r="G2817" s="2" t="s">
        <v>3326</v>
      </c>
      <c r="H2817" s="2" t="s">
        <v>254</v>
      </c>
      <c r="I2817" s="2" t="s">
        <v>651</v>
      </c>
      <c r="J2817" s="2" t="s">
        <v>652</v>
      </c>
      <c r="K2817" s="9">
        <v>45988</v>
      </c>
      <c r="L2817" s="9">
        <v>45996</v>
      </c>
      <c r="M2817" s="9">
        <v>45988</v>
      </c>
      <c r="N2817" s="2" t="s">
        <v>3124</v>
      </c>
      <c r="O2817" s="2" t="s">
        <v>63</v>
      </c>
      <c r="P2817" s="2" t="s">
        <v>200</v>
      </c>
      <c r="Q2817" s="2" t="s">
        <v>1347</v>
      </c>
      <c r="R2817" s="2" t="s">
        <v>128</v>
      </c>
      <c r="S2817" s="2" t="s">
        <v>654</v>
      </c>
      <c r="T2817" s="10">
        <v>812.31</v>
      </c>
      <c r="U2817" s="11">
        <v>0.72799999999999998</v>
      </c>
      <c r="V2817" s="12">
        <f>T2817*U2817</f>
        <v>591.36167999999998</v>
      </c>
      <c r="W2817" s="13">
        <v>0</v>
      </c>
      <c r="X2817" s="12">
        <f>V2817-(V2817/(1+W2817))</f>
        <v>0</v>
      </c>
      <c r="Y2817" s="12">
        <f>V2817-X2817</f>
        <v>591.36167999999998</v>
      </c>
      <c r="Z2817" s="14">
        <v>1200</v>
      </c>
      <c r="AA2817" s="2" t="str">
        <f>IF(V2817&gt;Z2817,"Yes","No")</f>
        <v>No</v>
      </c>
      <c r="AB2817" s="12">
        <f>V2817-Z2817</f>
        <v>-608.63832000000002</v>
      </c>
      <c r="AC2817" s="15" t="s">
        <v>130</v>
      </c>
      <c r="AD2817" s="15" t="s">
        <v>131</v>
      </c>
      <c r="AE2817" s="15" t="s">
        <v>437</v>
      </c>
      <c r="AF2817" s="12">
        <f>IF(AG2817="Rejected",0,IF(R2817="Corporate Card",0,V2817))</f>
        <v>0</v>
      </c>
      <c r="AG2817" s="15" t="s">
        <v>181</v>
      </c>
      <c r="AH2817" s="16">
        <v>45998</v>
      </c>
      <c r="AI2817" s="16"/>
      <c r="AJ2817" s="16"/>
      <c r="AK2817" s="17" t="str">
        <f>IF(AJ2817="","",AJ2817-AH2817)</f>
        <v/>
      </c>
    </row>
    <row r="2818" spans="1:37">
      <c r="A2818" s="2" t="s">
        <v>3329</v>
      </c>
      <c r="B2818" s="2" t="s">
        <v>863</v>
      </c>
      <c r="C2818" s="2" t="s">
        <v>864</v>
      </c>
      <c r="D2818" s="2" t="s">
        <v>865</v>
      </c>
      <c r="E2818" s="2" t="s">
        <v>866</v>
      </c>
      <c r="F2818" s="2" t="s">
        <v>867</v>
      </c>
      <c r="G2818" s="2" t="s">
        <v>3326</v>
      </c>
      <c r="H2818" s="2" t="s">
        <v>254</v>
      </c>
      <c r="I2818" s="2" t="s">
        <v>651</v>
      </c>
      <c r="J2818" s="2" t="s">
        <v>652</v>
      </c>
      <c r="K2818" s="9">
        <v>45988</v>
      </c>
      <c r="L2818" s="9">
        <v>45996</v>
      </c>
      <c r="M2818" s="9">
        <v>45988</v>
      </c>
      <c r="N2818" s="2" t="s">
        <v>3124</v>
      </c>
      <c r="O2818" s="2" t="s">
        <v>58</v>
      </c>
      <c r="P2818" s="2" t="s">
        <v>142</v>
      </c>
      <c r="Q2818" s="2" t="s">
        <v>156</v>
      </c>
      <c r="R2818" s="2" t="s">
        <v>128</v>
      </c>
      <c r="S2818" s="2" t="s">
        <v>654</v>
      </c>
      <c r="T2818" s="10">
        <v>39.520000000000003</v>
      </c>
      <c r="U2818" s="11">
        <v>0.72799999999999998</v>
      </c>
      <c r="V2818" s="12">
        <f>T2818*U2818</f>
        <v>28.770560000000003</v>
      </c>
      <c r="W2818" s="13">
        <v>0.13</v>
      </c>
      <c r="X2818" s="12">
        <f>V2818-(V2818/(1+W2818))</f>
        <v>3.3098874336283153</v>
      </c>
      <c r="Y2818" s="12">
        <f>V2818-X2818</f>
        <v>25.460672566371688</v>
      </c>
      <c r="Z2818" s="14">
        <v>60</v>
      </c>
      <c r="AA2818" s="2" t="str">
        <f>IF(V2818&gt;Z2818,"Yes","No")</f>
        <v>No</v>
      </c>
      <c r="AB2818" s="12">
        <f>V2818-Z2818</f>
        <v>-31.229439999999997</v>
      </c>
      <c r="AC2818" s="15" t="s">
        <v>130</v>
      </c>
      <c r="AD2818" s="15" t="s">
        <v>131</v>
      </c>
      <c r="AE2818" s="15" t="s">
        <v>437</v>
      </c>
      <c r="AF2818" s="12">
        <f>IF(AG2818="Rejected",0,IF(R2818="Corporate Card",0,V2818))</f>
        <v>0</v>
      </c>
      <c r="AG2818" s="15" t="s">
        <v>181</v>
      </c>
      <c r="AH2818" s="16">
        <v>45998</v>
      </c>
      <c r="AI2818" s="16"/>
      <c r="AJ2818" s="16"/>
      <c r="AK2818" s="17" t="str">
        <f>IF(AJ2818="","",AJ2818-AH2818)</f>
        <v/>
      </c>
    </row>
    <row r="2819" spans="1:37">
      <c r="A2819" s="2" t="s">
        <v>3330</v>
      </c>
      <c r="B2819" s="2" t="s">
        <v>863</v>
      </c>
      <c r="C2819" s="2" t="s">
        <v>864</v>
      </c>
      <c r="D2819" s="2" t="s">
        <v>865</v>
      </c>
      <c r="E2819" s="2" t="s">
        <v>866</v>
      </c>
      <c r="F2819" s="2" t="s">
        <v>867</v>
      </c>
      <c r="G2819" s="2" t="s">
        <v>3326</v>
      </c>
      <c r="H2819" s="2" t="s">
        <v>254</v>
      </c>
      <c r="I2819" s="2" t="s">
        <v>651</v>
      </c>
      <c r="J2819" s="2" t="s">
        <v>652</v>
      </c>
      <c r="K2819" s="9">
        <v>45988</v>
      </c>
      <c r="L2819" s="9">
        <v>45996</v>
      </c>
      <c r="M2819" s="9">
        <v>45988</v>
      </c>
      <c r="N2819" s="2" t="s">
        <v>3124</v>
      </c>
      <c r="O2819" s="2" t="s">
        <v>54</v>
      </c>
      <c r="P2819" s="2" t="s">
        <v>139</v>
      </c>
      <c r="Q2819" s="2" t="s">
        <v>140</v>
      </c>
      <c r="R2819" s="2" t="s">
        <v>128</v>
      </c>
      <c r="S2819" s="2" t="s">
        <v>654</v>
      </c>
      <c r="T2819" s="10">
        <v>52.3</v>
      </c>
      <c r="U2819" s="11">
        <v>0.72799999999999998</v>
      </c>
      <c r="V2819" s="12">
        <f>T2819*U2819</f>
        <v>38.074399999999997</v>
      </c>
      <c r="W2819" s="13">
        <v>0.13</v>
      </c>
      <c r="X2819" s="12">
        <f>V2819-(V2819/(1+W2819))</f>
        <v>4.380240707964596</v>
      </c>
      <c r="Y2819" s="12">
        <f>V2819-X2819</f>
        <v>33.694159292035401</v>
      </c>
      <c r="Z2819" s="14">
        <v>25</v>
      </c>
      <c r="AA2819" s="2" t="str">
        <f>IF(V2819&gt;Z2819,"Yes","No")</f>
        <v>Yes</v>
      </c>
      <c r="AB2819" s="12">
        <f>V2819-Z2819</f>
        <v>13.074399999999997</v>
      </c>
      <c r="AC2819" s="15" t="s">
        <v>130</v>
      </c>
      <c r="AD2819" s="15" t="s">
        <v>131</v>
      </c>
      <c r="AE2819" s="15" t="s">
        <v>437</v>
      </c>
      <c r="AF2819" s="12">
        <f>IF(AG2819="Rejected",0,IF(R2819="Corporate Card",0,V2819))</f>
        <v>0</v>
      </c>
      <c r="AG2819" s="15" t="s">
        <v>181</v>
      </c>
      <c r="AH2819" s="16">
        <v>45998</v>
      </c>
      <c r="AI2819" s="16"/>
      <c r="AJ2819" s="16"/>
      <c r="AK2819" s="17" t="str">
        <f>IF(AJ2819="","",AJ2819-AH2819)</f>
        <v/>
      </c>
    </row>
    <row r="2820" spans="1:37">
      <c r="A2820" s="2" t="s">
        <v>3331</v>
      </c>
      <c r="B2820" s="2" t="s">
        <v>863</v>
      </c>
      <c r="C2820" s="2" t="s">
        <v>864</v>
      </c>
      <c r="D2820" s="2" t="s">
        <v>865</v>
      </c>
      <c r="E2820" s="2" t="s">
        <v>866</v>
      </c>
      <c r="F2820" s="2" t="s">
        <v>867</v>
      </c>
      <c r="G2820" s="2" t="s">
        <v>3326</v>
      </c>
      <c r="H2820" s="2" t="s">
        <v>254</v>
      </c>
      <c r="I2820" s="2" t="s">
        <v>651</v>
      </c>
      <c r="J2820" s="2" t="s">
        <v>652</v>
      </c>
      <c r="K2820" s="9">
        <v>45988</v>
      </c>
      <c r="L2820" s="9">
        <v>45996</v>
      </c>
      <c r="M2820" s="9">
        <v>45988</v>
      </c>
      <c r="N2820" s="2" t="s">
        <v>3124</v>
      </c>
      <c r="O2820" s="2" t="s">
        <v>66</v>
      </c>
      <c r="P2820" s="2" t="s">
        <v>489</v>
      </c>
      <c r="Q2820" s="2" t="s">
        <v>947</v>
      </c>
      <c r="R2820" s="2" t="s">
        <v>149</v>
      </c>
      <c r="S2820" s="2" t="s">
        <v>654</v>
      </c>
      <c r="T2820" s="10">
        <v>247.35</v>
      </c>
      <c r="U2820" s="11">
        <v>0.72799999999999998</v>
      </c>
      <c r="V2820" s="12">
        <f>T2820*U2820</f>
        <v>180.07079999999999</v>
      </c>
      <c r="W2820" s="13">
        <v>0</v>
      </c>
      <c r="X2820" s="12">
        <f>V2820-(V2820/(1+W2820))</f>
        <v>0</v>
      </c>
      <c r="Y2820" s="12">
        <f>V2820-X2820</f>
        <v>180.07079999999999</v>
      </c>
      <c r="Z2820" s="14">
        <v>250</v>
      </c>
      <c r="AA2820" s="2" t="str">
        <f>IF(V2820&gt;Z2820,"Yes","No")</f>
        <v>No</v>
      </c>
      <c r="AB2820" s="12">
        <f>V2820-Z2820</f>
        <v>-69.929200000000009</v>
      </c>
      <c r="AC2820" s="15" t="s">
        <v>130</v>
      </c>
      <c r="AD2820" s="15" t="s">
        <v>131</v>
      </c>
      <c r="AE2820" s="15" t="s">
        <v>437</v>
      </c>
      <c r="AF2820" s="12">
        <f>IF(AG2820="Rejected",0,IF(R2820="Corporate Card",0,V2820))</f>
        <v>180.07079999999999</v>
      </c>
      <c r="AG2820" s="15" t="s">
        <v>181</v>
      </c>
      <c r="AH2820" s="16">
        <v>45998</v>
      </c>
      <c r="AI2820" s="16"/>
      <c r="AJ2820" s="16"/>
      <c r="AK2820" s="17" t="str">
        <f>IF(AJ2820="","",AJ2820-AH2820)</f>
        <v/>
      </c>
    </row>
    <row r="2821" spans="1:37">
      <c r="A2821" s="2" t="s">
        <v>3332</v>
      </c>
      <c r="B2821" s="2" t="s">
        <v>616</v>
      </c>
      <c r="C2821" s="2" t="s">
        <v>252</v>
      </c>
      <c r="D2821" s="2" t="s">
        <v>250</v>
      </c>
      <c r="E2821" s="2" t="s">
        <v>617</v>
      </c>
      <c r="F2821" s="2" t="s">
        <v>510</v>
      </c>
      <c r="G2821" s="2" t="s">
        <v>3291</v>
      </c>
      <c r="H2821" s="2" t="s">
        <v>417</v>
      </c>
      <c r="I2821" s="2" t="s">
        <v>255</v>
      </c>
      <c r="J2821" s="2" t="s">
        <v>256</v>
      </c>
      <c r="K2821" s="9">
        <v>45984</v>
      </c>
      <c r="L2821" s="9">
        <v>45989</v>
      </c>
      <c r="M2821" s="9">
        <v>45988</v>
      </c>
      <c r="N2821" s="2" t="s">
        <v>3124</v>
      </c>
      <c r="O2821" s="2" t="s">
        <v>58</v>
      </c>
      <c r="P2821" s="2" t="s">
        <v>142</v>
      </c>
      <c r="Q2821" s="2" t="s">
        <v>224</v>
      </c>
      <c r="R2821" s="2" t="s">
        <v>128</v>
      </c>
      <c r="S2821" s="2" t="s">
        <v>259</v>
      </c>
      <c r="T2821" s="10">
        <v>7371</v>
      </c>
      <c r="U2821" s="11">
        <v>6.5500000000000003E-3</v>
      </c>
      <c r="V2821" s="12">
        <f>T2821*U2821</f>
        <v>48.280050000000003</v>
      </c>
      <c r="W2821" s="13">
        <v>0.1</v>
      </c>
      <c r="X2821" s="12">
        <f>V2821-(V2821/(1+W2821))</f>
        <v>4.3890954545454548</v>
      </c>
      <c r="Y2821" s="12">
        <f>V2821-X2821</f>
        <v>43.890954545454548</v>
      </c>
      <c r="Z2821" s="14">
        <v>60</v>
      </c>
      <c r="AA2821" s="2" t="str">
        <f>IF(V2821&gt;Z2821,"Yes","No")</f>
        <v>No</v>
      </c>
      <c r="AB2821" s="12">
        <f>V2821-Z2821</f>
        <v>-11.719949999999997</v>
      </c>
      <c r="AC2821" s="15" t="s">
        <v>130</v>
      </c>
      <c r="AD2821" s="15" t="s">
        <v>131</v>
      </c>
      <c r="AE2821" s="15" t="s">
        <v>132</v>
      </c>
      <c r="AF2821" s="12">
        <f>IF(AG2821="Rejected",0,IF(R2821="Corporate Card",0,V2821))</f>
        <v>0</v>
      </c>
      <c r="AG2821" s="15" t="s">
        <v>133</v>
      </c>
      <c r="AH2821" s="16">
        <v>45994</v>
      </c>
      <c r="AI2821" s="16">
        <v>45998</v>
      </c>
      <c r="AJ2821" s="16">
        <v>46012</v>
      </c>
      <c r="AK2821" s="17">
        <f>IF(AJ2821="","",AJ2821-AH2821)</f>
        <v>18</v>
      </c>
    </row>
    <row r="2822" spans="1:37">
      <c r="A2822" s="2" t="s">
        <v>3333</v>
      </c>
      <c r="B2822" s="2" t="s">
        <v>616</v>
      </c>
      <c r="C2822" s="2" t="s">
        <v>252</v>
      </c>
      <c r="D2822" s="2" t="s">
        <v>250</v>
      </c>
      <c r="E2822" s="2" t="s">
        <v>617</v>
      </c>
      <c r="F2822" s="2" t="s">
        <v>510</v>
      </c>
      <c r="G2822" s="2" t="s">
        <v>3291</v>
      </c>
      <c r="H2822" s="2" t="s">
        <v>417</v>
      </c>
      <c r="I2822" s="2" t="s">
        <v>255</v>
      </c>
      <c r="J2822" s="2" t="s">
        <v>256</v>
      </c>
      <c r="K2822" s="9">
        <v>45984</v>
      </c>
      <c r="L2822" s="9">
        <v>45989</v>
      </c>
      <c r="M2822" s="9">
        <v>45988</v>
      </c>
      <c r="N2822" s="2" t="s">
        <v>3124</v>
      </c>
      <c r="O2822" s="2" t="s">
        <v>54</v>
      </c>
      <c r="P2822" s="2" t="s">
        <v>139</v>
      </c>
      <c r="Q2822" s="2" t="s">
        <v>163</v>
      </c>
      <c r="R2822" s="2" t="s">
        <v>149</v>
      </c>
      <c r="S2822" s="2" t="s">
        <v>259</v>
      </c>
      <c r="T2822" s="10">
        <v>2616</v>
      </c>
      <c r="U2822" s="11">
        <v>6.5500000000000003E-3</v>
      </c>
      <c r="V2822" s="12">
        <f>T2822*U2822</f>
        <v>17.134800000000002</v>
      </c>
      <c r="W2822" s="13">
        <v>0.1</v>
      </c>
      <c r="X2822" s="12">
        <f>V2822-(V2822/(1+W2822))</f>
        <v>1.5577090909090927</v>
      </c>
      <c r="Y2822" s="12">
        <f>V2822-X2822</f>
        <v>15.577090909090909</v>
      </c>
      <c r="Z2822" s="14">
        <v>25</v>
      </c>
      <c r="AA2822" s="2" t="str">
        <f>IF(V2822&gt;Z2822,"Yes","No")</f>
        <v>No</v>
      </c>
      <c r="AB2822" s="12">
        <f>V2822-Z2822</f>
        <v>-7.865199999999998</v>
      </c>
      <c r="AC2822" s="15" t="s">
        <v>130</v>
      </c>
      <c r="AD2822" s="15" t="s">
        <v>131</v>
      </c>
      <c r="AE2822" s="15" t="s">
        <v>132</v>
      </c>
      <c r="AF2822" s="12">
        <f>IF(AG2822="Rejected",0,IF(R2822="Corporate Card",0,V2822))</f>
        <v>17.134800000000002</v>
      </c>
      <c r="AG2822" s="15" t="s">
        <v>133</v>
      </c>
      <c r="AH2822" s="16">
        <v>45994</v>
      </c>
      <c r="AI2822" s="16">
        <v>45998</v>
      </c>
      <c r="AJ2822" s="16">
        <v>46012</v>
      </c>
      <c r="AK2822" s="17">
        <f>IF(AJ2822="","",AJ2822-AH2822)</f>
        <v>18</v>
      </c>
    </row>
    <row r="2823" spans="1:37">
      <c r="A2823" s="2" t="s">
        <v>3334</v>
      </c>
      <c r="B2823" s="2" t="s">
        <v>616</v>
      </c>
      <c r="C2823" s="2" t="s">
        <v>252</v>
      </c>
      <c r="D2823" s="2" t="s">
        <v>250</v>
      </c>
      <c r="E2823" s="2" t="s">
        <v>617</v>
      </c>
      <c r="F2823" s="2" t="s">
        <v>510</v>
      </c>
      <c r="G2823" s="2" t="s">
        <v>3291</v>
      </c>
      <c r="H2823" s="2" t="s">
        <v>417</v>
      </c>
      <c r="I2823" s="2" t="s">
        <v>255</v>
      </c>
      <c r="J2823" s="2" t="s">
        <v>256</v>
      </c>
      <c r="K2823" s="9">
        <v>45984</v>
      </c>
      <c r="L2823" s="9">
        <v>45989</v>
      </c>
      <c r="M2823" s="9">
        <v>45988</v>
      </c>
      <c r="N2823" s="2" t="s">
        <v>3124</v>
      </c>
      <c r="O2823" s="2" t="s">
        <v>56</v>
      </c>
      <c r="P2823" s="2" t="s">
        <v>245</v>
      </c>
      <c r="Q2823" s="2" t="s">
        <v>152</v>
      </c>
      <c r="R2823" s="2" t="s">
        <v>128</v>
      </c>
      <c r="S2823" s="2" t="s">
        <v>259</v>
      </c>
      <c r="T2823" s="10">
        <v>5868</v>
      </c>
      <c r="U2823" s="11">
        <v>6.5500000000000003E-3</v>
      </c>
      <c r="V2823" s="12">
        <f>T2823*U2823</f>
        <v>38.435400000000001</v>
      </c>
      <c r="W2823" s="13">
        <v>0.1</v>
      </c>
      <c r="X2823" s="12">
        <f>V2823-(V2823/(1+W2823))</f>
        <v>3.4941272727272761</v>
      </c>
      <c r="Y2823" s="12">
        <f>V2823-X2823</f>
        <v>34.941272727272725</v>
      </c>
      <c r="Z2823" s="14">
        <v>75</v>
      </c>
      <c r="AA2823" s="2" t="str">
        <f>IF(V2823&gt;Z2823,"Yes","No")</f>
        <v>No</v>
      </c>
      <c r="AB2823" s="12">
        <f>V2823-Z2823</f>
        <v>-36.564599999999999</v>
      </c>
      <c r="AC2823" s="15" t="s">
        <v>130</v>
      </c>
      <c r="AD2823" s="15" t="s">
        <v>131</v>
      </c>
      <c r="AE2823" s="15" t="s">
        <v>132</v>
      </c>
      <c r="AF2823" s="12">
        <f>IF(AG2823="Rejected",0,IF(R2823="Corporate Card",0,V2823))</f>
        <v>0</v>
      </c>
      <c r="AG2823" s="15" t="s">
        <v>133</v>
      </c>
      <c r="AH2823" s="16">
        <v>45994</v>
      </c>
      <c r="AI2823" s="16">
        <v>45998</v>
      </c>
      <c r="AJ2823" s="16">
        <v>46012</v>
      </c>
      <c r="AK2823" s="17">
        <f>IF(AJ2823="","",AJ2823-AH2823)</f>
        <v>18</v>
      </c>
    </row>
    <row r="2824" spans="1:37">
      <c r="A2824" s="2" t="s">
        <v>3335</v>
      </c>
      <c r="B2824" s="2" t="s">
        <v>616</v>
      </c>
      <c r="C2824" s="2" t="s">
        <v>252</v>
      </c>
      <c r="D2824" s="2" t="s">
        <v>250</v>
      </c>
      <c r="E2824" s="2" t="s">
        <v>617</v>
      </c>
      <c r="F2824" s="2" t="s">
        <v>510</v>
      </c>
      <c r="G2824" s="2" t="s">
        <v>3291</v>
      </c>
      <c r="H2824" s="2" t="s">
        <v>417</v>
      </c>
      <c r="I2824" s="2" t="s">
        <v>255</v>
      </c>
      <c r="J2824" s="2" t="s">
        <v>256</v>
      </c>
      <c r="K2824" s="9">
        <v>45984</v>
      </c>
      <c r="L2824" s="9">
        <v>45989</v>
      </c>
      <c r="M2824" s="9">
        <v>45988</v>
      </c>
      <c r="N2824" s="2" t="s">
        <v>3124</v>
      </c>
      <c r="O2824" s="2" t="s">
        <v>55</v>
      </c>
      <c r="P2824" s="2" t="s">
        <v>139</v>
      </c>
      <c r="Q2824" s="2" t="s">
        <v>161</v>
      </c>
      <c r="R2824" s="2" t="s">
        <v>149</v>
      </c>
      <c r="S2824" s="2" t="s">
        <v>259</v>
      </c>
      <c r="T2824" s="10">
        <v>2132</v>
      </c>
      <c r="U2824" s="11">
        <v>6.5500000000000003E-3</v>
      </c>
      <c r="V2824" s="12">
        <f>T2824*U2824</f>
        <v>13.964600000000001</v>
      </c>
      <c r="W2824" s="13">
        <v>0.1</v>
      </c>
      <c r="X2824" s="12">
        <f>V2824-(V2824/(1+W2824))</f>
        <v>1.2695090909090911</v>
      </c>
      <c r="Y2824" s="12">
        <f>V2824-X2824</f>
        <v>12.69509090909091</v>
      </c>
      <c r="Z2824" s="14">
        <v>35</v>
      </c>
      <c r="AA2824" s="2" t="str">
        <f>IF(V2824&gt;Z2824,"Yes","No")</f>
        <v>No</v>
      </c>
      <c r="AB2824" s="12">
        <f>V2824-Z2824</f>
        <v>-21.035399999999999</v>
      </c>
      <c r="AC2824" s="15" t="s">
        <v>130</v>
      </c>
      <c r="AD2824" s="15" t="s">
        <v>131</v>
      </c>
      <c r="AE2824" s="15" t="s">
        <v>132</v>
      </c>
      <c r="AF2824" s="12">
        <f>IF(AG2824="Rejected",0,IF(R2824="Corporate Card",0,V2824))</f>
        <v>13.964600000000001</v>
      </c>
      <c r="AG2824" s="15" t="s">
        <v>133</v>
      </c>
      <c r="AH2824" s="16">
        <v>45994</v>
      </c>
      <c r="AI2824" s="16">
        <v>45998</v>
      </c>
      <c r="AJ2824" s="16">
        <v>46012</v>
      </c>
      <c r="AK2824" s="17">
        <f>IF(AJ2824="","",AJ2824-AH2824)</f>
        <v>18</v>
      </c>
    </row>
    <row r="2825" spans="1:37">
      <c r="A2825" s="2" t="s">
        <v>3336</v>
      </c>
      <c r="B2825" s="2" t="s">
        <v>2212</v>
      </c>
      <c r="C2825" s="2" t="s">
        <v>346</v>
      </c>
      <c r="D2825" s="2" t="s">
        <v>344</v>
      </c>
      <c r="E2825" s="2" t="s">
        <v>2213</v>
      </c>
      <c r="F2825" s="2" t="s">
        <v>313</v>
      </c>
      <c r="G2825" s="2" t="s">
        <v>3322</v>
      </c>
      <c r="H2825" s="2" t="s">
        <v>748</v>
      </c>
      <c r="I2825" s="2" t="s">
        <v>380</v>
      </c>
      <c r="J2825" s="2" t="s">
        <v>381</v>
      </c>
      <c r="K2825" s="9">
        <v>45987</v>
      </c>
      <c r="L2825" s="9">
        <v>45995</v>
      </c>
      <c r="M2825" s="9">
        <v>45988</v>
      </c>
      <c r="N2825" s="2" t="s">
        <v>3124</v>
      </c>
      <c r="O2825" s="2" t="s">
        <v>60</v>
      </c>
      <c r="P2825" s="2" t="s">
        <v>1055</v>
      </c>
      <c r="Q2825" s="2" t="s">
        <v>537</v>
      </c>
      <c r="R2825" s="2" t="s">
        <v>128</v>
      </c>
      <c r="S2825" s="2" t="s">
        <v>383</v>
      </c>
      <c r="T2825" s="10">
        <v>463.54</v>
      </c>
      <c r="U2825" s="11">
        <v>1</v>
      </c>
      <c r="V2825" s="12">
        <f>T2825*U2825</f>
        <v>463.54</v>
      </c>
      <c r="W2825" s="13">
        <v>0</v>
      </c>
      <c r="X2825" s="12">
        <f>V2825-(V2825/(1+W2825))</f>
        <v>0</v>
      </c>
      <c r="Y2825" s="12">
        <f>V2825-X2825</f>
        <v>463.54</v>
      </c>
      <c r="Z2825" s="14">
        <v>960</v>
      </c>
      <c r="AA2825" s="2" t="str">
        <f>IF(V2825&gt;Z2825,"Yes","No")</f>
        <v>No</v>
      </c>
      <c r="AB2825" s="12">
        <f>V2825-Z2825</f>
        <v>-496.46</v>
      </c>
      <c r="AC2825" s="15" t="s">
        <v>130</v>
      </c>
      <c r="AD2825" s="15" t="s">
        <v>130</v>
      </c>
      <c r="AE2825" s="15" t="s">
        <v>260</v>
      </c>
      <c r="AF2825" s="12">
        <f>IF(AG2825="Rejected",0,IF(R2825="Corporate Card",0,V2825))</f>
        <v>0</v>
      </c>
      <c r="AG2825" s="15" t="s">
        <v>133</v>
      </c>
      <c r="AH2825" s="16">
        <v>46004</v>
      </c>
      <c r="AI2825" s="16">
        <v>46008</v>
      </c>
      <c r="AJ2825" s="16">
        <v>46021</v>
      </c>
      <c r="AK2825" s="17">
        <f>IF(AJ2825="","",AJ2825-AH2825)</f>
        <v>17</v>
      </c>
    </row>
    <row r="2826" spans="1:37">
      <c r="A2826" s="2" t="s">
        <v>3337</v>
      </c>
      <c r="B2826" s="2" t="s">
        <v>2212</v>
      </c>
      <c r="C2826" s="2" t="s">
        <v>346</v>
      </c>
      <c r="D2826" s="2" t="s">
        <v>344</v>
      </c>
      <c r="E2826" s="2" t="s">
        <v>2213</v>
      </c>
      <c r="F2826" s="2" t="s">
        <v>313</v>
      </c>
      <c r="G2826" s="2" t="s">
        <v>3322</v>
      </c>
      <c r="H2826" s="2" t="s">
        <v>748</v>
      </c>
      <c r="I2826" s="2" t="s">
        <v>380</v>
      </c>
      <c r="J2826" s="2" t="s">
        <v>381</v>
      </c>
      <c r="K2826" s="9">
        <v>45987</v>
      </c>
      <c r="L2826" s="9">
        <v>45995</v>
      </c>
      <c r="M2826" s="9">
        <v>45988</v>
      </c>
      <c r="N2826" s="2" t="s">
        <v>3124</v>
      </c>
      <c r="O2826" s="2" t="s">
        <v>58</v>
      </c>
      <c r="P2826" s="2" t="s">
        <v>142</v>
      </c>
      <c r="Q2826" s="2" t="s">
        <v>143</v>
      </c>
      <c r="R2826" s="2" t="s">
        <v>128</v>
      </c>
      <c r="S2826" s="2" t="s">
        <v>383</v>
      </c>
      <c r="T2826" s="10">
        <v>41.94</v>
      </c>
      <c r="U2826" s="11">
        <v>1</v>
      </c>
      <c r="V2826" s="12">
        <f>T2826*U2826</f>
        <v>41.94</v>
      </c>
      <c r="W2826" s="13">
        <v>0</v>
      </c>
      <c r="X2826" s="12">
        <f>V2826-(V2826/(1+W2826))</f>
        <v>0</v>
      </c>
      <c r="Y2826" s="12">
        <f>V2826-X2826</f>
        <v>41.94</v>
      </c>
      <c r="Z2826" s="14">
        <v>60</v>
      </c>
      <c r="AA2826" s="2" t="str">
        <f>IF(V2826&gt;Z2826,"Yes","No")</f>
        <v>No</v>
      </c>
      <c r="AB2826" s="12">
        <f>V2826-Z2826</f>
        <v>-18.060000000000002</v>
      </c>
      <c r="AC2826" s="15" t="s">
        <v>131</v>
      </c>
      <c r="AD2826" s="15" t="s">
        <v>130</v>
      </c>
      <c r="AE2826" s="15" t="s">
        <v>260</v>
      </c>
      <c r="AF2826" s="12">
        <f>IF(AG2826="Rejected",0,IF(R2826="Corporate Card",0,V2826))</f>
        <v>0</v>
      </c>
      <c r="AG2826" s="15" t="s">
        <v>133</v>
      </c>
      <c r="AH2826" s="16">
        <v>46004</v>
      </c>
      <c r="AI2826" s="16">
        <v>46008</v>
      </c>
      <c r="AJ2826" s="16">
        <v>46021</v>
      </c>
      <c r="AK2826" s="17">
        <f>IF(AJ2826="","",AJ2826-AH2826)</f>
        <v>17</v>
      </c>
    </row>
    <row r="2827" spans="1:37">
      <c r="A2827" s="2" t="s">
        <v>3338</v>
      </c>
      <c r="B2827" s="2" t="s">
        <v>2212</v>
      </c>
      <c r="C2827" s="2" t="s">
        <v>346</v>
      </c>
      <c r="D2827" s="2" t="s">
        <v>344</v>
      </c>
      <c r="E2827" s="2" t="s">
        <v>2213</v>
      </c>
      <c r="F2827" s="2" t="s">
        <v>313</v>
      </c>
      <c r="G2827" s="2" t="s">
        <v>3322</v>
      </c>
      <c r="H2827" s="2" t="s">
        <v>748</v>
      </c>
      <c r="I2827" s="2" t="s">
        <v>380</v>
      </c>
      <c r="J2827" s="2" t="s">
        <v>381</v>
      </c>
      <c r="K2827" s="9">
        <v>45987</v>
      </c>
      <c r="L2827" s="9">
        <v>45995</v>
      </c>
      <c r="M2827" s="9">
        <v>45988</v>
      </c>
      <c r="N2827" s="2" t="s">
        <v>3124</v>
      </c>
      <c r="O2827" s="2" t="s">
        <v>53</v>
      </c>
      <c r="P2827" s="2" t="s">
        <v>669</v>
      </c>
      <c r="Q2827" s="2" t="s">
        <v>146</v>
      </c>
      <c r="R2827" s="2" t="s">
        <v>128</v>
      </c>
      <c r="S2827" s="2" t="s">
        <v>383</v>
      </c>
      <c r="T2827" s="10">
        <v>832.97</v>
      </c>
      <c r="U2827" s="11">
        <v>1</v>
      </c>
      <c r="V2827" s="12">
        <f>T2827*U2827</f>
        <v>832.97</v>
      </c>
      <c r="W2827" s="13">
        <v>0</v>
      </c>
      <c r="X2827" s="12">
        <f>V2827-(V2827/(1+W2827))</f>
        <v>0</v>
      </c>
      <c r="Y2827" s="12">
        <f>V2827-X2827</f>
        <v>832.97</v>
      </c>
      <c r="Z2827" s="14">
        <v>2240</v>
      </c>
      <c r="AA2827" s="2" t="str">
        <f>IF(V2827&gt;Z2827,"Yes","No")</f>
        <v>No</v>
      </c>
      <c r="AB2827" s="12">
        <f>V2827-Z2827</f>
        <v>-1407.03</v>
      </c>
      <c r="AC2827" s="15" t="s">
        <v>130</v>
      </c>
      <c r="AD2827" s="15" t="s">
        <v>130</v>
      </c>
      <c r="AE2827" s="15" t="s">
        <v>260</v>
      </c>
      <c r="AF2827" s="12">
        <f>IF(AG2827="Rejected",0,IF(R2827="Corporate Card",0,V2827))</f>
        <v>0</v>
      </c>
      <c r="AG2827" s="15" t="s">
        <v>133</v>
      </c>
      <c r="AH2827" s="16">
        <v>46004</v>
      </c>
      <c r="AI2827" s="16">
        <v>46008</v>
      </c>
      <c r="AJ2827" s="16">
        <v>46021</v>
      </c>
      <c r="AK2827" s="17">
        <f>IF(AJ2827="","",AJ2827-AH2827)</f>
        <v>17</v>
      </c>
    </row>
    <row r="2828" spans="1:37">
      <c r="A2828" s="2" t="s">
        <v>3339</v>
      </c>
      <c r="B2828" s="2" t="s">
        <v>2212</v>
      </c>
      <c r="C2828" s="2" t="s">
        <v>346</v>
      </c>
      <c r="D2828" s="2" t="s">
        <v>344</v>
      </c>
      <c r="E2828" s="2" t="s">
        <v>2213</v>
      </c>
      <c r="F2828" s="2" t="s">
        <v>313</v>
      </c>
      <c r="G2828" s="2" t="s">
        <v>3322</v>
      </c>
      <c r="H2828" s="2" t="s">
        <v>748</v>
      </c>
      <c r="I2828" s="2" t="s">
        <v>380</v>
      </c>
      <c r="J2828" s="2" t="s">
        <v>381</v>
      </c>
      <c r="K2828" s="9">
        <v>45987</v>
      </c>
      <c r="L2828" s="9">
        <v>45995</v>
      </c>
      <c r="M2828" s="9">
        <v>45988</v>
      </c>
      <c r="N2828" s="2" t="s">
        <v>3124</v>
      </c>
      <c r="O2828" s="2" t="s">
        <v>54</v>
      </c>
      <c r="P2828" s="2" t="s">
        <v>139</v>
      </c>
      <c r="Q2828" s="2" t="s">
        <v>163</v>
      </c>
      <c r="R2828" s="2" t="s">
        <v>128</v>
      </c>
      <c r="S2828" s="2" t="s">
        <v>383</v>
      </c>
      <c r="T2828" s="10">
        <v>33.520000000000003</v>
      </c>
      <c r="U2828" s="11">
        <v>1</v>
      </c>
      <c r="V2828" s="12">
        <f>T2828*U2828</f>
        <v>33.520000000000003</v>
      </c>
      <c r="W2828" s="13">
        <v>0</v>
      </c>
      <c r="X2828" s="12">
        <f>V2828-(V2828/(1+W2828))</f>
        <v>0</v>
      </c>
      <c r="Y2828" s="12">
        <f>V2828-X2828</f>
        <v>33.520000000000003</v>
      </c>
      <c r="Z2828" s="14">
        <v>25</v>
      </c>
      <c r="AA2828" s="2" t="str">
        <f>IF(V2828&gt;Z2828,"Yes","No")</f>
        <v>Yes</v>
      </c>
      <c r="AB2828" s="12">
        <f>V2828-Z2828</f>
        <v>8.5200000000000031</v>
      </c>
      <c r="AC2828" s="15" t="s">
        <v>130</v>
      </c>
      <c r="AD2828" s="15" t="s">
        <v>130</v>
      </c>
      <c r="AE2828" s="15" t="s">
        <v>260</v>
      </c>
      <c r="AF2828" s="12">
        <f>IF(AG2828="Rejected",0,IF(R2828="Corporate Card",0,V2828))</f>
        <v>0</v>
      </c>
      <c r="AG2828" s="15" t="s">
        <v>133</v>
      </c>
      <c r="AH2828" s="16">
        <v>46004</v>
      </c>
      <c r="AI2828" s="16">
        <v>46008</v>
      </c>
      <c r="AJ2828" s="16">
        <v>46021</v>
      </c>
      <c r="AK2828" s="17">
        <f>IF(AJ2828="","",AJ2828-AH2828)</f>
        <v>17</v>
      </c>
    </row>
    <row r="2829" spans="1:37">
      <c r="A2829" s="2" t="s">
        <v>3340</v>
      </c>
      <c r="B2829" s="2" t="s">
        <v>2212</v>
      </c>
      <c r="C2829" s="2" t="s">
        <v>346</v>
      </c>
      <c r="D2829" s="2" t="s">
        <v>344</v>
      </c>
      <c r="E2829" s="2" t="s">
        <v>2213</v>
      </c>
      <c r="F2829" s="2" t="s">
        <v>313</v>
      </c>
      <c r="G2829" s="2" t="s">
        <v>3322</v>
      </c>
      <c r="H2829" s="2" t="s">
        <v>748</v>
      </c>
      <c r="I2829" s="2" t="s">
        <v>380</v>
      </c>
      <c r="J2829" s="2" t="s">
        <v>381</v>
      </c>
      <c r="K2829" s="9">
        <v>45987</v>
      </c>
      <c r="L2829" s="9">
        <v>45995</v>
      </c>
      <c r="M2829" s="9">
        <v>45988</v>
      </c>
      <c r="N2829" s="2" t="s">
        <v>3124</v>
      </c>
      <c r="O2829" s="2" t="s">
        <v>56</v>
      </c>
      <c r="P2829" s="2" t="s">
        <v>151</v>
      </c>
      <c r="Q2829" s="2" t="s">
        <v>159</v>
      </c>
      <c r="R2829" s="2" t="s">
        <v>128</v>
      </c>
      <c r="S2829" s="2" t="s">
        <v>383</v>
      </c>
      <c r="T2829" s="10">
        <v>47.21</v>
      </c>
      <c r="U2829" s="11">
        <v>1</v>
      </c>
      <c r="V2829" s="12">
        <f>T2829*U2829</f>
        <v>47.21</v>
      </c>
      <c r="W2829" s="13">
        <v>0</v>
      </c>
      <c r="X2829" s="12">
        <f>V2829-(V2829/(1+W2829))</f>
        <v>0</v>
      </c>
      <c r="Y2829" s="12">
        <f>V2829-X2829</f>
        <v>47.21</v>
      </c>
      <c r="Z2829" s="14">
        <v>75</v>
      </c>
      <c r="AA2829" s="2" t="str">
        <f>IF(V2829&gt;Z2829,"Yes","No")</f>
        <v>No</v>
      </c>
      <c r="AB2829" s="12">
        <f>V2829-Z2829</f>
        <v>-27.79</v>
      </c>
      <c r="AC2829" s="15" t="s">
        <v>130</v>
      </c>
      <c r="AD2829" s="15" t="s">
        <v>130</v>
      </c>
      <c r="AE2829" s="15" t="s">
        <v>260</v>
      </c>
      <c r="AF2829" s="12">
        <f>IF(AG2829="Rejected",0,IF(R2829="Corporate Card",0,V2829))</f>
        <v>0</v>
      </c>
      <c r="AG2829" s="15" t="s">
        <v>133</v>
      </c>
      <c r="AH2829" s="16">
        <v>46004</v>
      </c>
      <c r="AI2829" s="16">
        <v>46008</v>
      </c>
      <c r="AJ2829" s="16">
        <v>46021</v>
      </c>
      <c r="AK2829" s="17">
        <f>IF(AJ2829="","",AJ2829-AH2829)</f>
        <v>17</v>
      </c>
    </row>
    <row r="2830" spans="1:37">
      <c r="A2830" s="2" t="s">
        <v>3341</v>
      </c>
      <c r="B2830" s="2" t="s">
        <v>2212</v>
      </c>
      <c r="C2830" s="2" t="s">
        <v>346</v>
      </c>
      <c r="D2830" s="2" t="s">
        <v>344</v>
      </c>
      <c r="E2830" s="2" t="s">
        <v>2213</v>
      </c>
      <c r="F2830" s="2" t="s">
        <v>313</v>
      </c>
      <c r="G2830" s="2" t="s">
        <v>3322</v>
      </c>
      <c r="H2830" s="2" t="s">
        <v>748</v>
      </c>
      <c r="I2830" s="2" t="s">
        <v>380</v>
      </c>
      <c r="J2830" s="2" t="s">
        <v>381</v>
      </c>
      <c r="K2830" s="9">
        <v>45987</v>
      </c>
      <c r="L2830" s="9">
        <v>45995</v>
      </c>
      <c r="M2830" s="9">
        <v>45988</v>
      </c>
      <c r="N2830" s="2" t="s">
        <v>3124</v>
      </c>
      <c r="O2830" s="2" t="s">
        <v>55</v>
      </c>
      <c r="P2830" s="2" t="s">
        <v>139</v>
      </c>
      <c r="Q2830" s="2" t="s">
        <v>154</v>
      </c>
      <c r="R2830" s="2" t="s">
        <v>137</v>
      </c>
      <c r="S2830" s="2" t="s">
        <v>383</v>
      </c>
      <c r="T2830" s="10">
        <v>23.68</v>
      </c>
      <c r="U2830" s="11">
        <v>1</v>
      </c>
      <c r="V2830" s="12">
        <f>T2830*U2830</f>
        <v>23.68</v>
      </c>
      <c r="W2830" s="13">
        <v>0</v>
      </c>
      <c r="X2830" s="12">
        <f>V2830-(V2830/(1+W2830))</f>
        <v>0</v>
      </c>
      <c r="Y2830" s="12">
        <f>V2830-X2830</f>
        <v>23.68</v>
      </c>
      <c r="Z2830" s="14">
        <v>35</v>
      </c>
      <c r="AA2830" s="2" t="str">
        <f>IF(V2830&gt;Z2830,"Yes","No")</f>
        <v>No</v>
      </c>
      <c r="AB2830" s="12">
        <f>V2830-Z2830</f>
        <v>-11.32</v>
      </c>
      <c r="AC2830" s="15" t="s">
        <v>130</v>
      </c>
      <c r="AD2830" s="15" t="s">
        <v>130</v>
      </c>
      <c r="AE2830" s="15" t="s">
        <v>260</v>
      </c>
      <c r="AF2830" s="12">
        <f>IF(AG2830="Rejected",0,IF(R2830="Corporate Card",0,V2830))</f>
        <v>23.68</v>
      </c>
      <c r="AG2830" s="15" t="s">
        <v>133</v>
      </c>
      <c r="AH2830" s="16">
        <v>46004</v>
      </c>
      <c r="AI2830" s="16">
        <v>46008</v>
      </c>
      <c r="AJ2830" s="16">
        <v>46021</v>
      </c>
      <c r="AK2830" s="17">
        <f>IF(AJ2830="","",AJ2830-AH2830)</f>
        <v>17</v>
      </c>
    </row>
    <row r="2831" spans="1:37">
      <c r="A2831" s="2" t="s">
        <v>3342</v>
      </c>
      <c r="B2831" s="2" t="s">
        <v>116</v>
      </c>
      <c r="C2831" s="2" t="s">
        <v>117</v>
      </c>
      <c r="D2831" s="2" t="s">
        <v>118</v>
      </c>
      <c r="E2831" s="2" t="s">
        <v>119</v>
      </c>
      <c r="F2831" s="2" t="s">
        <v>120</v>
      </c>
      <c r="G2831" s="2" t="s">
        <v>3343</v>
      </c>
      <c r="H2831" s="2" t="s">
        <v>448</v>
      </c>
      <c r="I2831" s="2" t="s">
        <v>433</v>
      </c>
      <c r="J2831" s="2" t="s">
        <v>434</v>
      </c>
      <c r="K2831" s="9">
        <v>45989</v>
      </c>
      <c r="L2831" s="9">
        <v>45995</v>
      </c>
      <c r="M2831" s="9">
        <v>45989</v>
      </c>
      <c r="N2831" s="2" t="s">
        <v>3124</v>
      </c>
      <c r="O2831" s="2" t="s">
        <v>52</v>
      </c>
      <c r="P2831" s="2" t="s">
        <v>435</v>
      </c>
      <c r="Q2831" s="2" t="s">
        <v>178</v>
      </c>
      <c r="R2831" s="2" t="s">
        <v>137</v>
      </c>
      <c r="S2831" s="2" t="s">
        <v>436</v>
      </c>
      <c r="T2831" s="10">
        <v>167735</v>
      </c>
      <c r="U2831" s="11">
        <v>1.1780000000000001E-2</v>
      </c>
      <c r="V2831" s="12">
        <f>T2831*U2831</f>
        <v>1975.9183</v>
      </c>
      <c r="W2831" s="13">
        <v>0</v>
      </c>
      <c r="X2831" s="12">
        <f>V2831-(V2831/(1+W2831))</f>
        <v>0</v>
      </c>
      <c r="Y2831" s="12">
        <f>V2831-X2831</f>
        <v>1975.9183</v>
      </c>
      <c r="Z2831" s="14">
        <v>1400</v>
      </c>
      <c r="AA2831" s="2" t="str">
        <f>IF(V2831&gt;Z2831,"Yes","No")</f>
        <v>Yes</v>
      </c>
      <c r="AB2831" s="12">
        <f>V2831-Z2831</f>
        <v>575.91830000000004</v>
      </c>
      <c r="AC2831" s="15" t="s">
        <v>130</v>
      </c>
      <c r="AD2831" s="15" t="s">
        <v>131</v>
      </c>
      <c r="AE2831" s="15" t="s">
        <v>132</v>
      </c>
      <c r="AF2831" s="12">
        <f>IF(AG2831="Rejected",0,IF(R2831="Corporate Card",0,V2831))</f>
        <v>1975.9183</v>
      </c>
      <c r="AG2831" s="15" t="s">
        <v>133</v>
      </c>
      <c r="AH2831" s="16">
        <v>46003</v>
      </c>
      <c r="AI2831" s="16">
        <v>46006</v>
      </c>
      <c r="AJ2831" s="16">
        <v>46017</v>
      </c>
      <c r="AK2831" s="17">
        <f>IF(AJ2831="","",AJ2831-AH2831)</f>
        <v>14</v>
      </c>
    </row>
    <row r="2832" spans="1:37">
      <c r="A2832" s="2" t="s">
        <v>3344</v>
      </c>
      <c r="B2832" s="2" t="s">
        <v>116</v>
      </c>
      <c r="C2832" s="2" t="s">
        <v>117</v>
      </c>
      <c r="D2832" s="2" t="s">
        <v>118</v>
      </c>
      <c r="E2832" s="2" t="s">
        <v>119</v>
      </c>
      <c r="F2832" s="2" t="s">
        <v>120</v>
      </c>
      <c r="G2832" s="2" t="s">
        <v>3343</v>
      </c>
      <c r="H2832" s="2" t="s">
        <v>448</v>
      </c>
      <c r="I2832" s="2" t="s">
        <v>433</v>
      </c>
      <c r="J2832" s="2" t="s">
        <v>434</v>
      </c>
      <c r="K2832" s="9">
        <v>45989</v>
      </c>
      <c r="L2832" s="9">
        <v>45995</v>
      </c>
      <c r="M2832" s="9">
        <v>45989</v>
      </c>
      <c r="N2832" s="2" t="s">
        <v>3124</v>
      </c>
      <c r="O2832" s="2" t="s">
        <v>64</v>
      </c>
      <c r="P2832" s="2" t="s">
        <v>135</v>
      </c>
      <c r="Q2832" s="2" t="s">
        <v>513</v>
      </c>
      <c r="R2832" s="2" t="s">
        <v>137</v>
      </c>
      <c r="S2832" s="2" t="s">
        <v>436</v>
      </c>
      <c r="T2832" s="10">
        <v>4366</v>
      </c>
      <c r="U2832" s="11">
        <v>1.1780000000000001E-2</v>
      </c>
      <c r="V2832" s="12">
        <f>T2832*U2832</f>
        <v>51.431480000000001</v>
      </c>
      <c r="W2832" s="13">
        <v>0</v>
      </c>
      <c r="X2832" s="12">
        <f>V2832-(V2832/(1+W2832))</f>
        <v>0</v>
      </c>
      <c r="Y2832" s="12">
        <f>V2832-X2832</f>
        <v>51.431480000000001</v>
      </c>
      <c r="Z2832" s="14">
        <v>120</v>
      </c>
      <c r="AA2832" s="2" t="str">
        <f>IF(V2832&gt;Z2832,"Yes","No")</f>
        <v>No</v>
      </c>
      <c r="AB2832" s="12">
        <f>V2832-Z2832</f>
        <v>-68.568520000000007</v>
      </c>
      <c r="AC2832" s="15" t="s">
        <v>130</v>
      </c>
      <c r="AD2832" s="15" t="s">
        <v>131</v>
      </c>
      <c r="AE2832" s="15" t="s">
        <v>132</v>
      </c>
      <c r="AF2832" s="12">
        <f>IF(AG2832="Rejected",0,IF(R2832="Corporate Card",0,V2832))</f>
        <v>51.431480000000001</v>
      </c>
      <c r="AG2832" s="15" t="s">
        <v>133</v>
      </c>
      <c r="AH2832" s="16">
        <v>46003</v>
      </c>
      <c r="AI2832" s="16">
        <v>46006</v>
      </c>
      <c r="AJ2832" s="16">
        <v>46017</v>
      </c>
      <c r="AK2832" s="17">
        <f>IF(AJ2832="","",AJ2832-AH2832)</f>
        <v>14</v>
      </c>
    </row>
    <row r="2833" spans="1:37">
      <c r="A2833" s="2" t="s">
        <v>3345</v>
      </c>
      <c r="B2833" s="2" t="s">
        <v>116</v>
      </c>
      <c r="C2833" s="2" t="s">
        <v>117</v>
      </c>
      <c r="D2833" s="2" t="s">
        <v>118</v>
      </c>
      <c r="E2833" s="2" t="s">
        <v>119</v>
      </c>
      <c r="F2833" s="2" t="s">
        <v>120</v>
      </c>
      <c r="G2833" s="2" t="s">
        <v>3343</v>
      </c>
      <c r="H2833" s="2" t="s">
        <v>448</v>
      </c>
      <c r="I2833" s="2" t="s">
        <v>433</v>
      </c>
      <c r="J2833" s="2" t="s">
        <v>434</v>
      </c>
      <c r="K2833" s="9">
        <v>45989</v>
      </c>
      <c r="L2833" s="9">
        <v>45995</v>
      </c>
      <c r="M2833" s="9">
        <v>45989</v>
      </c>
      <c r="N2833" s="2" t="s">
        <v>3124</v>
      </c>
      <c r="O2833" s="2" t="s">
        <v>56</v>
      </c>
      <c r="P2833" s="2" t="s">
        <v>245</v>
      </c>
      <c r="Q2833" s="2" t="s">
        <v>185</v>
      </c>
      <c r="R2833" s="2" t="s">
        <v>137</v>
      </c>
      <c r="S2833" s="2" t="s">
        <v>436</v>
      </c>
      <c r="T2833" s="10">
        <v>3668</v>
      </c>
      <c r="U2833" s="11">
        <v>1.1780000000000001E-2</v>
      </c>
      <c r="V2833" s="12">
        <f>T2833*U2833</f>
        <v>43.209040000000002</v>
      </c>
      <c r="W2833" s="13">
        <v>0.18</v>
      </c>
      <c r="X2833" s="12">
        <f>V2833-(V2833/(1+W2833))</f>
        <v>6.5912094915254187</v>
      </c>
      <c r="Y2833" s="12">
        <f>V2833-X2833</f>
        <v>36.617830508474583</v>
      </c>
      <c r="Z2833" s="14">
        <v>75</v>
      </c>
      <c r="AA2833" s="2" t="str">
        <f>IF(V2833&gt;Z2833,"Yes","No")</f>
        <v>No</v>
      </c>
      <c r="AB2833" s="12">
        <f>V2833-Z2833</f>
        <v>-31.790959999999998</v>
      </c>
      <c r="AC2833" s="15" t="s">
        <v>130</v>
      </c>
      <c r="AD2833" s="15" t="s">
        <v>131</v>
      </c>
      <c r="AE2833" s="15" t="s">
        <v>132</v>
      </c>
      <c r="AF2833" s="12">
        <f>IF(AG2833="Rejected",0,IF(R2833="Corporate Card",0,V2833))</f>
        <v>43.209040000000002</v>
      </c>
      <c r="AG2833" s="15" t="s">
        <v>133</v>
      </c>
      <c r="AH2833" s="16">
        <v>46003</v>
      </c>
      <c r="AI2833" s="16">
        <v>46006</v>
      </c>
      <c r="AJ2833" s="16">
        <v>46017</v>
      </c>
      <c r="AK2833" s="17">
        <f>IF(AJ2833="","",AJ2833-AH2833)</f>
        <v>14</v>
      </c>
    </row>
    <row r="2834" spans="1:37">
      <c r="A2834" s="2" t="s">
        <v>3346</v>
      </c>
      <c r="B2834" s="2" t="s">
        <v>863</v>
      </c>
      <c r="C2834" s="2" t="s">
        <v>864</v>
      </c>
      <c r="D2834" s="2" t="s">
        <v>865</v>
      </c>
      <c r="E2834" s="2" t="s">
        <v>866</v>
      </c>
      <c r="F2834" s="2" t="s">
        <v>867</v>
      </c>
      <c r="G2834" s="2" t="s">
        <v>3326</v>
      </c>
      <c r="H2834" s="2" t="s">
        <v>254</v>
      </c>
      <c r="I2834" s="2" t="s">
        <v>651</v>
      </c>
      <c r="J2834" s="2" t="s">
        <v>652</v>
      </c>
      <c r="K2834" s="9">
        <v>45988</v>
      </c>
      <c r="L2834" s="9">
        <v>45996</v>
      </c>
      <c r="M2834" s="9">
        <v>45989</v>
      </c>
      <c r="N2834" s="2" t="s">
        <v>3124</v>
      </c>
      <c r="O2834" s="2" t="s">
        <v>58</v>
      </c>
      <c r="P2834" s="2" t="s">
        <v>142</v>
      </c>
      <c r="Q2834" s="2" t="s">
        <v>156</v>
      </c>
      <c r="R2834" s="2" t="s">
        <v>149</v>
      </c>
      <c r="S2834" s="2" t="s">
        <v>654</v>
      </c>
      <c r="T2834" s="10">
        <v>50.82</v>
      </c>
      <c r="U2834" s="11">
        <v>0.72799999999999998</v>
      </c>
      <c r="V2834" s="12">
        <f>T2834*U2834</f>
        <v>36.996960000000001</v>
      </c>
      <c r="W2834" s="13">
        <v>0.13</v>
      </c>
      <c r="X2834" s="12">
        <f>V2834-(V2834/(1+W2834))</f>
        <v>4.2562874336283159</v>
      </c>
      <c r="Y2834" s="12">
        <f>V2834-X2834</f>
        <v>32.740672566371686</v>
      </c>
      <c r="Z2834" s="14">
        <v>60</v>
      </c>
      <c r="AA2834" s="2" t="str">
        <f>IF(V2834&gt;Z2834,"Yes","No")</f>
        <v>No</v>
      </c>
      <c r="AB2834" s="12">
        <f>V2834-Z2834</f>
        <v>-23.003039999999999</v>
      </c>
      <c r="AC2834" s="15" t="s">
        <v>130</v>
      </c>
      <c r="AD2834" s="15" t="s">
        <v>131</v>
      </c>
      <c r="AE2834" s="15" t="s">
        <v>437</v>
      </c>
      <c r="AF2834" s="12">
        <f>IF(AG2834="Rejected",0,IF(R2834="Corporate Card",0,V2834))</f>
        <v>36.996960000000001</v>
      </c>
      <c r="AG2834" s="15" t="s">
        <v>181</v>
      </c>
      <c r="AH2834" s="16">
        <v>45998</v>
      </c>
      <c r="AI2834" s="16"/>
      <c r="AJ2834" s="16"/>
      <c r="AK2834" s="17" t="str">
        <f>IF(AJ2834="","",AJ2834-AH2834)</f>
        <v/>
      </c>
    </row>
    <row r="2835" spans="1:37">
      <c r="A2835" s="2" t="s">
        <v>3347</v>
      </c>
      <c r="B2835" s="2" t="s">
        <v>863</v>
      </c>
      <c r="C2835" s="2" t="s">
        <v>864</v>
      </c>
      <c r="D2835" s="2" t="s">
        <v>865</v>
      </c>
      <c r="E2835" s="2" t="s">
        <v>866</v>
      </c>
      <c r="F2835" s="2" t="s">
        <v>867</v>
      </c>
      <c r="G2835" s="2" t="s">
        <v>3326</v>
      </c>
      <c r="H2835" s="2" t="s">
        <v>254</v>
      </c>
      <c r="I2835" s="2" t="s">
        <v>651</v>
      </c>
      <c r="J2835" s="2" t="s">
        <v>652</v>
      </c>
      <c r="K2835" s="9">
        <v>45988</v>
      </c>
      <c r="L2835" s="9">
        <v>45996</v>
      </c>
      <c r="M2835" s="9">
        <v>45989</v>
      </c>
      <c r="N2835" s="2" t="s">
        <v>3124</v>
      </c>
      <c r="O2835" s="2" t="s">
        <v>53</v>
      </c>
      <c r="P2835" s="2" t="s">
        <v>669</v>
      </c>
      <c r="Q2835" s="2" t="s">
        <v>305</v>
      </c>
      <c r="R2835" s="2" t="s">
        <v>137</v>
      </c>
      <c r="S2835" s="2" t="s">
        <v>654</v>
      </c>
      <c r="T2835" s="10">
        <v>2575.87</v>
      </c>
      <c r="U2835" s="11">
        <v>0.72799999999999998</v>
      </c>
      <c r="V2835" s="12">
        <f>T2835*U2835</f>
        <v>1875.2333599999999</v>
      </c>
      <c r="W2835" s="13">
        <v>0.13</v>
      </c>
      <c r="X2835" s="12">
        <f>V2835-(V2835/(1+W2835))</f>
        <v>215.73481132743336</v>
      </c>
      <c r="Y2835" s="12">
        <f>V2835-X2835</f>
        <v>1659.4985486725666</v>
      </c>
      <c r="Z2835" s="14">
        <v>2240</v>
      </c>
      <c r="AA2835" s="2" t="str">
        <f>IF(V2835&gt;Z2835,"Yes","No")</f>
        <v>No</v>
      </c>
      <c r="AB2835" s="12">
        <f>V2835-Z2835</f>
        <v>-364.76664000000005</v>
      </c>
      <c r="AC2835" s="15" t="s">
        <v>130</v>
      </c>
      <c r="AD2835" s="15" t="s">
        <v>131</v>
      </c>
      <c r="AE2835" s="15" t="s">
        <v>437</v>
      </c>
      <c r="AF2835" s="12">
        <f>IF(AG2835="Rejected",0,IF(R2835="Corporate Card",0,V2835))</f>
        <v>1875.2333599999999</v>
      </c>
      <c r="AG2835" s="15" t="s">
        <v>181</v>
      </c>
      <c r="AH2835" s="16">
        <v>45998</v>
      </c>
      <c r="AI2835" s="16"/>
      <c r="AJ2835" s="16"/>
      <c r="AK2835" s="17" t="str">
        <f>IF(AJ2835="","",AJ2835-AH2835)</f>
        <v/>
      </c>
    </row>
    <row r="2836" spans="1:37">
      <c r="A2836" s="2" t="s">
        <v>3348</v>
      </c>
      <c r="B2836" s="2" t="s">
        <v>863</v>
      </c>
      <c r="C2836" s="2" t="s">
        <v>864</v>
      </c>
      <c r="D2836" s="2" t="s">
        <v>865</v>
      </c>
      <c r="E2836" s="2" t="s">
        <v>866</v>
      </c>
      <c r="F2836" s="2" t="s">
        <v>867</v>
      </c>
      <c r="G2836" s="2" t="s">
        <v>3326</v>
      </c>
      <c r="H2836" s="2" t="s">
        <v>254</v>
      </c>
      <c r="I2836" s="2" t="s">
        <v>651</v>
      </c>
      <c r="J2836" s="2" t="s">
        <v>652</v>
      </c>
      <c r="K2836" s="9">
        <v>45988</v>
      </c>
      <c r="L2836" s="9">
        <v>45996</v>
      </c>
      <c r="M2836" s="9">
        <v>45989</v>
      </c>
      <c r="N2836" s="2" t="s">
        <v>3124</v>
      </c>
      <c r="O2836" s="2" t="s">
        <v>54</v>
      </c>
      <c r="P2836" s="2" t="s">
        <v>139</v>
      </c>
      <c r="Q2836" s="2" t="s">
        <v>163</v>
      </c>
      <c r="R2836" s="2" t="s">
        <v>137</v>
      </c>
      <c r="S2836" s="2" t="s">
        <v>654</v>
      </c>
      <c r="T2836" s="10">
        <v>17.600000000000001</v>
      </c>
      <c r="U2836" s="11">
        <v>0.72799999999999998</v>
      </c>
      <c r="V2836" s="12">
        <f>T2836*U2836</f>
        <v>12.812800000000001</v>
      </c>
      <c r="W2836" s="13">
        <v>0.13</v>
      </c>
      <c r="X2836" s="12">
        <f>V2836-(V2836/(1+W2836))</f>
        <v>1.4740389380530967</v>
      </c>
      <c r="Y2836" s="12">
        <f>V2836-X2836</f>
        <v>11.338761061946904</v>
      </c>
      <c r="Z2836" s="14">
        <v>25</v>
      </c>
      <c r="AA2836" s="2" t="str">
        <f>IF(V2836&gt;Z2836,"Yes","No")</f>
        <v>No</v>
      </c>
      <c r="AB2836" s="12">
        <f>V2836-Z2836</f>
        <v>-12.187199999999999</v>
      </c>
      <c r="AC2836" s="15" t="s">
        <v>130</v>
      </c>
      <c r="AD2836" s="15" t="s">
        <v>131</v>
      </c>
      <c r="AE2836" s="15" t="s">
        <v>437</v>
      </c>
      <c r="AF2836" s="12">
        <f>IF(AG2836="Rejected",0,IF(R2836="Corporate Card",0,V2836))</f>
        <v>12.812800000000001</v>
      </c>
      <c r="AG2836" s="15" t="s">
        <v>181</v>
      </c>
      <c r="AH2836" s="16">
        <v>45998</v>
      </c>
      <c r="AI2836" s="16"/>
      <c r="AJ2836" s="16"/>
      <c r="AK2836" s="17" t="str">
        <f>IF(AJ2836="","",AJ2836-AH2836)</f>
        <v/>
      </c>
    </row>
    <row r="2837" spans="1:37">
      <c r="A2837" s="2" t="s">
        <v>3349</v>
      </c>
      <c r="B2837" s="2" t="s">
        <v>863</v>
      </c>
      <c r="C2837" s="2" t="s">
        <v>864</v>
      </c>
      <c r="D2837" s="2" t="s">
        <v>865</v>
      </c>
      <c r="E2837" s="2" t="s">
        <v>866</v>
      </c>
      <c r="F2837" s="2" t="s">
        <v>867</v>
      </c>
      <c r="G2837" s="2" t="s">
        <v>3326</v>
      </c>
      <c r="H2837" s="2" t="s">
        <v>254</v>
      </c>
      <c r="I2837" s="2" t="s">
        <v>651</v>
      </c>
      <c r="J2837" s="2" t="s">
        <v>652</v>
      </c>
      <c r="K2837" s="9">
        <v>45988</v>
      </c>
      <c r="L2837" s="9">
        <v>45996</v>
      </c>
      <c r="M2837" s="9">
        <v>45989</v>
      </c>
      <c r="N2837" s="2" t="s">
        <v>3124</v>
      </c>
      <c r="O2837" s="2" t="s">
        <v>56</v>
      </c>
      <c r="P2837" s="2" t="s">
        <v>151</v>
      </c>
      <c r="Q2837" s="2" t="s">
        <v>185</v>
      </c>
      <c r="R2837" s="2" t="s">
        <v>149</v>
      </c>
      <c r="S2837" s="2" t="s">
        <v>654</v>
      </c>
      <c r="T2837" s="10">
        <v>49.02</v>
      </c>
      <c r="U2837" s="11">
        <v>0.72799999999999998</v>
      </c>
      <c r="V2837" s="12">
        <f>T2837*U2837</f>
        <v>35.68656</v>
      </c>
      <c r="W2837" s="13">
        <v>0.13</v>
      </c>
      <c r="X2837" s="12">
        <f>V2837-(V2837/(1+W2837))</f>
        <v>4.1055334513274317</v>
      </c>
      <c r="Y2837" s="12">
        <f>V2837-X2837</f>
        <v>31.581026548672568</v>
      </c>
      <c r="Z2837" s="14">
        <v>75</v>
      </c>
      <c r="AA2837" s="2" t="str">
        <f>IF(V2837&gt;Z2837,"Yes","No")</f>
        <v>No</v>
      </c>
      <c r="AB2837" s="12">
        <f>V2837-Z2837</f>
        <v>-39.31344</v>
      </c>
      <c r="AC2837" s="15" t="s">
        <v>130</v>
      </c>
      <c r="AD2837" s="15" t="s">
        <v>131</v>
      </c>
      <c r="AE2837" s="15" t="s">
        <v>437</v>
      </c>
      <c r="AF2837" s="12">
        <f>IF(AG2837="Rejected",0,IF(R2837="Corporate Card",0,V2837))</f>
        <v>35.68656</v>
      </c>
      <c r="AG2837" s="15" t="s">
        <v>181</v>
      </c>
      <c r="AH2837" s="16">
        <v>45998</v>
      </c>
      <c r="AI2837" s="16"/>
      <c r="AJ2837" s="16"/>
      <c r="AK2837" s="17" t="str">
        <f>IF(AJ2837="","",AJ2837-AH2837)</f>
        <v/>
      </c>
    </row>
    <row r="2838" spans="1:37">
      <c r="A2838" s="2" t="s">
        <v>3350</v>
      </c>
      <c r="B2838" s="2" t="s">
        <v>863</v>
      </c>
      <c r="C2838" s="2" t="s">
        <v>864</v>
      </c>
      <c r="D2838" s="2" t="s">
        <v>865</v>
      </c>
      <c r="E2838" s="2" t="s">
        <v>866</v>
      </c>
      <c r="F2838" s="2" t="s">
        <v>867</v>
      </c>
      <c r="G2838" s="2" t="s">
        <v>3326</v>
      </c>
      <c r="H2838" s="2" t="s">
        <v>254</v>
      </c>
      <c r="I2838" s="2" t="s">
        <v>651</v>
      </c>
      <c r="J2838" s="2" t="s">
        <v>652</v>
      </c>
      <c r="K2838" s="9">
        <v>45988</v>
      </c>
      <c r="L2838" s="9">
        <v>45996</v>
      </c>
      <c r="M2838" s="9">
        <v>45989</v>
      </c>
      <c r="N2838" s="2" t="s">
        <v>3124</v>
      </c>
      <c r="O2838" s="2" t="s">
        <v>55</v>
      </c>
      <c r="P2838" s="2" t="s">
        <v>139</v>
      </c>
      <c r="Q2838" s="2" t="s">
        <v>161</v>
      </c>
      <c r="R2838" s="2" t="s">
        <v>128</v>
      </c>
      <c r="S2838" s="2" t="s">
        <v>654</v>
      </c>
      <c r="T2838" s="10">
        <v>23.08</v>
      </c>
      <c r="U2838" s="11">
        <v>0.72799999999999998</v>
      </c>
      <c r="V2838" s="12">
        <f>T2838*U2838</f>
        <v>16.802239999999998</v>
      </c>
      <c r="W2838" s="13">
        <v>0.13</v>
      </c>
      <c r="X2838" s="12">
        <f>V2838-(V2838/(1+W2838))</f>
        <v>1.9330010619469018</v>
      </c>
      <c r="Y2838" s="12">
        <f>V2838-X2838</f>
        <v>14.869238938053096</v>
      </c>
      <c r="Z2838" s="14">
        <v>35</v>
      </c>
      <c r="AA2838" s="2" t="str">
        <f>IF(V2838&gt;Z2838,"Yes","No")</f>
        <v>No</v>
      </c>
      <c r="AB2838" s="12">
        <f>V2838-Z2838</f>
        <v>-18.197760000000002</v>
      </c>
      <c r="AC2838" s="15" t="s">
        <v>130</v>
      </c>
      <c r="AD2838" s="15" t="s">
        <v>131</v>
      </c>
      <c r="AE2838" s="15" t="s">
        <v>437</v>
      </c>
      <c r="AF2838" s="12">
        <f>IF(AG2838="Rejected",0,IF(R2838="Corporate Card",0,V2838))</f>
        <v>0</v>
      </c>
      <c r="AG2838" s="15" t="s">
        <v>181</v>
      </c>
      <c r="AH2838" s="16">
        <v>45998</v>
      </c>
      <c r="AI2838" s="16"/>
      <c r="AJ2838" s="16"/>
      <c r="AK2838" s="17" t="str">
        <f>IF(AJ2838="","",AJ2838-AH2838)</f>
        <v/>
      </c>
    </row>
    <row r="2839" spans="1:37">
      <c r="A2839" s="2" t="s">
        <v>3351</v>
      </c>
      <c r="B2839" s="2" t="s">
        <v>616</v>
      </c>
      <c r="C2839" s="2" t="s">
        <v>252</v>
      </c>
      <c r="D2839" s="2" t="s">
        <v>250</v>
      </c>
      <c r="E2839" s="2" t="s">
        <v>617</v>
      </c>
      <c r="F2839" s="2" t="s">
        <v>510</v>
      </c>
      <c r="G2839" s="2" t="s">
        <v>3291</v>
      </c>
      <c r="H2839" s="2" t="s">
        <v>417</v>
      </c>
      <c r="I2839" s="2" t="s">
        <v>255</v>
      </c>
      <c r="J2839" s="2" t="s">
        <v>256</v>
      </c>
      <c r="K2839" s="9">
        <v>45984</v>
      </c>
      <c r="L2839" s="9">
        <v>45989</v>
      </c>
      <c r="M2839" s="9">
        <v>45989</v>
      </c>
      <c r="N2839" s="2" t="s">
        <v>3124</v>
      </c>
      <c r="O2839" s="2" t="s">
        <v>58</v>
      </c>
      <c r="P2839" s="2" t="s">
        <v>142</v>
      </c>
      <c r="Q2839" s="2" t="s">
        <v>224</v>
      </c>
      <c r="R2839" s="2" t="s">
        <v>137</v>
      </c>
      <c r="S2839" s="2" t="s">
        <v>259</v>
      </c>
      <c r="T2839" s="10">
        <v>4489</v>
      </c>
      <c r="U2839" s="11">
        <v>6.5500000000000003E-3</v>
      </c>
      <c r="V2839" s="12">
        <f>T2839*U2839</f>
        <v>29.402950000000001</v>
      </c>
      <c r="W2839" s="13">
        <v>0.1</v>
      </c>
      <c r="X2839" s="12">
        <f>V2839-(V2839/(1+W2839))</f>
        <v>2.6729954545454575</v>
      </c>
      <c r="Y2839" s="12">
        <f>V2839-X2839</f>
        <v>26.729954545454543</v>
      </c>
      <c r="Z2839" s="14">
        <v>60</v>
      </c>
      <c r="AA2839" s="2" t="str">
        <f>IF(V2839&gt;Z2839,"Yes","No")</f>
        <v>No</v>
      </c>
      <c r="AB2839" s="12">
        <f>V2839-Z2839</f>
        <v>-30.597049999999999</v>
      </c>
      <c r="AC2839" s="15" t="s">
        <v>131</v>
      </c>
      <c r="AD2839" s="15" t="s">
        <v>131</v>
      </c>
      <c r="AE2839" s="15" t="s">
        <v>132</v>
      </c>
      <c r="AF2839" s="12">
        <f>IF(AG2839="Rejected",0,IF(R2839="Corporate Card",0,V2839))</f>
        <v>29.402950000000001</v>
      </c>
      <c r="AG2839" s="15" t="s">
        <v>133</v>
      </c>
      <c r="AH2839" s="16">
        <v>45994</v>
      </c>
      <c r="AI2839" s="16">
        <v>45998</v>
      </c>
      <c r="AJ2839" s="16">
        <v>46012</v>
      </c>
      <c r="AK2839" s="17">
        <f>IF(AJ2839="","",AJ2839-AH2839)</f>
        <v>18</v>
      </c>
    </row>
    <row r="2840" spans="1:37">
      <c r="A2840" s="2" t="s">
        <v>3352</v>
      </c>
      <c r="B2840" s="2" t="s">
        <v>616</v>
      </c>
      <c r="C2840" s="2" t="s">
        <v>252</v>
      </c>
      <c r="D2840" s="2" t="s">
        <v>250</v>
      </c>
      <c r="E2840" s="2" t="s">
        <v>617</v>
      </c>
      <c r="F2840" s="2" t="s">
        <v>510</v>
      </c>
      <c r="G2840" s="2" t="s">
        <v>3291</v>
      </c>
      <c r="H2840" s="2" t="s">
        <v>417</v>
      </c>
      <c r="I2840" s="2" t="s">
        <v>255</v>
      </c>
      <c r="J2840" s="2" t="s">
        <v>256</v>
      </c>
      <c r="K2840" s="9">
        <v>45984</v>
      </c>
      <c r="L2840" s="9">
        <v>45989</v>
      </c>
      <c r="M2840" s="9">
        <v>45989</v>
      </c>
      <c r="N2840" s="2" t="s">
        <v>3124</v>
      </c>
      <c r="O2840" s="2" t="s">
        <v>56</v>
      </c>
      <c r="P2840" s="2" t="s">
        <v>245</v>
      </c>
      <c r="Q2840" s="2" t="s">
        <v>159</v>
      </c>
      <c r="R2840" s="2" t="s">
        <v>149</v>
      </c>
      <c r="S2840" s="2" t="s">
        <v>259</v>
      </c>
      <c r="T2840" s="10">
        <v>8046</v>
      </c>
      <c r="U2840" s="11">
        <v>6.5500000000000003E-3</v>
      </c>
      <c r="V2840" s="12">
        <f>T2840*U2840</f>
        <v>52.701300000000003</v>
      </c>
      <c r="W2840" s="13">
        <v>0.1</v>
      </c>
      <c r="X2840" s="12">
        <f>V2840-(V2840/(1+W2840))</f>
        <v>4.7910272727272769</v>
      </c>
      <c r="Y2840" s="12">
        <f>V2840-X2840</f>
        <v>47.910272727272726</v>
      </c>
      <c r="Z2840" s="14">
        <v>75</v>
      </c>
      <c r="AA2840" s="2" t="str">
        <f>IF(V2840&gt;Z2840,"Yes","No")</f>
        <v>No</v>
      </c>
      <c r="AB2840" s="12">
        <f>V2840-Z2840</f>
        <v>-22.298699999999997</v>
      </c>
      <c r="AC2840" s="15" t="s">
        <v>130</v>
      </c>
      <c r="AD2840" s="15" t="s">
        <v>131</v>
      </c>
      <c r="AE2840" s="15" t="s">
        <v>132</v>
      </c>
      <c r="AF2840" s="12">
        <f>IF(AG2840="Rejected",0,IF(R2840="Corporate Card",0,V2840))</f>
        <v>52.701300000000003</v>
      </c>
      <c r="AG2840" s="15" t="s">
        <v>133</v>
      </c>
      <c r="AH2840" s="16">
        <v>45994</v>
      </c>
      <c r="AI2840" s="16">
        <v>45998</v>
      </c>
      <c r="AJ2840" s="16">
        <v>46012</v>
      </c>
      <c r="AK2840" s="17">
        <f>IF(AJ2840="","",AJ2840-AH2840)</f>
        <v>18</v>
      </c>
    </row>
    <row r="2841" spans="1:37">
      <c r="A2841" s="2" t="s">
        <v>3353</v>
      </c>
      <c r="B2841" s="2" t="s">
        <v>616</v>
      </c>
      <c r="C2841" s="2" t="s">
        <v>252</v>
      </c>
      <c r="D2841" s="2" t="s">
        <v>250</v>
      </c>
      <c r="E2841" s="2" t="s">
        <v>617</v>
      </c>
      <c r="F2841" s="2" t="s">
        <v>510</v>
      </c>
      <c r="G2841" s="2" t="s">
        <v>3291</v>
      </c>
      <c r="H2841" s="2" t="s">
        <v>417</v>
      </c>
      <c r="I2841" s="2" t="s">
        <v>255</v>
      </c>
      <c r="J2841" s="2" t="s">
        <v>256</v>
      </c>
      <c r="K2841" s="9">
        <v>45984</v>
      </c>
      <c r="L2841" s="9">
        <v>45989</v>
      </c>
      <c r="M2841" s="9">
        <v>45989</v>
      </c>
      <c r="N2841" s="2" t="s">
        <v>3124</v>
      </c>
      <c r="O2841" s="2" t="s">
        <v>55</v>
      </c>
      <c r="P2841" s="2" t="s">
        <v>139</v>
      </c>
      <c r="Q2841" s="2" t="s">
        <v>217</v>
      </c>
      <c r="R2841" s="2" t="s">
        <v>128</v>
      </c>
      <c r="S2841" s="2" t="s">
        <v>259</v>
      </c>
      <c r="T2841" s="10">
        <v>4235</v>
      </c>
      <c r="U2841" s="11">
        <v>6.5500000000000003E-3</v>
      </c>
      <c r="V2841" s="12">
        <f>T2841*U2841</f>
        <v>27.739250000000002</v>
      </c>
      <c r="W2841" s="13">
        <v>0.1</v>
      </c>
      <c r="X2841" s="12">
        <f>V2841-(V2841/(1+W2841))</f>
        <v>2.5217500000000008</v>
      </c>
      <c r="Y2841" s="12">
        <f>V2841-X2841</f>
        <v>25.217500000000001</v>
      </c>
      <c r="Z2841" s="14">
        <v>35</v>
      </c>
      <c r="AA2841" s="2" t="str">
        <f>IF(V2841&gt;Z2841,"Yes","No")</f>
        <v>No</v>
      </c>
      <c r="AB2841" s="12">
        <f>V2841-Z2841</f>
        <v>-7.260749999999998</v>
      </c>
      <c r="AC2841" s="15" t="s">
        <v>131</v>
      </c>
      <c r="AD2841" s="15" t="s">
        <v>131</v>
      </c>
      <c r="AE2841" s="15" t="s">
        <v>132</v>
      </c>
      <c r="AF2841" s="12">
        <f>IF(AG2841="Rejected",0,IF(R2841="Corporate Card",0,V2841))</f>
        <v>0</v>
      </c>
      <c r="AG2841" s="15" t="s">
        <v>133</v>
      </c>
      <c r="AH2841" s="16">
        <v>45994</v>
      </c>
      <c r="AI2841" s="16">
        <v>45998</v>
      </c>
      <c r="AJ2841" s="16">
        <v>46012</v>
      </c>
      <c r="AK2841" s="17">
        <f>IF(AJ2841="","",AJ2841-AH2841)</f>
        <v>18</v>
      </c>
    </row>
    <row r="2842" spans="1:37">
      <c r="A2842" s="2" t="s">
        <v>3354</v>
      </c>
      <c r="B2842" s="2" t="s">
        <v>2212</v>
      </c>
      <c r="C2842" s="2" t="s">
        <v>346</v>
      </c>
      <c r="D2842" s="2" t="s">
        <v>344</v>
      </c>
      <c r="E2842" s="2" t="s">
        <v>2213</v>
      </c>
      <c r="F2842" s="2" t="s">
        <v>313</v>
      </c>
      <c r="G2842" s="2" t="s">
        <v>3322</v>
      </c>
      <c r="H2842" s="2" t="s">
        <v>748</v>
      </c>
      <c r="I2842" s="2" t="s">
        <v>380</v>
      </c>
      <c r="J2842" s="2" t="s">
        <v>381</v>
      </c>
      <c r="K2842" s="9">
        <v>45987</v>
      </c>
      <c r="L2842" s="9">
        <v>45995</v>
      </c>
      <c r="M2842" s="9">
        <v>45989</v>
      </c>
      <c r="N2842" s="2" t="s">
        <v>3124</v>
      </c>
      <c r="O2842" s="2" t="s">
        <v>61</v>
      </c>
      <c r="P2842" s="2" t="s">
        <v>528</v>
      </c>
      <c r="Q2842" s="2" t="s">
        <v>540</v>
      </c>
      <c r="R2842" s="2" t="s">
        <v>128</v>
      </c>
      <c r="S2842" s="2" t="s">
        <v>383</v>
      </c>
      <c r="T2842" s="10">
        <v>84.96</v>
      </c>
      <c r="U2842" s="11">
        <v>1</v>
      </c>
      <c r="V2842" s="12">
        <f>T2842*U2842</f>
        <v>84.96</v>
      </c>
      <c r="W2842" s="13">
        <v>0</v>
      </c>
      <c r="X2842" s="12">
        <f>V2842-(V2842/(1+W2842))</f>
        <v>0</v>
      </c>
      <c r="Y2842" s="12">
        <f>V2842-X2842</f>
        <v>84.96</v>
      </c>
      <c r="Z2842" s="14">
        <v>90</v>
      </c>
      <c r="AA2842" s="2" t="str">
        <f>IF(V2842&gt;Z2842,"Yes","No")</f>
        <v>No</v>
      </c>
      <c r="AB2842" s="12">
        <f>V2842-Z2842</f>
        <v>-5.0400000000000063</v>
      </c>
      <c r="AC2842" s="15" t="s">
        <v>130</v>
      </c>
      <c r="AD2842" s="15" t="s">
        <v>130</v>
      </c>
      <c r="AE2842" s="15" t="s">
        <v>260</v>
      </c>
      <c r="AF2842" s="12">
        <f>IF(AG2842="Rejected",0,IF(R2842="Corporate Card",0,V2842))</f>
        <v>0</v>
      </c>
      <c r="AG2842" s="15" t="s">
        <v>133</v>
      </c>
      <c r="AH2842" s="16">
        <v>46004</v>
      </c>
      <c r="AI2842" s="16">
        <v>46008</v>
      </c>
      <c r="AJ2842" s="16">
        <v>46021</v>
      </c>
      <c r="AK2842" s="17">
        <f>IF(AJ2842="","",AJ2842-AH2842)</f>
        <v>17</v>
      </c>
    </row>
    <row r="2843" spans="1:37">
      <c r="A2843" s="2" t="s">
        <v>3355</v>
      </c>
      <c r="B2843" s="2" t="s">
        <v>2212</v>
      </c>
      <c r="C2843" s="2" t="s">
        <v>346</v>
      </c>
      <c r="D2843" s="2" t="s">
        <v>344</v>
      </c>
      <c r="E2843" s="2" t="s">
        <v>2213</v>
      </c>
      <c r="F2843" s="2" t="s">
        <v>313</v>
      </c>
      <c r="G2843" s="2" t="s">
        <v>3322</v>
      </c>
      <c r="H2843" s="2" t="s">
        <v>748</v>
      </c>
      <c r="I2843" s="2" t="s">
        <v>380</v>
      </c>
      <c r="J2843" s="2" t="s">
        <v>381</v>
      </c>
      <c r="K2843" s="9">
        <v>45987</v>
      </c>
      <c r="L2843" s="9">
        <v>45995</v>
      </c>
      <c r="M2843" s="9">
        <v>45989</v>
      </c>
      <c r="N2843" s="2" t="s">
        <v>3124</v>
      </c>
      <c r="O2843" s="2" t="s">
        <v>58</v>
      </c>
      <c r="P2843" s="2" t="s">
        <v>142</v>
      </c>
      <c r="Q2843" s="2" t="s">
        <v>143</v>
      </c>
      <c r="R2843" s="2" t="s">
        <v>128</v>
      </c>
      <c r="S2843" s="2" t="s">
        <v>383</v>
      </c>
      <c r="T2843" s="10">
        <v>27.13</v>
      </c>
      <c r="U2843" s="11">
        <v>1</v>
      </c>
      <c r="V2843" s="12">
        <f>T2843*U2843</f>
        <v>27.13</v>
      </c>
      <c r="W2843" s="13">
        <v>0</v>
      </c>
      <c r="X2843" s="12">
        <f>V2843-(V2843/(1+W2843))</f>
        <v>0</v>
      </c>
      <c r="Y2843" s="12">
        <f>V2843-X2843</f>
        <v>27.13</v>
      </c>
      <c r="Z2843" s="14">
        <v>60</v>
      </c>
      <c r="AA2843" s="2" t="str">
        <f>IF(V2843&gt;Z2843,"Yes","No")</f>
        <v>No</v>
      </c>
      <c r="AB2843" s="12">
        <f>V2843-Z2843</f>
        <v>-32.870000000000005</v>
      </c>
      <c r="AC2843" s="15" t="s">
        <v>130</v>
      </c>
      <c r="AD2843" s="15" t="s">
        <v>130</v>
      </c>
      <c r="AE2843" s="15" t="s">
        <v>260</v>
      </c>
      <c r="AF2843" s="12">
        <f>IF(AG2843="Rejected",0,IF(R2843="Corporate Card",0,V2843))</f>
        <v>0</v>
      </c>
      <c r="AG2843" s="15" t="s">
        <v>133</v>
      </c>
      <c r="AH2843" s="16">
        <v>46004</v>
      </c>
      <c r="AI2843" s="16">
        <v>46008</v>
      </c>
      <c r="AJ2843" s="16">
        <v>46021</v>
      </c>
      <c r="AK2843" s="17">
        <f>IF(AJ2843="","",AJ2843-AH2843)</f>
        <v>17</v>
      </c>
    </row>
    <row r="2844" spans="1:37">
      <c r="A2844" s="2" t="s">
        <v>3356</v>
      </c>
      <c r="B2844" s="2" t="s">
        <v>2212</v>
      </c>
      <c r="C2844" s="2" t="s">
        <v>346</v>
      </c>
      <c r="D2844" s="2" t="s">
        <v>344</v>
      </c>
      <c r="E2844" s="2" t="s">
        <v>2213</v>
      </c>
      <c r="F2844" s="2" t="s">
        <v>313</v>
      </c>
      <c r="G2844" s="2" t="s">
        <v>3322</v>
      </c>
      <c r="H2844" s="2" t="s">
        <v>748</v>
      </c>
      <c r="I2844" s="2" t="s">
        <v>380</v>
      </c>
      <c r="J2844" s="2" t="s">
        <v>381</v>
      </c>
      <c r="K2844" s="9">
        <v>45987</v>
      </c>
      <c r="L2844" s="9">
        <v>45995</v>
      </c>
      <c r="M2844" s="9">
        <v>45989</v>
      </c>
      <c r="N2844" s="2" t="s">
        <v>3124</v>
      </c>
      <c r="O2844" s="2" t="s">
        <v>54</v>
      </c>
      <c r="P2844" s="2" t="s">
        <v>139</v>
      </c>
      <c r="Q2844" s="2" t="s">
        <v>214</v>
      </c>
      <c r="R2844" s="2" t="s">
        <v>137</v>
      </c>
      <c r="S2844" s="2" t="s">
        <v>383</v>
      </c>
      <c r="T2844" s="10">
        <v>18.48</v>
      </c>
      <c r="U2844" s="11">
        <v>1</v>
      </c>
      <c r="V2844" s="12">
        <f>T2844*U2844</f>
        <v>18.48</v>
      </c>
      <c r="W2844" s="13">
        <v>0</v>
      </c>
      <c r="X2844" s="12">
        <f>V2844-(V2844/(1+W2844))</f>
        <v>0</v>
      </c>
      <c r="Y2844" s="12">
        <f>V2844-X2844</f>
        <v>18.48</v>
      </c>
      <c r="Z2844" s="14">
        <v>25</v>
      </c>
      <c r="AA2844" s="2" t="str">
        <f>IF(V2844&gt;Z2844,"Yes","No")</f>
        <v>No</v>
      </c>
      <c r="AB2844" s="12">
        <f>V2844-Z2844</f>
        <v>-6.52</v>
      </c>
      <c r="AC2844" s="15" t="s">
        <v>130</v>
      </c>
      <c r="AD2844" s="15" t="s">
        <v>130</v>
      </c>
      <c r="AE2844" s="15" t="s">
        <v>260</v>
      </c>
      <c r="AF2844" s="12">
        <f>IF(AG2844="Rejected",0,IF(R2844="Corporate Card",0,V2844))</f>
        <v>18.48</v>
      </c>
      <c r="AG2844" s="15" t="s">
        <v>133</v>
      </c>
      <c r="AH2844" s="16">
        <v>46004</v>
      </c>
      <c r="AI2844" s="16">
        <v>46008</v>
      </c>
      <c r="AJ2844" s="16">
        <v>46021</v>
      </c>
      <c r="AK2844" s="17">
        <f>IF(AJ2844="","",AJ2844-AH2844)</f>
        <v>17</v>
      </c>
    </row>
    <row r="2845" spans="1:37">
      <c r="A2845" s="2" t="s">
        <v>3357</v>
      </c>
      <c r="B2845" s="2" t="s">
        <v>2212</v>
      </c>
      <c r="C2845" s="2" t="s">
        <v>346</v>
      </c>
      <c r="D2845" s="2" t="s">
        <v>344</v>
      </c>
      <c r="E2845" s="2" t="s">
        <v>2213</v>
      </c>
      <c r="F2845" s="2" t="s">
        <v>313</v>
      </c>
      <c r="G2845" s="2" t="s">
        <v>3322</v>
      </c>
      <c r="H2845" s="2" t="s">
        <v>748</v>
      </c>
      <c r="I2845" s="2" t="s">
        <v>380</v>
      </c>
      <c r="J2845" s="2" t="s">
        <v>381</v>
      </c>
      <c r="K2845" s="9">
        <v>45987</v>
      </c>
      <c r="L2845" s="9">
        <v>45995</v>
      </c>
      <c r="M2845" s="9">
        <v>45989</v>
      </c>
      <c r="N2845" s="2" t="s">
        <v>3124</v>
      </c>
      <c r="O2845" s="2" t="s">
        <v>55</v>
      </c>
      <c r="P2845" s="2" t="s">
        <v>139</v>
      </c>
      <c r="Q2845" s="2" t="s">
        <v>187</v>
      </c>
      <c r="R2845" s="2" t="s">
        <v>128</v>
      </c>
      <c r="S2845" s="2" t="s">
        <v>383</v>
      </c>
      <c r="T2845" s="10">
        <v>34.78</v>
      </c>
      <c r="U2845" s="11">
        <v>1</v>
      </c>
      <c r="V2845" s="12">
        <f>T2845*U2845</f>
        <v>34.78</v>
      </c>
      <c r="W2845" s="13">
        <v>0</v>
      </c>
      <c r="X2845" s="12">
        <f>V2845-(V2845/(1+W2845))</f>
        <v>0</v>
      </c>
      <c r="Y2845" s="12">
        <f>V2845-X2845</f>
        <v>34.78</v>
      </c>
      <c r="Z2845" s="14">
        <v>35</v>
      </c>
      <c r="AA2845" s="2" t="str">
        <f>IF(V2845&gt;Z2845,"Yes","No")</f>
        <v>No</v>
      </c>
      <c r="AB2845" s="12">
        <f>V2845-Z2845</f>
        <v>-0.21999999999999886</v>
      </c>
      <c r="AC2845" s="15" t="s">
        <v>130</v>
      </c>
      <c r="AD2845" s="15" t="s">
        <v>130</v>
      </c>
      <c r="AE2845" s="15" t="s">
        <v>260</v>
      </c>
      <c r="AF2845" s="12">
        <f>IF(AG2845="Rejected",0,IF(R2845="Corporate Card",0,V2845))</f>
        <v>0</v>
      </c>
      <c r="AG2845" s="15" t="s">
        <v>133</v>
      </c>
      <c r="AH2845" s="16">
        <v>46004</v>
      </c>
      <c r="AI2845" s="16">
        <v>46008</v>
      </c>
      <c r="AJ2845" s="16">
        <v>46021</v>
      </c>
      <c r="AK2845" s="17">
        <f>IF(AJ2845="","",AJ2845-AH2845)</f>
        <v>17</v>
      </c>
    </row>
    <row r="2846" spans="1:37">
      <c r="A2846" s="2" t="s">
        <v>3358</v>
      </c>
      <c r="B2846" s="2" t="s">
        <v>2212</v>
      </c>
      <c r="C2846" s="2" t="s">
        <v>346</v>
      </c>
      <c r="D2846" s="2" t="s">
        <v>344</v>
      </c>
      <c r="E2846" s="2" t="s">
        <v>2213</v>
      </c>
      <c r="F2846" s="2" t="s">
        <v>313</v>
      </c>
      <c r="G2846" s="2" t="s">
        <v>3322</v>
      </c>
      <c r="H2846" s="2" t="s">
        <v>748</v>
      </c>
      <c r="I2846" s="2" t="s">
        <v>380</v>
      </c>
      <c r="J2846" s="2" t="s">
        <v>381</v>
      </c>
      <c r="K2846" s="9">
        <v>45987</v>
      </c>
      <c r="L2846" s="9">
        <v>45995</v>
      </c>
      <c r="M2846" s="9">
        <v>45989</v>
      </c>
      <c r="N2846" s="2" t="s">
        <v>3124</v>
      </c>
      <c r="O2846" s="2" t="s">
        <v>62</v>
      </c>
      <c r="P2846" s="2" t="s">
        <v>533</v>
      </c>
      <c r="Q2846" s="2" t="s">
        <v>534</v>
      </c>
      <c r="R2846" s="2" t="s">
        <v>128</v>
      </c>
      <c r="S2846" s="2" t="s">
        <v>383</v>
      </c>
      <c r="T2846" s="10">
        <v>44.59</v>
      </c>
      <c r="U2846" s="11">
        <v>1</v>
      </c>
      <c r="V2846" s="12">
        <f>T2846*U2846</f>
        <v>44.59</v>
      </c>
      <c r="W2846" s="13">
        <v>0</v>
      </c>
      <c r="X2846" s="12">
        <f>V2846-(V2846/(1+W2846))</f>
        <v>0</v>
      </c>
      <c r="Y2846" s="12">
        <f>V2846-X2846</f>
        <v>44.59</v>
      </c>
      <c r="Z2846" s="14">
        <v>45</v>
      </c>
      <c r="AA2846" s="2" t="str">
        <f>IF(V2846&gt;Z2846,"Yes","No")</f>
        <v>No</v>
      </c>
      <c r="AB2846" s="12">
        <f>V2846-Z2846</f>
        <v>-0.40999999999999659</v>
      </c>
      <c r="AC2846" s="15" t="s">
        <v>130</v>
      </c>
      <c r="AD2846" s="15" t="s">
        <v>130</v>
      </c>
      <c r="AE2846" s="15" t="s">
        <v>260</v>
      </c>
      <c r="AF2846" s="12">
        <f>IF(AG2846="Rejected",0,IF(R2846="Corporate Card",0,V2846))</f>
        <v>0</v>
      </c>
      <c r="AG2846" s="15" t="s">
        <v>133</v>
      </c>
      <c r="AH2846" s="16">
        <v>46004</v>
      </c>
      <c r="AI2846" s="16">
        <v>46008</v>
      </c>
      <c r="AJ2846" s="16">
        <v>46021</v>
      </c>
      <c r="AK2846" s="17">
        <f>IF(AJ2846="","",AJ2846-AH2846)</f>
        <v>17</v>
      </c>
    </row>
    <row r="2847" spans="1:37">
      <c r="A2847" s="2" t="s">
        <v>3359</v>
      </c>
      <c r="B2847" s="2" t="s">
        <v>116</v>
      </c>
      <c r="C2847" s="2" t="s">
        <v>117</v>
      </c>
      <c r="D2847" s="2" t="s">
        <v>118</v>
      </c>
      <c r="E2847" s="2" t="s">
        <v>119</v>
      </c>
      <c r="F2847" s="2" t="s">
        <v>120</v>
      </c>
      <c r="G2847" s="2" t="s">
        <v>3343</v>
      </c>
      <c r="H2847" s="2" t="s">
        <v>448</v>
      </c>
      <c r="I2847" s="2" t="s">
        <v>433</v>
      </c>
      <c r="J2847" s="2" t="s">
        <v>434</v>
      </c>
      <c r="K2847" s="9">
        <v>45989</v>
      </c>
      <c r="L2847" s="9">
        <v>45995</v>
      </c>
      <c r="M2847" s="9">
        <v>45990</v>
      </c>
      <c r="N2847" s="2" t="s">
        <v>3124</v>
      </c>
      <c r="O2847" s="2" t="s">
        <v>53</v>
      </c>
      <c r="P2847" s="2" t="s">
        <v>467</v>
      </c>
      <c r="Q2847" s="2" t="s">
        <v>305</v>
      </c>
      <c r="R2847" s="2" t="s">
        <v>137</v>
      </c>
      <c r="S2847" s="2" t="s">
        <v>436</v>
      </c>
      <c r="T2847" s="10">
        <v>106061</v>
      </c>
      <c r="U2847" s="11">
        <v>1.1780000000000001E-2</v>
      </c>
      <c r="V2847" s="12">
        <f>T2847*U2847</f>
        <v>1249.39858</v>
      </c>
      <c r="W2847" s="13">
        <v>0.18</v>
      </c>
      <c r="X2847" s="12">
        <f>V2847-(V2847/(1+W2847))</f>
        <v>190.58622406779659</v>
      </c>
      <c r="Y2847" s="12">
        <f>V2847-X2847</f>
        <v>1058.8123559322034</v>
      </c>
      <c r="Z2847" s="14">
        <v>1680</v>
      </c>
      <c r="AA2847" s="2" t="str">
        <f>IF(V2847&gt;Z2847,"Yes","No")</f>
        <v>No</v>
      </c>
      <c r="AB2847" s="12">
        <f>V2847-Z2847</f>
        <v>-430.60141999999996</v>
      </c>
      <c r="AC2847" s="15" t="s">
        <v>130</v>
      </c>
      <c r="AD2847" s="15" t="s">
        <v>131</v>
      </c>
      <c r="AE2847" s="15" t="s">
        <v>132</v>
      </c>
      <c r="AF2847" s="12">
        <f>IF(AG2847="Rejected",0,IF(R2847="Corporate Card",0,V2847))</f>
        <v>1249.39858</v>
      </c>
      <c r="AG2847" s="15" t="s">
        <v>133</v>
      </c>
      <c r="AH2847" s="16">
        <v>46003</v>
      </c>
      <c r="AI2847" s="16">
        <v>46006</v>
      </c>
      <c r="AJ2847" s="16">
        <v>46017</v>
      </c>
      <c r="AK2847" s="17">
        <f>IF(AJ2847="","",AJ2847-AH2847)</f>
        <v>14</v>
      </c>
    </row>
    <row r="2848" spans="1:37">
      <c r="A2848" s="2" t="s">
        <v>3360</v>
      </c>
      <c r="B2848" s="2" t="s">
        <v>116</v>
      </c>
      <c r="C2848" s="2" t="s">
        <v>117</v>
      </c>
      <c r="D2848" s="2" t="s">
        <v>118</v>
      </c>
      <c r="E2848" s="2" t="s">
        <v>119</v>
      </c>
      <c r="F2848" s="2" t="s">
        <v>120</v>
      </c>
      <c r="G2848" s="2" t="s">
        <v>3343</v>
      </c>
      <c r="H2848" s="2" t="s">
        <v>448</v>
      </c>
      <c r="I2848" s="2" t="s">
        <v>433</v>
      </c>
      <c r="J2848" s="2" t="s">
        <v>434</v>
      </c>
      <c r="K2848" s="9">
        <v>45989</v>
      </c>
      <c r="L2848" s="9">
        <v>45995</v>
      </c>
      <c r="M2848" s="9">
        <v>45990</v>
      </c>
      <c r="N2848" s="2" t="s">
        <v>3124</v>
      </c>
      <c r="O2848" s="2" t="s">
        <v>54</v>
      </c>
      <c r="P2848" s="2" t="s">
        <v>139</v>
      </c>
      <c r="Q2848" s="2" t="s">
        <v>148</v>
      </c>
      <c r="R2848" s="2" t="s">
        <v>128</v>
      </c>
      <c r="S2848" s="2" t="s">
        <v>436</v>
      </c>
      <c r="T2848" s="10">
        <v>1516</v>
      </c>
      <c r="U2848" s="11">
        <v>1.1780000000000001E-2</v>
      </c>
      <c r="V2848" s="12">
        <f>T2848*U2848</f>
        <v>17.85848</v>
      </c>
      <c r="W2848" s="13">
        <v>0.18</v>
      </c>
      <c r="X2848" s="12">
        <f>V2848-(V2848/(1+W2848))</f>
        <v>2.7241749152542365</v>
      </c>
      <c r="Y2848" s="12">
        <f>V2848-X2848</f>
        <v>15.134305084745764</v>
      </c>
      <c r="Z2848" s="14">
        <v>25</v>
      </c>
      <c r="AA2848" s="2" t="str">
        <f>IF(V2848&gt;Z2848,"Yes","No")</f>
        <v>No</v>
      </c>
      <c r="AB2848" s="12">
        <f>V2848-Z2848</f>
        <v>-7.1415199999999999</v>
      </c>
      <c r="AC2848" s="15" t="s">
        <v>130</v>
      </c>
      <c r="AD2848" s="15" t="s">
        <v>131</v>
      </c>
      <c r="AE2848" s="15" t="s">
        <v>132</v>
      </c>
      <c r="AF2848" s="12">
        <f>IF(AG2848="Rejected",0,IF(R2848="Corporate Card",0,V2848))</f>
        <v>0</v>
      </c>
      <c r="AG2848" s="15" t="s">
        <v>133</v>
      </c>
      <c r="AH2848" s="16">
        <v>46003</v>
      </c>
      <c r="AI2848" s="16">
        <v>46006</v>
      </c>
      <c r="AJ2848" s="16">
        <v>46017</v>
      </c>
      <c r="AK2848" s="17">
        <f>IF(AJ2848="","",AJ2848-AH2848)</f>
        <v>14</v>
      </c>
    </row>
    <row r="2849" spans="1:37">
      <c r="A2849" s="2" t="s">
        <v>3361</v>
      </c>
      <c r="B2849" s="2" t="s">
        <v>116</v>
      </c>
      <c r="C2849" s="2" t="s">
        <v>117</v>
      </c>
      <c r="D2849" s="2" t="s">
        <v>118</v>
      </c>
      <c r="E2849" s="2" t="s">
        <v>119</v>
      </c>
      <c r="F2849" s="2" t="s">
        <v>120</v>
      </c>
      <c r="G2849" s="2" t="s">
        <v>3343</v>
      </c>
      <c r="H2849" s="2" t="s">
        <v>448</v>
      </c>
      <c r="I2849" s="2" t="s">
        <v>433</v>
      </c>
      <c r="J2849" s="2" t="s">
        <v>434</v>
      </c>
      <c r="K2849" s="9">
        <v>45989</v>
      </c>
      <c r="L2849" s="9">
        <v>45995</v>
      </c>
      <c r="M2849" s="9">
        <v>45990</v>
      </c>
      <c r="N2849" s="2" t="s">
        <v>3124</v>
      </c>
      <c r="O2849" s="2" t="s">
        <v>56</v>
      </c>
      <c r="P2849" s="2" t="s">
        <v>165</v>
      </c>
      <c r="Q2849" s="2" t="s">
        <v>227</v>
      </c>
      <c r="R2849" s="2" t="s">
        <v>128</v>
      </c>
      <c r="S2849" s="2" t="s">
        <v>436</v>
      </c>
      <c r="T2849" s="10">
        <v>3702</v>
      </c>
      <c r="U2849" s="11">
        <v>1.1780000000000001E-2</v>
      </c>
      <c r="V2849" s="12">
        <f>T2849*U2849</f>
        <v>43.609560000000002</v>
      </c>
      <c r="W2849" s="13">
        <v>0.18</v>
      </c>
      <c r="X2849" s="12">
        <f>V2849-(V2849/(1+W2849))</f>
        <v>6.6523057627118618</v>
      </c>
      <c r="Y2849" s="12">
        <f>V2849-X2849</f>
        <v>36.95725423728814</v>
      </c>
      <c r="Z2849" s="14">
        <v>75</v>
      </c>
      <c r="AA2849" s="2" t="str">
        <f>IF(V2849&gt;Z2849,"Yes","No")</f>
        <v>No</v>
      </c>
      <c r="AB2849" s="12">
        <f>V2849-Z2849</f>
        <v>-31.390439999999998</v>
      </c>
      <c r="AC2849" s="15" t="s">
        <v>130</v>
      </c>
      <c r="AD2849" s="15" t="s">
        <v>131</v>
      </c>
      <c r="AE2849" s="15" t="s">
        <v>132</v>
      </c>
      <c r="AF2849" s="12">
        <f>IF(AG2849="Rejected",0,IF(R2849="Corporate Card",0,V2849))</f>
        <v>0</v>
      </c>
      <c r="AG2849" s="15" t="s">
        <v>133</v>
      </c>
      <c r="AH2849" s="16">
        <v>46003</v>
      </c>
      <c r="AI2849" s="16">
        <v>46006</v>
      </c>
      <c r="AJ2849" s="16">
        <v>46017</v>
      </c>
      <c r="AK2849" s="17">
        <f>IF(AJ2849="","",AJ2849-AH2849)</f>
        <v>14</v>
      </c>
    </row>
    <row r="2850" spans="1:37">
      <c r="A2850" s="2" t="s">
        <v>3362</v>
      </c>
      <c r="B2850" s="2" t="s">
        <v>116</v>
      </c>
      <c r="C2850" s="2" t="s">
        <v>117</v>
      </c>
      <c r="D2850" s="2" t="s">
        <v>118</v>
      </c>
      <c r="E2850" s="2" t="s">
        <v>119</v>
      </c>
      <c r="F2850" s="2" t="s">
        <v>120</v>
      </c>
      <c r="G2850" s="2" t="s">
        <v>3343</v>
      </c>
      <c r="H2850" s="2" t="s">
        <v>448</v>
      </c>
      <c r="I2850" s="2" t="s">
        <v>433</v>
      </c>
      <c r="J2850" s="2" t="s">
        <v>434</v>
      </c>
      <c r="K2850" s="9">
        <v>45989</v>
      </c>
      <c r="L2850" s="9">
        <v>45995</v>
      </c>
      <c r="M2850" s="9">
        <v>45990</v>
      </c>
      <c r="N2850" s="2" t="s">
        <v>3124</v>
      </c>
      <c r="O2850" s="2" t="s">
        <v>55</v>
      </c>
      <c r="P2850" s="2" t="s">
        <v>139</v>
      </c>
      <c r="Q2850" s="2" t="s">
        <v>187</v>
      </c>
      <c r="R2850" s="2" t="s">
        <v>137</v>
      </c>
      <c r="S2850" s="2" t="s">
        <v>436</v>
      </c>
      <c r="T2850" s="10">
        <v>1632</v>
      </c>
      <c r="U2850" s="11">
        <v>1.1780000000000001E-2</v>
      </c>
      <c r="V2850" s="12">
        <f>T2850*U2850</f>
        <v>19.224959999999999</v>
      </c>
      <c r="W2850" s="13">
        <v>0.18</v>
      </c>
      <c r="X2850" s="12">
        <f>V2850-(V2850/(1+W2850))</f>
        <v>2.9326210169491524</v>
      </c>
      <c r="Y2850" s="12">
        <f>V2850-X2850</f>
        <v>16.292338983050847</v>
      </c>
      <c r="Z2850" s="14">
        <v>35</v>
      </c>
      <c r="AA2850" s="2" t="str">
        <f>IF(V2850&gt;Z2850,"Yes","No")</f>
        <v>No</v>
      </c>
      <c r="AB2850" s="12">
        <f>V2850-Z2850</f>
        <v>-15.775040000000001</v>
      </c>
      <c r="AC2850" s="15" t="s">
        <v>130</v>
      </c>
      <c r="AD2850" s="15" t="s">
        <v>131</v>
      </c>
      <c r="AE2850" s="15" t="s">
        <v>132</v>
      </c>
      <c r="AF2850" s="12">
        <f>IF(AG2850="Rejected",0,IF(R2850="Corporate Card",0,V2850))</f>
        <v>19.224959999999999</v>
      </c>
      <c r="AG2850" s="15" t="s">
        <v>133</v>
      </c>
      <c r="AH2850" s="16">
        <v>46003</v>
      </c>
      <c r="AI2850" s="16">
        <v>46006</v>
      </c>
      <c r="AJ2850" s="16">
        <v>46017</v>
      </c>
      <c r="AK2850" s="17">
        <f>IF(AJ2850="","",AJ2850-AH2850)</f>
        <v>14</v>
      </c>
    </row>
    <row r="2851" spans="1:37">
      <c r="A2851" s="2" t="s">
        <v>3363</v>
      </c>
      <c r="B2851" s="2" t="s">
        <v>863</v>
      </c>
      <c r="C2851" s="2" t="s">
        <v>864</v>
      </c>
      <c r="D2851" s="2" t="s">
        <v>865</v>
      </c>
      <c r="E2851" s="2" t="s">
        <v>866</v>
      </c>
      <c r="F2851" s="2" t="s">
        <v>867</v>
      </c>
      <c r="G2851" s="2" t="s">
        <v>3326</v>
      </c>
      <c r="H2851" s="2" t="s">
        <v>254</v>
      </c>
      <c r="I2851" s="2" t="s">
        <v>651</v>
      </c>
      <c r="J2851" s="2" t="s">
        <v>652</v>
      </c>
      <c r="K2851" s="9">
        <v>45988</v>
      </c>
      <c r="L2851" s="9">
        <v>45996</v>
      </c>
      <c r="M2851" s="9">
        <v>45990</v>
      </c>
      <c r="N2851" s="2" t="s">
        <v>3124</v>
      </c>
      <c r="O2851" s="2" t="s">
        <v>56</v>
      </c>
      <c r="P2851" s="2" t="s">
        <v>165</v>
      </c>
      <c r="Q2851" s="2" t="s">
        <v>227</v>
      </c>
      <c r="R2851" s="2" t="s">
        <v>137</v>
      </c>
      <c r="S2851" s="2" t="s">
        <v>654</v>
      </c>
      <c r="T2851" s="10">
        <v>66.28</v>
      </c>
      <c r="U2851" s="11">
        <v>0.72799999999999998</v>
      </c>
      <c r="V2851" s="12">
        <f>T2851*U2851</f>
        <v>48.251840000000001</v>
      </c>
      <c r="W2851" s="13">
        <v>0.13</v>
      </c>
      <c r="X2851" s="12">
        <f>V2851-(V2851/(1+W2851))</f>
        <v>5.5510966371681363</v>
      </c>
      <c r="Y2851" s="12">
        <f>V2851-X2851</f>
        <v>42.700743362831865</v>
      </c>
      <c r="Z2851" s="14">
        <v>75</v>
      </c>
      <c r="AA2851" s="2" t="str">
        <f>IF(V2851&gt;Z2851,"Yes","No")</f>
        <v>No</v>
      </c>
      <c r="AB2851" s="12">
        <f>V2851-Z2851</f>
        <v>-26.748159999999999</v>
      </c>
      <c r="AC2851" s="15" t="s">
        <v>131</v>
      </c>
      <c r="AD2851" s="15" t="s">
        <v>131</v>
      </c>
      <c r="AE2851" s="15" t="s">
        <v>437</v>
      </c>
      <c r="AF2851" s="12">
        <f>IF(AG2851="Rejected",0,IF(R2851="Corporate Card",0,V2851))</f>
        <v>48.251840000000001</v>
      </c>
      <c r="AG2851" s="15" t="s">
        <v>181</v>
      </c>
      <c r="AH2851" s="16">
        <v>45998</v>
      </c>
      <c r="AI2851" s="16"/>
      <c r="AJ2851" s="16"/>
      <c r="AK2851" s="17" t="str">
        <f>IF(AJ2851="","",AJ2851-AH2851)</f>
        <v/>
      </c>
    </row>
    <row r="2852" spans="1:37">
      <c r="A2852" s="2" t="s">
        <v>3364</v>
      </c>
      <c r="B2852" s="2" t="s">
        <v>2212</v>
      </c>
      <c r="C2852" s="2" t="s">
        <v>346</v>
      </c>
      <c r="D2852" s="2" t="s">
        <v>344</v>
      </c>
      <c r="E2852" s="2" t="s">
        <v>2213</v>
      </c>
      <c r="F2852" s="2" t="s">
        <v>313</v>
      </c>
      <c r="G2852" s="2" t="s">
        <v>3322</v>
      </c>
      <c r="H2852" s="2" t="s">
        <v>748</v>
      </c>
      <c r="I2852" s="2" t="s">
        <v>380</v>
      </c>
      <c r="J2852" s="2" t="s">
        <v>381</v>
      </c>
      <c r="K2852" s="9">
        <v>45987</v>
      </c>
      <c r="L2852" s="9">
        <v>45995</v>
      </c>
      <c r="M2852" s="9">
        <v>45990</v>
      </c>
      <c r="N2852" s="2" t="s">
        <v>3124</v>
      </c>
      <c r="O2852" s="2" t="s">
        <v>68</v>
      </c>
      <c r="P2852" s="2" t="s">
        <v>282</v>
      </c>
      <c r="Q2852" s="2" t="s">
        <v>283</v>
      </c>
      <c r="R2852" s="2" t="s">
        <v>128</v>
      </c>
      <c r="S2852" s="2" t="s">
        <v>383</v>
      </c>
      <c r="T2852" s="10">
        <v>22.51</v>
      </c>
      <c r="U2852" s="11">
        <v>1</v>
      </c>
      <c r="V2852" s="12">
        <f>T2852*U2852</f>
        <v>22.51</v>
      </c>
      <c r="W2852" s="13">
        <v>0</v>
      </c>
      <c r="X2852" s="12">
        <f>V2852-(V2852/(1+W2852))</f>
        <v>0</v>
      </c>
      <c r="Y2852" s="12">
        <f>V2852-X2852</f>
        <v>22.51</v>
      </c>
      <c r="Z2852" s="14">
        <v>30</v>
      </c>
      <c r="AA2852" s="2" t="str">
        <f>IF(V2852&gt;Z2852,"Yes","No")</f>
        <v>No</v>
      </c>
      <c r="AB2852" s="12">
        <f>V2852-Z2852</f>
        <v>-7.4899999999999984</v>
      </c>
      <c r="AC2852" s="15" t="s">
        <v>130</v>
      </c>
      <c r="AD2852" s="15" t="s">
        <v>130</v>
      </c>
      <c r="AE2852" s="15" t="s">
        <v>260</v>
      </c>
      <c r="AF2852" s="12">
        <f>IF(AG2852="Rejected",0,IF(R2852="Corporate Card",0,V2852))</f>
        <v>0</v>
      </c>
      <c r="AG2852" s="15" t="s">
        <v>133</v>
      </c>
      <c r="AH2852" s="16">
        <v>46004</v>
      </c>
      <c r="AI2852" s="16">
        <v>46008</v>
      </c>
      <c r="AJ2852" s="16">
        <v>46021</v>
      </c>
      <c r="AK2852" s="17">
        <f>IF(AJ2852="","",AJ2852-AH2852)</f>
        <v>17</v>
      </c>
    </row>
    <row r="2853" spans="1:37">
      <c r="A2853" s="2" t="s">
        <v>3365</v>
      </c>
      <c r="B2853" s="2" t="s">
        <v>2212</v>
      </c>
      <c r="C2853" s="2" t="s">
        <v>346</v>
      </c>
      <c r="D2853" s="2" t="s">
        <v>344</v>
      </c>
      <c r="E2853" s="2" t="s">
        <v>2213</v>
      </c>
      <c r="F2853" s="2" t="s">
        <v>313</v>
      </c>
      <c r="G2853" s="2" t="s">
        <v>3322</v>
      </c>
      <c r="H2853" s="2" t="s">
        <v>748</v>
      </c>
      <c r="I2853" s="2" t="s">
        <v>380</v>
      </c>
      <c r="J2853" s="2" t="s">
        <v>381</v>
      </c>
      <c r="K2853" s="9">
        <v>45987</v>
      </c>
      <c r="L2853" s="9">
        <v>45995</v>
      </c>
      <c r="M2853" s="9">
        <v>45990</v>
      </c>
      <c r="N2853" s="2" t="s">
        <v>3124</v>
      </c>
      <c r="O2853" s="2" t="s">
        <v>54</v>
      </c>
      <c r="P2853" s="2" t="s">
        <v>139</v>
      </c>
      <c r="Q2853" s="2" t="s">
        <v>163</v>
      </c>
      <c r="R2853" s="2" t="s">
        <v>137</v>
      </c>
      <c r="S2853" s="2" t="s">
        <v>383</v>
      </c>
      <c r="T2853" s="10">
        <v>17.22</v>
      </c>
      <c r="U2853" s="11">
        <v>1</v>
      </c>
      <c r="V2853" s="12">
        <f>T2853*U2853</f>
        <v>17.22</v>
      </c>
      <c r="W2853" s="13">
        <v>0</v>
      </c>
      <c r="X2853" s="12">
        <f>V2853-(V2853/(1+W2853))</f>
        <v>0</v>
      </c>
      <c r="Y2853" s="12">
        <f>V2853-X2853</f>
        <v>17.22</v>
      </c>
      <c r="Z2853" s="14">
        <v>25</v>
      </c>
      <c r="AA2853" s="2" t="str">
        <f>IF(V2853&gt;Z2853,"Yes","No")</f>
        <v>No</v>
      </c>
      <c r="AB2853" s="12">
        <f>V2853-Z2853</f>
        <v>-7.7800000000000011</v>
      </c>
      <c r="AC2853" s="15" t="s">
        <v>130</v>
      </c>
      <c r="AD2853" s="15" t="s">
        <v>130</v>
      </c>
      <c r="AE2853" s="15" t="s">
        <v>260</v>
      </c>
      <c r="AF2853" s="12">
        <f>IF(AG2853="Rejected",0,IF(R2853="Corporate Card",0,V2853))</f>
        <v>17.22</v>
      </c>
      <c r="AG2853" s="15" t="s">
        <v>133</v>
      </c>
      <c r="AH2853" s="16">
        <v>46004</v>
      </c>
      <c r="AI2853" s="16">
        <v>46008</v>
      </c>
      <c r="AJ2853" s="16">
        <v>46021</v>
      </c>
      <c r="AK2853" s="17">
        <f>IF(AJ2853="","",AJ2853-AH2853)</f>
        <v>17</v>
      </c>
    </row>
    <row r="2854" spans="1:37">
      <c r="A2854" s="2" t="s">
        <v>3366</v>
      </c>
      <c r="B2854" s="2" t="s">
        <v>2212</v>
      </c>
      <c r="C2854" s="2" t="s">
        <v>346</v>
      </c>
      <c r="D2854" s="2" t="s">
        <v>344</v>
      </c>
      <c r="E2854" s="2" t="s">
        <v>2213</v>
      </c>
      <c r="F2854" s="2" t="s">
        <v>313</v>
      </c>
      <c r="G2854" s="2" t="s">
        <v>3322</v>
      </c>
      <c r="H2854" s="2" t="s">
        <v>748</v>
      </c>
      <c r="I2854" s="2" t="s">
        <v>380</v>
      </c>
      <c r="J2854" s="2" t="s">
        <v>381</v>
      </c>
      <c r="K2854" s="9">
        <v>45987</v>
      </c>
      <c r="L2854" s="9">
        <v>45995</v>
      </c>
      <c r="M2854" s="9">
        <v>45990</v>
      </c>
      <c r="N2854" s="2" t="s">
        <v>3124</v>
      </c>
      <c r="O2854" s="2" t="s">
        <v>56</v>
      </c>
      <c r="P2854" s="2" t="s">
        <v>165</v>
      </c>
      <c r="Q2854" s="2" t="s">
        <v>227</v>
      </c>
      <c r="R2854" s="2" t="s">
        <v>128</v>
      </c>
      <c r="S2854" s="2" t="s">
        <v>383</v>
      </c>
      <c r="T2854" s="10">
        <v>110.42</v>
      </c>
      <c r="U2854" s="11">
        <v>1</v>
      </c>
      <c r="V2854" s="12">
        <f>T2854*U2854</f>
        <v>110.42</v>
      </c>
      <c r="W2854" s="13">
        <v>0</v>
      </c>
      <c r="X2854" s="12">
        <f>V2854-(V2854/(1+W2854))</f>
        <v>0</v>
      </c>
      <c r="Y2854" s="12">
        <f>V2854-X2854</f>
        <v>110.42</v>
      </c>
      <c r="Z2854" s="14">
        <v>75</v>
      </c>
      <c r="AA2854" s="2" t="str">
        <f>IF(V2854&gt;Z2854,"Yes","No")</f>
        <v>Yes</v>
      </c>
      <c r="AB2854" s="12">
        <f>V2854-Z2854</f>
        <v>35.42</v>
      </c>
      <c r="AC2854" s="15" t="s">
        <v>130</v>
      </c>
      <c r="AD2854" s="15" t="s">
        <v>130</v>
      </c>
      <c r="AE2854" s="15" t="s">
        <v>260</v>
      </c>
      <c r="AF2854" s="12">
        <f>IF(AG2854="Rejected",0,IF(R2854="Corporate Card",0,V2854))</f>
        <v>0</v>
      </c>
      <c r="AG2854" s="15" t="s">
        <v>133</v>
      </c>
      <c r="AH2854" s="16">
        <v>46004</v>
      </c>
      <c r="AI2854" s="16">
        <v>46008</v>
      </c>
      <c r="AJ2854" s="16">
        <v>46021</v>
      </c>
      <c r="AK2854" s="17">
        <f>IF(AJ2854="","",AJ2854-AH2854)</f>
        <v>17</v>
      </c>
    </row>
    <row r="2855" spans="1:37">
      <c r="A2855" s="2" t="s">
        <v>3367</v>
      </c>
      <c r="B2855" s="2" t="s">
        <v>2212</v>
      </c>
      <c r="C2855" s="2" t="s">
        <v>346</v>
      </c>
      <c r="D2855" s="2" t="s">
        <v>344</v>
      </c>
      <c r="E2855" s="2" t="s">
        <v>2213</v>
      </c>
      <c r="F2855" s="2" t="s">
        <v>313</v>
      </c>
      <c r="G2855" s="2" t="s">
        <v>3322</v>
      </c>
      <c r="H2855" s="2" t="s">
        <v>748</v>
      </c>
      <c r="I2855" s="2" t="s">
        <v>380</v>
      </c>
      <c r="J2855" s="2" t="s">
        <v>381</v>
      </c>
      <c r="K2855" s="9">
        <v>45987</v>
      </c>
      <c r="L2855" s="9">
        <v>45995</v>
      </c>
      <c r="M2855" s="9">
        <v>45990</v>
      </c>
      <c r="N2855" s="2" t="s">
        <v>3124</v>
      </c>
      <c r="O2855" s="2" t="s">
        <v>55</v>
      </c>
      <c r="P2855" s="2" t="s">
        <v>139</v>
      </c>
      <c r="Q2855" s="2" t="s">
        <v>161</v>
      </c>
      <c r="R2855" s="2" t="s">
        <v>149</v>
      </c>
      <c r="S2855" s="2" t="s">
        <v>383</v>
      </c>
      <c r="T2855" s="10">
        <v>23.59</v>
      </c>
      <c r="U2855" s="11">
        <v>1</v>
      </c>
      <c r="V2855" s="12">
        <f>T2855*U2855</f>
        <v>23.59</v>
      </c>
      <c r="W2855" s="13">
        <v>0</v>
      </c>
      <c r="X2855" s="12">
        <f>V2855-(V2855/(1+W2855))</f>
        <v>0</v>
      </c>
      <c r="Y2855" s="12">
        <f>V2855-X2855</f>
        <v>23.59</v>
      </c>
      <c r="Z2855" s="14">
        <v>35</v>
      </c>
      <c r="AA2855" s="2" t="str">
        <f>IF(V2855&gt;Z2855,"Yes","No")</f>
        <v>No</v>
      </c>
      <c r="AB2855" s="12">
        <f>V2855-Z2855</f>
        <v>-11.41</v>
      </c>
      <c r="AC2855" s="15" t="s">
        <v>130</v>
      </c>
      <c r="AD2855" s="15" t="s">
        <v>130</v>
      </c>
      <c r="AE2855" s="15" t="s">
        <v>260</v>
      </c>
      <c r="AF2855" s="12">
        <f>IF(AG2855="Rejected",0,IF(R2855="Corporate Card",0,V2855))</f>
        <v>23.59</v>
      </c>
      <c r="AG2855" s="15" t="s">
        <v>133</v>
      </c>
      <c r="AH2855" s="16">
        <v>46004</v>
      </c>
      <c r="AI2855" s="16">
        <v>46008</v>
      </c>
      <c r="AJ2855" s="16">
        <v>46021</v>
      </c>
      <c r="AK2855" s="17">
        <f>IF(AJ2855="","",AJ2855-AH2855)</f>
        <v>17</v>
      </c>
    </row>
    <row r="2856" spans="1:37">
      <c r="A2856" s="2" t="s">
        <v>3368</v>
      </c>
      <c r="B2856" s="2" t="s">
        <v>116</v>
      </c>
      <c r="C2856" s="2" t="s">
        <v>117</v>
      </c>
      <c r="D2856" s="2" t="s">
        <v>118</v>
      </c>
      <c r="E2856" s="2" t="s">
        <v>119</v>
      </c>
      <c r="F2856" s="2" t="s">
        <v>120</v>
      </c>
      <c r="G2856" s="2" t="s">
        <v>3343</v>
      </c>
      <c r="H2856" s="2" t="s">
        <v>448</v>
      </c>
      <c r="I2856" s="2" t="s">
        <v>433</v>
      </c>
      <c r="J2856" s="2" t="s">
        <v>434</v>
      </c>
      <c r="K2856" s="9">
        <v>45989</v>
      </c>
      <c r="L2856" s="9">
        <v>45995</v>
      </c>
      <c r="M2856" s="9">
        <v>45991</v>
      </c>
      <c r="N2856" s="2" t="s">
        <v>3124</v>
      </c>
      <c r="O2856" s="2" t="s">
        <v>58</v>
      </c>
      <c r="P2856" s="2" t="s">
        <v>142</v>
      </c>
      <c r="Q2856" s="2" t="s">
        <v>296</v>
      </c>
      <c r="R2856" s="2" t="s">
        <v>128</v>
      </c>
      <c r="S2856" s="2" t="s">
        <v>436</v>
      </c>
      <c r="T2856" s="10">
        <v>6297</v>
      </c>
      <c r="U2856" s="11">
        <v>1.1780000000000001E-2</v>
      </c>
      <c r="V2856" s="12">
        <f>T2856*U2856</f>
        <v>74.178660000000008</v>
      </c>
      <c r="W2856" s="13">
        <v>0.18</v>
      </c>
      <c r="X2856" s="12">
        <f>V2856-(V2856/(1+W2856))</f>
        <v>11.315388813559323</v>
      </c>
      <c r="Y2856" s="12">
        <f>V2856-X2856</f>
        <v>62.863271186440684</v>
      </c>
      <c r="Z2856" s="14">
        <v>60</v>
      </c>
      <c r="AA2856" s="2" t="str">
        <f>IF(V2856&gt;Z2856,"Yes","No")</f>
        <v>Yes</v>
      </c>
      <c r="AB2856" s="12">
        <f>V2856-Z2856</f>
        <v>14.178660000000008</v>
      </c>
      <c r="AC2856" s="15" t="s">
        <v>130</v>
      </c>
      <c r="AD2856" s="15" t="s">
        <v>131</v>
      </c>
      <c r="AE2856" s="15" t="s">
        <v>132</v>
      </c>
      <c r="AF2856" s="12">
        <f>IF(AG2856="Rejected",0,IF(R2856="Corporate Card",0,V2856))</f>
        <v>0</v>
      </c>
      <c r="AG2856" s="15" t="s">
        <v>133</v>
      </c>
      <c r="AH2856" s="16">
        <v>46003</v>
      </c>
      <c r="AI2856" s="16">
        <v>46006</v>
      </c>
      <c r="AJ2856" s="16">
        <v>46017</v>
      </c>
      <c r="AK2856" s="17">
        <f>IF(AJ2856="","",AJ2856-AH2856)</f>
        <v>14</v>
      </c>
    </row>
    <row r="2857" spans="1:37">
      <c r="A2857" s="2" t="s">
        <v>3369</v>
      </c>
      <c r="B2857" s="2" t="s">
        <v>116</v>
      </c>
      <c r="C2857" s="2" t="s">
        <v>117</v>
      </c>
      <c r="D2857" s="2" t="s">
        <v>118</v>
      </c>
      <c r="E2857" s="2" t="s">
        <v>119</v>
      </c>
      <c r="F2857" s="2" t="s">
        <v>120</v>
      </c>
      <c r="G2857" s="2" t="s">
        <v>3343</v>
      </c>
      <c r="H2857" s="2" t="s">
        <v>448</v>
      </c>
      <c r="I2857" s="2" t="s">
        <v>433</v>
      </c>
      <c r="J2857" s="2" t="s">
        <v>434</v>
      </c>
      <c r="K2857" s="9">
        <v>45989</v>
      </c>
      <c r="L2857" s="9">
        <v>45995</v>
      </c>
      <c r="M2857" s="9">
        <v>45991</v>
      </c>
      <c r="N2857" s="2" t="s">
        <v>3124</v>
      </c>
      <c r="O2857" s="2" t="s">
        <v>54</v>
      </c>
      <c r="P2857" s="2" t="s">
        <v>139</v>
      </c>
      <c r="Q2857" s="2" t="s">
        <v>214</v>
      </c>
      <c r="R2857" s="2" t="s">
        <v>128</v>
      </c>
      <c r="S2857" s="2" t="s">
        <v>436</v>
      </c>
      <c r="T2857" s="10">
        <v>777</v>
      </c>
      <c r="U2857" s="11">
        <v>1.1780000000000001E-2</v>
      </c>
      <c r="V2857" s="12">
        <f>T2857*U2857</f>
        <v>9.15306</v>
      </c>
      <c r="W2857" s="13">
        <v>0.18</v>
      </c>
      <c r="X2857" s="12">
        <f>V2857-(V2857/(1+W2857))</f>
        <v>1.396229491525423</v>
      </c>
      <c r="Y2857" s="12">
        <f>V2857-X2857</f>
        <v>7.756830508474577</v>
      </c>
      <c r="Z2857" s="14">
        <v>25</v>
      </c>
      <c r="AA2857" s="2" t="str">
        <f>IF(V2857&gt;Z2857,"Yes","No")</f>
        <v>No</v>
      </c>
      <c r="AB2857" s="12">
        <f>V2857-Z2857</f>
        <v>-15.84694</v>
      </c>
      <c r="AC2857" s="15" t="s">
        <v>130</v>
      </c>
      <c r="AD2857" s="15" t="s">
        <v>131</v>
      </c>
      <c r="AE2857" s="15" t="s">
        <v>132</v>
      </c>
      <c r="AF2857" s="12">
        <f>IF(AG2857="Rejected",0,IF(R2857="Corporate Card",0,V2857))</f>
        <v>0</v>
      </c>
      <c r="AG2857" s="15" t="s">
        <v>133</v>
      </c>
      <c r="AH2857" s="16">
        <v>46003</v>
      </c>
      <c r="AI2857" s="16">
        <v>46006</v>
      </c>
      <c r="AJ2857" s="16">
        <v>46017</v>
      </c>
      <c r="AK2857" s="17">
        <f>IF(AJ2857="","",AJ2857-AH2857)</f>
        <v>14</v>
      </c>
    </row>
    <row r="2858" spans="1:37">
      <c r="A2858" s="2" t="s">
        <v>3370</v>
      </c>
      <c r="B2858" s="2" t="s">
        <v>116</v>
      </c>
      <c r="C2858" s="2" t="s">
        <v>117</v>
      </c>
      <c r="D2858" s="2" t="s">
        <v>118</v>
      </c>
      <c r="E2858" s="2" t="s">
        <v>119</v>
      </c>
      <c r="F2858" s="2" t="s">
        <v>120</v>
      </c>
      <c r="G2858" s="2" t="s">
        <v>3343</v>
      </c>
      <c r="H2858" s="2" t="s">
        <v>448</v>
      </c>
      <c r="I2858" s="2" t="s">
        <v>433</v>
      </c>
      <c r="J2858" s="2" t="s">
        <v>434</v>
      </c>
      <c r="K2858" s="9">
        <v>45989</v>
      </c>
      <c r="L2858" s="9">
        <v>45995</v>
      </c>
      <c r="M2858" s="9">
        <v>45991</v>
      </c>
      <c r="N2858" s="2" t="s">
        <v>3124</v>
      </c>
      <c r="O2858" s="2" t="s">
        <v>56</v>
      </c>
      <c r="P2858" s="2" t="s">
        <v>165</v>
      </c>
      <c r="Q2858" s="2" t="s">
        <v>185</v>
      </c>
      <c r="R2858" s="2" t="s">
        <v>128</v>
      </c>
      <c r="S2858" s="2" t="s">
        <v>436</v>
      </c>
      <c r="T2858" s="10">
        <v>4705</v>
      </c>
      <c r="U2858" s="11">
        <v>1.1780000000000001E-2</v>
      </c>
      <c r="V2858" s="12">
        <f>T2858*U2858</f>
        <v>55.424900000000001</v>
      </c>
      <c r="W2858" s="13">
        <v>0.18</v>
      </c>
      <c r="X2858" s="12">
        <f>V2858-(V2858/(1+W2858))</f>
        <v>8.4546457627118627</v>
      </c>
      <c r="Y2858" s="12">
        <f>V2858-X2858</f>
        <v>46.970254237288138</v>
      </c>
      <c r="Z2858" s="14">
        <v>75</v>
      </c>
      <c r="AA2858" s="2" t="str">
        <f>IF(V2858&gt;Z2858,"Yes","No")</f>
        <v>No</v>
      </c>
      <c r="AB2858" s="12">
        <f>V2858-Z2858</f>
        <v>-19.575099999999999</v>
      </c>
      <c r="AC2858" s="15" t="s">
        <v>131</v>
      </c>
      <c r="AD2858" s="15" t="s">
        <v>131</v>
      </c>
      <c r="AE2858" s="15" t="s">
        <v>132</v>
      </c>
      <c r="AF2858" s="12">
        <f>IF(AG2858="Rejected",0,IF(R2858="Corporate Card",0,V2858))</f>
        <v>0</v>
      </c>
      <c r="AG2858" s="15" t="s">
        <v>133</v>
      </c>
      <c r="AH2858" s="16">
        <v>46003</v>
      </c>
      <c r="AI2858" s="16">
        <v>46006</v>
      </c>
      <c r="AJ2858" s="16">
        <v>46017</v>
      </c>
      <c r="AK2858" s="17">
        <f>IF(AJ2858="","",AJ2858-AH2858)</f>
        <v>14</v>
      </c>
    </row>
    <row r="2859" spans="1:37">
      <c r="A2859" s="2" t="s">
        <v>3371</v>
      </c>
      <c r="B2859" s="2" t="s">
        <v>116</v>
      </c>
      <c r="C2859" s="2" t="s">
        <v>117</v>
      </c>
      <c r="D2859" s="2" t="s">
        <v>118</v>
      </c>
      <c r="E2859" s="2" t="s">
        <v>119</v>
      </c>
      <c r="F2859" s="2" t="s">
        <v>120</v>
      </c>
      <c r="G2859" s="2" t="s">
        <v>3343</v>
      </c>
      <c r="H2859" s="2" t="s">
        <v>448</v>
      </c>
      <c r="I2859" s="2" t="s">
        <v>433</v>
      </c>
      <c r="J2859" s="2" t="s">
        <v>434</v>
      </c>
      <c r="K2859" s="9">
        <v>45989</v>
      </c>
      <c r="L2859" s="9">
        <v>45995</v>
      </c>
      <c r="M2859" s="9">
        <v>45991</v>
      </c>
      <c r="N2859" s="2" t="s">
        <v>3124</v>
      </c>
      <c r="O2859" s="2" t="s">
        <v>55</v>
      </c>
      <c r="P2859" s="2" t="s">
        <v>139</v>
      </c>
      <c r="Q2859" s="2" t="s">
        <v>154</v>
      </c>
      <c r="R2859" s="2" t="s">
        <v>128</v>
      </c>
      <c r="S2859" s="2" t="s">
        <v>436</v>
      </c>
      <c r="T2859" s="10">
        <v>1484</v>
      </c>
      <c r="U2859" s="11">
        <v>1.1780000000000001E-2</v>
      </c>
      <c r="V2859" s="12">
        <f>T2859*U2859</f>
        <v>17.48152</v>
      </c>
      <c r="W2859" s="13">
        <v>0.18</v>
      </c>
      <c r="X2859" s="12">
        <f>V2859-(V2859/(1+W2859))</f>
        <v>2.666672542372881</v>
      </c>
      <c r="Y2859" s="12">
        <f>V2859-X2859</f>
        <v>14.814847457627119</v>
      </c>
      <c r="Z2859" s="14">
        <v>35</v>
      </c>
      <c r="AA2859" s="2" t="str">
        <f>IF(V2859&gt;Z2859,"Yes","No")</f>
        <v>No</v>
      </c>
      <c r="AB2859" s="12">
        <f>V2859-Z2859</f>
        <v>-17.51848</v>
      </c>
      <c r="AC2859" s="15" t="s">
        <v>130</v>
      </c>
      <c r="AD2859" s="15" t="s">
        <v>131</v>
      </c>
      <c r="AE2859" s="15" t="s">
        <v>132</v>
      </c>
      <c r="AF2859" s="12">
        <f>IF(AG2859="Rejected",0,IF(R2859="Corporate Card",0,V2859))</f>
        <v>0</v>
      </c>
      <c r="AG2859" s="15" t="s">
        <v>133</v>
      </c>
      <c r="AH2859" s="16">
        <v>46003</v>
      </c>
      <c r="AI2859" s="16">
        <v>46006</v>
      </c>
      <c r="AJ2859" s="16">
        <v>46017</v>
      </c>
      <c r="AK2859" s="17">
        <f>IF(AJ2859="","",AJ2859-AH2859)</f>
        <v>14</v>
      </c>
    </row>
    <row r="2860" spans="1:37">
      <c r="A2860" s="2" t="s">
        <v>3372</v>
      </c>
      <c r="B2860" s="2" t="s">
        <v>863</v>
      </c>
      <c r="C2860" s="2" t="s">
        <v>864</v>
      </c>
      <c r="D2860" s="2" t="s">
        <v>865</v>
      </c>
      <c r="E2860" s="2" t="s">
        <v>866</v>
      </c>
      <c r="F2860" s="2" t="s">
        <v>867</v>
      </c>
      <c r="G2860" s="2" t="s">
        <v>3326</v>
      </c>
      <c r="H2860" s="2" t="s">
        <v>254</v>
      </c>
      <c r="I2860" s="2" t="s">
        <v>651</v>
      </c>
      <c r="J2860" s="2" t="s">
        <v>652</v>
      </c>
      <c r="K2860" s="9">
        <v>45988</v>
      </c>
      <c r="L2860" s="9">
        <v>45996</v>
      </c>
      <c r="M2860" s="9">
        <v>45991</v>
      </c>
      <c r="N2860" s="2" t="s">
        <v>3124</v>
      </c>
      <c r="O2860" s="2" t="s">
        <v>58</v>
      </c>
      <c r="P2860" s="2" t="s">
        <v>142</v>
      </c>
      <c r="Q2860" s="2" t="s">
        <v>224</v>
      </c>
      <c r="R2860" s="2" t="s">
        <v>128</v>
      </c>
      <c r="S2860" s="2" t="s">
        <v>654</v>
      </c>
      <c r="T2860" s="10">
        <v>39.69</v>
      </c>
      <c r="U2860" s="11">
        <v>0.72799999999999998</v>
      </c>
      <c r="V2860" s="12">
        <f>T2860*U2860</f>
        <v>28.894319999999997</v>
      </c>
      <c r="W2860" s="13">
        <v>0.13</v>
      </c>
      <c r="X2860" s="12">
        <f>V2860-(V2860/(1+W2860))</f>
        <v>3.3241253097345123</v>
      </c>
      <c r="Y2860" s="12">
        <f>V2860-X2860</f>
        <v>25.570194690265485</v>
      </c>
      <c r="Z2860" s="14">
        <v>60</v>
      </c>
      <c r="AA2860" s="2" t="str">
        <f>IF(V2860&gt;Z2860,"Yes","No")</f>
        <v>No</v>
      </c>
      <c r="AB2860" s="12">
        <f>V2860-Z2860</f>
        <v>-31.105680000000003</v>
      </c>
      <c r="AC2860" s="15" t="s">
        <v>130</v>
      </c>
      <c r="AD2860" s="15" t="s">
        <v>131</v>
      </c>
      <c r="AE2860" s="15" t="s">
        <v>437</v>
      </c>
      <c r="AF2860" s="12">
        <f>IF(AG2860="Rejected",0,IF(R2860="Corporate Card",0,V2860))</f>
        <v>0</v>
      </c>
      <c r="AG2860" s="15" t="s">
        <v>181</v>
      </c>
      <c r="AH2860" s="16">
        <v>45998</v>
      </c>
      <c r="AI2860" s="16"/>
      <c r="AJ2860" s="16"/>
      <c r="AK2860" s="17" t="str">
        <f>IF(AJ2860="","",AJ2860-AH2860)</f>
        <v/>
      </c>
    </row>
    <row r="2861" spans="1:37">
      <c r="A2861" s="2" t="s">
        <v>3373</v>
      </c>
      <c r="B2861" s="2" t="s">
        <v>863</v>
      </c>
      <c r="C2861" s="2" t="s">
        <v>864</v>
      </c>
      <c r="D2861" s="2" t="s">
        <v>865</v>
      </c>
      <c r="E2861" s="2" t="s">
        <v>866</v>
      </c>
      <c r="F2861" s="2" t="s">
        <v>867</v>
      </c>
      <c r="G2861" s="2" t="s">
        <v>3326</v>
      </c>
      <c r="H2861" s="2" t="s">
        <v>254</v>
      </c>
      <c r="I2861" s="2" t="s">
        <v>651</v>
      </c>
      <c r="J2861" s="2" t="s">
        <v>652</v>
      </c>
      <c r="K2861" s="9">
        <v>45988</v>
      </c>
      <c r="L2861" s="9">
        <v>45996</v>
      </c>
      <c r="M2861" s="9">
        <v>45991</v>
      </c>
      <c r="N2861" s="2" t="s">
        <v>3124</v>
      </c>
      <c r="O2861" s="2" t="s">
        <v>54</v>
      </c>
      <c r="P2861" s="2" t="s">
        <v>139</v>
      </c>
      <c r="Q2861" s="2" t="s">
        <v>148</v>
      </c>
      <c r="R2861" s="2" t="s">
        <v>128</v>
      </c>
      <c r="S2861" s="2" t="s">
        <v>654</v>
      </c>
      <c r="T2861" s="10">
        <v>27.51</v>
      </c>
      <c r="U2861" s="11">
        <v>0.72799999999999998</v>
      </c>
      <c r="V2861" s="12">
        <f>T2861*U2861</f>
        <v>20.027280000000001</v>
      </c>
      <c r="W2861" s="13">
        <v>0.13</v>
      </c>
      <c r="X2861" s="12">
        <f>V2861-(V2861/(1+W2861))</f>
        <v>2.304023362831856</v>
      </c>
      <c r="Y2861" s="12">
        <f>V2861-X2861</f>
        <v>17.723256637168145</v>
      </c>
      <c r="Z2861" s="14">
        <v>25</v>
      </c>
      <c r="AA2861" s="2" t="str">
        <f>IF(V2861&gt;Z2861,"Yes","No")</f>
        <v>No</v>
      </c>
      <c r="AB2861" s="12">
        <f>V2861-Z2861</f>
        <v>-4.9727199999999989</v>
      </c>
      <c r="AC2861" s="15" t="s">
        <v>130</v>
      </c>
      <c r="AD2861" s="15" t="s">
        <v>131</v>
      </c>
      <c r="AE2861" s="15" t="s">
        <v>437</v>
      </c>
      <c r="AF2861" s="12">
        <f>IF(AG2861="Rejected",0,IF(R2861="Corporate Card",0,V2861))</f>
        <v>0</v>
      </c>
      <c r="AG2861" s="15" t="s">
        <v>181</v>
      </c>
      <c r="AH2861" s="16">
        <v>45998</v>
      </c>
      <c r="AI2861" s="16"/>
      <c r="AJ2861" s="16"/>
      <c r="AK2861" s="17" t="str">
        <f>IF(AJ2861="","",AJ2861-AH2861)</f>
        <v/>
      </c>
    </row>
    <row r="2862" spans="1:37">
      <c r="A2862" s="2" t="s">
        <v>3374</v>
      </c>
      <c r="B2862" s="2" t="s">
        <v>863</v>
      </c>
      <c r="C2862" s="2" t="s">
        <v>864</v>
      </c>
      <c r="D2862" s="2" t="s">
        <v>865</v>
      </c>
      <c r="E2862" s="2" t="s">
        <v>866</v>
      </c>
      <c r="F2862" s="2" t="s">
        <v>867</v>
      </c>
      <c r="G2862" s="2" t="s">
        <v>3326</v>
      </c>
      <c r="H2862" s="2" t="s">
        <v>254</v>
      </c>
      <c r="I2862" s="2" t="s">
        <v>651</v>
      </c>
      <c r="J2862" s="2" t="s">
        <v>652</v>
      </c>
      <c r="K2862" s="9">
        <v>45988</v>
      </c>
      <c r="L2862" s="9">
        <v>45996</v>
      </c>
      <c r="M2862" s="9">
        <v>45991</v>
      </c>
      <c r="N2862" s="2" t="s">
        <v>3124</v>
      </c>
      <c r="O2862" s="2" t="s">
        <v>56</v>
      </c>
      <c r="P2862" s="2" t="s">
        <v>245</v>
      </c>
      <c r="Q2862" s="2" t="s">
        <v>166</v>
      </c>
      <c r="R2862" s="2" t="s">
        <v>128</v>
      </c>
      <c r="S2862" s="2" t="s">
        <v>654</v>
      </c>
      <c r="T2862" s="10">
        <v>53.09</v>
      </c>
      <c r="U2862" s="11">
        <v>0.72799999999999998</v>
      </c>
      <c r="V2862" s="12">
        <f>T2862*U2862</f>
        <v>38.649520000000003</v>
      </c>
      <c r="W2862" s="13">
        <v>0.13</v>
      </c>
      <c r="X2862" s="12">
        <f>V2862-(V2862/(1+W2862))</f>
        <v>4.4464049557522074</v>
      </c>
      <c r="Y2862" s="12">
        <f>V2862-X2862</f>
        <v>34.203115044247795</v>
      </c>
      <c r="Z2862" s="14">
        <v>75</v>
      </c>
      <c r="AA2862" s="2" t="str">
        <f>IF(V2862&gt;Z2862,"Yes","No")</f>
        <v>No</v>
      </c>
      <c r="AB2862" s="12">
        <f>V2862-Z2862</f>
        <v>-36.350479999999997</v>
      </c>
      <c r="AC2862" s="15" t="s">
        <v>130</v>
      </c>
      <c r="AD2862" s="15" t="s">
        <v>131</v>
      </c>
      <c r="AE2862" s="15" t="s">
        <v>437</v>
      </c>
      <c r="AF2862" s="12">
        <f>IF(AG2862="Rejected",0,IF(R2862="Corporate Card",0,V2862))</f>
        <v>0</v>
      </c>
      <c r="AG2862" s="15" t="s">
        <v>181</v>
      </c>
      <c r="AH2862" s="16">
        <v>45998</v>
      </c>
      <c r="AI2862" s="16"/>
      <c r="AJ2862" s="16"/>
      <c r="AK2862" s="17" t="str">
        <f>IF(AJ2862="","",AJ2862-AH2862)</f>
        <v/>
      </c>
    </row>
    <row r="2863" spans="1:37">
      <c r="A2863" s="2" t="s">
        <v>3375</v>
      </c>
      <c r="B2863" s="2" t="s">
        <v>863</v>
      </c>
      <c r="C2863" s="2" t="s">
        <v>864</v>
      </c>
      <c r="D2863" s="2" t="s">
        <v>865</v>
      </c>
      <c r="E2863" s="2" t="s">
        <v>866</v>
      </c>
      <c r="F2863" s="2" t="s">
        <v>867</v>
      </c>
      <c r="G2863" s="2" t="s">
        <v>3326</v>
      </c>
      <c r="H2863" s="2" t="s">
        <v>254</v>
      </c>
      <c r="I2863" s="2" t="s">
        <v>651</v>
      </c>
      <c r="J2863" s="2" t="s">
        <v>652</v>
      </c>
      <c r="K2863" s="9">
        <v>45988</v>
      </c>
      <c r="L2863" s="9">
        <v>45996</v>
      </c>
      <c r="M2863" s="9">
        <v>45991</v>
      </c>
      <c r="N2863" s="2" t="s">
        <v>3124</v>
      </c>
      <c r="O2863" s="2" t="s">
        <v>55</v>
      </c>
      <c r="P2863" s="2" t="s">
        <v>139</v>
      </c>
      <c r="Q2863" s="2" t="s">
        <v>161</v>
      </c>
      <c r="R2863" s="2" t="s">
        <v>149</v>
      </c>
      <c r="S2863" s="2" t="s">
        <v>654</v>
      </c>
      <c r="T2863" s="10">
        <v>36.54</v>
      </c>
      <c r="U2863" s="11">
        <v>0.72799999999999998</v>
      </c>
      <c r="V2863" s="12">
        <f>T2863*U2863</f>
        <v>26.601119999999998</v>
      </c>
      <c r="W2863" s="13">
        <v>0.13</v>
      </c>
      <c r="X2863" s="12">
        <f>V2863-(V2863/(1+W2863))</f>
        <v>3.0603058407079615</v>
      </c>
      <c r="Y2863" s="12">
        <f>V2863-X2863</f>
        <v>23.540814159292037</v>
      </c>
      <c r="Z2863" s="14">
        <v>35</v>
      </c>
      <c r="AA2863" s="2" t="str">
        <f>IF(V2863&gt;Z2863,"Yes","No")</f>
        <v>No</v>
      </c>
      <c r="AB2863" s="12">
        <f>V2863-Z2863</f>
        <v>-8.3988800000000019</v>
      </c>
      <c r="AC2863" s="15" t="s">
        <v>130</v>
      </c>
      <c r="AD2863" s="15" t="s">
        <v>131</v>
      </c>
      <c r="AE2863" s="15" t="s">
        <v>437</v>
      </c>
      <c r="AF2863" s="12">
        <f>IF(AG2863="Rejected",0,IF(R2863="Corporate Card",0,V2863))</f>
        <v>26.601119999999998</v>
      </c>
      <c r="AG2863" s="15" t="s">
        <v>181</v>
      </c>
      <c r="AH2863" s="16">
        <v>45998</v>
      </c>
      <c r="AI2863" s="16"/>
      <c r="AJ2863" s="16"/>
      <c r="AK2863" s="17" t="str">
        <f>IF(AJ2863="","",AJ2863-AH2863)</f>
        <v/>
      </c>
    </row>
    <row r="2864" spans="1:37">
      <c r="A2864" s="2" t="s">
        <v>3376</v>
      </c>
      <c r="B2864" s="2" t="s">
        <v>2212</v>
      </c>
      <c r="C2864" s="2" t="s">
        <v>346</v>
      </c>
      <c r="D2864" s="2" t="s">
        <v>344</v>
      </c>
      <c r="E2864" s="2" t="s">
        <v>2213</v>
      </c>
      <c r="F2864" s="2" t="s">
        <v>313</v>
      </c>
      <c r="G2864" s="2" t="s">
        <v>3322</v>
      </c>
      <c r="H2864" s="2" t="s">
        <v>748</v>
      </c>
      <c r="I2864" s="2" t="s">
        <v>380</v>
      </c>
      <c r="J2864" s="2" t="s">
        <v>381</v>
      </c>
      <c r="K2864" s="9">
        <v>45987</v>
      </c>
      <c r="L2864" s="9">
        <v>45995</v>
      </c>
      <c r="M2864" s="9">
        <v>45991</v>
      </c>
      <c r="N2864" s="2" t="s">
        <v>3124</v>
      </c>
      <c r="O2864" s="2" t="s">
        <v>58</v>
      </c>
      <c r="P2864" s="2" t="s">
        <v>142</v>
      </c>
      <c r="Q2864" s="2" t="s">
        <v>224</v>
      </c>
      <c r="R2864" s="2" t="s">
        <v>149</v>
      </c>
      <c r="S2864" s="2" t="s">
        <v>383</v>
      </c>
      <c r="T2864" s="10">
        <v>27.74</v>
      </c>
      <c r="U2864" s="11">
        <v>1</v>
      </c>
      <c r="V2864" s="12">
        <f>T2864*U2864</f>
        <v>27.74</v>
      </c>
      <c r="W2864" s="13">
        <v>0</v>
      </c>
      <c r="X2864" s="12">
        <f>V2864-(V2864/(1+W2864))</f>
        <v>0</v>
      </c>
      <c r="Y2864" s="12">
        <f>V2864-X2864</f>
        <v>27.74</v>
      </c>
      <c r="Z2864" s="14">
        <v>60</v>
      </c>
      <c r="AA2864" s="2" t="str">
        <f>IF(V2864&gt;Z2864,"Yes","No")</f>
        <v>No</v>
      </c>
      <c r="AB2864" s="12">
        <f>V2864-Z2864</f>
        <v>-32.260000000000005</v>
      </c>
      <c r="AC2864" s="15" t="s">
        <v>130</v>
      </c>
      <c r="AD2864" s="15" t="s">
        <v>130</v>
      </c>
      <c r="AE2864" s="15" t="s">
        <v>260</v>
      </c>
      <c r="AF2864" s="12">
        <f>IF(AG2864="Rejected",0,IF(R2864="Corporate Card",0,V2864))</f>
        <v>27.74</v>
      </c>
      <c r="AG2864" s="15" t="s">
        <v>133</v>
      </c>
      <c r="AH2864" s="16">
        <v>46004</v>
      </c>
      <c r="AI2864" s="16">
        <v>46008</v>
      </c>
      <c r="AJ2864" s="16">
        <v>46021</v>
      </c>
      <c r="AK2864" s="17">
        <f>IF(AJ2864="","",AJ2864-AH2864)</f>
        <v>17</v>
      </c>
    </row>
    <row r="2865" spans="1:37">
      <c r="A2865" s="2" t="s">
        <v>3377</v>
      </c>
      <c r="B2865" s="2" t="s">
        <v>2212</v>
      </c>
      <c r="C2865" s="2" t="s">
        <v>346</v>
      </c>
      <c r="D2865" s="2" t="s">
        <v>344</v>
      </c>
      <c r="E2865" s="2" t="s">
        <v>2213</v>
      </c>
      <c r="F2865" s="2" t="s">
        <v>313</v>
      </c>
      <c r="G2865" s="2" t="s">
        <v>3322</v>
      </c>
      <c r="H2865" s="2" t="s">
        <v>748</v>
      </c>
      <c r="I2865" s="2" t="s">
        <v>380</v>
      </c>
      <c r="J2865" s="2" t="s">
        <v>381</v>
      </c>
      <c r="K2865" s="9">
        <v>45987</v>
      </c>
      <c r="L2865" s="9">
        <v>45995</v>
      </c>
      <c r="M2865" s="9">
        <v>45991</v>
      </c>
      <c r="N2865" s="2" t="s">
        <v>3124</v>
      </c>
      <c r="O2865" s="2" t="s">
        <v>54</v>
      </c>
      <c r="P2865" s="2" t="s">
        <v>139</v>
      </c>
      <c r="Q2865" s="2" t="s">
        <v>163</v>
      </c>
      <c r="R2865" s="2" t="s">
        <v>128</v>
      </c>
      <c r="S2865" s="2" t="s">
        <v>383</v>
      </c>
      <c r="T2865" s="10">
        <v>22</v>
      </c>
      <c r="U2865" s="11">
        <v>1</v>
      </c>
      <c r="V2865" s="12">
        <f>T2865*U2865</f>
        <v>22</v>
      </c>
      <c r="W2865" s="13">
        <v>0</v>
      </c>
      <c r="X2865" s="12">
        <f>V2865-(V2865/(1+W2865))</f>
        <v>0</v>
      </c>
      <c r="Y2865" s="12">
        <f>V2865-X2865</f>
        <v>22</v>
      </c>
      <c r="Z2865" s="14">
        <v>25</v>
      </c>
      <c r="AA2865" s="2" t="str">
        <f>IF(V2865&gt;Z2865,"Yes","No")</f>
        <v>No</v>
      </c>
      <c r="AB2865" s="12">
        <f>V2865-Z2865</f>
        <v>-3</v>
      </c>
      <c r="AC2865" s="15" t="s">
        <v>130</v>
      </c>
      <c r="AD2865" s="15" t="s">
        <v>130</v>
      </c>
      <c r="AE2865" s="15" t="s">
        <v>260</v>
      </c>
      <c r="AF2865" s="12">
        <f>IF(AG2865="Rejected",0,IF(R2865="Corporate Card",0,V2865))</f>
        <v>0</v>
      </c>
      <c r="AG2865" s="15" t="s">
        <v>133</v>
      </c>
      <c r="AH2865" s="16">
        <v>46004</v>
      </c>
      <c r="AI2865" s="16">
        <v>46008</v>
      </c>
      <c r="AJ2865" s="16">
        <v>46021</v>
      </c>
      <c r="AK2865" s="17">
        <f>IF(AJ2865="","",AJ2865-AH2865)</f>
        <v>17</v>
      </c>
    </row>
    <row r="2866" spans="1:37">
      <c r="A2866" s="2" t="s">
        <v>3378</v>
      </c>
      <c r="B2866" s="2" t="s">
        <v>2212</v>
      </c>
      <c r="C2866" s="2" t="s">
        <v>346</v>
      </c>
      <c r="D2866" s="2" t="s">
        <v>344</v>
      </c>
      <c r="E2866" s="2" t="s">
        <v>2213</v>
      </c>
      <c r="F2866" s="2" t="s">
        <v>313</v>
      </c>
      <c r="G2866" s="2" t="s">
        <v>3322</v>
      </c>
      <c r="H2866" s="2" t="s">
        <v>748</v>
      </c>
      <c r="I2866" s="2" t="s">
        <v>380</v>
      </c>
      <c r="J2866" s="2" t="s">
        <v>381</v>
      </c>
      <c r="K2866" s="9">
        <v>45987</v>
      </c>
      <c r="L2866" s="9">
        <v>45995</v>
      </c>
      <c r="M2866" s="9">
        <v>45991</v>
      </c>
      <c r="N2866" s="2" t="s">
        <v>3124</v>
      </c>
      <c r="O2866" s="2" t="s">
        <v>55</v>
      </c>
      <c r="P2866" s="2" t="s">
        <v>139</v>
      </c>
      <c r="Q2866" s="2" t="s">
        <v>217</v>
      </c>
      <c r="R2866" s="2" t="s">
        <v>128</v>
      </c>
      <c r="S2866" s="2" t="s">
        <v>383</v>
      </c>
      <c r="T2866" s="10">
        <v>28.32</v>
      </c>
      <c r="U2866" s="11">
        <v>1</v>
      </c>
      <c r="V2866" s="12">
        <f>T2866*U2866</f>
        <v>28.32</v>
      </c>
      <c r="W2866" s="13">
        <v>0</v>
      </c>
      <c r="X2866" s="12">
        <f>V2866-(V2866/(1+W2866))</f>
        <v>0</v>
      </c>
      <c r="Y2866" s="12">
        <f>V2866-X2866</f>
        <v>28.32</v>
      </c>
      <c r="Z2866" s="14">
        <v>35</v>
      </c>
      <c r="AA2866" s="2" t="str">
        <f>IF(V2866&gt;Z2866,"Yes","No")</f>
        <v>No</v>
      </c>
      <c r="AB2866" s="12">
        <f>V2866-Z2866</f>
        <v>-6.68</v>
      </c>
      <c r="AC2866" s="15" t="s">
        <v>130</v>
      </c>
      <c r="AD2866" s="15" t="s">
        <v>130</v>
      </c>
      <c r="AE2866" s="15" t="s">
        <v>260</v>
      </c>
      <c r="AF2866" s="12">
        <f>IF(AG2866="Rejected",0,IF(R2866="Corporate Card",0,V2866))</f>
        <v>0</v>
      </c>
      <c r="AG2866" s="15" t="s">
        <v>133</v>
      </c>
      <c r="AH2866" s="16">
        <v>46004</v>
      </c>
      <c r="AI2866" s="16">
        <v>46008</v>
      </c>
      <c r="AJ2866" s="16">
        <v>46021</v>
      </c>
      <c r="AK2866" s="17">
        <f>IF(AJ2866="","",AJ2866-AH2866)</f>
        <v>17</v>
      </c>
    </row>
    <row r="2867" spans="1:37">
      <c r="A2867" s="2" t="s">
        <v>3379</v>
      </c>
      <c r="B2867" s="2" t="s">
        <v>116</v>
      </c>
      <c r="C2867" s="2" t="s">
        <v>117</v>
      </c>
      <c r="D2867" s="2" t="s">
        <v>118</v>
      </c>
      <c r="E2867" s="2" t="s">
        <v>119</v>
      </c>
      <c r="F2867" s="2" t="s">
        <v>120</v>
      </c>
      <c r="G2867" s="2" t="s">
        <v>3343</v>
      </c>
      <c r="H2867" s="2" t="s">
        <v>448</v>
      </c>
      <c r="I2867" s="2" t="s">
        <v>433</v>
      </c>
      <c r="J2867" s="2" t="s">
        <v>434</v>
      </c>
      <c r="K2867" s="9">
        <v>45989</v>
      </c>
      <c r="L2867" s="9">
        <v>45995</v>
      </c>
      <c r="M2867" s="9">
        <v>45992</v>
      </c>
      <c r="N2867" s="2" t="s">
        <v>3380</v>
      </c>
      <c r="O2867" s="2" t="s">
        <v>68</v>
      </c>
      <c r="P2867" s="2" t="s">
        <v>282</v>
      </c>
      <c r="Q2867" s="2" t="s">
        <v>283</v>
      </c>
      <c r="R2867" s="2" t="s">
        <v>137</v>
      </c>
      <c r="S2867" s="2" t="s">
        <v>436</v>
      </c>
      <c r="T2867" s="10">
        <v>2384</v>
      </c>
      <c r="U2867" s="11">
        <v>1.1780000000000001E-2</v>
      </c>
      <c r="V2867" s="12">
        <f>T2867*U2867</f>
        <v>28.08352</v>
      </c>
      <c r="W2867" s="13">
        <v>0.18</v>
      </c>
      <c r="X2867" s="12">
        <f>V2867-(V2867/(1+W2867))</f>
        <v>4.2839267796610159</v>
      </c>
      <c r="Y2867" s="12">
        <f>V2867-X2867</f>
        <v>23.799593220338984</v>
      </c>
      <c r="Z2867" s="14">
        <v>30</v>
      </c>
      <c r="AA2867" s="2" t="str">
        <f>IF(V2867&gt;Z2867,"Yes","No")</f>
        <v>No</v>
      </c>
      <c r="AB2867" s="12">
        <f>V2867-Z2867</f>
        <v>-1.91648</v>
      </c>
      <c r="AC2867" s="15" t="s">
        <v>130</v>
      </c>
      <c r="AD2867" s="15" t="s">
        <v>131</v>
      </c>
      <c r="AE2867" s="15" t="s">
        <v>132</v>
      </c>
      <c r="AF2867" s="12">
        <f>IF(AG2867="Rejected",0,IF(R2867="Corporate Card",0,V2867))</f>
        <v>28.08352</v>
      </c>
      <c r="AG2867" s="15" t="s">
        <v>133</v>
      </c>
      <c r="AH2867" s="16">
        <v>46003</v>
      </c>
      <c r="AI2867" s="16">
        <v>46006</v>
      </c>
      <c r="AJ2867" s="16">
        <v>46017</v>
      </c>
      <c r="AK2867" s="17">
        <f>IF(AJ2867="","",AJ2867-AH2867)</f>
        <v>14</v>
      </c>
    </row>
    <row r="2868" spans="1:37">
      <c r="A2868" s="2" t="s">
        <v>3381</v>
      </c>
      <c r="B2868" s="2" t="s">
        <v>116</v>
      </c>
      <c r="C2868" s="2" t="s">
        <v>117</v>
      </c>
      <c r="D2868" s="2" t="s">
        <v>118</v>
      </c>
      <c r="E2868" s="2" t="s">
        <v>119</v>
      </c>
      <c r="F2868" s="2" t="s">
        <v>120</v>
      </c>
      <c r="G2868" s="2" t="s">
        <v>3343</v>
      </c>
      <c r="H2868" s="2" t="s">
        <v>448</v>
      </c>
      <c r="I2868" s="2" t="s">
        <v>433</v>
      </c>
      <c r="J2868" s="2" t="s">
        <v>434</v>
      </c>
      <c r="K2868" s="9">
        <v>45989</v>
      </c>
      <c r="L2868" s="9">
        <v>45995</v>
      </c>
      <c r="M2868" s="9">
        <v>45992</v>
      </c>
      <c r="N2868" s="2" t="s">
        <v>3380</v>
      </c>
      <c r="O2868" s="2" t="s">
        <v>54</v>
      </c>
      <c r="P2868" s="2" t="s">
        <v>139</v>
      </c>
      <c r="Q2868" s="2" t="s">
        <v>148</v>
      </c>
      <c r="R2868" s="2" t="s">
        <v>137</v>
      </c>
      <c r="S2868" s="2" t="s">
        <v>436</v>
      </c>
      <c r="T2868" s="10">
        <v>1963</v>
      </c>
      <c r="U2868" s="11">
        <v>1.1780000000000001E-2</v>
      </c>
      <c r="V2868" s="12">
        <f>T2868*U2868</f>
        <v>23.124140000000001</v>
      </c>
      <c r="W2868" s="13">
        <v>0.18</v>
      </c>
      <c r="X2868" s="12">
        <f>V2868-(V2868/(1+W2868))</f>
        <v>3.527411186440677</v>
      </c>
      <c r="Y2868" s="12">
        <f>V2868-X2868</f>
        <v>19.596728813559324</v>
      </c>
      <c r="Z2868" s="14">
        <v>25</v>
      </c>
      <c r="AA2868" s="2" t="str">
        <f>IF(V2868&gt;Z2868,"Yes","No")</f>
        <v>No</v>
      </c>
      <c r="AB2868" s="12">
        <f>V2868-Z2868</f>
        <v>-1.8758599999999994</v>
      </c>
      <c r="AC2868" s="15" t="s">
        <v>130</v>
      </c>
      <c r="AD2868" s="15" t="s">
        <v>131</v>
      </c>
      <c r="AE2868" s="15" t="s">
        <v>132</v>
      </c>
      <c r="AF2868" s="12">
        <f>IF(AG2868="Rejected",0,IF(R2868="Corporate Card",0,V2868))</f>
        <v>23.124140000000001</v>
      </c>
      <c r="AG2868" s="15" t="s">
        <v>133</v>
      </c>
      <c r="AH2868" s="16">
        <v>46003</v>
      </c>
      <c r="AI2868" s="16">
        <v>46006</v>
      </c>
      <c r="AJ2868" s="16">
        <v>46017</v>
      </c>
      <c r="AK2868" s="17">
        <f>IF(AJ2868="","",AJ2868-AH2868)</f>
        <v>14</v>
      </c>
    </row>
    <row r="2869" spans="1:37">
      <c r="A2869" s="2" t="s">
        <v>3382</v>
      </c>
      <c r="B2869" s="2" t="s">
        <v>116</v>
      </c>
      <c r="C2869" s="2" t="s">
        <v>117</v>
      </c>
      <c r="D2869" s="2" t="s">
        <v>118</v>
      </c>
      <c r="E2869" s="2" t="s">
        <v>119</v>
      </c>
      <c r="F2869" s="2" t="s">
        <v>120</v>
      </c>
      <c r="G2869" s="2" t="s">
        <v>3343</v>
      </c>
      <c r="H2869" s="2" t="s">
        <v>448</v>
      </c>
      <c r="I2869" s="2" t="s">
        <v>433</v>
      </c>
      <c r="J2869" s="2" t="s">
        <v>434</v>
      </c>
      <c r="K2869" s="9">
        <v>45989</v>
      </c>
      <c r="L2869" s="9">
        <v>45995</v>
      </c>
      <c r="M2869" s="9">
        <v>45992</v>
      </c>
      <c r="N2869" s="2" t="s">
        <v>3380</v>
      </c>
      <c r="O2869" s="2" t="s">
        <v>56</v>
      </c>
      <c r="P2869" s="2" t="s">
        <v>245</v>
      </c>
      <c r="Q2869" s="2" t="s">
        <v>166</v>
      </c>
      <c r="R2869" s="2" t="s">
        <v>128</v>
      </c>
      <c r="S2869" s="2" t="s">
        <v>436</v>
      </c>
      <c r="T2869" s="10">
        <v>3264</v>
      </c>
      <c r="U2869" s="11">
        <v>1.1780000000000001E-2</v>
      </c>
      <c r="V2869" s="12">
        <f>T2869*U2869</f>
        <v>38.449919999999999</v>
      </c>
      <c r="W2869" s="13">
        <v>0.18</v>
      </c>
      <c r="X2869" s="12">
        <f>V2869-(V2869/(1+W2869))</f>
        <v>5.8652420338983049</v>
      </c>
      <c r="Y2869" s="12">
        <f>V2869-X2869</f>
        <v>32.584677966101694</v>
      </c>
      <c r="Z2869" s="14">
        <v>75</v>
      </c>
      <c r="AA2869" s="2" t="str">
        <f>IF(V2869&gt;Z2869,"Yes","No")</f>
        <v>No</v>
      </c>
      <c r="AB2869" s="12">
        <f>V2869-Z2869</f>
        <v>-36.550080000000001</v>
      </c>
      <c r="AC2869" s="15" t="s">
        <v>130</v>
      </c>
      <c r="AD2869" s="15" t="s">
        <v>131</v>
      </c>
      <c r="AE2869" s="15" t="s">
        <v>132</v>
      </c>
      <c r="AF2869" s="12">
        <f>IF(AG2869="Rejected",0,IF(R2869="Corporate Card",0,V2869))</f>
        <v>0</v>
      </c>
      <c r="AG2869" s="15" t="s">
        <v>133</v>
      </c>
      <c r="AH2869" s="16">
        <v>46003</v>
      </c>
      <c r="AI2869" s="16">
        <v>46006</v>
      </c>
      <c r="AJ2869" s="16">
        <v>46017</v>
      </c>
      <c r="AK2869" s="17">
        <f>IF(AJ2869="","",AJ2869-AH2869)</f>
        <v>14</v>
      </c>
    </row>
    <row r="2870" spans="1:37">
      <c r="A2870" s="2" t="s">
        <v>3383</v>
      </c>
      <c r="B2870" s="2" t="s">
        <v>116</v>
      </c>
      <c r="C2870" s="2" t="s">
        <v>117</v>
      </c>
      <c r="D2870" s="2" t="s">
        <v>118</v>
      </c>
      <c r="E2870" s="2" t="s">
        <v>119</v>
      </c>
      <c r="F2870" s="2" t="s">
        <v>120</v>
      </c>
      <c r="G2870" s="2" t="s">
        <v>3343</v>
      </c>
      <c r="H2870" s="2" t="s">
        <v>448</v>
      </c>
      <c r="I2870" s="2" t="s">
        <v>433</v>
      </c>
      <c r="J2870" s="2" t="s">
        <v>434</v>
      </c>
      <c r="K2870" s="9">
        <v>45989</v>
      </c>
      <c r="L2870" s="9">
        <v>45995</v>
      </c>
      <c r="M2870" s="9">
        <v>45992</v>
      </c>
      <c r="N2870" s="2" t="s">
        <v>3380</v>
      </c>
      <c r="O2870" s="2" t="s">
        <v>55</v>
      </c>
      <c r="P2870" s="2" t="s">
        <v>139</v>
      </c>
      <c r="Q2870" s="2" t="s">
        <v>161</v>
      </c>
      <c r="R2870" s="2" t="s">
        <v>128</v>
      </c>
      <c r="S2870" s="2" t="s">
        <v>436</v>
      </c>
      <c r="T2870" s="10">
        <v>2344</v>
      </c>
      <c r="U2870" s="11">
        <v>1.1780000000000001E-2</v>
      </c>
      <c r="V2870" s="12">
        <f>T2870*U2870</f>
        <v>27.61232</v>
      </c>
      <c r="W2870" s="13">
        <v>0.18</v>
      </c>
      <c r="X2870" s="12">
        <f>V2870-(V2870/(1+W2870))</f>
        <v>4.2120488135593206</v>
      </c>
      <c r="Y2870" s="12">
        <f>V2870-X2870</f>
        <v>23.40027118644068</v>
      </c>
      <c r="Z2870" s="14">
        <v>35</v>
      </c>
      <c r="AA2870" s="2" t="str">
        <f>IF(V2870&gt;Z2870,"Yes","No")</f>
        <v>No</v>
      </c>
      <c r="AB2870" s="12">
        <f>V2870-Z2870</f>
        <v>-7.3876799999999996</v>
      </c>
      <c r="AC2870" s="15" t="s">
        <v>130</v>
      </c>
      <c r="AD2870" s="15" t="s">
        <v>131</v>
      </c>
      <c r="AE2870" s="15" t="s">
        <v>132</v>
      </c>
      <c r="AF2870" s="12">
        <f>IF(AG2870="Rejected",0,IF(R2870="Corporate Card",0,V2870))</f>
        <v>0</v>
      </c>
      <c r="AG2870" s="15" t="s">
        <v>133</v>
      </c>
      <c r="AH2870" s="16">
        <v>46003</v>
      </c>
      <c r="AI2870" s="16">
        <v>46006</v>
      </c>
      <c r="AJ2870" s="16">
        <v>46017</v>
      </c>
      <c r="AK2870" s="17">
        <f>IF(AJ2870="","",AJ2870-AH2870)</f>
        <v>14</v>
      </c>
    </row>
    <row r="2871" spans="1:37">
      <c r="A2871" s="2" t="s">
        <v>3384</v>
      </c>
      <c r="B2871" s="2" t="s">
        <v>863</v>
      </c>
      <c r="C2871" s="2" t="s">
        <v>864</v>
      </c>
      <c r="D2871" s="2" t="s">
        <v>865</v>
      </c>
      <c r="E2871" s="2" t="s">
        <v>866</v>
      </c>
      <c r="F2871" s="2" t="s">
        <v>867</v>
      </c>
      <c r="G2871" s="2" t="s">
        <v>3326</v>
      </c>
      <c r="H2871" s="2" t="s">
        <v>254</v>
      </c>
      <c r="I2871" s="2" t="s">
        <v>651</v>
      </c>
      <c r="J2871" s="2" t="s">
        <v>652</v>
      </c>
      <c r="K2871" s="9">
        <v>45988</v>
      </c>
      <c r="L2871" s="9">
        <v>45996</v>
      </c>
      <c r="M2871" s="9">
        <v>45992</v>
      </c>
      <c r="N2871" s="2" t="s">
        <v>3380</v>
      </c>
      <c r="O2871" s="2" t="s">
        <v>56</v>
      </c>
      <c r="P2871" s="2" t="s">
        <v>231</v>
      </c>
      <c r="Q2871" s="2" t="s">
        <v>227</v>
      </c>
      <c r="R2871" s="2" t="s">
        <v>128</v>
      </c>
      <c r="S2871" s="2" t="s">
        <v>654</v>
      </c>
      <c r="T2871" s="10">
        <v>130.15</v>
      </c>
      <c r="U2871" s="11">
        <v>0.72799999999999998</v>
      </c>
      <c r="V2871" s="12">
        <f>T2871*U2871</f>
        <v>94.749200000000002</v>
      </c>
      <c r="W2871" s="13">
        <v>0.13</v>
      </c>
      <c r="X2871" s="12">
        <f>V2871-(V2871/(1+W2871))</f>
        <v>10.900350442477873</v>
      </c>
      <c r="Y2871" s="12">
        <f>V2871-X2871</f>
        <v>83.848849557522129</v>
      </c>
      <c r="Z2871" s="14">
        <v>75</v>
      </c>
      <c r="AA2871" s="2" t="str">
        <f>IF(V2871&gt;Z2871,"Yes","No")</f>
        <v>Yes</v>
      </c>
      <c r="AB2871" s="12">
        <f>V2871-Z2871</f>
        <v>19.749200000000002</v>
      </c>
      <c r="AC2871" s="15" t="s">
        <v>130</v>
      </c>
      <c r="AD2871" s="15" t="s">
        <v>131</v>
      </c>
      <c r="AE2871" s="15" t="s">
        <v>437</v>
      </c>
      <c r="AF2871" s="12">
        <f>IF(AG2871="Rejected",0,IF(R2871="Corporate Card",0,V2871))</f>
        <v>0</v>
      </c>
      <c r="AG2871" s="15" t="s">
        <v>181</v>
      </c>
      <c r="AH2871" s="16">
        <v>45998</v>
      </c>
      <c r="AI2871" s="16"/>
      <c r="AJ2871" s="16"/>
      <c r="AK2871" s="17" t="str">
        <f>IF(AJ2871="","",AJ2871-AH2871)</f>
        <v/>
      </c>
    </row>
    <row r="2872" spans="1:37">
      <c r="A2872" s="2" t="s">
        <v>3385</v>
      </c>
      <c r="B2872" s="2" t="s">
        <v>863</v>
      </c>
      <c r="C2872" s="2" t="s">
        <v>864</v>
      </c>
      <c r="D2872" s="2" t="s">
        <v>865</v>
      </c>
      <c r="E2872" s="2" t="s">
        <v>866</v>
      </c>
      <c r="F2872" s="2" t="s">
        <v>867</v>
      </c>
      <c r="G2872" s="2" t="s">
        <v>3326</v>
      </c>
      <c r="H2872" s="2" t="s">
        <v>254</v>
      </c>
      <c r="I2872" s="2" t="s">
        <v>651</v>
      </c>
      <c r="J2872" s="2" t="s">
        <v>652</v>
      </c>
      <c r="K2872" s="9">
        <v>45988</v>
      </c>
      <c r="L2872" s="9">
        <v>45996</v>
      </c>
      <c r="M2872" s="9">
        <v>45992</v>
      </c>
      <c r="N2872" s="2" t="s">
        <v>3380</v>
      </c>
      <c r="O2872" s="2" t="s">
        <v>55</v>
      </c>
      <c r="P2872" s="2" t="s">
        <v>139</v>
      </c>
      <c r="Q2872" s="2" t="s">
        <v>187</v>
      </c>
      <c r="R2872" s="2" t="s">
        <v>137</v>
      </c>
      <c r="S2872" s="2" t="s">
        <v>654</v>
      </c>
      <c r="T2872" s="10">
        <v>40.36</v>
      </c>
      <c r="U2872" s="11">
        <v>0.72799999999999998</v>
      </c>
      <c r="V2872" s="12">
        <f>T2872*U2872</f>
        <v>29.382079999999998</v>
      </c>
      <c r="W2872" s="13">
        <v>0.13</v>
      </c>
      <c r="X2872" s="12">
        <f>V2872-(V2872/(1+W2872))</f>
        <v>3.3802392920353945</v>
      </c>
      <c r="Y2872" s="12">
        <f>V2872-X2872</f>
        <v>26.001840707964604</v>
      </c>
      <c r="Z2872" s="14">
        <v>35</v>
      </c>
      <c r="AA2872" s="2" t="str">
        <f>IF(V2872&gt;Z2872,"Yes","No")</f>
        <v>No</v>
      </c>
      <c r="AB2872" s="12">
        <f>V2872-Z2872</f>
        <v>-5.6179200000000016</v>
      </c>
      <c r="AC2872" s="15" t="s">
        <v>130</v>
      </c>
      <c r="AD2872" s="15" t="s">
        <v>131</v>
      </c>
      <c r="AE2872" s="15" t="s">
        <v>437</v>
      </c>
      <c r="AF2872" s="12">
        <f>IF(AG2872="Rejected",0,IF(R2872="Corporate Card",0,V2872))</f>
        <v>29.382079999999998</v>
      </c>
      <c r="AG2872" s="15" t="s">
        <v>181</v>
      </c>
      <c r="AH2872" s="16">
        <v>45998</v>
      </c>
      <c r="AI2872" s="16"/>
      <c r="AJ2872" s="16"/>
      <c r="AK2872" s="17" t="str">
        <f>IF(AJ2872="","",AJ2872-AH2872)</f>
        <v/>
      </c>
    </row>
    <row r="2873" spans="1:37">
      <c r="A2873" s="2" t="s">
        <v>3386</v>
      </c>
      <c r="B2873" s="2" t="s">
        <v>2212</v>
      </c>
      <c r="C2873" s="2" t="s">
        <v>346</v>
      </c>
      <c r="D2873" s="2" t="s">
        <v>344</v>
      </c>
      <c r="E2873" s="2" t="s">
        <v>2213</v>
      </c>
      <c r="F2873" s="2" t="s">
        <v>313</v>
      </c>
      <c r="G2873" s="2" t="s">
        <v>3322</v>
      </c>
      <c r="H2873" s="2" t="s">
        <v>748</v>
      </c>
      <c r="I2873" s="2" t="s">
        <v>380</v>
      </c>
      <c r="J2873" s="2" t="s">
        <v>381</v>
      </c>
      <c r="K2873" s="9">
        <v>45987</v>
      </c>
      <c r="L2873" s="9">
        <v>45995</v>
      </c>
      <c r="M2873" s="9">
        <v>45992</v>
      </c>
      <c r="N2873" s="2" t="s">
        <v>3380</v>
      </c>
      <c r="O2873" s="2" t="s">
        <v>58</v>
      </c>
      <c r="P2873" s="2" t="s">
        <v>142</v>
      </c>
      <c r="Q2873" s="2" t="s">
        <v>296</v>
      </c>
      <c r="R2873" s="2" t="s">
        <v>149</v>
      </c>
      <c r="S2873" s="2" t="s">
        <v>383</v>
      </c>
      <c r="T2873" s="10">
        <v>49.09</v>
      </c>
      <c r="U2873" s="11">
        <v>1</v>
      </c>
      <c r="V2873" s="12">
        <f>T2873*U2873</f>
        <v>49.09</v>
      </c>
      <c r="W2873" s="13">
        <v>0</v>
      </c>
      <c r="X2873" s="12">
        <f>V2873-(V2873/(1+W2873))</f>
        <v>0</v>
      </c>
      <c r="Y2873" s="12">
        <f>V2873-X2873</f>
        <v>49.09</v>
      </c>
      <c r="Z2873" s="14">
        <v>60</v>
      </c>
      <c r="AA2873" s="2" t="str">
        <f>IF(V2873&gt;Z2873,"Yes","No")</f>
        <v>No</v>
      </c>
      <c r="AB2873" s="12">
        <f>V2873-Z2873</f>
        <v>-10.909999999999997</v>
      </c>
      <c r="AC2873" s="15" t="s">
        <v>130</v>
      </c>
      <c r="AD2873" s="15" t="s">
        <v>130</v>
      </c>
      <c r="AE2873" s="15" t="s">
        <v>260</v>
      </c>
      <c r="AF2873" s="12">
        <f>IF(AG2873="Rejected",0,IF(R2873="Corporate Card",0,V2873))</f>
        <v>49.09</v>
      </c>
      <c r="AG2873" s="15" t="s">
        <v>133</v>
      </c>
      <c r="AH2873" s="16">
        <v>46004</v>
      </c>
      <c r="AI2873" s="16">
        <v>46008</v>
      </c>
      <c r="AJ2873" s="16">
        <v>46021</v>
      </c>
      <c r="AK2873" s="17">
        <f>IF(AJ2873="","",AJ2873-AH2873)</f>
        <v>17</v>
      </c>
    </row>
    <row r="2874" spans="1:37">
      <c r="A2874" s="2" t="s">
        <v>3387</v>
      </c>
      <c r="B2874" s="2" t="s">
        <v>2212</v>
      </c>
      <c r="C2874" s="2" t="s">
        <v>346</v>
      </c>
      <c r="D2874" s="2" t="s">
        <v>344</v>
      </c>
      <c r="E2874" s="2" t="s">
        <v>2213</v>
      </c>
      <c r="F2874" s="2" t="s">
        <v>313</v>
      </c>
      <c r="G2874" s="2" t="s">
        <v>3322</v>
      </c>
      <c r="H2874" s="2" t="s">
        <v>748</v>
      </c>
      <c r="I2874" s="2" t="s">
        <v>380</v>
      </c>
      <c r="J2874" s="2" t="s">
        <v>381</v>
      </c>
      <c r="K2874" s="9">
        <v>45987</v>
      </c>
      <c r="L2874" s="9">
        <v>45995</v>
      </c>
      <c r="M2874" s="9">
        <v>45992</v>
      </c>
      <c r="N2874" s="2" t="s">
        <v>3380</v>
      </c>
      <c r="O2874" s="2" t="s">
        <v>54</v>
      </c>
      <c r="P2874" s="2" t="s">
        <v>139</v>
      </c>
      <c r="Q2874" s="2" t="s">
        <v>140</v>
      </c>
      <c r="R2874" s="2" t="s">
        <v>137</v>
      </c>
      <c r="S2874" s="2" t="s">
        <v>383</v>
      </c>
      <c r="T2874" s="10">
        <v>24.54</v>
      </c>
      <c r="U2874" s="11">
        <v>1</v>
      </c>
      <c r="V2874" s="12">
        <f>T2874*U2874</f>
        <v>24.54</v>
      </c>
      <c r="W2874" s="13">
        <v>0</v>
      </c>
      <c r="X2874" s="12">
        <f>V2874-(V2874/(1+W2874))</f>
        <v>0</v>
      </c>
      <c r="Y2874" s="12">
        <f>V2874-X2874</f>
        <v>24.54</v>
      </c>
      <c r="Z2874" s="14">
        <v>25</v>
      </c>
      <c r="AA2874" s="2" t="str">
        <f>IF(V2874&gt;Z2874,"Yes","No")</f>
        <v>No</v>
      </c>
      <c r="AB2874" s="12">
        <f>V2874-Z2874</f>
        <v>-0.46000000000000085</v>
      </c>
      <c r="AC2874" s="15" t="s">
        <v>130</v>
      </c>
      <c r="AD2874" s="15" t="s">
        <v>130</v>
      </c>
      <c r="AE2874" s="15" t="s">
        <v>260</v>
      </c>
      <c r="AF2874" s="12">
        <f>IF(AG2874="Rejected",0,IF(R2874="Corporate Card",0,V2874))</f>
        <v>24.54</v>
      </c>
      <c r="AG2874" s="15" t="s">
        <v>133</v>
      </c>
      <c r="AH2874" s="16">
        <v>46004</v>
      </c>
      <c r="AI2874" s="16">
        <v>46008</v>
      </c>
      <c r="AJ2874" s="16">
        <v>46021</v>
      </c>
      <c r="AK2874" s="17">
        <f>IF(AJ2874="","",AJ2874-AH2874)</f>
        <v>17</v>
      </c>
    </row>
    <row r="2875" spans="1:37">
      <c r="A2875" s="2" t="s">
        <v>3388</v>
      </c>
      <c r="B2875" s="2" t="s">
        <v>2212</v>
      </c>
      <c r="C2875" s="2" t="s">
        <v>346</v>
      </c>
      <c r="D2875" s="2" t="s">
        <v>344</v>
      </c>
      <c r="E2875" s="2" t="s">
        <v>2213</v>
      </c>
      <c r="F2875" s="2" t="s">
        <v>313</v>
      </c>
      <c r="G2875" s="2" t="s">
        <v>3322</v>
      </c>
      <c r="H2875" s="2" t="s">
        <v>748</v>
      </c>
      <c r="I2875" s="2" t="s">
        <v>380</v>
      </c>
      <c r="J2875" s="2" t="s">
        <v>381</v>
      </c>
      <c r="K2875" s="9">
        <v>45987</v>
      </c>
      <c r="L2875" s="9">
        <v>45995</v>
      </c>
      <c r="M2875" s="9">
        <v>45992</v>
      </c>
      <c r="N2875" s="2" t="s">
        <v>3380</v>
      </c>
      <c r="O2875" s="2" t="s">
        <v>56</v>
      </c>
      <c r="P2875" s="2" t="s">
        <v>231</v>
      </c>
      <c r="Q2875" s="2" t="s">
        <v>159</v>
      </c>
      <c r="R2875" s="2" t="s">
        <v>149</v>
      </c>
      <c r="S2875" s="2" t="s">
        <v>383</v>
      </c>
      <c r="T2875" s="10">
        <v>55.23</v>
      </c>
      <c r="U2875" s="11">
        <v>1</v>
      </c>
      <c r="V2875" s="12">
        <f>T2875*U2875</f>
        <v>55.23</v>
      </c>
      <c r="W2875" s="13">
        <v>0</v>
      </c>
      <c r="X2875" s="12">
        <f>V2875-(V2875/(1+W2875))</f>
        <v>0</v>
      </c>
      <c r="Y2875" s="12">
        <f>V2875-X2875</f>
        <v>55.23</v>
      </c>
      <c r="Z2875" s="14">
        <v>75</v>
      </c>
      <c r="AA2875" s="2" t="str">
        <f>IF(V2875&gt;Z2875,"Yes","No")</f>
        <v>No</v>
      </c>
      <c r="AB2875" s="12">
        <f>V2875-Z2875</f>
        <v>-19.770000000000003</v>
      </c>
      <c r="AC2875" s="15" t="s">
        <v>130</v>
      </c>
      <c r="AD2875" s="15" t="s">
        <v>130</v>
      </c>
      <c r="AE2875" s="15" t="s">
        <v>260</v>
      </c>
      <c r="AF2875" s="12">
        <f>IF(AG2875="Rejected",0,IF(R2875="Corporate Card",0,V2875))</f>
        <v>55.23</v>
      </c>
      <c r="AG2875" s="15" t="s">
        <v>133</v>
      </c>
      <c r="AH2875" s="16">
        <v>46004</v>
      </c>
      <c r="AI2875" s="16">
        <v>46008</v>
      </c>
      <c r="AJ2875" s="16">
        <v>46021</v>
      </c>
      <c r="AK2875" s="17">
        <f>IF(AJ2875="","",AJ2875-AH2875)</f>
        <v>17</v>
      </c>
    </row>
    <row r="2876" spans="1:37">
      <c r="A2876" s="2" t="s">
        <v>3389</v>
      </c>
      <c r="B2876" s="2" t="s">
        <v>116</v>
      </c>
      <c r="C2876" s="2" t="s">
        <v>117</v>
      </c>
      <c r="D2876" s="2" t="s">
        <v>118</v>
      </c>
      <c r="E2876" s="2" t="s">
        <v>119</v>
      </c>
      <c r="F2876" s="2" t="s">
        <v>120</v>
      </c>
      <c r="G2876" s="2" t="s">
        <v>3343</v>
      </c>
      <c r="H2876" s="2" t="s">
        <v>448</v>
      </c>
      <c r="I2876" s="2" t="s">
        <v>433</v>
      </c>
      <c r="J2876" s="2" t="s">
        <v>434</v>
      </c>
      <c r="K2876" s="9">
        <v>45989</v>
      </c>
      <c r="L2876" s="9">
        <v>45995</v>
      </c>
      <c r="M2876" s="9">
        <v>45993</v>
      </c>
      <c r="N2876" s="2" t="s">
        <v>3380</v>
      </c>
      <c r="O2876" s="2" t="s">
        <v>56</v>
      </c>
      <c r="P2876" s="2" t="s">
        <v>245</v>
      </c>
      <c r="Q2876" s="2" t="s">
        <v>152</v>
      </c>
      <c r="R2876" s="2" t="s">
        <v>137</v>
      </c>
      <c r="S2876" s="2" t="s">
        <v>436</v>
      </c>
      <c r="T2876" s="10">
        <v>6338</v>
      </c>
      <c r="U2876" s="11">
        <v>1.1780000000000001E-2</v>
      </c>
      <c r="V2876" s="12">
        <f>T2876*U2876</f>
        <v>74.661640000000006</v>
      </c>
      <c r="W2876" s="13">
        <v>0.18</v>
      </c>
      <c r="X2876" s="12">
        <f>V2876-(V2876/(1+W2876))</f>
        <v>11.389063728813554</v>
      </c>
      <c r="Y2876" s="12">
        <f>V2876-X2876</f>
        <v>63.272576271186452</v>
      </c>
      <c r="Z2876" s="14">
        <v>75</v>
      </c>
      <c r="AA2876" s="2" t="str">
        <f>IF(V2876&gt;Z2876,"Yes","No")</f>
        <v>No</v>
      </c>
      <c r="AB2876" s="12">
        <f>V2876-Z2876</f>
        <v>-0.33835999999999444</v>
      </c>
      <c r="AC2876" s="15" t="s">
        <v>130</v>
      </c>
      <c r="AD2876" s="15" t="s">
        <v>131</v>
      </c>
      <c r="AE2876" s="15" t="s">
        <v>132</v>
      </c>
      <c r="AF2876" s="12">
        <f>IF(AG2876="Rejected",0,IF(R2876="Corporate Card",0,V2876))</f>
        <v>74.661640000000006</v>
      </c>
      <c r="AG2876" s="15" t="s">
        <v>133</v>
      </c>
      <c r="AH2876" s="16">
        <v>46003</v>
      </c>
      <c r="AI2876" s="16">
        <v>46006</v>
      </c>
      <c r="AJ2876" s="16">
        <v>46017</v>
      </c>
      <c r="AK2876" s="17">
        <f>IF(AJ2876="","",AJ2876-AH2876)</f>
        <v>14</v>
      </c>
    </row>
    <row r="2877" spans="1:37">
      <c r="A2877" s="2" t="s">
        <v>3390</v>
      </c>
      <c r="B2877" s="2" t="s">
        <v>116</v>
      </c>
      <c r="C2877" s="2" t="s">
        <v>117</v>
      </c>
      <c r="D2877" s="2" t="s">
        <v>118</v>
      </c>
      <c r="E2877" s="2" t="s">
        <v>119</v>
      </c>
      <c r="F2877" s="2" t="s">
        <v>120</v>
      </c>
      <c r="G2877" s="2" t="s">
        <v>3343</v>
      </c>
      <c r="H2877" s="2" t="s">
        <v>448</v>
      </c>
      <c r="I2877" s="2" t="s">
        <v>433</v>
      </c>
      <c r="J2877" s="2" t="s">
        <v>434</v>
      </c>
      <c r="K2877" s="9">
        <v>45989</v>
      </c>
      <c r="L2877" s="9">
        <v>45995</v>
      </c>
      <c r="M2877" s="9">
        <v>45993</v>
      </c>
      <c r="N2877" s="2" t="s">
        <v>3380</v>
      </c>
      <c r="O2877" s="2" t="s">
        <v>55</v>
      </c>
      <c r="P2877" s="2" t="s">
        <v>139</v>
      </c>
      <c r="Q2877" s="2" t="s">
        <v>161</v>
      </c>
      <c r="R2877" s="2" t="s">
        <v>128</v>
      </c>
      <c r="S2877" s="2" t="s">
        <v>436</v>
      </c>
      <c r="T2877" s="10">
        <v>2842</v>
      </c>
      <c r="U2877" s="11">
        <v>1.1780000000000001E-2</v>
      </c>
      <c r="V2877" s="12">
        <f>T2877*U2877</f>
        <v>33.478760000000001</v>
      </c>
      <c r="W2877" s="13">
        <v>0.18</v>
      </c>
      <c r="X2877" s="12">
        <f>V2877-(V2877/(1+W2877))</f>
        <v>5.106929491525424</v>
      </c>
      <c r="Y2877" s="12">
        <f>V2877-X2877</f>
        <v>28.371830508474577</v>
      </c>
      <c r="Z2877" s="14">
        <v>35</v>
      </c>
      <c r="AA2877" s="2" t="str">
        <f>IF(V2877&gt;Z2877,"Yes","No")</f>
        <v>No</v>
      </c>
      <c r="AB2877" s="12">
        <f>V2877-Z2877</f>
        <v>-1.5212399999999988</v>
      </c>
      <c r="AC2877" s="15" t="s">
        <v>130</v>
      </c>
      <c r="AD2877" s="15" t="s">
        <v>131</v>
      </c>
      <c r="AE2877" s="15" t="s">
        <v>132</v>
      </c>
      <c r="AF2877" s="12">
        <f>IF(AG2877="Rejected",0,IF(R2877="Corporate Card",0,V2877))</f>
        <v>0</v>
      </c>
      <c r="AG2877" s="15" t="s">
        <v>133</v>
      </c>
      <c r="AH2877" s="16">
        <v>46003</v>
      </c>
      <c r="AI2877" s="16">
        <v>46006</v>
      </c>
      <c r="AJ2877" s="16">
        <v>46017</v>
      </c>
      <c r="AK2877" s="17">
        <f>IF(AJ2877="","",AJ2877-AH2877)</f>
        <v>14</v>
      </c>
    </row>
    <row r="2878" spans="1:37">
      <c r="A2878" s="2" t="s">
        <v>3391</v>
      </c>
      <c r="B2878" s="2" t="s">
        <v>863</v>
      </c>
      <c r="C2878" s="2" t="s">
        <v>864</v>
      </c>
      <c r="D2878" s="2" t="s">
        <v>865</v>
      </c>
      <c r="E2878" s="2" t="s">
        <v>866</v>
      </c>
      <c r="F2878" s="2" t="s">
        <v>867</v>
      </c>
      <c r="G2878" s="2" t="s">
        <v>3326</v>
      </c>
      <c r="H2878" s="2" t="s">
        <v>254</v>
      </c>
      <c r="I2878" s="2" t="s">
        <v>651</v>
      </c>
      <c r="J2878" s="2" t="s">
        <v>652</v>
      </c>
      <c r="K2878" s="9">
        <v>45988</v>
      </c>
      <c r="L2878" s="9">
        <v>45996</v>
      </c>
      <c r="M2878" s="9">
        <v>45993</v>
      </c>
      <c r="N2878" s="2" t="s">
        <v>3380</v>
      </c>
      <c r="O2878" s="2" t="s">
        <v>54</v>
      </c>
      <c r="P2878" s="2" t="s">
        <v>139</v>
      </c>
      <c r="Q2878" s="2" t="s">
        <v>214</v>
      </c>
      <c r="R2878" s="2" t="s">
        <v>128</v>
      </c>
      <c r="S2878" s="2" t="s">
        <v>654</v>
      </c>
      <c r="T2878" s="10">
        <v>21.18</v>
      </c>
      <c r="U2878" s="11">
        <v>0.72799999999999998</v>
      </c>
      <c r="V2878" s="12">
        <f>T2878*U2878</f>
        <v>15.419039999999999</v>
      </c>
      <c r="W2878" s="13">
        <v>0.13</v>
      </c>
      <c r="X2878" s="12">
        <f>V2878-(V2878/(1+W2878))</f>
        <v>1.7738718584070785</v>
      </c>
      <c r="Y2878" s="12">
        <f>V2878-X2878</f>
        <v>13.64516814159292</v>
      </c>
      <c r="Z2878" s="14">
        <v>25</v>
      </c>
      <c r="AA2878" s="2" t="str">
        <f>IF(V2878&gt;Z2878,"Yes","No")</f>
        <v>No</v>
      </c>
      <c r="AB2878" s="12">
        <f>V2878-Z2878</f>
        <v>-9.580960000000001</v>
      </c>
      <c r="AC2878" s="15" t="s">
        <v>130</v>
      </c>
      <c r="AD2878" s="15" t="s">
        <v>131</v>
      </c>
      <c r="AE2878" s="15" t="s">
        <v>437</v>
      </c>
      <c r="AF2878" s="12">
        <f>IF(AG2878="Rejected",0,IF(R2878="Corporate Card",0,V2878))</f>
        <v>0</v>
      </c>
      <c r="AG2878" s="15" t="s">
        <v>181</v>
      </c>
      <c r="AH2878" s="16">
        <v>45998</v>
      </c>
      <c r="AI2878" s="16"/>
      <c r="AJ2878" s="16"/>
      <c r="AK2878" s="17" t="str">
        <f>IF(AJ2878="","",AJ2878-AH2878)</f>
        <v/>
      </c>
    </row>
    <row r="2879" spans="1:37">
      <c r="A2879" s="2" t="s">
        <v>3392</v>
      </c>
      <c r="B2879" s="2" t="s">
        <v>863</v>
      </c>
      <c r="C2879" s="2" t="s">
        <v>864</v>
      </c>
      <c r="D2879" s="2" t="s">
        <v>865</v>
      </c>
      <c r="E2879" s="2" t="s">
        <v>866</v>
      </c>
      <c r="F2879" s="2" t="s">
        <v>867</v>
      </c>
      <c r="G2879" s="2" t="s">
        <v>3326</v>
      </c>
      <c r="H2879" s="2" t="s">
        <v>254</v>
      </c>
      <c r="I2879" s="2" t="s">
        <v>651</v>
      </c>
      <c r="J2879" s="2" t="s">
        <v>652</v>
      </c>
      <c r="K2879" s="9">
        <v>45988</v>
      </c>
      <c r="L2879" s="9">
        <v>45996</v>
      </c>
      <c r="M2879" s="9">
        <v>45993</v>
      </c>
      <c r="N2879" s="2" t="s">
        <v>3380</v>
      </c>
      <c r="O2879" s="2" t="s">
        <v>56</v>
      </c>
      <c r="P2879" s="2" t="s">
        <v>151</v>
      </c>
      <c r="Q2879" s="2" t="s">
        <v>185</v>
      </c>
      <c r="R2879" s="2" t="s">
        <v>137</v>
      </c>
      <c r="S2879" s="2" t="s">
        <v>654</v>
      </c>
      <c r="T2879" s="10">
        <v>80.41</v>
      </c>
      <c r="U2879" s="11">
        <v>0.72799999999999998</v>
      </c>
      <c r="V2879" s="12">
        <f>T2879*U2879</f>
        <v>58.538479999999993</v>
      </c>
      <c r="W2879" s="13">
        <v>0.13</v>
      </c>
      <c r="X2879" s="12">
        <f>V2879-(V2879/(1+W2879))</f>
        <v>6.7345153982300801</v>
      </c>
      <c r="Y2879" s="12">
        <f>V2879-X2879</f>
        <v>51.803964601769913</v>
      </c>
      <c r="Z2879" s="14">
        <v>75</v>
      </c>
      <c r="AA2879" s="2" t="str">
        <f>IF(V2879&gt;Z2879,"Yes","No")</f>
        <v>No</v>
      </c>
      <c r="AB2879" s="12">
        <f>V2879-Z2879</f>
        <v>-16.461520000000007</v>
      </c>
      <c r="AC2879" s="15" t="s">
        <v>130</v>
      </c>
      <c r="AD2879" s="15" t="s">
        <v>131</v>
      </c>
      <c r="AE2879" s="15" t="s">
        <v>437</v>
      </c>
      <c r="AF2879" s="12">
        <f>IF(AG2879="Rejected",0,IF(R2879="Corporate Card",0,V2879))</f>
        <v>58.538479999999993</v>
      </c>
      <c r="AG2879" s="15" t="s">
        <v>181</v>
      </c>
      <c r="AH2879" s="16">
        <v>45998</v>
      </c>
      <c r="AI2879" s="16"/>
      <c r="AJ2879" s="16"/>
      <c r="AK2879" s="17" t="str">
        <f>IF(AJ2879="","",AJ2879-AH2879)</f>
        <v/>
      </c>
    </row>
    <row r="2880" spans="1:37">
      <c r="A2880" s="2" t="s">
        <v>3393</v>
      </c>
      <c r="B2880" s="2" t="s">
        <v>863</v>
      </c>
      <c r="C2880" s="2" t="s">
        <v>864</v>
      </c>
      <c r="D2880" s="2" t="s">
        <v>865</v>
      </c>
      <c r="E2880" s="2" t="s">
        <v>866</v>
      </c>
      <c r="F2880" s="2" t="s">
        <v>867</v>
      </c>
      <c r="G2880" s="2" t="s">
        <v>3326</v>
      </c>
      <c r="H2880" s="2" t="s">
        <v>254</v>
      </c>
      <c r="I2880" s="2" t="s">
        <v>651</v>
      </c>
      <c r="J2880" s="2" t="s">
        <v>652</v>
      </c>
      <c r="K2880" s="9">
        <v>45988</v>
      </c>
      <c r="L2880" s="9">
        <v>45996</v>
      </c>
      <c r="M2880" s="9">
        <v>45993</v>
      </c>
      <c r="N2880" s="2" t="s">
        <v>3380</v>
      </c>
      <c r="O2880" s="2" t="s">
        <v>55</v>
      </c>
      <c r="P2880" s="2" t="s">
        <v>139</v>
      </c>
      <c r="Q2880" s="2" t="s">
        <v>187</v>
      </c>
      <c r="R2880" s="2" t="s">
        <v>137</v>
      </c>
      <c r="S2880" s="2" t="s">
        <v>654</v>
      </c>
      <c r="T2880" s="10">
        <v>32.909999999999997</v>
      </c>
      <c r="U2880" s="11">
        <v>0.72799999999999998</v>
      </c>
      <c r="V2880" s="12">
        <f>T2880*U2880</f>
        <v>23.958479999999998</v>
      </c>
      <c r="W2880" s="13">
        <v>0.13</v>
      </c>
      <c r="X2880" s="12">
        <f>V2880-(V2880/(1+W2880))</f>
        <v>2.7562853097345119</v>
      </c>
      <c r="Y2880" s="12">
        <f>V2880-X2880</f>
        <v>21.202194690265486</v>
      </c>
      <c r="Z2880" s="14">
        <v>35</v>
      </c>
      <c r="AA2880" s="2" t="str">
        <f>IF(V2880&gt;Z2880,"Yes","No")</f>
        <v>No</v>
      </c>
      <c r="AB2880" s="12">
        <f>V2880-Z2880</f>
        <v>-11.041520000000002</v>
      </c>
      <c r="AC2880" s="15" t="s">
        <v>130</v>
      </c>
      <c r="AD2880" s="15" t="s">
        <v>131</v>
      </c>
      <c r="AE2880" s="15" t="s">
        <v>437</v>
      </c>
      <c r="AF2880" s="12">
        <f>IF(AG2880="Rejected",0,IF(R2880="Corporate Card",0,V2880))</f>
        <v>23.958479999999998</v>
      </c>
      <c r="AG2880" s="15" t="s">
        <v>181</v>
      </c>
      <c r="AH2880" s="16">
        <v>45998</v>
      </c>
      <c r="AI2880" s="16"/>
      <c r="AJ2880" s="16"/>
      <c r="AK2880" s="17" t="str">
        <f>IF(AJ2880="","",AJ2880-AH2880)</f>
        <v/>
      </c>
    </row>
    <row r="2881" spans="1:37">
      <c r="A2881" s="2" t="s">
        <v>3394</v>
      </c>
      <c r="B2881" s="2" t="s">
        <v>2212</v>
      </c>
      <c r="C2881" s="2" t="s">
        <v>346</v>
      </c>
      <c r="D2881" s="2" t="s">
        <v>344</v>
      </c>
      <c r="E2881" s="2" t="s">
        <v>2213</v>
      </c>
      <c r="F2881" s="2" t="s">
        <v>313</v>
      </c>
      <c r="G2881" s="2" t="s">
        <v>3322</v>
      </c>
      <c r="H2881" s="2" t="s">
        <v>748</v>
      </c>
      <c r="I2881" s="2" t="s">
        <v>380</v>
      </c>
      <c r="J2881" s="2" t="s">
        <v>381</v>
      </c>
      <c r="K2881" s="9">
        <v>45987</v>
      </c>
      <c r="L2881" s="9">
        <v>45995</v>
      </c>
      <c r="M2881" s="9">
        <v>45993</v>
      </c>
      <c r="N2881" s="2" t="s">
        <v>3380</v>
      </c>
      <c r="O2881" s="2" t="s">
        <v>58</v>
      </c>
      <c r="P2881" s="2" t="s">
        <v>142</v>
      </c>
      <c r="Q2881" s="2" t="s">
        <v>143</v>
      </c>
      <c r="R2881" s="2" t="s">
        <v>128</v>
      </c>
      <c r="S2881" s="2" t="s">
        <v>383</v>
      </c>
      <c r="T2881" s="10">
        <v>32.61</v>
      </c>
      <c r="U2881" s="11">
        <v>1</v>
      </c>
      <c r="V2881" s="12">
        <f>T2881*U2881</f>
        <v>32.61</v>
      </c>
      <c r="W2881" s="13">
        <v>0</v>
      </c>
      <c r="X2881" s="12">
        <f>V2881-(V2881/(1+W2881))</f>
        <v>0</v>
      </c>
      <c r="Y2881" s="12">
        <f>V2881-X2881</f>
        <v>32.61</v>
      </c>
      <c r="Z2881" s="14">
        <v>60</v>
      </c>
      <c r="AA2881" s="2" t="str">
        <f>IF(V2881&gt;Z2881,"Yes","No")</f>
        <v>No</v>
      </c>
      <c r="AB2881" s="12">
        <f>V2881-Z2881</f>
        <v>-27.39</v>
      </c>
      <c r="AC2881" s="15" t="s">
        <v>130</v>
      </c>
      <c r="AD2881" s="15" t="s">
        <v>130</v>
      </c>
      <c r="AE2881" s="15" t="s">
        <v>260</v>
      </c>
      <c r="AF2881" s="12">
        <f>IF(AG2881="Rejected",0,IF(R2881="Corporate Card",0,V2881))</f>
        <v>0</v>
      </c>
      <c r="AG2881" s="15" t="s">
        <v>133</v>
      </c>
      <c r="AH2881" s="16">
        <v>46004</v>
      </c>
      <c r="AI2881" s="16">
        <v>46008</v>
      </c>
      <c r="AJ2881" s="16">
        <v>46021</v>
      </c>
      <c r="AK2881" s="17">
        <f>IF(AJ2881="","",AJ2881-AH2881)</f>
        <v>17</v>
      </c>
    </row>
    <row r="2882" spans="1:37">
      <c r="A2882" s="2" t="s">
        <v>3395</v>
      </c>
      <c r="B2882" s="2" t="s">
        <v>2212</v>
      </c>
      <c r="C2882" s="2" t="s">
        <v>346</v>
      </c>
      <c r="D2882" s="2" t="s">
        <v>344</v>
      </c>
      <c r="E2882" s="2" t="s">
        <v>2213</v>
      </c>
      <c r="F2882" s="2" t="s">
        <v>313</v>
      </c>
      <c r="G2882" s="2" t="s">
        <v>3322</v>
      </c>
      <c r="H2882" s="2" t="s">
        <v>748</v>
      </c>
      <c r="I2882" s="2" t="s">
        <v>380</v>
      </c>
      <c r="J2882" s="2" t="s">
        <v>381</v>
      </c>
      <c r="K2882" s="9">
        <v>45987</v>
      </c>
      <c r="L2882" s="9">
        <v>45995</v>
      </c>
      <c r="M2882" s="9">
        <v>45993</v>
      </c>
      <c r="N2882" s="2" t="s">
        <v>3380</v>
      </c>
      <c r="O2882" s="2" t="s">
        <v>56</v>
      </c>
      <c r="P2882" s="2" t="s">
        <v>231</v>
      </c>
      <c r="Q2882" s="2" t="s">
        <v>166</v>
      </c>
      <c r="R2882" s="2" t="s">
        <v>128</v>
      </c>
      <c r="S2882" s="2" t="s">
        <v>383</v>
      </c>
      <c r="T2882" s="10">
        <v>115.86</v>
      </c>
      <c r="U2882" s="11">
        <v>1</v>
      </c>
      <c r="V2882" s="12">
        <f>T2882*U2882</f>
        <v>115.86</v>
      </c>
      <c r="W2882" s="13">
        <v>0</v>
      </c>
      <c r="X2882" s="12">
        <f>V2882-(V2882/(1+W2882))</f>
        <v>0</v>
      </c>
      <c r="Y2882" s="12">
        <f>V2882-X2882</f>
        <v>115.86</v>
      </c>
      <c r="Z2882" s="14">
        <v>75</v>
      </c>
      <c r="AA2882" s="2" t="str">
        <f>IF(V2882&gt;Z2882,"Yes","No")</f>
        <v>Yes</v>
      </c>
      <c r="AB2882" s="12">
        <f>V2882-Z2882</f>
        <v>40.86</v>
      </c>
      <c r="AC2882" s="15" t="s">
        <v>130</v>
      </c>
      <c r="AD2882" s="15" t="s">
        <v>130</v>
      </c>
      <c r="AE2882" s="15" t="s">
        <v>260</v>
      </c>
      <c r="AF2882" s="12">
        <f>IF(AG2882="Rejected",0,IF(R2882="Corporate Card",0,V2882))</f>
        <v>0</v>
      </c>
      <c r="AG2882" s="15" t="s">
        <v>133</v>
      </c>
      <c r="AH2882" s="16">
        <v>46004</v>
      </c>
      <c r="AI2882" s="16">
        <v>46008</v>
      </c>
      <c r="AJ2882" s="16">
        <v>46021</v>
      </c>
      <c r="AK2882" s="17">
        <f>IF(AJ2882="","",AJ2882-AH2882)</f>
        <v>17</v>
      </c>
    </row>
    <row r="2883" spans="1:37">
      <c r="A2883" s="2" t="s">
        <v>3396</v>
      </c>
      <c r="B2883" s="2" t="s">
        <v>2212</v>
      </c>
      <c r="C2883" s="2" t="s">
        <v>346</v>
      </c>
      <c r="D2883" s="2" t="s">
        <v>344</v>
      </c>
      <c r="E2883" s="2" t="s">
        <v>2213</v>
      </c>
      <c r="F2883" s="2" t="s">
        <v>313</v>
      </c>
      <c r="G2883" s="2" t="s">
        <v>3322</v>
      </c>
      <c r="H2883" s="2" t="s">
        <v>748</v>
      </c>
      <c r="I2883" s="2" t="s">
        <v>380</v>
      </c>
      <c r="J2883" s="2" t="s">
        <v>381</v>
      </c>
      <c r="K2883" s="9">
        <v>45987</v>
      </c>
      <c r="L2883" s="9">
        <v>45995</v>
      </c>
      <c r="M2883" s="9">
        <v>45993</v>
      </c>
      <c r="N2883" s="2" t="s">
        <v>3380</v>
      </c>
      <c r="O2883" s="2" t="s">
        <v>55</v>
      </c>
      <c r="P2883" s="2" t="s">
        <v>139</v>
      </c>
      <c r="Q2883" s="2" t="s">
        <v>187</v>
      </c>
      <c r="R2883" s="2" t="s">
        <v>128</v>
      </c>
      <c r="S2883" s="2" t="s">
        <v>383</v>
      </c>
      <c r="T2883" s="10">
        <v>16.45</v>
      </c>
      <c r="U2883" s="11">
        <v>1</v>
      </c>
      <c r="V2883" s="12">
        <f>T2883*U2883</f>
        <v>16.45</v>
      </c>
      <c r="W2883" s="13">
        <v>0</v>
      </c>
      <c r="X2883" s="12">
        <f>V2883-(V2883/(1+W2883))</f>
        <v>0</v>
      </c>
      <c r="Y2883" s="12">
        <f>V2883-X2883</f>
        <v>16.45</v>
      </c>
      <c r="Z2883" s="14">
        <v>35</v>
      </c>
      <c r="AA2883" s="2" t="str">
        <f>IF(V2883&gt;Z2883,"Yes","No")</f>
        <v>No</v>
      </c>
      <c r="AB2883" s="12">
        <f>V2883-Z2883</f>
        <v>-18.55</v>
      </c>
      <c r="AC2883" s="15" t="s">
        <v>130</v>
      </c>
      <c r="AD2883" s="15" t="s">
        <v>130</v>
      </c>
      <c r="AE2883" s="15" t="s">
        <v>260</v>
      </c>
      <c r="AF2883" s="12">
        <f>IF(AG2883="Rejected",0,IF(R2883="Corporate Card",0,V2883))</f>
        <v>0</v>
      </c>
      <c r="AG2883" s="15" t="s">
        <v>133</v>
      </c>
      <c r="AH2883" s="16">
        <v>46004</v>
      </c>
      <c r="AI2883" s="16">
        <v>46008</v>
      </c>
      <c r="AJ2883" s="16">
        <v>46021</v>
      </c>
      <c r="AK2883" s="17">
        <f>IF(AJ2883="","",AJ2883-AH2883)</f>
        <v>17</v>
      </c>
    </row>
    <row r="2884" spans="1:37">
      <c r="A2884" s="2" t="s">
        <v>3397</v>
      </c>
      <c r="B2884" s="2" t="s">
        <v>116</v>
      </c>
      <c r="C2884" s="2" t="s">
        <v>117</v>
      </c>
      <c r="D2884" s="2" t="s">
        <v>118</v>
      </c>
      <c r="E2884" s="2" t="s">
        <v>119</v>
      </c>
      <c r="F2884" s="2" t="s">
        <v>120</v>
      </c>
      <c r="G2884" s="2" t="s">
        <v>3343</v>
      </c>
      <c r="H2884" s="2" t="s">
        <v>448</v>
      </c>
      <c r="I2884" s="2" t="s">
        <v>433</v>
      </c>
      <c r="J2884" s="2" t="s">
        <v>434</v>
      </c>
      <c r="K2884" s="9">
        <v>45989</v>
      </c>
      <c r="L2884" s="9">
        <v>45995</v>
      </c>
      <c r="M2884" s="9">
        <v>45994</v>
      </c>
      <c r="N2884" s="2" t="s">
        <v>3380</v>
      </c>
      <c r="O2884" s="2" t="s">
        <v>58</v>
      </c>
      <c r="P2884" s="2" t="s">
        <v>142</v>
      </c>
      <c r="Q2884" s="2" t="s">
        <v>296</v>
      </c>
      <c r="R2884" s="2" t="s">
        <v>137</v>
      </c>
      <c r="S2884" s="2" t="s">
        <v>436</v>
      </c>
      <c r="T2884" s="10">
        <v>3865</v>
      </c>
      <c r="U2884" s="11">
        <v>1.1780000000000001E-2</v>
      </c>
      <c r="V2884" s="12">
        <f>T2884*U2884</f>
        <v>45.529700000000005</v>
      </c>
      <c r="W2884" s="13">
        <v>0.18</v>
      </c>
      <c r="X2884" s="12">
        <f>V2884-(V2884/(1+W2884))</f>
        <v>6.945208474576269</v>
      </c>
      <c r="Y2884" s="12">
        <f>V2884-X2884</f>
        <v>38.584491525423736</v>
      </c>
      <c r="Z2884" s="14">
        <v>60</v>
      </c>
      <c r="AA2884" s="2" t="str">
        <f>IF(V2884&gt;Z2884,"Yes","No")</f>
        <v>No</v>
      </c>
      <c r="AB2884" s="12">
        <f>V2884-Z2884</f>
        <v>-14.470299999999995</v>
      </c>
      <c r="AC2884" s="15" t="s">
        <v>130</v>
      </c>
      <c r="AD2884" s="15" t="s">
        <v>131</v>
      </c>
      <c r="AE2884" s="15" t="s">
        <v>132</v>
      </c>
      <c r="AF2884" s="12">
        <f>IF(AG2884="Rejected",0,IF(R2884="Corporate Card",0,V2884))</f>
        <v>45.529700000000005</v>
      </c>
      <c r="AG2884" s="15" t="s">
        <v>133</v>
      </c>
      <c r="AH2884" s="16">
        <v>46003</v>
      </c>
      <c r="AI2884" s="16">
        <v>46006</v>
      </c>
      <c r="AJ2884" s="16">
        <v>46017</v>
      </c>
      <c r="AK2884" s="17">
        <f>IF(AJ2884="","",AJ2884-AH2884)</f>
        <v>14</v>
      </c>
    </row>
    <row r="2885" spans="1:37">
      <c r="A2885" s="2" t="s">
        <v>3398</v>
      </c>
      <c r="B2885" s="2" t="s">
        <v>116</v>
      </c>
      <c r="C2885" s="2" t="s">
        <v>117</v>
      </c>
      <c r="D2885" s="2" t="s">
        <v>118</v>
      </c>
      <c r="E2885" s="2" t="s">
        <v>119</v>
      </c>
      <c r="F2885" s="2" t="s">
        <v>120</v>
      </c>
      <c r="G2885" s="2" t="s">
        <v>3343</v>
      </c>
      <c r="H2885" s="2" t="s">
        <v>448</v>
      </c>
      <c r="I2885" s="2" t="s">
        <v>433</v>
      </c>
      <c r="J2885" s="2" t="s">
        <v>434</v>
      </c>
      <c r="K2885" s="9">
        <v>45989</v>
      </c>
      <c r="L2885" s="9">
        <v>45995</v>
      </c>
      <c r="M2885" s="9">
        <v>45994</v>
      </c>
      <c r="N2885" s="2" t="s">
        <v>3380</v>
      </c>
      <c r="O2885" s="2" t="s">
        <v>56</v>
      </c>
      <c r="P2885" s="2" t="s">
        <v>245</v>
      </c>
      <c r="Q2885" s="2" t="s">
        <v>152</v>
      </c>
      <c r="R2885" s="2" t="s">
        <v>128</v>
      </c>
      <c r="S2885" s="2" t="s">
        <v>436</v>
      </c>
      <c r="T2885" s="10">
        <v>3188</v>
      </c>
      <c r="U2885" s="11">
        <v>1.1780000000000001E-2</v>
      </c>
      <c r="V2885" s="12">
        <f>T2885*U2885</f>
        <v>37.554639999999999</v>
      </c>
      <c r="W2885" s="13">
        <v>0.18</v>
      </c>
      <c r="X2885" s="12">
        <f>V2885-(V2885/(1+W2885))</f>
        <v>5.7286738983050824</v>
      </c>
      <c r="Y2885" s="12">
        <f>V2885-X2885</f>
        <v>31.825966101694917</v>
      </c>
      <c r="Z2885" s="14">
        <v>75</v>
      </c>
      <c r="AA2885" s="2" t="str">
        <f>IF(V2885&gt;Z2885,"Yes","No")</f>
        <v>No</v>
      </c>
      <c r="AB2885" s="12">
        <f>V2885-Z2885</f>
        <v>-37.445360000000001</v>
      </c>
      <c r="AC2885" s="15" t="s">
        <v>130</v>
      </c>
      <c r="AD2885" s="15" t="s">
        <v>131</v>
      </c>
      <c r="AE2885" s="15" t="s">
        <v>132</v>
      </c>
      <c r="AF2885" s="12">
        <f>IF(AG2885="Rejected",0,IF(R2885="Corporate Card",0,V2885))</f>
        <v>0</v>
      </c>
      <c r="AG2885" s="15" t="s">
        <v>133</v>
      </c>
      <c r="AH2885" s="16">
        <v>46003</v>
      </c>
      <c r="AI2885" s="16">
        <v>46006</v>
      </c>
      <c r="AJ2885" s="16">
        <v>46017</v>
      </c>
      <c r="AK2885" s="17">
        <f>IF(AJ2885="","",AJ2885-AH2885)</f>
        <v>14</v>
      </c>
    </row>
    <row r="2886" spans="1:37">
      <c r="A2886" s="2" t="s">
        <v>3399</v>
      </c>
      <c r="B2886" s="2" t="s">
        <v>116</v>
      </c>
      <c r="C2886" s="2" t="s">
        <v>117</v>
      </c>
      <c r="D2886" s="2" t="s">
        <v>118</v>
      </c>
      <c r="E2886" s="2" t="s">
        <v>119</v>
      </c>
      <c r="F2886" s="2" t="s">
        <v>120</v>
      </c>
      <c r="G2886" s="2" t="s">
        <v>3343</v>
      </c>
      <c r="H2886" s="2" t="s">
        <v>448</v>
      </c>
      <c r="I2886" s="2" t="s">
        <v>433</v>
      </c>
      <c r="J2886" s="2" t="s">
        <v>434</v>
      </c>
      <c r="K2886" s="9">
        <v>45989</v>
      </c>
      <c r="L2886" s="9">
        <v>45995</v>
      </c>
      <c r="M2886" s="9">
        <v>45994</v>
      </c>
      <c r="N2886" s="2" t="s">
        <v>3380</v>
      </c>
      <c r="O2886" s="2" t="s">
        <v>55</v>
      </c>
      <c r="P2886" s="2" t="s">
        <v>139</v>
      </c>
      <c r="Q2886" s="2" t="s">
        <v>161</v>
      </c>
      <c r="R2886" s="2" t="s">
        <v>149</v>
      </c>
      <c r="S2886" s="2" t="s">
        <v>436</v>
      </c>
      <c r="T2886" s="10">
        <v>1622</v>
      </c>
      <c r="U2886" s="11">
        <v>1.1780000000000001E-2</v>
      </c>
      <c r="V2886" s="12">
        <f>T2886*U2886</f>
        <v>19.10716</v>
      </c>
      <c r="W2886" s="13">
        <v>0.18</v>
      </c>
      <c r="X2886" s="12">
        <f>V2886-(V2886/(1+W2886))</f>
        <v>2.9146515254237286</v>
      </c>
      <c r="Y2886" s="12">
        <f>V2886-X2886</f>
        <v>16.192508474576272</v>
      </c>
      <c r="Z2886" s="14">
        <v>35</v>
      </c>
      <c r="AA2886" s="2" t="str">
        <f>IF(V2886&gt;Z2886,"Yes","No")</f>
        <v>No</v>
      </c>
      <c r="AB2886" s="12">
        <f>V2886-Z2886</f>
        <v>-15.89284</v>
      </c>
      <c r="AC2886" s="15" t="s">
        <v>130</v>
      </c>
      <c r="AD2886" s="15" t="s">
        <v>131</v>
      </c>
      <c r="AE2886" s="15" t="s">
        <v>132</v>
      </c>
      <c r="AF2886" s="12">
        <f>IF(AG2886="Rejected",0,IF(R2886="Corporate Card",0,V2886))</f>
        <v>19.10716</v>
      </c>
      <c r="AG2886" s="15" t="s">
        <v>133</v>
      </c>
      <c r="AH2886" s="16">
        <v>46003</v>
      </c>
      <c r="AI2886" s="16">
        <v>46006</v>
      </c>
      <c r="AJ2886" s="16">
        <v>46017</v>
      </c>
      <c r="AK2886" s="17">
        <f>IF(AJ2886="","",AJ2886-AH2886)</f>
        <v>14</v>
      </c>
    </row>
    <row r="2887" spans="1:37">
      <c r="A2887" s="2" t="s">
        <v>3400</v>
      </c>
      <c r="B2887" s="2" t="s">
        <v>863</v>
      </c>
      <c r="C2887" s="2" t="s">
        <v>864</v>
      </c>
      <c r="D2887" s="2" t="s">
        <v>865</v>
      </c>
      <c r="E2887" s="2" t="s">
        <v>866</v>
      </c>
      <c r="F2887" s="2" t="s">
        <v>867</v>
      </c>
      <c r="G2887" s="2" t="s">
        <v>3326</v>
      </c>
      <c r="H2887" s="2" t="s">
        <v>254</v>
      </c>
      <c r="I2887" s="2" t="s">
        <v>651</v>
      </c>
      <c r="J2887" s="2" t="s">
        <v>652</v>
      </c>
      <c r="K2887" s="9">
        <v>45988</v>
      </c>
      <c r="L2887" s="9">
        <v>45996</v>
      </c>
      <c r="M2887" s="9">
        <v>45994</v>
      </c>
      <c r="N2887" s="2" t="s">
        <v>3380</v>
      </c>
      <c r="O2887" s="2" t="s">
        <v>58</v>
      </c>
      <c r="P2887" s="2" t="s">
        <v>142</v>
      </c>
      <c r="Q2887" s="2" t="s">
        <v>224</v>
      </c>
      <c r="R2887" s="2" t="s">
        <v>149</v>
      </c>
      <c r="S2887" s="2" t="s">
        <v>654</v>
      </c>
      <c r="T2887" s="10">
        <v>69.19</v>
      </c>
      <c r="U2887" s="11">
        <v>0.72799999999999998</v>
      </c>
      <c r="V2887" s="12">
        <f>T2887*U2887</f>
        <v>50.37032</v>
      </c>
      <c r="W2887" s="13">
        <v>0.13</v>
      </c>
      <c r="X2887" s="12">
        <f>V2887-(V2887/(1+W2887))</f>
        <v>5.7948155752212358</v>
      </c>
      <c r="Y2887" s="12">
        <f>V2887-X2887</f>
        <v>44.575504424778764</v>
      </c>
      <c r="Z2887" s="14">
        <v>60</v>
      </c>
      <c r="AA2887" s="2" t="str">
        <f>IF(V2887&gt;Z2887,"Yes","No")</f>
        <v>No</v>
      </c>
      <c r="AB2887" s="12">
        <f>V2887-Z2887</f>
        <v>-9.6296800000000005</v>
      </c>
      <c r="AC2887" s="15" t="s">
        <v>130</v>
      </c>
      <c r="AD2887" s="15" t="s">
        <v>131</v>
      </c>
      <c r="AE2887" s="15" t="s">
        <v>437</v>
      </c>
      <c r="AF2887" s="12">
        <f>IF(AG2887="Rejected",0,IF(R2887="Corporate Card",0,V2887))</f>
        <v>50.37032</v>
      </c>
      <c r="AG2887" s="15" t="s">
        <v>181</v>
      </c>
      <c r="AH2887" s="16">
        <v>45998</v>
      </c>
      <c r="AI2887" s="16"/>
      <c r="AJ2887" s="16"/>
      <c r="AK2887" s="17" t="str">
        <f>IF(AJ2887="","",AJ2887-AH2887)</f>
        <v/>
      </c>
    </row>
    <row r="2888" spans="1:37">
      <c r="A2888" s="2" t="s">
        <v>3401</v>
      </c>
      <c r="B2888" s="2" t="s">
        <v>863</v>
      </c>
      <c r="C2888" s="2" t="s">
        <v>864</v>
      </c>
      <c r="D2888" s="2" t="s">
        <v>865</v>
      </c>
      <c r="E2888" s="2" t="s">
        <v>866</v>
      </c>
      <c r="F2888" s="2" t="s">
        <v>867</v>
      </c>
      <c r="G2888" s="2" t="s">
        <v>3326</v>
      </c>
      <c r="H2888" s="2" t="s">
        <v>254</v>
      </c>
      <c r="I2888" s="2" t="s">
        <v>651</v>
      </c>
      <c r="J2888" s="2" t="s">
        <v>652</v>
      </c>
      <c r="K2888" s="9">
        <v>45988</v>
      </c>
      <c r="L2888" s="9">
        <v>45996</v>
      </c>
      <c r="M2888" s="9">
        <v>45994</v>
      </c>
      <c r="N2888" s="2" t="s">
        <v>3380</v>
      </c>
      <c r="O2888" s="2" t="s">
        <v>56</v>
      </c>
      <c r="P2888" s="2" t="s">
        <v>245</v>
      </c>
      <c r="Q2888" s="2" t="s">
        <v>152</v>
      </c>
      <c r="R2888" s="2" t="s">
        <v>128</v>
      </c>
      <c r="S2888" s="2" t="s">
        <v>654</v>
      </c>
      <c r="T2888" s="10">
        <v>61.1</v>
      </c>
      <c r="U2888" s="11">
        <v>0.72799999999999998</v>
      </c>
      <c r="V2888" s="12">
        <f>T2888*U2888</f>
        <v>44.480800000000002</v>
      </c>
      <c r="W2888" s="13">
        <v>0.13</v>
      </c>
      <c r="X2888" s="12">
        <f>V2888-(V2888/(1+W2888))</f>
        <v>5.1172601769911452</v>
      </c>
      <c r="Y2888" s="12">
        <f>V2888-X2888</f>
        <v>39.363539823008857</v>
      </c>
      <c r="Z2888" s="14">
        <v>75</v>
      </c>
      <c r="AA2888" s="2" t="str">
        <f>IF(V2888&gt;Z2888,"Yes","No")</f>
        <v>No</v>
      </c>
      <c r="AB2888" s="12">
        <f>V2888-Z2888</f>
        <v>-30.519199999999998</v>
      </c>
      <c r="AC2888" s="15" t="s">
        <v>130</v>
      </c>
      <c r="AD2888" s="15" t="s">
        <v>131</v>
      </c>
      <c r="AE2888" s="15" t="s">
        <v>437</v>
      </c>
      <c r="AF2888" s="12">
        <f>IF(AG2888="Rejected",0,IF(R2888="Corporate Card",0,V2888))</f>
        <v>0</v>
      </c>
      <c r="AG2888" s="15" t="s">
        <v>181</v>
      </c>
      <c r="AH2888" s="16">
        <v>45998</v>
      </c>
      <c r="AI2888" s="16"/>
      <c r="AJ2888" s="16"/>
      <c r="AK2888" s="17" t="str">
        <f>IF(AJ2888="","",AJ2888-AH2888)</f>
        <v/>
      </c>
    </row>
    <row r="2889" spans="1:37">
      <c r="A2889" s="2" t="s">
        <v>3402</v>
      </c>
      <c r="B2889" s="2" t="s">
        <v>863</v>
      </c>
      <c r="C2889" s="2" t="s">
        <v>864</v>
      </c>
      <c r="D2889" s="2" t="s">
        <v>865</v>
      </c>
      <c r="E2889" s="2" t="s">
        <v>866</v>
      </c>
      <c r="F2889" s="2" t="s">
        <v>867</v>
      </c>
      <c r="G2889" s="2" t="s">
        <v>3326</v>
      </c>
      <c r="H2889" s="2" t="s">
        <v>254</v>
      </c>
      <c r="I2889" s="2" t="s">
        <v>651</v>
      </c>
      <c r="J2889" s="2" t="s">
        <v>652</v>
      </c>
      <c r="K2889" s="9">
        <v>45988</v>
      </c>
      <c r="L2889" s="9">
        <v>45996</v>
      </c>
      <c r="M2889" s="9">
        <v>45994</v>
      </c>
      <c r="N2889" s="2" t="s">
        <v>3380</v>
      </c>
      <c r="O2889" s="2" t="s">
        <v>55</v>
      </c>
      <c r="P2889" s="2" t="s">
        <v>139</v>
      </c>
      <c r="Q2889" s="2" t="s">
        <v>154</v>
      </c>
      <c r="R2889" s="2" t="s">
        <v>128</v>
      </c>
      <c r="S2889" s="2" t="s">
        <v>654</v>
      </c>
      <c r="T2889" s="10">
        <v>31.71</v>
      </c>
      <c r="U2889" s="11">
        <v>0.72799999999999998</v>
      </c>
      <c r="V2889" s="12">
        <f>T2889*U2889</f>
        <v>23.084879999999998</v>
      </c>
      <c r="W2889" s="13">
        <v>0.13</v>
      </c>
      <c r="X2889" s="12">
        <f>V2889-(V2889/(1+W2889))</f>
        <v>2.6557826548672558</v>
      </c>
      <c r="Y2889" s="12">
        <f>V2889-X2889</f>
        <v>20.429097345132742</v>
      </c>
      <c r="Z2889" s="14">
        <v>35</v>
      </c>
      <c r="AA2889" s="2" t="str">
        <f>IF(V2889&gt;Z2889,"Yes","No")</f>
        <v>No</v>
      </c>
      <c r="AB2889" s="12">
        <f>V2889-Z2889</f>
        <v>-11.915120000000002</v>
      </c>
      <c r="AC2889" s="15" t="s">
        <v>130</v>
      </c>
      <c r="AD2889" s="15" t="s">
        <v>131</v>
      </c>
      <c r="AE2889" s="15" t="s">
        <v>437</v>
      </c>
      <c r="AF2889" s="12">
        <f>IF(AG2889="Rejected",0,IF(R2889="Corporate Card",0,V2889))</f>
        <v>0</v>
      </c>
      <c r="AG2889" s="15" t="s">
        <v>181</v>
      </c>
      <c r="AH2889" s="16">
        <v>45998</v>
      </c>
      <c r="AI2889" s="16"/>
      <c r="AJ2889" s="16"/>
      <c r="AK2889" s="17" t="str">
        <f>IF(AJ2889="","",AJ2889-AH2889)</f>
        <v/>
      </c>
    </row>
    <row r="2890" spans="1:37">
      <c r="A2890" s="2" t="s">
        <v>3403</v>
      </c>
      <c r="B2890" s="2" t="s">
        <v>2212</v>
      </c>
      <c r="C2890" s="2" t="s">
        <v>346</v>
      </c>
      <c r="D2890" s="2" t="s">
        <v>344</v>
      </c>
      <c r="E2890" s="2" t="s">
        <v>2213</v>
      </c>
      <c r="F2890" s="2" t="s">
        <v>313</v>
      </c>
      <c r="G2890" s="2" t="s">
        <v>3322</v>
      </c>
      <c r="H2890" s="2" t="s">
        <v>748</v>
      </c>
      <c r="I2890" s="2" t="s">
        <v>380</v>
      </c>
      <c r="J2890" s="2" t="s">
        <v>381</v>
      </c>
      <c r="K2890" s="9">
        <v>45987</v>
      </c>
      <c r="L2890" s="9">
        <v>45995</v>
      </c>
      <c r="M2890" s="9">
        <v>45994</v>
      </c>
      <c r="N2890" s="2" t="s">
        <v>3380</v>
      </c>
      <c r="O2890" s="2" t="s">
        <v>58</v>
      </c>
      <c r="P2890" s="2" t="s">
        <v>142</v>
      </c>
      <c r="Q2890" s="2" t="s">
        <v>143</v>
      </c>
      <c r="R2890" s="2" t="s">
        <v>128</v>
      </c>
      <c r="S2890" s="2" t="s">
        <v>383</v>
      </c>
      <c r="T2890" s="10">
        <v>28.84</v>
      </c>
      <c r="U2890" s="11">
        <v>1</v>
      </c>
      <c r="V2890" s="12">
        <f>T2890*U2890</f>
        <v>28.84</v>
      </c>
      <c r="W2890" s="13">
        <v>0</v>
      </c>
      <c r="X2890" s="12">
        <f>V2890-(V2890/(1+W2890))</f>
        <v>0</v>
      </c>
      <c r="Y2890" s="12">
        <f>V2890-X2890</f>
        <v>28.84</v>
      </c>
      <c r="Z2890" s="14">
        <v>60</v>
      </c>
      <c r="AA2890" s="2" t="str">
        <f>IF(V2890&gt;Z2890,"Yes","No")</f>
        <v>No</v>
      </c>
      <c r="AB2890" s="12">
        <f>V2890-Z2890</f>
        <v>-31.16</v>
      </c>
      <c r="AC2890" s="15" t="s">
        <v>130</v>
      </c>
      <c r="AD2890" s="15" t="s">
        <v>130</v>
      </c>
      <c r="AE2890" s="15" t="s">
        <v>260</v>
      </c>
      <c r="AF2890" s="12">
        <f>IF(AG2890="Rejected",0,IF(R2890="Corporate Card",0,V2890))</f>
        <v>0</v>
      </c>
      <c r="AG2890" s="15" t="s">
        <v>133</v>
      </c>
      <c r="AH2890" s="16">
        <v>46004</v>
      </c>
      <c r="AI2890" s="16">
        <v>46008</v>
      </c>
      <c r="AJ2890" s="16">
        <v>46021</v>
      </c>
      <c r="AK2890" s="17">
        <f>IF(AJ2890="","",AJ2890-AH2890)</f>
        <v>17</v>
      </c>
    </row>
    <row r="2891" spans="1:37">
      <c r="A2891" s="2" t="s">
        <v>3404</v>
      </c>
      <c r="B2891" s="2" t="s">
        <v>2212</v>
      </c>
      <c r="C2891" s="2" t="s">
        <v>346</v>
      </c>
      <c r="D2891" s="2" t="s">
        <v>344</v>
      </c>
      <c r="E2891" s="2" t="s">
        <v>2213</v>
      </c>
      <c r="F2891" s="2" t="s">
        <v>313</v>
      </c>
      <c r="G2891" s="2" t="s">
        <v>3322</v>
      </c>
      <c r="H2891" s="2" t="s">
        <v>748</v>
      </c>
      <c r="I2891" s="2" t="s">
        <v>380</v>
      </c>
      <c r="J2891" s="2" t="s">
        <v>381</v>
      </c>
      <c r="K2891" s="9">
        <v>45987</v>
      </c>
      <c r="L2891" s="9">
        <v>45995</v>
      </c>
      <c r="M2891" s="9">
        <v>45994</v>
      </c>
      <c r="N2891" s="2" t="s">
        <v>3380</v>
      </c>
      <c r="O2891" s="2" t="s">
        <v>54</v>
      </c>
      <c r="P2891" s="2" t="s">
        <v>139</v>
      </c>
      <c r="Q2891" s="2" t="s">
        <v>140</v>
      </c>
      <c r="R2891" s="2" t="s">
        <v>128</v>
      </c>
      <c r="S2891" s="2" t="s">
        <v>383</v>
      </c>
      <c r="T2891" s="10">
        <v>18.489999999999998</v>
      </c>
      <c r="U2891" s="11">
        <v>1</v>
      </c>
      <c r="V2891" s="12">
        <f>T2891*U2891</f>
        <v>18.489999999999998</v>
      </c>
      <c r="W2891" s="13">
        <v>0</v>
      </c>
      <c r="X2891" s="12">
        <f>V2891-(V2891/(1+W2891))</f>
        <v>0</v>
      </c>
      <c r="Y2891" s="12">
        <f>V2891-X2891</f>
        <v>18.489999999999998</v>
      </c>
      <c r="Z2891" s="14">
        <v>25</v>
      </c>
      <c r="AA2891" s="2" t="str">
        <f>IF(V2891&gt;Z2891,"Yes","No")</f>
        <v>No</v>
      </c>
      <c r="AB2891" s="12">
        <f>V2891-Z2891</f>
        <v>-6.5100000000000016</v>
      </c>
      <c r="AC2891" s="15" t="s">
        <v>130</v>
      </c>
      <c r="AD2891" s="15" t="s">
        <v>130</v>
      </c>
      <c r="AE2891" s="15" t="s">
        <v>260</v>
      </c>
      <c r="AF2891" s="12">
        <f>IF(AG2891="Rejected",0,IF(R2891="Corporate Card",0,V2891))</f>
        <v>0</v>
      </c>
      <c r="AG2891" s="15" t="s">
        <v>133</v>
      </c>
      <c r="AH2891" s="16">
        <v>46004</v>
      </c>
      <c r="AI2891" s="16">
        <v>46008</v>
      </c>
      <c r="AJ2891" s="16">
        <v>46021</v>
      </c>
      <c r="AK2891" s="17">
        <f>IF(AJ2891="","",AJ2891-AH2891)</f>
        <v>17</v>
      </c>
    </row>
    <row r="2892" spans="1:37">
      <c r="A2892" s="2" t="s">
        <v>3405</v>
      </c>
      <c r="B2892" s="2" t="s">
        <v>2212</v>
      </c>
      <c r="C2892" s="2" t="s">
        <v>346</v>
      </c>
      <c r="D2892" s="2" t="s">
        <v>344</v>
      </c>
      <c r="E2892" s="2" t="s">
        <v>2213</v>
      </c>
      <c r="F2892" s="2" t="s">
        <v>313</v>
      </c>
      <c r="G2892" s="2" t="s">
        <v>3322</v>
      </c>
      <c r="H2892" s="2" t="s">
        <v>748</v>
      </c>
      <c r="I2892" s="2" t="s">
        <v>380</v>
      </c>
      <c r="J2892" s="2" t="s">
        <v>381</v>
      </c>
      <c r="K2892" s="9">
        <v>45987</v>
      </c>
      <c r="L2892" s="9">
        <v>45995</v>
      </c>
      <c r="M2892" s="9">
        <v>45994</v>
      </c>
      <c r="N2892" s="2" t="s">
        <v>3380</v>
      </c>
      <c r="O2892" s="2" t="s">
        <v>56</v>
      </c>
      <c r="P2892" s="2" t="s">
        <v>245</v>
      </c>
      <c r="Q2892" s="2" t="s">
        <v>159</v>
      </c>
      <c r="R2892" s="2" t="s">
        <v>137</v>
      </c>
      <c r="S2892" s="2" t="s">
        <v>383</v>
      </c>
      <c r="T2892" s="10">
        <v>47.49</v>
      </c>
      <c r="U2892" s="11">
        <v>1</v>
      </c>
      <c r="V2892" s="12">
        <f>T2892*U2892</f>
        <v>47.49</v>
      </c>
      <c r="W2892" s="13">
        <v>0</v>
      </c>
      <c r="X2892" s="12">
        <f>V2892-(V2892/(1+W2892))</f>
        <v>0</v>
      </c>
      <c r="Y2892" s="12">
        <f>V2892-X2892</f>
        <v>47.49</v>
      </c>
      <c r="Z2892" s="14">
        <v>75</v>
      </c>
      <c r="AA2892" s="2" t="str">
        <f>IF(V2892&gt;Z2892,"Yes","No")</f>
        <v>No</v>
      </c>
      <c r="AB2892" s="12">
        <f>V2892-Z2892</f>
        <v>-27.509999999999998</v>
      </c>
      <c r="AC2892" s="15" t="s">
        <v>130</v>
      </c>
      <c r="AD2892" s="15" t="s">
        <v>130</v>
      </c>
      <c r="AE2892" s="15" t="s">
        <v>260</v>
      </c>
      <c r="AF2892" s="12">
        <f>IF(AG2892="Rejected",0,IF(R2892="Corporate Card",0,V2892))</f>
        <v>47.49</v>
      </c>
      <c r="AG2892" s="15" t="s">
        <v>133</v>
      </c>
      <c r="AH2892" s="16">
        <v>46004</v>
      </c>
      <c r="AI2892" s="16">
        <v>46008</v>
      </c>
      <c r="AJ2892" s="16">
        <v>46021</v>
      </c>
      <c r="AK2892" s="17">
        <f>IF(AJ2892="","",AJ2892-AH2892)</f>
        <v>17</v>
      </c>
    </row>
    <row r="2893" spans="1:37">
      <c r="A2893" s="2" t="s">
        <v>3406</v>
      </c>
      <c r="B2893" s="2" t="s">
        <v>2212</v>
      </c>
      <c r="C2893" s="2" t="s">
        <v>346</v>
      </c>
      <c r="D2893" s="2" t="s">
        <v>344</v>
      </c>
      <c r="E2893" s="2" t="s">
        <v>2213</v>
      </c>
      <c r="F2893" s="2" t="s">
        <v>313</v>
      </c>
      <c r="G2893" s="2" t="s">
        <v>3322</v>
      </c>
      <c r="H2893" s="2" t="s">
        <v>748</v>
      </c>
      <c r="I2893" s="2" t="s">
        <v>380</v>
      </c>
      <c r="J2893" s="2" t="s">
        <v>381</v>
      </c>
      <c r="K2893" s="9">
        <v>45987</v>
      </c>
      <c r="L2893" s="9">
        <v>45995</v>
      </c>
      <c r="M2893" s="9">
        <v>45994</v>
      </c>
      <c r="N2893" s="2" t="s">
        <v>3380</v>
      </c>
      <c r="O2893" s="2" t="s">
        <v>55</v>
      </c>
      <c r="P2893" s="2" t="s">
        <v>139</v>
      </c>
      <c r="Q2893" s="2" t="s">
        <v>154</v>
      </c>
      <c r="R2893" s="2" t="s">
        <v>128</v>
      </c>
      <c r="S2893" s="2" t="s">
        <v>383</v>
      </c>
      <c r="T2893" s="10">
        <v>46.63</v>
      </c>
      <c r="U2893" s="11">
        <v>1</v>
      </c>
      <c r="V2893" s="12">
        <f>T2893*U2893</f>
        <v>46.63</v>
      </c>
      <c r="W2893" s="13">
        <v>0</v>
      </c>
      <c r="X2893" s="12">
        <f>V2893-(V2893/(1+W2893))</f>
        <v>0</v>
      </c>
      <c r="Y2893" s="12">
        <f>V2893-X2893</f>
        <v>46.63</v>
      </c>
      <c r="Z2893" s="14">
        <v>35</v>
      </c>
      <c r="AA2893" s="2" t="str">
        <f>IF(V2893&gt;Z2893,"Yes","No")</f>
        <v>Yes</v>
      </c>
      <c r="AB2893" s="12">
        <f>V2893-Z2893</f>
        <v>11.630000000000003</v>
      </c>
      <c r="AC2893" s="15" t="s">
        <v>130</v>
      </c>
      <c r="AD2893" s="15" t="s">
        <v>130</v>
      </c>
      <c r="AE2893" s="15" t="s">
        <v>260</v>
      </c>
      <c r="AF2893" s="12">
        <f>IF(AG2893="Rejected",0,IF(R2893="Corporate Card",0,V2893))</f>
        <v>0</v>
      </c>
      <c r="AG2893" s="15" t="s">
        <v>133</v>
      </c>
      <c r="AH2893" s="16">
        <v>46004</v>
      </c>
      <c r="AI2893" s="16">
        <v>46008</v>
      </c>
      <c r="AJ2893" s="16">
        <v>46021</v>
      </c>
      <c r="AK2893" s="17">
        <f>IF(AJ2893="","",AJ2893-AH2893)</f>
        <v>17</v>
      </c>
    </row>
    <row r="2894" spans="1:37">
      <c r="A2894" s="2" t="s">
        <v>3407</v>
      </c>
      <c r="B2894" s="2" t="s">
        <v>116</v>
      </c>
      <c r="C2894" s="2" t="s">
        <v>117</v>
      </c>
      <c r="D2894" s="2" t="s">
        <v>118</v>
      </c>
      <c r="E2894" s="2" t="s">
        <v>119</v>
      </c>
      <c r="F2894" s="2" t="s">
        <v>120</v>
      </c>
      <c r="G2894" s="2" t="s">
        <v>3343</v>
      </c>
      <c r="H2894" s="2" t="s">
        <v>448</v>
      </c>
      <c r="I2894" s="2" t="s">
        <v>433</v>
      </c>
      <c r="J2894" s="2" t="s">
        <v>434</v>
      </c>
      <c r="K2894" s="9">
        <v>45989</v>
      </c>
      <c r="L2894" s="9">
        <v>45995</v>
      </c>
      <c r="M2894" s="9">
        <v>45995</v>
      </c>
      <c r="N2894" s="2" t="s">
        <v>3380</v>
      </c>
      <c r="O2894" s="2" t="s">
        <v>54</v>
      </c>
      <c r="P2894" s="2" t="s">
        <v>139</v>
      </c>
      <c r="Q2894" s="2" t="s">
        <v>163</v>
      </c>
      <c r="R2894" s="2" t="s">
        <v>137</v>
      </c>
      <c r="S2894" s="2" t="s">
        <v>436</v>
      </c>
      <c r="T2894" s="10">
        <v>1844</v>
      </c>
      <c r="U2894" s="11">
        <v>1.1780000000000001E-2</v>
      </c>
      <c r="V2894" s="12">
        <f>T2894*U2894</f>
        <v>21.72232</v>
      </c>
      <c r="W2894" s="13">
        <v>0.18</v>
      </c>
      <c r="X2894" s="12">
        <f>V2894-(V2894/(1+W2894))</f>
        <v>3.3135742372881332</v>
      </c>
      <c r="Y2894" s="12">
        <f>V2894-X2894</f>
        <v>18.408745762711867</v>
      </c>
      <c r="Z2894" s="14">
        <v>25</v>
      </c>
      <c r="AA2894" s="2" t="str">
        <f>IF(V2894&gt;Z2894,"Yes","No")</f>
        <v>No</v>
      </c>
      <c r="AB2894" s="12">
        <f>V2894-Z2894</f>
        <v>-3.2776800000000001</v>
      </c>
      <c r="AC2894" s="15" t="s">
        <v>130</v>
      </c>
      <c r="AD2894" s="15" t="s">
        <v>131</v>
      </c>
      <c r="AE2894" s="15" t="s">
        <v>132</v>
      </c>
      <c r="AF2894" s="12">
        <f>IF(AG2894="Rejected",0,IF(R2894="Corporate Card",0,V2894))</f>
        <v>21.72232</v>
      </c>
      <c r="AG2894" s="15" t="s">
        <v>133</v>
      </c>
      <c r="AH2894" s="16">
        <v>46003</v>
      </c>
      <c r="AI2894" s="16">
        <v>46006</v>
      </c>
      <c r="AJ2894" s="16">
        <v>46017</v>
      </c>
      <c r="AK2894" s="17">
        <f>IF(AJ2894="","",AJ2894-AH2894)</f>
        <v>14</v>
      </c>
    </row>
    <row r="2895" spans="1:37">
      <c r="A2895" s="2" t="s">
        <v>3408</v>
      </c>
      <c r="B2895" s="2" t="s">
        <v>116</v>
      </c>
      <c r="C2895" s="2" t="s">
        <v>117</v>
      </c>
      <c r="D2895" s="2" t="s">
        <v>118</v>
      </c>
      <c r="E2895" s="2" t="s">
        <v>119</v>
      </c>
      <c r="F2895" s="2" t="s">
        <v>120</v>
      </c>
      <c r="G2895" s="2" t="s">
        <v>3343</v>
      </c>
      <c r="H2895" s="2" t="s">
        <v>448</v>
      </c>
      <c r="I2895" s="2" t="s">
        <v>433</v>
      </c>
      <c r="J2895" s="2" t="s">
        <v>434</v>
      </c>
      <c r="K2895" s="9">
        <v>45989</v>
      </c>
      <c r="L2895" s="9">
        <v>45995</v>
      </c>
      <c r="M2895" s="9">
        <v>45995</v>
      </c>
      <c r="N2895" s="2" t="s">
        <v>3380</v>
      </c>
      <c r="O2895" s="2" t="s">
        <v>56</v>
      </c>
      <c r="P2895" s="2" t="s">
        <v>231</v>
      </c>
      <c r="Q2895" s="2" t="s">
        <v>185</v>
      </c>
      <c r="R2895" s="2" t="s">
        <v>128</v>
      </c>
      <c r="S2895" s="2" t="s">
        <v>436</v>
      </c>
      <c r="T2895" s="10">
        <v>2714</v>
      </c>
      <c r="U2895" s="11">
        <v>1.1780000000000001E-2</v>
      </c>
      <c r="V2895" s="12">
        <f>T2895*U2895</f>
        <v>31.970920000000003</v>
      </c>
      <c r="W2895" s="13">
        <v>0.18</v>
      </c>
      <c r="X2895" s="12">
        <f>V2895-(V2895/(1+W2895))</f>
        <v>4.8769199999999984</v>
      </c>
      <c r="Y2895" s="12">
        <f>V2895-X2895</f>
        <v>27.094000000000005</v>
      </c>
      <c r="Z2895" s="14">
        <v>75</v>
      </c>
      <c r="AA2895" s="2" t="str">
        <f>IF(V2895&gt;Z2895,"Yes","No")</f>
        <v>No</v>
      </c>
      <c r="AB2895" s="12">
        <f>V2895-Z2895</f>
        <v>-43.029079999999993</v>
      </c>
      <c r="AC2895" s="15" t="s">
        <v>130</v>
      </c>
      <c r="AD2895" s="15" t="s">
        <v>131</v>
      </c>
      <c r="AE2895" s="15" t="s">
        <v>132</v>
      </c>
      <c r="AF2895" s="12">
        <f>IF(AG2895="Rejected",0,IF(R2895="Corporate Card",0,V2895))</f>
        <v>0</v>
      </c>
      <c r="AG2895" s="15" t="s">
        <v>133</v>
      </c>
      <c r="AH2895" s="16">
        <v>46003</v>
      </c>
      <c r="AI2895" s="16">
        <v>46006</v>
      </c>
      <c r="AJ2895" s="16">
        <v>46017</v>
      </c>
      <c r="AK2895" s="17">
        <f>IF(AJ2895="","",AJ2895-AH2895)</f>
        <v>14</v>
      </c>
    </row>
    <row r="2896" spans="1:37">
      <c r="A2896" s="2" t="s">
        <v>3409</v>
      </c>
      <c r="B2896" s="2" t="s">
        <v>116</v>
      </c>
      <c r="C2896" s="2" t="s">
        <v>117</v>
      </c>
      <c r="D2896" s="2" t="s">
        <v>118</v>
      </c>
      <c r="E2896" s="2" t="s">
        <v>119</v>
      </c>
      <c r="F2896" s="2" t="s">
        <v>120</v>
      </c>
      <c r="G2896" s="2" t="s">
        <v>3343</v>
      </c>
      <c r="H2896" s="2" t="s">
        <v>448</v>
      </c>
      <c r="I2896" s="2" t="s">
        <v>433</v>
      </c>
      <c r="J2896" s="2" t="s">
        <v>434</v>
      </c>
      <c r="K2896" s="9">
        <v>45989</v>
      </c>
      <c r="L2896" s="9">
        <v>45995</v>
      </c>
      <c r="M2896" s="9">
        <v>45995</v>
      </c>
      <c r="N2896" s="2" t="s">
        <v>3380</v>
      </c>
      <c r="O2896" s="2" t="s">
        <v>55</v>
      </c>
      <c r="P2896" s="2" t="s">
        <v>139</v>
      </c>
      <c r="Q2896" s="2" t="s">
        <v>154</v>
      </c>
      <c r="R2896" s="2" t="s">
        <v>128</v>
      </c>
      <c r="S2896" s="2" t="s">
        <v>436</v>
      </c>
      <c r="T2896" s="10">
        <v>3530</v>
      </c>
      <c r="U2896" s="11">
        <v>1.1780000000000001E-2</v>
      </c>
      <c r="V2896" s="12">
        <f>T2896*U2896</f>
        <v>41.583400000000005</v>
      </c>
      <c r="W2896" s="13">
        <v>0.18</v>
      </c>
      <c r="X2896" s="12">
        <f>V2896-(V2896/(1+W2896))</f>
        <v>6.3432305084745764</v>
      </c>
      <c r="Y2896" s="12">
        <f>V2896-X2896</f>
        <v>35.240169491525428</v>
      </c>
      <c r="Z2896" s="14">
        <v>35</v>
      </c>
      <c r="AA2896" s="2" t="str">
        <f>IF(V2896&gt;Z2896,"Yes","No")</f>
        <v>Yes</v>
      </c>
      <c r="AB2896" s="12">
        <f>V2896-Z2896</f>
        <v>6.5834000000000046</v>
      </c>
      <c r="AC2896" s="15" t="s">
        <v>130</v>
      </c>
      <c r="AD2896" s="15" t="s">
        <v>131</v>
      </c>
      <c r="AE2896" s="15" t="s">
        <v>132</v>
      </c>
      <c r="AF2896" s="12">
        <f>IF(AG2896="Rejected",0,IF(R2896="Corporate Card",0,V2896))</f>
        <v>0</v>
      </c>
      <c r="AG2896" s="15" t="s">
        <v>133</v>
      </c>
      <c r="AH2896" s="16">
        <v>46003</v>
      </c>
      <c r="AI2896" s="16">
        <v>46006</v>
      </c>
      <c r="AJ2896" s="16">
        <v>46017</v>
      </c>
      <c r="AK2896" s="17">
        <f>IF(AJ2896="","",AJ2896-AH2896)</f>
        <v>14</v>
      </c>
    </row>
    <row r="2897" spans="1:37">
      <c r="A2897" s="2" t="s">
        <v>3410</v>
      </c>
      <c r="B2897" s="2" t="s">
        <v>863</v>
      </c>
      <c r="C2897" s="2" t="s">
        <v>864</v>
      </c>
      <c r="D2897" s="2" t="s">
        <v>865</v>
      </c>
      <c r="E2897" s="2" t="s">
        <v>866</v>
      </c>
      <c r="F2897" s="2" t="s">
        <v>867</v>
      </c>
      <c r="G2897" s="2" t="s">
        <v>3326</v>
      </c>
      <c r="H2897" s="2" t="s">
        <v>254</v>
      </c>
      <c r="I2897" s="2" t="s">
        <v>651</v>
      </c>
      <c r="J2897" s="2" t="s">
        <v>652</v>
      </c>
      <c r="K2897" s="9">
        <v>45988</v>
      </c>
      <c r="L2897" s="9">
        <v>45996</v>
      </c>
      <c r="M2897" s="9">
        <v>45995</v>
      </c>
      <c r="N2897" s="2" t="s">
        <v>3380</v>
      </c>
      <c r="O2897" s="2" t="s">
        <v>58</v>
      </c>
      <c r="P2897" s="2" t="s">
        <v>142</v>
      </c>
      <c r="Q2897" s="2" t="s">
        <v>296</v>
      </c>
      <c r="R2897" s="2" t="s">
        <v>149</v>
      </c>
      <c r="S2897" s="2" t="s">
        <v>654</v>
      </c>
      <c r="T2897" s="10">
        <v>48.85</v>
      </c>
      <c r="U2897" s="11">
        <v>0.72799999999999998</v>
      </c>
      <c r="V2897" s="12">
        <f>T2897*U2897</f>
        <v>35.562800000000003</v>
      </c>
      <c r="W2897" s="13">
        <v>0.13</v>
      </c>
      <c r="X2897" s="12">
        <f>V2897-(V2897/(1+W2897))</f>
        <v>4.0912955752212348</v>
      </c>
      <c r="Y2897" s="12">
        <f>V2897-X2897</f>
        <v>31.471504424778768</v>
      </c>
      <c r="Z2897" s="14">
        <v>60</v>
      </c>
      <c r="AA2897" s="2" t="str">
        <f>IF(V2897&gt;Z2897,"Yes","No")</f>
        <v>No</v>
      </c>
      <c r="AB2897" s="12">
        <f>V2897-Z2897</f>
        <v>-24.437199999999997</v>
      </c>
      <c r="AC2897" s="15" t="s">
        <v>130</v>
      </c>
      <c r="AD2897" s="15" t="s">
        <v>131</v>
      </c>
      <c r="AE2897" s="15" t="s">
        <v>437</v>
      </c>
      <c r="AF2897" s="12">
        <f>IF(AG2897="Rejected",0,IF(R2897="Corporate Card",0,V2897))</f>
        <v>35.562800000000003</v>
      </c>
      <c r="AG2897" s="15" t="s">
        <v>181</v>
      </c>
      <c r="AH2897" s="16">
        <v>45998</v>
      </c>
      <c r="AI2897" s="16"/>
      <c r="AJ2897" s="16"/>
      <c r="AK2897" s="17" t="str">
        <f>IF(AJ2897="","",AJ2897-AH2897)</f>
        <v/>
      </c>
    </row>
    <row r="2898" spans="1:37">
      <c r="A2898" s="2" t="s">
        <v>3411</v>
      </c>
      <c r="B2898" s="2" t="s">
        <v>863</v>
      </c>
      <c r="C2898" s="2" t="s">
        <v>864</v>
      </c>
      <c r="D2898" s="2" t="s">
        <v>865</v>
      </c>
      <c r="E2898" s="2" t="s">
        <v>866</v>
      </c>
      <c r="F2898" s="2" t="s">
        <v>867</v>
      </c>
      <c r="G2898" s="2" t="s">
        <v>3326</v>
      </c>
      <c r="H2898" s="2" t="s">
        <v>254</v>
      </c>
      <c r="I2898" s="2" t="s">
        <v>651</v>
      </c>
      <c r="J2898" s="2" t="s">
        <v>652</v>
      </c>
      <c r="K2898" s="9">
        <v>45988</v>
      </c>
      <c r="L2898" s="9">
        <v>45996</v>
      </c>
      <c r="M2898" s="9">
        <v>45995</v>
      </c>
      <c r="N2898" s="2" t="s">
        <v>3380</v>
      </c>
      <c r="O2898" s="2" t="s">
        <v>54</v>
      </c>
      <c r="P2898" s="2" t="s">
        <v>139</v>
      </c>
      <c r="Q2898" s="2" t="s">
        <v>214</v>
      </c>
      <c r="R2898" s="2" t="s">
        <v>128</v>
      </c>
      <c r="S2898" s="2" t="s">
        <v>654</v>
      </c>
      <c r="T2898" s="10">
        <v>16.16</v>
      </c>
      <c r="U2898" s="11">
        <v>0.72799999999999998</v>
      </c>
      <c r="V2898" s="12">
        <f>T2898*U2898</f>
        <v>11.764479999999999</v>
      </c>
      <c r="W2898" s="13">
        <v>0.13</v>
      </c>
      <c r="X2898" s="12">
        <f>V2898-(V2898/(1+W2898))</f>
        <v>1.3534357522123877</v>
      </c>
      <c r="Y2898" s="12">
        <f>V2898-X2898</f>
        <v>10.411044247787611</v>
      </c>
      <c r="Z2898" s="14">
        <v>25</v>
      </c>
      <c r="AA2898" s="2" t="str">
        <f>IF(V2898&gt;Z2898,"Yes","No")</f>
        <v>No</v>
      </c>
      <c r="AB2898" s="12">
        <f>V2898-Z2898</f>
        <v>-13.235520000000001</v>
      </c>
      <c r="AC2898" s="15" t="s">
        <v>130</v>
      </c>
      <c r="AD2898" s="15" t="s">
        <v>131</v>
      </c>
      <c r="AE2898" s="15" t="s">
        <v>437</v>
      </c>
      <c r="AF2898" s="12">
        <f>IF(AG2898="Rejected",0,IF(R2898="Corporate Card",0,V2898))</f>
        <v>0</v>
      </c>
      <c r="AG2898" s="15" t="s">
        <v>181</v>
      </c>
      <c r="AH2898" s="16">
        <v>45998</v>
      </c>
      <c r="AI2898" s="16"/>
      <c r="AJ2898" s="16"/>
      <c r="AK2898" s="17" t="str">
        <f>IF(AJ2898="","",AJ2898-AH2898)</f>
        <v/>
      </c>
    </row>
    <row r="2899" spans="1:37">
      <c r="A2899" s="2" t="s">
        <v>3412</v>
      </c>
      <c r="B2899" s="2" t="s">
        <v>863</v>
      </c>
      <c r="C2899" s="2" t="s">
        <v>864</v>
      </c>
      <c r="D2899" s="2" t="s">
        <v>865</v>
      </c>
      <c r="E2899" s="2" t="s">
        <v>866</v>
      </c>
      <c r="F2899" s="2" t="s">
        <v>867</v>
      </c>
      <c r="G2899" s="2" t="s">
        <v>3326</v>
      </c>
      <c r="H2899" s="2" t="s">
        <v>254</v>
      </c>
      <c r="I2899" s="2" t="s">
        <v>651</v>
      </c>
      <c r="J2899" s="2" t="s">
        <v>652</v>
      </c>
      <c r="K2899" s="9">
        <v>45988</v>
      </c>
      <c r="L2899" s="9">
        <v>45996</v>
      </c>
      <c r="M2899" s="9">
        <v>45995</v>
      </c>
      <c r="N2899" s="2" t="s">
        <v>3380</v>
      </c>
      <c r="O2899" s="2" t="s">
        <v>56</v>
      </c>
      <c r="P2899" s="2" t="s">
        <v>165</v>
      </c>
      <c r="Q2899" s="2" t="s">
        <v>152</v>
      </c>
      <c r="R2899" s="2" t="s">
        <v>128</v>
      </c>
      <c r="S2899" s="2" t="s">
        <v>654</v>
      </c>
      <c r="T2899" s="10">
        <v>85.69</v>
      </c>
      <c r="U2899" s="11">
        <v>0.72799999999999998</v>
      </c>
      <c r="V2899" s="12">
        <f>T2899*U2899</f>
        <v>62.38232</v>
      </c>
      <c r="W2899" s="13">
        <v>0.13</v>
      </c>
      <c r="X2899" s="12">
        <f>V2899-(V2899/(1+W2899))</f>
        <v>7.1767270796460139</v>
      </c>
      <c r="Y2899" s="12">
        <f>V2899-X2899</f>
        <v>55.205592920353986</v>
      </c>
      <c r="Z2899" s="14">
        <v>75</v>
      </c>
      <c r="AA2899" s="2" t="str">
        <f>IF(V2899&gt;Z2899,"Yes","No")</f>
        <v>No</v>
      </c>
      <c r="AB2899" s="12">
        <f>V2899-Z2899</f>
        <v>-12.61768</v>
      </c>
      <c r="AC2899" s="15" t="s">
        <v>130</v>
      </c>
      <c r="AD2899" s="15" t="s">
        <v>131</v>
      </c>
      <c r="AE2899" s="15" t="s">
        <v>437</v>
      </c>
      <c r="AF2899" s="12">
        <f>IF(AG2899="Rejected",0,IF(R2899="Corporate Card",0,V2899))</f>
        <v>0</v>
      </c>
      <c r="AG2899" s="15" t="s">
        <v>181</v>
      </c>
      <c r="AH2899" s="16">
        <v>45998</v>
      </c>
      <c r="AI2899" s="16"/>
      <c r="AJ2899" s="16"/>
      <c r="AK2899" s="17" t="str">
        <f>IF(AJ2899="","",AJ2899-AH2899)</f>
        <v/>
      </c>
    </row>
    <row r="2900" spans="1:37">
      <c r="A2900" s="2" t="s">
        <v>3413</v>
      </c>
      <c r="B2900" s="2" t="s">
        <v>2212</v>
      </c>
      <c r="C2900" s="2" t="s">
        <v>346</v>
      </c>
      <c r="D2900" s="2" t="s">
        <v>344</v>
      </c>
      <c r="E2900" s="2" t="s">
        <v>2213</v>
      </c>
      <c r="F2900" s="2" t="s">
        <v>313</v>
      </c>
      <c r="G2900" s="2" t="s">
        <v>3322</v>
      </c>
      <c r="H2900" s="2" t="s">
        <v>748</v>
      </c>
      <c r="I2900" s="2" t="s">
        <v>380</v>
      </c>
      <c r="J2900" s="2" t="s">
        <v>381</v>
      </c>
      <c r="K2900" s="9">
        <v>45987</v>
      </c>
      <c r="L2900" s="9">
        <v>45995</v>
      </c>
      <c r="M2900" s="9">
        <v>45995</v>
      </c>
      <c r="N2900" s="2" t="s">
        <v>3380</v>
      </c>
      <c r="O2900" s="2" t="s">
        <v>54</v>
      </c>
      <c r="P2900" s="2" t="s">
        <v>139</v>
      </c>
      <c r="Q2900" s="2" t="s">
        <v>214</v>
      </c>
      <c r="R2900" s="2" t="s">
        <v>149</v>
      </c>
      <c r="S2900" s="2" t="s">
        <v>383</v>
      </c>
      <c r="T2900" s="10">
        <v>20.16</v>
      </c>
      <c r="U2900" s="11">
        <v>1</v>
      </c>
      <c r="V2900" s="12">
        <f>T2900*U2900</f>
        <v>20.16</v>
      </c>
      <c r="W2900" s="13">
        <v>0</v>
      </c>
      <c r="X2900" s="12">
        <f>V2900-(V2900/(1+W2900))</f>
        <v>0</v>
      </c>
      <c r="Y2900" s="12">
        <f>V2900-X2900</f>
        <v>20.16</v>
      </c>
      <c r="Z2900" s="14">
        <v>25</v>
      </c>
      <c r="AA2900" s="2" t="str">
        <f>IF(V2900&gt;Z2900,"Yes","No")</f>
        <v>No</v>
      </c>
      <c r="AB2900" s="12">
        <f>V2900-Z2900</f>
        <v>-4.84</v>
      </c>
      <c r="AC2900" s="15" t="s">
        <v>130</v>
      </c>
      <c r="AD2900" s="15" t="s">
        <v>130</v>
      </c>
      <c r="AE2900" s="15" t="s">
        <v>260</v>
      </c>
      <c r="AF2900" s="12">
        <f>IF(AG2900="Rejected",0,IF(R2900="Corporate Card",0,V2900))</f>
        <v>20.16</v>
      </c>
      <c r="AG2900" s="15" t="s">
        <v>133</v>
      </c>
      <c r="AH2900" s="16">
        <v>46004</v>
      </c>
      <c r="AI2900" s="16">
        <v>46008</v>
      </c>
      <c r="AJ2900" s="16">
        <v>46021</v>
      </c>
      <c r="AK2900" s="17">
        <f>IF(AJ2900="","",AJ2900-AH2900)</f>
        <v>17</v>
      </c>
    </row>
    <row r="2901" spans="1:37">
      <c r="A2901" s="2" t="s">
        <v>3414</v>
      </c>
      <c r="B2901" s="2" t="s">
        <v>2212</v>
      </c>
      <c r="C2901" s="2" t="s">
        <v>346</v>
      </c>
      <c r="D2901" s="2" t="s">
        <v>344</v>
      </c>
      <c r="E2901" s="2" t="s">
        <v>2213</v>
      </c>
      <c r="F2901" s="2" t="s">
        <v>313</v>
      </c>
      <c r="G2901" s="2" t="s">
        <v>3322</v>
      </c>
      <c r="H2901" s="2" t="s">
        <v>748</v>
      </c>
      <c r="I2901" s="2" t="s">
        <v>380</v>
      </c>
      <c r="J2901" s="2" t="s">
        <v>381</v>
      </c>
      <c r="K2901" s="9">
        <v>45987</v>
      </c>
      <c r="L2901" s="9">
        <v>45995</v>
      </c>
      <c r="M2901" s="9">
        <v>45995</v>
      </c>
      <c r="N2901" s="2" t="s">
        <v>3380</v>
      </c>
      <c r="O2901" s="2" t="s">
        <v>56</v>
      </c>
      <c r="P2901" s="2" t="s">
        <v>151</v>
      </c>
      <c r="Q2901" s="2" t="s">
        <v>185</v>
      </c>
      <c r="R2901" s="2" t="s">
        <v>149</v>
      </c>
      <c r="S2901" s="2" t="s">
        <v>383</v>
      </c>
      <c r="T2901" s="10">
        <v>45.94</v>
      </c>
      <c r="U2901" s="11">
        <v>1</v>
      </c>
      <c r="V2901" s="12">
        <f>T2901*U2901</f>
        <v>45.94</v>
      </c>
      <c r="W2901" s="13">
        <v>0</v>
      </c>
      <c r="X2901" s="12">
        <f>V2901-(V2901/(1+W2901))</f>
        <v>0</v>
      </c>
      <c r="Y2901" s="12">
        <f>V2901-X2901</f>
        <v>45.94</v>
      </c>
      <c r="Z2901" s="14">
        <v>75</v>
      </c>
      <c r="AA2901" s="2" t="str">
        <f>IF(V2901&gt;Z2901,"Yes","No")</f>
        <v>No</v>
      </c>
      <c r="AB2901" s="12">
        <f>V2901-Z2901</f>
        <v>-29.060000000000002</v>
      </c>
      <c r="AC2901" s="15" t="s">
        <v>130</v>
      </c>
      <c r="AD2901" s="15" t="s">
        <v>130</v>
      </c>
      <c r="AE2901" s="15" t="s">
        <v>260</v>
      </c>
      <c r="AF2901" s="12">
        <f>IF(AG2901="Rejected",0,IF(R2901="Corporate Card",0,V2901))</f>
        <v>45.94</v>
      </c>
      <c r="AG2901" s="15" t="s">
        <v>133</v>
      </c>
      <c r="AH2901" s="16">
        <v>46004</v>
      </c>
      <c r="AI2901" s="16">
        <v>46008</v>
      </c>
      <c r="AJ2901" s="16">
        <v>46021</v>
      </c>
      <c r="AK2901" s="17">
        <f>IF(AJ2901="","",AJ2901-AH2901)</f>
        <v>17</v>
      </c>
    </row>
    <row r="2902" spans="1:37">
      <c r="A2902" s="2" t="s">
        <v>3415</v>
      </c>
      <c r="B2902" s="2" t="s">
        <v>2212</v>
      </c>
      <c r="C2902" s="2" t="s">
        <v>346</v>
      </c>
      <c r="D2902" s="2" t="s">
        <v>344</v>
      </c>
      <c r="E2902" s="2" t="s">
        <v>2213</v>
      </c>
      <c r="F2902" s="2" t="s">
        <v>313</v>
      </c>
      <c r="G2902" s="2" t="s">
        <v>3322</v>
      </c>
      <c r="H2902" s="2" t="s">
        <v>748</v>
      </c>
      <c r="I2902" s="2" t="s">
        <v>380</v>
      </c>
      <c r="J2902" s="2" t="s">
        <v>381</v>
      </c>
      <c r="K2902" s="9">
        <v>45987</v>
      </c>
      <c r="L2902" s="9">
        <v>45995</v>
      </c>
      <c r="M2902" s="9">
        <v>45995</v>
      </c>
      <c r="N2902" s="2" t="s">
        <v>3380</v>
      </c>
      <c r="O2902" s="2" t="s">
        <v>55</v>
      </c>
      <c r="P2902" s="2" t="s">
        <v>139</v>
      </c>
      <c r="Q2902" s="2" t="s">
        <v>154</v>
      </c>
      <c r="R2902" s="2" t="s">
        <v>128</v>
      </c>
      <c r="S2902" s="2" t="s">
        <v>383</v>
      </c>
      <c r="T2902" s="10">
        <v>17.420000000000002</v>
      </c>
      <c r="U2902" s="11">
        <v>1</v>
      </c>
      <c r="V2902" s="12">
        <f>T2902*U2902</f>
        <v>17.420000000000002</v>
      </c>
      <c r="W2902" s="13">
        <v>0</v>
      </c>
      <c r="X2902" s="12">
        <f>V2902-(V2902/(1+W2902))</f>
        <v>0</v>
      </c>
      <c r="Y2902" s="12">
        <f>V2902-X2902</f>
        <v>17.420000000000002</v>
      </c>
      <c r="Z2902" s="14">
        <v>35</v>
      </c>
      <c r="AA2902" s="2" t="str">
        <f>IF(V2902&gt;Z2902,"Yes","No")</f>
        <v>No</v>
      </c>
      <c r="AB2902" s="12">
        <f>V2902-Z2902</f>
        <v>-17.579999999999998</v>
      </c>
      <c r="AC2902" s="15" t="s">
        <v>130</v>
      </c>
      <c r="AD2902" s="15" t="s">
        <v>130</v>
      </c>
      <c r="AE2902" s="15" t="s">
        <v>260</v>
      </c>
      <c r="AF2902" s="12">
        <f>IF(AG2902="Rejected",0,IF(R2902="Corporate Card",0,V2902))</f>
        <v>0</v>
      </c>
      <c r="AG2902" s="15" t="s">
        <v>133</v>
      </c>
      <c r="AH2902" s="16">
        <v>46004</v>
      </c>
      <c r="AI2902" s="16">
        <v>46008</v>
      </c>
      <c r="AJ2902" s="16">
        <v>46021</v>
      </c>
      <c r="AK2902" s="17">
        <f>IF(AJ2902="","",AJ2902-AH2902)</f>
        <v>17</v>
      </c>
    </row>
    <row r="2903" spans="1:37">
      <c r="A2903" s="2" t="s">
        <v>3416</v>
      </c>
      <c r="B2903" s="2" t="s">
        <v>743</v>
      </c>
      <c r="C2903" s="2" t="s">
        <v>313</v>
      </c>
      <c r="D2903" s="2" t="s">
        <v>744</v>
      </c>
      <c r="E2903" s="2" t="s">
        <v>745</v>
      </c>
      <c r="F2903" s="2" t="s">
        <v>746</v>
      </c>
      <c r="G2903" s="2" t="s">
        <v>3417</v>
      </c>
      <c r="H2903" s="2" t="s">
        <v>448</v>
      </c>
      <c r="I2903" s="2" t="s">
        <v>194</v>
      </c>
      <c r="J2903" s="2" t="s">
        <v>195</v>
      </c>
      <c r="K2903" s="9">
        <v>45996</v>
      </c>
      <c r="L2903" s="9">
        <v>45998</v>
      </c>
      <c r="M2903" s="9">
        <v>45996</v>
      </c>
      <c r="N2903" s="2" t="s">
        <v>3380</v>
      </c>
      <c r="O2903" s="2" t="s">
        <v>52</v>
      </c>
      <c r="P2903" s="2" t="s">
        <v>196</v>
      </c>
      <c r="Q2903" s="2" t="s">
        <v>513</v>
      </c>
      <c r="R2903" s="2" t="s">
        <v>128</v>
      </c>
      <c r="S2903" s="2" t="s">
        <v>198</v>
      </c>
      <c r="T2903" s="10">
        <v>1035.44</v>
      </c>
      <c r="U2903" s="11">
        <v>1.085</v>
      </c>
      <c r="V2903" s="12">
        <f>T2903*U2903</f>
        <v>1123.4524000000001</v>
      </c>
      <c r="W2903" s="13">
        <v>0</v>
      </c>
      <c r="X2903" s="12">
        <f>V2903-(V2903/(1+W2903))</f>
        <v>0</v>
      </c>
      <c r="Y2903" s="12">
        <f>V2903-X2903</f>
        <v>1123.4524000000001</v>
      </c>
      <c r="Z2903" s="14">
        <v>1400</v>
      </c>
      <c r="AA2903" s="2" t="str">
        <f>IF(V2903&gt;Z2903,"Yes","No")</f>
        <v>No</v>
      </c>
      <c r="AB2903" s="12">
        <f>V2903-Z2903</f>
        <v>-276.54759999999987</v>
      </c>
      <c r="AC2903" s="15" t="s">
        <v>130</v>
      </c>
      <c r="AD2903" s="15" t="s">
        <v>131</v>
      </c>
      <c r="AE2903" s="15" t="s">
        <v>132</v>
      </c>
      <c r="AF2903" s="12">
        <f>IF(AG2903="Rejected",0,IF(R2903="Corporate Card",0,V2903))</f>
        <v>0</v>
      </c>
      <c r="AG2903" s="15" t="s">
        <v>133</v>
      </c>
      <c r="AH2903" s="16">
        <v>45999</v>
      </c>
      <c r="AI2903" s="16">
        <v>46004</v>
      </c>
      <c r="AJ2903" s="16">
        <v>46018</v>
      </c>
      <c r="AK2903" s="17">
        <f>IF(AJ2903="","",AJ2903-AH2903)</f>
        <v>19</v>
      </c>
    </row>
    <row r="2904" spans="1:37">
      <c r="A2904" s="2" t="s">
        <v>3418</v>
      </c>
      <c r="B2904" s="2" t="s">
        <v>743</v>
      </c>
      <c r="C2904" s="2" t="s">
        <v>313</v>
      </c>
      <c r="D2904" s="2" t="s">
        <v>744</v>
      </c>
      <c r="E2904" s="2" t="s">
        <v>745</v>
      </c>
      <c r="F2904" s="2" t="s">
        <v>746</v>
      </c>
      <c r="G2904" s="2" t="s">
        <v>3417</v>
      </c>
      <c r="H2904" s="2" t="s">
        <v>448</v>
      </c>
      <c r="I2904" s="2" t="s">
        <v>194</v>
      </c>
      <c r="J2904" s="2" t="s">
        <v>195</v>
      </c>
      <c r="K2904" s="9">
        <v>45996</v>
      </c>
      <c r="L2904" s="9">
        <v>45998</v>
      </c>
      <c r="M2904" s="9">
        <v>45996</v>
      </c>
      <c r="N2904" s="2" t="s">
        <v>3380</v>
      </c>
      <c r="O2904" s="2" t="s">
        <v>58</v>
      </c>
      <c r="P2904" s="2" t="s">
        <v>142</v>
      </c>
      <c r="Q2904" s="2" t="s">
        <v>143</v>
      </c>
      <c r="R2904" s="2" t="s">
        <v>137</v>
      </c>
      <c r="S2904" s="2" t="s">
        <v>198</v>
      </c>
      <c r="T2904" s="10">
        <v>20.9</v>
      </c>
      <c r="U2904" s="11">
        <v>1.085</v>
      </c>
      <c r="V2904" s="12">
        <f>T2904*U2904</f>
        <v>22.676499999999997</v>
      </c>
      <c r="W2904" s="13">
        <v>0.19</v>
      </c>
      <c r="X2904" s="12">
        <f>V2904-(V2904/(1+W2904))</f>
        <v>3.6206176470588218</v>
      </c>
      <c r="Y2904" s="12">
        <f>V2904-X2904</f>
        <v>19.055882352941175</v>
      </c>
      <c r="Z2904" s="14">
        <v>60</v>
      </c>
      <c r="AA2904" s="2" t="str">
        <f>IF(V2904&gt;Z2904,"Yes","No")</f>
        <v>No</v>
      </c>
      <c r="AB2904" s="12">
        <f>V2904-Z2904</f>
        <v>-37.323500000000003</v>
      </c>
      <c r="AC2904" s="15" t="s">
        <v>130</v>
      </c>
      <c r="AD2904" s="15" t="s">
        <v>131</v>
      </c>
      <c r="AE2904" s="15" t="s">
        <v>132</v>
      </c>
      <c r="AF2904" s="12">
        <f>IF(AG2904="Rejected",0,IF(R2904="Corporate Card",0,V2904))</f>
        <v>22.676499999999997</v>
      </c>
      <c r="AG2904" s="15" t="s">
        <v>133</v>
      </c>
      <c r="AH2904" s="16">
        <v>45999</v>
      </c>
      <c r="AI2904" s="16">
        <v>46004</v>
      </c>
      <c r="AJ2904" s="16">
        <v>46018</v>
      </c>
      <c r="AK2904" s="17">
        <f>IF(AJ2904="","",AJ2904-AH2904)</f>
        <v>19</v>
      </c>
    </row>
    <row r="2905" spans="1:37">
      <c r="A2905" s="2" t="s">
        <v>3419</v>
      </c>
      <c r="B2905" s="2" t="s">
        <v>743</v>
      </c>
      <c r="C2905" s="2" t="s">
        <v>313</v>
      </c>
      <c r="D2905" s="2" t="s">
        <v>744</v>
      </c>
      <c r="E2905" s="2" t="s">
        <v>745</v>
      </c>
      <c r="F2905" s="2" t="s">
        <v>746</v>
      </c>
      <c r="G2905" s="2" t="s">
        <v>3417</v>
      </c>
      <c r="H2905" s="2" t="s">
        <v>448</v>
      </c>
      <c r="I2905" s="2" t="s">
        <v>194</v>
      </c>
      <c r="J2905" s="2" t="s">
        <v>195</v>
      </c>
      <c r="K2905" s="9">
        <v>45996</v>
      </c>
      <c r="L2905" s="9">
        <v>45998</v>
      </c>
      <c r="M2905" s="9">
        <v>45996</v>
      </c>
      <c r="N2905" s="2" t="s">
        <v>3380</v>
      </c>
      <c r="O2905" s="2" t="s">
        <v>56</v>
      </c>
      <c r="P2905" s="2" t="s">
        <v>151</v>
      </c>
      <c r="Q2905" s="2" t="s">
        <v>152</v>
      </c>
      <c r="R2905" s="2" t="s">
        <v>149</v>
      </c>
      <c r="S2905" s="2" t="s">
        <v>198</v>
      </c>
      <c r="T2905" s="10">
        <v>64.040000000000006</v>
      </c>
      <c r="U2905" s="11">
        <v>1.085</v>
      </c>
      <c r="V2905" s="12">
        <f>T2905*U2905</f>
        <v>69.483400000000003</v>
      </c>
      <c r="W2905" s="13">
        <v>0.19</v>
      </c>
      <c r="X2905" s="12">
        <f>V2905-(V2905/(1+W2905))</f>
        <v>11.093988235294113</v>
      </c>
      <c r="Y2905" s="12">
        <f>V2905-X2905</f>
        <v>58.389411764705891</v>
      </c>
      <c r="Z2905" s="14">
        <v>75</v>
      </c>
      <c r="AA2905" s="2" t="str">
        <f>IF(V2905&gt;Z2905,"Yes","No")</f>
        <v>No</v>
      </c>
      <c r="AB2905" s="12">
        <f>V2905-Z2905</f>
        <v>-5.5165999999999968</v>
      </c>
      <c r="AC2905" s="15" t="s">
        <v>130</v>
      </c>
      <c r="AD2905" s="15" t="s">
        <v>131</v>
      </c>
      <c r="AE2905" s="15" t="s">
        <v>132</v>
      </c>
      <c r="AF2905" s="12">
        <f>IF(AG2905="Rejected",0,IF(R2905="Corporate Card",0,V2905))</f>
        <v>69.483400000000003</v>
      </c>
      <c r="AG2905" s="15" t="s">
        <v>133</v>
      </c>
      <c r="AH2905" s="16">
        <v>45999</v>
      </c>
      <c r="AI2905" s="16">
        <v>46004</v>
      </c>
      <c r="AJ2905" s="16">
        <v>46018</v>
      </c>
      <c r="AK2905" s="17">
        <f>IF(AJ2905="","",AJ2905-AH2905)</f>
        <v>19</v>
      </c>
    </row>
    <row r="2906" spans="1:37">
      <c r="A2906" s="2" t="s">
        <v>3420</v>
      </c>
      <c r="B2906" s="2" t="s">
        <v>743</v>
      </c>
      <c r="C2906" s="2" t="s">
        <v>313</v>
      </c>
      <c r="D2906" s="2" t="s">
        <v>744</v>
      </c>
      <c r="E2906" s="2" t="s">
        <v>745</v>
      </c>
      <c r="F2906" s="2" t="s">
        <v>746</v>
      </c>
      <c r="G2906" s="2" t="s">
        <v>3417</v>
      </c>
      <c r="H2906" s="2" t="s">
        <v>448</v>
      </c>
      <c r="I2906" s="2" t="s">
        <v>194</v>
      </c>
      <c r="J2906" s="2" t="s">
        <v>195</v>
      </c>
      <c r="K2906" s="9">
        <v>45996</v>
      </c>
      <c r="L2906" s="9">
        <v>45998</v>
      </c>
      <c r="M2906" s="9">
        <v>45996</v>
      </c>
      <c r="N2906" s="2" t="s">
        <v>3380</v>
      </c>
      <c r="O2906" s="2" t="s">
        <v>55</v>
      </c>
      <c r="P2906" s="2" t="s">
        <v>139</v>
      </c>
      <c r="Q2906" s="2" t="s">
        <v>154</v>
      </c>
      <c r="R2906" s="2" t="s">
        <v>128</v>
      </c>
      <c r="S2906" s="2" t="s">
        <v>198</v>
      </c>
      <c r="T2906" s="10">
        <v>24.33</v>
      </c>
      <c r="U2906" s="11">
        <v>1.085</v>
      </c>
      <c r="V2906" s="12">
        <f>T2906*U2906</f>
        <v>26.398049999999998</v>
      </c>
      <c r="W2906" s="13">
        <v>0.19</v>
      </c>
      <c r="X2906" s="12">
        <f>V2906-(V2906/(1+W2906))</f>
        <v>4.2148147058823504</v>
      </c>
      <c r="Y2906" s="12">
        <f>V2906-X2906</f>
        <v>22.183235294117647</v>
      </c>
      <c r="Z2906" s="14">
        <v>35</v>
      </c>
      <c r="AA2906" s="2" t="str">
        <f>IF(V2906&gt;Z2906,"Yes","No")</f>
        <v>No</v>
      </c>
      <c r="AB2906" s="12">
        <f>V2906-Z2906</f>
        <v>-8.6019500000000022</v>
      </c>
      <c r="AC2906" s="15" t="s">
        <v>130</v>
      </c>
      <c r="AD2906" s="15" t="s">
        <v>131</v>
      </c>
      <c r="AE2906" s="15" t="s">
        <v>132</v>
      </c>
      <c r="AF2906" s="12">
        <f>IF(AG2906="Rejected",0,IF(R2906="Corporate Card",0,V2906))</f>
        <v>0</v>
      </c>
      <c r="AG2906" s="15" t="s">
        <v>133</v>
      </c>
      <c r="AH2906" s="16">
        <v>45999</v>
      </c>
      <c r="AI2906" s="16">
        <v>46004</v>
      </c>
      <c r="AJ2906" s="16">
        <v>46018</v>
      </c>
      <c r="AK2906" s="17">
        <f>IF(AJ2906="","",AJ2906-AH2906)</f>
        <v>19</v>
      </c>
    </row>
    <row r="2907" spans="1:37">
      <c r="A2907" s="2" t="s">
        <v>3421</v>
      </c>
      <c r="B2907" s="2" t="s">
        <v>863</v>
      </c>
      <c r="C2907" s="2" t="s">
        <v>864</v>
      </c>
      <c r="D2907" s="2" t="s">
        <v>865</v>
      </c>
      <c r="E2907" s="2" t="s">
        <v>866</v>
      </c>
      <c r="F2907" s="2" t="s">
        <v>867</v>
      </c>
      <c r="G2907" s="2" t="s">
        <v>3326</v>
      </c>
      <c r="H2907" s="2" t="s">
        <v>254</v>
      </c>
      <c r="I2907" s="2" t="s">
        <v>651</v>
      </c>
      <c r="J2907" s="2" t="s">
        <v>652</v>
      </c>
      <c r="K2907" s="9">
        <v>45988</v>
      </c>
      <c r="L2907" s="9">
        <v>45996</v>
      </c>
      <c r="M2907" s="9">
        <v>45996</v>
      </c>
      <c r="N2907" s="2" t="s">
        <v>3380</v>
      </c>
      <c r="O2907" s="2" t="s">
        <v>54</v>
      </c>
      <c r="P2907" s="2" t="s">
        <v>139</v>
      </c>
      <c r="Q2907" s="2" t="s">
        <v>214</v>
      </c>
      <c r="R2907" s="2" t="s">
        <v>128</v>
      </c>
      <c r="S2907" s="2" t="s">
        <v>654</v>
      </c>
      <c r="T2907" s="10">
        <v>41.92</v>
      </c>
      <c r="U2907" s="11">
        <v>0.72799999999999998</v>
      </c>
      <c r="V2907" s="12">
        <f>T2907*U2907</f>
        <v>30.517759999999999</v>
      </c>
      <c r="W2907" s="13">
        <v>0.13</v>
      </c>
      <c r="X2907" s="12">
        <f>V2907-(V2907/(1+W2907))</f>
        <v>3.510892743362831</v>
      </c>
      <c r="Y2907" s="12">
        <f>V2907-X2907</f>
        <v>27.006867256637168</v>
      </c>
      <c r="Z2907" s="14">
        <v>25</v>
      </c>
      <c r="AA2907" s="2" t="str">
        <f>IF(V2907&gt;Z2907,"Yes","No")</f>
        <v>Yes</v>
      </c>
      <c r="AB2907" s="12">
        <f>V2907-Z2907</f>
        <v>5.5177599999999991</v>
      </c>
      <c r="AC2907" s="15" t="s">
        <v>130</v>
      </c>
      <c r="AD2907" s="15" t="s">
        <v>131</v>
      </c>
      <c r="AE2907" s="15" t="s">
        <v>437</v>
      </c>
      <c r="AF2907" s="12">
        <f>IF(AG2907="Rejected",0,IF(R2907="Corporate Card",0,V2907))</f>
        <v>0</v>
      </c>
      <c r="AG2907" s="15" t="s">
        <v>181</v>
      </c>
      <c r="AH2907" s="16">
        <v>45998</v>
      </c>
      <c r="AI2907" s="16"/>
      <c r="AJ2907" s="16"/>
      <c r="AK2907" s="17" t="str">
        <f>IF(AJ2907="","",AJ2907-AH2907)</f>
        <v/>
      </c>
    </row>
    <row r="2908" spans="1:37">
      <c r="A2908" s="2" t="s">
        <v>3422</v>
      </c>
      <c r="B2908" s="2" t="s">
        <v>863</v>
      </c>
      <c r="C2908" s="2" t="s">
        <v>864</v>
      </c>
      <c r="D2908" s="2" t="s">
        <v>865</v>
      </c>
      <c r="E2908" s="2" t="s">
        <v>866</v>
      </c>
      <c r="F2908" s="2" t="s">
        <v>867</v>
      </c>
      <c r="G2908" s="2" t="s">
        <v>3326</v>
      </c>
      <c r="H2908" s="2" t="s">
        <v>254</v>
      </c>
      <c r="I2908" s="2" t="s">
        <v>651</v>
      </c>
      <c r="J2908" s="2" t="s">
        <v>652</v>
      </c>
      <c r="K2908" s="9">
        <v>45988</v>
      </c>
      <c r="L2908" s="9">
        <v>45996</v>
      </c>
      <c r="M2908" s="9">
        <v>45996</v>
      </c>
      <c r="N2908" s="2" t="s">
        <v>3380</v>
      </c>
      <c r="O2908" s="2" t="s">
        <v>55</v>
      </c>
      <c r="P2908" s="2" t="s">
        <v>139</v>
      </c>
      <c r="Q2908" s="2" t="s">
        <v>217</v>
      </c>
      <c r="R2908" s="2" t="s">
        <v>128</v>
      </c>
      <c r="S2908" s="2" t="s">
        <v>654</v>
      </c>
      <c r="T2908" s="10">
        <v>30.83</v>
      </c>
      <c r="U2908" s="11">
        <v>0.72799999999999998</v>
      </c>
      <c r="V2908" s="12">
        <f>T2908*U2908</f>
        <v>22.444239999999997</v>
      </c>
      <c r="W2908" s="13">
        <v>0.13</v>
      </c>
      <c r="X2908" s="12">
        <f>V2908-(V2908/(1+W2908))</f>
        <v>2.5820807079646002</v>
      </c>
      <c r="Y2908" s="12">
        <f>V2908-X2908</f>
        <v>19.862159292035397</v>
      </c>
      <c r="Z2908" s="14">
        <v>35</v>
      </c>
      <c r="AA2908" s="2" t="str">
        <f>IF(V2908&gt;Z2908,"Yes","No")</f>
        <v>No</v>
      </c>
      <c r="AB2908" s="12">
        <f>V2908-Z2908</f>
        <v>-12.555760000000003</v>
      </c>
      <c r="AC2908" s="15" t="s">
        <v>130</v>
      </c>
      <c r="AD2908" s="15" t="s">
        <v>131</v>
      </c>
      <c r="AE2908" s="15" t="s">
        <v>437</v>
      </c>
      <c r="AF2908" s="12">
        <f>IF(AG2908="Rejected",0,IF(R2908="Corporate Card",0,V2908))</f>
        <v>0</v>
      </c>
      <c r="AG2908" s="15" t="s">
        <v>181</v>
      </c>
      <c r="AH2908" s="16">
        <v>45998</v>
      </c>
      <c r="AI2908" s="16"/>
      <c r="AJ2908" s="16"/>
      <c r="AK2908" s="17" t="str">
        <f>IF(AJ2908="","",AJ2908-AH2908)</f>
        <v/>
      </c>
    </row>
    <row r="2909" spans="1:37">
      <c r="A2909" s="2" t="s">
        <v>3423</v>
      </c>
      <c r="B2909" s="2" t="s">
        <v>743</v>
      </c>
      <c r="C2909" s="2" t="s">
        <v>313</v>
      </c>
      <c r="D2909" s="2" t="s">
        <v>744</v>
      </c>
      <c r="E2909" s="2" t="s">
        <v>745</v>
      </c>
      <c r="F2909" s="2" t="s">
        <v>746</v>
      </c>
      <c r="G2909" s="2" t="s">
        <v>3417</v>
      </c>
      <c r="H2909" s="2" t="s">
        <v>448</v>
      </c>
      <c r="I2909" s="2" t="s">
        <v>194</v>
      </c>
      <c r="J2909" s="2" t="s">
        <v>195</v>
      </c>
      <c r="K2909" s="9">
        <v>45996</v>
      </c>
      <c r="L2909" s="9">
        <v>45998</v>
      </c>
      <c r="M2909" s="9">
        <v>45997</v>
      </c>
      <c r="N2909" s="2" t="s">
        <v>3380</v>
      </c>
      <c r="O2909" s="2" t="s">
        <v>58</v>
      </c>
      <c r="P2909" s="2" t="s">
        <v>142</v>
      </c>
      <c r="Q2909" s="2" t="s">
        <v>296</v>
      </c>
      <c r="R2909" s="2" t="s">
        <v>137</v>
      </c>
      <c r="S2909" s="2" t="s">
        <v>198</v>
      </c>
      <c r="T2909" s="10">
        <v>37.130000000000003</v>
      </c>
      <c r="U2909" s="11">
        <v>1.085</v>
      </c>
      <c r="V2909" s="12">
        <f>T2909*U2909</f>
        <v>40.286050000000003</v>
      </c>
      <c r="W2909" s="13">
        <v>0.19</v>
      </c>
      <c r="X2909" s="12">
        <f>V2909-(V2909/(1+W2909))</f>
        <v>6.4322264705882333</v>
      </c>
      <c r="Y2909" s="12">
        <f>V2909-X2909</f>
        <v>33.85382352941177</v>
      </c>
      <c r="Z2909" s="14">
        <v>60</v>
      </c>
      <c r="AA2909" s="2" t="str">
        <f>IF(V2909&gt;Z2909,"Yes","No")</f>
        <v>No</v>
      </c>
      <c r="AB2909" s="12">
        <f>V2909-Z2909</f>
        <v>-19.713949999999997</v>
      </c>
      <c r="AC2909" s="15" t="s">
        <v>130</v>
      </c>
      <c r="AD2909" s="15" t="s">
        <v>131</v>
      </c>
      <c r="AE2909" s="15" t="s">
        <v>132</v>
      </c>
      <c r="AF2909" s="12">
        <f>IF(AG2909="Rejected",0,IF(R2909="Corporate Card",0,V2909))</f>
        <v>40.286050000000003</v>
      </c>
      <c r="AG2909" s="15" t="s">
        <v>133</v>
      </c>
      <c r="AH2909" s="16">
        <v>45999</v>
      </c>
      <c r="AI2909" s="16">
        <v>46004</v>
      </c>
      <c r="AJ2909" s="16">
        <v>46018</v>
      </c>
      <c r="AK2909" s="17">
        <f>IF(AJ2909="","",AJ2909-AH2909)</f>
        <v>19</v>
      </c>
    </row>
    <row r="2910" spans="1:37">
      <c r="A2910" s="2" t="s">
        <v>3424</v>
      </c>
      <c r="B2910" s="2" t="s">
        <v>743</v>
      </c>
      <c r="C2910" s="2" t="s">
        <v>313</v>
      </c>
      <c r="D2910" s="2" t="s">
        <v>744</v>
      </c>
      <c r="E2910" s="2" t="s">
        <v>745</v>
      </c>
      <c r="F2910" s="2" t="s">
        <v>746</v>
      </c>
      <c r="G2910" s="2" t="s">
        <v>3417</v>
      </c>
      <c r="H2910" s="2" t="s">
        <v>448</v>
      </c>
      <c r="I2910" s="2" t="s">
        <v>194</v>
      </c>
      <c r="J2910" s="2" t="s">
        <v>195</v>
      </c>
      <c r="K2910" s="9">
        <v>45996</v>
      </c>
      <c r="L2910" s="9">
        <v>45998</v>
      </c>
      <c r="M2910" s="9">
        <v>45997</v>
      </c>
      <c r="N2910" s="2" t="s">
        <v>3380</v>
      </c>
      <c r="O2910" s="2" t="s">
        <v>53</v>
      </c>
      <c r="P2910" s="2" t="s">
        <v>362</v>
      </c>
      <c r="Q2910" s="2" t="s">
        <v>305</v>
      </c>
      <c r="R2910" s="2" t="s">
        <v>137</v>
      </c>
      <c r="S2910" s="2" t="s">
        <v>198</v>
      </c>
      <c r="T2910" s="10">
        <v>424.41</v>
      </c>
      <c r="U2910" s="11">
        <v>1.085</v>
      </c>
      <c r="V2910" s="12">
        <f>T2910*U2910</f>
        <v>460.48484999999999</v>
      </c>
      <c r="W2910" s="13">
        <v>0.19</v>
      </c>
      <c r="X2910" s="12">
        <f>V2910-(V2910/(1+W2910))</f>
        <v>73.522791176470548</v>
      </c>
      <c r="Y2910" s="12">
        <f>V2910-X2910</f>
        <v>386.96205882352945</v>
      </c>
      <c r="Z2910" s="14">
        <v>560</v>
      </c>
      <c r="AA2910" s="2" t="str">
        <f>IF(V2910&gt;Z2910,"Yes","No")</f>
        <v>No</v>
      </c>
      <c r="AB2910" s="12">
        <f>V2910-Z2910</f>
        <v>-99.515150000000006</v>
      </c>
      <c r="AC2910" s="15" t="s">
        <v>130</v>
      </c>
      <c r="AD2910" s="15" t="s">
        <v>131</v>
      </c>
      <c r="AE2910" s="15" t="s">
        <v>132</v>
      </c>
      <c r="AF2910" s="12">
        <f>IF(AG2910="Rejected",0,IF(R2910="Corporate Card",0,V2910))</f>
        <v>460.48484999999999</v>
      </c>
      <c r="AG2910" s="15" t="s">
        <v>133</v>
      </c>
      <c r="AH2910" s="16">
        <v>45999</v>
      </c>
      <c r="AI2910" s="16">
        <v>46004</v>
      </c>
      <c r="AJ2910" s="16">
        <v>46018</v>
      </c>
      <c r="AK2910" s="17">
        <f>IF(AJ2910="","",AJ2910-AH2910)</f>
        <v>19</v>
      </c>
    </row>
    <row r="2911" spans="1:37">
      <c r="A2911" s="2" t="s">
        <v>3425</v>
      </c>
      <c r="B2911" s="2" t="s">
        <v>743</v>
      </c>
      <c r="C2911" s="2" t="s">
        <v>313</v>
      </c>
      <c r="D2911" s="2" t="s">
        <v>744</v>
      </c>
      <c r="E2911" s="2" t="s">
        <v>745</v>
      </c>
      <c r="F2911" s="2" t="s">
        <v>746</v>
      </c>
      <c r="G2911" s="2" t="s">
        <v>3417</v>
      </c>
      <c r="H2911" s="2" t="s">
        <v>448</v>
      </c>
      <c r="I2911" s="2" t="s">
        <v>194</v>
      </c>
      <c r="J2911" s="2" t="s">
        <v>195</v>
      </c>
      <c r="K2911" s="9">
        <v>45996</v>
      </c>
      <c r="L2911" s="9">
        <v>45998</v>
      </c>
      <c r="M2911" s="9">
        <v>45997</v>
      </c>
      <c r="N2911" s="2" t="s">
        <v>3380</v>
      </c>
      <c r="O2911" s="2" t="s">
        <v>56</v>
      </c>
      <c r="P2911" s="2" t="s">
        <v>231</v>
      </c>
      <c r="Q2911" s="2" t="s">
        <v>159</v>
      </c>
      <c r="R2911" s="2" t="s">
        <v>128</v>
      </c>
      <c r="S2911" s="2" t="s">
        <v>198</v>
      </c>
      <c r="T2911" s="10">
        <v>91.55</v>
      </c>
      <c r="U2911" s="11">
        <v>1.085</v>
      </c>
      <c r="V2911" s="12">
        <f>T2911*U2911</f>
        <v>99.33175</v>
      </c>
      <c r="W2911" s="13">
        <v>0.19</v>
      </c>
      <c r="X2911" s="12">
        <f>V2911-(V2911/(1+W2911))</f>
        <v>15.859691176470591</v>
      </c>
      <c r="Y2911" s="12">
        <f>V2911-X2911</f>
        <v>83.472058823529409</v>
      </c>
      <c r="Z2911" s="14">
        <v>75</v>
      </c>
      <c r="AA2911" s="2" t="str">
        <f>IF(V2911&gt;Z2911,"Yes","No")</f>
        <v>Yes</v>
      </c>
      <c r="AB2911" s="12">
        <f>V2911-Z2911</f>
        <v>24.33175</v>
      </c>
      <c r="AC2911" s="15" t="s">
        <v>130</v>
      </c>
      <c r="AD2911" s="15" t="s">
        <v>131</v>
      </c>
      <c r="AE2911" s="15" t="s">
        <v>132</v>
      </c>
      <c r="AF2911" s="12">
        <f>IF(AG2911="Rejected",0,IF(R2911="Corporate Card",0,V2911))</f>
        <v>0</v>
      </c>
      <c r="AG2911" s="15" t="s">
        <v>133</v>
      </c>
      <c r="AH2911" s="16">
        <v>45999</v>
      </c>
      <c r="AI2911" s="16">
        <v>46004</v>
      </c>
      <c r="AJ2911" s="16">
        <v>46018</v>
      </c>
      <c r="AK2911" s="17">
        <f>IF(AJ2911="","",AJ2911-AH2911)</f>
        <v>19</v>
      </c>
    </row>
    <row r="2912" spans="1:37">
      <c r="A2912" s="2" t="s">
        <v>3426</v>
      </c>
      <c r="B2912" s="2" t="s">
        <v>743</v>
      </c>
      <c r="C2912" s="2" t="s">
        <v>313</v>
      </c>
      <c r="D2912" s="2" t="s">
        <v>744</v>
      </c>
      <c r="E2912" s="2" t="s">
        <v>745</v>
      </c>
      <c r="F2912" s="2" t="s">
        <v>746</v>
      </c>
      <c r="G2912" s="2" t="s">
        <v>3417</v>
      </c>
      <c r="H2912" s="2" t="s">
        <v>448</v>
      </c>
      <c r="I2912" s="2" t="s">
        <v>194</v>
      </c>
      <c r="J2912" s="2" t="s">
        <v>195</v>
      </c>
      <c r="K2912" s="9">
        <v>45996</v>
      </c>
      <c r="L2912" s="9">
        <v>45998</v>
      </c>
      <c r="M2912" s="9">
        <v>45997</v>
      </c>
      <c r="N2912" s="2" t="s">
        <v>3380</v>
      </c>
      <c r="O2912" s="2" t="s">
        <v>55</v>
      </c>
      <c r="P2912" s="2" t="s">
        <v>139</v>
      </c>
      <c r="Q2912" s="2" t="s">
        <v>217</v>
      </c>
      <c r="R2912" s="2" t="s">
        <v>128</v>
      </c>
      <c r="S2912" s="2" t="s">
        <v>198</v>
      </c>
      <c r="T2912" s="10">
        <v>16.86</v>
      </c>
      <c r="U2912" s="11">
        <v>1.085</v>
      </c>
      <c r="V2912" s="12">
        <f>T2912*U2912</f>
        <v>18.293099999999999</v>
      </c>
      <c r="W2912" s="13">
        <v>0.19</v>
      </c>
      <c r="X2912" s="12">
        <f>V2912-(V2912/(1+W2912))</f>
        <v>2.9207470588235278</v>
      </c>
      <c r="Y2912" s="12">
        <f>V2912-X2912</f>
        <v>15.372352941176471</v>
      </c>
      <c r="Z2912" s="14">
        <v>35</v>
      </c>
      <c r="AA2912" s="2" t="str">
        <f>IF(V2912&gt;Z2912,"Yes","No")</f>
        <v>No</v>
      </c>
      <c r="AB2912" s="12">
        <f>V2912-Z2912</f>
        <v>-16.706900000000001</v>
      </c>
      <c r="AC2912" s="15" t="s">
        <v>130</v>
      </c>
      <c r="AD2912" s="15" t="s">
        <v>131</v>
      </c>
      <c r="AE2912" s="15" t="s">
        <v>132</v>
      </c>
      <c r="AF2912" s="12">
        <f>IF(AG2912="Rejected",0,IF(R2912="Corporate Card",0,V2912))</f>
        <v>0</v>
      </c>
      <c r="AG2912" s="15" t="s">
        <v>133</v>
      </c>
      <c r="AH2912" s="16">
        <v>45999</v>
      </c>
      <c r="AI2912" s="16">
        <v>46004</v>
      </c>
      <c r="AJ2912" s="16">
        <v>46018</v>
      </c>
      <c r="AK2912" s="17">
        <f>IF(AJ2912="","",AJ2912-AH2912)</f>
        <v>19</v>
      </c>
    </row>
    <row r="2913" spans="1:37">
      <c r="A2913" s="2" t="s">
        <v>3427</v>
      </c>
      <c r="B2913" s="2" t="s">
        <v>743</v>
      </c>
      <c r="C2913" s="2" t="s">
        <v>313</v>
      </c>
      <c r="D2913" s="2" t="s">
        <v>744</v>
      </c>
      <c r="E2913" s="2" t="s">
        <v>745</v>
      </c>
      <c r="F2913" s="2" t="s">
        <v>746</v>
      </c>
      <c r="G2913" s="2" t="s">
        <v>3417</v>
      </c>
      <c r="H2913" s="2" t="s">
        <v>448</v>
      </c>
      <c r="I2913" s="2" t="s">
        <v>194</v>
      </c>
      <c r="J2913" s="2" t="s">
        <v>195</v>
      </c>
      <c r="K2913" s="9">
        <v>45996</v>
      </c>
      <c r="L2913" s="9">
        <v>45998</v>
      </c>
      <c r="M2913" s="9">
        <v>45997</v>
      </c>
      <c r="N2913" s="2" t="s">
        <v>3380</v>
      </c>
      <c r="O2913" s="2" t="s">
        <v>69</v>
      </c>
      <c r="P2913" s="2" t="s">
        <v>409</v>
      </c>
      <c r="Q2913" s="2" t="s">
        <v>1191</v>
      </c>
      <c r="R2913" s="2" t="s">
        <v>128</v>
      </c>
      <c r="S2913" s="2" t="s">
        <v>198</v>
      </c>
      <c r="T2913" s="10">
        <v>54.88</v>
      </c>
      <c r="U2913" s="11">
        <v>1.085</v>
      </c>
      <c r="V2913" s="12">
        <f>T2913*U2913</f>
        <v>59.544800000000002</v>
      </c>
      <c r="W2913" s="13">
        <v>0.19</v>
      </c>
      <c r="X2913" s="12">
        <f>V2913-(V2913/(1+W2913))</f>
        <v>9.5071529411764715</v>
      </c>
      <c r="Y2913" s="12">
        <f>V2913-X2913</f>
        <v>50.037647058823531</v>
      </c>
      <c r="Z2913" s="14">
        <v>60</v>
      </c>
      <c r="AA2913" s="2" t="str">
        <f>IF(V2913&gt;Z2913,"Yes","No")</f>
        <v>No</v>
      </c>
      <c r="AB2913" s="12">
        <f>V2913-Z2913</f>
        <v>-0.45519999999999783</v>
      </c>
      <c r="AC2913" s="15" t="s">
        <v>130</v>
      </c>
      <c r="AD2913" s="15" t="s">
        <v>131</v>
      </c>
      <c r="AE2913" s="15" t="s">
        <v>132</v>
      </c>
      <c r="AF2913" s="12">
        <f>IF(AG2913="Rejected",0,IF(R2913="Corporate Card",0,V2913))</f>
        <v>0</v>
      </c>
      <c r="AG2913" s="15" t="s">
        <v>133</v>
      </c>
      <c r="AH2913" s="16">
        <v>45999</v>
      </c>
      <c r="AI2913" s="16">
        <v>46004</v>
      </c>
      <c r="AJ2913" s="16">
        <v>46018</v>
      </c>
      <c r="AK2913" s="17">
        <f>IF(AJ2913="","",AJ2913-AH2913)</f>
        <v>19</v>
      </c>
    </row>
    <row r="2914" spans="1:37">
      <c r="A2914" s="2" t="s">
        <v>3428</v>
      </c>
      <c r="B2914" s="2" t="s">
        <v>743</v>
      </c>
      <c r="C2914" s="2" t="s">
        <v>313</v>
      </c>
      <c r="D2914" s="2" t="s">
        <v>744</v>
      </c>
      <c r="E2914" s="2" t="s">
        <v>745</v>
      </c>
      <c r="F2914" s="2" t="s">
        <v>746</v>
      </c>
      <c r="G2914" s="2" t="s">
        <v>3417</v>
      </c>
      <c r="H2914" s="2" t="s">
        <v>448</v>
      </c>
      <c r="I2914" s="2" t="s">
        <v>194</v>
      </c>
      <c r="J2914" s="2" t="s">
        <v>195</v>
      </c>
      <c r="K2914" s="9">
        <v>45996</v>
      </c>
      <c r="L2914" s="9">
        <v>45998</v>
      </c>
      <c r="M2914" s="9">
        <v>45998</v>
      </c>
      <c r="N2914" s="2" t="s">
        <v>3380</v>
      </c>
      <c r="O2914" s="2" t="s">
        <v>58</v>
      </c>
      <c r="P2914" s="2" t="s">
        <v>142</v>
      </c>
      <c r="Q2914" s="2" t="s">
        <v>296</v>
      </c>
      <c r="R2914" s="2" t="s">
        <v>149</v>
      </c>
      <c r="S2914" s="2" t="s">
        <v>198</v>
      </c>
      <c r="T2914" s="10">
        <v>47.65</v>
      </c>
      <c r="U2914" s="11">
        <v>1.085</v>
      </c>
      <c r="V2914" s="12">
        <f>T2914*U2914</f>
        <v>51.700249999999997</v>
      </c>
      <c r="W2914" s="13">
        <v>0.19</v>
      </c>
      <c r="X2914" s="12">
        <f>V2914-(V2914/(1+W2914))</f>
        <v>8.2546617647058795</v>
      </c>
      <c r="Y2914" s="12">
        <f>V2914-X2914</f>
        <v>43.445588235294117</v>
      </c>
      <c r="Z2914" s="14">
        <v>60</v>
      </c>
      <c r="AA2914" s="2" t="str">
        <f>IF(V2914&gt;Z2914,"Yes","No")</f>
        <v>No</v>
      </c>
      <c r="AB2914" s="12">
        <f>V2914-Z2914</f>
        <v>-8.2997500000000031</v>
      </c>
      <c r="AC2914" s="15" t="s">
        <v>130</v>
      </c>
      <c r="AD2914" s="15" t="s">
        <v>131</v>
      </c>
      <c r="AE2914" s="15" t="s">
        <v>132</v>
      </c>
      <c r="AF2914" s="12">
        <f>IF(AG2914="Rejected",0,IF(R2914="Corporate Card",0,V2914))</f>
        <v>51.700249999999997</v>
      </c>
      <c r="AG2914" s="15" t="s">
        <v>133</v>
      </c>
      <c r="AH2914" s="16">
        <v>45999</v>
      </c>
      <c r="AI2914" s="16">
        <v>46004</v>
      </c>
      <c r="AJ2914" s="16">
        <v>46018</v>
      </c>
      <c r="AK2914" s="17">
        <f>IF(AJ2914="","",AJ2914-AH2914)</f>
        <v>19</v>
      </c>
    </row>
    <row r="2915" spans="1:37">
      <c r="A2915" s="2" t="s">
        <v>3429</v>
      </c>
      <c r="B2915" s="2" t="s">
        <v>743</v>
      </c>
      <c r="C2915" s="2" t="s">
        <v>313</v>
      </c>
      <c r="D2915" s="2" t="s">
        <v>744</v>
      </c>
      <c r="E2915" s="2" t="s">
        <v>745</v>
      </c>
      <c r="F2915" s="2" t="s">
        <v>746</v>
      </c>
      <c r="G2915" s="2" t="s">
        <v>3417</v>
      </c>
      <c r="H2915" s="2" t="s">
        <v>448</v>
      </c>
      <c r="I2915" s="2" t="s">
        <v>194</v>
      </c>
      <c r="J2915" s="2" t="s">
        <v>195</v>
      </c>
      <c r="K2915" s="9">
        <v>45996</v>
      </c>
      <c r="L2915" s="9">
        <v>45998</v>
      </c>
      <c r="M2915" s="9">
        <v>45998</v>
      </c>
      <c r="N2915" s="2" t="s">
        <v>3380</v>
      </c>
      <c r="O2915" s="2" t="s">
        <v>54</v>
      </c>
      <c r="P2915" s="2" t="s">
        <v>139</v>
      </c>
      <c r="Q2915" s="2" t="s">
        <v>148</v>
      </c>
      <c r="R2915" s="2" t="s">
        <v>149</v>
      </c>
      <c r="S2915" s="2" t="s">
        <v>198</v>
      </c>
      <c r="T2915" s="10">
        <v>9.77</v>
      </c>
      <c r="U2915" s="11">
        <v>1.085</v>
      </c>
      <c r="V2915" s="12">
        <f>T2915*U2915</f>
        <v>10.600449999999999</v>
      </c>
      <c r="W2915" s="13">
        <v>0.19</v>
      </c>
      <c r="X2915" s="12">
        <f>V2915-(V2915/(1+W2915))</f>
        <v>1.6925088235294119</v>
      </c>
      <c r="Y2915" s="12">
        <f>V2915-X2915</f>
        <v>8.9079411764705867</v>
      </c>
      <c r="Z2915" s="14">
        <v>25</v>
      </c>
      <c r="AA2915" s="2" t="str">
        <f>IF(V2915&gt;Z2915,"Yes","No")</f>
        <v>No</v>
      </c>
      <c r="AB2915" s="12">
        <f>V2915-Z2915</f>
        <v>-14.399550000000001</v>
      </c>
      <c r="AC2915" s="15" t="s">
        <v>130</v>
      </c>
      <c r="AD2915" s="15" t="s">
        <v>131</v>
      </c>
      <c r="AE2915" s="15" t="s">
        <v>132</v>
      </c>
      <c r="AF2915" s="12">
        <f>IF(AG2915="Rejected",0,IF(R2915="Corporate Card",0,V2915))</f>
        <v>10.600449999999999</v>
      </c>
      <c r="AG2915" s="15" t="s">
        <v>133</v>
      </c>
      <c r="AH2915" s="16">
        <v>45999</v>
      </c>
      <c r="AI2915" s="16">
        <v>46004</v>
      </c>
      <c r="AJ2915" s="16">
        <v>46018</v>
      </c>
      <c r="AK2915" s="17">
        <f>IF(AJ2915="","",AJ2915-AH2915)</f>
        <v>19</v>
      </c>
    </row>
    <row r="2916" spans="1:37">
      <c r="A2916" s="2" t="s">
        <v>3430</v>
      </c>
      <c r="B2916" s="2" t="s">
        <v>743</v>
      </c>
      <c r="C2916" s="2" t="s">
        <v>313</v>
      </c>
      <c r="D2916" s="2" t="s">
        <v>744</v>
      </c>
      <c r="E2916" s="2" t="s">
        <v>745</v>
      </c>
      <c r="F2916" s="2" t="s">
        <v>746</v>
      </c>
      <c r="G2916" s="2" t="s">
        <v>3417</v>
      </c>
      <c r="H2916" s="2" t="s">
        <v>448</v>
      </c>
      <c r="I2916" s="2" t="s">
        <v>194</v>
      </c>
      <c r="J2916" s="2" t="s">
        <v>195</v>
      </c>
      <c r="K2916" s="9">
        <v>45996</v>
      </c>
      <c r="L2916" s="9">
        <v>45998</v>
      </c>
      <c r="M2916" s="9">
        <v>45998</v>
      </c>
      <c r="N2916" s="2" t="s">
        <v>3380</v>
      </c>
      <c r="O2916" s="2" t="s">
        <v>56</v>
      </c>
      <c r="P2916" s="2" t="s">
        <v>165</v>
      </c>
      <c r="Q2916" s="2" t="s">
        <v>227</v>
      </c>
      <c r="R2916" s="2" t="s">
        <v>128</v>
      </c>
      <c r="S2916" s="2" t="s">
        <v>198</v>
      </c>
      <c r="T2916" s="10">
        <v>25.91</v>
      </c>
      <c r="U2916" s="11">
        <v>1.085</v>
      </c>
      <c r="V2916" s="12">
        <f>T2916*U2916</f>
        <v>28.112349999999999</v>
      </c>
      <c r="W2916" s="13">
        <v>0.19</v>
      </c>
      <c r="X2916" s="12">
        <f>V2916-(V2916/(1+W2916))</f>
        <v>4.4885264705882335</v>
      </c>
      <c r="Y2916" s="12">
        <f>V2916-X2916</f>
        <v>23.623823529411766</v>
      </c>
      <c r="Z2916" s="14">
        <v>75</v>
      </c>
      <c r="AA2916" s="2" t="str">
        <f>IF(V2916&gt;Z2916,"Yes","No")</f>
        <v>No</v>
      </c>
      <c r="AB2916" s="12">
        <f>V2916-Z2916</f>
        <v>-46.887650000000001</v>
      </c>
      <c r="AC2916" s="15" t="s">
        <v>130</v>
      </c>
      <c r="AD2916" s="15" t="s">
        <v>131</v>
      </c>
      <c r="AE2916" s="15" t="s">
        <v>132</v>
      </c>
      <c r="AF2916" s="12">
        <f>IF(AG2916="Rejected",0,IF(R2916="Corporate Card",0,V2916))</f>
        <v>0</v>
      </c>
      <c r="AG2916" s="15" t="s">
        <v>133</v>
      </c>
      <c r="AH2916" s="16">
        <v>45999</v>
      </c>
      <c r="AI2916" s="16">
        <v>46004</v>
      </c>
      <c r="AJ2916" s="16">
        <v>46018</v>
      </c>
      <c r="AK2916" s="17">
        <f>IF(AJ2916="","",AJ2916-AH2916)</f>
        <v>19</v>
      </c>
    </row>
    <row r="2917" spans="1:37">
      <c r="A2917" s="2" t="s">
        <v>3431</v>
      </c>
      <c r="B2917" s="2" t="s">
        <v>743</v>
      </c>
      <c r="C2917" s="2" t="s">
        <v>313</v>
      </c>
      <c r="D2917" s="2" t="s">
        <v>744</v>
      </c>
      <c r="E2917" s="2" t="s">
        <v>745</v>
      </c>
      <c r="F2917" s="2" t="s">
        <v>746</v>
      </c>
      <c r="G2917" s="2" t="s">
        <v>3417</v>
      </c>
      <c r="H2917" s="2" t="s">
        <v>448</v>
      </c>
      <c r="I2917" s="2" t="s">
        <v>194</v>
      </c>
      <c r="J2917" s="2" t="s">
        <v>195</v>
      </c>
      <c r="K2917" s="9">
        <v>45996</v>
      </c>
      <c r="L2917" s="9">
        <v>45998</v>
      </c>
      <c r="M2917" s="9">
        <v>45998</v>
      </c>
      <c r="N2917" s="2" t="s">
        <v>3380</v>
      </c>
      <c r="O2917" s="2" t="s">
        <v>55</v>
      </c>
      <c r="P2917" s="2" t="s">
        <v>139</v>
      </c>
      <c r="Q2917" s="2" t="s">
        <v>154</v>
      </c>
      <c r="R2917" s="2" t="s">
        <v>128</v>
      </c>
      <c r="S2917" s="2" t="s">
        <v>198</v>
      </c>
      <c r="T2917" s="10">
        <v>31.78</v>
      </c>
      <c r="U2917" s="11">
        <v>1.085</v>
      </c>
      <c r="V2917" s="12">
        <f>T2917*U2917</f>
        <v>34.481299999999997</v>
      </c>
      <c r="W2917" s="13">
        <v>0.19</v>
      </c>
      <c r="X2917" s="12">
        <f>V2917-(V2917/(1+W2917))</f>
        <v>5.5054176470588203</v>
      </c>
      <c r="Y2917" s="12">
        <f>V2917-X2917</f>
        <v>28.975882352941177</v>
      </c>
      <c r="Z2917" s="14">
        <v>35</v>
      </c>
      <c r="AA2917" s="2" t="str">
        <f>IF(V2917&gt;Z2917,"Yes","No")</f>
        <v>No</v>
      </c>
      <c r="AB2917" s="12">
        <f>V2917-Z2917</f>
        <v>-0.5187000000000026</v>
      </c>
      <c r="AC2917" s="15" t="s">
        <v>130</v>
      </c>
      <c r="AD2917" s="15" t="s">
        <v>131</v>
      </c>
      <c r="AE2917" s="15" t="s">
        <v>132</v>
      </c>
      <c r="AF2917" s="12">
        <f>IF(AG2917="Rejected",0,IF(R2917="Corporate Card",0,V2917))</f>
        <v>0</v>
      </c>
      <c r="AG2917" s="15" t="s">
        <v>133</v>
      </c>
      <c r="AH2917" s="16">
        <v>45999</v>
      </c>
      <c r="AI2917" s="16">
        <v>46004</v>
      </c>
      <c r="AJ2917" s="16">
        <v>46018</v>
      </c>
      <c r="AK2917" s="17">
        <f>IF(AJ2917="","",AJ2917-AH2917)</f>
        <v>19</v>
      </c>
    </row>
    <row r="2918" spans="1:37">
      <c r="A2918" s="2" t="s">
        <v>3432</v>
      </c>
      <c r="B2918" s="2" t="s">
        <v>442</v>
      </c>
      <c r="C2918" s="2" t="s">
        <v>443</v>
      </c>
      <c r="D2918" s="2" t="s">
        <v>444</v>
      </c>
      <c r="E2918" s="2" t="s">
        <v>445</v>
      </c>
      <c r="F2918" s="2" t="s">
        <v>446</v>
      </c>
      <c r="G2918" s="2" t="s">
        <v>3433</v>
      </c>
      <c r="H2918" s="2" t="s">
        <v>291</v>
      </c>
      <c r="I2918" s="2" t="s">
        <v>567</v>
      </c>
      <c r="J2918" s="2" t="s">
        <v>434</v>
      </c>
      <c r="K2918" s="9">
        <v>46001</v>
      </c>
      <c r="L2918" s="9">
        <v>46006</v>
      </c>
      <c r="M2918" s="9">
        <v>46001</v>
      </c>
      <c r="N2918" s="2" t="s">
        <v>3380</v>
      </c>
      <c r="O2918" s="2" t="s">
        <v>52</v>
      </c>
      <c r="P2918" s="2" t="s">
        <v>568</v>
      </c>
      <c r="Q2918" s="2" t="s">
        <v>136</v>
      </c>
      <c r="R2918" s="2" t="s">
        <v>128</v>
      </c>
      <c r="S2918" s="2" t="s">
        <v>436</v>
      </c>
      <c r="T2918" s="10">
        <v>162408</v>
      </c>
      <c r="U2918" s="11">
        <v>1.1780000000000001E-2</v>
      </c>
      <c r="V2918" s="12">
        <f>T2918*U2918</f>
        <v>1913.16624</v>
      </c>
      <c r="W2918" s="13">
        <v>0</v>
      </c>
      <c r="X2918" s="12">
        <f>V2918-(V2918/(1+W2918))</f>
        <v>0</v>
      </c>
      <c r="Y2918" s="12">
        <f>V2918-X2918</f>
        <v>1913.16624</v>
      </c>
      <c r="Z2918" s="14">
        <v>1400</v>
      </c>
      <c r="AA2918" s="2" t="str">
        <f>IF(V2918&gt;Z2918,"Yes","No")</f>
        <v>Yes</v>
      </c>
      <c r="AB2918" s="12">
        <f>V2918-Z2918</f>
        <v>513.16624000000002</v>
      </c>
      <c r="AC2918" s="15" t="s">
        <v>131</v>
      </c>
      <c r="AD2918" s="15" t="s">
        <v>130</v>
      </c>
      <c r="AE2918" s="15" t="s">
        <v>350</v>
      </c>
      <c r="AF2918" s="12">
        <f>IF(AG2918="Rejected",0,IF(R2918="Corporate Card",0,V2918))</f>
        <v>0</v>
      </c>
      <c r="AG2918" s="15" t="s">
        <v>133</v>
      </c>
      <c r="AH2918" s="16">
        <v>46015</v>
      </c>
      <c r="AI2918" s="16">
        <v>46020</v>
      </c>
      <c r="AJ2918" s="16">
        <v>46027</v>
      </c>
      <c r="AK2918" s="17">
        <f>IF(AJ2918="","",AJ2918-AH2918)</f>
        <v>12</v>
      </c>
    </row>
    <row r="2919" spans="1:37">
      <c r="A2919" s="2" t="s">
        <v>3434</v>
      </c>
      <c r="B2919" s="2" t="s">
        <v>442</v>
      </c>
      <c r="C2919" s="2" t="s">
        <v>443</v>
      </c>
      <c r="D2919" s="2" t="s">
        <v>444</v>
      </c>
      <c r="E2919" s="2" t="s">
        <v>445</v>
      </c>
      <c r="F2919" s="2" t="s">
        <v>446</v>
      </c>
      <c r="G2919" s="2" t="s">
        <v>3433</v>
      </c>
      <c r="H2919" s="2" t="s">
        <v>291</v>
      </c>
      <c r="I2919" s="2" t="s">
        <v>567</v>
      </c>
      <c r="J2919" s="2" t="s">
        <v>434</v>
      </c>
      <c r="K2919" s="9">
        <v>46001</v>
      </c>
      <c r="L2919" s="9">
        <v>46006</v>
      </c>
      <c r="M2919" s="9">
        <v>46001</v>
      </c>
      <c r="N2919" s="2" t="s">
        <v>3380</v>
      </c>
      <c r="O2919" s="2" t="s">
        <v>54</v>
      </c>
      <c r="P2919" s="2" t="s">
        <v>139</v>
      </c>
      <c r="Q2919" s="2" t="s">
        <v>214</v>
      </c>
      <c r="R2919" s="2" t="s">
        <v>128</v>
      </c>
      <c r="S2919" s="2" t="s">
        <v>436</v>
      </c>
      <c r="T2919" s="10">
        <v>1080</v>
      </c>
      <c r="U2919" s="11">
        <v>1.1780000000000001E-2</v>
      </c>
      <c r="V2919" s="12">
        <f>T2919*U2919</f>
        <v>12.7224</v>
      </c>
      <c r="W2919" s="13">
        <v>0.18</v>
      </c>
      <c r="X2919" s="12">
        <f>V2919-(V2919/(1+W2919))</f>
        <v>1.9407050847457619</v>
      </c>
      <c r="Y2919" s="12">
        <f>V2919-X2919</f>
        <v>10.781694915254239</v>
      </c>
      <c r="Z2919" s="14">
        <v>25</v>
      </c>
      <c r="AA2919" s="2" t="str">
        <f>IF(V2919&gt;Z2919,"Yes","No")</f>
        <v>No</v>
      </c>
      <c r="AB2919" s="12">
        <f>V2919-Z2919</f>
        <v>-12.2776</v>
      </c>
      <c r="AC2919" s="15" t="s">
        <v>130</v>
      </c>
      <c r="AD2919" s="15" t="s">
        <v>130</v>
      </c>
      <c r="AE2919" s="15" t="s">
        <v>350</v>
      </c>
      <c r="AF2919" s="12">
        <f>IF(AG2919="Rejected",0,IF(R2919="Corporate Card",0,V2919))</f>
        <v>0</v>
      </c>
      <c r="AG2919" s="15" t="s">
        <v>133</v>
      </c>
      <c r="AH2919" s="16">
        <v>46015</v>
      </c>
      <c r="AI2919" s="16">
        <v>46020</v>
      </c>
      <c r="AJ2919" s="16">
        <v>46027</v>
      </c>
      <c r="AK2919" s="17">
        <f>IF(AJ2919="","",AJ2919-AH2919)</f>
        <v>12</v>
      </c>
    </row>
    <row r="2920" spans="1:37">
      <c r="A2920" s="2" t="s">
        <v>3435</v>
      </c>
      <c r="B2920" s="2" t="s">
        <v>442</v>
      </c>
      <c r="C2920" s="2" t="s">
        <v>443</v>
      </c>
      <c r="D2920" s="2" t="s">
        <v>444</v>
      </c>
      <c r="E2920" s="2" t="s">
        <v>445</v>
      </c>
      <c r="F2920" s="2" t="s">
        <v>446</v>
      </c>
      <c r="G2920" s="2" t="s">
        <v>3433</v>
      </c>
      <c r="H2920" s="2" t="s">
        <v>291</v>
      </c>
      <c r="I2920" s="2" t="s">
        <v>567</v>
      </c>
      <c r="J2920" s="2" t="s">
        <v>434</v>
      </c>
      <c r="K2920" s="9">
        <v>46001</v>
      </c>
      <c r="L2920" s="9">
        <v>46006</v>
      </c>
      <c r="M2920" s="9">
        <v>46001</v>
      </c>
      <c r="N2920" s="2" t="s">
        <v>3380</v>
      </c>
      <c r="O2920" s="2" t="s">
        <v>56</v>
      </c>
      <c r="P2920" s="2" t="s">
        <v>245</v>
      </c>
      <c r="Q2920" s="2" t="s">
        <v>166</v>
      </c>
      <c r="R2920" s="2" t="s">
        <v>128</v>
      </c>
      <c r="S2920" s="2" t="s">
        <v>436</v>
      </c>
      <c r="T2920" s="10">
        <v>2719</v>
      </c>
      <c r="U2920" s="11">
        <v>1.1780000000000001E-2</v>
      </c>
      <c r="V2920" s="12">
        <f>T2920*U2920</f>
        <v>32.029820000000001</v>
      </c>
      <c r="W2920" s="13">
        <v>0.18</v>
      </c>
      <c r="X2920" s="12">
        <f>V2920-(V2920/(1+W2920))</f>
        <v>4.8859047457627121</v>
      </c>
      <c r="Y2920" s="12">
        <f>V2920-X2920</f>
        <v>27.143915254237289</v>
      </c>
      <c r="Z2920" s="14">
        <v>75</v>
      </c>
      <c r="AA2920" s="2" t="str">
        <f>IF(V2920&gt;Z2920,"Yes","No")</f>
        <v>No</v>
      </c>
      <c r="AB2920" s="12">
        <f>V2920-Z2920</f>
        <v>-42.970179999999999</v>
      </c>
      <c r="AC2920" s="15" t="s">
        <v>130</v>
      </c>
      <c r="AD2920" s="15" t="s">
        <v>130</v>
      </c>
      <c r="AE2920" s="15" t="s">
        <v>350</v>
      </c>
      <c r="AF2920" s="12">
        <f>IF(AG2920="Rejected",0,IF(R2920="Corporate Card",0,V2920))</f>
        <v>0</v>
      </c>
      <c r="AG2920" s="15" t="s">
        <v>133</v>
      </c>
      <c r="AH2920" s="16">
        <v>46015</v>
      </c>
      <c r="AI2920" s="16">
        <v>46020</v>
      </c>
      <c r="AJ2920" s="16">
        <v>46027</v>
      </c>
      <c r="AK2920" s="17">
        <f>IF(AJ2920="","",AJ2920-AH2920)</f>
        <v>12</v>
      </c>
    </row>
    <row r="2921" spans="1:37">
      <c r="A2921" s="2" t="s">
        <v>3436</v>
      </c>
      <c r="B2921" s="2" t="s">
        <v>442</v>
      </c>
      <c r="C2921" s="2" t="s">
        <v>443</v>
      </c>
      <c r="D2921" s="2" t="s">
        <v>444</v>
      </c>
      <c r="E2921" s="2" t="s">
        <v>445</v>
      </c>
      <c r="F2921" s="2" t="s">
        <v>446</v>
      </c>
      <c r="G2921" s="2" t="s">
        <v>3433</v>
      </c>
      <c r="H2921" s="2" t="s">
        <v>291</v>
      </c>
      <c r="I2921" s="2" t="s">
        <v>567</v>
      </c>
      <c r="J2921" s="2" t="s">
        <v>434</v>
      </c>
      <c r="K2921" s="9">
        <v>46001</v>
      </c>
      <c r="L2921" s="9">
        <v>46006</v>
      </c>
      <c r="M2921" s="9">
        <v>46001</v>
      </c>
      <c r="N2921" s="2" t="s">
        <v>3380</v>
      </c>
      <c r="O2921" s="2" t="s">
        <v>55</v>
      </c>
      <c r="P2921" s="2" t="s">
        <v>139</v>
      </c>
      <c r="Q2921" s="2" t="s">
        <v>154</v>
      </c>
      <c r="R2921" s="2" t="s">
        <v>128</v>
      </c>
      <c r="S2921" s="2" t="s">
        <v>436</v>
      </c>
      <c r="T2921" s="10">
        <v>2206</v>
      </c>
      <c r="U2921" s="11">
        <v>1.1780000000000001E-2</v>
      </c>
      <c r="V2921" s="12">
        <f>T2921*U2921</f>
        <v>25.98668</v>
      </c>
      <c r="W2921" s="13">
        <v>0.18</v>
      </c>
      <c r="X2921" s="12">
        <f>V2921-(V2921/(1+W2921))</f>
        <v>3.9640698305084747</v>
      </c>
      <c r="Y2921" s="12">
        <f>V2921-X2921</f>
        <v>22.022610169491525</v>
      </c>
      <c r="Z2921" s="14">
        <v>35</v>
      </c>
      <c r="AA2921" s="2" t="str">
        <f>IF(V2921&gt;Z2921,"Yes","No")</f>
        <v>No</v>
      </c>
      <c r="AB2921" s="12">
        <f>V2921-Z2921</f>
        <v>-9.0133200000000002</v>
      </c>
      <c r="AC2921" s="15" t="s">
        <v>130</v>
      </c>
      <c r="AD2921" s="15" t="s">
        <v>130</v>
      </c>
      <c r="AE2921" s="15" t="s">
        <v>350</v>
      </c>
      <c r="AF2921" s="12">
        <f>IF(AG2921="Rejected",0,IF(R2921="Corporate Card",0,V2921))</f>
        <v>0</v>
      </c>
      <c r="AG2921" s="15" t="s">
        <v>133</v>
      </c>
      <c r="AH2921" s="16">
        <v>46015</v>
      </c>
      <c r="AI2921" s="16">
        <v>46020</v>
      </c>
      <c r="AJ2921" s="16">
        <v>46027</v>
      </c>
      <c r="AK2921" s="17">
        <f>IF(AJ2921="","",AJ2921-AH2921)</f>
        <v>12</v>
      </c>
    </row>
    <row r="2922" spans="1:37">
      <c r="A2922" s="2" t="s">
        <v>3437</v>
      </c>
      <c r="B2922" s="2" t="s">
        <v>442</v>
      </c>
      <c r="C2922" s="2" t="s">
        <v>443</v>
      </c>
      <c r="D2922" s="2" t="s">
        <v>444</v>
      </c>
      <c r="E2922" s="2" t="s">
        <v>445</v>
      </c>
      <c r="F2922" s="2" t="s">
        <v>446</v>
      </c>
      <c r="G2922" s="2" t="s">
        <v>3433</v>
      </c>
      <c r="H2922" s="2" t="s">
        <v>291</v>
      </c>
      <c r="I2922" s="2" t="s">
        <v>567</v>
      </c>
      <c r="J2922" s="2" t="s">
        <v>434</v>
      </c>
      <c r="K2922" s="9">
        <v>46001</v>
      </c>
      <c r="L2922" s="9">
        <v>46006</v>
      </c>
      <c r="M2922" s="9">
        <v>46002</v>
      </c>
      <c r="N2922" s="2" t="s">
        <v>3380</v>
      </c>
      <c r="O2922" s="2" t="s">
        <v>60</v>
      </c>
      <c r="P2922" s="2" t="s">
        <v>1677</v>
      </c>
      <c r="Q2922" s="2" t="s">
        <v>955</v>
      </c>
      <c r="R2922" s="2" t="s">
        <v>128</v>
      </c>
      <c r="S2922" s="2" t="s">
        <v>436</v>
      </c>
      <c r="T2922" s="10">
        <v>21952</v>
      </c>
      <c r="U2922" s="11">
        <v>1.1780000000000001E-2</v>
      </c>
      <c r="V2922" s="12">
        <f>T2922*U2922</f>
        <v>258.59456</v>
      </c>
      <c r="W2922" s="13">
        <v>0.18</v>
      </c>
      <c r="X2922" s="12">
        <f>V2922-(V2922/(1+W2922))</f>
        <v>39.446627796610159</v>
      </c>
      <c r="Y2922" s="12">
        <f>V2922-X2922</f>
        <v>219.14793220338984</v>
      </c>
      <c r="Z2922" s="14">
        <v>600</v>
      </c>
      <c r="AA2922" s="2" t="str">
        <f>IF(V2922&gt;Z2922,"Yes","No")</f>
        <v>No</v>
      </c>
      <c r="AB2922" s="12">
        <f>V2922-Z2922</f>
        <v>-341.40544</v>
      </c>
      <c r="AC2922" s="15" t="s">
        <v>130</v>
      </c>
      <c r="AD2922" s="15" t="s">
        <v>130</v>
      </c>
      <c r="AE2922" s="15" t="s">
        <v>350</v>
      </c>
      <c r="AF2922" s="12">
        <f>IF(AG2922="Rejected",0,IF(R2922="Corporate Card",0,V2922))</f>
        <v>0</v>
      </c>
      <c r="AG2922" s="15" t="s">
        <v>133</v>
      </c>
      <c r="AH2922" s="16">
        <v>46015</v>
      </c>
      <c r="AI2922" s="16">
        <v>46020</v>
      </c>
      <c r="AJ2922" s="16">
        <v>46027</v>
      </c>
      <c r="AK2922" s="17">
        <f>IF(AJ2922="","",AJ2922-AH2922)</f>
        <v>12</v>
      </c>
    </row>
    <row r="2923" spans="1:37">
      <c r="A2923" s="2" t="s">
        <v>3438</v>
      </c>
      <c r="B2923" s="2" t="s">
        <v>442</v>
      </c>
      <c r="C2923" s="2" t="s">
        <v>443</v>
      </c>
      <c r="D2923" s="2" t="s">
        <v>444</v>
      </c>
      <c r="E2923" s="2" t="s">
        <v>445</v>
      </c>
      <c r="F2923" s="2" t="s">
        <v>446</v>
      </c>
      <c r="G2923" s="2" t="s">
        <v>3433</v>
      </c>
      <c r="H2923" s="2" t="s">
        <v>291</v>
      </c>
      <c r="I2923" s="2" t="s">
        <v>567</v>
      </c>
      <c r="J2923" s="2" t="s">
        <v>434</v>
      </c>
      <c r="K2923" s="9">
        <v>46001</v>
      </c>
      <c r="L2923" s="9">
        <v>46006</v>
      </c>
      <c r="M2923" s="9">
        <v>46002</v>
      </c>
      <c r="N2923" s="2" t="s">
        <v>3380</v>
      </c>
      <c r="O2923" s="2" t="s">
        <v>59</v>
      </c>
      <c r="P2923" s="2" t="s">
        <v>301</v>
      </c>
      <c r="Q2923" s="2" t="s">
        <v>452</v>
      </c>
      <c r="R2923" s="2" t="s">
        <v>128</v>
      </c>
      <c r="S2923" s="2" t="s">
        <v>436</v>
      </c>
      <c r="T2923" s="10">
        <v>12458</v>
      </c>
      <c r="U2923" s="11">
        <v>1.1780000000000001E-2</v>
      </c>
      <c r="V2923" s="12">
        <f>T2923*U2923</f>
        <v>146.75524000000001</v>
      </c>
      <c r="W2923" s="13">
        <v>0.18</v>
      </c>
      <c r="X2923" s="12">
        <f>V2923-(V2923/(1+W2923))</f>
        <v>22.386392542372874</v>
      </c>
      <c r="Y2923" s="12">
        <f>V2923-X2923</f>
        <v>124.36884745762714</v>
      </c>
      <c r="Z2923" s="14">
        <v>150</v>
      </c>
      <c r="AA2923" s="2" t="str">
        <f>IF(V2923&gt;Z2923,"Yes","No")</f>
        <v>No</v>
      </c>
      <c r="AB2923" s="12">
        <f>V2923-Z2923</f>
        <v>-3.2447599999999852</v>
      </c>
      <c r="AC2923" s="15" t="s">
        <v>130</v>
      </c>
      <c r="AD2923" s="15" t="s">
        <v>130</v>
      </c>
      <c r="AE2923" s="15" t="s">
        <v>350</v>
      </c>
      <c r="AF2923" s="12">
        <f>IF(AG2923="Rejected",0,IF(R2923="Corporate Card",0,V2923))</f>
        <v>0</v>
      </c>
      <c r="AG2923" s="15" t="s">
        <v>133</v>
      </c>
      <c r="AH2923" s="16">
        <v>46015</v>
      </c>
      <c r="AI2923" s="16">
        <v>46020</v>
      </c>
      <c r="AJ2923" s="16">
        <v>46027</v>
      </c>
      <c r="AK2923" s="17">
        <f>IF(AJ2923="","",AJ2923-AH2923)</f>
        <v>12</v>
      </c>
    </row>
    <row r="2924" spans="1:37">
      <c r="A2924" s="2" t="s">
        <v>3439</v>
      </c>
      <c r="B2924" s="2" t="s">
        <v>442</v>
      </c>
      <c r="C2924" s="2" t="s">
        <v>443</v>
      </c>
      <c r="D2924" s="2" t="s">
        <v>444</v>
      </c>
      <c r="E2924" s="2" t="s">
        <v>445</v>
      </c>
      <c r="F2924" s="2" t="s">
        <v>446</v>
      </c>
      <c r="G2924" s="2" t="s">
        <v>3433</v>
      </c>
      <c r="H2924" s="2" t="s">
        <v>291</v>
      </c>
      <c r="I2924" s="2" t="s">
        <v>567</v>
      </c>
      <c r="J2924" s="2" t="s">
        <v>434</v>
      </c>
      <c r="K2924" s="9">
        <v>46001</v>
      </c>
      <c r="L2924" s="9">
        <v>46006</v>
      </c>
      <c r="M2924" s="9">
        <v>46002</v>
      </c>
      <c r="N2924" s="2" t="s">
        <v>3380</v>
      </c>
      <c r="O2924" s="2" t="s">
        <v>58</v>
      </c>
      <c r="P2924" s="2" t="s">
        <v>142</v>
      </c>
      <c r="Q2924" s="2" t="s">
        <v>296</v>
      </c>
      <c r="R2924" s="2" t="s">
        <v>149</v>
      </c>
      <c r="S2924" s="2" t="s">
        <v>436</v>
      </c>
      <c r="T2924" s="10">
        <v>2445</v>
      </c>
      <c r="U2924" s="11">
        <v>1.1780000000000001E-2</v>
      </c>
      <c r="V2924" s="12">
        <f>T2924*U2924</f>
        <v>28.802100000000003</v>
      </c>
      <c r="W2924" s="13">
        <v>0.18</v>
      </c>
      <c r="X2924" s="12">
        <f>V2924-(V2924/(1+W2924))</f>
        <v>4.3935406779661008</v>
      </c>
      <c r="Y2924" s="12">
        <f>V2924-X2924</f>
        <v>24.408559322033902</v>
      </c>
      <c r="Z2924" s="14">
        <v>60</v>
      </c>
      <c r="AA2924" s="2" t="str">
        <f>IF(V2924&gt;Z2924,"Yes","No")</f>
        <v>No</v>
      </c>
      <c r="AB2924" s="12">
        <f>V2924-Z2924</f>
        <v>-31.197899999999997</v>
      </c>
      <c r="AC2924" s="15" t="s">
        <v>130</v>
      </c>
      <c r="AD2924" s="15" t="s">
        <v>130</v>
      </c>
      <c r="AE2924" s="15" t="s">
        <v>350</v>
      </c>
      <c r="AF2924" s="12">
        <f>IF(AG2924="Rejected",0,IF(R2924="Corporate Card",0,V2924))</f>
        <v>28.802100000000003</v>
      </c>
      <c r="AG2924" s="15" t="s">
        <v>133</v>
      </c>
      <c r="AH2924" s="16">
        <v>46015</v>
      </c>
      <c r="AI2924" s="16">
        <v>46020</v>
      </c>
      <c r="AJ2924" s="16">
        <v>46027</v>
      </c>
      <c r="AK2924" s="17">
        <f>IF(AJ2924="","",AJ2924-AH2924)</f>
        <v>12</v>
      </c>
    </row>
    <row r="2925" spans="1:37">
      <c r="A2925" s="2" t="s">
        <v>3440</v>
      </c>
      <c r="B2925" s="2" t="s">
        <v>442</v>
      </c>
      <c r="C2925" s="2" t="s">
        <v>443</v>
      </c>
      <c r="D2925" s="2" t="s">
        <v>444</v>
      </c>
      <c r="E2925" s="2" t="s">
        <v>445</v>
      </c>
      <c r="F2925" s="2" t="s">
        <v>446</v>
      </c>
      <c r="G2925" s="2" t="s">
        <v>3433</v>
      </c>
      <c r="H2925" s="2" t="s">
        <v>291</v>
      </c>
      <c r="I2925" s="2" t="s">
        <v>567</v>
      </c>
      <c r="J2925" s="2" t="s">
        <v>434</v>
      </c>
      <c r="K2925" s="9">
        <v>46001</v>
      </c>
      <c r="L2925" s="9">
        <v>46006</v>
      </c>
      <c r="M2925" s="9">
        <v>46002</v>
      </c>
      <c r="N2925" s="2" t="s">
        <v>3380</v>
      </c>
      <c r="O2925" s="2" t="s">
        <v>53</v>
      </c>
      <c r="P2925" s="2" t="s">
        <v>271</v>
      </c>
      <c r="Q2925" s="2" t="s">
        <v>305</v>
      </c>
      <c r="R2925" s="2" t="s">
        <v>128</v>
      </c>
      <c r="S2925" s="2" t="s">
        <v>436</v>
      </c>
      <c r="T2925" s="10">
        <v>71736</v>
      </c>
      <c r="U2925" s="11">
        <v>1.1780000000000001E-2</v>
      </c>
      <c r="V2925" s="12">
        <f>T2925*U2925</f>
        <v>845.05008000000009</v>
      </c>
      <c r="W2925" s="13">
        <v>0.18</v>
      </c>
      <c r="X2925" s="12">
        <f>V2925-(V2925/(1+W2925))</f>
        <v>128.90594440677967</v>
      </c>
      <c r="Y2925" s="12">
        <f>V2925-X2925</f>
        <v>716.14413559322043</v>
      </c>
      <c r="Z2925" s="14">
        <v>1400</v>
      </c>
      <c r="AA2925" s="2" t="str">
        <f>IF(V2925&gt;Z2925,"Yes","No")</f>
        <v>No</v>
      </c>
      <c r="AB2925" s="12">
        <f>V2925-Z2925</f>
        <v>-554.94991999999991</v>
      </c>
      <c r="AC2925" s="15" t="s">
        <v>130</v>
      </c>
      <c r="AD2925" s="15" t="s">
        <v>130</v>
      </c>
      <c r="AE2925" s="15" t="s">
        <v>350</v>
      </c>
      <c r="AF2925" s="12">
        <f>IF(AG2925="Rejected",0,IF(R2925="Corporate Card",0,V2925))</f>
        <v>0</v>
      </c>
      <c r="AG2925" s="15" t="s">
        <v>133</v>
      </c>
      <c r="AH2925" s="16">
        <v>46015</v>
      </c>
      <c r="AI2925" s="16">
        <v>46020</v>
      </c>
      <c r="AJ2925" s="16">
        <v>46027</v>
      </c>
      <c r="AK2925" s="17">
        <f>IF(AJ2925="","",AJ2925-AH2925)</f>
        <v>12</v>
      </c>
    </row>
    <row r="2926" spans="1:37">
      <c r="A2926" s="2" t="s">
        <v>3441</v>
      </c>
      <c r="B2926" s="2" t="s">
        <v>442</v>
      </c>
      <c r="C2926" s="2" t="s">
        <v>443</v>
      </c>
      <c r="D2926" s="2" t="s">
        <v>444</v>
      </c>
      <c r="E2926" s="2" t="s">
        <v>445</v>
      </c>
      <c r="F2926" s="2" t="s">
        <v>446</v>
      </c>
      <c r="G2926" s="2" t="s">
        <v>3433</v>
      </c>
      <c r="H2926" s="2" t="s">
        <v>291</v>
      </c>
      <c r="I2926" s="2" t="s">
        <v>567</v>
      </c>
      <c r="J2926" s="2" t="s">
        <v>434</v>
      </c>
      <c r="K2926" s="9">
        <v>46001</v>
      </c>
      <c r="L2926" s="9">
        <v>46006</v>
      </c>
      <c r="M2926" s="9">
        <v>46002</v>
      </c>
      <c r="N2926" s="2" t="s">
        <v>3380</v>
      </c>
      <c r="O2926" s="2" t="s">
        <v>54</v>
      </c>
      <c r="P2926" s="2" t="s">
        <v>139</v>
      </c>
      <c r="Q2926" s="2" t="s">
        <v>163</v>
      </c>
      <c r="R2926" s="2" t="s">
        <v>149</v>
      </c>
      <c r="S2926" s="2" t="s">
        <v>436</v>
      </c>
      <c r="T2926" s="10">
        <v>1985</v>
      </c>
      <c r="U2926" s="11">
        <v>1.1780000000000001E-2</v>
      </c>
      <c r="V2926" s="12">
        <f>T2926*U2926</f>
        <v>23.383300000000002</v>
      </c>
      <c r="W2926" s="13">
        <v>0.18</v>
      </c>
      <c r="X2926" s="12">
        <f>V2926-(V2926/(1+W2926))</f>
        <v>3.5669440677966087</v>
      </c>
      <c r="Y2926" s="12">
        <f>V2926-X2926</f>
        <v>19.816355932203393</v>
      </c>
      <c r="Z2926" s="14">
        <v>25</v>
      </c>
      <c r="AA2926" s="2" t="str">
        <f>IF(V2926&gt;Z2926,"Yes","No")</f>
        <v>No</v>
      </c>
      <c r="AB2926" s="12">
        <f>V2926-Z2926</f>
        <v>-1.616699999999998</v>
      </c>
      <c r="AC2926" s="15" t="s">
        <v>130</v>
      </c>
      <c r="AD2926" s="15" t="s">
        <v>130</v>
      </c>
      <c r="AE2926" s="15" t="s">
        <v>350</v>
      </c>
      <c r="AF2926" s="12">
        <f>IF(AG2926="Rejected",0,IF(R2926="Corporate Card",0,V2926))</f>
        <v>23.383300000000002</v>
      </c>
      <c r="AG2926" s="15" t="s">
        <v>133</v>
      </c>
      <c r="AH2926" s="16">
        <v>46015</v>
      </c>
      <c r="AI2926" s="16">
        <v>46020</v>
      </c>
      <c r="AJ2926" s="16">
        <v>46027</v>
      </c>
      <c r="AK2926" s="17">
        <f>IF(AJ2926="","",AJ2926-AH2926)</f>
        <v>12</v>
      </c>
    </row>
    <row r="2927" spans="1:37">
      <c r="A2927" s="2" t="s">
        <v>3442</v>
      </c>
      <c r="B2927" s="2" t="s">
        <v>442</v>
      </c>
      <c r="C2927" s="2" t="s">
        <v>443</v>
      </c>
      <c r="D2927" s="2" t="s">
        <v>444</v>
      </c>
      <c r="E2927" s="2" t="s">
        <v>445</v>
      </c>
      <c r="F2927" s="2" t="s">
        <v>446</v>
      </c>
      <c r="G2927" s="2" t="s">
        <v>3433</v>
      </c>
      <c r="H2927" s="2" t="s">
        <v>291</v>
      </c>
      <c r="I2927" s="2" t="s">
        <v>567</v>
      </c>
      <c r="J2927" s="2" t="s">
        <v>434</v>
      </c>
      <c r="K2927" s="9">
        <v>46001</v>
      </c>
      <c r="L2927" s="9">
        <v>46006</v>
      </c>
      <c r="M2927" s="9">
        <v>46002</v>
      </c>
      <c r="N2927" s="2" t="s">
        <v>3380</v>
      </c>
      <c r="O2927" s="2" t="s">
        <v>56</v>
      </c>
      <c r="P2927" s="2" t="s">
        <v>151</v>
      </c>
      <c r="Q2927" s="2" t="s">
        <v>159</v>
      </c>
      <c r="R2927" s="2" t="s">
        <v>128</v>
      </c>
      <c r="S2927" s="2" t="s">
        <v>436</v>
      </c>
      <c r="T2927" s="10">
        <v>4287</v>
      </c>
      <c r="U2927" s="11">
        <v>1.1780000000000001E-2</v>
      </c>
      <c r="V2927" s="12">
        <f>T2927*U2927</f>
        <v>50.500860000000003</v>
      </c>
      <c r="W2927" s="13">
        <v>0.18</v>
      </c>
      <c r="X2927" s="12">
        <f>V2927-(V2927/(1+W2927))</f>
        <v>7.7035210169491535</v>
      </c>
      <c r="Y2927" s="12">
        <f>V2927-X2927</f>
        <v>42.797338983050849</v>
      </c>
      <c r="Z2927" s="14">
        <v>75</v>
      </c>
      <c r="AA2927" s="2" t="str">
        <f>IF(V2927&gt;Z2927,"Yes","No")</f>
        <v>No</v>
      </c>
      <c r="AB2927" s="12">
        <f>V2927-Z2927</f>
        <v>-24.499139999999997</v>
      </c>
      <c r="AC2927" s="15" t="s">
        <v>130</v>
      </c>
      <c r="AD2927" s="15" t="s">
        <v>130</v>
      </c>
      <c r="AE2927" s="15" t="s">
        <v>350</v>
      </c>
      <c r="AF2927" s="12">
        <f>IF(AG2927="Rejected",0,IF(R2927="Corporate Card",0,V2927))</f>
        <v>0</v>
      </c>
      <c r="AG2927" s="15" t="s">
        <v>133</v>
      </c>
      <c r="AH2927" s="16">
        <v>46015</v>
      </c>
      <c r="AI2927" s="16">
        <v>46020</v>
      </c>
      <c r="AJ2927" s="16">
        <v>46027</v>
      </c>
      <c r="AK2927" s="17">
        <f>IF(AJ2927="","",AJ2927-AH2927)</f>
        <v>12</v>
      </c>
    </row>
    <row r="2928" spans="1:37">
      <c r="A2928" s="2" t="s">
        <v>3443</v>
      </c>
      <c r="B2928" s="2" t="s">
        <v>442</v>
      </c>
      <c r="C2928" s="2" t="s">
        <v>443</v>
      </c>
      <c r="D2928" s="2" t="s">
        <v>444</v>
      </c>
      <c r="E2928" s="2" t="s">
        <v>445</v>
      </c>
      <c r="F2928" s="2" t="s">
        <v>446</v>
      </c>
      <c r="G2928" s="2" t="s">
        <v>3433</v>
      </c>
      <c r="H2928" s="2" t="s">
        <v>291</v>
      </c>
      <c r="I2928" s="2" t="s">
        <v>567</v>
      </c>
      <c r="J2928" s="2" t="s">
        <v>434</v>
      </c>
      <c r="K2928" s="9">
        <v>46001</v>
      </c>
      <c r="L2928" s="9">
        <v>46006</v>
      </c>
      <c r="M2928" s="9">
        <v>46002</v>
      </c>
      <c r="N2928" s="2" t="s">
        <v>3380</v>
      </c>
      <c r="O2928" s="2" t="s">
        <v>55</v>
      </c>
      <c r="P2928" s="2" t="s">
        <v>139</v>
      </c>
      <c r="Q2928" s="2" t="s">
        <v>154</v>
      </c>
      <c r="R2928" s="2" t="s">
        <v>128</v>
      </c>
      <c r="S2928" s="2" t="s">
        <v>436</v>
      </c>
      <c r="T2928" s="10">
        <v>1688</v>
      </c>
      <c r="U2928" s="11">
        <v>1.1780000000000001E-2</v>
      </c>
      <c r="V2928" s="12">
        <f>T2928*U2928</f>
        <v>19.884640000000001</v>
      </c>
      <c r="W2928" s="13">
        <v>0.18</v>
      </c>
      <c r="X2928" s="12">
        <f>V2928-(V2928/(1+W2928))</f>
        <v>3.0332501694915237</v>
      </c>
      <c r="Y2928" s="12">
        <f>V2928-X2928</f>
        <v>16.851389830508477</v>
      </c>
      <c r="Z2928" s="14">
        <v>35</v>
      </c>
      <c r="AA2928" s="2" t="str">
        <f>IF(V2928&gt;Z2928,"Yes","No")</f>
        <v>No</v>
      </c>
      <c r="AB2928" s="12">
        <f>V2928-Z2928</f>
        <v>-15.115359999999999</v>
      </c>
      <c r="AC2928" s="15" t="s">
        <v>130</v>
      </c>
      <c r="AD2928" s="15" t="s">
        <v>130</v>
      </c>
      <c r="AE2928" s="15" t="s">
        <v>350</v>
      </c>
      <c r="AF2928" s="12">
        <f>IF(AG2928="Rejected",0,IF(R2928="Corporate Card",0,V2928))</f>
        <v>0</v>
      </c>
      <c r="AG2928" s="15" t="s">
        <v>133</v>
      </c>
      <c r="AH2928" s="16">
        <v>46015</v>
      </c>
      <c r="AI2928" s="16">
        <v>46020</v>
      </c>
      <c r="AJ2928" s="16">
        <v>46027</v>
      </c>
      <c r="AK2928" s="17">
        <f>IF(AJ2928="","",AJ2928-AH2928)</f>
        <v>12</v>
      </c>
    </row>
    <row r="2929" spans="1:37">
      <c r="A2929" s="2" t="s">
        <v>3444</v>
      </c>
      <c r="B2929" s="2" t="s">
        <v>770</v>
      </c>
      <c r="C2929" s="2" t="s">
        <v>771</v>
      </c>
      <c r="D2929" s="2" t="s">
        <v>414</v>
      </c>
      <c r="E2929" s="2" t="s">
        <v>772</v>
      </c>
      <c r="F2929" s="2" t="s">
        <v>413</v>
      </c>
      <c r="G2929" s="2" t="s">
        <v>3445</v>
      </c>
      <c r="H2929" s="2" t="s">
        <v>122</v>
      </c>
      <c r="I2929" s="2" t="s">
        <v>567</v>
      </c>
      <c r="J2929" s="2" t="s">
        <v>434</v>
      </c>
      <c r="K2929" s="9">
        <v>46003</v>
      </c>
      <c r="L2929" s="9">
        <v>46005</v>
      </c>
      <c r="M2929" s="9">
        <v>46003</v>
      </c>
      <c r="N2929" s="2" t="s">
        <v>3380</v>
      </c>
      <c r="O2929" s="2" t="s">
        <v>52</v>
      </c>
      <c r="P2929" s="2" t="s">
        <v>568</v>
      </c>
      <c r="Q2929" s="2" t="s">
        <v>178</v>
      </c>
      <c r="R2929" s="2" t="s">
        <v>128</v>
      </c>
      <c r="S2929" s="2" t="s">
        <v>436</v>
      </c>
      <c r="T2929" s="10">
        <v>81632</v>
      </c>
      <c r="U2929" s="11">
        <v>1.1780000000000001E-2</v>
      </c>
      <c r="V2929" s="12">
        <f>T2929*U2929</f>
        <v>961.62495999999999</v>
      </c>
      <c r="W2929" s="13">
        <v>0</v>
      </c>
      <c r="X2929" s="12">
        <f>V2929-(V2929/(1+W2929))</f>
        <v>0</v>
      </c>
      <c r="Y2929" s="12">
        <f>V2929-X2929</f>
        <v>961.62495999999999</v>
      </c>
      <c r="Z2929" s="14">
        <v>1400</v>
      </c>
      <c r="AA2929" s="2" t="str">
        <f>IF(V2929&gt;Z2929,"Yes","No")</f>
        <v>No</v>
      </c>
      <c r="AB2929" s="12">
        <f>V2929-Z2929</f>
        <v>-438.37504000000001</v>
      </c>
      <c r="AC2929" s="15" t="s">
        <v>130</v>
      </c>
      <c r="AD2929" s="15" t="s">
        <v>130</v>
      </c>
      <c r="AE2929" s="15" t="s">
        <v>437</v>
      </c>
      <c r="AF2929" s="12">
        <f>IF(AG2929="Rejected",0,IF(R2929="Corporate Card",0,V2929))</f>
        <v>0</v>
      </c>
      <c r="AG2929" s="15" t="s">
        <v>133</v>
      </c>
      <c r="AH2929" s="16">
        <v>46006</v>
      </c>
      <c r="AI2929" s="16">
        <v>46014</v>
      </c>
      <c r="AJ2929" s="16">
        <v>46019</v>
      </c>
      <c r="AK2929" s="17">
        <f>IF(AJ2929="","",AJ2929-AH2929)</f>
        <v>13</v>
      </c>
    </row>
    <row r="2930" spans="1:37">
      <c r="A2930" s="2" t="s">
        <v>3446</v>
      </c>
      <c r="B2930" s="2" t="s">
        <v>770</v>
      </c>
      <c r="C2930" s="2" t="s">
        <v>771</v>
      </c>
      <c r="D2930" s="2" t="s">
        <v>414</v>
      </c>
      <c r="E2930" s="2" t="s">
        <v>772</v>
      </c>
      <c r="F2930" s="2" t="s">
        <v>413</v>
      </c>
      <c r="G2930" s="2" t="s">
        <v>3445</v>
      </c>
      <c r="H2930" s="2" t="s">
        <v>122</v>
      </c>
      <c r="I2930" s="2" t="s">
        <v>567</v>
      </c>
      <c r="J2930" s="2" t="s">
        <v>434</v>
      </c>
      <c r="K2930" s="9">
        <v>46003</v>
      </c>
      <c r="L2930" s="9">
        <v>46005</v>
      </c>
      <c r="M2930" s="9">
        <v>46003</v>
      </c>
      <c r="N2930" s="2" t="s">
        <v>3380</v>
      </c>
      <c r="O2930" s="2" t="s">
        <v>58</v>
      </c>
      <c r="P2930" s="2" t="s">
        <v>142</v>
      </c>
      <c r="Q2930" s="2" t="s">
        <v>296</v>
      </c>
      <c r="R2930" s="2" t="s">
        <v>149</v>
      </c>
      <c r="S2930" s="2" t="s">
        <v>436</v>
      </c>
      <c r="T2930" s="10">
        <v>5033</v>
      </c>
      <c r="U2930" s="11">
        <v>1.1780000000000001E-2</v>
      </c>
      <c r="V2930" s="12">
        <f>T2930*U2930</f>
        <v>59.288740000000004</v>
      </c>
      <c r="W2930" s="13">
        <v>0.18</v>
      </c>
      <c r="X2930" s="12">
        <f>V2930-(V2930/(1+W2930))</f>
        <v>9.0440450847457612</v>
      </c>
      <c r="Y2930" s="12">
        <f>V2930-X2930</f>
        <v>50.244694915254243</v>
      </c>
      <c r="Z2930" s="14">
        <v>60</v>
      </c>
      <c r="AA2930" s="2" t="str">
        <f>IF(V2930&gt;Z2930,"Yes","No")</f>
        <v>No</v>
      </c>
      <c r="AB2930" s="12">
        <f>V2930-Z2930</f>
        <v>-0.71125999999999578</v>
      </c>
      <c r="AC2930" s="15" t="s">
        <v>130</v>
      </c>
      <c r="AD2930" s="15" t="s">
        <v>130</v>
      </c>
      <c r="AE2930" s="15" t="s">
        <v>437</v>
      </c>
      <c r="AF2930" s="12">
        <f>IF(AG2930="Rejected",0,IF(R2930="Corporate Card",0,V2930))</f>
        <v>59.288740000000004</v>
      </c>
      <c r="AG2930" s="15" t="s">
        <v>133</v>
      </c>
      <c r="AH2930" s="16">
        <v>46006</v>
      </c>
      <c r="AI2930" s="16">
        <v>46014</v>
      </c>
      <c r="AJ2930" s="16">
        <v>46019</v>
      </c>
      <c r="AK2930" s="17">
        <f>IF(AJ2930="","",AJ2930-AH2930)</f>
        <v>13</v>
      </c>
    </row>
    <row r="2931" spans="1:37">
      <c r="A2931" s="2" t="s">
        <v>3447</v>
      </c>
      <c r="B2931" s="2" t="s">
        <v>770</v>
      </c>
      <c r="C2931" s="2" t="s">
        <v>771</v>
      </c>
      <c r="D2931" s="2" t="s">
        <v>414</v>
      </c>
      <c r="E2931" s="2" t="s">
        <v>772</v>
      </c>
      <c r="F2931" s="2" t="s">
        <v>413</v>
      </c>
      <c r="G2931" s="2" t="s">
        <v>3445</v>
      </c>
      <c r="H2931" s="2" t="s">
        <v>122</v>
      </c>
      <c r="I2931" s="2" t="s">
        <v>567</v>
      </c>
      <c r="J2931" s="2" t="s">
        <v>434</v>
      </c>
      <c r="K2931" s="9">
        <v>46003</v>
      </c>
      <c r="L2931" s="9">
        <v>46005</v>
      </c>
      <c r="M2931" s="9">
        <v>46003</v>
      </c>
      <c r="N2931" s="2" t="s">
        <v>3380</v>
      </c>
      <c r="O2931" s="2" t="s">
        <v>54</v>
      </c>
      <c r="P2931" s="2" t="s">
        <v>139</v>
      </c>
      <c r="Q2931" s="2" t="s">
        <v>148</v>
      </c>
      <c r="R2931" s="2" t="s">
        <v>128</v>
      </c>
      <c r="S2931" s="2" t="s">
        <v>436</v>
      </c>
      <c r="T2931" s="10">
        <v>2059</v>
      </c>
      <c r="U2931" s="11">
        <v>1.1780000000000001E-2</v>
      </c>
      <c r="V2931" s="12">
        <f>T2931*U2931</f>
        <v>24.255020000000002</v>
      </c>
      <c r="W2931" s="13">
        <v>0.18</v>
      </c>
      <c r="X2931" s="12">
        <f>V2931-(V2931/(1+W2931))</f>
        <v>3.6999183050847435</v>
      </c>
      <c r="Y2931" s="12">
        <f>V2931-X2931</f>
        <v>20.555101694915258</v>
      </c>
      <c r="Z2931" s="14">
        <v>25</v>
      </c>
      <c r="AA2931" s="2" t="str">
        <f>IF(V2931&gt;Z2931,"Yes","No")</f>
        <v>No</v>
      </c>
      <c r="AB2931" s="12">
        <f>V2931-Z2931</f>
        <v>-0.7449799999999982</v>
      </c>
      <c r="AC2931" s="15" t="s">
        <v>130</v>
      </c>
      <c r="AD2931" s="15" t="s">
        <v>130</v>
      </c>
      <c r="AE2931" s="15" t="s">
        <v>437</v>
      </c>
      <c r="AF2931" s="12">
        <f>IF(AG2931="Rejected",0,IF(R2931="Corporate Card",0,V2931))</f>
        <v>0</v>
      </c>
      <c r="AG2931" s="15" t="s">
        <v>133</v>
      </c>
      <c r="AH2931" s="16">
        <v>46006</v>
      </c>
      <c r="AI2931" s="16">
        <v>46014</v>
      </c>
      <c r="AJ2931" s="16">
        <v>46019</v>
      </c>
      <c r="AK2931" s="17">
        <f>IF(AJ2931="","",AJ2931-AH2931)</f>
        <v>13</v>
      </c>
    </row>
    <row r="2932" spans="1:37">
      <c r="A2932" s="2" t="s">
        <v>3448</v>
      </c>
      <c r="B2932" s="2" t="s">
        <v>770</v>
      </c>
      <c r="C2932" s="2" t="s">
        <v>771</v>
      </c>
      <c r="D2932" s="2" t="s">
        <v>414</v>
      </c>
      <c r="E2932" s="2" t="s">
        <v>772</v>
      </c>
      <c r="F2932" s="2" t="s">
        <v>413</v>
      </c>
      <c r="G2932" s="2" t="s">
        <v>3445</v>
      </c>
      <c r="H2932" s="2" t="s">
        <v>122</v>
      </c>
      <c r="I2932" s="2" t="s">
        <v>567</v>
      </c>
      <c r="J2932" s="2" t="s">
        <v>434</v>
      </c>
      <c r="K2932" s="9">
        <v>46003</v>
      </c>
      <c r="L2932" s="9">
        <v>46005</v>
      </c>
      <c r="M2932" s="9">
        <v>46003</v>
      </c>
      <c r="N2932" s="2" t="s">
        <v>3380</v>
      </c>
      <c r="O2932" s="2" t="s">
        <v>56</v>
      </c>
      <c r="P2932" s="2" t="s">
        <v>151</v>
      </c>
      <c r="Q2932" s="2" t="s">
        <v>166</v>
      </c>
      <c r="R2932" s="2" t="s">
        <v>128</v>
      </c>
      <c r="S2932" s="2" t="s">
        <v>436</v>
      </c>
      <c r="T2932" s="10">
        <v>6337</v>
      </c>
      <c r="U2932" s="11">
        <v>1.1780000000000001E-2</v>
      </c>
      <c r="V2932" s="12">
        <f>T2932*U2932</f>
        <v>74.649860000000004</v>
      </c>
      <c r="W2932" s="13">
        <v>0.18</v>
      </c>
      <c r="X2932" s="12">
        <f>V2932-(V2932/(1+W2932))</f>
        <v>11.387266779661012</v>
      </c>
      <c r="Y2932" s="12">
        <f>V2932-X2932</f>
        <v>63.262593220338992</v>
      </c>
      <c r="Z2932" s="14">
        <v>75</v>
      </c>
      <c r="AA2932" s="2" t="str">
        <f>IF(V2932&gt;Z2932,"Yes","No")</f>
        <v>No</v>
      </c>
      <c r="AB2932" s="12">
        <f>V2932-Z2932</f>
        <v>-0.35013999999999612</v>
      </c>
      <c r="AC2932" s="15" t="s">
        <v>130</v>
      </c>
      <c r="AD2932" s="15" t="s">
        <v>130</v>
      </c>
      <c r="AE2932" s="15" t="s">
        <v>437</v>
      </c>
      <c r="AF2932" s="12">
        <f>IF(AG2932="Rejected",0,IF(R2932="Corporate Card",0,V2932))</f>
        <v>0</v>
      </c>
      <c r="AG2932" s="15" t="s">
        <v>133</v>
      </c>
      <c r="AH2932" s="16">
        <v>46006</v>
      </c>
      <c r="AI2932" s="16">
        <v>46014</v>
      </c>
      <c r="AJ2932" s="16">
        <v>46019</v>
      </c>
      <c r="AK2932" s="17">
        <f>IF(AJ2932="","",AJ2932-AH2932)</f>
        <v>13</v>
      </c>
    </row>
    <row r="2933" spans="1:37">
      <c r="A2933" s="2" t="s">
        <v>3449</v>
      </c>
      <c r="B2933" s="2" t="s">
        <v>770</v>
      </c>
      <c r="C2933" s="2" t="s">
        <v>771</v>
      </c>
      <c r="D2933" s="2" t="s">
        <v>414</v>
      </c>
      <c r="E2933" s="2" t="s">
        <v>772</v>
      </c>
      <c r="F2933" s="2" t="s">
        <v>413</v>
      </c>
      <c r="G2933" s="2" t="s">
        <v>3445</v>
      </c>
      <c r="H2933" s="2" t="s">
        <v>122</v>
      </c>
      <c r="I2933" s="2" t="s">
        <v>567</v>
      </c>
      <c r="J2933" s="2" t="s">
        <v>434</v>
      </c>
      <c r="K2933" s="9">
        <v>46003</v>
      </c>
      <c r="L2933" s="9">
        <v>46005</v>
      </c>
      <c r="M2933" s="9">
        <v>46003</v>
      </c>
      <c r="N2933" s="2" t="s">
        <v>3380</v>
      </c>
      <c r="O2933" s="2" t="s">
        <v>55</v>
      </c>
      <c r="P2933" s="2" t="s">
        <v>139</v>
      </c>
      <c r="Q2933" s="2" t="s">
        <v>187</v>
      </c>
      <c r="R2933" s="2" t="s">
        <v>137</v>
      </c>
      <c r="S2933" s="2" t="s">
        <v>436</v>
      </c>
      <c r="T2933" s="10">
        <v>1780</v>
      </c>
      <c r="U2933" s="11">
        <v>1.1780000000000001E-2</v>
      </c>
      <c r="V2933" s="12">
        <f>T2933*U2933</f>
        <v>20.968400000000003</v>
      </c>
      <c r="W2933" s="13">
        <v>0.18</v>
      </c>
      <c r="X2933" s="12">
        <f>V2933-(V2933/(1+W2933))</f>
        <v>3.1985694915254221</v>
      </c>
      <c r="Y2933" s="12">
        <f>V2933-X2933</f>
        <v>17.76983050847458</v>
      </c>
      <c r="Z2933" s="14">
        <v>35</v>
      </c>
      <c r="AA2933" s="2" t="str">
        <f>IF(V2933&gt;Z2933,"Yes","No")</f>
        <v>No</v>
      </c>
      <c r="AB2933" s="12">
        <f>V2933-Z2933</f>
        <v>-14.031599999999997</v>
      </c>
      <c r="AC2933" s="15" t="s">
        <v>130</v>
      </c>
      <c r="AD2933" s="15" t="s">
        <v>130</v>
      </c>
      <c r="AE2933" s="15" t="s">
        <v>437</v>
      </c>
      <c r="AF2933" s="12">
        <f>IF(AG2933="Rejected",0,IF(R2933="Corporate Card",0,V2933))</f>
        <v>20.968400000000003</v>
      </c>
      <c r="AG2933" s="15" t="s">
        <v>133</v>
      </c>
      <c r="AH2933" s="16">
        <v>46006</v>
      </c>
      <c r="AI2933" s="16">
        <v>46014</v>
      </c>
      <c r="AJ2933" s="16">
        <v>46019</v>
      </c>
      <c r="AK2933" s="17">
        <f>IF(AJ2933="","",AJ2933-AH2933)</f>
        <v>13</v>
      </c>
    </row>
    <row r="2934" spans="1:37">
      <c r="A2934" s="2" t="s">
        <v>3450</v>
      </c>
      <c r="B2934" s="2" t="s">
        <v>442</v>
      </c>
      <c r="C2934" s="2" t="s">
        <v>443</v>
      </c>
      <c r="D2934" s="2" t="s">
        <v>444</v>
      </c>
      <c r="E2934" s="2" t="s">
        <v>445</v>
      </c>
      <c r="F2934" s="2" t="s">
        <v>446</v>
      </c>
      <c r="G2934" s="2" t="s">
        <v>3433</v>
      </c>
      <c r="H2934" s="2" t="s">
        <v>291</v>
      </c>
      <c r="I2934" s="2" t="s">
        <v>567</v>
      </c>
      <c r="J2934" s="2" t="s">
        <v>434</v>
      </c>
      <c r="K2934" s="9">
        <v>46001</v>
      </c>
      <c r="L2934" s="9">
        <v>46006</v>
      </c>
      <c r="M2934" s="9">
        <v>46003</v>
      </c>
      <c r="N2934" s="2" t="s">
        <v>3380</v>
      </c>
      <c r="O2934" s="2" t="s">
        <v>61</v>
      </c>
      <c r="P2934" s="2" t="s">
        <v>528</v>
      </c>
      <c r="Q2934" s="2" t="s">
        <v>540</v>
      </c>
      <c r="R2934" s="2" t="s">
        <v>137</v>
      </c>
      <c r="S2934" s="2" t="s">
        <v>436</v>
      </c>
      <c r="T2934" s="10">
        <v>9072</v>
      </c>
      <c r="U2934" s="11">
        <v>1.1780000000000001E-2</v>
      </c>
      <c r="V2934" s="12">
        <f>T2934*U2934</f>
        <v>106.86816</v>
      </c>
      <c r="W2934" s="13">
        <v>0</v>
      </c>
      <c r="X2934" s="12">
        <f>V2934-(V2934/(1+W2934))</f>
        <v>0</v>
      </c>
      <c r="Y2934" s="12">
        <f>V2934-X2934</f>
        <v>106.86816</v>
      </c>
      <c r="Z2934" s="14">
        <v>90</v>
      </c>
      <c r="AA2934" s="2" t="str">
        <f>IF(V2934&gt;Z2934,"Yes","No")</f>
        <v>Yes</v>
      </c>
      <c r="AB2934" s="12">
        <f>V2934-Z2934</f>
        <v>16.868160000000003</v>
      </c>
      <c r="AC2934" s="15" t="s">
        <v>130</v>
      </c>
      <c r="AD2934" s="15" t="s">
        <v>130</v>
      </c>
      <c r="AE2934" s="15" t="s">
        <v>350</v>
      </c>
      <c r="AF2934" s="12">
        <f>IF(AG2934="Rejected",0,IF(R2934="Corporate Card",0,V2934))</f>
        <v>106.86816</v>
      </c>
      <c r="AG2934" s="15" t="s">
        <v>133</v>
      </c>
      <c r="AH2934" s="16">
        <v>46015</v>
      </c>
      <c r="AI2934" s="16">
        <v>46020</v>
      </c>
      <c r="AJ2934" s="16">
        <v>46027</v>
      </c>
      <c r="AK2934" s="17">
        <f>IF(AJ2934="","",AJ2934-AH2934)</f>
        <v>12</v>
      </c>
    </row>
    <row r="2935" spans="1:37">
      <c r="A2935" s="2" t="s">
        <v>3451</v>
      </c>
      <c r="B2935" s="2" t="s">
        <v>442</v>
      </c>
      <c r="C2935" s="2" t="s">
        <v>443</v>
      </c>
      <c r="D2935" s="2" t="s">
        <v>444</v>
      </c>
      <c r="E2935" s="2" t="s">
        <v>445</v>
      </c>
      <c r="F2935" s="2" t="s">
        <v>446</v>
      </c>
      <c r="G2935" s="2" t="s">
        <v>3433</v>
      </c>
      <c r="H2935" s="2" t="s">
        <v>291</v>
      </c>
      <c r="I2935" s="2" t="s">
        <v>567</v>
      </c>
      <c r="J2935" s="2" t="s">
        <v>434</v>
      </c>
      <c r="K2935" s="9">
        <v>46001</v>
      </c>
      <c r="L2935" s="9">
        <v>46006</v>
      </c>
      <c r="M2935" s="9">
        <v>46003</v>
      </c>
      <c r="N2935" s="2" t="s">
        <v>3380</v>
      </c>
      <c r="O2935" s="2" t="s">
        <v>54</v>
      </c>
      <c r="P2935" s="2" t="s">
        <v>139</v>
      </c>
      <c r="Q2935" s="2" t="s">
        <v>140</v>
      </c>
      <c r="R2935" s="2" t="s">
        <v>128</v>
      </c>
      <c r="S2935" s="2" t="s">
        <v>436</v>
      </c>
      <c r="T2935" s="10">
        <v>1551</v>
      </c>
      <c r="U2935" s="11">
        <v>1.1780000000000001E-2</v>
      </c>
      <c r="V2935" s="12">
        <f>T2935*U2935</f>
        <v>18.270780000000002</v>
      </c>
      <c r="W2935" s="13">
        <v>0.18</v>
      </c>
      <c r="X2935" s="12">
        <f>V2935-(V2935/(1+W2935))</f>
        <v>2.7870681355932199</v>
      </c>
      <c r="Y2935" s="12">
        <f>V2935-X2935</f>
        <v>15.483711864406782</v>
      </c>
      <c r="Z2935" s="14">
        <v>25</v>
      </c>
      <c r="AA2935" s="2" t="str">
        <f>IF(V2935&gt;Z2935,"Yes","No")</f>
        <v>No</v>
      </c>
      <c r="AB2935" s="12">
        <f>V2935-Z2935</f>
        <v>-6.729219999999998</v>
      </c>
      <c r="AC2935" s="15" t="s">
        <v>130</v>
      </c>
      <c r="AD2935" s="15" t="s">
        <v>130</v>
      </c>
      <c r="AE2935" s="15" t="s">
        <v>350</v>
      </c>
      <c r="AF2935" s="12">
        <f>IF(AG2935="Rejected",0,IF(R2935="Corporate Card",0,V2935))</f>
        <v>0</v>
      </c>
      <c r="AG2935" s="15" t="s">
        <v>133</v>
      </c>
      <c r="AH2935" s="16">
        <v>46015</v>
      </c>
      <c r="AI2935" s="16">
        <v>46020</v>
      </c>
      <c r="AJ2935" s="16">
        <v>46027</v>
      </c>
      <c r="AK2935" s="17">
        <f>IF(AJ2935="","",AJ2935-AH2935)</f>
        <v>12</v>
      </c>
    </row>
    <row r="2936" spans="1:37">
      <c r="A2936" s="2" t="s">
        <v>3452</v>
      </c>
      <c r="B2936" s="2" t="s">
        <v>442</v>
      </c>
      <c r="C2936" s="2" t="s">
        <v>443</v>
      </c>
      <c r="D2936" s="2" t="s">
        <v>444</v>
      </c>
      <c r="E2936" s="2" t="s">
        <v>445</v>
      </c>
      <c r="F2936" s="2" t="s">
        <v>446</v>
      </c>
      <c r="G2936" s="2" t="s">
        <v>3433</v>
      </c>
      <c r="H2936" s="2" t="s">
        <v>291</v>
      </c>
      <c r="I2936" s="2" t="s">
        <v>567</v>
      </c>
      <c r="J2936" s="2" t="s">
        <v>434</v>
      </c>
      <c r="K2936" s="9">
        <v>46001</v>
      </c>
      <c r="L2936" s="9">
        <v>46006</v>
      </c>
      <c r="M2936" s="9">
        <v>46003</v>
      </c>
      <c r="N2936" s="2" t="s">
        <v>3380</v>
      </c>
      <c r="O2936" s="2" t="s">
        <v>55</v>
      </c>
      <c r="P2936" s="2" t="s">
        <v>139</v>
      </c>
      <c r="Q2936" s="2" t="s">
        <v>154</v>
      </c>
      <c r="R2936" s="2" t="s">
        <v>128</v>
      </c>
      <c r="S2936" s="2" t="s">
        <v>436</v>
      </c>
      <c r="T2936" s="10">
        <v>2726</v>
      </c>
      <c r="U2936" s="11">
        <v>1.1780000000000001E-2</v>
      </c>
      <c r="V2936" s="12">
        <f>T2936*U2936</f>
        <v>32.112279999999998</v>
      </c>
      <c r="W2936" s="13">
        <v>0.18</v>
      </c>
      <c r="X2936" s="12">
        <f>V2936-(V2936/(1+W2936))</f>
        <v>4.8984833898305062</v>
      </c>
      <c r="Y2936" s="12">
        <f>V2936-X2936</f>
        <v>27.213796610169492</v>
      </c>
      <c r="Z2936" s="14">
        <v>35</v>
      </c>
      <c r="AA2936" s="2" t="str">
        <f>IF(V2936&gt;Z2936,"Yes","No")</f>
        <v>No</v>
      </c>
      <c r="AB2936" s="12">
        <f>V2936-Z2936</f>
        <v>-2.8877200000000016</v>
      </c>
      <c r="AC2936" s="15" t="s">
        <v>130</v>
      </c>
      <c r="AD2936" s="15" t="s">
        <v>130</v>
      </c>
      <c r="AE2936" s="15" t="s">
        <v>350</v>
      </c>
      <c r="AF2936" s="12">
        <f>IF(AG2936="Rejected",0,IF(R2936="Corporate Card",0,V2936))</f>
        <v>0</v>
      </c>
      <c r="AG2936" s="15" t="s">
        <v>133</v>
      </c>
      <c r="AH2936" s="16">
        <v>46015</v>
      </c>
      <c r="AI2936" s="16">
        <v>46020</v>
      </c>
      <c r="AJ2936" s="16">
        <v>46027</v>
      </c>
      <c r="AK2936" s="17">
        <f>IF(AJ2936="","",AJ2936-AH2936)</f>
        <v>12</v>
      </c>
    </row>
    <row r="2937" spans="1:37">
      <c r="A2937" s="2" t="s">
        <v>3453</v>
      </c>
      <c r="B2937" s="2" t="s">
        <v>442</v>
      </c>
      <c r="C2937" s="2" t="s">
        <v>443</v>
      </c>
      <c r="D2937" s="2" t="s">
        <v>444</v>
      </c>
      <c r="E2937" s="2" t="s">
        <v>445</v>
      </c>
      <c r="F2937" s="2" t="s">
        <v>446</v>
      </c>
      <c r="G2937" s="2" t="s">
        <v>3433</v>
      </c>
      <c r="H2937" s="2" t="s">
        <v>291</v>
      </c>
      <c r="I2937" s="2" t="s">
        <v>567</v>
      </c>
      <c r="J2937" s="2" t="s">
        <v>434</v>
      </c>
      <c r="K2937" s="9">
        <v>46001</v>
      </c>
      <c r="L2937" s="9">
        <v>46006</v>
      </c>
      <c r="M2937" s="9">
        <v>46003</v>
      </c>
      <c r="N2937" s="2" t="s">
        <v>3380</v>
      </c>
      <c r="O2937" s="2" t="s">
        <v>62</v>
      </c>
      <c r="P2937" s="2" t="s">
        <v>533</v>
      </c>
      <c r="Q2937" s="2" t="s">
        <v>534</v>
      </c>
      <c r="R2937" s="2" t="s">
        <v>128</v>
      </c>
      <c r="S2937" s="2" t="s">
        <v>436</v>
      </c>
      <c r="T2937" s="10">
        <v>2433</v>
      </c>
      <c r="U2937" s="11">
        <v>1.1780000000000001E-2</v>
      </c>
      <c r="V2937" s="12">
        <f>T2937*U2937</f>
        <v>28.660740000000001</v>
      </c>
      <c r="W2937" s="13">
        <v>0.18</v>
      </c>
      <c r="X2937" s="12">
        <f>V2937-(V2937/(1+W2937))</f>
        <v>4.3719772881355929</v>
      </c>
      <c r="Y2937" s="12">
        <f>V2937-X2937</f>
        <v>24.288762711864408</v>
      </c>
      <c r="Z2937" s="14">
        <v>45</v>
      </c>
      <c r="AA2937" s="2" t="str">
        <f>IF(V2937&gt;Z2937,"Yes","No")</f>
        <v>No</v>
      </c>
      <c r="AB2937" s="12">
        <f>V2937-Z2937</f>
        <v>-16.339259999999999</v>
      </c>
      <c r="AC2937" s="15" t="s">
        <v>130</v>
      </c>
      <c r="AD2937" s="15" t="s">
        <v>130</v>
      </c>
      <c r="AE2937" s="15" t="s">
        <v>350</v>
      </c>
      <c r="AF2937" s="12">
        <f>IF(AG2937="Rejected",0,IF(R2937="Corporate Card",0,V2937))</f>
        <v>0</v>
      </c>
      <c r="AG2937" s="15" t="s">
        <v>133</v>
      </c>
      <c r="AH2937" s="16">
        <v>46015</v>
      </c>
      <c r="AI2937" s="16">
        <v>46020</v>
      </c>
      <c r="AJ2937" s="16">
        <v>46027</v>
      </c>
      <c r="AK2937" s="17">
        <f>IF(AJ2937="","",AJ2937-AH2937)</f>
        <v>12</v>
      </c>
    </row>
    <row r="2938" spans="1:37">
      <c r="A2938" s="2" t="s">
        <v>3454</v>
      </c>
      <c r="B2938" s="2" t="s">
        <v>770</v>
      </c>
      <c r="C2938" s="2" t="s">
        <v>771</v>
      </c>
      <c r="D2938" s="2" t="s">
        <v>414</v>
      </c>
      <c r="E2938" s="2" t="s">
        <v>772</v>
      </c>
      <c r="F2938" s="2" t="s">
        <v>413</v>
      </c>
      <c r="G2938" s="2" t="s">
        <v>3445</v>
      </c>
      <c r="H2938" s="2" t="s">
        <v>122</v>
      </c>
      <c r="I2938" s="2" t="s">
        <v>567</v>
      </c>
      <c r="J2938" s="2" t="s">
        <v>434</v>
      </c>
      <c r="K2938" s="9">
        <v>46003</v>
      </c>
      <c r="L2938" s="9">
        <v>46005</v>
      </c>
      <c r="M2938" s="9">
        <v>46004</v>
      </c>
      <c r="N2938" s="2" t="s">
        <v>3380</v>
      </c>
      <c r="O2938" s="2" t="s">
        <v>67</v>
      </c>
      <c r="P2938" s="2" t="s">
        <v>401</v>
      </c>
      <c r="Q2938" s="2" t="s">
        <v>574</v>
      </c>
      <c r="R2938" s="2" t="s">
        <v>149</v>
      </c>
      <c r="S2938" s="2" t="s">
        <v>436</v>
      </c>
      <c r="T2938" s="10">
        <v>7236</v>
      </c>
      <c r="U2938" s="11">
        <v>1.1780000000000001E-2</v>
      </c>
      <c r="V2938" s="12">
        <f>T2938*U2938</f>
        <v>85.240080000000006</v>
      </c>
      <c r="W2938" s="13">
        <v>0.18</v>
      </c>
      <c r="X2938" s="12">
        <f>V2938-(V2938/(1+W2938))</f>
        <v>13.002724067796606</v>
      </c>
      <c r="Y2938" s="12">
        <f>V2938-X2938</f>
        <v>72.2373559322034</v>
      </c>
      <c r="Z2938" s="14">
        <v>100</v>
      </c>
      <c r="AA2938" s="2" t="str">
        <f>IF(V2938&gt;Z2938,"Yes","No")</f>
        <v>No</v>
      </c>
      <c r="AB2938" s="12">
        <f>V2938-Z2938</f>
        <v>-14.759919999999994</v>
      </c>
      <c r="AC2938" s="15" t="s">
        <v>130</v>
      </c>
      <c r="AD2938" s="15" t="s">
        <v>130</v>
      </c>
      <c r="AE2938" s="15" t="s">
        <v>437</v>
      </c>
      <c r="AF2938" s="12">
        <f>IF(AG2938="Rejected",0,IF(R2938="Corporate Card",0,V2938))</f>
        <v>85.240080000000006</v>
      </c>
      <c r="AG2938" s="15" t="s">
        <v>133</v>
      </c>
      <c r="AH2938" s="16">
        <v>46006</v>
      </c>
      <c r="AI2938" s="16">
        <v>46014</v>
      </c>
      <c r="AJ2938" s="16">
        <v>46019</v>
      </c>
      <c r="AK2938" s="17">
        <f>IF(AJ2938="","",AJ2938-AH2938)</f>
        <v>13</v>
      </c>
    </row>
    <row r="2939" spans="1:37">
      <c r="A2939" s="2" t="s">
        <v>3455</v>
      </c>
      <c r="B2939" s="2" t="s">
        <v>770</v>
      </c>
      <c r="C2939" s="2" t="s">
        <v>771</v>
      </c>
      <c r="D2939" s="2" t="s">
        <v>414</v>
      </c>
      <c r="E2939" s="2" t="s">
        <v>772</v>
      </c>
      <c r="F2939" s="2" t="s">
        <v>413</v>
      </c>
      <c r="G2939" s="2" t="s">
        <v>3445</v>
      </c>
      <c r="H2939" s="2" t="s">
        <v>122</v>
      </c>
      <c r="I2939" s="2" t="s">
        <v>567</v>
      </c>
      <c r="J2939" s="2" t="s">
        <v>434</v>
      </c>
      <c r="K2939" s="9">
        <v>46003</v>
      </c>
      <c r="L2939" s="9">
        <v>46005</v>
      </c>
      <c r="M2939" s="9">
        <v>46004</v>
      </c>
      <c r="N2939" s="2" t="s">
        <v>3380</v>
      </c>
      <c r="O2939" s="2" t="s">
        <v>53</v>
      </c>
      <c r="P2939" s="2" t="s">
        <v>362</v>
      </c>
      <c r="Q2939" s="2" t="s">
        <v>146</v>
      </c>
      <c r="R2939" s="2" t="s">
        <v>137</v>
      </c>
      <c r="S2939" s="2" t="s">
        <v>436</v>
      </c>
      <c r="T2939" s="10">
        <v>23531</v>
      </c>
      <c r="U2939" s="11">
        <v>1.1780000000000001E-2</v>
      </c>
      <c r="V2939" s="12">
        <f>T2939*U2939</f>
        <v>277.19517999999999</v>
      </c>
      <c r="W2939" s="13">
        <v>0.18</v>
      </c>
      <c r="X2939" s="12">
        <f>V2939-(V2939/(1+W2939))</f>
        <v>42.284010508474552</v>
      </c>
      <c r="Y2939" s="12">
        <f>V2939-X2939</f>
        <v>234.91116949152544</v>
      </c>
      <c r="Z2939" s="14">
        <v>560</v>
      </c>
      <c r="AA2939" s="2" t="str">
        <f>IF(V2939&gt;Z2939,"Yes","No")</f>
        <v>No</v>
      </c>
      <c r="AB2939" s="12">
        <f>V2939-Z2939</f>
        <v>-282.80482000000001</v>
      </c>
      <c r="AC2939" s="15" t="s">
        <v>130</v>
      </c>
      <c r="AD2939" s="15" t="s">
        <v>130</v>
      </c>
      <c r="AE2939" s="15" t="s">
        <v>437</v>
      </c>
      <c r="AF2939" s="12">
        <f>IF(AG2939="Rejected",0,IF(R2939="Corporate Card",0,V2939))</f>
        <v>277.19517999999999</v>
      </c>
      <c r="AG2939" s="15" t="s">
        <v>133</v>
      </c>
      <c r="AH2939" s="16">
        <v>46006</v>
      </c>
      <c r="AI2939" s="16">
        <v>46014</v>
      </c>
      <c r="AJ2939" s="16">
        <v>46019</v>
      </c>
      <c r="AK2939" s="17">
        <f>IF(AJ2939="","",AJ2939-AH2939)</f>
        <v>13</v>
      </c>
    </row>
    <row r="2940" spans="1:37">
      <c r="A2940" s="2" t="s">
        <v>3456</v>
      </c>
      <c r="B2940" s="2" t="s">
        <v>770</v>
      </c>
      <c r="C2940" s="2" t="s">
        <v>771</v>
      </c>
      <c r="D2940" s="2" t="s">
        <v>414</v>
      </c>
      <c r="E2940" s="2" t="s">
        <v>772</v>
      </c>
      <c r="F2940" s="2" t="s">
        <v>413</v>
      </c>
      <c r="G2940" s="2" t="s">
        <v>3445</v>
      </c>
      <c r="H2940" s="2" t="s">
        <v>122</v>
      </c>
      <c r="I2940" s="2" t="s">
        <v>567</v>
      </c>
      <c r="J2940" s="2" t="s">
        <v>434</v>
      </c>
      <c r="K2940" s="9">
        <v>46003</v>
      </c>
      <c r="L2940" s="9">
        <v>46005</v>
      </c>
      <c r="M2940" s="9">
        <v>46004</v>
      </c>
      <c r="N2940" s="2" t="s">
        <v>3380</v>
      </c>
      <c r="O2940" s="2" t="s">
        <v>54</v>
      </c>
      <c r="P2940" s="2" t="s">
        <v>139</v>
      </c>
      <c r="Q2940" s="2" t="s">
        <v>140</v>
      </c>
      <c r="R2940" s="2" t="s">
        <v>137</v>
      </c>
      <c r="S2940" s="2" t="s">
        <v>436</v>
      </c>
      <c r="T2940" s="10">
        <v>1531</v>
      </c>
      <c r="U2940" s="11">
        <v>1.1780000000000001E-2</v>
      </c>
      <c r="V2940" s="12">
        <f>T2940*U2940</f>
        <v>18.03518</v>
      </c>
      <c r="W2940" s="13">
        <v>0.18</v>
      </c>
      <c r="X2940" s="12">
        <f>V2940-(V2940/(1+W2940))</f>
        <v>2.7511291525423722</v>
      </c>
      <c r="Y2940" s="12">
        <f>V2940-X2940</f>
        <v>15.284050847457628</v>
      </c>
      <c r="Z2940" s="14">
        <v>25</v>
      </c>
      <c r="AA2940" s="2" t="str">
        <f>IF(V2940&gt;Z2940,"Yes","No")</f>
        <v>No</v>
      </c>
      <c r="AB2940" s="12">
        <f>V2940-Z2940</f>
        <v>-6.9648199999999996</v>
      </c>
      <c r="AC2940" s="15" t="s">
        <v>130</v>
      </c>
      <c r="AD2940" s="15" t="s">
        <v>130</v>
      </c>
      <c r="AE2940" s="15" t="s">
        <v>437</v>
      </c>
      <c r="AF2940" s="12">
        <f>IF(AG2940="Rejected",0,IF(R2940="Corporate Card",0,V2940))</f>
        <v>18.03518</v>
      </c>
      <c r="AG2940" s="15" t="s">
        <v>133</v>
      </c>
      <c r="AH2940" s="16">
        <v>46006</v>
      </c>
      <c r="AI2940" s="16">
        <v>46014</v>
      </c>
      <c r="AJ2940" s="16">
        <v>46019</v>
      </c>
      <c r="AK2940" s="17">
        <f>IF(AJ2940="","",AJ2940-AH2940)</f>
        <v>13</v>
      </c>
    </row>
    <row r="2941" spans="1:37">
      <c r="A2941" s="2" t="s">
        <v>3457</v>
      </c>
      <c r="B2941" s="2" t="s">
        <v>770</v>
      </c>
      <c r="C2941" s="2" t="s">
        <v>771</v>
      </c>
      <c r="D2941" s="2" t="s">
        <v>414</v>
      </c>
      <c r="E2941" s="2" t="s">
        <v>772</v>
      </c>
      <c r="F2941" s="2" t="s">
        <v>413</v>
      </c>
      <c r="G2941" s="2" t="s">
        <v>3445</v>
      </c>
      <c r="H2941" s="2" t="s">
        <v>122</v>
      </c>
      <c r="I2941" s="2" t="s">
        <v>567</v>
      </c>
      <c r="J2941" s="2" t="s">
        <v>434</v>
      </c>
      <c r="K2941" s="9">
        <v>46003</v>
      </c>
      <c r="L2941" s="9">
        <v>46005</v>
      </c>
      <c r="M2941" s="9">
        <v>46004</v>
      </c>
      <c r="N2941" s="2" t="s">
        <v>3380</v>
      </c>
      <c r="O2941" s="2" t="s">
        <v>56</v>
      </c>
      <c r="P2941" s="2" t="s">
        <v>165</v>
      </c>
      <c r="Q2941" s="2" t="s">
        <v>152</v>
      </c>
      <c r="R2941" s="2" t="s">
        <v>137</v>
      </c>
      <c r="S2941" s="2" t="s">
        <v>436</v>
      </c>
      <c r="T2941" s="10">
        <v>2778</v>
      </c>
      <c r="U2941" s="11">
        <v>1.1780000000000001E-2</v>
      </c>
      <c r="V2941" s="12">
        <f>T2941*U2941</f>
        <v>32.72484</v>
      </c>
      <c r="W2941" s="13">
        <v>0.18</v>
      </c>
      <c r="X2941" s="12">
        <f>V2941-(V2941/(1+W2941))</f>
        <v>4.9919247457627094</v>
      </c>
      <c r="Y2941" s="12">
        <f>V2941-X2941</f>
        <v>27.732915254237291</v>
      </c>
      <c r="Z2941" s="14">
        <v>75</v>
      </c>
      <c r="AA2941" s="2" t="str">
        <f>IF(V2941&gt;Z2941,"Yes","No")</f>
        <v>No</v>
      </c>
      <c r="AB2941" s="12">
        <f>V2941-Z2941</f>
        <v>-42.27516</v>
      </c>
      <c r="AC2941" s="15" t="s">
        <v>130</v>
      </c>
      <c r="AD2941" s="15" t="s">
        <v>130</v>
      </c>
      <c r="AE2941" s="15" t="s">
        <v>437</v>
      </c>
      <c r="AF2941" s="12">
        <f>IF(AG2941="Rejected",0,IF(R2941="Corporate Card",0,V2941))</f>
        <v>32.72484</v>
      </c>
      <c r="AG2941" s="15" t="s">
        <v>133</v>
      </c>
      <c r="AH2941" s="16">
        <v>46006</v>
      </c>
      <c r="AI2941" s="16">
        <v>46014</v>
      </c>
      <c r="AJ2941" s="16">
        <v>46019</v>
      </c>
      <c r="AK2941" s="17">
        <f>IF(AJ2941="","",AJ2941-AH2941)</f>
        <v>13</v>
      </c>
    </row>
    <row r="2942" spans="1:37">
      <c r="A2942" s="2" t="s">
        <v>3458</v>
      </c>
      <c r="B2942" s="2" t="s">
        <v>770</v>
      </c>
      <c r="C2942" s="2" t="s">
        <v>771</v>
      </c>
      <c r="D2942" s="2" t="s">
        <v>414</v>
      </c>
      <c r="E2942" s="2" t="s">
        <v>772</v>
      </c>
      <c r="F2942" s="2" t="s">
        <v>413</v>
      </c>
      <c r="G2942" s="2" t="s">
        <v>3445</v>
      </c>
      <c r="H2942" s="2" t="s">
        <v>122</v>
      </c>
      <c r="I2942" s="2" t="s">
        <v>567</v>
      </c>
      <c r="J2942" s="2" t="s">
        <v>434</v>
      </c>
      <c r="K2942" s="9">
        <v>46003</v>
      </c>
      <c r="L2942" s="9">
        <v>46005</v>
      </c>
      <c r="M2942" s="9">
        <v>46004</v>
      </c>
      <c r="N2942" s="2" t="s">
        <v>3380</v>
      </c>
      <c r="O2942" s="2" t="s">
        <v>55</v>
      </c>
      <c r="P2942" s="2" t="s">
        <v>139</v>
      </c>
      <c r="Q2942" s="2" t="s">
        <v>161</v>
      </c>
      <c r="R2942" s="2" t="s">
        <v>128</v>
      </c>
      <c r="S2942" s="2" t="s">
        <v>436</v>
      </c>
      <c r="T2942" s="10">
        <v>1310</v>
      </c>
      <c r="U2942" s="11">
        <v>1.1780000000000001E-2</v>
      </c>
      <c r="V2942" s="12">
        <f>T2942*U2942</f>
        <v>15.431800000000001</v>
      </c>
      <c r="W2942" s="13">
        <v>0.18</v>
      </c>
      <c r="X2942" s="12">
        <f>V2942-(V2942/(1+W2942))</f>
        <v>2.3540033898305079</v>
      </c>
      <c r="Y2942" s="12">
        <f>V2942-X2942</f>
        <v>13.077796610169493</v>
      </c>
      <c r="Z2942" s="14">
        <v>35</v>
      </c>
      <c r="AA2942" s="2" t="str">
        <f>IF(V2942&gt;Z2942,"Yes","No")</f>
        <v>No</v>
      </c>
      <c r="AB2942" s="12">
        <f>V2942-Z2942</f>
        <v>-19.568199999999997</v>
      </c>
      <c r="AC2942" s="15" t="s">
        <v>130</v>
      </c>
      <c r="AD2942" s="15" t="s">
        <v>130</v>
      </c>
      <c r="AE2942" s="15" t="s">
        <v>437</v>
      </c>
      <c r="AF2942" s="12">
        <f>IF(AG2942="Rejected",0,IF(R2942="Corporate Card",0,V2942))</f>
        <v>0</v>
      </c>
      <c r="AG2942" s="15" t="s">
        <v>133</v>
      </c>
      <c r="AH2942" s="16">
        <v>46006</v>
      </c>
      <c r="AI2942" s="16">
        <v>46014</v>
      </c>
      <c r="AJ2942" s="16">
        <v>46019</v>
      </c>
      <c r="AK2942" s="17">
        <f>IF(AJ2942="","",AJ2942-AH2942)</f>
        <v>13</v>
      </c>
    </row>
    <row r="2943" spans="1:37">
      <c r="A2943" s="2" t="s">
        <v>3459</v>
      </c>
      <c r="B2943" s="2" t="s">
        <v>442</v>
      </c>
      <c r="C2943" s="2" t="s">
        <v>443</v>
      </c>
      <c r="D2943" s="2" t="s">
        <v>444</v>
      </c>
      <c r="E2943" s="2" t="s">
        <v>445</v>
      </c>
      <c r="F2943" s="2" t="s">
        <v>446</v>
      </c>
      <c r="G2943" s="2" t="s">
        <v>3433</v>
      </c>
      <c r="H2943" s="2" t="s">
        <v>291</v>
      </c>
      <c r="I2943" s="2" t="s">
        <v>567</v>
      </c>
      <c r="J2943" s="2" t="s">
        <v>434</v>
      </c>
      <c r="K2943" s="9">
        <v>46001</v>
      </c>
      <c r="L2943" s="9">
        <v>46006</v>
      </c>
      <c r="M2943" s="9">
        <v>46004</v>
      </c>
      <c r="N2943" s="2" t="s">
        <v>3380</v>
      </c>
      <c r="O2943" s="2" t="s">
        <v>58</v>
      </c>
      <c r="P2943" s="2" t="s">
        <v>142</v>
      </c>
      <c r="Q2943" s="2" t="s">
        <v>296</v>
      </c>
      <c r="R2943" s="2" t="s">
        <v>149</v>
      </c>
      <c r="S2943" s="2" t="s">
        <v>436</v>
      </c>
      <c r="T2943" s="10">
        <v>2670</v>
      </c>
      <c r="U2943" s="11">
        <v>1.1780000000000001E-2</v>
      </c>
      <c r="V2943" s="12">
        <f>T2943*U2943</f>
        <v>31.4526</v>
      </c>
      <c r="W2943" s="13">
        <v>0.18</v>
      </c>
      <c r="X2943" s="12">
        <f>V2943-(V2943/(1+W2943))</f>
        <v>4.797854237288135</v>
      </c>
      <c r="Y2943" s="12">
        <f>V2943-X2943</f>
        <v>26.654745762711865</v>
      </c>
      <c r="Z2943" s="14">
        <v>60</v>
      </c>
      <c r="AA2943" s="2" t="str">
        <f>IF(V2943&gt;Z2943,"Yes","No")</f>
        <v>No</v>
      </c>
      <c r="AB2943" s="12">
        <f>V2943-Z2943</f>
        <v>-28.5474</v>
      </c>
      <c r="AC2943" s="15" t="s">
        <v>130</v>
      </c>
      <c r="AD2943" s="15" t="s">
        <v>130</v>
      </c>
      <c r="AE2943" s="15" t="s">
        <v>350</v>
      </c>
      <c r="AF2943" s="12">
        <f>IF(AG2943="Rejected",0,IF(R2943="Corporate Card",0,V2943))</f>
        <v>31.4526</v>
      </c>
      <c r="AG2943" s="15" t="s">
        <v>133</v>
      </c>
      <c r="AH2943" s="16">
        <v>46015</v>
      </c>
      <c r="AI2943" s="16">
        <v>46020</v>
      </c>
      <c r="AJ2943" s="16">
        <v>46027</v>
      </c>
      <c r="AK2943" s="17">
        <f>IF(AJ2943="","",AJ2943-AH2943)</f>
        <v>12</v>
      </c>
    </row>
    <row r="2944" spans="1:37">
      <c r="A2944" s="2" t="s">
        <v>3460</v>
      </c>
      <c r="B2944" s="2" t="s">
        <v>442</v>
      </c>
      <c r="C2944" s="2" t="s">
        <v>443</v>
      </c>
      <c r="D2944" s="2" t="s">
        <v>444</v>
      </c>
      <c r="E2944" s="2" t="s">
        <v>445</v>
      </c>
      <c r="F2944" s="2" t="s">
        <v>446</v>
      </c>
      <c r="G2944" s="2" t="s">
        <v>3433</v>
      </c>
      <c r="H2944" s="2" t="s">
        <v>291</v>
      </c>
      <c r="I2944" s="2" t="s">
        <v>567</v>
      </c>
      <c r="J2944" s="2" t="s">
        <v>434</v>
      </c>
      <c r="K2944" s="9">
        <v>46001</v>
      </c>
      <c r="L2944" s="9">
        <v>46006</v>
      </c>
      <c r="M2944" s="9">
        <v>46004</v>
      </c>
      <c r="N2944" s="2" t="s">
        <v>3380</v>
      </c>
      <c r="O2944" s="2" t="s">
        <v>56</v>
      </c>
      <c r="P2944" s="2" t="s">
        <v>151</v>
      </c>
      <c r="Q2944" s="2" t="s">
        <v>185</v>
      </c>
      <c r="R2944" s="2" t="s">
        <v>128</v>
      </c>
      <c r="S2944" s="2" t="s">
        <v>436</v>
      </c>
      <c r="T2944" s="10">
        <v>8823</v>
      </c>
      <c r="U2944" s="11">
        <v>1.1780000000000001E-2</v>
      </c>
      <c r="V2944" s="12">
        <f>T2944*U2944</f>
        <v>103.93494000000001</v>
      </c>
      <c r="W2944" s="13">
        <v>0.18</v>
      </c>
      <c r="X2944" s="12">
        <f>V2944-(V2944/(1+W2944))</f>
        <v>15.85448237288135</v>
      </c>
      <c r="Y2944" s="12">
        <f>V2944-X2944</f>
        <v>88.080457627118662</v>
      </c>
      <c r="Z2944" s="14">
        <v>75</v>
      </c>
      <c r="AA2944" s="2" t="str">
        <f>IF(V2944&gt;Z2944,"Yes","No")</f>
        <v>Yes</v>
      </c>
      <c r="AB2944" s="12">
        <f>V2944-Z2944</f>
        <v>28.934940000000012</v>
      </c>
      <c r="AC2944" s="15" t="s">
        <v>130</v>
      </c>
      <c r="AD2944" s="15" t="s">
        <v>130</v>
      </c>
      <c r="AE2944" s="15" t="s">
        <v>350</v>
      </c>
      <c r="AF2944" s="12">
        <f>IF(AG2944="Rejected",0,IF(R2944="Corporate Card",0,V2944))</f>
        <v>0</v>
      </c>
      <c r="AG2944" s="15" t="s">
        <v>133</v>
      </c>
      <c r="AH2944" s="16">
        <v>46015</v>
      </c>
      <c r="AI2944" s="16">
        <v>46020</v>
      </c>
      <c r="AJ2944" s="16">
        <v>46027</v>
      </c>
      <c r="AK2944" s="17">
        <f>IF(AJ2944="","",AJ2944-AH2944)</f>
        <v>12</v>
      </c>
    </row>
    <row r="2945" spans="1:37">
      <c r="A2945" s="2" t="s">
        <v>3461</v>
      </c>
      <c r="B2945" s="2" t="s">
        <v>442</v>
      </c>
      <c r="C2945" s="2" t="s">
        <v>443</v>
      </c>
      <c r="D2945" s="2" t="s">
        <v>444</v>
      </c>
      <c r="E2945" s="2" t="s">
        <v>445</v>
      </c>
      <c r="F2945" s="2" t="s">
        <v>446</v>
      </c>
      <c r="G2945" s="2" t="s">
        <v>3433</v>
      </c>
      <c r="H2945" s="2" t="s">
        <v>291</v>
      </c>
      <c r="I2945" s="2" t="s">
        <v>567</v>
      </c>
      <c r="J2945" s="2" t="s">
        <v>434</v>
      </c>
      <c r="K2945" s="9">
        <v>46001</v>
      </c>
      <c r="L2945" s="9">
        <v>46006</v>
      </c>
      <c r="M2945" s="9">
        <v>46004</v>
      </c>
      <c r="N2945" s="2" t="s">
        <v>3380</v>
      </c>
      <c r="O2945" s="2" t="s">
        <v>55</v>
      </c>
      <c r="P2945" s="2" t="s">
        <v>139</v>
      </c>
      <c r="Q2945" s="2" t="s">
        <v>217</v>
      </c>
      <c r="R2945" s="2" t="s">
        <v>128</v>
      </c>
      <c r="S2945" s="2" t="s">
        <v>436</v>
      </c>
      <c r="T2945" s="10">
        <v>2181</v>
      </c>
      <c r="U2945" s="11">
        <v>1.1780000000000001E-2</v>
      </c>
      <c r="V2945" s="12">
        <f>T2945*U2945</f>
        <v>25.69218</v>
      </c>
      <c r="W2945" s="13">
        <v>0.18</v>
      </c>
      <c r="X2945" s="12">
        <f>V2945-(V2945/(1+W2945))</f>
        <v>3.9191461016949134</v>
      </c>
      <c r="Y2945" s="12">
        <f>V2945-X2945</f>
        <v>21.773033898305087</v>
      </c>
      <c r="Z2945" s="14">
        <v>35</v>
      </c>
      <c r="AA2945" s="2" t="str">
        <f>IF(V2945&gt;Z2945,"Yes","No")</f>
        <v>No</v>
      </c>
      <c r="AB2945" s="12">
        <f>V2945-Z2945</f>
        <v>-9.3078199999999995</v>
      </c>
      <c r="AC2945" s="15" t="s">
        <v>130</v>
      </c>
      <c r="AD2945" s="15" t="s">
        <v>130</v>
      </c>
      <c r="AE2945" s="15" t="s">
        <v>350</v>
      </c>
      <c r="AF2945" s="12">
        <f>IF(AG2945="Rejected",0,IF(R2945="Corporate Card",0,V2945))</f>
        <v>0</v>
      </c>
      <c r="AG2945" s="15" t="s">
        <v>133</v>
      </c>
      <c r="AH2945" s="16">
        <v>46015</v>
      </c>
      <c r="AI2945" s="16">
        <v>46020</v>
      </c>
      <c r="AJ2945" s="16">
        <v>46027</v>
      </c>
      <c r="AK2945" s="17">
        <f>IF(AJ2945="","",AJ2945-AH2945)</f>
        <v>12</v>
      </c>
    </row>
    <row r="2946" spans="1:37">
      <c r="A2946" s="2" t="s">
        <v>3462</v>
      </c>
      <c r="B2946" s="2" t="s">
        <v>770</v>
      </c>
      <c r="C2946" s="2" t="s">
        <v>771</v>
      </c>
      <c r="D2946" s="2" t="s">
        <v>414</v>
      </c>
      <c r="E2946" s="2" t="s">
        <v>772</v>
      </c>
      <c r="F2946" s="2" t="s">
        <v>413</v>
      </c>
      <c r="G2946" s="2" t="s">
        <v>3445</v>
      </c>
      <c r="H2946" s="2" t="s">
        <v>122</v>
      </c>
      <c r="I2946" s="2" t="s">
        <v>567</v>
      </c>
      <c r="J2946" s="2" t="s">
        <v>434</v>
      </c>
      <c r="K2946" s="9">
        <v>46003</v>
      </c>
      <c r="L2946" s="9">
        <v>46005</v>
      </c>
      <c r="M2946" s="9">
        <v>46005</v>
      </c>
      <c r="N2946" s="2" t="s">
        <v>3380</v>
      </c>
      <c r="O2946" s="2" t="s">
        <v>54</v>
      </c>
      <c r="P2946" s="2" t="s">
        <v>139</v>
      </c>
      <c r="Q2946" s="2" t="s">
        <v>140</v>
      </c>
      <c r="R2946" s="2" t="s">
        <v>137</v>
      </c>
      <c r="S2946" s="2" t="s">
        <v>436</v>
      </c>
      <c r="T2946" s="10">
        <v>1982</v>
      </c>
      <c r="U2946" s="11">
        <v>1.1780000000000001E-2</v>
      </c>
      <c r="V2946" s="12">
        <f>T2946*U2946</f>
        <v>23.34796</v>
      </c>
      <c r="W2946" s="13">
        <v>0.18</v>
      </c>
      <c r="X2946" s="12">
        <f>V2946-(V2946/(1+W2946))</f>
        <v>3.5615532203389826</v>
      </c>
      <c r="Y2946" s="12">
        <f>V2946-X2946</f>
        <v>19.786406779661018</v>
      </c>
      <c r="Z2946" s="14">
        <v>25</v>
      </c>
      <c r="AA2946" s="2" t="str">
        <f>IF(V2946&gt;Z2946,"Yes","No")</f>
        <v>No</v>
      </c>
      <c r="AB2946" s="12">
        <f>V2946-Z2946</f>
        <v>-1.6520399999999995</v>
      </c>
      <c r="AC2946" s="15" t="s">
        <v>130</v>
      </c>
      <c r="AD2946" s="15" t="s">
        <v>130</v>
      </c>
      <c r="AE2946" s="15" t="s">
        <v>437</v>
      </c>
      <c r="AF2946" s="12">
        <f>IF(AG2946="Rejected",0,IF(R2946="Corporate Card",0,V2946))</f>
        <v>23.34796</v>
      </c>
      <c r="AG2946" s="15" t="s">
        <v>133</v>
      </c>
      <c r="AH2946" s="16">
        <v>46006</v>
      </c>
      <c r="AI2946" s="16">
        <v>46014</v>
      </c>
      <c r="AJ2946" s="16">
        <v>46019</v>
      </c>
      <c r="AK2946" s="17">
        <f>IF(AJ2946="","",AJ2946-AH2946)</f>
        <v>13</v>
      </c>
    </row>
    <row r="2947" spans="1:37">
      <c r="A2947" s="2" t="s">
        <v>3463</v>
      </c>
      <c r="B2947" s="2" t="s">
        <v>770</v>
      </c>
      <c r="C2947" s="2" t="s">
        <v>771</v>
      </c>
      <c r="D2947" s="2" t="s">
        <v>414</v>
      </c>
      <c r="E2947" s="2" t="s">
        <v>772</v>
      </c>
      <c r="F2947" s="2" t="s">
        <v>413</v>
      </c>
      <c r="G2947" s="2" t="s">
        <v>3445</v>
      </c>
      <c r="H2947" s="2" t="s">
        <v>122</v>
      </c>
      <c r="I2947" s="2" t="s">
        <v>567</v>
      </c>
      <c r="J2947" s="2" t="s">
        <v>434</v>
      </c>
      <c r="K2947" s="9">
        <v>46003</v>
      </c>
      <c r="L2947" s="9">
        <v>46005</v>
      </c>
      <c r="M2947" s="9">
        <v>46005</v>
      </c>
      <c r="N2947" s="2" t="s">
        <v>3380</v>
      </c>
      <c r="O2947" s="2" t="s">
        <v>56</v>
      </c>
      <c r="P2947" s="2" t="s">
        <v>165</v>
      </c>
      <c r="Q2947" s="2" t="s">
        <v>166</v>
      </c>
      <c r="R2947" s="2" t="s">
        <v>128</v>
      </c>
      <c r="S2947" s="2" t="s">
        <v>436</v>
      </c>
      <c r="T2947" s="10">
        <v>8108</v>
      </c>
      <c r="U2947" s="11">
        <v>1.1780000000000001E-2</v>
      </c>
      <c r="V2947" s="12">
        <f>T2947*U2947</f>
        <v>95.512240000000006</v>
      </c>
      <c r="W2947" s="13">
        <v>0.18</v>
      </c>
      <c r="X2947" s="12">
        <f>V2947-(V2947/(1+W2947))</f>
        <v>14.569663728813552</v>
      </c>
      <c r="Y2947" s="12">
        <f>V2947-X2947</f>
        <v>80.942576271186454</v>
      </c>
      <c r="Z2947" s="14">
        <v>75</v>
      </c>
      <c r="AA2947" s="2" t="str">
        <f>IF(V2947&gt;Z2947,"Yes","No")</f>
        <v>Yes</v>
      </c>
      <c r="AB2947" s="12">
        <f>V2947-Z2947</f>
        <v>20.512240000000006</v>
      </c>
      <c r="AC2947" s="15" t="s">
        <v>130</v>
      </c>
      <c r="AD2947" s="15" t="s">
        <v>130</v>
      </c>
      <c r="AE2947" s="15" t="s">
        <v>437</v>
      </c>
      <c r="AF2947" s="12">
        <f>IF(AG2947="Rejected",0,IF(R2947="Corporate Card",0,V2947))</f>
        <v>0</v>
      </c>
      <c r="AG2947" s="15" t="s">
        <v>133</v>
      </c>
      <c r="AH2947" s="16">
        <v>46006</v>
      </c>
      <c r="AI2947" s="16">
        <v>46014</v>
      </c>
      <c r="AJ2947" s="16">
        <v>46019</v>
      </c>
      <c r="AK2947" s="17">
        <f>IF(AJ2947="","",AJ2947-AH2947)</f>
        <v>13</v>
      </c>
    </row>
    <row r="2948" spans="1:37">
      <c r="A2948" s="2" t="s">
        <v>3464</v>
      </c>
      <c r="B2948" s="2" t="s">
        <v>770</v>
      </c>
      <c r="C2948" s="2" t="s">
        <v>771</v>
      </c>
      <c r="D2948" s="2" t="s">
        <v>414</v>
      </c>
      <c r="E2948" s="2" t="s">
        <v>772</v>
      </c>
      <c r="F2948" s="2" t="s">
        <v>413</v>
      </c>
      <c r="G2948" s="2" t="s">
        <v>3445</v>
      </c>
      <c r="H2948" s="2" t="s">
        <v>122</v>
      </c>
      <c r="I2948" s="2" t="s">
        <v>567</v>
      </c>
      <c r="J2948" s="2" t="s">
        <v>434</v>
      </c>
      <c r="K2948" s="9">
        <v>46003</v>
      </c>
      <c r="L2948" s="9">
        <v>46005</v>
      </c>
      <c r="M2948" s="9">
        <v>46005</v>
      </c>
      <c r="N2948" s="2" t="s">
        <v>3380</v>
      </c>
      <c r="O2948" s="2" t="s">
        <v>55</v>
      </c>
      <c r="P2948" s="2" t="s">
        <v>139</v>
      </c>
      <c r="Q2948" s="2" t="s">
        <v>217</v>
      </c>
      <c r="R2948" s="2" t="s">
        <v>128</v>
      </c>
      <c r="S2948" s="2" t="s">
        <v>436</v>
      </c>
      <c r="T2948" s="10">
        <v>2833</v>
      </c>
      <c r="U2948" s="11">
        <v>1.1780000000000001E-2</v>
      </c>
      <c r="V2948" s="12">
        <f>T2948*U2948</f>
        <v>33.37274</v>
      </c>
      <c r="W2948" s="13">
        <v>0.18</v>
      </c>
      <c r="X2948" s="12">
        <f>V2948-(V2948/(1+W2948))</f>
        <v>5.0907569491525422</v>
      </c>
      <c r="Y2948" s="12">
        <f>V2948-X2948</f>
        <v>28.281983050847458</v>
      </c>
      <c r="Z2948" s="14">
        <v>35</v>
      </c>
      <c r="AA2948" s="2" t="str">
        <f>IF(V2948&gt;Z2948,"Yes","No")</f>
        <v>No</v>
      </c>
      <c r="AB2948" s="12">
        <f>V2948-Z2948</f>
        <v>-1.6272599999999997</v>
      </c>
      <c r="AC2948" s="15" t="s">
        <v>130</v>
      </c>
      <c r="AD2948" s="15" t="s">
        <v>130</v>
      </c>
      <c r="AE2948" s="15" t="s">
        <v>437</v>
      </c>
      <c r="AF2948" s="12">
        <f>IF(AG2948="Rejected",0,IF(R2948="Corporate Card",0,V2948))</f>
        <v>0</v>
      </c>
      <c r="AG2948" s="15" t="s">
        <v>133</v>
      </c>
      <c r="AH2948" s="16">
        <v>46006</v>
      </c>
      <c r="AI2948" s="16">
        <v>46014</v>
      </c>
      <c r="AJ2948" s="16">
        <v>46019</v>
      </c>
      <c r="AK2948" s="17">
        <f>IF(AJ2948="","",AJ2948-AH2948)</f>
        <v>13</v>
      </c>
    </row>
    <row r="2949" spans="1:37">
      <c r="A2949" s="2" t="s">
        <v>3465</v>
      </c>
      <c r="B2949" s="2" t="s">
        <v>442</v>
      </c>
      <c r="C2949" s="2" t="s">
        <v>443</v>
      </c>
      <c r="D2949" s="2" t="s">
        <v>444</v>
      </c>
      <c r="E2949" s="2" t="s">
        <v>445</v>
      </c>
      <c r="F2949" s="2" t="s">
        <v>446</v>
      </c>
      <c r="G2949" s="2" t="s">
        <v>3433</v>
      </c>
      <c r="H2949" s="2" t="s">
        <v>291</v>
      </c>
      <c r="I2949" s="2" t="s">
        <v>567</v>
      </c>
      <c r="J2949" s="2" t="s">
        <v>434</v>
      </c>
      <c r="K2949" s="9">
        <v>46001</v>
      </c>
      <c r="L2949" s="9">
        <v>46006</v>
      </c>
      <c r="M2949" s="9">
        <v>46005</v>
      </c>
      <c r="N2949" s="2" t="s">
        <v>3380</v>
      </c>
      <c r="O2949" s="2" t="s">
        <v>57</v>
      </c>
      <c r="P2949" s="2" t="s">
        <v>398</v>
      </c>
      <c r="Q2949" s="2" t="s">
        <v>1204</v>
      </c>
      <c r="R2949" s="2" t="s">
        <v>128</v>
      </c>
      <c r="S2949" s="2" t="s">
        <v>436</v>
      </c>
      <c r="T2949" s="10">
        <v>12972</v>
      </c>
      <c r="U2949" s="11">
        <v>1.1780000000000001E-2</v>
      </c>
      <c r="V2949" s="12">
        <f>T2949*U2949</f>
        <v>152.81016</v>
      </c>
      <c r="W2949" s="13">
        <v>0.18</v>
      </c>
      <c r="X2949" s="12">
        <f>V2949-(V2949/(1+W2949))</f>
        <v>23.310024406779661</v>
      </c>
      <c r="Y2949" s="12">
        <f>V2949-X2949</f>
        <v>129.50013559322034</v>
      </c>
      <c r="Z2949" s="14">
        <v>200</v>
      </c>
      <c r="AA2949" s="2" t="str">
        <f>IF(V2949&gt;Z2949,"Yes","No")</f>
        <v>No</v>
      </c>
      <c r="AB2949" s="12">
        <f>V2949-Z2949</f>
        <v>-47.189840000000004</v>
      </c>
      <c r="AC2949" s="15" t="s">
        <v>130</v>
      </c>
      <c r="AD2949" s="15" t="s">
        <v>130</v>
      </c>
      <c r="AE2949" s="15" t="s">
        <v>350</v>
      </c>
      <c r="AF2949" s="12">
        <f>IF(AG2949="Rejected",0,IF(R2949="Corporate Card",0,V2949))</f>
        <v>0</v>
      </c>
      <c r="AG2949" s="15" t="s">
        <v>133</v>
      </c>
      <c r="AH2949" s="16">
        <v>46015</v>
      </c>
      <c r="AI2949" s="16">
        <v>46020</v>
      </c>
      <c r="AJ2949" s="16">
        <v>46027</v>
      </c>
      <c r="AK2949" s="17">
        <f>IF(AJ2949="","",AJ2949-AH2949)</f>
        <v>12</v>
      </c>
    </row>
    <row r="2950" spans="1:37">
      <c r="A2950" s="2" t="s">
        <v>3466</v>
      </c>
      <c r="B2950" s="2" t="s">
        <v>442</v>
      </c>
      <c r="C2950" s="2" t="s">
        <v>443</v>
      </c>
      <c r="D2950" s="2" t="s">
        <v>444</v>
      </c>
      <c r="E2950" s="2" t="s">
        <v>445</v>
      </c>
      <c r="F2950" s="2" t="s">
        <v>446</v>
      </c>
      <c r="G2950" s="2" t="s">
        <v>3433</v>
      </c>
      <c r="H2950" s="2" t="s">
        <v>291</v>
      </c>
      <c r="I2950" s="2" t="s">
        <v>567</v>
      </c>
      <c r="J2950" s="2" t="s">
        <v>434</v>
      </c>
      <c r="K2950" s="9">
        <v>46001</v>
      </c>
      <c r="L2950" s="9">
        <v>46006</v>
      </c>
      <c r="M2950" s="9">
        <v>46005</v>
      </c>
      <c r="N2950" s="2" t="s">
        <v>3380</v>
      </c>
      <c r="O2950" s="2" t="s">
        <v>58</v>
      </c>
      <c r="P2950" s="2" t="s">
        <v>142</v>
      </c>
      <c r="Q2950" s="2" t="s">
        <v>156</v>
      </c>
      <c r="R2950" s="2" t="s">
        <v>137</v>
      </c>
      <c r="S2950" s="2" t="s">
        <v>436</v>
      </c>
      <c r="T2950" s="10">
        <v>2036</v>
      </c>
      <c r="U2950" s="11">
        <v>1.1780000000000001E-2</v>
      </c>
      <c r="V2950" s="12">
        <f>T2950*U2950</f>
        <v>23.984080000000002</v>
      </c>
      <c r="W2950" s="13">
        <v>0.18</v>
      </c>
      <c r="X2950" s="12">
        <f>V2950-(V2950/(1+W2950))</f>
        <v>3.6585884745762698</v>
      </c>
      <c r="Y2950" s="12">
        <f>V2950-X2950</f>
        <v>20.325491525423732</v>
      </c>
      <c r="Z2950" s="14">
        <v>60</v>
      </c>
      <c r="AA2950" s="2" t="str">
        <f>IF(V2950&gt;Z2950,"Yes","No")</f>
        <v>No</v>
      </c>
      <c r="AB2950" s="12">
        <f>V2950-Z2950</f>
        <v>-36.015919999999994</v>
      </c>
      <c r="AC2950" s="15" t="s">
        <v>130</v>
      </c>
      <c r="AD2950" s="15" t="s">
        <v>130</v>
      </c>
      <c r="AE2950" s="15" t="s">
        <v>350</v>
      </c>
      <c r="AF2950" s="12">
        <f>IF(AG2950="Rejected",0,IF(R2950="Corporate Card",0,V2950))</f>
        <v>23.984080000000002</v>
      </c>
      <c r="AG2950" s="15" t="s">
        <v>133</v>
      </c>
      <c r="AH2950" s="16">
        <v>46015</v>
      </c>
      <c r="AI2950" s="16">
        <v>46020</v>
      </c>
      <c r="AJ2950" s="16">
        <v>46027</v>
      </c>
      <c r="AK2950" s="17">
        <f>IF(AJ2950="","",AJ2950-AH2950)</f>
        <v>12</v>
      </c>
    </row>
    <row r="2951" spans="1:37">
      <c r="A2951" s="2" t="s">
        <v>3467</v>
      </c>
      <c r="B2951" s="2" t="s">
        <v>442</v>
      </c>
      <c r="C2951" s="2" t="s">
        <v>443</v>
      </c>
      <c r="D2951" s="2" t="s">
        <v>444</v>
      </c>
      <c r="E2951" s="2" t="s">
        <v>445</v>
      </c>
      <c r="F2951" s="2" t="s">
        <v>446</v>
      </c>
      <c r="G2951" s="2" t="s">
        <v>3433</v>
      </c>
      <c r="H2951" s="2" t="s">
        <v>291</v>
      </c>
      <c r="I2951" s="2" t="s">
        <v>567</v>
      </c>
      <c r="J2951" s="2" t="s">
        <v>434</v>
      </c>
      <c r="K2951" s="9">
        <v>46001</v>
      </c>
      <c r="L2951" s="9">
        <v>46006</v>
      </c>
      <c r="M2951" s="9">
        <v>46005</v>
      </c>
      <c r="N2951" s="2" t="s">
        <v>3380</v>
      </c>
      <c r="O2951" s="2" t="s">
        <v>54</v>
      </c>
      <c r="P2951" s="2" t="s">
        <v>139</v>
      </c>
      <c r="Q2951" s="2" t="s">
        <v>148</v>
      </c>
      <c r="R2951" s="2" t="s">
        <v>128</v>
      </c>
      <c r="S2951" s="2" t="s">
        <v>436</v>
      </c>
      <c r="T2951" s="10">
        <v>810</v>
      </c>
      <c r="U2951" s="11">
        <v>1.1780000000000001E-2</v>
      </c>
      <c r="V2951" s="12">
        <f>T2951*U2951</f>
        <v>9.5418000000000003</v>
      </c>
      <c r="W2951" s="13">
        <v>0.18</v>
      </c>
      <c r="X2951" s="12">
        <f>V2951-(V2951/(1+W2951))</f>
        <v>1.4555288135593223</v>
      </c>
      <c r="Y2951" s="12">
        <f>V2951-X2951</f>
        <v>8.086271186440678</v>
      </c>
      <c r="Z2951" s="14">
        <v>25</v>
      </c>
      <c r="AA2951" s="2" t="str">
        <f>IF(V2951&gt;Z2951,"Yes","No")</f>
        <v>No</v>
      </c>
      <c r="AB2951" s="12">
        <f>V2951-Z2951</f>
        <v>-15.4582</v>
      </c>
      <c r="AC2951" s="15" t="s">
        <v>130</v>
      </c>
      <c r="AD2951" s="15" t="s">
        <v>130</v>
      </c>
      <c r="AE2951" s="15" t="s">
        <v>350</v>
      </c>
      <c r="AF2951" s="12">
        <f>IF(AG2951="Rejected",0,IF(R2951="Corporate Card",0,V2951))</f>
        <v>0</v>
      </c>
      <c r="AG2951" s="15" t="s">
        <v>133</v>
      </c>
      <c r="AH2951" s="16">
        <v>46015</v>
      </c>
      <c r="AI2951" s="16">
        <v>46020</v>
      </c>
      <c r="AJ2951" s="16">
        <v>46027</v>
      </c>
      <c r="AK2951" s="17">
        <f>IF(AJ2951="","",AJ2951-AH2951)</f>
        <v>12</v>
      </c>
    </row>
    <row r="2952" spans="1:37">
      <c r="A2952" s="2" t="s">
        <v>3468</v>
      </c>
      <c r="B2952" s="2" t="s">
        <v>442</v>
      </c>
      <c r="C2952" s="2" t="s">
        <v>443</v>
      </c>
      <c r="D2952" s="2" t="s">
        <v>444</v>
      </c>
      <c r="E2952" s="2" t="s">
        <v>445</v>
      </c>
      <c r="F2952" s="2" t="s">
        <v>446</v>
      </c>
      <c r="G2952" s="2" t="s">
        <v>3433</v>
      </c>
      <c r="H2952" s="2" t="s">
        <v>291</v>
      </c>
      <c r="I2952" s="2" t="s">
        <v>567</v>
      </c>
      <c r="J2952" s="2" t="s">
        <v>434</v>
      </c>
      <c r="K2952" s="9">
        <v>46001</v>
      </c>
      <c r="L2952" s="9">
        <v>46006</v>
      </c>
      <c r="M2952" s="9">
        <v>46005</v>
      </c>
      <c r="N2952" s="2" t="s">
        <v>3380</v>
      </c>
      <c r="O2952" s="2" t="s">
        <v>56</v>
      </c>
      <c r="P2952" s="2" t="s">
        <v>165</v>
      </c>
      <c r="Q2952" s="2" t="s">
        <v>185</v>
      </c>
      <c r="R2952" s="2" t="s">
        <v>137</v>
      </c>
      <c r="S2952" s="2" t="s">
        <v>436</v>
      </c>
      <c r="T2952" s="10">
        <v>8215</v>
      </c>
      <c r="U2952" s="11">
        <v>1.1780000000000001E-2</v>
      </c>
      <c r="V2952" s="12">
        <f>T2952*U2952</f>
        <v>96.7727</v>
      </c>
      <c r="W2952" s="13">
        <v>0.18</v>
      </c>
      <c r="X2952" s="12">
        <f>V2952-(V2952/(1+W2952))</f>
        <v>14.761937288135584</v>
      </c>
      <c r="Y2952" s="12">
        <f>V2952-X2952</f>
        <v>82.010762711864416</v>
      </c>
      <c r="Z2952" s="14">
        <v>75</v>
      </c>
      <c r="AA2952" s="2" t="str">
        <f>IF(V2952&gt;Z2952,"Yes","No")</f>
        <v>Yes</v>
      </c>
      <c r="AB2952" s="12">
        <f>V2952-Z2952</f>
        <v>21.7727</v>
      </c>
      <c r="AC2952" s="15" t="s">
        <v>130</v>
      </c>
      <c r="AD2952" s="15" t="s">
        <v>130</v>
      </c>
      <c r="AE2952" s="15" t="s">
        <v>350</v>
      </c>
      <c r="AF2952" s="12">
        <f>IF(AG2952="Rejected",0,IF(R2952="Corporate Card",0,V2952))</f>
        <v>96.7727</v>
      </c>
      <c r="AG2952" s="15" t="s">
        <v>133</v>
      </c>
      <c r="AH2952" s="16">
        <v>46015</v>
      </c>
      <c r="AI2952" s="16">
        <v>46020</v>
      </c>
      <c r="AJ2952" s="16">
        <v>46027</v>
      </c>
      <c r="AK2952" s="17">
        <f>IF(AJ2952="","",AJ2952-AH2952)</f>
        <v>12</v>
      </c>
    </row>
    <row r="2953" spans="1:37">
      <c r="A2953" s="2" t="s">
        <v>3469</v>
      </c>
      <c r="B2953" s="2" t="s">
        <v>442</v>
      </c>
      <c r="C2953" s="2" t="s">
        <v>443</v>
      </c>
      <c r="D2953" s="2" t="s">
        <v>444</v>
      </c>
      <c r="E2953" s="2" t="s">
        <v>445</v>
      </c>
      <c r="F2953" s="2" t="s">
        <v>446</v>
      </c>
      <c r="G2953" s="2" t="s">
        <v>3433</v>
      </c>
      <c r="H2953" s="2" t="s">
        <v>291</v>
      </c>
      <c r="I2953" s="2" t="s">
        <v>567</v>
      </c>
      <c r="J2953" s="2" t="s">
        <v>434</v>
      </c>
      <c r="K2953" s="9">
        <v>46001</v>
      </c>
      <c r="L2953" s="9">
        <v>46006</v>
      </c>
      <c r="M2953" s="9">
        <v>46005</v>
      </c>
      <c r="N2953" s="2" t="s">
        <v>3380</v>
      </c>
      <c r="O2953" s="2" t="s">
        <v>55</v>
      </c>
      <c r="P2953" s="2" t="s">
        <v>139</v>
      </c>
      <c r="Q2953" s="2" t="s">
        <v>161</v>
      </c>
      <c r="R2953" s="2" t="s">
        <v>128</v>
      </c>
      <c r="S2953" s="2" t="s">
        <v>436</v>
      </c>
      <c r="T2953" s="10">
        <v>2604</v>
      </c>
      <c r="U2953" s="11">
        <v>1.1780000000000001E-2</v>
      </c>
      <c r="V2953" s="12">
        <f>T2953*U2953</f>
        <v>30.67512</v>
      </c>
      <c r="W2953" s="13">
        <v>0.18</v>
      </c>
      <c r="X2953" s="12">
        <f>V2953-(V2953/(1+W2953))</f>
        <v>4.6792555932203364</v>
      </c>
      <c r="Y2953" s="12">
        <f>V2953-X2953</f>
        <v>25.995864406779663</v>
      </c>
      <c r="Z2953" s="14">
        <v>35</v>
      </c>
      <c r="AA2953" s="2" t="str">
        <f>IF(V2953&gt;Z2953,"Yes","No")</f>
        <v>No</v>
      </c>
      <c r="AB2953" s="12">
        <f>V2953-Z2953</f>
        <v>-4.3248800000000003</v>
      </c>
      <c r="AC2953" s="15" t="s">
        <v>130</v>
      </c>
      <c r="AD2953" s="15" t="s">
        <v>130</v>
      </c>
      <c r="AE2953" s="15" t="s">
        <v>350</v>
      </c>
      <c r="AF2953" s="12">
        <f>IF(AG2953="Rejected",0,IF(R2953="Corporate Card",0,V2953))</f>
        <v>0</v>
      </c>
      <c r="AG2953" s="15" t="s">
        <v>133</v>
      </c>
      <c r="AH2953" s="16">
        <v>46015</v>
      </c>
      <c r="AI2953" s="16">
        <v>46020</v>
      </c>
      <c r="AJ2953" s="16">
        <v>46027</v>
      </c>
      <c r="AK2953" s="17">
        <f>IF(AJ2953="","",AJ2953-AH2953)</f>
        <v>12</v>
      </c>
    </row>
    <row r="2954" spans="1:37">
      <c r="A2954" s="2" t="s">
        <v>3470</v>
      </c>
      <c r="B2954" s="2" t="s">
        <v>442</v>
      </c>
      <c r="C2954" s="2" t="s">
        <v>443</v>
      </c>
      <c r="D2954" s="2" t="s">
        <v>444</v>
      </c>
      <c r="E2954" s="2" t="s">
        <v>445</v>
      </c>
      <c r="F2954" s="2" t="s">
        <v>446</v>
      </c>
      <c r="G2954" s="2" t="s">
        <v>3433</v>
      </c>
      <c r="H2954" s="2" t="s">
        <v>291</v>
      </c>
      <c r="I2954" s="2" t="s">
        <v>567</v>
      </c>
      <c r="J2954" s="2" t="s">
        <v>434</v>
      </c>
      <c r="K2954" s="9">
        <v>46001</v>
      </c>
      <c r="L2954" s="9">
        <v>46006</v>
      </c>
      <c r="M2954" s="9">
        <v>46006</v>
      </c>
      <c r="N2954" s="2" t="s">
        <v>3380</v>
      </c>
      <c r="O2954" s="2" t="s">
        <v>54</v>
      </c>
      <c r="P2954" s="2" t="s">
        <v>139</v>
      </c>
      <c r="Q2954" s="2" t="s">
        <v>148</v>
      </c>
      <c r="R2954" s="2" t="s">
        <v>149</v>
      </c>
      <c r="S2954" s="2" t="s">
        <v>436</v>
      </c>
      <c r="T2954" s="10">
        <v>988</v>
      </c>
      <c r="U2954" s="11">
        <v>1.1780000000000001E-2</v>
      </c>
      <c r="V2954" s="12">
        <f>T2954*U2954</f>
        <v>11.638640000000001</v>
      </c>
      <c r="W2954" s="13">
        <v>0.18</v>
      </c>
      <c r="X2954" s="12">
        <f>V2954-(V2954/(1+W2954))</f>
        <v>1.7753857627118634</v>
      </c>
      <c r="Y2954" s="12">
        <f>V2954-X2954</f>
        <v>9.8632542372881371</v>
      </c>
      <c r="Z2954" s="14">
        <v>25</v>
      </c>
      <c r="AA2954" s="2" t="str">
        <f>IF(V2954&gt;Z2954,"Yes","No")</f>
        <v>No</v>
      </c>
      <c r="AB2954" s="12">
        <f>V2954-Z2954</f>
        <v>-13.361359999999999</v>
      </c>
      <c r="AC2954" s="15" t="s">
        <v>130</v>
      </c>
      <c r="AD2954" s="15" t="s">
        <v>130</v>
      </c>
      <c r="AE2954" s="15" t="s">
        <v>350</v>
      </c>
      <c r="AF2954" s="12">
        <f>IF(AG2954="Rejected",0,IF(R2954="Corporate Card",0,V2954))</f>
        <v>11.638640000000001</v>
      </c>
      <c r="AG2954" s="15" t="s">
        <v>133</v>
      </c>
      <c r="AH2954" s="16">
        <v>46015</v>
      </c>
      <c r="AI2954" s="16">
        <v>46020</v>
      </c>
      <c r="AJ2954" s="16">
        <v>46027</v>
      </c>
      <c r="AK2954" s="17">
        <f>IF(AJ2954="","",AJ2954-AH2954)</f>
        <v>12</v>
      </c>
    </row>
    <row r="2955" spans="1:37">
      <c r="A2955" s="2" t="s">
        <v>3471</v>
      </c>
      <c r="B2955" s="2" t="s">
        <v>442</v>
      </c>
      <c r="C2955" s="2" t="s">
        <v>443</v>
      </c>
      <c r="D2955" s="2" t="s">
        <v>444</v>
      </c>
      <c r="E2955" s="2" t="s">
        <v>445</v>
      </c>
      <c r="F2955" s="2" t="s">
        <v>446</v>
      </c>
      <c r="G2955" s="2" t="s">
        <v>3433</v>
      </c>
      <c r="H2955" s="2" t="s">
        <v>291</v>
      </c>
      <c r="I2955" s="2" t="s">
        <v>567</v>
      </c>
      <c r="J2955" s="2" t="s">
        <v>434</v>
      </c>
      <c r="K2955" s="9">
        <v>46001</v>
      </c>
      <c r="L2955" s="9">
        <v>46006</v>
      </c>
      <c r="M2955" s="9">
        <v>46006</v>
      </c>
      <c r="N2955" s="2" t="s">
        <v>3380</v>
      </c>
      <c r="O2955" s="2" t="s">
        <v>56</v>
      </c>
      <c r="P2955" s="2" t="s">
        <v>151</v>
      </c>
      <c r="Q2955" s="2" t="s">
        <v>152</v>
      </c>
      <c r="R2955" s="2" t="s">
        <v>128</v>
      </c>
      <c r="S2955" s="2" t="s">
        <v>436</v>
      </c>
      <c r="T2955" s="10">
        <v>3557</v>
      </c>
      <c r="U2955" s="11">
        <v>1.1780000000000001E-2</v>
      </c>
      <c r="V2955" s="12">
        <f>T2955*U2955</f>
        <v>41.90146</v>
      </c>
      <c r="W2955" s="13">
        <v>0.18</v>
      </c>
      <c r="X2955" s="12">
        <f>V2955-(V2955/(1+W2955))</f>
        <v>6.3917481355932182</v>
      </c>
      <c r="Y2955" s="12">
        <f>V2955-X2955</f>
        <v>35.509711864406782</v>
      </c>
      <c r="Z2955" s="14">
        <v>75</v>
      </c>
      <c r="AA2955" s="2" t="str">
        <f>IF(V2955&gt;Z2955,"Yes","No")</f>
        <v>No</v>
      </c>
      <c r="AB2955" s="12">
        <f>V2955-Z2955</f>
        <v>-33.09854</v>
      </c>
      <c r="AC2955" s="15" t="s">
        <v>130</v>
      </c>
      <c r="AD2955" s="15" t="s">
        <v>130</v>
      </c>
      <c r="AE2955" s="15" t="s">
        <v>350</v>
      </c>
      <c r="AF2955" s="12">
        <f>IF(AG2955="Rejected",0,IF(R2955="Corporate Card",0,V2955))</f>
        <v>0</v>
      </c>
      <c r="AG2955" s="15" t="s">
        <v>133</v>
      </c>
      <c r="AH2955" s="16">
        <v>46015</v>
      </c>
      <c r="AI2955" s="16">
        <v>46020</v>
      </c>
      <c r="AJ2955" s="16">
        <v>46027</v>
      </c>
      <c r="AK2955" s="17">
        <f>IF(AJ2955="","",AJ2955-AH2955)</f>
        <v>12</v>
      </c>
    </row>
  </sheetData>
  <autoFilter ref="A1:AK295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2"/>
  <sheetViews>
    <sheetView zoomScaleNormal="100" workbookViewId="0">
      <pane xSplit="2" ySplit="3" topLeftCell="C4" activePane="bottomRight" state="frozen"/>
      <selection pane="bottomRight"/>
      <selection pane="bottomLeft" activeCell="A4" sqref="A4"/>
      <selection pane="topRight" activeCell="C1" sqref="C1"/>
    </sheetView>
  </sheetViews>
  <sheetFormatPr defaultColWidth="8.7109375" defaultRowHeight="15"/>
  <cols>
    <col min="1" max="1" width="14" customWidth="1"/>
    <col min="2" max="2" width="20" customWidth="1"/>
    <col min="3" max="3" width="18" customWidth="1"/>
    <col min="4" max="5" width="15" customWidth="1"/>
    <col min="6" max="6" width="26" customWidth="1"/>
    <col min="7" max="8" width="12" customWidth="1"/>
    <col min="9" max="9" width="11" customWidth="1"/>
    <col min="10" max="10" width="10" customWidth="1"/>
    <col min="11" max="11" width="15" customWidth="1"/>
    <col min="12" max="12" width="13" customWidth="1"/>
    <col min="13" max="13" width="12" customWidth="1"/>
    <col min="14" max="14" width="15" customWidth="1"/>
    <col min="15" max="15" width="16" customWidth="1"/>
    <col min="16" max="16" width="10" customWidth="1"/>
    <col min="17" max="17" width="16" customWidth="1"/>
  </cols>
  <sheetData>
    <row r="1" spans="1:17" ht="17.45">
      <c r="A1" s="18" t="s">
        <v>3472</v>
      </c>
    </row>
    <row r="3" spans="1:17" ht="30" customHeight="1">
      <c r="A3" s="5" t="s">
        <v>92</v>
      </c>
      <c r="B3" s="5" t="s">
        <v>88</v>
      </c>
      <c r="C3" s="5" t="s">
        <v>89</v>
      </c>
      <c r="D3" s="5" t="s">
        <v>94</v>
      </c>
      <c r="E3" s="5" t="s">
        <v>3473</v>
      </c>
      <c r="F3" s="5" t="s">
        <v>93</v>
      </c>
      <c r="G3" s="5" t="s">
        <v>96</v>
      </c>
      <c r="H3" s="5" t="s">
        <v>97</v>
      </c>
      <c r="I3" s="5" t="s">
        <v>3474</v>
      </c>
      <c r="J3" s="5" t="s">
        <v>3475</v>
      </c>
      <c r="K3" s="5" t="s">
        <v>3476</v>
      </c>
      <c r="L3" s="5" t="s">
        <v>3477</v>
      </c>
      <c r="M3" s="5" t="s">
        <v>3478</v>
      </c>
      <c r="N3" s="5" t="s">
        <v>44</v>
      </c>
      <c r="O3" s="5" t="s">
        <v>3479</v>
      </c>
      <c r="P3" s="5" t="s">
        <v>3480</v>
      </c>
      <c r="Q3" s="5" t="s">
        <v>111</v>
      </c>
    </row>
    <row r="4" spans="1:17">
      <c r="A4" s="4" t="s">
        <v>1558</v>
      </c>
      <c r="B4" s="2" t="s">
        <v>170</v>
      </c>
      <c r="C4" s="2" t="s">
        <v>171</v>
      </c>
      <c r="D4" s="2" t="s">
        <v>123</v>
      </c>
      <c r="E4" s="2" t="s">
        <v>124</v>
      </c>
      <c r="F4" s="2" t="s">
        <v>748</v>
      </c>
      <c r="G4" s="9">
        <v>45773</v>
      </c>
      <c r="H4" s="9">
        <v>45776</v>
      </c>
      <c r="I4" s="17">
        <f>H4-G4+1</f>
        <v>4</v>
      </c>
      <c r="J4" s="17">
        <f>COUNTIFS('Expense Details'!$G$2:$G$2955,$A4)</f>
        <v>17</v>
      </c>
      <c r="K4" s="12">
        <f>SUMIFS('Expense Details'!$V$2:$V$2955,'Expense Details'!$G$2:$G$2955,$A4)</f>
        <v>3530.0671200000002</v>
      </c>
      <c r="L4" s="12">
        <f>IFERROR(K4/I4,0)</f>
        <v>882.51678000000004</v>
      </c>
      <c r="M4" s="17">
        <f>COUNTIFS('Expense Details'!$G$2:$G$2955,$A4,'Expense Details'!$AA$2:$AA$2955,"Yes")</f>
        <v>1</v>
      </c>
      <c r="N4" s="12">
        <f>SUMIFS('Expense Details'!$AF$2:$AF$2955,'Expense Details'!$G$2:$G$2955,$A4)</f>
        <v>3181.5391199999999</v>
      </c>
      <c r="O4" s="2" t="s">
        <v>180</v>
      </c>
      <c r="P4" s="2" t="s">
        <v>130</v>
      </c>
      <c r="Q4" s="2" t="s">
        <v>133</v>
      </c>
    </row>
    <row r="5" spans="1:17">
      <c r="A5" s="4" t="s">
        <v>989</v>
      </c>
      <c r="B5" s="2" t="s">
        <v>443</v>
      </c>
      <c r="C5" s="2" t="s">
        <v>444</v>
      </c>
      <c r="D5" s="2" t="s">
        <v>175</v>
      </c>
      <c r="E5" s="2" t="s">
        <v>176</v>
      </c>
      <c r="F5" s="2" t="s">
        <v>379</v>
      </c>
      <c r="G5" s="9">
        <v>45713</v>
      </c>
      <c r="H5" s="9">
        <v>45714</v>
      </c>
      <c r="I5" s="17">
        <f>H5-G5+1</f>
        <v>2</v>
      </c>
      <c r="J5" s="17">
        <f>COUNTIFS('Expense Details'!$G$2:$G$2955,$A5)</f>
        <v>10</v>
      </c>
      <c r="K5" s="12">
        <f>SUMIFS('Expense Details'!$V$2:$V$2955,'Expense Details'!$G$2:$G$2955,$A5)</f>
        <v>3491.0103499999996</v>
      </c>
      <c r="L5" s="12">
        <f>IFERROR(K5/I5,0)</f>
        <v>1745.5051749999998</v>
      </c>
      <c r="M5" s="17">
        <f>COUNTIFS('Expense Details'!$G$2:$G$2955,$A5,'Expense Details'!$AA$2:$AA$2955,"Yes")</f>
        <v>5</v>
      </c>
      <c r="N5" s="12">
        <f>SUMIFS('Expense Details'!$AF$2:$AF$2955,'Expense Details'!$G$2:$G$2955,$A5)</f>
        <v>85.292630000000003</v>
      </c>
      <c r="O5" s="2" t="s">
        <v>858</v>
      </c>
      <c r="P5" s="2" t="s">
        <v>130</v>
      </c>
      <c r="Q5" s="2" t="s">
        <v>133</v>
      </c>
    </row>
    <row r="6" spans="1:17">
      <c r="A6" s="4" t="s">
        <v>2018</v>
      </c>
      <c r="B6" s="2" t="s">
        <v>252</v>
      </c>
      <c r="C6" s="2" t="s">
        <v>250</v>
      </c>
      <c r="D6" s="2" t="s">
        <v>315</v>
      </c>
      <c r="E6" s="2" t="s">
        <v>316</v>
      </c>
      <c r="F6" s="2" t="s">
        <v>193</v>
      </c>
      <c r="G6" s="9">
        <v>45843</v>
      </c>
      <c r="H6" s="9">
        <v>45846</v>
      </c>
      <c r="I6" s="17">
        <f>H6-G6+1</f>
        <v>4</v>
      </c>
      <c r="J6" s="17">
        <f>COUNTIFS('Expense Details'!$G$2:$G$2955,$A6)</f>
        <v>15</v>
      </c>
      <c r="K6" s="12">
        <f>SUMIFS('Expense Details'!$V$2:$V$2955,'Expense Details'!$G$2:$G$2955,$A6)</f>
        <v>2997.9712630000004</v>
      </c>
      <c r="L6" s="12">
        <f>IFERROR(K6/I6,0)</f>
        <v>749.49281575000009</v>
      </c>
      <c r="M6" s="17">
        <f>COUNTIFS('Expense Details'!$G$2:$G$2955,$A6,'Expense Details'!$AA$2:$AA$2955,"Yes")</f>
        <v>4</v>
      </c>
      <c r="N6" s="12">
        <f>SUMIFS('Expense Details'!$AF$2:$AF$2955,'Expense Details'!$G$2:$G$2955,$A6)</f>
        <v>658.75360599999999</v>
      </c>
      <c r="O6" s="2" t="s">
        <v>858</v>
      </c>
      <c r="P6" s="2" t="s">
        <v>130</v>
      </c>
      <c r="Q6" s="2" t="s">
        <v>133</v>
      </c>
    </row>
    <row r="7" spans="1:17">
      <c r="A7" s="4" t="s">
        <v>2974</v>
      </c>
      <c r="B7" s="2" t="s">
        <v>117</v>
      </c>
      <c r="C7" s="2" t="s">
        <v>118</v>
      </c>
      <c r="D7" s="2" t="s">
        <v>194</v>
      </c>
      <c r="E7" s="2" t="s">
        <v>195</v>
      </c>
      <c r="F7" s="2" t="s">
        <v>379</v>
      </c>
      <c r="G7" s="9">
        <v>45953</v>
      </c>
      <c r="H7" s="9">
        <v>45956</v>
      </c>
      <c r="I7" s="17">
        <f>H7-G7+1</f>
        <v>4</v>
      </c>
      <c r="J7" s="17">
        <f>COUNTIFS('Expense Details'!$G$2:$G$2955,$A7)</f>
        <v>15</v>
      </c>
      <c r="K7" s="12">
        <f>SUMIFS('Expense Details'!$V$2:$V$2955,'Expense Details'!$G$2:$G$2955,$A7)</f>
        <v>4850.004249999999</v>
      </c>
      <c r="L7" s="12">
        <f>IFERROR(K7/I7,0)</f>
        <v>1212.5010624999998</v>
      </c>
      <c r="M7" s="17">
        <f>COUNTIFS('Expense Details'!$G$2:$G$2955,$A7,'Expense Details'!$AA$2:$AA$2955,"Yes")</f>
        <v>1</v>
      </c>
      <c r="N7" s="12">
        <f>SUMIFS('Expense Details'!$AF$2:$AF$2955,'Expense Details'!$G$2:$G$2955,$A7)</f>
        <v>3811.9304999999999</v>
      </c>
      <c r="O7" s="2" t="s">
        <v>350</v>
      </c>
      <c r="P7" s="2" t="s">
        <v>131</v>
      </c>
      <c r="Q7" s="2" t="s">
        <v>133</v>
      </c>
    </row>
    <row r="8" spans="1:17">
      <c r="A8" s="4" t="s">
        <v>600</v>
      </c>
      <c r="B8" s="2" t="s">
        <v>598</v>
      </c>
      <c r="C8" s="2" t="s">
        <v>414</v>
      </c>
      <c r="D8" s="2" t="s">
        <v>601</v>
      </c>
      <c r="E8" s="2" t="s">
        <v>381</v>
      </c>
      <c r="F8" s="2" t="s">
        <v>348</v>
      </c>
      <c r="G8" s="9">
        <v>45684</v>
      </c>
      <c r="H8" s="9">
        <v>45691</v>
      </c>
      <c r="I8" s="17">
        <f>H8-G8+1</f>
        <v>8</v>
      </c>
      <c r="J8" s="17">
        <f>COUNTIFS('Expense Details'!$G$2:$G$2955,$A8)</f>
        <v>29</v>
      </c>
      <c r="K8" s="12">
        <f>SUMIFS('Expense Details'!$V$2:$V$2955,'Expense Details'!$G$2:$G$2955,$A8)</f>
        <v>4237.3699999999981</v>
      </c>
      <c r="L8" s="12">
        <f>IFERROR(K8/I8,0)</f>
        <v>529.67124999999976</v>
      </c>
      <c r="M8" s="17">
        <f>COUNTIFS('Expense Details'!$G$2:$G$2955,$A8,'Expense Details'!$AA$2:$AA$2955,"Yes")</f>
        <v>3</v>
      </c>
      <c r="N8" s="12">
        <f>SUMIFS('Expense Details'!$AF$2:$AF$2955,'Expense Details'!$G$2:$G$2955,$A8)</f>
        <v>1949.5999999999997</v>
      </c>
      <c r="O8" s="2" t="s">
        <v>437</v>
      </c>
      <c r="P8" s="2" t="s">
        <v>130</v>
      </c>
      <c r="Q8" s="2" t="s">
        <v>133</v>
      </c>
    </row>
    <row r="9" spans="1:17">
      <c r="A9" s="4" t="s">
        <v>1694</v>
      </c>
      <c r="B9" s="2" t="s">
        <v>173</v>
      </c>
      <c r="C9" s="2" t="s">
        <v>171</v>
      </c>
      <c r="D9" s="2" t="s">
        <v>749</v>
      </c>
      <c r="E9" s="2" t="s">
        <v>750</v>
      </c>
      <c r="F9" s="2" t="s">
        <v>254</v>
      </c>
      <c r="G9" s="9">
        <v>45798</v>
      </c>
      <c r="H9" s="9">
        <v>45804</v>
      </c>
      <c r="I9" s="17">
        <f>H9-G9+1</f>
        <v>7</v>
      </c>
      <c r="J9" s="17">
        <f>COUNTIFS('Expense Details'!$G$2:$G$2955,$A9)</f>
        <v>25</v>
      </c>
      <c r="K9" s="12">
        <f>SUMIFS('Expense Details'!$V$2:$V$2955,'Expense Details'!$G$2:$G$2955,$A9)</f>
        <v>5031.6657999999989</v>
      </c>
      <c r="L9" s="12">
        <f>IFERROR(K9/I9,0)</f>
        <v>718.80939999999987</v>
      </c>
      <c r="M9" s="17">
        <f>COUNTIFS('Expense Details'!$G$2:$G$2955,$A9,'Expense Details'!$AA$2:$AA$2955,"Yes")</f>
        <v>2</v>
      </c>
      <c r="N9" s="12">
        <f>SUMIFS('Expense Details'!$AF$2:$AF$2955,'Expense Details'!$G$2:$G$2955,$A9)</f>
        <v>2701.6499999999996</v>
      </c>
      <c r="O9" s="2" t="s">
        <v>421</v>
      </c>
      <c r="P9" s="2" t="s">
        <v>131</v>
      </c>
      <c r="Q9" s="2" t="s">
        <v>133</v>
      </c>
    </row>
    <row r="10" spans="1:17">
      <c r="A10" s="4" t="s">
        <v>2726</v>
      </c>
      <c r="B10" s="2" t="s">
        <v>1750</v>
      </c>
      <c r="C10" s="2" t="s">
        <v>118</v>
      </c>
      <c r="D10" s="2" t="s">
        <v>601</v>
      </c>
      <c r="E10" s="2" t="s">
        <v>381</v>
      </c>
      <c r="F10" s="2" t="s">
        <v>803</v>
      </c>
      <c r="G10" s="9">
        <v>45927</v>
      </c>
      <c r="H10" s="9">
        <v>45930</v>
      </c>
      <c r="I10" s="17">
        <f>H10-G10+1</f>
        <v>4</v>
      </c>
      <c r="J10" s="17">
        <f>COUNTIFS('Expense Details'!$G$2:$G$2955,$A10)</f>
        <v>14</v>
      </c>
      <c r="K10" s="12">
        <f>SUMIFS('Expense Details'!$V$2:$V$2955,'Expense Details'!$G$2:$G$2955,$A10)</f>
        <v>2135.75</v>
      </c>
      <c r="L10" s="12">
        <f>IFERROR(K10/I10,0)</f>
        <v>533.9375</v>
      </c>
      <c r="M10" s="17">
        <f>COUNTIFS('Expense Details'!$G$2:$G$2955,$A10,'Expense Details'!$AA$2:$AA$2955,"Yes")</f>
        <v>0</v>
      </c>
      <c r="N10" s="12">
        <f>SUMIFS('Expense Details'!$AF$2:$AF$2955,'Expense Details'!$G$2:$G$2955,$A10)</f>
        <v>151.88</v>
      </c>
      <c r="O10" s="2" t="s">
        <v>180</v>
      </c>
      <c r="P10" s="2" t="s">
        <v>131</v>
      </c>
      <c r="Q10" s="2" t="s">
        <v>181</v>
      </c>
    </row>
    <row r="11" spans="1:17">
      <c r="A11" s="4" t="s">
        <v>3445</v>
      </c>
      <c r="B11" s="2" t="s">
        <v>771</v>
      </c>
      <c r="C11" s="2" t="s">
        <v>414</v>
      </c>
      <c r="D11" s="2" t="s">
        <v>567</v>
      </c>
      <c r="E11" s="2" t="s">
        <v>434</v>
      </c>
      <c r="F11" s="2" t="s">
        <v>122</v>
      </c>
      <c r="G11" s="9">
        <v>46003</v>
      </c>
      <c r="H11" s="9">
        <v>46005</v>
      </c>
      <c r="I11" s="17">
        <f>H11-G11+1</f>
        <v>3</v>
      </c>
      <c r="J11" s="17">
        <f>COUNTIFS('Expense Details'!$G$2:$G$2955,$A11)</f>
        <v>13</v>
      </c>
      <c r="K11" s="12">
        <f>SUMIFS('Expense Details'!$V$2:$V$2955,'Expense Details'!$G$2:$G$2955,$A11)</f>
        <v>1721.6470000000002</v>
      </c>
      <c r="L11" s="12">
        <f>IFERROR(K11/I11,0)</f>
        <v>573.88233333333335</v>
      </c>
      <c r="M11" s="17">
        <f>COUNTIFS('Expense Details'!$G$2:$G$2955,$A11,'Expense Details'!$AA$2:$AA$2955,"Yes")</f>
        <v>1</v>
      </c>
      <c r="N11" s="12">
        <f>SUMIFS('Expense Details'!$AF$2:$AF$2955,'Expense Details'!$G$2:$G$2955,$A11)</f>
        <v>516.80038000000013</v>
      </c>
      <c r="O11" s="2" t="s">
        <v>437</v>
      </c>
      <c r="P11" s="2" t="s">
        <v>130</v>
      </c>
      <c r="Q11" s="2" t="s">
        <v>133</v>
      </c>
    </row>
    <row r="12" spans="1:17">
      <c r="A12" s="4" t="s">
        <v>2327</v>
      </c>
      <c r="B12" s="2" t="s">
        <v>864</v>
      </c>
      <c r="C12" s="2" t="s">
        <v>865</v>
      </c>
      <c r="D12" s="2" t="s">
        <v>1251</v>
      </c>
      <c r="E12" s="2" t="s">
        <v>750</v>
      </c>
      <c r="F12" s="2" t="s">
        <v>193</v>
      </c>
      <c r="G12" s="9">
        <v>45871</v>
      </c>
      <c r="H12" s="9">
        <v>45877</v>
      </c>
      <c r="I12" s="17">
        <f>H12-G12+1</f>
        <v>7</v>
      </c>
      <c r="J12" s="17">
        <f>COUNTIFS('Expense Details'!$G$2:$G$2955,$A12)</f>
        <v>27</v>
      </c>
      <c r="K12" s="12">
        <f>SUMIFS('Expense Details'!$V$2:$V$2955,'Expense Details'!$G$2:$G$2955,$A12)</f>
        <v>7610.4178499999998</v>
      </c>
      <c r="L12" s="12">
        <f>IFERROR(K12/I12,0)</f>
        <v>1087.20255</v>
      </c>
      <c r="M12" s="17">
        <f>COUNTIFS('Expense Details'!$G$2:$G$2955,$A12,'Expense Details'!$AA$2:$AA$2955,"Yes")</f>
        <v>3</v>
      </c>
      <c r="N12" s="12">
        <f>SUMIFS('Expense Details'!$AF$2:$AF$2955,'Expense Details'!$G$2:$G$2955,$A12)</f>
        <v>2757.7553499999995</v>
      </c>
      <c r="O12" s="2" t="s">
        <v>421</v>
      </c>
      <c r="P12" s="2" t="s">
        <v>130</v>
      </c>
      <c r="Q12" s="2" t="s">
        <v>133</v>
      </c>
    </row>
    <row r="13" spans="1:17">
      <c r="A13" s="4" t="s">
        <v>1834</v>
      </c>
      <c r="B13" s="2" t="s">
        <v>771</v>
      </c>
      <c r="C13" s="2" t="s">
        <v>414</v>
      </c>
      <c r="D13" s="2" t="s">
        <v>1251</v>
      </c>
      <c r="E13" s="2" t="s">
        <v>750</v>
      </c>
      <c r="F13" s="2" t="s">
        <v>379</v>
      </c>
      <c r="G13" s="9">
        <v>45816</v>
      </c>
      <c r="H13" s="9">
        <v>45820</v>
      </c>
      <c r="I13" s="17">
        <f>H13-G13+1</f>
        <v>5</v>
      </c>
      <c r="J13" s="17">
        <f>COUNTIFS('Expense Details'!$G$2:$G$2955,$A13)</f>
        <v>17</v>
      </c>
      <c r="K13" s="12">
        <f>SUMIFS('Expense Details'!$V$2:$V$2955,'Expense Details'!$G$2:$G$2955,$A13)</f>
        <v>3311.3874499999993</v>
      </c>
      <c r="L13" s="12">
        <f>IFERROR(K13/I13,0)</f>
        <v>662.27748999999983</v>
      </c>
      <c r="M13" s="17">
        <f>COUNTIFS('Expense Details'!$G$2:$G$2955,$A13,'Expense Details'!$AA$2:$AA$2955,"Yes")</f>
        <v>3</v>
      </c>
      <c r="N13" s="12">
        <f>SUMIFS('Expense Details'!$AF$2:$AF$2955,'Expense Details'!$G$2:$G$2955,$A13)</f>
        <v>2080.2379500000002</v>
      </c>
      <c r="O13" s="2" t="s">
        <v>132</v>
      </c>
      <c r="P13" s="2" t="s">
        <v>131</v>
      </c>
      <c r="Q13" s="2" t="s">
        <v>133</v>
      </c>
    </row>
    <row r="14" spans="1:17">
      <c r="A14" s="4" t="s">
        <v>3076</v>
      </c>
      <c r="B14" s="2" t="s">
        <v>443</v>
      </c>
      <c r="C14" s="2" t="s">
        <v>444</v>
      </c>
      <c r="D14" s="2" t="s">
        <v>1038</v>
      </c>
      <c r="E14" s="2" t="s">
        <v>381</v>
      </c>
      <c r="F14" s="2" t="s">
        <v>803</v>
      </c>
      <c r="G14" s="9">
        <v>45959</v>
      </c>
      <c r="H14" s="9">
        <v>45961</v>
      </c>
      <c r="I14" s="17">
        <f>H14-G14+1</f>
        <v>3</v>
      </c>
      <c r="J14" s="17">
        <f>COUNTIFS('Expense Details'!$G$2:$G$2955,$A14)</f>
        <v>11</v>
      </c>
      <c r="K14" s="12">
        <f>SUMIFS('Expense Details'!$V$2:$V$2955,'Expense Details'!$G$2:$G$2955,$A14)</f>
        <v>1756.4299999999998</v>
      </c>
      <c r="L14" s="12">
        <f>IFERROR(K14/I14,0)</f>
        <v>585.47666666666657</v>
      </c>
      <c r="M14" s="17">
        <f>COUNTIFS('Expense Details'!$G$2:$G$2955,$A14,'Expense Details'!$AA$2:$AA$2955,"Yes")</f>
        <v>1</v>
      </c>
      <c r="N14" s="12">
        <f>SUMIFS('Expense Details'!$AF$2:$AF$2955,'Expense Details'!$G$2:$G$2955,$A14)</f>
        <v>107.82999999999998</v>
      </c>
      <c r="O14" s="2" t="s">
        <v>180</v>
      </c>
      <c r="P14" s="2" t="s">
        <v>130</v>
      </c>
      <c r="Q14" s="2" t="s">
        <v>133</v>
      </c>
    </row>
    <row r="15" spans="1:17">
      <c r="A15" s="4" t="s">
        <v>2569</v>
      </c>
      <c r="B15" s="2" t="s">
        <v>313</v>
      </c>
      <c r="C15" s="2" t="s">
        <v>744</v>
      </c>
      <c r="D15" s="2" t="s">
        <v>619</v>
      </c>
      <c r="E15" s="2" t="s">
        <v>381</v>
      </c>
      <c r="F15" s="2" t="s">
        <v>122</v>
      </c>
      <c r="G15" s="9">
        <v>45908</v>
      </c>
      <c r="H15" s="9">
        <v>45914</v>
      </c>
      <c r="I15" s="17">
        <f>H15-G15+1</f>
        <v>7</v>
      </c>
      <c r="J15" s="17">
        <f>COUNTIFS('Expense Details'!$G$2:$G$2955,$A15)</f>
        <v>25</v>
      </c>
      <c r="K15" s="12">
        <f>SUMIFS('Expense Details'!$V$2:$V$2955,'Expense Details'!$G$2:$G$2955,$A15)</f>
        <v>3302.6299999999992</v>
      </c>
      <c r="L15" s="12">
        <f>IFERROR(K15/I15,0)</f>
        <v>471.80428571428558</v>
      </c>
      <c r="M15" s="17">
        <f>COUNTIFS('Expense Details'!$G$2:$G$2955,$A15,'Expense Details'!$AA$2:$AA$2955,"Yes")</f>
        <v>4</v>
      </c>
      <c r="N15" s="12">
        <f>SUMIFS('Expense Details'!$AF$2:$AF$2955,'Expense Details'!$G$2:$G$2955,$A15)</f>
        <v>357.2</v>
      </c>
      <c r="O15" s="2" t="s">
        <v>260</v>
      </c>
      <c r="P15" s="2" t="s">
        <v>130</v>
      </c>
      <c r="Q15" s="2" t="s">
        <v>181</v>
      </c>
    </row>
    <row r="16" spans="1:17">
      <c r="A16" s="4" t="s">
        <v>2313</v>
      </c>
      <c r="B16" s="2" t="s">
        <v>446</v>
      </c>
      <c r="C16" s="2" t="s">
        <v>444</v>
      </c>
      <c r="D16" s="2" t="s">
        <v>194</v>
      </c>
      <c r="E16" s="2" t="s">
        <v>195</v>
      </c>
      <c r="F16" s="2" t="s">
        <v>448</v>
      </c>
      <c r="G16" s="9">
        <v>45870</v>
      </c>
      <c r="H16" s="9">
        <v>45874</v>
      </c>
      <c r="I16" s="17">
        <f>H16-G16+1</f>
        <v>5</v>
      </c>
      <c r="J16" s="17">
        <f>COUNTIFS('Expense Details'!$G$2:$G$2955,$A16)</f>
        <v>20</v>
      </c>
      <c r="K16" s="12">
        <f>SUMIFS('Expense Details'!$V$2:$V$2955,'Expense Details'!$G$2:$G$2955,$A16)</f>
        <v>3403.7209500000004</v>
      </c>
      <c r="L16" s="12">
        <f>IFERROR(K16/I16,0)</f>
        <v>680.74419000000012</v>
      </c>
      <c r="M16" s="17">
        <f>COUNTIFS('Expense Details'!$G$2:$G$2955,$A16,'Expense Details'!$AA$2:$AA$2955,"Yes")</f>
        <v>4</v>
      </c>
      <c r="N16" s="12">
        <f>SUMIFS('Expense Details'!$AF$2:$AF$2955,'Expense Details'!$G$2:$G$2955,$A16)</f>
        <v>2741.8166999999999</v>
      </c>
      <c r="O16" s="2" t="s">
        <v>350</v>
      </c>
      <c r="P16" s="2" t="s">
        <v>131</v>
      </c>
      <c r="Q16" s="2" t="s">
        <v>133</v>
      </c>
    </row>
    <row r="17" spans="1:17">
      <c r="A17" s="4" t="s">
        <v>2899</v>
      </c>
      <c r="B17" s="2" t="s">
        <v>551</v>
      </c>
      <c r="C17" s="2" t="s">
        <v>171</v>
      </c>
      <c r="D17" s="2" t="s">
        <v>567</v>
      </c>
      <c r="E17" s="2" t="s">
        <v>434</v>
      </c>
      <c r="F17" s="2" t="s">
        <v>291</v>
      </c>
      <c r="G17" s="9">
        <v>45948</v>
      </c>
      <c r="H17" s="9">
        <v>45952</v>
      </c>
      <c r="I17" s="17">
        <f>H17-G17+1</f>
        <v>5</v>
      </c>
      <c r="J17" s="17">
        <f>COUNTIFS('Expense Details'!$G$2:$G$2955,$A17)</f>
        <v>14</v>
      </c>
      <c r="K17" s="12">
        <f>SUMIFS('Expense Details'!$V$2:$V$2955,'Expense Details'!$G$2:$G$2955,$A17)</f>
        <v>2611.6142200000008</v>
      </c>
      <c r="L17" s="12">
        <f>IFERROR(K17/I17,0)</f>
        <v>522.32284400000015</v>
      </c>
      <c r="M17" s="17">
        <f>COUNTIFS('Expense Details'!$G$2:$G$2955,$A17,'Expense Details'!$AA$2:$AA$2955,"Yes")</f>
        <v>3</v>
      </c>
      <c r="N17" s="12">
        <f>SUMIFS('Expense Details'!$AF$2:$AF$2955,'Expense Details'!$G$2:$G$2955,$A17)</f>
        <v>333.02060000000006</v>
      </c>
      <c r="O17" s="2" t="s">
        <v>514</v>
      </c>
      <c r="P17" s="2" t="s">
        <v>131</v>
      </c>
      <c r="Q17" s="2" t="s">
        <v>133</v>
      </c>
    </row>
    <row r="18" spans="1:17">
      <c r="A18" s="4" t="s">
        <v>1490</v>
      </c>
      <c r="B18" s="2" t="s">
        <v>867</v>
      </c>
      <c r="C18" s="2" t="s">
        <v>865</v>
      </c>
      <c r="D18" s="2" t="s">
        <v>433</v>
      </c>
      <c r="E18" s="2" t="s">
        <v>434</v>
      </c>
      <c r="F18" s="2" t="s">
        <v>803</v>
      </c>
      <c r="G18" s="9">
        <v>45763</v>
      </c>
      <c r="H18" s="9">
        <v>45770</v>
      </c>
      <c r="I18" s="17">
        <f>H18-G18+1</f>
        <v>8</v>
      </c>
      <c r="J18" s="17">
        <f>COUNTIFS('Expense Details'!$G$2:$G$2955,$A18)</f>
        <v>28</v>
      </c>
      <c r="K18" s="12">
        <f>SUMIFS('Expense Details'!$V$2:$V$2955,'Expense Details'!$G$2:$G$2955,$A18)</f>
        <v>3332.9507400000002</v>
      </c>
      <c r="L18" s="12">
        <f>IFERROR(K18/I18,0)</f>
        <v>416.61884250000003</v>
      </c>
      <c r="M18" s="17">
        <f>COUNTIFS('Expense Details'!$G$2:$G$2955,$A18,'Expense Details'!$AA$2:$AA$2955,"Yes")</f>
        <v>4</v>
      </c>
      <c r="N18" s="12">
        <f>SUMIFS('Expense Details'!$AF$2:$AF$2955,'Expense Details'!$G$2:$G$2955,$A18)</f>
        <v>0</v>
      </c>
      <c r="O18" s="2" t="s">
        <v>514</v>
      </c>
      <c r="P18" s="2" t="s">
        <v>130</v>
      </c>
      <c r="Q18" s="2" t="s">
        <v>804</v>
      </c>
    </row>
    <row r="19" spans="1:17">
      <c r="A19" s="4" t="s">
        <v>1037</v>
      </c>
      <c r="B19" s="2" t="s">
        <v>190</v>
      </c>
      <c r="C19" s="2" t="s">
        <v>171</v>
      </c>
      <c r="D19" s="2" t="s">
        <v>1038</v>
      </c>
      <c r="E19" s="2" t="s">
        <v>381</v>
      </c>
      <c r="F19" s="2" t="s">
        <v>291</v>
      </c>
      <c r="G19" s="9">
        <v>45716</v>
      </c>
      <c r="H19" s="9">
        <v>45724</v>
      </c>
      <c r="I19" s="17">
        <f>H19-G19+1</f>
        <v>9</v>
      </c>
      <c r="J19" s="17">
        <f>COUNTIFS('Expense Details'!$G$2:$G$2955,$A19)</f>
        <v>30</v>
      </c>
      <c r="K19" s="12">
        <f>SUMIFS('Expense Details'!$V$2:$V$2955,'Expense Details'!$G$2:$G$2955,$A19)</f>
        <v>3491.7200000000007</v>
      </c>
      <c r="L19" s="12">
        <f>IFERROR(K19/I19,0)</f>
        <v>387.96888888888896</v>
      </c>
      <c r="M19" s="17">
        <f>COUNTIFS('Expense Details'!$G$2:$G$2955,$A19,'Expense Details'!$AA$2:$AA$2955,"Yes")</f>
        <v>0</v>
      </c>
      <c r="N19" s="12">
        <f>SUMIFS('Expense Details'!$AF$2:$AF$2955,'Expense Details'!$G$2:$G$2955,$A19)</f>
        <v>2312.8699999999994</v>
      </c>
      <c r="O19" s="2" t="s">
        <v>514</v>
      </c>
      <c r="P19" s="2" t="s">
        <v>130</v>
      </c>
      <c r="Q19" s="2" t="s">
        <v>133</v>
      </c>
    </row>
    <row r="20" spans="1:17">
      <c r="A20" s="4" t="s">
        <v>994</v>
      </c>
      <c r="B20" s="2" t="s">
        <v>252</v>
      </c>
      <c r="C20" s="2" t="s">
        <v>250</v>
      </c>
      <c r="D20" s="2" t="s">
        <v>567</v>
      </c>
      <c r="E20" s="2" t="s">
        <v>434</v>
      </c>
      <c r="F20" s="2" t="s">
        <v>254</v>
      </c>
      <c r="G20" s="9">
        <v>45713</v>
      </c>
      <c r="H20" s="9">
        <v>45718</v>
      </c>
      <c r="I20" s="17">
        <f>H20-G20+1</f>
        <v>6</v>
      </c>
      <c r="J20" s="17">
        <f>COUNTIFS('Expense Details'!$G$2:$G$2955,$A20)</f>
        <v>25</v>
      </c>
      <c r="K20" s="12">
        <f>SUMIFS('Expense Details'!$V$2:$V$2955,'Expense Details'!$G$2:$G$2955,$A20)</f>
        <v>4353.9940200000001</v>
      </c>
      <c r="L20" s="12">
        <f>IFERROR(K20/I20,0)</f>
        <v>725.66566999999998</v>
      </c>
      <c r="M20" s="17">
        <f>COUNTIFS('Expense Details'!$G$2:$G$2955,$A20,'Expense Details'!$AA$2:$AA$2955,"Yes")</f>
        <v>1</v>
      </c>
      <c r="N20" s="12">
        <f>SUMIFS('Expense Details'!$AF$2:$AF$2955,'Expense Details'!$G$2:$G$2955,$A20)</f>
        <v>243.57506000000004</v>
      </c>
      <c r="O20" s="2" t="s">
        <v>350</v>
      </c>
      <c r="P20" s="2" t="s">
        <v>130</v>
      </c>
      <c r="Q20" s="2" t="s">
        <v>133</v>
      </c>
    </row>
    <row r="21" spans="1:17">
      <c r="A21" s="4" t="s">
        <v>973</v>
      </c>
      <c r="B21" s="2" t="s">
        <v>443</v>
      </c>
      <c r="C21" s="2" t="s">
        <v>444</v>
      </c>
      <c r="D21" s="2" t="s">
        <v>433</v>
      </c>
      <c r="E21" s="2" t="s">
        <v>434</v>
      </c>
      <c r="F21" s="2" t="s">
        <v>417</v>
      </c>
      <c r="G21" s="9">
        <v>45708</v>
      </c>
      <c r="H21" s="9">
        <v>45709</v>
      </c>
      <c r="I21" s="17">
        <f>H21-G21+1</f>
        <v>2</v>
      </c>
      <c r="J21" s="17">
        <f>COUNTIFS('Expense Details'!$G$2:$G$2955,$A21)</f>
        <v>10</v>
      </c>
      <c r="K21" s="12">
        <f>SUMIFS('Expense Details'!$V$2:$V$2955,'Expense Details'!$G$2:$G$2955,$A21)</f>
        <v>2502.9319400000004</v>
      </c>
      <c r="L21" s="12">
        <f>IFERROR(K21/I21,0)</f>
        <v>1251.4659700000002</v>
      </c>
      <c r="M21" s="17">
        <f>COUNTIFS('Expense Details'!$G$2:$G$2955,$A21,'Expense Details'!$AA$2:$AA$2955,"Yes")</f>
        <v>4</v>
      </c>
      <c r="N21" s="12">
        <f>SUMIFS('Expense Details'!$AF$2:$AF$2955,'Expense Details'!$G$2:$G$2955,$A21)</f>
        <v>518.40246000000002</v>
      </c>
      <c r="O21" s="2" t="s">
        <v>514</v>
      </c>
      <c r="P21" s="2" t="s">
        <v>130</v>
      </c>
      <c r="Q21" s="2" t="s">
        <v>133</v>
      </c>
    </row>
    <row r="22" spans="1:17">
      <c r="A22" s="4" t="s">
        <v>3183</v>
      </c>
      <c r="B22" s="2" t="s">
        <v>864</v>
      </c>
      <c r="C22" s="2" t="s">
        <v>865</v>
      </c>
      <c r="D22" s="2" t="s">
        <v>601</v>
      </c>
      <c r="E22" s="2" t="s">
        <v>381</v>
      </c>
      <c r="F22" s="2" t="s">
        <v>379</v>
      </c>
      <c r="G22" s="9">
        <v>45968</v>
      </c>
      <c r="H22" s="9">
        <v>45969</v>
      </c>
      <c r="I22" s="17">
        <f>H22-G22+1</f>
        <v>2</v>
      </c>
      <c r="J22" s="17">
        <f>COUNTIFS('Expense Details'!$G$2:$G$2955,$A22)</f>
        <v>9</v>
      </c>
      <c r="K22" s="12">
        <f>SUMIFS('Expense Details'!$V$2:$V$2955,'Expense Details'!$G$2:$G$2955,$A22)</f>
        <v>1427.0100000000002</v>
      </c>
      <c r="L22" s="12">
        <f>IFERROR(K22/I22,0)</f>
        <v>713.50500000000011</v>
      </c>
      <c r="M22" s="17">
        <f>COUNTIFS('Expense Details'!$G$2:$G$2955,$A22,'Expense Details'!$AA$2:$AA$2955,"Yes")</f>
        <v>2</v>
      </c>
      <c r="N22" s="12">
        <f>SUMIFS('Expense Details'!$AF$2:$AF$2955,'Expense Details'!$G$2:$G$2955,$A22)</f>
        <v>259.01</v>
      </c>
      <c r="O22" s="2" t="s">
        <v>132</v>
      </c>
      <c r="P22" s="2" t="s">
        <v>131</v>
      </c>
      <c r="Q22" s="2" t="s">
        <v>133</v>
      </c>
    </row>
    <row r="23" spans="1:17">
      <c r="A23" s="4" t="s">
        <v>778</v>
      </c>
      <c r="B23" s="2" t="s">
        <v>376</v>
      </c>
      <c r="C23" s="2" t="s">
        <v>344</v>
      </c>
      <c r="D23" s="2" t="s">
        <v>651</v>
      </c>
      <c r="E23" s="2" t="s">
        <v>652</v>
      </c>
      <c r="F23" s="2" t="s">
        <v>348</v>
      </c>
      <c r="G23" s="9">
        <v>45695</v>
      </c>
      <c r="H23" s="9">
        <v>45698</v>
      </c>
      <c r="I23" s="17">
        <f>H23-G23+1</f>
        <v>4</v>
      </c>
      <c r="J23" s="17">
        <f>COUNTIFS('Expense Details'!$G$2:$G$2955,$A23)</f>
        <v>19</v>
      </c>
      <c r="K23" s="12">
        <f>SUMIFS('Expense Details'!$V$2:$V$2955,'Expense Details'!$G$2:$G$2955,$A23)</f>
        <v>2814.4625599999995</v>
      </c>
      <c r="L23" s="12">
        <f>IFERROR(K23/I23,0)</f>
        <v>703.61563999999987</v>
      </c>
      <c r="M23" s="17">
        <f>COUNTIFS('Expense Details'!$G$2:$G$2955,$A23,'Expense Details'!$AA$2:$AA$2955,"Yes")</f>
        <v>4</v>
      </c>
      <c r="N23" s="12">
        <f>SUMIFS('Expense Details'!$AF$2:$AF$2955,'Expense Details'!$G$2:$G$2955,$A23)</f>
        <v>1761.9783999999995</v>
      </c>
      <c r="O23" s="2" t="s">
        <v>350</v>
      </c>
      <c r="P23" s="2" t="s">
        <v>130</v>
      </c>
      <c r="Q23" s="2" t="s">
        <v>133</v>
      </c>
    </row>
    <row r="24" spans="1:17">
      <c r="A24" s="4" t="s">
        <v>2480</v>
      </c>
      <c r="B24" s="2" t="s">
        <v>343</v>
      </c>
      <c r="C24" s="2" t="s">
        <v>344</v>
      </c>
      <c r="D24" s="2" t="s">
        <v>1251</v>
      </c>
      <c r="E24" s="2" t="s">
        <v>750</v>
      </c>
      <c r="F24" s="2" t="s">
        <v>417</v>
      </c>
      <c r="G24" s="9">
        <v>45892</v>
      </c>
      <c r="H24" s="9">
        <v>45899</v>
      </c>
      <c r="I24" s="17">
        <f>H24-G24+1</f>
        <v>8</v>
      </c>
      <c r="J24" s="17">
        <f>COUNTIFS('Expense Details'!$G$2:$G$2955,$A24)</f>
        <v>26</v>
      </c>
      <c r="K24" s="12">
        <f>SUMIFS('Expense Details'!$V$2:$V$2955,'Expense Details'!$G$2:$G$2955,$A24)</f>
        <v>5411.1554000000015</v>
      </c>
      <c r="L24" s="12">
        <f>IFERROR(K24/I24,0)</f>
        <v>676.39442500000018</v>
      </c>
      <c r="M24" s="17">
        <f>COUNTIFS('Expense Details'!$G$2:$G$2955,$A24,'Expense Details'!$AA$2:$AA$2955,"Yes")</f>
        <v>3</v>
      </c>
      <c r="N24" s="12">
        <f>SUMIFS('Expense Details'!$AF$2:$AF$2955,'Expense Details'!$G$2:$G$2955,$A24)</f>
        <v>3577.3860499999996</v>
      </c>
      <c r="O24" s="2" t="s">
        <v>437</v>
      </c>
      <c r="P24" s="2" t="s">
        <v>130</v>
      </c>
      <c r="Q24" s="2" t="s">
        <v>181</v>
      </c>
    </row>
    <row r="25" spans="1:17">
      <c r="A25" s="4" t="s">
        <v>1264</v>
      </c>
      <c r="B25" s="2" t="s">
        <v>343</v>
      </c>
      <c r="C25" s="2" t="s">
        <v>344</v>
      </c>
      <c r="D25" s="2" t="s">
        <v>315</v>
      </c>
      <c r="E25" s="2" t="s">
        <v>316</v>
      </c>
      <c r="F25" s="2" t="s">
        <v>379</v>
      </c>
      <c r="G25" s="9">
        <v>45737</v>
      </c>
      <c r="H25" s="9">
        <v>45744</v>
      </c>
      <c r="I25" s="17">
        <f>H25-G25+1</f>
        <v>8</v>
      </c>
      <c r="J25" s="17">
        <f>COUNTIFS('Expense Details'!$G$2:$G$2955,$A25)</f>
        <v>29</v>
      </c>
      <c r="K25" s="12">
        <f>SUMIFS('Expense Details'!$V$2:$V$2955,'Expense Details'!$G$2:$G$2955,$A25)</f>
        <v>4291.7638679999991</v>
      </c>
      <c r="L25" s="12">
        <f>IFERROR(K25/I25,0)</f>
        <v>536.47048349999989</v>
      </c>
      <c r="M25" s="17">
        <f>COUNTIFS('Expense Details'!$G$2:$G$2955,$A25,'Expense Details'!$AA$2:$AA$2955,"Yes")</f>
        <v>4</v>
      </c>
      <c r="N25" s="12">
        <f>SUMIFS('Expense Details'!$AF$2:$AF$2955,'Expense Details'!$G$2:$G$2955,$A25)</f>
        <v>1087.6805659999998</v>
      </c>
      <c r="O25" s="2" t="s">
        <v>180</v>
      </c>
      <c r="P25" s="2" t="s">
        <v>131</v>
      </c>
      <c r="Q25" s="2" t="s">
        <v>133</v>
      </c>
    </row>
    <row r="26" spans="1:17">
      <c r="A26" s="4" t="s">
        <v>984</v>
      </c>
      <c r="B26" s="2" t="s">
        <v>252</v>
      </c>
      <c r="C26" s="2" t="s">
        <v>250</v>
      </c>
      <c r="D26" s="2" t="s">
        <v>749</v>
      </c>
      <c r="E26" s="2" t="s">
        <v>750</v>
      </c>
      <c r="F26" s="2" t="s">
        <v>748</v>
      </c>
      <c r="G26" s="9">
        <v>45712</v>
      </c>
      <c r="H26" s="9">
        <v>45717</v>
      </c>
      <c r="I26" s="17">
        <f>H26-G26+1</f>
        <v>6</v>
      </c>
      <c r="J26" s="17">
        <f>COUNTIFS('Expense Details'!$G$2:$G$2955,$A26)</f>
        <v>21</v>
      </c>
      <c r="K26" s="12">
        <f>SUMIFS('Expense Details'!$V$2:$V$2955,'Expense Details'!$G$2:$G$2955,$A26)</f>
        <v>2970.6974499999997</v>
      </c>
      <c r="L26" s="12">
        <f>IFERROR(K26/I26,0)</f>
        <v>495.11624166666661</v>
      </c>
      <c r="M26" s="17">
        <f>COUNTIFS('Expense Details'!$G$2:$G$2955,$A26,'Expense Details'!$AA$2:$AA$2955,"Yes")</f>
        <v>0</v>
      </c>
      <c r="N26" s="12">
        <f>SUMIFS('Expense Details'!$AF$2:$AF$2955,'Expense Details'!$G$2:$G$2955,$A26)</f>
        <v>1581.2247500000001</v>
      </c>
      <c r="O26" s="2" t="s">
        <v>437</v>
      </c>
      <c r="P26" s="2" t="s">
        <v>131</v>
      </c>
      <c r="Q26" s="2" t="s">
        <v>133</v>
      </c>
    </row>
    <row r="27" spans="1:17">
      <c r="A27" s="4" t="s">
        <v>1810</v>
      </c>
      <c r="B27" s="2" t="s">
        <v>771</v>
      </c>
      <c r="C27" s="2" t="s">
        <v>414</v>
      </c>
      <c r="D27" s="2" t="s">
        <v>651</v>
      </c>
      <c r="E27" s="2" t="s">
        <v>652</v>
      </c>
      <c r="F27" s="2" t="s">
        <v>448</v>
      </c>
      <c r="G27" s="9">
        <v>45813</v>
      </c>
      <c r="H27" s="9">
        <v>45818</v>
      </c>
      <c r="I27" s="17">
        <f>H27-G27+1</f>
        <v>6</v>
      </c>
      <c r="J27" s="17">
        <f>COUNTIFS('Expense Details'!$G$2:$G$2955,$A27)</f>
        <v>30</v>
      </c>
      <c r="K27" s="12">
        <f>SUMIFS('Expense Details'!$V$2:$V$2955,'Expense Details'!$G$2:$G$2955,$A27)</f>
        <v>3816.9476799999993</v>
      </c>
      <c r="L27" s="12">
        <f>IFERROR(K27/I27,0)</f>
        <v>636.15794666666659</v>
      </c>
      <c r="M27" s="17">
        <f>COUNTIFS('Expense Details'!$G$2:$G$2955,$A27,'Expense Details'!$AA$2:$AA$2955,"Yes")</f>
        <v>3</v>
      </c>
      <c r="N27" s="12">
        <f>SUMIFS('Expense Details'!$AF$2:$AF$2955,'Expense Details'!$G$2:$G$2955,$A27)</f>
        <v>1079.4056</v>
      </c>
      <c r="O27" s="2" t="s">
        <v>260</v>
      </c>
      <c r="P27" s="2" t="s">
        <v>130</v>
      </c>
      <c r="Q27" s="2" t="s">
        <v>133</v>
      </c>
    </row>
    <row r="28" spans="1:17">
      <c r="A28" s="4" t="s">
        <v>347</v>
      </c>
      <c r="B28" s="2" t="s">
        <v>343</v>
      </c>
      <c r="C28" s="2" t="s">
        <v>344</v>
      </c>
      <c r="D28" s="2" t="s">
        <v>194</v>
      </c>
      <c r="E28" s="2" t="s">
        <v>195</v>
      </c>
      <c r="F28" s="2" t="s">
        <v>348</v>
      </c>
      <c r="G28" s="9">
        <v>45674</v>
      </c>
      <c r="H28" s="9">
        <v>45676</v>
      </c>
      <c r="I28" s="17">
        <f>H28-G28+1</f>
        <v>3</v>
      </c>
      <c r="J28" s="17">
        <f>COUNTIFS('Expense Details'!$G$2:$G$2955,$A28)</f>
        <v>12</v>
      </c>
      <c r="K28" s="12">
        <f>SUMIFS('Expense Details'!$V$2:$V$2955,'Expense Details'!$G$2:$G$2955,$A28)</f>
        <v>1841.8091999999999</v>
      </c>
      <c r="L28" s="12">
        <f>IFERROR(K28/I28,0)</f>
        <v>613.93639999999994</v>
      </c>
      <c r="M28" s="17">
        <f>COUNTIFS('Expense Details'!$G$2:$G$2955,$A28,'Expense Details'!$AA$2:$AA$2955,"Yes")</f>
        <v>1</v>
      </c>
      <c r="N28" s="12">
        <f>SUMIFS('Expense Details'!$AF$2:$AF$2955,'Expense Details'!$G$2:$G$2955,$A28)</f>
        <v>1322.5065</v>
      </c>
      <c r="O28" s="2" t="s">
        <v>350</v>
      </c>
      <c r="P28" s="2" t="s">
        <v>130</v>
      </c>
      <c r="Q28" s="2" t="s">
        <v>133</v>
      </c>
    </row>
    <row r="29" spans="1:17">
      <c r="A29" s="4" t="s">
        <v>2393</v>
      </c>
      <c r="B29" s="2" t="s">
        <v>446</v>
      </c>
      <c r="C29" s="2" t="s">
        <v>444</v>
      </c>
      <c r="D29" s="2" t="s">
        <v>380</v>
      </c>
      <c r="E29" s="2" t="s">
        <v>381</v>
      </c>
      <c r="F29" s="2" t="s">
        <v>122</v>
      </c>
      <c r="G29" s="9">
        <v>45882</v>
      </c>
      <c r="H29" s="9">
        <v>45886</v>
      </c>
      <c r="I29" s="17">
        <f>H29-G29+1</f>
        <v>5</v>
      </c>
      <c r="J29" s="17">
        <f>COUNTIFS('Expense Details'!$G$2:$G$2955,$A29)</f>
        <v>21</v>
      </c>
      <c r="K29" s="12">
        <f>SUMIFS('Expense Details'!$V$2:$V$2955,'Expense Details'!$G$2:$G$2955,$A29)</f>
        <v>3064.4900000000002</v>
      </c>
      <c r="L29" s="12">
        <f>IFERROR(K29/I29,0)</f>
        <v>612.89800000000002</v>
      </c>
      <c r="M29" s="17">
        <f>COUNTIFS('Expense Details'!$G$2:$G$2955,$A29,'Expense Details'!$AA$2:$AA$2955,"Yes")</f>
        <v>1</v>
      </c>
      <c r="N29" s="12">
        <f>SUMIFS('Expense Details'!$AF$2:$AF$2955,'Expense Details'!$G$2:$G$2955,$A29)</f>
        <v>362.57000000000005</v>
      </c>
      <c r="O29" s="2" t="s">
        <v>180</v>
      </c>
      <c r="P29" s="2" t="s">
        <v>130</v>
      </c>
      <c r="Q29" s="2" t="s">
        <v>133</v>
      </c>
    </row>
    <row r="30" spans="1:17">
      <c r="A30" s="4" t="s">
        <v>1176</v>
      </c>
      <c r="B30" s="2" t="s">
        <v>864</v>
      </c>
      <c r="C30" s="2" t="s">
        <v>865</v>
      </c>
      <c r="D30" s="2" t="s">
        <v>1038</v>
      </c>
      <c r="E30" s="2" t="s">
        <v>381</v>
      </c>
      <c r="F30" s="2" t="s">
        <v>348</v>
      </c>
      <c r="G30" s="9">
        <v>45726</v>
      </c>
      <c r="H30" s="9">
        <v>45728</v>
      </c>
      <c r="I30" s="17">
        <f>H30-G30+1</f>
        <v>3</v>
      </c>
      <c r="J30" s="17">
        <f>COUNTIFS('Expense Details'!$G$2:$G$2955,$A30)</f>
        <v>12</v>
      </c>
      <c r="K30" s="12">
        <f>SUMIFS('Expense Details'!$V$2:$V$2955,'Expense Details'!$G$2:$G$2955,$A30)</f>
        <v>2119.6600000000003</v>
      </c>
      <c r="L30" s="12">
        <f>IFERROR(K30/I30,0)</f>
        <v>706.5533333333334</v>
      </c>
      <c r="M30" s="17">
        <f>COUNTIFS('Expense Details'!$G$2:$G$2955,$A30,'Expense Details'!$AA$2:$AA$2955,"Yes")</f>
        <v>1</v>
      </c>
      <c r="N30" s="12">
        <f>SUMIFS('Expense Details'!$AF$2:$AF$2955,'Expense Details'!$G$2:$G$2955,$A30)</f>
        <v>119.66</v>
      </c>
      <c r="O30" s="2" t="s">
        <v>260</v>
      </c>
      <c r="P30" s="2" t="s">
        <v>130</v>
      </c>
      <c r="Q30" s="2" t="s">
        <v>133</v>
      </c>
    </row>
    <row r="31" spans="1:17">
      <c r="A31" s="4" t="s">
        <v>2701</v>
      </c>
      <c r="B31" s="2" t="s">
        <v>443</v>
      </c>
      <c r="C31" s="2" t="s">
        <v>444</v>
      </c>
      <c r="D31" s="2" t="s">
        <v>123</v>
      </c>
      <c r="E31" s="2" t="s">
        <v>124</v>
      </c>
      <c r="F31" s="2" t="s">
        <v>748</v>
      </c>
      <c r="G31" s="9">
        <v>45923</v>
      </c>
      <c r="H31" s="9">
        <v>45929</v>
      </c>
      <c r="I31" s="17">
        <f>H31-G31+1</f>
        <v>7</v>
      </c>
      <c r="J31" s="17">
        <f>COUNTIFS('Expense Details'!$G$2:$G$2955,$A31)</f>
        <v>23</v>
      </c>
      <c r="K31" s="12">
        <f>SUMIFS('Expense Details'!$V$2:$V$2955,'Expense Details'!$G$2:$G$2955,$A31)</f>
        <v>4518.067680000001</v>
      </c>
      <c r="L31" s="12">
        <f>IFERROR(K31/I31,0)</f>
        <v>645.43824000000018</v>
      </c>
      <c r="M31" s="17">
        <f>COUNTIFS('Expense Details'!$G$2:$G$2955,$A31,'Expense Details'!$AA$2:$AA$2955,"Yes")</f>
        <v>4</v>
      </c>
      <c r="N31" s="12">
        <f>SUMIFS('Expense Details'!$AF$2:$AF$2955,'Expense Details'!$G$2:$G$2955,$A31)</f>
        <v>485.03903999999994</v>
      </c>
      <c r="O31" s="2" t="s">
        <v>132</v>
      </c>
      <c r="P31" s="2" t="s">
        <v>131</v>
      </c>
      <c r="Q31" s="2" t="s">
        <v>133</v>
      </c>
    </row>
    <row r="32" spans="1:17">
      <c r="A32" s="4" t="s">
        <v>2980</v>
      </c>
      <c r="B32" s="2" t="s">
        <v>551</v>
      </c>
      <c r="C32" s="2" t="s">
        <v>171</v>
      </c>
      <c r="D32" s="2" t="s">
        <v>619</v>
      </c>
      <c r="E32" s="2" t="s">
        <v>381</v>
      </c>
      <c r="F32" s="2" t="s">
        <v>803</v>
      </c>
      <c r="G32" s="9">
        <v>45953</v>
      </c>
      <c r="H32" s="9">
        <v>45961</v>
      </c>
      <c r="I32" s="17">
        <f>H32-G32+1</f>
        <v>9</v>
      </c>
      <c r="J32" s="17">
        <f>COUNTIFS('Expense Details'!$G$2:$G$2955,$A32)</f>
        <v>37</v>
      </c>
      <c r="K32" s="12">
        <f>SUMIFS('Expense Details'!$V$2:$V$2955,'Expense Details'!$G$2:$G$2955,$A32)</f>
        <v>3998.5500000000006</v>
      </c>
      <c r="L32" s="12">
        <f>IFERROR(K32/I32,0)</f>
        <v>444.28333333333342</v>
      </c>
      <c r="M32" s="17">
        <f>COUNTIFS('Expense Details'!$G$2:$G$2955,$A32,'Expense Details'!$AA$2:$AA$2955,"Yes")</f>
        <v>4</v>
      </c>
      <c r="N32" s="12">
        <f>SUMIFS('Expense Details'!$AF$2:$AF$2955,'Expense Details'!$G$2:$G$2955,$A32)</f>
        <v>3402.1</v>
      </c>
      <c r="O32" s="2" t="s">
        <v>858</v>
      </c>
      <c r="P32" s="2" t="s">
        <v>130</v>
      </c>
      <c r="Q32" s="2" t="s">
        <v>133</v>
      </c>
    </row>
    <row r="33" spans="1:17">
      <c r="A33" s="4" t="s">
        <v>2214</v>
      </c>
      <c r="B33" s="2" t="s">
        <v>346</v>
      </c>
      <c r="C33" s="2" t="s">
        <v>344</v>
      </c>
      <c r="D33" s="2" t="s">
        <v>380</v>
      </c>
      <c r="E33" s="2" t="s">
        <v>381</v>
      </c>
      <c r="F33" s="2" t="s">
        <v>748</v>
      </c>
      <c r="G33" s="9">
        <v>45855</v>
      </c>
      <c r="H33" s="9">
        <v>45860</v>
      </c>
      <c r="I33" s="17">
        <f>H33-G33+1</f>
        <v>6</v>
      </c>
      <c r="J33" s="17">
        <f>COUNTIFS('Expense Details'!$G$2:$G$2955,$A33)</f>
        <v>25</v>
      </c>
      <c r="K33" s="12">
        <f>SUMIFS('Expense Details'!$V$2:$V$2955,'Expense Details'!$G$2:$G$2955,$A33)</f>
        <v>2656.89</v>
      </c>
      <c r="L33" s="12">
        <f>IFERROR(K33/I33,0)</f>
        <v>442.815</v>
      </c>
      <c r="M33" s="17">
        <f>COUNTIFS('Expense Details'!$G$2:$G$2955,$A33,'Expense Details'!$AA$2:$AA$2955,"Yes")</f>
        <v>5</v>
      </c>
      <c r="N33" s="12">
        <f>SUMIFS('Expense Details'!$AF$2:$AF$2955,'Expense Details'!$G$2:$G$2955,$A33)</f>
        <v>1139.2800000000002</v>
      </c>
      <c r="O33" s="2" t="s">
        <v>421</v>
      </c>
      <c r="P33" s="2" t="s">
        <v>130</v>
      </c>
      <c r="Q33" s="2" t="s">
        <v>133</v>
      </c>
    </row>
    <row r="34" spans="1:17">
      <c r="A34" s="4" t="s">
        <v>1419</v>
      </c>
      <c r="B34" s="2" t="s">
        <v>867</v>
      </c>
      <c r="C34" s="2" t="s">
        <v>865</v>
      </c>
      <c r="D34" s="2" t="s">
        <v>255</v>
      </c>
      <c r="E34" s="2" t="s">
        <v>256</v>
      </c>
      <c r="F34" s="2" t="s">
        <v>254</v>
      </c>
      <c r="G34" s="9">
        <v>45756</v>
      </c>
      <c r="H34" s="9">
        <v>45762</v>
      </c>
      <c r="I34" s="17">
        <f>H34-G34+1</f>
        <v>7</v>
      </c>
      <c r="J34" s="17">
        <f>COUNTIFS('Expense Details'!$G$2:$G$2955,$A34)</f>
        <v>25</v>
      </c>
      <c r="K34" s="12">
        <f>SUMIFS('Expense Details'!$V$2:$V$2955,'Expense Details'!$G$2:$G$2955,$A34)</f>
        <v>3576.9288000000006</v>
      </c>
      <c r="L34" s="12">
        <f>IFERROR(K34/I34,0)</f>
        <v>510.98982857142863</v>
      </c>
      <c r="M34" s="17">
        <f>COUNTIFS('Expense Details'!$G$2:$G$2955,$A34,'Expense Details'!$AA$2:$AA$2955,"Yes")</f>
        <v>4</v>
      </c>
      <c r="N34" s="12">
        <f>SUMIFS('Expense Details'!$AF$2:$AF$2955,'Expense Details'!$G$2:$G$2955,$A34)</f>
        <v>1625.1794499999999</v>
      </c>
      <c r="O34" s="2" t="s">
        <v>260</v>
      </c>
      <c r="P34" s="2" t="s">
        <v>130</v>
      </c>
      <c r="Q34" s="2" t="s">
        <v>133</v>
      </c>
    </row>
    <row r="35" spans="1:17">
      <c r="A35" s="4" t="s">
        <v>2401</v>
      </c>
      <c r="B35" s="2" t="s">
        <v>120</v>
      </c>
      <c r="C35" s="2" t="s">
        <v>118</v>
      </c>
      <c r="D35" s="2" t="s">
        <v>749</v>
      </c>
      <c r="E35" s="2" t="s">
        <v>750</v>
      </c>
      <c r="F35" s="2" t="s">
        <v>448</v>
      </c>
      <c r="G35" s="9">
        <v>45882</v>
      </c>
      <c r="H35" s="9">
        <v>45889</v>
      </c>
      <c r="I35" s="17">
        <f>H35-G35+1</f>
        <v>8</v>
      </c>
      <c r="J35" s="17">
        <f>COUNTIFS('Expense Details'!$G$2:$G$2955,$A35)</f>
        <v>25</v>
      </c>
      <c r="K35" s="12">
        <f>SUMIFS('Expense Details'!$V$2:$V$2955,'Expense Details'!$G$2:$G$2955,$A35)</f>
        <v>6669.6794500000015</v>
      </c>
      <c r="L35" s="12">
        <f>IFERROR(K35/I35,0)</f>
        <v>833.70993125000018</v>
      </c>
      <c r="M35" s="17">
        <f>COUNTIFS('Expense Details'!$G$2:$G$2955,$A35,'Expense Details'!$AA$2:$AA$2955,"Yes")</f>
        <v>3</v>
      </c>
      <c r="N35" s="12">
        <f>SUMIFS('Expense Details'!$AF$2:$AF$2955,'Expense Details'!$G$2:$G$2955,$A35)</f>
        <v>4120.0379499999999</v>
      </c>
      <c r="O35" s="2" t="s">
        <v>421</v>
      </c>
      <c r="P35" s="2" t="s">
        <v>130</v>
      </c>
      <c r="Q35" s="2" t="s">
        <v>133</v>
      </c>
    </row>
    <row r="36" spans="1:17">
      <c r="A36" s="4" t="s">
        <v>1965</v>
      </c>
      <c r="B36" s="2" t="s">
        <v>288</v>
      </c>
      <c r="C36" s="2" t="s">
        <v>171</v>
      </c>
      <c r="D36" s="2" t="s">
        <v>380</v>
      </c>
      <c r="E36" s="2" t="s">
        <v>381</v>
      </c>
      <c r="F36" s="2" t="s">
        <v>448</v>
      </c>
      <c r="G36" s="9">
        <v>45837</v>
      </c>
      <c r="H36" s="9">
        <v>45843</v>
      </c>
      <c r="I36" s="17">
        <f>H36-G36+1</f>
        <v>7</v>
      </c>
      <c r="J36" s="17">
        <f>COUNTIFS('Expense Details'!$G$2:$G$2955,$A36)</f>
        <v>27</v>
      </c>
      <c r="K36" s="12">
        <f>SUMIFS('Expense Details'!$V$2:$V$2955,'Expense Details'!$G$2:$G$2955,$A36)</f>
        <v>2469.12</v>
      </c>
      <c r="L36" s="12">
        <f>IFERROR(K36/I36,0)</f>
        <v>352.73142857142858</v>
      </c>
      <c r="M36" s="17">
        <f>COUNTIFS('Expense Details'!$G$2:$G$2955,$A36,'Expense Details'!$AA$2:$AA$2955,"Yes")</f>
        <v>3</v>
      </c>
      <c r="N36" s="12">
        <f>SUMIFS('Expense Details'!$AF$2:$AF$2955,'Expense Details'!$G$2:$G$2955,$A36)</f>
        <v>582.54999999999995</v>
      </c>
      <c r="O36" s="2" t="s">
        <v>514</v>
      </c>
      <c r="P36" s="2" t="s">
        <v>131</v>
      </c>
      <c r="Q36" s="2" t="s">
        <v>133</v>
      </c>
    </row>
    <row r="37" spans="1:17">
      <c r="A37" s="4" t="s">
        <v>2915</v>
      </c>
      <c r="B37" s="2" t="s">
        <v>446</v>
      </c>
      <c r="C37" s="2" t="s">
        <v>444</v>
      </c>
      <c r="D37" s="2" t="s">
        <v>1251</v>
      </c>
      <c r="E37" s="2" t="s">
        <v>750</v>
      </c>
      <c r="F37" s="2" t="s">
        <v>417</v>
      </c>
      <c r="G37" s="9">
        <v>45949</v>
      </c>
      <c r="H37" s="9">
        <v>45952</v>
      </c>
      <c r="I37" s="17">
        <f>H37-G37+1</f>
        <v>4</v>
      </c>
      <c r="J37" s="17">
        <f>COUNTIFS('Expense Details'!$G$2:$G$2955,$A37)</f>
        <v>14</v>
      </c>
      <c r="K37" s="12">
        <f>SUMIFS('Expense Details'!$V$2:$V$2955,'Expense Details'!$G$2:$G$2955,$A37)</f>
        <v>2084.6213499999999</v>
      </c>
      <c r="L37" s="12">
        <f>IFERROR(K37/I37,0)</f>
        <v>521.15533749999997</v>
      </c>
      <c r="M37" s="17">
        <f>COUNTIFS('Expense Details'!$G$2:$G$2955,$A37,'Expense Details'!$AA$2:$AA$2955,"Yes")</f>
        <v>0</v>
      </c>
      <c r="N37" s="12">
        <f>SUMIFS('Expense Details'!$AF$2:$AF$2955,'Expense Details'!$G$2:$G$2955,$A37)</f>
        <v>281.51409999999998</v>
      </c>
      <c r="O37" s="2" t="s">
        <v>180</v>
      </c>
      <c r="P37" s="2" t="s">
        <v>131</v>
      </c>
      <c r="Q37" s="2" t="s">
        <v>133</v>
      </c>
    </row>
    <row r="38" spans="1:17">
      <c r="A38" s="4" t="s">
        <v>1322</v>
      </c>
      <c r="B38" s="2" t="s">
        <v>864</v>
      </c>
      <c r="C38" s="2" t="s">
        <v>865</v>
      </c>
      <c r="D38" s="2" t="s">
        <v>175</v>
      </c>
      <c r="E38" s="2" t="s">
        <v>176</v>
      </c>
      <c r="F38" s="2" t="s">
        <v>348</v>
      </c>
      <c r="G38" s="9">
        <v>45747</v>
      </c>
      <c r="H38" s="9">
        <v>45748</v>
      </c>
      <c r="I38" s="17">
        <f>H38-G38+1</f>
        <v>2</v>
      </c>
      <c r="J38" s="17">
        <f>COUNTIFS('Expense Details'!$G$2:$G$2955,$A38)</f>
        <v>13</v>
      </c>
      <c r="K38" s="12">
        <f>SUMIFS('Expense Details'!$V$2:$V$2955,'Expense Details'!$G$2:$G$2955,$A38)</f>
        <v>1697.4071399999998</v>
      </c>
      <c r="L38" s="12">
        <f>IFERROR(K38/I38,0)</f>
        <v>848.7035699999999</v>
      </c>
      <c r="M38" s="17">
        <f>COUNTIFS('Expense Details'!$G$2:$G$2955,$A38,'Expense Details'!$AA$2:$AA$2955,"Yes")</f>
        <v>0</v>
      </c>
      <c r="N38" s="12">
        <f>SUMIFS('Expense Details'!$AF$2:$AF$2955,'Expense Details'!$G$2:$G$2955,$A38)</f>
        <v>1282.0085199999999</v>
      </c>
      <c r="O38" s="2" t="s">
        <v>350</v>
      </c>
      <c r="P38" s="2" t="s">
        <v>130</v>
      </c>
      <c r="Q38" s="2" t="s">
        <v>133</v>
      </c>
    </row>
    <row r="39" spans="1:17">
      <c r="A39" s="4" t="s">
        <v>2039</v>
      </c>
      <c r="B39" s="2" t="s">
        <v>117</v>
      </c>
      <c r="C39" s="2" t="s">
        <v>118</v>
      </c>
      <c r="D39" s="2" t="s">
        <v>418</v>
      </c>
      <c r="E39" s="2" t="s">
        <v>381</v>
      </c>
      <c r="F39" s="2" t="s">
        <v>803</v>
      </c>
      <c r="G39" s="9">
        <v>45844</v>
      </c>
      <c r="H39" s="9">
        <v>45847</v>
      </c>
      <c r="I39" s="17">
        <f>H39-G39+1</f>
        <v>4</v>
      </c>
      <c r="J39" s="17">
        <f>COUNTIFS('Expense Details'!$G$2:$G$2955,$A39)</f>
        <v>16</v>
      </c>
      <c r="K39" s="12">
        <f>SUMIFS('Expense Details'!$V$2:$V$2955,'Expense Details'!$G$2:$G$2955,$A39)</f>
        <v>3364.9900000000002</v>
      </c>
      <c r="L39" s="12">
        <f>IFERROR(K39/I39,0)</f>
        <v>841.24750000000006</v>
      </c>
      <c r="M39" s="17">
        <f>COUNTIFS('Expense Details'!$G$2:$G$2955,$A39,'Expense Details'!$AA$2:$AA$2955,"Yes")</f>
        <v>5</v>
      </c>
      <c r="N39" s="12">
        <f>SUMIFS('Expense Details'!$AF$2:$AF$2955,'Expense Details'!$G$2:$G$2955,$A39)</f>
        <v>710.30000000000007</v>
      </c>
      <c r="O39" s="2" t="s">
        <v>858</v>
      </c>
      <c r="P39" s="2" t="s">
        <v>131</v>
      </c>
      <c r="Q39" s="2" t="s">
        <v>133</v>
      </c>
    </row>
    <row r="40" spans="1:17">
      <c r="A40" s="4" t="s">
        <v>566</v>
      </c>
      <c r="B40" s="2" t="s">
        <v>510</v>
      </c>
      <c r="C40" s="2" t="s">
        <v>250</v>
      </c>
      <c r="D40" s="2" t="s">
        <v>567</v>
      </c>
      <c r="E40" s="2" t="s">
        <v>434</v>
      </c>
      <c r="F40" s="2" t="s">
        <v>193</v>
      </c>
      <c r="G40" s="9">
        <v>45683</v>
      </c>
      <c r="H40" s="9">
        <v>45688</v>
      </c>
      <c r="I40" s="17">
        <f>H40-G40+1</f>
        <v>6</v>
      </c>
      <c r="J40" s="17">
        <f>COUNTIFS('Expense Details'!$G$2:$G$2955,$A40)</f>
        <v>21</v>
      </c>
      <c r="K40" s="12">
        <f>SUMIFS('Expense Details'!$V$2:$V$2955,'Expense Details'!$G$2:$G$2955,$A40)</f>
        <v>4715.0274600000021</v>
      </c>
      <c r="L40" s="12">
        <f>IFERROR(K40/I40,0)</f>
        <v>785.83791000000031</v>
      </c>
      <c r="M40" s="17">
        <f>COUNTIFS('Expense Details'!$G$2:$G$2955,$A40,'Expense Details'!$AA$2:$AA$2955,"Yes")</f>
        <v>3</v>
      </c>
      <c r="N40" s="12">
        <f>SUMIFS('Expense Details'!$AF$2:$AF$2955,'Expense Details'!$G$2:$G$2955,$A40)</f>
        <v>2193.9778800000004</v>
      </c>
      <c r="O40" s="2" t="s">
        <v>421</v>
      </c>
      <c r="P40" s="2" t="s">
        <v>131</v>
      </c>
      <c r="Q40" s="2" t="s">
        <v>133</v>
      </c>
    </row>
    <row r="41" spans="1:17">
      <c r="A41" s="4" t="s">
        <v>2287</v>
      </c>
      <c r="B41" s="2" t="s">
        <v>288</v>
      </c>
      <c r="C41" s="2" t="s">
        <v>171</v>
      </c>
      <c r="D41" s="2" t="s">
        <v>175</v>
      </c>
      <c r="E41" s="2" t="s">
        <v>176</v>
      </c>
      <c r="F41" s="2" t="s">
        <v>748</v>
      </c>
      <c r="G41" s="9">
        <v>45864</v>
      </c>
      <c r="H41" s="9">
        <v>45872</v>
      </c>
      <c r="I41" s="17">
        <f>H41-G41+1</f>
        <v>9</v>
      </c>
      <c r="J41" s="17">
        <f>COUNTIFS('Expense Details'!$G$2:$G$2955,$A41)</f>
        <v>28</v>
      </c>
      <c r="K41" s="12">
        <f>SUMIFS('Expense Details'!$V$2:$V$2955,'Expense Details'!$G$2:$G$2955,$A41)</f>
        <v>3871.7257500000005</v>
      </c>
      <c r="L41" s="12">
        <f>IFERROR(K41/I41,0)</f>
        <v>430.19175000000007</v>
      </c>
      <c r="M41" s="17">
        <f>COUNTIFS('Expense Details'!$G$2:$G$2955,$A41,'Expense Details'!$AA$2:$AA$2955,"Yes")</f>
        <v>4</v>
      </c>
      <c r="N41" s="12">
        <f>SUMIFS('Expense Details'!$AF$2:$AF$2955,'Expense Details'!$G$2:$G$2955,$A41)</f>
        <v>482.76319999999998</v>
      </c>
      <c r="O41" s="2" t="s">
        <v>437</v>
      </c>
      <c r="P41" s="2" t="s">
        <v>130</v>
      </c>
      <c r="Q41" s="2" t="s">
        <v>181</v>
      </c>
    </row>
    <row r="42" spans="1:17">
      <c r="A42" s="4" t="s">
        <v>482</v>
      </c>
      <c r="B42" s="2" t="s">
        <v>311</v>
      </c>
      <c r="C42" s="2" t="s">
        <v>118</v>
      </c>
      <c r="D42" s="2" t="s">
        <v>255</v>
      </c>
      <c r="E42" s="2" t="s">
        <v>256</v>
      </c>
      <c r="F42" s="2" t="s">
        <v>254</v>
      </c>
      <c r="G42" s="9">
        <v>45680</v>
      </c>
      <c r="H42" s="9">
        <v>45684</v>
      </c>
      <c r="I42" s="17">
        <f>H42-G42+1</f>
        <v>5</v>
      </c>
      <c r="J42" s="17">
        <f>COUNTIFS('Expense Details'!$G$2:$G$2955,$A42)</f>
        <v>24</v>
      </c>
      <c r="K42" s="12">
        <f>SUMIFS('Expense Details'!$V$2:$V$2955,'Expense Details'!$G$2:$G$2955,$A42)</f>
        <v>4279.7634500000004</v>
      </c>
      <c r="L42" s="12">
        <f>IFERROR(K42/I42,0)</f>
        <v>855.95269000000008</v>
      </c>
      <c r="M42" s="17">
        <f>COUNTIFS('Expense Details'!$G$2:$G$2955,$A42,'Expense Details'!$AA$2:$AA$2955,"Yes")</f>
        <v>3</v>
      </c>
      <c r="N42" s="12">
        <f>SUMIFS('Expense Details'!$AF$2:$AF$2955,'Expense Details'!$G$2:$G$2955,$A42)</f>
        <v>1670.1320999999998</v>
      </c>
      <c r="O42" s="2" t="s">
        <v>437</v>
      </c>
      <c r="P42" s="2" t="s">
        <v>130</v>
      </c>
      <c r="Q42" s="2" t="s">
        <v>133</v>
      </c>
    </row>
    <row r="43" spans="1:17">
      <c r="A43" s="4" t="s">
        <v>2840</v>
      </c>
      <c r="B43" s="2" t="s">
        <v>771</v>
      </c>
      <c r="C43" s="2" t="s">
        <v>414</v>
      </c>
      <c r="D43" s="2" t="s">
        <v>601</v>
      </c>
      <c r="E43" s="2" t="s">
        <v>381</v>
      </c>
      <c r="F43" s="2" t="s">
        <v>122</v>
      </c>
      <c r="G43" s="9">
        <v>45938</v>
      </c>
      <c r="H43" s="9">
        <v>45940</v>
      </c>
      <c r="I43" s="17">
        <f>H43-G43+1</f>
        <v>3</v>
      </c>
      <c r="J43" s="17">
        <f>COUNTIFS('Expense Details'!$G$2:$G$2955,$A43)</f>
        <v>17</v>
      </c>
      <c r="K43" s="12">
        <f>SUMIFS('Expense Details'!$V$2:$V$2955,'Expense Details'!$G$2:$G$2955,$A43)</f>
        <v>2313.6299999999997</v>
      </c>
      <c r="L43" s="12">
        <f>IFERROR(K43/I43,0)</f>
        <v>771.20999999999992</v>
      </c>
      <c r="M43" s="17">
        <f>COUNTIFS('Expense Details'!$G$2:$G$2955,$A43,'Expense Details'!$AA$2:$AA$2955,"Yes")</f>
        <v>1</v>
      </c>
      <c r="N43" s="12">
        <f>SUMIFS('Expense Details'!$AF$2:$AF$2955,'Expense Details'!$G$2:$G$2955,$A43)</f>
        <v>746.60000000000014</v>
      </c>
      <c r="O43" s="2" t="s">
        <v>350</v>
      </c>
      <c r="P43" s="2" t="s">
        <v>130</v>
      </c>
      <c r="Q43" s="2" t="s">
        <v>133</v>
      </c>
    </row>
    <row r="44" spans="1:17">
      <c r="A44" s="4" t="s">
        <v>3304</v>
      </c>
      <c r="B44" s="2" t="s">
        <v>311</v>
      </c>
      <c r="C44" s="2" t="s">
        <v>118</v>
      </c>
      <c r="D44" s="2" t="s">
        <v>255</v>
      </c>
      <c r="E44" s="2" t="s">
        <v>256</v>
      </c>
      <c r="F44" s="2" t="s">
        <v>291</v>
      </c>
      <c r="G44" s="9">
        <v>45986</v>
      </c>
      <c r="H44" s="9">
        <v>45987</v>
      </c>
      <c r="I44" s="17">
        <f>H44-G44+1</f>
        <v>2</v>
      </c>
      <c r="J44" s="17">
        <f>COUNTIFS('Expense Details'!$G$2:$G$2955,$A44)</f>
        <v>8</v>
      </c>
      <c r="K44" s="12">
        <f>SUMIFS('Expense Details'!$V$2:$V$2955,'Expense Details'!$G$2:$G$2955,$A44)</f>
        <v>1191.1699000000001</v>
      </c>
      <c r="L44" s="12">
        <f>IFERROR(K44/I44,0)</f>
        <v>595.58495000000005</v>
      </c>
      <c r="M44" s="17">
        <f>COUNTIFS('Expense Details'!$G$2:$G$2955,$A44,'Expense Details'!$AA$2:$AA$2955,"Yes")</f>
        <v>0</v>
      </c>
      <c r="N44" s="12">
        <f>SUMIFS('Expense Details'!$AF$2:$AF$2955,'Expense Details'!$G$2:$G$2955,$A44)</f>
        <v>1114.4366500000001</v>
      </c>
      <c r="O44" s="2" t="s">
        <v>858</v>
      </c>
      <c r="P44" s="2" t="s">
        <v>131</v>
      </c>
      <c r="Q44" s="2" t="s">
        <v>133</v>
      </c>
    </row>
    <row r="45" spans="1:17">
      <c r="A45" s="4" t="s">
        <v>3158</v>
      </c>
      <c r="B45" s="2" t="s">
        <v>346</v>
      </c>
      <c r="C45" s="2" t="s">
        <v>344</v>
      </c>
      <c r="D45" s="2" t="s">
        <v>175</v>
      </c>
      <c r="E45" s="2" t="s">
        <v>176</v>
      </c>
      <c r="F45" s="2" t="s">
        <v>803</v>
      </c>
      <c r="G45" s="9">
        <v>45966</v>
      </c>
      <c r="H45" s="9">
        <v>45967</v>
      </c>
      <c r="I45" s="17">
        <f>H45-G45+1</f>
        <v>2</v>
      </c>
      <c r="J45" s="17">
        <f>COUNTIFS('Expense Details'!$G$2:$G$2955,$A45)</f>
        <v>9</v>
      </c>
      <c r="K45" s="12">
        <f>SUMIFS('Expense Details'!$V$2:$V$2955,'Expense Details'!$G$2:$G$2955,$A45)</f>
        <v>1322.58329</v>
      </c>
      <c r="L45" s="12">
        <f>IFERROR(K45/I45,0)</f>
        <v>661.29164500000002</v>
      </c>
      <c r="M45" s="17">
        <f>COUNTIFS('Expense Details'!$G$2:$G$2955,$A45,'Expense Details'!$AA$2:$AA$2955,"Yes")</f>
        <v>0</v>
      </c>
      <c r="N45" s="12">
        <f>SUMIFS('Expense Details'!$AF$2:$AF$2955,'Expense Details'!$G$2:$G$2955,$A45)</f>
        <v>1069.10546</v>
      </c>
      <c r="O45" s="2" t="s">
        <v>437</v>
      </c>
      <c r="P45" s="2" t="s">
        <v>131</v>
      </c>
      <c r="Q45" s="2" t="s">
        <v>133</v>
      </c>
    </row>
    <row r="46" spans="1:17">
      <c r="A46" s="4" t="s">
        <v>2057</v>
      </c>
      <c r="B46" s="2" t="s">
        <v>288</v>
      </c>
      <c r="C46" s="2" t="s">
        <v>171</v>
      </c>
      <c r="D46" s="2" t="s">
        <v>1038</v>
      </c>
      <c r="E46" s="2" t="s">
        <v>381</v>
      </c>
      <c r="F46" s="2" t="s">
        <v>254</v>
      </c>
      <c r="G46" s="9">
        <v>45845</v>
      </c>
      <c r="H46" s="9">
        <v>45853</v>
      </c>
      <c r="I46" s="17">
        <f>H46-G46+1</f>
        <v>9</v>
      </c>
      <c r="J46" s="17">
        <f>COUNTIFS('Expense Details'!$G$2:$G$2955,$A46)</f>
        <v>36</v>
      </c>
      <c r="K46" s="12">
        <f>SUMIFS('Expense Details'!$V$2:$V$2955,'Expense Details'!$G$2:$G$2955,$A46)</f>
        <v>4849.3099999999977</v>
      </c>
      <c r="L46" s="12">
        <f>IFERROR(K46/I46,0)</f>
        <v>538.81222222222198</v>
      </c>
      <c r="M46" s="17">
        <f>COUNTIFS('Expense Details'!$G$2:$G$2955,$A46,'Expense Details'!$AA$2:$AA$2955,"Yes")</f>
        <v>3</v>
      </c>
      <c r="N46" s="12">
        <f>SUMIFS('Expense Details'!$AF$2:$AF$2955,'Expense Details'!$G$2:$G$2955,$A46)</f>
        <v>3213.8400000000006</v>
      </c>
      <c r="O46" s="2" t="s">
        <v>260</v>
      </c>
      <c r="P46" s="2" t="s">
        <v>131</v>
      </c>
      <c r="Q46" s="2" t="s">
        <v>133</v>
      </c>
    </row>
    <row r="47" spans="1:17">
      <c r="A47" s="4" t="s">
        <v>3207</v>
      </c>
      <c r="B47" s="2" t="s">
        <v>446</v>
      </c>
      <c r="C47" s="2" t="s">
        <v>444</v>
      </c>
      <c r="D47" s="2" t="s">
        <v>619</v>
      </c>
      <c r="E47" s="2" t="s">
        <v>381</v>
      </c>
      <c r="F47" s="2" t="s">
        <v>348</v>
      </c>
      <c r="G47" s="9">
        <v>45973</v>
      </c>
      <c r="H47" s="9">
        <v>45977</v>
      </c>
      <c r="I47" s="17">
        <f>H47-G47+1</f>
        <v>5</v>
      </c>
      <c r="J47" s="17">
        <f>COUNTIFS('Expense Details'!$G$2:$G$2955,$A47)</f>
        <v>20</v>
      </c>
      <c r="K47" s="12">
        <f>SUMIFS('Expense Details'!$V$2:$V$2955,'Expense Details'!$G$2:$G$2955,$A47)</f>
        <v>2706.6099999999992</v>
      </c>
      <c r="L47" s="12">
        <f>IFERROR(K47/I47,0)</f>
        <v>541.32199999999989</v>
      </c>
      <c r="M47" s="17">
        <f>COUNTIFS('Expense Details'!$G$2:$G$2955,$A47,'Expense Details'!$AA$2:$AA$2955,"Yes")</f>
        <v>2</v>
      </c>
      <c r="N47" s="12">
        <f>SUMIFS('Expense Details'!$AF$2:$AF$2955,'Expense Details'!$G$2:$G$2955,$A47)</f>
        <v>273.88000000000005</v>
      </c>
      <c r="O47" s="2" t="s">
        <v>421</v>
      </c>
      <c r="P47" s="2" t="s">
        <v>130</v>
      </c>
      <c r="Q47" s="2" t="s">
        <v>133</v>
      </c>
    </row>
    <row r="48" spans="1:17">
      <c r="A48" s="4" t="s">
        <v>2308</v>
      </c>
      <c r="B48" s="2" t="s">
        <v>443</v>
      </c>
      <c r="C48" s="2" t="s">
        <v>444</v>
      </c>
      <c r="D48" s="2" t="s">
        <v>1038</v>
      </c>
      <c r="E48" s="2" t="s">
        <v>381</v>
      </c>
      <c r="F48" s="2" t="s">
        <v>291</v>
      </c>
      <c r="G48" s="9">
        <v>45869</v>
      </c>
      <c r="H48" s="9">
        <v>45870</v>
      </c>
      <c r="I48" s="17">
        <f>H48-G48+1</f>
        <v>2</v>
      </c>
      <c r="J48" s="17">
        <f>COUNTIFS('Expense Details'!$G$2:$G$2955,$A48)</f>
        <v>10</v>
      </c>
      <c r="K48" s="12">
        <f>SUMIFS('Expense Details'!$V$2:$V$2955,'Expense Details'!$G$2:$G$2955,$A48)</f>
        <v>2140.1</v>
      </c>
      <c r="L48" s="12">
        <f>IFERROR(K48/I48,0)</f>
        <v>1070.05</v>
      </c>
      <c r="M48" s="17">
        <f>COUNTIFS('Expense Details'!$G$2:$G$2955,$A48,'Expense Details'!$AA$2:$AA$2955,"Yes")</f>
        <v>2</v>
      </c>
      <c r="N48" s="12">
        <f>SUMIFS('Expense Details'!$AF$2:$AF$2955,'Expense Details'!$G$2:$G$2955,$A48)</f>
        <v>1974.0400000000002</v>
      </c>
      <c r="O48" s="2" t="s">
        <v>437</v>
      </c>
      <c r="P48" s="2" t="s">
        <v>131</v>
      </c>
      <c r="Q48" s="2" t="s">
        <v>133</v>
      </c>
    </row>
    <row r="49" spans="1:17">
      <c r="A49" s="4" t="s">
        <v>1594</v>
      </c>
      <c r="B49" s="2" t="s">
        <v>376</v>
      </c>
      <c r="C49" s="2" t="s">
        <v>344</v>
      </c>
      <c r="D49" s="2" t="s">
        <v>651</v>
      </c>
      <c r="E49" s="2" t="s">
        <v>652</v>
      </c>
      <c r="F49" s="2" t="s">
        <v>348</v>
      </c>
      <c r="G49" s="9">
        <v>45780</v>
      </c>
      <c r="H49" s="9">
        <v>45788</v>
      </c>
      <c r="I49" s="17">
        <f>H49-G49+1</f>
        <v>9</v>
      </c>
      <c r="J49" s="17">
        <f>COUNTIFS('Expense Details'!$G$2:$G$2955,$A49)</f>
        <v>32</v>
      </c>
      <c r="K49" s="12">
        <f>SUMIFS('Expense Details'!$V$2:$V$2955,'Expense Details'!$G$2:$G$2955,$A49)</f>
        <v>3498.8116800000003</v>
      </c>
      <c r="L49" s="12">
        <f>IFERROR(K49/I49,0)</f>
        <v>388.75685333333337</v>
      </c>
      <c r="M49" s="17">
        <f>COUNTIFS('Expense Details'!$G$2:$G$2955,$A49,'Expense Details'!$AA$2:$AA$2955,"Yes")</f>
        <v>4</v>
      </c>
      <c r="N49" s="12">
        <f>SUMIFS('Expense Details'!$AF$2:$AF$2955,'Expense Details'!$G$2:$G$2955,$A49)</f>
        <v>1518.0474399999998</v>
      </c>
      <c r="O49" s="2" t="s">
        <v>350</v>
      </c>
      <c r="P49" s="2" t="s">
        <v>131</v>
      </c>
      <c r="Q49" s="2" t="s">
        <v>133</v>
      </c>
    </row>
    <row r="50" spans="1:17">
      <c r="A50" s="4" t="s">
        <v>2763</v>
      </c>
      <c r="B50" s="2" t="s">
        <v>346</v>
      </c>
      <c r="C50" s="2" t="s">
        <v>344</v>
      </c>
      <c r="D50" s="2" t="s">
        <v>1251</v>
      </c>
      <c r="E50" s="2" t="s">
        <v>750</v>
      </c>
      <c r="F50" s="2" t="s">
        <v>193</v>
      </c>
      <c r="G50" s="9">
        <v>45931</v>
      </c>
      <c r="H50" s="9">
        <v>45936</v>
      </c>
      <c r="I50" s="17">
        <f>H50-G50+1</f>
        <v>6</v>
      </c>
      <c r="J50" s="17">
        <f>COUNTIFS('Expense Details'!$G$2:$G$2955,$A50)</f>
        <v>25</v>
      </c>
      <c r="K50" s="12">
        <f>SUMIFS('Expense Details'!$V$2:$V$2955,'Expense Details'!$G$2:$G$2955,$A50)</f>
        <v>4577.0291000000007</v>
      </c>
      <c r="L50" s="12">
        <f>IFERROR(K50/I50,0)</f>
        <v>762.8381833333334</v>
      </c>
      <c r="M50" s="17">
        <f>COUNTIFS('Expense Details'!$G$2:$G$2955,$A50,'Expense Details'!$AA$2:$AA$2955,"Yes")</f>
        <v>2</v>
      </c>
      <c r="N50" s="12">
        <f>SUMIFS('Expense Details'!$AF$2:$AF$2955,'Expense Details'!$G$2:$G$2955,$A50)</f>
        <v>0</v>
      </c>
      <c r="O50" s="2" t="s">
        <v>858</v>
      </c>
      <c r="P50" s="2" t="s">
        <v>130</v>
      </c>
      <c r="Q50" s="2" t="s">
        <v>804</v>
      </c>
    </row>
    <row r="51" spans="1:17">
      <c r="A51" s="4" t="s">
        <v>1384</v>
      </c>
      <c r="B51" s="2" t="s">
        <v>249</v>
      </c>
      <c r="C51" s="2" t="s">
        <v>250</v>
      </c>
      <c r="D51" s="2" t="s">
        <v>1038</v>
      </c>
      <c r="E51" s="2" t="s">
        <v>381</v>
      </c>
      <c r="F51" s="2" t="s">
        <v>193</v>
      </c>
      <c r="G51" s="9">
        <v>45753</v>
      </c>
      <c r="H51" s="9">
        <v>45761</v>
      </c>
      <c r="I51" s="17">
        <f>H51-G51+1</f>
        <v>9</v>
      </c>
      <c r="J51" s="17">
        <f>COUNTIFS('Expense Details'!$G$2:$G$2955,$A51)</f>
        <v>38</v>
      </c>
      <c r="K51" s="12">
        <f>SUMIFS('Expense Details'!$V$2:$V$2955,'Expense Details'!$G$2:$G$2955,$A51)</f>
        <v>5476.4000000000005</v>
      </c>
      <c r="L51" s="12">
        <f>IFERROR(K51/I51,0)</f>
        <v>608.48888888888894</v>
      </c>
      <c r="M51" s="17">
        <f>COUNTIFS('Expense Details'!$G$2:$G$2955,$A51,'Expense Details'!$AA$2:$AA$2955,"Yes")</f>
        <v>5</v>
      </c>
      <c r="N51" s="12">
        <f>SUMIFS('Expense Details'!$AF$2:$AF$2955,'Expense Details'!$G$2:$G$2955,$A51)</f>
        <v>1197.4899999999998</v>
      </c>
      <c r="O51" s="2" t="s">
        <v>858</v>
      </c>
      <c r="P51" s="2" t="s">
        <v>130</v>
      </c>
      <c r="Q51" s="2" t="s">
        <v>133</v>
      </c>
    </row>
    <row r="52" spans="1:17">
      <c r="A52" s="4" t="s">
        <v>3019</v>
      </c>
      <c r="B52" s="2" t="s">
        <v>288</v>
      </c>
      <c r="C52" s="2" t="s">
        <v>171</v>
      </c>
      <c r="D52" s="2" t="s">
        <v>418</v>
      </c>
      <c r="E52" s="2" t="s">
        <v>381</v>
      </c>
      <c r="F52" s="2" t="s">
        <v>291</v>
      </c>
      <c r="G52" s="9">
        <v>45955</v>
      </c>
      <c r="H52" s="9">
        <v>45959</v>
      </c>
      <c r="I52" s="17">
        <f>H52-G52+1</f>
        <v>5</v>
      </c>
      <c r="J52" s="17">
        <f>COUNTIFS('Expense Details'!$G$2:$G$2955,$A52)</f>
        <v>19</v>
      </c>
      <c r="K52" s="12">
        <f>SUMIFS('Expense Details'!$V$2:$V$2955,'Expense Details'!$G$2:$G$2955,$A52)</f>
        <v>2679.6099999999992</v>
      </c>
      <c r="L52" s="12">
        <f>IFERROR(K52/I52,0)</f>
        <v>535.9219999999998</v>
      </c>
      <c r="M52" s="17">
        <f>COUNTIFS('Expense Details'!$G$2:$G$2955,$A52,'Expense Details'!$AA$2:$AA$2955,"Yes")</f>
        <v>1</v>
      </c>
      <c r="N52" s="12">
        <f>SUMIFS('Expense Details'!$AF$2:$AF$2955,'Expense Details'!$G$2:$G$2955,$A52)</f>
        <v>2318.1399999999994</v>
      </c>
      <c r="O52" s="2" t="s">
        <v>514</v>
      </c>
      <c r="P52" s="2" t="s">
        <v>130</v>
      </c>
      <c r="Q52" s="2" t="s">
        <v>133</v>
      </c>
    </row>
    <row r="53" spans="1:17">
      <c r="A53" s="4" t="s">
        <v>1454</v>
      </c>
      <c r="B53" s="2" t="s">
        <v>1156</v>
      </c>
      <c r="C53" s="2" t="s">
        <v>118</v>
      </c>
      <c r="D53" s="2" t="s">
        <v>315</v>
      </c>
      <c r="E53" s="2" t="s">
        <v>316</v>
      </c>
      <c r="F53" s="2" t="s">
        <v>291</v>
      </c>
      <c r="G53" s="9">
        <v>45759</v>
      </c>
      <c r="H53" s="9">
        <v>45761</v>
      </c>
      <c r="I53" s="17">
        <f>H53-G53+1</f>
        <v>3</v>
      </c>
      <c r="J53" s="17">
        <f>COUNTIFS('Expense Details'!$G$2:$G$2955,$A53)</f>
        <v>10</v>
      </c>
      <c r="K53" s="12">
        <f>SUMIFS('Expense Details'!$V$2:$V$2955,'Expense Details'!$G$2:$G$2955,$A53)</f>
        <v>1366.4068459999999</v>
      </c>
      <c r="L53" s="12">
        <f>IFERROR(K53/I53,0)</f>
        <v>455.46894866666662</v>
      </c>
      <c r="M53" s="17">
        <f>COUNTIFS('Expense Details'!$G$2:$G$2955,$A53,'Expense Details'!$AA$2:$AA$2955,"Yes")</f>
        <v>0</v>
      </c>
      <c r="N53" s="12">
        <f>SUMIFS('Expense Details'!$AF$2:$AF$2955,'Expense Details'!$G$2:$G$2955,$A53)</f>
        <v>1216.6500149999997</v>
      </c>
      <c r="O53" s="2" t="s">
        <v>514</v>
      </c>
      <c r="P53" s="2" t="s">
        <v>130</v>
      </c>
      <c r="Q53" s="2" t="s">
        <v>181</v>
      </c>
    </row>
    <row r="54" spans="1:17">
      <c r="A54" s="4" t="s">
        <v>3343</v>
      </c>
      <c r="B54" s="2" t="s">
        <v>117</v>
      </c>
      <c r="C54" s="2" t="s">
        <v>118</v>
      </c>
      <c r="D54" s="2" t="s">
        <v>433</v>
      </c>
      <c r="E54" s="2" t="s">
        <v>434</v>
      </c>
      <c r="F54" s="2" t="s">
        <v>448</v>
      </c>
      <c r="G54" s="9">
        <v>45989</v>
      </c>
      <c r="H54" s="9">
        <v>45995</v>
      </c>
      <c r="I54" s="17">
        <f>H54-G54+1</f>
        <v>7</v>
      </c>
      <c r="J54" s="17">
        <f>COUNTIFS('Expense Details'!$G$2:$G$2955,$A54)</f>
        <v>23</v>
      </c>
      <c r="K54" s="12">
        <f>SUMIFS('Expense Details'!$V$2:$V$2955,'Expense Details'!$G$2:$G$2955,$A54)</f>
        <v>3979.7669799999999</v>
      </c>
      <c r="L54" s="12">
        <f>IFERROR(K54/I54,0)</f>
        <v>568.53814</v>
      </c>
      <c r="M54" s="17">
        <f>COUNTIFS('Expense Details'!$G$2:$G$2955,$A54,'Expense Details'!$AA$2:$AA$2955,"Yes")</f>
        <v>3</v>
      </c>
      <c r="N54" s="12">
        <f>SUMIFS('Expense Details'!$AF$2:$AF$2955,'Expense Details'!$G$2:$G$2955,$A54)</f>
        <v>3551.41084</v>
      </c>
      <c r="O54" s="2" t="s">
        <v>132</v>
      </c>
      <c r="P54" s="2" t="s">
        <v>131</v>
      </c>
      <c r="Q54" s="2" t="s">
        <v>133</v>
      </c>
    </row>
    <row r="55" spans="1:17">
      <c r="A55" s="4" t="s">
        <v>1745</v>
      </c>
      <c r="B55" s="2" t="s">
        <v>190</v>
      </c>
      <c r="C55" s="2" t="s">
        <v>171</v>
      </c>
      <c r="D55" s="2" t="s">
        <v>567</v>
      </c>
      <c r="E55" s="2" t="s">
        <v>434</v>
      </c>
      <c r="F55" s="2" t="s">
        <v>348</v>
      </c>
      <c r="G55" s="9">
        <v>45805</v>
      </c>
      <c r="H55" s="9">
        <v>45812</v>
      </c>
      <c r="I55" s="17">
        <f>H55-G55+1</f>
        <v>8</v>
      </c>
      <c r="J55" s="17">
        <f>COUNTIFS('Expense Details'!$G$2:$G$2955,$A55)</f>
        <v>27</v>
      </c>
      <c r="K55" s="12">
        <f>SUMIFS('Expense Details'!$V$2:$V$2955,'Expense Details'!$G$2:$G$2955,$A55)</f>
        <v>3713.5625400000008</v>
      </c>
      <c r="L55" s="12">
        <f>IFERROR(K55/I55,0)</f>
        <v>464.1953175000001</v>
      </c>
      <c r="M55" s="17">
        <f>COUNTIFS('Expense Details'!$G$2:$G$2955,$A55,'Expense Details'!$AA$2:$AA$2955,"Yes")</f>
        <v>5</v>
      </c>
      <c r="N55" s="12">
        <f>SUMIFS('Expense Details'!$AF$2:$AF$2955,'Expense Details'!$G$2:$G$2955,$A55)</f>
        <v>0</v>
      </c>
      <c r="O55" s="2" t="s">
        <v>514</v>
      </c>
      <c r="P55" s="2" t="s">
        <v>131</v>
      </c>
      <c r="Q55" s="2" t="s">
        <v>804</v>
      </c>
    </row>
    <row r="56" spans="1:17">
      <c r="A56" s="4" t="s">
        <v>1157</v>
      </c>
      <c r="B56" s="2" t="s">
        <v>1156</v>
      </c>
      <c r="C56" s="2" t="s">
        <v>118</v>
      </c>
      <c r="D56" s="2" t="s">
        <v>175</v>
      </c>
      <c r="E56" s="2" t="s">
        <v>176</v>
      </c>
      <c r="F56" s="2" t="s">
        <v>379</v>
      </c>
      <c r="G56" s="9">
        <v>45725</v>
      </c>
      <c r="H56" s="9">
        <v>45728</v>
      </c>
      <c r="I56" s="17">
        <f>H56-G56+1</f>
        <v>4</v>
      </c>
      <c r="J56" s="17">
        <f>COUNTIFS('Expense Details'!$G$2:$G$2955,$A56)</f>
        <v>17</v>
      </c>
      <c r="K56" s="12">
        <f>SUMIFS('Expense Details'!$V$2:$V$2955,'Expense Details'!$G$2:$G$2955,$A56)</f>
        <v>2012.70371</v>
      </c>
      <c r="L56" s="12">
        <f>IFERROR(K56/I56,0)</f>
        <v>503.1759275</v>
      </c>
      <c r="M56" s="17">
        <f>COUNTIFS('Expense Details'!$G$2:$G$2955,$A56,'Expense Details'!$AA$2:$AA$2955,"Yes")</f>
        <v>3</v>
      </c>
      <c r="N56" s="12">
        <f>SUMIFS('Expense Details'!$AF$2:$AF$2955,'Expense Details'!$G$2:$G$2955,$A56)</f>
        <v>250.21983</v>
      </c>
      <c r="O56" s="2" t="s">
        <v>514</v>
      </c>
      <c r="P56" s="2" t="s">
        <v>130</v>
      </c>
      <c r="Q56" s="2" t="s">
        <v>133</v>
      </c>
    </row>
    <row r="57" spans="1:17">
      <c r="A57" s="4" t="s">
        <v>1237</v>
      </c>
      <c r="B57" s="2" t="s">
        <v>867</v>
      </c>
      <c r="C57" s="2" t="s">
        <v>865</v>
      </c>
      <c r="D57" s="2" t="s">
        <v>175</v>
      </c>
      <c r="E57" s="2" t="s">
        <v>176</v>
      </c>
      <c r="F57" s="2" t="s">
        <v>193</v>
      </c>
      <c r="G57" s="9">
        <v>45732</v>
      </c>
      <c r="H57" s="9">
        <v>45733</v>
      </c>
      <c r="I57" s="17">
        <f>H57-G57+1</f>
        <v>2</v>
      </c>
      <c r="J57" s="17">
        <f>COUNTIFS('Expense Details'!$G$2:$G$2955,$A57)</f>
        <v>12</v>
      </c>
      <c r="K57" s="12">
        <f>SUMIFS('Expense Details'!$V$2:$V$2955,'Expense Details'!$G$2:$G$2955,$A57)</f>
        <v>4757.8637399999989</v>
      </c>
      <c r="L57" s="12">
        <f>IFERROR(K57/I57,0)</f>
        <v>2378.9318699999994</v>
      </c>
      <c r="M57" s="17">
        <f>COUNTIFS('Expense Details'!$G$2:$G$2955,$A57,'Expense Details'!$AA$2:$AA$2955,"Yes")</f>
        <v>1</v>
      </c>
      <c r="N57" s="12">
        <f>SUMIFS('Expense Details'!$AF$2:$AF$2955,'Expense Details'!$G$2:$G$2955,$A57)</f>
        <v>252.94206999999997</v>
      </c>
      <c r="O57" s="2" t="s">
        <v>437</v>
      </c>
      <c r="P57" s="2" t="s">
        <v>130</v>
      </c>
      <c r="Q57" s="2" t="s">
        <v>133</v>
      </c>
    </row>
    <row r="58" spans="1:17">
      <c r="A58" s="4" t="s">
        <v>2446</v>
      </c>
      <c r="B58" s="2" t="s">
        <v>510</v>
      </c>
      <c r="C58" s="2" t="s">
        <v>250</v>
      </c>
      <c r="D58" s="2" t="s">
        <v>553</v>
      </c>
      <c r="E58" s="2" t="s">
        <v>553</v>
      </c>
      <c r="F58" s="2" t="s">
        <v>379</v>
      </c>
      <c r="G58" s="9">
        <v>45885</v>
      </c>
      <c r="H58" s="9">
        <v>45888</v>
      </c>
      <c r="I58" s="17">
        <f>H58-G58+1</f>
        <v>4</v>
      </c>
      <c r="J58" s="17">
        <f>COUNTIFS('Expense Details'!$G$2:$G$2955,$A58)</f>
        <v>13</v>
      </c>
      <c r="K58" s="12">
        <f>SUMIFS('Expense Details'!$V$2:$V$2955,'Expense Details'!$G$2:$G$2955,$A58)</f>
        <v>2301.3384800000003</v>
      </c>
      <c r="L58" s="12">
        <f>IFERROR(K58/I58,0)</f>
        <v>575.33462000000009</v>
      </c>
      <c r="M58" s="17">
        <f>COUNTIFS('Expense Details'!$G$2:$G$2955,$A58,'Expense Details'!$AA$2:$AA$2955,"Yes")</f>
        <v>1</v>
      </c>
      <c r="N58" s="12">
        <f>SUMIFS('Expense Details'!$AF$2:$AF$2955,'Expense Details'!$G$2:$G$2955,$A58)</f>
        <v>188.43965999999998</v>
      </c>
      <c r="O58" s="2" t="s">
        <v>260</v>
      </c>
      <c r="P58" s="2" t="s">
        <v>130</v>
      </c>
      <c r="Q58" s="2" t="s">
        <v>133</v>
      </c>
    </row>
    <row r="59" spans="1:17">
      <c r="A59" s="4" t="s">
        <v>830</v>
      </c>
      <c r="B59" s="2" t="s">
        <v>249</v>
      </c>
      <c r="C59" s="2" t="s">
        <v>250</v>
      </c>
      <c r="D59" s="2" t="s">
        <v>175</v>
      </c>
      <c r="E59" s="2" t="s">
        <v>176</v>
      </c>
      <c r="F59" s="2" t="s">
        <v>291</v>
      </c>
      <c r="G59" s="9">
        <v>45698</v>
      </c>
      <c r="H59" s="9">
        <v>45706</v>
      </c>
      <c r="I59" s="17">
        <f>H59-G59+1</f>
        <v>9</v>
      </c>
      <c r="J59" s="17">
        <f>COUNTIFS('Expense Details'!$G$2:$G$2955,$A59)</f>
        <v>26</v>
      </c>
      <c r="K59" s="12">
        <f>SUMIFS('Expense Details'!$V$2:$V$2955,'Expense Details'!$G$2:$G$2955,$A59)</f>
        <v>3846.9251299999992</v>
      </c>
      <c r="L59" s="12">
        <f>IFERROR(K59/I59,0)</f>
        <v>427.43612555555546</v>
      </c>
      <c r="M59" s="17">
        <f>COUNTIFS('Expense Details'!$G$2:$G$2955,$A59,'Expense Details'!$AA$2:$AA$2955,"Yes")</f>
        <v>4</v>
      </c>
      <c r="N59" s="12">
        <f>SUMIFS('Expense Details'!$AF$2:$AF$2955,'Expense Details'!$G$2:$G$2955,$A59)</f>
        <v>476.66350000000006</v>
      </c>
      <c r="O59" s="2" t="s">
        <v>350</v>
      </c>
      <c r="P59" s="2" t="s">
        <v>130</v>
      </c>
      <c r="Q59" s="2" t="s">
        <v>133</v>
      </c>
    </row>
    <row r="60" spans="1:17">
      <c r="A60" s="4" t="s">
        <v>2878</v>
      </c>
      <c r="B60" s="2" t="s">
        <v>252</v>
      </c>
      <c r="C60" s="2" t="s">
        <v>250</v>
      </c>
      <c r="D60" s="2" t="s">
        <v>1038</v>
      </c>
      <c r="E60" s="2" t="s">
        <v>381</v>
      </c>
      <c r="F60" s="2" t="s">
        <v>348</v>
      </c>
      <c r="G60" s="9">
        <v>45942</v>
      </c>
      <c r="H60" s="9">
        <v>45949</v>
      </c>
      <c r="I60" s="17">
        <f>H60-G60+1</f>
        <v>8</v>
      </c>
      <c r="J60" s="17">
        <f>COUNTIFS('Expense Details'!$G$2:$G$2955,$A60)</f>
        <v>28</v>
      </c>
      <c r="K60" s="12">
        <f>SUMIFS('Expense Details'!$V$2:$V$2955,'Expense Details'!$G$2:$G$2955,$A60)</f>
        <v>3225.28</v>
      </c>
      <c r="L60" s="12">
        <f>IFERROR(K60/I60,0)</f>
        <v>403.16</v>
      </c>
      <c r="M60" s="17">
        <f>COUNTIFS('Expense Details'!$G$2:$G$2955,$A60,'Expense Details'!$AA$2:$AA$2955,"Yes")</f>
        <v>1</v>
      </c>
      <c r="N60" s="12">
        <f>SUMIFS('Expense Details'!$AF$2:$AF$2955,'Expense Details'!$G$2:$G$2955,$A60)</f>
        <v>816.69999999999993</v>
      </c>
      <c r="O60" s="2" t="s">
        <v>260</v>
      </c>
      <c r="P60" s="2" t="s">
        <v>130</v>
      </c>
      <c r="Q60" s="2" t="s">
        <v>133</v>
      </c>
    </row>
    <row r="61" spans="1:17">
      <c r="A61" s="4" t="s">
        <v>1484</v>
      </c>
      <c r="B61" s="2" t="s">
        <v>190</v>
      </c>
      <c r="C61" s="2" t="s">
        <v>171</v>
      </c>
      <c r="D61" s="2" t="s">
        <v>567</v>
      </c>
      <c r="E61" s="2" t="s">
        <v>434</v>
      </c>
      <c r="F61" s="2" t="s">
        <v>291</v>
      </c>
      <c r="G61" s="9">
        <v>45762</v>
      </c>
      <c r="H61" s="9">
        <v>45769</v>
      </c>
      <c r="I61" s="17">
        <f>H61-G61+1</f>
        <v>8</v>
      </c>
      <c r="J61" s="17">
        <f>COUNTIFS('Expense Details'!$G$2:$G$2955,$A61)</f>
        <v>30</v>
      </c>
      <c r="K61" s="12">
        <f>SUMIFS('Expense Details'!$V$2:$V$2955,'Expense Details'!$G$2:$G$2955,$A61)</f>
        <v>3544.3546200000005</v>
      </c>
      <c r="L61" s="12">
        <f>IFERROR(K61/I61,0)</f>
        <v>443.04432750000007</v>
      </c>
      <c r="M61" s="17">
        <f>COUNTIFS('Expense Details'!$G$2:$G$2955,$A61,'Expense Details'!$AA$2:$AA$2955,"Yes")</f>
        <v>2</v>
      </c>
      <c r="N61" s="12">
        <f>SUMIFS('Expense Details'!$AF$2:$AF$2955,'Expense Details'!$G$2:$G$2955,$A61)</f>
        <v>1818.6552999999997</v>
      </c>
      <c r="O61" s="2" t="s">
        <v>260</v>
      </c>
      <c r="P61" s="2" t="s">
        <v>130</v>
      </c>
      <c r="Q61" s="2" t="s">
        <v>133</v>
      </c>
    </row>
    <row r="62" spans="1:17">
      <c r="A62" s="4" t="s">
        <v>3433</v>
      </c>
      <c r="B62" s="2" t="s">
        <v>443</v>
      </c>
      <c r="C62" s="2" t="s">
        <v>444</v>
      </c>
      <c r="D62" s="2" t="s">
        <v>567</v>
      </c>
      <c r="E62" s="2" t="s">
        <v>434</v>
      </c>
      <c r="F62" s="2" t="s">
        <v>291</v>
      </c>
      <c r="G62" s="9">
        <v>46001</v>
      </c>
      <c r="H62" s="9">
        <v>46006</v>
      </c>
      <c r="I62" s="17">
        <f>H62-G62+1</f>
        <v>6</v>
      </c>
      <c r="J62" s="17">
        <f>COUNTIFS('Expense Details'!$G$2:$G$2955,$A62)</f>
        <v>25</v>
      </c>
      <c r="K62" s="12">
        <f>SUMIFS('Expense Details'!$V$2:$V$2955,'Expense Details'!$G$2:$G$2955,$A62)</f>
        <v>4071.1915600000002</v>
      </c>
      <c r="L62" s="12">
        <f>IFERROR(K62/I62,0)</f>
        <v>678.53192666666666</v>
      </c>
      <c r="M62" s="17">
        <f>COUNTIFS('Expense Details'!$G$2:$G$2955,$A62,'Expense Details'!$AA$2:$AA$2955,"Yes")</f>
        <v>4</v>
      </c>
      <c r="N62" s="12">
        <f>SUMIFS('Expense Details'!$AF$2:$AF$2955,'Expense Details'!$G$2:$G$2955,$A62)</f>
        <v>322.90158000000002</v>
      </c>
      <c r="O62" s="2" t="s">
        <v>350</v>
      </c>
      <c r="P62" s="2" t="s">
        <v>130</v>
      </c>
      <c r="Q62" s="2" t="s">
        <v>133</v>
      </c>
    </row>
    <row r="63" spans="1:17">
      <c r="A63" s="4" t="s">
        <v>3226</v>
      </c>
      <c r="B63" s="2" t="s">
        <v>551</v>
      </c>
      <c r="C63" s="2" t="s">
        <v>171</v>
      </c>
      <c r="D63" s="2" t="s">
        <v>749</v>
      </c>
      <c r="E63" s="2" t="s">
        <v>750</v>
      </c>
      <c r="F63" s="2" t="s">
        <v>254</v>
      </c>
      <c r="G63" s="9">
        <v>45974</v>
      </c>
      <c r="H63" s="9">
        <v>45977</v>
      </c>
      <c r="I63" s="17">
        <f>H63-G63+1</f>
        <v>4</v>
      </c>
      <c r="J63" s="17">
        <f>COUNTIFS('Expense Details'!$G$2:$G$2955,$A63)</f>
        <v>16</v>
      </c>
      <c r="K63" s="12">
        <f>SUMIFS('Expense Details'!$V$2:$V$2955,'Expense Details'!$G$2:$G$2955,$A63)</f>
        <v>5665.3383499999982</v>
      </c>
      <c r="L63" s="12">
        <f>IFERROR(K63/I63,0)</f>
        <v>1416.3345874999995</v>
      </c>
      <c r="M63" s="17">
        <f>COUNTIFS('Expense Details'!$G$2:$G$2955,$A63,'Expense Details'!$AA$2:$AA$2955,"Yes")</f>
        <v>2</v>
      </c>
      <c r="N63" s="12">
        <f>SUMIFS('Expense Details'!$AF$2:$AF$2955,'Expense Details'!$G$2:$G$2955,$A63)</f>
        <v>5416.8950499999983</v>
      </c>
      <c r="O63" s="2" t="s">
        <v>350</v>
      </c>
      <c r="P63" s="2" t="s">
        <v>131</v>
      </c>
      <c r="Q63" s="2" t="s">
        <v>133</v>
      </c>
    </row>
    <row r="64" spans="1:17">
      <c r="A64" s="4" t="s">
        <v>121</v>
      </c>
      <c r="B64" s="2" t="s">
        <v>117</v>
      </c>
      <c r="C64" s="2" t="s">
        <v>118</v>
      </c>
      <c r="D64" s="2" t="s">
        <v>123</v>
      </c>
      <c r="E64" s="2" t="s">
        <v>124</v>
      </c>
      <c r="F64" s="2" t="s">
        <v>122</v>
      </c>
      <c r="G64" s="9">
        <v>45658</v>
      </c>
      <c r="H64" s="9">
        <v>45661</v>
      </c>
      <c r="I64" s="17">
        <f>H64-G64+1</f>
        <v>4</v>
      </c>
      <c r="J64" s="17">
        <f>COUNTIFS('Expense Details'!$G$2:$G$2955,$A64)</f>
        <v>15</v>
      </c>
      <c r="K64" s="12">
        <f>SUMIFS('Expense Details'!$V$2:$V$2955,'Expense Details'!$G$2:$G$2955,$A64)</f>
        <v>2786.0743200000006</v>
      </c>
      <c r="L64" s="12">
        <f>IFERROR(K64/I64,0)</f>
        <v>696.51858000000016</v>
      </c>
      <c r="M64" s="17">
        <f>COUNTIFS('Expense Details'!$G$2:$G$2955,$A64,'Expense Details'!$AA$2:$AA$2955,"Yes")</f>
        <v>3</v>
      </c>
      <c r="N64" s="12">
        <f>SUMIFS('Expense Details'!$AF$2:$AF$2955,'Expense Details'!$G$2:$G$2955,$A64)</f>
        <v>224.80056000000002</v>
      </c>
      <c r="O64" s="2" t="s">
        <v>132</v>
      </c>
      <c r="P64" s="2" t="s">
        <v>131</v>
      </c>
      <c r="Q64" s="2" t="s">
        <v>133</v>
      </c>
    </row>
    <row r="65" spans="1:17">
      <c r="A65" s="4" t="s">
        <v>3417</v>
      </c>
      <c r="B65" s="2" t="s">
        <v>313</v>
      </c>
      <c r="C65" s="2" t="s">
        <v>744</v>
      </c>
      <c r="D65" s="2" t="s">
        <v>194</v>
      </c>
      <c r="E65" s="2" t="s">
        <v>195</v>
      </c>
      <c r="F65" s="2" t="s">
        <v>448</v>
      </c>
      <c r="G65" s="9">
        <v>45996</v>
      </c>
      <c r="H65" s="9">
        <v>45998</v>
      </c>
      <c r="I65" s="17">
        <f>H65-G65+1</f>
        <v>3</v>
      </c>
      <c r="J65" s="17">
        <f>COUNTIFS('Expense Details'!$G$2:$G$2955,$A65)</f>
        <v>13</v>
      </c>
      <c r="K65" s="12">
        <f>SUMIFS('Expense Details'!$V$2:$V$2955,'Expense Details'!$G$2:$G$2955,$A65)</f>
        <v>2044.8452500000003</v>
      </c>
      <c r="L65" s="12">
        <f>IFERROR(K65/I65,0)</f>
        <v>681.61508333333347</v>
      </c>
      <c r="M65" s="17">
        <f>COUNTIFS('Expense Details'!$G$2:$G$2955,$A65,'Expense Details'!$AA$2:$AA$2955,"Yes")</f>
        <v>1</v>
      </c>
      <c r="N65" s="12">
        <f>SUMIFS('Expense Details'!$AF$2:$AF$2955,'Expense Details'!$G$2:$G$2955,$A65)</f>
        <v>655.23149999999998</v>
      </c>
      <c r="O65" s="2" t="s">
        <v>132</v>
      </c>
      <c r="P65" s="2" t="s">
        <v>131</v>
      </c>
      <c r="Q65" s="2" t="s">
        <v>133</v>
      </c>
    </row>
    <row r="66" spans="1:17">
      <c r="A66" s="4" t="s">
        <v>2433</v>
      </c>
      <c r="B66" s="2" t="s">
        <v>117</v>
      </c>
      <c r="C66" s="2" t="s">
        <v>118</v>
      </c>
      <c r="D66" s="2" t="s">
        <v>418</v>
      </c>
      <c r="E66" s="2" t="s">
        <v>381</v>
      </c>
      <c r="F66" s="2" t="s">
        <v>193</v>
      </c>
      <c r="G66" s="9">
        <v>45884</v>
      </c>
      <c r="H66" s="9">
        <v>45886</v>
      </c>
      <c r="I66" s="17">
        <f>H66-G66+1</f>
        <v>3</v>
      </c>
      <c r="J66" s="17">
        <f>COUNTIFS('Expense Details'!$G$2:$G$2955,$A66)</f>
        <v>12</v>
      </c>
      <c r="K66" s="12">
        <f>SUMIFS('Expense Details'!$V$2:$V$2955,'Expense Details'!$G$2:$G$2955,$A66)</f>
        <v>2512.5900000000006</v>
      </c>
      <c r="L66" s="12">
        <f>IFERROR(K66/I66,0)</f>
        <v>837.5300000000002</v>
      </c>
      <c r="M66" s="17">
        <f>COUNTIFS('Expense Details'!$G$2:$G$2955,$A66,'Expense Details'!$AA$2:$AA$2955,"Yes")</f>
        <v>0</v>
      </c>
      <c r="N66" s="12">
        <f>SUMIFS('Expense Details'!$AF$2:$AF$2955,'Expense Details'!$G$2:$G$2955,$A66)</f>
        <v>962.04000000000008</v>
      </c>
      <c r="O66" s="2" t="s">
        <v>180</v>
      </c>
      <c r="P66" s="2" t="s">
        <v>130</v>
      </c>
      <c r="Q66" s="2" t="s">
        <v>133</v>
      </c>
    </row>
    <row r="67" spans="1:17">
      <c r="A67" s="4" t="s">
        <v>2680</v>
      </c>
      <c r="B67" s="2" t="s">
        <v>446</v>
      </c>
      <c r="C67" s="2" t="s">
        <v>444</v>
      </c>
      <c r="D67" s="2" t="s">
        <v>601</v>
      </c>
      <c r="E67" s="2" t="s">
        <v>381</v>
      </c>
      <c r="F67" s="2" t="s">
        <v>193</v>
      </c>
      <c r="G67" s="9">
        <v>45920</v>
      </c>
      <c r="H67" s="9">
        <v>45925</v>
      </c>
      <c r="I67" s="17">
        <f>H67-G67+1</f>
        <v>6</v>
      </c>
      <c r="J67" s="17">
        <f>COUNTIFS('Expense Details'!$G$2:$G$2955,$A67)</f>
        <v>17</v>
      </c>
      <c r="K67" s="12">
        <f>SUMIFS('Expense Details'!$V$2:$V$2955,'Expense Details'!$G$2:$G$2955,$A67)</f>
        <v>3039.14</v>
      </c>
      <c r="L67" s="12">
        <f>IFERROR(K67/I67,0)</f>
        <v>506.52333333333331</v>
      </c>
      <c r="M67" s="17">
        <f>COUNTIFS('Expense Details'!$G$2:$G$2955,$A67,'Expense Details'!$AA$2:$AA$2955,"Yes")</f>
        <v>3</v>
      </c>
      <c r="N67" s="12">
        <f>SUMIFS('Expense Details'!$AF$2:$AF$2955,'Expense Details'!$G$2:$G$2955,$A67)</f>
        <v>872.24</v>
      </c>
      <c r="O67" s="2" t="s">
        <v>180</v>
      </c>
      <c r="P67" s="2" t="s">
        <v>131</v>
      </c>
      <c r="Q67" s="2" t="s">
        <v>181</v>
      </c>
    </row>
    <row r="68" spans="1:17">
      <c r="A68" s="4" t="s">
        <v>2649</v>
      </c>
      <c r="B68" s="2" t="s">
        <v>346</v>
      </c>
      <c r="C68" s="2" t="s">
        <v>344</v>
      </c>
      <c r="D68" s="2" t="s">
        <v>418</v>
      </c>
      <c r="E68" s="2" t="s">
        <v>381</v>
      </c>
      <c r="F68" s="2" t="s">
        <v>348</v>
      </c>
      <c r="G68" s="9">
        <v>45916</v>
      </c>
      <c r="H68" s="9">
        <v>45922</v>
      </c>
      <c r="I68" s="17">
        <f>H68-G68+1</f>
        <v>7</v>
      </c>
      <c r="J68" s="17">
        <f>COUNTIFS('Expense Details'!$G$2:$G$2955,$A68)</f>
        <v>26</v>
      </c>
      <c r="K68" s="12">
        <f>SUMIFS('Expense Details'!$V$2:$V$2955,'Expense Details'!$G$2:$G$2955,$A68)</f>
        <v>3154.2599999999998</v>
      </c>
      <c r="L68" s="12">
        <f>IFERROR(K68/I68,0)</f>
        <v>450.60857142857139</v>
      </c>
      <c r="M68" s="17">
        <f>COUNTIFS('Expense Details'!$G$2:$G$2955,$A68,'Expense Details'!$AA$2:$AA$2955,"Yes")</f>
        <v>0</v>
      </c>
      <c r="N68" s="12">
        <f>SUMIFS('Expense Details'!$AF$2:$AF$2955,'Expense Details'!$G$2:$G$2955,$A68)</f>
        <v>1195.3499999999999</v>
      </c>
      <c r="O68" s="2" t="s">
        <v>858</v>
      </c>
      <c r="P68" s="2" t="s">
        <v>130</v>
      </c>
      <c r="Q68" s="2" t="s">
        <v>133</v>
      </c>
    </row>
    <row r="69" spans="1:17">
      <c r="A69" s="4" t="s">
        <v>1632</v>
      </c>
      <c r="B69" s="2" t="s">
        <v>443</v>
      </c>
      <c r="C69" s="2" t="s">
        <v>444</v>
      </c>
      <c r="D69" s="2" t="s">
        <v>553</v>
      </c>
      <c r="E69" s="2" t="s">
        <v>553</v>
      </c>
      <c r="F69" s="2" t="s">
        <v>193</v>
      </c>
      <c r="G69" s="9">
        <v>45785</v>
      </c>
      <c r="H69" s="9">
        <v>45787</v>
      </c>
      <c r="I69" s="17">
        <f>H69-G69+1</f>
        <v>3</v>
      </c>
      <c r="J69" s="17">
        <f>COUNTIFS('Expense Details'!$G$2:$G$2955,$A69)</f>
        <v>17</v>
      </c>
      <c r="K69" s="12">
        <f>SUMIFS('Expense Details'!$V$2:$V$2955,'Expense Details'!$G$2:$G$2955,$A69)</f>
        <v>2801.3477599999997</v>
      </c>
      <c r="L69" s="12">
        <f>IFERROR(K69/I69,0)</f>
        <v>933.78258666666659</v>
      </c>
      <c r="M69" s="17">
        <f>COUNTIFS('Expense Details'!$G$2:$G$2955,$A69,'Expense Details'!$AA$2:$AA$2955,"Yes")</f>
        <v>0</v>
      </c>
      <c r="N69" s="12">
        <f>SUMIFS('Expense Details'!$AF$2:$AF$2955,'Expense Details'!$G$2:$G$2955,$A69)</f>
        <v>221.38427999999999</v>
      </c>
      <c r="O69" s="2" t="s">
        <v>421</v>
      </c>
      <c r="P69" s="2" t="s">
        <v>131</v>
      </c>
      <c r="Q69" s="2" t="s">
        <v>133</v>
      </c>
    </row>
    <row r="70" spans="1:17">
      <c r="A70" s="4" t="s">
        <v>3212</v>
      </c>
      <c r="B70" s="2" t="s">
        <v>867</v>
      </c>
      <c r="C70" s="2" t="s">
        <v>865</v>
      </c>
      <c r="D70" s="2" t="s">
        <v>175</v>
      </c>
      <c r="E70" s="2" t="s">
        <v>176</v>
      </c>
      <c r="F70" s="2" t="s">
        <v>122</v>
      </c>
      <c r="G70" s="9">
        <v>45973</v>
      </c>
      <c r="H70" s="9">
        <v>45976</v>
      </c>
      <c r="I70" s="17">
        <f>H70-G70+1</f>
        <v>4</v>
      </c>
      <c r="J70" s="17">
        <f>COUNTIFS('Expense Details'!$G$2:$G$2955,$A70)</f>
        <v>14</v>
      </c>
      <c r="K70" s="12">
        <f>SUMIFS('Expense Details'!$V$2:$V$2955,'Expense Details'!$G$2:$G$2955,$A70)</f>
        <v>2543.4463899999992</v>
      </c>
      <c r="L70" s="12">
        <f>IFERROR(K70/I70,0)</f>
        <v>635.86159749999979</v>
      </c>
      <c r="M70" s="17">
        <f>COUNTIFS('Expense Details'!$G$2:$G$2955,$A70,'Expense Details'!$AA$2:$AA$2955,"Yes")</f>
        <v>2</v>
      </c>
      <c r="N70" s="12">
        <f>SUMIFS('Expense Details'!$AF$2:$AF$2955,'Expense Details'!$G$2:$G$2955,$A70)</f>
        <v>2022.8107499999999</v>
      </c>
      <c r="O70" s="2" t="s">
        <v>858</v>
      </c>
      <c r="P70" s="2" t="s">
        <v>131</v>
      </c>
      <c r="Q70" s="2" t="s">
        <v>133</v>
      </c>
    </row>
    <row r="71" spans="1:17">
      <c r="A71" s="4" t="s">
        <v>2789</v>
      </c>
      <c r="B71" s="2" t="s">
        <v>413</v>
      </c>
      <c r="C71" s="2" t="s">
        <v>414</v>
      </c>
      <c r="D71" s="2" t="s">
        <v>651</v>
      </c>
      <c r="E71" s="2" t="s">
        <v>652</v>
      </c>
      <c r="F71" s="2" t="s">
        <v>193</v>
      </c>
      <c r="G71" s="9">
        <v>45934</v>
      </c>
      <c r="H71" s="9">
        <v>45940</v>
      </c>
      <c r="I71" s="17">
        <f>H71-G71+1</f>
        <v>7</v>
      </c>
      <c r="J71" s="17">
        <f>COUNTIFS('Expense Details'!$G$2:$G$2955,$A71)</f>
        <v>28</v>
      </c>
      <c r="K71" s="12">
        <f>SUMIFS('Expense Details'!$V$2:$V$2955,'Expense Details'!$G$2:$G$2955,$A71)</f>
        <v>4857.5581599999987</v>
      </c>
      <c r="L71" s="12">
        <f>IFERROR(K71/I71,0)</f>
        <v>693.93687999999986</v>
      </c>
      <c r="M71" s="17">
        <f>COUNTIFS('Expense Details'!$G$2:$G$2955,$A71,'Expense Details'!$AA$2:$AA$2955,"Yes")</f>
        <v>4</v>
      </c>
      <c r="N71" s="12">
        <f>SUMIFS('Expense Details'!$AF$2:$AF$2955,'Expense Details'!$G$2:$G$2955,$A71)</f>
        <v>219.36823999999999</v>
      </c>
      <c r="O71" s="2" t="s">
        <v>350</v>
      </c>
      <c r="P71" s="2" t="s">
        <v>131</v>
      </c>
      <c r="Q71" s="2" t="s">
        <v>133</v>
      </c>
    </row>
    <row r="72" spans="1:17">
      <c r="A72" s="4" t="s">
        <v>2625</v>
      </c>
      <c r="B72" s="2" t="s">
        <v>346</v>
      </c>
      <c r="C72" s="2" t="s">
        <v>344</v>
      </c>
      <c r="D72" s="2" t="s">
        <v>1251</v>
      </c>
      <c r="E72" s="2" t="s">
        <v>750</v>
      </c>
      <c r="F72" s="2" t="s">
        <v>803</v>
      </c>
      <c r="G72" s="9">
        <v>45913</v>
      </c>
      <c r="H72" s="9">
        <v>45919</v>
      </c>
      <c r="I72" s="17">
        <f>H72-G72+1</f>
        <v>7</v>
      </c>
      <c r="J72" s="17">
        <f>COUNTIFS('Expense Details'!$G$2:$G$2955,$A72)</f>
        <v>30</v>
      </c>
      <c r="K72" s="12">
        <f>SUMIFS('Expense Details'!$V$2:$V$2955,'Expense Details'!$G$2:$G$2955,$A72)</f>
        <v>3591.0136499999994</v>
      </c>
      <c r="L72" s="12">
        <f>IFERROR(K72/I72,0)</f>
        <v>513.00194999999997</v>
      </c>
      <c r="M72" s="17">
        <f>COUNTIFS('Expense Details'!$G$2:$G$2955,$A72,'Expense Details'!$AA$2:$AA$2955,"Yes")</f>
        <v>1</v>
      </c>
      <c r="N72" s="12">
        <f>SUMIFS('Expense Details'!$AF$2:$AF$2955,'Expense Details'!$G$2:$G$2955,$A72)</f>
        <v>1478.8224499999997</v>
      </c>
      <c r="O72" s="2" t="s">
        <v>514</v>
      </c>
      <c r="P72" s="2" t="s">
        <v>131</v>
      </c>
      <c r="Q72" s="2" t="s">
        <v>133</v>
      </c>
    </row>
    <row r="73" spans="1:17">
      <c r="A73" s="4" t="s">
        <v>3197</v>
      </c>
      <c r="B73" s="2" t="s">
        <v>170</v>
      </c>
      <c r="C73" s="2" t="s">
        <v>171</v>
      </c>
      <c r="D73" s="2" t="s">
        <v>175</v>
      </c>
      <c r="E73" s="2" t="s">
        <v>176</v>
      </c>
      <c r="F73" s="2" t="s">
        <v>348</v>
      </c>
      <c r="G73" s="9">
        <v>45971</v>
      </c>
      <c r="H73" s="9">
        <v>45976</v>
      </c>
      <c r="I73" s="17">
        <f>H73-G73+1</f>
        <v>6</v>
      </c>
      <c r="J73" s="17">
        <f>COUNTIFS('Expense Details'!$G$2:$G$2955,$A73)</f>
        <v>24</v>
      </c>
      <c r="K73" s="12">
        <f>SUMIFS('Expense Details'!$V$2:$V$2955,'Expense Details'!$G$2:$G$2955,$A73)</f>
        <v>3417.8411000000001</v>
      </c>
      <c r="L73" s="12">
        <f>IFERROR(K73/I73,0)</f>
        <v>569.64018333333331</v>
      </c>
      <c r="M73" s="17">
        <f>COUNTIFS('Expense Details'!$G$2:$G$2955,$A73,'Expense Details'!$AA$2:$AA$2955,"Yes")</f>
        <v>2</v>
      </c>
      <c r="N73" s="12">
        <f>SUMIFS('Expense Details'!$AF$2:$AF$2955,'Expense Details'!$G$2:$G$2955,$A73)</f>
        <v>2508.7486899999999</v>
      </c>
      <c r="O73" s="2" t="s">
        <v>437</v>
      </c>
      <c r="P73" s="2" t="s">
        <v>130</v>
      </c>
      <c r="Q73" s="2" t="s">
        <v>133</v>
      </c>
    </row>
    <row r="74" spans="1:17">
      <c r="A74" s="4" t="s">
        <v>1250</v>
      </c>
      <c r="B74" s="2" t="s">
        <v>170</v>
      </c>
      <c r="C74" s="2" t="s">
        <v>171</v>
      </c>
      <c r="D74" s="2" t="s">
        <v>1251</v>
      </c>
      <c r="E74" s="2" t="s">
        <v>750</v>
      </c>
      <c r="F74" s="2" t="s">
        <v>379</v>
      </c>
      <c r="G74" s="9">
        <v>45735</v>
      </c>
      <c r="H74" s="9">
        <v>45742</v>
      </c>
      <c r="I74" s="17">
        <f>H74-G74+1</f>
        <v>8</v>
      </c>
      <c r="J74" s="17">
        <f>COUNTIFS('Expense Details'!$G$2:$G$2955,$A74)</f>
        <v>31</v>
      </c>
      <c r="K74" s="12">
        <f>SUMIFS('Expense Details'!$V$2:$V$2955,'Expense Details'!$G$2:$G$2955,$A74)</f>
        <v>6652.6775000000025</v>
      </c>
      <c r="L74" s="12">
        <f>IFERROR(K74/I74,0)</f>
        <v>831.58468750000031</v>
      </c>
      <c r="M74" s="17">
        <f>COUNTIFS('Expense Details'!$G$2:$G$2955,$A74,'Expense Details'!$AA$2:$AA$2955,"Yes")</f>
        <v>4</v>
      </c>
      <c r="N74" s="12">
        <f>SUMIFS('Expense Details'!$AF$2:$AF$2955,'Expense Details'!$G$2:$G$2955,$A74)</f>
        <v>341.78584999999998</v>
      </c>
      <c r="O74" s="2" t="s">
        <v>421</v>
      </c>
      <c r="P74" s="2" t="s">
        <v>130</v>
      </c>
      <c r="Q74" s="2" t="s">
        <v>181</v>
      </c>
    </row>
    <row r="75" spans="1:17">
      <c r="A75" s="4" t="s">
        <v>2026</v>
      </c>
      <c r="B75" s="2" t="s">
        <v>288</v>
      </c>
      <c r="C75" s="2" t="s">
        <v>171</v>
      </c>
      <c r="D75" s="2" t="s">
        <v>194</v>
      </c>
      <c r="E75" s="2" t="s">
        <v>195</v>
      </c>
      <c r="F75" s="2" t="s">
        <v>448</v>
      </c>
      <c r="G75" s="9">
        <v>45843</v>
      </c>
      <c r="H75" s="9">
        <v>45851</v>
      </c>
      <c r="I75" s="17">
        <f>H75-G75+1</f>
        <v>9</v>
      </c>
      <c r="J75" s="17">
        <f>COUNTIFS('Expense Details'!$G$2:$G$2955,$A75)</f>
        <v>33</v>
      </c>
      <c r="K75" s="12">
        <f>SUMIFS('Expense Details'!$V$2:$V$2955,'Expense Details'!$G$2:$G$2955,$A75)</f>
        <v>4035.1909499999988</v>
      </c>
      <c r="L75" s="12">
        <f>IFERROR(K75/I75,0)</f>
        <v>448.35454999999985</v>
      </c>
      <c r="M75" s="17">
        <f>COUNTIFS('Expense Details'!$G$2:$G$2955,$A75,'Expense Details'!$AA$2:$AA$2955,"Yes")</f>
        <v>3</v>
      </c>
      <c r="N75" s="12">
        <f>SUMIFS('Expense Details'!$AF$2:$AF$2955,'Expense Details'!$G$2:$G$2955,$A75)</f>
        <v>603.2817</v>
      </c>
      <c r="O75" s="2" t="s">
        <v>180</v>
      </c>
      <c r="P75" s="2" t="s">
        <v>131</v>
      </c>
      <c r="Q75" s="2" t="s">
        <v>133</v>
      </c>
    </row>
    <row r="76" spans="1:17">
      <c r="A76" s="4" t="s">
        <v>512</v>
      </c>
      <c r="B76" s="2" t="s">
        <v>510</v>
      </c>
      <c r="C76" s="2" t="s">
        <v>250</v>
      </c>
      <c r="D76" s="2" t="s">
        <v>194</v>
      </c>
      <c r="E76" s="2" t="s">
        <v>195</v>
      </c>
      <c r="F76" s="2" t="s">
        <v>417</v>
      </c>
      <c r="G76" s="9">
        <v>45681</v>
      </c>
      <c r="H76" s="9">
        <v>45682</v>
      </c>
      <c r="I76" s="17">
        <f>H76-G76+1</f>
        <v>2</v>
      </c>
      <c r="J76" s="17">
        <f>COUNTIFS('Expense Details'!$G$2:$G$2955,$A76)</f>
        <v>15</v>
      </c>
      <c r="K76" s="12">
        <f>SUMIFS('Expense Details'!$V$2:$V$2955,'Expense Details'!$G$2:$G$2955,$A76)</f>
        <v>3194.3267999999994</v>
      </c>
      <c r="L76" s="12">
        <f>IFERROR(K76/I76,0)</f>
        <v>1597.1633999999997</v>
      </c>
      <c r="M76" s="17">
        <f>COUNTIFS('Expense Details'!$G$2:$G$2955,$A76,'Expense Details'!$AA$2:$AA$2955,"Yes")</f>
        <v>2</v>
      </c>
      <c r="N76" s="12">
        <f>SUMIFS('Expense Details'!$AF$2:$AF$2955,'Expense Details'!$G$2:$G$2955,$A76)</f>
        <v>2427.6766499999999</v>
      </c>
      <c r="O76" s="2" t="s">
        <v>514</v>
      </c>
      <c r="P76" s="2" t="s">
        <v>131</v>
      </c>
      <c r="Q76" s="2" t="s">
        <v>133</v>
      </c>
    </row>
    <row r="77" spans="1:17">
      <c r="A77" s="4" t="s">
        <v>3326</v>
      </c>
      <c r="B77" s="2" t="s">
        <v>864</v>
      </c>
      <c r="C77" s="2" t="s">
        <v>865</v>
      </c>
      <c r="D77" s="2" t="s">
        <v>651</v>
      </c>
      <c r="E77" s="2" t="s">
        <v>652</v>
      </c>
      <c r="F77" s="2" t="s">
        <v>254</v>
      </c>
      <c r="G77" s="9">
        <v>45988</v>
      </c>
      <c r="H77" s="9">
        <v>45996</v>
      </c>
      <c r="I77" s="17">
        <f>H77-G77+1</f>
        <v>9</v>
      </c>
      <c r="J77" s="17">
        <f>COUNTIFS('Expense Details'!$G$2:$G$2955,$A77)</f>
        <v>29</v>
      </c>
      <c r="K77" s="12">
        <f>SUMIFS('Expense Details'!$V$2:$V$2955,'Expense Details'!$G$2:$G$2955,$A77)</f>
        <v>6235.3855199999998</v>
      </c>
      <c r="L77" s="12">
        <f>IFERROR(K77/I77,0)</f>
        <v>692.82061333333331</v>
      </c>
      <c r="M77" s="17">
        <f>COUNTIFS('Expense Details'!$G$2:$G$2955,$A77,'Expense Details'!$AA$2:$AA$2955,"Yes")</f>
        <v>4</v>
      </c>
      <c r="N77" s="12">
        <f>SUMIFS('Expense Details'!$AF$2:$AF$2955,'Expense Details'!$G$2:$G$2955,$A77)</f>
        <v>2413.4656</v>
      </c>
      <c r="O77" s="2" t="s">
        <v>437</v>
      </c>
      <c r="P77" s="2" t="s">
        <v>131</v>
      </c>
      <c r="Q77" s="2" t="s">
        <v>181</v>
      </c>
    </row>
    <row r="78" spans="1:17">
      <c r="A78" s="4" t="s">
        <v>2497</v>
      </c>
      <c r="B78" s="2" t="s">
        <v>598</v>
      </c>
      <c r="C78" s="2" t="s">
        <v>414</v>
      </c>
      <c r="D78" s="2" t="s">
        <v>175</v>
      </c>
      <c r="E78" s="2" t="s">
        <v>176</v>
      </c>
      <c r="F78" s="2" t="s">
        <v>254</v>
      </c>
      <c r="G78" s="9">
        <v>45893</v>
      </c>
      <c r="H78" s="9">
        <v>45894</v>
      </c>
      <c r="I78" s="17">
        <f>H78-G78+1</f>
        <v>2</v>
      </c>
      <c r="J78" s="17">
        <f>COUNTIFS('Expense Details'!$G$2:$G$2955,$A78)</f>
        <v>13</v>
      </c>
      <c r="K78" s="12">
        <f>SUMIFS('Expense Details'!$V$2:$V$2955,'Expense Details'!$G$2:$G$2955,$A78)</f>
        <v>2337.0249399999993</v>
      </c>
      <c r="L78" s="12">
        <f>IFERROR(K78/I78,0)</f>
        <v>1168.5124699999997</v>
      </c>
      <c r="M78" s="17">
        <f>COUNTIFS('Expense Details'!$G$2:$G$2955,$A78,'Expense Details'!$AA$2:$AA$2955,"Yes")</f>
        <v>1</v>
      </c>
      <c r="N78" s="12">
        <f>SUMIFS('Expense Details'!$AF$2:$AF$2955,'Expense Details'!$G$2:$G$2955,$A78)</f>
        <v>966.02053000000001</v>
      </c>
      <c r="O78" s="2" t="s">
        <v>180</v>
      </c>
      <c r="P78" s="2" t="s">
        <v>130</v>
      </c>
      <c r="Q78" s="2" t="s">
        <v>133</v>
      </c>
    </row>
    <row r="79" spans="1:17">
      <c r="A79" s="4" t="s">
        <v>650</v>
      </c>
      <c r="B79" s="2" t="s">
        <v>173</v>
      </c>
      <c r="C79" s="2" t="s">
        <v>171</v>
      </c>
      <c r="D79" s="2" t="s">
        <v>651</v>
      </c>
      <c r="E79" s="2" t="s">
        <v>652</v>
      </c>
      <c r="F79" s="2" t="s">
        <v>193</v>
      </c>
      <c r="G79" s="9">
        <v>45686</v>
      </c>
      <c r="H79" s="9">
        <v>45694</v>
      </c>
      <c r="I79" s="17">
        <f>H79-G79+1</f>
        <v>9</v>
      </c>
      <c r="J79" s="17">
        <f>COUNTIFS('Expense Details'!$G$2:$G$2955,$A79)</f>
        <v>27</v>
      </c>
      <c r="K79" s="12">
        <f>SUMIFS('Expense Details'!$V$2:$V$2955,'Expense Details'!$G$2:$G$2955,$A79)</f>
        <v>3974.5305599999988</v>
      </c>
      <c r="L79" s="12">
        <f>IFERROR(K79/I79,0)</f>
        <v>441.61450666666656</v>
      </c>
      <c r="M79" s="17">
        <f>COUNTIFS('Expense Details'!$G$2:$G$2955,$A79,'Expense Details'!$AA$2:$AA$2955,"Yes")</f>
        <v>3</v>
      </c>
      <c r="N79" s="12">
        <f>SUMIFS('Expense Details'!$AF$2:$AF$2955,'Expense Details'!$G$2:$G$2955,$A79)</f>
        <v>671.50720000000001</v>
      </c>
      <c r="O79" s="2" t="s">
        <v>437</v>
      </c>
      <c r="P79" s="2" t="s">
        <v>130</v>
      </c>
      <c r="Q79" s="2" t="s">
        <v>181</v>
      </c>
    </row>
    <row r="80" spans="1:17">
      <c r="A80" s="4" t="s">
        <v>3065</v>
      </c>
      <c r="B80" s="2" t="s">
        <v>190</v>
      </c>
      <c r="C80" s="2" t="s">
        <v>171</v>
      </c>
      <c r="D80" s="2" t="s">
        <v>1251</v>
      </c>
      <c r="E80" s="2" t="s">
        <v>750</v>
      </c>
      <c r="F80" s="2" t="s">
        <v>417</v>
      </c>
      <c r="G80" s="9">
        <v>45958</v>
      </c>
      <c r="H80" s="9">
        <v>45963</v>
      </c>
      <c r="I80" s="17">
        <f>H80-G80+1</f>
        <v>6</v>
      </c>
      <c r="J80" s="17">
        <f>COUNTIFS('Expense Details'!$G$2:$G$2955,$A80)</f>
        <v>22</v>
      </c>
      <c r="K80" s="12">
        <f>SUMIFS('Expense Details'!$V$2:$V$2955,'Expense Details'!$G$2:$G$2955,$A80)</f>
        <v>3946.7634500000004</v>
      </c>
      <c r="L80" s="12">
        <f>IFERROR(K80/I80,0)</f>
        <v>657.79390833333343</v>
      </c>
      <c r="M80" s="17">
        <f>COUNTIFS('Expense Details'!$G$2:$G$2955,$A80,'Expense Details'!$AA$2:$AA$2955,"Yes")</f>
        <v>1</v>
      </c>
      <c r="N80" s="12">
        <f>SUMIFS('Expense Details'!$AF$2:$AF$2955,'Expense Details'!$G$2:$G$2955,$A80)</f>
        <v>352.19099999999997</v>
      </c>
      <c r="O80" s="2" t="s">
        <v>132</v>
      </c>
      <c r="P80" s="2" t="s">
        <v>131</v>
      </c>
      <c r="Q80" s="2" t="s">
        <v>133</v>
      </c>
    </row>
    <row r="81" spans="1:17">
      <c r="A81" s="4" t="s">
        <v>688</v>
      </c>
      <c r="B81" s="2" t="s">
        <v>510</v>
      </c>
      <c r="C81" s="2" t="s">
        <v>250</v>
      </c>
      <c r="D81" s="2" t="s">
        <v>123</v>
      </c>
      <c r="E81" s="2" t="s">
        <v>124</v>
      </c>
      <c r="F81" s="2" t="s">
        <v>254</v>
      </c>
      <c r="G81" s="9">
        <v>45688</v>
      </c>
      <c r="H81" s="9">
        <v>45695</v>
      </c>
      <c r="I81" s="17">
        <f>H81-G81+1</f>
        <v>8</v>
      </c>
      <c r="J81" s="17">
        <f>COUNTIFS('Expense Details'!$G$2:$G$2955,$A81)</f>
        <v>35</v>
      </c>
      <c r="K81" s="12">
        <f>SUMIFS('Expense Details'!$V$2:$V$2955,'Expense Details'!$G$2:$G$2955,$A81)</f>
        <v>5207.8478400000004</v>
      </c>
      <c r="L81" s="12">
        <f>IFERROR(K81/I81,0)</f>
        <v>650.98098000000005</v>
      </c>
      <c r="M81" s="17">
        <f>COUNTIFS('Expense Details'!$G$2:$G$2955,$A81,'Expense Details'!$AA$2:$AA$2955,"Yes")</f>
        <v>3</v>
      </c>
      <c r="N81" s="12">
        <f>SUMIFS('Expense Details'!$AF$2:$AF$2955,'Expense Details'!$G$2:$G$2955,$A81)</f>
        <v>2295.3621599999997</v>
      </c>
      <c r="O81" s="2" t="s">
        <v>180</v>
      </c>
      <c r="P81" s="2" t="s">
        <v>130</v>
      </c>
      <c r="Q81" s="2" t="s">
        <v>133</v>
      </c>
    </row>
    <row r="82" spans="1:17">
      <c r="A82" s="4" t="s">
        <v>3291</v>
      </c>
      <c r="B82" s="2" t="s">
        <v>252</v>
      </c>
      <c r="C82" s="2" t="s">
        <v>250</v>
      </c>
      <c r="D82" s="2" t="s">
        <v>255</v>
      </c>
      <c r="E82" s="2" t="s">
        <v>256</v>
      </c>
      <c r="F82" s="2" t="s">
        <v>417</v>
      </c>
      <c r="G82" s="9">
        <v>45984</v>
      </c>
      <c r="H82" s="9">
        <v>45989</v>
      </c>
      <c r="I82" s="17">
        <f>H82-G82+1</f>
        <v>6</v>
      </c>
      <c r="J82" s="17">
        <f>COUNTIFS('Expense Details'!$G$2:$G$2955,$A82)</f>
        <v>28</v>
      </c>
      <c r="K82" s="12">
        <f>SUMIFS('Expense Details'!$V$2:$V$2955,'Expense Details'!$G$2:$G$2955,$A82)</f>
        <v>3289.7964499999994</v>
      </c>
      <c r="L82" s="12">
        <f>IFERROR(K82/I82,0)</f>
        <v>548.29940833333319</v>
      </c>
      <c r="M82" s="17">
        <f>COUNTIFS('Expense Details'!$G$2:$G$2955,$A82,'Expense Details'!$AA$2:$AA$2955,"Yes")</f>
        <v>1</v>
      </c>
      <c r="N82" s="12">
        <f>SUMIFS('Expense Details'!$AF$2:$AF$2955,'Expense Details'!$G$2:$G$2955,$A82)</f>
        <v>1320.66995</v>
      </c>
      <c r="O82" s="2" t="s">
        <v>132</v>
      </c>
      <c r="P82" s="2" t="s">
        <v>131</v>
      </c>
      <c r="Q82" s="2" t="s">
        <v>133</v>
      </c>
    </row>
    <row r="83" spans="1:17">
      <c r="A83" s="4" t="s">
        <v>802</v>
      </c>
      <c r="B83" s="2" t="s">
        <v>376</v>
      </c>
      <c r="C83" s="2" t="s">
        <v>344</v>
      </c>
      <c r="D83" s="2" t="s">
        <v>553</v>
      </c>
      <c r="E83" s="2" t="s">
        <v>553</v>
      </c>
      <c r="F83" s="2" t="s">
        <v>803</v>
      </c>
      <c r="G83" s="9">
        <v>45696</v>
      </c>
      <c r="H83" s="9">
        <v>45702</v>
      </c>
      <c r="I83" s="17">
        <f>H83-G83+1</f>
        <v>7</v>
      </c>
      <c r="J83" s="17">
        <f>COUNTIFS('Expense Details'!$G$2:$G$2955,$A83)</f>
        <v>25</v>
      </c>
      <c r="K83" s="12">
        <f>SUMIFS('Expense Details'!$V$2:$V$2955,'Expense Details'!$G$2:$G$2955,$A83)</f>
        <v>3538.3888999999999</v>
      </c>
      <c r="L83" s="12">
        <f>IFERROR(K83/I83,0)</f>
        <v>505.48412857142858</v>
      </c>
      <c r="M83" s="17">
        <f>COUNTIFS('Expense Details'!$G$2:$G$2955,$A83,'Expense Details'!$AA$2:$AA$2955,"Yes")</f>
        <v>3</v>
      </c>
      <c r="N83" s="12">
        <f>SUMIFS('Expense Details'!$AF$2:$AF$2955,'Expense Details'!$G$2:$G$2955,$A83)</f>
        <v>0</v>
      </c>
      <c r="O83" s="2" t="s">
        <v>350</v>
      </c>
      <c r="P83" s="2" t="s">
        <v>130</v>
      </c>
      <c r="Q83" s="2" t="s">
        <v>804</v>
      </c>
    </row>
    <row r="84" spans="1:17">
      <c r="A84" s="4" t="s">
        <v>618</v>
      </c>
      <c r="B84" s="2" t="s">
        <v>252</v>
      </c>
      <c r="C84" s="2" t="s">
        <v>250</v>
      </c>
      <c r="D84" s="2" t="s">
        <v>619</v>
      </c>
      <c r="E84" s="2" t="s">
        <v>381</v>
      </c>
      <c r="F84" s="2" t="s">
        <v>417</v>
      </c>
      <c r="G84" s="9">
        <v>45684</v>
      </c>
      <c r="H84" s="9">
        <v>45688</v>
      </c>
      <c r="I84" s="17">
        <f>H84-G84+1</f>
        <v>5</v>
      </c>
      <c r="J84" s="17">
        <f>COUNTIFS('Expense Details'!$G$2:$G$2955,$A84)</f>
        <v>17</v>
      </c>
      <c r="K84" s="12">
        <f>SUMIFS('Expense Details'!$V$2:$V$2955,'Expense Details'!$G$2:$G$2955,$A84)</f>
        <v>2378.98</v>
      </c>
      <c r="L84" s="12">
        <f>IFERROR(K84/I84,0)</f>
        <v>475.79599999999999</v>
      </c>
      <c r="M84" s="17">
        <f>COUNTIFS('Expense Details'!$G$2:$G$2955,$A84,'Expense Details'!$AA$2:$AA$2955,"Yes")</f>
        <v>2</v>
      </c>
      <c r="N84" s="12">
        <f>SUMIFS('Expense Details'!$AF$2:$AF$2955,'Expense Details'!$G$2:$G$2955,$A84)</f>
        <v>2028.5</v>
      </c>
      <c r="O84" s="2" t="s">
        <v>180</v>
      </c>
      <c r="P84" s="2" t="s">
        <v>131</v>
      </c>
      <c r="Q84" s="2" t="s">
        <v>181</v>
      </c>
    </row>
    <row r="85" spans="1:17">
      <c r="A85" s="4" t="s">
        <v>3275</v>
      </c>
      <c r="B85" s="2" t="s">
        <v>173</v>
      </c>
      <c r="C85" s="2" t="s">
        <v>171</v>
      </c>
      <c r="D85" s="2" t="s">
        <v>553</v>
      </c>
      <c r="E85" s="2" t="s">
        <v>553</v>
      </c>
      <c r="F85" s="2" t="s">
        <v>193</v>
      </c>
      <c r="G85" s="9">
        <v>45978</v>
      </c>
      <c r="H85" s="9">
        <v>45982</v>
      </c>
      <c r="I85" s="17">
        <f>H85-G85+1</f>
        <v>5</v>
      </c>
      <c r="J85" s="17">
        <f>COUNTIFS('Expense Details'!$G$2:$G$2955,$A85)</f>
        <v>15</v>
      </c>
      <c r="K85" s="12">
        <f>SUMIFS('Expense Details'!$V$2:$V$2955,'Expense Details'!$G$2:$G$2955,$A85)</f>
        <v>3163.7460100000003</v>
      </c>
      <c r="L85" s="12">
        <f>IFERROR(K85/I85,0)</f>
        <v>632.74920200000008</v>
      </c>
      <c r="M85" s="17">
        <f>COUNTIFS('Expense Details'!$G$2:$G$2955,$A85,'Expense Details'!$AA$2:$AA$2955,"Yes")</f>
        <v>2</v>
      </c>
      <c r="N85" s="12">
        <f>SUMIFS('Expense Details'!$AF$2:$AF$2955,'Expense Details'!$G$2:$G$2955,$A85)</f>
        <v>825.09406999999999</v>
      </c>
      <c r="O85" s="2" t="s">
        <v>132</v>
      </c>
      <c r="P85" s="2" t="s">
        <v>131</v>
      </c>
      <c r="Q85" s="2" t="s">
        <v>133</v>
      </c>
    </row>
    <row r="86" spans="1:17">
      <c r="A86" s="4" t="s">
        <v>2597</v>
      </c>
      <c r="B86" s="2" t="s">
        <v>343</v>
      </c>
      <c r="C86" s="2" t="s">
        <v>344</v>
      </c>
      <c r="D86" s="2" t="s">
        <v>175</v>
      </c>
      <c r="E86" s="2" t="s">
        <v>176</v>
      </c>
      <c r="F86" s="2" t="s">
        <v>379</v>
      </c>
      <c r="G86" s="9">
        <v>45910</v>
      </c>
      <c r="H86" s="9">
        <v>45913</v>
      </c>
      <c r="I86" s="17">
        <f>H86-G86+1</f>
        <v>4</v>
      </c>
      <c r="J86" s="17">
        <f>COUNTIFS('Expense Details'!$G$2:$G$2955,$A86)</f>
        <v>17</v>
      </c>
      <c r="K86" s="12">
        <f>SUMIFS('Expense Details'!$V$2:$V$2955,'Expense Details'!$G$2:$G$2955,$A86)</f>
        <v>2854.3880999999992</v>
      </c>
      <c r="L86" s="12">
        <f>IFERROR(K86/I86,0)</f>
        <v>713.5970249999998</v>
      </c>
      <c r="M86" s="17">
        <f>COUNTIFS('Expense Details'!$G$2:$G$2955,$A86,'Expense Details'!$AA$2:$AA$2955,"Yes")</f>
        <v>4</v>
      </c>
      <c r="N86" s="12">
        <f>SUMIFS('Expense Details'!$AF$2:$AF$2955,'Expense Details'!$G$2:$G$2955,$A86)</f>
        <v>1699.8162500000001</v>
      </c>
      <c r="O86" s="2" t="s">
        <v>350</v>
      </c>
      <c r="P86" s="2" t="s">
        <v>130</v>
      </c>
      <c r="Q86" s="2" t="s">
        <v>133</v>
      </c>
    </row>
    <row r="87" spans="1:17">
      <c r="A87" s="4" t="s">
        <v>2128</v>
      </c>
      <c r="B87" s="2" t="s">
        <v>443</v>
      </c>
      <c r="C87" s="2" t="s">
        <v>444</v>
      </c>
      <c r="D87" s="2" t="s">
        <v>380</v>
      </c>
      <c r="E87" s="2" t="s">
        <v>381</v>
      </c>
      <c r="F87" s="2" t="s">
        <v>348</v>
      </c>
      <c r="G87" s="9">
        <v>45850</v>
      </c>
      <c r="H87" s="9">
        <v>45852</v>
      </c>
      <c r="I87" s="17">
        <f>H87-G87+1</f>
        <v>3</v>
      </c>
      <c r="J87" s="17">
        <f>COUNTIFS('Expense Details'!$G$2:$G$2955,$A87)</f>
        <v>14</v>
      </c>
      <c r="K87" s="12">
        <f>SUMIFS('Expense Details'!$V$2:$V$2955,'Expense Details'!$G$2:$G$2955,$A87)</f>
        <v>1317.0200000000002</v>
      </c>
      <c r="L87" s="12">
        <f>IFERROR(K87/I87,0)</f>
        <v>439.00666666666672</v>
      </c>
      <c r="M87" s="17">
        <f>COUNTIFS('Expense Details'!$G$2:$G$2955,$A87,'Expense Details'!$AA$2:$AA$2955,"Yes")</f>
        <v>1</v>
      </c>
      <c r="N87" s="12">
        <f>SUMIFS('Expense Details'!$AF$2:$AF$2955,'Expense Details'!$G$2:$G$2955,$A87)</f>
        <v>557.43000000000006</v>
      </c>
      <c r="O87" s="2" t="s">
        <v>180</v>
      </c>
      <c r="P87" s="2" t="s">
        <v>130</v>
      </c>
      <c r="Q87" s="2" t="s">
        <v>133</v>
      </c>
    </row>
    <row r="88" spans="1:17">
      <c r="A88" s="4" t="s">
        <v>2377</v>
      </c>
      <c r="B88" s="2" t="s">
        <v>551</v>
      </c>
      <c r="C88" s="2" t="s">
        <v>171</v>
      </c>
      <c r="D88" s="2" t="s">
        <v>651</v>
      </c>
      <c r="E88" s="2" t="s">
        <v>652</v>
      </c>
      <c r="F88" s="2" t="s">
        <v>254</v>
      </c>
      <c r="G88" s="9">
        <v>45880</v>
      </c>
      <c r="H88" s="9">
        <v>45882</v>
      </c>
      <c r="I88" s="17">
        <f>H88-G88+1</f>
        <v>3</v>
      </c>
      <c r="J88" s="17">
        <f>COUNTIFS('Expense Details'!$G$2:$G$2955,$A88)</f>
        <v>16</v>
      </c>
      <c r="K88" s="12">
        <f>SUMIFS('Expense Details'!$V$2:$V$2955,'Expense Details'!$G$2:$G$2955,$A88)</f>
        <v>2713.9257600000005</v>
      </c>
      <c r="L88" s="12">
        <f>IFERROR(K88/I88,0)</f>
        <v>904.64192000000014</v>
      </c>
      <c r="M88" s="17">
        <f>COUNTIFS('Expense Details'!$G$2:$G$2955,$A88,'Expense Details'!$AA$2:$AA$2955,"Yes")</f>
        <v>1</v>
      </c>
      <c r="N88" s="12">
        <f>SUMIFS('Expense Details'!$AF$2:$AF$2955,'Expense Details'!$G$2:$G$2955,$A88)</f>
        <v>1038.0333600000001</v>
      </c>
      <c r="O88" s="2" t="s">
        <v>260</v>
      </c>
      <c r="P88" s="2" t="s">
        <v>130</v>
      </c>
      <c r="Q88" s="2" t="s">
        <v>133</v>
      </c>
    </row>
    <row r="89" spans="1:17">
      <c r="A89" s="4" t="s">
        <v>1658</v>
      </c>
      <c r="B89" s="2" t="s">
        <v>867</v>
      </c>
      <c r="C89" s="2" t="s">
        <v>865</v>
      </c>
      <c r="D89" s="2" t="s">
        <v>175</v>
      </c>
      <c r="E89" s="2" t="s">
        <v>176</v>
      </c>
      <c r="F89" s="2" t="s">
        <v>748</v>
      </c>
      <c r="G89" s="9">
        <v>45787</v>
      </c>
      <c r="H89" s="9">
        <v>45788</v>
      </c>
      <c r="I89" s="17">
        <f>H89-G89+1</f>
        <v>2</v>
      </c>
      <c r="J89" s="17">
        <f>COUNTIFS('Expense Details'!$G$2:$G$2955,$A89)</f>
        <v>9</v>
      </c>
      <c r="K89" s="12">
        <f>SUMIFS('Expense Details'!$V$2:$V$2955,'Expense Details'!$G$2:$G$2955,$A89)</f>
        <v>2252.5974899999997</v>
      </c>
      <c r="L89" s="12">
        <f>IFERROR(K89/I89,0)</f>
        <v>1126.2987449999998</v>
      </c>
      <c r="M89" s="17">
        <f>COUNTIFS('Expense Details'!$G$2:$G$2955,$A89,'Expense Details'!$AA$2:$AA$2955,"Yes")</f>
        <v>2</v>
      </c>
      <c r="N89" s="12">
        <f>SUMIFS('Expense Details'!$AF$2:$AF$2955,'Expense Details'!$G$2:$G$2955,$A89)</f>
        <v>1534.5650600000001</v>
      </c>
      <c r="O89" s="2" t="s">
        <v>132</v>
      </c>
      <c r="P89" s="2" t="s">
        <v>131</v>
      </c>
      <c r="Q89" s="2" t="s">
        <v>133</v>
      </c>
    </row>
    <row r="90" spans="1:17">
      <c r="A90" s="4" t="s">
        <v>3100</v>
      </c>
      <c r="B90" s="2" t="s">
        <v>867</v>
      </c>
      <c r="C90" s="2" t="s">
        <v>865</v>
      </c>
      <c r="D90" s="2" t="s">
        <v>194</v>
      </c>
      <c r="E90" s="2" t="s">
        <v>195</v>
      </c>
      <c r="F90" s="2" t="s">
        <v>379</v>
      </c>
      <c r="G90" s="9">
        <v>45960</v>
      </c>
      <c r="H90" s="9">
        <v>45967</v>
      </c>
      <c r="I90" s="17">
        <f>H90-G90+1</f>
        <v>8</v>
      </c>
      <c r="J90" s="17">
        <f>COUNTIFS('Expense Details'!$G$2:$G$2955,$A90)</f>
        <v>28</v>
      </c>
      <c r="K90" s="12">
        <f>SUMIFS('Expense Details'!$V$2:$V$2955,'Expense Details'!$G$2:$G$2955,$A90)</f>
        <v>4458.0480000000007</v>
      </c>
      <c r="L90" s="12">
        <f>IFERROR(K90/I90,0)</f>
        <v>557.25600000000009</v>
      </c>
      <c r="M90" s="17">
        <f>COUNTIFS('Expense Details'!$G$2:$G$2955,$A90,'Expense Details'!$AA$2:$AA$2955,"Yes")</f>
        <v>1</v>
      </c>
      <c r="N90" s="12">
        <f>SUMIFS('Expense Details'!$AF$2:$AF$2955,'Expense Details'!$G$2:$G$2955,$A90)</f>
        <v>2148.2565999999997</v>
      </c>
      <c r="O90" s="2" t="s">
        <v>260</v>
      </c>
      <c r="P90" s="2" t="s">
        <v>130</v>
      </c>
      <c r="Q90" s="2" t="s">
        <v>133</v>
      </c>
    </row>
    <row r="91" spans="1:17">
      <c r="A91" s="4" t="s">
        <v>1751</v>
      </c>
      <c r="B91" s="2" t="s">
        <v>1750</v>
      </c>
      <c r="C91" s="2" t="s">
        <v>118</v>
      </c>
      <c r="D91" s="2" t="s">
        <v>175</v>
      </c>
      <c r="E91" s="2" t="s">
        <v>176</v>
      </c>
      <c r="F91" s="2" t="s">
        <v>417</v>
      </c>
      <c r="G91" s="9">
        <v>45805</v>
      </c>
      <c r="H91" s="9">
        <v>45810</v>
      </c>
      <c r="I91" s="17">
        <f>H91-G91+1</f>
        <v>6</v>
      </c>
      <c r="J91" s="17">
        <f>COUNTIFS('Expense Details'!$G$2:$G$2955,$A91)</f>
        <v>24</v>
      </c>
      <c r="K91" s="12">
        <f>SUMIFS('Expense Details'!$V$2:$V$2955,'Expense Details'!$G$2:$G$2955,$A91)</f>
        <v>4078.4639500000017</v>
      </c>
      <c r="L91" s="12">
        <f>IFERROR(K91/I91,0)</f>
        <v>679.74399166666694</v>
      </c>
      <c r="M91" s="17">
        <f>COUNTIFS('Expense Details'!$G$2:$G$2955,$A91,'Expense Details'!$AA$2:$AA$2955,"Yes")</f>
        <v>3</v>
      </c>
      <c r="N91" s="12">
        <f>SUMIFS('Expense Details'!$AF$2:$AF$2955,'Expense Details'!$G$2:$G$2955,$A91)</f>
        <v>1206.1496099999999</v>
      </c>
      <c r="O91" s="2" t="s">
        <v>858</v>
      </c>
      <c r="P91" s="2" t="s">
        <v>131</v>
      </c>
      <c r="Q91" s="2" t="s">
        <v>181</v>
      </c>
    </row>
    <row r="92" spans="1:17">
      <c r="A92" s="4" t="s">
        <v>1163</v>
      </c>
      <c r="B92" s="2" t="s">
        <v>288</v>
      </c>
      <c r="C92" s="2" t="s">
        <v>171</v>
      </c>
      <c r="D92" s="2" t="s">
        <v>380</v>
      </c>
      <c r="E92" s="2" t="s">
        <v>381</v>
      </c>
      <c r="F92" s="2" t="s">
        <v>379</v>
      </c>
      <c r="G92" s="9">
        <v>45725</v>
      </c>
      <c r="H92" s="9">
        <v>45731</v>
      </c>
      <c r="I92" s="17">
        <f>H92-G92+1</f>
        <v>7</v>
      </c>
      <c r="J92" s="17">
        <f>COUNTIFS('Expense Details'!$G$2:$G$2955,$A92)</f>
        <v>27</v>
      </c>
      <c r="K92" s="12">
        <f>SUMIFS('Expense Details'!$V$2:$V$2955,'Expense Details'!$G$2:$G$2955,$A92)</f>
        <v>2984.8500000000004</v>
      </c>
      <c r="L92" s="12">
        <f>IFERROR(K92/I92,0)</f>
        <v>426.4071428571429</v>
      </c>
      <c r="M92" s="17">
        <f>COUNTIFS('Expense Details'!$G$2:$G$2955,$A92,'Expense Details'!$AA$2:$AA$2955,"Yes")</f>
        <v>2</v>
      </c>
      <c r="N92" s="12">
        <f>SUMIFS('Expense Details'!$AF$2:$AF$2955,'Expense Details'!$G$2:$G$2955,$A92)</f>
        <v>2090.3100000000004</v>
      </c>
      <c r="O92" s="2" t="s">
        <v>421</v>
      </c>
      <c r="P92" s="2" t="s">
        <v>130</v>
      </c>
      <c r="Q92" s="2" t="s">
        <v>133</v>
      </c>
    </row>
    <row r="93" spans="1:17">
      <c r="A93" s="4" t="s">
        <v>1872</v>
      </c>
      <c r="B93" s="2" t="s">
        <v>252</v>
      </c>
      <c r="C93" s="2" t="s">
        <v>250</v>
      </c>
      <c r="D93" s="2" t="s">
        <v>380</v>
      </c>
      <c r="E93" s="2" t="s">
        <v>381</v>
      </c>
      <c r="F93" s="2" t="s">
        <v>291</v>
      </c>
      <c r="G93" s="9">
        <v>45822</v>
      </c>
      <c r="H93" s="9">
        <v>45829</v>
      </c>
      <c r="I93" s="17">
        <f>H93-G93+1</f>
        <v>8</v>
      </c>
      <c r="J93" s="17">
        <f>COUNTIFS('Expense Details'!$G$2:$G$2955,$A93)</f>
        <v>31</v>
      </c>
      <c r="K93" s="12">
        <f>SUMIFS('Expense Details'!$V$2:$V$2955,'Expense Details'!$G$2:$G$2955,$A93)</f>
        <v>3164.1199999999994</v>
      </c>
      <c r="L93" s="12">
        <f>IFERROR(K93/I93,0)</f>
        <v>395.51499999999993</v>
      </c>
      <c r="M93" s="17">
        <f>COUNTIFS('Expense Details'!$G$2:$G$2955,$A93,'Expense Details'!$AA$2:$AA$2955,"Yes")</f>
        <v>1</v>
      </c>
      <c r="N93" s="12">
        <f>SUMIFS('Expense Details'!$AF$2:$AF$2955,'Expense Details'!$G$2:$G$2955,$A93)</f>
        <v>1382.3100000000002</v>
      </c>
      <c r="O93" s="2" t="s">
        <v>858</v>
      </c>
      <c r="P93" s="2" t="s">
        <v>130</v>
      </c>
      <c r="Q93" s="2" t="s">
        <v>133</v>
      </c>
    </row>
    <row r="94" spans="1:17">
      <c r="A94" s="4" t="s">
        <v>552</v>
      </c>
      <c r="B94" s="2" t="s">
        <v>551</v>
      </c>
      <c r="C94" s="2" t="s">
        <v>171</v>
      </c>
      <c r="D94" s="2" t="s">
        <v>553</v>
      </c>
      <c r="E94" s="2" t="s">
        <v>553</v>
      </c>
      <c r="F94" s="2" t="s">
        <v>254</v>
      </c>
      <c r="G94" s="9">
        <v>45682</v>
      </c>
      <c r="H94" s="9">
        <v>45684</v>
      </c>
      <c r="I94" s="17">
        <f>H94-G94+1</f>
        <v>3</v>
      </c>
      <c r="J94" s="17">
        <f>COUNTIFS('Expense Details'!$G$2:$G$2955,$A94)</f>
        <v>14</v>
      </c>
      <c r="K94" s="12">
        <f>SUMIFS('Expense Details'!$V$2:$V$2955,'Expense Details'!$G$2:$G$2955,$A94)</f>
        <v>4331.3630799999983</v>
      </c>
      <c r="L94" s="12">
        <f>IFERROR(K94/I94,0)</f>
        <v>1443.7876933333328</v>
      </c>
      <c r="M94" s="17">
        <f>COUNTIFS('Expense Details'!$G$2:$G$2955,$A94,'Expense Details'!$AA$2:$AA$2955,"Yes")</f>
        <v>3</v>
      </c>
      <c r="N94" s="12">
        <f>SUMIFS('Expense Details'!$AF$2:$AF$2955,'Expense Details'!$G$2:$G$2955,$A94)</f>
        <v>3321.953</v>
      </c>
      <c r="O94" s="2" t="s">
        <v>260</v>
      </c>
      <c r="P94" s="2" t="s">
        <v>130</v>
      </c>
      <c r="Q94" s="2" t="s">
        <v>133</v>
      </c>
    </row>
    <row r="95" spans="1:17">
      <c r="A95" s="4" t="s">
        <v>884</v>
      </c>
      <c r="B95" s="2" t="s">
        <v>446</v>
      </c>
      <c r="C95" s="2" t="s">
        <v>444</v>
      </c>
      <c r="D95" s="2" t="s">
        <v>380</v>
      </c>
      <c r="E95" s="2" t="s">
        <v>381</v>
      </c>
      <c r="F95" s="2" t="s">
        <v>122</v>
      </c>
      <c r="G95" s="9">
        <v>45701</v>
      </c>
      <c r="H95" s="9">
        <v>45704</v>
      </c>
      <c r="I95" s="17">
        <f>H95-G95+1</f>
        <v>4</v>
      </c>
      <c r="J95" s="17">
        <f>COUNTIFS('Expense Details'!$G$2:$G$2955,$A95)</f>
        <v>17</v>
      </c>
      <c r="K95" s="12">
        <f>SUMIFS('Expense Details'!$V$2:$V$2955,'Expense Details'!$G$2:$G$2955,$A95)</f>
        <v>1416.3500000000001</v>
      </c>
      <c r="L95" s="12">
        <f>IFERROR(K95/I95,0)</f>
        <v>354.08750000000003</v>
      </c>
      <c r="M95" s="17">
        <f>COUNTIFS('Expense Details'!$G$2:$G$2955,$A95,'Expense Details'!$AA$2:$AA$2955,"Yes")</f>
        <v>0</v>
      </c>
      <c r="N95" s="12">
        <f>SUMIFS('Expense Details'!$AF$2:$AF$2955,'Expense Details'!$G$2:$G$2955,$A95)</f>
        <v>1031.3799999999999</v>
      </c>
      <c r="O95" s="2" t="s">
        <v>437</v>
      </c>
      <c r="P95" s="2" t="s">
        <v>131</v>
      </c>
      <c r="Q95" s="2" t="s">
        <v>133</v>
      </c>
    </row>
    <row r="96" spans="1:17">
      <c r="A96" s="4" t="s">
        <v>2560</v>
      </c>
      <c r="B96" s="2" t="s">
        <v>446</v>
      </c>
      <c r="C96" s="2" t="s">
        <v>444</v>
      </c>
      <c r="D96" s="2" t="s">
        <v>175</v>
      </c>
      <c r="E96" s="2" t="s">
        <v>176</v>
      </c>
      <c r="F96" s="2" t="s">
        <v>803</v>
      </c>
      <c r="G96" s="9">
        <v>45907</v>
      </c>
      <c r="H96" s="9">
        <v>45909</v>
      </c>
      <c r="I96" s="17">
        <f>H96-G96+1</f>
        <v>3</v>
      </c>
      <c r="J96" s="17">
        <f>COUNTIFS('Expense Details'!$G$2:$G$2955,$A96)</f>
        <v>14</v>
      </c>
      <c r="K96" s="12">
        <f>SUMIFS('Expense Details'!$V$2:$V$2955,'Expense Details'!$G$2:$G$2955,$A96)</f>
        <v>4192.55368</v>
      </c>
      <c r="L96" s="12">
        <f>IFERROR(K96/I96,0)</f>
        <v>1397.5178933333334</v>
      </c>
      <c r="M96" s="17">
        <f>COUNTIFS('Expense Details'!$G$2:$G$2955,$A96,'Expense Details'!$AA$2:$AA$2955,"Yes")</f>
        <v>3</v>
      </c>
      <c r="N96" s="12">
        <f>SUMIFS('Expense Details'!$AF$2:$AF$2955,'Expense Details'!$G$2:$G$2955,$A96)</f>
        <v>612.91668000000004</v>
      </c>
      <c r="O96" s="2" t="s">
        <v>421</v>
      </c>
      <c r="P96" s="2" t="s">
        <v>130</v>
      </c>
      <c r="Q96" s="2" t="s">
        <v>133</v>
      </c>
    </row>
    <row r="97" spans="1:17">
      <c r="A97" s="4" t="s">
        <v>2389</v>
      </c>
      <c r="B97" s="2" t="s">
        <v>311</v>
      </c>
      <c r="C97" s="2" t="s">
        <v>118</v>
      </c>
      <c r="D97" s="2" t="s">
        <v>651</v>
      </c>
      <c r="E97" s="2" t="s">
        <v>652</v>
      </c>
      <c r="F97" s="2" t="s">
        <v>122</v>
      </c>
      <c r="G97" s="9">
        <v>45881</v>
      </c>
      <c r="H97" s="9">
        <v>45882</v>
      </c>
      <c r="I97" s="17">
        <f>H97-G97+1</f>
        <v>2</v>
      </c>
      <c r="J97" s="17">
        <f>COUNTIFS('Expense Details'!$G$2:$G$2955,$A97)</f>
        <v>8</v>
      </c>
      <c r="K97" s="12">
        <f>SUMIFS('Expense Details'!$V$2:$V$2955,'Expense Details'!$G$2:$G$2955,$A97)</f>
        <v>2540.2686400000002</v>
      </c>
      <c r="L97" s="12">
        <f>IFERROR(K97/I97,0)</f>
        <v>1270.1343200000001</v>
      </c>
      <c r="M97" s="17">
        <f>COUNTIFS('Expense Details'!$G$2:$G$2955,$A97,'Expense Details'!$AA$2:$AA$2955,"Yes")</f>
        <v>1</v>
      </c>
      <c r="N97" s="12">
        <f>SUMIFS('Expense Details'!$AF$2:$AF$2955,'Expense Details'!$G$2:$G$2955,$A97)</f>
        <v>214.59984</v>
      </c>
      <c r="O97" s="2" t="s">
        <v>350</v>
      </c>
      <c r="P97" s="2" t="s">
        <v>130</v>
      </c>
      <c r="Q97" s="2" t="s">
        <v>133</v>
      </c>
    </row>
    <row r="98" spans="1:17">
      <c r="A98" s="4" t="s">
        <v>1599</v>
      </c>
      <c r="B98" s="2" t="s">
        <v>867</v>
      </c>
      <c r="C98" s="2" t="s">
        <v>865</v>
      </c>
      <c r="D98" s="2" t="s">
        <v>749</v>
      </c>
      <c r="E98" s="2" t="s">
        <v>750</v>
      </c>
      <c r="F98" s="2" t="s">
        <v>193</v>
      </c>
      <c r="G98" s="9">
        <v>45780</v>
      </c>
      <c r="H98" s="9">
        <v>45781</v>
      </c>
      <c r="I98" s="17">
        <f>H98-G98+1</f>
        <v>2</v>
      </c>
      <c r="J98" s="17">
        <f>COUNTIFS('Expense Details'!$G$2:$G$2955,$A98)</f>
        <v>13</v>
      </c>
      <c r="K98" s="12">
        <f>SUMIFS('Expense Details'!$V$2:$V$2955,'Expense Details'!$G$2:$G$2955,$A98)</f>
        <v>3142.5397500000004</v>
      </c>
      <c r="L98" s="12">
        <f>IFERROR(K98/I98,0)</f>
        <v>1571.2698750000002</v>
      </c>
      <c r="M98" s="17">
        <f>COUNTIFS('Expense Details'!$G$2:$G$2955,$A98,'Expense Details'!$AA$2:$AA$2955,"Yes")</f>
        <v>3</v>
      </c>
      <c r="N98" s="12">
        <f>SUMIFS('Expense Details'!$AF$2:$AF$2955,'Expense Details'!$G$2:$G$2955,$A98)</f>
        <v>2821.3906000000002</v>
      </c>
      <c r="O98" s="2" t="s">
        <v>514</v>
      </c>
      <c r="P98" s="2" t="s">
        <v>130</v>
      </c>
      <c r="Q98" s="2" t="s">
        <v>133</v>
      </c>
    </row>
    <row r="99" spans="1:17">
      <c r="A99" s="4" t="s">
        <v>416</v>
      </c>
      <c r="B99" s="2" t="s">
        <v>413</v>
      </c>
      <c r="C99" s="2" t="s">
        <v>414</v>
      </c>
      <c r="D99" s="2" t="s">
        <v>418</v>
      </c>
      <c r="E99" s="2" t="s">
        <v>381</v>
      </c>
      <c r="F99" s="2" t="s">
        <v>417</v>
      </c>
      <c r="G99" s="9">
        <v>45677</v>
      </c>
      <c r="H99" s="9">
        <v>45684</v>
      </c>
      <c r="I99" s="17">
        <f>H99-G99+1</f>
        <v>8</v>
      </c>
      <c r="J99" s="17">
        <f>COUNTIFS('Expense Details'!$G$2:$G$2955,$A99)</f>
        <v>30</v>
      </c>
      <c r="K99" s="12">
        <f>SUMIFS('Expense Details'!$V$2:$V$2955,'Expense Details'!$G$2:$G$2955,$A99)</f>
        <v>3530.7999999999988</v>
      </c>
      <c r="L99" s="12">
        <f>IFERROR(K99/I99,0)</f>
        <v>441.34999999999985</v>
      </c>
      <c r="M99" s="17">
        <f>COUNTIFS('Expense Details'!$G$2:$G$2955,$A99,'Expense Details'!$AA$2:$AA$2955,"Yes")</f>
        <v>6</v>
      </c>
      <c r="N99" s="12">
        <f>SUMIFS('Expense Details'!$AF$2:$AF$2955,'Expense Details'!$G$2:$G$2955,$A99)</f>
        <v>585.26999999999987</v>
      </c>
      <c r="O99" s="2" t="s">
        <v>421</v>
      </c>
      <c r="P99" s="2" t="s">
        <v>130</v>
      </c>
      <c r="Q99" s="2" t="s">
        <v>133</v>
      </c>
    </row>
    <row r="100" spans="1:17">
      <c r="A100" s="4" t="s">
        <v>2111</v>
      </c>
      <c r="B100" s="2" t="s">
        <v>376</v>
      </c>
      <c r="C100" s="2" t="s">
        <v>344</v>
      </c>
      <c r="D100" s="2" t="s">
        <v>651</v>
      </c>
      <c r="E100" s="2" t="s">
        <v>652</v>
      </c>
      <c r="F100" s="2" t="s">
        <v>291</v>
      </c>
      <c r="G100" s="9">
        <v>45849</v>
      </c>
      <c r="H100" s="9">
        <v>45855</v>
      </c>
      <c r="I100" s="17">
        <f>H100-G100+1</f>
        <v>7</v>
      </c>
      <c r="J100" s="17">
        <f>COUNTIFS('Expense Details'!$G$2:$G$2955,$A100)</f>
        <v>27</v>
      </c>
      <c r="K100" s="12">
        <f>SUMIFS('Expense Details'!$V$2:$V$2955,'Expense Details'!$G$2:$G$2955,$A100)</f>
        <v>4456.8232799999987</v>
      </c>
      <c r="L100" s="12">
        <f>IFERROR(K100/I100,0)</f>
        <v>636.68903999999986</v>
      </c>
      <c r="M100" s="17">
        <f>COUNTIFS('Expense Details'!$G$2:$G$2955,$A100,'Expense Details'!$AA$2:$AA$2955,"Yes")</f>
        <v>4</v>
      </c>
      <c r="N100" s="12">
        <f>SUMIFS('Expense Details'!$AF$2:$AF$2955,'Expense Details'!$G$2:$G$2955,$A100)</f>
        <v>2411.0049599999998</v>
      </c>
      <c r="O100" s="2" t="s">
        <v>260</v>
      </c>
      <c r="P100" s="2" t="s">
        <v>130</v>
      </c>
      <c r="Q100" s="2" t="s">
        <v>133</v>
      </c>
    </row>
    <row r="101" spans="1:17">
      <c r="A101" s="4" t="s">
        <v>3136</v>
      </c>
      <c r="B101" s="2" t="s">
        <v>120</v>
      </c>
      <c r="C101" s="2" t="s">
        <v>118</v>
      </c>
      <c r="D101" s="2" t="s">
        <v>1251</v>
      </c>
      <c r="E101" s="2" t="s">
        <v>750</v>
      </c>
      <c r="F101" s="2" t="s">
        <v>448</v>
      </c>
      <c r="G101" s="9">
        <v>45963</v>
      </c>
      <c r="H101" s="9">
        <v>45968</v>
      </c>
      <c r="I101" s="17">
        <f>H101-G101+1</f>
        <v>6</v>
      </c>
      <c r="J101" s="17">
        <f>COUNTIFS('Expense Details'!$G$2:$G$2955,$A101)</f>
        <v>27</v>
      </c>
      <c r="K101" s="12">
        <f>SUMIFS('Expense Details'!$V$2:$V$2955,'Expense Details'!$G$2:$G$2955,$A101)</f>
        <v>3109.3821500000008</v>
      </c>
      <c r="L101" s="12">
        <f>IFERROR(K101/I101,0)</f>
        <v>518.23035833333347</v>
      </c>
      <c r="M101" s="17">
        <f>COUNTIFS('Expense Details'!$G$2:$G$2955,$A101,'Expense Details'!$AA$2:$AA$2955,"Yes")</f>
        <v>3</v>
      </c>
      <c r="N101" s="12">
        <f>SUMIFS('Expense Details'!$AF$2:$AF$2955,'Expense Details'!$G$2:$G$2955,$A101)</f>
        <v>2560.8604000000005</v>
      </c>
      <c r="O101" s="2" t="s">
        <v>858</v>
      </c>
      <c r="P101" s="2" t="s">
        <v>131</v>
      </c>
      <c r="Q101" s="2" t="s">
        <v>133</v>
      </c>
    </row>
    <row r="102" spans="1:17">
      <c r="A102" s="4" t="s">
        <v>1739</v>
      </c>
      <c r="B102" s="2" t="s">
        <v>252</v>
      </c>
      <c r="C102" s="2" t="s">
        <v>250</v>
      </c>
      <c r="D102" s="2" t="s">
        <v>651</v>
      </c>
      <c r="E102" s="2" t="s">
        <v>652</v>
      </c>
      <c r="F102" s="2" t="s">
        <v>803</v>
      </c>
      <c r="G102" s="9">
        <v>45804</v>
      </c>
      <c r="H102" s="9">
        <v>45805</v>
      </c>
      <c r="I102" s="17">
        <f>H102-G102+1</f>
        <v>2</v>
      </c>
      <c r="J102" s="17">
        <f>COUNTIFS('Expense Details'!$G$2:$G$2955,$A102)</f>
        <v>14</v>
      </c>
      <c r="K102" s="12">
        <f>SUMIFS('Expense Details'!$V$2:$V$2955,'Expense Details'!$G$2:$G$2955,$A102)</f>
        <v>3297.4541600000002</v>
      </c>
      <c r="L102" s="12">
        <f>IFERROR(K102/I102,0)</f>
        <v>1648.7270800000001</v>
      </c>
      <c r="M102" s="17">
        <f>COUNTIFS('Expense Details'!$G$2:$G$2955,$A102,'Expense Details'!$AA$2:$AA$2955,"Yes")</f>
        <v>2</v>
      </c>
      <c r="N102" s="12">
        <f>SUMIFS('Expense Details'!$AF$2:$AF$2955,'Expense Details'!$G$2:$G$2955,$A102)</f>
        <v>2644.6201599999999</v>
      </c>
      <c r="O102" s="2" t="s">
        <v>180</v>
      </c>
      <c r="P102" s="2" t="s">
        <v>131</v>
      </c>
      <c r="Q102" s="2" t="s">
        <v>133</v>
      </c>
    </row>
    <row r="103" spans="1:17">
      <c r="A103" s="4" t="s">
        <v>3322</v>
      </c>
      <c r="B103" s="2" t="s">
        <v>346</v>
      </c>
      <c r="C103" s="2" t="s">
        <v>344</v>
      </c>
      <c r="D103" s="2" t="s">
        <v>380</v>
      </c>
      <c r="E103" s="2" t="s">
        <v>381</v>
      </c>
      <c r="F103" s="2" t="s">
        <v>748</v>
      </c>
      <c r="G103" s="9">
        <v>45987</v>
      </c>
      <c r="H103" s="9">
        <v>45995</v>
      </c>
      <c r="I103" s="17">
        <f>H103-G103+1</f>
        <v>9</v>
      </c>
      <c r="J103" s="17">
        <f>COUNTIFS('Expense Details'!$G$2:$G$2955,$A103)</f>
        <v>34</v>
      </c>
      <c r="K103" s="12">
        <f>SUMIFS('Expense Details'!$V$2:$V$2955,'Expense Details'!$G$2:$G$2955,$A103)</f>
        <v>3518.0700000000006</v>
      </c>
      <c r="L103" s="12">
        <f>IFERROR(K103/I103,0)</f>
        <v>390.89666666666676</v>
      </c>
      <c r="M103" s="17">
        <f>COUNTIFS('Expense Details'!$G$2:$G$2955,$A103,'Expense Details'!$AA$2:$AA$2955,"Yes")</f>
        <v>4</v>
      </c>
      <c r="N103" s="12">
        <f>SUMIFS('Expense Details'!$AF$2:$AF$2955,'Expense Details'!$G$2:$G$2955,$A103)</f>
        <v>375.67</v>
      </c>
      <c r="O103" s="2" t="s">
        <v>260</v>
      </c>
      <c r="P103" s="2" t="s">
        <v>130</v>
      </c>
      <c r="Q103" s="2" t="s">
        <v>133</v>
      </c>
    </row>
    <row r="104" spans="1:17">
      <c r="A104" s="4" t="s">
        <v>2908</v>
      </c>
      <c r="B104" s="2" t="s">
        <v>346</v>
      </c>
      <c r="C104" s="2" t="s">
        <v>344</v>
      </c>
      <c r="D104" s="2" t="s">
        <v>619</v>
      </c>
      <c r="E104" s="2" t="s">
        <v>381</v>
      </c>
      <c r="F104" s="2" t="s">
        <v>448</v>
      </c>
      <c r="G104" s="9">
        <v>45948</v>
      </c>
      <c r="H104" s="9">
        <v>45952</v>
      </c>
      <c r="I104" s="17">
        <f>H104-G104+1</f>
        <v>5</v>
      </c>
      <c r="J104" s="17">
        <f>COUNTIFS('Expense Details'!$G$2:$G$2955,$A104)</f>
        <v>16</v>
      </c>
      <c r="K104" s="12">
        <f>SUMIFS('Expense Details'!$V$2:$V$2955,'Expense Details'!$G$2:$G$2955,$A104)</f>
        <v>1854.0099999999998</v>
      </c>
      <c r="L104" s="12">
        <f>IFERROR(K104/I104,0)</f>
        <v>370.80199999999996</v>
      </c>
      <c r="M104" s="17">
        <f>COUNTIFS('Expense Details'!$G$2:$G$2955,$A104,'Expense Details'!$AA$2:$AA$2955,"Yes")</f>
        <v>2</v>
      </c>
      <c r="N104" s="12">
        <f>SUMIFS('Expense Details'!$AF$2:$AF$2955,'Expense Details'!$G$2:$G$2955,$A104)</f>
        <v>0</v>
      </c>
      <c r="O104" s="2" t="s">
        <v>260</v>
      </c>
      <c r="P104" s="2" t="s">
        <v>130</v>
      </c>
      <c r="Q104" s="2" t="s">
        <v>804</v>
      </c>
    </row>
    <row r="105" spans="1:17">
      <c r="A105" s="4" t="s">
        <v>857</v>
      </c>
      <c r="B105" s="2" t="s">
        <v>252</v>
      </c>
      <c r="C105" s="2" t="s">
        <v>250</v>
      </c>
      <c r="D105" s="2" t="s">
        <v>601</v>
      </c>
      <c r="E105" s="2" t="s">
        <v>381</v>
      </c>
      <c r="F105" s="2" t="s">
        <v>291</v>
      </c>
      <c r="G105" s="9">
        <v>45700</v>
      </c>
      <c r="H105" s="9">
        <v>45704</v>
      </c>
      <c r="I105" s="17">
        <f>H105-G105+1</f>
        <v>5</v>
      </c>
      <c r="J105" s="17">
        <f>COUNTIFS('Expense Details'!$G$2:$G$2955,$A105)</f>
        <v>19</v>
      </c>
      <c r="K105" s="12">
        <f>SUMIFS('Expense Details'!$V$2:$V$2955,'Expense Details'!$G$2:$G$2955,$A105)</f>
        <v>2480.3700000000003</v>
      </c>
      <c r="L105" s="12">
        <f>IFERROR(K105/I105,0)</f>
        <v>496.07400000000007</v>
      </c>
      <c r="M105" s="17">
        <f>COUNTIFS('Expense Details'!$G$2:$G$2955,$A105,'Expense Details'!$AA$2:$AA$2955,"Yes")</f>
        <v>0</v>
      </c>
      <c r="N105" s="12">
        <f>SUMIFS('Expense Details'!$AF$2:$AF$2955,'Expense Details'!$G$2:$G$2955,$A105)</f>
        <v>1451.31</v>
      </c>
      <c r="O105" s="2" t="s">
        <v>858</v>
      </c>
      <c r="P105" s="2" t="s">
        <v>130</v>
      </c>
      <c r="Q105" s="2" t="s">
        <v>133</v>
      </c>
    </row>
    <row r="106" spans="1:17">
      <c r="A106" s="4" t="s">
        <v>1829</v>
      </c>
      <c r="B106" s="2" t="s">
        <v>190</v>
      </c>
      <c r="C106" s="2" t="s">
        <v>171</v>
      </c>
      <c r="D106" s="2" t="s">
        <v>567</v>
      </c>
      <c r="E106" s="2" t="s">
        <v>434</v>
      </c>
      <c r="F106" s="2" t="s">
        <v>417</v>
      </c>
      <c r="G106" s="9">
        <v>45815</v>
      </c>
      <c r="H106" s="9">
        <v>45816</v>
      </c>
      <c r="I106" s="17">
        <f>H106-G106+1</f>
        <v>2</v>
      </c>
      <c r="J106" s="17">
        <f>COUNTIFS('Expense Details'!$G$2:$G$2955,$A106)</f>
        <v>12</v>
      </c>
      <c r="K106" s="12">
        <f>SUMIFS('Expense Details'!$V$2:$V$2955,'Expense Details'!$G$2:$G$2955,$A106)</f>
        <v>3819.5236399999999</v>
      </c>
      <c r="L106" s="12">
        <f>IFERROR(K106/I106,0)</f>
        <v>1909.7618199999999</v>
      </c>
      <c r="M106" s="17">
        <f>COUNTIFS('Expense Details'!$G$2:$G$2955,$A106,'Expense Details'!$AA$2:$AA$2955,"Yes")</f>
        <v>3</v>
      </c>
      <c r="N106" s="12">
        <f>SUMIFS('Expense Details'!$AF$2:$AF$2955,'Expense Details'!$G$2:$G$2955,$A106)</f>
        <v>2975.5102000000002</v>
      </c>
      <c r="O106" s="2" t="s">
        <v>858</v>
      </c>
      <c r="P106" s="2" t="s">
        <v>131</v>
      </c>
      <c r="Q106" s="2" t="s">
        <v>181</v>
      </c>
    </row>
    <row r="107" spans="1:17">
      <c r="A107" s="4" t="s">
        <v>1544</v>
      </c>
      <c r="B107" s="2" t="s">
        <v>376</v>
      </c>
      <c r="C107" s="2" t="s">
        <v>344</v>
      </c>
      <c r="D107" s="2" t="s">
        <v>380</v>
      </c>
      <c r="E107" s="2" t="s">
        <v>381</v>
      </c>
      <c r="F107" s="2" t="s">
        <v>291</v>
      </c>
      <c r="G107" s="9">
        <v>45770</v>
      </c>
      <c r="H107" s="9">
        <v>45777</v>
      </c>
      <c r="I107" s="17">
        <f>H107-G107+1</f>
        <v>8</v>
      </c>
      <c r="J107" s="17">
        <f>COUNTIFS('Expense Details'!$G$2:$G$2955,$A107)</f>
        <v>30</v>
      </c>
      <c r="K107" s="12">
        <f>SUMIFS('Expense Details'!$V$2:$V$2955,'Expense Details'!$G$2:$G$2955,$A107)</f>
        <v>3293.3700000000008</v>
      </c>
      <c r="L107" s="12">
        <f>IFERROR(K107/I107,0)</f>
        <v>411.6712500000001</v>
      </c>
      <c r="M107" s="17">
        <f>COUNTIFS('Expense Details'!$G$2:$G$2955,$A107,'Expense Details'!$AA$2:$AA$2955,"Yes")</f>
        <v>2</v>
      </c>
      <c r="N107" s="12">
        <f>SUMIFS('Expense Details'!$AF$2:$AF$2955,'Expense Details'!$G$2:$G$2955,$A107)</f>
        <v>285.78999999999996</v>
      </c>
      <c r="O107" s="2" t="s">
        <v>180</v>
      </c>
      <c r="P107" s="2" t="s">
        <v>130</v>
      </c>
      <c r="Q107" s="2" t="s">
        <v>133</v>
      </c>
    </row>
    <row r="108" spans="1:17">
      <c r="A108" s="4" t="s">
        <v>2234</v>
      </c>
      <c r="B108" s="2" t="s">
        <v>1750</v>
      </c>
      <c r="C108" s="2" t="s">
        <v>118</v>
      </c>
      <c r="D108" s="2" t="s">
        <v>175</v>
      </c>
      <c r="E108" s="2" t="s">
        <v>176</v>
      </c>
      <c r="F108" s="2" t="s">
        <v>379</v>
      </c>
      <c r="G108" s="9">
        <v>45856</v>
      </c>
      <c r="H108" s="9">
        <v>45861</v>
      </c>
      <c r="I108" s="17">
        <f>H108-G108+1</f>
        <v>6</v>
      </c>
      <c r="J108" s="17">
        <f>COUNTIFS('Expense Details'!$G$2:$G$2955,$A108)</f>
        <v>22</v>
      </c>
      <c r="K108" s="12">
        <f>SUMIFS('Expense Details'!$V$2:$V$2955,'Expense Details'!$G$2:$G$2955,$A108)</f>
        <v>3910.73668</v>
      </c>
      <c r="L108" s="12">
        <f>IFERROR(K108/I108,0)</f>
        <v>651.78944666666666</v>
      </c>
      <c r="M108" s="17">
        <f>COUNTIFS('Expense Details'!$G$2:$G$2955,$A108,'Expense Details'!$AA$2:$AA$2955,"Yes")</f>
        <v>1</v>
      </c>
      <c r="N108" s="12">
        <f>SUMIFS('Expense Details'!$AF$2:$AF$2955,'Expense Details'!$G$2:$G$2955,$A108)</f>
        <v>0</v>
      </c>
      <c r="O108" s="2" t="s">
        <v>858</v>
      </c>
      <c r="P108" s="2" t="s">
        <v>130</v>
      </c>
      <c r="Q108" s="2" t="s">
        <v>804</v>
      </c>
    </row>
    <row r="109" spans="1:17">
      <c r="A109" s="4" t="s">
        <v>868</v>
      </c>
      <c r="B109" s="2" t="s">
        <v>864</v>
      </c>
      <c r="C109" s="2" t="s">
        <v>865</v>
      </c>
      <c r="D109" s="2" t="s">
        <v>123</v>
      </c>
      <c r="E109" s="2" t="s">
        <v>124</v>
      </c>
      <c r="F109" s="2" t="s">
        <v>448</v>
      </c>
      <c r="G109" s="9">
        <v>45700</v>
      </c>
      <c r="H109" s="9">
        <v>45707</v>
      </c>
      <c r="I109" s="17">
        <f>H109-G109+1</f>
        <v>8</v>
      </c>
      <c r="J109" s="17">
        <f>COUNTIFS('Expense Details'!$G$2:$G$2955,$A109)</f>
        <v>24</v>
      </c>
      <c r="K109" s="12">
        <f>SUMIFS('Expense Details'!$V$2:$V$2955,'Expense Details'!$G$2:$G$2955,$A109)</f>
        <v>4072.1044800000009</v>
      </c>
      <c r="L109" s="12">
        <f>IFERROR(K109/I109,0)</f>
        <v>509.01306000000011</v>
      </c>
      <c r="M109" s="17">
        <f>COUNTIFS('Expense Details'!$G$2:$G$2955,$A109,'Expense Details'!$AA$2:$AA$2955,"Yes")</f>
        <v>3</v>
      </c>
      <c r="N109" s="12">
        <f>SUMIFS('Expense Details'!$AF$2:$AF$2955,'Expense Details'!$G$2:$G$2955,$A109)</f>
        <v>175.91759999999999</v>
      </c>
      <c r="O109" s="2" t="s">
        <v>180</v>
      </c>
      <c r="P109" s="2" t="s">
        <v>130</v>
      </c>
      <c r="Q109" s="2" t="s">
        <v>181</v>
      </c>
    </row>
    <row r="110" spans="1:17">
      <c r="A110" s="4" t="s">
        <v>1889</v>
      </c>
      <c r="B110" s="2" t="s">
        <v>249</v>
      </c>
      <c r="C110" s="2" t="s">
        <v>250</v>
      </c>
      <c r="D110" s="2" t="s">
        <v>1038</v>
      </c>
      <c r="E110" s="2" t="s">
        <v>381</v>
      </c>
      <c r="F110" s="2" t="s">
        <v>417</v>
      </c>
      <c r="G110" s="9">
        <v>45825</v>
      </c>
      <c r="H110" s="9">
        <v>45833</v>
      </c>
      <c r="I110" s="17">
        <f>H110-G110+1</f>
        <v>9</v>
      </c>
      <c r="J110" s="17">
        <f>COUNTIFS('Expense Details'!$G$2:$G$2955,$A110)</f>
        <v>31</v>
      </c>
      <c r="K110" s="12">
        <f>SUMIFS('Expense Details'!$V$2:$V$2955,'Expense Details'!$G$2:$G$2955,$A110)</f>
        <v>3847.89</v>
      </c>
      <c r="L110" s="12">
        <f>IFERROR(K110/I110,0)</f>
        <v>427.54333333333329</v>
      </c>
      <c r="M110" s="17">
        <f>COUNTIFS('Expense Details'!$G$2:$G$2955,$A110,'Expense Details'!$AA$2:$AA$2955,"Yes")</f>
        <v>2</v>
      </c>
      <c r="N110" s="12">
        <f>SUMIFS('Expense Details'!$AF$2:$AF$2955,'Expense Details'!$G$2:$G$2955,$A110)</f>
        <v>2285.5100000000002</v>
      </c>
      <c r="O110" s="2" t="s">
        <v>260</v>
      </c>
      <c r="P110" s="2" t="s">
        <v>130</v>
      </c>
      <c r="Q110" s="2" t="s">
        <v>133</v>
      </c>
    </row>
    <row r="111" spans="1:17">
      <c r="A111" s="4" t="s">
        <v>1086</v>
      </c>
      <c r="B111" s="2" t="s">
        <v>343</v>
      </c>
      <c r="C111" s="2" t="s">
        <v>344</v>
      </c>
      <c r="D111" s="2" t="s">
        <v>619</v>
      </c>
      <c r="E111" s="2" t="s">
        <v>381</v>
      </c>
      <c r="F111" s="2" t="s">
        <v>448</v>
      </c>
      <c r="G111" s="9">
        <v>45719</v>
      </c>
      <c r="H111" s="9">
        <v>45727</v>
      </c>
      <c r="I111" s="17">
        <f>H111-G111+1</f>
        <v>9</v>
      </c>
      <c r="J111" s="17">
        <f>COUNTIFS('Expense Details'!$G$2:$G$2955,$A111)</f>
        <v>27</v>
      </c>
      <c r="K111" s="12">
        <f>SUMIFS('Expense Details'!$V$2:$V$2955,'Expense Details'!$G$2:$G$2955,$A111)</f>
        <v>3637.96</v>
      </c>
      <c r="L111" s="12">
        <f>IFERROR(K111/I111,0)</f>
        <v>404.21777777777777</v>
      </c>
      <c r="M111" s="17">
        <f>COUNTIFS('Expense Details'!$G$2:$G$2955,$A111,'Expense Details'!$AA$2:$AA$2955,"Yes")</f>
        <v>2</v>
      </c>
      <c r="N111" s="12">
        <f>SUMIFS('Expense Details'!$AF$2:$AF$2955,'Expense Details'!$G$2:$G$2955,$A111)</f>
        <v>3154.7599999999998</v>
      </c>
      <c r="O111" s="2" t="s">
        <v>350</v>
      </c>
      <c r="P111" s="2" t="s">
        <v>130</v>
      </c>
      <c r="Q111" s="2" t="s">
        <v>133</v>
      </c>
    </row>
    <row r="112" spans="1:17">
      <c r="A112" s="4" t="s">
        <v>192</v>
      </c>
      <c r="B112" s="2" t="s">
        <v>190</v>
      </c>
      <c r="C112" s="2" t="s">
        <v>171</v>
      </c>
      <c r="D112" s="2" t="s">
        <v>194</v>
      </c>
      <c r="E112" s="2" t="s">
        <v>195</v>
      </c>
      <c r="F112" s="2" t="s">
        <v>193</v>
      </c>
      <c r="G112" s="9">
        <v>45662</v>
      </c>
      <c r="H112" s="9">
        <v>45665</v>
      </c>
      <c r="I112" s="17">
        <f>H112-G112+1</f>
        <v>4</v>
      </c>
      <c r="J112" s="17">
        <f>COUNTIFS('Expense Details'!$G$2:$G$2955,$A112)</f>
        <v>16</v>
      </c>
      <c r="K112" s="12">
        <f>SUMIFS('Expense Details'!$V$2:$V$2955,'Expense Details'!$G$2:$G$2955,$A112)</f>
        <v>3429.8152000000005</v>
      </c>
      <c r="L112" s="12">
        <f>IFERROR(K112/I112,0)</f>
        <v>857.45380000000011</v>
      </c>
      <c r="M112" s="17">
        <f>COUNTIFS('Expense Details'!$G$2:$G$2955,$A112,'Expense Details'!$AA$2:$AA$2955,"Yes")</f>
        <v>1</v>
      </c>
      <c r="N112" s="12">
        <f>SUMIFS('Expense Details'!$AF$2:$AF$2955,'Expense Details'!$G$2:$G$2955,$A112)</f>
        <v>634.62734999999998</v>
      </c>
      <c r="O112" s="2" t="s">
        <v>132</v>
      </c>
      <c r="P112" s="2" t="s">
        <v>131</v>
      </c>
      <c r="Q112" s="2" t="s">
        <v>133</v>
      </c>
    </row>
    <row r="113" spans="1:17">
      <c r="A113" s="4" t="s">
        <v>2485</v>
      </c>
      <c r="B113" s="2" t="s">
        <v>598</v>
      </c>
      <c r="C113" s="2" t="s">
        <v>414</v>
      </c>
      <c r="D113" s="2" t="s">
        <v>255</v>
      </c>
      <c r="E113" s="2" t="s">
        <v>256</v>
      </c>
      <c r="F113" s="2" t="s">
        <v>417</v>
      </c>
      <c r="G113" s="9">
        <v>45892</v>
      </c>
      <c r="H113" s="9">
        <v>45893</v>
      </c>
      <c r="I113" s="17">
        <f>H113-G113+1</f>
        <v>2</v>
      </c>
      <c r="J113" s="17">
        <f>COUNTIFS('Expense Details'!$G$2:$G$2955,$A113)</f>
        <v>10</v>
      </c>
      <c r="K113" s="12">
        <f>SUMIFS('Expense Details'!$V$2:$V$2955,'Expense Details'!$G$2:$G$2955,$A113)</f>
        <v>1847.4667999999999</v>
      </c>
      <c r="L113" s="12">
        <f>IFERROR(K113/I113,0)</f>
        <v>923.73339999999996</v>
      </c>
      <c r="M113" s="17">
        <f>COUNTIFS('Expense Details'!$G$2:$G$2955,$A113,'Expense Details'!$AA$2:$AA$2955,"Yes")</f>
        <v>2</v>
      </c>
      <c r="N113" s="12">
        <f>SUMIFS('Expense Details'!$AF$2:$AF$2955,'Expense Details'!$G$2:$G$2955,$A113)</f>
        <v>1746.0400500000001</v>
      </c>
      <c r="O113" s="2" t="s">
        <v>132</v>
      </c>
      <c r="P113" s="2" t="s">
        <v>131</v>
      </c>
      <c r="Q113" s="2" t="s">
        <v>133</v>
      </c>
    </row>
    <row r="114" spans="1:17">
      <c r="A114" s="4" t="s">
        <v>1345</v>
      </c>
      <c r="B114" s="2" t="s">
        <v>311</v>
      </c>
      <c r="C114" s="2" t="s">
        <v>118</v>
      </c>
      <c r="D114" s="2" t="s">
        <v>175</v>
      </c>
      <c r="E114" s="2" t="s">
        <v>176</v>
      </c>
      <c r="F114" s="2" t="s">
        <v>254</v>
      </c>
      <c r="G114" s="9">
        <v>45749</v>
      </c>
      <c r="H114" s="9">
        <v>45757</v>
      </c>
      <c r="I114" s="17">
        <f>H114-G114+1</f>
        <v>9</v>
      </c>
      <c r="J114" s="17">
        <f>COUNTIFS('Expense Details'!$G$2:$G$2955,$A114)</f>
        <v>37</v>
      </c>
      <c r="K114" s="12">
        <f>SUMIFS('Expense Details'!$V$2:$V$2955,'Expense Details'!$G$2:$G$2955,$A114)</f>
        <v>5593.8448200000003</v>
      </c>
      <c r="L114" s="12">
        <f>IFERROR(K114/I114,0)</f>
        <v>621.53831333333335</v>
      </c>
      <c r="M114" s="17">
        <f>COUNTIFS('Expense Details'!$G$2:$G$2955,$A114,'Expense Details'!$AA$2:$AA$2955,"Yes")</f>
        <v>3</v>
      </c>
      <c r="N114" s="12">
        <f>SUMIFS('Expense Details'!$AF$2:$AF$2955,'Expense Details'!$G$2:$G$2955,$A114)</f>
        <v>466.61980999999992</v>
      </c>
      <c r="O114" s="2" t="s">
        <v>421</v>
      </c>
      <c r="P114" s="2" t="s">
        <v>130</v>
      </c>
      <c r="Q114" s="2" t="s">
        <v>133</v>
      </c>
    </row>
    <row r="115" spans="1:17">
      <c r="A115" s="4" t="s">
        <v>941</v>
      </c>
      <c r="B115" s="2" t="s">
        <v>376</v>
      </c>
      <c r="C115" s="2" t="s">
        <v>344</v>
      </c>
      <c r="D115" s="2" t="s">
        <v>175</v>
      </c>
      <c r="E115" s="2" t="s">
        <v>176</v>
      </c>
      <c r="F115" s="2" t="s">
        <v>803</v>
      </c>
      <c r="G115" s="9">
        <v>45704</v>
      </c>
      <c r="H115" s="9">
        <v>45705</v>
      </c>
      <c r="I115" s="17">
        <f>H115-G115+1</f>
        <v>2</v>
      </c>
      <c r="J115" s="17">
        <f>COUNTIFS('Expense Details'!$G$2:$G$2955,$A115)</f>
        <v>12</v>
      </c>
      <c r="K115" s="12">
        <f>SUMIFS('Expense Details'!$V$2:$V$2955,'Expense Details'!$G$2:$G$2955,$A115)</f>
        <v>3365.4180699999997</v>
      </c>
      <c r="L115" s="12">
        <f>IFERROR(K115/I115,0)</f>
        <v>1682.7090349999999</v>
      </c>
      <c r="M115" s="17">
        <f>COUNTIFS('Expense Details'!$G$2:$G$2955,$A115,'Expense Details'!$AA$2:$AA$2955,"Yes")</f>
        <v>3</v>
      </c>
      <c r="N115" s="12">
        <f>SUMIFS('Expense Details'!$AF$2:$AF$2955,'Expense Details'!$G$2:$G$2955,$A115)</f>
        <v>3056.2555899999993</v>
      </c>
      <c r="O115" s="2" t="s">
        <v>180</v>
      </c>
      <c r="P115" s="2" t="s">
        <v>130</v>
      </c>
      <c r="Q115" s="2" t="s">
        <v>133</v>
      </c>
    </row>
    <row r="116" spans="1:17">
      <c r="A116" s="4" t="s">
        <v>1980</v>
      </c>
      <c r="B116" s="2" t="s">
        <v>864</v>
      </c>
      <c r="C116" s="2" t="s">
        <v>865</v>
      </c>
      <c r="D116" s="2" t="s">
        <v>175</v>
      </c>
      <c r="E116" s="2" t="s">
        <v>176</v>
      </c>
      <c r="F116" s="2" t="s">
        <v>291</v>
      </c>
      <c r="G116" s="9">
        <v>45838</v>
      </c>
      <c r="H116" s="9">
        <v>45843</v>
      </c>
      <c r="I116" s="17">
        <f>H116-G116+1</f>
        <v>6</v>
      </c>
      <c r="J116" s="17">
        <f>COUNTIFS('Expense Details'!$G$2:$G$2955,$A116)</f>
        <v>25</v>
      </c>
      <c r="K116" s="12">
        <f>SUMIFS('Expense Details'!$V$2:$V$2955,'Expense Details'!$G$2:$G$2955,$A116)</f>
        <v>3895.7896999999998</v>
      </c>
      <c r="L116" s="12">
        <f>IFERROR(K116/I116,0)</f>
        <v>649.2982833333333</v>
      </c>
      <c r="M116" s="17">
        <f>COUNTIFS('Expense Details'!$G$2:$G$2955,$A116,'Expense Details'!$AA$2:$AA$2955,"Yes")</f>
        <v>2</v>
      </c>
      <c r="N116" s="12">
        <f>SUMIFS('Expense Details'!$AF$2:$AF$2955,'Expense Details'!$G$2:$G$2955,$A116)</f>
        <v>1031.1008899999999</v>
      </c>
      <c r="O116" s="2" t="s">
        <v>132</v>
      </c>
      <c r="P116" s="2" t="s">
        <v>131</v>
      </c>
      <c r="Q116" s="2" t="s">
        <v>133</v>
      </c>
    </row>
    <row r="117" spans="1:17">
      <c r="A117" s="4" t="s">
        <v>2139</v>
      </c>
      <c r="B117" s="2" t="s">
        <v>170</v>
      </c>
      <c r="C117" s="2" t="s">
        <v>171</v>
      </c>
      <c r="D117" s="2" t="s">
        <v>651</v>
      </c>
      <c r="E117" s="2" t="s">
        <v>652</v>
      </c>
      <c r="F117" s="2" t="s">
        <v>193</v>
      </c>
      <c r="G117" s="9">
        <v>45850</v>
      </c>
      <c r="H117" s="9">
        <v>45858</v>
      </c>
      <c r="I117" s="17">
        <f>H117-G117+1</f>
        <v>9</v>
      </c>
      <c r="J117" s="17">
        <f>COUNTIFS('Expense Details'!$G$2:$G$2955,$A117)</f>
        <v>29</v>
      </c>
      <c r="K117" s="12">
        <f>SUMIFS('Expense Details'!$V$2:$V$2955,'Expense Details'!$G$2:$G$2955,$A117)</f>
        <v>6077.3658399999995</v>
      </c>
      <c r="L117" s="12">
        <f>IFERROR(K117/I117,0)</f>
        <v>675.26287111111105</v>
      </c>
      <c r="M117" s="17">
        <f>COUNTIFS('Expense Details'!$G$2:$G$2955,$A117,'Expense Details'!$AA$2:$AA$2955,"Yes")</f>
        <v>4</v>
      </c>
      <c r="N117" s="12">
        <f>SUMIFS('Expense Details'!$AF$2:$AF$2955,'Expense Details'!$G$2:$G$2955,$A117)</f>
        <v>3088.9112800000003</v>
      </c>
      <c r="O117" s="2" t="s">
        <v>350</v>
      </c>
      <c r="P117" s="2" t="s">
        <v>130</v>
      </c>
      <c r="Q117" s="2" t="s">
        <v>133</v>
      </c>
    </row>
    <row r="118" spans="1:17">
      <c r="A118" s="4" t="s">
        <v>2834</v>
      </c>
      <c r="B118" s="2" t="s">
        <v>413</v>
      </c>
      <c r="C118" s="2" t="s">
        <v>414</v>
      </c>
      <c r="D118" s="2" t="s">
        <v>1251</v>
      </c>
      <c r="E118" s="2" t="s">
        <v>750</v>
      </c>
      <c r="F118" s="2" t="s">
        <v>122</v>
      </c>
      <c r="G118" s="9">
        <v>45937</v>
      </c>
      <c r="H118" s="9">
        <v>45938</v>
      </c>
      <c r="I118" s="17">
        <f>H118-G118+1</f>
        <v>2</v>
      </c>
      <c r="J118" s="17">
        <f>COUNTIFS('Expense Details'!$G$2:$G$2955,$A118)</f>
        <v>11</v>
      </c>
      <c r="K118" s="12">
        <f>SUMIFS('Expense Details'!$V$2:$V$2955,'Expense Details'!$G$2:$G$2955,$A118)</f>
        <v>2363.7375999999995</v>
      </c>
      <c r="L118" s="12">
        <f>IFERROR(K118/I118,0)</f>
        <v>1181.8687999999997</v>
      </c>
      <c r="M118" s="17">
        <f>COUNTIFS('Expense Details'!$G$2:$G$2955,$A118,'Expense Details'!$AA$2:$AA$2955,"Yes")</f>
        <v>2</v>
      </c>
      <c r="N118" s="12">
        <f>SUMIFS('Expense Details'!$AF$2:$AF$2955,'Expense Details'!$G$2:$G$2955,$A118)</f>
        <v>1901.0067999999999</v>
      </c>
      <c r="O118" s="2" t="s">
        <v>858</v>
      </c>
      <c r="P118" s="2" t="s">
        <v>131</v>
      </c>
      <c r="Q118" s="2" t="s">
        <v>133</v>
      </c>
    </row>
    <row r="119" spans="1:17">
      <c r="A119" s="4" t="s">
        <v>174</v>
      </c>
      <c r="B119" s="2" t="s">
        <v>170</v>
      </c>
      <c r="C119" s="2" t="s">
        <v>171</v>
      </c>
      <c r="D119" s="2" t="s">
        <v>175</v>
      </c>
      <c r="E119" s="2" t="s">
        <v>176</v>
      </c>
      <c r="F119" s="2" t="s">
        <v>122</v>
      </c>
      <c r="G119" s="9">
        <v>45661</v>
      </c>
      <c r="H119" s="9">
        <v>45668</v>
      </c>
      <c r="I119" s="17">
        <f>H119-G119+1</f>
        <v>8</v>
      </c>
      <c r="J119" s="17">
        <f>COUNTIFS('Expense Details'!$G$2:$G$2955,$A119)</f>
        <v>27</v>
      </c>
      <c r="K119" s="12">
        <f>SUMIFS('Expense Details'!$V$2:$V$2955,'Expense Details'!$G$2:$G$2955,$A119)</f>
        <v>3787.14626</v>
      </c>
      <c r="L119" s="12">
        <f>IFERROR(K119/I119,0)</f>
        <v>473.3932825</v>
      </c>
      <c r="M119" s="17">
        <f>COUNTIFS('Expense Details'!$G$2:$G$2955,$A119,'Expense Details'!$AA$2:$AA$2955,"Yes")</f>
        <v>1</v>
      </c>
      <c r="N119" s="12">
        <f>SUMIFS('Expense Details'!$AF$2:$AF$2955,'Expense Details'!$G$2:$G$2955,$A119)</f>
        <v>363.44256999999999</v>
      </c>
      <c r="O119" s="2" t="s">
        <v>180</v>
      </c>
      <c r="P119" s="2" t="s">
        <v>130</v>
      </c>
      <c r="Q119" s="2" t="s">
        <v>181</v>
      </c>
    </row>
    <row r="120" spans="1:17">
      <c r="A120" s="4" t="s">
        <v>253</v>
      </c>
      <c r="B120" s="2" t="s">
        <v>249</v>
      </c>
      <c r="C120" s="2" t="s">
        <v>250</v>
      </c>
      <c r="D120" s="2" t="s">
        <v>255</v>
      </c>
      <c r="E120" s="2" t="s">
        <v>256</v>
      </c>
      <c r="F120" s="2" t="s">
        <v>254</v>
      </c>
      <c r="G120" s="9">
        <v>45667</v>
      </c>
      <c r="H120" s="9">
        <v>45672</v>
      </c>
      <c r="I120" s="17">
        <f>H120-G120+1</f>
        <v>6</v>
      </c>
      <c r="J120" s="17">
        <f>COUNTIFS('Expense Details'!$G$2:$G$2955,$A120)</f>
        <v>25</v>
      </c>
      <c r="K120" s="12">
        <f>SUMIFS('Expense Details'!$V$2:$V$2955,'Expense Details'!$G$2:$G$2955,$A120)</f>
        <v>4059.8799500000009</v>
      </c>
      <c r="L120" s="12">
        <f>IFERROR(K120/I120,0)</f>
        <v>676.64665833333345</v>
      </c>
      <c r="M120" s="17">
        <f>COUNTIFS('Expense Details'!$G$2:$G$2955,$A120,'Expense Details'!$AA$2:$AA$2955,"Yes")</f>
        <v>2</v>
      </c>
      <c r="N120" s="12">
        <f>SUMIFS('Expense Details'!$AF$2:$AF$2955,'Expense Details'!$G$2:$G$2955,$A120)</f>
        <v>1512.9976000000001</v>
      </c>
      <c r="O120" s="2" t="s">
        <v>260</v>
      </c>
      <c r="P120" s="2" t="s">
        <v>130</v>
      </c>
      <c r="Q120" s="2" t="s">
        <v>133</v>
      </c>
    </row>
    <row r="121" spans="1:17">
      <c r="A121" s="4" t="s">
        <v>747</v>
      </c>
      <c r="B121" s="2" t="s">
        <v>313</v>
      </c>
      <c r="C121" s="2" t="s">
        <v>744</v>
      </c>
      <c r="D121" s="2" t="s">
        <v>749</v>
      </c>
      <c r="E121" s="2" t="s">
        <v>750</v>
      </c>
      <c r="F121" s="2" t="s">
        <v>748</v>
      </c>
      <c r="G121" s="9">
        <v>45693</v>
      </c>
      <c r="H121" s="9">
        <v>45694</v>
      </c>
      <c r="I121" s="17">
        <f>H121-G121+1</f>
        <v>2</v>
      </c>
      <c r="J121" s="17">
        <f>COUNTIFS('Expense Details'!$G$2:$G$2955,$A121)</f>
        <v>11</v>
      </c>
      <c r="K121" s="12">
        <f>SUMIFS('Expense Details'!$V$2:$V$2955,'Expense Details'!$G$2:$G$2955,$A121)</f>
        <v>1894.0085499999998</v>
      </c>
      <c r="L121" s="12">
        <f>IFERROR(K121/I121,0)</f>
        <v>947.00427499999989</v>
      </c>
      <c r="M121" s="17">
        <f>COUNTIFS('Expense Details'!$G$2:$G$2955,$A121,'Expense Details'!$AA$2:$AA$2955,"Yes")</f>
        <v>0</v>
      </c>
      <c r="N121" s="12">
        <f>SUMIFS('Expense Details'!$AF$2:$AF$2955,'Expense Details'!$G$2:$G$2955,$A121)</f>
        <v>1704.8279499999999</v>
      </c>
      <c r="O121" s="2" t="s">
        <v>421</v>
      </c>
      <c r="P121" s="2" t="s">
        <v>130</v>
      </c>
      <c r="Q121" s="2" t="s">
        <v>181</v>
      </c>
    </row>
    <row r="122" spans="1:17">
      <c r="A122" s="4" t="s">
        <v>1314</v>
      </c>
      <c r="B122" s="2" t="s">
        <v>867</v>
      </c>
      <c r="C122" s="2" t="s">
        <v>865</v>
      </c>
      <c r="D122" s="2" t="s">
        <v>123</v>
      </c>
      <c r="E122" s="2" t="s">
        <v>124</v>
      </c>
      <c r="F122" s="2" t="s">
        <v>803</v>
      </c>
      <c r="G122" s="9">
        <v>45746</v>
      </c>
      <c r="H122" s="9">
        <v>45752</v>
      </c>
      <c r="I122" s="17">
        <f>H122-G122+1</f>
        <v>7</v>
      </c>
      <c r="J122" s="17">
        <f>COUNTIFS('Expense Details'!$G$2:$G$2955,$A122)</f>
        <v>29</v>
      </c>
      <c r="K122" s="12">
        <f>SUMIFS('Expense Details'!$V$2:$V$2955,'Expense Details'!$G$2:$G$2955,$A122)</f>
        <v>3829.0761600000005</v>
      </c>
      <c r="L122" s="12">
        <f>IFERROR(K122/I122,0)</f>
        <v>547.01088000000004</v>
      </c>
      <c r="M122" s="17">
        <f>COUNTIFS('Expense Details'!$G$2:$G$2955,$A122,'Expense Details'!$AA$2:$AA$2955,"Yes")</f>
        <v>3</v>
      </c>
      <c r="N122" s="12">
        <f>SUMIFS('Expense Details'!$AF$2:$AF$2955,'Expense Details'!$G$2:$G$2955,$A122)</f>
        <v>3202.9596000000006</v>
      </c>
      <c r="O122" s="2" t="s">
        <v>132</v>
      </c>
      <c r="P122" s="2" t="s">
        <v>131</v>
      </c>
      <c r="Q122" s="2" t="s">
        <v>133</v>
      </c>
    </row>
    <row r="123" spans="1:17">
      <c r="A123" s="4" t="s">
        <v>1103</v>
      </c>
      <c r="B123" s="2" t="s">
        <v>551</v>
      </c>
      <c r="C123" s="2" t="s">
        <v>171</v>
      </c>
      <c r="D123" s="2" t="s">
        <v>255</v>
      </c>
      <c r="E123" s="2" t="s">
        <v>256</v>
      </c>
      <c r="F123" s="2" t="s">
        <v>448</v>
      </c>
      <c r="G123" s="9">
        <v>45720</v>
      </c>
      <c r="H123" s="9">
        <v>45727</v>
      </c>
      <c r="I123" s="17">
        <f>H123-G123+1</f>
        <v>8</v>
      </c>
      <c r="J123" s="17">
        <f>COUNTIFS('Expense Details'!$G$2:$G$2955,$A123)</f>
        <v>34</v>
      </c>
      <c r="K123" s="12">
        <f>SUMIFS('Expense Details'!$V$2:$V$2955,'Expense Details'!$G$2:$G$2955,$A123)</f>
        <v>5162.5527999999986</v>
      </c>
      <c r="L123" s="12">
        <f>IFERROR(K123/I123,0)</f>
        <v>645.31909999999982</v>
      </c>
      <c r="M123" s="17">
        <f>COUNTIFS('Expense Details'!$G$2:$G$2955,$A123,'Expense Details'!$AA$2:$AA$2955,"Yes")</f>
        <v>7</v>
      </c>
      <c r="N123" s="12">
        <f>SUMIFS('Expense Details'!$AF$2:$AF$2955,'Expense Details'!$G$2:$G$2955,$A123)</f>
        <v>409.97759999999994</v>
      </c>
      <c r="O123" s="2" t="s">
        <v>421</v>
      </c>
      <c r="P123" s="2" t="s">
        <v>131</v>
      </c>
      <c r="Q123" s="2" t="s">
        <v>133</v>
      </c>
    </row>
    <row r="124" spans="1:17">
      <c r="A124" s="4" t="s">
        <v>773</v>
      </c>
      <c r="B124" s="2" t="s">
        <v>771</v>
      </c>
      <c r="C124" s="2" t="s">
        <v>414</v>
      </c>
      <c r="D124" s="2" t="s">
        <v>194</v>
      </c>
      <c r="E124" s="2" t="s">
        <v>195</v>
      </c>
      <c r="F124" s="2" t="s">
        <v>748</v>
      </c>
      <c r="G124" s="9">
        <v>45694</v>
      </c>
      <c r="H124" s="9">
        <v>45701</v>
      </c>
      <c r="I124" s="17">
        <f>H124-G124+1</f>
        <v>8</v>
      </c>
      <c r="J124" s="17">
        <f>COUNTIFS('Expense Details'!$G$2:$G$2955,$A124)</f>
        <v>34</v>
      </c>
      <c r="K124" s="12">
        <f>SUMIFS('Expense Details'!$V$2:$V$2955,'Expense Details'!$G$2:$G$2955,$A124)</f>
        <v>4502.1424000000015</v>
      </c>
      <c r="L124" s="12">
        <f>IFERROR(K124/I124,0)</f>
        <v>562.76780000000019</v>
      </c>
      <c r="M124" s="17">
        <f>COUNTIFS('Expense Details'!$G$2:$G$2955,$A124,'Expense Details'!$AA$2:$AA$2955,"Yes")</f>
        <v>1</v>
      </c>
      <c r="N124" s="12">
        <f>SUMIFS('Expense Details'!$AF$2:$AF$2955,'Expense Details'!$G$2:$G$2955,$A124)</f>
        <v>2605.5949499999997</v>
      </c>
      <c r="O124" s="2" t="s">
        <v>421</v>
      </c>
      <c r="P124" s="2" t="s">
        <v>131</v>
      </c>
      <c r="Q124" s="2" t="s">
        <v>133</v>
      </c>
    </row>
    <row r="125" spans="1:17">
      <c r="A125" s="4" t="s">
        <v>2734</v>
      </c>
      <c r="B125" s="2" t="s">
        <v>170</v>
      </c>
      <c r="C125" s="2" t="s">
        <v>171</v>
      </c>
      <c r="D125" s="2" t="s">
        <v>567</v>
      </c>
      <c r="E125" s="2" t="s">
        <v>434</v>
      </c>
      <c r="F125" s="2" t="s">
        <v>379</v>
      </c>
      <c r="G125" s="9">
        <v>45927</v>
      </c>
      <c r="H125" s="9">
        <v>45933</v>
      </c>
      <c r="I125" s="17">
        <f>H125-G125+1</f>
        <v>7</v>
      </c>
      <c r="J125" s="17">
        <f>COUNTIFS('Expense Details'!$G$2:$G$2955,$A125)</f>
        <v>21</v>
      </c>
      <c r="K125" s="12">
        <f>SUMIFS('Expense Details'!$V$2:$V$2955,'Expense Details'!$G$2:$G$2955,$A125)</f>
        <v>4110.1126800000002</v>
      </c>
      <c r="L125" s="12">
        <f>IFERROR(K125/I125,0)</f>
        <v>587.15895428571434</v>
      </c>
      <c r="M125" s="17">
        <f>COUNTIFS('Expense Details'!$G$2:$G$2955,$A125,'Expense Details'!$AA$2:$AA$2955,"Yes")</f>
        <v>2</v>
      </c>
      <c r="N125" s="12">
        <f>SUMIFS('Expense Details'!$AF$2:$AF$2955,'Expense Details'!$G$2:$G$2955,$A125)</f>
        <v>1246.3357800000003</v>
      </c>
      <c r="O125" s="2" t="s">
        <v>350</v>
      </c>
      <c r="P125" s="2" t="s">
        <v>131</v>
      </c>
      <c r="Q125" s="2" t="s">
        <v>133</v>
      </c>
    </row>
    <row r="126" spans="1:17">
      <c r="A126" s="4" t="s">
        <v>290</v>
      </c>
      <c r="B126" s="2" t="s">
        <v>288</v>
      </c>
      <c r="C126" s="2" t="s">
        <v>171</v>
      </c>
      <c r="D126" s="2" t="s">
        <v>255</v>
      </c>
      <c r="E126" s="2" t="s">
        <v>256</v>
      </c>
      <c r="F126" s="2" t="s">
        <v>291</v>
      </c>
      <c r="G126" s="9">
        <v>45670</v>
      </c>
      <c r="H126" s="9">
        <v>45677</v>
      </c>
      <c r="I126" s="17">
        <f>H126-G126+1</f>
        <v>8</v>
      </c>
      <c r="J126" s="17">
        <f>COUNTIFS('Expense Details'!$G$2:$G$2955,$A126)</f>
        <v>33</v>
      </c>
      <c r="K126" s="12">
        <f>SUMIFS('Expense Details'!$V$2:$V$2955,'Expense Details'!$G$2:$G$2955,$A126)</f>
        <v>5743.5640000000012</v>
      </c>
      <c r="L126" s="12">
        <f>IFERROR(K126/I126,0)</f>
        <v>717.94550000000015</v>
      </c>
      <c r="M126" s="17">
        <f>COUNTIFS('Expense Details'!$G$2:$G$2955,$A126,'Expense Details'!$AA$2:$AA$2955,"Yes")</f>
        <v>4</v>
      </c>
      <c r="N126" s="12">
        <f>SUMIFS('Expense Details'!$AF$2:$AF$2955,'Expense Details'!$G$2:$G$2955,$A126)</f>
        <v>565.70384999999999</v>
      </c>
      <c r="O126" s="2" t="s">
        <v>132</v>
      </c>
      <c r="P126" s="2" t="s">
        <v>131</v>
      </c>
      <c r="Q126" s="2" t="s">
        <v>133</v>
      </c>
    </row>
    <row r="127" spans="1:17">
      <c r="A127" s="4" t="s">
        <v>432</v>
      </c>
      <c r="B127" s="2" t="s">
        <v>413</v>
      </c>
      <c r="C127" s="2" t="s">
        <v>414</v>
      </c>
      <c r="D127" s="2" t="s">
        <v>433</v>
      </c>
      <c r="E127" s="2" t="s">
        <v>434</v>
      </c>
      <c r="F127" s="2" t="s">
        <v>417</v>
      </c>
      <c r="G127" s="9">
        <v>45677</v>
      </c>
      <c r="H127" s="9">
        <v>45681</v>
      </c>
      <c r="I127" s="17">
        <f>H127-G127+1</f>
        <v>5</v>
      </c>
      <c r="J127" s="17">
        <f>COUNTIFS('Expense Details'!$G$2:$G$2955,$A127)</f>
        <v>14</v>
      </c>
      <c r="K127" s="12">
        <f>SUMIFS('Expense Details'!$V$2:$V$2955,'Expense Details'!$G$2:$G$2955,$A127)</f>
        <v>3662.6022600000001</v>
      </c>
      <c r="L127" s="12">
        <f>IFERROR(K127/I127,0)</f>
        <v>732.52045199999998</v>
      </c>
      <c r="M127" s="17">
        <f>COUNTIFS('Expense Details'!$G$2:$G$2955,$A127,'Expense Details'!$AA$2:$AA$2955,"Yes")</f>
        <v>1</v>
      </c>
      <c r="N127" s="12">
        <f>SUMIFS('Expense Details'!$AF$2:$AF$2955,'Expense Details'!$G$2:$G$2955,$A127)</f>
        <v>2359.6518000000001</v>
      </c>
      <c r="O127" s="2" t="s">
        <v>437</v>
      </c>
      <c r="P127" s="2" t="s">
        <v>130</v>
      </c>
      <c r="Q127" s="2" t="s">
        <v>133</v>
      </c>
    </row>
    <row r="128" spans="1:17">
      <c r="A128" s="4" t="s">
        <v>2939</v>
      </c>
      <c r="B128" s="2" t="s">
        <v>376</v>
      </c>
      <c r="C128" s="2" t="s">
        <v>344</v>
      </c>
      <c r="D128" s="2" t="s">
        <v>123</v>
      </c>
      <c r="E128" s="2" t="s">
        <v>124</v>
      </c>
      <c r="F128" s="2" t="s">
        <v>748</v>
      </c>
      <c r="G128" s="9">
        <v>45950</v>
      </c>
      <c r="H128" s="9">
        <v>45958</v>
      </c>
      <c r="I128" s="17">
        <f>H128-G128+1</f>
        <v>9</v>
      </c>
      <c r="J128" s="17">
        <f>COUNTIFS('Expense Details'!$G$2:$G$2955,$A128)</f>
        <v>28</v>
      </c>
      <c r="K128" s="12">
        <f>SUMIFS('Expense Details'!$V$2:$V$2955,'Expense Details'!$G$2:$G$2955,$A128)</f>
        <v>4264.9651199999998</v>
      </c>
      <c r="L128" s="12">
        <f>IFERROR(K128/I128,0)</f>
        <v>473.88501333333329</v>
      </c>
      <c r="M128" s="17">
        <f>COUNTIFS('Expense Details'!$G$2:$G$2955,$A128,'Expense Details'!$AA$2:$AA$2955,"Yes")</f>
        <v>2</v>
      </c>
      <c r="N128" s="12">
        <f>SUMIFS('Expense Details'!$AF$2:$AF$2955,'Expense Details'!$G$2:$G$2955,$A128)</f>
        <v>2300.8953600000004</v>
      </c>
      <c r="O128" s="2" t="s">
        <v>421</v>
      </c>
      <c r="P128" s="2" t="s">
        <v>131</v>
      </c>
      <c r="Q128" s="2" t="s">
        <v>133</v>
      </c>
    </row>
    <row r="129" spans="1:17">
      <c r="A129" s="4" t="s">
        <v>2099</v>
      </c>
      <c r="B129" s="2" t="s">
        <v>311</v>
      </c>
      <c r="C129" s="2" t="s">
        <v>118</v>
      </c>
      <c r="D129" s="2" t="s">
        <v>553</v>
      </c>
      <c r="E129" s="2" t="s">
        <v>553</v>
      </c>
      <c r="F129" s="2" t="s">
        <v>348</v>
      </c>
      <c r="G129" s="9">
        <v>45848</v>
      </c>
      <c r="H129" s="9">
        <v>45856</v>
      </c>
      <c r="I129" s="17">
        <f>H129-G129+1</f>
        <v>9</v>
      </c>
      <c r="J129" s="17">
        <f>COUNTIFS('Expense Details'!$G$2:$G$2955,$A129)</f>
        <v>33</v>
      </c>
      <c r="K129" s="12">
        <f>SUMIFS('Expense Details'!$V$2:$V$2955,'Expense Details'!$G$2:$G$2955,$A129)</f>
        <v>4059.0535800000011</v>
      </c>
      <c r="L129" s="12">
        <f>IFERROR(K129/I129,0)</f>
        <v>451.00595333333348</v>
      </c>
      <c r="M129" s="17">
        <f>COUNTIFS('Expense Details'!$G$2:$G$2955,$A129,'Expense Details'!$AA$2:$AA$2955,"Yes")</f>
        <v>1</v>
      </c>
      <c r="N129" s="12">
        <f>SUMIFS('Expense Details'!$AF$2:$AF$2955,'Expense Details'!$G$2:$G$2955,$A129)</f>
        <v>3377.1653300000003</v>
      </c>
      <c r="O129" s="2" t="s">
        <v>180</v>
      </c>
      <c r="P129" s="2" t="s">
        <v>130</v>
      </c>
      <c r="Q129" s="2" t="s">
        <v>133</v>
      </c>
    </row>
    <row r="130" spans="1:17">
      <c r="A130" s="4" t="s">
        <v>2967</v>
      </c>
      <c r="B130" s="2" t="s">
        <v>864</v>
      </c>
      <c r="C130" s="2" t="s">
        <v>865</v>
      </c>
      <c r="D130" s="2" t="s">
        <v>194</v>
      </c>
      <c r="E130" s="2" t="s">
        <v>195</v>
      </c>
      <c r="F130" s="2" t="s">
        <v>122</v>
      </c>
      <c r="G130" s="9">
        <v>45952</v>
      </c>
      <c r="H130" s="9">
        <v>45958</v>
      </c>
      <c r="I130" s="17">
        <f>H130-G130+1</f>
        <v>7</v>
      </c>
      <c r="J130" s="17">
        <f>COUNTIFS('Expense Details'!$G$2:$G$2955,$A130)</f>
        <v>26</v>
      </c>
      <c r="K130" s="12">
        <f>SUMIFS('Expense Details'!$V$2:$V$2955,'Expense Details'!$G$2:$G$2955,$A130)</f>
        <v>3272.0345000000002</v>
      </c>
      <c r="L130" s="12">
        <f>IFERROR(K130/I130,0)</f>
        <v>467.43350000000004</v>
      </c>
      <c r="M130" s="17">
        <f>COUNTIFS('Expense Details'!$G$2:$G$2955,$A130,'Expense Details'!$AA$2:$AA$2955,"Yes")</f>
        <v>4</v>
      </c>
      <c r="N130" s="12">
        <f>SUMIFS('Expense Details'!$AF$2:$AF$2955,'Expense Details'!$G$2:$G$2955,$A130)</f>
        <v>462.22084999999993</v>
      </c>
      <c r="O130" s="2" t="s">
        <v>858</v>
      </c>
      <c r="P130" s="2" t="s">
        <v>131</v>
      </c>
      <c r="Q130" s="2" t="s">
        <v>133</v>
      </c>
    </row>
    <row r="131" spans="1:17">
      <c r="A131" s="4" t="s">
        <v>1020</v>
      </c>
      <c r="B131" s="2" t="s">
        <v>288</v>
      </c>
      <c r="C131" s="2" t="s">
        <v>171</v>
      </c>
      <c r="D131" s="2" t="s">
        <v>315</v>
      </c>
      <c r="E131" s="2" t="s">
        <v>316</v>
      </c>
      <c r="F131" s="2" t="s">
        <v>291</v>
      </c>
      <c r="G131" s="9">
        <v>45714</v>
      </c>
      <c r="H131" s="9">
        <v>45720</v>
      </c>
      <c r="I131" s="17">
        <f>H131-G131+1</f>
        <v>7</v>
      </c>
      <c r="J131" s="17">
        <f>COUNTIFS('Expense Details'!$G$2:$G$2955,$A131)</f>
        <v>27</v>
      </c>
      <c r="K131" s="12">
        <f>SUMIFS('Expense Details'!$V$2:$V$2955,'Expense Details'!$G$2:$G$2955,$A131)</f>
        <v>2299.9683349999996</v>
      </c>
      <c r="L131" s="12">
        <f>IFERROR(K131/I131,0)</f>
        <v>328.56690499999996</v>
      </c>
      <c r="M131" s="17">
        <f>COUNTIFS('Expense Details'!$G$2:$G$2955,$A131,'Expense Details'!$AA$2:$AA$2955,"Yes")</f>
        <v>1</v>
      </c>
      <c r="N131" s="12">
        <f>SUMIFS('Expense Details'!$AF$2:$AF$2955,'Expense Details'!$G$2:$G$2955,$A131)</f>
        <v>1191.3560679999998</v>
      </c>
      <c r="O131" s="2" t="s">
        <v>514</v>
      </c>
      <c r="P131" s="2" t="s">
        <v>130</v>
      </c>
      <c r="Q131" s="2" t="s">
        <v>133</v>
      </c>
    </row>
    <row r="132" spans="1:17">
      <c r="A132" s="4" t="s">
        <v>1927</v>
      </c>
      <c r="B132" s="2" t="s">
        <v>443</v>
      </c>
      <c r="C132" s="2" t="s">
        <v>444</v>
      </c>
      <c r="D132" s="2" t="s">
        <v>619</v>
      </c>
      <c r="E132" s="2" t="s">
        <v>381</v>
      </c>
      <c r="F132" s="2" t="s">
        <v>448</v>
      </c>
      <c r="G132" s="9">
        <v>45830</v>
      </c>
      <c r="H132" s="9">
        <v>45837</v>
      </c>
      <c r="I132" s="17">
        <f>H132-G132+1</f>
        <v>8</v>
      </c>
      <c r="J132" s="17">
        <f>COUNTIFS('Expense Details'!$G$2:$G$2955,$A132)</f>
        <v>32</v>
      </c>
      <c r="K132" s="12">
        <f>SUMIFS('Expense Details'!$V$2:$V$2955,'Expense Details'!$G$2:$G$2955,$A132)</f>
        <v>3671.3900000000003</v>
      </c>
      <c r="L132" s="12">
        <f>IFERROR(K132/I132,0)</f>
        <v>458.92375000000004</v>
      </c>
      <c r="M132" s="17">
        <f>COUNTIFS('Expense Details'!$G$2:$G$2955,$A132,'Expense Details'!$AA$2:$AA$2955,"Yes")</f>
        <v>4</v>
      </c>
      <c r="N132" s="12">
        <f>SUMIFS('Expense Details'!$AF$2:$AF$2955,'Expense Details'!$G$2:$G$2955,$A132)</f>
        <v>267.25</v>
      </c>
      <c r="O132" s="2" t="s">
        <v>858</v>
      </c>
      <c r="P132" s="2" t="s">
        <v>130</v>
      </c>
      <c r="Q132" s="2" t="s">
        <v>133</v>
      </c>
    </row>
    <row r="133" spans="1:17">
      <c r="A133" s="4" t="s">
        <v>1685</v>
      </c>
      <c r="B133" s="2" t="s">
        <v>551</v>
      </c>
      <c r="C133" s="2" t="s">
        <v>171</v>
      </c>
      <c r="D133" s="2" t="s">
        <v>1038</v>
      </c>
      <c r="E133" s="2" t="s">
        <v>381</v>
      </c>
      <c r="F133" s="2" t="s">
        <v>803</v>
      </c>
      <c r="G133" s="9">
        <v>45797</v>
      </c>
      <c r="H133" s="9">
        <v>45800</v>
      </c>
      <c r="I133" s="17">
        <f>H133-G133+1</f>
        <v>4</v>
      </c>
      <c r="J133" s="17">
        <f>COUNTIFS('Expense Details'!$G$2:$G$2955,$A133)</f>
        <v>12</v>
      </c>
      <c r="K133" s="12">
        <f>SUMIFS('Expense Details'!$V$2:$V$2955,'Expense Details'!$G$2:$G$2955,$A133)</f>
        <v>1959.8200000000002</v>
      </c>
      <c r="L133" s="12">
        <f>IFERROR(K133/I133,0)</f>
        <v>489.95500000000004</v>
      </c>
      <c r="M133" s="17">
        <f>COUNTIFS('Expense Details'!$G$2:$G$2955,$A133,'Expense Details'!$AA$2:$AA$2955,"Yes")</f>
        <v>1</v>
      </c>
      <c r="N133" s="12">
        <f>SUMIFS('Expense Details'!$AF$2:$AF$2955,'Expense Details'!$G$2:$G$2955,$A133)</f>
        <v>1461.99</v>
      </c>
      <c r="O133" s="2" t="s">
        <v>421</v>
      </c>
      <c r="P133" s="2" t="s">
        <v>130</v>
      </c>
      <c r="Q133" s="2" t="s">
        <v>133</v>
      </c>
    </row>
    <row r="134" spans="1:17">
      <c r="A134" s="4" t="s">
        <v>314</v>
      </c>
      <c r="B134" s="2" t="s">
        <v>311</v>
      </c>
      <c r="C134" s="2" t="s">
        <v>118</v>
      </c>
      <c r="D134" s="2" t="s">
        <v>315</v>
      </c>
      <c r="E134" s="2" t="s">
        <v>316</v>
      </c>
      <c r="F134" s="2" t="s">
        <v>291</v>
      </c>
      <c r="G134" s="9">
        <v>45671</v>
      </c>
      <c r="H134" s="9">
        <v>45676</v>
      </c>
      <c r="I134" s="17">
        <f>H134-G134+1</f>
        <v>6</v>
      </c>
      <c r="J134" s="17">
        <f>COUNTIFS('Expense Details'!$G$2:$G$2955,$A134)</f>
        <v>22</v>
      </c>
      <c r="K134" s="12">
        <f>SUMIFS('Expense Details'!$V$2:$V$2955,'Expense Details'!$G$2:$G$2955,$A134)</f>
        <v>3498.0774429999988</v>
      </c>
      <c r="L134" s="12">
        <f>IFERROR(K134/I134,0)</f>
        <v>583.01290716666642</v>
      </c>
      <c r="M134" s="17">
        <f>COUNTIFS('Expense Details'!$G$2:$G$2955,$A134,'Expense Details'!$AA$2:$AA$2955,"Yes")</f>
        <v>1</v>
      </c>
      <c r="N134" s="12">
        <f>SUMIFS('Expense Details'!$AF$2:$AF$2955,'Expense Details'!$G$2:$G$2955,$A134)</f>
        <v>1223.392163</v>
      </c>
      <c r="O134" s="2" t="s">
        <v>132</v>
      </c>
      <c r="P134" s="2" t="s">
        <v>131</v>
      </c>
      <c r="Q134" s="2" t="s">
        <v>133</v>
      </c>
    </row>
    <row r="135" spans="1:17">
      <c r="A135" s="4" t="s">
        <v>2554</v>
      </c>
      <c r="B135" s="2" t="s">
        <v>190</v>
      </c>
      <c r="C135" s="2" t="s">
        <v>171</v>
      </c>
      <c r="D135" s="2" t="s">
        <v>418</v>
      </c>
      <c r="E135" s="2" t="s">
        <v>381</v>
      </c>
      <c r="F135" s="2" t="s">
        <v>254</v>
      </c>
      <c r="G135" s="9">
        <v>45906</v>
      </c>
      <c r="H135" s="9">
        <v>45910</v>
      </c>
      <c r="I135" s="17">
        <f>H135-G135+1</f>
        <v>5</v>
      </c>
      <c r="J135" s="17">
        <f>COUNTIFS('Expense Details'!$G$2:$G$2955,$A135)</f>
        <v>18</v>
      </c>
      <c r="K135" s="12">
        <f>SUMIFS('Expense Details'!$V$2:$V$2955,'Expense Details'!$G$2:$G$2955,$A135)</f>
        <v>2609.0599999999995</v>
      </c>
      <c r="L135" s="12">
        <f>IFERROR(K135/I135,0)</f>
        <v>521.8119999999999</v>
      </c>
      <c r="M135" s="17">
        <f>COUNTIFS('Expense Details'!$G$2:$G$2955,$A135,'Expense Details'!$AA$2:$AA$2955,"Yes")</f>
        <v>0</v>
      </c>
      <c r="N135" s="12">
        <f>SUMIFS('Expense Details'!$AF$2:$AF$2955,'Expense Details'!$G$2:$G$2955,$A135)</f>
        <v>924.52</v>
      </c>
      <c r="O135" s="2" t="s">
        <v>350</v>
      </c>
      <c r="P135" s="2" t="s">
        <v>130</v>
      </c>
      <c r="Q135" s="2" t="s">
        <v>133</v>
      </c>
    </row>
    <row r="136" spans="1:17">
      <c r="A136" s="4" t="s">
        <v>447</v>
      </c>
      <c r="B136" s="2" t="s">
        <v>443</v>
      </c>
      <c r="C136" s="2" t="s">
        <v>444</v>
      </c>
      <c r="D136" s="2" t="s">
        <v>418</v>
      </c>
      <c r="E136" s="2" t="s">
        <v>381</v>
      </c>
      <c r="F136" s="2" t="s">
        <v>448</v>
      </c>
      <c r="G136" s="9">
        <v>45677</v>
      </c>
      <c r="H136" s="9">
        <v>45683</v>
      </c>
      <c r="I136" s="17">
        <f>H136-G136+1</f>
        <v>7</v>
      </c>
      <c r="J136" s="17">
        <f>COUNTIFS('Expense Details'!$G$2:$G$2955,$A136)</f>
        <v>25</v>
      </c>
      <c r="K136" s="12">
        <f>SUMIFS('Expense Details'!$V$2:$V$2955,'Expense Details'!$G$2:$G$2955,$A136)</f>
        <v>2524.4100000000003</v>
      </c>
      <c r="L136" s="12">
        <f>IFERROR(K136/I136,0)</f>
        <v>360.63000000000005</v>
      </c>
      <c r="M136" s="17">
        <f>COUNTIFS('Expense Details'!$G$2:$G$2955,$A136,'Expense Details'!$AA$2:$AA$2955,"Yes")</f>
        <v>4</v>
      </c>
      <c r="N136" s="12">
        <f>SUMIFS('Expense Details'!$AF$2:$AF$2955,'Expense Details'!$G$2:$G$2955,$A136)</f>
        <v>245.72000000000006</v>
      </c>
      <c r="O136" s="2" t="s">
        <v>350</v>
      </c>
      <c r="P136" s="2" t="s">
        <v>131</v>
      </c>
      <c r="Q136" s="2" t="s">
        <v>133</v>
      </c>
    </row>
    <row r="137" spans="1:17">
      <c r="A137" s="4" t="s">
        <v>2795</v>
      </c>
      <c r="B137" s="2" t="s">
        <v>117</v>
      </c>
      <c r="C137" s="2" t="s">
        <v>118</v>
      </c>
      <c r="D137" s="2" t="s">
        <v>255</v>
      </c>
      <c r="E137" s="2" t="s">
        <v>256</v>
      </c>
      <c r="F137" s="2" t="s">
        <v>193</v>
      </c>
      <c r="G137" s="9">
        <v>45934</v>
      </c>
      <c r="H137" s="9">
        <v>45938</v>
      </c>
      <c r="I137" s="17">
        <f>H137-G137+1</f>
        <v>5</v>
      </c>
      <c r="J137" s="17">
        <f>COUNTIFS('Expense Details'!$G$2:$G$2955,$A137)</f>
        <v>22</v>
      </c>
      <c r="K137" s="12">
        <f>SUMIFS('Expense Details'!$V$2:$V$2955,'Expense Details'!$G$2:$G$2955,$A137)</f>
        <v>4160.6779000000006</v>
      </c>
      <c r="L137" s="12">
        <f>IFERROR(K137/I137,0)</f>
        <v>832.13558000000012</v>
      </c>
      <c r="M137" s="17">
        <f>COUNTIFS('Expense Details'!$G$2:$G$2955,$A137,'Expense Details'!$AA$2:$AA$2955,"Yes")</f>
        <v>4</v>
      </c>
      <c r="N137" s="12">
        <f>SUMIFS('Expense Details'!$AF$2:$AF$2955,'Expense Details'!$G$2:$G$2955,$A137)</f>
        <v>2321.0318000000002</v>
      </c>
      <c r="O137" s="2" t="s">
        <v>260</v>
      </c>
      <c r="P137" s="2" t="s">
        <v>130</v>
      </c>
      <c r="Q137" s="2" t="s">
        <v>133</v>
      </c>
    </row>
    <row r="138" spans="1:17">
      <c r="A138" s="4" t="s">
        <v>1390</v>
      </c>
      <c r="B138" s="2" t="s">
        <v>413</v>
      </c>
      <c r="C138" s="2" t="s">
        <v>414</v>
      </c>
      <c r="D138" s="2" t="s">
        <v>194</v>
      </c>
      <c r="E138" s="2" t="s">
        <v>195</v>
      </c>
      <c r="F138" s="2" t="s">
        <v>803</v>
      </c>
      <c r="G138" s="9">
        <v>45753</v>
      </c>
      <c r="H138" s="9">
        <v>45754</v>
      </c>
      <c r="I138" s="17">
        <f>H138-G138+1</f>
        <v>2</v>
      </c>
      <c r="J138" s="17">
        <f>COUNTIFS('Expense Details'!$G$2:$G$2955,$A138)</f>
        <v>9</v>
      </c>
      <c r="K138" s="12">
        <f>SUMIFS('Expense Details'!$V$2:$V$2955,'Expense Details'!$G$2:$G$2955,$A138)</f>
        <v>1987.5898000000002</v>
      </c>
      <c r="L138" s="12">
        <f>IFERROR(K138/I138,0)</f>
        <v>993.7949000000001</v>
      </c>
      <c r="M138" s="17">
        <f>COUNTIFS('Expense Details'!$G$2:$G$2955,$A138,'Expense Details'!$AA$2:$AA$2955,"Yes")</f>
        <v>1</v>
      </c>
      <c r="N138" s="12">
        <f>SUMIFS('Expense Details'!$AF$2:$AF$2955,'Expense Details'!$G$2:$G$2955,$A138)</f>
        <v>124.68819999999999</v>
      </c>
      <c r="O138" s="2" t="s">
        <v>858</v>
      </c>
      <c r="P138" s="2" t="s">
        <v>131</v>
      </c>
      <c r="Q138" s="2" t="s">
        <v>133</v>
      </c>
    </row>
    <row r="139" spans="1:17">
      <c r="A139" s="4" t="s">
        <v>1671</v>
      </c>
      <c r="B139" s="2" t="s">
        <v>288</v>
      </c>
      <c r="C139" s="2" t="s">
        <v>171</v>
      </c>
      <c r="D139" s="2" t="s">
        <v>433</v>
      </c>
      <c r="E139" s="2" t="s">
        <v>434</v>
      </c>
      <c r="F139" s="2" t="s">
        <v>748</v>
      </c>
      <c r="G139" s="9">
        <v>45795</v>
      </c>
      <c r="H139" s="9">
        <v>45800</v>
      </c>
      <c r="I139" s="17">
        <f>H139-G139+1</f>
        <v>6</v>
      </c>
      <c r="J139" s="17">
        <f>COUNTIFS('Expense Details'!$G$2:$G$2955,$A139)</f>
        <v>27</v>
      </c>
      <c r="K139" s="12">
        <f>SUMIFS('Expense Details'!$V$2:$V$2955,'Expense Details'!$G$2:$G$2955,$A139)</f>
        <v>5404.522640000002</v>
      </c>
      <c r="L139" s="12">
        <f>IFERROR(K139/I139,0)</f>
        <v>900.7537733333337</v>
      </c>
      <c r="M139" s="17">
        <f>COUNTIFS('Expense Details'!$G$2:$G$2955,$A139,'Expense Details'!$AA$2:$AA$2955,"Yes")</f>
        <v>3</v>
      </c>
      <c r="N139" s="12">
        <f>SUMIFS('Expense Details'!$AF$2:$AF$2955,'Expense Details'!$G$2:$G$2955,$A139)</f>
        <v>4497.3566200000005</v>
      </c>
      <c r="O139" s="2" t="s">
        <v>514</v>
      </c>
      <c r="P139" s="2" t="s">
        <v>131</v>
      </c>
      <c r="Q139" s="2" t="s">
        <v>133</v>
      </c>
    </row>
    <row r="140" spans="1:17">
      <c r="A140" s="4" t="s">
        <v>378</v>
      </c>
      <c r="B140" s="2" t="s">
        <v>376</v>
      </c>
      <c r="C140" s="2" t="s">
        <v>344</v>
      </c>
      <c r="D140" s="2" t="s">
        <v>380</v>
      </c>
      <c r="E140" s="2" t="s">
        <v>381</v>
      </c>
      <c r="F140" s="2" t="s">
        <v>379</v>
      </c>
      <c r="G140" s="9">
        <v>45675</v>
      </c>
      <c r="H140" s="9">
        <v>45676</v>
      </c>
      <c r="I140" s="17">
        <f>H140-G140+1</f>
        <v>2</v>
      </c>
      <c r="J140" s="17">
        <f>COUNTIFS('Expense Details'!$G$2:$G$2955,$A140)</f>
        <v>11</v>
      </c>
      <c r="K140" s="12">
        <f>SUMIFS('Expense Details'!$V$2:$V$2955,'Expense Details'!$G$2:$G$2955,$A140)</f>
        <v>1755.3400000000001</v>
      </c>
      <c r="L140" s="12">
        <f>IFERROR(K140/I140,0)</f>
        <v>877.67000000000007</v>
      </c>
      <c r="M140" s="17">
        <f>COUNTIFS('Expense Details'!$G$2:$G$2955,$A140,'Expense Details'!$AA$2:$AA$2955,"Yes")</f>
        <v>0</v>
      </c>
      <c r="N140" s="12">
        <f>SUMIFS('Expense Details'!$AF$2:$AF$2955,'Expense Details'!$G$2:$G$2955,$A140)</f>
        <v>415.84999999999997</v>
      </c>
      <c r="O140" s="2" t="s">
        <v>350</v>
      </c>
      <c r="P140" s="2" t="s">
        <v>131</v>
      </c>
      <c r="Q140" s="2" t="s">
        <v>133</v>
      </c>
    </row>
    <row r="141" spans="1:17">
      <c r="A141" s="4" t="s">
        <v>2527</v>
      </c>
      <c r="B141" s="2" t="s">
        <v>551</v>
      </c>
      <c r="C141" s="2" t="s">
        <v>171</v>
      </c>
      <c r="D141" s="2" t="s">
        <v>255</v>
      </c>
      <c r="E141" s="2" t="s">
        <v>256</v>
      </c>
      <c r="F141" s="2" t="s">
        <v>254</v>
      </c>
      <c r="G141" s="9">
        <v>45897</v>
      </c>
      <c r="H141" s="9">
        <v>45901</v>
      </c>
      <c r="I141" s="17">
        <f>H141-G141+1</f>
        <v>5</v>
      </c>
      <c r="J141" s="17">
        <f>COUNTIFS('Expense Details'!$G$2:$G$2955,$A141)</f>
        <v>20</v>
      </c>
      <c r="K141" s="12">
        <f>SUMIFS('Expense Details'!$V$2:$V$2955,'Expense Details'!$G$2:$G$2955,$A141)</f>
        <v>4567.5638999999992</v>
      </c>
      <c r="L141" s="12">
        <f>IFERROR(K141/I141,0)</f>
        <v>913.51277999999979</v>
      </c>
      <c r="M141" s="17">
        <f>COUNTIFS('Expense Details'!$G$2:$G$2955,$A141,'Expense Details'!$AA$2:$AA$2955,"Yes")</f>
        <v>3</v>
      </c>
      <c r="N141" s="12">
        <f>SUMIFS('Expense Details'!$AF$2:$AF$2955,'Expense Details'!$G$2:$G$2955,$A141)</f>
        <v>2616.7249999999999</v>
      </c>
      <c r="O141" s="2" t="s">
        <v>421</v>
      </c>
      <c r="P141" s="2" t="s">
        <v>130</v>
      </c>
      <c r="Q141" s="2" t="s">
        <v>133</v>
      </c>
    </row>
    <row r="142" spans="1:17">
      <c r="A142" s="19" t="s">
        <v>3481</v>
      </c>
      <c r="B142" s="20"/>
      <c r="C142" s="20"/>
      <c r="D142" s="20"/>
      <c r="E142" s="20"/>
      <c r="F142" s="20"/>
      <c r="G142" s="20"/>
      <c r="H142" s="20"/>
      <c r="I142" s="20"/>
      <c r="J142" s="21">
        <f>SUM(J4:J141)</f>
        <v>2954</v>
      </c>
      <c r="K142" s="22">
        <f>SUM(K4:K141)</f>
        <v>476910.79081500025</v>
      </c>
      <c r="L142" s="20"/>
      <c r="M142" s="21">
        <f>SUM(M4:M141)</f>
        <v>318</v>
      </c>
      <c r="N142" s="22">
        <f>SUM(N4:N141)</f>
        <v>191871.416218</v>
      </c>
      <c r="O142" s="20"/>
      <c r="P142" s="20"/>
      <c r="Q142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8"/>
  <sheetViews>
    <sheetView zoomScaleNormal="100" workbookViewId="0"/>
  </sheetViews>
  <sheetFormatPr defaultColWidth="8.7109375" defaultRowHeight="15"/>
  <cols>
    <col min="1" max="1" width="12" customWidth="1"/>
    <col min="2" max="2" width="20" customWidth="1"/>
    <col min="3" max="3" width="18" customWidth="1"/>
    <col min="4" max="4" width="22" customWidth="1"/>
    <col min="5" max="5" width="18" customWidth="1"/>
    <col min="6" max="6" width="10" customWidth="1"/>
    <col min="7" max="7" width="11" customWidth="1"/>
    <col min="8" max="8" width="15" customWidth="1"/>
    <col min="9" max="13" width="13" customWidth="1"/>
    <col min="14" max="15" width="11" customWidth="1"/>
    <col min="16" max="16" width="15" customWidth="1"/>
    <col min="17" max="17" width="14" customWidth="1"/>
    <col min="18" max="18" width="13" customWidth="1"/>
  </cols>
  <sheetData>
    <row r="1" spans="1:18" ht="17.45">
      <c r="A1" s="18" t="s">
        <v>3482</v>
      </c>
    </row>
    <row r="3" spans="1:18" ht="33.75" customHeight="1">
      <c r="A3" s="5" t="s">
        <v>87</v>
      </c>
      <c r="B3" s="5" t="s">
        <v>88</v>
      </c>
      <c r="C3" s="5" t="s">
        <v>89</v>
      </c>
      <c r="D3" s="5" t="s">
        <v>90</v>
      </c>
      <c r="E3" s="5" t="s">
        <v>91</v>
      </c>
      <c r="F3" s="5" t="s">
        <v>3483</v>
      </c>
      <c r="G3" s="5" t="s">
        <v>3484</v>
      </c>
      <c r="H3" s="5" t="s">
        <v>3476</v>
      </c>
      <c r="I3" s="5" t="s">
        <v>3485</v>
      </c>
      <c r="J3" s="5" t="s">
        <v>3486</v>
      </c>
      <c r="K3" s="5" t="s">
        <v>3487</v>
      </c>
      <c r="L3" s="5" t="s">
        <v>3488</v>
      </c>
      <c r="M3" s="5" t="s">
        <v>3489</v>
      </c>
      <c r="N3" s="5" t="s">
        <v>3478</v>
      </c>
      <c r="O3" s="5" t="s">
        <v>3490</v>
      </c>
      <c r="P3" s="5" t="s">
        <v>44</v>
      </c>
      <c r="Q3" s="5" t="s">
        <v>3491</v>
      </c>
      <c r="R3" s="5" t="s">
        <v>3492</v>
      </c>
    </row>
    <row r="4" spans="1:18">
      <c r="A4" s="2" t="s">
        <v>442</v>
      </c>
      <c r="B4" s="4" t="s">
        <v>443</v>
      </c>
      <c r="C4" s="2" t="s">
        <v>444</v>
      </c>
      <c r="D4" s="2" t="s">
        <v>445</v>
      </c>
      <c r="E4" s="2" t="s">
        <v>446</v>
      </c>
      <c r="F4" s="23">
        <v>10</v>
      </c>
      <c r="G4" s="17">
        <f>COUNTIFS('Expense Details'!$B$2:$B$2955,$A4)</f>
        <v>177</v>
      </c>
      <c r="H4" s="12">
        <f>SUMIFS('Expense Details'!$V$2:$V$2955,'Expense Details'!$B$2:$B$2955,$A4)</f>
        <v>28793.899290000001</v>
      </c>
      <c r="I4" s="12">
        <f>SUMIFS('Expense Details'!$V$2:$V$2955,'Expense Details'!$B$2:$B$2955,$A4,'Expense Details'!$O$2:$O$2955,"Airfare")</f>
        <v>14167.041089999999</v>
      </c>
      <c r="J4" s="12">
        <f>SUMIFS('Expense Details'!$V$2:$V$2955,'Expense Details'!$B$2:$B$2955,$A4,'Expense Details'!$O$2:$O$2955,"Hotel / Lodging")</f>
        <v>6455.3002399999996</v>
      </c>
      <c r="K4" s="12">
        <f>SUMIFS('Expense Details'!$V$2:$V$2955,'Expense Details'!$B$2:$B$2955,$A4,'Expense Details'!$O$2:$O$2955,"Meals*")</f>
        <v>3451.147100000001</v>
      </c>
      <c r="L4" s="12">
        <f>SUMIFS('Expense Details'!$V$2:$V$2955,'Expense Details'!$B$2:$B$2955,$A4,'Expense Details'!$O$2:$O$2955,"Ground Transport*")+SUMIFS('Expense Details'!$V$2:$V$2955,'Expense Details'!$B$2:$B$2955,$A4,'Expense Details'!$O$2:$O$2955,"Car Rental")</f>
        <v>2696.8145099999997</v>
      </c>
      <c r="M4" s="12">
        <f>H4-I4-J4-K4-L4</f>
        <v>2023.5963500000021</v>
      </c>
      <c r="N4" s="17">
        <f>COUNTIFS('Expense Details'!$B$2:$B$2955,$A4,'Expense Details'!$AA$2:$AA$2955,"Yes")</f>
        <v>29</v>
      </c>
      <c r="O4" s="17">
        <f>COUNTIFS('Expense Details'!$B$2:$B$2955,$A4,'Expense Details'!$AC$2:$AC$2955,"No")</f>
        <v>16</v>
      </c>
      <c r="P4" s="12">
        <f>SUMIFS('Expense Details'!$AF$2:$AF$2955,'Expense Details'!$B$2:$B$2955,$A4)</f>
        <v>4785.2899900000011</v>
      </c>
      <c r="Q4" s="12">
        <f>IFERROR(H4/F4,0)</f>
        <v>2879.3899289999999</v>
      </c>
      <c r="R4" s="24">
        <f>IFERROR(H4/H$28,0)</f>
        <v>6.0375860317175199E-2</v>
      </c>
    </row>
    <row r="5" spans="1:18">
      <c r="A5" s="2" t="s">
        <v>2399</v>
      </c>
      <c r="B5" s="4" t="s">
        <v>120</v>
      </c>
      <c r="C5" s="2" t="s">
        <v>118</v>
      </c>
      <c r="D5" s="2" t="s">
        <v>2400</v>
      </c>
      <c r="E5" s="2" t="s">
        <v>311</v>
      </c>
      <c r="F5" s="23">
        <v>2</v>
      </c>
      <c r="G5" s="17">
        <f>COUNTIFS('Expense Details'!$B$2:$B$2955,$A5)</f>
        <v>52</v>
      </c>
      <c r="H5" s="12">
        <f>SUMIFS('Expense Details'!$V$2:$V$2955,'Expense Details'!$B$2:$B$2955,$A5)</f>
        <v>9779.0616000000027</v>
      </c>
      <c r="I5" s="12">
        <f>SUMIFS('Expense Details'!$V$2:$V$2955,'Expense Details'!$B$2:$B$2955,$A5,'Expense Details'!$O$2:$O$2955,"Airfare")</f>
        <v>3982.7963</v>
      </c>
      <c r="J5" s="12">
        <f>SUMIFS('Expense Details'!$V$2:$V$2955,'Expense Details'!$B$2:$B$2955,$A5,'Expense Details'!$O$2:$O$2955,"Hotel / Lodging")</f>
        <v>3082.6694500000003</v>
      </c>
      <c r="K5" s="12">
        <f>SUMIFS('Expense Details'!$V$2:$V$2955,'Expense Details'!$B$2:$B$2955,$A5,'Expense Details'!$O$2:$O$2955,"Meals*")</f>
        <v>1251.8187500000001</v>
      </c>
      <c r="L5" s="12">
        <f>SUMIFS('Expense Details'!$V$2:$V$2955,'Expense Details'!$B$2:$B$2955,$A5,'Expense Details'!$O$2:$O$2955,"Ground Transport*")+SUMIFS('Expense Details'!$V$2:$V$2955,'Expense Details'!$B$2:$B$2955,$A5,'Expense Details'!$O$2:$O$2955,"Car Rental")</f>
        <v>995.97575000000006</v>
      </c>
      <c r="M5" s="12">
        <f>H5-I5-J5-K5-L5</f>
        <v>465.80135000000223</v>
      </c>
      <c r="N5" s="17">
        <f>COUNTIFS('Expense Details'!$B$2:$B$2955,$A5,'Expense Details'!$AA$2:$AA$2955,"Yes")</f>
        <v>6</v>
      </c>
      <c r="O5" s="17">
        <f>COUNTIFS('Expense Details'!$B$2:$B$2955,$A5,'Expense Details'!$AC$2:$AC$2955,"No")</f>
        <v>3</v>
      </c>
      <c r="P5" s="12">
        <f>SUMIFS('Expense Details'!$AF$2:$AF$2955,'Expense Details'!$B$2:$B$2955,$A5)</f>
        <v>6680.8983499999995</v>
      </c>
      <c r="Q5" s="12">
        <f>IFERROR(H5/F5,0)</f>
        <v>4889.5308000000014</v>
      </c>
      <c r="R5" s="24">
        <f>IFERROR(H5/H$28,0)</f>
        <v>2.0505012233605402E-2</v>
      </c>
    </row>
    <row r="6" spans="1:18">
      <c r="A6" s="2" t="s">
        <v>375</v>
      </c>
      <c r="B6" s="4" t="s">
        <v>376</v>
      </c>
      <c r="C6" s="2" t="s">
        <v>344</v>
      </c>
      <c r="D6" s="2" t="s">
        <v>377</v>
      </c>
      <c r="E6" s="2" t="s">
        <v>346</v>
      </c>
      <c r="F6" s="23">
        <v>8</v>
      </c>
      <c r="G6" s="17">
        <f>COUNTIFS('Expense Details'!$B$2:$B$2955,$A6)</f>
        <v>184</v>
      </c>
      <c r="H6" s="12">
        <f>SUMIFS('Expense Details'!$V$2:$V$2955,'Expense Details'!$B$2:$B$2955,$A6)</f>
        <v>26987.579609999997</v>
      </c>
      <c r="I6" s="12">
        <f>SUMIFS('Expense Details'!$V$2:$V$2955,'Expense Details'!$B$2:$B$2955,$A6,'Expense Details'!$O$2:$O$2955,"Airfare")</f>
        <v>13234.589400000001</v>
      </c>
      <c r="J6" s="12">
        <f>SUMIFS('Expense Details'!$V$2:$V$2955,'Expense Details'!$B$2:$B$2955,$A6,'Expense Details'!$O$2:$O$2955,"Hotel / Lodging")</f>
        <v>6798.8228500000005</v>
      </c>
      <c r="K6" s="12">
        <f>SUMIFS('Expense Details'!$V$2:$V$2955,'Expense Details'!$B$2:$B$2955,$A6,'Expense Details'!$O$2:$O$2955,"Meals*")</f>
        <v>3773.7167599999998</v>
      </c>
      <c r="L6" s="12">
        <f>SUMIFS('Expense Details'!$V$2:$V$2955,'Expense Details'!$B$2:$B$2955,$A6,'Expense Details'!$O$2:$O$2955,"Ground Transport*")+SUMIFS('Expense Details'!$V$2:$V$2955,'Expense Details'!$B$2:$B$2955,$A6,'Expense Details'!$O$2:$O$2955,"Car Rental")</f>
        <v>2117.3822399999999</v>
      </c>
      <c r="M6" s="12">
        <f>H6-I6-J6-K6-L6</f>
        <v>1063.0683599999961</v>
      </c>
      <c r="N6" s="17">
        <f>COUNTIFS('Expense Details'!$B$2:$B$2955,$A6,'Expense Details'!$AA$2:$AA$2955,"Yes")</f>
        <v>22</v>
      </c>
      <c r="O6" s="17">
        <f>COUNTIFS('Expense Details'!$B$2:$B$2955,$A6,'Expense Details'!$AC$2:$AC$2955,"No")</f>
        <v>20</v>
      </c>
      <c r="P6" s="12">
        <f>SUMIFS('Expense Details'!$AF$2:$AF$2955,'Expense Details'!$B$2:$B$2955,$A6)</f>
        <v>11749.821749999997</v>
      </c>
      <c r="Q6" s="12">
        <f>IFERROR(H6/F6,0)</f>
        <v>3373.4474512499996</v>
      </c>
      <c r="R6" s="24">
        <f>IFERROR(H6/H$28,0)</f>
        <v>5.6588318255245421E-2</v>
      </c>
    </row>
    <row r="7" spans="1:18">
      <c r="A7" s="2" t="s">
        <v>1749</v>
      </c>
      <c r="B7" s="4" t="s">
        <v>1750</v>
      </c>
      <c r="C7" s="2" t="s">
        <v>118</v>
      </c>
      <c r="D7" s="2" t="s">
        <v>119</v>
      </c>
      <c r="E7" s="2" t="s">
        <v>120</v>
      </c>
      <c r="F7" s="23">
        <v>3</v>
      </c>
      <c r="G7" s="17">
        <f>COUNTIFS('Expense Details'!$B$2:$B$2955,$A7)</f>
        <v>60</v>
      </c>
      <c r="H7" s="12">
        <f>SUMIFS('Expense Details'!$V$2:$V$2955,'Expense Details'!$B$2:$B$2955,$A7)</f>
        <v>10124.950630000003</v>
      </c>
      <c r="I7" s="12">
        <f>SUMIFS('Expense Details'!$V$2:$V$2955,'Expense Details'!$B$2:$B$2955,$A7,'Expense Details'!$O$2:$O$2955,"Airfare")</f>
        <v>5574.2692699999998</v>
      </c>
      <c r="J7" s="12">
        <f>SUMIFS('Expense Details'!$V$2:$V$2955,'Expense Details'!$B$2:$B$2955,$A7,'Expense Details'!$O$2:$O$2955,"Hotel / Lodging")</f>
        <v>2035.4770099999998</v>
      </c>
      <c r="K7" s="12">
        <f>SUMIFS('Expense Details'!$V$2:$V$2955,'Expense Details'!$B$2:$B$2955,$A7,'Expense Details'!$O$2:$O$2955,"Meals*")</f>
        <v>1195.5374399999998</v>
      </c>
      <c r="L7" s="12">
        <f>SUMIFS('Expense Details'!$V$2:$V$2955,'Expense Details'!$B$2:$B$2955,$A7,'Expense Details'!$O$2:$O$2955,"Ground Transport*")+SUMIFS('Expense Details'!$V$2:$V$2955,'Expense Details'!$B$2:$B$2955,$A7,'Expense Details'!$O$2:$O$2955,"Car Rental")</f>
        <v>856.47885999999994</v>
      </c>
      <c r="M7" s="12">
        <f>H7-I7-J7-K7-L7</f>
        <v>463.18805000000384</v>
      </c>
      <c r="N7" s="17">
        <f>COUNTIFS('Expense Details'!$B$2:$B$2955,$A7,'Expense Details'!$AA$2:$AA$2955,"Yes")</f>
        <v>4</v>
      </c>
      <c r="O7" s="17">
        <f>COUNTIFS('Expense Details'!$B$2:$B$2955,$A7,'Expense Details'!$AC$2:$AC$2955,"No")</f>
        <v>5</v>
      </c>
      <c r="P7" s="12">
        <f>SUMIFS('Expense Details'!$AF$2:$AF$2955,'Expense Details'!$B$2:$B$2955,$A7)</f>
        <v>1358.02961</v>
      </c>
      <c r="Q7" s="12">
        <f>IFERROR(H7/F7,0)</f>
        <v>3374.9835433333342</v>
      </c>
      <c r="R7" s="24">
        <f>IFERROR(H7/H$28,0)</f>
        <v>2.1230282109359115E-2</v>
      </c>
    </row>
    <row r="8" spans="1:18">
      <c r="A8" s="2" t="s">
        <v>1235</v>
      </c>
      <c r="B8" s="4" t="s">
        <v>867</v>
      </c>
      <c r="C8" s="2" t="s">
        <v>865</v>
      </c>
      <c r="D8" s="2" t="s">
        <v>1236</v>
      </c>
      <c r="E8" s="2" t="s">
        <v>313</v>
      </c>
      <c r="F8" s="23">
        <v>8</v>
      </c>
      <c r="G8" s="17">
        <f>COUNTIFS('Expense Details'!$B$2:$B$2955,$A8)</f>
        <v>158</v>
      </c>
      <c r="H8" s="12">
        <f>SUMIFS('Expense Details'!$V$2:$V$2955,'Expense Details'!$B$2:$B$2955,$A8)</f>
        <v>27893.451069999988</v>
      </c>
      <c r="I8" s="12">
        <f>SUMIFS('Expense Details'!$V$2:$V$2955,'Expense Details'!$B$2:$B$2955,$A8,'Expense Details'!$O$2:$O$2955,"Airfare")</f>
        <v>13592.044530000001</v>
      </c>
      <c r="J8" s="12">
        <f>SUMIFS('Expense Details'!$V$2:$V$2955,'Expense Details'!$B$2:$B$2955,$A8,'Expense Details'!$O$2:$O$2955,"Hotel / Lodging")</f>
        <v>6582.9584400000003</v>
      </c>
      <c r="K8" s="12">
        <f>SUMIFS('Expense Details'!$V$2:$V$2955,'Expense Details'!$B$2:$B$2955,$A8,'Expense Details'!$O$2:$O$2955,"Meals*")</f>
        <v>3075.1555299999986</v>
      </c>
      <c r="L8" s="12">
        <f>SUMIFS('Expense Details'!$V$2:$V$2955,'Expense Details'!$B$2:$B$2955,$A8,'Expense Details'!$O$2:$O$2955,"Ground Transport*")+SUMIFS('Expense Details'!$V$2:$V$2955,'Expense Details'!$B$2:$B$2955,$A8,'Expense Details'!$O$2:$O$2955,"Car Rental")</f>
        <v>1387.1193799999999</v>
      </c>
      <c r="M8" s="12">
        <f>H8-I8-J8-K8-L8</f>
        <v>3256.1731899999886</v>
      </c>
      <c r="N8" s="17">
        <f>COUNTIFS('Expense Details'!$B$2:$B$2955,$A8,'Expense Details'!$AA$2:$AA$2955,"Yes")</f>
        <v>20</v>
      </c>
      <c r="O8" s="17">
        <f>COUNTIFS('Expense Details'!$B$2:$B$2955,$A8,'Expense Details'!$AC$2:$AC$2955,"No")</f>
        <v>18</v>
      </c>
      <c r="P8" s="12">
        <f>SUMIFS('Expense Details'!$AF$2:$AF$2955,'Expense Details'!$B$2:$B$2955,$A8)</f>
        <v>13608.104130000002</v>
      </c>
      <c r="Q8" s="12">
        <f>IFERROR(H8/F8,0)</f>
        <v>3486.6813837499985</v>
      </c>
      <c r="R8" s="24">
        <f>IFERROR(H8/H$28,0)</f>
        <v>5.848777508752203E-2</v>
      </c>
    </row>
    <row r="9" spans="1:18">
      <c r="A9" s="2" t="s">
        <v>743</v>
      </c>
      <c r="B9" s="4" t="s">
        <v>313</v>
      </c>
      <c r="C9" s="2" t="s">
        <v>744</v>
      </c>
      <c r="D9" s="2" t="s">
        <v>745</v>
      </c>
      <c r="E9" s="2" t="s">
        <v>746</v>
      </c>
      <c r="F9" s="23">
        <v>3</v>
      </c>
      <c r="G9" s="17">
        <f>COUNTIFS('Expense Details'!$B$2:$B$2955,$A9)</f>
        <v>49</v>
      </c>
      <c r="H9" s="12">
        <f>SUMIFS('Expense Details'!$V$2:$V$2955,'Expense Details'!$B$2:$B$2955,$A9)</f>
        <v>7241.4837999999991</v>
      </c>
      <c r="I9" s="12">
        <f>SUMIFS('Expense Details'!$V$2:$V$2955,'Expense Details'!$B$2:$B$2955,$A9,'Expense Details'!$O$2:$O$2955,"Airfare")</f>
        <v>3388.3818000000001</v>
      </c>
      <c r="J9" s="12">
        <f>SUMIFS('Expense Details'!$V$2:$V$2955,'Expense Details'!$B$2:$B$2955,$A9,'Expense Details'!$O$2:$O$2955,"Hotel / Lodging")</f>
        <v>2044.1077500000001</v>
      </c>
      <c r="K9" s="12">
        <f>SUMIFS('Expense Details'!$V$2:$V$2955,'Expense Details'!$B$2:$B$2955,$A9,'Expense Details'!$O$2:$O$2955,"Meals*")</f>
        <v>1140.0865500000002</v>
      </c>
      <c r="L9" s="12">
        <f>SUMIFS('Expense Details'!$V$2:$V$2955,'Expense Details'!$B$2:$B$2955,$A9,'Expense Details'!$O$2:$O$2955,"Ground Transport*")+SUMIFS('Expense Details'!$V$2:$V$2955,'Expense Details'!$B$2:$B$2955,$A9,'Expense Details'!$O$2:$O$2955,"Car Rental")</f>
        <v>300.07279999999997</v>
      </c>
      <c r="M9" s="12">
        <f>H9-I9-J9-K9-L9</f>
        <v>368.83489999999864</v>
      </c>
      <c r="N9" s="17">
        <f>COUNTIFS('Expense Details'!$B$2:$B$2955,$A9,'Expense Details'!$AA$2:$AA$2955,"Yes")</f>
        <v>5</v>
      </c>
      <c r="O9" s="17">
        <f>COUNTIFS('Expense Details'!$B$2:$B$2955,$A9,'Expense Details'!$AC$2:$AC$2955,"No")</f>
        <v>3</v>
      </c>
      <c r="P9" s="12">
        <f>SUMIFS('Expense Details'!$AF$2:$AF$2955,'Expense Details'!$B$2:$B$2955,$A9)</f>
        <v>2717.2594499999996</v>
      </c>
      <c r="Q9" s="12">
        <f>IFERROR(H9/F9,0)</f>
        <v>2413.827933333333</v>
      </c>
      <c r="R9" s="24">
        <f>IFERROR(H9/H$28,0)</f>
        <v>1.5184147516613995E-2</v>
      </c>
    </row>
    <row r="10" spans="1:18">
      <c r="A10" s="2" t="s">
        <v>1155</v>
      </c>
      <c r="B10" s="4" t="s">
        <v>1156</v>
      </c>
      <c r="C10" s="2" t="s">
        <v>118</v>
      </c>
      <c r="D10" s="2" t="s">
        <v>119</v>
      </c>
      <c r="E10" s="2" t="s">
        <v>311</v>
      </c>
      <c r="F10" s="23">
        <v>2</v>
      </c>
      <c r="G10" s="17">
        <f>COUNTIFS('Expense Details'!$B$2:$B$2955,$A10)</f>
        <v>27</v>
      </c>
      <c r="H10" s="12">
        <f>SUMIFS('Expense Details'!$V$2:$V$2955,'Expense Details'!$B$2:$B$2955,$A10)</f>
        <v>3379.1105559999992</v>
      </c>
      <c r="I10" s="12">
        <f>SUMIFS('Expense Details'!$V$2:$V$2955,'Expense Details'!$B$2:$B$2955,$A10,'Expense Details'!$O$2:$O$2955,"Airfare")</f>
        <v>1848.2821359999998</v>
      </c>
      <c r="J10" s="12">
        <f>SUMIFS('Expense Details'!$V$2:$V$2955,'Expense Details'!$B$2:$B$2955,$A10,'Expense Details'!$O$2:$O$2955,"Hotel / Lodging")</f>
        <v>579.04660999999999</v>
      </c>
      <c r="K10" s="12">
        <f>SUMIFS('Expense Details'!$V$2:$V$2955,'Expense Details'!$B$2:$B$2955,$A10,'Expense Details'!$O$2:$O$2955,"Meals*")</f>
        <v>613.23820000000001</v>
      </c>
      <c r="L10" s="12">
        <f>SUMIFS('Expense Details'!$V$2:$V$2955,'Expense Details'!$B$2:$B$2955,$A10,'Expense Details'!$O$2:$O$2955,"Ground Transport*")+SUMIFS('Expense Details'!$V$2:$V$2955,'Expense Details'!$B$2:$B$2955,$A10,'Expense Details'!$O$2:$O$2955,"Car Rental")</f>
        <v>195.52465000000001</v>
      </c>
      <c r="M10" s="12">
        <f>H10-I10-J10-K10-L10</f>
        <v>143.01895999999937</v>
      </c>
      <c r="N10" s="17">
        <f>COUNTIFS('Expense Details'!$B$2:$B$2955,$A10,'Expense Details'!$AA$2:$AA$2955,"Yes")</f>
        <v>3</v>
      </c>
      <c r="O10" s="17">
        <f>COUNTIFS('Expense Details'!$B$2:$B$2955,$A10,'Expense Details'!$AC$2:$AC$2955,"No")</f>
        <v>2</v>
      </c>
      <c r="P10" s="12">
        <f>SUMIFS('Expense Details'!$AF$2:$AF$2955,'Expense Details'!$B$2:$B$2955,$A10)</f>
        <v>1466.8698449999999</v>
      </c>
      <c r="Q10" s="12">
        <f>IFERROR(H10/F10,0)</f>
        <v>1689.5552779999996</v>
      </c>
      <c r="R10" s="24">
        <f>IFERROR(H10/H$28,0)</f>
        <v>7.0854143397036298E-3</v>
      </c>
    </row>
    <row r="11" spans="1:18">
      <c r="A11" s="2" t="s">
        <v>2212</v>
      </c>
      <c r="B11" s="4" t="s">
        <v>346</v>
      </c>
      <c r="C11" s="2" t="s">
        <v>344</v>
      </c>
      <c r="D11" s="2" t="s">
        <v>2213</v>
      </c>
      <c r="E11" s="2" t="s">
        <v>313</v>
      </c>
      <c r="F11" s="23">
        <v>7</v>
      </c>
      <c r="G11" s="17">
        <f>COUNTIFS('Expense Details'!$B$2:$B$2955,$A11)</f>
        <v>165</v>
      </c>
      <c r="H11" s="12">
        <f>SUMIFS('Expense Details'!$V$2:$V$2955,'Expense Details'!$B$2:$B$2955,$A11)</f>
        <v>20673.856039999999</v>
      </c>
      <c r="I11" s="12">
        <f>SUMIFS('Expense Details'!$V$2:$V$2955,'Expense Details'!$B$2:$B$2955,$A11,'Expense Details'!$O$2:$O$2955,"Airfare")</f>
        <v>6876.66302</v>
      </c>
      <c r="J11" s="12">
        <f>SUMIFS('Expense Details'!$V$2:$V$2955,'Expense Details'!$B$2:$B$2955,$A11,'Expense Details'!$O$2:$O$2955,"Hotel / Lodging")</f>
        <v>5333.8525200000004</v>
      </c>
      <c r="K11" s="12">
        <f>SUMIFS('Expense Details'!$V$2:$V$2955,'Expense Details'!$B$2:$B$2955,$A11,'Expense Details'!$O$2:$O$2955,"Meals*")</f>
        <v>3288.6768099999999</v>
      </c>
      <c r="L11" s="12">
        <f>SUMIFS('Expense Details'!$V$2:$V$2955,'Expense Details'!$B$2:$B$2955,$A11,'Expense Details'!$O$2:$O$2955,"Ground Transport*")+SUMIFS('Expense Details'!$V$2:$V$2955,'Expense Details'!$B$2:$B$2955,$A11,'Expense Details'!$O$2:$O$2955,"Car Rental")</f>
        <v>3364.0694400000002</v>
      </c>
      <c r="M11" s="12">
        <f>H11-I11-J11-K11-L11</f>
        <v>1810.5942499999983</v>
      </c>
      <c r="N11" s="17">
        <f>COUNTIFS('Expense Details'!$B$2:$B$2955,$A11,'Expense Details'!$AA$2:$AA$2955,"Yes")</f>
        <v>14</v>
      </c>
      <c r="O11" s="17">
        <f>COUNTIFS('Expense Details'!$B$2:$B$2955,$A11,'Expense Details'!$AC$2:$AC$2955,"No")</f>
        <v>13</v>
      </c>
      <c r="P11" s="12">
        <f>SUMIFS('Expense Details'!$AF$2:$AF$2955,'Expense Details'!$B$2:$B$2955,$A11)</f>
        <v>5258.2279099999996</v>
      </c>
      <c r="Q11" s="12">
        <f>IFERROR(H11/F11,0)</f>
        <v>2953.4080057142855</v>
      </c>
      <c r="R11" s="24">
        <f>IFERROR(H11/H$28,0)</f>
        <v>4.3349524561333862E-2</v>
      </c>
    </row>
    <row r="12" spans="1:18">
      <c r="A12" s="2" t="s">
        <v>597</v>
      </c>
      <c r="B12" s="4" t="s">
        <v>598</v>
      </c>
      <c r="C12" s="2" t="s">
        <v>414</v>
      </c>
      <c r="D12" s="2" t="s">
        <v>599</v>
      </c>
      <c r="E12" s="2" t="s">
        <v>413</v>
      </c>
      <c r="F12" s="23">
        <v>3</v>
      </c>
      <c r="G12" s="17">
        <f>COUNTIFS('Expense Details'!$B$2:$B$2955,$A12)</f>
        <v>52</v>
      </c>
      <c r="H12" s="12">
        <f>SUMIFS('Expense Details'!$V$2:$V$2955,'Expense Details'!$B$2:$B$2955,$A12)</f>
        <v>8421.8617399999985</v>
      </c>
      <c r="I12" s="12">
        <f>SUMIFS('Expense Details'!$V$2:$V$2955,'Expense Details'!$B$2:$B$2955,$A12,'Expense Details'!$O$2:$O$2955,"Airfare")</f>
        <v>3929.09076</v>
      </c>
      <c r="J12" s="12">
        <f>SUMIFS('Expense Details'!$V$2:$V$2955,'Expense Details'!$B$2:$B$2955,$A12,'Expense Details'!$O$2:$O$2955,"Hotel / Lodging")</f>
        <v>1928.3654799999999</v>
      </c>
      <c r="K12" s="12">
        <f>SUMIFS('Expense Details'!$V$2:$V$2955,'Expense Details'!$B$2:$B$2955,$A12,'Expense Details'!$O$2:$O$2955,"Meals*")</f>
        <v>1004.3143200000001</v>
      </c>
      <c r="L12" s="12">
        <f>SUMIFS('Expense Details'!$V$2:$V$2955,'Expense Details'!$B$2:$B$2955,$A12,'Expense Details'!$O$2:$O$2955,"Ground Transport*")+SUMIFS('Expense Details'!$V$2:$V$2955,'Expense Details'!$B$2:$B$2955,$A12,'Expense Details'!$O$2:$O$2955,"Car Rental")</f>
        <v>613.02197000000001</v>
      </c>
      <c r="M12" s="12">
        <f>H12-I12-J12-K12-L12</f>
        <v>947.06920999999852</v>
      </c>
      <c r="N12" s="17">
        <f>COUNTIFS('Expense Details'!$B$2:$B$2955,$A12,'Expense Details'!$AA$2:$AA$2955,"Yes")</f>
        <v>6</v>
      </c>
      <c r="O12" s="17">
        <f>COUNTIFS('Expense Details'!$B$2:$B$2955,$A12,'Expense Details'!$AC$2:$AC$2955,"No")</f>
        <v>6</v>
      </c>
      <c r="P12" s="12">
        <f>SUMIFS('Expense Details'!$AF$2:$AF$2955,'Expense Details'!$B$2:$B$2955,$A12)</f>
        <v>4661.6605799999998</v>
      </c>
      <c r="Q12" s="12">
        <f>IFERROR(H12/F12,0)</f>
        <v>2807.2872466666663</v>
      </c>
      <c r="R12" s="24">
        <f>IFERROR(H12/H$28,0)</f>
        <v>1.7659197280077796E-2</v>
      </c>
    </row>
    <row r="13" spans="1:18">
      <c r="A13" s="2" t="s">
        <v>412</v>
      </c>
      <c r="B13" s="4" t="s">
        <v>413</v>
      </c>
      <c r="C13" s="2" t="s">
        <v>414</v>
      </c>
      <c r="D13" s="2" t="s">
        <v>415</v>
      </c>
      <c r="E13" s="2" t="s">
        <v>313</v>
      </c>
      <c r="F13" s="23">
        <v>5</v>
      </c>
      <c r="G13" s="17">
        <f>COUNTIFS('Expense Details'!$B$2:$B$2955,$A13)</f>
        <v>92</v>
      </c>
      <c r="H13" s="12">
        <f>SUMIFS('Expense Details'!$V$2:$V$2955,'Expense Details'!$B$2:$B$2955,$A13)</f>
        <v>16402.287819999998</v>
      </c>
      <c r="I13" s="12">
        <f>SUMIFS('Expense Details'!$V$2:$V$2955,'Expense Details'!$B$2:$B$2955,$A13,'Expense Details'!$O$2:$O$2955,"Airfare")</f>
        <v>9156.1619200000005</v>
      </c>
      <c r="J13" s="12">
        <f>SUMIFS('Expense Details'!$V$2:$V$2955,'Expense Details'!$B$2:$B$2955,$A13,'Expense Details'!$O$2:$O$2955,"Hotel / Lodging")</f>
        <v>3058.0001900000002</v>
      </c>
      <c r="K13" s="12">
        <f>SUMIFS('Expense Details'!$V$2:$V$2955,'Expense Details'!$B$2:$B$2955,$A13,'Expense Details'!$O$2:$O$2955,"Meals*")</f>
        <v>1734.37554</v>
      </c>
      <c r="L13" s="12">
        <f>SUMIFS('Expense Details'!$V$2:$V$2955,'Expense Details'!$B$2:$B$2955,$A13,'Expense Details'!$O$2:$O$2955,"Ground Transport*")+SUMIFS('Expense Details'!$V$2:$V$2955,'Expense Details'!$B$2:$B$2955,$A13,'Expense Details'!$O$2:$O$2955,"Car Rental")</f>
        <v>938.56961000000013</v>
      </c>
      <c r="M13" s="12">
        <f>H13-I13-J13-K13-L13</f>
        <v>1515.1805599999966</v>
      </c>
      <c r="N13" s="17">
        <f>COUNTIFS('Expense Details'!$B$2:$B$2955,$A13,'Expense Details'!$AA$2:$AA$2955,"Yes")</f>
        <v>14</v>
      </c>
      <c r="O13" s="17">
        <f>COUNTIFS('Expense Details'!$B$2:$B$2955,$A13,'Expense Details'!$AC$2:$AC$2955,"No")</f>
        <v>10</v>
      </c>
      <c r="P13" s="12">
        <f>SUMIFS('Expense Details'!$AF$2:$AF$2955,'Expense Details'!$B$2:$B$2955,$A13)</f>
        <v>5189.9850400000005</v>
      </c>
      <c r="Q13" s="12">
        <f>IFERROR(H13/F13,0)</f>
        <v>3280.4575639999994</v>
      </c>
      <c r="R13" s="24">
        <f>IFERROR(H13/H$28,0)</f>
        <v>3.4392779815214249E-2</v>
      </c>
    </row>
    <row r="14" spans="1:18">
      <c r="A14" s="2" t="s">
        <v>550</v>
      </c>
      <c r="B14" s="4" t="s">
        <v>551</v>
      </c>
      <c r="C14" s="2" t="s">
        <v>171</v>
      </c>
      <c r="D14" s="2" t="s">
        <v>172</v>
      </c>
      <c r="E14" s="2" t="s">
        <v>173</v>
      </c>
      <c r="F14" s="23">
        <v>8</v>
      </c>
      <c r="G14" s="17">
        <f>COUNTIFS('Expense Details'!$B$2:$B$2955,$A14)</f>
        <v>163</v>
      </c>
      <c r="H14" s="12">
        <f>SUMIFS('Expense Details'!$V$2:$V$2955,'Expense Details'!$B$2:$B$2955,$A14)</f>
        <v>31010.728109999989</v>
      </c>
      <c r="I14" s="12">
        <f>SUMIFS('Expense Details'!$V$2:$V$2955,'Expense Details'!$B$2:$B$2955,$A14,'Expense Details'!$O$2:$O$2955,"Airfare")</f>
        <v>14829.36031</v>
      </c>
      <c r="J14" s="12">
        <f>SUMIFS('Expense Details'!$V$2:$V$2955,'Expense Details'!$B$2:$B$2955,$A14,'Expense Details'!$O$2:$O$2955,"Hotel / Lodging")</f>
        <v>6106.77772</v>
      </c>
      <c r="K14" s="12">
        <f>SUMIFS('Expense Details'!$V$2:$V$2955,'Expense Details'!$B$2:$B$2955,$A14,'Expense Details'!$O$2:$O$2955,"Meals*")</f>
        <v>3619.6348100000027</v>
      </c>
      <c r="L14" s="12">
        <f>SUMIFS('Expense Details'!$V$2:$V$2955,'Expense Details'!$B$2:$B$2955,$A14,'Expense Details'!$O$2:$O$2955,"Ground Transport*")+SUMIFS('Expense Details'!$V$2:$V$2955,'Expense Details'!$B$2:$B$2955,$A14,'Expense Details'!$O$2:$O$2955,"Car Rental")</f>
        <v>1875.2454699999998</v>
      </c>
      <c r="M14" s="12">
        <f>H14-I14-J14-K14-L14</f>
        <v>4579.709799999986</v>
      </c>
      <c r="N14" s="17">
        <f>COUNTIFS('Expense Details'!$B$2:$B$2955,$A14,'Expense Details'!$AA$2:$AA$2955,"Yes")</f>
        <v>24</v>
      </c>
      <c r="O14" s="17">
        <f>COUNTIFS('Expense Details'!$B$2:$B$2955,$A14,'Expense Details'!$AC$2:$AC$2955,"No")</f>
        <v>11</v>
      </c>
      <c r="P14" s="12">
        <f>SUMIFS('Expense Details'!$AF$2:$AF$2955,'Expense Details'!$B$2:$B$2955,$A14)</f>
        <v>18000.694609999999</v>
      </c>
      <c r="Q14" s="12">
        <f>IFERROR(H14/F14,0)</f>
        <v>3876.3410137499986</v>
      </c>
      <c r="R14" s="24">
        <f>IFERROR(H14/H$28,0)</f>
        <v>6.5024169524462411E-2</v>
      </c>
    </row>
    <row r="15" spans="1:18">
      <c r="A15" s="2" t="s">
        <v>342</v>
      </c>
      <c r="B15" s="4" t="s">
        <v>343</v>
      </c>
      <c r="C15" s="2" t="s">
        <v>344</v>
      </c>
      <c r="D15" s="2" t="s">
        <v>345</v>
      </c>
      <c r="E15" s="2" t="s">
        <v>346</v>
      </c>
      <c r="F15" s="23">
        <v>5</v>
      </c>
      <c r="G15" s="17">
        <f>COUNTIFS('Expense Details'!$B$2:$B$2955,$A15)</f>
        <v>111</v>
      </c>
      <c r="H15" s="12">
        <f>SUMIFS('Expense Details'!$V$2:$V$2955,'Expense Details'!$B$2:$B$2955,$A15)</f>
        <v>18037.076567999993</v>
      </c>
      <c r="I15" s="12">
        <f>SUMIFS('Expense Details'!$V$2:$V$2955,'Expense Details'!$B$2:$B$2955,$A15,'Expense Details'!$O$2:$O$2955,"Airfare")</f>
        <v>6454.8435609999997</v>
      </c>
      <c r="J15" s="12">
        <f>SUMIFS('Expense Details'!$V$2:$V$2955,'Expense Details'!$B$2:$B$2955,$A15,'Expense Details'!$O$2:$O$2955,"Hotel / Lodging")</f>
        <v>6604.9785249999995</v>
      </c>
      <c r="K15" s="12">
        <f>SUMIFS('Expense Details'!$V$2:$V$2955,'Expense Details'!$B$2:$B$2955,$A15,'Expense Details'!$O$2:$O$2955,"Meals*")</f>
        <v>2389.5842099999995</v>
      </c>
      <c r="L15" s="12">
        <f>SUMIFS('Expense Details'!$V$2:$V$2955,'Expense Details'!$B$2:$B$2955,$A15,'Expense Details'!$O$2:$O$2955,"Ground Transport*")+SUMIFS('Expense Details'!$V$2:$V$2955,'Expense Details'!$B$2:$B$2955,$A15,'Expense Details'!$O$2:$O$2955,"Car Rental")</f>
        <v>2367.2175569999999</v>
      </c>
      <c r="M15" s="12">
        <f>H15-I15-J15-K15-L15</f>
        <v>220.45271499999444</v>
      </c>
      <c r="N15" s="17">
        <f>COUNTIFS('Expense Details'!$B$2:$B$2955,$A15,'Expense Details'!$AA$2:$AA$2955,"Yes")</f>
        <v>14</v>
      </c>
      <c r="O15" s="17">
        <f>COUNTIFS('Expense Details'!$B$2:$B$2955,$A15,'Expense Details'!$AC$2:$AC$2955,"No")</f>
        <v>14</v>
      </c>
      <c r="P15" s="12">
        <f>SUMIFS('Expense Details'!$AF$2:$AF$2955,'Expense Details'!$B$2:$B$2955,$A15)</f>
        <v>10842.149365999996</v>
      </c>
      <c r="Q15" s="12">
        <f>IFERROR(H15/F15,0)</f>
        <v>3607.4153135999986</v>
      </c>
      <c r="R15" s="24">
        <f>IFERROR(H15/H$28,0)</f>
        <v>3.7820650979979213E-2</v>
      </c>
    </row>
    <row r="16" spans="1:18">
      <c r="A16" s="2" t="s">
        <v>248</v>
      </c>
      <c r="B16" s="4" t="s">
        <v>249</v>
      </c>
      <c r="C16" s="2" t="s">
        <v>250</v>
      </c>
      <c r="D16" s="2" t="s">
        <v>251</v>
      </c>
      <c r="E16" s="2" t="s">
        <v>252</v>
      </c>
      <c r="F16" s="23">
        <v>4</v>
      </c>
      <c r="G16" s="17">
        <f>COUNTIFS('Expense Details'!$B$2:$B$2955,$A16)</f>
        <v>120</v>
      </c>
      <c r="H16" s="12">
        <f>SUMIFS('Expense Details'!$V$2:$V$2955,'Expense Details'!$B$2:$B$2955,$A16)</f>
        <v>17231.095080000003</v>
      </c>
      <c r="I16" s="12">
        <f>SUMIFS('Expense Details'!$V$2:$V$2955,'Expense Details'!$B$2:$B$2955,$A16,'Expense Details'!$O$2:$O$2955,"Airfare")</f>
        <v>4972.5295900000001</v>
      </c>
      <c r="J16" s="12">
        <f>SUMIFS('Expense Details'!$V$2:$V$2955,'Expense Details'!$B$2:$B$2955,$A16,'Expense Details'!$O$2:$O$2955,"Hotel / Lodging")</f>
        <v>5597.7117099999996</v>
      </c>
      <c r="K16" s="12">
        <f>SUMIFS('Expense Details'!$V$2:$V$2955,'Expense Details'!$B$2:$B$2955,$A16,'Expense Details'!$O$2:$O$2955,"Meals*")</f>
        <v>2659.3290999999995</v>
      </c>
      <c r="L16" s="12">
        <f>SUMIFS('Expense Details'!$V$2:$V$2955,'Expense Details'!$B$2:$B$2955,$A16,'Expense Details'!$O$2:$O$2955,"Ground Transport*")+SUMIFS('Expense Details'!$V$2:$V$2955,'Expense Details'!$B$2:$B$2955,$A16,'Expense Details'!$O$2:$O$2955,"Car Rental")</f>
        <v>1637.75963</v>
      </c>
      <c r="M16" s="12">
        <f>H16-I16-J16-K16-L16</f>
        <v>2363.7650500000036</v>
      </c>
      <c r="N16" s="17">
        <f>COUNTIFS('Expense Details'!$B$2:$B$2955,$A16,'Expense Details'!$AA$2:$AA$2955,"Yes")</f>
        <v>13</v>
      </c>
      <c r="O16" s="17">
        <f>COUNTIFS('Expense Details'!$B$2:$B$2955,$A16,'Expense Details'!$AC$2:$AC$2955,"No")</f>
        <v>5</v>
      </c>
      <c r="P16" s="12">
        <f>SUMIFS('Expense Details'!$AF$2:$AF$2955,'Expense Details'!$B$2:$B$2955,$A16)</f>
        <v>5472.6610999999994</v>
      </c>
      <c r="Q16" s="12">
        <f>IFERROR(H16/F16,0)</f>
        <v>4307.7737700000007</v>
      </c>
      <c r="R16" s="24">
        <f>IFERROR(H16/H$28,0)</f>
        <v>3.6130646258923024E-2</v>
      </c>
    </row>
    <row r="17" spans="1:18">
      <c r="A17" s="2" t="s">
        <v>310</v>
      </c>
      <c r="B17" s="4" t="s">
        <v>311</v>
      </c>
      <c r="C17" s="2" t="s">
        <v>118</v>
      </c>
      <c r="D17" s="2" t="s">
        <v>312</v>
      </c>
      <c r="E17" s="2" t="s">
        <v>313</v>
      </c>
      <c r="F17" s="23">
        <v>6</v>
      </c>
      <c r="G17" s="17">
        <f>COUNTIFS('Expense Details'!$B$2:$B$2955,$A17)</f>
        <v>132</v>
      </c>
      <c r="H17" s="12">
        <f>SUMIFS('Expense Details'!$V$2:$V$2955,'Expense Details'!$B$2:$B$2955,$A17)</f>
        <v>21162.177832999994</v>
      </c>
      <c r="I17" s="12">
        <f>SUMIFS('Expense Details'!$V$2:$V$2955,'Expense Details'!$B$2:$B$2955,$A17,'Expense Details'!$O$2:$O$2955,"Airfare")</f>
        <v>9083.6914470000011</v>
      </c>
      <c r="J17" s="12">
        <f>SUMIFS('Expense Details'!$V$2:$V$2955,'Expense Details'!$B$2:$B$2955,$A17,'Expense Details'!$O$2:$O$2955,"Hotel / Lodging")</f>
        <v>4969.492204000001</v>
      </c>
      <c r="K17" s="12">
        <f>SUMIFS('Expense Details'!$V$2:$V$2955,'Expense Details'!$B$2:$B$2955,$A17,'Expense Details'!$O$2:$O$2955,"Meals*")</f>
        <v>2369.4168730000006</v>
      </c>
      <c r="L17" s="12">
        <f>SUMIFS('Expense Details'!$V$2:$V$2955,'Expense Details'!$B$2:$B$2955,$A17,'Expense Details'!$O$2:$O$2955,"Ground Transport*")+SUMIFS('Expense Details'!$V$2:$V$2955,'Expense Details'!$B$2:$B$2955,$A17,'Expense Details'!$O$2:$O$2955,"Car Rental")</f>
        <v>2302.4816300000002</v>
      </c>
      <c r="M17" s="12">
        <f>H17-I17-J17-K17-L17</f>
        <v>2437.0956789999909</v>
      </c>
      <c r="N17" s="17">
        <f>COUNTIFS('Expense Details'!$B$2:$B$2955,$A17,'Expense Details'!$AA$2:$AA$2955,"Yes")</f>
        <v>9</v>
      </c>
      <c r="O17" s="17">
        <f>COUNTIFS('Expense Details'!$B$2:$B$2955,$A17,'Expense Details'!$AC$2:$AC$2955,"No")</f>
        <v>5</v>
      </c>
      <c r="P17" s="12">
        <f>SUMIFS('Expense Details'!$AF$2:$AF$2955,'Expense Details'!$B$2:$B$2955,$A17)</f>
        <v>8066.3458929999988</v>
      </c>
      <c r="Q17" s="12">
        <f>IFERROR(H17/F17,0)</f>
        <v>3527.0296388333322</v>
      </c>
      <c r="R17" s="24">
        <f>IFERROR(H17/H$28,0)</f>
        <v>4.4373451472623698E-2</v>
      </c>
    </row>
    <row r="18" spans="1:18">
      <c r="A18" s="2" t="s">
        <v>863</v>
      </c>
      <c r="B18" s="4" t="s">
        <v>864</v>
      </c>
      <c r="C18" s="2" t="s">
        <v>865</v>
      </c>
      <c r="D18" s="2" t="s">
        <v>866</v>
      </c>
      <c r="E18" s="2" t="s">
        <v>867</v>
      </c>
      <c r="F18" s="23">
        <v>8</v>
      </c>
      <c r="G18" s="17">
        <f>COUNTIFS('Expense Details'!$B$2:$B$2955,$A18)</f>
        <v>165</v>
      </c>
      <c r="H18" s="12">
        <f>SUMIFS('Expense Details'!$V$2:$V$2955,'Expense Details'!$B$2:$B$2955,$A18)</f>
        <v>30329.809190000004</v>
      </c>
      <c r="I18" s="12">
        <f>SUMIFS('Expense Details'!$V$2:$V$2955,'Expense Details'!$B$2:$B$2955,$A18,'Expense Details'!$O$2:$O$2955,"Airfare")</f>
        <v>16302.430770000001</v>
      </c>
      <c r="J18" s="12">
        <f>SUMIFS('Expense Details'!$V$2:$V$2955,'Expense Details'!$B$2:$B$2955,$A18,'Expense Details'!$O$2:$O$2955,"Hotel / Lodging")</f>
        <v>6255.0681999999997</v>
      </c>
      <c r="K18" s="12">
        <f>SUMIFS('Expense Details'!$V$2:$V$2955,'Expense Details'!$B$2:$B$2955,$A18,'Expense Details'!$O$2:$O$2955,"Meals*")</f>
        <v>3569.0966699999999</v>
      </c>
      <c r="L18" s="12">
        <f>SUMIFS('Expense Details'!$V$2:$V$2955,'Expense Details'!$B$2:$B$2955,$A18,'Expense Details'!$O$2:$O$2955,"Ground Transport*")+SUMIFS('Expense Details'!$V$2:$V$2955,'Expense Details'!$B$2:$B$2955,$A18,'Expense Details'!$O$2:$O$2955,"Car Rental")</f>
        <v>1349.9894999999999</v>
      </c>
      <c r="M18" s="12">
        <f>H18-I18-J18-K18-L18</f>
        <v>2853.2240500000034</v>
      </c>
      <c r="N18" s="17">
        <f>COUNTIFS('Expense Details'!$B$2:$B$2955,$A18,'Expense Details'!$AA$2:$AA$2955,"Yes")</f>
        <v>19</v>
      </c>
      <c r="O18" s="17">
        <f>COUNTIFS('Expense Details'!$B$2:$B$2955,$A18,'Expense Details'!$AC$2:$AC$2955,"No")</f>
        <v>12</v>
      </c>
      <c r="P18" s="12">
        <f>SUMIFS('Expense Details'!$AF$2:$AF$2955,'Expense Details'!$B$2:$B$2955,$A18)</f>
        <v>8501.1388100000004</v>
      </c>
      <c r="Q18" s="12">
        <f>IFERROR(H18/F18,0)</f>
        <v>3791.2261487500004</v>
      </c>
      <c r="R18" s="24">
        <f>IFERROR(H18/H$28,0)</f>
        <v>6.3596399524047123E-2</v>
      </c>
    </row>
    <row r="19" spans="1:18">
      <c r="A19" s="2" t="s">
        <v>770</v>
      </c>
      <c r="B19" s="4" t="s">
        <v>771</v>
      </c>
      <c r="C19" s="2" t="s">
        <v>414</v>
      </c>
      <c r="D19" s="2" t="s">
        <v>772</v>
      </c>
      <c r="E19" s="2" t="s">
        <v>413</v>
      </c>
      <c r="F19" s="23">
        <v>5</v>
      </c>
      <c r="G19" s="17">
        <f>COUNTIFS('Expense Details'!$B$2:$B$2955,$A19)</f>
        <v>111</v>
      </c>
      <c r="H19" s="12">
        <f>SUMIFS('Expense Details'!$V$2:$V$2955,'Expense Details'!$B$2:$B$2955,$A19)</f>
        <v>15665.754530000009</v>
      </c>
      <c r="I19" s="12">
        <f>SUMIFS('Expense Details'!$V$2:$V$2955,'Expense Details'!$B$2:$B$2955,$A19,'Expense Details'!$O$2:$O$2955,"Airfare")</f>
        <v>6903.5720099999999</v>
      </c>
      <c r="J19" s="12">
        <f>SUMIFS('Expense Details'!$V$2:$V$2955,'Expense Details'!$B$2:$B$2955,$A19,'Expense Details'!$O$2:$O$2955,"Hotel / Lodging")</f>
        <v>3688.68516</v>
      </c>
      <c r="K19" s="12">
        <f>SUMIFS('Expense Details'!$V$2:$V$2955,'Expense Details'!$B$2:$B$2955,$A19,'Expense Details'!$O$2:$O$2955,"Meals*")</f>
        <v>2062.9052199999996</v>
      </c>
      <c r="L19" s="12">
        <f>SUMIFS('Expense Details'!$V$2:$V$2955,'Expense Details'!$B$2:$B$2955,$A19,'Expense Details'!$O$2:$O$2955,"Ground Transport*")+SUMIFS('Expense Details'!$V$2:$V$2955,'Expense Details'!$B$2:$B$2955,$A19,'Expense Details'!$O$2:$O$2955,"Car Rental")</f>
        <v>2165.8307399999999</v>
      </c>
      <c r="M19" s="12">
        <f>H19-I19-J19-K19-L19</f>
        <v>844.76140000000987</v>
      </c>
      <c r="N19" s="17">
        <f>COUNTIFS('Expense Details'!$B$2:$B$2955,$A19,'Expense Details'!$AA$2:$AA$2955,"Yes")</f>
        <v>9</v>
      </c>
      <c r="O19" s="17">
        <f>COUNTIFS('Expense Details'!$B$2:$B$2955,$A19,'Expense Details'!$AC$2:$AC$2955,"No")</f>
        <v>6</v>
      </c>
      <c r="P19" s="12">
        <f>SUMIFS('Expense Details'!$AF$2:$AF$2955,'Expense Details'!$B$2:$B$2955,$A19)</f>
        <v>7028.6388799999995</v>
      </c>
      <c r="Q19" s="12">
        <f>IFERROR(H19/F19,0)</f>
        <v>3133.1509060000017</v>
      </c>
      <c r="R19" s="24">
        <f>IFERROR(H19/H$28,0)</f>
        <v>3.2848396034882259E-2</v>
      </c>
    </row>
    <row r="20" spans="1:18">
      <c r="A20" s="2" t="s">
        <v>509</v>
      </c>
      <c r="B20" s="4" t="s">
        <v>510</v>
      </c>
      <c r="C20" s="2" t="s">
        <v>250</v>
      </c>
      <c r="D20" s="2" t="s">
        <v>511</v>
      </c>
      <c r="E20" s="2" t="s">
        <v>313</v>
      </c>
      <c r="F20" s="23">
        <v>4</v>
      </c>
      <c r="G20" s="17">
        <f>COUNTIFS('Expense Details'!$B$2:$B$2955,$A20)</f>
        <v>84</v>
      </c>
      <c r="H20" s="12">
        <f>SUMIFS('Expense Details'!$V$2:$V$2955,'Expense Details'!$B$2:$B$2955,$A20)</f>
        <v>15418.540580000003</v>
      </c>
      <c r="I20" s="12">
        <f>SUMIFS('Expense Details'!$V$2:$V$2955,'Expense Details'!$B$2:$B$2955,$A20,'Expense Details'!$O$2:$O$2955,"Airfare")</f>
        <v>5885.1566699999994</v>
      </c>
      <c r="J20" s="12">
        <f>SUMIFS('Expense Details'!$V$2:$V$2955,'Expense Details'!$B$2:$B$2955,$A20,'Expense Details'!$O$2:$O$2955,"Hotel / Lodging")</f>
        <v>4546.4434799999999</v>
      </c>
      <c r="K20" s="12">
        <f>SUMIFS('Expense Details'!$V$2:$V$2955,'Expense Details'!$B$2:$B$2955,$A20,'Expense Details'!$O$2:$O$2955,"Meals*")</f>
        <v>1679.6731499999996</v>
      </c>
      <c r="L20" s="12">
        <f>SUMIFS('Expense Details'!$V$2:$V$2955,'Expense Details'!$B$2:$B$2955,$A20,'Expense Details'!$O$2:$O$2955,"Ground Transport*")+SUMIFS('Expense Details'!$V$2:$V$2955,'Expense Details'!$B$2:$B$2955,$A20,'Expense Details'!$O$2:$O$2955,"Car Rental")</f>
        <v>1290.1338900000001</v>
      </c>
      <c r="M20" s="12">
        <f>H20-I20-J20-K20-L20</f>
        <v>2017.1333900000045</v>
      </c>
      <c r="N20" s="17">
        <f>COUNTIFS('Expense Details'!$B$2:$B$2955,$A20,'Expense Details'!$AA$2:$AA$2955,"Yes")</f>
        <v>9</v>
      </c>
      <c r="O20" s="17">
        <f>COUNTIFS('Expense Details'!$B$2:$B$2955,$A20,'Expense Details'!$AC$2:$AC$2955,"No")</f>
        <v>5</v>
      </c>
      <c r="P20" s="12">
        <f>SUMIFS('Expense Details'!$AF$2:$AF$2955,'Expense Details'!$B$2:$B$2955,$A20)</f>
        <v>7105.4563500000013</v>
      </c>
      <c r="Q20" s="12">
        <f>IFERROR(H20/F20,0)</f>
        <v>3854.6351450000006</v>
      </c>
      <c r="R20" s="24">
        <f>IFERROR(H20/H$28,0)</f>
        <v>3.2330030850530822E-2</v>
      </c>
    </row>
    <row r="21" spans="1:18">
      <c r="A21" s="2" t="s">
        <v>189</v>
      </c>
      <c r="B21" s="4" t="s">
        <v>190</v>
      </c>
      <c r="C21" s="2" t="s">
        <v>171</v>
      </c>
      <c r="D21" s="2" t="s">
        <v>191</v>
      </c>
      <c r="E21" s="2" t="s">
        <v>173</v>
      </c>
      <c r="F21" s="23">
        <v>7</v>
      </c>
      <c r="G21" s="17">
        <f>COUNTIFS('Expense Details'!$B$2:$B$2955,$A21)</f>
        <v>155</v>
      </c>
      <c r="H21" s="12">
        <f>SUMIFS('Expense Details'!$V$2:$V$2955,'Expense Details'!$B$2:$B$2955,$A21)</f>
        <v>24554.799450000017</v>
      </c>
      <c r="I21" s="12">
        <f>SUMIFS('Expense Details'!$V$2:$V$2955,'Expense Details'!$B$2:$B$2955,$A21,'Expense Details'!$O$2:$O$2955,"Airfare")</f>
        <v>10862.931069999999</v>
      </c>
      <c r="J21" s="12">
        <f>SUMIFS('Expense Details'!$V$2:$V$2955,'Expense Details'!$B$2:$B$2955,$A21,'Expense Details'!$O$2:$O$2955,"Hotel / Lodging")</f>
        <v>6560.65762</v>
      </c>
      <c r="K21" s="12">
        <f>SUMIFS('Expense Details'!$V$2:$V$2955,'Expense Details'!$B$2:$B$2955,$A21,'Expense Details'!$O$2:$O$2955,"Meals*")</f>
        <v>3298.8628800000001</v>
      </c>
      <c r="L21" s="12">
        <f>SUMIFS('Expense Details'!$V$2:$V$2955,'Expense Details'!$B$2:$B$2955,$A21,'Expense Details'!$O$2:$O$2955,"Ground Transport*")+SUMIFS('Expense Details'!$V$2:$V$2955,'Expense Details'!$B$2:$B$2955,$A21,'Expense Details'!$O$2:$O$2955,"Car Rental")</f>
        <v>1529.4362499999997</v>
      </c>
      <c r="M21" s="12">
        <f>H21-I21-J21-K21-L21</f>
        <v>2302.9116300000182</v>
      </c>
      <c r="N21" s="17">
        <f>COUNTIFS('Expense Details'!$B$2:$B$2955,$A21,'Expense Details'!$AA$2:$AA$2955,"Yes")</f>
        <v>12</v>
      </c>
      <c r="O21" s="17">
        <f>COUNTIFS('Expense Details'!$B$2:$B$2955,$A21,'Expense Details'!$AC$2:$AC$2955,"No")</f>
        <v>8</v>
      </c>
      <c r="P21" s="12">
        <f>SUMIFS('Expense Details'!$AF$2:$AF$2955,'Expense Details'!$B$2:$B$2955,$A21)</f>
        <v>9018.3738499999981</v>
      </c>
      <c r="Q21" s="12">
        <f>IFERROR(H21/F21,0)</f>
        <v>3507.8284928571452</v>
      </c>
      <c r="R21" s="24">
        <f>IFERROR(H21/H$28,0)</f>
        <v>5.1487196186183901E-2</v>
      </c>
    </row>
    <row r="22" spans="1:18">
      <c r="A22" s="2" t="s">
        <v>287</v>
      </c>
      <c r="B22" s="4" t="s">
        <v>288</v>
      </c>
      <c r="C22" s="2" t="s">
        <v>171</v>
      </c>
      <c r="D22" s="2" t="s">
        <v>289</v>
      </c>
      <c r="E22" s="2" t="s">
        <v>173</v>
      </c>
      <c r="F22" s="23">
        <v>9</v>
      </c>
      <c r="G22" s="17">
        <f>COUNTIFS('Expense Details'!$B$2:$B$2955,$A22)</f>
        <v>257</v>
      </c>
      <c r="H22" s="12">
        <f>SUMIFS('Expense Details'!$V$2:$V$2955,'Expense Details'!$B$2:$B$2955,$A22)</f>
        <v>34337.861675000015</v>
      </c>
      <c r="I22" s="12">
        <f>SUMIFS('Expense Details'!$V$2:$V$2955,'Expense Details'!$B$2:$B$2955,$A22,'Expense Details'!$O$2:$O$2955,"Airfare")</f>
        <v>12943.436717999999</v>
      </c>
      <c r="J22" s="12">
        <f>SUMIFS('Expense Details'!$V$2:$V$2955,'Expense Details'!$B$2:$B$2955,$A22,'Expense Details'!$O$2:$O$2955,"Hotel / Lodging")</f>
        <v>9800.3269010000004</v>
      </c>
      <c r="K22" s="12">
        <f>SUMIFS('Expense Details'!$V$2:$V$2955,'Expense Details'!$B$2:$B$2955,$A22,'Expense Details'!$O$2:$O$2955,"Meals*")</f>
        <v>5562.360692999996</v>
      </c>
      <c r="L22" s="12">
        <f>SUMIFS('Expense Details'!$V$2:$V$2955,'Expense Details'!$B$2:$B$2955,$A22,'Expense Details'!$O$2:$O$2955,"Ground Transport*")+SUMIFS('Expense Details'!$V$2:$V$2955,'Expense Details'!$B$2:$B$2955,$A22,'Expense Details'!$O$2:$O$2955,"Car Rental")</f>
        <v>3068.6408819999997</v>
      </c>
      <c r="M22" s="12">
        <f>H22-I22-J22-K22-L22</f>
        <v>2963.0964810000214</v>
      </c>
      <c r="N22" s="17">
        <f>COUNTIFS('Expense Details'!$B$2:$B$2955,$A22,'Expense Details'!$AA$2:$AA$2955,"Yes")</f>
        <v>24</v>
      </c>
      <c r="O22" s="17">
        <f>COUNTIFS('Expense Details'!$B$2:$B$2955,$A22,'Expense Details'!$AC$2:$AC$2955,"No")</f>
        <v>20</v>
      </c>
      <c r="P22" s="12">
        <f>SUMIFS('Expense Details'!$AF$2:$AF$2955,'Expense Details'!$B$2:$B$2955,$A22)</f>
        <v>15545.301437999993</v>
      </c>
      <c r="Q22" s="12">
        <f>IFERROR(H22/F22,0)</f>
        <v>3815.3179638888905</v>
      </c>
      <c r="R22" s="24">
        <f>IFERROR(H22/H$28,0)</f>
        <v>7.2000597043148318E-2</v>
      </c>
    </row>
    <row r="23" spans="1:18">
      <c r="A23" s="2" t="s">
        <v>116</v>
      </c>
      <c r="B23" s="4" t="s">
        <v>117</v>
      </c>
      <c r="C23" s="2" t="s">
        <v>118</v>
      </c>
      <c r="D23" s="2" t="s">
        <v>119</v>
      </c>
      <c r="E23" s="2" t="s">
        <v>120</v>
      </c>
      <c r="F23" s="23">
        <v>6</v>
      </c>
      <c r="G23" s="17">
        <f>COUNTIFS('Expense Details'!$B$2:$B$2955,$A23)</f>
        <v>103</v>
      </c>
      <c r="H23" s="12">
        <f>SUMIFS('Expense Details'!$V$2:$V$2955,'Expense Details'!$B$2:$B$2955,$A23)</f>
        <v>21654.10345000001</v>
      </c>
      <c r="I23" s="12">
        <f>SUMIFS('Expense Details'!$V$2:$V$2955,'Expense Details'!$B$2:$B$2955,$A23,'Expense Details'!$O$2:$O$2955,"Airfare")</f>
        <v>11520.65202</v>
      </c>
      <c r="J23" s="12">
        <f>SUMIFS('Expense Details'!$V$2:$V$2955,'Expense Details'!$B$2:$B$2955,$A23,'Expense Details'!$O$2:$O$2955,"Hotel / Lodging")</f>
        <v>4509.7302300000001</v>
      </c>
      <c r="K23" s="12">
        <f>SUMIFS('Expense Details'!$V$2:$V$2955,'Expense Details'!$B$2:$B$2955,$A23,'Expense Details'!$O$2:$O$2955,"Meals*")</f>
        <v>2061.6946400000006</v>
      </c>
      <c r="L23" s="12">
        <f>SUMIFS('Expense Details'!$V$2:$V$2955,'Expense Details'!$B$2:$B$2955,$A23,'Expense Details'!$O$2:$O$2955,"Ground Transport*")+SUMIFS('Expense Details'!$V$2:$V$2955,'Expense Details'!$B$2:$B$2955,$A23,'Expense Details'!$O$2:$O$2955,"Car Rental")</f>
        <v>1394.7341300000001</v>
      </c>
      <c r="M23" s="12">
        <f>H23-I23-J23-K23-L23</f>
        <v>2167.2924300000095</v>
      </c>
      <c r="N23" s="17">
        <f>COUNTIFS('Expense Details'!$B$2:$B$2955,$A23,'Expense Details'!$AA$2:$AA$2955,"Yes")</f>
        <v>16</v>
      </c>
      <c r="O23" s="17">
        <f>COUNTIFS('Expense Details'!$B$2:$B$2955,$A23,'Expense Details'!$AC$2:$AC$2955,"No")</f>
        <v>6</v>
      </c>
      <c r="P23" s="12">
        <f>SUMIFS('Expense Details'!$AF$2:$AF$2955,'Expense Details'!$B$2:$B$2955,$A23)</f>
        <v>11581.513699999998</v>
      </c>
      <c r="Q23" s="12">
        <f>IFERROR(H23/F23,0)</f>
        <v>3609.0172416666683</v>
      </c>
      <c r="R23" s="24">
        <f>IFERROR(H23/H$28,0)</f>
        <v>4.5404934983741901E-2</v>
      </c>
    </row>
    <row r="24" spans="1:18">
      <c r="A24" s="2" t="s">
        <v>169</v>
      </c>
      <c r="B24" s="4" t="s">
        <v>170</v>
      </c>
      <c r="C24" s="2" t="s">
        <v>171</v>
      </c>
      <c r="D24" s="2" t="s">
        <v>172</v>
      </c>
      <c r="E24" s="2" t="s">
        <v>173</v>
      </c>
      <c r="F24" s="23">
        <v>6</v>
      </c>
      <c r="G24" s="17">
        <f>COUNTIFS('Expense Details'!$B$2:$B$2955,$A24)</f>
        <v>149</v>
      </c>
      <c r="H24" s="12">
        <f>SUMIFS('Expense Details'!$V$2:$V$2955,'Expense Details'!$B$2:$B$2955,$A24)</f>
        <v>27575.210499999997</v>
      </c>
      <c r="I24" s="12">
        <f>SUMIFS('Expense Details'!$V$2:$V$2955,'Expense Details'!$B$2:$B$2955,$A24,'Expense Details'!$O$2:$O$2955,"Airfare")</f>
        <v>13977.597780000002</v>
      </c>
      <c r="J24" s="12">
        <f>SUMIFS('Expense Details'!$V$2:$V$2955,'Expense Details'!$B$2:$B$2955,$A24,'Expense Details'!$O$2:$O$2955,"Hotel / Lodging")</f>
        <v>6470.9195200000004</v>
      </c>
      <c r="K24" s="12">
        <f>SUMIFS('Expense Details'!$V$2:$V$2955,'Expense Details'!$B$2:$B$2955,$A24,'Expense Details'!$O$2:$O$2955,"Meals*")</f>
        <v>3104.4625699999992</v>
      </c>
      <c r="L24" s="12">
        <f>SUMIFS('Expense Details'!$V$2:$V$2955,'Expense Details'!$B$2:$B$2955,$A24,'Expense Details'!$O$2:$O$2955,"Ground Transport*")+SUMIFS('Expense Details'!$V$2:$V$2955,'Expense Details'!$B$2:$B$2955,$A24,'Expense Details'!$O$2:$O$2955,"Car Rental")</f>
        <v>1821.7816799999998</v>
      </c>
      <c r="M24" s="12">
        <f>H24-I24-J24-K24-L24</f>
        <v>2200.4489499999963</v>
      </c>
      <c r="N24" s="17">
        <f>COUNTIFS('Expense Details'!$B$2:$B$2955,$A24,'Expense Details'!$AA$2:$AA$2955,"Yes")</f>
        <v>14</v>
      </c>
      <c r="O24" s="17">
        <f>COUNTIFS('Expense Details'!$B$2:$B$2955,$A24,'Expense Details'!$AC$2:$AC$2955,"No")</f>
        <v>9</v>
      </c>
      <c r="P24" s="12">
        <f>SUMIFS('Expense Details'!$AF$2:$AF$2955,'Expense Details'!$B$2:$B$2955,$A24)</f>
        <v>10730.763290000001</v>
      </c>
      <c r="Q24" s="12">
        <f>IFERROR(H24/F24,0)</f>
        <v>4595.8684166666662</v>
      </c>
      <c r="R24" s="24">
        <f>IFERROR(H24/H$28,0)</f>
        <v>5.7820479282669E-2</v>
      </c>
    </row>
    <row r="25" spans="1:18">
      <c r="A25" s="2" t="s">
        <v>616</v>
      </c>
      <c r="B25" s="4" t="s">
        <v>252</v>
      </c>
      <c r="C25" s="2" t="s">
        <v>250</v>
      </c>
      <c r="D25" s="2" t="s">
        <v>617</v>
      </c>
      <c r="E25" s="2" t="s">
        <v>510</v>
      </c>
      <c r="F25" s="23">
        <v>9</v>
      </c>
      <c r="G25" s="17">
        <f>COUNTIFS('Expense Details'!$B$2:$B$2955,$A25)</f>
        <v>198</v>
      </c>
      <c r="H25" s="12">
        <f>SUMIFS('Expense Details'!$V$2:$V$2955,'Expense Details'!$B$2:$B$2955,$A25)</f>
        <v>28158.663342999993</v>
      </c>
      <c r="I25" s="12">
        <f>SUMIFS('Expense Details'!$V$2:$V$2955,'Expense Details'!$B$2:$B$2955,$A25,'Expense Details'!$O$2:$O$2955,"Airfare")</f>
        <v>10964.398799000001</v>
      </c>
      <c r="J25" s="12">
        <f>SUMIFS('Expense Details'!$V$2:$V$2955,'Expense Details'!$B$2:$B$2955,$A25,'Expense Details'!$O$2:$O$2955,"Hotel / Lodging")</f>
        <v>6961.9682549999998</v>
      </c>
      <c r="K25" s="12">
        <f>SUMIFS('Expense Details'!$V$2:$V$2955,'Expense Details'!$B$2:$B$2955,$A25,'Expense Details'!$O$2:$O$2955,"Meals*")</f>
        <v>3617.5029220000006</v>
      </c>
      <c r="L25" s="12">
        <f>SUMIFS('Expense Details'!$V$2:$V$2955,'Expense Details'!$B$2:$B$2955,$A25,'Expense Details'!$O$2:$O$2955,"Ground Transport*")+SUMIFS('Expense Details'!$V$2:$V$2955,'Expense Details'!$B$2:$B$2955,$A25,'Expense Details'!$O$2:$O$2955,"Car Rental")</f>
        <v>2620.871862</v>
      </c>
      <c r="M25" s="12">
        <f>H25-I25-J25-K25-L25</f>
        <v>3993.9215049999902</v>
      </c>
      <c r="N25" s="17">
        <f>COUNTIFS('Expense Details'!$B$2:$B$2955,$A25,'Expense Details'!$AA$2:$AA$2955,"Yes")</f>
        <v>12</v>
      </c>
      <c r="O25" s="17">
        <f>COUNTIFS('Expense Details'!$B$2:$B$2955,$A25,'Expense Details'!$AC$2:$AC$2955,"No")</f>
        <v>18</v>
      </c>
      <c r="P25" s="12">
        <f>SUMIFS('Expense Details'!$AF$2:$AF$2955,'Expense Details'!$B$2:$B$2955,$A25)</f>
        <v>12127.663525999997</v>
      </c>
      <c r="Q25" s="12">
        <f>IFERROR(H25/F25,0)</f>
        <v>3128.7403714444436</v>
      </c>
      <c r="R25" s="24">
        <f>IFERROR(H25/H$28,0)</f>
        <v>5.9043879663278807E-2</v>
      </c>
    </row>
    <row r="26" spans="1:18">
      <c r="A26" s="2" t="s">
        <v>648</v>
      </c>
      <c r="B26" s="4" t="s">
        <v>173</v>
      </c>
      <c r="C26" s="2" t="s">
        <v>171</v>
      </c>
      <c r="D26" s="2" t="s">
        <v>649</v>
      </c>
      <c r="E26" s="2" t="s">
        <v>313</v>
      </c>
      <c r="F26" s="23">
        <v>3</v>
      </c>
      <c r="G26" s="17">
        <f>COUNTIFS('Expense Details'!$B$2:$B$2955,$A26)</f>
        <v>67</v>
      </c>
      <c r="H26" s="12">
        <f>SUMIFS('Expense Details'!$V$2:$V$2955,'Expense Details'!$B$2:$B$2955,$A26)</f>
        <v>12169.942369999993</v>
      </c>
      <c r="I26" s="12">
        <f>SUMIFS('Expense Details'!$V$2:$V$2955,'Expense Details'!$B$2:$B$2955,$A26,'Expense Details'!$O$2:$O$2955,"Airfare")</f>
        <v>5183.7520299999996</v>
      </c>
      <c r="J26" s="12">
        <f>SUMIFS('Expense Details'!$V$2:$V$2955,'Expense Details'!$B$2:$B$2955,$A26,'Expense Details'!$O$2:$O$2955,"Hotel / Lodging")</f>
        <v>2952.4538100000004</v>
      </c>
      <c r="K26" s="12">
        <f>SUMIFS('Expense Details'!$V$2:$V$2955,'Expense Details'!$B$2:$B$2955,$A26,'Expense Details'!$O$2:$O$2955,"Meals*")</f>
        <v>1266.8794499999999</v>
      </c>
      <c r="L26" s="12">
        <f>SUMIFS('Expense Details'!$V$2:$V$2955,'Expense Details'!$B$2:$B$2955,$A26,'Expense Details'!$O$2:$O$2955,"Ground Transport*")+SUMIFS('Expense Details'!$V$2:$V$2955,'Expense Details'!$B$2:$B$2955,$A26,'Expense Details'!$O$2:$O$2955,"Car Rental")</f>
        <v>495.47991000000002</v>
      </c>
      <c r="M26" s="12">
        <f>H26-I26-J26-K26-L26</f>
        <v>2271.3771699999934</v>
      </c>
      <c r="N26" s="17">
        <f>COUNTIFS('Expense Details'!$B$2:$B$2955,$A26,'Expense Details'!$AA$2:$AA$2955,"Yes")</f>
        <v>7</v>
      </c>
      <c r="O26" s="17">
        <f>COUNTIFS('Expense Details'!$B$2:$B$2955,$A26,'Expense Details'!$AC$2:$AC$2955,"No")</f>
        <v>3</v>
      </c>
      <c r="P26" s="12">
        <f>SUMIFS('Expense Details'!$AF$2:$AF$2955,'Expense Details'!$B$2:$B$2955,$A26)</f>
        <v>4198.2512699999988</v>
      </c>
      <c r="Q26" s="12">
        <f>IFERROR(H26/F26,0)</f>
        <v>4056.6474566666643</v>
      </c>
      <c r="R26" s="24">
        <f>IFERROR(H26/H$28,0)</f>
        <v>2.55182784797186E-2</v>
      </c>
    </row>
    <row r="27" spans="1:18">
      <c r="A27" s="2" t="s">
        <v>882</v>
      </c>
      <c r="B27" s="4" t="s">
        <v>446</v>
      </c>
      <c r="C27" s="2" t="s">
        <v>444</v>
      </c>
      <c r="D27" s="2" t="s">
        <v>883</v>
      </c>
      <c r="E27" s="2" t="s">
        <v>313</v>
      </c>
      <c r="F27" s="23">
        <v>7</v>
      </c>
      <c r="G27" s="17">
        <f>COUNTIFS('Expense Details'!$B$2:$B$2955,$A27)</f>
        <v>123</v>
      </c>
      <c r="H27" s="12">
        <f>SUMIFS('Expense Details'!$V$2:$V$2955,'Expense Details'!$B$2:$B$2955,$A27)</f>
        <v>19907.485980000001</v>
      </c>
      <c r="I27" s="12">
        <f>SUMIFS('Expense Details'!$V$2:$V$2955,'Expense Details'!$B$2:$B$2955,$A27,'Expense Details'!$O$2:$O$2955,"Airfare")</f>
        <v>9130.002840000001</v>
      </c>
      <c r="J27" s="12">
        <f>SUMIFS('Expense Details'!$V$2:$V$2955,'Expense Details'!$B$2:$B$2955,$A27,'Expense Details'!$O$2:$O$2955,"Hotel / Lodging")</f>
        <v>5215.6215700000002</v>
      </c>
      <c r="K27" s="12">
        <f>SUMIFS('Expense Details'!$V$2:$V$2955,'Expense Details'!$B$2:$B$2955,$A27,'Expense Details'!$O$2:$O$2955,"Meals*")</f>
        <v>2269.4787999999994</v>
      </c>
      <c r="L27" s="12">
        <f>SUMIFS('Expense Details'!$V$2:$V$2955,'Expense Details'!$B$2:$B$2955,$A27,'Expense Details'!$O$2:$O$2955,"Ground Transport*")+SUMIFS('Expense Details'!$V$2:$V$2955,'Expense Details'!$B$2:$B$2955,$A27,'Expense Details'!$O$2:$O$2955,"Car Rental")</f>
        <v>1349.1786999999999</v>
      </c>
      <c r="M27" s="12">
        <f>H27-I27-J27-K27-L27</f>
        <v>1943.2040700000007</v>
      </c>
      <c r="N27" s="17">
        <f>COUNTIFS('Expense Details'!$B$2:$B$2955,$A27,'Expense Details'!$AA$2:$AA$2955,"Yes")</f>
        <v>13</v>
      </c>
      <c r="O27" s="17">
        <f>COUNTIFS('Expense Details'!$B$2:$B$2955,$A27,'Expense Details'!$AC$2:$AC$2955,"No")</f>
        <v>10</v>
      </c>
      <c r="P27" s="12">
        <f>SUMIFS('Expense Details'!$AF$2:$AF$2955,'Expense Details'!$B$2:$B$2955,$A27)</f>
        <v>6176.3174800000006</v>
      </c>
      <c r="Q27" s="12">
        <f>IFERROR(H27/F27,0)</f>
        <v>2843.9265685714286</v>
      </c>
      <c r="R27" s="24">
        <f>IFERROR(H27/H$28,0)</f>
        <v>4.1742578199960204E-2</v>
      </c>
    </row>
    <row r="28" spans="1:18">
      <c r="A28" s="19" t="s">
        <v>3481</v>
      </c>
      <c r="B28" s="20"/>
      <c r="C28" s="20"/>
      <c r="D28" s="20"/>
      <c r="E28" s="20"/>
      <c r="F28" s="21">
        <f>SUM(F4:F27)</f>
        <v>138</v>
      </c>
      <c r="G28" s="21">
        <f>SUM(G4:G27)</f>
        <v>2954</v>
      </c>
      <c r="H28" s="22">
        <f>SUM(H4:H27)</f>
        <v>476910.79081500001</v>
      </c>
      <c r="I28" s="22">
        <f>SUM(I4:I27)</f>
        <v>214763.67584100005</v>
      </c>
      <c r="J28" s="22">
        <f>SUM(J4:J27)</f>
        <v>118139.435445</v>
      </c>
      <c r="K28" s="22">
        <f>SUM(K4:K27)</f>
        <v>60058.948988000004</v>
      </c>
      <c r="L28" s="22">
        <f>SUM(L4:L27)</f>
        <v>38733.811041000001</v>
      </c>
      <c r="M28" s="22">
        <f>SUM(M4:M27)</f>
        <v>45214.919500000011</v>
      </c>
      <c r="N28" s="21">
        <f>SUM(N4:N27)</f>
        <v>318</v>
      </c>
      <c r="O28" s="21">
        <f>SUM(O4:O27)</f>
        <v>228</v>
      </c>
      <c r="P28" s="22">
        <f>SUM(P4:P27)</f>
        <v>191871.416218</v>
      </c>
      <c r="Q28" s="22">
        <f>IFERROR(H28/F28,0)</f>
        <v>3455.8752957608694</v>
      </c>
      <c r="R28" s="25"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"/>
  <sheetViews>
    <sheetView zoomScaleNormal="100" workbookViewId="0"/>
  </sheetViews>
  <sheetFormatPr defaultColWidth="8.7109375" defaultRowHeight="15"/>
  <cols>
    <col min="1" max="1" width="26" customWidth="1"/>
    <col min="2" max="13" width="12" customWidth="1"/>
    <col min="14" max="14" width="15" customWidth="1"/>
    <col min="15" max="15" width="11" customWidth="1"/>
    <col min="16" max="16" width="14" customWidth="1"/>
  </cols>
  <sheetData>
    <row r="1" spans="1:16" ht="17.45">
      <c r="A1" s="18" t="s">
        <v>3493</v>
      </c>
    </row>
    <row r="2" spans="1:16">
      <c r="A2" s="26" t="s">
        <v>3494</v>
      </c>
    </row>
    <row r="4" spans="1:16" ht="25.5" customHeight="1">
      <c r="A4" s="5" t="s">
        <v>100</v>
      </c>
      <c r="B4" s="5" t="s">
        <v>125</v>
      </c>
      <c r="C4" s="5" t="s">
        <v>696</v>
      </c>
      <c r="D4" s="5" t="s">
        <v>1054</v>
      </c>
      <c r="E4" s="5" t="s">
        <v>1333</v>
      </c>
      <c r="F4" s="5" t="s">
        <v>1595</v>
      </c>
      <c r="G4" s="5" t="s">
        <v>1790</v>
      </c>
      <c r="H4" s="5" t="s">
        <v>1986</v>
      </c>
      <c r="I4" s="5" t="s">
        <v>2314</v>
      </c>
      <c r="J4" s="5" t="s">
        <v>2549</v>
      </c>
      <c r="K4" s="5" t="s">
        <v>2764</v>
      </c>
      <c r="L4" s="5" t="s">
        <v>3124</v>
      </c>
      <c r="M4" s="5" t="s">
        <v>3380</v>
      </c>
      <c r="N4" s="5" t="s">
        <v>3495</v>
      </c>
      <c r="O4" s="5" t="s">
        <v>3496</v>
      </c>
      <c r="P4" s="5" t="s">
        <v>51</v>
      </c>
    </row>
    <row r="5" spans="1:16">
      <c r="A5" s="4" t="s">
        <v>52</v>
      </c>
      <c r="B5" s="27">
        <f>SUMIFS('Expense Details'!$V$2:$V$2955,'Expense Details'!$O$2:$O$2955,$A5,'Expense Details'!$N$2:$N$2955,B$4)</f>
        <v>29043.984446999999</v>
      </c>
      <c r="C5" s="27">
        <f>SUMIFS('Expense Details'!$V$2:$V$2955,'Expense Details'!$O$2:$O$2955,$A5,'Expense Details'!$N$2:$N$2955,C$4)</f>
        <v>23908.966918000002</v>
      </c>
      <c r="D5" s="27">
        <f>SUMIFS('Expense Details'!$V$2:$V$2955,'Expense Details'!$O$2:$O$2955,$A5,'Expense Details'!$N$2:$N$2955,D$4)</f>
        <v>17774.912910999999</v>
      </c>
      <c r="E5" s="27">
        <f>SUMIFS('Expense Details'!$V$2:$V$2955,'Expense Details'!$O$2:$O$2955,$A5,'Expense Details'!$N$2:$N$2955,E$4)</f>
        <v>11662.550905999999</v>
      </c>
      <c r="F5" s="27">
        <f>SUMIFS('Expense Details'!$V$2:$V$2955,'Expense Details'!$O$2:$O$2955,$A5,'Expense Details'!$N$2:$N$2955,F$4)</f>
        <v>18201.883109999999</v>
      </c>
      <c r="G5" s="27">
        <f>SUMIFS('Expense Details'!$V$2:$V$2955,'Expense Details'!$O$2:$O$2955,$A5,'Expense Details'!$N$2:$N$2955,G$4)</f>
        <v>11381.97926</v>
      </c>
      <c r="H5" s="27">
        <f>SUMIFS('Expense Details'!$V$2:$V$2955,'Expense Details'!$O$2:$O$2955,$A5,'Expense Details'!$N$2:$N$2955,H$4)</f>
        <v>16960.941799000004</v>
      </c>
      <c r="I5" s="27">
        <f>SUMIFS('Expense Details'!$V$2:$V$2955,'Expense Details'!$O$2:$O$2955,$A5,'Expense Details'!$N$2:$N$2955,I$4)</f>
        <v>22088.682069999995</v>
      </c>
      <c r="J5" s="27">
        <f>SUMIFS('Expense Details'!$V$2:$V$2955,'Expense Details'!$O$2:$O$2955,$A5,'Expense Details'!$N$2:$N$2955,J$4)</f>
        <v>15634.56302</v>
      </c>
      <c r="K5" s="27">
        <f>SUMIFS('Expense Details'!$V$2:$V$2955,'Expense Details'!$O$2:$O$2955,$A5,'Expense Details'!$N$2:$N$2955,K$4)</f>
        <v>24943.246040000002</v>
      </c>
      <c r="L5" s="27">
        <f>SUMIFS('Expense Details'!$V$2:$V$2955,'Expense Details'!$O$2:$O$2955,$A5,'Expense Details'!$N$2:$N$2955,L$4)</f>
        <v>19163.72176</v>
      </c>
      <c r="M5" s="27">
        <f>SUMIFS('Expense Details'!$V$2:$V$2955,'Expense Details'!$O$2:$O$2955,$A5,'Expense Details'!$N$2:$N$2955,M$4)</f>
        <v>3998.2436000000002</v>
      </c>
      <c r="N5" s="28">
        <f>SUM(B5:M5)</f>
        <v>214763.67584099999</v>
      </c>
      <c r="O5" s="24">
        <f>IFERROR(N5/N$23,0)</f>
        <v>0.45032253406132222</v>
      </c>
      <c r="P5" s="29">
        <v>1400</v>
      </c>
    </row>
    <row r="6" spans="1:16">
      <c r="A6" s="4" t="s">
        <v>53</v>
      </c>
      <c r="B6" s="27">
        <f>SUMIFS('Expense Details'!$V$2:$V$2955,'Expense Details'!$O$2:$O$2955,$A6,'Expense Details'!$N$2:$N$2955,B$4)</f>
        <v>16984.788094</v>
      </c>
      <c r="C6" s="27">
        <f>SUMIFS('Expense Details'!$V$2:$V$2955,'Expense Details'!$O$2:$O$2955,$A6,'Expense Details'!$N$2:$N$2955,C$4)</f>
        <v>10555.452380999999</v>
      </c>
      <c r="D6" s="27">
        <f>SUMIFS('Expense Details'!$V$2:$V$2955,'Expense Details'!$O$2:$O$2955,$A6,'Expense Details'!$N$2:$N$2955,D$4)</f>
        <v>11195.065585</v>
      </c>
      <c r="E6" s="27">
        <f>SUMIFS('Expense Details'!$V$2:$V$2955,'Expense Details'!$O$2:$O$2955,$A6,'Expense Details'!$N$2:$N$2955,E$4)</f>
        <v>8591.2615700000006</v>
      </c>
      <c r="F6" s="27">
        <f>SUMIFS('Expense Details'!$V$2:$V$2955,'Expense Details'!$O$2:$O$2955,$A6,'Expense Details'!$N$2:$N$2955,F$4)</f>
        <v>7343.4791400000004</v>
      </c>
      <c r="G6" s="27">
        <f>SUMIFS('Expense Details'!$V$2:$V$2955,'Expense Details'!$O$2:$O$2955,$A6,'Expense Details'!$N$2:$N$2955,G$4)</f>
        <v>7811.3237799999997</v>
      </c>
      <c r="H6" s="27">
        <f>SUMIFS('Expense Details'!$V$2:$V$2955,'Expense Details'!$O$2:$O$2955,$A6,'Expense Details'!$N$2:$N$2955,H$4)</f>
        <v>11049.745205000001</v>
      </c>
      <c r="I6" s="27">
        <f>SUMIFS('Expense Details'!$V$2:$V$2955,'Expense Details'!$O$2:$O$2955,$A6,'Expense Details'!$N$2:$N$2955,I$4)</f>
        <v>9857.5462299999999</v>
      </c>
      <c r="J6" s="27">
        <f>SUMIFS('Expense Details'!$V$2:$V$2955,'Expense Details'!$O$2:$O$2955,$A6,'Expense Details'!$N$2:$N$2955,J$4)</f>
        <v>8389.1201500000006</v>
      </c>
      <c r="K6" s="27">
        <f>SUMIFS('Expense Details'!$V$2:$V$2955,'Expense Details'!$O$2:$O$2955,$A6,'Expense Details'!$N$2:$N$2955,K$4)</f>
        <v>14961.823189999999</v>
      </c>
      <c r="L6" s="27">
        <f>SUMIFS('Expense Details'!$V$2:$V$2955,'Expense Details'!$O$2:$O$2955,$A6,'Expense Details'!$N$2:$N$2955,L$4)</f>
        <v>9817.1000100000019</v>
      </c>
      <c r="M6" s="27">
        <f>SUMIFS('Expense Details'!$V$2:$V$2955,'Expense Details'!$O$2:$O$2955,$A6,'Expense Details'!$N$2:$N$2955,M$4)</f>
        <v>1582.73011</v>
      </c>
      <c r="N6" s="28">
        <f>SUM(B6:M6)</f>
        <v>118139.43544500001</v>
      </c>
      <c r="O6" s="24">
        <f>IFERROR(N6/N$23,0)</f>
        <v>0.24771810099559655</v>
      </c>
      <c r="P6" s="29">
        <v>280</v>
      </c>
    </row>
    <row r="7" spans="1:16">
      <c r="A7" s="4" t="s">
        <v>54</v>
      </c>
      <c r="B7" s="27">
        <f>SUMIFS('Expense Details'!$V$2:$V$2955,'Expense Details'!$O$2:$O$2955,$A7,'Expense Details'!$N$2:$N$2955,B$4)</f>
        <v>1283.0471430000005</v>
      </c>
      <c r="C7" s="27">
        <f>SUMIFS('Expense Details'!$V$2:$V$2955,'Expense Details'!$O$2:$O$2955,$A7,'Expense Details'!$N$2:$N$2955,C$4)</f>
        <v>1040.3607860000002</v>
      </c>
      <c r="D7" s="27">
        <f>SUMIFS('Expense Details'!$V$2:$V$2955,'Expense Details'!$O$2:$O$2955,$A7,'Expense Details'!$N$2:$N$2955,D$4)</f>
        <v>949.56786299999976</v>
      </c>
      <c r="E7" s="27">
        <f>SUMIFS('Expense Details'!$V$2:$V$2955,'Expense Details'!$O$2:$O$2955,$A7,'Expense Details'!$N$2:$N$2955,E$4)</f>
        <v>1071.0766450000001</v>
      </c>
      <c r="F7" s="27">
        <f>SUMIFS('Expense Details'!$V$2:$V$2955,'Expense Details'!$O$2:$O$2955,$A7,'Expense Details'!$N$2:$N$2955,F$4)</f>
        <v>469.28599000000003</v>
      </c>
      <c r="G7" s="27">
        <f>SUMIFS('Expense Details'!$V$2:$V$2955,'Expense Details'!$O$2:$O$2955,$A7,'Expense Details'!$N$2:$N$2955,G$4)</f>
        <v>679.60546000000011</v>
      </c>
      <c r="H7" s="27">
        <f>SUMIFS('Expense Details'!$V$2:$V$2955,'Expense Details'!$O$2:$O$2955,$A7,'Expense Details'!$N$2:$N$2955,H$4)</f>
        <v>1253.8155920000004</v>
      </c>
      <c r="I7" s="27">
        <f>SUMIFS('Expense Details'!$V$2:$V$2955,'Expense Details'!$O$2:$O$2955,$A7,'Expense Details'!$N$2:$N$2955,I$4)</f>
        <v>734.26661999999988</v>
      </c>
      <c r="J7" s="27">
        <f>SUMIFS('Expense Details'!$V$2:$V$2955,'Expense Details'!$O$2:$O$2955,$A7,'Expense Details'!$N$2:$N$2955,J$4)</f>
        <v>743.91389000000026</v>
      </c>
      <c r="K7" s="27">
        <f>SUMIFS('Expense Details'!$V$2:$V$2955,'Expense Details'!$O$2:$O$2955,$A7,'Expense Details'!$N$2:$N$2955,K$4)</f>
        <v>1133.1884000000005</v>
      </c>
      <c r="L7" s="27">
        <f>SUMIFS('Expense Details'!$V$2:$V$2955,'Expense Details'!$O$2:$O$2955,$A7,'Expense Details'!$N$2:$N$2955,L$4)</f>
        <v>1014.2763400000002</v>
      </c>
      <c r="M7" s="27">
        <f>SUMIFS('Expense Details'!$V$2:$V$2955,'Expense Details'!$O$2:$O$2955,$A7,'Expense Details'!$N$2:$N$2955,M$4)</f>
        <v>317.53327000000002</v>
      </c>
      <c r="N7" s="28">
        <f>SUM(B7:M7)</f>
        <v>10689.937999000002</v>
      </c>
      <c r="O7" s="24">
        <f>IFERROR(N7/N$23,0)</f>
        <v>2.2414963563168293E-2</v>
      </c>
      <c r="P7" s="29">
        <v>25</v>
      </c>
    </row>
    <row r="8" spans="1:16">
      <c r="A8" s="4" t="s">
        <v>55</v>
      </c>
      <c r="B8" s="27">
        <f>SUMIFS('Expense Details'!$V$2:$V$2955,'Expense Details'!$O$2:$O$2955,$A8,'Expense Details'!$N$2:$N$2955,B$4)</f>
        <v>1755.3317020000004</v>
      </c>
      <c r="C8" s="27">
        <f>SUMIFS('Expense Details'!$V$2:$V$2955,'Expense Details'!$O$2:$O$2955,$A8,'Expense Details'!$N$2:$N$2955,C$4)</f>
        <v>1755.35466</v>
      </c>
      <c r="D8" s="27">
        <f>SUMIFS('Expense Details'!$V$2:$V$2955,'Expense Details'!$O$2:$O$2955,$A8,'Expense Details'!$N$2:$N$2955,D$4)</f>
        <v>1459.2511560000003</v>
      </c>
      <c r="E8" s="27">
        <f>SUMIFS('Expense Details'!$V$2:$V$2955,'Expense Details'!$O$2:$O$2955,$A8,'Expense Details'!$N$2:$N$2955,E$4)</f>
        <v>1402.4780229999999</v>
      </c>
      <c r="F8" s="27">
        <f>SUMIFS('Expense Details'!$V$2:$V$2955,'Expense Details'!$O$2:$O$2955,$A8,'Expense Details'!$N$2:$N$2955,F$4)</f>
        <v>1054.18406</v>
      </c>
      <c r="G8" s="27">
        <f>SUMIFS('Expense Details'!$V$2:$V$2955,'Expense Details'!$O$2:$O$2955,$A8,'Expense Details'!$N$2:$N$2955,G$4)</f>
        <v>1090.6672800000001</v>
      </c>
      <c r="H8" s="27">
        <f>SUMIFS('Expense Details'!$V$2:$V$2955,'Expense Details'!$O$2:$O$2955,$A8,'Expense Details'!$N$2:$N$2955,H$4)</f>
        <v>1948.2299050000008</v>
      </c>
      <c r="I8" s="27">
        <f>SUMIFS('Expense Details'!$V$2:$V$2955,'Expense Details'!$O$2:$O$2955,$A8,'Expense Details'!$N$2:$N$2955,I$4)</f>
        <v>1147.9359299999996</v>
      </c>
      <c r="J8" s="27">
        <f>SUMIFS('Expense Details'!$V$2:$V$2955,'Expense Details'!$O$2:$O$2955,$A8,'Expense Details'!$N$2:$N$2955,J$4)</f>
        <v>1148.4199800000001</v>
      </c>
      <c r="K8" s="27">
        <f>SUMIFS('Expense Details'!$V$2:$V$2955,'Expense Details'!$O$2:$O$2955,$A8,'Expense Details'!$N$2:$N$2955,K$4)</f>
        <v>1839.2619799999998</v>
      </c>
      <c r="L8" s="27">
        <f>SUMIFS('Expense Details'!$V$2:$V$2955,'Expense Details'!$O$2:$O$2955,$A8,'Expense Details'!$N$2:$N$2955,L$4)</f>
        <v>1207.3411899999999</v>
      </c>
      <c r="M8" s="27">
        <f>SUMIFS('Expense Details'!$V$2:$V$2955,'Expense Details'!$O$2:$O$2955,$A8,'Expense Details'!$N$2:$N$2955,M$4)</f>
        <v>584.44760999999994</v>
      </c>
      <c r="N8" s="28">
        <f>SUM(B8:M8)</f>
        <v>16392.903476</v>
      </c>
      <c r="O8" s="24">
        <f>IFERROR(N8/N$23,0)</f>
        <v>3.4373102457979442E-2</v>
      </c>
      <c r="P8" s="29">
        <v>35</v>
      </c>
    </row>
    <row r="9" spans="1:16">
      <c r="A9" s="4" t="s">
        <v>56</v>
      </c>
      <c r="B9" s="27">
        <f>SUMIFS('Expense Details'!$V$2:$V$2955,'Expense Details'!$O$2:$O$2955,$A9,'Expense Details'!$N$2:$N$2955,B$4)</f>
        <v>4080.434358</v>
      </c>
      <c r="C9" s="27">
        <f>SUMIFS('Expense Details'!$V$2:$V$2955,'Expense Details'!$O$2:$O$2955,$A9,'Expense Details'!$N$2:$N$2955,C$4)</f>
        <v>3452.465686999999</v>
      </c>
      <c r="D9" s="27">
        <f>SUMIFS('Expense Details'!$V$2:$V$2955,'Expense Details'!$O$2:$O$2955,$A9,'Expense Details'!$N$2:$N$2955,D$4)</f>
        <v>2878.0408010000006</v>
      </c>
      <c r="E9" s="27">
        <f>SUMIFS('Expense Details'!$V$2:$V$2955,'Expense Details'!$O$2:$O$2955,$A9,'Expense Details'!$N$2:$N$2955,E$4)</f>
        <v>2472.7160120000008</v>
      </c>
      <c r="F9" s="27">
        <f>SUMIFS('Expense Details'!$V$2:$V$2955,'Expense Details'!$O$2:$O$2955,$A9,'Expense Details'!$N$2:$N$2955,F$4)</f>
        <v>1783.9568599999996</v>
      </c>
      <c r="G9" s="27">
        <f>SUMIFS('Expense Details'!$V$2:$V$2955,'Expense Details'!$O$2:$O$2955,$A9,'Expense Details'!$N$2:$N$2955,G$4)</f>
        <v>1898.0337199999997</v>
      </c>
      <c r="H9" s="27">
        <f>SUMIFS('Expense Details'!$V$2:$V$2955,'Expense Details'!$O$2:$O$2955,$A9,'Expense Details'!$N$2:$N$2955,H$4)</f>
        <v>3517.3921349999991</v>
      </c>
      <c r="I9" s="27">
        <f>SUMIFS('Expense Details'!$V$2:$V$2955,'Expense Details'!$O$2:$O$2955,$A9,'Expense Details'!$N$2:$N$2955,I$4)</f>
        <v>2700.2201899999995</v>
      </c>
      <c r="J9" s="27">
        <f>SUMIFS('Expense Details'!$V$2:$V$2955,'Expense Details'!$O$2:$O$2955,$A9,'Expense Details'!$N$2:$N$2955,J$4)</f>
        <v>2065.6161999999999</v>
      </c>
      <c r="K9" s="27">
        <f>SUMIFS('Expense Details'!$V$2:$V$2955,'Expense Details'!$O$2:$O$2955,$A9,'Expense Details'!$N$2:$N$2955,K$4)</f>
        <v>4215.7005499999996</v>
      </c>
      <c r="L9" s="27">
        <f>SUMIFS('Expense Details'!$V$2:$V$2955,'Expense Details'!$O$2:$O$2955,$A9,'Expense Details'!$N$2:$N$2955,L$4)</f>
        <v>2479.2688600000001</v>
      </c>
      <c r="M9" s="27">
        <f>SUMIFS('Expense Details'!$V$2:$V$2955,'Expense Details'!$O$2:$O$2955,$A9,'Expense Details'!$N$2:$N$2955,M$4)</f>
        <v>1432.26214</v>
      </c>
      <c r="N9" s="28">
        <f>SUM(B9:M9)</f>
        <v>32976.107513000003</v>
      </c>
      <c r="O9" s="24">
        <f>IFERROR(N9/N$23,0)</f>
        <v>6.9145232500708642E-2</v>
      </c>
      <c r="P9" s="29">
        <v>75</v>
      </c>
    </row>
    <row r="10" spans="1:16">
      <c r="A10" s="4" t="s">
        <v>57</v>
      </c>
      <c r="B10" s="27">
        <f>SUMIFS('Expense Details'!$V$2:$V$2955,'Expense Details'!$O$2:$O$2955,$A10,'Expense Details'!$N$2:$N$2955,B$4)</f>
        <v>542.08348000000001</v>
      </c>
      <c r="C10" s="27">
        <f>SUMIFS('Expense Details'!$V$2:$V$2955,'Expense Details'!$O$2:$O$2955,$A10,'Expense Details'!$N$2:$N$2955,C$4)</f>
        <v>667.46956</v>
      </c>
      <c r="D10" s="27">
        <f>SUMIFS('Expense Details'!$V$2:$V$2955,'Expense Details'!$O$2:$O$2955,$A10,'Expense Details'!$N$2:$N$2955,D$4)</f>
        <v>388.76806299999998</v>
      </c>
      <c r="E10" s="27">
        <f>SUMIFS('Expense Details'!$V$2:$V$2955,'Expense Details'!$O$2:$O$2955,$A10,'Expense Details'!$N$2:$N$2955,E$4)</f>
        <v>191.98475000000002</v>
      </c>
      <c r="F10" s="27">
        <f>SUMIFS('Expense Details'!$V$2:$V$2955,'Expense Details'!$O$2:$O$2955,$A10,'Expense Details'!$N$2:$N$2955,F$4)</f>
        <v>423.16596000000004</v>
      </c>
      <c r="G10" s="27">
        <f>SUMIFS('Expense Details'!$V$2:$V$2955,'Expense Details'!$O$2:$O$2955,$A10,'Expense Details'!$N$2:$N$2955,G$4)</f>
        <v>512.22748000000001</v>
      </c>
      <c r="H10" s="27">
        <f>SUMIFS('Expense Details'!$V$2:$V$2955,'Expense Details'!$O$2:$O$2955,$A10,'Expense Details'!$N$2:$N$2955,H$4)</f>
        <v>983.26288899999997</v>
      </c>
      <c r="I10" s="27">
        <f>SUMIFS('Expense Details'!$V$2:$V$2955,'Expense Details'!$O$2:$O$2955,$A10,'Expense Details'!$N$2:$N$2955,I$4)</f>
        <v>368.14697999999999</v>
      </c>
      <c r="J10" s="27">
        <f>SUMIFS('Expense Details'!$V$2:$V$2955,'Expense Details'!$O$2:$O$2955,$A10,'Expense Details'!$N$2:$N$2955,J$4)</f>
        <v>280.35090000000002</v>
      </c>
      <c r="K10" s="27">
        <f>SUMIFS('Expense Details'!$V$2:$V$2955,'Expense Details'!$O$2:$O$2955,$A10,'Expense Details'!$N$2:$N$2955,K$4)</f>
        <v>696.04078000000004</v>
      </c>
      <c r="L10" s="27">
        <f>SUMIFS('Expense Details'!$V$2:$V$2955,'Expense Details'!$O$2:$O$2955,$A10,'Expense Details'!$N$2:$N$2955,L$4)</f>
        <v>343.36005999999998</v>
      </c>
      <c r="M10" s="27">
        <f>SUMIFS('Expense Details'!$V$2:$V$2955,'Expense Details'!$O$2:$O$2955,$A10,'Expense Details'!$N$2:$N$2955,M$4)</f>
        <v>152.81016</v>
      </c>
      <c r="N10" s="28">
        <f>SUM(B10:M10)</f>
        <v>5549.6710620000003</v>
      </c>
      <c r="O10" s="24">
        <f>IFERROR(N10/N$23,0)</f>
        <v>1.163670684095045E-2</v>
      </c>
      <c r="P10" s="29">
        <v>200</v>
      </c>
    </row>
    <row r="11" spans="1:16">
      <c r="A11" s="4" t="s">
        <v>58</v>
      </c>
      <c r="B11" s="27">
        <f>SUMIFS('Expense Details'!$V$2:$V$2955,'Expense Details'!$O$2:$O$2955,$A11,'Expense Details'!$N$2:$N$2955,B$4)</f>
        <v>2406.2387199999998</v>
      </c>
      <c r="C11" s="27">
        <f>SUMIFS('Expense Details'!$V$2:$V$2955,'Expense Details'!$O$2:$O$2955,$A11,'Expense Details'!$N$2:$N$2955,C$4)</f>
        <v>1938.5151030000002</v>
      </c>
      <c r="D11" s="27">
        <f>SUMIFS('Expense Details'!$V$2:$V$2955,'Expense Details'!$O$2:$O$2955,$A11,'Expense Details'!$N$2:$N$2955,D$4)</f>
        <v>1723.5511779999999</v>
      </c>
      <c r="E11" s="27">
        <f>SUMIFS('Expense Details'!$V$2:$V$2955,'Expense Details'!$O$2:$O$2955,$A11,'Expense Details'!$N$2:$N$2955,E$4)</f>
        <v>1900.3631799999998</v>
      </c>
      <c r="F11" s="27">
        <f>SUMIFS('Expense Details'!$V$2:$V$2955,'Expense Details'!$O$2:$O$2955,$A11,'Expense Details'!$N$2:$N$2955,F$4)</f>
        <v>930.68404999999996</v>
      </c>
      <c r="G11" s="27">
        <f>SUMIFS('Expense Details'!$V$2:$V$2955,'Expense Details'!$O$2:$O$2955,$A11,'Expense Details'!$N$2:$N$2955,G$4)</f>
        <v>1337.2163899999996</v>
      </c>
      <c r="H11" s="27">
        <f>SUMIFS('Expense Details'!$V$2:$V$2955,'Expense Details'!$O$2:$O$2955,$A11,'Expense Details'!$N$2:$N$2955,H$4)</f>
        <v>1990.4765919999993</v>
      </c>
      <c r="I11" s="27">
        <f>SUMIFS('Expense Details'!$V$2:$V$2955,'Expense Details'!$O$2:$O$2955,$A11,'Expense Details'!$N$2:$N$2955,I$4)</f>
        <v>1162.5982000000001</v>
      </c>
      <c r="J11" s="27">
        <f>SUMIFS('Expense Details'!$V$2:$V$2955,'Expense Details'!$O$2:$O$2955,$A11,'Expense Details'!$N$2:$N$2955,J$4)</f>
        <v>1244.9477399999996</v>
      </c>
      <c r="K11" s="27">
        <f>SUMIFS('Expense Details'!$V$2:$V$2955,'Expense Details'!$O$2:$O$2955,$A11,'Expense Details'!$N$2:$N$2955,K$4)</f>
        <v>1784.0770500000001</v>
      </c>
      <c r="L11" s="27">
        <f>SUMIFS('Expense Details'!$V$2:$V$2955,'Expense Details'!$O$2:$O$2955,$A11,'Expense Details'!$N$2:$N$2955,L$4)</f>
        <v>1355.0730500000002</v>
      </c>
      <c r="M11" s="27">
        <f>SUMIFS('Expense Details'!$V$2:$V$2955,'Expense Details'!$O$2:$O$2955,$A11,'Expense Details'!$N$2:$N$2955,M$4)</f>
        <v>500.19314000000003</v>
      </c>
      <c r="N11" s="28">
        <f>SUM(B11:M11)</f>
        <v>18273.934392999996</v>
      </c>
      <c r="O11" s="24">
        <f>IFERROR(N11/N$23,0)</f>
        <v>3.8317301149280752E-2</v>
      </c>
      <c r="P11" s="29">
        <v>60</v>
      </c>
    </row>
    <row r="12" spans="1:16">
      <c r="A12" s="4" t="s">
        <v>59</v>
      </c>
      <c r="B12" s="27">
        <f>SUMIFS('Expense Details'!$V$2:$V$2955,'Expense Details'!$O$2:$O$2955,$A12,'Expense Details'!$N$2:$N$2955,B$4)</f>
        <v>684.59870000000001</v>
      </c>
      <c r="C12" s="27">
        <f>SUMIFS('Expense Details'!$V$2:$V$2955,'Expense Details'!$O$2:$O$2955,$A12,'Expense Details'!$N$2:$N$2955,C$4)</f>
        <v>529.57345999999995</v>
      </c>
      <c r="D12" s="27">
        <f>SUMIFS('Expense Details'!$V$2:$V$2955,'Expense Details'!$O$2:$O$2955,$A12,'Expense Details'!$N$2:$N$2955,D$4)</f>
        <v>279.168138</v>
      </c>
      <c r="E12" s="27">
        <f>SUMIFS('Expense Details'!$V$2:$V$2955,'Expense Details'!$O$2:$O$2955,$A12,'Expense Details'!$N$2:$N$2955,E$4)</f>
        <v>331.36225999999999</v>
      </c>
      <c r="F12" s="27">
        <f>SUMIFS('Expense Details'!$V$2:$V$2955,'Expense Details'!$O$2:$O$2955,$A12,'Expense Details'!$N$2:$N$2955,F$4)</f>
        <v>369.68603000000002</v>
      </c>
      <c r="G12" s="27">
        <f>SUMIFS('Expense Details'!$V$2:$V$2955,'Expense Details'!$O$2:$O$2955,$A12,'Expense Details'!$N$2:$N$2955,G$4)</f>
        <v>238.68144000000001</v>
      </c>
      <c r="H12" s="27">
        <f>SUMIFS('Expense Details'!$V$2:$V$2955,'Expense Details'!$O$2:$O$2955,$A12,'Expense Details'!$N$2:$N$2955,H$4)</f>
        <v>172.55</v>
      </c>
      <c r="I12" s="27">
        <f>SUMIFS('Expense Details'!$V$2:$V$2955,'Expense Details'!$O$2:$O$2955,$A12,'Expense Details'!$N$2:$N$2955,I$4)</f>
        <v>89.132750000000001</v>
      </c>
      <c r="J12" s="27">
        <f>SUMIFS('Expense Details'!$V$2:$V$2955,'Expense Details'!$O$2:$O$2955,$A12,'Expense Details'!$N$2:$N$2955,J$4)</f>
        <v>345.84917999999999</v>
      </c>
      <c r="K12" s="27">
        <f>SUMIFS('Expense Details'!$V$2:$V$2955,'Expense Details'!$O$2:$O$2955,$A12,'Expense Details'!$N$2:$N$2955,K$4)</f>
        <v>628.46671000000003</v>
      </c>
      <c r="L12" s="27">
        <f>SUMIFS('Expense Details'!$V$2:$V$2955,'Expense Details'!$O$2:$O$2955,$A12,'Expense Details'!$N$2:$N$2955,L$4)</f>
        <v>360.19567000000006</v>
      </c>
      <c r="M12" s="27">
        <f>SUMIFS('Expense Details'!$V$2:$V$2955,'Expense Details'!$O$2:$O$2955,$A12,'Expense Details'!$N$2:$N$2955,M$4)</f>
        <v>146.75524000000001</v>
      </c>
      <c r="N12" s="28">
        <f>SUM(B12:M12)</f>
        <v>4176.0195780000004</v>
      </c>
      <c r="O12" s="24">
        <f>IFERROR(N12/N$23,0)</f>
        <v>8.756395658113621E-3</v>
      </c>
      <c r="P12" s="29">
        <v>150</v>
      </c>
    </row>
    <row r="13" spans="1:16">
      <c r="A13" s="4" t="s">
        <v>60</v>
      </c>
      <c r="B13" s="27">
        <f>SUMIFS('Expense Details'!$V$2:$V$2955,'Expense Details'!$O$2:$O$2955,$A13,'Expense Details'!$N$2:$N$2955,B$4)</f>
        <v>436.33429999999998</v>
      </c>
      <c r="C13" s="27">
        <f>SUMIFS('Expense Details'!$V$2:$V$2955,'Expense Details'!$O$2:$O$2955,$A13,'Expense Details'!$N$2:$N$2955,C$4)</f>
        <v>1211.8291399999998</v>
      </c>
      <c r="D13" s="27">
        <f>SUMIFS('Expense Details'!$V$2:$V$2955,'Expense Details'!$O$2:$O$2955,$A13,'Expense Details'!$N$2:$N$2955,D$4)</f>
        <v>1048.8087</v>
      </c>
      <c r="E13" s="27">
        <f>SUMIFS('Expense Details'!$V$2:$V$2955,'Expense Details'!$O$2:$O$2955,$A13,'Expense Details'!$N$2:$N$2955,E$4)</f>
        <v>2065.8874900000001</v>
      </c>
      <c r="F13" s="27">
        <f>SUMIFS('Expense Details'!$V$2:$V$2955,'Expense Details'!$O$2:$O$2955,$A13,'Expense Details'!$N$2:$N$2955,F$4)</f>
        <v>903.05823999999996</v>
      </c>
      <c r="G13" s="27">
        <f>SUMIFS('Expense Details'!$V$2:$V$2955,'Expense Details'!$O$2:$O$2955,$A13,'Expense Details'!$N$2:$N$2955,G$4)</f>
        <v>532.48173999999995</v>
      </c>
      <c r="H13" s="27">
        <f>SUMIFS('Expense Details'!$V$2:$V$2955,'Expense Details'!$O$2:$O$2955,$A13,'Expense Details'!$N$2:$N$2955,H$4)</f>
        <v>2515.2682699999996</v>
      </c>
      <c r="I13" s="27">
        <f>SUMIFS('Expense Details'!$V$2:$V$2955,'Expense Details'!$O$2:$O$2955,$A13,'Expense Details'!$N$2:$N$2955,I$4)</f>
        <v>2273.8113400000002</v>
      </c>
      <c r="J13" s="27">
        <f>SUMIFS('Expense Details'!$V$2:$V$2955,'Expense Details'!$O$2:$O$2955,$A13,'Expense Details'!$N$2:$N$2955,J$4)</f>
        <v>1794.8674500000002</v>
      </c>
      <c r="K13" s="27">
        <f>SUMIFS('Expense Details'!$V$2:$V$2955,'Expense Details'!$O$2:$O$2955,$A13,'Expense Details'!$N$2:$N$2955,K$4)</f>
        <v>1978.336</v>
      </c>
      <c r="L13" s="27">
        <f>SUMIFS('Expense Details'!$V$2:$V$2955,'Expense Details'!$O$2:$O$2955,$A13,'Expense Details'!$N$2:$N$2955,L$4)</f>
        <v>1264.5798400000001</v>
      </c>
      <c r="M13" s="27">
        <f>SUMIFS('Expense Details'!$V$2:$V$2955,'Expense Details'!$O$2:$O$2955,$A13,'Expense Details'!$N$2:$N$2955,M$4)</f>
        <v>258.59456</v>
      </c>
      <c r="N13" s="28">
        <f>SUM(B13:M13)</f>
        <v>16283.85707</v>
      </c>
      <c r="O13" s="24">
        <f>IFERROR(N13/N$23,0)</f>
        <v>3.4144450877641647E-2</v>
      </c>
      <c r="P13" s="29">
        <v>120</v>
      </c>
    </row>
    <row r="14" spans="1:16">
      <c r="A14" s="4" t="s">
        <v>61</v>
      </c>
      <c r="B14" s="27">
        <f>SUMIFS('Expense Details'!$V$2:$V$2955,'Expense Details'!$O$2:$O$2955,$A14,'Expense Details'!$N$2:$N$2955,B$4)</f>
        <v>98.640250000000009</v>
      </c>
      <c r="C14" s="27">
        <f>SUMIFS('Expense Details'!$V$2:$V$2955,'Expense Details'!$O$2:$O$2955,$A14,'Expense Details'!$N$2:$N$2955,C$4)</f>
        <v>151.58575999999999</v>
      </c>
      <c r="D14" s="27">
        <f>SUMIFS('Expense Details'!$V$2:$V$2955,'Expense Details'!$O$2:$O$2955,$A14,'Expense Details'!$N$2:$N$2955,D$4)</f>
        <v>100.15875</v>
      </c>
      <c r="E14" s="27">
        <f>SUMIFS('Expense Details'!$V$2:$V$2955,'Expense Details'!$O$2:$O$2955,$A14,'Expense Details'!$N$2:$N$2955,E$4)</f>
        <v>185.10505000000001</v>
      </c>
      <c r="F14" s="27">
        <f>SUMIFS('Expense Details'!$V$2:$V$2955,'Expense Details'!$O$2:$O$2955,$A14,'Expense Details'!$N$2:$N$2955,F$4)</f>
        <v>190.98308999999998</v>
      </c>
      <c r="G14" s="27">
        <f>SUMIFS('Expense Details'!$V$2:$V$2955,'Expense Details'!$O$2:$O$2955,$A14,'Expense Details'!$N$2:$N$2955,G$4)</f>
        <v>182.88394</v>
      </c>
      <c r="H14" s="27">
        <f>SUMIFS('Expense Details'!$V$2:$V$2955,'Expense Details'!$O$2:$O$2955,$A14,'Expense Details'!$N$2:$N$2955,H$4)</f>
        <v>96.619460000000004</v>
      </c>
      <c r="I14" s="27">
        <f>SUMIFS('Expense Details'!$V$2:$V$2955,'Expense Details'!$O$2:$O$2955,$A14,'Expense Details'!$N$2:$N$2955,I$4)</f>
        <v>120.40267</v>
      </c>
      <c r="J14" s="27">
        <f>SUMIFS('Expense Details'!$V$2:$V$2955,'Expense Details'!$O$2:$O$2955,$A14,'Expense Details'!$N$2:$N$2955,J$4)</f>
        <v>162.86624</v>
      </c>
      <c r="K14" s="27">
        <f>SUMIFS('Expense Details'!$V$2:$V$2955,'Expense Details'!$O$2:$O$2955,$A14,'Expense Details'!$N$2:$N$2955,K$4)</f>
        <v>370.98334999999997</v>
      </c>
      <c r="L14" s="27">
        <f>SUMIFS('Expense Details'!$V$2:$V$2955,'Expense Details'!$O$2:$O$2955,$A14,'Expense Details'!$N$2:$N$2955,L$4)</f>
        <v>159.63655</v>
      </c>
      <c r="M14" s="27">
        <f>SUMIFS('Expense Details'!$V$2:$V$2955,'Expense Details'!$O$2:$O$2955,$A14,'Expense Details'!$N$2:$N$2955,M$4)</f>
        <v>106.86816</v>
      </c>
      <c r="N14" s="28">
        <f>SUM(B14:M14)</f>
        <v>1926.7332699999999</v>
      </c>
      <c r="O14" s="24">
        <f>IFERROR(N14/N$23,0)</f>
        <v>4.0400286743509754E-3</v>
      </c>
      <c r="P14" s="29">
        <v>90</v>
      </c>
    </row>
    <row r="15" spans="1:16">
      <c r="A15" s="4" t="s">
        <v>62</v>
      </c>
      <c r="B15" s="27">
        <f>SUMIFS('Expense Details'!$V$2:$V$2955,'Expense Details'!$O$2:$O$2955,$A15,'Expense Details'!$N$2:$N$2955,B$4)</f>
        <v>63.444650000000003</v>
      </c>
      <c r="C15" s="27">
        <f>SUMIFS('Expense Details'!$V$2:$V$2955,'Expense Details'!$O$2:$O$2955,$A15,'Expense Details'!$N$2:$N$2955,C$4)</f>
        <v>46.70308</v>
      </c>
      <c r="D15" s="27">
        <f>SUMIFS('Expense Details'!$V$2:$V$2955,'Expense Details'!$O$2:$O$2955,$A15,'Expense Details'!$N$2:$N$2955,D$4)</f>
        <v>69.554450000000003</v>
      </c>
      <c r="E15" s="27">
        <f>SUMIFS('Expense Details'!$V$2:$V$2955,'Expense Details'!$O$2:$O$2955,$A15,'Expense Details'!$N$2:$N$2955,E$4)</f>
        <v>63.616240000000005</v>
      </c>
      <c r="F15" s="27">
        <f>SUMIFS('Expense Details'!$V$2:$V$2955,'Expense Details'!$O$2:$O$2955,$A15,'Expense Details'!$N$2:$N$2955,F$4)</f>
        <v>37.775919999999999</v>
      </c>
      <c r="G15" s="27">
        <f>SUMIFS('Expense Details'!$V$2:$V$2955,'Expense Details'!$O$2:$O$2955,$A15,'Expense Details'!$N$2:$N$2955,G$4)</f>
        <v>16.787679999999998</v>
      </c>
      <c r="H15" s="27">
        <f>SUMIFS('Expense Details'!$V$2:$V$2955,'Expense Details'!$O$2:$O$2955,$A15,'Expense Details'!$N$2:$N$2955,H$4)</f>
        <v>41.233199999999997</v>
      </c>
      <c r="I15" s="27">
        <f>SUMIFS('Expense Details'!$V$2:$V$2955,'Expense Details'!$O$2:$O$2955,$A15,'Expense Details'!$N$2:$N$2955,I$4)</f>
        <v>49.093359999999997</v>
      </c>
      <c r="J15" s="27">
        <f>SUMIFS('Expense Details'!$V$2:$V$2955,'Expense Details'!$O$2:$O$2955,$A15,'Expense Details'!$N$2:$N$2955,J$4)</f>
        <v>66.023799999999994</v>
      </c>
      <c r="K15" s="27">
        <f>SUMIFS('Expense Details'!$V$2:$V$2955,'Expense Details'!$O$2:$O$2955,$A15,'Expense Details'!$N$2:$N$2955,K$4)</f>
        <v>87.899599999999992</v>
      </c>
      <c r="L15" s="27">
        <f>SUMIFS('Expense Details'!$V$2:$V$2955,'Expense Details'!$O$2:$O$2955,$A15,'Expense Details'!$N$2:$N$2955,L$4)</f>
        <v>79.635220000000004</v>
      </c>
      <c r="M15" s="27">
        <f>SUMIFS('Expense Details'!$V$2:$V$2955,'Expense Details'!$O$2:$O$2955,$A15,'Expense Details'!$N$2:$N$2955,M$4)</f>
        <v>28.660740000000001</v>
      </c>
      <c r="N15" s="28">
        <f>SUM(B15:M15)</f>
        <v>650.42794000000004</v>
      </c>
      <c r="O15" s="24">
        <f>IFERROR(N15/N$23,0)</f>
        <v>1.3638356533901737E-3</v>
      </c>
      <c r="P15" s="29">
        <v>45</v>
      </c>
    </row>
    <row r="16" spans="1:16">
      <c r="A16" s="4" t="s">
        <v>63</v>
      </c>
      <c r="B16" s="27">
        <f>SUMIFS('Expense Details'!$V$2:$V$2955,'Expense Details'!$O$2:$O$2955,$A16,'Expense Details'!$N$2:$N$2955,B$4)</f>
        <v>6093.3173999999999</v>
      </c>
      <c r="C16" s="27">
        <f>SUMIFS('Expense Details'!$V$2:$V$2955,'Expense Details'!$O$2:$O$2955,$A16,'Expense Details'!$N$2:$N$2955,C$4)</f>
        <v>1124.74262</v>
      </c>
      <c r="D16" s="27">
        <f>SUMIFS('Expense Details'!$V$2:$V$2955,'Expense Details'!$O$2:$O$2955,$A16,'Expense Details'!$N$2:$N$2955,D$4)</f>
        <v>689.18826999999999</v>
      </c>
      <c r="E16" s="27">
        <f>SUMIFS('Expense Details'!$V$2:$V$2955,'Expense Details'!$O$2:$O$2955,$A16,'Expense Details'!$N$2:$N$2955,E$4)</f>
        <v>2325.5932600000001</v>
      </c>
      <c r="F16" s="27">
        <f>SUMIFS('Expense Details'!$V$2:$V$2955,'Expense Details'!$O$2:$O$2955,$A16,'Expense Details'!$N$2:$N$2955,F$4)</f>
        <v>1717.66455</v>
      </c>
      <c r="G16" s="27">
        <f>SUMIFS('Expense Details'!$V$2:$V$2955,'Expense Details'!$O$2:$O$2955,$A16,'Expense Details'!$N$2:$N$2955,G$4)</f>
        <v>0</v>
      </c>
      <c r="H16" s="27">
        <f>SUMIFS('Expense Details'!$V$2:$V$2955,'Expense Details'!$O$2:$O$2955,$A16,'Expense Details'!$N$2:$N$2955,H$4)</f>
        <v>3318.152036</v>
      </c>
      <c r="I16" s="27">
        <f>SUMIFS('Expense Details'!$V$2:$V$2955,'Expense Details'!$O$2:$O$2955,$A16,'Expense Details'!$N$2:$N$2955,I$4)</f>
        <v>4144.2711900000004</v>
      </c>
      <c r="J16" s="27">
        <f>SUMIFS('Expense Details'!$V$2:$V$2955,'Expense Details'!$O$2:$O$2955,$A16,'Expense Details'!$N$2:$N$2955,J$4)</f>
        <v>1098.56</v>
      </c>
      <c r="K16" s="27">
        <f>SUMIFS('Expense Details'!$V$2:$V$2955,'Expense Details'!$O$2:$O$2955,$A16,'Expense Details'!$N$2:$N$2955,K$4)</f>
        <v>2509.7028899999996</v>
      </c>
      <c r="L16" s="27">
        <f>SUMIFS('Expense Details'!$V$2:$V$2955,'Expense Details'!$O$2:$O$2955,$A16,'Expense Details'!$N$2:$N$2955,L$4)</f>
        <v>2283.3820299999998</v>
      </c>
      <c r="M16" s="27">
        <f>SUMIFS('Expense Details'!$V$2:$V$2955,'Expense Details'!$O$2:$O$2955,$A16,'Expense Details'!$N$2:$N$2955,M$4)</f>
        <v>0</v>
      </c>
      <c r="N16" s="28">
        <f>SUM(B16:M16)</f>
        <v>25304.574246</v>
      </c>
      <c r="O16" s="24">
        <f>IFERROR(N16/N$23,0)</f>
        <v>5.3059345129844157E-2</v>
      </c>
      <c r="P16" s="29">
        <v>1200</v>
      </c>
    </row>
    <row r="17" spans="1:16">
      <c r="A17" s="4" t="s">
        <v>64</v>
      </c>
      <c r="B17" s="27">
        <f>SUMIFS('Expense Details'!$V$2:$V$2955,'Expense Details'!$O$2:$O$2955,$A17,'Expense Details'!$N$2:$N$2955,B$4)</f>
        <v>382.09367999999995</v>
      </c>
      <c r="C17" s="27">
        <f>SUMIFS('Expense Details'!$V$2:$V$2955,'Expense Details'!$O$2:$O$2955,$A17,'Expense Details'!$N$2:$N$2955,C$4)</f>
        <v>407.60275999999999</v>
      </c>
      <c r="D17" s="27">
        <f>SUMIFS('Expense Details'!$V$2:$V$2955,'Expense Details'!$O$2:$O$2955,$A17,'Expense Details'!$N$2:$N$2955,D$4)</f>
        <v>238.23291999999998</v>
      </c>
      <c r="E17" s="27">
        <f>SUMIFS('Expense Details'!$V$2:$V$2955,'Expense Details'!$O$2:$O$2955,$A17,'Expense Details'!$N$2:$N$2955,E$4)</f>
        <v>153.96119000000002</v>
      </c>
      <c r="F17" s="27">
        <f>SUMIFS('Expense Details'!$V$2:$V$2955,'Expense Details'!$O$2:$O$2955,$A17,'Expense Details'!$N$2:$N$2955,F$4)</f>
        <v>399.02305999999999</v>
      </c>
      <c r="G17" s="27">
        <f>SUMIFS('Expense Details'!$V$2:$V$2955,'Expense Details'!$O$2:$O$2955,$A17,'Expense Details'!$N$2:$N$2955,G$4)</f>
        <v>152.82999999999998</v>
      </c>
      <c r="H17" s="27">
        <f>SUMIFS('Expense Details'!$V$2:$V$2955,'Expense Details'!$O$2:$O$2955,$A17,'Expense Details'!$N$2:$N$2955,H$4)</f>
        <v>269.01659999999998</v>
      </c>
      <c r="I17" s="27">
        <f>SUMIFS('Expense Details'!$V$2:$V$2955,'Expense Details'!$O$2:$O$2955,$A17,'Expense Details'!$N$2:$N$2955,I$4)</f>
        <v>422.38390000000004</v>
      </c>
      <c r="J17" s="27">
        <f>SUMIFS('Expense Details'!$V$2:$V$2955,'Expense Details'!$O$2:$O$2955,$A17,'Expense Details'!$N$2:$N$2955,J$4)</f>
        <v>341.20598000000001</v>
      </c>
      <c r="K17" s="27">
        <f>SUMIFS('Expense Details'!$V$2:$V$2955,'Expense Details'!$O$2:$O$2955,$A17,'Expense Details'!$N$2:$N$2955,K$4)</f>
        <v>605.18584999999996</v>
      </c>
      <c r="L17" s="27">
        <f>SUMIFS('Expense Details'!$V$2:$V$2955,'Expense Details'!$O$2:$O$2955,$A17,'Expense Details'!$N$2:$N$2955,L$4)</f>
        <v>451.13671000000005</v>
      </c>
      <c r="M17" s="27">
        <f>SUMIFS('Expense Details'!$V$2:$V$2955,'Expense Details'!$O$2:$O$2955,$A17,'Expense Details'!$N$2:$N$2955,M$4)</f>
        <v>0</v>
      </c>
      <c r="N17" s="28">
        <f>SUM(B17:M17)</f>
        <v>3822.67265</v>
      </c>
      <c r="O17" s="24">
        <f>IFERROR(N17/N$23,0)</f>
        <v>8.0154878514436152E-3</v>
      </c>
      <c r="P17" s="29">
        <v>120</v>
      </c>
    </row>
    <row r="18" spans="1:16">
      <c r="A18" s="4" t="s">
        <v>65</v>
      </c>
      <c r="B18" s="27">
        <f>SUMIFS('Expense Details'!$V$2:$V$2955,'Expense Details'!$O$2:$O$2955,$A18,'Expense Details'!$N$2:$N$2955,B$4)</f>
        <v>315.83782000000002</v>
      </c>
      <c r="C18" s="27">
        <f>SUMIFS('Expense Details'!$V$2:$V$2955,'Expense Details'!$O$2:$O$2955,$A18,'Expense Details'!$N$2:$N$2955,C$4)</f>
        <v>330.33113500000002</v>
      </c>
      <c r="D18" s="27">
        <f>SUMIFS('Expense Details'!$V$2:$V$2955,'Expense Details'!$O$2:$O$2955,$A18,'Expense Details'!$N$2:$N$2955,D$4)</f>
        <v>79.03546</v>
      </c>
      <c r="E18" s="27">
        <f>SUMIFS('Expense Details'!$V$2:$V$2955,'Expense Details'!$O$2:$O$2955,$A18,'Expense Details'!$N$2:$N$2955,E$4)</f>
        <v>70.006339999999994</v>
      </c>
      <c r="F18" s="27">
        <f>SUMIFS('Expense Details'!$V$2:$V$2955,'Expense Details'!$O$2:$O$2955,$A18,'Expense Details'!$N$2:$N$2955,F$4)</f>
        <v>173.35446999999999</v>
      </c>
      <c r="G18" s="27">
        <f>SUMIFS('Expense Details'!$V$2:$V$2955,'Expense Details'!$O$2:$O$2955,$A18,'Expense Details'!$N$2:$N$2955,G$4)</f>
        <v>46.708479999999994</v>
      </c>
      <c r="H18" s="27">
        <f>SUMIFS('Expense Details'!$V$2:$V$2955,'Expense Details'!$O$2:$O$2955,$A18,'Expense Details'!$N$2:$N$2955,H$4)</f>
        <v>23.705569999999998</v>
      </c>
      <c r="I18" s="27">
        <f>SUMIFS('Expense Details'!$V$2:$V$2955,'Expense Details'!$O$2:$O$2955,$A18,'Expense Details'!$N$2:$N$2955,I$4)</f>
        <v>171.39710000000002</v>
      </c>
      <c r="J18" s="27">
        <f>SUMIFS('Expense Details'!$V$2:$V$2955,'Expense Details'!$O$2:$O$2955,$A18,'Expense Details'!$N$2:$N$2955,J$4)</f>
        <v>31.8339</v>
      </c>
      <c r="K18" s="27">
        <f>SUMIFS('Expense Details'!$V$2:$V$2955,'Expense Details'!$O$2:$O$2955,$A18,'Expense Details'!$N$2:$N$2955,K$4)</f>
        <v>217.42793</v>
      </c>
      <c r="L18" s="27">
        <f>SUMIFS('Expense Details'!$V$2:$V$2955,'Expense Details'!$O$2:$O$2955,$A18,'Expense Details'!$N$2:$N$2955,L$4)</f>
        <v>159.45049</v>
      </c>
      <c r="M18" s="27">
        <f>SUMIFS('Expense Details'!$V$2:$V$2955,'Expense Details'!$O$2:$O$2955,$A18,'Expense Details'!$N$2:$N$2955,M$4)</f>
        <v>0</v>
      </c>
      <c r="N18" s="28">
        <f>SUM(B18:M18)</f>
        <v>1619.0886950000004</v>
      </c>
      <c r="O18" s="24">
        <f>IFERROR(N18/N$23,0)</f>
        <v>3.3949508507306264E-3</v>
      </c>
      <c r="P18" s="29">
        <v>55</v>
      </c>
    </row>
    <row r="19" spans="1:16">
      <c r="A19" s="4" t="s">
        <v>66</v>
      </c>
      <c r="B19" s="27">
        <f>SUMIFS('Expense Details'!$V$2:$V$2955,'Expense Details'!$O$2:$O$2955,$A19,'Expense Details'!$N$2:$N$2955,B$4)</f>
        <v>201.64175</v>
      </c>
      <c r="C19" s="27">
        <f>SUMIFS('Expense Details'!$V$2:$V$2955,'Expense Details'!$O$2:$O$2955,$A19,'Expense Details'!$N$2:$N$2955,C$4)</f>
        <v>268.73838000000001</v>
      </c>
      <c r="D19" s="27">
        <f>SUMIFS('Expense Details'!$V$2:$V$2955,'Expense Details'!$O$2:$O$2955,$A19,'Expense Details'!$N$2:$N$2955,D$4)</f>
        <v>412.31721999999996</v>
      </c>
      <c r="E19" s="27">
        <f>SUMIFS('Expense Details'!$V$2:$V$2955,'Expense Details'!$O$2:$O$2955,$A19,'Expense Details'!$N$2:$N$2955,E$4)</f>
        <v>0</v>
      </c>
      <c r="F19" s="27">
        <f>SUMIFS('Expense Details'!$V$2:$V$2955,'Expense Details'!$O$2:$O$2955,$A19,'Expense Details'!$N$2:$N$2955,F$4)</f>
        <v>205.49472999999998</v>
      </c>
      <c r="G19" s="27">
        <f>SUMIFS('Expense Details'!$V$2:$V$2955,'Expense Details'!$O$2:$O$2955,$A19,'Expense Details'!$N$2:$N$2955,G$4)</f>
        <v>116.88116000000001</v>
      </c>
      <c r="H19" s="27">
        <f>SUMIFS('Expense Details'!$V$2:$V$2955,'Expense Details'!$O$2:$O$2955,$A19,'Expense Details'!$N$2:$N$2955,H$4)</f>
        <v>548.66768999999999</v>
      </c>
      <c r="I19" s="27">
        <f>SUMIFS('Expense Details'!$V$2:$V$2955,'Expense Details'!$O$2:$O$2955,$A19,'Expense Details'!$N$2:$N$2955,I$4)</f>
        <v>270.53389999999996</v>
      </c>
      <c r="J19" s="27">
        <f>SUMIFS('Expense Details'!$V$2:$V$2955,'Expense Details'!$O$2:$O$2955,$A19,'Expense Details'!$N$2:$N$2955,J$4)</f>
        <v>0</v>
      </c>
      <c r="K19" s="27">
        <f>SUMIFS('Expense Details'!$V$2:$V$2955,'Expense Details'!$O$2:$O$2955,$A19,'Expense Details'!$N$2:$N$2955,K$4)</f>
        <v>402.93644999999998</v>
      </c>
      <c r="L19" s="27">
        <f>SUMIFS('Expense Details'!$V$2:$V$2955,'Expense Details'!$O$2:$O$2955,$A19,'Expense Details'!$N$2:$N$2955,L$4)</f>
        <v>535.86090000000002</v>
      </c>
      <c r="M19" s="27">
        <f>SUMIFS('Expense Details'!$V$2:$V$2955,'Expense Details'!$O$2:$O$2955,$A19,'Expense Details'!$N$2:$N$2955,M$4)</f>
        <v>0</v>
      </c>
      <c r="N19" s="28">
        <f>SUM(B19:M19)</f>
        <v>2963.0721799999997</v>
      </c>
      <c r="O19" s="24">
        <f>IFERROR(N19/N$23,0)</f>
        <v>6.2130533363196939E-3</v>
      </c>
      <c r="P19" s="29">
        <v>250</v>
      </c>
    </row>
    <row r="20" spans="1:16">
      <c r="A20" s="4" t="s">
        <v>67</v>
      </c>
      <c r="B20" s="27">
        <f>SUMIFS('Expense Details'!$V$2:$V$2955,'Expense Details'!$O$2:$O$2955,$A20,'Expense Details'!$N$2:$N$2955,B$4)</f>
        <v>243.86515000000003</v>
      </c>
      <c r="C20" s="27">
        <f>SUMIFS('Expense Details'!$V$2:$V$2955,'Expense Details'!$O$2:$O$2955,$A20,'Expense Details'!$N$2:$N$2955,C$4)</f>
        <v>361.31155999999999</v>
      </c>
      <c r="D20" s="27">
        <f>SUMIFS('Expense Details'!$V$2:$V$2955,'Expense Details'!$O$2:$O$2955,$A20,'Expense Details'!$N$2:$N$2955,D$4)</f>
        <v>93.69</v>
      </c>
      <c r="E20" s="27">
        <f>SUMIFS('Expense Details'!$V$2:$V$2955,'Expense Details'!$O$2:$O$2955,$A20,'Expense Details'!$N$2:$N$2955,E$4)</f>
        <v>0</v>
      </c>
      <c r="F20" s="27">
        <f>SUMIFS('Expense Details'!$V$2:$V$2955,'Expense Details'!$O$2:$O$2955,$A20,'Expense Details'!$N$2:$N$2955,F$4)</f>
        <v>126.16182000000001</v>
      </c>
      <c r="G20" s="27">
        <f>SUMIFS('Expense Details'!$V$2:$V$2955,'Expense Details'!$O$2:$O$2955,$A20,'Expense Details'!$N$2:$N$2955,G$4)</f>
        <v>123.40433999999999</v>
      </c>
      <c r="H20" s="27">
        <f>SUMIFS('Expense Details'!$V$2:$V$2955,'Expense Details'!$O$2:$O$2955,$A20,'Expense Details'!$N$2:$N$2955,H$4)</f>
        <v>220.97641999999999</v>
      </c>
      <c r="I20" s="27">
        <f>SUMIFS('Expense Details'!$V$2:$V$2955,'Expense Details'!$O$2:$O$2955,$A20,'Expense Details'!$N$2:$N$2955,I$4)</f>
        <v>264.39503000000002</v>
      </c>
      <c r="J20" s="27">
        <f>SUMIFS('Expense Details'!$V$2:$V$2955,'Expense Details'!$O$2:$O$2955,$A20,'Expense Details'!$N$2:$N$2955,J$4)</f>
        <v>50.01</v>
      </c>
      <c r="K20" s="27">
        <f>SUMIFS('Expense Details'!$V$2:$V$2955,'Expense Details'!$O$2:$O$2955,$A20,'Expense Details'!$N$2:$N$2955,K$4)</f>
        <v>74.647899999999993</v>
      </c>
      <c r="L20" s="27">
        <f>SUMIFS('Expense Details'!$V$2:$V$2955,'Expense Details'!$O$2:$O$2955,$A20,'Expense Details'!$N$2:$N$2955,L$4)</f>
        <v>116.89993999999999</v>
      </c>
      <c r="M20" s="27">
        <f>SUMIFS('Expense Details'!$V$2:$V$2955,'Expense Details'!$O$2:$O$2955,$A20,'Expense Details'!$N$2:$N$2955,M$4)</f>
        <v>85.240080000000006</v>
      </c>
      <c r="N20" s="28">
        <f>SUM(B20:M20)</f>
        <v>1760.6022400000002</v>
      </c>
      <c r="O20" s="24">
        <f>IFERROR(N20/N$23,0)</f>
        <v>3.6916804440328983E-3</v>
      </c>
      <c r="P20" s="29">
        <v>100</v>
      </c>
    </row>
    <row r="21" spans="1:16">
      <c r="A21" s="4" t="s">
        <v>68</v>
      </c>
      <c r="B21" s="27">
        <f>SUMIFS('Expense Details'!$V$2:$V$2955,'Expense Details'!$O$2:$O$2955,$A21,'Expense Details'!$N$2:$N$2955,B$4)</f>
        <v>48.519378999999994</v>
      </c>
      <c r="C21" s="27">
        <f>SUMIFS('Expense Details'!$V$2:$V$2955,'Expense Details'!$O$2:$O$2955,$A21,'Expense Details'!$N$2:$N$2955,C$4)</f>
        <v>87.721760000000003</v>
      </c>
      <c r="D21" s="27">
        <f>SUMIFS('Expense Details'!$V$2:$V$2955,'Expense Details'!$O$2:$O$2955,$A21,'Expense Details'!$N$2:$N$2955,D$4)</f>
        <v>111.29236800000001</v>
      </c>
      <c r="E21" s="27">
        <f>SUMIFS('Expense Details'!$V$2:$V$2955,'Expense Details'!$O$2:$O$2955,$A21,'Expense Details'!$N$2:$N$2955,E$4)</f>
        <v>90.573080000000004</v>
      </c>
      <c r="F21" s="27">
        <f>SUMIFS('Expense Details'!$V$2:$V$2955,'Expense Details'!$O$2:$O$2955,$A21,'Expense Details'!$N$2:$N$2955,F$4)</f>
        <v>95.605909999999994</v>
      </c>
      <c r="G21" s="27">
        <f>SUMIFS('Expense Details'!$V$2:$V$2955,'Expense Details'!$O$2:$O$2955,$A21,'Expense Details'!$N$2:$N$2955,G$4)</f>
        <v>75.253189999999989</v>
      </c>
      <c r="H21" s="27">
        <f>SUMIFS('Expense Details'!$V$2:$V$2955,'Expense Details'!$O$2:$O$2955,$A21,'Expense Details'!$N$2:$N$2955,H$4)</f>
        <v>67.479290000000006</v>
      </c>
      <c r="I21" s="27">
        <f>SUMIFS('Expense Details'!$V$2:$V$2955,'Expense Details'!$O$2:$O$2955,$A21,'Expense Details'!$N$2:$N$2955,I$4)</f>
        <v>43.079599999999999</v>
      </c>
      <c r="J21" s="27">
        <f>SUMIFS('Expense Details'!$V$2:$V$2955,'Expense Details'!$O$2:$O$2955,$A21,'Expense Details'!$N$2:$N$2955,J$4)</f>
        <v>20.1159</v>
      </c>
      <c r="K21" s="27">
        <f>SUMIFS('Expense Details'!$V$2:$V$2955,'Expense Details'!$O$2:$O$2955,$A21,'Expense Details'!$N$2:$N$2955,K$4)</f>
        <v>148.28451999999999</v>
      </c>
      <c r="L21" s="27">
        <f>SUMIFS('Expense Details'!$V$2:$V$2955,'Expense Details'!$O$2:$O$2955,$A21,'Expense Details'!$N$2:$N$2955,L$4)</f>
        <v>108.41860000000001</v>
      </c>
      <c r="M21" s="27">
        <f>SUMIFS('Expense Details'!$V$2:$V$2955,'Expense Details'!$O$2:$O$2955,$A21,'Expense Details'!$N$2:$N$2955,M$4)</f>
        <v>28.08352</v>
      </c>
      <c r="N21" s="28">
        <f>SUM(B21:M21)</f>
        <v>924.42711700000007</v>
      </c>
      <c r="O21" s="24">
        <f>IFERROR(N21/N$23,0)</f>
        <v>1.9383648573357557E-3</v>
      </c>
      <c r="P21" s="29">
        <v>30</v>
      </c>
    </row>
    <row r="22" spans="1:16">
      <c r="A22" s="4" t="s">
        <v>69</v>
      </c>
      <c r="B22" s="27">
        <f>SUMIFS('Expense Details'!$V$2:$V$2955,'Expense Details'!$O$2:$O$2955,$A22,'Expense Details'!$N$2:$N$2955,B$4)</f>
        <v>21.63</v>
      </c>
      <c r="C22" s="27">
        <f>SUMIFS('Expense Details'!$V$2:$V$2955,'Expense Details'!$O$2:$O$2955,$A22,'Expense Details'!$N$2:$N$2955,C$4)</f>
        <v>134.02907999999999</v>
      </c>
      <c r="D22" s="27">
        <f>SUMIFS('Expense Details'!$V$2:$V$2955,'Expense Details'!$O$2:$O$2955,$A22,'Expense Details'!$N$2:$N$2955,D$4)</f>
        <v>74.44</v>
      </c>
      <c r="E22" s="27">
        <f>SUMIFS('Expense Details'!$V$2:$V$2955,'Expense Details'!$O$2:$O$2955,$A22,'Expense Details'!$N$2:$N$2955,E$4)</f>
        <v>25.482989999999997</v>
      </c>
      <c r="F22" s="27">
        <f>SUMIFS('Expense Details'!$V$2:$V$2955,'Expense Details'!$O$2:$O$2955,$A22,'Expense Details'!$N$2:$N$2955,F$4)</f>
        <v>110.91695999999999</v>
      </c>
      <c r="G22" s="27">
        <f>SUMIFS('Expense Details'!$V$2:$V$2955,'Expense Details'!$O$2:$O$2955,$A22,'Expense Details'!$N$2:$N$2955,G$4)</f>
        <v>75.739999999999995</v>
      </c>
      <c r="H22" s="27">
        <f>SUMIFS('Expense Details'!$V$2:$V$2955,'Expense Details'!$O$2:$O$2955,$A22,'Expense Details'!$N$2:$N$2955,H$4)</f>
        <v>0</v>
      </c>
      <c r="I22" s="27">
        <f>SUMIFS('Expense Details'!$V$2:$V$2955,'Expense Details'!$O$2:$O$2955,$A22,'Expense Details'!$N$2:$N$2955,I$4)</f>
        <v>51.212000000000003</v>
      </c>
      <c r="J22" s="27">
        <f>SUMIFS('Expense Details'!$V$2:$V$2955,'Expense Details'!$O$2:$O$2955,$A22,'Expense Details'!$N$2:$N$2955,J$4)</f>
        <v>73.680110000000013</v>
      </c>
      <c r="K22" s="27">
        <f>SUMIFS('Expense Details'!$V$2:$V$2955,'Expense Details'!$O$2:$O$2955,$A22,'Expense Details'!$N$2:$N$2955,K$4)</f>
        <v>26.004159999999999</v>
      </c>
      <c r="L22" s="27">
        <f>SUMIFS('Expense Details'!$V$2:$V$2955,'Expense Details'!$O$2:$O$2955,$A22,'Expense Details'!$N$2:$N$2955,L$4)</f>
        <v>40.97</v>
      </c>
      <c r="M22" s="27">
        <f>SUMIFS('Expense Details'!$V$2:$V$2955,'Expense Details'!$O$2:$O$2955,$A22,'Expense Details'!$N$2:$N$2955,M$4)</f>
        <v>59.544800000000002</v>
      </c>
      <c r="N22" s="28">
        <f>SUM(B22:M22)</f>
        <v>693.65009999999995</v>
      </c>
      <c r="O22" s="24">
        <f>IFERROR(N22/N$23,0)</f>
        <v>1.4544650977903243E-3</v>
      </c>
      <c r="P22" s="29">
        <v>60</v>
      </c>
    </row>
    <row r="23" spans="1:16">
      <c r="A23" s="19" t="s">
        <v>3481</v>
      </c>
      <c r="B23" s="30">
        <f>SUM(B5:B22)</f>
        <v>64685.831022999999</v>
      </c>
      <c r="C23" s="30">
        <f>SUM(C5:C22)</f>
        <v>47972.753829999994</v>
      </c>
      <c r="D23" s="30">
        <f>SUM(D5:D22)</f>
        <v>39565.043833000018</v>
      </c>
      <c r="E23" s="30">
        <f>SUM(E5:E22)</f>
        <v>32604.018986000003</v>
      </c>
      <c r="F23" s="30">
        <f>SUM(F5:F22)</f>
        <v>34536.363949999992</v>
      </c>
      <c r="G23" s="30">
        <f>SUM(G5:G22)</f>
        <v>26272.705340000008</v>
      </c>
      <c r="H23" s="30">
        <f>SUM(H5:H22)</f>
        <v>44977.532653000017</v>
      </c>
      <c r="I23" s="30">
        <f>SUM(I5:I22)</f>
        <v>45959.109059999988</v>
      </c>
      <c r="J23" s="30">
        <f>SUM(J5:J22)</f>
        <v>33491.944439999999</v>
      </c>
      <c r="K23" s="30">
        <f>SUM(K5:K22)</f>
        <v>56623.213350000013</v>
      </c>
      <c r="L23" s="30">
        <f>SUM(L5:L22)</f>
        <v>40940.307220000002</v>
      </c>
      <c r="M23" s="30">
        <f>SUM(M5:M22)</f>
        <v>9281.9671299999991</v>
      </c>
      <c r="N23" s="30">
        <f>SUM(N5:N22)</f>
        <v>476910.79081500007</v>
      </c>
      <c r="O23" s="25">
        <v>1</v>
      </c>
      <c r="P23" s="20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24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2" customWidth="1"/>
    <col min="2" max="2" width="20" customWidth="1"/>
    <col min="3" max="3" width="18" customWidth="1"/>
    <col min="4" max="4" width="14" customWidth="1"/>
    <col min="5" max="5" width="13" customWidth="1"/>
    <col min="6" max="6" width="24" customWidth="1"/>
    <col min="7" max="7" width="20" customWidth="1"/>
    <col min="8" max="10" width="13" customWidth="1"/>
    <col min="11" max="11" width="11" customWidth="1"/>
    <col min="12" max="12" width="12" customWidth="1"/>
    <col min="13" max="13" width="30" customWidth="1"/>
    <col min="14" max="14" width="16" customWidth="1"/>
    <col min="15" max="15" width="18" customWidth="1"/>
  </cols>
  <sheetData>
    <row r="1" spans="1:15" ht="17.45">
      <c r="A1" s="18" t="s">
        <v>3497</v>
      </c>
    </row>
    <row r="2" spans="1:15">
      <c r="A2" s="26" t="s">
        <v>3498</v>
      </c>
    </row>
    <row r="4" spans="1:15" ht="30" customHeight="1">
      <c r="A4" s="5" t="s">
        <v>86</v>
      </c>
      <c r="B4" s="5" t="s">
        <v>88</v>
      </c>
      <c r="C4" s="5" t="s">
        <v>89</v>
      </c>
      <c r="D4" s="5" t="s">
        <v>92</v>
      </c>
      <c r="E4" s="5" t="s">
        <v>98</v>
      </c>
      <c r="F4" s="5" t="s">
        <v>50</v>
      </c>
      <c r="G4" s="5" t="s">
        <v>102</v>
      </c>
      <c r="H4" s="5" t="s">
        <v>34</v>
      </c>
      <c r="I4" s="5" t="s">
        <v>51</v>
      </c>
      <c r="J4" s="5" t="s">
        <v>3499</v>
      </c>
      <c r="K4" s="5" t="s">
        <v>3500</v>
      </c>
      <c r="L4" s="5" t="s">
        <v>108</v>
      </c>
      <c r="M4" s="5" t="s">
        <v>3501</v>
      </c>
      <c r="N4" s="5" t="s">
        <v>111</v>
      </c>
      <c r="O4" s="5" t="s">
        <v>91</v>
      </c>
    </row>
    <row r="5" spans="1:15">
      <c r="A5" s="31" t="str">
        <f>'Expense Details'!A2</f>
        <v>EXP-00001</v>
      </c>
      <c r="B5" s="31" t="str">
        <f>'Expense Details'!C2</f>
        <v>Rohit Malhotra</v>
      </c>
      <c r="C5" s="31" t="str">
        <f>'Expense Details'!D2</f>
        <v>Sales</v>
      </c>
      <c r="D5" s="31" t="str">
        <f>'Expense Details'!G2</f>
        <v>TRP-2025-061</v>
      </c>
      <c r="E5" s="32">
        <f>'Expense Details'!M2</f>
        <v>45658</v>
      </c>
      <c r="F5" s="31" t="str">
        <f>'Expense Details'!O2</f>
        <v>Airfare</v>
      </c>
      <c r="G5" s="31" t="str">
        <f>'Expense Details'!Q2</f>
        <v>Lufthansa</v>
      </c>
      <c r="H5" s="33">
        <f>'Expense Details'!V2</f>
        <v>1551.5347200000001</v>
      </c>
      <c r="I5" s="33">
        <f>'Expense Details'!Z2</f>
        <v>1400</v>
      </c>
      <c r="J5" s="33">
        <f>H5-I5</f>
        <v>151.53472000000011</v>
      </c>
      <c r="K5" s="34">
        <f>IFERROR(MAX(0,H5/I5-1),0)</f>
        <v>0.10823908571428587</v>
      </c>
      <c r="L5" s="31" t="str">
        <f>'Expense Details'!AC2</f>
        <v>Yes</v>
      </c>
      <c r="M5" s="35" t="s">
        <v>3502</v>
      </c>
      <c r="N5" s="31" t="str">
        <f>'Expense Details'!AG2</f>
        <v>Approved</v>
      </c>
      <c r="O5" s="31" t="str">
        <f>'Expense Details'!F2</f>
        <v>Ananya Sengupta</v>
      </c>
    </row>
    <row r="6" spans="1:15">
      <c r="A6" s="31" t="str">
        <f>'Expense Details'!A4</f>
        <v>EXP-00003</v>
      </c>
      <c r="B6" s="31" t="str">
        <f>'Expense Details'!C4</f>
        <v>Rohit Malhotra</v>
      </c>
      <c r="C6" s="31" t="str">
        <f>'Expense Details'!D4</f>
        <v>Sales</v>
      </c>
      <c r="D6" s="31" t="str">
        <f>'Expense Details'!G4</f>
        <v>TRP-2025-061</v>
      </c>
      <c r="E6" s="32">
        <f>'Expense Details'!M4</f>
        <v>45658</v>
      </c>
      <c r="F6" s="31" t="str">
        <f>'Expense Details'!O4</f>
        <v>Meals - Breakfast</v>
      </c>
      <c r="G6" s="31" t="str">
        <f>'Expense Details'!Q4</f>
        <v>Cafe Nero</v>
      </c>
      <c r="H6" s="33">
        <f>'Expense Details'!V4</f>
        <v>30.807839999999999</v>
      </c>
      <c r="I6" s="33">
        <f>'Expense Details'!Z4</f>
        <v>25</v>
      </c>
      <c r="J6" s="33">
        <f>H6-I6</f>
        <v>5.8078399999999988</v>
      </c>
      <c r="K6" s="34">
        <f>IFERROR(MAX(0,H6/I6-1),0)</f>
        <v>0.2323135999999999</v>
      </c>
      <c r="L6" s="31" t="str">
        <f>'Expense Details'!AC4</f>
        <v>Yes</v>
      </c>
      <c r="M6" s="35" t="s">
        <v>3502</v>
      </c>
      <c r="N6" s="31" t="str">
        <f>'Expense Details'!AG4</f>
        <v>Approved</v>
      </c>
      <c r="O6" s="31" t="str">
        <f>'Expense Details'!F4</f>
        <v>Ananya Sengupta</v>
      </c>
    </row>
    <row r="7" spans="1:15">
      <c r="A7" s="31" t="str">
        <f>'Expense Details'!A13</f>
        <v>EXP-00012</v>
      </c>
      <c r="B7" s="31" t="str">
        <f>'Expense Details'!C13</f>
        <v>Rohit Malhotra</v>
      </c>
      <c r="C7" s="31" t="str">
        <f>'Expense Details'!D13</f>
        <v>Sales</v>
      </c>
      <c r="D7" s="31" t="str">
        <f>'Expense Details'!G13</f>
        <v>TRP-2025-061</v>
      </c>
      <c r="E7" s="32">
        <f>'Expense Details'!M13</f>
        <v>45660</v>
      </c>
      <c r="F7" s="31" t="str">
        <f>'Expense Details'!O13</f>
        <v>Meals - Lunch</v>
      </c>
      <c r="G7" s="31" t="str">
        <f>'Expense Details'!Q13</f>
        <v>Sweetgreen</v>
      </c>
      <c r="H7" s="33">
        <f>'Expense Details'!V13</f>
        <v>45.194160000000004</v>
      </c>
      <c r="I7" s="33">
        <f>'Expense Details'!Z13</f>
        <v>35</v>
      </c>
      <c r="J7" s="33">
        <f>H7-I7</f>
        <v>10.194160000000004</v>
      </c>
      <c r="K7" s="34">
        <f>IFERROR(MAX(0,H7/I7-1),0)</f>
        <v>0.29126171428571435</v>
      </c>
      <c r="L7" s="31" t="str">
        <f>'Expense Details'!AC13</f>
        <v>Yes</v>
      </c>
      <c r="M7" s="35" t="s">
        <v>3502</v>
      </c>
      <c r="N7" s="31" t="str">
        <f>'Expense Details'!AG13</f>
        <v>Approved</v>
      </c>
      <c r="O7" s="31" t="str">
        <f>'Expense Details'!F13</f>
        <v>Ananya Sengupta</v>
      </c>
    </row>
    <row r="8" spans="1:15">
      <c r="A8" s="31" t="str">
        <f>'Expense Details'!A14</f>
        <v>EXP-00013</v>
      </c>
      <c r="B8" s="31" t="str">
        <f>'Expense Details'!C14</f>
        <v>Rohit Malhotra</v>
      </c>
      <c r="C8" s="31" t="str">
        <f>'Expense Details'!D14</f>
        <v>Sales</v>
      </c>
      <c r="D8" s="31" t="str">
        <f>'Expense Details'!G14</f>
        <v>TRP-2025-061</v>
      </c>
      <c r="E8" s="32">
        <f>'Expense Details'!M14</f>
        <v>45661</v>
      </c>
      <c r="F8" s="31" t="str">
        <f>'Expense Details'!O14</f>
        <v>Meals - Breakfast</v>
      </c>
      <c r="G8" s="31" t="str">
        <f>'Expense Details'!Q14</f>
        <v>Starbucks</v>
      </c>
      <c r="H8" s="33">
        <f>'Expense Details'!V14</f>
        <v>9.7943999999999996</v>
      </c>
      <c r="I8" s="33">
        <f>'Expense Details'!Z14</f>
        <v>25</v>
      </c>
      <c r="J8" s="33">
        <f>H8-I8</f>
        <v>-15.2056</v>
      </c>
      <c r="K8" s="34">
        <f>IFERROR(MAX(0,H8/I8-1),0)</f>
        <v>0</v>
      </c>
      <c r="L8" s="31" t="str">
        <f>'Expense Details'!AC14</f>
        <v>No</v>
      </c>
      <c r="M8" s="35" t="s">
        <v>3503</v>
      </c>
      <c r="N8" s="31" t="str">
        <f>'Expense Details'!AG14</f>
        <v>Approved</v>
      </c>
      <c r="O8" s="31" t="str">
        <f>'Expense Details'!F14</f>
        <v>Ananya Sengupta</v>
      </c>
    </row>
    <row r="9" spans="1:15">
      <c r="A9" s="31" t="str">
        <f>'Expense Details'!A16</f>
        <v>EXP-00015</v>
      </c>
      <c r="B9" s="31" t="str">
        <f>'Expense Details'!C16</f>
        <v>Rohit Malhotra</v>
      </c>
      <c r="C9" s="31" t="str">
        <f>'Expense Details'!D16</f>
        <v>Sales</v>
      </c>
      <c r="D9" s="31" t="str">
        <f>'Expense Details'!G16</f>
        <v>TRP-2025-061</v>
      </c>
      <c r="E9" s="32">
        <f>'Expense Details'!M16</f>
        <v>45661</v>
      </c>
      <c r="F9" s="31" t="str">
        <f>'Expense Details'!O16</f>
        <v>Meals - Lunch</v>
      </c>
      <c r="G9" s="31" t="str">
        <f>'Expense Details'!Q16</f>
        <v>Local Bistro</v>
      </c>
      <c r="H9" s="33">
        <f>'Expense Details'!V16</f>
        <v>30.693359999999998</v>
      </c>
      <c r="I9" s="33">
        <f>'Expense Details'!Z16</f>
        <v>35</v>
      </c>
      <c r="J9" s="33">
        <f>H9-I9</f>
        <v>-4.3066400000000016</v>
      </c>
      <c r="K9" s="34">
        <f>IFERROR(MAX(0,H9/I9-1),0)</f>
        <v>0</v>
      </c>
      <c r="L9" s="31" t="str">
        <f>'Expense Details'!AC16</f>
        <v>No</v>
      </c>
      <c r="M9" s="35" t="s">
        <v>3503</v>
      </c>
      <c r="N9" s="31" t="str">
        <f>'Expense Details'!AG16</f>
        <v>Approved</v>
      </c>
      <c r="O9" s="31" t="str">
        <f>'Expense Details'!F16</f>
        <v>Ananya Sengupta</v>
      </c>
    </row>
    <row r="10" spans="1:15">
      <c r="A10" s="31" t="str">
        <f>'Expense Details'!A20</f>
        <v>EXP-00019</v>
      </c>
      <c r="B10" s="31" t="str">
        <f>'Expense Details'!C20</f>
        <v>Samuel Adeyemi</v>
      </c>
      <c r="C10" s="31" t="str">
        <f>'Expense Details'!D20</f>
        <v>Field Engineering</v>
      </c>
      <c r="D10" s="31" t="str">
        <f>'Expense Details'!G20</f>
        <v>TRP-2025-116</v>
      </c>
      <c r="E10" s="32">
        <f>'Expense Details'!M20</f>
        <v>45661</v>
      </c>
      <c r="F10" s="31" t="str">
        <f>'Expense Details'!O20</f>
        <v>Meals - Dinner</v>
      </c>
      <c r="G10" s="31" t="str">
        <f>'Expense Details'!Q20</f>
        <v>Osteria Vela</v>
      </c>
      <c r="H10" s="33">
        <f>'Expense Details'!V20</f>
        <v>58.645809999999997</v>
      </c>
      <c r="I10" s="33">
        <f>'Expense Details'!Z20</f>
        <v>75</v>
      </c>
      <c r="J10" s="33">
        <f>H10-I10</f>
        <v>-16.354190000000003</v>
      </c>
      <c r="K10" s="34">
        <f>IFERROR(MAX(0,H10/I10-1),0)</f>
        <v>0</v>
      </c>
      <c r="L10" s="31" t="str">
        <f>'Expense Details'!AC20</f>
        <v>No</v>
      </c>
      <c r="M10" s="35" t="s">
        <v>3503</v>
      </c>
      <c r="N10" s="31" t="str">
        <f>'Expense Details'!AG20</f>
        <v>Pending Approval</v>
      </c>
      <c r="O10" s="31" t="str">
        <f>'Expense Details'!F20</f>
        <v>Tomas Kovac</v>
      </c>
    </row>
    <row r="11" spans="1:15">
      <c r="A11" s="31" t="str">
        <f>'Expense Details'!A27</f>
        <v>EXP-00026</v>
      </c>
      <c r="B11" s="31" t="str">
        <f>'Expense Details'!C27</f>
        <v>Priya Nair</v>
      </c>
      <c r="C11" s="31" t="str">
        <f>'Expense Details'!D27</f>
        <v>Field Engineering</v>
      </c>
      <c r="D11" s="31" t="str">
        <f>'Expense Details'!G27</f>
        <v>TRP-2025-109</v>
      </c>
      <c r="E11" s="32">
        <f>'Expense Details'!M27</f>
        <v>45662</v>
      </c>
      <c r="F11" s="31" t="str">
        <f>'Expense Details'!O27</f>
        <v>Meals - Lunch</v>
      </c>
      <c r="G11" s="31" t="str">
        <f>'Expense Details'!Q27</f>
        <v>Local Bistro</v>
      </c>
      <c r="H11" s="33">
        <f>'Expense Details'!V27</f>
        <v>44.159500000000001</v>
      </c>
      <c r="I11" s="33">
        <f>'Expense Details'!Z27</f>
        <v>35</v>
      </c>
      <c r="J11" s="33">
        <f>H11-I11</f>
        <v>9.1595000000000013</v>
      </c>
      <c r="K11" s="34">
        <f>IFERROR(MAX(0,H11/I11-1),0)</f>
        <v>0.26170000000000004</v>
      </c>
      <c r="L11" s="31" t="str">
        <f>'Expense Details'!AC27</f>
        <v>Yes</v>
      </c>
      <c r="M11" s="35" t="s">
        <v>3502</v>
      </c>
      <c r="N11" s="31" t="str">
        <f>'Expense Details'!AG27</f>
        <v>Approved</v>
      </c>
      <c r="O11" s="31" t="str">
        <f>'Expense Details'!F27</f>
        <v>Tomas Kovac</v>
      </c>
    </row>
    <row r="12" spans="1:15">
      <c r="A12" s="31" t="str">
        <f>'Expense Details'!A31</f>
        <v>EXP-00030</v>
      </c>
      <c r="B12" s="31" t="str">
        <f>'Expense Details'!C31</f>
        <v>Samuel Adeyemi</v>
      </c>
      <c r="C12" s="31" t="str">
        <f>'Expense Details'!D31</f>
        <v>Field Engineering</v>
      </c>
      <c r="D12" s="31" t="str">
        <f>'Expense Details'!G31</f>
        <v>TRP-2025-116</v>
      </c>
      <c r="E12" s="32">
        <f>'Expense Details'!M31</f>
        <v>45662</v>
      </c>
      <c r="F12" s="31" t="str">
        <f>'Expense Details'!O31</f>
        <v>Meals - Dinner</v>
      </c>
      <c r="G12" s="31" t="str">
        <f>'Expense Details'!Q31</f>
        <v>The Grill House</v>
      </c>
      <c r="H12" s="33">
        <f>'Expense Details'!V31</f>
        <v>37.362019999999994</v>
      </c>
      <c r="I12" s="33">
        <f>'Expense Details'!Z31</f>
        <v>75</v>
      </c>
      <c r="J12" s="33">
        <f>H12-I12</f>
        <v>-37.637980000000006</v>
      </c>
      <c r="K12" s="34">
        <f>IFERROR(MAX(0,H12/I12-1),0)</f>
        <v>0</v>
      </c>
      <c r="L12" s="31" t="str">
        <f>'Expense Details'!AC31</f>
        <v>No</v>
      </c>
      <c r="M12" s="35" t="s">
        <v>3503</v>
      </c>
      <c r="N12" s="31" t="str">
        <f>'Expense Details'!AG31</f>
        <v>Pending Approval</v>
      </c>
      <c r="O12" s="31" t="str">
        <f>'Expense Details'!F31</f>
        <v>Tomas Kovac</v>
      </c>
    </row>
    <row r="13" spans="1:15">
      <c r="A13" s="31" t="str">
        <f>'Expense Details'!A35</f>
        <v>EXP-00034</v>
      </c>
      <c r="B13" s="31" t="str">
        <f>'Expense Details'!C35</f>
        <v>Priya Nair</v>
      </c>
      <c r="C13" s="31" t="str">
        <f>'Expense Details'!D35</f>
        <v>Field Engineering</v>
      </c>
      <c r="D13" s="31" t="str">
        <f>'Expense Details'!G35</f>
        <v>TRP-2025-109</v>
      </c>
      <c r="E13" s="32">
        <f>'Expense Details'!M35</f>
        <v>45663</v>
      </c>
      <c r="F13" s="31" t="str">
        <f>'Expense Details'!O35</f>
        <v>Meals - Dinner</v>
      </c>
      <c r="G13" s="31" t="str">
        <f>'Expense Details'!Q35</f>
        <v>The Grill House</v>
      </c>
      <c r="H13" s="33">
        <f>'Expense Details'!V35</f>
        <v>52.958849999999998</v>
      </c>
      <c r="I13" s="33">
        <f>'Expense Details'!Z35</f>
        <v>75</v>
      </c>
      <c r="J13" s="33">
        <f>H13-I13</f>
        <v>-22.041150000000002</v>
      </c>
      <c r="K13" s="34">
        <f>IFERROR(MAX(0,H13/I13-1),0)</f>
        <v>0</v>
      </c>
      <c r="L13" s="31" t="str">
        <f>'Expense Details'!AC35</f>
        <v>No</v>
      </c>
      <c r="M13" s="35" t="s">
        <v>3503</v>
      </c>
      <c r="N13" s="31" t="str">
        <f>'Expense Details'!AG35</f>
        <v>Approved</v>
      </c>
      <c r="O13" s="31" t="str">
        <f>'Expense Details'!F35</f>
        <v>Tomas Kovac</v>
      </c>
    </row>
    <row r="14" spans="1:15">
      <c r="A14" s="31" t="str">
        <f>'Expense Details'!A50</f>
        <v>EXP-00049</v>
      </c>
      <c r="B14" s="31" t="str">
        <f>'Expense Details'!C50</f>
        <v>Samuel Adeyemi</v>
      </c>
      <c r="C14" s="31" t="str">
        <f>'Expense Details'!D50</f>
        <v>Field Engineering</v>
      </c>
      <c r="D14" s="31" t="str">
        <f>'Expense Details'!G50</f>
        <v>TRP-2025-116</v>
      </c>
      <c r="E14" s="32">
        <f>'Expense Details'!M50</f>
        <v>45665</v>
      </c>
      <c r="F14" s="31" t="str">
        <f>'Expense Details'!O50</f>
        <v>Ground Transport - Taxi</v>
      </c>
      <c r="G14" s="31" t="str">
        <f>'Expense Details'!Q50</f>
        <v>Lyft</v>
      </c>
      <c r="H14" s="33">
        <f>'Expense Details'!V50</f>
        <v>75.010019999999997</v>
      </c>
      <c r="I14" s="33">
        <f>'Expense Details'!Z50</f>
        <v>60</v>
      </c>
      <c r="J14" s="33">
        <f>H14-I14</f>
        <v>15.010019999999997</v>
      </c>
      <c r="K14" s="34">
        <f>IFERROR(MAX(0,H14/I14-1),0)</f>
        <v>0.25016700000000003</v>
      </c>
      <c r="L14" s="31" t="str">
        <f>'Expense Details'!AC50</f>
        <v>Yes</v>
      </c>
      <c r="M14" s="35" t="s">
        <v>3502</v>
      </c>
      <c r="N14" s="31" t="str">
        <f>'Expense Details'!AG50</f>
        <v>Pending Approval</v>
      </c>
      <c r="O14" s="31" t="str">
        <f>'Expense Details'!F50</f>
        <v>Tomas Kovac</v>
      </c>
    </row>
    <row r="15" spans="1:15">
      <c r="A15" s="31" t="str">
        <f>'Expense Details'!A61</f>
        <v>EXP-00060</v>
      </c>
      <c r="B15" s="31" t="str">
        <f>'Expense Details'!C61</f>
        <v>Laura Bianchi</v>
      </c>
      <c r="C15" s="31" t="str">
        <f>'Expense Details'!D61</f>
        <v>Customer Success</v>
      </c>
      <c r="D15" s="31" t="str">
        <f>'Expense Details'!G61</f>
        <v>TRP-2025-117</v>
      </c>
      <c r="E15" s="32">
        <f>'Expense Details'!M61</f>
        <v>45667</v>
      </c>
      <c r="F15" s="31" t="str">
        <f>'Expense Details'!O61</f>
        <v>Meals - Dinner</v>
      </c>
      <c r="G15" s="31" t="str">
        <f>'Expense Details'!Q61</f>
        <v>Osteria Vela</v>
      </c>
      <c r="H15" s="33">
        <f>'Expense Details'!V61</f>
        <v>43.3217</v>
      </c>
      <c r="I15" s="33">
        <f>'Expense Details'!Z61</f>
        <v>75</v>
      </c>
      <c r="J15" s="33">
        <f>H15-I15</f>
        <v>-31.6783</v>
      </c>
      <c r="K15" s="34">
        <f>IFERROR(MAX(0,H15/I15-1),0)</f>
        <v>0</v>
      </c>
      <c r="L15" s="31" t="str">
        <f>'Expense Details'!AC61</f>
        <v>No</v>
      </c>
      <c r="M15" s="35" t="s">
        <v>3503</v>
      </c>
      <c r="N15" s="31" t="str">
        <f>'Expense Details'!AG61</f>
        <v>Approved</v>
      </c>
      <c r="O15" s="31" t="str">
        <f>'Expense Details'!F61</f>
        <v>Sneha Iyer</v>
      </c>
    </row>
    <row r="16" spans="1:15">
      <c r="A16" s="31" t="str">
        <f>'Expense Details'!A68</f>
        <v>EXP-00067</v>
      </c>
      <c r="B16" s="31" t="str">
        <f>'Expense Details'!C68</f>
        <v>Laura Bianchi</v>
      </c>
      <c r="C16" s="31" t="str">
        <f>'Expense Details'!D68</f>
        <v>Customer Success</v>
      </c>
      <c r="D16" s="31" t="str">
        <f>'Expense Details'!G68</f>
        <v>TRP-2025-117</v>
      </c>
      <c r="E16" s="32">
        <f>'Expense Details'!M68</f>
        <v>45668</v>
      </c>
      <c r="F16" s="31" t="str">
        <f>'Expense Details'!O68</f>
        <v>Meals - Breakfast</v>
      </c>
      <c r="G16" s="31" t="str">
        <f>'Expense Details'!Q68</f>
        <v>Cafe Nero</v>
      </c>
      <c r="H16" s="33">
        <f>'Expense Details'!V68</f>
        <v>30.2348</v>
      </c>
      <c r="I16" s="33">
        <f>'Expense Details'!Z68</f>
        <v>25</v>
      </c>
      <c r="J16" s="33">
        <f>H16-I16</f>
        <v>5.2347999999999999</v>
      </c>
      <c r="K16" s="34">
        <f>IFERROR(MAX(0,H16/I16-1),0)</f>
        <v>0.20939200000000002</v>
      </c>
      <c r="L16" s="31" t="str">
        <f>'Expense Details'!AC68</f>
        <v>Yes</v>
      </c>
      <c r="M16" s="35" t="s">
        <v>3502</v>
      </c>
      <c r="N16" s="31" t="str">
        <f>'Expense Details'!AG68</f>
        <v>Approved</v>
      </c>
      <c r="O16" s="31" t="str">
        <f>'Expense Details'!F68</f>
        <v>Sneha Iyer</v>
      </c>
    </row>
    <row r="17" spans="1:15">
      <c r="A17" s="31" t="str">
        <f>'Expense Details'!A72</f>
        <v>EXP-00071</v>
      </c>
      <c r="B17" s="31" t="str">
        <f>'Expense Details'!C72</f>
        <v>Laura Bianchi</v>
      </c>
      <c r="C17" s="31" t="str">
        <f>'Expense Details'!D72</f>
        <v>Customer Success</v>
      </c>
      <c r="D17" s="31" t="str">
        <f>'Expense Details'!G72</f>
        <v>TRP-2025-117</v>
      </c>
      <c r="E17" s="32">
        <f>'Expense Details'!M72</f>
        <v>45669</v>
      </c>
      <c r="F17" s="31" t="str">
        <f>'Expense Details'!O72</f>
        <v>Meals - Breakfast</v>
      </c>
      <c r="G17" s="31" t="str">
        <f>'Expense Details'!Q72</f>
        <v>Hotel Restaurant</v>
      </c>
      <c r="H17" s="33">
        <f>'Expense Details'!V72</f>
        <v>28.381150000000002</v>
      </c>
      <c r="I17" s="33">
        <f>'Expense Details'!Z72</f>
        <v>25</v>
      </c>
      <c r="J17" s="33">
        <f>H17-I17</f>
        <v>3.3811500000000017</v>
      </c>
      <c r="K17" s="34">
        <f>IFERROR(MAX(0,H17/I17-1),0)</f>
        <v>0.13524599999999998</v>
      </c>
      <c r="L17" s="31" t="str">
        <f>'Expense Details'!AC72</f>
        <v>Yes</v>
      </c>
      <c r="M17" s="35" t="s">
        <v>3502</v>
      </c>
      <c r="N17" s="31" t="str">
        <f>'Expense Details'!AG72</f>
        <v>Approved</v>
      </c>
      <c r="O17" s="31" t="str">
        <f>'Expense Details'!F72</f>
        <v>Sneha Iyer</v>
      </c>
    </row>
    <row r="18" spans="1:15">
      <c r="A18" s="31" t="str">
        <f>'Expense Details'!A79</f>
        <v>EXP-00078</v>
      </c>
      <c r="B18" s="31" t="str">
        <f>'Expense Details'!C79</f>
        <v>Ravi Chandra</v>
      </c>
      <c r="C18" s="31" t="str">
        <f>'Expense Details'!D79</f>
        <v>Field Engineering</v>
      </c>
      <c r="D18" s="31" t="str">
        <f>'Expense Details'!G79</f>
        <v>TRP-2025-123</v>
      </c>
      <c r="E18" s="32">
        <f>'Expense Details'!M79</f>
        <v>45670</v>
      </c>
      <c r="F18" s="31" t="str">
        <f>'Expense Details'!O79</f>
        <v>Airfare</v>
      </c>
      <c r="G18" s="31" t="str">
        <f>'Expense Details'!Q79</f>
        <v>British Airways</v>
      </c>
      <c r="H18" s="33">
        <f>'Expense Details'!V79</f>
        <v>3160.1392000000001</v>
      </c>
      <c r="I18" s="33">
        <f>'Expense Details'!Z79</f>
        <v>1400</v>
      </c>
      <c r="J18" s="33">
        <f>H18-I18</f>
        <v>1760.1392000000001</v>
      </c>
      <c r="K18" s="34">
        <f>IFERROR(MAX(0,H18/I18-1),0)</f>
        <v>1.2572422857142858</v>
      </c>
      <c r="L18" s="31" t="str">
        <f>'Expense Details'!AC79</f>
        <v>Yes</v>
      </c>
      <c r="M18" s="35" t="s">
        <v>3502</v>
      </c>
      <c r="N18" s="31" t="str">
        <f>'Expense Details'!AG79</f>
        <v>Approved</v>
      </c>
      <c r="O18" s="31" t="str">
        <f>'Expense Details'!F79</f>
        <v>Tomas Kovac</v>
      </c>
    </row>
    <row r="19" spans="1:15">
      <c r="A19" s="31" t="str">
        <f>'Expense Details'!A90</f>
        <v>EXP-00089</v>
      </c>
      <c r="B19" s="31" t="str">
        <f>'Expense Details'!C90</f>
        <v>Ravi Chandra</v>
      </c>
      <c r="C19" s="31" t="str">
        <f>'Expense Details'!D90</f>
        <v>Field Engineering</v>
      </c>
      <c r="D19" s="31" t="str">
        <f>'Expense Details'!G90</f>
        <v>TRP-2025-123</v>
      </c>
      <c r="E19" s="32">
        <f>'Expense Details'!M90</f>
        <v>45671</v>
      </c>
      <c r="F19" s="31" t="str">
        <f>'Expense Details'!O90</f>
        <v>Internet / Roaming</v>
      </c>
      <c r="G19" s="31" t="str">
        <f>'Expense Details'!Q90</f>
        <v>Vodafone Roaming</v>
      </c>
      <c r="H19" s="33">
        <f>'Expense Details'!V90</f>
        <v>28.94445</v>
      </c>
      <c r="I19" s="33">
        <f>'Expense Details'!Z90</f>
        <v>55</v>
      </c>
      <c r="J19" s="33">
        <f>H19-I19</f>
        <v>-26.05555</v>
      </c>
      <c r="K19" s="34">
        <f>IFERROR(MAX(0,H19/I19-1),0)</f>
        <v>0</v>
      </c>
      <c r="L19" s="31" t="str">
        <f>'Expense Details'!AC90</f>
        <v>No</v>
      </c>
      <c r="M19" s="35" t="s">
        <v>3503</v>
      </c>
      <c r="N19" s="31" t="str">
        <f>'Expense Details'!AG90</f>
        <v>Approved</v>
      </c>
      <c r="O19" s="31" t="str">
        <f>'Expense Details'!F90</f>
        <v>Tomas Kovac</v>
      </c>
    </row>
    <row r="20" spans="1:15">
      <c r="A20" s="31" t="str">
        <f>'Expense Details'!A93</f>
        <v>EXP-00092</v>
      </c>
      <c r="B20" s="31" t="str">
        <f>'Expense Details'!C93</f>
        <v>Marcus Bell</v>
      </c>
      <c r="C20" s="31" t="str">
        <f>'Expense Details'!D93</f>
        <v>Sales</v>
      </c>
      <c r="D20" s="31" t="str">
        <f>'Expense Details'!G93</f>
        <v>TRP-2025-131</v>
      </c>
      <c r="E20" s="32">
        <f>'Expense Details'!M93</f>
        <v>45671</v>
      </c>
      <c r="F20" s="31" t="str">
        <f>'Expense Details'!O93</f>
        <v>Airfare</v>
      </c>
      <c r="G20" s="31" t="str">
        <f>'Expense Details'!Q93</f>
        <v>British Airways</v>
      </c>
      <c r="H20" s="33">
        <f>'Expense Details'!V93</f>
        <v>1959.4136169999999</v>
      </c>
      <c r="I20" s="33">
        <f>'Expense Details'!Z93</f>
        <v>1400</v>
      </c>
      <c r="J20" s="33">
        <f>H20-I20</f>
        <v>559.41361699999993</v>
      </c>
      <c r="K20" s="34">
        <f>IFERROR(MAX(0,H20/I20-1),0)</f>
        <v>0.39958115499999991</v>
      </c>
      <c r="L20" s="31" t="str">
        <f>'Expense Details'!AC93</f>
        <v>Yes</v>
      </c>
      <c r="M20" s="35" t="s">
        <v>3502</v>
      </c>
      <c r="N20" s="31" t="str">
        <f>'Expense Details'!AG93</f>
        <v>Approved</v>
      </c>
      <c r="O20" s="31" t="str">
        <f>'Expense Details'!F93</f>
        <v>Diane Okafor</v>
      </c>
    </row>
    <row r="21" spans="1:15">
      <c r="A21" s="31" t="str">
        <f>'Expense Details'!A95</f>
        <v>EXP-00094</v>
      </c>
      <c r="B21" s="31" t="str">
        <f>'Expense Details'!C95</f>
        <v>Marcus Bell</v>
      </c>
      <c r="C21" s="31" t="str">
        <f>'Expense Details'!D95</f>
        <v>Sales</v>
      </c>
      <c r="D21" s="31" t="str">
        <f>'Expense Details'!G95</f>
        <v>TRP-2025-131</v>
      </c>
      <c r="E21" s="32">
        <f>'Expense Details'!M95</f>
        <v>45671</v>
      </c>
      <c r="F21" s="31" t="str">
        <f>'Expense Details'!O95</f>
        <v>Meals - Lunch</v>
      </c>
      <c r="G21" s="31" t="str">
        <f>'Expense Details'!Q95</f>
        <v>Sweetgreen</v>
      </c>
      <c r="H21" s="33">
        <f>'Expense Details'!V95</f>
        <v>20.787382000000001</v>
      </c>
      <c r="I21" s="33">
        <f>'Expense Details'!Z95</f>
        <v>35</v>
      </c>
      <c r="J21" s="33">
        <f>H21-I21</f>
        <v>-14.212617999999999</v>
      </c>
      <c r="K21" s="34">
        <f>IFERROR(MAX(0,H21/I21-1),0)</f>
        <v>0</v>
      </c>
      <c r="L21" s="31" t="str">
        <f>'Expense Details'!AC95</f>
        <v>No</v>
      </c>
      <c r="M21" s="35" t="s">
        <v>3503</v>
      </c>
      <c r="N21" s="31" t="str">
        <f>'Expense Details'!AG95</f>
        <v>Approved</v>
      </c>
      <c r="O21" s="31" t="str">
        <f>'Expense Details'!F95</f>
        <v>Diane Okafor</v>
      </c>
    </row>
    <row r="22" spans="1:15">
      <c r="A22" s="31" t="str">
        <f>'Expense Details'!A101</f>
        <v>EXP-00100</v>
      </c>
      <c r="B22" s="31" t="str">
        <f>'Expense Details'!C101</f>
        <v>Ravi Chandra</v>
      </c>
      <c r="C22" s="31" t="str">
        <f>'Expense Details'!D101</f>
        <v>Field Engineering</v>
      </c>
      <c r="D22" s="31" t="str">
        <f>'Expense Details'!G101</f>
        <v>TRP-2025-123</v>
      </c>
      <c r="E22" s="32">
        <f>'Expense Details'!M101</f>
        <v>45672</v>
      </c>
      <c r="F22" s="31" t="str">
        <f>'Expense Details'!O101</f>
        <v>Meals - Lunch</v>
      </c>
      <c r="G22" s="31" t="str">
        <f>'Expense Details'!Q101</f>
        <v>Food Court</v>
      </c>
      <c r="H22" s="33">
        <f>'Expense Details'!V101</f>
        <v>17.350950000000001</v>
      </c>
      <c r="I22" s="33">
        <f>'Expense Details'!Z101</f>
        <v>35</v>
      </c>
      <c r="J22" s="33">
        <f>H22-I22</f>
        <v>-17.649049999999999</v>
      </c>
      <c r="K22" s="34">
        <f>IFERROR(MAX(0,H22/I22-1),0)</f>
        <v>0</v>
      </c>
      <c r="L22" s="31" t="str">
        <f>'Expense Details'!AC101</f>
        <v>No</v>
      </c>
      <c r="M22" s="35" t="s">
        <v>3503</v>
      </c>
      <c r="N22" s="31" t="str">
        <f>'Expense Details'!AG101</f>
        <v>Approved</v>
      </c>
      <c r="O22" s="31" t="str">
        <f>'Expense Details'!F101</f>
        <v>Tomas Kovac</v>
      </c>
    </row>
    <row r="23" spans="1:15">
      <c r="A23" s="31" t="str">
        <f>'Expense Details'!A110</f>
        <v>EXP-00109</v>
      </c>
      <c r="B23" s="31" t="str">
        <f>'Expense Details'!C110</f>
        <v>Ravi Chandra</v>
      </c>
      <c r="C23" s="31" t="str">
        <f>'Expense Details'!D110</f>
        <v>Field Engineering</v>
      </c>
      <c r="D23" s="31" t="str">
        <f>'Expense Details'!G110</f>
        <v>TRP-2025-123</v>
      </c>
      <c r="E23" s="32">
        <f>'Expense Details'!M110</f>
        <v>45673</v>
      </c>
      <c r="F23" s="31" t="str">
        <f>'Expense Details'!O110</f>
        <v>Meals - Dinner</v>
      </c>
      <c r="G23" s="31" t="str">
        <f>'Expense Details'!Q110</f>
        <v>Brasserie Lyon</v>
      </c>
      <c r="H23" s="33">
        <f>'Expense Details'!V110</f>
        <v>89.001400000000004</v>
      </c>
      <c r="I23" s="33">
        <f>'Expense Details'!Z110</f>
        <v>75</v>
      </c>
      <c r="J23" s="33">
        <f>H23-I23</f>
        <v>14.001400000000004</v>
      </c>
      <c r="K23" s="34">
        <f>IFERROR(MAX(0,H23/I23-1),0)</f>
        <v>0.18668533333333337</v>
      </c>
      <c r="L23" s="31" t="str">
        <f>'Expense Details'!AC110</f>
        <v>No</v>
      </c>
      <c r="M23" s="35" t="s">
        <v>3504</v>
      </c>
      <c r="N23" s="31" t="str">
        <f>'Expense Details'!AG110</f>
        <v>Approved</v>
      </c>
      <c r="O23" s="31" t="str">
        <f>'Expense Details'!F110</f>
        <v>Tomas Kovac</v>
      </c>
    </row>
    <row r="24" spans="1:15">
      <c r="A24" s="31" t="str">
        <f>'Expense Details'!A120</f>
        <v>EXP-00119</v>
      </c>
      <c r="B24" s="31" t="str">
        <f>'Expense Details'!C120</f>
        <v>Ravi Chandra</v>
      </c>
      <c r="C24" s="31" t="str">
        <f>'Expense Details'!D120</f>
        <v>Field Engineering</v>
      </c>
      <c r="D24" s="31" t="str">
        <f>'Expense Details'!G120</f>
        <v>TRP-2025-123</v>
      </c>
      <c r="E24" s="32">
        <f>'Expense Details'!M120</f>
        <v>45674</v>
      </c>
      <c r="F24" s="31" t="str">
        <f>'Expense Details'!O120</f>
        <v>Meals - Breakfast</v>
      </c>
      <c r="G24" s="31" t="str">
        <f>'Expense Details'!Q120</f>
        <v>Starbucks</v>
      </c>
      <c r="H24" s="33">
        <f>'Expense Details'!V120</f>
        <v>17.8553</v>
      </c>
      <c r="I24" s="33">
        <f>'Expense Details'!Z120</f>
        <v>25</v>
      </c>
      <c r="J24" s="33">
        <f>H24-I24</f>
        <v>-7.1447000000000003</v>
      </c>
      <c r="K24" s="34">
        <f>IFERROR(MAX(0,H24/I24-1),0)</f>
        <v>0</v>
      </c>
      <c r="L24" s="31" t="str">
        <f>'Expense Details'!AC120</f>
        <v>No</v>
      </c>
      <c r="M24" s="35" t="s">
        <v>3503</v>
      </c>
      <c r="N24" s="31" t="str">
        <f>'Expense Details'!AG120</f>
        <v>Approved</v>
      </c>
      <c r="O24" s="31" t="str">
        <f>'Expense Details'!F120</f>
        <v>Tomas Kovac</v>
      </c>
    </row>
    <row r="25" spans="1:15">
      <c r="A25" s="31" t="str">
        <f>'Expense Details'!A133</f>
        <v>EXP-00132</v>
      </c>
      <c r="B25" s="31" t="str">
        <f>'Expense Details'!C133</f>
        <v>Ravi Chandra</v>
      </c>
      <c r="C25" s="31" t="str">
        <f>'Expense Details'!D133</f>
        <v>Field Engineering</v>
      </c>
      <c r="D25" s="31" t="str">
        <f>'Expense Details'!G133</f>
        <v>TRP-2025-123</v>
      </c>
      <c r="E25" s="32">
        <f>'Expense Details'!M133</f>
        <v>45675</v>
      </c>
      <c r="F25" s="31" t="str">
        <f>'Expense Details'!O133</f>
        <v>Meals - Dinner</v>
      </c>
      <c r="G25" s="31" t="str">
        <f>'Expense Details'!Q133</f>
        <v>Sakura Izakaya</v>
      </c>
      <c r="H25" s="33">
        <f>'Expense Details'!V133</f>
        <v>105.2192</v>
      </c>
      <c r="I25" s="33">
        <f>'Expense Details'!Z133</f>
        <v>75</v>
      </c>
      <c r="J25" s="33">
        <f>H25-I25</f>
        <v>30.219200000000001</v>
      </c>
      <c r="K25" s="34">
        <f>IFERROR(MAX(0,H25/I25-1),0)</f>
        <v>0.40292266666666676</v>
      </c>
      <c r="L25" s="31" t="str">
        <f>'Expense Details'!AC133</f>
        <v>Yes</v>
      </c>
      <c r="M25" s="35" t="s">
        <v>3502</v>
      </c>
      <c r="N25" s="31" t="str">
        <f>'Expense Details'!AG133</f>
        <v>Approved</v>
      </c>
      <c r="O25" s="31" t="str">
        <f>'Expense Details'!F133</f>
        <v>Tomas Kovac</v>
      </c>
    </row>
    <row r="26" spans="1:15">
      <c r="A26" s="31" t="str">
        <f>'Expense Details'!A140</f>
        <v>EXP-00139</v>
      </c>
      <c r="B26" s="31" t="str">
        <f>'Expense Details'!C140</f>
        <v>Arjun Deshpande</v>
      </c>
      <c r="C26" s="31" t="str">
        <f>'Expense Details'!D140</f>
        <v>Product</v>
      </c>
      <c r="D26" s="31" t="str">
        <f>'Expense Details'!G140</f>
        <v>TRP-2025-137</v>
      </c>
      <c r="E26" s="32">
        <f>'Expense Details'!M140</f>
        <v>45675</v>
      </c>
      <c r="F26" s="31" t="str">
        <f>'Expense Details'!O140</f>
        <v>Meals - Dinner</v>
      </c>
      <c r="G26" s="31" t="str">
        <f>'Expense Details'!Q140</f>
        <v>Sakura Izakaya</v>
      </c>
      <c r="H26" s="33">
        <f>'Expense Details'!V140</f>
        <v>65.13</v>
      </c>
      <c r="I26" s="33">
        <f>'Expense Details'!Z140</f>
        <v>75</v>
      </c>
      <c r="J26" s="33">
        <f>H26-I26</f>
        <v>-9.8700000000000045</v>
      </c>
      <c r="K26" s="34">
        <f>IFERROR(MAX(0,H26/I26-1),0)</f>
        <v>0</v>
      </c>
      <c r="L26" s="31" t="str">
        <f>'Expense Details'!AC140</f>
        <v>No</v>
      </c>
      <c r="M26" s="35" t="s">
        <v>3503</v>
      </c>
      <c r="N26" s="31" t="str">
        <f>'Expense Details'!AG140</f>
        <v>Approved</v>
      </c>
      <c r="O26" s="31" t="str">
        <f>'Expense Details'!F140</f>
        <v>Elena Duarte</v>
      </c>
    </row>
    <row r="27" spans="1:15">
      <c r="A27" s="31" t="str">
        <f>'Expense Details'!A144</f>
        <v>EXP-00143</v>
      </c>
      <c r="B27" s="31" t="str">
        <f>'Expense Details'!C144</f>
        <v>Kenji Watanabe</v>
      </c>
      <c r="C27" s="31" t="str">
        <f>'Expense Details'!D144</f>
        <v>Product</v>
      </c>
      <c r="D27" s="31" t="str">
        <f>'Expense Details'!G144</f>
        <v>TRP-2025-025</v>
      </c>
      <c r="E27" s="32">
        <f>'Expense Details'!M144</f>
        <v>45676</v>
      </c>
      <c r="F27" s="31" t="str">
        <f>'Expense Details'!O144</f>
        <v>Meals - Lunch</v>
      </c>
      <c r="G27" s="31" t="str">
        <f>'Expense Details'!Q144</f>
        <v>Local Bistro</v>
      </c>
      <c r="H27" s="33">
        <f>'Expense Details'!V144</f>
        <v>38.235399999999998</v>
      </c>
      <c r="I27" s="33">
        <f>'Expense Details'!Z144</f>
        <v>35</v>
      </c>
      <c r="J27" s="33">
        <f>H27-I27</f>
        <v>3.2353999999999985</v>
      </c>
      <c r="K27" s="34">
        <f>IFERROR(MAX(0,H27/I27-1),0)</f>
        <v>9.2439999999999856E-2</v>
      </c>
      <c r="L27" s="31" t="str">
        <f>'Expense Details'!AC144</f>
        <v>No</v>
      </c>
      <c r="M27" s="35" t="s">
        <v>3504</v>
      </c>
      <c r="N27" s="31" t="str">
        <f>'Expense Details'!AG144</f>
        <v>Approved</v>
      </c>
      <c r="O27" s="31" t="str">
        <f>'Expense Details'!F144</f>
        <v>Elena Duarte</v>
      </c>
    </row>
    <row r="28" spans="1:15">
      <c r="A28" s="31" t="str">
        <f>'Expense Details'!A146</f>
        <v>EXP-00145</v>
      </c>
      <c r="B28" s="31" t="str">
        <f>'Expense Details'!C146</f>
        <v>Ravi Chandra</v>
      </c>
      <c r="C28" s="31" t="str">
        <f>'Expense Details'!D146</f>
        <v>Field Engineering</v>
      </c>
      <c r="D28" s="31" t="str">
        <f>'Expense Details'!G146</f>
        <v>TRP-2025-123</v>
      </c>
      <c r="E28" s="32">
        <f>'Expense Details'!M146</f>
        <v>45676</v>
      </c>
      <c r="F28" s="31" t="str">
        <f>'Expense Details'!O146</f>
        <v>Meals - Breakfast</v>
      </c>
      <c r="G28" s="31" t="str">
        <f>'Expense Details'!Q146</f>
        <v>Starbucks</v>
      </c>
      <c r="H28" s="33">
        <f>'Expense Details'!V146</f>
        <v>29.763200000000001</v>
      </c>
      <c r="I28" s="33">
        <f>'Expense Details'!Z146</f>
        <v>25</v>
      </c>
      <c r="J28" s="33">
        <f>H28-I28</f>
        <v>4.7632000000000012</v>
      </c>
      <c r="K28" s="34">
        <f>IFERROR(MAX(0,H28/I28-1),0)</f>
        <v>0.19052800000000003</v>
      </c>
      <c r="L28" s="31" t="str">
        <f>'Expense Details'!AC146</f>
        <v>Yes</v>
      </c>
      <c r="M28" s="35" t="s">
        <v>3502</v>
      </c>
      <c r="N28" s="31" t="str">
        <f>'Expense Details'!AG146</f>
        <v>Approved</v>
      </c>
      <c r="O28" s="31" t="str">
        <f>'Expense Details'!F146</f>
        <v>Tomas Kovac</v>
      </c>
    </row>
    <row r="29" spans="1:15">
      <c r="A29" s="31" t="str">
        <f>'Expense Details'!A159</f>
        <v>EXP-00158</v>
      </c>
      <c r="B29" s="31" t="str">
        <f>'Expense Details'!C159</f>
        <v>Grace Lin</v>
      </c>
      <c r="C29" s="31" t="str">
        <f>'Expense Details'!D159</f>
        <v>Marketing</v>
      </c>
      <c r="D29" s="31" t="str">
        <f>'Expense Details'!G159</f>
        <v>TRP-2025-096</v>
      </c>
      <c r="E29" s="32">
        <f>'Expense Details'!M159</f>
        <v>45677</v>
      </c>
      <c r="F29" s="31" t="str">
        <f>'Expense Details'!O159</f>
        <v>Airfare</v>
      </c>
      <c r="G29" s="31" t="str">
        <f>'Expense Details'!Q159</f>
        <v>Air India</v>
      </c>
      <c r="H29" s="33">
        <f>'Expense Details'!V159</f>
        <v>1535.64</v>
      </c>
      <c r="I29" s="33">
        <f>'Expense Details'!Z159</f>
        <v>1400</v>
      </c>
      <c r="J29" s="33">
        <f>H29-I29</f>
        <v>135.6400000000001</v>
      </c>
      <c r="K29" s="34">
        <f>IFERROR(MAX(0,H29/I29-1),0)</f>
        <v>9.6885714285714464E-2</v>
      </c>
      <c r="L29" s="31" t="str">
        <f>'Expense Details'!AC159</f>
        <v>Yes</v>
      </c>
      <c r="M29" s="35" t="s">
        <v>3502</v>
      </c>
      <c r="N29" s="31" t="str">
        <f>'Expense Details'!AG159</f>
        <v>Approved</v>
      </c>
      <c r="O29" s="31" t="str">
        <f>'Expense Details'!F159</f>
        <v>Diane Okafor</v>
      </c>
    </row>
    <row r="30" spans="1:15">
      <c r="A30" s="31" t="str">
        <f>'Expense Details'!A160</f>
        <v>EXP-00159</v>
      </c>
      <c r="B30" s="31" t="str">
        <f>'Expense Details'!C160</f>
        <v>Grace Lin</v>
      </c>
      <c r="C30" s="31" t="str">
        <f>'Expense Details'!D160</f>
        <v>Marketing</v>
      </c>
      <c r="D30" s="31" t="str">
        <f>'Expense Details'!G160</f>
        <v>TRP-2025-096</v>
      </c>
      <c r="E30" s="32">
        <f>'Expense Details'!M160</f>
        <v>45677</v>
      </c>
      <c r="F30" s="31" t="str">
        <f>'Expense Details'!O160</f>
        <v>Baggage &amp; Excess Fees</v>
      </c>
      <c r="G30" s="31" t="str">
        <f>'Expense Details'!Q160</f>
        <v>Air India</v>
      </c>
      <c r="H30" s="33">
        <f>'Expense Details'!V160</f>
        <v>169.95</v>
      </c>
      <c r="I30" s="33">
        <f>'Expense Details'!Z160</f>
        <v>120</v>
      </c>
      <c r="J30" s="33">
        <f>H30-I30</f>
        <v>49.949999999999989</v>
      </c>
      <c r="K30" s="34">
        <f>IFERROR(MAX(0,H30/I30-1),0)</f>
        <v>0.41625000000000001</v>
      </c>
      <c r="L30" s="31" t="str">
        <f>'Expense Details'!AC160</f>
        <v>Yes</v>
      </c>
      <c r="M30" s="35" t="s">
        <v>3502</v>
      </c>
      <c r="N30" s="31" t="str">
        <f>'Expense Details'!AG160</f>
        <v>Approved</v>
      </c>
      <c r="O30" s="31" t="str">
        <f>'Expense Details'!F160</f>
        <v>Diane Okafor</v>
      </c>
    </row>
    <row r="31" spans="1:15">
      <c r="A31" s="31" t="str">
        <f>'Expense Details'!A164</f>
        <v>EXP-00163</v>
      </c>
      <c r="B31" s="31" t="str">
        <f>'Expense Details'!C164</f>
        <v>Grace Lin</v>
      </c>
      <c r="C31" s="31" t="str">
        <f>'Expense Details'!D164</f>
        <v>Marketing</v>
      </c>
      <c r="D31" s="31" t="str">
        <f>'Expense Details'!G164</f>
        <v>TRP-2025-096</v>
      </c>
      <c r="E31" s="32">
        <f>'Expense Details'!M164</f>
        <v>45677</v>
      </c>
      <c r="F31" s="31" t="str">
        <f>'Expense Details'!O164</f>
        <v>Meals - Lunch</v>
      </c>
      <c r="G31" s="31" t="str">
        <f>'Expense Details'!Q164</f>
        <v>Local Bistro</v>
      </c>
      <c r="H31" s="33">
        <f>'Expense Details'!V164</f>
        <v>14.28</v>
      </c>
      <c r="I31" s="33">
        <f>'Expense Details'!Z164</f>
        <v>35</v>
      </c>
      <c r="J31" s="33">
        <f>H31-I31</f>
        <v>-20.72</v>
      </c>
      <c r="K31" s="34">
        <f>IFERROR(MAX(0,H31/I31-1),0)</f>
        <v>0</v>
      </c>
      <c r="L31" s="31" t="str">
        <f>'Expense Details'!AC164</f>
        <v>No</v>
      </c>
      <c r="M31" s="35" t="s">
        <v>3503</v>
      </c>
      <c r="N31" s="31" t="str">
        <f>'Expense Details'!AG164</f>
        <v>Approved</v>
      </c>
      <c r="O31" s="31" t="str">
        <f>'Expense Details'!F164</f>
        <v>Diane Okafor</v>
      </c>
    </row>
    <row r="32" spans="1:15">
      <c r="A32" s="31" t="str">
        <f>'Expense Details'!A169</f>
        <v>EXP-00168</v>
      </c>
      <c r="B32" s="31" t="str">
        <f>'Expense Details'!C169</f>
        <v>Grace Lin</v>
      </c>
      <c r="C32" s="31" t="str">
        <f>'Expense Details'!D169</f>
        <v>Marketing</v>
      </c>
      <c r="D32" s="31" t="str">
        <f>'Expense Details'!G169</f>
        <v>TRP-2025-124</v>
      </c>
      <c r="E32" s="32">
        <f>'Expense Details'!M169</f>
        <v>45677</v>
      </c>
      <c r="F32" s="31" t="str">
        <f>'Expense Details'!O169</f>
        <v>Airfare</v>
      </c>
      <c r="G32" s="31" t="str">
        <f>'Expense Details'!Q169</f>
        <v>Singapore Airlines</v>
      </c>
      <c r="H32" s="33">
        <f>'Expense Details'!V169</f>
        <v>2045.4556400000001</v>
      </c>
      <c r="I32" s="33">
        <f>'Expense Details'!Z169</f>
        <v>1400</v>
      </c>
      <c r="J32" s="33">
        <f>H32-I32</f>
        <v>645.45564000000013</v>
      </c>
      <c r="K32" s="34">
        <f>IFERROR(MAX(0,H32/I32-1),0)</f>
        <v>0.46103974285714289</v>
      </c>
      <c r="L32" s="31" t="str">
        <f>'Expense Details'!AC169</f>
        <v>Yes</v>
      </c>
      <c r="M32" s="35" t="s">
        <v>3502</v>
      </c>
      <c r="N32" s="31" t="str">
        <f>'Expense Details'!AG169</f>
        <v>Approved</v>
      </c>
      <c r="O32" s="31" t="str">
        <f>'Expense Details'!F169</f>
        <v>Diane Okafor</v>
      </c>
    </row>
    <row r="33" spans="1:15">
      <c r="A33" s="31" t="str">
        <f>'Expense Details'!A176</f>
        <v>EXP-00175</v>
      </c>
      <c r="B33" s="31" t="str">
        <f>'Expense Details'!C176</f>
        <v>Grace Lin</v>
      </c>
      <c r="C33" s="31" t="str">
        <f>'Expense Details'!D176</f>
        <v>Marketing</v>
      </c>
      <c r="D33" s="31" t="str">
        <f>'Expense Details'!G176</f>
        <v>TRP-2025-096</v>
      </c>
      <c r="E33" s="32">
        <f>'Expense Details'!M176</f>
        <v>45678</v>
      </c>
      <c r="F33" s="31" t="str">
        <f>'Expense Details'!O176</f>
        <v>Ground Transport - Rail</v>
      </c>
      <c r="G33" s="31" t="str">
        <f>'Expense Details'!Q176</f>
        <v>SNCF</v>
      </c>
      <c r="H33" s="33">
        <f>'Expense Details'!V176</f>
        <v>59.36</v>
      </c>
      <c r="I33" s="33">
        <f>'Expense Details'!Z176</f>
        <v>150</v>
      </c>
      <c r="J33" s="33">
        <f>H33-I33</f>
        <v>-90.64</v>
      </c>
      <c r="K33" s="34">
        <f>IFERROR(MAX(0,H33/I33-1),0)</f>
        <v>0</v>
      </c>
      <c r="L33" s="31" t="str">
        <f>'Expense Details'!AC176</f>
        <v>No</v>
      </c>
      <c r="M33" s="35" t="s">
        <v>3503</v>
      </c>
      <c r="N33" s="31" t="str">
        <f>'Expense Details'!AG176</f>
        <v>Approved</v>
      </c>
      <c r="O33" s="31" t="str">
        <f>'Expense Details'!F176</f>
        <v>Diane Okafor</v>
      </c>
    </row>
    <row r="34" spans="1:15">
      <c r="A34" s="31" t="str">
        <f>'Expense Details'!A178</f>
        <v>EXP-00177</v>
      </c>
      <c r="B34" s="31" t="str">
        <f>'Expense Details'!C178</f>
        <v>Grace Lin</v>
      </c>
      <c r="C34" s="31" t="str">
        <f>'Expense Details'!D178</f>
        <v>Marketing</v>
      </c>
      <c r="D34" s="31" t="str">
        <f>'Expense Details'!G178</f>
        <v>TRP-2025-096</v>
      </c>
      <c r="E34" s="32">
        <f>'Expense Details'!M178</f>
        <v>45678</v>
      </c>
      <c r="F34" s="31" t="str">
        <f>'Expense Details'!O178</f>
        <v>Meals - Breakfast</v>
      </c>
      <c r="G34" s="31" t="str">
        <f>'Expense Details'!Q178</f>
        <v>Starbucks</v>
      </c>
      <c r="H34" s="33">
        <f>'Expense Details'!V178</f>
        <v>38.29</v>
      </c>
      <c r="I34" s="33">
        <f>'Expense Details'!Z178</f>
        <v>25</v>
      </c>
      <c r="J34" s="33">
        <f>H34-I34</f>
        <v>13.29</v>
      </c>
      <c r="K34" s="34">
        <f>IFERROR(MAX(0,H34/I34-1),0)</f>
        <v>0.53160000000000007</v>
      </c>
      <c r="L34" s="31" t="str">
        <f>'Expense Details'!AC178</f>
        <v>Yes</v>
      </c>
      <c r="M34" s="35" t="s">
        <v>3502</v>
      </c>
      <c r="N34" s="31" t="str">
        <f>'Expense Details'!AG178</f>
        <v>Approved</v>
      </c>
      <c r="O34" s="31" t="str">
        <f>'Expense Details'!F178</f>
        <v>Diane Okafor</v>
      </c>
    </row>
    <row r="35" spans="1:15">
      <c r="A35" s="31" t="str">
        <f>'Expense Details'!A179</f>
        <v>EXP-00178</v>
      </c>
      <c r="B35" s="31" t="str">
        <f>'Expense Details'!C179</f>
        <v>Grace Lin</v>
      </c>
      <c r="C35" s="31" t="str">
        <f>'Expense Details'!D179</f>
        <v>Marketing</v>
      </c>
      <c r="D35" s="31" t="str">
        <f>'Expense Details'!G179</f>
        <v>TRP-2025-096</v>
      </c>
      <c r="E35" s="32">
        <f>'Expense Details'!M179</f>
        <v>45678</v>
      </c>
      <c r="F35" s="31" t="str">
        <f>'Expense Details'!O179</f>
        <v>Meals - Lunch</v>
      </c>
      <c r="G35" s="31" t="str">
        <f>'Expense Details'!Q179</f>
        <v>Local Bistro</v>
      </c>
      <c r="H35" s="33">
        <f>'Expense Details'!V179</f>
        <v>39.53</v>
      </c>
      <c r="I35" s="33">
        <f>'Expense Details'!Z179</f>
        <v>35</v>
      </c>
      <c r="J35" s="33">
        <f>H35-I35</f>
        <v>4.5300000000000011</v>
      </c>
      <c r="K35" s="34">
        <f>IFERROR(MAX(0,H35/I35-1),0)</f>
        <v>0.12942857142857145</v>
      </c>
      <c r="L35" s="31" t="str">
        <f>'Expense Details'!AC179</f>
        <v>Yes</v>
      </c>
      <c r="M35" s="35" t="s">
        <v>3502</v>
      </c>
      <c r="N35" s="31" t="str">
        <f>'Expense Details'!AG179</f>
        <v>Approved</v>
      </c>
      <c r="O35" s="31" t="str">
        <f>'Expense Details'!F179</f>
        <v>Diane Okafor</v>
      </c>
    </row>
    <row r="36" spans="1:15">
      <c r="A36" s="31" t="str">
        <f>'Expense Details'!A181</f>
        <v>EXP-00180</v>
      </c>
      <c r="B36" s="31" t="str">
        <f>'Expense Details'!C181</f>
        <v>Grace Lin</v>
      </c>
      <c r="C36" s="31" t="str">
        <f>'Expense Details'!D181</f>
        <v>Marketing</v>
      </c>
      <c r="D36" s="31" t="str">
        <f>'Expense Details'!G181</f>
        <v>TRP-2025-124</v>
      </c>
      <c r="E36" s="32">
        <f>'Expense Details'!M181</f>
        <v>45678</v>
      </c>
      <c r="F36" s="31" t="str">
        <f>'Expense Details'!O181</f>
        <v>Internet / Roaming</v>
      </c>
      <c r="G36" s="31" t="str">
        <f>'Expense Details'!Q181</f>
        <v>Airport WiFi</v>
      </c>
      <c r="H36" s="33">
        <f>'Expense Details'!V181</f>
        <v>47.508740000000003</v>
      </c>
      <c r="I36" s="33">
        <f>'Expense Details'!Z181</f>
        <v>55</v>
      </c>
      <c r="J36" s="33">
        <f>H36-I36</f>
        <v>-7.4912599999999969</v>
      </c>
      <c r="K36" s="34">
        <f>IFERROR(MAX(0,H36/I36-1),0)</f>
        <v>0</v>
      </c>
      <c r="L36" s="31" t="str">
        <f>'Expense Details'!AC181</f>
        <v>No</v>
      </c>
      <c r="M36" s="35" t="s">
        <v>3503</v>
      </c>
      <c r="N36" s="31" t="str">
        <f>'Expense Details'!AG181</f>
        <v>Approved</v>
      </c>
      <c r="O36" s="31" t="str">
        <f>'Expense Details'!F181</f>
        <v>Diane Okafor</v>
      </c>
    </row>
    <row r="37" spans="1:15">
      <c r="A37" s="31" t="str">
        <f>'Expense Details'!A185</f>
        <v>EXP-00184</v>
      </c>
      <c r="B37" s="31" t="str">
        <f>'Expense Details'!C185</f>
        <v>Aisha Bello</v>
      </c>
      <c r="C37" s="31" t="str">
        <f>'Expense Details'!D185</f>
        <v>Operations</v>
      </c>
      <c r="D37" s="31" t="str">
        <f>'Expense Details'!G185</f>
        <v>TRP-2025-133</v>
      </c>
      <c r="E37" s="32">
        <f>'Expense Details'!M185</f>
        <v>45678</v>
      </c>
      <c r="F37" s="31" t="str">
        <f>'Expense Details'!O185</f>
        <v>Ground Transport - Taxi</v>
      </c>
      <c r="G37" s="31" t="str">
        <f>'Expense Details'!Q185</f>
        <v>Ola Cabs</v>
      </c>
      <c r="H37" s="33">
        <f>'Expense Details'!V185</f>
        <v>31.9</v>
      </c>
      <c r="I37" s="33">
        <f>'Expense Details'!Z185</f>
        <v>60</v>
      </c>
      <c r="J37" s="33">
        <f>H37-I37</f>
        <v>-28.1</v>
      </c>
      <c r="K37" s="34">
        <f>IFERROR(MAX(0,H37/I37-1),0)</f>
        <v>0</v>
      </c>
      <c r="L37" s="31" t="str">
        <f>'Expense Details'!AC185</f>
        <v>No</v>
      </c>
      <c r="M37" s="35" t="s">
        <v>3503</v>
      </c>
      <c r="N37" s="31" t="str">
        <f>'Expense Details'!AG185</f>
        <v>Approved</v>
      </c>
      <c r="O37" s="31" t="str">
        <f>'Expense Details'!F185</f>
        <v>Viktor Petrov</v>
      </c>
    </row>
    <row r="38" spans="1:15">
      <c r="A38" s="31" t="str">
        <f>'Expense Details'!A189</f>
        <v>EXP-00188</v>
      </c>
      <c r="B38" s="31" t="str">
        <f>'Expense Details'!C189</f>
        <v>Aisha Bello</v>
      </c>
      <c r="C38" s="31" t="str">
        <f>'Expense Details'!D189</f>
        <v>Operations</v>
      </c>
      <c r="D38" s="31" t="str">
        <f>'Expense Details'!G189</f>
        <v>TRP-2025-133</v>
      </c>
      <c r="E38" s="32">
        <f>'Expense Details'!M189</f>
        <v>45678</v>
      </c>
      <c r="F38" s="31" t="str">
        <f>'Expense Details'!O189</f>
        <v>Meals - Lunch</v>
      </c>
      <c r="G38" s="31" t="str">
        <f>'Expense Details'!Q189</f>
        <v>Pret A Manger</v>
      </c>
      <c r="H38" s="33">
        <f>'Expense Details'!V189</f>
        <v>40.64</v>
      </c>
      <c r="I38" s="33">
        <f>'Expense Details'!Z189</f>
        <v>35</v>
      </c>
      <c r="J38" s="33">
        <f>H38-I38</f>
        <v>5.6400000000000006</v>
      </c>
      <c r="K38" s="34">
        <f>IFERROR(MAX(0,H38/I38-1),0)</f>
        <v>0.16114285714285725</v>
      </c>
      <c r="L38" s="31" t="str">
        <f>'Expense Details'!AC189</f>
        <v>Yes</v>
      </c>
      <c r="M38" s="35" t="s">
        <v>3502</v>
      </c>
      <c r="N38" s="31" t="str">
        <f>'Expense Details'!AG189</f>
        <v>Approved</v>
      </c>
      <c r="O38" s="31" t="str">
        <f>'Expense Details'!F189</f>
        <v>Viktor Petrov</v>
      </c>
    </row>
    <row r="39" spans="1:15">
      <c r="A39" s="31" t="str">
        <f>'Expense Details'!A190</f>
        <v>EXP-00189</v>
      </c>
      <c r="B39" s="31" t="str">
        <f>'Expense Details'!C190</f>
        <v>Grace Lin</v>
      </c>
      <c r="C39" s="31" t="str">
        <f>'Expense Details'!D190</f>
        <v>Marketing</v>
      </c>
      <c r="D39" s="31" t="str">
        <f>'Expense Details'!G190</f>
        <v>TRP-2025-096</v>
      </c>
      <c r="E39" s="32">
        <f>'Expense Details'!M190</f>
        <v>45679</v>
      </c>
      <c r="F39" s="31" t="str">
        <f>'Expense Details'!O190</f>
        <v>Ground Transport - Taxi</v>
      </c>
      <c r="G39" s="31" t="str">
        <f>'Expense Details'!Q190</f>
        <v>Local Taxi</v>
      </c>
      <c r="H39" s="33">
        <f>'Expense Details'!V190</f>
        <v>58.15</v>
      </c>
      <c r="I39" s="33">
        <f>'Expense Details'!Z190</f>
        <v>60</v>
      </c>
      <c r="J39" s="33">
        <f>H39-I39</f>
        <v>-1.8500000000000014</v>
      </c>
      <c r="K39" s="34">
        <f>IFERROR(MAX(0,H39/I39-1),0)</f>
        <v>0</v>
      </c>
      <c r="L39" s="31" t="str">
        <f>'Expense Details'!AC190</f>
        <v>No</v>
      </c>
      <c r="M39" s="35" t="s">
        <v>3503</v>
      </c>
      <c r="N39" s="31" t="str">
        <f>'Expense Details'!AG190</f>
        <v>Approved</v>
      </c>
      <c r="O39" s="31" t="str">
        <f>'Expense Details'!F190</f>
        <v>Diane Okafor</v>
      </c>
    </row>
    <row r="40" spans="1:15">
      <c r="A40" s="31" t="str">
        <f>'Expense Details'!A203</f>
        <v>EXP-00202</v>
      </c>
      <c r="B40" s="31" t="str">
        <f>'Expense Details'!C203</f>
        <v>Marcus Bell</v>
      </c>
      <c r="C40" s="31" t="str">
        <f>'Expense Details'!D203</f>
        <v>Sales</v>
      </c>
      <c r="D40" s="31" t="str">
        <f>'Expense Details'!G203</f>
        <v>TRP-2025-039</v>
      </c>
      <c r="E40" s="32">
        <f>'Expense Details'!M203</f>
        <v>45680</v>
      </c>
      <c r="F40" s="31" t="str">
        <f>'Expense Details'!O203</f>
        <v>Meals - Dinner</v>
      </c>
      <c r="G40" s="31" t="str">
        <f>'Expense Details'!Q203</f>
        <v>Spice Route</v>
      </c>
      <c r="H40" s="33">
        <f>'Expense Details'!V203</f>
        <v>87.63900000000001</v>
      </c>
      <c r="I40" s="33">
        <f>'Expense Details'!Z203</f>
        <v>75</v>
      </c>
      <c r="J40" s="33">
        <f>H40-I40</f>
        <v>12.63900000000001</v>
      </c>
      <c r="K40" s="34">
        <f>IFERROR(MAX(0,H40/I40-1),0)</f>
        <v>0.16852000000000023</v>
      </c>
      <c r="L40" s="31" t="str">
        <f>'Expense Details'!AC203</f>
        <v>Yes</v>
      </c>
      <c r="M40" s="35" t="s">
        <v>3502</v>
      </c>
      <c r="N40" s="31" t="str">
        <f>'Expense Details'!AG203</f>
        <v>Approved</v>
      </c>
      <c r="O40" s="31" t="str">
        <f>'Expense Details'!F203</f>
        <v>Diane Okafor</v>
      </c>
    </row>
    <row r="41" spans="1:15">
      <c r="A41" s="31" t="str">
        <f>'Expense Details'!A205</f>
        <v>EXP-00204</v>
      </c>
      <c r="B41" s="31" t="str">
        <f>'Expense Details'!C205</f>
        <v>Grace Lin</v>
      </c>
      <c r="C41" s="31" t="str">
        <f>'Expense Details'!D205</f>
        <v>Marketing</v>
      </c>
      <c r="D41" s="31" t="str">
        <f>'Expense Details'!G205</f>
        <v>TRP-2025-096</v>
      </c>
      <c r="E41" s="32">
        <f>'Expense Details'!M205</f>
        <v>45680</v>
      </c>
      <c r="F41" s="31" t="str">
        <f>'Expense Details'!O205</f>
        <v>Ground Transport - Taxi</v>
      </c>
      <c r="G41" s="31" t="str">
        <f>'Expense Details'!Q205</f>
        <v>Lyft</v>
      </c>
      <c r="H41" s="33">
        <f>'Expense Details'!V205</f>
        <v>79.7</v>
      </c>
      <c r="I41" s="33">
        <f>'Expense Details'!Z205</f>
        <v>60</v>
      </c>
      <c r="J41" s="33">
        <f>H41-I41</f>
        <v>19.700000000000003</v>
      </c>
      <c r="K41" s="34">
        <f>IFERROR(MAX(0,H41/I41-1),0)</f>
        <v>0.32833333333333337</v>
      </c>
      <c r="L41" s="31" t="str">
        <f>'Expense Details'!AC205</f>
        <v>Yes</v>
      </c>
      <c r="M41" s="35" t="s">
        <v>3502</v>
      </c>
      <c r="N41" s="31" t="str">
        <f>'Expense Details'!AG205</f>
        <v>Approved</v>
      </c>
      <c r="O41" s="31" t="str">
        <f>'Expense Details'!F205</f>
        <v>Diane Okafor</v>
      </c>
    </row>
    <row r="42" spans="1:15">
      <c r="A42" s="31" t="str">
        <f>'Expense Details'!A213</f>
        <v>EXP-00212</v>
      </c>
      <c r="B42" s="31" t="str">
        <f>'Expense Details'!C213</f>
        <v>Aisha Bello</v>
      </c>
      <c r="C42" s="31" t="str">
        <f>'Expense Details'!D213</f>
        <v>Operations</v>
      </c>
      <c r="D42" s="31" t="str">
        <f>'Expense Details'!G213</f>
        <v>TRP-2025-133</v>
      </c>
      <c r="E42" s="32">
        <f>'Expense Details'!M213</f>
        <v>45680</v>
      </c>
      <c r="F42" s="31" t="str">
        <f>'Expense Details'!O213</f>
        <v>Meals - Lunch</v>
      </c>
      <c r="G42" s="31" t="str">
        <f>'Expense Details'!Q213</f>
        <v>Sweetgreen</v>
      </c>
      <c r="H42" s="33">
        <f>'Expense Details'!V213</f>
        <v>42.84</v>
      </c>
      <c r="I42" s="33">
        <f>'Expense Details'!Z213</f>
        <v>35</v>
      </c>
      <c r="J42" s="33">
        <f>H42-I42</f>
        <v>7.8400000000000034</v>
      </c>
      <c r="K42" s="34">
        <f>IFERROR(MAX(0,H42/I42-1),0)</f>
        <v>0.2240000000000002</v>
      </c>
      <c r="L42" s="31" t="str">
        <f>'Expense Details'!AC213</f>
        <v>Yes</v>
      </c>
      <c r="M42" s="35" t="s">
        <v>3502</v>
      </c>
      <c r="N42" s="31" t="str">
        <f>'Expense Details'!AG213</f>
        <v>Approved</v>
      </c>
      <c r="O42" s="31" t="str">
        <f>'Expense Details'!F213</f>
        <v>Viktor Petrov</v>
      </c>
    </row>
    <row r="43" spans="1:15">
      <c r="A43" s="31" t="str">
        <f>'Expense Details'!A219</f>
        <v>EXP-00218</v>
      </c>
      <c r="B43" s="31" t="str">
        <f>'Expense Details'!C219</f>
        <v>Paul Nkemelu</v>
      </c>
      <c r="C43" s="31" t="str">
        <f>'Expense Details'!D219</f>
        <v>Customer Success</v>
      </c>
      <c r="D43" s="31" t="str">
        <f>'Expense Details'!G219</f>
        <v>TRP-2025-073</v>
      </c>
      <c r="E43" s="32">
        <f>'Expense Details'!M219</f>
        <v>45681</v>
      </c>
      <c r="F43" s="31" t="str">
        <f>'Expense Details'!O219</f>
        <v>Airfare</v>
      </c>
      <c r="G43" s="31" t="str">
        <f>'Expense Details'!Q219</f>
        <v>United Airlines</v>
      </c>
      <c r="H43" s="33">
        <f>'Expense Details'!V219</f>
        <v>2277.8164499999998</v>
      </c>
      <c r="I43" s="33">
        <f>'Expense Details'!Z219</f>
        <v>1400</v>
      </c>
      <c r="J43" s="33">
        <f>H43-I43</f>
        <v>877.8164499999998</v>
      </c>
      <c r="K43" s="34">
        <f>IFERROR(MAX(0,H43/I43-1),0)</f>
        <v>0.62701174999999987</v>
      </c>
      <c r="L43" s="31" t="str">
        <f>'Expense Details'!AC219</f>
        <v>No</v>
      </c>
      <c r="M43" s="35" t="s">
        <v>3504</v>
      </c>
      <c r="N43" s="31" t="str">
        <f>'Expense Details'!AG219</f>
        <v>Approved</v>
      </c>
      <c r="O43" s="31" t="str">
        <f>'Expense Details'!F219</f>
        <v>Diane Okafor</v>
      </c>
    </row>
    <row r="44" spans="1:15">
      <c r="A44" s="31" t="str">
        <f>'Expense Details'!A227</f>
        <v>EXP-00226</v>
      </c>
      <c r="B44" s="31" t="str">
        <f>'Expense Details'!C227</f>
        <v>Grace Lin</v>
      </c>
      <c r="C44" s="31" t="str">
        <f>'Expense Details'!D227</f>
        <v>Marketing</v>
      </c>
      <c r="D44" s="31" t="str">
        <f>'Expense Details'!G227</f>
        <v>TRP-2025-096</v>
      </c>
      <c r="E44" s="32">
        <f>'Expense Details'!M227</f>
        <v>45681</v>
      </c>
      <c r="F44" s="31" t="str">
        <f>'Expense Details'!O227</f>
        <v>Meals - Lunch</v>
      </c>
      <c r="G44" s="31" t="str">
        <f>'Expense Details'!Q227</f>
        <v>Local Bistro</v>
      </c>
      <c r="H44" s="33">
        <f>'Expense Details'!V227</f>
        <v>27.39</v>
      </c>
      <c r="I44" s="33">
        <f>'Expense Details'!Z227</f>
        <v>35</v>
      </c>
      <c r="J44" s="33">
        <f>H44-I44</f>
        <v>-7.6099999999999994</v>
      </c>
      <c r="K44" s="34">
        <f>IFERROR(MAX(0,H44/I44-1),0)</f>
        <v>0</v>
      </c>
      <c r="L44" s="31" t="str">
        <f>'Expense Details'!AC227</f>
        <v>No</v>
      </c>
      <c r="M44" s="35" t="s">
        <v>3503</v>
      </c>
      <c r="N44" s="31" t="str">
        <f>'Expense Details'!AG227</f>
        <v>Approved</v>
      </c>
      <c r="O44" s="31" t="str">
        <f>'Expense Details'!F227</f>
        <v>Diane Okafor</v>
      </c>
    </row>
    <row r="45" spans="1:15">
      <c r="A45" s="31" t="str">
        <f>'Expense Details'!A233</f>
        <v>EXP-00232</v>
      </c>
      <c r="B45" s="31" t="str">
        <f>'Expense Details'!C233</f>
        <v>Marcus Bell</v>
      </c>
      <c r="C45" s="31" t="str">
        <f>'Expense Details'!D233</f>
        <v>Sales</v>
      </c>
      <c r="D45" s="31" t="str">
        <f>'Expense Details'!G233</f>
        <v>TRP-2025-039</v>
      </c>
      <c r="E45" s="32">
        <f>'Expense Details'!M233</f>
        <v>45682</v>
      </c>
      <c r="F45" s="31" t="str">
        <f>'Expense Details'!O233</f>
        <v>Meals - Dinner</v>
      </c>
      <c r="G45" s="31" t="str">
        <f>'Expense Details'!Q233</f>
        <v>Spice Route</v>
      </c>
      <c r="H45" s="33">
        <f>'Expense Details'!V233</f>
        <v>92.754550000000009</v>
      </c>
      <c r="I45" s="33">
        <f>'Expense Details'!Z233</f>
        <v>75</v>
      </c>
      <c r="J45" s="33">
        <f>H45-I45</f>
        <v>17.754550000000009</v>
      </c>
      <c r="K45" s="34">
        <f>IFERROR(MAX(0,H45/I45-1),0)</f>
        <v>0.23672733333333351</v>
      </c>
      <c r="L45" s="31" t="str">
        <f>'Expense Details'!AC233</f>
        <v>Yes</v>
      </c>
      <c r="M45" s="35" t="s">
        <v>3502</v>
      </c>
      <c r="N45" s="31" t="str">
        <f>'Expense Details'!AG233</f>
        <v>Approved</v>
      </c>
      <c r="O45" s="31" t="str">
        <f>'Expense Details'!F233</f>
        <v>Diane Okafor</v>
      </c>
    </row>
    <row r="46" spans="1:15">
      <c r="A46" s="31" t="str">
        <f>'Expense Details'!A236</f>
        <v>EXP-00235</v>
      </c>
      <c r="B46" s="31" t="str">
        <f>'Expense Details'!C236</f>
        <v>Paul Nkemelu</v>
      </c>
      <c r="C46" s="31" t="str">
        <f>'Expense Details'!D236</f>
        <v>Customer Success</v>
      </c>
      <c r="D46" s="31" t="str">
        <f>'Expense Details'!G236</f>
        <v>TRP-2025-073</v>
      </c>
      <c r="E46" s="32">
        <f>'Expense Details'!M236</f>
        <v>45682</v>
      </c>
      <c r="F46" s="31" t="str">
        <f>'Expense Details'!O236</f>
        <v>Car Rental</v>
      </c>
      <c r="G46" s="31" t="str">
        <f>'Expense Details'!Q236</f>
        <v>Hertz</v>
      </c>
      <c r="H46" s="33">
        <f>'Expense Details'!V236</f>
        <v>131.55625000000001</v>
      </c>
      <c r="I46" s="33">
        <f>'Expense Details'!Z236</f>
        <v>120</v>
      </c>
      <c r="J46" s="33">
        <f>H46-I46</f>
        <v>11.556250000000006</v>
      </c>
      <c r="K46" s="34">
        <f>IFERROR(MAX(0,H46/I46-1),0)</f>
        <v>9.6302083333333455E-2</v>
      </c>
      <c r="L46" s="31" t="str">
        <f>'Expense Details'!AC236</f>
        <v>Yes</v>
      </c>
      <c r="M46" s="35" t="s">
        <v>3502</v>
      </c>
      <c r="N46" s="31" t="str">
        <f>'Expense Details'!AG236</f>
        <v>Approved</v>
      </c>
      <c r="O46" s="31" t="str">
        <f>'Expense Details'!F236</f>
        <v>Diane Okafor</v>
      </c>
    </row>
    <row r="47" spans="1:15">
      <c r="A47" s="31" t="str">
        <f>'Expense Details'!A246</f>
        <v>EXP-00245</v>
      </c>
      <c r="B47" s="31" t="str">
        <f>'Expense Details'!C246</f>
        <v>Hannah Weiss</v>
      </c>
      <c r="C47" s="31" t="str">
        <f>'Expense Details'!D246</f>
        <v>Field Engineering</v>
      </c>
      <c r="D47" s="31" t="str">
        <f>'Expense Details'!G246</f>
        <v>TRP-2025-091</v>
      </c>
      <c r="E47" s="32">
        <f>'Expense Details'!M246</f>
        <v>45682</v>
      </c>
      <c r="F47" s="31" t="str">
        <f>'Expense Details'!O246</f>
        <v>Airfare</v>
      </c>
      <c r="G47" s="31" t="str">
        <f>'Expense Details'!Q246</f>
        <v>United Airlines</v>
      </c>
      <c r="H47" s="33">
        <f>'Expense Details'!V246</f>
        <v>2723.34762</v>
      </c>
      <c r="I47" s="33">
        <f>'Expense Details'!Z246</f>
        <v>1400</v>
      </c>
      <c r="J47" s="33">
        <f>H47-I47</f>
        <v>1323.34762</v>
      </c>
      <c r="K47" s="34">
        <f>IFERROR(MAX(0,H47/I47-1),0)</f>
        <v>0.94524830000000004</v>
      </c>
      <c r="L47" s="31" t="str">
        <f>'Expense Details'!AC246</f>
        <v>No</v>
      </c>
      <c r="M47" s="35" t="s">
        <v>3504</v>
      </c>
      <c r="N47" s="31" t="str">
        <f>'Expense Details'!AG246</f>
        <v>Approved</v>
      </c>
      <c r="O47" s="31" t="str">
        <f>'Expense Details'!F246</f>
        <v>Tomas Kovac</v>
      </c>
    </row>
    <row r="48" spans="1:15">
      <c r="A48" s="31" t="str">
        <f>'Expense Details'!A251</f>
        <v>EXP-00250</v>
      </c>
      <c r="B48" s="31" t="str">
        <f>'Expense Details'!C251</f>
        <v>Grace Lin</v>
      </c>
      <c r="C48" s="31" t="str">
        <f>'Expense Details'!D251</f>
        <v>Marketing</v>
      </c>
      <c r="D48" s="31" t="str">
        <f>'Expense Details'!G251</f>
        <v>TRP-2025-096</v>
      </c>
      <c r="E48" s="32">
        <f>'Expense Details'!M251</f>
        <v>45682</v>
      </c>
      <c r="F48" s="31" t="str">
        <f>'Expense Details'!O251</f>
        <v>Meals - Lunch</v>
      </c>
      <c r="G48" s="31" t="str">
        <f>'Expense Details'!Q251</f>
        <v>Local Bistro</v>
      </c>
      <c r="H48" s="33">
        <f>'Expense Details'!V251</f>
        <v>46.38</v>
      </c>
      <c r="I48" s="33">
        <f>'Expense Details'!Z251</f>
        <v>35</v>
      </c>
      <c r="J48" s="33">
        <f>H48-I48</f>
        <v>11.380000000000003</v>
      </c>
      <c r="K48" s="34">
        <f>IFERROR(MAX(0,H48/I48-1),0)</f>
        <v>0.32514285714285718</v>
      </c>
      <c r="L48" s="31" t="str">
        <f>'Expense Details'!AC251</f>
        <v>Yes</v>
      </c>
      <c r="M48" s="35" t="s">
        <v>3502</v>
      </c>
      <c r="N48" s="31" t="str">
        <f>'Expense Details'!AG251</f>
        <v>Approved</v>
      </c>
      <c r="O48" s="31" t="str">
        <f>'Expense Details'!F251</f>
        <v>Diane Okafor</v>
      </c>
    </row>
    <row r="49" spans="1:15">
      <c r="A49" s="31" t="str">
        <f>'Expense Details'!A253</f>
        <v>EXP-00252</v>
      </c>
      <c r="B49" s="31" t="str">
        <f>'Expense Details'!C253</f>
        <v>Aisha Bello</v>
      </c>
      <c r="C49" s="31" t="str">
        <f>'Expense Details'!D253</f>
        <v>Operations</v>
      </c>
      <c r="D49" s="31" t="str">
        <f>'Expense Details'!G253</f>
        <v>TRP-2025-133</v>
      </c>
      <c r="E49" s="32">
        <f>'Expense Details'!M253</f>
        <v>45682</v>
      </c>
      <c r="F49" s="31" t="str">
        <f>'Expense Details'!O253</f>
        <v>Meals - Dinner</v>
      </c>
      <c r="G49" s="31" t="str">
        <f>'Expense Details'!Q253</f>
        <v>Osteria Vela</v>
      </c>
      <c r="H49" s="33">
        <f>'Expense Details'!V253</f>
        <v>98.54</v>
      </c>
      <c r="I49" s="33">
        <f>'Expense Details'!Z253</f>
        <v>75</v>
      </c>
      <c r="J49" s="33">
        <f>H49-I49</f>
        <v>23.540000000000006</v>
      </c>
      <c r="K49" s="34">
        <f>IFERROR(MAX(0,H49/I49-1),0)</f>
        <v>0.31386666666666674</v>
      </c>
      <c r="L49" s="31" t="str">
        <f>'Expense Details'!AC253</f>
        <v>Yes</v>
      </c>
      <c r="M49" s="35" t="s">
        <v>3502</v>
      </c>
      <c r="N49" s="31" t="str">
        <f>'Expense Details'!AG253</f>
        <v>Approved</v>
      </c>
      <c r="O49" s="31" t="str">
        <f>'Expense Details'!F253</f>
        <v>Viktor Petrov</v>
      </c>
    </row>
    <row r="50" spans="1:15">
      <c r="A50" s="31" t="str">
        <f>'Expense Details'!A255</f>
        <v>EXP-00254</v>
      </c>
      <c r="B50" s="31" t="str">
        <f>'Expense Details'!C255</f>
        <v>Paul Nkemelu</v>
      </c>
      <c r="C50" s="31" t="str">
        <f>'Expense Details'!D255</f>
        <v>Customer Success</v>
      </c>
      <c r="D50" s="31" t="str">
        <f>'Expense Details'!G255</f>
        <v>TRP-2025-037</v>
      </c>
      <c r="E50" s="32">
        <f>'Expense Details'!M255</f>
        <v>45683</v>
      </c>
      <c r="F50" s="31" t="str">
        <f>'Expense Details'!O255</f>
        <v>Airfare</v>
      </c>
      <c r="G50" s="31" t="str">
        <f>'Expense Details'!Q255</f>
        <v>United Airlines</v>
      </c>
      <c r="H50" s="33">
        <f>'Expense Details'!V255</f>
        <v>1156.9844800000001</v>
      </c>
      <c r="I50" s="33">
        <f>'Expense Details'!Z255</f>
        <v>1400</v>
      </c>
      <c r="J50" s="33">
        <f>H50-I50</f>
        <v>-243.01551999999992</v>
      </c>
      <c r="K50" s="34">
        <f>IFERROR(MAX(0,H50/I50-1),0)</f>
        <v>0</v>
      </c>
      <c r="L50" s="31" t="str">
        <f>'Expense Details'!AC255</f>
        <v>No</v>
      </c>
      <c r="M50" s="35" t="s">
        <v>3503</v>
      </c>
      <c r="N50" s="31" t="str">
        <f>'Expense Details'!AG255</f>
        <v>Approved</v>
      </c>
      <c r="O50" s="31" t="str">
        <f>'Expense Details'!F255</f>
        <v>Diane Okafor</v>
      </c>
    </row>
    <row r="51" spans="1:15">
      <c r="A51" s="31" t="str">
        <f>'Expense Details'!A259</f>
        <v>EXP-00258</v>
      </c>
      <c r="B51" s="31" t="str">
        <f>'Expense Details'!C259</f>
        <v>Paul Nkemelu</v>
      </c>
      <c r="C51" s="31" t="str">
        <f>'Expense Details'!D259</f>
        <v>Customer Success</v>
      </c>
      <c r="D51" s="31" t="str">
        <f>'Expense Details'!G259</f>
        <v>TRP-2025-037</v>
      </c>
      <c r="E51" s="32">
        <f>'Expense Details'!M259</f>
        <v>45683</v>
      </c>
      <c r="F51" s="31" t="str">
        <f>'Expense Details'!O259</f>
        <v>Meals - Dinner</v>
      </c>
      <c r="G51" s="31" t="str">
        <f>'Expense Details'!Q259</f>
        <v>Spice Route</v>
      </c>
      <c r="H51" s="33">
        <f>'Expense Details'!V259</f>
        <v>102.52134000000001</v>
      </c>
      <c r="I51" s="33">
        <f>'Expense Details'!Z259</f>
        <v>75</v>
      </c>
      <c r="J51" s="33">
        <f>H51-I51</f>
        <v>27.521340000000009</v>
      </c>
      <c r="K51" s="34">
        <f>IFERROR(MAX(0,H51/I51-1),0)</f>
        <v>0.36695120000000014</v>
      </c>
      <c r="L51" s="31" t="str">
        <f>'Expense Details'!AC259</f>
        <v>Yes</v>
      </c>
      <c r="M51" s="35" t="s">
        <v>3502</v>
      </c>
      <c r="N51" s="31" t="str">
        <f>'Expense Details'!AG259</f>
        <v>Approved</v>
      </c>
      <c r="O51" s="31" t="str">
        <f>'Expense Details'!F259</f>
        <v>Diane Okafor</v>
      </c>
    </row>
    <row r="52" spans="1:15">
      <c r="A52" s="31" t="str">
        <f>'Expense Details'!A260</f>
        <v>EXP-00259</v>
      </c>
      <c r="B52" s="31" t="str">
        <f>'Expense Details'!C260</f>
        <v>Marcus Bell</v>
      </c>
      <c r="C52" s="31" t="str">
        <f>'Expense Details'!D260</f>
        <v>Sales</v>
      </c>
      <c r="D52" s="31" t="str">
        <f>'Expense Details'!G260</f>
        <v>TRP-2025-039</v>
      </c>
      <c r="E52" s="32">
        <f>'Expense Details'!M260</f>
        <v>45683</v>
      </c>
      <c r="F52" s="31" t="str">
        <f>'Expense Details'!O260</f>
        <v>Client Gifts</v>
      </c>
      <c r="G52" s="31" t="str">
        <f>'Expense Details'!Q260</f>
        <v>Corporate Gifting Co.</v>
      </c>
      <c r="H52" s="33">
        <f>'Expense Details'!V260</f>
        <v>150.73515</v>
      </c>
      <c r="I52" s="33">
        <f>'Expense Details'!Z260</f>
        <v>100</v>
      </c>
      <c r="J52" s="33">
        <f>H52-I52</f>
        <v>50.735150000000004</v>
      </c>
      <c r="K52" s="34">
        <f>IFERROR(MAX(0,H52/I52-1),0)</f>
        <v>0.50735149999999996</v>
      </c>
      <c r="L52" s="31" t="str">
        <f>'Expense Details'!AC260</f>
        <v>Yes</v>
      </c>
      <c r="M52" s="35" t="s">
        <v>3502</v>
      </c>
      <c r="N52" s="31" t="str">
        <f>'Expense Details'!AG260</f>
        <v>Approved</v>
      </c>
      <c r="O52" s="31" t="str">
        <f>'Expense Details'!F260</f>
        <v>Diane Okafor</v>
      </c>
    </row>
    <row r="53" spans="1:15">
      <c r="A53" s="31" t="str">
        <f>'Expense Details'!A262</f>
        <v>EXP-00261</v>
      </c>
      <c r="B53" s="31" t="str">
        <f>'Expense Details'!C262</f>
        <v>Marcus Bell</v>
      </c>
      <c r="C53" s="31" t="str">
        <f>'Expense Details'!D262</f>
        <v>Sales</v>
      </c>
      <c r="D53" s="31" t="str">
        <f>'Expense Details'!G262</f>
        <v>TRP-2025-039</v>
      </c>
      <c r="E53" s="32">
        <f>'Expense Details'!M262</f>
        <v>45683</v>
      </c>
      <c r="F53" s="31" t="str">
        <f>'Expense Details'!O262</f>
        <v>Meals - Breakfast</v>
      </c>
      <c r="G53" s="31" t="str">
        <f>'Expense Details'!Q262</f>
        <v>Cafe Nero</v>
      </c>
      <c r="H53" s="33">
        <f>'Expense Details'!V262</f>
        <v>20.226400000000002</v>
      </c>
      <c r="I53" s="33">
        <f>'Expense Details'!Z262</f>
        <v>25</v>
      </c>
      <c r="J53" s="33">
        <f>H53-I53</f>
        <v>-4.7735999999999983</v>
      </c>
      <c r="K53" s="34">
        <f>IFERROR(MAX(0,H53/I53-1),0)</f>
        <v>0</v>
      </c>
      <c r="L53" s="31" t="str">
        <f>'Expense Details'!AC262</f>
        <v>No</v>
      </c>
      <c r="M53" s="35" t="s">
        <v>3503</v>
      </c>
      <c r="N53" s="31" t="str">
        <f>'Expense Details'!AG262</f>
        <v>Approved</v>
      </c>
      <c r="O53" s="31" t="str">
        <f>'Expense Details'!F262</f>
        <v>Diane Okafor</v>
      </c>
    </row>
    <row r="54" spans="1:15">
      <c r="A54" s="31" t="str">
        <f>'Expense Details'!A266</f>
        <v>EXP-00265</v>
      </c>
      <c r="B54" s="31" t="str">
        <f>'Expense Details'!C266</f>
        <v>Hannah Weiss</v>
      </c>
      <c r="C54" s="31" t="str">
        <f>'Expense Details'!D266</f>
        <v>Field Engineering</v>
      </c>
      <c r="D54" s="31" t="str">
        <f>'Expense Details'!G266</f>
        <v>TRP-2025-091</v>
      </c>
      <c r="E54" s="32">
        <f>'Expense Details'!M266</f>
        <v>45683</v>
      </c>
      <c r="F54" s="31" t="str">
        <f>'Expense Details'!O266</f>
        <v>Ground Transport - Rail</v>
      </c>
      <c r="G54" s="31" t="str">
        <f>'Expense Details'!Q266</f>
        <v>JR East</v>
      </c>
      <c r="H54" s="33">
        <f>'Expense Details'!V266</f>
        <v>196.63494999999998</v>
      </c>
      <c r="I54" s="33">
        <f>'Expense Details'!Z266</f>
        <v>150</v>
      </c>
      <c r="J54" s="33">
        <f>H54-I54</f>
        <v>46.634949999999975</v>
      </c>
      <c r="K54" s="34">
        <f>IFERROR(MAX(0,H54/I54-1),0)</f>
        <v>0.31089966666666657</v>
      </c>
      <c r="L54" s="31" t="str">
        <f>'Expense Details'!AC266</f>
        <v>Yes</v>
      </c>
      <c r="M54" s="35" t="s">
        <v>3502</v>
      </c>
      <c r="N54" s="31" t="str">
        <f>'Expense Details'!AG266</f>
        <v>Approved</v>
      </c>
      <c r="O54" s="31" t="str">
        <f>'Expense Details'!F266</f>
        <v>Tomas Kovac</v>
      </c>
    </row>
    <row r="55" spans="1:15">
      <c r="A55" s="31" t="str">
        <f>'Expense Details'!A269</f>
        <v>EXP-00268</v>
      </c>
      <c r="B55" s="31" t="str">
        <f>'Expense Details'!C269</f>
        <v>Hannah Weiss</v>
      </c>
      <c r="C55" s="31" t="str">
        <f>'Expense Details'!D269</f>
        <v>Field Engineering</v>
      </c>
      <c r="D55" s="31" t="str">
        <f>'Expense Details'!G269</f>
        <v>TRP-2025-091</v>
      </c>
      <c r="E55" s="32">
        <f>'Expense Details'!M269</f>
        <v>45683</v>
      </c>
      <c r="F55" s="31" t="str">
        <f>'Expense Details'!O269</f>
        <v>Internet / Roaming</v>
      </c>
      <c r="G55" s="31" t="str">
        <f>'Expense Details'!Q269</f>
        <v>Vodafone Roaming</v>
      </c>
      <c r="H55" s="33">
        <f>'Expense Details'!V269</f>
        <v>63.548789999999997</v>
      </c>
      <c r="I55" s="33">
        <f>'Expense Details'!Z269</f>
        <v>55</v>
      </c>
      <c r="J55" s="33">
        <f>H55-I55</f>
        <v>8.5487899999999968</v>
      </c>
      <c r="K55" s="34">
        <f>IFERROR(MAX(0,H55/I55-1),0)</f>
        <v>0.15543254545454532</v>
      </c>
      <c r="L55" s="31" t="str">
        <f>'Expense Details'!AC269</f>
        <v>Yes</v>
      </c>
      <c r="M55" s="35" t="s">
        <v>3502</v>
      </c>
      <c r="N55" s="31" t="str">
        <f>'Expense Details'!AG269</f>
        <v>Approved</v>
      </c>
      <c r="O55" s="31" t="str">
        <f>'Expense Details'!F269</f>
        <v>Tomas Kovac</v>
      </c>
    </row>
    <row r="56" spans="1:15">
      <c r="A56" s="31" t="str">
        <f>'Expense Details'!A272</f>
        <v>EXP-00271</v>
      </c>
      <c r="B56" s="31" t="str">
        <f>'Expense Details'!C272</f>
        <v>Hannah Weiss</v>
      </c>
      <c r="C56" s="31" t="str">
        <f>'Expense Details'!D272</f>
        <v>Field Engineering</v>
      </c>
      <c r="D56" s="31" t="str">
        <f>'Expense Details'!G272</f>
        <v>TRP-2025-091</v>
      </c>
      <c r="E56" s="32">
        <f>'Expense Details'!M272</f>
        <v>45683</v>
      </c>
      <c r="F56" s="31" t="str">
        <f>'Expense Details'!O272</f>
        <v>Meals - Lunch</v>
      </c>
      <c r="G56" s="31" t="str">
        <f>'Expense Details'!Q272</f>
        <v>Sweetgreen</v>
      </c>
      <c r="H56" s="33">
        <f>'Expense Details'!V272</f>
        <v>18.716170000000002</v>
      </c>
      <c r="I56" s="33">
        <f>'Expense Details'!Z272</f>
        <v>35</v>
      </c>
      <c r="J56" s="33">
        <f>H56-I56</f>
        <v>-16.283829999999998</v>
      </c>
      <c r="K56" s="34">
        <f>IFERROR(MAX(0,H56/I56-1),0)</f>
        <v>0</v>
      </c>
      <c r="L56" s="31" t="str">
        <f>'Expense Details'!AC272</f>
        <v>No</v>
      </c>
      <c r="M56" s="35" t="s">
        <v>3503</v>
      </c>
      <c r="N56" s="31" t="str">
        <f>'Expense Details'!AG272</f>
        <v>Approved</v>
      </c>
      <c r="O56" s="31" t="str">
        <f>'Expense Details'!F272</f>
        <v>Tomas Kovac</v>
      </c>
    </row>
    <row r="57" spans="1:15">
      <c r="A57" s="31" t="str">
        <f>'Expense Details'!A273</f>
        <v>EXP-00272</v>
      </c>
      <c r="B57" s="31" t="str">
        <f>'Expense Details'!C273</f>
        <v>Grace Lin</v>
      </c>
      <c r="C57" s="31" t="str">
        <f>'Expense Details'!D273</f>
        <v>Marketing</v>
      </c>
      <c r="D57" s="31" t="str">
        <f>'Expense Details'!G273</f>
        <v>TRP-2025-096</v>
      </c>
      <c r="E57" s="32">
        <f>'Expense Details'!M273</f>
        <v>45683</v>
      </c>
      <c r="F57" s="31" t="str">
        <f>'Expense Details'!O273</f>
        <v>Ground Transport - Taxi</v>
      </c>
      <c r="G57" s="31" t="str">
        <f>'Expense Details'!Q273</f>
        <v>Grab</v>
      </c>
      <c r="H57" s="33">
        <f>'Expense Details'!V273</f>
        <v>34.450000000000003</v>
      </c>
      <c r="I57" s="33">
        <f>'Expense Details'!Z273</f>
        <v>60</v>
      </c>
      <c r="J57" s="33">
        <f>H57-I57</f>
        <v>-25.549999999999997</v>
      </c>
      <c r="K57" s="34">
        <f>IFERROR(MAX(0,H57/I57-1),0)</f>
        <v>0</v>
      </c>
      <c r="L57" s="31" t="str">
        <f>'Expense Details'!AC273</f>
        <v>No</v>
      </c>
      <c r="M57" s="35" t="s">
        <v>3503</v>
      </c>
      <c r="N57" s="31" t="str">
        <f>'Expense Details'!AG273</f>
        <v>Approved</v>
      </c>
      <c r="O57" s="31" t="str">
        <f>'Expense Details'!F273</f>
        <v>Diane Okafor</v>
      </c>
    </row>
    <row r="58" spans="1:15">
      <c r="A58" s="31" t="str">
        <f>'Expense Details'!A279</f>
        <v>EXP-00278</v>
      </c>
      <c r="B58" s="31" t="str">
        <f>'Expense Details'!C279</f>
        <v>Aisha Bello</v>
      </c>
      <c r="C58" s="31" t="str">
        <f>'Expense Details'!D279</f>
        <v>Operations</v>
      </c>
      <c r="D58" s="31" t="str">
        <f>'Expense Details'!G279</f>
        <v>TRP-2025-133</v>
      </c>
      <c r="E58" s="32">
        <f>'Expense Details'!M279</f>
        <v>45683</v>
      </c>
      <c r="F58" s="31" t="str">
        <f>'Expense Details'!O279</f>
        <v>Meals - Dinner</v>
      </c>
      <c r="G58" s="31" t="str">
        <f>'Expense Details'!Q279</f>
        <v>Spice Route</v>
      </c>
      <c r="H58" s="33">
        <f>'Expense Details'!V279</f>
        <v>106.38</v>
      </c>
      <c r="I58" s="33">
        <f>'Expense Details'!Z279</f>
        <v>75</v>
      </c>
      <c r="J58" s="33">
        <f>H58-I58</f>
        <v>31.379999999999995</v>
      </c>
      <c r="K58" s="34">
        <f>IFERROR(MAX(0,H58/I58-1),0)</f>
        <v>0.41839999999999988</v>
      </c>
      <c r="L58" s="31" t="str">
        <f>'Expense Details'!AC279</f>
        <v>Yes</v>
      </c>
      <c r="M58" s="35" t="s">
        <v>3502</v>
      </c>
      <c r="N58" s="31" t="str">
        <f>'Expense Details'!AG279</f>
        <v>Approved</v>
      </c>
      <c r="O58" s="31" t="str">
        <f>'Expense Details'!F279</f>
        <v>Viktor Petrov</v>
      </c>
    </row>
    <row r="59" spans="1:15">
      <c r="A59" s="31" t="str">
        <f>'Expense Details'!A281</f>
        <v>EXP-00280</v>
      </c>
      <c r="B59" s="31" t="str">
        <f>'Expense Details'!C281</f>
        <v>Fatima Al-Rashid</v>
      </c>
      <c r="C59" s="31" t="str">
        <f>'Expense Details'!D281</f>
        <v>Marketing</v>
      </c>
      <c r="D59" s="31" t="str">
        <f>'Expense Details'!G281</f>
        <v>TRP-2025-005</v>
      </c>
      <c r="E59" s="32">
        <f>'Expense Details'!M281</f>
        <v>45684</v>
      </c>
      <c r="F59" s="31" t="str">
        <f>'Expense Details'!O281</f>
        <v>Airfare</v>
      </c>
      <c r="G59" s="31" t="str">
        <f>'Expense Details'!Q281</f>
        <v>Air India</v>
      </c>
      <c r="H59" s="33">
        <f>'Expense Details'!V281</f>
        <v>1496.47</v>
      </c>
      <c r="I59" s="33">
        <f>'Expense Details'!Z281</f>
        <v>1400</v>
      </c>
      <c r="J59" s="33">
        <f>H59-I59</f>
        <v>96.470000000000027</v>
      </c>
      <c r="K59" s="34">
        <f>IFERROR(MAX(0,H59/I59-1),0)</f>
        <v>6.8907142857142833E-2</v>
      </c>
      <c r="L59" s="31" t="str">
        <f>'Expense Details'!AC281</f>
        <v>Yes</v>
      </c>
      <c r="M59" s="35" t="s">
        <v>3502</v>
      </c>
      <c r="N59" s="31" t="str">
        <f>'Expense Details'!AG281</f>
        <v>Approved</v>
      </c>
      <c r="O59" s="31" t="str">
        <f>'Expense Details'!F281</f>
        <v>Grace Lin</v>
      </c>
    </row>
    <row r="60" spans="1:15">
      <c r="A60" s="31" t="str">
        <f>'Expense Details'!A287</f>
        <v>EXP-00286</v>
      </c>
      <c r="B60" s="31" t="str">
        <f>'Expense Details'!C287</f>
        <v>Paul Nkemelu</v>
      </c>
      <c r="C60" s="31" t="str">
        <f>'Expense Details'!D287</f>
        <v>Customer Success</v>
      </c>
      <c r="D60" s="31" t="str">
        <f>'Expense Details'!G287</f>
        <v>TRP-2025-037</v>
      </c>
      <c r="E60" s="32">
        <f>'Expense Details'!M287</f>
        <v>45684</v>
      </c>
      <c r="F60" s="31" t="str">
        <f>'Expense Details'!O287</f>
        <v>Hotel / Lodging</v>
      </c>
      <c r="G60" s="31" t="str">
        <f>'Expense Details'!Q287</f>
        <v>Radisson Blu</v>
      </c>
      <c r="H60" s="33">
        <f>'Expense Details'!V287</f>
        <v>2150.9337599999999</v>
      </c>
      <c r="I60" s="33">
        <f>'Expense Details'!Z287</f>
        <v>1400</v>
      </c>
      <c r="J60" s="33">
        <f>H60-I60</f>
        <v>750.93375999999989</v>
      </c>
      <c r="K60" s="34">
        <f>IFERROR(MAX(0,H60/I60-1),0)</f>
        <v>0.536381257142857</v>
      </c>
      <c r="L60" s="31" t="str">
        <f>'Expense Details'!AC287</f>
        <v>Yes</v>
      </c>
      <c r="M60" s="35" t="s">
        <v>3502</v>
      </c>
      <c r="N60" s="31" t="str">
        <f>'Expense Details'!AG287</f>
        <v>Approved</v>
      </c>
      <c r="O60" s="31" t="str">
        <f>'Expense Details'!F287</f>
        <v>Diane Okafor</v>
      </c>
    </row>
    <row r="61" spans="1:15">
      <c r="A61" s="31" t="str">
        <f>'Expense Details'!A296</f>
        <v>EXP-00295</v>
      </c>
      <c r="B61" s="31" t="str">
        <f>'Expense Details'!C296</f>
        <v>Sneha Iyer</v>
      </c>
      <c r="C61" s="31" t="str">
        <f>'Expense Details'!D296</f>
        <v>Customer Success</v>
      </c>
      <c r="D61" s="31" t="str">
        <f>'Expense Details'!G296</f>
        <v>TRP-2025-081</v>
      </c>
      <c r="E61" s="32">
        <f>'Expense Details'!M296</f>
        <v>45684</v>
      </c>
      <c r="F61" s="31" t="str">
        <f>'Expense Details'!O296</f>
        <v>Meals - Breakfast</v>
      </c>
      <c r="G61" s="31" t="str">
        <f>'Expense Details'!Q296</f>
        <v>Local Bakery</v>
      </c>
      <c r="H61" s="33">
        <f>'Expense Details'!V296</f>
        <v>27.43</v>
      </c>
      <c r="I61" s="33">
        <f>'Expense Details'!Z296</f>
        <v>25</v>
      </c>
      <c r="J61" s="33">
        <f>H61-I61</f>
        <v>2.4299999999999997</v>
      </c>
      <c r="K61" s="34">
        <f>IFERROR(MAX(0,H61/I61-1),0)</f>
        <v>9.7199999999999953E-2</v>
      </c>
      <c r="L61" s="31" t="str">
        <f>'Expense Details'!AC296</f>
        <v>No</v>
      </c>
      <c r="M61" s="35" t="s">
        <v>3504</v>
      </c>
      <c r="N61" s="31" t="str">
        <f>'Expense Details'!AG296</f>
        <v>Pending Approval</v>
      </c>
      <c r="O61" s="31" t="str">
        <f>'Expense Details'!F296</f>
        <v>Paul Nkemelu</v>
      </c>
    </row>
    <row r="62" spans="1:15">
      <c r="A62" s="31" t="str">
        <f>'Expense Details'!A304</f>
        <v>EXP-00303</v>
      </c>
      <c r="B62" s="31" t="str">
        <f>'Expense Details'!C304</f>
        <v>Fatima Al-Rashid</v>
      </c>
      <c r="C62" s="31" t="str">
        <f>'Expense Details'!D304</f>
        <v>Marketing</v>
      </c>
      <c r="D62" s="31" t="str">
        <f>'Expense Details'!G304</f>
        <v>TRP-2025-005</v>
      </c>
      <c r="E62" s="32">
        <f>'Expense Details'!M304</f>
        <v>45685</v>
      </c>
      <c r="F62" s="31" t="str">
        <f>'Expense Details'!O304</f>
        <v>Ground Transport - Taxi</v>
      </c>
      <c r="G62" s="31" t="str">
        <f>'Expense Details'!Q304</f>
        <v>Lyft</v>
      </c>
      <c r="H62" s="33">
        <f>'Expense Details'!V304</f>
        <v>75.36</v>
      </c>
      <c r="I62" s="33">
        <f>'Expense Details'!Z304</f>
        <v>60</v>
      </c>
      <c r="J62" s="33">
        <f>H62-I62</f>
        <v>15.36</v>
      </c>
      <c r="K62" s="34">
        <f>IFERROR(MAX(0,H62/I62-1),0)</f>
        <v>0.25600000000000001</v>
      </c>
      <c r="L62" s="31" t="str">
        <f>'Expense Details'!AC304</f>
        <v>Yes</v>
      </c>
      <c r="M62" s="35" t="s">
        <v>3502</v>
      </c>
      <c r="N62" s="31" t="str">
        <f>'Expense Details'!AG304</f>
        <v>Approved</v>
      </c>
      <c r="O62" s="31" t="str">
        <f>'Expense Details'!F304</f>
        <v>Grace Lin</v>
      </c>
    </row>
    <row r="63" spans="1:15">
      <c r="A63" s="31" t="str">
        <f>'Expense Details'!A305</f>
        <v>EXP-00304</v>
      </c>
      <c r="B63" s="31" t="str">
        <f>'Expense Details'!C305</f>
        <v>Fatima Al-Rashid</v>
      </c>
      <c r="C63" s="31" t="str">
        <f>'Expense Details'!D305</f>
        <v>Marketing</v>
      </c>
      <c r="D63" s="31" t="str">
        <f>'Expense Details'!G305</f>
        <v>TRP-2025-005</v>
      </c>
      <c r="E63" s="32">
        <f>'Expense Details'!M305</f>
        <v>45685</v>
      </c>
      <c r="F63" s="31" t="str">
        <f>'Expense Details'!O305</f>
        <v>Hotel / Lodging</v>
      </c>
      <c r="G63" s="31" t="str">
        <f>'Expense Details'!Q305</f>
        <v>Hyatt Place</v>
      </c>
      <c r="H63" s="33">
        <f>'Expense Details'!V305</f>
        <v>1574.97</v>
      </c>
      <c r="I63" s="33">
        <f>'Expense Details'!Z305</f>
        <v>1960</v>
      </c>
      <c r="J63" s="33">
        <f>H63-I63</f>
        <v>-385.03</v>
      </c>
      <c r="K63" s="34">
        <f>IFERROR(MAX(0,H63/I63-1),0)</f>
        <v>0</v>
      </c>
      <c r="L63" s="31" t="str">
        <f>'Expense Details'!AC305</f>
        <v>No</v>
      </c>
      <c r="M63" s="35" t="s">
        <v>3503</v>
      </c>
      <c r="N63" s="31" t="str">
        <f>'Expense Details'!AG305</f>
        <v>Approved</v>
      </c>
      <c r="O63" s="31" t="str">
        <f>'Expense Details'!F305</f>
        <v>Grace Lin</v>
      </c>
    </row>
    <row r="64" spans="1:15">
      <c r="A64" s="31" t="str">
        <f>'Expense Details'!A307</f>
        <v>EXP-00306</v>
      </c>
      <c r="B64" s="31" t="str">
        <f>'Expense Details'!C307</f>
        <v>Fatima Al-Rashid</v>
      </c>
      <c r="C64" s="31" t="str">
        <f>'Expense Details'!D307</f>
        <v>Marketing</v>
      </c>
      <c r="D64" s="31" t="str">
        <f>'Expense Details'!G307</f>
        <v>TRP-2025-005</v>
      </c>
      <c r="E64" s="32">
        <f>'Expense Details'!M307</f>
        <v>45685</v>
      </c>
      <c r="F64" s="31" t="str">
        <f>'Expense Details'!O307</f>
        <v>Meals - Dinner</v>
      </c>
      <c r="G64" s="31" t="str">
        <f>'Expense Details'!Q307</f>
        <v>Brasserie Lyon</v>
      </c>
      <c r="H64" s="33">
        <f>'Expense Details'!V307</f>
        <v>102.51</v>
      </c>
      <c r="I64" s="33">
        <f>'Expense Details'!Z307</f>
        <v>75</v>
      </c>
      <c r="J64" s="33">
        <f>H64-I64</f>
        <v>27.510000000000005</v>
      </c>
      <c r="K64" s="34">
        <f>IFERROR(MAX(0,H64/I64-1),0)</f>
        <v>0.36680000000000001</v>
      </c>
      <c r="L64" s="31" t="str">
        <f>'Expense Details'!AC307</f>
        <v>Yes</v>
      </c>
      <c r="M64" s="35" t="s">
        <v>3502</v>
      </c>
      <c r="N64" s="31" t="str">
        <f>'Expense Details'!AG307</f>
        <v>Approved</v>
      </c>
      <c r="O64" s="31" t="str">
        <f>'Expense Details'!F307</f>
        <v>Grace Lin</v>
      </c>
    </row>
    <row r="65" spans="1:15">
      <c r="A65" s="31" t="str">
        <f>'Expense Details'!A308</f>
        <v>EXP-00307</v>
      </c>
      <c r="B65" s="31" t="str">
        <f>'Expense Details'!C308</f>
        <v>Fatima Al-Rashid</v>
      </c>
      <c r="C65" s="31" t="str">
        <f>'Expense Details'!D308</f>
        <v>Marketing</v>
      </c>
      <c r="D65" s="31" t="str">
        <f>'Expense Details'!G308</f>
        <v>TRP-2025-005</v>
      </c>
      <c r="E65" s="32">
        <f>'Expense Details'!M308</f>
        <v>45685</v>
      </c>
      <c r="F65" s="31" t="str">
        <f>'Expense Details'!O308</f>
        <v>Meals - Lunch</v>
      </c>
      <c r="G65" s="31" t="str">
        <f>'Expense Details'!Q308</f>
        <v>Sweetgreen</v>
      </c>
      <c r="H65" s="33">
        <f>'Expense Details'!V308</f>
        <v>28.59</v>
      </c>
      <c r="I65" s="33">
        <f>'Expense Details'!Z308</f>
        <v>35</v>
      </c>
      <c r="J65" s="33">
        <f>H65-I65</f>
        <v>-6.41</v>
      </c>
      <c r="K65" s="34">
        <f>IFERROR(MAX(0,H65/I65-1),0)</f>
        <v>0</v>
      </c>
      <c r="L65" s="31" t="str">
        <f>'Expense Details'!AC308</f>
        <v>No</v>
      </c>
      <c r="M65" s="35" t="s">
        <v>3503</v>
      </c>
      <c r="N65" s="31" t="str">
        <f>'Expense Details'!AG308</f>
        <v>Approved</v>
      </c>
      <c r="O65" s="31" t="str">
        <f>'Expense Details'!F308</f>
        <v>Grace Lin</v>
      </c>
    </row>
    <row r="66" spans="1:15">
      <c r="A66" s="31" t="str">
        <f>'Expense Details'!A318</f>
        <v>EXP-00317</v>
      </c>
      <c r="B66" s="31" t="str">
        <f>'Expense Details'!C318</f>
        <v>Paul Nkemelu</v>
      </c>
      <c r="C66" s="31" t="str">
        <f>'Expense Details'!D318</f>
        <v>Customer Success</v>
      </c>
      <c r="D66" s="31" t="str">
        <f>'Expense Details'!G318</f>
        <v>TRP-2025-037</v>
      </c>
      <c r="E66" s="32">
        <f>'Expense Details'!M318</f>
        <v>45686</v>
      </c>
      <c r="F66" s="31" t="str">
        <f>'Expense Details'!O318</f>
        <v>Ground Transport - Taxi</v>
      </c>
      <c r="G66" s="31" t="str">
        <f>'Expense Details'!Q318</f>
        <v>Lyft</v>
      </c>
      <c r="H66" s="33">
        <f>'Expense Details'!V318</f>
        <v>92.932420000000008</v>
      </c>
      <c r="I66" s="33">
        <f>'Expense Details'!Z318</f>
        <v>60</v>
      </c>
      <c r="J66" s="33">
        <f>H66-I66</f>
        <v>32.932420000000008</v>
      </c>
      <c r="K66" s="34">
        <f>IFERROR(MAX(0,H66/I66-1),0)</f>
        <v>0.5488736666666667</v>
      </c>
      <c r="L66" s="31" t="str">
        <f>'Expense Details'!AC318</f>
        <v>Yes</v>
      </c>
      <c r="M66" s="35" t="s">
        <v>3502</v>
      </c>
      <c r="N66" s="31" t="str">
        <f>'Expense Details'!AG318</f>
        <v>Approved</v>
      </c>
      <c r="O66" s="31" t="str">
        <f>'Expense Details'!F318</f>
        <v>Diane Okafor</v>
      </c>
    </row>
    <row r="67" spans="1:15">
      <c r="A67" s="31" t="str">
        <f>'Expense Details'!A327</f>
        <v>EXP-00326</v>
      </c>
      <c r="B67" s="31" t="str">
        <f>'Expense Details'!C327</f>
        <v>Sneha Iyer</v>
      </c>
      <c r="C67" s="31" t="str">
        <f>'Expense Details'!D327</f>
        <v>Customer Success</v>
      </c>
      <c r="D67" s="31" t="str">
        <f>'Expense Details'!G327</f>
        <v>TRP-2025-081</v>
      </c>
      <c r="E67" s="32">
        <f>'Expense Details'!M327</f>
        <v>45686</v>
      </c>
      <c r="F67" s="31" t="str">
        <f>'Expense Details'!O327</f>
        <v>Meals - Breakfast</v>
      </c>
      <c r="G67" s="31" t="str">
        <f>'Expense Details'!Q327</f>
        <v>Starbucks</v>
      </c>
      <c r="H67" s="33">
        <f>'Expense Details'!V327</f>
        <v>26.6</v>
      </c>
      <c r="I67" s="33">
        <f>'Expense Details'!Z327</f>
        <v>25</v>
      </c>
      <c r="J67" s="33">
        <f>H67-I67</f>
        <v>1.6000000000000014</v>
      </c>
      <c r="K67" s="34">
        <f>IFERROR(MAX(0,H67/I67-1),0)</f>
        <v>6.4000000000000057E-2</v>
      </c>
      <c r="L67" s="31" t="str">
        <f>'Expense Details'!AC327</f>
        <v>Yes</v>
      </c>
      <c r="M67" s="35" t="s">
        <v>3502</v>
      </c>
      <c r="N67" s="31" t="str">
        <f>'Expense Details'!AG327</f>
        <v>Pending Approval</v>
      </c>
      <c r="O67" s="31" t="str">
        <f>'Expense Details'!F327</f>
        <v>Paul Nkemelu</v>
      </c>
    </row>
    <row r="68" spans="1:15">
      <c r="A68" s="31" t="str">
        <f>'Expense Details'!A359</f>
        <v>EXP-00358</v>
      </c>
      <c r="B68" s="31" t="str">
        <f>'Expense Details'!C359</f>
        <v>Sneha Iyer</v>
      </c>
      <c r="C68" s="31" t="str">
        <f>'Expense Details'!D359</f>
        <v>Customer Success</v>
      </c>
      <c r="D68" s="31" t="str">
        <f>'Expense Details'!G359</f>
        <v>TRP-2025-081</v>
      </c>
      <c r="E68" s="32">
        <f>'Expense Details'!M359</f>
        <v>45688</v>
      </c>
      <c r="F68" s="31" t="str">
        <f>'Expense Details'!O359</f>
        <v>Meals - Dinner</v>
      </c>
      <c r="G68" s="31" t="str">
        <f>'Expense Details'!Q359</f>
        <v>Brasserie Lyon</v>
      </c>
      <c r="H68" s="33">
        <f>'Expense Details'!V359</f>
        <v>39.76</v>
      </c>
      <c r="I68" s="33">
        <f>'Expense Details'!Z359</f>
        <v>75</v>
      </c>
      <c r="J68" s="33">
        <f>H68-I68</f>
        <v>-35.24</v>
      </c>
      <c r="K68" s="34">
        <f>IFERROR(MAX(0,H68/I68-1),0)</f>
        <v>0</v>
      </c>
      <c r="L68" s="31" t="str">
        <f>'Expense Details'!AC359</f>
        <v>No</v>
      </c>
      <c r="M68" s="35" t="s">
        <v>3503</v>
      </c>
      <c r="N68" s="31" t="str">
        <f>'Expense Details'!AG359</f>
        <v>Pending Approval</v>
      </c>
      <c r="O68" s="31" t="str">
        <f>'Expense Details'!F359</f>
        <v>Paul Nkemelu</v>
      </c>
    </row>
    <row r="69" spans="1:15">
      <c r="A69" s="31" t="str">
        <f>'Expense Details'!A368</f>
        <v>EXP-00367</v>
      </c>
      <c r="B69" s="31" t="str">
        <f>'Expense Details'!C368</f>
        <v>Paul Nkemelu</v>
      </c>
      <c r="C69" s="31" t="str">
        <f>'Expense Details'!D368</f>
        <v>Customer Success</v>
      </c>
      <c r="D69" s="31" t="str">
        <f>'Expense Details'!G368</f>
        <v>TRP-2025-078</v>
      </c>
      <c r="E69" s="32">
        <f>'Expense Details'!M368</f>
        <v>45689</v>
      </c>
      <c r="F69" s="31" t="str">
        <f>'Expense Details'!O368</f>
        <v>Meals - Dinner</v>
      </c>
      <c r="G69" s="31" t="str">
        <f>'Expense Details'!Q368</f>
        <v>Sakura Izakaya</v>
      </c>
      <c r="H69" s="33">
        <f>'Expense Details'!V368</f>
        <v>93.492000000000004</v>
      </c>
      <c r="I69" s="33">
        <f>'Expense Details'!Z368</f>
        <v>75</v>
      </c>
      <c r="J69" s="33">
        <f>H69-I69</f>
        <v>18.492000000000004</v>
      </c>
      <c r="K69" s="34">
        <f>IFERROR(MAX(0,H69/I69-1),0)</f>
        <v>0.24656000000000011</v>
      </c>
      <c r="L69" s="31" t="str">
        <f>'Expense Details'!AC368</f>
        <v>Yes</v>
      </c>
      <c r="M69" s="35" t="s">
        <v>3502</v>
      </c>
      <c r="N69" s="31" t="str">
        <f>'Expense Details'!AG368</f>
        <v>Approved</v>
      </c>
      <c r="O69" s="31" t="str">
        <f>'Expense Details'!F368</f>
        <v>Diane Okafor</v>
      </c>
    </row>
    <row r="70" spans="1:15">
      <c r="A70" s="31" t="str">
        <f>'Expense Details'!A370</f>
        <v>EXP-00369</v>
      </c>
      <c r="B70" s="31" t="str">
        <f>'Expense Details'!C370</f>
        <v>Fatima Al-Rashid</v>
      </c>
      <c r="C70" s="31" t="str">
        <f>'Expense Details'!D370</f>
        <v>Marketing</v>
      </c>
      <c r="D70" s="31" t="str">
        <f>'Expense Details'!G370</f>
        <v>TRP-2025-005</v>
      </c>
      <c r="E70" s="32">
        <f>'Expense Details'!M370</f>
        <v>45690</v>
      </c>
      <c r="F70" s="31" t="str">
        <f>'Expense Details'!O370</f>
        <v>Client Entertainment</v>
      </c>
      <c r="G70" s="31" t="str">
        <f>'Expense Details'!Q370</f>
        <v>Rooftop Lounge</v>
      </c>
      <c r="H70" s="33">
        <f>'Expense Details'!V370</f>
        <v>110.14</v>
      </c>
      <c r="I70" s="33">
        <f>'Expense Details'!Z370</f>
        <v>200</v>
      </c>
      <c r="J70" s="33">
        <f>H70-I70</f>
        <v>-89.86</v>
      </c>
      <c r="K70" s="34">
        <f>IFERROR(MAX(0,H70/I70-1),0)</f>
        <v>0</v>
      </c>
      <c r="L70" s="31" t="str">
        <f>'Expense Details'!AC370</f>
        <v>No</v>
      </c>
      <c r="M70" s="35" t="s">
        <v>3503</v>
      </c>
      <c r="N70" s="31" t="str">
        <f>'Expense Details'!AG370</f>
        <v>Approved</v>
      </c>
      <c r="O70" s="31" t="str">
        <f>'Expense Details'!F370</f>
        <v>Grace Lin</v>
      </c>
    </row>
    <row r="71" spans="1:15">
      <c r="A71" s="31" t="str">
        <f>'Expense Details'!A377</f>
        <v>EXP-00376</v>
      </c>
      <c r="B71" s="31" t="str">
        <f>'Expense Details'!C377</f>
        <v>Tomas Kovac</v>
      </c>
      <c r="C71" s="31" t="str">
        <f>'Expense Details'!D377</f>
        <v>Field Engineering</v>
      </c>
      <c r="D71" s="31" t="str">
        <f>'Expense Details'!G377</f>
        <v>TRP-2025-076</v>
      </c>
      <c r="E71" s="32">
        <f>'Expense Details'!M377</f>
        <v>45690</v>
      </c>
      <c r="F71" s="31" t="str">
        <f>'Expense Details'!O377</f>
        <v>Meals - Lunch</v>
      </c>
      <c r="G71" s="31" t="str">
        <f>'Expense Details'!Q377</f>
        <v>Sweetgreen</v>
      </c>
      <c r="H71" s="33">
        <f>'Expense Details'!V377</f>
        <v>20.303920000000002</v>
      </c>
      <c r="I71" s="33">
        <f>'Expense Details'!Z377</f>
        <v>35</v>
      </c>
      <c r="J71" s="33">
        <f>H71-I71</f>
        <v>-14.696079999999998</v>
      </c>
      <c r="K71" s="34">
        <f>IFERROR(MAX(0,H71/I71-1),0)</f>
        <v>0</v>
      </c>
      <c r="L71" s="31" t="str">
        <f>'Expense Details'!AC377</f>
        <v>No</v>
      </c>
      <c r="M71" s="35" t="s">
        <v>3503</v>
      </c>
      <c r="N71" s="31" t="str">
        <f>'Expense Details'!AG377</f>
        <v>Pending Approval</v>
      </c>
      <c r="O71" s="31" t="str">
        <f>'Expense Details'!F377</f>
        <v>Diane Okafor</v>
      </c>
    </row>
    <row r="72" spans="1:15">
      <c r="A72" s="31" t="str">
        <f>'Expense Details'!A381</f>
        <v>EXP-00380</v>
      </c>
      <c r="B72" s="31" t="str">
        <f>'Expense Details'!C381</f>
        <v>Paul Nkemelu</v>
      </c>
      <c r="C72" s="31" t="str">
        <f>'Expense Details'!D381</f>
        <v>Customer Success</v>
      </c>
      <c r="D72" s="31" t="str">
        <f>'Expense Details'!G381</f>
        <v>TRP-2025-078</v>
      </c>
      <c r="E72" s="32">
        <f>'Expense Details'!M381</f>
        <v>45690</v>
      </c>
      <c r="F72" s="31" t="str">
        <f>'Expense Details'!O381</f>
        <v>Meals - Dinner</v>
      </c>
      <c r="G72" s="31" t="str">
        <f>'Expense Details'!Q381</f>
        <v>Spice Route</v>
      </c>
      <c r="H72" s="33">
        <f>'Expense Details'!V381</f>
        <v>109.58280000000001</v>
      </c>
      <c r="I72" s="33">
        <f>'Expense Details'!Z381</f>
        <v>75</v>
      </c>
      <c r="J72" s="33">
        <f>H72-I72</f>
        <v>34.582800000000006</v>
      </c>
      <c r="K72" s="34">
        <f>IFERROR(MAX(0,H72/I72-1),0)</f>
        <v>0.46110400000000018</v>
      </c>
      <c r="L72" s="31" t="str">
        <f>'Expense Details'!AC381</f>
        <v>Yes</v>
      </c>
      <c r="M72" s="35" t="s">
        <v>3502</v>
      </c>
      <c r="N72" s="31" t="str">
        <f>'Expense Details'!AG381</f>
        <v>Approved</v>
      </c>
      <c r="O72" s="31" t="str">
        <f>'Expense Details'!F381</f>
        <v>Diane Okafor</v>
      </c>
    </row>
    <row r="73" spans="1:15">
      <c r="A73" s="31" t="str">
        <f>'Expense Details'!A382</f>
        <v>EXP-00381</v>
      </c>
      <c r="B73" s="31" t="str">
        <f>'Expense Details'!C382</f>
        <v>Paul Nkemelu</v>
      </c>
      <c r="C73" s="31" t="str">
        <f>'Expense Details'!D382</f>
        <v>Customer Success</v>
      </c>
      <c r="D73" s="31" t="str">
        <f>'Expense Details'!G382</f>
        <v>TRP-2025-078</v>
      </c>
      <c r="E73" s="32">
        <f>'Expense Details'!M382</f>
        <v>45690</v>
      </c>
      <c r="F73" s="31" t="str">
        <f>'Expense Details'!O382</f>
        <v>Meals - Lunch</v>
      </c>
      <c r="G73" s="31" t="str">
        <f>'Expense Details'!Q382</f>
        <v>Sweetgreen</v>
      </c>
      <c r="H73" s="33">
        <f>'Expense Details'!V382</f>
        <v>12.300240000000001</v>
      </c>
      <c r="I73" s="33">
        <f>'Expense Details'!Z382</f>
        <v>35</v>
      </c>
      <c r="J73" s="33">
        <f>H73-I73</f>
        <v>-22.699759999999998</v>
      </c>
      <c r="K73" s="34">
        <f>IFERROR(MAX(0,H73/I73-1),0)</f>
        <v>0</v>
      </c>
      <c r="L73" s="31" t="str">
        <f>'Expense Details'!AC382</f>
        <v>No</v>
      </c>
      <c r="M73" s="35" t="s">
        <v>3503</v>
      </c>
      <c r="N73" s="31" t="str">
        <f>'Expense Details'!AG382</f>
        <v>Approved</v>
      </c>
      <c r="O73" s="31" t="str">
        <f>'Expense Details'!F382</f>
        <v>Diane Okafor</v>
      </c>
    </row>
    <row r="74" spans="1:15">
      <c r="A74" s="31" t="str">
        <f>'Expense Details'!A391</f>
        <v>EXP-00390</v>
      </c>
      <c r="B74" s="31" t="str">
        <f>'Expense Details'!C391</f>
        <v>Paul Nkemelu</v>
      </c>
      <c r="C74" s="31" t="str">
        <f>'Expense Details'!D391</f>
        <v>Customer Success</v>
      </c>
      <c r="D74" s="31" t="str">
        <f>'Expense Details'!G391</f>
        <v>TRP-2025-078</v>
      </c>
      <c r="E74" s="32">
        <f>'Expense Details'!M391</f>
        <v>45691</v>
      </c>
      <c r="F74" s="31" t="str">
        <f>'Expense Details'!O391</f>
        <v>Meals - Dinner</v>
      </c>
      <c r="G74" s="31" t="str">
        <f>'Expense Details'!Q391</f>
        <v>Brasserie Lyon</v>
      </c>
      <c r="H74" s="33">
        <f>'Expense Details'!V391</f>
        <v>98.389199999999988</v>
      </c>
      <c r="I74" s="33">
        <f>'Expense Details'!Z391</f>
        <v>75</v>
      </c>
      <c r="J74" s="33">
        <f>H74-I74</f>
        <v>23.389199999999988</v>
      </c>
      <c r="K74" s="34">
        <f>IFERROR(MAX(0,H74/I74-1),0)</f>
        <v>0.31185599999999991</v>
      </c>
      <c r="L74" s="31" t="str">
        <f>'Expense Details'!AC391</f>
        <v>Yes</v>
      </c>
      <c r="M74" s="35" t="s">
        <v>3502</v>
      </c>
      <c r="N74" s="31" t="str">
        <f>'Expense Details'!AG391</f>
        <v>Approved</v>
      </c>
      <c r="O74" s="31" t="str">
        <f>'Expense Details'!F391</f>
        <v>Diane Okafor</v>
      </c>
    </row>
    <row r="75" spans="1:15">
      <c r="A75" s="31" t="str">
        <f>'Expense Details'!A398</f>
        <v>EXP-00397</v>
      </c>
      <c r="B75" s="31" t="str">
        <f>'Expense Details'!C398</f>
        <v>Tomas Kovac</v>
      </c>
      <c r="C75" s="31" t="str">
        <f>'Expense Details'!D398</f>
        <v>Field Engineering</v>
      </c>
      <c r="D75" s="31" t="str">
        <f>'Expense Details'!G398</f>
        <v>TRP-2025-076</v>
      </c>
      <c r="E75" s="32">
        <f>'Expense Details'!M398</f>
        <v>45693</v>
      </c>
      <c r="F75" s="31" t="str">
        <f>'Expense Details'!O398</f>
        <v>Client Entertainment</v>
      </c>
      <c r="G75" s="31" t="str">
        <f>'Expense Details'!Q398</f>
        <v>Harbour Club</v>
      </c>
      <c r="H75" s="33">
        <f>'Expense Details'!V398</f>
        <v>249.68216000000001</v>
      </c>
      <c r="I75" s="33">
        <f>'Expense Details'!Z398</f>
        <v>200</v>
      </c>
      <c r="J75" s="33">
        <f>H75-I75</f>
        <v>49.68216000000001</v>
      </c>
      <c r="K75" s="34">
        <f>IFERROR(MAX(0,H75/I75-1),0)</f>
        <v>0.24841080000000004</v>
      </c>
      <c r="L75" s="31" t="str">
        <f>'Expense Details'!AC398</f>
        <v>Yes</v>
      </c>
      <c r="M75" s="35" t="s">
        <v>3502</v>
      </c>
      <c r="N75" s="31" t="str">
        <f>'Expense Details'!AG398</f>
        <v>Pending Approval</v>
      </c>
      <c r="O75" s="31" t="str">
        <f>'Expense Details'!F398</f>
        <v>Diane Okafor</v>
      </c>
    </row>
    <row r="76" spans="1:15">
      <c r="A76" s="31" t="str">
        <f>'Expense Details'!A399</f>
        <v>EXP-00398</v>
      </c>
      <c r="B76" s="31" t="str">
        <f>'Expense Details'!C399</f>
        <v>Tomas Kovac</v>
      </c>
      <c r="C76" s="31" t="str">
        <f>'Expense Details'!D399</f>
        <v>Field Engineering</v>
      </c>
      <c r="D76" s="31" t="str">
        <f>'Expense Details'!G399</f>
        <v>TRP-2025-076</v>
      </c>
      <c r="E76" s="32">
        <f>'Expense Details'!M399</f>
        <v>45693</v>
      </c>
      <c r="F76" s="31" t="str">
        <f>'Expense Details'!O399</f>
        <v>Client Gifts</v>
      </c>
      <c r="G76" s="31" t="str">
        <f>'Expense Details'!Q399</f>
        <v>Duty Free</v>
      </c>
      <c r="H76" s="33">
        <f>'Expense Details'!V399</f>
        <v>154.2268</v>
      </c>
      <c r="I76" s="33">
        <f>'Expense Details'!Z399</f>
        <v>100</v>
      </c>
      <c r="J76" s="33">
        <f>H76-I76</f>
        <v>54.226799999999997</v>
      </c>
      <c r="K76" s="34">
        <f>IFERROR(MAX(0,H76/I76-1),0)</f>
        <v>0.54226799999999997</v>
      </c>
      <c r="L76" s="31" t="str">
        <f>'Expense Details'!AC399</f>
        <v>Yes</v>
      </c>
      <c r="M76" s="35" t="s">
        <v>3502</v>
      </c>
      <c r="N76" s="31" t="str">
        <f>'Expense Details'!AG399</f>
        <v>Pending Approval</v>
      </c>
      <c r="O76" s="31" t="str">
        <f>'Expense Details'!F399</f>
        <v>Diane Okafor</v>
      </c>
    </row>
    <row r="77" spans="1:15">
      <c r="A77" s="31" t="str">
        <f>'Expense Details'!A401</f>
        <v>EXP-00400</v>
      </c>
      <c r="B77" s="31" t="str">
        <f>'Expense Details'!C401</f>
        <v>Tomas Kovac</v>
      </c>
      <c r="C77" s="31" t="str">
        <f>'Expense Details'!D401</f>
        <v>Field Engineering</v>
      </c>
      <c r="D77" s="31" t="str">
        <f>'Expense Details'!G401</f>
        <v>TRP-2025-076</v>
      </c>
      <c r="E77" s="32">
        <f>'Expense Details'!M401</f>
        <v>45693</v>
      </c>
      <c r="F77" s="31" t="str">
        <f>'Expense Details'!O401</f>
        <v>Meals - Lunch</v>
      </c>
      <c r="G77" s="31" t="str">
        <f>'Expense Details'!Q401</f>
        <v>Local Bistro</v>
      </c>
      <c r="H77" s="33">
        <f>'Expense Details'!V401</f>
        <v>38.831520000000005</v>
      </c>
      <c r="I77" s="33">
        <f>'Expense Details'!Z401</f>
        <v>35</v>
      </c>
      <c r="J77" s="33">
        <f>H77-I77</f>
        <v>3.8315200000000047</v>
      </c>
      <c r="K77" s="34">
        <f>IFERROR(MAX(0,H77/I77-1),0)</f>
        <v>0.10947200000000024</v>
      </c>
      <c r="L77" s="31" t="str">
        <f>'Expense Details'!AC401</f>
        <v>Yes</v>
      </c>
      <c r="M77" s="35" t="s">
        <v>3502</v>
      </c>
      <c r="N77" s="31" t="str">
        <f>'Expense Details'!AG401</f>
        <v>Pending Approval</v>
      </c>
      <c r="O77" s="31" t="str">
        <f>'Expense Details'!F401</f>
        <v>Diane Okafor</v>
      </c>
    </row>
    <row r="78" spans="1:15">
      <c r="A78" s="31" t="str">
        <f>'Expense Details'!A412</f>
        <v>EXP-00411</v>
      </c>
      <c r="B78" s="31" t="str">
        <f>'Expense Details'!C412</f>
        <v>Paul Nkemelu</v>
      </c>
      <c r="C78" s="31" t="str">
        <f>'Expense Details'!D412</f>
        <v>Customer Success</v>
      </c>
      <c r="D78" s="31" t="str">
        <f>'Expense Details'!G412</f>
        <v>TRP-2025-078</v>
      </c>
      <c r="E78" s="32">
        <f>'Expense Details'!M412</f>
        <v>45694</v>
      </c>
      <c r="F78" s="31" t="str">
        <f>'Expense Details'!O412</f>
        <v>Meals - Breakfast</v>
      </c>
      <c r="G78" s="31" t="str">
        <f>'Expense Details'!Q412</f>
        <v>Starbucks</v>
      </c>
      <c r="H78" s="33">
        <f>'Expense Details'!V412</f>
        <v>11.180879999999998</v>
      </c>
      <c r="I78" s="33">
        <f>'Expense Details'!Z412</f>
        <v>25</v>
      </c>
      <c r="J78" s="33">
        <f>H78-I78</f>
        <v>-13.819120000000002</v>
      </c>
      <c r="K78" s="34">
        <f>IFERROR(MAX(0,H78/I78-1),0)</f>
        <v>0</v>
      </c>
      <c r="L78" s="31" t="str">
        <f>'Expense Details'!AC412</f>
        <v>No</v>
      </c>
      <c r="M78" s="35" t="s">
        <v>3503</v>
      </c>
      <c r="N78" s="31" t="str">
        <f>'Expense Details'!AG412</f>
        <v>Approved</v>
      </c>
      <c r="O78" s="31" t="str">
        <f>'Expense Details'!F412</f>
        <v>Diane Okafor</v>
      </c>
    </row>
    <row r="79" spans="1:15">
      <c r="A79" s="31" t="str">
        <f>'Expense Details'!A415</f>
        <v>EXP-00414</v>
      </c>
      <c r="B79" s="31" t="str">
        <f>'Expense Details'!C415</f>
        <v>Diane Okafor</v>
      </c>
      <c r="C79" s="31" t="str">
        <f>'Expense Details'!D415</f>
        <v>Executive</v>
      </c>
      <c r="D79" s="31" t="str">
        <f>'Expense Details'!G415</f>
        <v>TRP-2025-118</v>
      </c>
      <c r="E79" s="32">
        <f>'Expense Details'!M415</f>
        <v>45694</v>
      </c>
      <c r="F79" s="31" t="str">
        <f>'Expense Details'!O415</f>
        <v>Client Entertainment</v>
      </c>
      <c r="G79" s="31" t="str">
        <f>'Expense Details'!Q415</f>
        <v>Harbour Club</v>
      </c>
      <c r="H79" s="33">
        <f>'Expense Details'!V415</f>
        <v>192.91300000000001</v>
      </c>
      <c r="I79" s="33">
        <f>'Expense Details'!Z415</f>
        <v>200</v>
      </c>
      <c r="J79" s="33">
        <f>H79-I79</f>
        <v>-7.0869999999999891</v>
      </c>
      <c r="K79" s="34">
        <f>IFERROR(MAX(0,H79/I79-1),0)</f>
        <v>0</v>
      </c>
      <c r="L79" s="31" t="str">
        <f>'Expense Details'!AC415</f>
        <v>No</v>
      </c>
      <c r="M79" s="35" t="s">
        <v>3503</v>
      </c>
      <c r="N79" s="31" t="str">
        <f>'Expense Details'!AG415</f>
        <v>Pending Approval</v>
      </c>
      <c r="O79" s="31" t="str">
        <f>'Expense Details'!F415</f>
        <v>Board</v>
      </c>
    </row>
    <row r="80" spans="1:15">
      <c r="A80" s="31" t="str">
        <f>'Expense Details'!A419</f>
        <v>EXP-00418</v>
      </c>
      <c r="B80" s="31" t="str">
        <f>'Expense Details'!C419</f>
        <v>Diane Okafor</v>
      </c>
      <c r="C80" s="31" t="str">
        <f>'Expense Details'!D419</f>
        <v>Executive</v>
      </c>
      <c r="D80" s="31" t="str">
        <f>'Expense Details'!G419</f>
        <v>TRP-2025-118</v>
      </c>
      <c r="E80" s="32">
        <f>'Expense Details'!M419</f>
        <v>45694</v>
      </c>
      <c r="F80" s="31" t="str">
        <f>'Expense Details'!O419</f>
        <v>Meals - Breakfast</v>
      </c>
      <c r="G80" s="31" t="str">
        <f>'Expense Details'!Q419</f>
        <v>Hotel Restaurant</v>
      </c>
      <c r="H80" s="33">
        <f>'Expense Details'!V419</f>
        <v>17.76145</v>
      </c>
      <c r="I80" s="33">
        <f>'Expense Details'!Z419</f>
        <v>25</v>
      </c>
      <c r="J80" s="33">
        <f>H80-I80</f>
        <v>-7.23855</v>
      </c>
      <c r="K80" s="34">
        <f>IFERROR(MAX(0,H80/I80-1),0)</f>
        <v>0</v>
      </c>
      <c r="L80" s="31" t="str">
        <f>'Expense Details'!AC419</f>
        <v>No</v>
      </c>
      <c r="M80" s="35" t="s">
        <v>3503</v>
      </c>
      <c r="N80" s="31" t="str">
        <f>'Expense Details'!AG419</f>
        <v>Pending Approval</v>
      </c>
      <c r="O80" s="31" t="str">
        <f>'Expense Details'!F419</f>
        <v>Board</v>
      </c>
    </row>
    <row r="81" spans="1:15">
      <c r="A81" s="31" t="str">
        <f>'Expense Details'!A422</f>
        <v>EXP-00421</v>
      </c>
      <c r="B81" s="31" t="str">
        <f>'Expense Details'!C422</f>
        <v>Oliver Brandt</v>
      </c>
      <c r="C81" s="31" t="str">
        <f>'Expense Details'!D422</f>
        <v>Marketing</v>
      </c>
      <c r="D81" s="31" t="str">
        <f>'Expense Details'!G422</f>
        <v>TRP-2025-121</v>
      </c>
      <c r="E81" s="32">
        <f>'Expense Details'!M422</f>
        <v>45694</v>
      </c>
      <c r="F81" s="31" t="str">
        <f>'Expense Details'!O422</f>
        <v>Airfare</v>
      </c>
      <c r="G81" s="31" t="str">
        <f>'Expense Details'!Q422</f>
        <v>United Airlines</v>
      </c>
      <c r="H81" s="33">
        <f>'Expense Details'!V422</f>
        <v>1859.9938</v>
      </c>
      <c r="I81" s="33">
        <f>'Expense Details'!Z422</f>
        <v>1400</v>
      </c>
      <c r="J81" s="33">
        <f>H81-I81</f>
        <v>459.99379999999996</v>
      </c>
      <c r="K81" s="34">
        <f>IFERROR(MAX(0,H81/I81-1),0)</f>
        <v>0.32856700000000005</v>
      </c>
      <c r="L81" s="31" t="str">
        <f>'Expense Details'!AC422</f>
        <v>Yes</v>
      </c>
      <c r="M81" s="35" t="s">
        <v>3502</v>
      </c>
      <c r="N81" s="31" t="str">
        <f>'Expense Details'!AG422</f>
        <v>Approved</v>
      </c>
      <c r="O81" s="31" t="str">
        <f>'Expense Details'!F422</f>
        <v>Grace Lin</v>
      </c>
    </row>
    <row r="82" spans="1:15">
      <c r="A82" s="31" t="str">
        <f>'Expense Details'!A440</f>
        <v>EXP-00439</v>
      </c>
      <c r="B82" s="31" t="str">
        <f>'Expense Details'!C440</f>
        <v>Oliver Brandt</v>
      </c>
      <c r="C82" s="31" t="str">
        <f>'Expense Details'!D440</f>
        <v>Marketing</v>
      </c>
      <c r="D82" s="31" t="str">
        <f>'Expense Details'!G440</f>
        <v>TRP-2025-121</v>
      </c>
      <c r="E82" s="32">
        <f>'Expense Details'!M440</f>
        <v>45695</v>
      </c>
      <c r="F82" s="31" t="str">
        <f>'Expense Details'!O440</f>
        <v>Meals - Dinner</v>
      </c>
      <c r="G82" s="31" t="str">
        <f>'Expense Details'!Q440</f>
        <v>Osteria Vela</v>
      </c>
      <c r="H82" s="33">
        <f>'Expense Details'!V440</f>
        <v>51.0167</v>
      </c>
      <c r="I82" s="33">
        <f>'Expense Details'!Z440</f>
        <v>75</v>
      </c>
      <c r="J82" s="33">
        <f>H82-I82</f>
        <v>-23.9833</v>
      </c>
      <c r="K82" s="34">
        <f>IFERROR(MAX(0,H82/I82-1),0)</f>
        <v>0</v>
      </c>
      <c r="L82" s="31" t="str">
        <f>'Expense Details'!AC440</f>
        <v>No</v>
      </c>
      <c r="M82" s="35" t="s">
        <v>3503</v>
      </c>
      <c r="N82" s="31" t="str">
        <f>'Expense Details'!AG440</f>
        <v>Approved</v>
      </c>
      <c r="O82" s="31" t="str">
        <f>'Expense Details'!F440</f>
        <v>Grace Lin</v>
      </c>
    </row>
    <row r="83" spans="1:15">
      <c r="A83" s="31" t="str">
        <f>'Expense Details'!A444</f>
        <v>EXP-00443</v>
      </c>
      <c r="B83" s="31" t="str">
        <f>'Expense Details'!C444</f>
        <v>Arjun Deshpande</v>
      </c>
      <c r="C83" s="31" t="str">
        <f>'Expense Details'!D444</f>
        <v>Product</v>
      </c>
      <c r="D83" s="31" t="str">
        <f>'Expense Details'!G444</f>
        <v>TRP-2025-020</v>
      </c>
      <c r="E83" s="32">
        <f>'Expense Details'!M444</f>
        <v>45696</v>
      </c>
      <c r="F83" s="31" t="str">
        <f>'Expense Details'!O444</f>
        <v>Internet / Roaming</v>
      </c>
      <c r="G83" s="31" t="str">
        <f>'Expense Details'!Q444</f>
        <v>AT&amp;T International</v>
      </c>
      <c r="H83" s="33">
        <f>'Expense Details'!V444</f>
        <v>69.807919999999996</v>
      </c>
      <c r="I83" s="33">
        <f>'Expense Details'!Z444</f>
        <v>55</v>
      </c>
      <c r="J83" s="33">
        <f>H83-I83</f>
        <v>14.807919999999996</v>
      </c>
      <c r="K83" s="34">
        <f>IFERROR(MAX(0,H83/I83-1),0)</f>
        <v>0.26923490909090897</v>
      </c>
      <c r="L83" s="31" t="str">
        <f>'Expense Details'!AC444</f>
        <v>No</v>
      </c>
      <c r="M83" s="35" t="s">
        <v>3504</v>
      </c>
      <c r="N83" s="31" t="str">
        <f>'Expense Details'!AG444</f>
        <v>Approved</v>
      </c>
      <c r="O83" s="31" t="str">
        <f>'Expense Details'!F444</f>
        <v>Elena Duarte</v>
      </c>
    </row>
    <row r="84" spans="1:15">
      <c r="A84" s="31" t="str">
        <f>'Expense Details'!A448</f>
        <v>EXP-00447</v>
      </c>
      <c r="B84" s="31" t="str">
        <f>'Expense Details'!C448</f>
        <v>Arjun Deshpande</v>
      </c>
      <c r="C84" s="31" t="str">
        <f>'Expense Details'!D448</f>
        <v>Product</v>
      </c>
      <c r="D84" s="31" t="str">
        <f>'Expense Details'!G448</f>
        <v>TRP-2025-080</v>
      </c>
      <c r="E84" s="32">
        <f>'Expense Details'!M448</f>
        <v>45696</v>
      </c>
      <c r="F84" s="31" t="str">
        <f>'Expense Details'!O448</f>
        <v>Airfare</v>
      </c>
      <c r="G84" s="31" t="str">
        <f>'Expense Details'!Q448</f>
        <v>British Airways</v>
      </c>
      <c r="H84" s="33">
        <f>'Expense Details'!V448</f>
        <v>2177.7775799999999</v>
      </c>
      <c r="I84" s="33">
        <f>'Expense Details'!Z448</f>
        <v>1400</v>
      </c>
      <c r="J84" s="33">
        <f>H84-I84</f>
        <v>777.77757999999994</v>
      </c>
      <c r="K84" s="34">
        <f>IFERROR(MAX(0,H84/I84-1),0)</f>
        <v>0.5555554142857142</v>
      </c>
      <c r="L84" s="31" t="str">
        <f>'Expense Details'!AC448</f>
        <v>Yes</v>
      </c>
      <c r="M84" s="35" t="s">
        <v>3502</v>
      </c>
      <c r="N84" s="31" t="str">
        <f>'Expense Details'!AG448</f>
        <v>Rejected</v>
      </c>
      <c r="O84" s="31" t="str">
        <f>'Expense Details'!F448</f>
        <v>Elena Duarte</v>
      </c>
    </row>
    <row r="85" spans="1:15">
      <c r="A85" s="31" t="str">
        <f>'Expense Details'!A449</f>
        <v>EXP-00448</v>
      </c>
      <c r="B85" s="31" t="str">
        <f>'Expense Details'!C449</f>
        <v>Arjun Deshpande</v>
      </c>
      <c r="C85" s="31" t="str">
        <f>'Expense Details'!D449</f>
        <v>Product</v>
      </c>
      <c r="D85" s="31" t="str">
        <f>'Expense Details'!G449</f>
        <v>TRP-2025-080</v>
      </c>
      <c r="E85" s="32">
        <f>'Expense Details'!M449</f>
        <v>45696</v>
      </c>
      <c r="F85" s="31" t="str">
        <f>'Expense Details'!O449</f>
        <v>Ground Transport - Taxi</v>
      </c>
      <c r="G85" s="31" t="str">
        <f>'Expense Details'!Q449</f>
        <v>Uber</v>
      </c>
      <c r="H85" s="33">
        <f>'Expense Details'!V449</f>
        <v>76.558720000000008</v>
      </c>
      <c r="I85" s="33">
        <f>'Expense Details'!Z449</f>
        <v>60</v>
      </c>
      <c r="J85" s="33">
        <f>H85-I85</f>
        <v>16.558720000000008</v>
      </c>
      <c r="K85" s="34">
        <f>IFERROR(MAX(0,H85/I85-1),0)</f>
        <v>0.27597866666666682</v>
      </c>
      <c r="L85" s="31" t="str">
        <f>'Expense Details'!AC449</f>
        <v>Yes</v>
      </c>
      <c r="M85" s="35" t="s">
        <v>3502</v>
      </c>
      <c r="N85" s="31" t="str">
        <f>'Expense Details'!AG449</f>
        <v>Rejected</v>
      </c>
      <c r="O85" s="31" t="str">
        <f>'Expense Details'!F449</f>
        <v>Elena Duarte</v>
      </c>
    </row>
    <row r="86" spans="1:15">
      <c r="A86" s="31" t="str">
        <f>'Expense Details'!A451</f>
        <v>EXP-00450</v>
      </c>
      <c r="B86" s="31" t="str">
        <f>'Expense Details'!C451</f>
        <v>Arjun Deshpande</v>
      </c>
      <c r="C86" s="31" t="str">
        <f>'Expense Details'!D451</f>
        <v>Product</v>
      </c>
      <c r="D86" s="31" t="str">
        <f>'Expense Details'!G451</f>
        <v>TRP-2025-080</v>
      </c>
      <c r="E86" s="32">
        <f>'Expense Details'!M451</f>
        <v>45696</v>
      </c>
      <c r="F86" s="31" t="str">
        <f>'Expense Details'!O451</f>
        <v>Meals - Lunch</v>
      </c>
      <c r="G86" s="31" t="str">
        <f>'Expense Details'!Q451</f>
        <v>Pret A Manger</v>
      </c>
      <c r="H86" s="33">
        <f>'Expense Details'!V451</f>
        <v>43.041989999999998</v>
      </c>
      <c r="I86" s="33">
        <f>'Expense Details'!Z451</f>
        <v>35</v>
      </c>
      <c r="J86" s="33">
        <f>H86-I86</f>
        <v>8.0419899999999984</v>
      </c>
      <c r="K86" s="34">
        <f>IFERROR(MAX(0,H86/I86-1),0)</f>
        <v>0.22977114285714273</v>
      </c>
      <c r="L86" s="31" t="str">
        <f>'Expense Details'!AC451</f>
        <v>Yes</v>
      </c>
      <c r="M86" s="35" t="s">
        <v>3502</v>
      </c>
      <c r="N86" s="31" t="str">
        <f>'Expense Details'!AG451</f>
        <v>Rejected</v>
      </c>
      <c r="O86" s="31" t="str">
        <f>'Expense Details'!F451</f>
        <v>Elena Duarte</v>
      </c>
    </row>
    <row r="87" spans="1:15">
      <c r="A87" s="31" t="str">
        <f>'Expense Details'!A453</f>
        <v>EXP-00452</v>
      </c>
      <c r="B87" s="31" t="str">
        <f>'Expense Details'!C453</f>
        <v>Oliver Brandt</v>
      </c>
      <c r="C87" s="31" t="str">
        <f>'Expense Details'!D453</f>
        <v>Marketing</v>
      </c>
      <c r="D87" s="31" t="str">
        <f>'Expense Details'!G453</f>
        <v>TRP-2025-121</v>
      </c>
      <c r="E87" s="32">
        <f>'Expense Details'!M453</f>
        <v>45696</v>
      </c>
      <c r="F87" s="31" t="str">
        <f>'Expense Details'!O453</f>
        <v>Meals - Breakfast</v>
      </c>
      <c r="G87" s="31" t="str">
        <f>'Expense Details'!Q453</f>
        <v>Cafe Nero</v>
      </c>
      <c r="H87" s="33">
        <f>'Expense Details'!V453</f>
        <v>15.0815</v>
      </c>
      <c r="I87" s="33">
        <f>'Expense Details'!Z453</f>
        <v>25</v>
      </c>
      <c r="J87" s="33">
        <f>H87-I87</f>
        <v>-9.9184999999999999</v>
      </c>
      <c r="K87" s="34">
        <f>IFERROR(MAX(0,H87/I87-1),0)</f>
        <v>0</v>
      </c>
      <c r="L87" s="31" t="str">
        <f>'Expense Details'!AC453</f>
        <v>No</v>
      </c>
      <c r="M87" s="35" t="s">
        <v>3503</v>
      </c>
      <c r="N87" s="31" t="str">
        <f>'Expense Details'!AG453</f>
        <v>Approved</v>
      </c>
      <c r="O87" s="31" t="str">
        <f>'Expense Details'!F453</f>
        <v>Grace Lin</v>
      </c>
    </row>
    <row r="88" spans="1:15">
      <c r="A88" s="31" t="str">
        <f>'Expense Details'!A457</f>
        <v>EXP-00456</v>
      </c>
      <c r="B88" s="31" t="str">
        <f>'Expense Details'!C457</f>
        <v>Arjun Deshpande</v>
      </c>
      <c r="C88" s="31" t="str">
        <f>'Expense Details'!D457</f>
        <v>Product</v>
      </c>
      <c r="D88" s="31" t="str">
        <f>'Expense Details'!G457</f>
        <v>TRP-2025-020</v>
      </c>
      <c r="E88" s="32">
        <f>'Expense Details'!M457</f>
        <v>45697</v>
      </c>
      <c r="F88" s="31" t="str">
        <f>'Expense Details'!O457</f>
        <v>Ground Transport - Taxi</v>
      </c>
      <c r="G88" s="31" t="str">
        <f>'Expense Details'!Q457</f>
        <v>Uber</v>
      </c>
      <c r="H88" s="33">
        <f>'Expense Details'!V457</f>
        <v>84.862959999999987</v>
      </c>
      <c r="I88" s="33">
        <f>'Expense Details'!Z457</f>
        <v>60</v>
      </c>
      <c r="J88" s="33">
        <f>H88-I88</f>
        <v>24.862959999999987</v>
      </c>
      <c r="K88" s="34">
        <f>IFERROR(MAX(0,H88/I88-1),0)</f>
        <v>0.41438266666666634</v>
      </c>
      <c r="L88" s="31" t="str">
        <f>'Expense Details'!AC457</f>
        <v>Yes</v>
      </c>
      <c r="M88" s="35" t="s">
        <v>3502</v>
      </c>
      <c r="N88" s="31" t="str">
        <f>'Expense Details'!AG457</f>
        <v>Approved</v>
      </c>
      <c r="O88" s="31" t="str">
        <f>'Expense Details'!F457</f>
        <v>Elena Duarte</v>
      </c>
    </row>
    <row r="89" spans="1:15">
      <c r="A89" s="31" t="str">
        <f>'Expense Details'!A464</f>
        <v>EXP-00463</v>
      </c>
      <c r="B89" s="31" t="str">
        <f>'Expense Details'!C464</f>
        <v>Arjun Deshpande</v>
      </c>
      <c r="C89" s="31" t="str">
        <f>'Expense Details'!D464</f>
        <v>Product</v>
      </c>
      <c r="D89" s="31" t="str">
        <f>'Expense Details'!G464</f>
        <v>TRP-2025-080</v>
      </c>
      <c r="E89" s="32">
        <f>'Expense Details'!M464</f>
        <v>45697</v>
      </c>
      <c r="F89" s="31" t="str">
        <f>'Expense Details'!O464</f>
        <v>Meals - Lunch</v>
      </c>
      <c r="G89" s="31" t="str">
        <f>'Expense Details'!Q464</f>
        <v>Sweetgreen</v>
      </c>
      <c r="H89" s="33">
        <f>'Expense Details'!V464</f>
        <v>19.771229999999999</v>
      </c>
      <c r="I89" s="33">
        <f>'Expense Details'!Z464</f>
        <v>35</v>
      </c>
      <c r="J89" s="33">
        <f>H89-I89</f>
        <v>-15.228770000000001</v>
      </c>
      <c r="K89" s="34">
        <f>IFERROR(MAX(0,H89/I89-1),0)</f>
        <v>0</v>
      </c>
      <c r="L89" s="31" t="str">
        <f>'Expense Details'!AC464</f>
        <v>No</v>
      </c>
      <c r="M89" s="35" t="s">
        <v>3503</v>
      </c>
      <c r="N89" s="31" t="str">
        <f>'Expense Details'!AG464</f>
        <v>Rejected</v>
      </c>
      <c r="O89" s="31" t="str">
        <f>'Expense Details'!F464</f>
        <v>Elena Duarte</v>
      </c>
    </row>
    <row r="90" spans="1:15">
      <c r="A90" s="31" t="str">
        <f>'Expense Details'!A471</f>
        <v>EXP-00470</v>
      </c>
      <c r="B90" s="31" t="str">
        <f>'Expense Details'!C471</f>
        <v>Arjun Deshpande</v>
      </c>
      <c r="C90" s="31" t="str">
        <f>'Expense Details'!D471</f>
        <v>Product</v>
      </c>
      <c r="D90" s="31" t="str">
        <f>'Expense Details'!G471</f>
        <v>TRP-2025-020</v>
      </c>
      <c r="E90" s="32">
        <f>'Expense Details'!M471</f>
        <v>45698</v>
      </c>
      <c r="F90" s="31" t="str">
        <f>'Expense Details'!O471</f>
        <v>Meals - Dinner</v>
      </c>
      <c r="G90" s="31" t="str">
        <f>'Expense Details'!Q471</f>
        <v>Osteria Vela</v>
      </c>
      <c r="H90" s="33">
        <f>'Expense Details'!V471</f>
        <v>109.65863999999999</v>
      </c>
      <c r="I90" s="33">
        <f>'Expense Details'!Z471</f>
        <v>75</v>
      </c>
      <c r="J90" s="33">
        <f>H90-I90</f>
        <v>34.658639999999991</v>
      </c>
      <c r="K90" s="34">
        <f>IFERROR(MAX(0,H90/I90-1),0)</f>
        <v>0.46211519999999995</v>
      </c>
      <c r="L90" s="31" t="str">
        <f>'Expense Details'!AC471</f>
        <v>Yes</v>
      </c>
      <c r="M90" s="35" t="s">
        <v>3502</v>
      </c>
      <c r="N90" s="31" t="str">
        <f>'Expense Details'!AG471</f>
        <v>Approved</v>
      </c>
      <c r="O90" s="31" t="str">
        <f>'Expense Details'!F471</f>
        <v>Elena Duarte</v>
      </c>
    </row>
    <row r="91" spans="1:15">
      <c r="A91" s="31" t="str">
        <f>'Expense Details'!A472</f>
        <v>EXP-00471</v>
      </c>
      <c r="B91" s="31" t="str">
        <f>'Expense Details'!C472</f>
        <v>Arjun Deshpande</v>
      </c>
      <c r="C91" s="31" t="str">
        <f>'Expense Details'!D472</f>
        <v>Product</v>
      </c>
      <c r="D91" s="31" t="str">
        <f>'Expense Details'!G472</f>
        <v>TRP-2025-020</v>
      </c>
      <c r="E91" s="32">
        <f>'Expense Details'!M472</f>
        <v>45698</v>
      </c>
      <c r="F91" s="31" t="str">
        <f>'Expense Details'!O472</f>
        <v>Meals - Lunch</v>
      </c>
      <c r="G91" s="31" t="str">
        <f>'Expense Details'!Q472</f>
        <v>Pret A Manger</v>
      </c>
      <c r="H91" s="33">
        <f>'Expense Details'!V472</f>
        <v>52.612559999999995</v>
      </c>
      <c r="I91" s="33">
        <f>'Expense Details'!Z472</f>
        <v>35</v>
      </c>
      <c r="J91" s="33">
        <f>H91-I91</f>
        <v>17.612559999999995</v>
      </c>
      <c r="K91" s="34">
        <f>IFERROR(MAX(0,H91/I91-1),0)</f>
        <v>0.50321599999999989</v>
      </c>
      <c r="L91" s="31" t="str">
        <f>'Expense Details'!AC472</f>
        <v>Yes</v>
      </c>
      <c r="M91" s="35" t="s">
        <v>3502</v>
      </c>
      <c r="N91" s="31" t="str">
        <f>'Expense Details'!AG472</f>
        <v>Approved</v>
      </c>
      <c r="O91" s="31" t="str">
        <f>'Expense Details'!F472</f>
        <v>Elena Duarte</v>
      </c>
    </row>
    <row r="92" spans="1:15">
      <c r="A92" s="31" t="str">
        <f>'Expense Details'!A473</f>
        <v>EXP-00472</v>
      </c>
      <c r="B92" s="31" t="str">
        <f>'Expense Details'!C473</f>
        <v>Laura Bianchi</v>
      </c>
      <c r="C92" s="31" t="str">
        <f>'Expense Details'!D473</f>
        <v>Customer Success</v>
      </c>
      <c r="D92" s="31" t="str">
        <f>'Expense Details'!G473</f>
        <v>TRP-2025-056</v>
      </c>
      <c r="E92" s="32">
        <f>'Expense Details'!M473</f>
        <v>45698</v>
      </c>
      <c r="F92" s="31" t="str">
        <f>'Expense Details'!O473</f>
        <v>Airfare</v>
      </c>
      <c r="G92" s="31" t="str">
        <f>'Expense Details'!Q473</f>
        <v>Delta Air Lines</v>
      </c>
      <c r="H92" s="33">
        <f>'Expense Details'!V473</f>
        <v>1582.01964</v>
      </c>
      <c r="I92" s="33">
        <f>'Expense Details'!Z473</f>
        <v>1400</v>
      </c>
      <c r="J92" s="33">
        <f>H92-I92</f>
        <v>182.01963999999998</v>
      </c>
      <c r="K92" s="34">
        <f>IFERROR(MAX(0,H92/I92-1),0)</f>
        <v>0.13001402857142863</v>
      </c>
      <c r="L92" s="31" t="str">
        <f>'Expense Details'!AC473</f>
        <v>Yes</v>
      </c>
      <c r="M92" s="35" t="s">
        <v>3502</v>
      </c>
      <c r="N92" s="31" t="str">
        <f>'Expense Details'!AG473</f>
        <v>Approved</v>
      </c>
      <c r="O92" s="31" t="str">
        <f>'Expense Details'!F473</f>
        <v>Sneha Iyer</v>
      </c>
    </row>
    <row r="93" spans="1:15">
      <c r="A93" s="31" t="str">
        <f>'Expense Details'!A479</f>
        <v>EXP-00478</v>
      </c>
      <c r="B93" s="31" t="str">
        <f>'Expense Details'!C479</f>
        <v>Arjun Deshpande</v>
      </c>
      <c r="C93" s="31" t="str">
        <f>'Expense Details'!D479</f>
        <v>Product</v>
      </c>
      <c r="D93" s="31" t="str">
        <f>'Expense Details'!G479</f>
        <v>TRP-2025-080</v>
      </c>
      <c r="E93" s="32">
        <f>'Expense Details'!M479</f>
        <v>45698</v>
      </c>
      <c r="F93" s="31" t="str">
        <f>'Expense Details'!O479</f>
        <v>Meals - Lunch</v>
      </c>
      <c r="G93" s="31" t="str">
        <f>'Expense Details'!Q479</f>
        <v>Local Bistro</v>
      </c>
      <c r="H93" s="33">
        <f>'Expense Details'!V479</f>
        <v>27.334969999999998</v>
      </c>
      <c r="I93" s="33">
        <f>'Expense Details'!Z479</f>
        <v>35</v>
      </c>
      <c r="J93" s="33">
        <f>H93-I93</f>
        <v>-7.6650300000000016</v>
      </c>
      <c r="K93" s="34">
        <f>IFERROR(MAX(0,H93/I93-1),0)</f>
        <v>0</v>
      </c>
      <c r="L93" s="31" t="str">
        <f>'Expense Details'!AC479</f>
        <v>No</v>
      </c>
      <c r="M93" s="35" t="s">
        <v>3503</v>
      </c>
      <c r="N93" s="31" t="str">
        <f>'Expense Details'!AG479</f>
        <v>Rejected</v>
      </c>
      <c r="O93" s="31" t="str">
        <f>'Expense Details'!F479</f>
        <v>Elena Duarte</v>
      </c>
    </row>
    <row r="94" spans="1:15">
      <c r="A94" s="31" t="str">
        <f>'Expense Details'!A487</f>
        <v>EXP-00486</v>
      </c>
      <c r="B94" s="31" t="str">
        <f>'Expense Details'!C487</f>
        <v>Arjun Deshpande</v>
      </c>
      <c r="C94" s="31" t="str">
        <f>'Expense Details'!D487</f>
        <v>Product</v>
      </c>
      <c r="D94" s="31" t="str">
        <f>'Expense Details'!G487</f>
        <v>TRP-2025-080</v>
      </c>
      <c r="E94" s="32">
        <f>'Expense Details'!M487</f>
        <v>45699</v>
      </c>
      <c r="F94" s="31" t="str">
        <f>'Expense Details'!O487</f>
        <v>Meals - Breakfast</v>
      </c>
      <c r="G94" s="31" t="str">
        <f>'Expense Details'!Q487</f>
        <v>Cafe Nero</v>
      </c>
      <c r="H94" s="33">
        <f>'Expense Details'!V487</f>
        <v>22.542619999999999</v>
      </c>
      <c r="I94" s="33">
        <f>'Expense Details'!Z487</f>
        <v>25</v>
      </c>
      <c r="J94" s="33">
        <f>H94-I94</f>
        <v>-2.4573800000000006</v>
      </c>
      <c r="K94" s="34">
        <f>IFERROR(MAX(0,H94/I94-1),0)</f>
        <v>0</v>
      </c>
      <c r="L94" s="31" t="str">
        <f>'Expense Details'!AC487</f>
        <v>No</v>
      </c>
      <c r="M94" s="35" t="s">
        <v>3503</v>
      </c>
      <c r="N94" s="31" t="str">
        <f>'Expense Details'!AG487</f>
        <v>Rejected</v>
      </c>
      <c r="O94" s="31" t="str">
        <f>'Expense Details'!F487</f>
        <v>Elena Duarte</v>
      </c>
    </row>
    <row r="95" spans="1:15">
      <c r="A95" s="31" t="str">
        <f>'Expense Details'!A503</f>
        <v>EXP-00502</v>
      </c>
      <c r="B95" s="31" t="str">
        <f>'Expense Details'!C503</f>
        <v>Meera Krishnan</v>
      </c>
      <c r="C95" s="31" t="str">
        <f>'Expense Details'!D503</f>
        <v>Finance</v>
      </c>
      <c r="D95" s="31" t="str">
        <f>'Expense Details'!G503</f>
        <v>TRP-2025-106</v>
      </c>
      <c r="E95" s="32">
        <f>'Expense Details'!M503</f>
        <v>45700</v>
      </c>
      <c r="F95" s="31" t="str">
        <f>'Expense Details'!O503</f>
        <v>Airfare</v>
      </c>
      <c r="G95" s="31" t="str">
        <f>'Expense Details'!Q503</f>
        <v>Singapore Airlines</v>
      </c>
      <c r="H95" s="33">
        <f>'Expense Details'!V503</f>
        <v>2466.1281600000002</v>
      </c>
      <c r="I95" s="33">
        <f>'Expense Details'!Z503</f>
        <v>1400</v>
      </c>
      <c r="J95" s="33">
        <f>H95-I95</f>
        <v>1066.1281600000002</v>
      </c>
      <c r="K95" s="34">
        <f>IFERROR(MAX(0,H95/I95-1),0)</f>
        <v>0.76152011428571442</v>
      </c>
      <c r="L95" s="31" t="str">
        <f>'Expense Details'!AC503</f>
        <v>Yes</v>
      </c>
      <c r="M95" s="35" t="s">
        <v>3502</v>
      </c>
      <c r="N95" s="31" t="str">
        <f>'Expense Details'!AG503</f>
        <v>Pending Approval</v>
      </c>
      <c r="O95" s="31" t="str">
        <f>'Expense Details'!F503</f>
        <v>David Chen</v>
      </c>
    </row>
    <row r="96" spans="1:15">
      <c r="A96" s="31" t="str">
        <f>'Expense Details'!A522</f>
        <v>EXP-00521</v>
      </c>
      <c r="B96" s="31" t="str">
        <f>'Expense Details'!C522</f>
        <v>Sneha Iyer</v>
      </c>
      <c r="C96" s="31" t="str">
        <f>'Expense Details'!D522</f>
        <v>Customer Success</v>
      </c>
      <c r="D96" s="31" t="str">
        <f>'Expense Details'!G522</f>
        <v>TRP-2025-102</v>
      </c>
      <c r="E96" s="32">
        <f>'Expense Details'!M522</f>
        <v>45701</v>
      </c>
      <c r="F96" s="31" t="str">
        <f>'Expense Details'!O522</f>
        <v>Ground Transport - Taxi</v>
      </c>
      <c r="G96" s="31" t="str">
        <f>'Expense Details'!Q522</f>
        <v>Lyft</v>
      </c>
      <c r="H96" s="33">
        <f>'Expense Details'!V522</f>
        <v>24.42</v>
      </c>
      <c r="I96" s="33">
        <f>'Expense Details'!Z522</f>
        <v>60</v>
      </c>
      <c r="J96" s="33">
        <f>H96-I96</f>
        <v>-35.58</v>
      </c>
      <c r="K96" s="34">
        <f>IFERROR(MAX(0,H96/I96-1),0)</f>
        <v>0</v>
      </c>
      <c r="L96" s="31" t="str">
        <f>'Expense Details'!AC522</f>
        <v>No</v>
      </c>
      <c r="M96" s="35" t="s">
        <v>3503</v>
      </c>
      <c r="N96" s="31" t="str">
        <f>'Expense Details'!AG522</f>
        <v>Approved</v>
      </c>
      <c r="O96" s="31" t="str">
        <f>'Expense Details'!F522</f>
        <v>Paul Nkemelu</v>
      </c>
    </row>
    <row r="97" spans="1:15">
      <c r="A97" s="31" t="str">
        <f>'Expense Details'!A533</f>
        <v>EXP-00532</v>
      </c>
      <c r="B97" s="31" t="str">
        <f>'Expense Details'!C533</f>
        <v>Laura Bianchi</v>
      </c>
      <c r="C97" s="31" t="str">
        <f>'Expense Details'!D533</f>
        <v>Customer Success</v>
      </c>
      <c r="D97" s="31" t="str">
        <f>'Expense Details'!G533</f>
        <v>TRP-2025-056</v>
      </c>
      <c r="E97" s="32">
        <f>'Expense Details'!M533</f>
        <v>45702</v>
      </c>
      <c r="F97" s="31" t="str">
        <f>'Expense Details'!O533</f>
        <v>Meals - Breakfast</v>
      </c>
      <c r="G97" s="31" t="str">
        <f>'Expense Details'!Q533</f>
        <v>Local Bakery</v>
      </c>
      <c r="H97" s="33">
        <f>'Expense Details'!V533</f>
        <v>29.696669999999997</v>
      </c>
      <c r="I97" s="33">
        <f>'Expense Details'!Z533</f>
        <v>25</v>
      </c>
      <c r="J97" s="33">
        <f>H97-I97</f>
        <v>4.6966699999999975</v>
      </c>
      <c r="K97" s="34">
        <f>IFERROR(MAX(0,H97/I97-1),0)</f>
        <v>0.18786679999999989</v>
      </c>
      <c r="L97" s="31" t="str">
        <f>'Expense Details'!AC533</f>
        <v>Yes</v>
      </c>
      <c r="M97" s="35" t="s">
        <v>3502</v>
      </c>
      <c r="N97" s="31" t="str">
        <f>'Expense Details'!AG533</f>
        <v>Approved</v>
      </c>
      <c r="O97" s="31" t="str">
        <f>'Expense Details'!F533</f>
        <v>Sneha Iyer</v>
      </c>
    </row>
    <row r="98" spans="1:15">
      <c r="A98" s="31" t="str">
        <f>'Expense Details'!A541</f>
        <v>EXP-00540</v>
      </c>
      <c r="B98" s="31" t="str">
        <f>'Expense Details'!C541</f>
        <v>Viktor Petrov</v>
      </c>
      <c r="C98" s="31" t="str">
        <f>'Expense Details'!D541</f>
        <v>Operations</v>
      </c>
      <c r="D98" s="31" t="str">
        <f>'Expense Details'!G541</f>
        <v>TRP-2025-092</v>
      </c>
      <c r="E98" s="32">
        <f>'Expense Details'!M541</f>
        <v>45702</v>
      </c>
      <c r="F98" s="31" t="str">
        <f>'Expense Details'!O541</f>
        <v>Meals - Dinner</v>
      </c>
      <c r="G98" s="31" t="str">
        <f>'Expense Details'!Q541</f>
        <v>Spice Route</v>
      </c>
      <c r="H98" s="33">
        <f>'Expense Details'!V541</f>
        <v>55.5</v>
      </c>
      <c r="I98" s="33">
        <f>'Expense Details'!Z541</f>
        <v>75</v>
      </c>
      <c r="J98" s="33">
        <f>H98-I98</f>
        <v>-19.5</v>
      </c>
      <c r="K98" s="34">
        <f>IFERROR(MAX(0,H98/I98-1),0)</f>
        <v>0</v>
      </c>
      <c r="L98" s="31" t="str">
        <f>'Expense Details'!AC541</f>
        <v>No</v>
      </c>
      <c r="M98" s="35" t="s">
        <v>3503</v>
      </c>
      <c r="N98" s="31" t="str">
        <f>'Expense Details'!AG541</f>
        <v>Approved</v>
      </c>
      <c r="O98" s="31" t="str">
        <f>'Expense Details'!F541</f>
        <v>Diane Okafor</v>
      </c>
    </row>
    <row r="99" spans="1:15">
      <c r="A99" s="31" t="str">
        <f>'Expense Details'!A550</f>
        <v>EXP-00549</v>
      </c>
      <c r="B99" s="31" t="str">
        <f>'Expense Details'!C550</f>
        <v>Laura Bianchi</v>
      </c>
      <c r="C99" s="31" t="str">
        <f>'Expense Details'!D550</f>
        <v>Customer Success</v>
      </c>
      <c r="D99" s="31" t="str">
        <f>'Expense Details'!G550</f>
        <v>TRP-2025-056</v>
      </c>
      <c r="E99" s="32">
        <f>'Expense Details'!M550</f>
        <v>45703</v>
      </c>
      <c r="F99" s="31" t="str">
        <f>'Expense Details'!O550</f>
        <v>Meals - Breakfast</v>
      </c>
      <c r="G99" s="31" t="str">
        <f>'Expense Details'!Q550</f>
        <v>Hotel Restaurant</v>
      </c>
      <c r="H99" s="33">
        <f>'Expense Details'!V550</f>
        <v>31.9465</v>
      </c>
      <c r="I99" s="33">
        <f>'Expense Details'!Z550</f>
        <v>25</v>
      </c>
      <c r="J99" s="33">
        <f>H99-I99</f>
        <v>6.9465000000000003</v>
      </c>
      <c r="K99" s="34">
        <f>IFERROR(MAX(0,H99/I99-1),0)</f>
        <v>0.27786</v>
      </c>
      <c r="L99" s="31" t="str">
        <f>'Expense Details'!AC550</f>
        <v>Yes</v>
      </c>
      <c r="M99" s="35" t="s">
        <v>3502</v>
      </c>
      <c r="N99" s="31" t="str">
        <f>'Expense Details'!AG550</f>
        <v>Approved</v>
      </c>
      <c r="O99" s="31" t="str">
        <f>'Expense Details'!F550</f>
        <v>Sneha Iyer</v>
      </c>
    </row>
    <row r="100" spans="1:15">
      <c r="A100" s="31" t="str">
        <f>'Expense Details'!A564</f>
        <v>EXP-00563</v>
      </c>
      <c r="B100" s="31" t="str">
        <f>'Expense Details'!C564</f>
        <v>Laura Bianchi</v>
      </c>
      <c r="C100" s="31" t="str">
        <f>'Expense Details'!D564</f>
        <v>Customer Success</v>
      </c>
      <c r="D100" s="31" t="str">
        <f>'Expense Details'!G564</f>
        <v>TRP-2025-056</v>
      </c>
      <c r="E100" s="32">
        <f>'Expense Details'!M564</f>
        <v>45704</v>
      </c>
      <c r="F100" s="31" t="str">
        <f>'Expense Details'!O564</f>
        <v>Meals - Lunch</v>
      </c>
      <c r="G100" s="31" t="str">
        <f>'Expense Details'!Q564</f>
        <v>Local Bistro</v>
      </c>
      <c r="H100" s="33">
        <f>'Expense Details'!V564</f>
        <v>52.397689999999997</v>
      </c>
      <c r="I100" s="33">
        <f>'Expense Details'!Z564</f>
        <v>35</v>
      </c>
      <c r="J100" s="33">
        <f>H100-I100</f>
        <v>17.397689999999997</v>
      </c>
      <c r="K100" s="34">
        <f>IFERROR(MAX(0,H100/I100-1),0)</f>
        <v>0.49707685714285699</v>
      </c>
      <c r="L100" s="31" t="str">
        <f>'Expense Details'!AC564</f>
        <v>Yes</v>
      </c>
      <c r="M100" s="35" t="s">
        <v>3502</v>
      </c>
      <c r="N100" s="31" t="str">
        <f>'Expense Details'!AG564</f>
        <v>Approved</v>
      </c>
      <c r="O100" s="31" t="str">
        <f>'Expense Details'!F564</f>
        <v>Sneha Iyer</v>
      </c>
    </row>
    <row r="101" spans="1:15">
      <c r="A101" s="31" t="str">
        <f>'Expense Details'!A570</f>
        <v>EXP-00569</v>
      </c>
      <c r="B101" s="31" t="str">
        <f>'Expense Details'!C570</f>
        <v>Meera Krishnan</v>
      </c>
      <c r="C101" s="31" t="str">
        <f>'Expense Details'!D570</f>
        <v>Finance</v>
      </c>
      <c r="D101" s="31" t="str">
        <f>'Expense Details'!G570</f>
        <v>TRP-2025-106</v>
      </c>
      <c r="E101" s="32">
        <f>'Expense Details'!M570</f>
        <v>45704</v>
      </c>
      <c r="F101" s="31" t="str">
        <f>'Expense Details'!O570</f>
        <v>Ground Transport - Taxi</v>
      </c>
      <c r="G101" s="31" t="str">
        <f>'Expense Details'!Q570</f>
        <v>Lyft</v>
      </c>
      <c r="H101" s="33">
        <f>'Expense Details'!V570</f>
        <v>44.227440000000001</v>
      </c>
      <c r="I101" s="33">
        <f>'Expense Details'!Z570</f>
        <v>60</v>
      </c>
      <c r="J101" s="33">
        <f>H101-I101</f>
        <v>-15.772559999999999</v>
      </c>
      <c r="K101" s="34">
        <f>IFERROR(MAX(0,H101/I101-1),0)</f>
        <v>0</v>
      </c>
      <c r="L101" s="31" t="str">
        <f>'Expense Details'!AC570</f>
        <v>No</v>
      </c>
      <c r="M101" s="35" t="s">
        <v>3503</v>
      </c>
      <c r="N101" s="31" t="str">
        <f>'Expense Details'!AG570</f>
        <v>Pending Approval</v>
      </c>
      <c r="O101" s="31" t="str">
        <f>'Expense Details'!F570</f>
        <v>David Chen</v>
      </c>
    </row>
    <row r="102" spans="1:15">
      <c r="A102" s="31" t="str">
        <f>'Expense Details'!A572</f>
        <v>EXP-00571</v>
      </c>
      <c r="B102" s="31" t="str">
        <f>'Expense Details'!C572</f>
        <v>Arjun Deshpande</v>
      </c>
      <c r="C102" s="31" t="str">
        <f>'Expense Details'!D572</f>
        <v>Product</v>
      </c>
      <c r="D102" s="31" t="str">
        <f>'Expense Details'!G572</f>
        <v>TRP-2025-112</v>
      </c>
      <c r="E102" s="32">
        <f>'Expense Details'!M572</f>
        <v>45704</v>
      </c>
      <c r="F102" s="31" t="str">
        <f>'Expense Details'!O572</f>
        <v>Airfare</v>
      </c>
      <c r="G102" s="31" t="str">
        <f>'Expense Details'!Q572</f>
        <v>Lufthansa</v>
      </c>
      <c r="H102" s="33">
        <f>'Expense Details'!V572</f>
        <v>2499.3167799999997</v>
      </c>
      <c r="I102" s="33">
        <f>'Expense Details'!Z572</f>
        <v>1400</v>
      </c>
      <c r="J102" s="33">
        <f>H102-I102</f>
        <v>1099.3167799999997</v>
      </c>
      <c r="K102" s="34">
        <f>IFERROR(MAX(0,H102/I102-1),0)</f>
        <v>0.78522627142857115</v>
      </c>
      <c r="L102" s="31" t="str">
        <f>'Expense Details'!AC572</f>
        <v>Yes</v>
      </c>
      <c r="M102" s="35" t="s">
        <v>3502</v>
      </c>
      <c r="N102" s="31" t="str">
        <f>'Expense Details'!AG572</f>
        <v>Approved</v>
      </c>
      <c r="O102" s="31" t="str">
        <f>'Expense Details'!F572</f>
        <v>Elena Duarte</v>
      </c>
    </row>
    <row r="103" spans="1:15">
      <c r="A103" s="31" t="str">
        <f>'Expense Details'!A575</f>
        <v>EXP-00574</v>
      </c>
      <c r="B103" s="31" t="str">
        <f>'Expense Details'!C575</f>
        <v>Arjun Deshpande</v>
      </c>
      <c r="C103" s="31" t="str">
        <f>'Expense Details'!D575</f>
        <v>Product</v>
      </c>
      <c r="D103" s="31" t="str">
        <f>'Expense Details'!G575</f>
        <v>TRP-2025-112</v>
      </c>
      <c r="E103" s="32">
        <f>'Expense Details'!M575</f>
        <v>45704</v>
      </c>
      <c r="F103" s="31" t="str">
        <f>'Expense Details'!O575</f>
        <v>Meals - Dinner</v>
      </c>
      <c r="G103" s="31" t="str">
        <f>'Expense Details'!Q575</f>
        <v>Sakura Izakaya</v>
      </c>
      <c r="H103" s="33">
        <f>'Expense Details'!V575</f>
        <v>86.112560000000002</v>
      </c>
      <c r="I103" s="33">
        <f>'Expense Details'!Z575</f>
        <v>75</v>
      </c>
      <c r="J103" s="33">
        <f>H103-I103</f>
        <v>11.112560000000002</v>
      </c>
      <c r="K103" s="34">
        <f>IFERROR(MAX(0,H103/I103-1),0)</f>
        <v>0.1481674666666668</v>
      </c>
      <c r="L103" s="31" t="str">
        <f>'Expense Details'!AC575</f>
        <v>Yes</v>
      </c>
      <c r="M103" s="35" t="s">
        <v>3502</v>
      </c>
      <c r="N103" s="31" t="str">
        <f>'Expense Details'!AG575</f>
        <v>Approved</v>
      </c>
      <c r="O103" s="31" t="str">
        <f>'Expense Details'!F575</f>
        <v>Elena Duarte</v>
      </c>
    </row>
    <row r="104" spans="1:15">
      <c r="A104" s="31" t="str">
        <f>'Expense Details'!A586</f>
        <v>EXP-00585</v>
      </c>
      <c r="B104" s="31" t="str">
        <f>'Expense Details'!C586</f>
        <v>Arjun Deshpande</v>
      </c>
      <c r="C104" s="31" t="str">
        <f>'Expense Details'!D586</f>
        <v>Product</v>
      </c>
      <c r="D104" s="31" t="str">
        <f>'Expense Details'!G586</f>
        <v>TRP-2025-112</v>
      </c>
      <c r="E104" s="32">
        <f>'Expense Details'!M586</f>
        <v>45705</v>
      </c>
      <c r="F104" s="31" t="str">
        <f>'Expense Details'!O586</f>
        <v>Hotel / Lodging</v>
      </c>
      <c r="G104" s="31" t="str">
        <f>'Expense Details'!Q586</f>
        <v>Hyatt Place</v>
      </c>
      <c r="H104" s="33">
        <f>'Expense Details'!V586</f>
        <v>391.01248999999996</v>
      </c>
      <c r="I104" s="33">
        <f>'Expense Details'!Z586</f>
        <v>280</v>
      </c>
      <c r="J104" s="33">
        <f>H104-I104</f>
        <v>111.01248999999996</v>
      </c>
      <c r="K104" s="34">
        <f>IFERROR(MAX(0,H104/I104-1),0)</f>
        <v>0.39647317857142839</v>
      </c>
      <c r="L104" s="31" t="str">
        <f>'Expense Details'!AC586</f>
        <v>Yes</v>
      </c>
      <c r="M104" s="35" t="s">
        <v>3502</v>
      </c>
      <c r="N104" s="31" t="str">
        <f>'Expense Details'!AG586</f>
        <v>Approved</v>
      </c>
      <c r="O104" s="31" t="str">
        <f>'Expense Details'!F586</f>
        <v>Elena Duarte</v>
      </c>
    </row>
    <row r="105" spans="1:15">
      <c r="A105" s="31" t="str">
        <f>'Expense Details'!A595</f>
        <v>EXP-00594</v>
      </c>
      <c r="B105" s="31" t="str">
        <f>'Expense Details'!C595</f>
        <v>Meera Krishnan</v>
      </c>
      <c r="C105" s="31" t="str">
        <f>'Expense Details'!D595</f>
        <v>Finance</v>
      </c>
      <c r="D105" s="31" t="str">
        <f>'Expense Details'!G595</f>
        <v>TRP-2025-106</v>
      </c>
      <c r="E105" s="32">
        <f>'Expense Details'!M595</f>
        <v>45706</v>
      </c>
      <c r="F105" s="31" t="str">
        <f>'Expense Details'!O595</f>
        <v>Meals - Dinner</v>
      </c>
      <c r="G105" s="31" t="str">
        <f>'Expense Details'!Q595</f>
        <v>Spice Route</v>
      </c>
      <c r="H105" s="33">
        <f>'Expense Details'!V595</f>
        <v>93.517439999999993</v>
      </c>
      <c r="I105" s="33">
        <f>'Expense Details'!Z595</f>
        <v>75</v>
      </c>
      <c r="J105" s="33">
        <f>H105-I105</f>
        <v>18.517439999999993</v>
      </c>
      <c r="K105" s="34">
        <f>IFERROR(MAX(0,H105/I105-1),0)</f>
        <v>0.24689919999999987</v>
      </c>
      <c r="L105" s="31" t="str">
        <f>'Expense Details'!AC595</f>
        <v>Yes</v>
      </c>
      <c r="M105" s="35" t="s">
        <v>3502</v>
      </c>
      <c r="N105" s="31" t="str">
        <f>'Expense Details'!AG595</f>
        <v>Pending Approval</v>
      </c>
      <c r="O105" s="31" t="str">
        <f>'Expense Details'!F595</f>
        <v>David Chen</v>
      </c>
    </row>
    <row r="106" spans="1:15">
      <c r="A106" s="31" t="str">
        <f>'Expense Details'!A600</f>
        <v>EXP-00599</v>
      </c>
      <c r="B106" s="31" t="str">
        <f>'Expense Details'!C600</f>
        <v>Meera Krishnan</v>
      </c>
      <c r="C106" s="31" t="str">
        <f>'Expense Details'!D600</f>
        <v>Finance</v>
      </c>
      <c r="D106" s="31" t="str">
        <f>'Expense Details'!G600</f>
        <v>TRP-2025-106</v>
      </c>
      <c r="E106" s="32">
        <f>'Expense Details'!M600</f>
        <v>45707</v>
      </c>
      <c r="F106" s="31" t="str">
        <f>'Expense Details'!O600</f>
        <v>Meals - Lunch</v>
      </c>
      <c r="G106" s="31" t="str">
        <f>'Expense Details'!Q600</f>
        <v>Food Court</v>
      </c>
      <c r="H106" s="33">
        <f>'Expense Details'!V600</f>
        <v>48.62856</v>
      </c>
      <c r="I106" s="33">
        <f>'Expense Details'!Z600</f>
        <v>35</v>
      </c>
      <c r="J106" s="33">
        <f>H106-I106</f>
        <v>13.62856</v>
      </c>
      <c r="K106" s="34">
        <f>IFERROR(MAX(0,H106/I106-1),0)</f>
        <v>0.3893874285714285</v>
      </c>
      <c r="L106" s="31" t="str">
        <f>'Expense Details'!AC600</f>
        <v>No</v>
      </c>
      <c r="M106" s="35" t="s">
        <v>3504</v>
      </c>
      <c r="N106" s="31" t="str">
        <f>'Expense Details'!AG600</f>
        <v>Pending Approval</v>
      </c>
      <c r="O106" s="31" t="str">
        <f>'Expense Details'!F600</f>
        <v>David Chen</v>
      </c>
    </row>
    <row r="107" spans="1:15">
      <c r="A107" s="31" t="str">
        <f>'Expense Details'!A601</f>
        <v>EXP-00600</v>
      </c>
      <c r="B107" s="31" t="str">
        <f>'Expense Details'!C601</f>
        <v>Aisha Bello</v>
      </c>
      <c r="C107" s="31" t="str">
        <f>'Expense Details'!D601</f>
        <v>Operations</v>
      </c>
      <c r="D107" s="31" t="str">
        <f>'Expense Details'!G601</f>
        <v>TRP-2025-018</v>
      </c>
      <c r="E107" s="32">
        <f>'Expense Details'!M601</f>
        <v>45708</v>
      </c>
      <c r="F107" s="31" t="str">
        <f>'Expense Details'!O601</f>
        <v>Airfare</v>
      </c>
      <c r="G107" s="31" t="str">
        <f>'Expense Details'!Q601</f>
        <v>United Airlines</v>
      </c>
      <c r="H107" s="33">
        <f>'Expense Details'!V601</f>
        <v>1720.7988400000002</v>
      </c>
      <c r="I107" s="33">
        <f>'Expense Details'!Z601</f>
        <v>1400</v>
      </c>
      <c r="J107" s="33">
        <f>H107-I107</f>
        <v>320.79884000000015</v>
      </c>
      <c r="K107" s="34">
        <f>IFERROR(MAX(0,H107/I107-1),0)</f>
        <v>0.22914202857142874</v>
      </c>
      <c r="L107" s="31" t="str">
        <f>'Expense Details'!AC601</f>
        <v>Yes</v>
      </c>
      <c r="M107" s="35" t="s">
        <v>3502</v>
      </c>
      <c r="N107" s="31" t="str">
        <f>'Expense Details'!AG601</f>
        <v>Approved</v>
      </c>
      <c r="O107" s="31" t="str">
        <f>'Expense Details'!F601</f>
        <v>Viktor Petrov</v>
      </c>
    </row>
    <row r="108" spans="1:15">
      <c r="A108" s="31" t="str">
        <f>'Expense Details'!A602</f>
        <v>EXP-00601</v>
      </c>
      <c r="B108" s="31" t="str">
        <f>'Expense Details'!C602</f>
        <v>Aisha Bello</v>
      </c>
      <c r="C108" s="31" t="str">
        <f>'Expense Details'!D602</f>
        <v>Operations</v>
      </c>
      <c r="D108" s="31" t="str">
        <f>'Expense Details'!G602</f>
        <v>TRP-2025-018</v>
      </c>
      <c r="E108" s="32">
        <f>'Expense Details'!M602</f>
        <v>45708</v>
      </c>
      <c r="F108" s="31" t="str">
        <f>'Expense Details'!O602</f>
        <v>Baggage &amp; Excess Fees</v>
      </c>
      <c r="G108" s="31" t="str">
        <f>'Expense Details'!Q602</f>
        <v>Air India</v>
      </c>
      <c r="H108" s="33">
        <f>'Expense Details'!V602</f>
        <v>185.71170000000001</v>
      </c>
      <c r="I108" s="33">
        <f>'Expense Details'!Z602</f>
        <v>120</v>
      </c>
      <c r="J108" s="33">
        <f>H108-I108</f>
        <v>65.711700000000008</v>
      </c>
      <c r="K108" s="34">
        <f>IFERROR(MAX(0,H108/I108-1),0)</f>
        <v>0.54759749999999996</v>
      </c>
      <c r="L108" s="31" t="str">
        <f>'Expense Details'!AC602</f>
        <v>Yes</v>
      </c>
      <c r="M108" s="35" t="s">
        <v>3502</v>
      </c>
      <c r="N108" s="31" t="str">
        <f>'Expense Details'!AG602</f>
        <v>Approved</v>
      </c>
      <c r="O108" s="31" t="str">
        <f>'Expense Details'!F602</f>
        <v>Viktor Petrov</v>
      </c>
    </row>
    <row r="109" spans="1:15">
      <c r="A109" s="31" t="str">
        <f>'Expense Details'!A608</f>
        <v>EXP-00607</v>
      </c>
      <c r="B109" s="31" t="str">
        <f>'Expense Details'!C608</f>
        <v>Aisha Bello</v>
      </c>
      <c r="C109" s="31" t="str">
        <f>'Expense Details'!D608</f>
        <v>Operations</v>
      </c>
      <c r="D109" s="31" t="str">
        <f>'Expense Details'!G608</f>
        <v>TRP-2025-018</v>
      </c>
      <c r="E109" s="32">
        <f>'Expense Details'!M608</f>
        <v>45709</v>
      </c>
      <c r="F109" s="31" t="str">
        <f>'Expense Details'!O608</f>
        <v>Meals - Dinner</v>
      </c>
      <c r="G109" s="31" t="str">
        <f>'Expense Details'!Q608</f>
        <v>Spice Route</v>
      </c>
      <c r="H109" s="33">
        <f>'Expense Details'!V608</f>
        <v>109.6718</v>
      </c>
      <c r="I109" s="33">
        <f>'Expense Details'!Z608</f>
        <v>75</v>
      </c>
      <c r="J109" s="33">
        <f>H109-I109</f>
        <v>34.671800000000005</v>
      </c>
      <c r="K109" s="34">
        <f>IFERROR(MAX(0,H109/I109-1),0)</f>
        <v>0.46229066666666663</v>
      </c>
      <c r="L109" s="31" t="str">
        <f>'Expense Details'!AC608</f>
        <v>Yes</v>
      </c>
      <c r="M109" s="35" t="s">
        <v>3502</v>
      </c>
      <c r="N109" s="31" t="str">
        <f>'Expense Details'!AG608</f>
        <v>Approved</v>
      </c>
      <c r="O109" s="31" t="str">
        <f>'Expense Details'!F608</f>
        <v>Viktor Petrov</v>
      </c>
    </row>
    <row r="110" spans="1:15">
      <c r="A110" s="31" t="str">
        <f>'Expense Details'!A610</f>
        <v>EXP-00609</v>
      </c>
      <c r="B110" s="31" t="str">
        <f>'Expense Details'!C610</f>
        <v>Aisha Bello</v>
      </c>
      <c r="C110" s="31" t="str">
        <f>'Expense Details'!D610</f>
        <v>Operations</v>
      </c>
      <c r="D110" s="31" t="str">
        <f>'Expense Details'!G610</f>
        <v>TRP-2025-018</v>
      </c>
      <c r="E110" s="32">
        <f>'Expense Details'!M610</f>
        <v>45709</v>
      </c>
      <c r="F110" s="31" t="str">
        <f>'Expense Details'!O610</f>
        <v>Office Supplies</v>
      </c>
      <c r="G110" s="31" t="str">
        <f>'Expense Details'!Q610</f>
        <v>Local Stationers</v>
      </c>
      <c r="H110" s="33">
        <f>'Expense Details'!V610</f>
        <v>74.049080000000004</v>
      </c>
      <c r="I110" s="33">
        <f>'Expense Details'!Z610</f>
        <v>60</v>
      </c>
      <c r="J110" s="33">
        <f>H110-I110</f>
        <v>14.049080000000004</v>
      </c>
      <c r="K110" s="34">
        <f>IFERROR(MAX(0,H110/I110-1),0)</f>
        <v>0.23415133333333338</v>
      </c>
      <c r="L110" s="31" t="str">
        <f>'Expense Details'!AC610</f>
        <v>Yes</v>
      </c>
      <c r="M110" s="35" t="s">
        <v>3502</v>
      </c>
      <c r="N110" s="31" t="str">
        <f>'Expense Details'!AG610</f>
        <v>Approved</v>
      </c>
      <c r="O110" s="31" t="str">
        <f>'Expense Details'!F610</f>
        <v>Viktor Petrov</v>
      </c>
    </row>
    <row r="111" spans="1:15">
      <c r="A111" s="31" t="str">
        <f>'Expense Details'!A615</f>
        <v>EXP-00614</v>
      </c>
      <c r="B111" s="31" t="str">
        <f>'Expense Details'!C615</f>
        <v>Aisha Bello</v>
      </c>
      <c r="C111" s="31" t="str">
        <f>'Expense Details'!D615</f>
        <v>Operations</v>
      </c>
      <c r="D111" s="31" t="str">
        <f>'Expense Details'!G615</f>
        <v>TRP-2025-002</v>
      </c>
      <c r="E111" s="32">
        <f>'Expense Details'!M615</f>
        <v>45713</v>
      </c>
      <c r="F111" s="31" t="str">
        <f>'Expense Details'!O615</f>
        <v>Airfare</v>
      </c>
      <c r="G111" s="31" t="str">
        <f>'Expense Details'!Q615</f>
        <v>British Airways</v>
      </c>
      <c r="H111" s="33">
        <f>'Expense Details'!V615</f>
        <v>2786.9221600000001</v>
      </c>
      <c r="I111" s="33">
        <f>'Expense Details'!Z615</f>
        <v>1400</v>
      </c>
      <c r="J111" s="33">
        <f>H111-I111</f>
        <v>1386.9221600000001</v>
      </c>
      <c r="K111" s="34">
        <f>IFERROR(MAX(0,H111/I111-1),0)</f>
        <v>0.99065868571428584</v>
      </c>
      <c r="L111" s="31" t="str">
        <f>'Expense Details'!AC615</f>
        <v>No</v>
      </c>
      <c r="M111" s="35" t="s">
        <v>3504</v>
      </c>
      <c r="N111" s="31" t="str">
        <f>'Expense Details'!AG615</f>
        <v>Approved</v>
      </c>
      <c r="O111" s="31" t="str">
        <f>'Expense Details'!F615</f>
        <v>Viktor Petrov</v>
      </c>
    </row>
    <row r="112" spans="1:15">
      <c r="A112" s="31" t="str">
        <f>'Expense Details'!A617</f>
        <v>EXP-00616</v>
      </c>
      <c r="B112" s="31" t="str">
        <f>'Expense Details'!C617</f>
        <v>Aisha Bello</v>
      </c>
      <c r="C112" s="31" t="str">
        <f>'Expense Details'!D617</f>
        <v>Operations</v>
      </c>
      <c r="D112" s="31" t="str">
        <f>'Expense Details'!G617</f>
        <v>TRP-2025-002</v>
      </c>
      <c r="E112" s="32">
        <f>'Expense Details'!M617</f>
        <v>45713</v>
      </c>
      <c r="F112" s="31" t="str">
        <f>'Expense Details'!O617</f>
        <v>Meals - Dinner</v>
      </c>
      <c r="G112" s="31" t="str">
        <f>'Expense Details'!Q617</f>
        <v>Osteria Vela</v>
      </c>
      <c r="H112" s="33">
        <f>'Expense Details'!V617</f>
        <v>88.802219999999991</v>
      </c>
      <c r="I112" s="33">
        <f>'Expense Details'!Z617</f>
        <v>75</v>
      </c>
      <c r="J112" s="33">
        <f>H112-I112</f>
        <v>13.802219999999991</v>
      </c>
      <c r="K112" s="34">
        <f>IFERROR(MAX(0,H112/I112-1),0)</f>
        <v>0.1840295999999999</v>
      </c>
      <c r="L112" s="31" t="str">
        <f>'Expense Details'!AC617</f>
        <v>Yes</v>
      </c>
      <c r="M112" s="35" t="s">
        <v>3502</v>
      </c>
      <c r="N112" s="31" t="str">
        <f>'Expense Details'!AG617</f>
        <v>Approved</v>
      </c>
      <c r="O112" s="31" t="str">
        <f>'Expense Details'!F617</f>
        <v>Viktor Petrov</v>
      </c>
    </row>
    <row r="113" spans="1:15">
      <c r="A113" s="31" t="str">
        <f>'Expense Details'!A618</f>
        <v>EXP-00617</v>
      </c>
      <c r="B113" s="31" t="str">
        <f>'Expense Details'!C618</f>
        <v>Aisha Bello</v>
      </c>
      <c r="C113" s="31" t="str">
        <f>'Expense Details'!D618</f>
        <v>Operations</v>
      </c>
      <c r="D113" s="31" t="str">
        <f>'Expense Details'!G618</f>
        <v>TRP-2025-002</v>
      </c>
      <c r="E113" s="32">
        <f>'Expense Details'!M618</f>
        <v>45713</v>
      </c>
      <c r="F113" s="31" t="str">
        <f>'Expense Details'!O618</f>
        <v>Meals - Lunch</v>
      </c>
      <c r="G113" s="31" t="str">
        <f>'Expense Details'!Q618</f>
        <v>Local Bistro</v>
      </c>
      <c r="H113" s="33">
        <f>'Expense Details'!V618</f>
        <v>39.105049999999999</v>
      </c>
      <c r="I113" s="33">
        <f>'Expense Details'!Z618</f>
        <v>35</v>
      </c>
      <c r="J113" s="33">
        <f>H113-I113</f>
        <v>4.1050499999999985</v>
      </c>
      <c r="K113" s="34">
        <f>IFERROR(MAX(0,H113/I113-1),0)</f>
        <v>0.11728714285714292</v>
      </c>
      <c r="L113" s="31" t="str">
        <f>'Expense Details'!AC618</f>
        <v>Yes</v>
      </c>
      <c r="M113" s="35" t="s">
        <v>3502</v>
      </c>
      <c r="N113" s="31" t="str">
        <f>'Expense Details'!AG618</f>
        <v>Approved</v>
      </c>
      <c r="O113" s="31" t="str">
        <f>'Expense Details'!F618</f>
        <v>Viktor Petrov</v>
      </c>
    </row>
    <row r="114" spans="1:15">
      <c r="A114" s="31" t="str">
        <f>'Expense Details'!A619</f>
        <v>EXP-00618</v>
      </c>
      <c r="B114" s="31" t="str">
        <f>'Expense Details'!C619</f>
        <v>Sneha Iyer</v>
      </c>
      <c r="C114" s="31" t="str">
        <f>'Expense Details'!D619</f>
        <v>Customer Success</v>
      </c>
      <c r="D114" s="31" t="str">
        <f>'Expense Details'!G619</f>
        <v>TRP-2025-017</v>
      </c>
      <c r="E114" s="32">
        <f>'Expense Details'!M619</f>
        <v>45713</v>
      </c>
      <c r="F114" s="31" t="str">
        <f>'Expense Details'!O619</f>
        <v>Airfare</v>
      </c>
      <c r="G114" s="31" t="str">
        <f>'Expense Details'!Q619</f>
        <v>Singapore Airlines</v>
      </c>
      <c r="H114" s="33">
        <f>'Expense Details'!V619</f>
        <v>1576.6705400000001</v>
      </c>
      <c r="I114" s="33">
        <f>'Expense Details'!Z619</f>
        <v>1400</v>
      </c>
      <c r="J114" s="33">
        <f>H114-I114</f>
        <v>176.67054000000007</v>
      </c>
      <c r="K114" s="34">
        <f>IFERROR(MAX(0,H114/I114-1),0)</f>
        <v>0.12619324285714284</v>
      </c>
      <c r="L114" s="31" t="str">
        <f>'Expense Details'!AC619</f>
        <v>Yes</v>
      </c>
      <c r="M114" s="35" t="s">
        <v>3502</v>
      </c>
      <c r="N114" s="31" t="str">
        <f>'Expense Details'!AG619</f>
        <v>Approved</v>
      </c>
      <c r="O114" s="31" t="str">
        <f>'Expense Details'!F619</f>
        <v>Paul Nkemelu</v>
      </c>
    </row>
    <row r="115" spans="1:15">
      <c r="A115" s="31" t="str">
        <f>'Expense Details'!A634</f>
        <v>EXP-00633</v>
      </c>
      <c r="B115" s="31" t="str">
        <f>'Expense Details'!C634</f>
        <v>Aisha Bello</v>
      </c>
      <c r="C115" s="31" t="str">
        <f>'Expense Details'!D634</f>
        <v>Operations</v>
      </c>
      <c r="D115" s="31" t="str">
        <f>'Expense Details'!G634</f>
        <v>TRP-2025-002</v>
      </c>
      <c r="E115" s="32">
        <f>'Expense Details'!M634</f>
        <v>45714</v>
      </c>
      <c r="F115" s="31" t="str">
        <f>'Expense Details'!O634</f>
        <v>Internet / Roaming</v>
      </c>
      <c r="G115" s="31" t="str">
        <f>'Expense Details'!Q634</f>
        <v>Vodafone Roaming</v>
      </c>
      <c r="H115" s="33">
        <f>'Expense Details'!V634</f>
        <v>71.900440000000003</v>
      </c>
      <c r="I115" s="33">
        <f>'Expense Details'!Z634</f>
        <v>55</v>
      </c>
      <c r="J115" s="33">
        <f>H115-I115</f>
        <v>16.900440000000003</v>
      </c>
      <c r="K115" s="34">
        <f>IFERROR(MAX(0,H115/I115-1),0)</f>
        <v>0.30728072727272737</v>
      </c>
      <c r="L115" s="31" t="str">
        <f>'Expense Details'!AC634</f>
        <v>Yes</v>
      </c>
      <c r="M115" s="35" t="s">
        <v>3502</v>
      </c>
      <c r="N115" s="31" t="str">
        <f>'Expense Details'!AG634</f>
        <v>Approved</v>
      </c>
      <c r="O115" s="31" t="str">
        <f>'Expense Details'!F634</f>
        <v>Viktor Petrov</v>
      </c>
    </row>
    <row r="116" spans="1:15">
      <c r="A116" s="31" t="str">
        <f>'Expense Details'!A635</f>
        <v>EXP-00634</v>
      </c>
      <c r="B116" s="31" t="str">
        <f>'Expense Details'!C635</f>
        <v>Aisha Bello</v>
      </c>
      <c r="C116" s="31" t="str">
        <f>'Expense Details'!D635</f>
        <v>Operations</v>
      </c>
      <c r="D116" s="31" t="str">
        <f>'Expense Details'!G635</f>
        <v>TRP-2025-002</v>
      </c>
      <c r="E116" s="32">
        <f>'Expense Details'!M635</f>
        <v>45714</v>
      </c>
      <c r="F116" s="31" t="str">
        <f>'Expense Details'!O635</f>
        <v>Meals - Lunch</v>
      </c>
      <c r="G116" s="31" t="str">
        <f>'Expense Details'!Q635</f>
        <v>Local Bistro</v>
      </c>
      <c r="H116" s="33">
        <f>'Expense Details'!V635</f>
        <v>47.44191</v>
      </c>
      <c r="I116" s="33">
        <f>'Expense Details'!Z635</f>
        <v>35</v>
      </c>
      <c r="J116" s="33">
        <f>H116-I116</f>
        <v>12.44191</v>
      </c>
      <c r="K116" s="34">
        <f>IFERROR(MAX(0,H116/I116-1),0)</f>
        <v>0.35548314285714278</v>
      </c>
      <c r="L116" s="31" t="str">
        <f>'Expense Details'!AC635</f>
        <v>Yes</v>
      </c>
      <c r="M116" s="35" t="s">
        <v>3502</v>
      </c>
      <c r="N116" s="31" t="str">
        <f>'Expense Details'!AG635</f>
        <v>Approved</v>
      </c>
      <c r="O116" s="31" t="str">
        <f>'Expense Details'!F635</f>
        <v>Viktor Petrov</v>
      </c>
    </row>
    <row r="117" spans="1:15">
      <c r="A117" s="31" t="str">
        <f>'Expense Details'!A642</f>
        <v>EXP-00641</v>
      </c>
      <c r="B117" s="31" t="str">
        <f>'Expense Details'!C642</f>
        <v>Sneha Iyer</v>
      </c>
      <c r="C117" s="31" t="str">
        <f>'Expense Details'!D642</f>
        <v>Customer Success</v>
      </c>
      <c r="D117" s="31" t="str">
        <f>'Expense Details'!G642</f>
        <v>TRP-2025-023</v>
      </c>
      <c r="E117" s="32">
        <f>'Expense Details'!M642</f>
        <v>45714</v>
      </c>
      <c r="F117" s="31" t="str">
        <f>'Expense Details'!O642</f>
        <v>Meals - Lunch</v>
      </c>
      <c r="G117" s="31" t="str">
        <f>'Expense Details'!Q642</f>
        <v>Sweetgreen</v>
      </c>
      <c r="H117" s="33">
        <f>'Expense Details'!V642</f>
        <v>19.595099999999999</v>
      </c>
      <c r="I117" s="33">
        <f>'Expense Details'!Z642</f>
        <v>35</v>
      </c>
      <c r="J117" s="33">
        <f>H117-I117</f>
        <v>-15.404900000000001</v>
      </c>
      <c r="K117" s="34">
        <f>IFERROR(MAX(0,H117/I117-1),0)</f>
        <v>0</v>
      </c>
      <c r="L117" s="31" t="str">
        <f>'Expense Details'!AC642</f>
        <v>No</v>
      </c>
      <c r="M117" s="35" t="s">
        <v>3503</v>
      </c>
      <c r="N117" s="31" t="str">
        <f>'Expense Details'!AG642</f>
        <v>Approved</v>
      </c>
      <c r="O117" s="31" t="str">
        <f>'Expense Details'!F642</f>
        <v>Paul Nkemelu</v>
      </c>
    </row>
    <row r="118" spans="1:15">
      <c r="A118" s="31" t="str">
        <f>'Expense Details'!A648</f>
        <v>EXP-00647</v>
      </c>
      <c r="B118" s="31" t="str">
        <f>'Expense Details'!C648</f>
        <v>Sneha Iyer</v>
      </c>
      <c r="C118" s="31" t="str">
        <f>'Expense Details'!D648</f>
        <v>Customer Success</v>
      </c>
      <c r="D118" s="31" t="str">
        <f>'Expense Details'!G648</f>
        <v>TRP-2025-017</v>
      </c>
      <c r="E118" s="32">
        <f>'Expense Details'!M648</f>
        <v>45715</v>
      </c>
      <c r="F118" s="31" t="str">
        <f>'Expense Details'!O648</f>
        <v>Ground Transport - Taxi</v>
      </c>
      <c r="G118" s="31" t="str">
        <f>'Expense Details'!Q648</f>
        <v>Ola Cabs</v>
      </c>
      <c r="H118" s="33">
        <f>'Expense Details'!V648</f>
        <v>51.52572</v>
      </c>
      <c r="I118" s="33">
        <f>'Expense Details'!Z648</f>
        <v>60</v>
      </c>
      <c r="J118" s="33">
        <f>H118-I118</f>
        <v>-8.4742800000000003</v>
      </c>
      <c r="K118" s="34">
        <f>IFERROR(MAX(0,H118/I118-1),0)</f>
        <v>0</v>
      </c>
      <c r="L118" s="31" t="str">
        <f>'Expense Details'!AC648</f>
        <v>No</v>
      </c>
      <c r="M118" s="35" t="s">
        <v>3503</v>
      </c>
      <c r="N118" s="31" t="str">
        <f>'Expense Details'!AG648</f>
        <v>Approved</v>
      </c>
      <c r="O118" s="31" t="str">
        <f>'Expense Details'!F648</f>
        <v>Paul Nkemelu</v>
      </c>
    </row>
    <row r="119" spans="1:15">
      <c r="A119" s="31" t="str">
        <f>'Expense Details'!A657</f>
        <v>EXP-00656</v>
      </c>
      <c r="B119" s="31" t="str">
        <f>'Expense Details'!C657</f>
        <v>Ravi Chandra</v>
      </c>
      <c r="C119" s="31" t="str">
        <f>'Expense Details'!D657</f>
        <v>Field Engineering</v>
      </c>
      <c r="D119" s="31" t="str">
        <f>'Expense Details'!G657</f>
        <v>TRP-2025-128</v>
      </c>
      <c r="E119" s="32">
        <f>'Expense Details'!M657</f>
        <v>45715</v>
      </c>
      <c r="F119" s="31" t="str">
        <f>'Expense Details'!O657</f>
        <v>Meals - Breakfast</v>
      </c>
      <c r="G119" s="31" t="str">
        <f>'Expense Details'!Q657</f>
        <v>Cafe Nero</v>
      </c>
      <c r="H119" s="33">
        <f>'Expense Details'!V657</f>
        <v>28.959104999999997</v>
      </c>
      <c r="I119" s="33">
        <f>'Expense Details'!Z657</f>
        <v>25</v>
      </c>
      <c r="J119" s="33">
        <f>H119-I119</f>
        <v>3.9591049999999974</v>
      </c>
      <c r="K119" s="34">
        <f>IFERROR(MAX(0,H119/I119-1),0)</f>
        <v>0.15836419999999984</v>
      </c>
      <c r="L119" s="31" t="str">
        <f>'Expense Details'!AC657</f>
        <v>No</v>
      </c>
      <c r="M119" s="35" t="s">
        <v>3504</v>
      </c>
      <c r="N119" s="31" t="str">
        <f>'Expense Details'!AG657</f>
        <v>Approved</v>
      </c>
      <c r="O119" s="31" t="str">
        <f>'Expense Details'!F657</f>
        <v>Tomas Kovac</v>
      </c>
    </row>
    <row r="120" spans="1:15">
      <c r="A120" s="31" t="str">
        <f>'Expense Details'!A692</f>
        <v>EXP-00691</v>
      </c>
      <c r="B120" s="31" t="str">
        <f>'Expense Details'!C692</f>
        <v>Sneha Iyer</v>
      </c>
      <c r="C120" s="31" t="str">
        <f>'Expense Details'!D692</f>
        <v>Customer Success</v>
      </c>
      <c r="D120" s="31" t="str">
        <f>'Expense Details'!G692</f>
        <v>TRP-2025-017</v>
      </c>
      <c r="E120" s="32">
        <f>'Expense Details'!M692</f>
        <v>45718</v>
      </c>
      <c r="F120" s="31" t="str">
        <f>'Expense Details'!O692</f>
        <v>Ground Transport - Taxi</v>
      </c>
      <c r="G120" s="31" t="str">
        <f>'Expense Details'!Q692</f>
        <v>Lyft</v>
      </c>
      <c r="H120" s="33">
        <f>'Expense Details'!V692</f>
        <v>41.112200000000001</v>
      </c>
      <c r="I120" s="33">
        <f>'Expense Details'!Z692</f>
        <v>60</v>
      </c>
      <c r="J120" s="33">
        <f>H120-I120</f>
        <v>-18.887799999999999</v>
      </c>
      <c r="K120" s="34">
        <f>IFERROR(MAX(0,H120/I120-1),0)</f>
        <v>0</v>
      </c>
      <c r="L120" s="31" t="str">
        <f>'Expense Details'!AC692</f>
        <v>No</v>
      </c>
      <c r="M120" s="35" t="s">
        <v>3503</v>
      </c>
      <c r="N120" s="31" t="str">
        <f>'Expense Details'!AG692</f>
        <v>Approved</v>
      </c>
      <c r="O120" s="31" t="str">
        <f>'Expense Details'!F692</f>
        <v>Paul Nkemelu</v>
      </c>
    </row>
    <row r="121" spans="1:15">
      <c r="A121" s="31" t="str">
        <f>'Expense Details'!A693</f>
        <v>EXP-00692</v>
      </c>
      <c r="B121" s="31" t="str">
        <f>'Expense Details'!C693</f>
        <v>Sneha Iyer</v>
      </c>
      <c r="C121" s="31" t="str">
        <f>'Expense Details'!D693</f>
        <v>Customer Success</v>
      </c>
      <c r="D121" s="31" t="str">
        <f>'Expense Details'!G693</f>
        <v>TRP-2025-017</v>
      </c>
      <c r="E121" s="32">
        <f>'Expense Details'!M693</f>
        <v>45718</v>
      </c>
      <c r="F121" s="31" t="str">
        <f>'Expense Details'!O693</f>
        <v>Meals - Breakfast</v>
      </c>
      <c r="G121" s="31" t="str">
        <f>'Expense Details'!Q693</f>
        <v>Starbucks</v>
      </c>
      <c r="H121" s="33">
        <f>'Expense Details'!V693</f>
        <v>18.211880000000001</v>
      </c>
      <c r="I121" s="33">
        <f>'Expense Details'!Z693</f>
        <v>25</v>
      </c>
      <c r="J121" s="33">
        <f>H121-I121</f>
        <v>-6.7881199999999993</v>
      </c>
      <c r="K121" s="34">
        <f>IFERROR(MAX(0,H121/I121-1),0)</f>
        <v>0</v>
      </c>
      <c r="L121" s="31" t="str">
        <f>'Expense Details'!AC693</f>
        <v>No</v>
      </c>
      <c r="M121" s="35" t="s">
        <v>3503</v>
      </c>
      <c r="N121" s="31" t="str">
        <f>'Expense Details'!AG693</f>
        <v>Approved</v>
      </c>
      <c r="O121" s="31" t="str">
        <f>'Expense Details'!F693</f>
        <v>Paul Nkemelu</v>
      </c>
    </row>
    <row r="122" spans="1:15">
      <c r="A122" s="31" t="str">
        <f>'Expense Details'!A707</f>
        <v>EXP-00706</v>
      </c>
      <c r="B122" s="31" t="str">
        <f>'Expense Details'!C707</f>
        <v>Ravi Chandra</v>
      </c>
      <c r="C122" s="31" t="str">
        <f>'Expense Details'!D707</f>
        <v>Field Engineering</v>
      </c>
      <c r="D122" s="31" t="str">
        <f>'Expense Details'!G707</f>
        <v>TRP-2025-128</v>
      </c>
      <c r="E122" s="32">
        <f>'Expense Details'!M707</f>
        <v>45719</v>
      </c>
      <c r="F122" s="31" t="str">
        <f>'Expense Details'!O707</f>
        <v>Ground Transport - Taxi</v>
      </c>
      <c r="G122" s="31" t="str">
        <f>'Expense Details'!Q707</f>
        <v>Uber</v>
      </c>
      <c r="H122" s="33">
        <f>'Expense Details'!V707</f>
        <v>33.413933</v>
      </c>
      <c r="I122" s="33">
        <f>'Expense Details'!Z707</f>
        <v>60</v>
      </c>
      <c r="J122" s="33">
        <f>H122-I122</f>
        <v>-26.586067</v>
      </c>
      <c r="K122" s="34">
        <f>IFERROR(MAX(0,H122/I122-1),0)</f>
        <v>0</v>
      </c>
      <c r="L122" s="31" t="str">
        <f>'Expense Details'!AC707</f>
        <v>No</v>
      </c>
      <c r="M122" s="35" t="s">
        <v>3503</v>
      </c>
      <c r="N122" s="31" t="str">
        <f>'Expense Details'!AG707</f>
        <v>Approved</v>
      </c>
      <c r="O122" s="31" t="str">
        <f>'Expense Details'!F707</f>
        <v>Tomas Kovac</v>
      </c>
    </row>
    <row r="123" spans="1:15">
      <c r="A123" s="31" t="str">
        <f>'Expense Details'!A716</f>
        <v>EXP-00715</v>
      </c>
      <c r="B123" s="31" t="str">
        <f>'Expense Details'!C716</f>
        <v>Kenji Watanabe</v>
      </c>
      <c r="C123" s="31" t="str">
        <f>'Expense Details'!D716</f>
        <v>Product</v>
      </c>
      <c r="D123" s="31" t="str">
        <f>'Expense Details'!G716</f>
        <v>TRP-2025-108</v>
      </c>
      <c r="E123" s="32">
        <f>'Expense Details'!M716</f>
        <v>45720</v>
      </c>
      <c r="F123" s="31" t="str">
        <f>'Expense Details'!O716</f>
        <v>Meals - Breakfast</v>
      </c>
      <c r="G123" s="31" t="str">
        <f>'Expense Details'!Q716</f>
        <v>Local Bakery</v>
      </c>
      <c r="H123" s="33">
        <f>'Expense Details'!V716</f>
        <v>19.399999999999999</v>
      </c>
      <c r="I123" s="33">
        <f>'Expense Details'!Z716</f>
        <v>25</v>
      </c>
      <c r="J123" s="33">
        <f>H123-I123</f>
        <v>-5.6000000000000014</v>
      </c>
      <c r="K123" s="34">
        <f>IFERROR(MAX(0,H123/I123-1),0)</f>
        <v>0</v>
      </c>
      <c r="L123" s="31" t="str">
        <f>'Expense Details'!AC716</f>
        <v>No</v>
      </c>
      <c r="M123" s="35" t="s">
        <v>3503</v>
      </c>
      <c r="N123" s="31" t="str">
        <f>'Expense Details'!AG716</f>
        <v>Approved</v>
      </c>
      <c r="O123" s="31" t="str">
        <f>'Expense Details'!F716</f>
        <v>Elena Duarte</v>
      </c>
    </row>
    <row r="124" spans="1:15">
      <c r="A124" s="31" t="str">
        <f>'Expense Details'!A719</f>
        <v>EXP-00718</v>
      </c>
      <c r="B124" s="31" t="str">
        <f>'Expense Details'!C719</f>
        <v>Hannah Weiss</v>
      </c>
      <c r="C124" s="31" t="str">
        <f>'Expense Details'!D719</f>
        <v>Field Engineering</v>
      </c>
      <c r="D124" s="31" t="str">
        <f>'Expense Details'!G719</f>
        <v>TRP-2025-120</v>
      </c>
      <c r="E124" s="32">
        <f>'Expense Details'!M719</f>
        <v>45720</v>
      </c>
      <c r="F124" s="31" t="str">
        <f>'Expense Details'!O719</f>
        <v>Airfare</v>
      </c>
      <c r="G124" s="31" t="str">
        <f>'Expense Details'!Q719</f>
        <v>Lufthansa</v>
      </c>
      <c r="H124" s="33">
        <f>'Expense Details'!V719</f>
        <v>1857.2328500000001</v>
      </c>
      <c r="I124" s="33">
        <f>'Expense Details'!Z719</f>
        <v>1400</v>
      </c>
      <c r="J124" s="33">
        <f>H124-I124</f>
        <v>457.2328500000001</v>
      </c>
      <c r="K124" s="34">
        <f>IFERROR(MAX(0,H124/I124-1),0)</f>
        <v>0.32659489285714294</v>
      </c>
      <c r="L124" s="31" t="str">
        <f>'Expense Details'!AC719</f>
        <v>Yes</v>
      </c>
      <c r="M124" s="35" t="s">
        <v>3502</v>
      </c>
      <c r="N124" s="31" t="str">
        <f>'Expense Details'!AG719</f>
        <v>Approved</v>
      </c>
      <c r="O124" s="31" t="str">
        <f>'Expense Details'!F719</f>
        <v>Tomas Kovac</v>
      </c>
    </row>
    <row r="125" spans="1:15">
      <c r="A125" s="31" t="str">
        <f>'Expense Details'!A720</f>
        <v>EXP-00719</v>
      </c>
      <c r="B125" s="31" t="str">
        <f>'Expense Details'!C720</f>
        <v>Hannah Weiss</v>
      </c>
      <c r="C125" s="31" t="str">
        <f>'Expense Details'!D720</f>
        <v>Field Engineering</v>
      </c>
      <c r="D125" s="31" t="str">
        <f>'Expense Details'!G720</f>
        <v>TRP-2025-120</v>
      </c>
      <c r="E125" s="32">
        <f>'Expense Details'!M720</f>
        <v>45720</v>
      </c>
      <c r="F125" s="31" t="str">
        <f>'Expense Details'!O720</f>
        <v>Meals - Dinner</v>
      </c>
      <c r="G125" s="31" t="str">
        <f>'Expense Details'!Q720</f>
        <v>Sakura Izakaya</v>
      </c>
      <c r="H125" s="33">
        <f>'Expense Details'!V720</f>
        <v>115.05075000000001</v>
      </c>
      <c r="I125" s="33">
        <f>'Expense Details'!Z720</f>
        <v>75</v>
      </c>
      <c r="J125" s="33">
        <f>H125-I125</f>
        <v>40.050750000000008</v>
      </c>
      <c r="K125" s="34">
        <f>IFERROR(MAX(0,H125/I125-1),0)</f>
        <v>0.5340100000000001</v>
      </c>
      <c r="L125" s="31" t="str">
        <f>'Expense Details'!AC720</f>
        <v>Yes</v>
      </c>
      <c r="M125" s="35" t="s">
        <v>3502</v>
      </c>
      <c r="N125" s="31" t="str">
        <f>'Expense Details'!AG720</f>
        <v>Approved</v>
      </c>
      <c r="O125" s="31" t="str">
        <f>'Expense Details'!F720</f>
        <v>Tomas Kovac</v>
      </c>
    </row>
    <row r="126" spans="1:15">
      <c r="A126" s="31" t="str">
        <f>'Expense Details'!A721</f>
        <v>EXP-00720</v>
      </c>
      <c r="B126" s="31" t="str">
        <f>'Expense Details'!C721</f>
        <v>Hannah Weiss</v>
      </c>
      <c r="C126" s="31" t="str">
        <f>'Expense Details'!D721</f>
        <v>Field Engineering</v>
      </c>
      <c r="D126" s="31" t="str">
        <f>'Expense Details'!G721</f>
        <v>TRP-2025-120</v>
      </c>
      <c r="E126" s="32">
        <f>'Expense Details'!M721</f>
        <v>45720</v>
      </c>
      <c r="F126" s="31" t="str">
        <f>'Expense Details'!O721</f>
        <v>Meals - Lunch</v>
      </c>
      <c r="G126" s="31" t="str">
        <f>'Expense Details'!Q721</f>
        <v>Sweetgreen</v>
      </c>
      <c r="H126" s="33">
        <f>'Expense Details'!V721</f>
        <v>18.63475</v>
      </c>
      <c r="I126" s="33">
        <f>'Expense Details'!Z721</f>
        <v>35</v>
      </c>
      <c r="J126" s="33">
        <f>H126-I126</f>
        <v>-16.36525</v>
      </c>
      <c r="K126" s="34">
        <f>IFERROR(MAX(0,H126/I126-1),0)</f>
        <v>0</v>
      </c>
      <c r="L126" s="31" t="str">
        <f>'Expense Details'!AC721</f>
        <v>No</v>
      </c>
      <c r="M126" s="35" t="s">
        <v>3503</v>
      </c>
      <c r="N126" s="31" t="str">
        <f>'Expense Details'!AG721</f>
        <v>Approved</v>
      </c>
      <c r="O126" s="31" t="str">
        <f>'Expense Details'!F721</f>
        <v>Tomas Kovac</v>
      </c>
    </row>
    <row r="127" spans="1:15">
      <c r="A127" s="31" t="str">
        <f>'Expense Details'!A726</f>
        <v>EXP-00725</v>
      </c>
      <c r="B127" s="31" t="str">
        <f>'Expense Details'!C726</f>
        <v>Priya Nair</v>
      </c>
      <c r="C127" s="31" t="str">
        <f>'Expense Details'!D726</f>
        <v>Field Engineering</v>
      </c>
      <c r="D127" s="31" t="str">
        <f>'Expense Details'!G726</f>
        <v>TRP-2025-016</v>
      </c>
      <c r="E127" s="32">
        <f>'Expense Details'!M726</f>
        <v>45721</v>
      </c>
      <c r="F127" s="31" t="str">
        <f>'Expense Details'!O726</f>
        <v>Meals - Lunch</v>
      </c>
      <c r="G127" s="31" t="str">
        <f>'Expense Details'!Q726</f>
        <v>Sweetgreen</v>
      </c>
      <c r="H127" s="33">
        <f>'Expense Details'!V726</f>
        <v>25.65</v>
      </c>
      <c r="I127" s="33">
        <f>'Expense Details'!Z726</f>
        <v>35</v>
      </c>
      <c r="J127" s="33">
        <f>H127-I127</f>
        <v>-9.3500000000000014</v>
      </c>
      <c r="K127" s="34">
        <f>IFERROR(MAX(0,H127/I127-1),0)</f>
        <v>0</v>
      </c>
      <c r="L127" s="31" t="str">
        <f>'Expense Details'!AC726</f>
        <v>No</v>
      </c>
      <c r="M127" s="35" t="s">
        <v>3503</v>
      </c>
      <c r="N127" s="31" t="str">
        <f>'Expense Details'!AG726</f>
        <v>Approved</v>
      </c>
      <c r="O127" s="31" t="str">
        <f>'Expense Details'!F726</f>
        <v>Tomas Kovac</v>
      </c>
    </row>
    <row r="128" spans="1:15">
      <c r="A128" s="31" t="str">
        <f>'Expense Details'!A739</f>
        <v>EXP-00738</v>
      </c>
      <c r="B128" s="31" t="str">
        <f>'Expense Details'!C739</f>
        <v>Priya Nair</v>
      </c>
      <c r="C128" s="31" t="str">
        <f>'Expense Details'!D739</f>
        <v>Field Engineering</v>
      </c>
      <c r="D128" s="31" t="str">
        <f>'Expense Details'!G739</f>
        <v>TRP-2025-016</v>
      </c>
      <c r="E128" s="32">
        <f>'Expense Details'!M739</f>
        <v>45722</v>
      </c>
      <c r="F128" s="31" t="str">
        <f>'Expense Details'!O739</f>
        <v>Meals - Lunch</v>
      </c>
      <c r="G128" s="31" t="str">
        <f>'Expense Details'!Q739</f>
        <v>Pret A Manger</v>
      </c>
      <c r="H128" s="33">
        <f>'Expense Details'!V739</f>
        <v>25.89</v>
      </c>
      <c r="I128" s="33">
        <f>'Expense Details'!Z739</f>
        <v>35</v>
      </c>
      <c r="J128" s="33">
        <f>H128-I128</f>
        <v>-9.11</v>
      </c>
      <c r="K128" s="34">
        <f>IFERROR(MAX(0,H128/I128-1),0)</f>
        <v>0</v>
      </c>
      <c r="L128" s="31" t="str">
        <f>'Expense Details'!AC739</f>
        <v>No</v>
      </c>
      <c r="M128" s="35" t="s">
        <v>3503</v>
      </c>
      <c r="N128" s="31" t="str">
        <f>'Expense Details'!AG739</f>
        <v>Approved</v>
      </c>
      <c r="O128" s="31" t="str">
        <f>'Expense Details'!F739</f>
        <v>Tomas Kovac</v>
      </c>
    </row>
    <row r="129" spans="1:15">
      <c r="A129" s="31" t="str">
        <f>'Expense Details'!A741</f>
        <v>EXP-00740</v>
      </c>
      <c r="B129" s="31" t="str">
        <f>'Expense Details'!C741</f>
        <v>Kenji Watanabe</v>
      </c>
      <c r="C129" s="31" t="str">
        <f>'Expense Details'!D741</f>
        <v>Product</v>
      </c>
      <c r="D129" s="31" t="str">
        <f>'Expense Details'!G741</f>
        <v>TRP-2025-108</v>
      </c>
      <c r="E129" s="32">
        <f>'Expense Details'!M741</f>
        <v>45722</v>
      </c>
      <c r="F129" s="31" t="str">
        <f>'Expense Details'!O741</f>
        <v>Meals - Breakfast</v>
      </c>
      <c r="G129" s="31" t="str">
        <f>'Expense Details'!Q741</f>
        <v>Cafe Nero</v>
      </c>
      <c r="H129" s="33">
        <f>'Expense Details'!V741</f>
        <v>26.99</v>
      </c>
      <c r="I129" s="33">
        <f>'Expense Details'!Z741</f>
        <v>25</v>
      </c>
      <c r="J129" s="33">
        <f>H129-I129</f>
        <v>1.9899999999999984</v>
      </c>
      <c r="K129" s="34">
        <f>IFERROR(MAX(0,H129/I129-1),0)</f>
        <v>7.9599999999999893E-2</v>
      </c>
      <c r="L129" s="31" t="str">
        <f>'Expense Details'!AC741</f>
        <v>Yes</v>
      </c>
      <c r="M129" s="35" t="s">
        <v>3502</v>
      </c>
      <c r="N129" s="31" t="str">
        <f>'Expense Details'!AG741</f>
        <v>Approved</v>
      </c>
      <c r="O129" s="31" t="str">
        <f>'Expense Details'!F741</f>
        <v>Elena Duarte</v>
      </c>
    </row>
    <row r="130" spans="1:15">
      <c r="A130" s="31" t="str">
        <f>'Expense Details'!A742</f>
        <v>EXP-00741</v>
      </c>
      <c r="B130" s="31" t="str">
        <f>'Expense Details'!C742</f>
        <v>Kenji Watanabe</v>
      </c>
      <c r="C130" s="31" t="str">
        <f>'Expense Details'!D742</f>
        <v>Product</v>
      </c>
      <c r="D130" s="31" t="str">
        <f>'Expense Details'!G742</f>
        <v>TRP-2025-108</v>
      </c>
      <c r="E130" s="32">
        <f>'Expense Details'!M742</f>
        <v>45722</v>
      </c>
      <c r="F130" s="31" t="str">
        <f>'Expense Details'!O742</f>
        <v>Meals - Dinner</v>
      </c>
      <c r="G130" s="31" t="str">
        <f>'Expense Details'!Q742</f>
        <v>Sakura Izakaya</v>
      </c>
      <c r="H130" s="33">
        <f>'Expense Details'!V742</f>
        <v>34.68</v>
      </c>
      <c r="I130" s="33">
        <f>'Expense Details'!Z742</f>
        <v>75</v>
      </c>
      <c r="J130" s="33">
        <f>H130-I130</f>
        <v>-40.32</v>
      </c>
      <c r="K130" s="34">
        <f>IFERROR(MAX(0,H130/I130-1),0)</f>
        <v>0</v>
      </c>
      <c r="L130" s="31" t="str">
        <f>'Expense Details'!AC742</f>
        <v>No</v>
      </c>
      <c r="M130" s="35" t="s">
        <v>3503</v>
      </c>
      <c r="N130" s="31" t="str">
        <f>'Expense Details'!AG742</f>
        <v>Approved</v>
      </c>
      <c r="O130" s="31" t="str">
        <f>'Expense Details'!F742</f>
        <v>Elena Duarte</v>
      </c>
    </row>
    <row r="131" spans="1:15">
      <c r="A131" s="31" t="str">
        <f>'Expense Details'!A747</f>
        <v>EXP-00746</v>
      </c>
      <c r="B131" s="31" t="str">
        <f>'Expense Details'!C747</f>
        <v>Hannah Weiss</v>
      </c>
      <c r="C131" s="31" t="str">
        <f>'Expense Details'!D747</f>
        <v>Field Engineering</v>
      </c>
      <c r="D131" s="31" t="str">
        <f>'Expense Details'!G747</f>
        <v>TRP-2025-120</v>
      </c>
      <c r="E131" s="32">
        <f>'Expense Details'!M747</f>
        <v>45722</v>
      </c>
      <c r="F131" s="31" t="str">
        <f>'Expense Details'!O747</f>
        <v>Parking &amp; Tolls</v>
      </c>
      <c r="G131" s="31" t="str">
        <f>'Expense Details'!Q747</f>
        <v>City Garage</v>
      </c>
      <c r="H131" s="33">
        <f>'Expense Details'!V747</f>
        <v>69.554450000000003</v>
      </c>
      <c r="I131" s="33">
        <f>'Expense Details'!Z747</f>
        <v>45</v>
      </c>
      <c r="J131" s="33">
        <f>H131-I131</f>
        <v>24.554450000000003</v>
      </c>
      <c r="K131" s="34">
        <f>IFERROR(MAX(0,H131/I131-1),0)</f>
        <v>0.54565444444444444</v>
      </c>
      <c r="L131" s="31" t="str">
        <f>'Expense Details'!AC747</f>
        <v>Yes</v>
      </c>
      <c r="M131" s="35" t="s">
        <v>3502</v>
      </c>
      <c r="N131" s="31" t="str">
        <f>'Expense Details'!AG747</f>
        <v>Approved</v>
      </c>
      <c r="O131" s="31" t="str">
        <f>'Expense Details'!F747</f>
        <v>Tomas Kovac</v>
      </c>
    </row>
    <row r="132" spans="1:15">
      <c r="A132" s="31" t="str">
        <f>'Expense Details'!A748</f>
        <v>EXP-00747</v>
      </c>
      <c r="B132" s="31" t="str">
        <f>'Expense Details'!C748</f>
        <v>Priya Nair</v>
      </c>
      <c r="C132" s="31" t="str">
        <f>'Expense Details'!D748</f>
        <v>Field Engineering</v>
      </c>
      <c r="D132" s="31" t="str">
        <f>'Expense Details'!G748</f>
        <v>TRP-2025-016</v>
      </c>
      <c r="E132" s="32">
        <f>'Expense Details'!M748</f>
        <v>45723</v>
      </c>
      <c r="F132" s="31" t="str">
        <f>'Expense Details'!O748</f>
        <v>Ground Transport - Taxi</v>
      </c>
      <c r="G132" s="31" t="str">
        <f>'Expense Details'!Q748</f>
        <v>Local Taxi</v>
      </c>
      <c r="H132" s="33">
        <f>'Expense Details'!V748</f>
        <v>55.51</v>
      </c>
      <c r="I132" s="33">
        <f>'Expense Details'!Z748</f>
        <v>60</v>
      </c>
      <c r="J132" s="33">
        <f>H132-I132</f>
        <v>-4.490000000000002</v>
      </c>
      <c r="K132" s="34">
        <f>IFERROR(MAX(0,H132/I132-1),0)</f>
        <v>0</v>
      </c>
      <c r="L132" s="31" t="str">
        <f>'Expense Details'!AC748</f>
        <v>No</v>
      </c>
      <c r="M132" s="35" t="s">
        <v>3503</v>
      </c>
      <c r="N132" s="31" t="str">
        <f>'Expense Details'!AG748</f>
        <v>Approved</v>
      </c>
      <c r="O132" s="31" t="str">
        <f>'Expense Details'!F748</f>
        <v>Tomas Kovac</v>
      </c>
    </row>
    <row r="133" spans="1:15">
      <c r="A133" s="31" t="str">
        <f>'Expense Details'!A755</f>
        <v>EXP-00754</v>
      </c>
      <c r="B133" s="31" t="str">
        <f>'Expense Details'!C755</f>
        <v>Hannah Weiss</v>
      </c>
      <c r="C133" s="31" t="str">
        <f>'Expense Details'!D755</f>
        <v>Field Engineering</v>
      </c>
      <c r="D133" s="31" t="str">
        <f>'Expense Details'!G755</f>
        <v>TRP-2025-120</v>
      </c>
      <c r="E133" s="32">
        <f>'Expense Details'!M755</f>
        <v>45723</v>
      </c>
      <c r="F133" s="31" t="str">
        <f>'Expense Details'!O755</f>
        <v>Laundry</v>
      </c>
      <c r="G133" s="31" t="str">
        <f>'Expense Details'!Q755</f>
        <v>Hotel Laundry Service</v>
      </c>
      <c r="H133" s="33">
        <f>'Expense Details'!V755</f>
        <v>34.682250000000003</v>
      </c>
      <c r="I133" s="33">
        <f>'Expense Details'!Z755</f>
        <v>30</v>
      </c>
      <c r="J133" s="33">
        <f>H133-I133</f>
        <v>4.6822500000000034</v>
      </c>
      <c r="K133" s="34">
        <f>IFERROR(MAX(0,H133/I133-1),0)</f>
        <v>0.15607500000000019</v>
      </c>
      <c r="L133" s="31" t="str">
        <f>'Expense Details'!AC755</f>
        <v>Yes</v>
      </c>
      <c r="M133" s="35" t="s">
        <v>3502</v>
      </c>
      <c r="N133" s="31" t="str">
        <f>'Expense Details'!AG755</f>
        <v>Approved</v>
      </c>
      <c r="O133" s="31" t="str">
        <f>'Expense Details'!F755</f>
        <v>Tomas Kovac</v>
      </c>
    </row>
    <row r="134" spans="1:15">
      <c r="A134" s="31" t="str">
        <f>'Expense Details'!A756</f>
        <v>EXP-00755</v>
      </c>
      <c r="B134" s="31" t="str">
        <f>'Expense Details'!C756</f>
        <v>Hannah Weiss</v>
      </c>
      <c r="C134" s="31" t="str">
        <f>'Expense Details'!D756</f>
        <v>Field Engineering</v>
      </c>
      <c r="D134" s="31" t="str">
        <f>'Expense Details'!G756</f>
        <v>TRP-2025-120</v>
      </c>
      <c r="E134" s="32">
        <f>'Expense Details'!M756</f>
        <v>45723</v>
      </c>
      <c r="F134" s="31" t="str">
        <f>'Expense Details'!O756</f>
        <v>Meals - Breakfast</v>
      </c>
      <c r="G134" s="31" t="str">
        <f>'Expense Details'!Q756</f>
        <v>Cafe Nero</v>
      </c>
      <c r="H134" s="33">
        <f>'Expense Details'!V756</f>
        <v>36.221499999999999</v>
      </c>
      <c r="I134" s="33">
        <f>'Expense Details'!Z756</f>
        <v>25</v>
      </c>
      <c r="J134" s="33">
        <f>H134-I134</f>
        <v>11.221499999999999</v>
      </c>
      <c r="K134" s="34">
        <f>IFERROR(MAX(0,H134/I134-1),0)</f>
        <v>0.44886000000000004</v>
      </c>
      <c r="L134" s="31" t="str">
        <f>'Expense Details'!AC756</f>
        <v>Yes</v>
      </c>
      <c r="M134" s="35" t="s">
        <v>3502</v>
      </c>
      <c r="N134" s="31" t="str">
        <f>'Expense Details'!AG756</f>
        <v>Approved</v>
      </c>
      <c r="O134" s="31" t="str">
        <f>'Expense Details'!F756</f>
        <v>Tomas Kovac</v>
      </c>
    </row>
    <row r="135" spans="1:15">
      <c r="A135" s="31" t="str">
        <f>'Expense Details'!A757</f>
        <v>EXP-00756</v>
      </c>
      <c r="B135" s="31" t="str">
        <f>'Expense Details'!C757</f>
        <v>Hannah Weiss</v>
      </c>
      <c r="C135" s="31" t="str">
        <f>'Expense Details'!D757</f>
        <v>Field Engineering</v>
      </c>
      <c r="D135" s="31" t="str">
        <f>'Expense Details'!G757</f>
        <v>TRP-2025-120</v>
      </c>
      <c r="E135" s="32">
        <f>'Expense Details'!M757</f>
        <v>45723</v>
      </c>
      <c r="F135" s="31" t="str">
        <f>'Expense Details'!O757</f>
        <v>Meals - Dinner</v>
      </c>
      <c r="G135" s="31" t="str">
        <f>'Expense Details'!Q757</f>
        <v>Sakura Izakaya</v>
      </c>
      <c r="H135" s="33">
        <f>'Expense Details'!V757</f>
        <v>101.64945</v>
      </c>
      <c r="I135" s="33">
        <f>'Expense Details'!Z757</f>
        <v>75</v>
      </c>
      <c r="J135" s="33">
        <f>H135-I135</f>
        <v>26.649450000000002</v>
      </c>
      <c r="K135" s="34">
        <f>IFERROR(MAX(0,H135/I135-1),0)</f>
        <v>0.35532600000000003</v>
      </c>
      <c r="L135" s="31" t="str">
        <f>'Expense Details'!AC757</f>
        <v>Yes</v>
      </c>
      <c r="M135" s="35" t="s">
        <v>3502</v>
      </c>
      <c r="N135" s="31" t="str">
        <f>'Expense Details'!AG757</f>
        <v>Approved</v>
      </c>
      <c r="O135" s="31" t="str">
        <f>'Expense Details'!F757</f>
        <v>Tomas Kovac</v>
      </c>
    </row>
    <row r="136" spans="1:15">
      <c r="A136" s="31" t="str">
        <f>'Expense Details'!A758</f>
        <v>EXP-00757</v>
      </c>
      <c r="B136" s="31" t="str">
        <f>'Expense Details'!C758</f>
        <v>Hannah Weiss</v>
      </c>
      <c r="C136" s="31" t="str">
        <f>'Expense Details'!D758</f>
        <v>Field Engineering</v>
      </c>
      <c r="D136" s="31" t="str">
        <f>'Expense Details'!G758</f>
        <v>TRP-2025-120</v>
      </c>
      <c r="E136" s="32">
        <f>'Expense Details'!M758</f>
        <v>45723</v>
      </c>
      <c r="F136" s="31" t="str">
        <f>'Expense Details'!O758</f>
        <v>Meals - Lunch</v>
      </c>
      <c r="G136" s="31" t="str">
        <f>'Expense Details'!Q758</f>
        <v>Food Court</v>
      </c>
      <c r="H136" s="33">
        <f>'Expense Details'!V758</f>
        <v>42.588100000000004</v>
      </c>
      <c r="I136" s="33">
        <f>'Expense Details'!Z758</f>
        <v>35</v>
      </c>
      <c r="J136" s="33">
        <f>H136-I136</f>
        <v>7.5881000000000043</v>
      </c>
      <c r="K136" s="34">
        <f>IFERROR(MAX(0,H136/I136-1),0)</f>
        <v>0.2168028571428573</v>
      </c>
      <c r="L136" s="31" t="str">
        <f>'Expense Details'!AC758</f>
        <v>Yes</v>
      </c>
      <c r="M136" s="35" t="s">
        <v>3502</v>
      </c>
      <c r="N136" s="31" t="str">
        <f>'Expense Details'!AG758</f>
        <v>Approved</v>
      </c>
      <c r="O136" s="31" t="str">
        <f>'Expense Details'!F758</f>
        <v>Tomas Kovac</v>
      </c>
    </row>
    <row r="137" spans="1:15">
      <c r="A137" s="31" t="str">
        <f>'Expense Details'!A762</f>
        <v>EXP-00761</v>
      </c>
      <c r="B137" s="31" t="str">
        <f>'Expense Details'!C762</f>
        <v>Kenji Watanabe</v>
      </c>
      <c r="C137" s="31" t="str">
        <f>'Expense Details'!D762</f>
        <v>Product</v>
      </c>
      <c r="D137" s="31" t="str">
        <f>'Expense Details'!G762</f>
        <v>TRP-2025-108</v>
      </c>
      <c r="E137" s="32">
        <f>'Expense Details'!M762</f>
        <v>45724</v>
      </c>
      <c r="F137" s="31" t="str">
        <f>'Expense Details'!O762</f>
        <v>Meals - Dinner</v>
      </c>
      <c r="G137" s="31" t="str">
        <f>'Expense Details'!Q762</f>
        <v>Spice Route</v>
      </c>
      <c r="H137" s="33">
        <f>'Expense Details'!V762</f>
        <v>109.9</v>
      </c>
      <c r="I137" s="33">
        <f>'Expense Details'!Z762</f>
        <v>75</v>
      </c>
      <c r="J137" s="33">
        <f>H137-I137</f>
        <v>34.900000000000006</v>
      </c>
      <c r="K137" s="34">
        <f>IFERROR(MAX(0,H137/I137-1),0)</f>
        <v>0.46533333333333338</v>
      </c>
      <c r="L137" s="31" t="str">
        <f>'Expense Details'!AC762</f>
        <v>Yes</v>
      </c>
      <c r="M137" s="35" t="s">
        <v>3502</v>
      </c>
      <c r="N137" s="31" t="str">
        <f>'Expense Details'!AG762</f>
        <v>Approved</v>
      </c>
      <c r="O137" s="31" t="str">
        <f>'Expense Details'!F762</f>
        <v>Elena Duarte</v>
      </c>
    </row>
    <row r="138" spans="1:15">
      <c r="A138" s="31" t="str">
        <f>'Expense Details'!A776</f>
        <v>EXP-00775</v>
      </c>
      <c r="B138" s="31" t="str">
        <f>'Expense Details'!C776</f>
        <v>Ravi Chandra</v>
      </c>
      <c r="C138" s="31" t="str">
        <f>'Expense Details'!D776</f>
        <v>Field Engineering</v>
      </c>
      <c r="D138" s="31" t="str">
        <f>'Expense Details'!G776</f>
        <v>TRP-2025-089</v>
      </c>
      <c r="E138" s="32">
        <f>'Expense Details'!M776</f>
        <v>45725</v>
      </c>
      <c r="F138" s="31" t="str">
        <f>'Expense Details'!O776</f>
        <v>Meals - Dinner</v>
      </c>
      <c r="G138" s="31" t="str">
        <f>'Expense Details'!Q776</f>
        <v>Spice Route</v>
      </c>
      <c r="H138" s="33">
        <f>'Expense Details'!V776</f>
        <v>33.869999999999997</v>
      </c>
      <c r="I138" s="33">
        <f>'Expense Details'!Z776</f>
        <v>75</v>
      </c>
      <c r="J138" s="33">
        <f>H138-I138</f>
        <v>-41.13</v>
      </c>
      <c r="K138" s="34">
        <f>IFERROR(MAX(0,H138/I138-1),0)</f>
        <v>0</v>
      </c>
      <c r="L138" s="31" t="str">
        <f>'Expense Details'!AC776</f>
        <v>No</v>
      </c>
      <c r="M138" s="35" t="s">
        <v>3503</v>
      </c>
      <c r="N138" s="31" t="str">
        <f>'Expense Details'!AG776</f>
        <v>Approved</v>
      </c>
      <c r="O138" s="31" t="str">
        <f>'Expense Details'!F776</f>
        <v>Tomas Kovac</v>
      </c>
    </row>
    <row r="139" spans="1:15">
      <c r="A139" s="31" t="str">
        <f>'Expense Details'!A777</f>
        <v>EXP-00776</v>
      </c>
      <c r="B139" s="31" t="str">
        <f>'Expense Details'!C777</f>
        <v>Ravi Chandra</v>
      </c>
      <c r="C139" s="31" t="str">
        <f>'Expense Details'!D777</f>
        <v>Field Engineering</v>
      </c>
      <c r="D139" s="31" t="str">
        <f>'Expense Details'!G777</f>
        <v>TRP-2025-089</v>
      </c>
      <c r="E139" s="32">
        <f>'Expense Details'!M777</f>
        <v>45725</v>
      </c>
      <c r="F139" s="31" t="str">
        <f>'Expense Details'!O777</f>
        <v>Meals - Lunch</v>
      </c>
      <c r="G139" s="31" t="str">
        <f>'Expense Details'!Q777</f>
        <v>Sweetgreen</v>
      </c>
      <c r="H139" s="33">
        <f>'Expense Details'!V777</f>
        <v>38.380000000000003</v>
      </c>
      <c r="I139" s="33">
        <f>'Expense Details'!Z777</f>
        <v>35</v>
      </c>
      <c r="J139" s="33">
        <f>H139-I139</f>
        <v>3.3800000000000026</v>
      </c>
      <c r="K139" s="34">
        <f>IFERROR(MAX(0,H139/I139-1),0)</f>
        <v>9.6571428571428752E-2</v>
      </c>
      <c r="L139" s="31" t="str">
        <f>'Expense Details'!AC777</f>
        <v>Yes</v>
      </c>
      <c r="M139" s="35" t="s">
        <v>3502</v>
      </c>
      <c r="N139" s="31" t="str">
        <f>'Expense Details'!AG777</f>
        <v>Approved</v>
      </c>
      <c r="O139" s="31" t="str">
        <f>'Expense Details'!F777</f>
        <v>Tomas Kovac</v>
      </c>
    </row>
    <row r="140" spans="1:15">
      <c r="A140" s="31" t="str">
        <f>'Expense Details'!A778</f>
        <v>EXP-00777</v>
      </c>
      <c r="B140" s="31" t="str">
        <f>'Expense Details'!C778</f>
        <v>Kenji Watanabe</v>
      </c>
      <c r="C140" s="31" t="str">
        <f>'Expense Details'!D778</f>
        <v>Product</v>
      </c>
      <c r="D140" s="31" t="str">
        <f>'Expense Details'!G778</f>
        <v>TRP-2025-108</v>
      </c>
      <c r="E140" s="32">
        <f>'Expense Details'!M778</f>
        <v>45725</v>
      </c>
      <c r="F140" s="31" t="str">
        <f>'Expense Details'!O778</f>
        <v>Meals - Breakfast</v>
      </c>
      <c r="G140" s="31" t="str">
        <f>'Expense Details'!Q778</f>
        <v>Cafe Nero</v>
      </c>
      <c r="H140" s="33">
        <f>'Expense Details'!V778</f>
        <v>13.84</v>
      </c>
      <c r="I140" s="33">
        <f>'Expense Details'!Z778</f>
        <v>25</v>
      </c>
      <c r="J140" s="33">
        <f>H140-I140</f>
        <v>-11.16</v>
      </c>
      <c r="K140" s="34">
        <f>IFERROR(MAX(0,H140/I140-1),0)</f>
        <v>0</v>
      </c>
      <c r="L140" s="31" t="str">
        <f>'Expense Details'!AC778</f>
        <v>No</v>
      </c>
      <c r="M140" s="35" t="s">
        <v>3503</v>
      </c>
      <c r="N140" s="31" t="str">
        <f>'Expense Details'!AG778</f>
        <v>Approved</v>
      </c>
      <c r="O140" s="31" t="str">
        <f>'Expense Details'!F778</f>
        <v>Elena Duarte</v>
      </c>
    </row>
    <row r="141" spans="1:15">
      <c r="A141" s="31" t="str">
        <f>'Expense Details'!A785</f>
        <v>EXP-00784</v>
      </c>
      <c r="B141" s="31" t="str">
        <f>'Expense Details'!C785</f>
        <v>Meera Krishnan</v>
      </c>
      <c r="C141" s="31" t="str">
        <f>'Expense Details'!D785</f>
        <v>Finance</v>
      </c>
      <c r="D141" s="31" t="str">
        <f>'Expense Details'!G785</f>
        <v>TRP-2025-027</v>
      </c>
      <c r="E141" s="32">
        <f>'Expense Details'!M785</f>
        <v>45726</v>
      </c>
      <c r="F141" s="31" t="str">
        <f>'Expense Details'!O785</f>
        <v>Airfare</v>
      </c>
      <c r="G141" s="31" t="str">
        <f>'Expense Details'!Q785</f>
        <v>Singapore Airlines</v>
      </c>
      <c r="H141" s="33">
        <f>'Expense Details'!V785</f>
        <v>1520.85</v>
      </c>
      <c r="I141" s="33">
        <f>'Expense Details'!Z785</f>
        <v>1400</v>
      </c>
      <c r="J141" s="33">
        <f>H141-I141</f>
        <v>120.84999999999991</v>
      </c>
      <c r="K141" s="34">
        <f>IFERROR(MAX(0,H141/I141-1),0)</f>
        <v>8.6321428571428438E-2</v>
      </c>
      <c r="L141" s="31" t="str">
        <f>'Expense Details'!AC785</f>
        <v>Yes</v>
      </c>
      <c r="M141" s="35" t="s">
        <v>3502</v>
      </c>
      <c r="N141" s="31" t="str">
        <f>'Expense Details'!AG785</f>
        <v>Approved</v>
      </c>
      <c r="O141" s="31" t="str">
        <f>'Expense Details'!F785</f>
        <v>David Chen</v>
      </c>
    </row>
    <row r="142" spans="1:15">
      <c r="A142" s="31" t="str">
        <f>'Expense Details'!A789</f>
        <v>EXP-00788</v>
      </c>
      <c r="B142" s="31" t="str">
        <f>'Expense Details'!C789</f>
        <v>Diego Ramirez</v>
      </c>
      <c r="C142" s="31" t="str">
        <f>'Expense Details'!D789</f>
        <v>Sales</v>
      </c>
      <c r="D142" s="31" t="str">
        <f>'Expense Details'!G789</f>
        <v>TRP-2025-053</v>
      </c>
      <c r="E142" s="32">
        <f>'Expense Details'!M789</f>
        <v>45726</v>
      </c>
      <c r="F142" s="31" t="str">
        <f>'Expense Details'!O789</f>
        <v>Ground Transport - Taxi</v>
      </c>
      <c r="G142" s="31" t="str">
        <f>'Expense Details'!Q789</f>
        <v>Uber</v>
      </c>
      <c r="H142" s="33">
        <f>'Expense Details'!V789</f>
        <v>71.656089999999992</v>
      </c>
      <c r="I142" s="33">
        <f>'Expense Details'!Z789</f>
        <v>60</v>
      </c>
      <c r="J142" s="33">
        <f>H142-I142</f>
        <v>11.656089999999992</v>
      </c>
      <c r="K142" s="34">
        <f>IFERROR(MAX(0,H142/I142-1),0)</f>
        <v>0.19426816666666658</v>
      </c>
      <c r="L142" s="31" t="str">
        <f>'Expense Details'!AC789</f>
        <v>Yes</v>
      </c>
      <c r="M142" s="35" t="s">
        <v>3502</v>
      </c>
      <c r="N142" s="31" t="str">
        <f>'Expense Details'!AG789</f>
        <v>Approved</v>
      </c>
      <c r="O142" s="31" t="str">
        <f>'Expense Details'!F789</f>
        <v>Marcus Bell</v>
      </c>
    </row>
    <row r="143" spans="1:15">
      <c r="A143" s="31" t="str">
        <f>'Expense Details'!A792</f>
        <v>EXP-00791</v>
      </c>
      <c r="B143" s="31" t="str">
        <f>'Expense Details'!C792</f>
        <v>Diego Ramirez</v>
      </c>
      <c r="C143" s="31" t="str">
        <f>'Expense Details'!D792</f>
        <v>Sales</v>
      </c>
      <c r="D143" s="31" t="str">
        <f>'Expense Details'!G792</f>
        <v>TRP-2025-053</v>
      </c>
      <c r="E143" s="32">
        <f>'Expense Details'!M792</f>
        <v>45726</v>
      </c>
      <c r="F143" s="31" t="str">
        <f>'Expense Details'!O792</f>
        <v>Meals - Breakfast</v>
      </c>
      <c r="G143" s="31" t="str">
        <f>'Expense Details'!Q792</f>
        <v>Starbucks</v>
      </c>
      <c r="H143" s="33">
        <f>'Expense Details'!V792</f>
        <v>37.573790000000002</v>
      </c>
      <c r="I143" s="33">
        <f>'Expense Details'!Z792</f>
        <v>25</v>
      </c>
      <c r="J143" s="33">
        <f>H143-I143</f>
        <v>12.573790000000002</v>
      </c>
      <c r="K143" s="34">
        <f>IFERROR(MAX(0,H143/I143-1),0)</f>
        <v>0.50295160000000005</v>
      </c>
      <c r="L143" s="31" t="str">
        <f>'Expense Details'!AC792</f>
        <v>Yes</v>
      </c>
      <c r="M143" s="35" t="s">
        <v>3502</v>
      </c>
      <c r="N143" s="31" t="str">
        <f>'Expense Details'!AG792</f>
        <v>Approved</v>
      </c>
      <c r="O143" s="31" t="str">
        <f>'Expense Details'!F792</f>
        <v>Marcus Bell</v>
      </c>
    </row>
    <row r="144" spans="1:15">
      <c r="A144" s="31" t="str">
        <f>'Expense Details'!A799</f>
        <v>EXP-00798</v>
      </c>
      <c r="B144" s="31" t="str">
        <f>'Expense Details'!C799</f>
        <v>Ravi Chandra</v>
      </c>
      <c r="C144" s="31" t="str">
        <f>'Expense Details'!D799</f>
        <v>Field Engineering</v>
      </c>
      <c r="D144" s="31" t="str">
        <f>'Expense Details'!G799</f>
        <v>TRP-2025-089</v>
      </c>
      <c r="E144" s="32">
        <f>'Expense Details'!M799</f>
        <v>45726</v>
      </c>
      <c r="F144" s="31" t="str">
        <f>'Expense Details'!O799</f>
        <v>Office Supplies</v>
      </c>
      <c r="G144" s="31" t="str">
        <f>'Expense Details'!Q799</f>
        <v>Staples</v>
      </c>
      <c r="H144" s="33">
        <f>'Expense Details'!V799</f>
        <v>50.96</v>
      </c>
      <c r="I144" s="33">
        <f>'Expense Details'!Z799</f>
        <v>60</v>
      </c>
      <c r="J144" s="33">
        <f>H144-I144</f>
        <v>-9.0399999999999991</v>
      </c>
      <c r="K144" s="34">
        <f>IFERROR(MAX(0,H144/I144-1),0)</f>
        <v>0</v>
      </c>
      <c r="L144" s="31" t="str">
        <f>'Expense Details'!AC799</f>
        <v>No</v>
      </c>
      <c r="M144" s="35" t="s">
        <v>3503</v>
      </c>
      <c r="N144" s="31" t="str">
        <f>'Expense Details'!AG799</f>
        <v>Approved</v>
      </c>
      <c r="O144" s="31" t="str">
        <f>'Expense Details'!F799</f>
        <v>Tomas Kovac</v>
      </c>
    </row>
    <row r="145" spans="1:15">
      <c r="A145" s="31" t="str">
        <f>'Expense Details'!A812</f>
        <v>EXP-00811</v>
      </c>
      <c r="B145" s="31" t="str">
        <f>'Expense Details'!C812</f>
        <v>Diego Ramirez</v>
      </c>
      <c r="C145" s="31" t="str">
        <f>'Expense Details'!D812</f>
        <v>Sales</v>
      </c>
      <c r="D145" s="31" t="str">
        <f>'Expense Details'!G812</f>
        <v>TRP-2025-053</v>
      </c>
      <c r="E145" s="32">
        <f>'Expense Details'!M812</f>
        <v>45727</v>
      </c>
      <c r="F145" s="31" t="str">
        <f>'Expense Details'!O812</f>
        <v>Ground Transport - Taxi</v>
      </c>
      <c r="G145" s="31" t="str">
        <f>'Expense Details'!Q812</f>
        <v>Ola Cabs</v>
      </c>
      <c r="H145" s="33">
        <f>'Expense Details'!V812</f>
        <v>36.933050000000001</v>
      </c>
      <c r="I145" s="33">
        <f>'Expense Details'!Z812</f>
        <v>60</v>
      </c>
      <c r="J145" s="33">
        <f>H145-I145</f>
        <v>-23.066949999999999</v>
      </c>
      <c r="K145" s="34">
        <f>IFERROR(MAX(0,H145/I145-1),0)</f>
        <v>0</v>
      </c>
      <c r="L145" s="31" t="str">
        <f>'Expense Details'!AC812</f>
        <v>No</v>
      </c>
      <c r="M145" s="35" t="s">
        <v>3503</v>
      </c>
      <c r="N145" s="31" t="str">
        <f>'Expense Details'!AG812</f>
        <v>Approved</v>
      </c>
      <c r="O145" s="31" t="str">
        <f>'Expense Details'!F812</f>
        <v>Marcus Bell</v>
      </c>
    </row>
    <row r="146" spans="1:15">
      <c r="A146" s="31" t="str">
        <f>'Expense Details'!A823</f>
        <v>EXP-00822</v>
      </c>
      <c r="B146" s="31" t="str">
        <f>'Expense Details'!C823</f>
        <v>Meera Krishnan</v>
      </c>
      <c r="C146" s="31" t="str">
        <f>'Expense Details'!D823</f>
        <v>Finance</v>
      </c>
      <c r="D146" s="31" t="str">
        <f>'Expense Details'!G823</f>
        <v>TRP-2025-027</v>
      </c>
      <c r="E146" s="32">
        <f>'Expense Details'!M823</f>
        <v>45728</v>
      </c>
      <c r="F146" s="31" t="str">
        <f>'Expense Details'!O823</f>
        <v>Meals - Dinner</v>
      </c>
      <c r="G146" s="31" t="str">
        <f>'Expense Details'!Q823</f>
        <v>Brasserie Lyon</v>
      </c>
      <c r="H146" s="33">
        <f>'Expense Details'!V823</f>
        <v>28.38</v>
      </c>
      <c r="I146" s="33">
        <f>'Expense Details'!Z823</f>
        <v>75</v>
      </c>
      <c r="J146" s="33">
        <f>H146-I146</f>
        <v>-46.620000000000005</v>
      </c>
      <c r="K146" s="34">
        <f>IFERROR(MAX(0,H146/I146-1),0)</f>
        <v>0</v>
      </c>
      <c r="L146" s="31" t="str">
        <f>'Expense Details'!AC823</f>
        <v>No</v>
      </c>
      <c r="M146" s="35" t="s">
        <v>3503</v>
      </c>
      <c r="N146" s="31" t="str">
        <f>'Expense Details'!AG823</f>
        <v>Approved</v>
      </c>
      <c r="O146" s="31" t="str">
        <f>'Expense Details'!F823</f>
        <v>David Chen</v>
      </c>
    </row>
    <row r="147" spans="1:15">
      <c r="A147" s="31" t="str">
        <f>'Expense Details'!A825</f>
        <v>EXP-00824</v>
      </c>
      <c r="B147" s="31" t="str">
        <f>'Expense Details'!C825</f>
        <v>Diego Ramirez</v>
      </c>
      <c r="C147" s="31" t="str">
        <f>'Expense Details'!D825</f>
        <v>Sales</v>
      </c>
      <c r="D147" s="31" t="str">
        <f>'Expense Details'!G825</f>
        <v>TRP-2025-053</v>
      </c>
      <c r="E147" s="32">
        <f>'Expense Details'!M825</f>
        <v>45728</v>
      </c>
      <c r="F147" s="31" t="str">
        <f>'Expense Details'!O825</f>
        <v>Meals - Dinner</v>
      </c>
      <c r="G147" s="31" t="str">
        <f>'Expense Details'!Q825</f>
        <v>Osteria Vela</v>
      </c>
      <c r="H147" s="33">
        <f>'Expense Details'!V825</f>
        <v>101.67855999999999</v>
      </c>
      <c r="I147" s="33">
        <f>'Expense Details'!Z825</f>
        <v>75</v>
      </c>
      <c r="J147" s="33">
        <f>H147-I147</f>
        <v>26.67855999999999</v>
      </c>
      <c r="K147" s="34">
        <f>IFERROR(MAX(0,H147/I147-1),0)</f>
        <v>0.35571413333333313</v>
      </c>
      <c r="L147" s="31" t="str">
        <f>'Expense Details'!AC825</f>
        <v>Yes</v>
      </c>
      <c r="M147" s="35" t="s">
        <v>3502</v>
      </c>
      <c r="N147" s="31" t="str">
        <f>'Expense Details'!AG825</f>
        <v>Approved</v>
      </c>
      <c r="O147" s="31" t="str">
        <f>'Expense Details'!F825</f>
        <v>Marcus Bell</v>
      </c>
    </row>
    <row r="148" spans="1:15">
      <c r="A148" s="31" t="str">
        <f>'Expense Details'!A827</f>
        <v>EXP-00826</v>
      </c>
      <c r="B148" s="31" t="str">
        <f>'Expense Details'!C827</f>
        <v>Ravi Chandra</v>
      </c>
      <c r="C148" s="31" t="str">
        <f>'Expense Details'!D827</f>
        <v>Field Engineering</v>
      </c>
      <c r="D148" s="31" t="str">
        <f>'Expense Details'!G827</f>
        <v>TRP-2025-089</v>
      </c>
      <c r="E148" s="32">
        <f>'Expense Details'!M827</f>
        <v>45728</v>
      </c>
      <c r="F148" s="31" t="str">
        <f>'Expense Details'!O827</f>
        <v>Ground Transport - Taxi</v>
      </c>
      <c r="G148" s="31" t="str">
        <f>'Expense Details'!Q827</f>
        <v>Local Taxi</v>
      </c>
      <c r="H148" s="33">
        <f>'Expense Details'!V827</f>
        <v>46.89</v>
      </c>
      <c r="I148" s="33">
        <f>'Expense Details'!Z827</f>
        <v>60</v>
      </c>
      <c r="J148" s="33">
        <f>H148-I148</f>
        <v>-13.11</v>
      </c>
      <c r="K148" s="34">
        <f>IFERROR(MAX(0,H148/I148-1),0)</f>
        <v>0</v>
      </c>
      <c r="L148" s="31" t="str">
        <f>'Expense Details'!AC827</f>
        <v>No</v>
      </c>
      <c r="M148" s="35" t="s">
        <v>3503</v>
      </c>
      <c r="N148" s="31" t="str">
        <f>'Expense Details'!AG827</f>
        <v>Approved</v>
      </c>
      <c r="O148" s="31" t="str">
        <f>'Expense Details'!F827</f>
        <v>Tomas Kovac</v>
      </c>
    </row>
    <row r="149" spans="1:15">
      <c r="A149" s="31" t="str">
        <f>'Expense Details'!A838</f>
        <v>EXP-00837</v>
      </c>
      <c r="B149" s="31" t="str">
        <f>'Expense Details'!C838</f>
        <v>Ravi Chandra</v>
      </c>
      <c r="C149" s="31" t="str">
        <f>'Expense Details'!D838</f>
        <v>Field Engineering</v>
      </c>
      <c r="D149" s="31" t="str">
        <f>'Expense Details'!G838</f>
        <v>TRP-2025-089</v>
      </c>
      <c r="E149" s="32">
        <f>'Expense Details'!M838</f>
        <v>45730</v>
      </c>
      <c r="F149" s="31" t="str">
        <f>'Expense Details'!O838</f>
        <v>Meals - Lunch</v>
      </c>
      <c r="G149" s="31" t="str">
        <f>'Expense Details'!Q838</f>
        <v>Food Court</v>
      </c>
      <c r="H149" s="33">
        <f>'Expense Details'!V838</f>
        <v>49.74</v>
      </c>
      <c r="I149" s="33">
        <f>'Expense Details'!Z838</f>
        <v>35</v>
      </c>
      <c r="J149" s="33">
        <f>H149-I149</f>
        <v>14.740000000000002</v>
      </c>
      <c r="K149" s="34">
        <f>IFERROR(MAX(0,H149/I149-1),0)</f>
        <v>0.42114285714285726</v>
      </c>
      <c r="L149" s="31" t="str">
        <f>'Expense Details'!AC838</f>
        <v>Yes</v>
      </c>
      <c r="M149" s="35" t="s">
        <v>3502</v>
      </c>
      <c r="N149" s="31" t="str">
        <f>'Expense Details'!AG838</f>
        <v>Approved</v>
      </c>
      <c r="O149" s="31" t="str">
        <f>'Expense Details'!F838</f>
        <v>Tomas Kovac</v>
      </c>
    </row>
    <row r="150" spans="1:15">
      <c r="A150" s="31" t="str">
        <f>'Expense Details'!A841</f>
        <v>EXP-00840</v>
      </c>
      <c r="B150" s="31" t="str">
        <f>'Expense Details'!C841</f>
        <v>David Chen</v>
      </c>
      <c r="C150" s="31" t="str">
        <f>'Expense Details'!D841</f>
        <v>Finance</v>
      </c>
      <c r="D150" s="31" t="str">
        <f>'Expense Details'!G841</f>
        <v>TRP-2025-054</v>
      </c>
      <c r="E150" s="32">
        <f>'Expense Details'!M841</f>
        <v>45732</v>
      </c>
      <c r="F150" s="31" t="str">
        <f>'Expense Details'!O841</f>
        <v>Airfare</v>
      </c>
      <c r="G150" s="31" t="str">
        <f>'Expense Details'!Q841</f>
        <v>Lufthansa</v>
      </c>
      <c r="H150" s="33">
        <f>'Expense Details'!V841</f>
        <v>3541.8025700000003</v>
      </c>
      <c r="I150" s="33">
        <f>'Expense Details'!Z841</f>
        <v>1400</v>
      </c>
      <c r="J150" s="33">
        <f>H150-I150</f>
        <v>2141.8025700000003</v>
      </c>
      <c r="K150" s="34">
        <f>IFERROR(MAX(0,H150/I150-1),0)</f>
        <v>1.5298589785714287</v>
      </c>
      <c r="L150" s="31" t="str">
        <f>'Expense Details'!AC841</f>
        <v>Yes</v>
      </c>
      <c r="M150" s="35" t="s">
        <v>3502</v>
      </c>
      <c r="N150" s="31" t="str">
        <f>'Expense Details'!AG841</f>
        <v>Approved</v>
      </c>
      <c r="O150" s="31" t="str">
        <f>'Expense Details'!F841</f>
        <v>Diane Okafor</v>
      </c>
    </row>
    <row r="151" spans="1:15">
      <c r="A151" s="31" t="str">
        <f>'Expense Details'!A842</f>
        <v>EXP-00841</v>
      </c>
      <c r="B151" s="31" t="str">
        <f>'Expense Details'!C842</f>
        <v>David Chen</v>
      </c>
      <c r="C151" s="31" t="str">
        <f>'Expense Details'!D842</f>
        <v>Finance</v>
      </c>
      <c r="D151" s="31" t="str">
        <f>'Expense Details'!G842</f>
        <v>TRP-2025-054</v>
      </c>
      <c r="E151" s="32">
        <f>'Expense Details'!M842</f>
        <v>45732</v>
      </c>
      <c r="F151" s="31" t="str">
        <f>'Expense Details'!O842</f>
        <v>Baggage &amp; Excess Fees</v>
      </c>
      <c r="G151" s="31" t="str">
        <f>'Expense Details'!Q842</f>
        <v>Lufthansa</v>
      </c>
      <c r="H151" s="33">
        <f>'Expense Details'!V842</f>
        <v>72.997299999999996</v>
      </c>
      <c r="I151" s="33">
        <f>'Expense Details'!Z842</f>
        <v>120</v>
      </c>
      <c r="J151" s="33">
        <f>H151-I151</f>
        <v>-47.002700000000004</v>
      </c>
      <c r="K151" s="34">
        <f>IFERROR(MAX(0,H151/I151-1),0)</f>
        <v>0</v>
      </c>
      <c r="L151" s="31" t="str">
        <f>'Expense Details'!AC842</f>
        <v>No</v>
      </c>
      <c r="M151" s="35" t="s">
        <v>3503</v>
      </c>
      <c r="N151" s="31" t="str">
        <f>'Expense Details'!AG842</f>
        <v>Approved</v>
      </c>
      <c r="O151" s="31" t="str">
        <f>'Expense Details'!F842</f>
        <v>Diane Okafor</v>
      </c>
    </row>
    <row r="152" spans="1:15">
      <c r="A152" s="31" t="str">
        <f>'Expense Details'!A846</f>
        <v>EXP-00845</v>
      </c>
      <c r="B152" s="31" t="str">
        <f>'Expense Details'!C846</f>
        <v>David Chen</v>
      </c>
      <c r="C152" s="31" t="str">
        <f>'Expense Details'!D846</f>
        <v>Finance</v>
      </c>
      <c r="D152" s="31" t="str">
        <f>'Expense Details'!G846</f>
        <v>TRP-2025-054</v>
      </c>
      <c r="E152" s="32">
        <f>'Expense Details'!M846</f>
        <v>45732</v>
      </c>
      <c r="F152" s="31" t="str">
        <f>'Expense Details'!O846</f>
        <v>Meals - Dinner</v>
      </c>
      <c r="G152" s="31" t="str">
        <f>'Expense Details'!Q846</f>
        <v>Spice Route</v>
      </c>
      <c r="H152" s="33">
        <f>'Expense Details'!V846</f>
        <v>62.133679999999991</v>
      </c>
      <c r="I152" s="33">
        <f>'Expense Details'!Z846</f>
        <v>75</v>
      </c>
      <c r="J152" s="33">
        <f>H152-I152</f>
        <v>-12.866320000000009</v>
      </c>
      <c r="K152" s="34">
        <f>IFERROR(MAX(0,H152/I152-1),0)</f>
        <v>0</v>
      </c>
      <c r="L152" s="31" t="str">
        <f>'Expense Details'!AC846</f>
        <v>No</v>
      </c>
      <c r="M152" s="35" t="s">
        <v>3503</v>
      </c>
      <c r="N152" s="31" t="str">
        <f>'Expense Details'!AG846</f>
        <v>Approved</v>
      </c>
      <c r="O152" s="31" t="str">
        <f>'Expense Details'!F846</f>
        <v>Diane Okafor</v>
      </c>
    </row>
    <row r="153" spans="1:15">
      <c r="A153" s="31" t="str">
        <f>'Expense Details'!A847</f>
        <v>EXP-00846</v>
      </c>
      <c r="B153" s="31" t="str">
        <f>'Expense Details'!C847</f>
        <v>David Chen</v>
      </c>
      <c r="C153" s="31" t="str">
        <f>'Expense Details'!D847</f>
        <v>Finance</v>
      </c>
      <c r="D153" s="31" t="str">
        <f>'Expense Details'!G847</f>
        <v>TRP-2025-054</v>
      </c>
      <c r="E153" s="32">
        <f>'Expense Details'!M847</f>
        <v>45732</v>
      </c>
      <c r="F153" s="31" t="str">
        <f>'Expense Details'!O847</f>
        <v>Meals - Lunch</v>
      </c>
      <c r="G153" s="31" t="str">
        <f>'Expense Details'!Q847</f>
        <v>Pret A Manger</v>
      </c>
      <c r="H153" s="33">
        <f>'Expense Details'!V847</f>
        <v>21.57339</v>
      </c>
      <c r="I153" s="33">
        <f>'Expense Details'!Z847</f>
        <v>35</v>
      </c>
      <c r="J153" s="33">
        <f>H153-I153</f>
        <v>-13.42661</v>
      </c>
      <c r="K153" s="34">
        <f>IFERROR(MAX(0,H153/I153-1),0)</f>
        <v>0</v>
      </c>
      <c r="L153" s="31" t="str">
        <f>'Expense Details'!AC847</f>
        <v>No</v>
      </c>
      <c r="M153" s="35" t="s">
        <v>3503</v>
      </c>
      <c r="N153" s="31" t="str">
        <f>'Expense Details'!AG847</f>
        <v>Approved</v>
      </c>
      <c r="O153" s="31" t="str">
        <f>'Expense Details'!F847</f>
        <v>Diane Okafor</v>
      </c>
    </row>
    <row r="154" spans="1:15">
      <c r="A154" s="31" t="str">
        <f>'Expense Details'!A853</f>
        <v>EXP-00852</v>
      </c>
      <c r="B154" s="31" t="str">
        <f>'Expense Details'!C853</f>
        <v>Samuel Adeyemi</v>
      </c>
      <c r="C154" s="31" t="str">
        <f>'Expense Details'!D853</f>
        <v>Field Engineering</v>
      </c>
      <c r="D154" s="31" t="str">
        <f>'Expense Details'!G853</f>
        <v>TRP-2025-071</v>
      </c>
      <c r="E154" s="32">
        <f>'Expense Details'!M853</f>
        <v>45735</v>
      </c>
      <c r="F154" s="31" t="str">
        <f>'Expense Details'!O853</f>
        <v>Airfare</v>
      </c>
      <c r="G154" s="31" t="str">
        <f>'Expense Details'!Q853</f>
        <v>Singapore Airlines</v>
      </c>
      <c r="H154" s="33">
        <f>'Expense Details'!V853</f>
        <v>4099.7159000000001</v>
      </c>
      <c r="I154" s="33">
        <f>'Expense Details'!Z853</f>
        <v>1400</v>
      </c>
      <c r="J154" s="33">
        <f>H154-I154</f>
        <v>2699.7159000000001</v>
      </c>
      <c r="K154" s="34">
        <f>IFERROR(MAX(0,H154/I154-1),0)</f>
        <v>1.9283684999999999</v>
      </c>
      <c r="L154" s="31" t="str">
        <f>'Expense Details'!AC853</f>
        <v>Yes</v>
      </c>
      <c r="M154" s="35" t="s">
        <v>3502</v>
      </c>
      <c r="N154" s="31" t="str">
        <f>'Expense Details'!AG853</f>
        <v>Pending Approval</v>
      </c>
      <c r="O154" s="31" t="str">
        <f>'Expense Details'!F853</f>
        <v>Tomas Kovac</v>
      </c>
    </row>
    <row r="155" spans="1:15">
      <c r="A155" s="31" t="str">
        <f>'Expense Details'!A863</f>
        <v>EXP-00862</v>
      </c>
      <c r="B155" s="31" t="str">
        <f>'Expense Details'!C863</f>
        <v>Samuel Adeyemi</v>
      </c>
      <c r="C155" s="31" t="str">
        <f>'Expense Details'!D863</f>
        <v>Field Engineering</v>
      </c>
      <c r="D155" s="31" t="str">
        <f>'Expense Details'!G863</f>
        <v>TRP-2025-071</v>
      </c>
      <c r="E155" s="32">
        <f>'Expense Details'!M863</f>
        <v>45736</v>
      </c>
      <c r="F155" s="31" t="str">
        <f>'Expense Details'!O863</f>
        <v>Meals - Lunch</v>
      </c>
      <c r="G155" s="31" t="str">
        <f>'Expense Details'!Q863</f>
        <v>Food Court</v>
      </c>
      <c r="H155" s="33">
        <f>'Expense Details'!V863</f>
        <v>47.414500000000004</v>
      </c>
      <c r="I155" s="33">
        <f>'Expense Details'!Z863</f>
        <v>35</v>
      </c>
      <c r="J155" s="33">
        <f>H155-I155</f>
        <v>12.414500000000004</v>
      </c>
      <c r="K155" s="34">
        <f>IFERROR(MAX(0,H155/I155-1),0)</f>
        <v>0.35470000000000002</v>
      </c>
      <c r="L155" s="31" t="str">
        <f>'Expense Details'!AC863</f>
        <v>Yes</v>
      </c>
      <c r="M155" s="35" t="s">
        <v>3502</v>
      </c>
      <c r="N155" s="31" t="str">
        <f>'Expense Details'!AG863</f>
        <v>Pending Approval</v>
      </c>
      <c r="O155" s="31" t="str">
        <f>'Expense Details'!F863</f>
        <v>Tomas Kovac</v>
      </c>
    </row>
    <row r="156" spans="1:15">
      <c r="A156" s="31" t="str">
        <f>'Expense Details'!A865</f>
        <v>EXP-00864</v>
      </c>
      <c r="B156" s="31" t="str">
        <f>'Expense Details'!C865</f>
        <v>Kenji Watanabe</v>
      </c>
      <c r="C156" s="31" t="str">
        <f>'Expense Details'!D865</f>
        <v>Product</v>
      </c>
      <c r="D156" s="31" t="str">
        <f>'Expense Details'!G865</f>
        <v>TRP-2025-022</v>
      </c>
      <c r="E156" s="32">
        <f>'Expense Details'!M865</f>
        <v>45737</v>
      </c>
      <c r="F156" s="31" t="str">
        <f>'Expense Details'!O865</f>
        <v>Ground Transport - Taxi</v>
      </c>
      <c r="G156" s="31" t="str">
        <f>'Expense Details'!Q865</f>
        <v>Lyft</v>
      </c>
      <c r="H156" s="33">
        <f>'Expense Details'!V865</f>
        <v>43.862084000000003</v>
      </c>
      <c r="I156" s="33">
        <f>'Expense Details'!Z865</f>
        <v>60</v>
      </c>
      <c r="J156" s="33">
        <f>H156-I156</f>
        <v>-16.137915999999997</v>
      </c>
      <c r="K156" s="34">
        <f>IFERROR(MAX(0,H156/I156-1),0)</f>
        <v>0</v>
      </c>
      <c r="L156" s="31" t="str">
        <f>'Expense Details'!AC865</f>
        <v>No</v>
      </c>
      <c r="M156" s="35" t="s">
        <v>3503</v>
      </c>
      <c r="N156" s="31" t="str">
        <f>'Expense Details'!AG865</f>
        <v>Approved</v>
      </c>
      <c r="O156" s="31" t="str">
        <f>'Expense Details'!F865</f>
        <v>Elena Duarte</v>
      </c>
    </row>
    <row r="157" spans="1:15">
      <c r="A157" s="31" t="str">
        <f>'Expense Details'!A871</f>
        <v>EXP-00870</v>
      </c>
      <c r="B157" s="31" t="str">
        <f>'Expense Details'!C871</f>
        <v>Kenji Watanabe</v>
      </c>
      <c r="C157" s="31" t="str">
        <f>'Expense Details'!D871</f>
        <v>Product</v>
      </c>
      <c r="D157" s="31" t="str">
        <f>'Expense Details'!G871</f>
        <v>TRP-2025-022</v>
      </c>
      <c r="E157" s="32">
        <f>'Expense Details'!M871</f>
        <v>45738</v>
      </c>
      <c r="F157" s="31" t="str">
        <f>'Expense Details'!O871</f>
        <v>Ground Transport - Rail</v>
      </c>
      <c r="G157" s="31" t="str">
        <f>'Expense Details'!Q871</f>
        <v>SNCF</v>
      </c>
      <c r="H157" s="33">
        <f>'Expense Details'!V871</f>
        <v>221.50515799999999</v>
      </c>
      <c r="I157" s="33">
        <f>'Expense Details'!Z871</f>
        <v>150</v>
      </c>
      <c r="J157" s="33">
        <f>H157-I157</f>
        <v>71.505157999999994</v>
      </c>
      <c r="K157" s="34">
        <f>IFERROR(MAX(0,H157/I157-1),0)</f>
        <v>0.47670105333333335</v>
      </c>
      <c r="L157" s="31" t="str">
        <f>'Expense Details'!AC871</f>
        <v>Yes</v>
      </c>
      <c r="M157" s="35" t="s">
        <v>3502</v>
      </c>
      <c r="N157" s="31" t="str">
        <f>'Expense Details'!AG871</f>
        <v>Approved</v>
      </c>
      <c r="O157" s="31" t="str">
        <f>'Expense Details'!F871</f>
        <v>Elena Duarte</v>
      </c>
    </row>
    <row r="158" spans="1:15">
      <c r="A158" s="31" t="str">
        <f>'Expense Details'!A872</f>
        <v>EXP-00871</v>
      </c>
      <c r="B158" s="31" t="str">
        <f>'Expense Details'!C872</f>
        <v>Kenji Watanabe</v>
      </c>
      <c r="C158" s="31" t="str">
        <f>'Expense Details'!D872</f>
        <v>Product</v>
      </c>
      <c r="D158" s="31" t="str">
        <f>'Expense Details'!G872</f>
        <v>TRP-2025-022</v>
      </c>
      <c r="E158" s="32">
        <f>'Expense Details'!M872</f>
        <v>45738</v>
      </c>
      <c r="F158" s="31" t="str">
        <f>'Expense Details'!O872</f>
        <v>Hotel / Lodging</v>
      </c>
      <c r="G158" s="31" t="str">
        <f>'Expense Details'!Q872</f>
        <v>Hilton Garden Inn</v>
      </c>
      <c r="H158" s="33">
        <f>'Expense Details'!V872</f>
        <v>2351.8687149999996</v>
      </c>
      <c r="I158" s="33">
        <f>'Expense Details'!Z872</f>
        <v>1960</v>
      </c>
      <c r="J158" s="33">
        <f>H158-I158</f>
        <v>391.86871499999961</v>
      </c>
      <c r="K158" s="34">
        <f>IFERROR(MAX(0,H158/I158-1),0)</f>
        <v>0.19993301785714257</v>
      </c>
      <c r="L158" s="31" t="str">
        <f>'Expense Details'!AC872</f>
        <v>Yes</v>
      </c>
      <c r="M158" s="35" t="s">
        <v>3502</v>
      </c>
      <c r="N158" s="31" t="str">
        <f>'Expense Details'!AG872</f>
        <v>Approved</v>
      </c>
      <c r="O158" s="31" t="str">
        <f>'Expense Details'!F872</f>
        <v>Elena Duarte</v>
      </c>
    </row>
    <row r="159" spans="1:15">
      <c r="A159" s="31" t="str">
        <f>'Expense Details'!A875</f>
        <v>EXP-00874</v>
      </c>
      <c r="B159" s="31" t="str">
        <f>'Expense Details'!C875</f>
        <v>Kenji Watanabe</v>
      </c>
      <c r="C159" s="31" t="str">
        <f>'Expense Details'!D875</f>
        <v>Product</v>
      </c>
      <c r="D159" s="31" t="str">
        <f>'Expense Details'!G875</f>
        <v>TRP-2025-022</v>
      </c>
      <c r="E159" s="32">
        <f>'Expense Details'!M875</f>
        <v>45738</v>
      </c>
      <c r="F159" s="31" t="str">
        <f>'Expense Details'!O875</f>
        <v>Meals - Lunch</v>
      </c>
      <c r="G159" s="31" t="str">
        <f>'Expense Details'!Q875</f>
        <v>Sweetgreen</v>
      </c>
      <c r="H159" s="33">
        <f>'Expense Details'!V875</f>
        <v>18.573582999999996</v>
      </c>
      <c r="I159" s="33">
        <f>'Expense Details'!Z875</f>
        <v>35</v>
      </c>
      <c r="J159" s="33">
        <f>H159-I159</f>
        <v>-16.426417000000004</v>
      </c>
      <c r="K159" s="34">
        <f>IFERROR(MAX(0,H159/I159-1),0)</f>
        <v>0</v>
      </c>
      <c r="L159" s="31" t="str">
        <f>'Expense Details'!AC875</f>
        <v>No</v>
      </c>
      <c r="M159" s="35" t="s">
        <v>3503</v>
      </c>
      <c r="N159" s="31" t="str">
        <f>'Expense Details'!AG875</f>
        <v>Approved</v>
      </c>
      <c r="O159" s="31" t="str">
        <f>'Expense Details'!F875</f>
        <v>Elena Duarte</v>
      </c>
    </row>
    <row r="160" spans="1:15">
      <c r="A160" s="31" t="str">
        <f>'Expense Details'!A881</f>
        <v>EXP-00880</v>
      </c>
      <c r="B160" s="31" t="str">
        <f>'Expense Details'!C881</f>
        <v>Kenji Watanabe</v>
      </c>
      <c r="C160" s="31" t="str">
        <f>'Expense Details'!D881</f>
        <v>Product</v>
      </c>
      <c r="D160" s="31" t="str">
        <f>'Expense Details'!G881</f>
        <v>TRP-2025-022</v>
      </c>
      <c r="E160" s="32">
        <f>'Expense Details'!M881</f>
        <v>45739</v>
      </c>
      <c r="F160" s="31" t="str">
        <f>'Expense Details'!O881</f>
        <v>Meals - Lunch</v>
      </c>
      <c r="G160" s="31" t="str">
        <f>'Expense Details'!Q881</f>
        <v>Pret A Manger</v>
      </c>
      <c r="H160" s="33">
        <f>'Expense Details'!V881</f>
        <v>42.326311999999994</v>
      </c>
      <c r="I160" s="33">
        <f>'Expense Details'!Z881</f>
        <v>35</v>
      </c>
      <c r="J160" s="33">
        <f>H160-I160</f>
        <v>7.3263119999999944</v>
      </c>
      <c r="K160" s="34">
        <f>IFERROR(MAX(0,H160/I160-1),0)</f>
        <v>0.20932319999999982</v>
      </c>
      <c r="L160" s="31" t="str">
        <f>'Expense Details'!AC881</f>
        <v>Yes</v>
      </c>
      <c r="M160" s="35" t="s">
        <v>3502</v>
      </c>
      <c r="N160" s="31" t="str">
        <f>'Expense Details'!AG881</f>
        <v>Approved</v>
      </c>
      <c r="O160" s="31" t="str">
        <f>'Expense Details'!F881</f>
        <v>Elena Duarte</v>
      </c>
    </row>
    <row r="161" spans="1:15">
      <c r="A161" s="31" t="str">
        <f>'Expense Details'!A882</f>
        <v>EXP-00881</v>
      </c>
      <c r="B161" s="31" t="str">
        <f>'Expense Details'!C882</f>
        <v>Samuel Adeyemi</v>
      </c>
      <c r="C161" s="31" t="str">
        <f>'Expense Details'!D882</f>
        <v>Field Engineering</v>
      </c>
      <c r="D161" s="31" t="str">
        <f>'Expense Details'!G882</f>
        <v>TRP-2025-071</v>
      </c>
      <c r="E161" s="32">
        <f>'Expense Details'!M882</f>
        <v>45739</v>
      </c>
      <c r="F161" s="31" t="str">
        <f>'Expense Details'!O882</f>
        <v>Ground Transport - Taxi</v>
      </c>
      <c r="G161" s="31" t="str">
        <f>'Expense Details'!Q882</f>
        <v>Local Taxi</v>
      </c>
      <c r="H161" s="33">
        <f>'Expense Details'!V882</f>
        <v>83.425650000000005</v>
      </c>
      <c r="I161" s="33">
        <f>'Expense Details'!Z882</f>
        <v>60</v>
      </c>
      <c r="J161" s="33">
        <f>H161-I161</f>
        <v>23.425650000000005</v>
      </c>
      <c r="K161" s="34">
        <f>IFERROR(MAX(0,H161/I161-1),0)</f>
        <v>0.39042750000000015</v>
      </c>
      <c r="L161" s="31" t="str">
        <f>'Expense Details'!AC882</f>
        <v>Yes</v>
      </c>
      <c r="M161" s="35" t="s">
        <v>3502</v>
      </c>
      <c r="N161" s="31" t="str">
        <f>'Expense Details'!AG882</f>
        <v>Pending Approval</v>
      </c>
      <c r="O161" s="31" t="str">
        <f>'Expense Details'!F882</f>
        <v>Tomas Kovac</v>
      </c>
    </row>
    <row r="162" spans="1:15">
      <c r="A162" s="31" t="str">
        <f>'Expense Details'!A889</f>
        <v>EXP-00888</v>
      </c>
      <c r="B162" s="31" t="str">
        <f>'Expense Details'!C889</f>
        <v>Kenji Watanabe</v>
      </c>
      <c r="C162" s="31" t="str">
        <f>'Expense Details'!D889</f>
        <v>Product</v>
      </c>
      <c r="D162" s="31" t="str">
        <f>'Expense Details'!G889</f>
        <v>TRP-2025-022</v>
      </c>
      <c r="E162" s="32">
        <f>'Expense Details'!M889</f>
        <v>45740</v>
      </c>
      <c r="F162" s="31" t="str">
        <f>'Expense Details'!O889</f>
        <v>Meals - Dinner</v>
      </c>
      <c r="G162" s="31" t="str">
        <f>'Expense Details'!Q889</f>
        <v>Brasserie Lyon</v>
      </c>
      <c r="H162" s="33">
        <f>'Expense Details'!V889</f>
        <v>53.860939999999999</v>
      </c>
      <c r="I162" s="33">
        <f>'Expense Details'!Z889</f>
        <v>75</v>
      </c>
      <c r="J162" s="33">
        <f>H162-I162</f>
        <v>-21.139060000000001</v>
      </c>
      <c r="K162" s="34">
        <f>IFERROR(MAX(0,H162/I162-1),0)</f>
        <v>0</v>
      </c>
      <c r="L162" s="31" t="str">
        <f>'Expense Details'!AC889</f>
        <v>No</v>
      </c>
      <c r="M162" s="35" t="s">
        <v>3503</v>
      </c>
      <c r="N162" s="31" t="str">
        <f>'Expense Details'!AG889</f>
        <v>Approved</v>
      </c>
      <c r="O162" s="31" t="str">
        <f>'Expense Details'!F889</f>
        <v>Elena Duarte</v>
      </c>
    </row>
    <row r="163" spans="1:15">
      <c r="A163" s="31" t="str">
        <f>'Expense Details'!A892</f>
        <v>EXP-00891</v>
      </c>
      <c r="B163" s="31" t="str">
        <f>'Expense Details'!C892</f>
        <v>Samuel Adeyemi</v>
      </c>
      <c r="C163" s="31" t="str">
        <f>'Expense Details'!D892</f>
        <v>Field Engineering</v>
      </c>
      <c r="D163" s="31" t="str">
        <f>'Expense Details'!G892</f>
        <v>TRP-2025-071</v>
      </c>
      <c r="E163" s="32">
        <f>'Expense Details'!M892</f>
        <v>45740</v>
      </c>
      <c r="F163" s="31" t="str">
        <f>'Expense Details'!O892</f>
        <v>Meals - Breakfast</v>
      </c>
      <c r="G163" s="31" t="str">
        <f>'Expense Details'!Q892</f>
        <v>Local Bakery</v>
      </c>
      <c r="H163" s="33">
        <f>'Expense Details'!V892</f>
        <v>28.372749999999996</v>
      </c>
      <c r="I163" s="33">
        <f>'Expense Details'!Z892</f>
        <v>25</v>
      </c>
      <c r="J163" s="33">
        <f>H163-I163</f>
        <v>3.3727499999999964</v>
      </c>
      <c r="K163" s="34">
        <f>IFERROR(MAX(0,H163/I163-1),0)</f>
        <v>0.13490999999999986</v>
      </c>
      <c r="L163" s="31" t="str">
        <f>'Expense Details'!AC892</f>
        <v>Yes</v>
      </c>
      <c r="M163" s="35" t="s">
        <v>3502</v>
      </c>
      <c r="N163" s="31" t="str">
        <f>'Expense Details'!AG892</f>
        <v>Pending Approval</v>
      </c>
      <c r="O163" s="31" t="str">
        <f>'Expense Details'!F892</f>
        <v>Tomas Kovac</v>
      </c>
    </row>
    <row r="164" spans="1:15">
      <c r="A164" s="31" t="str">
        <f>'Expense Details'!A896</f>
        <v>EXP-00895</v>
      </c>
      <c r="B164" s="31" t="str">
        <f>'Expense Details'!C896</f>
        <v>Kenji Watanabe</v>
      </c>
      <c r="C164" s="31" t="str">
        <f>'Expense Details'!D896</f>
        <v>Product</v>
      </c>
      <c r="D164" s="31" t="str">
        <f>'Expense Details'!G896</f>
        <v>TRP-2025-022</v>
      </c>
      <c r="E164" s="32">
        <f>'Expense Details'!M896</f>
        <v>45741</v>
      </c>
      <c r="F164" s="31" t="str">
        <f>'Expense Details'!O896</f>
        <v>Meals - Breakfast</v>
      </c>
      <c r="G164" s="31" t="str">
        <f>'Expense Details'!Q896</f>
        <v>Local Bakery</v>
      </c>
      <c r="H164" s="33">
        <f>'Expense Details'!V896</f>
        <v>34.669235999999998</v>
      </c>
      <c r="I164" s="33">
        <f>'Expense Details'!Z896</f>
        <v>25</v>
      </c>
      <c r="J164" s="33">
        <f>H164-I164</f>
        <v>9.6692359999999979</v>
      </c>
      <c r="K164" s="34">
        <f>IFERROR(MAX(0,H164/I164-1),0)</f>
        <v>0.38676943999999991</v>
      </c>
      <c r="L164" s="31" t="str">
        <f>'Expense Details'!AC896</f>
        <v>No</v>
      </c>
      <c r="M164" s="35" t="s">
        <v>3504</v>
      </c>
      <c r="N164" s="31" t="str">
        <f>'Expense Details'!AG896</f>
        <v>Approved</v>
      </c>
      <c r="O164" s="31" t="str">
        <f>'Expense Details'!F896</f>
        <v>Elena Duarte</v>
      </c>
    </row>
    <row r="165" spans="1:15">
      <c r="A165" s="31" t="str">
        <f>'Expense Details'!A903</f>
        <v>EXP-00902</v>
      </c>
      <c r="B165" s="31" t="str">
        <f>'Expense Details'!C903</f>
        <v>Kenji Watanabe</v>
      </c>
      <c r="C165" s="31" t="str">
        <f>'Expense Details'!D903</f>
        <v>Product</v>
      </c>
      <c r="D165" s="31" t="str">
        <f>'Expense Details'!G903</f>
        <v>TRP-2025-022</v>
      </c>
      <c r="E165" s="32">
        <f>'Expense Details'!M903</f>
        <v>45742</v>
      </c>
      <c r="F165" s="31" t="str">
        <f>'Expense Details'!O903</f>
        <v>Meals - Lunch</v>
      </c>
      <c r="G165" s="31" t="str">
        <f>'Expense Details'!Q903</f>
        <v>Food Court</v>
      </c>
      <c r="H165" s="33">
        <f>'Expense Details'!V903</f>
        <v>28.087745000000002</v>
      </c>
      <c r="I165" s="33">
        <f>'Expense Details'!Z903</f>
        <v>35</v>
      </c>
      <c r="J165" s="33">
        <f>H165-I165</f>
        <v>-6.9122549999999983</v>
      </c>
      <c r="K165" s="34">
        <f>IFERROR(MAX(0,H165/I165-1),0)</f>
        <v>0</v>
      </c>
      <c r="L165" s="31" t="str">
        <f>'Expense Details'!AC903</f>
        <v>No</v>
      </c>
      <c r="M165" s="35" t="s">
        <v>3503</v>
      </c>
      <c r="N165" s="31" t="str">
        <f>'Expense Details'!AG903</f>
        <v>Approved</v>
      </c>
      <c r="O165" s="31" t="str">
        <f>'Expense Details'!F903</f>
        <v>Elena Duarte</v>
      </c>
    </row>
    <row r="166" spans="1:15">
      <c r="A166" s="31" t="str">
        <f>'Expense Details'!A908</f>
        <v>EXP-00907</v>
      </c>
      <c r="B166" s="31" t="str">
        <f>'Expense Details'!C908</f>
        <v>Kenji Watanabe</v>
      </c>
      <c r="C166" s="31" t="str">
        <f>'Expense Details'!D908</f>
        <v>Product</v>
      </c>
      <c r="D166" s="31" t="str">
        <f>'Expense Details'!G908</f>
        <v>TRP-2025-022</v>
      </c>
      <c r="E166" s="32">
        <f>'Expense Details'!M908</f>
        <v>45743</v>
      </c>
      <c r="F166" s="31" t="str">
        <f>'Expense Details'!O908</f>
        <v>Meals - Breakfast</v>
      </c>
      <c r="G166" s="31" t="str">
        <f>'Expense Details'!Q908</f>
        <v>Local Bakery</v>
      </c>
      <c r="H166" s="33">
        <f>'Expense Details'!V908</f>
        <v>21.391887999999998</v>
      </c>
      <c r="I166" s="33">
        <f>'Expense Details'!Z908</f>
        <v>25</v>
      </c>
      <c r="J166" s="33">
        <f>H166-I166</f>
        <v>-3.608112000000002</v>
      </c>
      <c r="K166" s="34">
        <f>IFERROR(MAX(0,H166/I166-1),0)</f>
        <v>0</v>
      </c>
      <c r="L166" s="31" t="str">
        <f>'Expense Details'!AC908</f>
        <v>No</v>
      </c>
      <c r="M166" s="35" t="s">
        <v>3503</v>
      </c>
      <c r="N166" s="31" t="str">
        <f>'Expense Details'!AG908</f>
        <v>Approved</v>
      </c>
      <c r="O166" s="31" t="str">
        <f>'Expense Details'!F908</f>
        <v>Elena Duarte</v>
      </c>
    </row>
    <row r="167" spans="1:15">
      <c r="A167" s="31" t="str">
        <f>'Expense Details'!A912</f>
        <v>EXP-00911</v>
      </c>
      <c r="B167" s="31" t="str">
        <f>'Expense Details'!C912</f>
        <v>Kenji Watanabe</v>
      </c>
      <c r="C167" s="31" t="str">
        <f>'Expense Details'!D912</f>
        <v>Product</v>
      </c>
      <c r="D167" s="31" t="str">
        <f>'Expense Details'!G912</f>
        <v>TRP-2025-022</v>
      </c>
      <c r="E167" s="32">
        <f>'Expense Details'!M912</f>
        <v>45744</v>
      </c>
      <c r="F167" s="31" t="str">
        <f>'Expense Details'!O912</f>
        <v>Meals - Lunch</v>
      </c>
      <c r="G167" s="31" t="str">
        <f>'Expense Details'!Q912</f>
        <v>Pret A Manger</v>
      </c>
      <c r="H167" s="33">
        <f>'Expense Details'!V912</f>
        <v>19.033770000000001</v>
      </c>
      <c r="I167" s="33">
        <f>'Expense Details'!Z912</f>
        <v>35</v>
      </c>
      <c r="J167" s="33">
        <f>H167-I167</f>
        <v>-15.966229999999999</v>
      </c>
      <c r="K167" s="34">
        <f>IFERROR(MAX(0,H167/I167-1),0)</f>
        <v>0</v>
      </c>
      <c r="L167" s="31" t="str">
        <f>'Expense Details'!AC912</f>
        <v>No</v>
      </c>
      <c r="M167" s="35" t="s">
        <v>3503</v>
      </c>
      <c r="N167" s="31" t="str">
        <f>'Expense Details'!AG912</f>
        <v>Approved</v>
      </c>
      <c r="O167" s="31" t="str">
        <f>'Expense Details'!F912</f>
        <v>Elena Duarte</v>
      </c>
    </row>
    <row r="168" spans="1:15">
      <c r="A168" s="31" t="str">
        <f>'Expense Details'!A913</f>
        <v>EXP-00912</v>
      </c>
      <c r="B168" s="31" t="str">
        <f>'Expense Details'!C913</f>
        <v>David Chen</v>
      </c>
      <c r="C168" s="31" t="str">
        <f>'Expense Details'!D913</f>
        <v>Finance</v>
      </c>
      <c r="D168" s="31" t="str">
        <f>'Expense Details'!G913</f>
        <v>TRP-2025-119</v>
      </c>
      <c r="E168" s="32">
        <f>'Expense Details'!M913</f>
        <v>45746</v>
      </c>
      <c r="F168" s="31" t="str">
        <f>'Expense Details'!O913</f>
        <v>Airfare</v>
      </c>
      <c r="G168" s="31" t="str">
        <f>'Expense Details'!Q913</f>
        <v>British Airways</v>
      </c>
      <c r="H168" s="33">
        <f>'Expense Details'!V913</f>
        <v>2198.4357599999998</v>
      </c>
      <c r="I168" s="33">
        <f>'Expense Details'!Z913</f>
        <v>1400</v>
      </c>
      <c r="J168" s="33">
        <f>H168-I168</f>
        <v>798.43575999999985</v>
      </c>
      <c r="K168" s="34">
        <f>IFERROR(MAX(0,H168/I168-1),0)</f>
        <v>0.57031125714285702</v>
      </c>
      <c r="L168" s="31" t="str">
        <f>'Expense Details'!AC913</f>
        <v>Yes</v>
      </c>
      <c r="M168" s="35" t="s">
        <v>3502</v>
      </c>
      <c r="N168" s="31" t="str">
        <f>'Expense Details'!AG913</f>
        <v>Approved</v>
      </c>
      <c r="O168" s="31" t="str">
        <f>'Expense Details'!F913</f>
        <v>Diane Okafor</v>
      </c>
    </row>
    <row r="169" spans="1:15">
      <c r="A169" s="31" t="str">
        <f>'Expense Details'!A927</f>
        <v>EXP-00926</v>
      </c>
      <c r="B169" s="31" t="str">
        <f>'Expense Details'!C927</f>
        <v>David Chen</v>
      </c>
      <c r="C169" s="31" t="str">
        <f>'Expense Details'!D927</f>
        <v>Finance</v>
      </c>
      <c r="D169" s="31" t="str">
        <f>'Expense Details'!G927</f>
        <v>TRP-2025-119</v>
      </c>
      <c r="E169" s="32">
        <f>'Expense Details'!M927</f>
        <v>45747</v>
      </c>
      <c r="F169" s="31" t="str">
        <f>'Expense Details'!O927</f>
        <v>Meals - Breakfast</v>
      </c>
      <c r="G169" s="31" t="str">
        <f>'Expense Details'!Q927</f>
        <v>Local Bakery</v>
      </c>
      <c r="H169" s="33">
        <f>'Expense Details'!V927</f>
        <v>20.161200000000001</v>
      </c>
      <c r="I169" s="33">
        <f>'Expense Details'!Z927</f>
        <v>25</v>
      </c>
      <c r="J169" s="33">
        <f>H169-I169</f>
        <v>-4.8387999999999991</v>
      </c>
      <c r="K169" s="34">
        <f>IFERROR(MAX(0,H169/I169-1),0)</f>
        <v>0</v>
      </c>
      <c r="L169" s="31" t="str">
        <f>'Expense Details'!AC927</f>
        <v>No</v>
      </c>
      <c r="M169" s="35" t="s">
        <v>3503</v>
      </c>
      <c r="N169" s="31" t="str">
        <f>'Expense Details'!AG927</f>
        <v>Approved</v>
      </c>
      <c r="O169" s="31" t="str">
        <f>'Expense Details'!F927</f>
        <v>Diane Okafor</v>
      </c>
    </row>
    <row r="170" spans="1:15">
      <c r="A170" s="31" t="str">
        <f>'Expense Details'!A931</f>
        <v>EXP-00930</v>
      </c>
      <c r="B170" s="31" t="str">
        <f>'Expense Details'!C931</f>
        <v>Meera Krishnan</v>
      </c>
      <c r="C170" s="31" t="str">
        <f>'Expense Details'!D931</f>
        <v>Finance</v>
      </c>
      <c r="D170" s="31" t="str">
        <f>'Expense Details'!G931</f>
        <v>TRP-2025-035</v>
      </c>
      <c r="E170" s="32">
        <f>'Expense Details'!M931</f>
        <v>45748</v>
      </c>
      <c r="F170" s="31" t="str">
        <f>'Expense Details'!O931</f>
        <v>Ground Transport - Taxi</v>
      </c>
      <c r="G170" s="31" t="str">
        <f>'Expense Details'!Q931</f>
        <v>Grab</v>
      </c>
      <c r="H170" s="33">
        <f>'Expense Details'!V931</f>
        <v>47.631960000000007</v>
      </c>
      <c r="I170" s="33">
        <f>'Expense Details'!Z931</f>
        <v>60</v>
      </c>
      <c r="J170" s="33">
        <f>H170-I170</f>
        <v>-12.368039999999993</v>
      </c>
      <c r="K170" s="34">
        <f>IFERROR(MAX(0,H170/I170-1),0)</f>
        <v>0</v>
      </c>
      <c r="L170" s="31" t="str">
        <f>'Expense Details'!AC931</f>
        <v>No</v>
      </c>
      <c r="M170" s="35" t="s">
        <v>3503</v>
      </c>
      <c r="N170" s="31" t="str">
        <f>'Expense Details'!AG931</f>
        <v>Approved</v>
      </c>
      <c r="O170" s="31" t="str">
        <f>'Expense Details'!F931</f>
        <v>David Chen</v>
      </c>
    </row>
    <row r="171" spans="1:15">
      <c r="A171" s="31" t="str">
        <f>'Expense Details'!A941</f>
        <v>EXP-00940</v>
      </c>
      <c r="B171" s="31" t="str">
        <f>'Expense Details'!C941</f>
        <v>Marcus Bell</v>
      </c>
      <c r="C171" s="31" t="str">
        <f>'Expense Details'!D941</f>
        <v>Sales</v>
      </c>
      <c r="D171" s="31" t="str">
        <f>'Expense Details'!G941</f>
        <v>TRP-2025-111</v>
      </c>
      <c r="E171" s="32">
        <f>'Expense Details'!M941</f>
        <v>45749</v>
      </c>
      <c r="F171" s="31" t="str">
        <f>'Expense Details'!O941</f>
        <v>Airfare</v>
      </c>
      <c r="G171" s="31" t="str">
        <f>'Expense Details'!Q941</f>
        <v>United Airlines</v>
      </c>
      <c r="H171" s="33">
        <f>'Expense Details'!V941</f>
        <v>1493.6699199999998</v>
      </c>
      <c r="I171" s="33">
        <f>'Expense Details'!Z941</f>
        <v>1400</v>
      </c>
      <c r="J171" s="33">
        <f>H171-I171</f>
        <v>93.66991999999982</v>
      </c>
      <c r="K171" s="34">
        <f>IFERROR(MAX(0,H171/I171-1),0)</f>
        <v>6.6907085714285497E-2</v>
      </c>
      <c r="L171" s="31" t="str">
        <f>'Expense Details'!AC941</f>
        <v>Yes</v>
      </c>
      <c r="M171" s="35" t="s">
        <v>3502</v>
      </c>
      <c r="N171" s="31" t="str">
        <f>'Expense Details'!AG941</f>
        <v>Approved</v>
      </c>
      <c r="O171" s="31" t="str">
        <f>'Expense Details'!F941</f>
        <v>Diane Okafor</v>
      </c>
    </row>
    <row r="172" spans="1:15">
      <c r="A172" s="31" t="str">
        <f>'Expense Details'!A950</f>
        <v>EXP-00949</v>
      </c>
      <c r="B172" s="31" t="str">
        <f>'Expense Details'!C950</f>
        <v>Marcus Bell</v>
      </c>
      <c r="C172" s="31" t="str">
        <f>'Expense Details'!D950</f>
        <v>Sales</v>
      </c>
      <c r="D172" s="31" t="str">
        <f>'Expense Details'!G950</f>
        <v>TRP-2025-111</v>
      </c>
      <c r="E172" s="32">
        <f>'Expense Details'!M950</f>
        <v>45750</v>
      </c>
      <c r="F172" s="31" t="str">
        <f>'Expense Details'!O950</f>
        <v>Car Rental</v>
      </c>
      <c r="G172" s="31" t="str">
        <f>'Expense Details'!Q950</f>
        <v>Hertz</v>
      </c>
      <c r="H172" s="33">
        <f>'Expense Details'!V950</f>
        <v>1148.83053</v>
      </c>
      <c r="I172" s="33">
        <f>'Expense Details'!Z950</f>
        <v>960</v>
      </c>
      <c r="J172" s="33">
        <f>H172-I172</f>
        <v>188.83052999999995</v>
      </c>
      <c r="K172" s="34">
        <f>IFERROR(MAX(0,H172/I172-1),0)</f>
        <v>0.19669846874999997</v>
      </c>
      <c r="L172" s="31" t="str">
        <f>'Expense Details'!AC950</f>
        <v>No</v>
      </c>
      <c r="M172" s="35" t="s">
        <v>3504</v>
      </c>
      <c r="N172" s="31" t="str">
        <f>'Expense Details'!AG950</f>
        <v>Approved</v>
      </c>
      <c r="O172" s="31" t="str">
        <f>'Expense Details'!F950</f>
        <v>Diane Okafor</v>
      </c>
    </row>
    <row r="173" spans="1:15">
      <c r="A173" s="31" t="str">
        <f>'Expense Details'!A957</f>
        <v>EXP-00956</v>
      </c>
      <c r="B173" s="31" t="str">
        <f>'Expense Details'!C957</f>
        <v>David Chen</v>
      </c>
      <c r="C173" s="31" t="str">
        <f>'Expense Details'!D957</f>
        <v>Finance</v>
      </c>
      <c r="D173" s="31" t="str">
        <f>'Expense Details'!G957</f>
        <v>TRP-2025-119</v>
      </c>
      <c r="E173" s="32">
        <f>'Expense Details'!M957</f>
        <v>45750</v>
      </c>
      <c r="F173" s="31" t="str">
        <f>'Expense Details'!O957</f>
        <v>Meals - Breakfast</v>
      </c>
      <c r="G173" s="31" t="str">
        <f>'Expense Details'!Q957</f>
        <v>Local Bakery</v>
      </c>
      <c r="H173" s="33">
        <f>'Expense Details'!V957</f>
        <v>35.755920000000003</v>
      </c>
      <c r="I173" s="33">
        <f>'Expense Details'!Z957</f>
        <v>25</v>
      </c>
      <c r="J173" s="33">
        <f>H173-I173</f>
        <v>10.755920000000003</v>
      </c>
      <c r="K173" s="34">
        <f>IFERROR(MAX(0,H173/I173-1),0)</f>
        <v>0.43023680000000009</v>
      </c>
      <c r="L173" s="31" t="str">
        <f>'Expense Details'!AC957</f>
        <v>Yes</v>
      </c>
      <c r="M173" s="35" t="s">
        <v>3502</v>
      </c>
      <c r="N173" s="31" t="str">
        <f>'Expense Details'!AG957</f>
        <v>Approved</v>
      </c>
      <c r="O173" s="31" t="str">
        <f>'Expense Details'!F957</f>
        <v>Diane Okafor</v>
      </c>
    </row>
    <row r="174" spans="1:15">
      <c r="A174" s="31" t="str">
        <f>'Expense Details'!A960</f>
        <v>EXP-00959</v>
      </c>
      <c r="B174" s="31" t="str">
        <f>'Expense Details'!C960</f>
        <v>Marcus Bell</v>
      </c>
      <c r="C174" s="31" t="str">
        <f>'Expense Details'!D960</f>
        <v>Sales</v>
      </c>
      <c r="D174" s="31" t="str">
        <f>'Expense Details'!G960</f>
        <v>TRP-2025-111</v>
      </c>
      <c r="E174" s="32">
        <f>'Expense Details'!M960</f>
        <v>45751</v>
      </c>
      <c r="F174" s="31" t="str">
        <f>'Expense Details'!O960</f>
        <v>Fuel / Mileage</v>
      </c>
      <c r="G174" s="31" t="str">
        <f>'Expense Details'!Q960</f>
        <v>Personal Vehicle Mileage</v>
      </c>
      <c r="H174" s="33">
        <f>'Expense Details'!V960</f>
        <v>68.108490000000003</v>
      </c>
      <c r="I174" s="33">
        <f>'Expense Details'!Z960</f>
        <v>90</v>
      </c>
      <c r="J174" s="33">
        <f>H174-I174</f>
        <v>-21.891509999999997</v>
      </c>
      <c r="K174" s="34">
        <f>IFERROR(MAX(0,H174/I174-1),0)</f>
        <v>0</v>
      </c>
      <c r="L174" s="31" t="str">
        <f>'Expense Details'!AC960</f>
        <v>No</v>
      </c>
      <c r="M174" s="35" t="s">
        <v>3503</v>
      </c>
      <c r="N174" s="31" t="str">
        <f>'Expense Details'!AG960</f>
        <v>Approved</v>
      </c>
      <c r="O174" s="31" t="str">
        <f>'Expense Details'!F960</f>
        <v>Diane Okafor</v>
      </c>
    </row>
    <row r="175" spans="1:15">
      <c r="A175" s="31" t="str">
        <f>'Expense Details'!A968</f>
        <v>EXP-00967</v>
      </c>
      <c r="B175" s="31" t="str">
        <f>'Expense Details'!C968</f>
        <v>David Chen</v>
      </c>
      <c r="C175" s="31" t="str">
        <f>'Expense Details'!D968</f>
        <v>Finance</v>
      </c>
      <c r="D175" s="31" t="str">
        <f>'Expense Details'!G968</f>
        <v>TRP-2025-119</v>
      </c>
      <c r="E175" s="32">
        <f>'Expense Details'!M968</f>
        <v>45751</v>
      </c>
      <c r="F175" s="31" t="str">
        <f>'Expense Details'!O968</f>
        <v>Meals - Lunch</v>
      </c>
      <c r="G175" s="31" t="str">
        <f>'Expense Details'!Q968</f>
        <v>Pret A Manger</v>
      </c>
      <c r="H175" s="33">
        <f>'Expense Details'!V968</f>
        <v>18.520320000000002</v>
      </c>
      <c r="I175" s="33">
        <f>'Expense Details'!Z968</f>
        <v>35</v>
      </c>
      <c r="J175" s="33">
        <f>H175-I175</f>
        <v>-16.479679999999998</v>
      </c>
      <c r="K175" s="34">
        <f>IFERROR(MAX(0,H175/I175-1),0)</f>
        <v>0</v>
      </c>
      <c r="L175" s="31" t="str">
        <f>'Expense Details'!AC968</f>
        <v>No</v>
      </c>
      <c r="M175" s="35" t="s">
        <v>3503</v>
      </c>
      <c r="N175" s="31" t="str">
        <f>'Expense Details'!AG968</f>
        <v>Approved</v>
      </c>
      <c r="O175" s="31" t="str">
        <f>'Expense Details'!F968</f>
        <v>Diane Okafor</v>
      </c>
    </row>
    <row r="176" spans="1:15">
      <c r="A176" s="31" t="str">
        <f>'Expense Details'!A976</f>
        <v>EXP-00975</v>
      </c>
      <c r="B176" s="31" t="str">
        <f>'Expense Details'!C976</f>
        <v>David Chen</v>
      </c>
      <c r="C176" s="31" t="str">
        <f>'Expense Details'!D976</f>
        <v>Finance</v>
      </c>
      <c r="D176" s="31" t="str">
        <f>'Expense Details'!G976</f>
        <v>TRP-2025-119</v>
      </c>
      <c r="E176" s="32">
        <f>'Expense Details'!M976</f>
        <v>45752</v>
      </c>
      <c r="F176" s="31" t="str">
        <f>'Expense Details'!O976</f>
        <v>Meals - Dinner</v>
      </c>
      <c r="G176" s="31" t="str">
        <f>'Expense Details'!Q976</f>
        <v>Brasserie Lyon</v>
      </c>
      <c r="H176" s="33">
        <f>'Expense Details'!V976</f>
        <v>34.293120000000002</v>
      </c>
      <c r="I176" s="33">
        <f>'Expense Details'!Z976</f>
        <v>75</v>
      </c>
      <c r="J176" s="33">
        <f>H176-I176</f>
        <v>-40.706879999999998</v>
      </c>
      <c r="K176" s="34">
        <f>IFERROR(MAX(0,H176/I176-1),0)</f>
        <v>0</v>
      </c>
      <c r="L176" s="31" t="str">
        <f>'Expense Details'!AC976</f>
        <v>No</v>
      </c>
      <c r="M176" s="35" t="s">
        <v>3503</v>
      </c>
      <c r="N176" s="31" t="str">
        <f>'Expense Details'!AG976</f>
        <v>Approved</v>
      </c>
      <c r="O176" s="31" t="str">
        <f>'Expense Details'!F976</f>
        <v>Diane Okafor</v>
      </c>
    </row>
    <row r="177" spans="1:15">
      <c r="A177" s="31" t="str">
        <f>'Expense Details'!A977</f>
        <v>EXP-00976</v>
      </c>
      <c r="B177" s="31" t="str">
        <f>'Expense Details'!C977</f>
        <v>David Chen</v>
      </c>
      <c r="C177" s="31" t="str">
        <f>'Expense Details'!D977</f>
        <v>Finance</v>
      </c>
      <c r="D177" s="31" t="str">
        <f>'Expense Details'!G977</f>
        <v>TRP-2025-119</v>
      </c>
      <c r="E177" s="32">
        <f>'Expense Details'!M977</f>
        <v>45752</v>
      </c>
      <c r="F177" s="31" t="str">
        <f>'Expense Details'!O977</f>
        <v>Meals - Lunch</v>
      </c>
      <c r="G177" s="31" t="str">
        <f>'Expense Details'!Q977</f>
        <v>Food Court</v>
      </c>
      <c r="H177" s="33">
        <f>'Expense Details'!V977</f>
        <v>36.773519999999998</v>
      </c>
      <c r="I177" s="33">
        <f>'Expense Details'!Z977</f>
        <v>35</v>
      </c>
      <c r="J177" s="33">
        <f>H177-I177</f>
        <v>1.7735199999999978</v>
      </c>
      <c r="K177" s="34">
        <f>IFERROR(MAX(0,H177/I177-1),0)</f>
        <v>5.0671999999999828E-2</v>
      </c>
      <c r="L177" s="31" t="str">
        <f>'Expense Details'!AC977</f>
        <v>Yes</v>
      </c>
      <c r="M177" s="35" t="s">
        <v>3502</v>
      </c>
      <c r="N177" s="31" t="str">
        <f>'Expense Details'!AG977</f>
        <v>Approved</v>
      </c>
      <c r="O177" s="31" t="str">
        <f>'Expense Details'!F977</f>
        <v>Diane Okafor</v>
      </c>
    </row>
    <row r="178" spans="1:15">
      <c r="A178" s="31" t="str">
        <f>'Expense Details'!A983</f>
        <v>EXP-00982</v>
      </c>
      <c r="B178" s="31" t="str">
        <f>'Expense Details'!C983</f>
        <v>Grace Lin</v>
      </c>
      <c r="C178" s="31" t="str">
        <f>'Expense Details'!D983</f>
        <v>Marketing</v>
      </c>
      <c r="D178" s="31" t="str">
        <f>'Expense Details'!G983</f>
        <v>TRP-2025-135</v>
      </c>
      <c r="E178" s="32">
        <f>'Expense Details'!M983</f>
        <v>45753</v>
      </c>
      <c r="F178" s="31" t="str">
        <f>'Expense Details'!O983</f>
        <v>Airfare</v>
      </c>
      <c r="G178" s="31" t="str">
        <f>'Expense Details'!Q983</f>
        <v>Singapore Airlines</v>
      </c>
      <c r="H178" s="33">
        <f>'Expense Details'!V983</f>
        <v>1516.5262</v>
      </c>
      <c r="I178" s="33">
        <f>'Expense Details'!Z983</f>
        <v>1400</v>
      </c>
      <c r="J178" s="33">
        <f>H178-I178</f>
        <v>116.52620000000002</v>
      </c>
      <c r="K178" s="34">
        <f>IFERROR(MAX(0,H178/I178-1),0)</f>
        <v>8.3233000000000112E-2</v>
      </c>
      <c r="L178" s="31" t="str">
        <f>'Expense Details'!AC983</f>
        <v>Yes</v>
      </c>
      <c r="M178" s="35" t="s">
        <v>3502</v>
      </c>
      <c r="N178" s="31" t="str">
        <f>'Expense Details'!AG983</f>
        <v>Approved</v>
      </c>
      <c r="O178" s="31" t="str">
        <f>'Expense Details'!F983</f>
        <v>Diane Okafor</v>
      </c>
    </row>
    <row r="179" spans="1:15">
      <c r="A179" s="31" t="str">
        <f>'Expense Details'!A985</f>
        <v>EXP-00984</v>
      </c>
      <c r="B179" s="31" t="str">
        <f>'Expense Details'!C985</f>
        <v>Grace Lin</v>
      </c>
      <c r="C179" s="31" t="str">
        <f>'Expense Details'!D985</f>
        <v>Marketing</v>
      </c>
      <c r="D179" s="31" t="str">
        <f>'Expense Details'!G985</f>
        <v>TRP-2025-135</v>
      </c>
      <c r="E179" s="32">
        <f>'Expense Details'!M985</f>
        <v>45753</v>
      </c>
      <c r="F179" s="31" t="str">
        <f>'Expense Details'!O985</f>
        <v>Ground Transport - Taxi</v>
      </c>
      <c r="G179" s="31" t="str">
        <f>'Expense Details'!Q985</f>
        <v>Ola Cabs</v>
      </c>
      <c r="H179" s="33">
        <f>'Expense Details'!V985</f>
        <v>36.488550000000004</v>
      </c>
      <c r="I179" s="33">
        <f>'Expense Details'!Z985</f>
        <v>60</v>
      </c>
      <c r="J179" s="33">
        <f>H179-I179</f>
        <v>-23.511449999999996</v>
      </c>
      <c r="K179" s="34">
        <f>IFERROR(MAX(0,H179/I179-1),0)</f>
        <v>0</v>
      </c>
      <c r="L179" s="31" t="str">
        <f>'Expense Details'!AC985</f>
        <v>No</v>
      </c>
      <c r="M179" s="35" t="s">
        <v>3503</v>
      </c>
      <c r="N179" s="31" t="str">
        <f>'Expense Details'!AG985</f>
        <v>Approved</v>
      </c>
      <c r="O179" s="31" t="str">
        <f>'Expense Details'!F985</f>
        <v>Diane Okafor</v>
      </c>
    </row>
    <row r="180" spans="1:15">
      <c r="A180" s="31" t="str">
        <f>'Expense Details'!A988</f>
        <v>EXP-00987</v>
      </c>
      <c r="B180" s="31" t="str">
        <f>'Expense Details'!C988</f>
        <v>Laura Bianchi</v>
      </c>
      <c r="C180" s="31" t="str">
        <f>'Expense Details'!D988</f>
        <v>Customer Success</v>
      </c>
      <c r="D180" s="31" t="str">
        <f>'Expense Details'!G988</f>
        <v>TRP-2025-048</v>
      </c>
      <c r="E180" s="32">
        <f>'Expense Details'!M988</f>
        <v>45754</v>
      </c>
      <c r="F180" s="31" t="str">
        <f>'Expense Details'!O988</f>
        <v>Car Rental</v>
      </c>
      <c r="G180" s="31" t="str">
        <f>'Expense Details'!Q988</f>
        <v>Enterprise</v>
      </c>
      <c r="H180" s="33">
        <f>'Expense Details'!V988</f>
        <v>660.52</v>
      </c>
      <c r="I180" s="33">
        <f>'Expense Details'!Z988</f>
        <v>960</v>
      </c>
      <c r="J180" s="33">
        <f>H180-I180</f>
        <v>-299.48</v>
      </c>
      <c r="K180" s="34">
        <f>IFERROR(MAX(0,H180/I180-1),0)</f>
        <v>0</v>
      </c>
      <c r="L180" s="31" t="str">
        <f>'Expense Details'!AC988</f>
        <v>No</v>
      </c>
      <c r="M180" s="35" t="s">
        <v>3503</v>
      </c>
      <c r="N180" s="31" t="str">
        <f>'Expense Details'!AG988</f>
        <v>Approved</v>
      </c>
      <c r="O180" s="31" t="str">
        <f>'Expense Details'!F988</f>
        <v>Sneha Iyer</v>
      </c>
    </row>
    <row r="181" spans="1:15">
      <c r="A181" s="31" t="str">
        <f>'Expense Details'!A989</f>
        <v>EXP-00988</v>
      </c>
      <c r="B181" s="31" t="str">
        <f>'Expense Details'!C989</f>
        <v>Laura Bianchi</v>
      </c>
      <c r="C181" s="31" t="str">
        <f>'Expense Details'!D989</f>
        <v>Customer Success</v>
      </c>
      <c r="D181" s="31" t="str">
        <f>'Expense Details'!G989</f>
        <v>TRP-2025-048</v>
      </c>
      <c r="E181" s="32">
        <f>'Expense Details'!M989</f>
        <v>45754</v>
      </c>
      <c r="F181" s="31" t="str">
        <f>'Expense Details'!O989</f>
        <v>Ground Transport - Rail</v>
      </c>
      <c r="G181" s="31" t="str">
        <f>'Expense Details'!Q989</f>
        <v>Deutsche Bahn</v>
      </c>
      <c r="H181" s="33">
        <f>'Expense Details'!V989</f>
        <v>190.98</v>
      </c>
      <c r="I181" s="33">
        <f>'Expense Details'!Z989</f>
        <v>150</v>
      </c>
      <c r="J181" s="33">
        <f>H181-I181</f>
        <v>40.97999999999999</v>
      </c>
      <c r="K181" s="34">
        <f>IFERROR(MAX(0,H181/I181-1),0)</f>
        <v>0.27319999999999989</v>
      </c>
      <c r="L181" s="31" t="str">
        <f>'Expense Details'!AC989</f>
        <v>Yes</v>
      </c>
      <c r="M181" s="35" t="s">
        <v>3502</v>
      </c>
      <c r="N181" s="31" t="str">
        <f>'Expense Details'!AG989</f>
        <v>Approved</v>
      </c>
      <c r="O181" s="31" t="str">
        <f>'Expense Details'!F989</f>
        <v>Sneha Iyer</v>
      </c>
    </row>
    <row r="182" spans="1:15">
      <c r="A182" s="31" t="str">
        <f>'Expense Details'!A992</f>
        <v>EXP-00991</v>
      </c>
      <c r="B182" s="31" t="str">
        <f>'Expense Details'!C992</f>
        <v>Laura Bianchi</v>
      </c>
      <c r="C182" s="31" t="str">
        <f>'Expense Details'!D992</f>
        <v>Customer Success</v>
      </c>
      <c r="D182" s="31" t="str">
        <f>'Expense Details'!G992</f>
        <v>TRP-2025-048</v>
      </c>
      <c r="E182" s="32">
        <f>'Expense Details'!M992</f>
        <v>45754</v>
      </c>
      <c r="F182" s="31" t="str">
        <f>'Expense Details'!O992</f>
        <v>Meals - Breakfast</v>
      </c>
      <c r="G182" s="31" t="str">
        <f>'Expense Details'!Q992</f>
        <v>Cafe Nero</v>
      </c>
      <c r="H182" s="33">
        <f>'Expense Details'!V992</f>
        <v>32.65</v>
      </c>
      <c r="I182" s="33">
        <f>'Expense Details'!Z992</f>
        <v>25</v>
      </c>
      <c r="J182" s="33">
        <f>H182-I182</f>
        <v>7.6499999999999986</v>
      </c>
      <c r="K182" s="34">
        <f>IFERROR(MAX(0,H182/I182-1),0)</f>
        <v>0.30600000000000005</v>
      </c>
      <c r="L182" s="31" t="str">
        <f>'Expense Details'!AC992</f>
        <v>Yes</v>
      </c>
      <c r="M182" s="35" t="s">
        <v>3502</v>
      </c>
      <c r="N182" s="31" t="str">
        <f>'Expense Details'!AG992</f>
        <v>Approved</v>
      </c>
      <c r="O182" s="31" t="str">
        <f>'Expense Details'!F992</f>
        <v>Sneha Iyer</v>
      </c>
    </row>
    <row r="183" spans="1:15">
      <c r="A183" s="31" t="str">
        <f>'Expense Details'!A999</f>
        <v>EXP-00998</v>
      </c>
      <c r="B183" s="31" t="str">
        <f>'Expense Details'!C999</f>
        <v>Grace Lin</v>
      </c>
      <c r="C183" s="31" t="str">
        <f>'Expense Details'!D999</f>
        <v>Marketing</v>
      </c>
      <c r="D183" s="31" t="str">
        <f>'Expense Details'!G999</f>
        <v>TRP-2025-135</v>
      </c>
      <c r="E183" s="32">
        <f>'Expense Details'!M999</f>
        <v>45754</v>
      </c>
      <c r="F183" s="31" t="str">
        <f>'Expense Details'!O999</f>
        <v>Hotel / Lodging</v>
      </c>
      <c r="G183" s="31" t="str">
        <f>'Expense Details'!Q999</f>
        <v>Novotel</v>
      </c>
      <c r="H183" s="33">
        <f>'Expense Details'!V999</f>
        <v>201.65810000000002</v>
      </c>
      <c r="I183" s="33">
        <f>'Expense Details'!Z999</f>
        <v>280</v>
      </c>
      <c r="J183" s="33">
        <f>H183-I183</f>
        <v>-78.341899999999981</v>
      </c>
      <c r="K183" s="34">
        <f>IFERROR(MAX(0,H183/I183-1),0)</f>
        <v>0</v>
      </c>
      <c r="L183" s="31" t="str">
        <f>'Expense Details'!AC999</f>
        <v>No</v>
      </c>
      <c r="M183" s="35" t="s">
        <v>3503</v>
      </c>
      <c r="N183" s="31" t="str">
        <f>'Expense Details'!AG999</f>
        <v>Approved</v>
      </c>
      <c r="O183" s="31" t="str">
        <f>'Expense Details'!F999</f>
        <v>Diane Okafor</v>
      </c>
    </row>
    <row r="184" spans="1:15">
      <c r="A184" s="31" t="str">
        <f>'Expense Details'!A1014</f>
        <v>EXP-01013</v>
      </c>
      <c r="B184" s="31" t="str">
        <f>'Expense Details'!C1014</f>
        <v>David Chen</v>
      </c>
      <c r="C184" s="31" t="str">
        <f>'Expense Details'!D1014</f>
        <v>Finance</v>
      </c>
      <c r="D184" s="31" t="str">
        <f>'Expense Details'!G1014</f>
        <v>TRP-2025-031</v>
      </c>
      <c r="E184" s="32">
        <f>'Expense Details'!M1014</f>
        <v>45756</v>
      </c>
      <c r="F184" s="31" t="str">
        <f>'Expense Details'!O1014</f>
        <v>Meals - Breakfast</v>
      </c>
      <c r="G184" s="31" t="str">
        <f>'Expense Details'!Q1014</f>
        <v>Cafe Nero</v>
      </c>
      <c r="H184" s="33">
        <f>'Expense Details'!V1014</f>
        <v>31.708550000000002</v>
      </c>
      <c r="I184" s="33">
        <f>'Expense Details'!Z1014</f>
        <v>25</v>
      </c>
      <c r="J184" s="33">
        <f>H184-I184</f>
        <v>6.7085500000000025</v>
      </c>
      <c r="K184" s="34">
        <f>IFERROR(MAX(0,H184/I184-1),0)</f>
        <v>0.26834200000000008</v>
      </c>
      <c r="L184" s="31" t="str">
        <f>'Expense Details'!AC1014</f>
        <v>Yes</v>
      </c>
      <c r="M184" s="35" t="s">
        <v>3502</v>
      </c>
      <c r="N184" s="31" t="str">
        <f>'Expense Details'!AG1014</f>
        <v>Approved</v>
      </c>
      <c r="O184" s="31" t="str">
        <f>'Expense Details'!F1014</f>
        <v>Diane Okafor</v>
      </c>
    </row>
    <row r="185" spans="1:15">
      <c r="A185" s="31" t="str">
        <f>'Expense Details'!A1015</f>
        <v>EXP-01014</v>
      </c>
      <c r="B185" s="31" t="str">
        <f>'Expense Details'!C1015</f>
        <v>David Chen</v>
      </c>
      <c r="C185" s="31" t="str">
        <f>'Expense Details'!D1015</f>
        <v>Finance</v>
      </c>
      <c r="D185" s="31" t="str">
        <f>'Expense Details'!G1015</f>
        <v>TRP-2025-031</v>
      </c>
      <c r="E185" s="32">
        <f>'Expense Details'!M1015</f>
        <v>45756</v>
      </c>
      <c r="F185" s="31" t="str">
        <f>'Expense Details'!O1015</f>
        <v>Meals - Dinner</v>
      </c>
      <c r="G185" s="31" t="str">
        <f>'Expense Details'!Q1015</f>
        <v>Osteria Vela</v>
      </c>
      <c r="H185" s="33">
        <f>'Expense Details'!V1015</f>
        <v>114.97215</v>
      </c>
      <c r="I185" s="33">
        <f>'Expense Details'!Z1015</f>
        <v>75</v>
      </c>
      <c r="J185" s="33">
        <f>H185-I185</f>
        <v>39.972149999999999</v>
      </c>
      <c r="K185" s="34">
        <f>IFERROR(MAX(0,H185/I185-1),0)</f>
        <v>0.53296199999999994</v>
      </c>
      <c r="L185" s="31" t="str">
        <f>'Expense Details'!AC1015</f>
        <v>Yes</v>
      </c>
      <c r="M185" s="35" t="s">
        <v>3502</v>
      </c>
      <c r="N185" s="31" t="str">
        <f>'Expense Details'!AG1015</f>
        <v>Approved</v>
      </c>
      <c r="O185" s="31" t="str">
        <f>'Expense Details'!F1015</f>
        <v>Diane Okafor</v>
      </c>
    </row>
    <row r="186" spans="1:15">
      <c r="A186" s="31" t="str">
        <f>'Expense Details'!A1016</f>
        <v>EXP-01015</v>
      </c>
      <c r="B186" s="31" t="str">
        <f>'Expense Details'!C1016</f>
        <v>David Chen</v>
      </c>
      <c r="C186" s="31" t="str">
        <f>'Expense Details'!D1016</f>
        <v>Finance</v>
      </c>
      <c r="D186" s="31" t="str">
        <f>'Expense Details'!G1016</f>
        <v>TRP-2025-031</v>
      </c>
      <c r="E186" s="32">
        <f>'Expense Details'!M1016</f>
        <v>45756</v>
      </c>
      <c r="F186" s="31" t="str">
        <f>'Expense Details'!O1016</f>
        <v>Meals - Lunch</v>
      </c>
      <c r="G186" s="31" t="str">
        <f>'Expense Details'!Q1016</f>
        <v>Local Bistro</v>
      </c>
      <c r="H186" s="33">
        <f>'Expense Details'!V1016</f>
        <v>50.277799999999999</v>
      </c>
      <c r="I186" s="33">
        <f>'Expense Details'!Z1016</f>
        <v>35</v>
      </c>
      <c r="J186" s="33">
        <f>H186-I186</f>
        <v>15.277799999999999</v>
      </c>
      <c r="K186" s="34">
        <f>IFERROR(MAX(0,H186/I186-1),0)</f>
        <v>0.43650857142857147</v>
      </c>
      <c r="L186" s="31" t="str">
        <f>'Expense Details'!AC1016</f>
        <v>Yes</v>
      </c>
      <c r="M186" s="35" t="s">
        <v>3502</v>
      </c>
      <c r="N186" s="31" t="str">
        <f>'Expense Details'!AG1016</f>
        <v>Approved</v>
      </c>
      <c r="O186" s="31" t="str">
        <f>'Expense Details'!F1016</f>
        <v>Diane Okafor</v>
      </c>
    </row>
    <row r="187" spans="1:15">
      <c r="A187" s="31" t="str">
        <f>'Expense Details'!A1021</f>
        <v>EXP-01020</v>
      </c>
      <c r="B187" s="31" t="str">
        <f>'Expense Details'!C1021</f>
        <v>Marcus Bell</v>
      </c>
      <c r="C187" s="31" t="str">
        <f>'Expense Details'!D1021</f>
        <v>Sales</v>
      </c>
      <c r="D187" s="31" t="str">
        <f>'Expense Details'!G1021</f>
        <v>TRP-2025-111</v>
      </c>
      <c r="E187" s="32">
        <f>'Expense Details'!M1021</f>
        <v>45756</v>
      </c>
      <c r="F187" s="31" t="str">
        <f>'Expense Details'!O1021</f>
        <v>Meals - Breakfast</v>
      </c>
      <c r="G187" s="31" t="str">
        <f>'Expense Details'!Q1021</f>
        <v>Local Bakery</v>
      </c>
      <c r="H187" s="33">
        <f>'Expense Details'!V1021</f>
        <v>27.410639999999997</v>
      </c>
      <c r="I187" s="33">
        <f>'Expense Details'!Z1021</f>
        <v>25</v>
      </c>
      <c r="J187" s="33">
        <f>H187-I187</f>
        <v>2.4106399999999972</v>
      </c>
      <c r="K187" s="34">
        <f>IFERROR(MAX(0,H187/I187-1),0)</f>
        <v>9.6425599999999889E-2</v>
      </c>
      <c r="L187" s="31" t="str">
        <f>'Expense Details'!AC1021</f>
        <v>Yes</v>
      </c>
      <c r="M187" s="35" t="s">
        <v>3502</v>
      </c>
      <c r="N187" s="31" t="str">
        <f>'Expense Details'!AG1021</f>
        <v>Approved</v>
      </c>
      <c r="O187" s="31" t="str">
        <f>'Expense Details'!F1021</f>
        <v>Diane Okafor</v>
      </c>
    </row>
    <row r="188" spans="1:15">
      <c r="A188" s="31" t="str">
        <f>'Expense Details'!A1023</f>
        <v>EXP-01022</v>
      </c>
      <c r="B188" s="31" t="str">
        <f>'Expense Details'!C1023</f>
        <v>David Chen</v>
      </c>
      <c r="C188" s="31" t="str">
        <f>'Expense Details'!D1023</f>
        <v>Finance</v>
      </c>
      <c r="D188" s="31" t="str">
        <f>'Expense Details'!G1023</f>
        <v>TRP-2025-031</v>
      </c>
      <c r="E188" s="32">
        <f>'Expense Details'!M1023</f>
        <v>45757</v>
      </c>
      <c r="F188" s="31" t="str">
        <f>'Expense Details'!O1023</f>
        <v>Ground Transport - Taxi</v>
      </c>
      <c r="G188" s="31" t="str">
        <f>'Expense Details'!Q1023</f>
        <v>Grab</v>
      </c>
      <c r="H188" s="33">
        <f>'Expense Details'!V1023</f>
        <v>64.104849999999999</v>
      </c>
      <c r="I188" s="33">
        <f>'Expense Details'!Z1023</f>
        <v>60</v>
      </c>
      <c r="J188" s="33">
        <f>H188-I188</f>
        <v>4.104849999999999</v>
      </c>
      <c r="K188" s="34">
        <f>IFERROR(MAX(0,H188/I188-1),0)</f>
        <v>6.8414166666666665E-2</v>
      </c>
      <c r="L188" s="31" t="str">
        <f>'Expense Details'!AC1023</f>
        <v>Yes</v>
      </c>
      <c r="M188" s="35" t="s">
        <v>3502</v>
      </c>
      <c r="N188" s="31" t="str">
        <f>'Expense Details'!AG1023</f>
        <v>Approved</v>
      </c>
      <c r="O188" s="31" t="str">
        <f>'Expense Details'!F1023</f>
        <v>Diane Okafor</v>
      </c>
    </row>
    <row r="189" spans="1:15">
      <c r="A189" s="31" t="str">
        <f>'Expense Details'!A1028</f>
        <v>EXP-01027</v>
      </c>
      <c r="B189" s="31" t="str">
        <f>'Expense Details'!C1028</f>
        <v>Laura Bianchi</v>
      </c>
      <c r="C189" s="31" t="str">
        <f>'Expense Details'!D1028</f>
        <v>Customer Success</v>
      </c>
      <c r="D189" s="31" t="str">
        <f>'Expense Details'!G1028</f>
        <v>TRP-2025-048</v>
      </c>
      <c r="E189" s="32">
        <f>'Expense Details'!M1028</f>
        <v>45757</v>
      </c>
      <c r="F189" s="31" t="str">
        <f>'Expense Details'!O1028</f>
        <v>Meals - Dinner</v>
      </c>
      <c r="G189" s="31" t="str">
        <f>'Expense Details'!Q1028</f>
        <v>Osteria Vela</v>
      </c>
      <c r="H189" s="33">
        <f>'Expense Details'!V1028</f>
        <v>63.16</v>
      </c>
      <c r="I189" s="33">
        <f>'Expense Details'!Z1028</f>
        <v>75</v>
      </c>
      <c r="J189" s="33">
        <f>H189-I189</f>
        <v>-11.840000000000003</v>
      </c>
      <c r="K189" s="34">
        <f>IFERROR(MAX(0,H189/I189-1),0)</f>
        <v>0</v>
      </c>
      <c r="L189" s="31" t="str">
        <f>'Expense Details'!AC1028</f>
        <v>No</v>
      </c>
      <c r="M189" s="35" t="s">
        <v>3503</v>
      </c>
      <c r="N189" s="31" t="str">
        <f>'Expense Details'!AG1028</f>
        <v>Approved</v>
      </c>
      <c r="O189" s="31" t="str">
        <f>'Expense Details'!F1028</f>
        <v>Sneha Iyer</v>
      </c>
    </row>
    <row r="190" spans="1:15">
      <c r="A190" s="31" t="str">
        <f>'Expense Details'!A1035</f>
        <v>EXP-01034</v>
      </c>
      <c r="B190" s="31" t="str">
        <f>'Expense Details'!C1035</f>
        <v>Laura Bianchi</v>
      </c>
      <c r="C190" s="31" t="str">
        <f>'Expense Details'!D1035</f>
        <v>Customer Success</v>
      </c>
      <c r="D190" s="31" t="str">
        <f>'Expense Details'!G1035</f>
        <v>TRP-2025-048</v>
      </c>
      <c r="E190" s="32">
        <f>'Expense Details'!M1035</f>
        <v>45758</v>
      </c>
      <c r="F190" s="31" t="str">
        <f>'Expense Details'!O1035</f>
        <v>Ground Transport - Taxi</v>
      </c>
      <c r="G190" s="31" t="str">
        <f>'Expense Details'!Q1035</f>
        <v>Ola Cabs</v>
      </c>
      <c r="H190" s="33">
        <f>'Expense Details'!V1035</f>
        <v>24.02</v>
      </c>
      <c r="I190" s="33">
        <f>'Expense Details'!Z1035</f>
        <v>60</v>
      </c>
      <c r="J190" s="33">
        <f>H190-I190</f>
        <v>-35.980000000000004</v>
      </c>
      <c r="K190" s="34">
        <f>IFERROR(MAX(0,H190/I190-1),0)</f>
        <v>0</v>
      </c>
      <c r="L190" s="31" t="str">
        <f>'Expense Details'!AC1035</f>
        <v>No</v>
      </c>
      <c r="M190" s="35" t="s">
        <v>3503</v>
      </c>
      <c r="N190" s="31" t="str">
        <f>'Expense Details'!AG1035</f>
        <v>Approved</v>
      </c>
      <c r="O190" s="31" t="str">
        <f>'Expense Details'!F1035</f>
        <v>Sneha Iyer</v>
      </c>
    </row>
    <row r="191" spans="1:15">
      <c r="A191" s="31" t="str">
        <f>'Expense Details'!A1036</f>
        <v>EXP-01035</v>
      </c>
      <c r="B191" s="31" t="str">
        <f>'Expense Details'!C1036</f>
        <v>Laura Bianchi</v>
      </c>
      <c r="C191" s="31" t="str">
        <f>'Expense Details'!D1036</f>
        <v>Customer Success</v>
      </c>
      <c r="D191" s="31" t="str">
        <f>'Expense Details'!G1036</f>
        <v>TRP-2025-048</v>
      </c>
      <c r="E191" s="32">
        <f>'Expense Details'!M1036</f>
        <v>45758</v>
      </c>
      <c r="F191" s="31" t="str">
        <f>'Expense Details'!O1036</f>
        <v>Meals - Breakfast</v>
      </c>
      <c r="G191" s="31" t="str">
        <f>'Expense Details'!Q1036</f>
        <v>Local Bakery</v>
      </c>
      <c r="H191" s="33">
        <f>'Expense Details'!V1036</f>
        <v>15.56</v>
      </c>
      <c r="I191" s="33">
        <f>'Expense Details'!Z1036</f>
        <v>25</v>
      </c>
      <c r="J191" s="33">
        <f>H191-I191</f>
        <v>-9.44</v>
      </c>
      <c r="K191" s="34">
        <f>IFERROR(MAX(0,H191/I191-1),0)</f>
        <v>0</v>
      </c>
      <c r="L191" s="31" t="str">
        <f>'Expense Details'!AC1036</f>
        <v>No</v>
      </c>
      <c r="M191" s="35" t="s">
        <v>3503</v>
      </c>
      <c r="N191" s="31" t="str">
        <f>'Expense Details'!AG1036</f>
        <v>Approved</v>
      </c>
      <c r="O191" s="31" t="str">
        <f>'Expense Details'!F1036</f>
        <v>Sneha Iyer</v>
      </c>
    </row>
    <row r="192" spans="1:15">
      <c r="A192" s="31" t="str">
        <f>'Expense Details'!A1044</f>
        <v>EXP-01043</v>
      </c>
      <c r="B192" s="31" t="str">
        <f>'Expense Details'!C1044</f>
        <v>Laura Bianchi</v>
      </c>
      <c r="C192" s="31" t="str">
        <f>'Expense Details'!D1044</f>
        <v>Customer Success</v>
      </c>
      <c r="D192" s="31" t="str">
        <f>'Expense Details'!G1044</f>
        <v>TRP-2025-048</v>
      </c>
      <c r="E192" s="32">
        <f>'Expense Details'!M1044</f>
        <v>45759</v>
      </c>
      <c r="F192" s="31" t="str">
        <f>'Expense Details'!O1044</f>
        <v>Meals - Dinner</v>
      </c>
      <c r="G192" s="31" t="str">
        <f>'Expense Details'!Q1044</f>
        <v>Brasserie Lyon</v>
      </c>
      <c r="H192" s="33">
        <f>'Expense Details'!V1044</f>
        <v>103.59</v>
      </c>
      <c r="I192" s="33">
        <f>'Expense Details'!Z1044</f>
        <v>75</v>
      </c>
      <c r="J192" s="33">
        <f>H192-I192</f>
        <v>28.590000000000003</v>
      </c>
      <c r="K192" s="34">
        <f>IFERROR(MAX(0,H192/I192-1),0)</f>
        <v>0.38119999999999998</v>
      </c>
      <c r="L192" s="31" t="str">
        <f>'Expense Details'!AC1044</f>
        <v>Yes</v>
      </c>
      <c r="M192" s="35" t="s">
        <v>3502</v>
      </c>
      <c r="N192" s="31" t="str">
        <f>'Expense Details'!AG1044</f>
        <v>Approved</v>
      </c>
      <c r="O192" s="31" t="str">
        <f>'Expense Details'!F1044</f>
        <v>Sneha Iyer</v>
      </c>
    </row>
    <row r="193" spans="1:15">
      <c r="A193" s="31" t="str">
        <f>'Expense Details'!A1054</f>
        <v>EXP-01053</v>
      </c>
      <c r="B193" s="31" t="str">
        <f>'Expense Details'!C1054</f>
        <v>Laura Bianchi</v>
      </c>
      <c r="C193" s="31" t="str">
        <f>'Expense Details'!D1054</f>
        <v>Customer Success</v>
      </c>
      <c r="D193" s="31" t="str">
        <f>'Expense Details'!G1054</f>
        <v>TRP-2025-048</v>
      </c>
      <c r="E193" s="32">
        <f>'Expense Details'!M1054</f>
        <v>45760</v>
      </c>
      <c r="F193" s="31" t="str">
        <f>'Expense Details'!O1054</f>
        <v>Ground Transport - Taxi</v>
      </c>
      <c r="G193" s="31" t="str">
        <f>'Expense Details'!Q1054</f>
        <v>Local Taxi</v>
      </c>
      <c r="H193" s="33">
        <f>'Expense Details'!V1054</f>
        <v>65.16</v>
      </c>
      <c r="I193" s="33">
        <f>'Expense Details'!Z1054</f>
        <v>60</v>
      </c>
      <c r="J193" s="33">
        <f>H193-I193</f>
        <v>5.1599999999999966</v>
      </c>
      <c r="K193" s="34">
        <f>IFERROR(MAX(0,H193/I193-1),0)</f>
        <v>8.5999999999999854E-2</v>
      </c>
      <c r="L193" s="31" t="str">
        <f>'Expense Details'!AC1054</f>
        <v>Yes</v>
      </c>
      <c r="M193" s="35" t="s">
        <v>3502</v>
      </c>
      <c r="N193" s="31" t="str">
        <f>'Expense Details'!AG1054</f>
        <v>Approved</v>
      </c>
      <c r="O193" s="31" t="str">
        <f>'Expense Details'!F1054</f>
        <v>Sneha Iyer</v>
      </c>
    </row>
    <row r="194" spans="1:15">
      <c r="A194" s="31" t="str">
        <f>'Expense Details'!A1060</f>
        <v>EXP-01059</v>
      </c>
      <c r="B194" s="31" t="str">
        <f>'Expense Details'!C1060</f>
        <v>Diego Ramirez</v>
      </c>
      <c r="C194" s="31" t="str">
        <f>'Expense Details'!D1060</f>
        <v>Sales</v>
      </c>
      <c r="D194" s="31" t="str">
        <f>'Expense Details'!G1060</f>
        <v>TRP-2025-050</v>
      </c>
      <c r="E194" s="32">
        <f>'Expense Details'!M1060</f>
        <v>45760</v>
      </c>
      <c r="F194" s="31" t="str">
        <f>'Expense Details'!O1060</f>
        <v>Meals - Lunch</v>
      </c>
      <c r="G194" s="31" t="str">
        <f>'Expense Details'!Q1060</f>
        <v>Sweetgreen</v>
      </c>
      <c r="H194" s="33">
        <f>'Expense Details'!V1060</f>
        <v>20.182876</v>
      </c>
      <c r="I194" s="33">
        <f>'Expense Details'!Z1060</f>
        <v>35</v>
      </c>
      <c r="J194" s="33">
        <f>H194-I194</f>
        <v>-14.817124</v>
      </c>
      <c r="K194" s="34">
        <f>IFERROR(MAX(0,H194/I194-1),0)</f>
        <v>0</v>
      </c>
      <c r="L194" s="31" t="str">
        <f>'Expense Details'!AC1060</f>
        <v>No</v>
      </c>
      <c r="M194" s="35" t="s">
        <v>3503</v>
      </c>
      <c r="N194" s="31" t="str">
        <f>'Expense Details'!AG1060</f>
        <v>Pending Approval</v>
      </c>
      <c r="O194" s="31" t="str">
        <f>'Expense Details'!F1060</f>
        <v>Marcus Bell</v>
      </c>
    </row>
    <row r="195" spans="1:15">
      <c r="A195" s="31" t="str">
        <f>'Expense Details'!A1062</f>
        <v>EXP-01061</v>
      </c>
      <c r="B195" s="31" t="str">
        <f>'Expense Details'!C1062</f>
        <v>David Chen</v>
      </c>
      <c r="C195" s="31" t="str">
        <f>'Expense Details'!D1062</f>
        <v>Finance</v>
      </c>
      <c r="D195" s="31" t="str">
        <f>'Expense Details'!G1062</f>
        <v>TRP-2025-031</v>
      </c>
      <c r="E195" s="32">
        <f>'Expense Details'!M1062</f>
        <v>45761</v>
      </c>
      <c r="F195" s="31" t="str">
        <f>'Expense Details'!O1062</f>
        <v>Meals - Breakfast</v>
      </c>
      <c r="G195" s="31" t="str">
        <f>'Expense Details'!Q1062</f>
        <v>Starbucks</v>
      </c>
      <c r="H195" s="33">
        <f>'Expense Details'!V1062</f>
        <v>23.842000000000002</v>
      </c>
      <c r="I195" s="33">
        <f>'Expense Details'!Z1062</f>
        <v>25</v>
      </c>
      <c r="J195" s="33">
        <f>H195-I195</f>
        <v>-1.1579999999999977</v>
      </c>
      <c r="K195" s="34">
        <f>IFERROR(MAX(0,H195/I195-1),0)</f>
        <v>0</v>
      </c>
      <c r="L195" s="31" t="str">
        <f>'Expense Details'!AC1062</f>
        <v>No</v>
      </c>
      <c r="M195" s="35" t="s">
        <v>3503</v>
      </c>
      <c r="N195" s="31" t="str">
        <f>'Expense Details'!AG1062</f>
        <v>Approved</v>
      </c>
      <c r="O195" s="31" t="str">
        <f>'Expense Details'!F1062</f>
        <v>Diane Okafor</v>
      </c>
    </row>
    <row r="196" spans="1:15">
      <c r="A196" s="31" t="str">
        <f>'Expense Details'!A1067</f>
        <v>EXP-01066</v>
      </c>
      <c r="B196" s="31" t="str">
        <f>'Expense Details'!C1067</f>
        <v>Laura Bianchi</v>
      </c>
      <c r="C196" s="31" t="str">
        <f>'Expense Details'!D1067</f>
        <v>Customer Success</v>
      </c>
      <c r="D196" s="31" t="str">
        <f>'Expense Details'!G1067</f>
        <v>TRP-2025-048</v>
      </c>
      <c r="E196" s="32">
        <f>'Expense Details'!M1067</f>
        <v>45761</v>
      </c>
      <c r="F196" s="31" t="str">
        <f>'Expense Details'!O1067</f>
        <v>Meals - Dinner</v>
      </c>
      <c r="G196" s="31" t="str">
        <f>'Expense Details'!Q1067</f>
        <v>Brasserie Lyon</v>
      </c>
      <c r="H196" s="33">
        <f>'Expense Details'!V1067</f>
        <v>110.18</v>
      </c>
      <c r="I196" s="33">
        <f>'Expense Details'!Z1067</f>
        <v>75</v>
      </c>
      <c r="J196" s="33">
        <f>H196-I196</f>
        <v>35.180000000000007</v>
      </c>
      <c r="K196" s="34">
        <f>IFERROR(MAX(0,H196/I196-1),0)</f>
        <v>0.46906666666666674</v>
      </c>
      <c r="L196" s="31" t="str">
        <f>'Expense Details'!AC1067</f>
        <v>Yes</v>
      </c>
      <c r="M196" s="35" t="s">
        <v>3502</v>
      </c>
      <c r="N196" s="31" t="str">
        <f>'Expense Details'!AG1067</f>
        <v>Approved</v>
      </c>
      <c r="O196" s="31" t="str">
        <f>'Expense Details'!F1067</f>
        <v>Sneha Iyer</v>
      </c>
    </row>
    <row r="197" spans="1:15">
      <c r="A197" s="31" t="str">
        <f>'Expense Details'!A1081</f>
        <v>EXP-01080</v>
      </c>
      <c r="B197" s="31" t="str">
        <f>'Expense Details'!C1081</f>
        <v>David Chen</v>
      </c>
      <c r="C197" s="31" t="str">
        <f>'Expense Details'!D1081</f>
        <v>Finance</v>
      </c>
      <c r="D197" s="31" t="str">
        <f>'Expense Details'!G1081</f>
        <v>TRP-2025-015</v>
      </c>
      <c r="E197" s="32">
        <f>'Expense Details'!M1081</f>
        <v>45763</v>
      </c>
      <c r="F197" s="31" t="str">
        <f>'Expense Details'!O1081</f>
        <v>Meals - Breakfast</v>
      </c>
      <c r="G197" s="31" t="str">
        <f>'Expense Details'!Q1081</f>
        <v>Hotel Restaurant</v>
      </c>
      <c r="H197" s="33">
        <f>'Expense Details'!V1081</f>
        <v>36.635800000000003</v>
      </c>
      <c r="I197" s="33">
        <f>'Expense Details'!Z1081</f>
        <v>25</v>
      </c>
      <c r="J197" s="33">
        <f>H197-I197</f>
        <v>11.635800000000003</v>
      </c>
      <c r="K197" s="34">
        <f>IFERROR(MAX(0,H197/I197-1),0)</f>
        <v>0.46543200000000007</v>
      </c>
      <c r="L197" s="31" t="str">
        <f>'Expense Details'!AC1081</f>
        <v>No</v>
      </c>
      <c r="M197" s="35" t="s">
        <v>3504</v>
      </c>
      <c r="N197" s="31" t="str">
        <f>'Expense Details'!AG1081</f>
        <v>Rejected</v>
      </c>
      <c r="O197" s="31" t="str">
        <f>'Expense Details'!F1081</f>
        <v>Diane Okafor</v>
      </c>
    </row>
    <row r="198" spans="1:15">
      <c r="A198" s="31" t="str">
        <f>'Expense Details'!A1087</f>
        <v>EXP-01086</v>
      </c>
      <c r="B198" s="31" t="str">
        <f>'Expense Details'!C1087</f>
        <v>Priya Nair</v>
      </c>
      <c r="C198" s="31" t="str">
        <f>'Expense Details'!D1087</f>
        <v>Field Engineering</v>
      </c>
      <c r="D198" s="31" t="str">
        <f>'Expense Details'!G1087</f>
        <v>TRP-2025-058</v>
      </c>
      <c r="E198" s="32">
        <f>'Expense Details'!M1087</f>
        <v>45763</v>
      </c>
      <c r="F198" s="31" t="str">
        <f>'Expense Details'!O1087</f>
        <v>Meals - Lunch</v>
      </c>
      <c r="G198" s="31" t="str">
        <f>'Expense Details'!Q1087</f>
        <v>Pret A Manger</v>
      </c>
      <c r="H198" s="33">
        <f>'Expense Details'!V1087</f>
        <v>52.385660000000001</v>
      </c>
      <c r="I198" s="33">
        <f>'Expense Details'!Z1087</f>
        <v>35</v>
      </c>
      <c r="J198" s="33">
        <f>H198-I198</f>
        <v>17.385660000000001</v>
      </c>
      <c r="K198" s="34">
        <f>IFERROR(MAX(0,H198/I198-1),0)</f>
        <v>0.49673314285714287</v>
      </c>
      <c r="L198" s="31" t="str">
        <f>'Expense Details'!AC1087</f>
        <v>Yes</v>
      </c>
      <c r="M198" s="35" t="s">
        <v>3502</v>
      </c>
      <c r="N198" s="31" t="str">
        <f>'Expense Details'!AG1087</f>
        <v>Approved</v>
      </c>
      <c r="O198" s="31" t="str">
        <f>'Expense Details'!F1087</f>
        <v>Tomas Kovac</v>
      </c>
    </row>
    <row r="199" spans="1:15">
      <c r="A199" s="31" t="str">
        <f>'Expense Details'!A1092</f>
        <v>EXP-01091</v>
      </c>
      <c r="B199" s="31" t="str">
        <f>'Expense Details'!C1092</f>
        <v>David Chen</v>
      </c>
      <c r="C199" s="31" t="str">
        <f>'Expense Details'!D1092</f>
        <v>Finance</v>
      </c>
      <c r="D199" s="31" t="str">
        <f>'Expense Details'!G1092</f>
        <v>TRP-2025-015</v>
      </c>
      <c r="E199" s="32">
        <f>'Expense Details'!M1092</f>
        <v>45764</v>
      </c>
      <c r="F199" s="31" t="str">
        <f>'Expense Details'!O1092</f>
        <v>Meals - Dinner</v>
      </c>
      <c r="G199" s="31" t="str">
        <f>'Expense Details'!Q1092</f>
        <v>Osteria Vela</v>
      </c>
      <c r="H199" s="33">
        <f>'Expense Details'!V1092</f>
        <v>61.468040000000002</v>
      </c>
      <c r="I199" s="33">
        <f>'Expense Details'!Z1092</f>
        <v>75</v>
      </c>
      <c r="J199" s="33">
        <f>H199-I199</f>
        <v>-13.531959999999998</v>
      </c>
      <c r="K199" s="34">
        <f>IFERROR(MAX(0,H199/I199-1),0)</f>
        <v>0</v>
      </c>
      <c r="L199" s="31" t="str">
        <f>'Expense Details'!AC1092</f>
        <v>No</v>
      </c>
      <c r="M199" s="35" t="s">
        <v>3503</v>
      </c>
      <c r="N199" s="31" t="str">
        <f>'Expense Details'!AG1092</f>
        <v>Rejected</v>
      </c>
      <c r="O199" s="31" t="str">
        <f>'Expense Details'!F1092</f>
        <v>Diane Okafor</v>
      </c>
    </row>
    <row r="200" spans="1:15">
      <c r="A200" s="31" t="str">
        <f>'Expense Details'!A1100</f>
        <v>EXP-01099</v>
      </c>
      <c r="B200" s="31" t="str">
        <f>'Expense Details'!C1100</f>
        <v>David Chen</v>
      </c>
      <c r="C200" s="31" t="str">
        <f>'Expense Details'!D1100</f>
        <v>Finance</v>
      </c>
      <c r="D200" s="31" t="str">
        <f>'Expense Details'!G1100</f>
        <v>TRP-2025-015</v>
      </c>
      <c r="E200" s="32">
        <f>'Expense Details'!M1100</f>
        <v>45765</v>
      </c>
      <c r="F200" s="31" t="str">
        <f>'Expense Details'!O1100</f>
        <v>Meals - Dinner</v>
      </c>
      <c r="G200" s="31" t="str">
        <f>'Expense Details'!Q1100</f>
        <v>Sakura Izakaya</v>
      </c>
      <c r="H200" s="33">
        <f>'Expense Details'!V1100</f>
        <v>30.321720000000003</v>
      </c>
      <c r="I200" s="33">
        <f>'Expense Details'!Z1100</f>
        <v>75</v>
      </c>
      <c r="J200" s="33">
        <f>H200-I200</f>
        <v>-44.678280000000001</v>
      </c>
      <c r="K200" s="34">
        <f>IFERROR(MAX(0,H200/I200-1),0)</f>
        <v>0</v>
      </c>
      <c r="L200" s="31" t="str">
        <f>'Expense Details'!AC1100</f>
        <v>No</v>
      </c>
      <c r="M200" s="35" t="s">
        <v>3503</v>
      </c>
      <c r="N200" s="31" t="str">
        <f>'Expense Details'!AG1100</f>
        <v>Rejected</v>
      </c>
      <c r="O200" s="31" t="str">
        <f>'Expense Details'!F1100</f>
        <v>Diane Okafor</v>
      </c>
    </row>
    <row r="201" spans="1:15">
      <c r="A201" s="31" t="str">
        <f>'Expense Details'!A1102</f>
        <v>EXP-01101</v>
      </c>
      <c r="B201" s="31" t="str">
        <f>'Expense Details'!C1102</f>
        <v>Priya Nair</v>
      </c>
      <c r="C201" s="31" t="str">
        <f>'Expense Details'!D1102</f>
        <v>Field Engineering</v>
      </c>
      <c r="D201" s="31" t="str">
        <f>'Expense Details'!G1102</f>
        <v>TRP-2025-058</v>
      </c>
      <c r="E201" s="32">
        <f>'Expense Details'!M1102</f>
        <v>45765</v>
      </c>
      <c r="F201" s="31" t="str">
        <f>'Expense Details'!O1102</f>
        <v>Meals - Breakfast</v>
      </c>
      <c r="G201" s="31" t="str">
        <f>'Expense Details'!Q1102</f>
        <v>Hotel Restaurant</v>
      </c>
      <c r="H201" s="33">
        <f>'Expense Details'!V1102</f>
        <v>29.014140000000001</v>
      </c>
      <c r="I201" s="33">
        <f>'Expense Details'!Z1102</f>
        <v>25</v>
      </c>
      <c r="J201" s="33">
        <f>H201-I201</f>
        <v>4.0141400000000012</v>
      </c>
      <c r="K201" s="34">
        <f>IFERROR(MAX(0,H201/I201-1),0)</f>
        <v>0.16056559999999998</v>
      </c>
      <c r="L201" s="31" t="str">
        <f>'Expense Details'!AC1102</f>
        <v>No</v>
      </c>
      <c r="M201" s="35" t="s">
        <v>3504</v>
      </c>
      <c r="N201" s="31" t="str">
        <f>'Expense Details'!AG1102</f>
        <v>Approved</v>
      </c>
      <c r="O201" s="31" t="str">
        <f>'Expense Details'!F1102</f>
        <v>Tomas Kovac</v>
      </c>
    </row>
    <row r="202" spans="1:15">
      <c r="A202" s="31" t="str">
        <f>'Expense Details'!A1111</f>
        <v>EXP-01110</v>
      </c>
      <c r="B202" s="31" t="str">
        <f>'Expense Details'!C1111</f>
        <v>David Chen</v>
      </c>
      <c r="C202" s="31" t="str">
        <f>'Expense Details'!D1111</f>
        <v>Finance</v>
      </c>
      <c r="D202" s="31" t="str">
        <f>'Expense Details'!G1111</f>
        <v>TRP-2025-015</v>
      </c>
      <c r="E202" s="32">
        <f>'Expense Details'!M1111</f>
        <v>45767</v>
      </c>
      <c r="F202" s="31" t="str">
        <f>'Expense Details'!O1111</f>
        <v>Meals - Lunch</v>
      </c>
      <c r="G202" s="31" t="str">
        <f>'Expense Details'!Q1111</f>
        <v>Food Court</v>
      </c>
      <c r="H202" s="33">
        <f>'Expense Details'!V1111</f>
        <v>40.60566</v>
      </c>
      <c r="I202" s="33">
        <f>'Expense Details'!Z1111</f>
        <v>35</v>
      </c>
      <c r="J202" s="33">
        <f>H202-I202</f>
        <v>5.6056600000000003</v>
      </c>
      <c r="K202" s="34">
        <f>IFERROR(MAX(0,H202/I202-1),0)</f>
        <v>0.16016171428571435</v>
      </c>
      <c r="L202" s="31" t="str">
        <f>'Expense Details'!AC1111</f>
        <v>Yes</v>
      </c>
      <c r="M202" s="35" t="s">
        <v>3502</v>
      </c>
      <c r="N202" s="31" t="str">
        <f>'Expense Details'!AG1111</f>
        <v>Rejected</v>
      </c>
      <c r="O202" s="31" t="str">
        <f>'Expense Details'!F1111</f>
        <v>Diane Okafor</v>
      </c>
    </row>
    <row r="203" spans="1:15">
      <c r="A203" s="31" t="str">
        <f>'Expense Details'!A1114</f>
        <v>EXP-01113</v>
      </c>
      <c r="B203" s="31" t="str">
        <f>'Expense Details'!C1114</f>
        <v>David Chen</v>
      </c>
      <c r="C203" s="31" t="str">
        <f>'Expense Details'!D1114</f>
        <v>Finance</v>
      </c>
      <c r="D203" s="31" t="str">
        <f>'Expense Details'!G1114</f>
        <v>TRP-2025-015</v>
      </c>
      <c r="E203" s="32">
        <f>'Expense Details'!M1114</f>
        <v>45768</v>
      </c>
      <c r="F203" s="31" t="str">
        <f>'Expense Details'!O1114</f>
        <v>Ground Transport - Taxi</v>
      </c>
      <c r="G203" s="31" t="str">
        <f>'Expense Details'!Q1114</f>
        <v>Ola Cabs</v>
      </c>
      <c r="H203" s="33">
        <f>'Expense Details'!V1114</f>
        <v>44.528400000000005</v>
      </c>
      <c r="I203" s="33">
        <f>'Expense Details'!Z1114</f>
        <v>60</v>
      </c>
      <c r="J203" s="33">
        <f>H203-I203</f>
        <v>-15.471599999999995</v>
      </c>
      <c r="K203" s="34">
        <f>IFERROR(MAX(0,H203/I203-1),0)</f>
        <v>0</v>
      </c>
      <c r="L203" s="31" t="str">
        <f>'Expense Details'!AC1114</f>
        <v>No</v>
      </c>
      <c r="M203" s="35" t="s">
        <v>3503</v>
      </c>
      <c r="N203" s="31" t="str">
        <f>'Expense Details'!AG1114</f>
        <v>Rejected</v>
      </c>
      <c r="O203" s="31" t="str">
        <f>'Expense Details'!F1114</f>
        <v>Diane Okafor</v>
      </c>
    </row>
    <row r="204" spans="1:15">
      <c r="A204" s="31" t="str">
        <f>'Expense Details'!A1117</f>
        <v>EXP-01116</v>
      </c>
      <c r="B204" s="31" t="str">
        <f>'Expense Details'!C1117</f>
        <v>David Chen</v>
      </c>
      <c r="C204" s="31" t="str">
        <f>'Expense Details'!D1117</f>
        <v>Finance</v>
      </c>
      <c r="D204" s="31" t="str">
        <f>'Expense Details'!G1117</f>
        <v>TRP-2025-015</v>
      </c>
      <c r="E204" s="32">
        <f>'Expense Details'!M1117</f>
        <v>45768</v>
      </c>
      <c r="F204" s="31" t="str">
        <f>'Expense Details'!O1117</f>
        <v>Meals - Lunch</v>
      </c>
      <c r="G204" s="31" t="str">
        <f>'Expense Details'!Q1117</f>
        <v>Local Bistro</v>
      </c>
      <c r="H204" s="33">
        <f>'Expense Details'!V1117</f>
        <v>41.477380000000004</v>
      </c>
      <c r="I204" s="33">
        <f>'Expense Details'!Z1117</f>
        <v>35</v>
      </c>
      <c r="J204" s="33">
        <f>H204-I204</f>
        <v>6.4773800000000037</v>
      </c>
      <c r="K204" s="34">
        <f>IFERROR(MAX(0,H204/I204-1),0)</f>
        <v>0.18506800000000001</v>
      </c>
      <c r="L204" s="31" t="str">
        <f>'Expense Details'!AC1117</f>
        <v>Yes</v>
      </c>
      <c r="M204" s="35" t="s">
        <v>3502</v>
      </c>
      <c r="N204" s="31" t="str">
        <f>'Expense Details'!AG1117</f>
        <v>Rejected</v>
      </c>
      <c r="O204" s="31" t="str">
        <f>'Expense Details'!F1117</f>
        <v>Diane Okafor</v>
      </c>
    </row>
    <row r="205" spans="1:15">
      <c r="A205" s="31" t="str">
        <f>'Expense Details'!A1123</f>
        <v>EXP-01122</v>
      </c>
      <c r="B205" s="31" t="str">
        <f>'Expense Details'!C1123</f>
        <v>David Chen</v>
      </c>
      <c r="C205" s="31" t="str">
        <f>'Expense Details'!D1123</f>
        <v>Finance</v>
      </c>
      <c r="D205" s="31" t="str">
        <f>'Expense Details'!G1123</f>
        <v>TRP-2025-015</v>
      </c>
      <c r="E205" s="32">
        <f>'Expense Details'!M1123</f>
        <v>45769</v>
      </c>
      <c r="F205" s="31" t="str">
        <f>'Expense Details'!O1123</f>
        <v>Meals - Breakfast</v>
      </c>
      <c r="G205" s="31" t="str">
        <f>'Expense Details'!Q1123</f>
        <v>Cafe Nero</v>
      </c>
      <c r="H205" s="33">
        <f>'Expense Details'!V1123</f>
        <v>32.642380000000003</v>
      </c>
      <c r="I205" s="33">
        <f>'Expense Details'!Z1123</f>
        <v>25</v>
      </c>
      <c r="J205" s="33">
        <f>H205-I205</f>
        <v>7.6423800000000028</v>
      </c>
      <c r="K205" s="34">
        <f>IFERROR(MAX(0,H205/I205-1),0)</f>
        <v>0.30569520000000017</v>
      </c>
      <c r="L205" s="31" t="str">
        <f>'Expense Details'!AC1123</f>
        <v>Yes</v>
      </c>
      <c r="M205" s="35" t="s">
        <v>3502</v>
      </c>
      <c r="N205" s="31" t="str">
        <f>'Expense Details'!AG1123</f>
        <v>Rejected</v>
      </c>
      <c r="O205" s="31" t="str">
        <f>'Expense Details'!F1123</f>
        <v>Diane Okafor</v>
      </c>
    </row>
    <row r="206" spans="1:15">
      <c r="A206" s="31" t="str">
        <f>'Expense Details'!A1138</f>
        <v>EXP-01137</v>
      </c>
      <c r="B206" s="31" t="str">
        <f>'Expense Details'!C1138</f>
        <v>Arjun Deshpande</v>
      </c>
      <c r="C206" s="31" t="str">
        <f>'Expense Details'!D1138</f>
        <v>Product</v>
      </c>
      <c r="D206" s="31" t="str">
        <f>'Expense Details'!G1138</f>
        <v>TRP-2025-104</v>
      </c>
      <c r="E206" s="32">
        <f>'Expense Details'!M1138</f>
        <v>45771</v>
      </c>
      <c r="F206" s="31" t="str">
        <f>'Expense Details'!O1138</f>
        <v>Meals - Breakfast</v>
      </c>
      <c r="G206" s="31" t="str">
        <f>'Expense Details'!Q1138</f>
        <v>Local Bakery</v>
      </c>
      <c r="H206" s="33">
        <f>'Expense Details'!V1138</f>
        <v>24.5</v>
      </c>
      <c r="I206" s="33">
        <f>'Expense Details'!Z1138</f>
        <v>25</v>
      </c>
      <c r="J206" s="33">
        <f>H206-I206</f>
        <v>-0.5</v>
      </c>
      <c r="K206" s="34">
        <f>IFERROR(MAX(0,H206/I206-1),0)</f>
        <v>0</v>
      </c>
      <c r="L206" s="31" t="str">
        <f>'Expense Details'!AC1138</f>
        <v>No</v>
      </c>
      <c r="M206" s="35" t="s">
        <v>3503</v>
      </c>
      <c r="N206" s="31" t="str">
        <f>'Expense Details'!AG1138</f>
        <v>Approved</v>
      </c>
      <c r="O206" s="31" t="str">
        <f>'Expense Details'!F1138</f>
        <v>Elena Duarte</v>
      </c>
    </row>
    <row r="207" spans="1:15">
      <c r="A207" s="31" t="str">
        <f>'Expense Details'!A1141</f>
        <v>EXP-01140</v>
      </c>
      <c r="B207" s="31" t="str">
        <f>'Expense Details'!C1141</f>
        <v>Arjun Deshpande</v>
      </c>
      <c r="C207" s="31" t="str">
        <f>'Expense Details'!D1141</f>
        <v>Product</v>
      </c>
      <c r="D207" s="31" t="str">
        <f>'Expense Details'!G1141</f>
        <v>TRP-2025-104</v>
      </c>
      <c r="E207" s="32">
        <f>'Expense Details'!M1141</f>
        <v>45772</v>
      </c>
      <c r="F207" s="31" t="str">
        <f>'Expense Details'!O1141</f>
        <v>Ground Transport - Taxi</v>
      </c>
      <c r="G207" s="31" t="str">
        <f>'Expense Details'!Q1141</f>
        <v>Uber</v>
      </c>
      <c r="H207" s="33">
        <f>'Expense Details'!V1141</f>
        <v>70.86</v>
      </c>
      <c r="I207" s="33">
        <f>'Expense Details'!Z1141</f>
        <v>60</v>
      </c>
      <c r="J207" s="33">
        <f>H207-I207</f>
        <v>10.86</v>
      </c>
      <c r="K207" s="34">
        <f>IFERROR(MAX(0,H207/I207-1),0)</f>
        <v>0.18100000000000005</v>
      </c>
      <c r="L207" s="31" t="str">
        <f>'Expense Details'!AC1141</f>
        <v>Yes</v>
      </c>
      <c r="M207" s="35" t="s">
        <v>3502</v>
      </c>
      <c r="N207" s="31" t="str">
        <f>'Expense Details'!AG1141</f>
        <v>Approved</v>
      </c>
      <c r="O207" s="31" t="str">
        <f>'Expense Details'!F1141</f>
        <v>Elena Duarte</v>
      </c>
    </row>
    <row r="208" spans="1:15">
      <c r="A208" s="31" t="str">
        <f>'Expense Details'!A1145</f>
        <v>EXP-01144</v>
      </c>
      <c r="B208" s="31" t="str">
        <f>'Expense Details'!C1145</f>
        <v>Samuel Adeyemi</v>
      </c>
      <c r="C208" s="31" t="str">
        <f>'Expense Details'!D1145</f>
        <v>Field Engineering</v>
      </c>
      <c r="D208" s="31" t="str">
        <f>'Expense Details'!G1145</f>
        <v>TRP-2025-001</v>
      </c>
      <c r="E208" s="32">
        <f>'Expense Details'!M1145</f>
        <v>45773</v>
      </c>
      <c r="F208" s="31" t="str">
        <f>'Expense Details'!O1145</f>
        <v>Airfare</v>
      </c>
      <c r="G208" s="31" t="str">
        <f>'Expense Details'!Q1145</f>
        <v>British Airways</v>
      </c>
      <c r="H208" s="33">
        <f>'Expense Details'!V1145</f>
        <v>2311.58016</v>
      </c>
      <c r="I208" s="33">
        <f>'Expense Details'!Z1145</f>
        <v>1400</v>
      </c>
      <c r="J208" s="33">
        <f>H208-I208</f>
        <v>911.58015999999998</v>
      </c>
      <c r="K208" s="34">
        <f>IFERROR(MAX(0,H208/I208-1),0)</f>
        <v>0.65112868571428573</v>
      </c>
      <c r="L208" s="31" t="str">
        <f>'Expense Details'!AC1145</f>
        <v>Yes</v>
      </c>
      <c r="M208" s="35" t="s">
        <v>3502</v>
      </c>
      <c r="N208" s="31" t="str">
        <f>'Expense Details'!AG1145</f>
        <v>Approved</v>
      </c>
      <c r="O208" s="31" t="str">
        <f>'Expense Details'!F1145</f>
        <v>Tomas Kovac</v>
      </c>
    </row>
    <row r="209" spans="1:15">
      <c r="A209" s="31" t="str">
        <f>'Expense Details'!A1150</f>
        <v>EXP-01149</v>
      </c>
      <c r="B209" s="31" t="str">
        <f>'Expense Details'!C1150</f>
        <v>Arjun Deshpande</v>
      </c>
      <c r="C209" s="31" t="str">
        <f>'Expense Details'!D1150</f>
        <v>Product</v>
      </c>
      <c r="D209" s="31" t="str">
        <f>'Expense Details'!G1150</f>
        <v>TRP-2025-104</v>
      </c>
      <c r="E209" s="32">
        <f>'Expense Details'!M1150</f>
        <v>45773</v>
      </c>
      <c r="F209" s="31" t="str">
        <f>'Expense Details'!O1150</f>
        <v>Laundry</v>
      </c>
      <c r="G209" s="31" t="str">
        <f>'Expense Details'!Q1150</f>
        <v>Hotel Laundry Service</v>
      </c>
      <c r="H209" s="33">
        <f>'Expense Details'!V1150</f>
        <v>26.03</v>
      </c>
      <c r="I209" s="33">
        <f>'Expense Details'!Z1150</f>
        <v>30</v>
      </c>
      <c r="J209" s="33">
        <f>H209-I209</f>
        <v>-3.9699999999999989</v>
      </c>
      <c r="K209" s="34">
        <f>IFERROR(MAX(0,H209/I209-1),0)</f>
        <v>0</v>
      </c>
      <c r="L209" s="31" t="str">
        <f>'Expense Details'!AC1150</f>
        <v>No</v>
      </c>
      <c r="M209" s="35" t="s">
        <v>3503</v>
      </c>
      <c r="N209" s="31" t="str">
        <f>'Expense Details'!AG1150</f>
        <v>Approved</v>
      </c>
      <c r="O209" s="31" t="str">
        <f>'Expense Details'!F1150</f>
        <v>Elena Duarte</v>
      </c>
    </row>
    <row r="210" spans="1:15">
      <c r="A210" s="31" t="str">
        <f>'Expense Details'!A1158</f>
        <v>EXP-01157</v>
      </c>
      <c r="B210" s="31" t="str">
        <f>'Expense Details'!C1158</f>
        <v>Arjun Deshpande</v>
      </c>
      <c r="C210" s="31" t="str">
        <f>'Expense Details'!D1158</f>
        <v>Product</v>
      </c>
      <c r="D210" s="31" t="str">
        <f>'Expense Details'!G1158</f>
        <v>TRP-2025-104</v>
      </c>
      <c r="E210" s="32">
        <f>'Expense Details'!M1158</f>
        <v>45774</v>
      </c>
      <c r="F210" s="31" t="str">
        <f>'Expense Details'!O1158</f>
        <v>Ground Transport - Taxi</v>
      </c>
      <c r="G210" s="31" t="str">
        <f>'Expense Details'!Q1158</f>
        <v>Uber</v>
      </c>
      <c r="H210" s="33">
        <f>'Expense Details'!V1158</f>
        <v>25.47</v>
      </c>
      <c r="I210" s="33">
        <f>'Expense Details'!Z1158</f>
        <v>60</v>
      </c>
      <c r="J210" s="33">
        <f>H210-I210</f>
        <v>-34.53</v>
      </c>
      <c r="K210" s="34">
        <f>IFERROR(MAX(0,H210/I210-1),0)</f>
        <v>0</v>
      </c>
      <c r="L210" s="31" t="str">
        <f>'Expense Details'!AC1158</f>
        <v>No</v>
      </c>
      <c r="M210" s="35" t="s">
        <v>3503</v>
      </c>
      <c r="N210" s="31" t="str">
        <f>'Expense Details'!AG1158</f>
        <v>Approved</v>
      </c>
      <c r="O210" s="31" t="str">
        <f>'Expense Details'!F1158</f>
        <v>Elena Duarte</v>
      </c>
    </row>
    <row r="211" spans="1:15">
      <c r="A211" s="31" t="str">
        <f>'Expense Details'!A1159</f>
        <v>EXP-01158</v>
      </c>
      <c r="B211" s="31" t="str">
        <f>'Expense Details'!C1159</f>
        <v>Arjun Deshpande</v>
      </c>
      <c r="C211" s="31" t="str">
        <f>'Expense Details'!D1159</f>
        <v>Product</v>
      </c>
      <c r="D211" s="31" t="str">
        <f>'Expense Details'!G1159</f>
        <v>TRP-2025-104</v>
      </c>
      <c r="E211" s="32">
        <f>'Expense Details'!M1159</f>
        <v>45774</v>
      </c>
      <c r="F211" s="31" t="str">
        <f>'Expense Details'!O1159</f>
        <v>Meals - Dinner</v>
      </c>
      <c r="G211" s="31" t="str">
        <f>'Expense Details'!Q1159</f>
        <v>Brasserie Lyon</v>
      </c>
      <c r="H211" s="33">
        <f>'Expense Details'!V1159</f>
        <v>55.54</v>
      </c>
      <c r="I211" s="33">
        <f>'Expense Details'!Z1159</f>
        <v>75</v>
      </c>
      <c r="J211" s="33">
        <f>H211-I211</f>
        <v>-19.46</v>
      </c>
      <c r="K211" s="34">
        <f>IFERROR(MAX(0,H211/I211-1),0)</f>
        <v>0</v>
      </c>
      <c r="L211" s="31" t="str">
        <f>'Expense Details'!AC1159</f>
        <v>No</v>
      </c>
      <c r="M211" s="35" t="s">
        <v>3503</v>
      </c>
      <c r="N211" s="31" t="str">
        <f>'Expense Details'!AG1159</f>
        <v>Approved</v>
      </c>
      <c r="O211" s="31" t="str">
        <f>'Expense Details'!F1159</f>
        <v>Elena Duarte</v>
      </c>
    </row>
    <row r="212" spans="1:15">
      <c r="A212" s="31" t="str">
        <f>'Expense Details'!A1166</f>
        <v>EXP-01165</v>
      </c>
      <c r="B212" s="31" t="str">
        <f>'Expense Details'!C1166</f>
        <v>Arjun Deshpande</v>
      </c>
      <c r="C212" s="31" t="str">
        <f>'Expense Details'!D1166</f>
        <v>Product</v>
      </c>
      <c r="D212" s="31" t="str">
        <f>'Expense Details'!G1166</f>
        <v>TRP-2025-104</v>
      </c>
      <c r="E212" s="32">
        <f>'Expense Details'!M1166</f>
        <v>45775</v>
      </c>
      <c r="F212" s="31" t="str">
        <f>'Expense Details'!O1166</f>
        <v>Meals - Breakfast</v>
      </c>
      <c r="G212" s="31" t="str">
        <f>'Expense Details'!Q1166</f>
        <v>Starbucks</v>
      </c>
      <c r="H212" s="33">
        <f>'Expense Details'!V1166</f>
        <v>13.8</v>
      </c>
      <c r="I212" s="33">
        <f>'Expense Details'!Z1166</f>
        <v>25</v>
      </c>
      <c r="J212" s="33">
        <f>H212-I212</f>
        <v>-11.2</v>
      </c>
      <c r="K212" s="34">
        <f>IFERROR(MAX(0,H212/I212-1),0)</f>
        <v>0</v>
      </c>
      <c r="L212" s="31" t="str">
        <f>'Expense Details'!AC1166</f>
        <v>No</v>
      </c>
      <c r="M212" s="35" t="s">
        <v>3503</v>
      </c>
      <c r="N212" s="31" t="str">
        <f>'Expense Details'!AG1166</f>
        <v>Approved</v>
      </c>
      <c r="O212" s="31" t="str">
        <f>'Expense Details'!F1166</f>
        <v>Elena Duarte</v>
      </c>
    </row>
    <row r="213" spans="1:15">
      <c r="A213" s="31" t="str">
        <f>'Expense Details'!A1167</f>
        <v>EXP-01166</v>
      </c>
      <c r="B213" s="31" t="str">
        <f>'Expense Details'!C1167</f>
        <v>Arjun Deshpande</v>
      </c>
      <c r="C213" s="31" t="str">
        <f>'Expense Details'!D1167</f>
        <v>Product</v>
      </c>
      <c r="D213" s="31" t="str">
        <f>'Expense Details'!G1167</f>
        <v>TRP-2025-104</v>
      </c>
      <c r="E213" s="32">
        <f>'Expense Details'!M1167</f>
        <v>45775</v>
      </c>
      <c r="F213" s="31" t="str">
        <f>'Expense Details'!O1167</f>
        <v>Meals - Dinner</v>
      </c>
      <c r="G213" s="31" t="str">
        <f>'Expense Details'!Q1167</f>
        <v>Brasserie Lyon</v>
      </c>
      <c r="H213" s="33">
        <f>'Expense Details'!V1167</f>
        <v>38.83</v>
      </c>
      <c r="I213" s="33">
        <f>'Expense Details'!Z1167</f>
        <v>75</v>
      </c>
      <c r="J213" s="33">
        <f>H213-I213</f>
        <v>-36.17</v>
      </c>
      <c r="K213" s="34">
        <f>IFERROR(MAX(0,H213/I213-1),0)</f>
        <v>0</v>
      </c>
      <c r="L213" s="31" t="str">
        <f>'Expense Details'!AC1167</f>
        <v>No</v>
      </c>
      <c r="M213" s="35" t="s">
        <v>3503</v>
      </c>
      <c r="N213" s="31" t="str">
        <f>'Expense Details'!AG1167</f>
        <v>Approved</v>
      </c>
      <c r="O213" s="31" t="str">
        <f>'Expense Details'!F1167</f>
        <v>Elena Duarte</v>
      </c>
    </row>
    <row r="214" spans="1:15">
      <c r="A214" s="31" t="str">
        <f>'Expense Details'!A1168</f>
        <v>EXP-01167</v>
      </c>
      <c r="B214" s="31" t="str">
        <f>'Expense Details'!C1168</f>
        <v>Arjun Deshpande</v>
      </c>
      <c r="C214" s="31" t="str">
        <f>'Expense Details'!D1168</f>
        <v>Product</v>
      </c>
      <c r="D214" s="31" t="str">
        <f>'Expense Details'!G1168</f>
        <v>TRP-2025-104</v>
      </c>
      <c r="E214" s="32">
        <f>'Expense Details'!M1168</f>
        <v>45775</v>
      </c>
      <c r="F214" s="31" t="str">
        <f>'Expense Details'!O1168</f>
        <v>Meals - Lunch</v>
      </c>
      <c r="G214" s="31" t="str">
        <f>'Expense Details'!Q1168</f>
        <v>Sweetgreen</v>
      </c>
      <c r="H214" s="33">
        <f>'Expense Details'!V1168</f>
        <v>29.17</v>
      </c>
      <c r="I214" s="33">
        <f>'Expense Details'!Z1168</f>
        <v>35</v>
      </c>
      <c r="J214" s="33">
        <f>H214-I214</f>
        <v>-5.8299999999999983</v>
      </c>
      <c r="K214" s="34">
        <f>IFERROR(MAX(0,H214/I214-1),0)</f>
        <v>0</v>
      </c>
      <c r="L214" s="31" t="str">
        <f>'Expense Details'!AC1168</f>
        <v>No</v>
      </c>
      <c r="M214" s="35" t="s">
        <v>3503</v>
      </c>
      <c r="N214" s="31" t="str">
        <f>'Expense Details'!AG1168</f>
        <v>Approved</v>
      </c>
      <c r="O214" s="31" t="str">
        <f>'Expense Details'!F1168</f>
        <v>Elena Duarte</v>
      </c>
    </row>
    <row r="215" spans="1:15">
      <c r="A215" s="31" t="str">
        <f>'Expense Details'!A1169</f>
        <v>EXP-01168</v>
      </c>
      <c r="B215" s="31" t="str">
        <f>'Expense Details'!C1169</f>
        <v>Samuel Adeyemi</v>
      </c>
      <c r="C215" s="31" t="str">
        <f>'Expense Details'!D1169</f>
        <v>Field Engineering</v>
      </c>
      <c r="D215" s="31" t="str">
        <f>'Expense Details'!G1169</f>
        <v>TRP-2025-001</v>
      </c>
      <c r="E215" s="32">
        <f>'Expense Details'!M1169</f>
        <v>45776</v>
      </c>
      <c r="F215" s="31" t="str">
        <f>'Expense Details'!O1169</f>
        <v>Ground Transport - Taxi</v>
      </c>
      <c r="G215" s="31" t="str">
        <f>'Expense Details'!Q1169</f>
        <v>Local Taxi</v>
      </c>
      <c r="H215" s="33">
        <f>'Expense Details'!V1169</f>
        <v>35.755920000000003</v>
      </c>
      <c r="I215" s="33">
        <f>'Expense Details'!Z1169</f>
        <v>60</v>
      </c>
      <c r="J215" s="33">
        <f>H215-I215</f>
        <v>-24.244079999999997</v>
      </c>
      <c r="K215" s="34">
        <f>IFERROR(MAX(0,H215/I215-1),0)</f>
        <v>0</v>
      </c>
      <c r="L215" s="31" t="str">
        <f>'Expense Details'!AC1169</f>
        <v>No</v>
      </c>
      <c r="M215" s="35" t="s">
        <v>3503</v>
      </c>
      <c r="N215" s="31" t="str">
        <f>'Expense Details'!AG1169</f>
        <v>Approved</v>
      </c>
      <c r="O215" s="31" t="str">
        <f>'Expense Details'!F1169</f>
        <v>Tomas Kovac</v>
      </c>
    </row>
    <row r="216" spans="1:15">
      <c r="A216" s="31" t="str">
        <f>'Expense Details'!A1174</f>
        <v>EXP-01173</v>
      </c>
      <c r="B216" s="31" t="str">
        <f>'Expense Details'!C1174</f>
        <v>Arjun Deshpande</v>
      </c>
      <c r="C216" s="31" t="str">
        <f>'Expense Details'!D1174</f>
        <v>Product</v>
      </c>
      <c r="D216" s="31" t="str">
        <f>'Expense Details'!G1174</f>
        <v>TRP-2025-104</v>
      </c>
      <c r="E216" s="32">
        <f>'Expense Details'!M1174</f>
        <v>45776</v>
      </c>
      <c r="F216" s="31" t="str">
        <f>'Expense Details'!O1174</f>
        <v>Meals - Dinner</v>
      </c>
      <c r="G216" s="31" t="str">
        <f>'Expense Details'!Q1174</f>
        <v>Osteria Vela</v>
      </c>
      <c r="H216" s="33">
        <f>'Expense Details'!V1174</f>
        <v>35.799999999999997</v>
      </c>
      <c r="I216" s="33">
        <f>'Expense Details'!Z1174</f>
        <v>75</v>
      </c>
      <c r="J216" s="33">
        <f>H216-I216</f>
        <v>-39.200000000000003</v>
      </c>
      <c r="K216" s="34">
        <f>IFERROR(MAX(0,H216/I216-1),0)</f>
        <v>0</v>
      </c>
      <c r="L216" s="31" t="str">
        <f>'Expense Details'!AC1174</f>
        <v>No</v>
      </c>
      <c r="M216" s="35" t="s">
        <v>3503</v>
      </c>
      <c r="N216" s="31" t="str">
        <f>'Expense Details'!AG1174</f>
        <v>Approved</v>
      </c>
      <c r="O216" s="31" t="str">
        <f>'Expense Details'!F1174</f>
        <v>Elena Duarte</v>
      </c>
    </row>
    <row r="217" spans="1:15">
      <c r="A217" s="31" t="str">
        <f>'Expense Details'!A1176</f>
        <v>EXP-01175</v>
      </c>
      <c r="B217" s="31" t="str">
        <f>'Expense Details'!C1176</f>
        <v>Arjun Deshpande</v>
      </c>
      <c r="C217" s="31" t="str">
        <f>'Expense Details'!D1176</f>
        <v>Product</v>
      </c>
      <c r="D217" s="31" t="str">
        <f>'Expense Details'!G1176</f>
        <v>TRP-2025-104</v>
      </c>
      <c r="E217" s="32">
        <f>'Expense Details'!M1176</f>
        <v>45777</v>
      </c>
      <c r="F217" s="31" t="str">
        <f>'Expense Details'!O1176</f>
        <v>Ground Transport - Taxi</v>
      </c>
      <c r="G217" s="31" t="str">
        <f>'Expense Details'!Q1176</f>
        <v>Grab</v>
      </c>
      <c r="H217" s="33">
        <f>'Expense Details'!V1176</f>
        <v>66.28</v>
      </c>
      <c r="I217" s="33">
        <f>'Expense Details'!Z1176</f>
        <v>60</v>
      </c>
      <c r="J217" s="33">
        <f>H217-I217</f>
        <v>6.2800000000000011</v>
      </c>
      <c r="K217" s="34">
        <f>IFERROR(MAX(0,H217/I217-1),0)</f>
        <v>0.10466666666666669</v>
      </c>
      <c r="L217" s="31" t="str">
        <f>'Expense Details'!AC1176</f>
        <v>Yes</v>
      </c>
      <c r="M217" s="35" t="s">
        <v>3502</v>
      </c>
      <c r="N217" s="31" t="str">
        <f>'Expense Details'!AG1176</f>
        <v>Approved</v>
      </c>
      <c r="O217" s="31" t="str">
        <f>'Expense Details'!F1176</f>
        <v>Elena Duarte</v>
      </c>
    </row>
    <row r="218" spans="1:15">
      <c r="A218" s="31" t="str">
        <f>'Expense Details'!A1177</f>
        <v>EXP-01176</v>
      </c>
      <c r="B218" s="31" t="str">
        <f>'Expense Details'!C1177</f>
        <v>Arjun Deshpande</v>
      </c>
      <c r="C218" s="31" t="str">
        <f>'Expense Details'!D1177</f>
        <v>Product</v>
      </c>
      <c r="D218" s="31" t="str">
        <f>'Expense Details'!G1177</f>
        <v>TRP-2025-104</v>
      </c>
      <c r="E218" s="32">
        <f>'Expense Details'!M1177</f>
        <v>45777</v>
      </c>
      <c r="F218" s="31" t="str">
        <f>'Expense Details'!O1177</f>
        <v>Meals - Breakfast</v>
      </c>
      <c r="G218" s="31" t="str">
        <f>'Expense Details'!Q1177</f>
        <v>Local Bakery</v>
      </c>
      <c r="H218" s="33">
        <f>'Expense Details'!V1177</f>
        <v>11.93</v>
      </c>
      <c r="I218" s="33">
        <f>'Expense Details'!Z1177</f>
        <v>25</v>
      </c>
      <c r="J218" s="33">
        <f>H218-I218</f>
        <v>-13.07</v>
      </c>
      <c r="K218" s="34">
        <f>IFERROR(MAX(0,H218/I218-1),0)</f>
        <v>0</v>
      </c>
      <c r="L218" s="31" t="str">
        <f>'Expense Details'!AC1177</f>
        <v>No</v>
      </c>
      <c r="M218" s="35" t="s">
        <v>3503</v>
      </c>
      <c r="N218" s="31" t="str">
        <f>'Expense Details'!AG1177</f>
        <v>Approved</v>
      </c>
      <c r="O218" s="31" t="str">
        <f>'Expense Details'!F1177</f>
        <v>Elena Duarte</v>
      </c>
    </row>
    <row r="219" spans="1:15">
      <c r="A219" s="31" t="str">
        <f>'Expense Details'!A1179</f>
        <v>EXP-01178</v>
      </c>
      <c r="B219" s="31" t="str">
        <f>'Expense Details'!C1179</f>
        <v>Arjun Deshpande</v>
      </c>
      <c r="C219" s="31" t="str">
        <f>'Expense Details'!D1179</f>
        <v>Product</v>
      </c>
      <c r="D219" s="31" t="str">
        <f>'Expense Details'!G1179</f>
        <v>TRP-2025-046</v>
      </c>
      <c r="E219" s="32">
        <f>'Expense Details'!M1179</f>
        <v>45780</v>
      </c>
      <c r="F219" s="31" t="str">
        <f>'Expense Details'!O1179</f>
        <v>Airfare</v>
      </c>
      <c r="G219" s="31" t="str">
        <f>'Expense Details'!Q1179</f>
        <v>British Airways</v>
      </c>
      <c r="H219" s="33">
        <f>'Expense Details'!V1179</f>
        <v>1471.42632</v>
      </c>
      <c r="I219" s="33">
        <f>'Expense Details'!Z1179</f>
        <v>1400</v>
      </c>
      <c r="J219" s="33">
        <f>H219-I219</f>
        <v>71.426320000000032</v>
      </c>
      <c r="K219" s="34">
        <f>IFERROR(MAX(0,H219/I219-1),0)</f>
        <v>5.1018800000000031E-2</v>
      </c>
      <c r="L219" s="31" t="str">
        <f>'Expense Details'!AC1179</f>
        <v>Yes</v>
      </c>
      <c r="M219" s="35" t="s">
        <v>3502</v>
      </c>
      <c r="N219" s="31" t="str">
        <f>'Expense Details'!AG1179</f>
        <v>Approved</v>
      </c>
      <c r="O219" s="31" t="str">
        <f>'Expense Details'!F1179</f>
        <v>Elena Duarte</v>
      </c>
    </row>
    <row r="220" spans="1:15">
      <c r="A220" s="31" t="str">
        <f>'Expense Details'!A1182</f>
        <v>EXP-01181</v>
      </c>
      <c r="B220" s="31" t="str">
        <f>'Expense Details'!C1182</f>
        <v>David Chen</v>
      </c>
      <c r="C220" s="31" t="str">
        <f>'Expense Details'!D1182</f>
        <v>Finance</v>
      </c>
      <c r="D220" s="31" t="str">
        <f>'Expense Details'!G1182</f>
        <v>TRP-2025-095</v>
      </c>
      <c r="E220" s="32">
        <f>'Expense Details'!M1182</f>
        <v>45780</v>
      </c>
      <c r="F220" s="31" t="str">
        <f>'Expense Details'!O1182</f>
        <v>Airfare</v>
      </c>
      <c r="G220" s="31" t="str">
        <f>'Expense Details'!Q1182</f>
        <v>British Airways</v>
      </c>
      <c r="H220" s="33">
        <f>'Expense Details'!V1182</f>
        <v>1543.31485</v>
      </c>
      <c r="I220" s="33">
        <f>'Expense Details'!Z1182</f>
        <v>1400</v>
      </c>
      <c r="J220" s="33">
        <f>H220-I220</f>
        <v>143.31484999999998</v>
      </c>
      <c r="K220" s="34">
        <f>IFERROR(MAX(0,H220/I220-1),0)</f>
        <v>0.10236774999999998</v>
      </c>
      <c r="L220" s="31" t="str">
        <f>'Expense Details'!AC1182</f>
        <v>Yes</v>
      </c>
      <c r="M220" s="35" t="s">
        <v>3502</v>
      </c>
      <c r="N220" s="31" t="str">
        <f>'Expense Details'!AG1182</f>
        <v>Approved</v>
      </c>
      <c r="O220" s="31" t="str">
        <f>'Expense Details'!F1182</f>
        <v>Diane Okafor</v>
      </c>
    </row>
    <row r="221" spans="1:15">
      <c r="A221" s="31" t="str">
        <f>'Expense Details'!A1189</f>
        <v>EXP-01188</v>
      </c>
      <c r="B221" s="31" t="str">
        <f>'Expense Details'!C1189</f>
        <v>Arjun Deshpande</v>
      </c>
      <c r="C221" s="31" t="str">
        <f>'Expense Details'!D1189</f>
        <v>Product</v>
      </c>
      <c r="D221" s="31" t="str">
        <f>'Expense Details'!G1189</f>
        <v>TRP-2025-046</v>
      </c>
      <c r="E221" s="32">
        <f>'Expense Details'!M1189</f>
        <v>45781</v>
      </c>
      <c r="F221" s="31" t="str">
        <f>'Expense Details'!O1189</f>
        <v>Meals - Lunch</v>
      </c>
      <c r="G221" s="31" t="str">
        <f>'Expense Details'!Q1189</f>
        <v>Local Bistro</v>
      </c>
      <c r="H221" s="33">
        <f>'Expense Details'!V1189</f>
        <v>45.004959999999997</v>
      </c>
      <c r="I221" s="33">
        <f>'Expense Details'!Z1189</f>
        <v>35</v>
      </c>
      <c r="J221" s="33">
        <f>H221-I221</f>
        <v>10.004959999999997</v>
      </c>
      <c r="K221" s="34">
        <f>IFERROR(MAX(0,H221/I221-1),0)</f>
        <v>0.28585599999999989</v>
      </c>
      <c r="L221" s="31" t="str">
        <f>'Expense Details'!AC1189</f>
        <v>No</v>
      </c>
      <c r="M221" s="35" t="s">
        <v>3504</v>
      </c>
      <c r="N221" s="31" t="str">
        <f>'Expense Details'!AG1189</f>
        <v>Approved</v>
      </c>
      <c r="O221" s="31" t="str">
        <f>'Expense Details'!F1189</f>
        <v>Elena Duarte</v>
      </c>
    </row>
    <row r="222" spans="1:15">
      <c r="A222" s="31" t="str">
        <f>'Expense Details'!A1191</f>
        <v>EXP-01190</v>
      </c>
      <c r="B222" s="31" t="str">
        <f>'Expense Details'!C1191</f>
        <v>David Chen</v>
      </c>
      <c r="C222" s="31" t="str">
        <f>'Expense Details'!D1191</f>
        <v>Finance</v>
      </c>
      <c r="D222" s="31" t="str">
        <f>'Expense Details'!G1191</f>
        <v>TRP-2025-095</v>
      </c>
      <c r="E222" s="32">
        <f>'Expense Details'!M1191</f>
        <v>45781</v>
      </c>
      <c r="F222" s="31" t="str">
        <f>'Expense Details'!O1191</f>
        <v>Ground Transport - Rail</v>
      </c>
      <c r="G222" s="31" t="str">
        <f>'Expense Details'!Q1191</f>
        <v>SNCF</v>
      </c>
      <c r="H222" s="33">
        <f>'Expense Details'!V1191</f>
        <v>171.48425</v>
      </c>
      <c r="I222" s="33">
        <f>'Expense Details'!Z1191</f>
        <v>150</v>
      </c>
      <c r="J222" s="33">
        <f>H222-I222</f>
        <v>21.484250000000003</v>
      </c>
      <c r="K222" s="34">
        <f>IFERROR(MAX(0,H222/I222-1),0)</f>
        <v>0.14322833333333329</v>
      </c>
      <c r="L222" s="31" t="str">
        <f>'Expense Details'!AC1191</f>
        <v>Yes</v>
      </c>
      <c r="M222" s="35" t="s">
        <v>3502</v>
      </c>
      <c r="N222" s="31" t="str">
        <f>'Expense Details'!AG1191</f>
        <v>Approved</v>
      </c>
      <c r="O222" s="31" t="str">
        <f>'Expense Details'!F1191</f>
        <v>Diane Okafor</v>
      </c>
    </row>
    <row r="223" spans="1:15">
      <c r="A223" s="31" t="str">
        <f>'Expense Details'!A1192</f>
        <v>EXP-01191</v>
      </c>
      <c r="B223" s="31" t="str">
        <f>'Expense Details'!C1192</f>
        <v>David Chen</v>
      </c>
      <c r="C223" s="31" t="str">
        <f>'Expense Details'!D1192</f>
        <v>Finance</v>
      </c>
      <c r="D223" s="31" t="str">
        <f>'Expense Details'!G1192</f>
        <v>TRP-2025-095</v>
      </c>
      <c r="E223" s="32">
        <f>'Expense Details'!M1192</f>
        <v>45781</v>
      </c>
      <c r="F223" s="31" t="str">
        <f>'Expense Details'!O1192</f>
        <v>Ground Transport - Taxi</v>
      </c>
      <c r="G223" s="31" t="str">
        <f>'Expense Details'!Q1192</f>
        <v>Ola Cabs</v>
      </c>
      <c r="H223" s="33">
        <f>'Expense Details'!V1192</f>
        <v>49.226449999999993</v>
      </c>
      <c r="I223" s="33">
        <f>'Expense Details'!Z1192</f>
        <v>60</v>
      </c>
      <c r="J223" s="33">
        <f>H223-I223</f>
        <v>-10.773550000000007</v>
      </c>
      <c r="K223" s="34">
        <f>IFERROR(MAX(0,H223/I223-1),0)</f>
        <v>0</v>
      </c>
      <c r="L223" s="31" t="str">
        <f>'Expense Details'!AC1192</f>
        <v>No</v>
      </c>
      <c r="M223" s="35" t="s">
        <v>3503</v>
      </c>
      <c r="N223" s="31" t="str">
        <f>'Expense Details'!AG1192</f>
        <v>Approved</v>
      </c>
      <c r="O223" s="31" t="str">
        <f>'Expense Details'!F1192</f>
        <v>Diane Okafor</v>
      </c>
    </row>
    <row r="224" spans="1:15">
      <c r="A224" s="31" t="str">
        <f>'Expense Details'!A1193</f>
        <v>EXP-01192</v>
      </c>
      <c r="B224" s="31" t="str">
        <f>'Expense Details'!C1193</f>
        <v>David Chen</v>
      </c>
      <c r="C224" s="31" t="str">
        <f>'Expense Details'!D1193</f>
        <v>Finance</v>
      </c>
      <c r="D224" s="31" t="str">
        <f>'Expense Details'!G1193</f>
        <v>TRP-2025-095</v>
      </c>
      <c r="E224" s="32">
        <f>'Expense Details'!M1193</f>
        <v>45781</v>
      </c>
      <c r="F224" s="31" t="str">
        <f>'Expense Details'!O1193</f>
        <v>Hotel / Lodging</v>
      </c>
      <c r="G224" s="31" t="str">
        <f>'Expense Details'!Q1193</f>
        <v>Marriott</v>
      </c>
      <c r="H224" s="33">
        <f>'Expense Details'!V1193</f>
        <v>353.85104999999999</v>
      </c>
      <c r="I224" s="33">
        <f>'Expense Details'!Z1193</f>
        <v>280</v>
      </c>
      <c r="J224" s="33">
        <f>H224-I224</f>
        <v>73.851049999999987</v>
      </c>
      <c r="K224" s="34">
        <f>IFERROR(MAX(0,H224/I224-1),0)</f>
        <v>0.26375375000000001</v>
      </c>
      <c r="L224" s="31" t="str">
        <f>'Expense Details'!AC1193</f>
        <v>Yes</v>
      </c>
      <c r="M224" s="35" t="s">
        <v>3502</v>
      </c>
      <c r="N224" s="31" t="str">
        <f>'Expense Details'!AG1193</f>
        <v>Approved</v>
      </c>
      <c r="O224" s="31" t="str">
        <f>'Expense Details'!F1193</f>
        <v>Diane Okafor</v>
      </c>
    </row>
    <row r="225" spans="1:15">
      <c r="A225" s="31" t="str">
        <f>'Expense Details'!A1203</f>
        <v>EXP-01202</v>
      </c>
      <c r="B225" s="31" t="str">
        <f>'Expense Details'!C1203</f>
        <v>Arjun Deshpande</v>
      </c>
      <c r="C225" s="31" t="str">
        <f>'Expense Details'!D1203</f>
        <v>Product</v>
      </c>
      <c r="D225" s="31" t="str">
        <f>'Expense Details'!G1203</f>
        <v>TRP-2025-046</v>
      </c>
      <c r="E225" s="32">
        <f>'Expense Details'!M1203</f>
        <v>45783</v>
      </c>
      <c r="F225" s="31" t="str">
        <f>'Expense Details'!O1203</f>
        <v>Meals - Breakfast</v>
      </c>
      <c r="G225" s="31" t="str">
        <f>'Expense Details'!Q1203</f>
        <v>Hotel Restaurant</v>
      </c>
      <c r="H225" s="33">
        <f>'Expense Details'!V1203</f>
        <v>36.691199999999995</v>
      </c>
      <c r="I225" s="33">
        <f>'Expense Details'!Z1203</f>
        <v>25</v>
      </c>
      <c r="J225" s="33">
        <f>H225-I225</f>
        <v>11.691199999999995</v>
      </c>
      <c r="K225" s="34">
        <f>IFERROR(MAX(0,H225/I225-1),0)</f>
        <v>0.46764799999999984</v>
      </c>
      <c r="L225" s="31" t="str">
        <f>'Expense Details'!AC1203</f>
        <v>Yes</v>
      </c>
      <c r="M225" s="35" t="s">
        <v>3502</v>
      </c>
      <c r="N225" s="31" t="str">
        <f>'Expense Details'!AG1203</f>
        <v>Approved</v>
      </c>
      <c r="O225" s="31" t="str">
        <f>'Expense Details'!F1203</f>
        <v>Elena Duarte</v>
      </c>
    </row>
    <row r="226" spans="1:15">
      <c r="A226" s="31" t="str">
        <f>'Expense Details'!A1207</f>
        <v>EXP-01206</v>
      </c>
      <c r="B226" s="31" t="str">
        <f>'Expense Details'!C1207</f>
        <v>Arjun Deshpande</v>
      </c>
      <c r="C226" s="31" t="str">
        <f>'Expense Details'!D1207</f>
        <v>Product</v>
      </c>
      <c r="D226" s="31" t="str">
        <f>'Expense Details'!G1207</f>
        <v>TRP-2025-046</v>
      </c>
      <c r="E226" s="32">
        <f>'Expense Details'!M1207</f>
        <v>45784</v>
      </c>
      <c r="F226" s="31" t="str">
        <f>'Expense Details'!O1207</f>
        <v>Meals - Breakfast</v>
      </c>
      <c r="G226" s="31" t="str">
        <f>'Expense Details'!Q1207</f>
        <v>Local Bakery</v>
      </c>
      <c r="H226" s="33">
        <f>'Expense Details'!V1207</f>
        <v>30.59056</v>
      </c>
      <c r="I226" s="33">
        <f>'Expense Details'!Z1207</f>
        <v>25</v>
      </c>
      <c r="J226" s="33">
        <f>H226-I226</f>
        <v>5.59056</v>
      </c>
      <c r="K226" s="34">
        <f>IFERROR(MAX(0,H226/I226-1),0)</f>
        <v>0.2236224</v>
      </c>
      <c r="L226" s="31" t="str">
        <f>'Expense Details'!AC1207</f>
        <v>Yes</v>
      </c>
      <c r="M226" s="35" t="s">
        <v>3502</v>
      </c>
      <c r="N226" s="31" t="str">
        <f>'Expense Details'!AG1207</f>
        <v>Approved</v>
      </c>
      <c r="O226" s="31" t="str">
        <f>'Expense Details'!F1207</f>
        <v>Elena Duarte</v>
      </c>
    </row>
    <row r="227" spans="1:15">
      <c r="A227" s="31" t="str">
        <f>'Expense Details'!A1238</f>
        <v>EXP-01237</v>
      </c>
      <c r="B227" s="31" t="str">
        <f>'Expense Details'!C1238</f>
        <v>David Chen</v>
      </c>
      <c r="C227" s="31" t="str">
        <f>'Expense Details'!D1238</f>
        <v>Finance</v>
      </c>
      <c r="D227" s="31" t="str">
        <f>'Expense Details'!G1238</f>
        <v>TRP-2025-086</v>
      </c>
      <c r="E227" s="32">
        <f>'Expense Details'!M1238</f>
        <v>45787</v>
      </c>
      <c r="F227" s="31" t="str">
        <f>'Expense Details'!O1238</f>
        <v>Airfare</v>
      </c>
      <c r="G227" s="31" t="str">
        <f>'Expense Details'!Q1238</f>
        <v>United Airlines</v>
      </c>
      <c r="H227" s="33">
        <f>'Expense Details'!V1238</f>
        <v>1442.9102800000001</v>
      </c>
      <c r="I227" s="33">
        <f>'Expense Details'!Z1238</f>
        <v>1400</v>
      </c>
      <c r="J227" s="33">
        <f>H227-I227</f>
        <v>42.910280000000057</v>
      </c>
      <c r="K227" s="34">
        <f>IFERROR(MAX(0,H227/I227-1),0)</f>
        <v>3.0650199999999961E-2</v>
      </c>
      <c r="L227" s="31" t="str">
        <f>'Expense Details'!AC1238</f>
        <v>Yes</v>
      </c>
      <c r="M227" s="35" t="s">
        <v>3502</v>
      </c>
      <c r="N227" s="31" t="str">
        <f>'Expense Details'!AG1238</f>
        <v>Approved</v>
      </c>
      <c r="O227" s="31" t="str">
        <f>'Expense Details'!F1238</f>
        <v>Diane Okafor</v>
      </c>
    </row>
    <row r="228" spans="1:15">
      <c r="A228" s="31" t="str">
        <f>'Expense Details'!A1240</f>
        <v>EXP-01239</v>
      </c>
      <c r="B228" s="31" t="str">
        <f>'Expense Details'!C1240</f>
        <v>David Chen</v>
      </c>
      <c r="C228" s="31" t="str">
        <f>'Expense Details'!D1240</f>
        <v>Finance</v>
      </c>
      <c r="D228" s="31" t="str">
        <f>'Expense Details'!G1240</f>
        <v>TRP-2025-086</v>
      </c>
      <c r="E228" s="32">
        <f>'Expense Details'!M1240</f>
        <v>45787</v>
      </c>
      <c r="F228" s="31" t="str">
        <f>'Expense Details'!O1240</f>
        <v>Meals - Breakfast</v>
      </c>
      <c r="G228" s="31" t="str">
        <f>'Expense Details'!Q1240</f>
        <v>Cafe Nero</v>
      </c>
      <c r="H228" s="33">
        <f>'Expense Details'!V1240</f>
        <v>9.1423100000000002</v>
      </c>
      <c r="I228" s="33">
        <f>'Expense Details'!Z1240</f>
        <v>25</v>
      </c>
      <c r="J228" s="33">
        <f>H228-I228</f>
        <v>-15.85769</v>
      </c>
      <c r="K228" s="34">
        <f>IFERROR(MAX(0,H228/I228-1),0)</f>
        <v>0</v>
      </c>
      <c r="L228" s="31" t="str">
        <f>'Expense Details'!AC1240</f>
        <v>No</v>
      </c>
      <c r="M228" s="35" t="s">
        <v>3503</v>
      </c>
      <c r="N228" s="31" t="str">
        <f>'Expense Details'!AG1240</f>
        <v>Approved</v>
      </c>
      <c r="O228" s="31" t="str">
        <f>'Expense Details'!F1240</f>
        <v>Diane Okafor</v>
      </c>
    </row>
    <row r="229" spans="1:15">
      <c r="A229" s="31" t="str">
        <f>'Expense Details'!A1247</f>
        <v>EXP-01246</v>
      </c>
      <c r="B229" s="31" t="str">
        <f>'Expense Details'!C1247</f>
        <v>David Chen</v>
      </c>
      <c r="C229" s="31" t="str">
        <f>'Expense Details'!D1247</f>
        <v>Finance</v>
      </c>
      <c r="D229" s="31" t="str">
        <f>'Expense Details'!G1247</f>
        <v>TRP-2025-086</v>
      </c>
      <c r="E229" s="32">
        <f>'Expense Details'!M1247</f>
        <v>45788</v>
      </c>
      <c r="F229" s="31" t="str">
        <f>'Expense Details'!O1247</f>
        <v>Hotel / Lodging</v>
      </c>
      <c r="G229" s="31" t="str">
        <f>'Expense Details'!Q1247</f>
        <v>Marriott</v>
      </c>
      <c r="H229" s="33">
        <f>'Expense Details'!V1247</f>
        <v>349.70466999999996</v>
      </c>
      <c r="I229" s="33">
        <f>'Expense Details'!Z1247</f>
        <v>280</v>
      </c>
      <c r="J229" s="33">
        <f>H229-I229</f>
        <v>69.704669999999965</v>
      </c>
      <c r="K229" s="34">
        <f>IFERROR(MAX(0,H229/I229-1),0)</f>
        <v>0.24894524999999978</v>
      </c>
      <c r="L229" s="31" t="str">
        <f>'Expense Details'!AC1247</f>
        <v>Yes</v>
      </c>
      <c r="M229" s="35" t="s">
        <v>3502</v>
      </c>
      <c r="N229" s="31" t="str">
        <f>'Expense Details'!AG1247</f>
        <v>Approved</v>
      </c>
      <c r="O229" s="31" t="str">
        <f>'Expense Details'!F1247</f>
        <v>Diane Okafor</v>
      </c>
    </row>
    <row r="230" spans="1:15">
      <c r="A230" s="31" t="str">
        <f>'Expense Details'!A1250</f>
        <v>EXP-01249</v>
      </c>
      <c r="B230" s="31" t="str">
        <f>'Expense Details'!C1250</f>
        <v>Ravi Chandra</v>
      </c>
      <c r="C230" s="31" t="str">
        <f>'Expense Details'!D1250</f>
        <v>Field Engineering</v>
      </c>
      <c r="D230" s="31" t="str">
        <f>'Expense Details'!G1250</f>
        <v>TRP-2025-136</v>
      </c>
      <c r="E230" s="32">
        <f>'Expense Details'!M1250</f>
        <v>45795</v>
      </c>
      <c r="F230" s="31" t="str">
        <f>'Expense Details'!O1250</f>
        <v>Airfare</v>
      </c>
      <c r="G230" s="31" t="str">
        <f>'Expense Details'!Q1250</f>
        <v>Emirates</v>
      </c>
      <c r="H230" s="33">
        <f>'Expense Details'!V1250</f>
        <v>2280.5844400000001</v>
      </c>
      <c r="I230" s="33">
        <f>'Expense Details'!Z1250</f>
        <v>1400</v>
      </c>
      <c r="J230" s="33">
        <f>H230-I230</f>
        <v>880.58444000000009</v>
      </c>
      <c r="K230" s="34">
        <f>IFERROR(MAX(0,H230/I230-1),0)</f>
        <v>0.62898888571428579</v>
      </c>
      <c r="L230" s="31" t="str">
        <f>'Expense Details'!AC1250</f>
        <v>Yes</v>
      </c>
      <c r="M230" s="35" t="s">
        <v>3502</v>
      </c>
      <c r="N230" s="31" t="str">
        <f>'Expense Details'!AG1250</f>
        <v>Approved</v>
      </c>
      <c r="O230" s="31" t="str">
        <f>'Expense Details'!F1250</f>
        <v>Tomas Kovac</v>
      </c>
    </row>
    <row r="231" spans="1:15">
      <c r="A231" s="31" t="str">
        <f>'Expense Details'!A1256</f>
        <v>EXP-01255</v>
      </c>
      <c r="B231" s="31" t="str">
        <f>'Expense Details'!C1256</f>
        <v>Ravi Chandra</v>
      </c>
      <c r="C231" s="31" t="str">
        <f>'Expense Details'!D1256</f>
        <v>Field Engineering</v>
      </c>
      <c r="D231" s="31" t="str">
        <f>'Expense Details'!G1256</f>
        <v>TRP-2025-136</v>
      </c>
      <c r="E231" s="32">
        <f>'Expense Details'!M1256</f>
        <v>45796</v>
      </c>
      <c r="F231" s="31" t="str">
        <f>'Expense Details'!O1256</f>
        <v>Ground Transport - Taxi</v>
      </c>
      <c r="G231" s="31" t="str">
        <f>'Expense Details'!Q1256</f>
        <v>Ola Cabs</v>
      </c>
      <c r="H231" s="33">
        <f>'Expense Details'!V1256</f>
        <v>22.476240000000001</v>
      </c>
      <c r="I231" s="33">
        <f>'Expense Details'!Z1256</f>
        <v>60</v>
      </c>
      <c r="J231" s="33">
        <f>H231-I231</f>
        <v>-37.523759999999996</v>
      </c>
      <c r="K231" s="34">
        <f>IFERROR(MAX(0,H231/I231-1),0)</f>
        <v>0</v>
      </c>
      <c r="L231" s="31" t="str">
        <f>'Expense Details'!AC1256</f>
        <v>No</v>
      </c>
      <c r="M231" s="35" t="s">
        <v>3503</v>
      </c>
      <c r="N231" s="31" t="str">
        <f>'Expense Details'!AG1256</f>
        <v>Approved</v>
      </c>
      <c r="O231" s="31" t="str">
        <f>'Expense Details'!F1256</f>
        <v>Tomas Kovac</v>
      </c>
    </row>
    <row r="232" spans="1:15">
      <c r="A232" s="31" t="str">
        <f>'Expense Details'!A1257</f>
        <v>EXP-01256</v>
      </c>
      <c r="B232" s="31" t="str">
        <f>'Expense Details'!C1257</f>
        <v>Ravi Chandra</v>
      </c>
      <c r="C232" s="31" t="str">
        <f>'Expense Details'!D1257</f>
        <v>Field Engineering</v>
      </c>
      <c r="D232" s="31" t="str">
        <f>'Expense Details'!G1257</f>
        <v>TRP-2025-136</v>
      </c>
      <c r="E232" s="32">
        <f>'Expense Details'!M1257</f>
        <v>45796</v>
      </c>
      <c r="F232" s="31" t="str">
        <f>'Expense Details'!O1257</f>
        <v>Hotel / Lodging</v>
      </c>
      <c r="G232" s="31" t="str">
        <f>'Expense Details'!Q1257</f>
        <v>Hyatt Place</v>
      </c>
      <c r="H232" s="33">
        <f>'Expense Details'!V1257</f>
        <v>1551.1904000000002</v>
      </c>
      <c r="I232" s="33">
        <f>'Expense Details'!Z1257</f>
        <v>1400</v>
      </c>
      <c r="J232" s="33">
        <f>H232-I232</f>
        <v>151.19040000000018</v>
      </c>
      <c r="K232" s="34">
        <f>IFERROR(MAX(0,H232/I232-1),0)</f>
        <v>0.10799314285714301</v>
      </c>
      <c r="L232" s="31" t="str">
        <f>'Expense Details'!AC1257</f>
        <v>Yes</v>
      </c>
      <c r="M232" s="35" t="s">
        <v>3502</v>
      </c>
      <c r="N232" s="31" t="str">
        <f>'Expense Details'!AG1257</f>
        <v>Approved</v>
      </c>
      <c r="O232" s="31" t="str">
        <f>'Expense Details'!F1257</f>
        <v>Tomas Kovac</v>
      </c>
    </row>
    <row r="233" spans="1:15">
      <c r="A233" s="31" t="str">
        <f>'Expense Details'!A1269</f>
        <v>EXP-01268</v>
      </c>
      <c r="B233" s="31" t="str">
        <f>'Expense Details'!C1269</f>
        <v>Ravi Chandra</v>
      </c>
      <c r="C233" s="31" t="str">
        <f>'Expense Details'!D1269</f>
        <v>Field Engineering</v>
      </c>
      <c r="D233" s="31" t="str">
        <f>'Expense Details'!G1269</f>
        <v>TRP-2025-136</v>
      </c>
      <c r="E233" s="32">
        <f>'Expense Details'!M1269</f>
        <v>45797</v>
      </c>
      <c r="F233" s="31" t="str">
        <f>'Expense Details'!O1269</f>
        <v>Meals - Lunch</v>
      </c>
      <c r="G233" s="31" t="str">
        <f>'Expense Details'!Q1269</f>
        <v>Sweetgreen</v>
      </c>
      <c r="H233" s="33">
        <f>'Expense Details'!V1269</f>
        <v>17.092780000000001</v>
      </c>
      <c r="I233" s="33">
        <f>'Expense Details'!Z1269</f>
        <v>35</v>
      </c>
      <c r="J233" s="33">
        <f>H233-I233</f>
        <v>-17.907219999999999</v>
      </c>
      <c r="K233" s="34">
        <f>IFERROR(MAX(0,H233/I233-1),0)</f>
        <v>0</v>
      </c>
      <c r="L233" s="31" t="str">
        <f>'Expense Details'!AC1269</f>
        <v>No</v>
      </c>
      <c r="M233" s="35" t="s">
        <v>3503</v>
      </c>
      <c r="N233" s="31" t="str">
        <f>'Expense Details'!AG1269</f>
        <v>Approved</v>
      </c>
      <c r="O233" s="31" t="str">
        <f>'Expense Details'!F1269</f>
        <v>Tomas Kovac</v>
      </c>
    </row>
    <row r="234" spans="1:15">
      <c r="A234" s="31" t="str">
        <f>'Expense Details'!A1270</f>
        <v>EXP-01269</v>
      </c>
      <c r="B234" s="31" t="str">
        <f>'Expense Details'!C1270</f>
        <v>Tomas Kovac</v>
      </c>
      <c r="C234" s="31" t="str">
        <f>'Expense Details'!D1270</f>
        <v>Field Engineering</v>
      </c>
      <c r="D234" s="31" t="str">
        <f>'Expense Details'!G1270</f>
        <v>TRP-2025-006</v>
      </c>
      <c r="E234" s="32">
        <f>'Expense Details'!M1270</f>
        <v>45798</v>
      </c>
      <c r="F234" s="31" t="str">
        <f>'Expense Details'!O1270</f>
        <v>Airfare</v>
      </c>
      <c r="G234" s="31" t="str">
        <f>'Expense Details'!Q1270</f>
        <v>Delta Air Lines</v>
      </c>
      <c r="H234" s="33">
        <f>'Expense Details'!V1270</f>
        <v>2526.9107499999996</v>
      </c>
      <c r="I234" s="33">
        <f>'Expense Details'!Z1270</f>
        <v>1400</v>
      </c>
      <c r="J234" s="33">
        <f>H234-I234</f>
        <v>1126.9107499999996</v>
      </c>
      <c r="K234" s="34">
        <f>IFERROR(MAX(0,H234/I234-1),0)</f>
        <v>0.80493624999999969</v>
      </c>
      <c r="L234" s="31" t="str">
        <f>'Expense Details'!AC1270</f>
        <v>Yes</v>
      </c>
      <c r="M234" s="35" t="s">
        <v>3502</v>
      </c>
      <c r="N234" s="31" t="str">
        <f>'Expense Details'!AG1270</f>
        <v>Approved</v>
      </c>
      <c r="O234" s="31" t="str">
        <f>'Expense Details'!F1270</f>
        <v>Diane Okafor</v>
      </c>
    </row>
    <row r="235" spans="1:15">
      <c r="A235" s="31" t="str">
        <f>'Expense Details'!A1277</f>
        <v>EXP-01276</v>
      </c>
      <c r="B235" s="31" t="str">
        <f>'Expense Details'!C1277</f>
        <v>Hannah Weiss</v>
      </c>
      <c r="C235" s="31" t="str">
        <f>'Expense Details'!D1277</f>
        <v>Field Engineering</v>
      </c>
      <c r="D235" s="31" t="str">
        <f>'Expense Details'!G1277</f>
        <v>TRP-2025-130</v>
      </c>
      <c r="E235" s="32">
        <f>'Expense Details'!M1277</f>
        <v>45798</v>
      </c>
      <c r="F235" s="31" t="str">
        <f>'Expense Details'!O1277</f>
        <v>Meals - Lunch</v>
      </c>
      <c r="G235" s="31" t="str">
        <f>'Expense Details'!Q1277</f>
        <v>Local Bistro</v>
      </c>
      <c r="H235" s="33">
        <f>'Expense Details'!V1277</f>
        <v>53.43</v>
      </c>
      <c r="I235" s="33">
        <f>'Expense Details'!Z1277</f>
        <v>35</v>
      </c>
      <c r="J235" s="33">
        <f>H235-I235</f>
        <v>18.43</v>
      </c>
      <c r="K235" s="34">
        <f>IFERROR(MAX(0,H235/I235-1),0)</f>
        <v>0.52657142857142847</v>
      </c>
      <c r="L235" s="31" t="str">
        <f>'Expense Details'!AC1277</f>
        <v>Yes</v>
      </c>
      <c r="M235" s="35" t="s">
        <v>3502</v>
      </c>
      <c r="N235" s="31" t="str">
        <f>'Expense Details'!AG1277</f>
        <v>Approved</v>
      </c>
      <c r="O235" s="31" t="str">
        <f>'Expense Details'!F1277</f>
        <v>Tomas Kovac</v>
      </c>
    </row>
    <row r="236" spans="1:15">
      <c r="A236" s="31" t="str">
        <f>'Expense Details'!A1288</f>
        <v>EXP-01287</v>
      </c>
      <c r="B236" s="31" t="str">
        <f>'Expense Details'!C1288</f>
        <v>Ravi Chandra</v>
      </c>
      <c r="C236" s="31" t="str">
        <f>'Expense Details'!D1288</f>
        <v>Field Engineering</v>
      </c>
      <c r="D236" s="31" t="str">
        <f>'Expense Details'!G1288</f>
        <v>TRP-2025-136</v>
      </c>
      <c r="E236" s="32">
        <f>'Expense Details'!M1288</f>
        <v>45799</v>
      </c>
      <c r="F236" s="31" t="str">
        <f>'Expense Details'!O1288</f>
        <v>Client Entertainment</v>
      </c>
      <c r="G236" s="31" t="str">
        <f>'Expense Details'!Q1288</f>
        <v>The Chophouse</v>
      </c>
      <c r="H236" s="33">
        <f>'Expense Details'!V1288</f>
        <v>241.93764000000002</v>
      </c>
      <c r="I236" s="33">
        <f>'Expense Details'!Z1288</f>
        <v>200</v>
      </c>
      <c r="J236" s="33">
        <f>H236-I236</f>
        <v>41.937640000000016</v>
      </c>
      <c r="K236" s="34">
        <f>IFERROR(MAX(0,H236/I236-1),0)</f>
        <v>0.20968819999999999</v>
      </c>
      <c r="L236" s="31" t="str">
        <f>'Expense Details'!AC1288</f>
        <v>No</v>
      </c>
      <c r="M236" s="35" t="s">
        <v>3504</v>
      </c>
      <c r="N236" s="31" t="str">
        <f>'Expense Details'!AG1288</f>
        <v>Approved</v>
      </c>
      <c r="O236" s="31" t="str">
        <f>'Expense Details'!F1288</f>
        <v>Tomas Kovac</v>
      </c>
    </row>
    <row r="237" spans="1:15">
      <c r="A237" s="31" t="str">
        <f>'Expense Details'!A1289</f>
        <v>EXP-01288</v>
      </c>
      <c r="B237" s="31" t="str">
        <f>'Expense Details'!C1289</f>
        <v>Ravi Chandra</v>
      </c>
      <c r="C237" s="31" t="str">
        <f>'Expense Details'!D1289</f>
        <v>Field Engineering</v>
      </c>
      <c r="D237" s="31" t="str">
        <f>'Expense Details'!G1289</f>
        <v>TRP-2025-136</v>
      </c>
      <c r="E237" s="32">
        <f>'Expense Details'!M1289</f>
        <v>45799</v>
      </c>
      <c r="F237" s="31" t="str">
        <f>'Expense Details'!O1289</f>
        <v>Ground Transport - Taxi</v>
      </c>
      <c r="G237" s="31" t="str">
        <f>'Expense Details'!Q1289</f>
        <v>Uber</v>
      </c>
      <c r="H237" s="33">
        <f>'Expense Details'!V1289</f>
        <v>33.125360000000001</v>
      </c>
      <c r="I237" s="33">
        <f>'Expense Details'!Z1289</f>
        <v>60</v>
      </c>
      <c r="J237" s="33">
        <f>H237-I237</f>
        <v>-26.874639999999999</v>
      </c>
      <c r="K237" s="34">
        <f>IFERROR(MAX(0,H237/I237-1),0)</f>
        <v>0</v>
      </c>
      <c r="L237" s="31" t="str">
        <f>'Expense Details'!AC1289</f>
        <v>No</v>
      </c>
      <c r="M237" s="35" t="s">
        <v>3503</v>
      </c>
      <c r="N237" s="31" t="str">
        <f>'Expense Details'!AG1289</f>
        <v>Approved</v>
      </c>
      <c r="O237" s="31" t="str">
        <f>'Expense Details'!F1289</f>
        <v>Tomas Kovac</v>
      </c>
    </row>
    <row r="238" spans="1:15">
      <c r="A238" s="31" t="str">
        <f>'Expense Details'!A1307</f>
        <v>EXP-01306</v>
      </c>
      <c r="B238" s="31" t="str">
        <f>'Expense Details'!C1307</f>
        <v>Tomas Kovac</v>
      </c>
      <c r="C238" s="31" t="str">
        <f>'Expense Details'!D1307</f>
        <v>Field Engineering</v>
      </c>
      <c r="D238" s="31" t="str">
        <f>'Expense Details'!G1307</f>
        <v>TRP-2025-006</v>
      </c>
      <c r="E238" s="32">
        <f>'Expense Details'!M1307</f>
        <v>45802</v>
      </c>
      <c r="F238" s="31" t="str">
        <f>'Expense Details'!O1307</f>
        <v>Meals - Lunch</v>
      </c>
      <c r="G238" s="31" t="str">
        <f>'Expense Details'!Q1307</f>
        <v>Pret A Manger</v>
      </c>
      <c r="H238" s="33">
        <f>'Expense Details'!V1307</f>
        <v>54.022149999999996</v>
      </c>
      <c r="I238" s="33">
        <f>'Expense Details'!Z1307</f>
        <v>35</v>
      </c>
      <c r="J238" s="33">
        <f>H238-I238</f>
        <v>19.022149999999996</v>
      </c>
      <c r="K238" s="34">
        <f>IFERROR(MAX(0,H238/I238-1),0)</f>
        <v>0.54348999999999981</v>
      </c>
      <c r="L238" s="31" t="str">
        <f>'Expense Details'!AC1307</f>
        <v>Yes</v>
      </c>
      <c r="M238" s="35" t="s">
        <v>3502</v>
      </c>
      <c r="N238" s="31" t="str">
        <f>'Expense Details'!AG1307</f>
        <v>Approved</v>
      </c>
      <c r="O238" s="31" t="str">
        <f>'Expense Details'!F1307</f>
        <v>Diane Okafor</v>
      </c>
    </row>
    <row r="239" spans="1:15">
      <c r="A239" s="31" t="str">
        <f>'Expense Details'!A1308</f>
        <v>EXP-01307</v>
      </c>
      <c r="B239" s="31" t="str">
        <f>'Expense Details'!C1308</f>
        <v>Tomas Kovac</v>
      </c>
      <c r="C239" s="31" t="str">
        <f>'Expense Details'!D1308</f>
        <v>Field Engineering</v>
      </c>
      <c r="D239" s="31" t="str">
        <f>'Expense Details'!G1308</f>
        <v>TRP-2025-006</v>
      </c>
      <c r="E239" s="32">
        <f>'Expense Details'!M1308</f>
        <v>45803</v>
      </c>
      <c r="F239" s="31" t="str">
        <f>'Expense Details'!O1308</f>
        <v>Meals - Breakfast</v>
      </c>
      <c r="G239" s="31" t="str">
        <f>'Expense Details'!Q1308</f>
        <v>Local Bakery</v>
      </c>
      <c r="H239" s="33">
        <f>'Expense Details'!V1308</f>
        <v>14.658349999999999</v>
      </c>
      <c r="I239" s="33">
        <f>'Expense Details'!Z1308</f>
        <v>25</v>
      </c>
      <c r="J239" s="33">
        <f>H239-I239</f>
        <v>-10.341650000000001</v>
      </c>
      <c r="K239" s="34">
        <f>IFERROR(MAX(0,H239/I239-1),0)</f>
        <v>0</v>
      </c>
      <c r="L239" s="31" t="str">
        <f>'Expense Details'!AC1308</f>
        <v>No</v>
      </c>
      <c r="M239" s="35" t="s">
        <v>3503</v>
      </c>
      <c r="N239" s="31" t="str">
        <f>'Expense Details'!AG1308</f>
        <v>Approved</v>
      </c>
      <c r="O239" s="31" t="str">
        <f>'Expense Details'!F1308</f>
        <v>Diane Okafor</v>
      </c>
    </row>
    <row r="240" spans="1:15">
      <c r="A240" s="31" t="str">
        <f>'Expense Details'!A1314</f>
        <v>EXP-01313</v>
      </c>
      <c r="B240" s="31" t="str">
        <f>'Expense Details'!C1314</f>
        <v>Sneha Iyer</v>
      </c>
      <c r="C240" s="31" t="str">
        <f>'Expense Details'!D1314</f>
        <v>Customer Success</v>
      </c>
      <c r="D240" s="31" t="str">
        <f>'Expense Details'!G1314</f>
        <v>TRP-2025-099</v>
      </c>
      <c r="E240" s="32">
        <f>'Expense Details'!M1314</f>
        <v>45804</v>
      </c>
      <c r="F240" s="31" t="str">
        <f>'Expense Details'!O1314</f>
        <v>Airfare</v>
      </c>
      <c r="G240" s="31" t="str">
        <f>'Expense Details'!Q1314</f>
        <v>British Airways</v>
      </c>
      <c r="H240" s="33">
        <f>'Expense Details'!V1314</f>
        <v>2376.1192000000001</v>
      </c>
      <c r="I240" s="33">
        <f>'Expense Details'!Z1314</f>
        <v>1400</v>
      </c>
      <c r="J240" s="33">
        <f>H240-I240</f>
        <v>976.11920000000009</v>
      </c>
      <c r="K240" s="34">
        <f>IFERROR(MAX(0,H240/I240-1),0)</f>
        <v>0.69722799999999996</v>
      </c>
      <c r="L240" s="31" t="str">
        <f>'Expense Details'!AC1314</f>
        <v>Yes</v>
      </c>
      <c r="M240" s="35" t="s">
        <v>3502</v>
      </c>
      <c r="N240" s="31" t="str">
        <f>'Expense Details'!AG1314</f>
        <v>Approved</v>
      </c>
      <c r="O240" s="31" t="str">
        <f>'Expense Details'!F1314</f>
        <v>Paul Nkemelu</v>
      </c>
    </row>
    <row r="241" spans="1:15">
      <c r="A241" s="31" t="str">
        <f>'Expense Details'!A1315</f>
        <v>EXP-01314</v>
      </c>
      <c r="B241" s="31" t="str">
        <f>'Expense Details'!C1315</f>
        <v>Sneha Iyer</v>
      </c>
      <c r="C241" s="31" t="str">
        <f>'Expense Details'!D1315</f>
        <v>Customer Success</v>
      </c>
      <c r="D241" s="31" t="str">
        <f>'Expense Details'!G1315</f>
        <v>TRP-2025-099</v>
      </c>
      <c r="E241" s="32">
        <f>'Expense Details'!M1315</f>
        <v>45804</v>
      </c>
      <c r="F241" s="31" t="str">
        <f>'Expense Details'!O1315</f>
        <v>Baggage &amp; Excess Fees</v>
      </c>
      <c r="G241" s="31" t="str">
        <f>'Expense Details'!Q1315</f>
        <v>Air India</v>
      </c>
      <c r="H241" s="33">
        <f>'Expense Details'!V1315</f>
        <v>179.66311999999999</v>
      </c>
      <c r="I241" s="33">
        <f>'Expense Details'!Z1315</f>
        <v>120</v>
      </c>
      <c r="J241" s="33">
        <f>H241-I241</f>
        <v>59.663119999999992</v>
      </c>
      <c r="K241" s="34">
        <f>IFERROR(MAX(0,H241/I241-1),0)</f>
        <v>0.49719266666666662</v>
      </c>
      <c r="L241" s="31" t="str">
        <f>'Expense Details'!AC1315</f>
        <v>Yes</v>
      </c>
      <c r="M241" s="35" t="s">
        <v>3502</v>
      </c>
      <c r="N241" s="31" t="str">
        <f>'Expense Details'!AG1315</f>
        <v>Approved</v>
      </c>
      <c r="O241" s="31" t="str">
        <f>'Expense Details'!F1315</f>
        <v>Paul Nkemelu</v>
      </c>
    </row>
    <row r="242" spans="1:15">
      <c r="A242" s="31" t="str">
        <f>'Expense Details'!A1319</f>
        <v>EXP-01318</v>
      </c>
      <c r="B242" s="31" t="str">
        <f>'Expense Details'!C1319</f>
        <v>Priya Nair</v>
      </c>
      <c r="C242" s="31" t="str">
        <f>'Expense Details'!D1319</f>
        <v>Field Engineering</v>
      </c>
      <c r="D242" s="31" t="str">
        <f>'Expense Details'!G1319</f>
        <v>TRP-2025-052</v>
      </c>
      <c r="E242" s="32">
        <f>'Expense Details'!M1319</f>
        <v>45805</v>
      </c>
      <c r="F242" s="31" t="str">
        <f>'Expense Details'!O1319</f>
        <v>Airfare</v>
      </c>
      <c r="G242" s="31" t="str">
        <f>'Expense Details'!Q1319</f>
        <v>Delta Air Lines</v>
      </c>
      <c r="H242" s="33">
        <f>'Expense Details'!V1319</f>
        <v>1991.38544</v>
      </c>
      <c r="I242" s="33">
        <f>'Expense Details'!Z1319</f>
        <v>1400</v>
      </c>
      <c r="J242" s="33">
        <f>H242-I242</f>
        <v>591.38544000000002</v>
      </c>
      <c r="K242" s="34">
        <f>IFERROR(MAX(0,H242/I242-1),0)</f>
        <v>0.42241817142857152</v>
      </c>
      <c r="L242" s="31" t="str">
        <f>'Expense Details'!AC1319</f>
        <v>Yes</v>
      </c>
      <c r="M242" s="35" t="s">
        <v>3502</v>
      </c>
      <c r="N242" s="31" t="str">
        <f>'Expense Details'!AG1319</f>
        <v>Rejected</v>
      </c>
      <c r="O242" s="31" t="str">
        <f>'Expense Details'!F1319</f>
        <v>Tomas Kovac</v>
      </c>
    </row>
    <row r="243" spans="1:15">
      <c r="A243" s="31" t="str">
        <f>'Expense Details'!A1322</f>
        <v>EXP-01321</v>
      </c>
      <c r="B243" s="31" t="str">
        <f>'Expense Details'!C1322</f>
        <v>Clara Jensen</v>
      </c>
      <c r="C243" s="31" t="str">
        <f>'Expense Details'!D1322</f>
        <v>Sales</v>
      </c>
      <c r="D243" s="31" t="str">
        <f>'Expense Details'!G1322</f>
        <v>TRP-2025-088</v>
      </c>
      <c r="E243" s="32">
        <f>'Expense Details'!M1322</f>
        <v>45805</v>
      </c>
      <c r="F243" s="31" t="str">
        <f>'Expense Details'!O1322</f>
        <v>Airfare</v>
      </c>
      <c r="G243" s="31" t="str">
        <f>'Expense Details'!Q1322</f>
        <v>British Airways</v>
      </c>
      <c r="H243" s="33">
        <f>'Expense Details'!V1322</f>
        <v>2231.8277400000002</v>
      </c>
      <c r="I243" s="33">
        <f>'Expense Details'!Z1322</f>
        <v>1400</v>
      </c>
      <c r="J243" s="33">
        <f>H243-I243</f>
        <v>831.82774000000018</v>
      </c>
      <c r="K243" s="34">
        <f>IFERROR(MAX(0,H243/I243-1),0)</f>
        <v>0.59416267142857149</v>
      </c>
      <c r="L243" s="31" t="str">
        <f>'Expense Details'!AC1322</f>
        <v>Yes</v>
      </c>
      <c r="M243" s="35" t="s">
        <v>3502</v>
      </c>
      <c r="N243" s="31" t="str">
        <f>'Expense Details'!AG1322</f>
        <v>Pending Approval</v>
      </c>
      <c r="O243" s="31" t="str">
        <f>'Expense Details'!F1322</f>
        <v>Ananya Sengupta</v>
      </c>
    </row>
    <row r="244" spans="1:15">
      <c r="A244" s="31" t="str">
        <f>'Expense Details'!A1339</f>
        <v>EXP-01338</v>
      </c>
      <c r="B244" s="31" t="str">
        <f>'Expense Details'!C1339</f>
        <v>Priya Nair</v>
      </c>
      <c r="C244" s="31" t="str">
        <f>'Expense Details'!D1339</f>
        <v>Field Engineering</v>
      </c>
      <c r="D244" s="31" t="str">
        <f>'Expense Details'!G1339</f>
        <v>TRP-2025-052</v>
      </c>
      <c r="E244" s="32">
        <f>'Expense Details'!M1339</f>
        <v>45806</v>
      </c>
      <c r="F244" s="31" t="str">
        <f>'Expense Details'!O1339</f>
        <v>Meals - Lunch</v>
      </c>
      <c r="G244" s="31" t="str">
        <f>'Expense Details'!Q1339</f>
        <v>Food Court</v>
      </c>
      <c r="H244" s="33">
        <f>'Expense Details'!V1339</f>
        <v>54.164439999999999</v>
      </c>
      <c r="I244" s="33">
        <f>'Expense Details'!Z1339</f>
        <v>35</v>
      </c>
      <c r="J244" s="33">
        <f>H244-I244</f>
        <v>19.164439999999999</v>
      </c>
      <c r="K244" s="34">
        <f>IFERROR(MAX(0,H244/I244-1),0)</f>
        <v>0.54755542857142858</v>
      </c>
      <c r="L244" s="31" t="str">
        <f>'Expense Details'!AC1339</f>
        <v>Yes</v>
      </c>
      <c r="M244" s="35" t="s">
        <v>3502</v>
      </c>
      <c r="N244" s="31" t="str">
        <f>'Expense Details'!AG1339</f>
        <v>Rejected</v>
      </c>
      <c r="O244" s="31" t="str">
        <f>'Expense Details'!F1339</f>
        <v>Tomas Kovac</v>
      </c>
    </row>
    <row r="245" spans="1:15">
      <c r="A245" s="31" t="str">
        <f>'Expense Details'!A1351</f>
        <v>EXP-01350</v>
      </c>
      <c r="B245" s="31" t="str">
        <f>'Expense Details'!C1351</f>
        <v>Clara Jensen</v>
      </c>
      <c r="C245" s="31" t="str">
        <f>'Expense Details'!D1351</f>
        <v>Sales</v>
      </c>
      <c r="D245" s="31" t="str">
        <f>'Expense Details'!G1351</f>
        <v>TRP-2025-088</v>
      </c>
      <c r="E245" s="32">
        <f>'Expense Details'!M1351</f>
        <v>45807</v>
      </c>
      <c r="F245" s="31" t="str">
        <f>'Expense Details'!O1351</f>
        <v>Meals - Dinner</v>
      </c>
      <c r="G245" s="31" t="str">
        <f>'Expense Details'!Q1351</f>
        <v>Sakura Izakaya</v>
      </c>
      <c r="H245" s="33">
        <f>'Expense Details'!V1351</f>
        <v>38.256160000000001</v>
      </c>
      <c r="I245" s="33">
        <f>'Expense Details'!Z1351</f>
        <v>75</v>
      </c>
      <c r="J245" s="33">
        <f>H245-I245</f>
        <v>-36.743839999999999</v>
      </c>
      <c r="K245" s="34">
        <f>IFERROR(MAX(0,H245/I245-1),0)</f>
        <v>0</v>
      </c>
      <c r="L245" s="31" t="str">
        <f>'Expense Details'!AC1351</f>
        <v>No</v>
      </c>
      <c r="M245" s="35" t="s">
        <v>3503</v>
      </c>
      <c r="N245" s="31" t="str">
        <f>'Expense Details'!AG1351</f>
        <v>Pending Approval</v>
      </c>
      <c r="O245" s="31" t="str">
        <f>'Expense Details'!F1351</f>
        <v>Ananya Sengupta</v>
      </c>
    </row>
    <row r="246" spans="1:15">
      <c r="A246" s="31" t="str">
        <f>'Expense Details'!A1354</f>
        <v>EXP-01353</v>
      </c>
      <c r="B246" s="31" t="str">
        <f>'Expense Details'!C1354</f>
        <v>Priya Nair</v>
      </c>
      <c r="C246" s="31" t="str">
        <f>'Expense Details'!D1354</f>
        <v>Field Engineering</v>
      </c>
      <c r="D246" s="31" t="str">
        <f>'Expense Details'!G1354</f>
        <v>TRP-2025-052</v>
      </c>
      <c r="E246" s="32">
        <f>'Expense Details'!M1354</f>
        <v>45808</v>
      </c>
      <c r="F246" s="31" t="str">
        <f>'Expense Details'!O1354</f>
        <v>Laundry</v>
      </c>
      <c r="G246" s="31" t="str">
        <f>'Expense Details'!Q1354</f>
        <v>Hotel Laundry Service</v>
      </c>
      <c r="H246" s="33">
        <f>'Expense Details'!V1354</f>
        <v>35.610939999999999</v>
      </c>
      <c r="I246" s="33">
        <f>'Expense Details'!Z1354</f>
        <v>30</v>
      </c>
      <c r="J246" s="33">
        <f>H246-I246</f>
        <v>5.6109399999999994</v>
      </c>
      <c r="K246" s="34">
        <f>IFERROR(MAX(0,H246/I246-1),0)</f>
        <v>0.18703133333333333</v>
      </c>
      <c r="L246" s="31" t="str">
        <f>'Expense Details'!AC1354</f>
        <v>Yes</v>
      </c>
      <c r="M246" s="35" t="s">
        <v>3502</v>
      </c>
      <c r="N246" s="31" t="str">
        <f>'Expense Details'!AG1354</f>
        <v>Rejected</v>
      </c>
      <c r="O246" s="31" t="str">
        <f>'Expense Details'!F1354</f>
        <v>Tomas Kovac</v>
      </c>
    </row>
    <row r="247" spans="1:15">
      <c r="A247" s="31" t="str">
        <f>'Expense Details'!A1357</f>
        <v>EXP-01356</v>
      </c>
      <c r="B247" s="31" t="str">
        <f>'Expense Details'!C1357</f>
        <v>Priya Nair</v>
      </c>
      <c r="C247" s="31" t="str">
        <f>'Expense Details'!D1357</f>
        <v>Field Engineering</v>
      </c>
      <c r="D247" s="31" t="str">
        <f>'Expense Details'!G1357</f>
        <v>TRP-2025-052</v>
      </c>
      <c r="E247" s="32">
        <f>'Expense Details'!M1357</f>
        <v>45808</v>
      </c>
      <c r="F247" s="31" t="str">
        <f>'Expense Details'!O1357</f>
        <v>Meals - Lunch</v>
      </c>
      <c r="G247" s="31" t="str">
        <f>'Expense Details'!Q1357</f>
        <v>Pret A Manger</v>
      </c>
      <c r="H247" s="33">
        <f>'Expense Details'!V1357</f>
        <v>38.226100000000002</v>
      </c>
      <c r="I247" s="33">
        <f>'Expense Details'!Z1357</f>
        <v>35</v>
      </c>
      <c r="J247" s="33">
        <f>H247-I247</f>
        <v>3.2261000000000024</v>
      </c>
      <c r="K247" s="34">
        <f>IFERROR(MAX(0,H247/I247-1),0)</f>
        <v>9.2174285714285764E-2</v>
      </c>
      <c r="L247" s="31" t="str">
        <f>'Expense Details'!AC1357</f>
        <v>Yes</v>
      </c>
      <c r="M247" s="35" t="s">
        <v>3502</v>
      </c>
      <c r="N247" s="31" t="str">
        <f>'Expense Details'!AG1357</f>
        <v>Rejected</v>
      </c>
      <c r="O247" s="31" t="str">
        <f>'Expense Details'!F1357</f>
        <v>Tomas Kovac</v>
      </c>
    </row>
    <row r="248" spans="1:15">
      <c r="A248" s="31" t="str">
        <f>'Expense Details'!A1358</f>
        <v>EXP-01357</v>
      </c>
      <c r="B248" s="31" t="str">
        <f>'Expense Details'!C1358</f>
        <v>Clara Jensen</v>
      </c>
      <c r="C248" s="31" t="str">
        <f>'Expense Details'!D1358</f>
        <v>Sales</v>
      </c>
      <c r="D248" s="31" t="str">
        <f>'Expense Details'!G1358</f>
        <v>TRP-2025-088</v>
      </c>
      <c r="E248" s="32">
        <f>'Expense Details'!M1358</f>
        <v>45808</v>
      </c>
      <c r="F248" s="31" t="str">
        <f>'Expense Details'!O1358</f>
        <v>Laundry</v>
      </c>
      <c r="G248" s="31" t="str">
        <f>'Expense Details'!Q1358</f>
        <v>Hotel Laundry Service</v>
      </c>
      <c r="H248" s="33">
        <f>'Expense Details'!V1358</f>
        <v>32.429769999999998</v>
      </c>
      <c r="I248" s="33">
        <f>'Expense Details'!Z1358</f>
        <v>30</v>
      </c>
      <c r="J248" s="33">
        <f>H248-I248</f>
        <v>2.4297699999999978</v>
      </c>
      <c r="K248" s="34">
        <f>IFERROR(MAX(0,H248/I248-1),0)</f>
        <v>8.0992333333333333E-2</v>
      </c>
      <c r="L248" s="31" t="str">
        <f>'Expense Details'!AC1358</f>
        <v>No</v>
      </c>
      <c r="M248" s="35" t="s">
        <v>3504</v>
      </c>
      <c r="N248" s="31" t="str">
        <f>'Expense Details'!AG1358</f>
        <v>Pending Approval</v>
      </c>
      <c r="O248" s="31" t="str">
        <f>'Expense Details'!F1358</f>
        <v>Ananya Sengupta</v>
      </c>
    </row>
    <row r="249" spans="1:15">
      <c r="A249" s="31" t="str">
        <f>'Expense Details'!A1363</f>
        <v>EXP-01362</v>
      </c>
      <c r="B249" s="31" t="str">
        <f>'Expense Details'!C1363</f>
        <v>Priya Nair</v>
      </c>
      <c r="C249" s="31" t="str">
        <f>'Expense Details'!D1363</f>
        <v>Field Engineering</v>
      </c>
      <c r="D249" s="31" t="str">
        <f>'Expense Details'!G1363</f>
        <v>TRP-2025-052</v>
      </c>
      <c r="E249" s="32">
        <f>'Expense Details'!M1363</f>
        <v>45809</v>
      </c>
      <c r="F249" s="31" t="str">
        <f>'Expense Details'!O1363</f>
        <v>Meals - Lunch</v>
      </c>
      <c r="G249" s="31" t="str">
        <f>'Expense Details'!Q1363</f>
        <v>Pret A Manger</v>
      </c>
      <c r="H249" s="33">
        <f>'Expense Details'!V1363</f>
        <v>38.178980000000003</v>
      </c>
      <c r="I249" s="33">
        <f>'Expense Details'!Z1363</f>
        <v>35</v>
      </c>
      <c r="J249" s="33">
        <f>H249-I249</f>
        <v>3.1789800000000028</v>
      </c>
      <c r="K249" s="34">
        <f>IFERROR(MAX(0,H249/I249-1),0)</f>
        <v>9.0828000000000131E-2</v>
      </c>
      <c r="L249" s="31" t="str">
        <f>'Expense Details'!AC1363</f>
        <v>Yes</v>
      </c>
      <c r="M249" s="35" t="s">
        <v>3502</v>
      </c>
      <c r="N249" s="31" t="str">
        <f>'Expense Details'!AG1363</f>
        <v>Rejected</v>
      </c>
      <c r="O249" s="31" t="str">
        <f>'Expense Details'!F1363</f>
        <v>Tomas Kovac</v>
      </c>
    </row>
    <row r="250" spans="1:15">
      <c r="A250" s="31" t="str">
        <f>'Expense Details'!A1371</f>
        <v>EXP-01370</v>
      </c>
      <c r="B250" s="31" t="str">
        <f>'Expense Details'!C1371</f>
        <v>Clara Jensen</v>
      </c>
      <c r="C250" s="31" t="str">
        <f>'Expense Details'!D1371</f>
        <v>Sales</v>
      </c>
      <c r="D250" s="31" t="str">
        <f>'Expense Details'!G1371</f>
        <v>TRP-2025-088</v>
      </c>
      <c r="E250" s="32">
        <f>'Expense Details'!M1371</f>
        <v>45810</v>
      </c>
      <c r="F250" s="31" t="str">
        <f>'Expense Details'!O1371</f>
        <v>Meals - Breakfast</v>
      </c>
      <c r="G250" s="31" t="str">
        <f>'Expense Details'!Q1371</f>
        <v>Starbucks</v>
      </c>
      <c r="H250" s="33">
        <f>'Expense Details'!V1371</f>
        <v>36.147509999999997</v>
      </c>
      <c r="I250" s="33">
        <f>'Expense Details'!Z1371</f>
        <v>25</v>
      </c>
      <c r="J250" s="33">
        <f>H250-I250</f>
        <v>11.147509999999997</v>
      </c>
      <c r="K250" s="34">
        <f>IFERROR(MAX(0,H250/I250-1),0)</f>
        <v>0.44590039999999997</v>
      </c>
      <c r="L250" s="31" t="str">
        <f>'Expense Details'!AC1371</f>
        <v>Yes</v>
      </c>
      <c r="M250" s="35" t="s">
        <v>3502</v>
      </c>
      <c r="N250" s="31" t="str">
        <f>'Expense Details'!AG1371</f>
        <v>Pending Approval</v>
      </c>
      <c r="O250" s="31" t="str">
        <f>'Expense Details'!F1371</f>
        <v>Ananya Sengupta</v>
      </c>
    </row>
    <row r="251" spans="1:15">
      <c r="A251" s="31" t="str">
        <f>'Expense Details'!A1378</f>
        <v>EXP-01377</v>
      </c>
      <c r="B251" s="31" t="str">
        <f>'Expense Details'!C1378</f>
        <v>Priya Nair</v>
      </c>
      <c r="C251" s="31" t="str">
        <f>'Expense Details'!D1378</f>
        <v>Field Engineering</v>
      </c>
      <c r="D251" s="31" t="str">
        <f>'Expense Details'!G1378</f>
        <v>TRP-2025-052</v>
      </c>
      <c r="E251" s="32">
        <f>'Expense Details'!M1378</f>
        <v>45812</v>
      </c>
      <c r="F251" s="31" t="str">
        <f>'Expense Details'!O1378</f>
        <v>Meals - Lunch</v>
      </c>
      <c r="G251" s="31" t="str">
        <f>'Expense Details'!Q1378</f>
        <v>Sweetgreen</v>
      </c>
      <c r="H251" s="33">
        <f>'Expense Details'!V1378</f>
        <v>21.486720000000002</v>
      </c>
      <c r="I251" s="33">
        <f>'Expense Details'!Z1378</f>
        <v>35</v>
      </c>
      <c r="J251" s="33">
        <f>H251-I251</f>
        <v>-13.513279999999998</v>
      </c>
      <c r="K251" s="34">
        <f>IFERROR(MAX(0,H251/I251-1),0)</f>
        <v>0</v>
      </c>
      <c r="L251" s="31" t="str">
        <f>'Expense Details'!AC1378</f>
        <v>No</v>
      </c>
      <c r="M251" s="35" t="s">
        <v>3503</v>
      </c>
      <c r="N251" s="31" t="str">
        <f>'Expense Details'!AG1378</f>
        <v>Rejected</v>
      </c>
      <c r="O251" s="31" t="str">
        <f>'Expense Details'!F1378</f>
        <v>Tomas Kovac</v>
      </c>
    </row>
    <row r="252" spans="1:15">
      <c r="A252" s="31" t="str">
        <f>'Expense Details'!A1385</f>
        <v>EXP-01384</v>
      </c>
      <c r="B252" s="31" t="str">
        <f>'Expense Details'!C1385</f>
        <v>Oliver Brandt</v>
      </c>
      <c r="C252" s="31" t="str">
        <f>'Expense Details'!D1385</f>
        <v>Marketing</v>
      </c>
      <c r="D252" s="31" t="str">
        <f>'Expense Details'!G1385</f>
        <v>TRP-2025-024</v>
      </c>
      <c r="E252" s="32">
        <f>'Expense Details'!M1385</f>
        <v>45814</v>
      </c>
      <c r="F252" s="31" t="str">
        <f>'Expense Details'!O1385</f>
        <v>Ground Transport - Rail</v>
      </c>
      <c r="G252" s="31" t="str">
        <f>'Expense Details'!Q1385</f>
        <v>SNCF</v>
      </c>
      <c r="H252" s="33">
        <f>'Expense Details'!V1385</f>
        <v>90.621440000000007</v>
      </c>
      <c r="I252" s="33">
        <f>'Expense Details'!Z1385</f>
        <v>150</v>
      </c>
      <c r="J252" s="33">
        <f>H252-I252</f>
        <v>-59.378559999999993</v>
      </c>
      <c r="K252" s="34">
        <f>IFERROR(MAX(0,H252/I252-1),0)</f>
        <v>0</v>
      </c>
      <c r="L252" s="31" t="str">
        <f>'Expense Details'!AC1385</f>
        <v>No</v>
      </c>
      <c r="M252" s="35" t="s">
        <v>3503</v>
      </c>
      <c r="N252" s="31" t="str">
        <f>'Expense Details'!AG1385</f>
        <v>Approved</v>
      </c>
      <c r="O252" s="31" t="str">
        <f>'Expense Details'!F1385</f>
        <v>Grace Lin</v>
      </c>
    </row>
    <row r="253" spans="1:15">
      <c r="A253" s="31" t="str">
        <f>'Expense Details'!A1390</f>
        <v>EXP-01389</v>
      </c>
      <c r="B253" s="31" t="str">
        <f>'Expense Details'!C1390</f>
        <v>Oliver Brandt</v>
      </c>
      <c r="C253" s="31" t="str">
        <f>'Expense Details'!D1390</f>
        <v>Marketing</v>
      </c>
      <c r="D253" s="31" t="str">
        <f>'Expense Details'!G1390</f>
        <v>TRP-2025-024</v>
      </c>
      <c r="E253" s="32">
        <f>'Expense Details'!M1390</f>
        <v>45814</v>
      </c>
      <c r="F253" s="31" t="str">
        <f>'Expense Details'!O1390</f>
        <v>Meals - Lunch</v>
      </c>
      <c r="G253" s="31" t="str">
        <f>'Expense Details'!Q1390</f>
        <v>Sweetgreen</v>
      </c>
      <c r="H253" s="33">
        <f>'Expense Details'!V1390</f>
        <v>13.533519999999999</v>
      </c>
      <c r="I253" s="33">
        <f>'Expense Details'!Z1390</f>
        <v>35</v>
      </c>
      <c r="J253" s="33">
        <f>H253-I253</f>
        <v>-21.466480000000001</v>
      </c>
      <c r="K253" s="34">
        <f>IFERROR(MAX(0,H253/I253-1),0)</f>
        <v>0</v>
      </c>
      <c r="L253" s="31" t="str">
        <f>'Expense Details'!AC1390</f>
        <v>No</v>
      </c>
      <c r="M253" s="35" t="s">
        <v>3503</v>
      </c>
      <c r="N253" s="31" t="str">
        <f>'Expense Details'!AG1390</f>
        <v>Approved</v>
      </c>
      <c r="O253" s="31" t="str">
        <f>'Expense Details'!F1390</f>
        <v>Grace Lin</v>
      </c>
    </row>
    <row r="254" spans="1:15">
      <c r="A254" s="31" t="str">
        <f>'Expense Details'!A1391</f>
        <v>EXP-01390</v>
      </c>
      <c r="B254" s="31" t="str">
        <f>'Expense Details'!C1391</f>
        <v>Oliver Brandt</v>
      </c>
      <c r="C254" s="31" t="str">
        <f>'Expense Details'!D1391</f>
        <v>Marketing</v>
      </c>
      <c r="D254" s="31" t="str">
        <f>'Expense Details'!G1391</f>
        <v>TRP-2025-024</v>
      </c>
      <c r="E254" s="32">
        <f>'Expense Details'!M1391</f>
        <v>45815</v>
      </c>
      <c r="F254" s="31" t="str">
        <f>'Expense Details'!O1391</f>
        <v>Fuel / Mileage</v>
      </c>
      <c r="G254" s="31" t="str">
        <f>'Expense Details'!Q1391</f>
        <v>Personal Vehicle Mileage</v>
      </c>
      <c r="H254" s="33">
        <f>'Expense Details'!V1391</f>
        <v>123.35959999999999</v>
      </c>
      <c r="I254" s="33">
        <f>'Expense Details'!Z1391</f>
        <v>90</v>
      </c>
      <c r="J254" s="33">
        <f>H254-I254</f>
        <v>33.359599999999986</v>
      </c>
      <c r="K254" s="34">
        <f>IFERROR(MAX(0,H254/I254-1),0)</f>
        <v>0.370662222222222</v>
      </c>
      <c r="L254" s="31" t="str">
        <f>'Expense Details'!AC1391</f>
        <v>Yes</v>
      </c>
      <c r="M254" s="35" t="s">
        <v>3502</v>
      </c>
      <c r="N254" s="31" t="str">
        <f>'Expense Details'!AG1391</f>
        <v>Approved</v>
      </c>
      <c r="O254" s="31" t="str">
        <f>'Expense Details'!F1391</f>
        <v>Grace Lin</v>
      </c>
    </row>
    <row r="255" spans="1:15">
      <c r="A255" s="31" t="str">
        <f>'Expense Details'!A1393</f>
        <v>EXP-01392</v>
      </c>
      <c r="B255" s="31" t="str">
        <f>'Expense Details'!C1393</f>
        <v>Oliver Brandt</v>
      </c>
      <c r="C255" s="31" t="str">
        <f>'Expense Details'!D1393</f>
        <v>Marketing</v>
      </c>
      <c r="D255" s="31" t="str">
        <f>'Expense Details'!G1393</f>
        <v>TRP-2025-024</v>
      </c>
      <c r="E255" s="32">
        <f>'Expense Details'!M1393</f>
        <v>45815</v>
      </c>
      <c r="F255" s="31" t="str">
        <f>'Expense Details'!O1393</f>
        <v>Meals - Breakfast</v>
      </c>
      <c r="G255" s="31" t="str">
        <f>'Expense Details'!Q1393</f>
        <v>Cafe Nero</v>
      </c>
      <c r="H255" s="33">
        <f>'Expense Details'!V1393</f>
        <v>26.448239999999998</v>
      </c>
      <c r="I255" s="33">
        <f>'Expense Details'!Z1393</f>
        <v>25</v>
      </c>
      <c r="J255" s="33">
        <f>H255-I255</f>
        <v>1.4482399999999984</v>
      </c>
      <c r="K255" s="34">
        <f>IFERROR(MAX(0,H255/I255-1),0)</f>
        <v>5.7929600000000026E-2</v>
      </c>
      <c r="L255" s="31" t="str">
        <f>'Expense Details'!AC1393</f>
        <v>Yes</v>
      </c>
      <c r="M255" s="35" t="s">
        <v>3502</v>
      </c>
      <c r="N255" s="31" t="str">
        <f>'Expense Details'!AG1393</f>
        <v>Approved</v>
      </c>
      <c r="O255" s="31" t="str">
        <f>'Expense Details'!F1393</f>
        <v>Grace Lin</v>
      </c>
    </row>
    <row r="256" spans="1:15">
      <c r="A256" s="31" t="str">
        <f>'Expense Details'!A1397</f>
        <v>EXP-01396</v>
      </c>
      <c r="B256" s="31" t="str">
        <f>'Expense Details'!C1397</f>
        <v>Priya Nair</v>
      </c>
      <c r="C256" s="31" t="str">
        <f>'Expense Details'!D1397</f>
        <v>Field Engineering</v>
      </c>
      <c r="D256" s="31" t="str">
        <f>'Expense Details'!G1397</f>
        <v>TRP-2025-103</v>
      </c>
      <c r="E256" s="32">
        <f>'Expense Details'!M1397</f>
        <v>45815</v>
      </c>
      <c r="F256" s="31" t="str">
        <f>'Expense Details'!O1397</f>
        <v>Airfare</v>
      </c>
      <c r="G256" s="31" t="str">
        <f>'Expense Details'!Q1397</f>
        <v>Singapore Airlines</v>
      </c>
      <c r="H256" s="33">
        <f>'Expense Details'!V1397</f>
        <v>2828.7196200000003</v>
      </c>
      <c r="I256" s="33">
        <f>'Expense Details'!Z1397</f>
        <v>1400</v>
      </c>
      <c r="J256" s="33">
        <f>H256-I256</f>
        <v>1428.7196200000003</v>
      </c>
      <c r="K256" s="34">
        <f>IFERROR(MAX(0,H256/I256-1),0)</f>
        <v>1.0205140142857143</v>
      </c>
      <c r="L256" s="31" t="str">
        <f>'Expense Details'!AC1397</f>
        <v>Yes</v>
      </c>
      <c r="M256" s="35" t="s">
        <v>3502</v>
      </c>
      <c r="N256" s="31" t="str">
        <f>'Expense Details'!AG1397</f>
        <v>Pending Approval</v>
      </c>
      <c r="O256" s="31" t="str">
        <f>'Expense Details'!F1397</f>
        <v>Tomas Kovac</v>
      </c>
    </row>
    <row r="257" spans="1:15">
      <c r="A257" s="31" t="str">
        <f>'Expense Details'!A1398</f>
        <v>EXP-01397</v>
      </c>
      <c r="B257" s="31" t="str">
        <f>'Expense Details'!C1398</f>
        <v>Priya Nair</v>
      </c>
      <c r="C257" s="31" t="str">
        <f>'Expense Details'!D1398</f>
        <v>Field Engineering</v>
      </c>
      <c r="D257" s="31" t="str">
        <f>'Expense Details'!G1398</f>
        <v>TRP-2025-103</v>
      </c>
      <c r="E257" s="32">
        <f>'Expense Details'!M1398</f>
        <v>45815</v>
      </c>
      <c r="F257" s="31" t="str">
        <f>'Expense Details'!O1398</f>
        <v>Meals - Dinner</v>
      </c>
      <c r="G257" s="31" t="str">
        <f>'Expense Details'!Q1398</f>
        <v>The Grill House</v>
      </c>
      <c r="H257" s="33">
        <f>'Expense Details'!V1398</f>
        <v>104.08808000000001</v>
      </c>
      <c r="I257" s="33">
        <f>'Expense Details'!Z1398</f>
        <v>75</v>
      </c>
      <c r="J257" s="33">
        <f>H257-I257</f>
        <v>29.088080000000005</v>
      </c>
      <c r="K257" s="34">
        <f>IFERROR(MAX(0,H257/I257-1),0)</f>
        <v>0.38784106666666673</v>
      </c>
      <c r="L257" s="31" t="str">
        <f>'Expense Details'!AC1398</f>
        <v>Yes</v>
      </c>
      <c r="M257" s="35" t="s">
        <v>3502</v>
      </c>
      <c r="N257" s="31" t="str">
        <f>'Expense Details'!AG1398</f>
        <v>Pending Approval</v>
      </c>
      <c r="O257" s="31" t="str">
        <f>'Expense Details'!F1398</f>
        <v>Tomas Kovac</v>
      </c>
    </row>
    <row r="258" spans="1:15">
      <c r="A258" s="31" t="str">
        <f>'Expense Details'!A1401</f>
        <v>EXP-01400</v>
      </c>
      <c r="B258" s="31" t="str">
        <f>'Expense Details'!C1401</f>
        <v>Oliver Brandt</v>
      </c>
      <c r="C258" s="31" t="str">
        <f>'Expense Details'!D1401</f>
        <v>Marketing</v>
      </c>
      <c r="D258" s="31" t="str">
        <f>'Expense Details'!G1401</f>
        <v>TRP-2025-010</v>
      </c>
      <c r="E258" s="32">
        <f>'Expense Details'!M1401</f>
        <v>45816</v>
      </c>
      <c r="F258" s="31" t="str">
        <f>'Expense Details'!O1401</f>
        <v>Airfare</v>
      </c>
      <c r="G258" s="31" t="str">
        <f>'Expense Details'!Q1401</f>
        <v>Emirates</v>
      </c>
      <c r="H258" s="33">
        <f>'Expense Details'!V1401</f>
        <v>1933.13365</v>
      </c>
      <c r="I258" s="33">
        <f>'Expense Details'!Z1401</f>
        <v>1400</v>
      </c>
      <c r="J258" s="33">
        <f>H258-I258</f>
        <v>533.13364999999999</v>
      </c>
      <c r="K258" s="34">
        <f>IFERROR(MAX(0,H258/I258-1),0)</f>
        <v>0.38080975000000006</v>
      </c>
      <c r="L258" s="31" t="str">
        <f>'Expense Details'!AC1401</f>
        <v>Yes</v>
      </c>
      <c r="M258" s="35" t="s">
        <v>3502</v>
      </c>
      <c r="N258" s="31" t="str">
        <f>'Expense Details'!AG1401</f>
        <v>Approved</v>
      </c>
      <c r="O258" s="31" t="str">
        <f>'Expense Details'!F1401</f>
        <v>Grace Lin</v>
      </c>
    </row>
    <row r="259" spans="1:15">
      <c r="A259" s="31" t="str">
        <f>'Expense Details'!A1402</f>
        <v>EXP-01401</v>
      </c>
      <c r="B259" s="31" t="str">
        <f>'Expense Details'!C1402</f>
        <v>Oliver Brandt</v>
      </c>
      <c r="C259" s="31" t="str">
        <f>'Expense Details'!D1402</f>
        <v>Marketing</v>
      </c>
      <c r="D259" s="31" t="str">
        <f>'Expense Details'!G1402</f>
        <v>TRP-2025-010</v>
      </c>
      <c r="E259" s="32">
        <f>'Expense Details'!M1402</f>
        <v>45816</v>
      </c>
      <c r="F259" s="31" t="str">
        <f>'Expense Details'!O1402</f>
        <v>Ground Transport - Taxi</v>
      </c>
      <c r="G259" s="31" t="str">
        <f>'Expense Details'!Q1402</f>
        <v>Ola Cabs</v>
      </c>
      <c r="H259" s="33">
        <f>'Expense Details'!V1402</f>
        <v>89.338899999999995</v>
      </c>
      <c r="I259" s="33">
        <f>'Expense Details'!Z1402</f>
        <v>60</v>
      </c>
      <c r="J259" s="33">
        <f>H259-I259</f>
        <v>29.338899999999995</v>
      </c>
      <c r="K259" s="34">
        <f>IFERROR(MAX(0,H259/I259-1),0)</f>
        <v>0.48898166666666665</v>
      </c>
      <c r="L259" s="31" t="str">
        <f>'Expense Details'!AC1402</f>
        <v>Yes</v>
      </c>
      <c r="M259" s="35" t="s">
        <v>3502</v>
      </c>
      <c r="N259" s="31" t="str">
        <f>'Expense Details'!AG1402</f>
        <v>Approved</v>
      </c>
      <c r="O259" s="31" t="str">
        <f>'Expense Details'!F1402</f>
        <v>Grace Lin</v>
      </c>
    </row>
    <row r="260" spans="1:15">
      <c r="A260" s="31" t="str">
        <f>'Expense Details'!A1412</f>
        <v>EXP-01411</v>
      </c>
      <c r="B260" s="31" t="str">
        <f>'Expense Details'!C1412</f>
        <v>Priya Nair</v>
      </c>
      <c r="C260" s="31" t="str">
        <f>'Expense Details'!D1412</f>
        <v>Field Engineering</v>
      </c>
      <c r="D260" s="31" t="str">
        <f>'Expense Details'!G1412</f>
        <v>TRP-2025-103</v>
      </c>
      <c r="E260" s="32">
        <f>'Expense Details'!M1412</f>
        <v>45816</v>
      </c>
      <c r="F260" s="31" t="str">
        <f>'Expense Details'!O1412</f>
        <v>Hotel / Lodging</v>
      </c>
      <c r="G260" s="31" t="str">
        <f>'Expense Details'!Q1412</f>
        <v>Hyatt Place</v>
      </c>
      <c r="H260" s="33">
        <f>'Expense Details'!V1412</f>
        <v>326.1293</v>
      </c>
      <c r="I260" s="33">
        <f>'Expense Details'!Z1412</f>
        <v>280</v>
      </c>
      <c r="J260" s="33">
        <f>H260-I260</f>
        <v>46.129300000000001</v>
      </c>
      <c r="K260" s="34">
        <f>IFERROR(MAX(0,H260/I260-1),0)</f>
        <v>0.16474750000000005</v>
      </c>
      <c r="L260" s="31" t="str">
        <f>'Expense Details'!AC1412</f>
        <v>Yes</v>
      </c>
      <c r="M260" s="35" t="s">
        <v>3502</v>
      </c>
      <c r="N260" s="31" t="str">
        <f>'Expense Details'!AG1412</f>
        <v>Pending Approval</v>
      </c>
      <c r="O260" s="31" t="str">
        <f>'Expense Details'!F1412</f>
        <v>Tomas Kovac</v>
      </c>
    </row>
    <row r="261" spans="1:15">
      <c r="A261" s="31" t="str">
        <f>'Expense Details'!A1415</f>
        <v>EXP-01414</v>
      </c>
      <c r="B261" s="31" t="str">
        <f>'Expense Details'!C1415</f>
        <v>Priya Nair</v>
      </c>
      <c r="C261" s="31" t="str">
        <f>'Expense Details'!D1415</f>
        <v>Field Engineering</v>
      </c>
      <c r="D261" s="31" t="str">
        <f>'Expense Details'!G1415</f>
        <v>TRP-2025-103</v>
      </c>
      <c r="E261" s="32">
        <f>'Expense Details'!M1415</f>
        <v>45816</v>
      </c>
      <c r="F261" s="31" t="str">
        <f>'Expense Details'!O1415</f>
        <v>Meals - Lunch</v>
      </c>
      <c r="G261" s="31" t="str">
        <f>'Expense Details'!Q1415</f>
        <v>Food Court</v>
      </c>
      <c r="H261" s="33">
        <f>'Expense Details'!V1415</f>
        <v>19.437000000000001</v>
      </c>
      <c r="I261" s="33">
        <f>'Expense Details'!Z1415</f>
        <v>35</v>
      </c>
      <c r="J261" s="33">
        <f>H261-I261</f>
        <v>-15.562999999999999</v>
      </c>
      <c r="K261" s="34">
        <f>IFERROR(MAX(0,H261/I261-1),0)</f>
        <v>0</v>
      </c>
      <c r="L261" s="31" t="str">
        <f>'Expense Details'!AC1415</f>
        <v>No</v>
      </c>
      <c r="M261" s="35" t="s">
        <v>3503</v>
      </c>
      <c r="N261" s="31" t="str">
        <f>'Expense Details'!AG1415</f>
        <v>Pending Approval</v>
      </c>
      <c r="O261" s="31" t="str">
        <f>'Expense Details'!F1415</f>
        <v>Tomas Kovac</v>
      </c>
    </row>
    <row r="262" spans="1:15">
      <c r="A262" s="31" t="str">
        <f>'Expense Details'!A1418</f>
        <v>EXP-01417</v>
      </c>
      <c r="B262" s="31" t="str">
        <f>'Expense Details'!C1418</f>
        <v>Oliver Brandt</v>
      </c>
      <c r="C262" s="31" t="str">
        <f>'Expense Details'!D1418</f>
        <v>Marketing</v>
      </c>
      <c r="D262" s="31" t="str">
        <f>'Expense Details'!G1418</f>
        <v>TRP-2025-010</v>
      </c>
      <c r="E262" s="32">
        <f>'Expense Details'!M1418</f>
        <v>45817</v>
      </c>
      <c r="F262" s="31" t="str">
        <f>'Expense Details'!O1418</f>
        <v>Meals - Breakfast</v>
      </c>
      <c r="G262" s="31" t="str">
        <f>'Expense Details'!Q1418</f>
        <v>Cafe Nero</v>
      </c>
      <c r="H262" s="33">
        <f>'Expense Details'!V1418</f>
        <v>18.716249999999999</v>
      </c>
      <c r="I262" s="33">
        <f>'Expense Details'!Z1418</f>
        <v>25</v>
      </c>
      <c r="J262" s="33">
        <f>H262-I262</f>
        <v>-6.2837500000000013</v>
      </c>
      <c r="K262" s="34">
        <f>IFERROR(MAX(0,H262/I262-1),0)</f>
        <v>0</v>
      </c>
      <c r="L262" s="31" t="str">
        <f>'Expense Details'!AC1418</f>
        <v>No</v>
      </c>
      <c r="M262" s="35" t="s">
        <v>3503</v>
      </c>
      <c r="N262" s="31" t="str">
        <f>'Expense Details'!AG1418</f>
        <v>Approved</v>
      </c>
      <c r="O262" s="31" t="str">
        <f>'Expense Details'!F1418</f>
        <v>Grace Lin</v>
      </c>
    </row>
    <row r="263" spans="1:15">
      <c r="A263" s="31" t="str">
        <f>'Expense Details'!A1423</f>
        <v>EXP-01422</v>
      </c>
      <c r="B263" s="31" t="str">
        <f>'Expense Details'!C1423</f>
        <v>Oliver Brandt</v>
      </c>
      <c r="C263" s="31" t="str">
        <f>'Expense Details'!D1423</f>
        <v>Marketing</v>
      </c>
      <c r="D263" s="31" t="str">
        <f>'Expense Details'!G1423</f>
        <v>TRP-2025-024</v>
      </c>
      <c r="E263" s="32">
        <f>'Expense Details'!M1423</f>
        <v>45817</v>
      </c>
      <c r="F263" s="31" t="str">
        <f>'Expense Details'!O1423</f>
        <v>Meals - Breakfast</v>
      </c>
      <c r="G263" s="31" t="str">
        <f>'Expense Details'!Q1423</f>
        <v>Hotel Restaurant</v>
      </c>
      <c r="H263" s="33">
        <f>'Expense Details'!V1423</f>
        <v>27.467439999999996</v>
      </c>
      <c r="I263" s="33">
        <f>'Expense Details'!Z1423</f>
        <v>25</v>
      </c>
      <c r="J263" s="33">
        <f>H263-I263</f>
        <v>2.4674399999999963</v>
      </c>
      <c r="K263" s="34">
        <f>IFERROR(MAX(0,H263/I263-1),0)</f>
        <v>9.8697599999999941E-2</v>
      </c>
      <c r="L263" s="31" t="str">
        <f>'Expense Details'!AC1423</f>
        <v>Yes</v>
      </c>
      <c r="M263" s="35" t="s">
        <v>3502</v>
      </c>
      <c r="N263" s="31" t="str">
        <f>'Expense Details'!AG1423</f>
        <v>Approved</v>
      </c>
      <c r="O263" s="31" t="str">
        <f>'Expense Details'!F1423</f>
        <v>Grace Lin</v>
      </c>
    </row>
    <row r="264" spans="1:15">
      <c r="A264" s="31" t="str">
        <f>'Expense Details'!A1426</f>
        <v>EXP-01425</v>
      </c>
      <c r="B264" s="31" t="str">
        <f>'Expense Details'!C1426</f>
        <v>Oliver Brandt</v>
      </c>
      <c r="C264" s="31" t="str">
        <f>'Expense Details'!D1426</f>
        <v>Marketing</v>
      </c>
      <c r="D264" s="31" t="str">
        <f>'Expense Details'!G1426</f>
        <v>TRP-2025-010</v>
      </c>
      <c r="E264" s="32">
        <f>'Expense Details'!M1426</f>
        <v>45818</v>
      </c>
      <c r="F264" s="31" t="str">
        <f>'Expense Details'!O1426</f>
        <v>Ground Transport - Taxi</v>
      </c>
      <c r="G264" s="31" t="str">
        <f>'Expense Details'!Q1426</f>
        <v>Uber</v>
      </c>
      <c r="H264" s="33">
        <f>'Expense Details'!V1426</f>
        <v>79.3352</v>
      </c>
      <c r="I264" s="33">
        <f>'Expense Details'!Z1426</f>
        <v>60</v>
      </c>
      <c r="J264" s="33">
        <f>H264-I264</f>
        <v>19.3352</v>
      </c>
      <c r="K264" s="34">
        <f>IFERROR(MAX(0,H264/I264-1),0)</f>
        <v>0.32225333333333328</v>
      </c>
      <c r="L264" s="31" t="str">
        <f>'Expense Details'!AC1426</f>
        <v>Yes</v>
      </c>
      <c r="M264" s="35" t="s">
        <v>3502</v>
      </c>
      <c r="N264" s="31" t="str">
        <f>'Expense Details'!AG1426</f>
        <v>Approved</v>
      </c>
      <c r="O264" s="31" t="str">
        <f>'Expense Details'!F1426</f>
        <v>Grace Lin</v>
      </c>
    </row>
    <row r="265" spans="1:15">
      <c r="A265" s="31" t="str">
        <f>'Expense Details'!A1452</f>
        <v>EXP-01451</v>
      </c>
      <c r="B265" s="31" t="str">
        <f>'Expense Details'!C1452</f>
        <v>Sneha Iyer</v>
      </c>
      <c r="C265" s="31" t="str">
        <f>'Expense Details'!D1452</f>
        <v>Customer Success</v>
      </c>
      <c r="D265" s="31" t="str">
        <f>'Expense Details'!G1452</f>
        <v>TRP-2025-090</v>
      </c>
      <c r="E265" s="32">
        <f>'Expense Details'!M1452</f>
        <v>45825</v>
      </c>
      <c r="F265" s="31" t="str">
        <f>'Expense Details'!O1452</f>
        <v>Meals - Breakfast</v>
      </c>
      <c r="G265" s="31" t="str">
        <f>'Expense Details'!Q1452</f>
        <v>Starbucks</v>
      </c>
      <c r="H265" s="33">
        <f>'Expense Details'!V1452</f>
        <v>21.11</v>
      </c>
      <c r="I265" s="33">
        <f>'Expense Details'!Z1452</f>
        <v>25</v>
      </c>
      <c r="J265" s="33">
        <f>H265-I265</f>
        <v>-3.8900000000000006</v>
      </c>
      <c r="K265" s="34">
        <f>IFERROR(MAX(0,H265/I265-1),0)</f>
        <v>0</v>
      </c>
      <c r="L265" s="31" t="str">
        <f>'Expense Details'!AC1452</f>
        <v>No</v>
      </c>
      <c r="M265" s="35" t="s">
        <v>3503</v>
      </c>
      <c r="N265" s="31" t="str">
        <f>'Expense Details'!AG1452</f>
        <v>Approved</v>
      </c>
      <c r="O265" s="31" t="str">
        <f>'Expense Details'!F1452</f>
        <v>Paul Nkemelu</v>
      </c>
    </row>
    <row r="266" spans="1:15">
      <c r="A266" s="31" t="str">
        <f>'Expense Details'!A1466</f>
        <v>EXP-01465</v>
      </c>
      <c r="B266" s="31" t="str">
        <f>'Expense Details'!C1466</f>
        <v>Laura Bianchi</v>
      </c>
      <c r="C266" s="31" t="str">
        <f>'Expense Details'!D1466</f>
        <v>Customer Success</v>
      </c>
      <c r="D266" s="31" t="str">
        <f>'Expense Details'!G1466</f>
        <v>TRP-2025-107</v>
      </c>
      <c r="E266" s="32">
        <f>'Expense Details'!M1466</f>
        <v>45826</v>
      </c>
      <c r="F266" s="31" t="str">
        <f>'Expense Details'!O1466</f>
        <v>Meals - Lunch</v>
      </c>
      <c r="G266" s="31" t="str">
        <f>'Expense Details'!Q1466</f>
        <v>Sweetgreen</v>
      </c>
      <c r="H266" s="33">
        <f>'Expense Details'!V1466</f>
        <v>44.19</v>
      </c>
      <c r="I266" s="33">
        <f>'Expense Details'!Z1466</f>
        <v>35</v>
      </c>
      <c r="J266" s="33">
        <f>H266-I266</f>
        <v>9.1899999999999977</v>
      </c>
      <c r="K266" s="34">
        <f>IFERROR(MAX(0,H266/I266-1),0)</f>
        <v>0.26257142857142846</v>
      </c>
      <c r="L266" s="31" t="str">
        <f>'Expense Details'!AC1466</f>
        <v>Yes</v>
      </c>
      <c r="M266" s="35" t="s">
        <v>3502</v>
      </c>
      <c r="N266" s="31" t="str">
        <f>'Expense Details'!AG1466</f>
        <v>Approved</v>
      </c>
      <c r="O266" s="31" t="str">
        <f>'Expense Details'!F1466</f>
        <v>Sneha Iyer</v>
      </c>
    </row>
    <row r="267" spans="1:15">
      <c r="A267" s="31" t="str">
        <f>'Expense Details'!A1467</f>
        <v>EXP-01466</v>
      </c>
      <c r="B267" s="31" t="str">
        <f>'Expense Details'!C1467</f>
        <v>Laura Bianchi</v>
      </c>
      <c r="C267" s="31" t="str">
        <f>'Expense Details'!D1467</f>
        <v>Customer Success</v>
      </c>
      <c r="D267" s="31" t="str">
        <f>'Expense Details'!G1467</f>
        <v>TRP-2025-107</v>
      </c>
      <c r="E267" s="32">
        <f>'Expense Details'!M1467</f>
        <v>45826</v>
      </c>
      <c r="F267" s="31" t="str">
        <f>'Expense Details'!O1467</f>
        <v>Office Supplies</v>
      </c>
      <c r="G267" s="31" t="str">
        <f>'Expense Details'!Q1467</f>
        <v>Local Stationers</v>
      </c>
      <c r="H267" s="33">
        <f>'Expense Details'!V1467</f>
        <v>75.739999999999995</v>
      </c>
      <c r="I267" s="33">
        <f>'Expense Details'!Z1467</f>
        <v>60</v>
      </c>
      <c r="J267" s="33">
        <f>H267-I267</f>
        <v>15.739999999999995</v>
      </c>
      <c r="K267" s="34">
        <f>IFERROR(MAX(0,H267/I267-1),0)</f>
        <v>0.26233333333333331</v>
      </c>
      <c r="L267" s="31" t="str">
        <f>'Expense Details'!AC1467</f>
        <v>Yes</v>
      </c>
      <c r="M267" s="35" t="s">
        <v>3502</v>
      </c>
      <c r="N267" s="31" t="str">
        <f>'Expense Details'!AG1467</f>
        <v>Approved</v>
      </c>
      <c r="O267" s="31" t="str">
        <f>'Expense Details'!F1467</f>
        <v>Sneha Iyer</v>
      </c>
    </row>
    <row r="268" spans="1:15">
      <c r="A268" s="31" t="str">
        <f>'Expense Details'!A1468</f>
        <v>EXP-01467</v>
      </c>
      <c r="B268" s="31" t="str">
        <f>'Expense Details'!C1468</f>
        <v>Sneha Iyer</v>
      </c>
      <c r="C268" s="31" t="str">
        <f>'Expense Details'!D1468</f>
        <v>Customer Success</v>
      </c>
      <c r="D268" s="31" t="str">
        <f>'Expense Details'!G1468</f>
        <v>TRP-2025-090</v>
      </c>
      <c r="E268" s="32">
        <f>'Expense Details'!M1468</f>
        <v>45827</v>
      </c>
      <c r="F268" s="31" t="str">
        <f>'Expense Details'!O1468</f>
        <v>Ground Transport - Taxi</v>
      </c>
      <c r="G268" s="31" t="str">
        <f>'Expense Details'!Q1468</f>
        <v>Grab</v>
      </c>
      <c r="H268" s="33">
        <f>'Expense Details'!V1468</f>
        <v>22.03</v>
      </c>
      <c r="I268" s="33">
        <f>'Expense Details'!Z1468</f>
        <v>60</v>
      </c>
      <c r="J268" s="33">
        <f>H268-I268</f>
        <v>-37.97</v>
      </c>
      <c r="K268" s="34">
        <f>IFERROR(MAX(0,H268/I268-1),0)</f>
        <v>0</v>
      </c>
      <c r="L268" s="31" t="str">
        <f>'Expense Details'!AC1468</f>
        <v>No</v>
      </c>
      <c r="M268" s="35" t="s">
        <v>3503</v>
      </c>
      <c r="N268" s="31" t="str">
        <f>'Expense Details'!AG1468</f>
        <v>Approved</v>
      </c>
      <c r="O268" s="31" t="str">
        <f>'Expense Details'!F1468</f>
        <v>Paul Nkemelu</v>
      </c>
    </row>
    <row r="269" spans="1:15">
      <c r="A269" s="31" t="str">
        <f>'Expense Details'!A1481</f>
        <v>EXP-01480</v>
      </c>
      <c r="B269" s="31" t="str">
        <f>'Expense Details'!C1481</f>
        <v>Sneha Iyer</v>
      </c>
      <c r="C269" s="31" t="str">
        <f>'Expense Details'!D1481</f>
        <v>Customer Success</v>
      </c>
      <c r="D269" s="31" t="str">
        <f>'Expense Details'!G1481</f>
        <v>TRP-2025-090</v>
      </c>
      <c r="E269" s="32">
        <f>'Expense Details'!M1481</f>
        <v>45829</v>
      </c>
      <c r="F269" s="31" t="str">
        <f>'Expense Details'!O1481</f>
        <v>Ground Transport - Taxi</v>
      </c>
      <c r="G269" s="31" t="str">
        <f>'Expense Details'!Q1481</f>
        <v>Uber</v>
      </c>
      <c r="H269" s="33">
        <f>'Expense Details'!V1481</f>
        <v>74.599999999999994</v>
      </c>
      <c r="I269" s="33">
        <f>'Expense Details'!Z1481</f>
        <v>60</v>
      </c>
      <c r="J269" s="33">
        <f>H269-I269</f>
        <v>14.599999999999994</v>
      </c>
      <c r="K269" s="34">
        <f>IFERROR(MAX(0,H269/I269-1),0)</f>
        <v>0.24333333333333318</v>
      </c>
      <c r="L269" s="31" t="str">
        <f>'Expense Details'!AC1481</f>
        <v>Yes</v>
      </c>
      <c r="M269" s="35" t="s">
        <v>3502</v>
      </c>
      <c r="N269" s="31" t="str">
        <f>'Expense Details'!AG1481</f>
        <v>Approved</v>
      </c>
      <c r="O269" s="31" t="str">
        <f>'Expense Details'!F1481</f>
        <v>Paul Nkemelu</v>
      </c>
    </row>
    <row r="270" spans="1:15">
      <c r="A270" s="31" t="str">
        <f>'Expense Details'!A1501</f>
        <v>EXP-01500</v>
      </c>
      <c r="B270" s="31" t="str">
        <f>'Expense Details'!C1501</f>
        <v>Aisha Bello</v>
      </c>
      <c r="C270" s="31" t="str">
        <f>'Expense Details'!D1501</f>
        <v>Operations</v>
      </c>
      <c r="D270" s="31" t="str">
        <f>'Expense Details'!G1501</f>
        <v>TRP-2025-129</v>
      </c>
      <c r="E270" s="32">
        <f>'Expense Details'!M1501</f>
        <v>45831</v>
      </c>
      <c r="F270" s="31" t="str">
        <f>'Expense Details'!O1501</f>
        <v>Meals - Lunch</v>
      </c>
      <c r="G270" s="31" t="str">
        <f>'Expense Details'!Q1501</f>
        <v>Food Court</v>
      </c>
      <c r="H270" s="33">
        <f>'Expense Details'!V1501</f>
        <v>13.97</v>
      </c>
      <c r="I270" s="33">
        <f>'Expense Details'!Z1501</f>
        <v>35</v>
      </c>
      <c r="J270" s="33">
        <f>H270-I270</f>
        <v>-21.03</v>
      </c>
      <c r="K270" s="34">
        <f>IFERROR(MAX(0,H270/I270-1),0)</f>
        <v>0</v>
      </c>
      <c r="L270" s="31" t="str">
        <f>'Expense Details'!AC1501</f>
        <v>No</v>
      </c>
      <c r="M270" s="35" t="s">
        <v>3503</v>
      </c>
      <c r="N270" s="31" t="str">
        <f>'Expense Details'!AG1501</f>
        <v>Approved</v>
      </c>
      <c r="O270" s="31" t="str">
        <f>'Expense Details'!F1501</f>
        <v>Viktor Petrov</v>
      </c>
    </row>
    <row r="271" spans="1:15">
      <c r="A271" s="31" t="str">
        <f>'Expense Details'!A1506</f>
        <v>EXP-01505</v>
      </c>
      <c r="B271" s="31" t="str">
        <f>'Expense Details'!C1506</f>
        <v>Aisha Bello</v>
      </c>
      <c r="C271" s="31" t="str">
        <f>'Expense Details'!D1506</f>
        <v>Operations</v>
      </c>
      <c r="D271" s="31" t="str">
        <f>'Expense Details'!G1506</f>
        <v>TRP-2025-129</v>
      </c>
      <c r="E271" s="32">
        <f>'Expense Details'!M1506</f>
        <v>45832</v>
      </c>
      <c r="F271" s="31" t="str">
        <f>'Expense Details'!O1506</f>
        <v>Meals - Dinner</v>
      </c>
      <c r="G271" s="31" t="str">
        <f>'Expense Details'!Q1506</f>
        <v>Osteria Vela</v>
      </c>
      <c r="H271" s="33">
        <f>'Expense Details'!V1506</f>
        <v>96.5</v>
      </c>
      <c r="I271" s="33">
        <f>'Expense Details'!Z1506</f>
        <v>75</v>
      </c>
      <c r="J271" s="33">
        <f>H271-I271</f>
        <v>21.5</v>
      </c>
      <c r="K271" s="34">
        <f>IFERROR(MAX(0,H271/I271-1),0)</f>
        <v>0.28666666666666663</v>
      </c>
      <c r="L271" s="31" t="str">
        <f>'Expense Details'!AC1506</f>
        <v>Yes</v>
      </c>
      <c r="M271" s="35" t="s">
        <v>3502</v>
      </c>
      <c r="N271" s="31" t="str">
        <f>'Expense Details'!AG1506</f>
        <v>Approved</v>
      </c>
      <c r="O271" s="31" t="str">
        <f>'Expense Details'!F1506</f>
        <v>Viktor Petrov</v>
      </c>
    </row>
    <row r="272" spans="1:15">
      <c r="A272" s="31" t="str">
        <f>'Expense Details'!A1507</f>
        <v>EXP-01506</v>
      </c>
      <c r="B272" s="31" t="str">
        <f>'Expense Details'!C1507</f>
        <v>Aisha Bello</v>
      </c>
      <c r="C272" s="31" t="str">
        <f>'Expense Details'!D1507</f>
        <v>Operations</v>
      </c>
      <c r="D272" s="31" t="str">
        <f>'Expense Details'!G1507</f>
        <v>TRP-2025-129</v>
      </c>
      <c r="E272" s="32">
        <f>'Expense Details'!M1507</f>
        <v>45832</v>
      </c>
      <c r="F272" s="31" t="str">
        <f>'Expense Details'!O1507</f>
        <v>Meals - Lunch</v>
      </c>
      <c r="G272" s="31" t="str">
        <f>'Expense Details'!Q1507</f>
        <v>Local Bistro</v>
      </c>
      <c r="H272" s="33">
        <f>'Expense Details'!V1507</f>
        <v>23.57</v>
      </c>
      <c r="I272" s="33">
        <f>'Expense Details'!Z1507</f>
        <v>35</v>
      </c>
      <c r="J272" s="33">
        <f>H272-I272</f>
        <v>-11.43</v>
      </c>
      <c r="K272" s="34">
        <f>IFERROR(MAX(0,H272/I272-1),0)</f>
        <v>0</v>
      </c>
      <c r="L272" s="31" t="str">
        <f>'Expense Details'!AC1507</f>
        <v>No</v>
      </c>
      <c r="M272" s="35" t="s">
        <v>3503</v>
      </c>
      <c r="N272" s="31" t="str">
        <f>'Expense Details'!AG1507</f>
        <v>Approved</v>
      </c>
      <c r="O272" s="31" t="str">
        <f>'Expense Details'!F1507</f>
        <v>Viktor Petrov</v>
      </c>
    </row>
    <row r="273" spans="1:15">
      <c r="A273" s="31" t="str">
        <f>'Expense Details'!A1512</f>
        <v>EXP-01511</v>
      </c>
      <c r="B273" s="31" t="str">
        <f>'Expense Details'!C1512</f>
        <v>Aisha Bello</v>
      </c>
      <c r="C273" s="31" t="str">
        <f>'Expense Details'!D1512</f>
        <v>Operations</v>
      </c>
      <c r="D273" s="31" t="str">
        <f>'Expense Details'!G1512</f>
        <v>TRP-2025-129</v>
      </c>
      <c r="E273" s="32">
        <f>'Expense Details'!M1512</f>
        <v>45833</v>
      </c>
      <c r="F273" s="31" t="str">
        <f>'Expense Details'!O1512</f>
        <v>Ground Transport - Taxi</v>
      </c>
      <c r="G273" s="31" t="str">
        <f>'Expense Details'!Q1512</f>
        <v>Lyft</v>
      </c>
      <c r="H273" s="33">
        <f>'Expense Details'!V1512</f>
        <v>29.81</v>
      </c>
      <c r="I273" s="33">
        <f>'Expense Details'!Z1512</f>
        <v>60</v>
      </c>
      <c r="J273" s="33">
        <f>H273-I273</f>
        <v>-30.19</v>
      </c>
      <c r="K273" s="34">
        <f>IFERROR(MAX(0,H273/I273-1),0)</f>
        <v>0</v>
      </c>
      <c r="L273" s="31" t="str">
        <f>'Expense Details'!AC1512</f>
        <v>No</v>
      </c>
      <c r="M273" s="35" t="s">
        <v>3503</v>
      </c>
      <c r="N273" s="31" t="str">
        <f>'Expense Details'!AG1512</f>
        <v>Approved</v>
      </c>
      <c r="O273" s="31" t="str">
        <f>'Expense Details'!F1512</f>
        <v>Viktor Petrov</v>
      </c>
    </row>
    <row r="274" spans="1:15">
      <c r="A274" s="31" t="str">
        <f>'Expense Details'!A1514</f>
        <v>EXP-01513</v>
      </c>
      <c r="B274" s="31" t="str">
        <f>'Expense Details'!C1514</f>
        <v>Aisha Bello</v>
      </c>
      <c r="C274" s="31" t="str">
        <f>'Expense Details'!D1514</f>
        <v>Operations</v>
      </c>
      <c r="D274" s="31" t="str">
        <f>'Expense Details'!G1514</f>
        <v>TRP-2025-129</v>
      </c>
      <c r="E274" s="32">
        <f>'Expense Details'!M1514</f>
        <v>45833</v>
      </c>
      <c r="F274" s="31" t="str">
        <f>'Expense Details'!O1514</f>
        <v>Meals - Breakfast</v>
      </c>
      <c r="G274" s="31" t="str">
        <f>'Expense Details'!Q1514</f>
        <v>Cafe Nero</v>
      </c>
      <c r="H274" s="33">
        <f>'Expense Details'!V1514</f>
        <v>17.95</v>
      </c>
      <c r="I274" s="33">
        <f>'Expense Details'!Z1514</f>
        <v>25</v>
      </c>
      <c r="J274" s="33">
        <f>H274-I274</f>
        <v>-7.0500000000000007</v>
      </c>
      <c r="K274" s="34">
        <f>IFERROR(MAX(0,H274/I274-1),0)</f>
        <v>0</v>
      </c>
      <c r="L274" s="31" t="str">
        <f>'Expense Details'!AC1514</f>
        <v>No</v>
      </c>
      <c r="M274" s="35" t="s">
        <v>3503</v>
      </c>
      <c r="N274" s="31" t="str">
        <f>'Expense Details'!AG1514</f>
        <v>Approved</v>
      </c>
      <c r="O274" s="31" t="str">
        <f>'Expense Details'!F1514</f>
        <v>Viktor Petrov</v>
      </c>
    </row>
    <row r="275" spans="1:15">
      <c r="A275" s="31" t="str">
        <f>'Expense Details'!A1516</f>
        <v>EXP-01515</v>
      </c>
      <c r="B275" s="31" t="str">
        <f>'Expense Details'!C1516</f>
        <v>Aisha Bello</v>
      </c>
      <c r="C275" s="31" t="str">
        <f>'Expense Details'!D1516</f>
        <v>Operations</v>
      </c>
      <c r="D275" s="31" t="str">
        <f>'Expense Details'!G1516</f>
        <v>TRP-2025-129</v>
      </c>
      <c r="E275" s="32">
        <f>'Expense Details'!M1516</f>
        <v>45833</v>
      </c>
      <c r="F275" s="31" t="str">
        <f>'Expense Details'!O1516</f>
        <v>Meals - Lunch</v>
      </c>
      <c r="G275" s="31" t="str">
        <f>'Expense Details'!Q1516</f>
        <v>Local Bistro</v>
      </c>
      <c r="H275" s="33">
        <f>'Expense Details'!V1516</f>
        <v>32.32</v>
      </c>
      <c r="I275" s="33">
        <f>'Expense Details'!Z1516</f>
        <v>35</v>
      </c>
      <c r="J275" s="33">
        <f>H275-I275</f>
        <v>-2.6799999999999997</v>
      </c>
      <c r="K275" s="34">
        <f>IFERROR(MAX(0,H275/I275-1),0)</f>
        <v>0</v>
      </c>
      <c r="L275" s="31" t="str">
        <f>'Expense Details'!AC1516</f>
        <v>No</v>
      </c>
      <c r="M275" s="35" t="s">
        <v>3503</v>
      </c>
      <c r="N275" s="31" t="str">
        <f>'Expense Details'!AG1516</f>
        <v>Approved</v>
      </c>
      <c r="O275" s="31" t="str">
        <f>'Expense Details'!F1516</f>
        <v>Viktor Petrov</v>
      </c>
    </row>
    <row r="276" spans="1:15">
      <c r="A276" s="31" t="str">
        <f>'Expense Details'!A1517</f>
        <v>EXP-01516</v>
      </c>
      <c r="B276" s="31" t="str">
        <f>'Expense Details'!C1517</f>
        <v>Aisha Bello</v>
      </c>
      <c r="C276" s="31" t="str">
        <f>'Expense Details'!D1517</f>
        <v>Operations</v>
      </c>
      <c r="D276" s="31" t="str">
        <f>'Expense Details'!G1517</f>
        <v>TRP-2025-129</v>
      </c>
      <c r="E276" s="32">
        <f>'Expense Details'!M1517</f>
        <v>45834</v>
      </c>
      <c r="F276" s="31" t="str">
        <f>'Expense Details'!O1517</f>
        <v>Ground Transport - Taxi</v>
      </c>
      <c r="G276" s="31" t="str">
        <f>'Expense Details'!Q1517</f>
        <v>Local Taxi</v>
      </c>
      <c r="H276" s="33">
        <f>'Expense Details'!V1517</f>
        <v>64.55</v>
      </c>
      <c r="I276" s="33">
        <f>'Expense Details'!Z1517</f>
        <v>60</v>
      </c>
      <c r="J276" s="33">
        <f>H276-I276</f>
        <v>4.5499999999999972</v>
      </c>
      <c r="K276" s="34">
        <f>IFERROR(MAX(0,H276/I276-1),0)</f>
        <v>7.5833333333333197E-2</v>
      </c>
      <c r="L276" s="31" t="str">
        <f>'Expense Details'!AC1517</f>
        <v>Yes</v>
      </c>
      <c r="M276" s="35" t="s">
        <v>3502</v>
      </c>
      <c r="N276" s="31" t="str">
        <f>'Expense Details'!AG1517</f>
        <v>Approved</v>
      </c>
      <c r="O276" s="31" t="str">
        <f>'Expense Details'!F1517</f>
        <v>Viktor Petrov</v>
      </c>
    </row>
    <row r="277" spans="1:15">
      <c r="A277" s="31" t="str">
        <f>'Expense Details'!A1520</f>
        <v>EXP-01519</v>
      </c>
      <c r="B277" s="31" t="str">
        <f>'Expense Details'!C1520</f>
        <v>Aisha Bello</v>
      </c>
      <c r="C277" s="31" t="str">
        <f>'Expense Details'!D1520</f>
        <v>Operations</v>
      </c>
      <c r="D277" s="31" t="str">
        <f>'Expense Details'!G1520</f>
        <v>TRP-2025-129</v>
      </c>
      <c r="E277" s="32">
        <f>'Expense Details'!M1520</f>
        <v>45834</v>
      </c>
      <c r="F277" s="31" t="str">
        <f>'Expense Details'!O1520</f>
        <v>Meals - Lunch</v>
      </c>
      <c r="G277" s="31" t="str">
        <f>'Expense Details'!Q1520</f>
        <v>Sweetgreen</v>
      </c>
      <c r="H277" s="33">
        <f>'Expense Details'!V1520</f>
        <v>17.22</v>
      </c>
      <c r="I277" s="33">
        <f>'Expense Details'!Z1520</f>
        <v>35</v>
      </c>
      <c r="J277" s="33">
        <f>H277-I277</f>
        <v>-17.78</v>
      </c>
      <c r="K277" s="34">
        <f>IFERROR(MAX(0,H277/I277-1),0)</f>
        <v>0</v>
      </c>
      <c r="L277" s="31" t="str">
        <f>'Expense Details'!AC1520</f>
        <v>No</v>
      </c>
      <c r="M277" s="35" t="s">
        <v>3503</v>
      </c>
      <c r="N277" s="31" t="str">
        <f>'Expense Details'!AG1520</f>
        <v>Approved</v>
      </c>
      <c r="O277" s="31" t="str">
        <f>'Expense Details'!F1520</f>
        <v>Viktor Petrov</v>
      </c>
    </row>
    <row r="278" spans="1:15">
      <c r="A278" s="31" t="str">
        <f>'Expense Details'!A1521</f>
        <v>EXP-01520</v>
      </c>
      <c r="B278" s="31" t="str">
        <f>'Expense Details'!C1521</f>
        <v>Aisha Bello</v>
      </c>
      <c r="C278" s="31" t="str">
        <f>'Expense Details'!D1521</f>
        <v>Operations</v>
      </c>
      <c r="D278" s="31" t="str">
        <f>'Expense Details'!G1521</f>
        <v>TRP-2025-129</v>
      </c>
      <c r="E278" s="32">
        <f>'Expense Details'!M1521</f>
        <v>45835</v>
      </c>
      <c r="F278" s="31" t="str">
        <f>'Expense Details'!O1521</f>
        <v>Ground Transport - Taxi</v>
      </c>
      <c r="G278" s="31" t="str">
        <f>'Expense Details'!Q1521</f>
        <v>Local Taxi</v>
      </c>
      <c r="H278" s="33">
        <f>'Expense Details'!V1521</f>
        <v>84.29</v>
      </c>
      <c r="I278" s="33">
        <f>'Expense Details'!Z1521</f>
        <v>60</v>
      </c>
      <c r="J278" s="33">
        <f>H278-I278</f>
        <v>24.290000000000006</v>
      </c>
      <c r="K278" s="34">
        <f>IFERROR(MAX(0,H278/I278-1),0)</f>
        <v>0.40483333333333338</v>
      </c>
      <c r="L278" s="31" t="str">
        <f>'Expense Details'!AC1521</f>
        <v>Yes</v>
      </c>
      <c r="M278" s="35" t="s">
        <v>3502</v>
      </c>
      <c r="N278" s="31" t="str">
        <f>'Expense Details'!AG1521</f>
        <v>Approved</v>
      </c>
      <c r="O278" s="31" t="str">
        <f>'Expense Details'!F1521</f>
        <v>Viktor Petrov</v>
      </c>
    </row>
    <row r="279" spans="1:15">
      <c r="A279" s="31" t="str">
        <f>'Expense Details'!A1523</f>
        <v>EXP-01522</v>
      </c>
      <c r="B279" s="31" t="str">
        <f>'Expense Details'!C1523</f>
        <v>Aisha Bello</v>
      </c>
      <c r="C279" s="31" t="str">
        <f>'Expense Details'!D1523</f>
        <v>Operations</v>
      </c>
      <c r="D279" s="31" t="str">
        <f>'Expense Details'!G1523</f>
        <v>TRP-2025-129</v>
      </c>
      <c r="E279" s="32">
        <f>'Expense Details'!M1523</f>
        <v>45835</v>
      </c>
      <c r="F279" s="31" t="str">
        <f>'Expense Details'!O1523</f>
        <v>Meals - Lunch</v>
      </c>
      <c r="G279" s="31" t="str">
        <f>'Expense Details'!Q1523</f>
        <v>Local Bistro</v>
      </c>
      <c r="H279" s="33">
        <f>'Expense Details'!V1523</f>
        <v>43.86</v>
      </c>
      <c r="I279" s="33">
        <f>'Expense Details'!Z1523</f>
        <v>35</v>
      </c>
      <c r="J279" s="33">
        <f>H279-I279</f>
        <v>8.86</v>
      </c>
      <c r="K279" s="34">
        <f>IFERROR(MAX(0,H279/I279-1),0)</f>
        <v>0.25314285714285711</v>
      </c>
      <c r="L279" s="31" t="str">
        <f>'Expense Details'!AC1523</f>
        <v>Yes</v>
      </c>
      <c r="M279" s="35" t="s">
        <v>3502</v>
      </c>
      <c r="N279" s="31" t="str">
        <f>'Expense Details'!AG1523</f>
        <v>Approved</v>
      </c>
      <c r="O279" s="31" t="str">
        <f>'Expense Details'!F1523</f>
        <v>Viktor Petrov</v>
      </c>
    </row>
    <row r="280" spans="1:15">
      <c r="A280" s="31" t="str">
        <f>'Expense Details'!A1542</f>
        <v>EXP-01541</v>
      </c>
      <c r="B280" s="31" t="str">
        <f>'Expense Details'!C1542</f>
        <v>Meera Krishnan</v>
      </c>
      <c r="C280" s="31" t="str">
        <f>'Expense Details'!D1542</f>
        <v>Finance</v>
      </c>
      <c r="D280" s="31" t="str">
        <f>'Expense Details'!G1542</f>
        <v>TRP-2025-113</v>
      </c>
      <c r="E280" s="32">
        <f>'Expense Details'!M1542</f>
        <v>45838</v>
      </c>
      <c r="F280" s="31" t="str">
        <f>'Expense Details'!O1542</f>
        <v>Airfare</v>
      </c>
      <c r="G280" s="31" t="str">
        <f>'Expense Details'!Q1542</f>
        <v>British Airways</v>
      </c>
      <c r="H280" s="33">
        <f>'Expense Details'!V1542</f>
        <v>2147.0563900000002</v>
      </c>
      <c r="I280" s="33">
        <f>'Expense Details'!Z1542</f>
        <v>1400</v>
      </c>
      <c r="J280" s="33">
        <f>H280-I280</f>
        <v>747.05639000000019</v>
      </c>
      <c r="K280" s="34">
        <f>IFERROR(MAX(0,H280/I280-1),0)</f>
        <v>0.53361170714285722</v>
      </c>
      <c r="L280" s="31" t="str">
        <f>'Expense Details'!AC1542</f>
        <v>No</v>
      </c>
      <c r="M280" s="35" t="s">
        <v>3504</v>
      </c>
      <c r="N280" s="31" t="str">
        <f>'Expense Details'!AG1542</f>
        <v>Approved</v>
      </c>
      <c r="O280" s="31" t="str">
        <f>'Expense Details'!F1542</f>
        <v>David Chen</v>
      </c>
    </row>
    <row r="281" spans="1:15">
      <c r="A281" s="31" t="str">
        <f>'Expense Details'!A1562</f>
        <v>EXP-01561</v>
      </c>
      <c r="B281" s="31" t="str">
        <f>'Expense Details'!C1562</f>
        <v>Ravi Chandra</v>
      </c>
      <c r="C281" s="31" t="str">
        <f>'Expense Details'!D1562</f>
        <v>Field Engineering</v>
      </c>
      <c r="D281" s="31" t="str">
        <f>'Expense Details'!G1562</f>
        <v>TRP-2025-033</v>
      </c>
      <c r="E281" s="32">
        <f>'Expense Details'!M1562</f>
        <v>45841</v>
      </c>
      <c r="F281" s="31" t="str">
        <f>'Expense Details'!O1562</f>
        <v>Meals - Breakfast</v>
      </c>
      <c r="G281" s="31" t="str">
        <f>'Expense Details'!Q1562</f>
        <v>Hotel Restaurant</v>
      </c>
      <c r="H281" s="33">
        <f>'Expense Details'!V1562</f>
        <v>35.880000000000003</v>
      </c>
      <c r="I281" s="33">
        <f>'Expense Details'!Z1562</f>
        <v>25</v>
      </c>
      <c r="J281" s="33">
        <f>H281-I281</f>
        <v>10.880000000000003</v>
      </c>
      <c r="K281" s="34">
        <f>IFERROR(MAX(0,H281/I281-1),0)</f>
        <v>0.43520000000000003</v>
      </c>
      <c r="L281" s="31" t="str">
        <f>'Expense Details'!AC1562</f>
        <v>No</v>
      </c>
      <c r="M281" s="35" t="s">
        <v>3504</v>
      </c>
      <c r="N281" s="31" t="str">
        <f>'Expense Details'!AG1562</f>
        <v>Approved</v>
      </c>
      <c r="O281" s="31" t="str">
        <f>'Expense Details'!F1562</f>
        <v>Tomas Kovac</v>
      </c>
    </row>
    <row r="282" spans="1:15">
      <c r="A282" s="31" t="str">
        <f>'Expense Details'!A1563</f>
        <v>EXP-01562</v>
      </c>
      <c r="B282" s="31" t="str">
        <f>'Expense Details'!C1563</f>
        <v>Ravi Chandra</v>
      </c>
      <c r="C282" s="31" t="str">
        <f>'Expense Details'!D1563</f>
        <v>Field Engineering</v>
      </c>
      <c r="D282" s="31" t="str">
        <f>'Expense Details'!G1563</f>
        <v>TRP-2025-033</v>
      </c>
      <c r="E282" s="32">
        <f>'Expense Details'!M1563</f>
        <v>45841</v>
      </c>
      <c r="F282" s="31" t="str">
        <f>'Expense Details'!O1563</f>
        <v>Meals - Dinner</v>
      </c>
      <c r="G282" s="31" t="str">
        <f>'Expense Details'!Q1563</f>
        <v>Sakura Izakaya</v>
      </c>
      <c r="H282" s="33">
        <f>'Expense Details'!V1563</f>
        <v>49.93</v>
      </c>
      <c r="I282" s="33">
        <f>'Expense Details'!Z1563</f>
        <v>75</v>
      </c>
      <c r="J282" s="33">
        <f>H282-I282</f>
        <v>-25.07</v>
      </c>
      <c r="K282" s="34">
        <f>IFERROR(MAX(0,H282/I282-1),0)</f>
        <v>0</v>
      </c>
      <c r="L282" s="31" t="str">
        <f>'Expense Details'!AC1563</f>
        <v>No</v>
      </c>
      <c r="M282" s="35" t="s">
        <v>3503</v>
      </c>
      <c r="N282" s="31" t="str">
        <f>'Expense Details'!AG1563</f>
        <v>Approved</v>
      </c>
      <c r="O282" s="31" t="str">
        <f>'Expense Details'!F1563</f>
        <v>Tomas Kovac</v>
      </c>
    </row>
    <row r="283" spans="1:15">
      <c r="A283" s="31" t="str">
        <f>'Expense Details'!A1564</f>
        <v>EXP-01563</v>
      </c>
      <c r="B283" s="31" t="str">
        <f>'Expense Details'!C1564</f>
        <v>Ravi Chandra</v>
      </c>
      <c r="C283" s="31" t="str">
        <f>'Expense Details'!D1564</f>
        <v>Field Engineering</v>
      </c>
      <c r="D283" s="31" t="str">
        <f>'Expense Details'!G1564</f>
        <v>TRP-2025-033</v>
      </c>
      <c r="E283" s="32">
        <f>'Expense Details'!M1564</f>
        <v>45841</v>
      </c>
      <c r="F283" s="31" t="str">
        <f>'Expense Details'!O1564</f>
        <v>Meals - Lunch</v>
      </c>
      <c r="G283" s="31" t="str">
        <f>'Expense Details'!Q1564</f>
        <v>Food Court</v>
      </c>
      <c r="H283" s="33">
        <f>'Expense Details'!V1564</f>
        <v>50.85</v>
      </c>
      <c r="I283" s="33">
        <f>'Expense Details'!Z1564</f>
        <v>35</v>
      </c>
      <c r="J283" s="33">
        <f>H283-I283</f>
        <v>15.850000000000001</v>
      </c>
      <c r="K283" s="34">
        <f>IFERROR(MAX(0,H283/I283-1),0)</f>
        <v>0.45285714285714285</v>
      </c>
      <c r="L283" s="31" t="str">
        <f>'Expense Details'!AC1564</f>
        <v>Yes</v>
      </c>
      <c r="M283" s="35" t="s">
        <v>3502</v>
      </c>
      <c r="N283" s="31" t="str">
        <f>'Expense Details'!AG1564</f>
        <v>Approved</v>
      </c>
      <c r="O283" s="31" t="str">
        <f>'Expense Details'!F1564</f>
        <v>Tomas Kovac</v>
      </c>
    </row>
    <row r="284" spans="1:15">
      <c r="A284" s="31" t="str">
        <f>'Expense Details'!A1565</f>
        <v>EXP-01564</v>
      </c>
      <c r="B284" s="31" t="str">
        <f>'Expense Details'!C1565</f>
        <v>Meera Krishnan</v>
      </c>
      <c r="C284" s="31" t="str">
        <f>'Expense Details'!D1565</f>
        <v>Finance</v>
      </c>
      <c r="D284" s="31" t="str">
        <f>'Expense Details'!G1565</f>
        <v>TRP-2025-113</v>
      </c>
      <c r="E284" s="32">
        <f>'Expense Details'!M1565</f>
        <v>45841</v>
      </c>
      <c r="F284" s="31" t="str">
        <f>'Expense Details'!O1565</f>
        <v>Ground Transport - Taxi</v>
      </c>
      <c r="G284" s="31" t="str">
        <f>'Expense Details'!Q1565</f>
        <v>Ola Cabs</v>
      </c>
      <c r="H284" s="33">
        <f>'Expense Details'!V1565</f>
        <v>78.51961</v>
      </c>
      <c r="I284" s="33">
        <f>'Expense Details'!Z1565</f>
        <v>60</v>
      </c>
      <c r="J284" s="33">
        <f>H284-I284</f>
        <v>18.51961</v>
      </c>
      <c r="K284" s="34">
        <f>IFERROR(MAX(0,H284/I284-1),0)</f>
        <v>0.30866016666666662</v>
      </c>
      <c r="L284" s="31" t="str">
        <f>'Expense Details'!AC1565</f>
        <v>Yes</v>
      </c>
      <c r="M284" s="35" t="s">
        <v>3502</v>
      </c>
      <c r="N284" s="31" t="str">
        <f>'Expense Details'!AG1565</f>
        <v>Approved</v>
      </c>
      <c r="O284" s="31" t="str">
        <f>'Expense Details'!F1565</f>
        <v>David Chen</v>
      </c>
    </row>
    <row r="285" spans="1:15">
      <c r="A285" s="31" t="str">
        <f>'Expense Details'!A1571</f>
        <v>EXP-01570</v>
      </c>
      <c r="B285" s="31" t="str">
        <f>'Expense Details'!C1571</f>
        <v>Ravi Chandra</v>
      </c>
      <c r="C285" s="31" t="str">
        <f>'Expense Details'!D1571</f>
        <v>Field Engineering</v>
      </c>
      <c r="D285" s="31" t="str">
        <f>'Expense Details'!G1571</f>
        <v>TRP-2025-033</v>
      </c>
      <c r="E285" s="32">
        <f>'Expense Details'!M1571</f>
        <v>45842</v>
      </c>
      <c r="F285" s="31" t="str">
        <f>'Expense Details'!O1571</f>
        <v>Meals - Breakfast</v>
      </c>
      <c r="G285" s="31" t="str">
        <f>'Expense Details'!Q1571</f>
        <v>Cafe Nero</v>
      </c>
      <c r="H285" s="33">
        <f>'Expense Details'!V1571</f>
        <v>27.24</v>
      </c>
      <c r="I285" s="33">
        <f>'Expense Details'!Z1571</f>
        <v>25</v>
      </c>
      <c r="J285" s="33">
        <f>H285-I285</f>
        <v>2.2399999999999984</v>
      </c>
      <c r="K285" s="34">
        <f>IFERROR(MAX(0,H285/I285-1),0)</f>
        <v>8.9599999999999902E-2</v>
      </c>
      <c r="L285" s="31" t="str">
        <f>'Expense Details'!AC1571</f>
        <v>Yes</v>
      </c>
      <c r="M285" s="35" t="s">
        <v>3502</v>
      </c>
      <c r="N285" s="31" t="str">
        <f>'Expense Details'!AG1571</f>
        <v>Approved</v>
      </c>
      <c r="O285" s="31" t="str">
        <f>'Expense Details'!F1571</f>
        <v>Tomas Kovac</v>
      </c>
    </row>
    <row r="286" spans="1:15">
      <c r="A286" s="31" t="str">
        <f>'Expense Details'!A1581</f>
        <v>EXP-01580</v>
      </c>
      <c r="B286" s="31" t="str">
        <f>'Expense Details'!C1581</f>
        <v>Sneha Iyer</v>
      </c>
      <c r="C286" s="31" t="str">
        <f>'Expense Details'!D1581</f>
        <v>Customer Success</v>
      </c>
      <c r="D286" s="31" t="str">
        <f>'Expense Details'!G1581</f>
        <v>TRP-2025-003</v>
      </c>
      <c r="E286" s="32">
        <f>'Expense Details'!M1581</f>
        <v>45843</v>
      </c>
      <c r="F286" s="31" t="str">
        <f>'Expense Details'!O1581</f>
        <v>Meals - Dinner</v>
      </c>
      <c r="G286" s="31" t="str">
        <f>'Expense Details'!Q1581</f>
        <v>The Grill House</v>
      </c>
      <c r="H286" s="33">
        <f>'Expense Details'!V1581</f>
        <v>103.33784999999999</v>
      </c>
      <c r="I286" s="33">
        <f>'Expense Details'!Z1581</f>
        <v>75</v>
      </c>
      <c r="J286" s="33">
        <f>H286-I286</f>
        <v>28.337849999999989</v>
      </c>
      <c r="K286" s="34">
        <f>IFERROR(MAX(0,H286/I286-1),0)</f>
        <v>0.3778379999999999</v>
      </c>
      <c r="L286" s="31" t="str">
        <f>'Expense Details'!AC1581</f>
        <v>Yes</v>
      </c>
      <c r="M286" s="35" t="s">
        <v>3502</v>
      </c>
      <c r="N286" s="31" t="str">
        <f>'Expense Details'!AG1581</f>
        <v>Approved</v>
      </c>
      <c r="O286" s="31" t="str">
        <f>'Expense Details'!F1581</f>
        <v>Paul Nkemelu</v>
      </c>
    </row>
    <row r="287" spans="1:15">
      <c r="A287" s="31" t="str">
        <f>'Expense Details'!A1585</f>
        <v>EXP-01584</v>
      </c>
      <c r="B287" s="31" t="str">
        <f>'Expense Details'!C1585</f>
        <v>Ravi Chandra</v>
      </c>
      <c r="C287" s="31" t="str">
        <f>'Expense Details'!D1585</f>
        <v>Field Engineering</v>
      </c>
      <c r="D287" s="31" t="str">
        <f>'Expense Details'!G1585</f>
        <v>TRP-2025-072</v>
      </c>
      <c r="E287" s="32">
        <f>'Expense Details'!M1585</f>
        <v>45843</v>
      </c>
      <c r="F287" s="31" t="str">
        <f>'Expense Details'!O1585</f>
        <v>Airfare</v>
      </c>
      <c r="G287" s="31" t="str">
        <f>'Expense Details'!Q1585</f>
        <v>United Airlines</v>
      </c>
      <c r="H287" s="33">
        <f>'Expense Details'!V1585</f>
        <v>1604.9211499999999</v>
      </c>
      <c r="I287" s="33">
        <f>'Expense Details'!Z1585</f>
        <v>1400</v>
      </c>
      <c r="J287" s="33">
        <f>H287-I287</f>
        <v>204.9211499999999</v>
      </c>
      <c r="K287" s="34">
        <f>IFERROR(MAX(0,H287/I287-1),0)</f>
        <v>0.14637224999999998</v>
      </c>
      <c r="L287" s="31" t="str">
        <f>'Expense Details'!AC1585</f>
        <v>Yes</v>
      </c>
      <c r="M287" s="35" t="s">
        <v>3502</v>
      </c>
      <c r="N287" s="31" t="str">
        <f>'Expense Details'!AG1585</f>
        <v>Approved</v>
      </c>
      <c r="O287" s="31" t="str">
        <f>'Expense Details'!F1585</f>
        <v>Tomas Kovac</v>
      </c>
    </row>
    <row r="288" spans="1:15">
      <c r="A288" s="31" t="str">
        <f>'Expense Details'!A1586</f>
        <v>EXP-01585</v>
      </c>
      <c r="B288" s="31" t="str">
        <f>'Expense Details'!C1586</f>
        <v>Ravi Chandra</v>
      </c>
      <c r="C288" s="31" t="str">
        <f>'Expense Details'!D1586</f>
        <v>Field Engineering</v>
      </c>
      <c r="D288" s="31" t="str">
        <f>'Expense Details'!G1586</f>
        <v>TRP-2025-072</v>
      </c>
      <c r="E288" s="32">
        <f>'Expense Details'!M1586</f>
        <v>45843</v>
      </c>
      <c r="F288" s="31" t="str">
        <f>'Expense Details'!O1586</f>
        <v>Ground Transport - Taxi</v>
      </c>
      <c r="G288" s="31" t="str">
        <f>'Expense Details'!Q1586</f>
        <v>Lyft</v>
      </c>
      <c r="H288" s="33">
        <f>'Expense Details'!V1586</f>
        <v>69.472549999999998</v>
      </c>
      <c r="I288" s="33">
        <f>'Expense Details'!Z1586</f>
        <v>60</v>
      </c>
      <c r="J288" s="33">
        <f>H288-I288</f>
        <v>9.4725499999999982</v>
      </c>
      <c r="K288" s="34">
        <f>IFERROR(MAX(0,H288/I288-1),0)</f>
        <v>0.15787583333333322</v>
      </c>
      <c r="L288" s="31" t="str">
        <f>'Expense Details'!AC1586</f>
        <v>Yes</v>
      </c>
      <c r="M288" s="35" t="s">
        <v>3502</v>
      </c>
      <c r="N288" s="31" t="str">
        <f>'Expense Details'!AG1586</f>
        <v>Approved</v>
      </c>
      <c r="O288" s="31" t="str">
        <f>'Expense Details'!F1586</f>
        <v>Tomas Kovac</v>
      </c>
    </row>
    <row r="289" spans="1:15">
      <c r="A289" s="31" t="str">
        <f>'Expense Details'!A1591</f>
        <v>EXP-01590</v>
      </c>
      <c r="B289" s="31" t="str">
        <f>'Expense Details'!C1591</f>
        <v>Meera Krishnan</v>
      </c>
      <c r="C289" s="31" t="str">
        <f>'Expense Details'!D1591</f>
        <v>Finance</v>
      </c>
      <c r="D289" s="31" t="str">
        <f>'Expense Details'!G1591</f>
        <v>TRP-2025-113</v>
      </c>
      <c r="E289" s="32">
        <f>'Expense Details'!M1591</f>
        <v>45843</v>
      </c>
      <c r="F289" s="31" t="str">
        <f>'Expense Details'!O1591</f>
        <v>Meals - Breakfast</v>
      </c>
      <c r="G289" s="31" t="str">
        <f>'Expense Details'!Q1591</f>
        <v>Starbucks</v>
      </c>
      <c r="H289" s="33">
        <f>'Expense Details'!V1591</f>
        <v>17.493649999999999</v>
      </c>
      <c r="I289" s="33">
        <f>'Expense Details'!Z1591</f>
        <v>25</v>
      </c>
      <c r="J289" s="33">
        <f>H289-I289</f>
        <v>-7.5063500000000012</v>
      </c>
      <c r="K289" s="34">
        <f>IFERROR(MAX(0,H289/I289-1),0)</f>
        <v>0</v>
      </c>
      <c r="L289" s="31" t="str">
        <f>'Expense Details'!AC1591</f>
        <v>No</v>
      </c>
      <c r="M289" s="35" t="s">
        <v>3503</v>
      </c>
      <c r="N289" s="31" t="str">
        <f>'Expense Details'!AG1591</f>
        <v>Approved</v>
      </c>
      <c r="O289" s="31" t="str">
        <f>'Expense Details'!F1591</f>
        <v>David Chen</v>
      </c>
    </row>
    <row r="290" spans="1:15">
      <c r="A290" s="31" t="str">
        <f>'Expense Details'!A1594</f>
        <v>EXP-01593</v>
      </c>
      <c r="B290" s="31" t="str">
        <f>'Expense Details'!C1594</f>
        <v>Sneha Iyer</v>
      </c>
      <c r="C290" s="31" t="str">
        <f>'Expense Details'!D1594</f>
        <v>Customer Success</v>
      </c>
      <c r="D290" s="31" t="str">
        <f>'Expense Details'!G1594</f>
        <v>TRP-2025-003</v>
      </c>
      <c r="E290" s="32">
        <f>'Expense Details'!M1594</f>
        <v>45844</v>
      </c>
      <c r="F290" s="31" t="str">
        <f>'Expense Details'!O1594</f>
        <v>Meals - Breakfast</v>
      </c>
      <c r="G290" s="31" t="str">
        <f>'Expense Details'!Q1594</f>
        <v>Local Bakery</v>
      </c>
      <c r="H290" s="33">
        <f>'Expense Details'!V1594</f>
        <v>35.360878</v>
      </c>
      <c r="I290" s="33">
        <f>'Expense Details'!Z1594</f>
        <v>25</v>
      </c>
      <c r="J290" s="33">
        <f>H290-I290</f>
        <v>10.360878</v>
      </c>
      <c r="K290" s="34">
        <f>IFERROR(MAX(0,H290/I290-1),0)</f>
        <v>0.41443512000000005</v>
      </c>
      <c r="L290" s="31" t="str">
        <f>'Expense Details'!AC1594</f>
        <v>Yes</v>
      </c>
      <c r="M290" s="35" t="s">
        <v>3502</v>
      </c>
      <c r="N290" s="31" t="str">
        <f>'Expense Details'!AG1594</f>
        <v>Approved</v>
      </c>
      <c r="O290" s="31" t="str">
        <f>'Expense Details'!F1594</f>
        <v>Paul Nkemelu</v>
      </c>
    </row>
    <row r="291" spans="1:15">
      <c r="A291" s="31" t="str">
        <f>'Expense Details'!A1606</f>
        <v>EXP-01605</v>
      </c>
      <c r="B291" s="31" t="str">
        <f>'Expense Details'!C1606</f>
        <v>Sneha Iyer</v>
      </c>
      <c r="C291" s="31" t="str">
        <f>'Expense Details'!D1606</f>
        <v>Customer Success</v>
      </c>
      <c r="D291" s="31" t="str">
        <f>'Expense Details'!G1606</f>
        <v>TRP-2025-003</v>
      </c>
      <c r="E291" s="32">
        <f>'Expense Details'!M1606</f>
        <v>45845</v>
      </c>
      <c r="F291" s="31" t="str">
        <f>'Expense Details'!O1606</f>
        <v>Meals - Breakfast</v>
      </c>
      <c r="G291" s="31" t="str">
        <f>'Expense Details'!Q1606</f>
        <v>Hotel Restaurant</v>
      </c>
      <c r="H291" s="33">
        <f>'Expense Details'!V1606</f>
        <v>30.402294999999999</v>
      </c>
      <c r="I291" s="33">
        <f>'Expense Details'!Z1606</f>
        <v>25</v>
      </c>
      <c r="J291" s="33">
        <f>H291-I291</f>
        <v>5.4022949999999987</v>
      </c>
      <c r="K291" s="34">
        <f>IFERROR(MAX(0,H291/I291-1),0)</f>
        <v>0.21609180000000006</v>
      </c>
      <c r="L291" s="31" t="str">
        <f>'Expense Details'!AC1606</f>
        <v>Yes</v>
      </c>
      <c r="M291" s="35" t="s">
        <v>3502</v>
      </c>
      <c r="N291" s="31" t="str">
        <f>'Expense Details'!AG1606</f>
        <v>Approved</v>
      </c>
      <c r="O291" s="31" t="str">
        <f>'Expense Details'!F1606</f>
        <v>Paul Nkemelu</v>
      </c>
    </row>
    <row r="292" spans="1:15">
      <c r="A292" s="31" t="str">
        <f>'Expense Details'!A1609</f>
        <v>EXP-01608</v>
      </c>
      <c r="B292" s="31" t="str">
        <f>'Expense Details'!C1609</f>
        <v>Rohit Malhotra</v>
      </c>
      <c r="C292" s="31" t="str">
        <f>'Expense Details'!D1609</f>
        <v>Sales</v>
      </c>
      <c r="D292" s="31" t="str">
        <f>'Expense Details'!G1609</f>
        <v>TRP-2025-036</v>
      </c>
      <c r="E292" s="32">
        <f>'Expense Details'!M1609</f>
        <v>45845</v>
      </c>
      <c r="F292" s="31" t="str">
        <f>'Expense Details'!O1609</f>
        <v>Car Rental</v>
      </c>
      <c r="G292" s="31" t="str">
        <f>'Expense Details'!Q1609</f>
        <v>Sixt</v>
      </c>
      <c r="H292" s="33">
        <f>'Expense Details'!V1609</f>
        <v>475.89</v>
      </c>
      <c r="I292" s="33">
        <f>'Expense Details'!Z1609</f>
        <v>360</v>
      </c>
      <c r="J292" s="33">
        <f>H292-I292</f>
        <v>115.88999999999999</v>
      </c>
      <c r="K292" s="34">
        <f>IFERROR(MAX(0,H292/I292-1),0)</f>
        <v>0.32191666666666663</v>
      </c>
      <c r="L292" s="31" t="str">
        <f>'Expense Details'!AC1609</f>
        <v>Yes</v>
      </c>
      <c r="M292" s="35" t="s">
        <v>3502</v>
      </c>
      <c r="N292" s="31" t="str">
        <f>'Expense Details'!AG1609</f>
        <v>Approved</v>
      </c>
      <c r="O292" s="31" t="str">
        <f>'Expense Details'!F1609</f>
        <v>Ananya Sengupta</v>
      </c>
    </row>
    <row r="293" spans="1:15">
      <c r="A293" s="31" t="str">
        <f>'Expense Details'!A1611</f>
        <v>EXP-01610</v>
      </c>
      <c r="B293" s="31" t="str">
        <f>'Expense Details'!C1611</f>
        <v>Rohit Malhotra</v>
      </c>
      <c r="C293" s="31" t="str">
        <f>'Expense Details'!D1611</f>
        <v>Sales</v>
      </c>
      <c r="D293" s="31" t="str">
        <f>'Expense Details'!G1611</f>
        <v>TRP-2025-036</v>
      </c>
      <c r="E293" s="32">
        <f>'Expense Details'!M1611</f>
        <v>45845</v>
      </c>
      <c r="F293" s="31" t="str">
        <f>'Expense Details'!O1611</f>
        <v>Hotel / Lodging</v>
      </c>
      <c r="G293" s="31" t="str">
        <f>'Expense Details'!Q1611</f>
        <v>Taj Hotels</v>
      </c>
      <c r="H293" s="33">
        <f>'Expense Details'!V1611</f>
        <v>1097.3</v>
      </c>
      <c r="I293" s="33">
        <f>'Expense Details'!Z1611</f>
        <v>840</v>
      </c>
      <c r="J293" s="33">
        <f>H293-I293</f>
        <v>257.29999999999995</v>
      </c>
      <c r="K293" s="34">
        <f>IFERROR(MAX(0,H293/I293-1),0)</f>
        <v>0.3063095238095237</v>
      </c>
      <c r="L293" s="31" t="str">
        <f>'Expense Details'!AC1611</f>
        <v>Yes</v>
      </c>
      <c r="M293" s="35" t="s">
        <v>3502</v>
      </c>
      <c r="N293" s="31" t="str">
        <f>'Expense Details'!AG1611</f>
        <v>Approved</v>
      </c>
      <c r="O293" s="31" t="str">
        <f>'Expense Details'!F1611</f>
        <v>Ananya Sengupta</v>
      </c>
    </row>
    <row r="294" spans="1:15">
      <c r="A294" s="31" t="str">
        <f>'Expense Details'!A1625</f>
        <v>EXP-01624</v>
      </c>
      <c r="B294" s="31" t="str">
        <f>'Expense Details'!C1625</f>
        <v>Sneha Iyer</v>
      </c>
      <c r="C294" s="31" t="str">
        <f>'Expense Details'!D1625</f>
        <v>Customer Success</v>
      </c>
      <c r="D294" s="31" t="str">
        <f>'Expense Details'!G1625</f>
        <v>TRP-2025-003</v>
      </c>
      <c r="E294" s="32">
        <f>'Expense Details'!M1625</f>
        <v>45846</v>
      </c>
      <c r="F294" s="31" t="str">
        <f>'Expense Details'!O1625</f>
        <v>Meals - Lunch</v>
      </c>
      <c r="G294" s="31" t="str">
        <f>'Expense Details'!Q1625</f>
        <v>Pret A Manger</v>
      </c>
      <c r="H294" s="33">
        <f>'Expense Details'!V1625</f>
        <v>41.770820000000001</v>
      </c>
      <c r="I294" s="33">
        <f>'Expense Details'!Z1625</f>
        <v>35</v>
      </c>
      <c r="J294" s="33">
        <f>H294-I294</f>
        <v>6.7708200000000005</v>
      </c>
      <c r="K294" s="34">
        <f>IFERROR(MAX(0,H294/I294-1),0)</f>
        <v>0.19345199999999996</v>
      </c>
      <c r="L294" s="31" t="str">
        <f>'Expense Details'!AC1625</f>
        <v>Yes</v>
      </c>
      <c r="M294" s="35" t="s">
        <v>3502</v>
      </c>
      <c r="N294" s="31" t="str">
        <f>'Expense Details'!AG1625</f>
        <v>Approved</v>
      </c>
      <c r="O294" s="31" t="str">
        <f>'Expense Details'!F1625</f>
        <v>Paul Nkemelu</v>
      </c>
    </row>
    <row r="295" spans="1:15">
      <c r="A295" s="31" t="str">
        <f>'Expense Details'!A1626</f>
        <v>EXP-01625</v>
      </c>
      <c r="B295" s="31" t="str">
        <f>'Expense Details'!C1626</f>
        <v>Rohit Malhotra</v>
      </c>
      <c r="C295" s="31" t="str">
        <f>'Expense Details'!D1626</f>
        <v>Sales</v>
      </c>
      <c r="D295" s="31" t="str">
        <f>'Expense Details'!G1626</f>
        <v>TRP-2025-036</v>
      </c>
      <c r="E295" s="32">
        <f>'Expense Details'!M1626</f>
        <v>45846</v>
      </c>
      <c r="F295" s="31" t="str">
        <f>'Expense Details'!O1626</f>
        <v>Ground Transport - Taxi</v>
      </c>
      <c r="G295" s="31" t="str">
        <f>'Expense Details'!Q1626</f>
        <v>Local Taxi</v>
      </c>
      <c r="H295" s="33">
        <f>'Expense Details'!V1626</f>
        <v>63.12</v>
      </c>
      <c r="I295" s="33">
        <f>'Expense Details'!Z1626</f>
        <v>60</v>
      </c>
      <c r="J295" s="33">
        <f>H295-I295</f>
        <v>3.1199999999999974</v>
      </c>
      <c r="K295" s="34">
        <f>IFERROR(MAX(0,H295/I295-1),0)</f>
        <v>5.2000000000000046E-2</v>
      </c>
      <c r="L295" s="31" t="str">
        <f>'Expense Details'!AC1626</f>
        <v>Yes</v>
      </c>
      <c r="M295" s="35" t="s">
        <v>3502</v>
      </c>
      <c r="N295" s="31" t="str">
        <f>'Expense Details'!AG1626</f>
        <v>Approved</v>
      </c>
      <c r="O295" s="31" t="str">
        <f>'Expense Details'!F1626</f>
        <v>Ananya Sengupta</v>
      </c>
    </row>
    <row r="296" spans="1:15">
      <c r="A296" s="31" t="str">
        <f>'Expense Details'!A1628</f>
        <v>EXP-01627</v>
      </c>
      <c r="B296" s="31" t="str">
        <f>'Expense Details'!C1628</f>
        <v>Rohit Malhotra</v>
      </c>
      <c r="C296" s="31" t="str">
        <f>'Expense Details'!D1628</f>
        <v>Sales</v>
      </c>
      <c r="D296" s="31" t="str">
        <f>'Expense Details'!G1628</f>
        <v>TRP-2025-036</v>
      </c>
      <c r="E296" s="32">
        <f>'Expense Details'!M1628</f>
        <v>45846</v>
      </c>
      <c r="F296" s="31" t="str">
        <f>'Expense Details'!O1628</f>
        <v>Meals - Dinner</v>
      </c>
      <c r="G296" s="31" t="str">
        <f>'Expense Details'!Q1628</f>
        <v>Osteria Vela</v>
      </c>
      <c r="H296" s="33">
        <f>'Expense Details'!V1628</f>
        <v>106.35</v>
      </c>
      <c r="I296" s="33">
        <f>'Expense Details'!Z1628</f>
        <v>75</v>
      </c>
      <c r="J296" s="33">
        <f>H296-I296</f>
        <v>31.349999999999994</v>
      </c>
      <c r="K296" s="34">
        <f>IFERROR(MAX(0,H296/I296-1),0)</f>
        <v>0.41799999999999993</v>
      </c>
      <c r="L296" s="31" t="str">
        <f>'Expense Details'!AC1628</f>
        <v>Yes</v>
      </c>
      <c r="M296" s="35" t="s">
        <v>3502</v>
      </c>
      <c r="N296" s="31" t="str">
        <f>'Expense Details'!AG1628</f>
        <v>Approved</v>
      </c>
      <c r="O296" s="31" t="str">
        <f>'Expense Details'!F1628</f>
        <v>Ananya Sengupta</v>
      </c>
    </row>
    <row r="297" spans="1:15">
      <c r="A297" s="31" t="str">
        <f>'Expense Details'!A1634</f>
        <v>EXP-01633</v>
      </c>
      <c r="B297" s="31" t="str">
        <f>'Expense Details'!C1634</f>
        <v>Ravi Chandra</v>
      </c>
      <c r="C297" s="31" t="str">
        <f>'Expense Details'!D1634</f>
        <v>Field Engineering</v>
      </c>
      <c r="D297" s="31" t="str">
        <f>'Expense Details'!G1634</f>
        <v>TRP-2025-043</v>
      </c>
      <c r="E297" s="32">
        <f>'Expense Details'!M1634</f>
        <v>45846</v>
      </c>
      <c r="F297" s="31" t="str">
        <f>'Expense Details'!O1634</f>
        <v>Meals - Lunch</v>
      </c>
      <c r="G297" s="31" t="str">
        <f>'Expense Details'!Q1634</f>
        <v>Food Court</v>
      </c>
      <c r="H297" s="33">
        <f>'Expense Details'!V1634</f>
        <v>45.33</v>
      </c>
      <c r="I297" s="33">
        <f>'Expense Details'!Z1634</f>
        <v>35</v>
      </c>
      <c r="J297" s="33">
        <f>H297-I297</f>
        <v>10.329999999999998</v>
      </c>
      <c r="K297" s="34">
        <f>IFERROR(MAX(0,H297/I297-1),0)</f>
        <v>0.29514285714285715</v>
      </c>
      <c r="L297" s="31" t="str">
        <f>'Expense Details'!AC1634</f>
        <v>Yes</v>
      </c>
      <c r="M297" s="35" t="s">
        <v>3502</v>
      </c>
      <c r="N297" s="31" t="str">
        <f>'Expense Details'!AG1634</f>
        <v>Approved</v>
      </c>
      <c r="O297" s="31" t="str">
        <f>'Expense Details'!F1634</f>
        <v>Tomas Kovac</v>
      </c>
    </row>
    <row r="298" spans="1:15">
      <c r="A298" s="31" t="str">
        <f>'Expense Details'!A1638</f>
        <v>EXP-01637</v>
      </c>
      <c r="B298" s="31" t="str">
        <f>'Expense Details'!C1638</f>
        <v>Rohit Malhotra</v>
      </c>
      <c r="C298" s="31" t="str">
        <f>'Expense Details'!D1638</f>
        <v>Sales</v>
      </c>
      <c r="D298" s="31" t="str">
        <f>'Expense Details'!G1638</f>
        <v>TRP-2025-036</v>
      </c>
      <c r="E298" s="32">
        <f>'Expense Details'!M1638</f>
        <v>45847</v>
      </c>
      <c r="F298" s="31" t="str">
        <f>'Expense Details'!O1638</f>
        <v>Meals - Breakfast</v>
      </c>
      <c r="G298" s="31" t="str">
        <f>'Expense Details'!Q1638</f>
        <v>Starbucks</v>
      </c>
      <c r="H298" s="33">
        <f>'Expense Details'!V1638</f>
        <v>27.35</v>
      </c>
      <c r="I298" s="33">
        <f>'Expense Details'!Z1638</f>
        <v>25</v>
      </c>
      <c r="J298" s="33">
        <f>H298-I298</f>
        <v>2.3500000000000014</v>
      </c>
      <c r="K298" s="34">
        <f>IFERROR(MAX(0,H298/I298-1),0)</f>
        <v>9.4000000000000083E-2</v>
      </c>
      <c r="L298" s="31" t="str">
        <f>'Expense Details'!AC1638</f>
        <v>Yes</v>
      </c>
      <c r="M298" s="35" t="s">
        <v>3502</v>
      </c>
      <c r="N298" s="31" t="str">
        <f>'Expense Details'!AG1638</f>
        <v>Approved</v>
      </c>
      <c r="O298" s="31" t="str">
        <f>'Expense Details'!F1638</f>
        <v>Ananya Sengupta</v>
      </c>
    </row>
    <row r="299" spans="1:15">
      <c r="A299" s="31" t="str">
        <f>'Expense Details'!A1644</f>
        <v>EXP-01643</v>
      </c>
      <c r="B299" s="31" t="str">
        <f>'Expense Details'!C1644</f>
        <v>Ravi Chandra</v>
      </c>
      <c r="C299" s="31" t="str">
        <f>'Expense Details'!D1644</f>
        <v>Field Engineering</v>
      </c>
      <c r="D299" s="31" t="str">
        <f>'Expense Details'!G1644</f>
        <v>TRP-2025-072</v>
      </c>
      <c r="E299" s="32">
        <f>'Expense Details'!M1644</f>
        <v>45847</v>
      </c>
      <c r="F299" s="31" t="str">
        <f>'Expense Details'!O1644</f>
        <v>Ground Transport - Taxi</v>
      </c>
      <c r="G299" s="31" t="str">
        <f>'Expense Details'!Q1644</f>
        <v>Ola Cabs</v>
      </c>
      <c r="H299" s="33">
        <f>'Expense Details'!V1644</f>
        <v>92.431149999999988</v>
      </c>
      <c r="I299" s="33">
        <f>'Expense Details'!Z1644</f>
        <v>60</v>
      </c>
      <c r="J299" s="33">
        <f>H299-I299</f>
        <v>32.431149999999988</v>
      </c>
      <c r="K299" s="34">
        <f>IFERROR(MAX(0,H299/I299-1),0)</f>
        <v>0.54051916666666644</v>
      </c>
      <c r="L299" s="31" t="str">
        <f>'Expense Details'!AC1644</f>
        <v>Yes</v>
      </c>
      <c r="M299" s="35" t="s">
        <v>3502</v>
      </c>
      <c r="N299" s="31" t="str">
        <f>'Expense Details'!AG1644</f>
        <v>Approved</v>
      </c>
      <c r="O299" s="31" t="str">
        <f>'Expense Details'!F1644</f>
        <v>Tomas Kovac</v>
      </c>
    </row>
    <row r="300" spans="1:15">
      <c r="A300" s="31" t="str">
        <f>'Expense Details'!A1649</f>
        <v>EXP-01648</v>
      </c>
      <c r="B300" s="31" t="str">
        <f>'Expense Details'!C1649</f>
        <v>Ravi Chandra</v>
      </c>
      <c r="C300" s="31" t="str">
        <f>'Expense Details'!D1649</f>
        <v>Field Engineering</v>
      </c>
      <c r="D300" s="31" t="str">
        <f>'Expense Details'!G1649</f>
        <v>TRP-2025-043</v>
      </c>
      <c r="E300" s="32">
        <f>'Expense Details'!M1649</f>
        <v>45848</v>
      </c>
      <c r="F300" s="31" t="str">
        <f>'Expense Details'!O1649</f>
        <v>Meals - Breakfast</v>
      </c>
      <c r="G300" s="31" t="str">
        <f>'Expense Details'!Q1649</f>
        <v>Starbucks</v>
      </c>
      <c r="H300" s="33">
        <f>'Expense Details'!V1649</f>
        <v>32.24</v>
      </c>
      <c r="I300" s="33">
        <f>'Expense Details'!Z1649</f>
        <v>25</v>
      </c>
      <c r="J300" s="33">
        <f>H300-I300</f>
        <v>7.240000000000002</v>
      </c>
      <c r="K300" s="34">
        <f>IFERROR(MAX(0,H300/I300-1),0)</f>
        <v>0.28960000000000008</v>
      </c>
      <c r="L300" s="31" t="str">
        <f>'Expense Details'!AC1649</f>
        <v>Yes</v>
      </c>
      <c r="M300" s="35" t="s">
        <v>3502</v>
      </c>
      <c r="N300" s="31" t="str">
        <f>'Expense Details'!AG1649</f>
        <v>Approved</v>
      </c>
      <c r="O300" s="31" t="str">
        <f>'Expense Details'!F1649</f>
        <v>Tomas Kovac</v>
      </c>
    </row>
    <row r="301" spans="1:15">
      <c r="A301" s="31" t="str">
        <f>'Expense Details'!A1656</f>
        <v>EXP-01655</v>
      </c>
      <c r="B301" s="31" t="str">
        <f>'Expense Details'!C1656</f>
        <v>Marcus Bell</v>
      </c>
      <c r="C301" s="31" t="str">
        <f>'Expense Details'!D1656</f>
        <v>Sales</v>
      </c>
      <c r="D301" s="31" t="str">
        <f>'Expense Details'!G1656</f>
        <v>TRP-2025-126</v>
      </c>
      <c r="E301" s="32">
        <f>'Expense Details'!M1656</f>
        <v>45848</v>
      </c>
      <c r="F301" s="31" t="str">
        <f>'Expense Details'!O1656</f>
        <v>Meals - Breakfast</v>
      </c>
      <c r="G301" s="31" t="str">
        <f>'Expense Details'!Q1656</f>
        <v>Starbucks</v>
      </c>
      <c r="H301" s="33">
        <f>'Expense Details'!V1656</f>
        <v>34.237439999999999</v>
      </c>
      <c r="I301" s="33">
        <f>'Expense Details'!Z1656</f>
        <v>25</v>
      </c>
      <c r="J301" s="33">
        <f>H301-I301</f>
        <v>9.2374399999999994</v>
      </c>
      <c r="K301" s="34">
        <f>IFERROR(MAX(0,H301/I301-1),0)</f>
        <v>0.36949759999999987</v>
      </c>
      <c r="L301" s="31" t="str">
        <f>'Expense Details'!AC1656</f>
        <v>Yes</v>
      </c>
      <c r="M301" s="35" t="s">
        <v>3502</v>
      </c>
      <c r="N301" s="31" t="str">
        <f>'Expense Details'!AG1656</f>
        <v>Approved</v>
      </c>
      <c r="O301" s="31" t="str">
        <f>'Expense Details'!F1656</f>
        <v>Diane Okafor</v>
      </c>
    </row>
    <row r="302" spans="1:15">
      <c r="A302" s="31" t="str">
        <f>'Expense Details'!A1659</f>
        <v>EXP-01658</v>
      </c>
      <c r="B302" s="31" t="str">
        <f>'Expense Details'!C1659</f>
        <v>Ravi Chandra</v>
      </c>
      <c r="C302" s="31" t="str">
        <f>'Expense Details'!D1659</f>
        <v>Field Engineering</v>
      </c>
      <c r="D302" s="31" t="str">
        <f>'Expense Details'!G1659</f>
        <v>TRP-2025-043</v>
      </c>
      <c r="E302" s="32">
        <f>'Expense Details'!M1659</f>
        <v>45849</v>
      </c>
      <c r="F302" s="31" t="str">
        <f>'Expense Details'!O1659</f>
        <v>Ground Transport - Taxi</v>
      </c>
      <c r="G302" s="31" t="str">
        <f>'Expense Details'!Q1659</f>
        <v>Ola Cabs</v>
      </c>
      <c r="H302" s="33">
        <f>'Expense Details'!V1659</f>
        <v>65.42</v>
      </c>
      <c r="I302" s="33">
        <f>'Expense Details'!Z1659</f>
        <v>60</v>
      </c>
      <c r="J302" s="33">
        <f>H302-I302</f>
        <v>5.4200000000000017</v>
      </c>
      <c r="K302" s="34">
        <f>IFERROR(MAX(0,H302/I302-1),0)</f>
        <v>9.0333333333333377E-2</v>
      </c>
      <c r="L302" s="31" t="str">
        <f>'Expense Details'!AC1659</f>
        <v>Yes</v>
      </c>
      <c r="M302" s="35" t="s">
        <v>3502</v>
      </c>
      <c r="N302" s="31" t="str">
        <f>'Expense Details'!AG1659</f>
        <v>Approved</v>
      </c>
      <c r="O302" s="31" t="str">
        <f>'Expense Details'!F1659</f>
        <v>Tomas Kovac</v>
      </c>
    </row>
    <row r="303" spans="1:15">
      <c r="A303" s="31" t="str">
        <f>'Expense Details'!A1666</f>
        <v>EXP-01665</v>
      </c>
      <c r="B303" s="31" t="str">
        <f>'Expense Details'!C1666</f>
        <v>Arjun Deshpande</v>
      </c>
      <c r="C303" s="31" t="str">
        <f>'Expense Details'!D1666</f>
        <v>Product</v>
      </c>
      <c r="D303" s="31" t="str">
        <f>'Expense Details'!G1666</f>
        <v>TRP-2025-097</v>
      </c>
      <c r="E303" s="32">
        <f>'Expense Details'!M1666</f>
        <v>45849</v>
      </c>
      <c r="F303" s="31" t="str">
        <f>'Expense Details'!O1666</f>
        <v>Airfare</v>
      </c>
      <c r="G303" s="31" t="str">
        <f>'Expense Details'!Q1666</f>
        <v>United Airlines</v>
      </c>
      <c r="H303" s="33">
        <f>'Expense Details'!V1666</f>
        <v>2058.3617599999998</v>
      </c>
      <c r="I303" s="33">
        <f>'Expense Details'!Z1666</f>
        <v>1400</v>
      </c>
      <c r="J303" s="33">
        <f>H303-I303</f>
        <v>658.36175999999978</v>
      </c>
      <c r="K303" s="34">
        <f>IFERROR(MAX(0,H303/I303-1),0)</f>
        <v>0.47025839999999985</v>
      </c>
      <c r="L303" s="31" t="str">
        <f>'Expense Details'!AC1666</f>
        <v>Yes</v>
      </c>
      <c r="M303" s="35" t="s">
        <v>3502</v>
      </c>
      <c r="N303" s="31" t="str">
        <f>'Expense Details'!AG1666</f>
        <v>Approved</v>
      </c>
      <c r="O303" s="31" t="str">
        <f>'Expense Details'!F1666</f>
        <v>Elena Duarte</v>
      </c>
    </row>
    <row r="304" spans="1:15">
      <c r="A304" s="31" t="str">
        <f>'Expense Details'!A1687</f>
        <v>EXP-01686</v>
      </c>
      <c r="B304" s="31" t="str">
        <f>'Expense Details'!C1687</f>
        <v>Arjun Deshpande</v>
      </c>
      <c r="C304" s="31" t="str">
        <f>'Expense Details'!D1687</f>
        <v>Product</v>
      </c>
      <c r="D304" s="31" t="str">
        <f>'Expense Details'!G1687</f>
        <v>TRP-2025-097</v>
      </c>
      <c r="E304" s="32">
        <f>'Expense Details'!M1687</f>
        <v>45850</v>
      </c>
      <c r="F304" s="31" t="str">
        <f>'Expense Details'!O1687</f>
        <v>Car Rental</v>
      </c>
      <c r="G304" s="31" t="str">
        <f>'Expense Details'!Q1687</f>
        <v>Avis</v>
      </c>
      <c r="H304" s="33">
        <f>'Expense Details'!V1687</f>
        <v>832.91935999999987</v>
      </c>
      <c r="I304" s="33">
        <f>'Expense Details'!Z1687</f>
        <v>720</v>
      </c>
      <c r="J304" s="33">
        <f>H304-I304</f>
        <v>112.91935999999987</v>
      </c>
      <c r="K304" s="34">
        <f>IFERROR(MAX(0,H304/I304-1),0)</f>
        <v>0.15683244444444422</v>
      </c>
      <c r="L304" s="31" t="str">
        <f>'Expense Details'!AC1687</f>
        <v>Yes</v>
      </c>
      <c r="M304" s="35" t="s">
        <v>3502</v>
      </c>
      <c r="N304" s="31" t="str">
        <f>'Expense Details'!AG1687</f>
        <v>Approved</v>
      </c>
      <c r="O304" s="31" t="str">
        <f>'Expense Details'!F1687</f>
        <v>Elena Duarte</v>
      </c>
    </row>
    <row r="305" spans="1:15">
      <c r="A305" s="31" t="str">
        <f>'Expense Details'!A1691</f>
        <v>EXP-01690</v>
      </c>
      <c r="B305" s="31" t="str">
        <f>'Expense Details'!C1691</f>
        <v>Samuel Adeyemi</v>
      </c>
      <c r="C305" s="31" t="str">
        <f>'Expense Details'!D1691</f>
        <v>Field Engineering</v>
      </c>
      <c r="D305" s="31" t="str">
        <f>'Expense Details'!G1691</f>
        <v>TRP-2025-114</v>
      </c>
      <c r="E305" s="32">
        <f>'Expense Details'!M1691</f>
        <v>45850</v>
      </c>
      <c r="F305" s="31" t="str">
        <f>'Expense Details'!O1691</f>
        <v>Airfare</v>
      </c>
      <c r="G305" s="31" t="str">
        <f>'Expense Details'!Q1691</f>
        <v>Air India</v>
      </c>
      <c r="H305" s="33">
        <f>'Expense Details'!V1691</f>
        <v>2377.0510399999998</v>
      </c>
      <c r="I305" s="33">
        <f>'Expense Details'!Z1691</f>
        <v>1400</v>
      </c>
      <c r="J305" s="33">
        <f>H305-I305</f>
        <v>977.05103999999983</v>
      </c>
      <c r="K305" s="34">
        <f>IFERROR(MAX(0,H305/I305-1),0)</f>
        <v>0.69789359999999978</v>
      </c>
      <c r="L305" s="31" t="str">
        <f>'Expense Details'!AC1691</f>
        <v>Yes</v>
      </c>
      <c r="M305" s="35" t="s">
        <v>3502</v>
      </c>
      <c r="N305" s="31" t="str">
        <f>'Expense Details'!AG1691</f>
        <v>Approved</v>
      </c>
      <c r="O305" s="31" t="str">
        <f>'Expense Details'!F1691</f>
        <v>Tomas Kovac</v>
      </c>
    </row>
    <row r="306" spans="1:15">
      <c r="A306" s="31" t="str">
        <f>'Expense Details'!A1697</f>
        <v>EXP-01696</v>
      </c>
      <c r="B306" s="31" t="str">
        <f>'Expense Details'!C1697</f>
        <v>Samuel Adeyemi</v>
      </c>
      <c r="C306" s="31" t="str">
        <f>'Expense Details'!D1697</f>
        <v>Field Engineering</v>
      </c>
      <c r="D306" s="31" t="str">
        <f>'Expense Details'!G1697</f>
        <v>TRP-2025-114</v>
      </c>
      <c r="E306" s="32">
        <f>'Expense Details'!M1697</f>
        <v>45850</v>
      </c>
      <c r="F306" s="31" t="str">
        <f>'Expense Details'!O1697</f>
        <v>Visa &amp; Travel Docs</v>
      </c>
      <c r="G306" s="31" t="str">
        <f>'Expense Details'!Q1697</f>
        <v>VFS Global</v>
      </c>
      <c r="H306" s="33">
        <f>'Expense Details'!V1697</f>
        <v>278.86040000000003</v>
      </c>
      <c r="I306" s="33">
        <f>'Expense Details'!Z1697</f>
        <v>250</v>
      </c>
      <c r="J306" s="33">
        <f>H306-I306</f>
        <v>28.860400000000027</v>
      </c>
      <c r="K306" s="34">
        <f>IFERROR(MAX(0,H306/I306-1),0)</f>
        <v>0.11544160000000003</v>
      </c>
      <c r="L306" s="31" t="str">
        <f>'Expense Details'!AC1697</f>
        <v>Yes</v>
      </c>
      <c r="M306" s="35" t="s">
        <v>3502</v>
      </c>
      <c r="N306" s="31" t="str">
        <f>'Expense Details'!AG1697</f>
        <v>Approved</v>
      </c>
      <c r="O306" s="31" t="str">
        <f>'Expense Details'!F1697</f>
        <v>Tomas Kovac</v>
      </c>
    </row>
    <row r="307" spans="1:15">
      <c r="A307" s="31" t="str">
        <f>'Expense Details'!A1708</f>
        <v>EXP-01707</v>
      </c>
      <c r="B307" s="31" t="str">
        <f>'Expense Details'!C1708</f>
        <v>Aisha Bello</v>
      </c>
      <c r="C307" s="31" t="str">
        <f>'Expense Details'!D1708</f>
        <v>Operations</v>
      </c>
      <c r="D307" s="31" t="str">
        <f>'Expense Details'!G1708</f>
        <v>TRP-2025-084</v>
      </c>
      <c r="E307" s="32">
        <f>'Expense Details'!M1708</f>
        <v>45851</v>
      </c>
      <c r="F307" s="31" t="str">
        <f>'Expense Details'!O1708</f>
        <v>Car Rental</v>
      </c>
      <c r="G307" s="31" t="str">
        <f>'Expense Details'!Q1708</f>
        <v>Sixt</v>
      </c>
      <c r="H307" s="33">
        <f>'Expense Details'!V1708</f>
        <v>263.02999999999997</v>
      </c>
      <c r="I307" s="33">
        <f>'Expense Details'!Z1708</f>
        <v>240</v>
      </c>
      <c r="J307" s="33">
        <f>H307-I307</f>
        <v>23.029999999999973</v>
      </c>
      <c r="K307" s="34">
        <f>IFERROR(MAX(0,H307/I307-1),0)</f>
        <v>9.5958333333333146E-2</v>
      </c>
      <c r="L307" s="31" t="str">
        <f>'Expense Details'!AC1708</f>
        <v>Yes</v>
      </c>
      <c r="M307" s="35" t="s">
        <v>3502</v>
      </c>
      <c r="N307" s="31" t="str">
        <f>'Expense Details'!AG1708</f>
        <v>Approved</v>
      </c>
      <c r="O307" s="31" t="str">
        <f>'Expense Details'!F1708</f>
        <v>Viktor Petrov</v>
      </c>
    </row>
    <row r="308" spans="1:15">
      <c r="A308" s="31" t="str">
        <f>'Expense Details'!A1710</f>
        <v>EXP-01709</v>
      </c>
      <c r="B308" s="31" t="str">
        <f>'Expense Details'!C1710</f>
        <v>Aisha Bello</v>
      </c>
      <c r="C308" s="31" t="str">
        <f>'Expense Details'!D1710</f>
        <v>Operations</v>
      </c>
      <c r="D308" s="31" t="str">
        <f>'Expense Details'!G1710</f>
        <v>TRP-2025-084</v>
      </c>
      <c r="E308" s="32">
        <f>'Expense Details'!M1710</f>
        <v>45851</v>
      </c>
      <c r="F308" s="31" t="str">
        <f>'Expense Details'!O1710</f>
        <v>Hotel / Lodging</v>
      </c>
      <c r="G308" s="31" t="str">
        <f>'Expense Details'!Q1710</f>
        <v>Marriott</v>
      </c>
      <c r="H308" s="33">
        <f>'Expense Details'!V1710</f>
        <v>226.12</v>
      </c>
      <c r="I308" s="33">
        <f>'Expense Details'!Z1710</f>
        <v>560</v>
      </c>
      <c r="J308" s="33">
        <f>H308-I308</f>
        <v>-333.88</v>
      </c>
      <c r="K308" s="34">
        <f>IFERROR(MAX(0,H308/I308-1),0)</f>
        <v>0</v>
      </c>
      <c r="L308" s="31" t="str">
        <f>'Expense Details'!AC1710</f>
        <v>No</v>
      </c>
      <c r="M308" s="35" t="s">
        <v>3503</v>
      </c>
      <c r="N308" s="31" t="str">
        <f>'Expense Details'!AG1710</f>
        <v>Approved</v>
      </c>
      <c r="O308" s="31" t="str">
        <f>'Expense Details'!F1710</f>
        <v>Viktor Petrov</v>
      </c>
    </row>
    <row r="309" spans="1:15">
      <c r="A309" s="31" t="str">
        <f>'Expense Details'!A1718</f>
        <v>EXP-01717</v>
      </c>
      <c r="B309" s="31" t="str">
        <f>'Expense Details'!C1718</f>
        <v>Arjun Deshpande</v>
      </c>
      <c r="C309" s="31" t="str">
        <f>'Expense Details'!D1718</f>
        <v>Product</v>
      </c>
      <c r="D309" s="31" t="str">
        <f>'Expense Details'!G1718</f>
        <v>TRP-2025-097</v>
      </c>
      <c r="E309" s="32">
        <f>'Expense Details'!M1718</f>
        <v>45851</v>
      </c>
      <c r="F309" s="31" t="str">
        <f>'Expense Details'!O1718</f>
        <v>Meals - Lunch</v>
      </c>
      <c r="G309" s="31" t="str">
        <f>'Expense Details'!Q1718</f>
        <v>Pret A Manger</v>
      </c>
      <c r="H309" s="33">
        <f>'Expense Details'!V1718</f>
        <v>41.474159999999998</v>
      </c>
      <c r="I309" s="33">
        <f>'Expense Details'!Z1718</f>
        <v>35</v>
      </c>
      <c r="J309" s="33">
        <f>H309-I309</f>
        <v>6.4741599999999977</v>
      </c>
      <c r="K309" s="34">
        <f>IFERROR(MAX(0,H309/I309-1),0)</f>
        <v>0.18497600000000003</v>
      </c>
      <c r="L309" s="31" t="str">
        <f>'Expense Details'!AC1718</f>
        <v>Yes</v>
      </c>
      <c r="M309" s="35" t="s">
        <v>3502</v>
      </c>
      <c r="N309" s="31" t="str">
        <f>'Expense Details'!AG1718</f>
        <v>Approved</v>
      </c>
      <c r="O309" s="31" t="str">
        <f>'Expense Details'!F1718</f>
        <v>Elena Duarte</v>
      </c>
    </row>
    <row r="310" spans="1:15">
      <c r="A310" s="31" t="str">
        <f>'Expense Details'!A1725</f>
        <v>EXP-01724</v>
      </c>
      <c r="B310" s="31" t="str">
        <f>'Expense Details'!C1725</f>
        <v>Marcus Bell</v>
      </c>
      <c r="C310" s="31" t="str">
        <f>'Expense Details'!D1725</f>
        <v>Sales</v>
      </c>
      <c r="D310" s="31" t="str">
        <f>'Expense Details'!G1725</f>
        <v>TRP-2025-126</v>
      </c>
      <c r="E310" s="32">
        <f>'Expense Details'!M1725</f>
        <v>45851</v>
      </c>
      <c r="F310" s="31" t="str">
        <f>'Expense Details'!O1725</f>
        <v>Meals - Lunch</v>
      </c>
      <c r="G310" s="31" t="str">
        <f>'Expense Details'!Q1725</f>
        <v>Sweetgreen</v>
      </c>
      <c r="H310" s="33">
        <f>'Expense Details'!V1725</f>
        <v>28.716949999999997</v>
      </c>
      <c r="I310" s="33">
        <f>'Expense Details'!Z1725</f>
        <v>35</v>
      </c>
      <c r="J310" s="33">
        <f>H310-I310</f>
        <v>-6.2830500000000029</v>
      </c>
      <c r="K310" s="34">
        <f>IFERROR(MAX(0,H310/I310-1),0)</f>
        <v>0</v>
      </c>
      <c r="L310" s="31" t="str">
        <f>'Expense Details'!AC1725</f>
        <v>No</v>
      </c>
      <c r="M310" s="35" t="s">
        <v>3503</v>
      </c>
      <c r="N310" s="31" t="str">
        <f>'Expense Details'!AG1725</f>
        <v>Approved</v>
      </c>
      <c r="O310" s="31" t="str">
        <f>'Expense Details'!F1725</f>
        <v>Diane Okafor</v>
      </c>
    </row>
    <row r="311" spans="1:15">
      <c r="A311" s="31" t="str">
        <f>'Expense Details'!A1728</f>
        <v>EXP-01727</v>
      </c>
      <c r="B311" s="31" t="str">
        <f>'Expense Details'!C1728</f>
        <v>Ravi Chandra</v>
      </c>
      <c r="C311" s="31" t="str">
        <f>'Expense Details'!D1728</f>
        <v>Field Engineering</v>
      </c>
      <c r="D311" s="31" t="str">
        <f>'Expense Details'!G1728</f>
        <v>TRP-2025-043</v>
      </c>
      <c r="E311" s="32">
        <f>'Expense Details'!M1728</f>
        <v>45852</v>
      </c>
      <c r="F311" s="31" t="str">
        <f>'Expense Details'!O1728</f>
        <v>Ground Transport - Taxi</v>
      </c>
      <c r="G311" s="31" t="str">
        <f>'Expense Details'!Q1728</f>
        <v>Lyft</v>
      </c>
      <c r="H311" s="33">
        <f>'Expense Details'!V1728</f>
        <v>31.98</v>
      </c>
      <c r="I311" s="33">
        <f>'Expense Details'!Z1728</f>
        <v>60</v>
      </c>
      <c r="J311" s="33">
        <f>H311-I311</f>
        <v>-28.02</v>
      </c>
      <c r="K311" s="34">
        <f>IFERROR(MAX(0,H311/I311-1),0)</f>
        <v>0</v>
      </c>
      <c r="L311" s="31" t="str">
        <f>'Expense Details'!AC1728</f>
        <v>No</v>
      </c>
      <c r="M311" s="35" t="s">
        <v>3503</v>
      </c>
      <c r="N311" s="31" t="str">
        <f>'Expense Details'!AG1728</f>
        <v>Approved</v>
      </c>
      <c r="O311" s="31" t="str">
        <f>'Expense Details'!F1728</f>
        <v>Tomas Kovac</v>
      </c>
    </row>
    <row r="312" spans="1:15">
      <c r="A312" s="31" t="str">
        <f>'Expense Details'!A1731</f>
        <v>EXP-01730</v>
      </c>
      <c r="B312" s="31" t="str">
        <f>'Expense Details'!C1731</f>
        <v>Ravi Chandra</v>
      </c>
      <c r="C312" s="31" t="str">
        <f>'Expense Details'!D1731</f>
        <v>Field Engineering</v>
      </c>
      <c r="D312" s="31" t="str">
        <f>'Expense Details'!G1731</f>
        <v>TRP-2025-043</v>
      </c>
      <c r="E312" s="32">
        <f>'Expense Details'!M1731</f>
        <v>45852</v>
      </c>
      <c r="F312" s="31" t="str">
        <f>'Expense Details'!O1731</f>
        <v>Meals - Lunch</v>
      </c>
      <c r="G312" s="31" t="str">
        <f>'Expense Details'!Q1731</f>
        <v>Pret A Manger</v>
      </c>
      <c r="H312" s="33">
        <f>'Expense Details'!V1731</f>
        <v>25.99</v>
      </c>
      <c r="I312" s="33">
        <f>'Expense Details'!Z1731</f>
        <v>35</v>
      </c>
      <c r="J312" s="33">
        <f>H312-I312</f>
        <v>-9.0100000000000016</v>
      </c>
      <c r="K312" s="34">
        <f>IFERROR(MAX(0,H312/I312-1),0)</f>
        <v>0</v>
      </c>
      <c r="L312" s="31" t="str">
        <f>'Expense Details'!AC1731</f>
        <v>No</v>
      </c>
      <c r="M312" s="35" t="s">
        <v>3503</v>
      </c>
      <c r="N312" s="31" t="str">
        <f>'Expense Details'!AG1731</f>
        <v>Approved</v>
      </c>
      <c r="O312" s="31" t="str">
        <f>'Expense Details'!F1731</f>
        <v>Tomas Kovac</v>
      </c>
    </row>
    <row r="313" spans="1:15">
      <c r="A313" s="31" t="str">
        <f>'Expense Details'!A1733</f>
        <v>EXP-01732</v>
      </c>
      <c r="B313" s="31" t="str">
        <f>'Expense Details'!C1733</f>
        <v>Aisha Bello</v>
      </c>
      <c r="C313" s="31" t="str">
        <f>'Expense Details'!D1733</f>
        <v>Operations</v>
      </c>
      <c r="D313" s="31" t="str">
        <f>'Expense Details'!G1733</f>
        <v>TRP-2025-084</v>
      </c>
      <c r="E313" s="32">
        <f>'Expense Details'!M1733</f>
        <v>45852</v>
      </c>
      <c r="F313" s="31" t="str">
        <f>'Expense Details'!O1733</f>
        <v>Meals - Lunch</v>
      </c>
      <c r="G313" s="31" t="str">
        <f>'Expense Details'!Q1733</f>
        <v>Pret A Manger</v>
      </c>
      <c r="H313" s="33">
        <f>'Expense Details'!V1733</f>
        <v>32.33</v>
      </c>
      <c r="I313" s="33">
        <f>'Expense Details'!Z1733</f>
        <v>35</v>
      </c>
      <c r="J313" s="33">
        <f>H313-I313</f>
        <v>-2.6700000000000017</v>
      </c>
      <c r="K313" s="34">
        <f>IFERROR(MAX(0,H313/I313-1),0)</f>
        <v>0</v>
      </c>
      <c r="L313" s="31" t="str">
        <f>'Expense Details'!AC1733</f>
        <v>No</v>
      </c>
      <c r="M313" s="35" t="s">
        <v>3503</v>
      </c>
      <c r="N313" s="31" t="str">
        <f>'Expense Details'!AG1733</f>
        <v>Approved</v>
      </c>
      <c r="O313" s="31" t="str">
        <f>'Expense Details'!F1733</f>
        <v>Viktor Petrov</v>
      </c>
    </row>
    <row r="314" spans="1:15">
      <c r="A314" s="31" t="str">
        <f>'Expense Details'!A1747</f>
        <v>EXP-01746</v>
      </c>
      <c r="B314" s="31" t="str">
        <f>'Expense Details'!C1747</f>
        <v>Arjun Deshpande</v>
      </c>
      <c r="C314" s="31" t="str">
        <f>'Expense Details'!D1747</f>
        <v>Product</v>
      </c>
      <c r="D314" s="31" t="str">
        <f>'Expense Details'!G1747</f>
        <v>TRP-2025-097</v>
      </c>
      <c r="E314" s="32">
        <f>'Expense Details'!M1747</f>
        <v>45853</v>
      </c>
      <c r="F314" s="31" t="str">
        <f>'Expense Details'!O1747</f>
        <v>Meals - Lunch</v>
      </c>
      <c r="G314" s="31" t="str">
        <f>'Expense Details'!Q1747</f>
        <v>Pret A Manger</v>
      </c>
      <c r="H314" s="33">
        <f>'Expense Details'!V1747</f>
        <v>51.185679999999998</v>
      </c>
      <c r="I314" s="33">
        <f>'Expense Details'!Z1747</f>
        <v>35</v>
      </c>
      <c r="J314" s="33">
        <f>H314-I314</f>
        <v>16.185679999999998</v>
      </c>
      <c r="K314" s="34">
        <f>IFERROR(MAX(0,H314/I314-1),0)</f>
        <v>0.46244799999999997</v>
      </c>
      <c r="L314" s="31" t="str">
        <f>'Expense Details'!AC1747</f>
        <v>Yes</v>
      </c>
      <c r="M314" s="35" t="s">
        <v>3502</v>
      </c>
      <c r="N314" s="31" t="str">
        <f>'Expense Details'!AG1747</f>
        <v>Approved</v>
      </c>
      <c r="O314" s="31" t="str">
        <f>'Expense Details'!F1747</f>
        <v>Elena Duarte</v>
      </c>
    </row>
    <row r="315" spans="1:15">
      <c r="A315" s="31" t="str">
        <f>'Expense Details'!A1754</f>
        <v>EXP-01753</v>
      </c>
      <c r="B315" s="31" t="str">
        <f>'Expense Details'!C1754</f>
        <v>Arjun Deshpande</v>
      </c>
      <c r="C315" s="31" t="str">
        <f>'Expense Details'!D1754</f>
        <v>Product</v>
      </c>
      <c r="D315" s="31" t="str">
        <f>'Expense Details'!G1754</f>
        <v>TRP-2025-097</v>
      </c>
      <c r="E315" s="32">
        <f>'Expense Details'!M1754</f>
        <v>45854</v>
      </c>
      <c r="F315" s="31" t="str">
        <f>'Expense Details'!O1754</f>
        <v>Ground Transport - Taxi</v>
      </c>
      <c r="G315" s="31" t="str">
        <f>'Expense Details'!Q1754</f>
        <v>Grab</v>
      </c>
      <c r="H315" s="33">
        <f>'Expense Details'!V1754</f>
        <v>51.731679999999997</v>
      </c>
      <c r="I315" s="33">
        <f>'Expense Details'!Z1754</f>
        <v>60</v>
      </c>
      <c r="J315" s="33">
        <f>H315-I315</f>
        <v>-8.2683200000000028</v>
      </c>
      <c r="K315" s="34">
        <f>IFERROR(MAX(0,H315/I315-1),0)</f>
        <v>0</v>
      </c>
      <c r="L315" s="31" t="str">
        <f>'Expense Details'!AC1754</f>
        <v>No</v>
      </c>
      <c r="M315" s="35" t="s">
        <v>3503</v>
      </c>
      <c r="N315" s="31" t="str">
        <f>'Expense Details'!AG1754</f>
        <v>Approved</v>
      </c>
      <c r="O315" s="31" t="str">
        <f>'Expense Details'!F1754</f>
        <v>Elena Duarte</v>
      </c>
    </row>
    <row r="316" spans="1:15">
      <c r="A316" s="31" t="str">
        <f>'Expense Details'!A1757</f>
        <v>EXP-01756</v>
      </c>
      <c r="B316" s="31" t="str">
        <f>'Expense Details'!C1757</f>
        <v>Arjun Deshpande</v>
      </c>
      <c r="C316" s="31" t="str">
        <f>'Expense Details'!D1757</f>
        <v>Product</v>
      </c>
      <c r="D316" s="31" t="str">
        <f>'Expense Details'!G1757</f>
        <v>TRP-2025-097</v>
      </c>
      <c r="E316" s="32">
        <f>'Expense Details'!M1757</f>
        <v>45854</v>
      </c>
      <c r="F316" s="31" t="str">
        <f>'Expense Details'!O1757</f>
        <v>Meals - Lunch</v>
      </c>
      <c r="G316" s="31" t="str">
        <f>'Expense Details'!Q1757</f>
        <v>Local Bistro</v>
      </c>
      <c r="H316" s="33">
        <f>'Expense Details'!V1757</f>
        <v>31.595199999999998</v>
      </c>
      <c r="I316" s="33">
        <f>'Expense Details'!Z1757</f>
        <v>35</v>
      </c>
      <c r="J316" s="33">
        <f>H316-I316</f>
        <v>-3.4048000000000016</v>
      </c>
      <c r="K316" s="34">
        <f>IFERROR(MAX(0,H316/I316-1),0)</f>
        <v>0</v>
      </c>
      <c r="L316" s="31" t="str">
        <f>'Expense Details'!AC1757</f>
        <v>No</v>
      </c>
      <c r="M316" s="35" t="s">
        <v>3503</v>
      </c>
      <c r="N316" s="31" t="str">
        <f>'Expense Details'!AG1757</f>
        <v>Approved</v>
      </c>
      <c r="O316" s="31" t="str">
        <f>'Expense Details'!F1757</f>
        <v>Elena Duarte</v>
      </c>
    </row>
    <row r="317" spans="1:15">
      <c r="A317" s="31" t="str">
        <f>'Expense Details'!A1766</f>
        <v>EXP-01765</v>
      </c>
      <c r="B317" s="31" t="str">
        <f>'Expense Details'!C1766</f>
        <v>Elena Duarte</v>
      </c>
      <c r="C317" s="31" t="str">
        <f>'Expense Details'!D1766</f>
        <v>Product</v>
      </c>
      <c r="D317" s="31" t="str">
        <f>'Expense Details'!G1766</f>
        <v>TRP-2025-030</v>
      </c>
      <c r="E317" s="32">
        <f>'Expense Details'!M1766</f>
        <v>45855</v>
      </c>
      <c r="F317" s="31" t="str">
        <f>'Expense Details'!O1766</f>
        <v>Meals - Lunch</v>
      </c>
      <c r="G317" s="31" t="str">
        <f>'Expense Details'!Q1766</f>
        <v>Local Bistro</v>
      </c>
      <c r="H317" s="33">
        <f>'Expense Details'!V1766</f>
        <v>26.35</v>
      </c>
      <c r="I317" s="33">
        <f>'Expense Details'!Z1766</f>
        <v>35</v>
      </c>
      <c r="J317" s="33">
        <f>H317-I317</f>
        <v>-8.6499999999999986</v>
      </c>
      <c r="K317" s="34">
        <f>IFERROR(MAX(0,H317/I317-1),0)</f>
        <v>0</v>
      </c>
      <c r="L317" s="31" t="str">
        <f>'Expense Details'!AC1766</f>
        <v>No</v>
      </c>
      <c r="M317" s="35" t="s">
        <v>3503</v>
      </c>
      <c r="N317" s="31" t="str">
        <f>'Expense Details'!AG1766</f>
        <v>Approved</v>
      </c>
      <c r="O317" s="31" t="str">
        <f>'Expense Details'!F1766</f>
        <v>Diane Okafor</v>
      </c>
    </row>
    <row r="318" spans="1:15">
      <c r="A318" s="31" t="str">
        <f>'Expense Details'!A1771</f>
        <v>EXP-01770</v>
      </c>
      <c r="B318" s="31" t="str">
        <f>'Expense Details'!C1771</f>
        <v>Samuel Adeyemi</v>
      </c>
      <c r="C318" s="31" t="str">
        <f>'Expense Details'!D1771</f>
        <v>Field Engineering</v>
      </c>
      <c r="D318" s="31" t="str">
        <f>'Expense Details'!G1771</f>
        <v>TRP-2025-114</v>
      </c>
      <c r="E318" s="32">
        <f>'Expense Details'!M1771</f>
        <v>45855</v>
      </c>
      <c r="F318" s="31" t="str">
        <f>'Expense Details'!O1771</f>
        <v>Meals - Dinner</v>
      </c>
      <c r="G318" s="31" t="str">
        <f>'Expense Details'!Q1771</f>
        <v>Spice Route</v>
      </c>
      <c r="H318" s="33">
        <f>'Expense Details'!V1771</f>
        <v>74.634559999999993</v>
      </c>
      <c r="I318" s="33">
        <f>'Expense Details'!Z1771</f>
        <v>75</v>
      </c>
      <c r="J318" s="33">
        <f>H318-I318</f>
        <v>-0.36544000000000665</v>
      </c>
      <c r="K318" s="34">
        <f>IFERROR(MAX(0,H318/I318-1),0)</f>
        <v>0</v>
      </c>
      <c r="L318" s="31" t="str">
        <f>'Expense Details'!AC1771</f>
        <v>No</v>
      </c>
      <c r="M318" s="35" t="s">
        <v>3503</v>
      </c>
      <c r="N318" s="31" t="str">
        <f>'Expense Details'!AG1771</f>
        <v>Approved</v>
      </c>
      <c r="O318" s="31" t="str">
        <f>'Expense Details'!F1771</f>
        <v>Tomas Kovac</v>
      </c>
    </row>
    <row r="319" spans="1:15">
      <c r="A319" s="31" t="str">
        <f>'Expense Details'!A1777</f>
        <v>EXP-01776</v>
      </c>
      <c r="B319" s="31" t="str">
        <f>'Expense Details'!C1777</f>
        <v>Elena Duarte</v>
      </c>
      <c r="C319" s="31" t="str">
        <f>'Expense Details'!D1777</f>
        <v>Product</v>
      </c>
      <c r="D319" s="31" t="str">
        <f>'Expense Details'!G1777</f>
        <v>TRP-2025-030</v>
      </c>
      <c r="E319" s="32">
        <f>'Expense Details'!M1777</f>
        <v>45856</v>
      </c>
      <c r="F319" s="31" t="str">
        <f>'Expense Details'!O1777</f>
        <v>Ground Transport - Rail</v>
      </c>
      <c r="G319" s="31" t="str">
        <f>'Expense Details'!Q1777</f>
        <v>Amtrak</v>
      </c>
      <c r="H319" s="33">
        <f>'Expense Details'!V1777</f>
        <v>172.55</v>
      </c>
      <c r="I319" s="33">
        <f>'Expense Details'!Z1777</f>
        <v>150</v>
      </c>
      <c r="J319" s="33">
        <f>H319-I319</f>
        <v>22.550000000000011</v>
      </c>
      <c r="K319" s="34">
        <f>IFERROR(MAX(0,H319/I319-1),0)</f>
        <v>0.15033333333333343</v>
      </c>
      <c r="L319" s="31" t="str">
        <f>'Expense Details'!AC1777</f>
        <v>Yes</v>
      </c>
      <c r="M319" s="35" t="s">
        <v>3502</v>
      </c>
      <c r="N319" s="31" t="str">
        <f>'Expense Details'!AG1777</f>
        <v>Approved</v>
      </c>
      <c r="O319" s="31" t="str">
        <f>'Expense Details'!F1777</f>
        <v>Diane Okafor</v>
      </c>
    </row>
    <row r="320" spans="1:15">
      <c r="A320" s="31" t="str">
        <f>'Expense Details'!A1782</f>
        <v>EXP-01781</v>
      </c>
      <c r="B320" s="31" t="str">
        <f>'Expense Details'!C1782</f>
        <v>Clara Jensen</v>
      </c>
      <c r="C320" s="31" t="str">
        <f>'Expense Details'!D1782</f>
        <v>Sales</v>
      </c>
      <c r="D320" s="31" t="str">
        <f>'Expense Details'!G1782</f>
        <v>TRP-2025-105</v>
      </c>
      <c r="E320" s="32">
        <f>'Expense Details'!M1782</f>
        <v>45856</v>
      </c>
      <c r="F320" s="31" t="str">
        <f>'Expense Details'!O1782</f>
        <v>Airfare</v>
      </c>
      <c r="G320" s="31" t="str">
        <f>'Expense Details'!Q1782</f>
        <v>Singapore Airlines</v>
      </c>
      <c r="H320" s="33">
        <f>'Expense Details'!V1782</f>
        <v>2336.3715299999999</v>
      </c>
      <c r="I320" s="33">
        <f>'Expense Details'!Z1782</f>
        <v>1400</v>
      </c>
      <c r="J320" s="33">
        <f>H320-I320</f>
        <v>936.37152999999989</v>
      </c>
      <c r="K320" s="34">
        <f>IFERROR(MAX(0,H320/I320-1),0)</f>
        <v>0.66883680714285698</v>
      </c>
      <c r="L320" s="31" t="str">
        <f>'Expense Details'!AC1782</f>
        <v>Yes</v>
      </c>
      <c r="M320" s="35" t="s">
        <v>3502</v>
      </c>
      <c r="N320" s="31" t="str">
        <f>'Expense Details'!AG1782</f>
        <v>Rejected</v>
      </c>
      <c r="O320" s="31" t="str">
        <f>'Expense Details'!F1782</f>
        <v>Ananya Sengupta</v>
      </c>
    </row>
    <row r="321" spans="1:15">
      <c r="A321" s="31" t="str">
        <f>'Expense Details'!A1785</f>
        <v>EXP-01784</v>
      </c>
      <c r="B321" s="31" t="str">
        <f>'Expense Details'!C1785</f>
        <v>Clara Jensen</v>
      </c>
      <c r="C321" s="31" t="str">
        <f>'Expense Details'!D1785</f>
        <v>Sales</v>
      </c>
      <c r="D321" s="31" t="str">
        <f>'Expense Details'!G1785</f>
        <v>TRP-2025-105</v>
      </c>
      <c r="E321" s="32">
        <f>'Expense Details'!M1785</f>
        <v>45856</v>
      </c>
      <c r="F321" s="31" t="str">
        <f>'Expense Details'!O1785</f>
        <v>Visa &amp; Travel Docs</v>
      </c>
      <c r="G321" s="31" t="str">
        <f>'Expense Details'!Q1785</f>
        <v>VFS Global</v>
      </c>
      <c r="H321" s="33">
        <f>'Expense Details'!V1785</f>
        <v>143.73029</v>
      </c>
      <c r="I321" s="33">
        <f>'Expense Details'!Z1785</f>
        <v>250</v>
      </c>
      <c r="J321" s="33">
        <f>H321-I321</f>
        <v>-106.26971</v>
      </c>
      <c r="K321" s="34">
        <f>IFERROR(MAX(0,H321/I321-1),0)</f>
        <v>0</v>
      </c>
      <c r="L321" s="31" t="str">
        <f>'Expense Details'!AC1785</f>
        <v>No</v>
      </c>
      <c r="M321" s="35" t="s">
        <v>3503</v>
      </c>
      <c r="N321" s="31" t="str">
        <f>'Expense Details'!AG1785</f>
        <v>Rejected</v>
      </c>
      <c r="O321" s="31" t="str">
        <f>'Expense Details'!F1785</f>
        <v>Ananya Sengupta</v>
      </c>
    </row>
    <row r="322" spans="1:15">
      <c r="A322" s="31" t="str">
        <f>'Expense Details'!A1786</f>
        <v>EXP-01785</v>
      </c>
      <c r="B322" s="31" t="str">
        <f>'Expense Details'!C1786</f>
        <v>Samuel Adeyemi</v>
      </c>
      <c r="C322" s="31" t="str">
        <f>'Expense Details'!D1786</f>
        <v>Field Engineering</v>
      </c>
      <c r="D322" s="31" t="str">
        <f>'Expense Details'!G1786</f>
        <v>TRP-2025-114</v>
      </c>
      <c r="E322" s="32">
        <f>'Expense Details'!M1786</f>
        <v>45856</v>
      </c>
      <c r="F322" s="31" t="str">
        <f>'Expense Details'!O1786</f>
        <v>Meals - Breakfast</v>
      </c>
      <c r="G322" s="31" t="str">
        <f>'Expense Details'!Q1786</f>
        <v>Cafe Nero</v>
      </c>
      <c r="H322" s="33">
        <f>'Expense Details'!V1786</f>
        <v>29.352959999999999</v>
      </c>
      <c r="I322" s="33">
        <f>'Expense Details'!Z1786</f>
        <v>25</v>
      </c>
      <c r="J322" s="33">
        <f>H322-I322</f>
        <v>4.3529599999999995</v>
      </c>
      <c r="K322" s="34">
        <f>IFERROR(MAX(0,H322/I322-1),0)</f>
        <v>0.17411840000000001</v>
      </c>
      <c r="L322" s="31" t="str">
        <f>'Expense Details'!AC1786</f>
        <v>Yes</v>
      </c>
      <c r="M322" s="35" t="s">
        <v>3502</v>
      </c>
      <c r="N322" s="31" t="str">
        <f>'Expense Details'!AG1786</f>
        <v>Approved</v>
      </c>
      <c r="O322" s="31" t="str">
        <f>'Expense Details'!F1786</f>
        <v>Tomas Kovac</v>
      </c>
    </row>
    <row r="323" spans="1:15">
      <c r="A323" s="31" t="str">
        <f>'Expense Details'!A1794</f>
        <v>EXP-01793</v>
      </c>
      <c r="B323" s="31" t="str">
        <f>'Expense Details'!C1794</f>
        <v>Elena Duarte</v>
      </c>
      <c r="C323" s="31" t="str">
        <f>'Expense Details'!D1794</f>
        <v>Product</v>
      </c>
      <c r="D323" s="31" t="str">
        <f>'Expense Details'!G1794</f>
        <v>TRP-2025-030</v>
      </c>
      <c r="E323" s="32">
        <f>'Expense Details'!M1794</f>
        <v>45857</v>
      </c>
      <c r="F323" s="31" t="str">
        <f>'Expense Details'!O1794</f>
        <v>Meals - Dinner</v>
      </c>
      <c r="G323" s="31" t="str">
        <f>'Expense Details'!Q1794</f>
        <v>Sakura Izakaya</v>
      </c>
      <c r="H323" s="33">
        <f>'Expense Details'!V1794</f>
        <v>85.41</v>
      </c>
      <c r="I323" s="33">
        <f>'Expense Details'!Z1794</f>
        <v>75</v>
      </c>
      <c r="J323" s="33">
        <f>H323-I323</f>
        <v>10.409999999999997</v>
      </c>
      <c r="K323" s="34">
        <f>IFERROR(MAX(0,H323/I323-1),0)</f>
        <v>0.13880000000000003</v>
      </c>
      <c r="L323" s="31" t="str">
        <f>'Expense Details'!AC1794</f>
        <v>Yes</v>
      </c>
      <c r="M323" s="35" t="s">
        <v>3502</v>
      </c>
      <c r="N323" s="31" t="str">
        <f>'Expense Details'!AG1794</f>
        <v>Approved</v>
      </c>
      <c r="O323" s="31" t="str">
        <f>'Expense Details'!F1794</f>
        <v>Diane Okafor</v>
      </c>
    </row>
    <row r="324" spans="1:15">
      <c r="A324" s="31" t="str">
        <f>'Expense Details'!A1799</f>
        <v>EXP-01798</v>
      </c>
      <c r="B324" s="31" t="str">
        <f>'Expense Details'!C1799</f>
        <v>Samuel Adeyemi</v>
      </c>
      <c r="C324" s="31" t="str">
        <f>'Expense Details'!D1799</f>
        <v>Field Engineering</v>
      </c>
      <c r="D324" s="31" t="str">
        <f>'Expense Details'!G1799</f>
        <v>TRP-2025-114</v>
      </c>
      <c r="E324" s="32">
        <f>'Expense Details'!M1799</f>
        <v>45857</v>
      </c>
      <c r="F324" s="31" t="str">
        <f>'Expense Details'!O1799</f>
        <v>Client Entertainment</v>
      </c>
      <c r="G324" s="31" t="str">
        <f>'Expense Details'!Q1799</f>
        <v>Harbour Club</v>
      </c>
      <c r="H324" s="33">
        <f>'Expense Details'!V1799</f>
        <v>133.2604</v>
      </c>
      <c r="I324" s="33">
        <f>'Expense Details'!Z1799</f>
        <v>200</v>
      </c>
      <c r="J324" s="33">
        <f>H324-I324</f>
        <v>-66.739599999999996</v>
      </c>
      <c r="K324" s="34">
        <f>IFERROR(MAX(0,H324/I324-1),0)</f>
        <v>0</v>
      </c>
      <c r="L324" s="31" t="str">
        <f>'Expense Details'!AC1799</f>
        <v>No</v>
      </c>
      <c r="M324" s="35" t="s">
        <v>3503</v>
      </c>
      <c r="N324" s="31" t="str">
        <f>'Expense Details'!AG1799</f>
        <v>Approved</v>
      </c>
      <c r="O324" s="31" t="str">
        <f>'Expense Details'!F1799</f>
        <v>Tomas Kovac</v>
      </c>
    </row>
    <row r="325" spans="1:15">
      <c r="A325" s="31" t="str">
        <f>'Expense Details'!A1801</f>
        <v>EXP-01800</v>
      </c>
      <c r="B325" s="31" t="str">
        <f>'Expense Details'!C1801</f>
        <v>Samuel Adeyemi</v>
      </c>
      <c r="C325" s="31" t="str">
        <f>'Expense Details'!D1801</f>
        <v>Field Engineering</v>
      </c>
      <c r="D325" s="31" t="str">
        <f>'Expense Details'!G1801</f>
        <v>TRP-2025-114</v>
      </c>
      <c r="E325" s="32">
        <f>'Expense Details'!M1801</f>
        <v>45857</v>
      </c>
      <c r="F325" s="31" t="str">
        <f>'Expense Details'!O1801</f>
        <v>Meals - Dinner</v>
      </c>
      <c r="G325" s="31" t="str">
        <f>'Expense Details'!Q1801</f>
        <v>Brasserie Lyon</v>
      </c>
      <c r="H325" s="33">
        <f>'Expense Details'!V1801</f>
        <v>90.810719999999989</v>
      </c>
      <c r="I325" s="33">
        <f>'Expense Details'!Z1801</f>
        <v>75</v>
      </c>
      <c r="J325" s="33">
        <f>H325-I325</f>
        <v>15.810719999999989</v>
      </c>
      <c r="K325" s="34">
        <f>IFERROR(MAX(0,H325/I325-1),0)</f>
        <v>0.21080959999999993</v>
      </c>
      <c r="L325" s="31" t="str">
        <f>'Expense Details'!AC1801</f>
        <v>Yes</v>
      </c>
      <c r="M325" s="35" t="s">
        <v>3502</v>
      </c>
      <c r="N325" s="31" t="str">
        <f>'Expense Details'!AG1801</f>
        <v>Approved</v>
      </c>
      <c r="O325" s="31" t="str">
        <f>'Expense Details'!F1801</f>
        <v>Tomas Kovac</v>
      </c>
    </row>
    <row r="326" spans="1:15">
      <c r="A326" s="31" t="str">
        <f>'Expense Details'!A1803</f>
        <v>EXP-01802</v>
      </c>
      <c r="B326" s="31" t="str">
        <f>'Expense Details'!C1803</f>
        <v>Elena Duarte</v>
      </c>
      <c r="C326" s="31" t="str">
        <f>'Expense Details'!D1803</f>
        <v>Product</v>
      </c>
      <c r="D326" s="31" t="str">
        <f>'Expense Details'!G1803</f>
        <v>TRP-2025-030</v>
      </c>
      <c r="E326" s="32">
        <f>'Expense Details'!M1803</f>
        <v>45858</v>
      </c>
      <c r="F326" s="31" t="str">
        <f>'Expense Details'!O1803</f>
        <v>Laundry</v>
      </c>
      <c r="G326" s="31" t="str">
        <f>'Expense Details'!Q1803</f>
        <v>Hotel Laundry Service</v>
      </c>
      <c r="H326" s="33">
        <f>'Expense Details'!V1803</f>
        <v>43.32</v>
      </c>
      <c r="I326" s="33">
        <f>'Expense Details'!Z1803</f>
        <v>30</v>
      </c>
      <c r="J326" s="33">
        <f>H326-I326</f>
        <v>13.32</v>
      </c>
      <c r="K326" s="34">
        <f>IFERROR(MAX(0,H326/I326-1),0)</f>
        <v>0.44399999999999995</v>
      </c>
      <c r="L326" s="31" t="str">
        <f>'Expense Details'!AC1803</f>
        <v>Yes</v>
      </c>
      <c r="M326" s="35" t="s">
        <v>3502</v>
      </c>
      <c r="N326" s="31" t="str">
        <f>'Expense Details'!AG1803</f>
        <v>Approved</v>
      </c>
      <c r="O326" s="31" t="str">
        <f>'Expense Details'!F1803</f>
        <v>Diane Okafor</v>
      </c>
    </row>
    <row r="327" spans="1:15">
      <c r="A327" s="31" t="str">
        <f>'Expense Details'!A1814</f>
        <v>EXP-01813</v>
      </c>
      <c r="B327" s="31" t="str">
        <f>'Expense Details'!C1814</f>
        <v>Samuel Adeyemi</v>
      </c>
      <c r="C327" s="31" t="str">
        <f>'Expense Details'!D1814</f>
        <v>Field Engineering</v>
      </c>
      <c r="D327" s="31" t="str">
        <f>'Expense Details'!G1814</f>
        <v>TRP-2025-114</v>
      </c>
      <c r="E327" s="32">
        <f>'Expense Details'!M1814</f>
        <v>45858</v>
      </c>
      <c r="F327" s="31" t="str">
        <f>'Expense Details'!O1814</f>
        <v>Meals - Lunch</v>
      </c>
      <c r="G327" s="31" t="str">
        <f>'Expense Details'!Q1814</f>
        <v>Food Court</v>
      </c>
      <c r="H327" s="33">
        <f>'Expense Details'!V1814</f>
        <v>24.358879999999999</v>
      </c>
      <c r="I327" s="33">
        <f>'Expense Details'!Z1814</f>
        <v>35</v>
      </c>
      <c r="J327" s="33">
        <f>H327-I327</f>
        <v>-10.641120000000001</v>
      </c>
      <c r="K327" s="34">
        <f>IFERROR(MAX(0,H327/I327-1),0)</f>
        <v>0</v>
      </c>
      <c r="L327" s="31" t="str">
        <f>'Expense Details'!AC1814</f>
        <v>No</v>
      </c>
      <c r="M327" s="35" t="s">
        <v>3503</v>
      </c>
      <c r="N327" s="31" t="str">
        <f>'Expense Details'!AG1814</f>
        <v>Approved</v>
      </c>
      <c r="O327" s="31" t="str">
        <f>'Expense Details'!F1814</f>
        <v>Tomas Kovac</v>
      </c>
    </row>
    <row r="328" spans="1:15">
      <c r="A328" s="31" t="str">
        <f>'Expense Details'!A1819</f>
        <v>EXP-01818</v>
      </c>
      <c r="B328" s="31" t="str">
        <f>'Expense Details'!C1819</f>
        <v>Elena Duarte</v>
      </c>
      <c r="C328" s="31" t="str">
        <f>'Expense Details'!D1819</f>
        <v>Product</v>
      </c>
      <c r="D328" s="31" t="str">
        <f>'Expense Details'!G1819</f>
        <v>TRP-2025-030</v>
      </c>
      <c r="E328" s="32">
        <f>'Expense Details'!M1819</f>
        <v>45859</v>
      </c>
      <c r="F328" s="31" t="str">
        <f>'Expense Details'!O1819</f>
        <v>Meals - Lunch</v>
      </c>
      <c r="G328" s="31" t="str">
        <f>'Expense Details'!Q1819</f>
        <v>Local Bistro</v>
      </c>
      <c r="H328" s="33">
        <f>'Expense Details'!V1819</f>
        <v>53.6</v>
      </c>
      <c r="I328" s="33">
        <f>'Expense Details'!Z1819</f>
        <v>35</v>
      </c>
      <c r="J328" s="33">
        <f>H328-I328</f>
        <v>18.600000000000001</v>
      </c>
      <c r="K328" s="34">
        <f>IFERROR(MAX(0,H328/I328-1),0)</f>
        <v>0.53142857142857136</v>
      </c>
      <c r="L328" s="31" t="str">
        <f>'Expense Details'!AC1819</f>
        <v>Yes</v>
      </c>
      <c r="M328" s="35" t="s">
        <v>3502</v>
      </c>
      <c r="N328" s="31" t="str">
        <f>'Expense Details'!AG1819</f>
        <v>Approved</v>
      </c>
      <c r="O328" s="31" t="str">
        <f>'Expense Details'!F1819</f>
        <v>Diane Okafor</v>
      </c>
    </row>
    <row r="329" spans="1:15">
      <c r="A329" s="31" t="str">
        <f>'Expense Details'!A1825</f>
        <v>EXP-01824</v>
      </c>
      <c r="B329" s="31" t="str">
        <f>'Expense Details'!C1825</f>
        <v>Elena Duarte</v>
      </c>
      <c r="C329" s="31" t="str">
        <f>'Expense Details'!D1825</f>
        <v>Product</v>
      </c>
      <c r="D329" s="31" t="str">
        <f>'Expense Details'!G1825</f>
        <v>TRP-2025-030</v>
      </c>
      <c r="E329" s="32">
        <f>'Expense Details'!M1825</f>
        <v>45860</v>
      </c>
      <c r="F329" s="31" t="str">
        <f>'Expense Details'!O1825</f>
        <v>Meals - Breakfast</v>
      </c>
      <c r="G329" s="31" t="str">
        <f>'Expense Details'!Q1825</f>
        <v>Starbucks</v>
      </c>
      <c r="H329" s="33">
        <f>'Expense Details'!V1825</f>
        <v>32.450000000000003</v>
      </c>
      <c r="I329" s="33">
        <f>'Expense Details'!Z1825</f>
        <v>25</v>
      </c>
      <c r="J329" s="33">
        <f>H329-I329</f>
        <v>7.4500000000000028</v>
      </c>
      <c r="K329" s="34">
        <f>IFERROR(MAX(0,H329/I329-1),0)</f>
        <v>0.29800000000000004</v>
      </c>
      <c r="L329" s="31" t="str">
        <f>'Expense Details'!AC1825</f>
        <v>Yes</v>
      </c>
      <c r="M329" s="35" t="s">
        <v>3502</v>
      </c>
      <c r="N329" s="31" t="str">
        <f>'Expense Details'!AG1825</f>
        <v>Approved</v>
      </c>
      <c r="O329" s="31" t="str">
        <f>'Expense Details'!F1825</f>
        <v>Diane Okafor</v>
      </c>
    </row>
    <row r="330" spans="1:15">
      <c r="A330" s="31" t="str">
        <f>'Expense Details'!A1827</f>
        <v>EXP-01826</v>
      </c>
      <c r="B330" s="31" t="str">
        <f>'Expense Details'!C1827</f>
        <v>Clara Jensen</v>
      </c>
      <c r="C330" s="31" t="str">
        <f>'Expense Details'!D1827</f>
        <v>Sales</v>
      </c>
      <c r="D330" s="31" t="str">
        <f>'Expense Details'!G1827</f>
        <v>TRP-2025-105</v>
      </c>
      <c r="E330" s="32">
        <f>'Expense Details'!M1827</f>
        <v>45860</v>
      </c>
      <c r="F330" s="31" t="str">
        <f>'Expense Details'!O1827</f>
        <v>Client Entertainment</v>
      </c>
      <c r="G330" s="31" t="str">
        <f>'Expense Details'!Q1827</f>
        <v>Harbour Club</v>
      </c>
      <c r="H330" s="33">
        <f>'Expense Details'!V1827</f>
        <v>167.56979999999999</v>
      </c>
      <c r="I330" s="33">
        <f>'Expense Details'!Z1827</f>
        <v>200</v>
      </c>
      <c r="J330" s="33">
        <f>H330-I330</f>
        <v>-32.430200000000013</v>
      </c>
      <c r="K330" s="34">
        <f>IFERROR(MAX(0,H330/I330-1),0)</f>
        <v>0</v>
      </c>
      <c r="L330" s="31" t="str">
        <f>'Expense Details'!AC1827</f>
        <v>No</v>
      </c>
      <c r="M330" s="35" t="s">
        <v>3503</v>
      </c>
      <c r="N330" s="31" t="str">
        <f>'Expense Details'!AG1827</f>
        <v>Rejected</v>
      </c>
      <c r="O330" s="31" t="str">
        <f>'Expense Details'!F1827</f>
        <v>Ananya Sengupta</v>
      </c>
    </row>
    <row r="331" spans="1:15">
      <c r="A331" s="31" t="str">
        <f>'Expense Details'!A1834</f>
        <v>EXP-01833</v>
      </c>
      <c r="B331" s="31" t="str">
        <f>'Expense Details'!C1834</f>
        <v>Ravi Chandra</v>
      </c>
      <c r="C331" s="31" t="str">
        <f>'Expense Details'!D1834</f>
        <v>Field Engineering</v>
      </c>
      <c r="D331" s="31" t="str">
        <f>'Expense Details'!G1834</f>
        <v>TRP-2025-038</v>
      </c>
      <c r="E331" s="32">
        <f>'Expense Details'!M1834</f>
        <v>45864</v>
      </c>
      <c r="F331" s="31" t="str">
        <f>'Expense Details'!O1834</f>
        <v>Airfare</v>
      </c>
      <c r="G331" s="31" t="str">
        <f>'Expense Details'!Q1834</f>
        <v>British Airways</v>
      </c>
      <c r="H331" s="33">
        <f>'Expense Details'!V1834</f>
        <v>1802.60977</v>
      </c>
      <c r="I331" s="33">
        <f>'Expense Details'!Z1834</f>
        <v>1400</v>
      </c>
      <c r="J331" s="33">
        <f>H331-I331</f>
        <v>402.60977000000003</v>
      </c>
      <c r="K331" s="34">
        <f>IFERROR(MAX(0,H331/I331-1),0)</f>
        <v>0.2875784071428571</v>
      </c>
      <c r="L331" s="31" t="str">
        <f>'Expense Details'!AC1834</f>
        <v>Yes</v>
      </c>
      <c r="M331" s="35" t="s">
        <v>3502</v>
      </c>
      <c r="N331" s="31" t="str">
        <f>'Expense Details'!AG1834</f>
        <v>Pending Approval</v>
      </c>
      <c r="O331" s="31" t="str">
        <f>'Expense Details'!F1834</f>
        <v>Tomas Kovac</v>
      </c>
    </row>
    <row r="332" spans="1:15">
      <c r="A332" s="31" t="str">
        <f>'Expense Details'!A1836</f>
        <v>EXP-01835</v>
      </c>
      <c r="B332" s="31" t="str">
        <f>'Expense Details'!C1836</f>
        <v>Ravi Chandra</v>
      </c>
      <c r="C332" s="31" t="str">
        <f>'Expense Details'!D1836</f>
        <v>Field Engineering</v>
      </c>
      <c r="D332" s="31" t="str">
        <f>'Expense Details'!G1836</f>
        <v>TRP-2025-038</v>
      </c>
      <c r="E332" s="32">
        <f>'Expense Details'!M1836</f>
        <v>45864</v>
      </c>
      <c r="F332" s="31" t="str">
        <f>'Expense Details'!O1836</f>
        <v>Ground Transport - Taxi</v>
      </c>
      <c r="G332" s="31" t="str">
        <f>'Expense Details'!Q1836</f>
        <v>Local Taxi</v>
      </c>
      <c r="H332" s="33">
        <f>'Expense Details'!V1836</f>
        <v>81.240039999999993</v>
      </c>
      <c r="I332" s="33">
        <f>'Expense Details'!Z1836</f>
        <v>60</v>
      </c>
      <c r="J332" s="33">
        <f>H332-I332</f>
        <v>21.240039999999993</v>
      </c>
      <c r="K332" s="34">
        <f>IFERROR(MAX(0,H332/I332-1),0)</f>
        <v>0.35400066666666663</v>
      </c>
      <c r="L332" s="31" t="str">
        <f>'Expense Details'!AC1836</f>
        <v>Yes</v>
      </c>
      <c r="M332" s="35" t="s">
        <v>3502</v>
      </c>
      <c r="N332" s="31" t="str">
        <f>'Expense Details'!AG1836</f>
        <v>Pending Approval</v>
      </c>
      <c r="O332" s="31" t="str">
        <f>'Expense Details'!F1836</f>
        <v>Tomas Kovac</v>
      </c>
    </row>
    <row r="333" spans="1:15">
      <c r="A333" s="31" t="str">
        <f>'Expense Details'!A1839</f>
        <v>EXP-01838</v>
      </c>
      <c r="B333" s="31" t="str">
        <f>'Expense Details'!C1839</f>
        <v>Ravi Chandra</v>
      </c>
      <c r="C333" s="31" t="str">
        <f>'Expense Details'!D1839</f>
        <v>Field Engineering</v>
      </c>
      <c r="D333" s="31" t="str">
        <f>'Expense Details'!G1839</f>
        <v>TRP-2025-038</v>
      </c>
      <c r="E333" s="32">
        <f>'Expense Details'!M1839</f>
        <v>45864</v>
      </c>
      <c r="F333" s="31" t="str">
        <f>'Expense Details'!O1839</f>
        <v>Meals - Lunch</v>
      </c>
      <c r="G333" s="31" t="str">
        <f>'Expense Details'!Q1839</f>
        <v>Sweetgreen</v>
      </c>
      <c r="H333" s="33">
        <f>'Expense Details'!V1839</f>
        <v>28.158169999999998</v>
      </c>
      <c r="I333" s="33">
        <f>'Expense Details'!Z1839</f>
        <v>35</v>
      </c>
      <c r="J333" s="33">
        <f>H333-I333</f>
        <v>-6.8418300000000016</v>
      </c>
      <c r="K333" s="34">
        <f>IFERROR(MAX(0,H333/I333-1),0)</f>
        <v>0</v>
      </c>
      <c r="L333" s="31" t="str">
        <f>'Expense Details'!AC1839</f>
        <v>No</v>
      </c>
      <c r="M333" s="35" t="s">
        <v>3503</v>
      </c>
      <c r="N333" s="31" t="str">
        <f>'Expense Details'!AG1839</f>
        <v>Pending Approval</v>
      </c>
      <c r="O333" s="31" t="str">
        <f>'Expense Details'!F1839</f>
        <v>Tomas Kovac</v>
      </c>
    </row>
    <row r="334" spans="1:15">
      <c r="A334" s="31" t="str">
        <f>'Expense Details'!A1842</f>
        <v>EXP-01841</v>
      </c>
      <c r="B334" s="31" t="str">
        <f>'Expense Details'!C1842</f>
        <v>Ravi Chandra</v>
      </c>
      <c r="C334" s="31" t="str">
        <f>'Expense Details'!D1842</f>
        <v>Field Engineering</v>
      </c>
      <c r="D334" s="31" t="str">
        <f>'Expense Details'!G1842</f>
        <v>TRP-2025-038</v>
      </c>
      <c r="E334" s="32">
        <f>'Expense Details'!M1842</f>
        <v>45865</v>
      </c>
      <c r="F334" s="31" t="str">
        <f>'Expense Details'!O1842</f>
        <v>Meals - Breakfast</v>
      </c>
      <c r="G334" s="31" t="str">
        <f>'Expense Details'!Q1842</f>
        <v>Starbucks</v>
      </c>
      <c r="H334" s="33">
        <f>'Expense Details'!V1842</f>
        <v>28.397089999999995</v>
      </c>
      <c r="I334" s="33">
        <f>'Expense Details'!Z1842</f>
        <v>25</v>
      </c>
      <c r="J334" s="33">
        <f>H334-I334</f>
        <v>3.3970899999999951</v>
      </c>
      <c r="K334" s="34">
        <f>IFERROR(MAX(0,H334/I334-1),0)</f>
        <v>0.13588359999999988</v>
      </c>
      <c r="L334" s="31" t="str">
        <f>'Expense Details'!AC1842</f>
        <v>Yes</v>
      </c>
      <c r="M334" s="35" t="s">
        <v>3502</v>
      </c>
      <c r="N334" s="31" t="str">
        <f>'Expense Details'!AG1842</f>
        <v>Pending Approval</v>
      </c>
      <c r="O334" s="31" t="str">
        <f>'Expense Details'!F1842</f>
        <v>Tomas Kovac</v>
      </c>
    </row>
    <row r="335" spans="1:15">
      <c r="A335" s="31" t="str">
        <f>'Expense Details'!A1850</f>
        <v>EXP-01849</v>
      </c>
      <c r="B335" s="31" t="str">
        <f>'Expense Details'!C1850</f>
        <v>Ravi Chandra</v>
      </c>
      <c r="C335" s="31" t="str">
        <f>'Expense Details'!D1850</f>
        <v>Field Engineering</v>
      </c>
      <c r="D335" s="31" t="str">
        <f>'Expense Details'!G1850</f>
        <v>TRP-2025-038</v>
      </c>
      <c r="E335" s="32">
        <f>'Expense Details'!M1850</f>
        <v>45868</v>
      </c>
      <c r="F335" s="31" t="str">
        <f>'Expense Details'!O1850</f>
        <v>Meals - Breakfast</v>
      </c>
      <c r="G335" s="31" t="str">
        <f>'Expense Details'!Q1850</f>
        <v>Starbucks</v>
      </c>
      <c r="H335" s="33">
        <f>'Expense Details'!V1850</f>
        <v>27.55001</v>
      </c>
      <c r="I335" s="33">
        <f>'Expense Details'!Z1850</f>
        <v>25</v>
      </c>
      <c r="J335" s="33">
        <f>H335-I335</f>
        <v>2.5500100000000003</v>
      </c>
      <c r="K335" s="34">
        <f>IFERROR(MAX(0,H335/I335-1),0)</f>
        <v>0.1020004000000001</v>
      </c>
      <c r="L335" s="31" t="str">
        <f>'Expense Details'!AC1850</f>
        <v>Yes</v>
      </c>
      <c r="M335" s="35" t="s">
        <v>3502</v>
      </c>
      <c r="N335" s="31" t="str">
        <f>'Expense Details'!AG1850</f>
        <v>Pending Approval</v>
      </c>
      <c r="O335" s="31" t="str">
        <f>'Expense Details'!F1850</f>
        <v>Tomas Kovac</v>
      </c>
    </row>
    <row r="336" spans="1:15">
      <c r="A336" s="31" t="str">
        <f>'Expense Details'!A1855</f>
        <v>EXP-01854</v>
      </c>
      <c r="B336" s="31" t="str">
        <f>'Expense Details'!C1855</f>
        <v>Aisha Bello</v>
      </c>
      <c r="C336" s="31" t="str">
        <f>'Expense Details'!D1855</f>
        <v>Operations</v>
      </c>
      <c r="D336" s="31" t="str">
        <f>'Expense Details'!G1855</f>
        <v>TRP-2025-045</v>
      </c>
      <c r="E336" s="32">
        <f>'Expense Details'!M1855</f>
        <v>45869</v>
      </c>
      <c r="F336" s="31" t="str">
        <f>'Expense Details'!O1855</f>
        <v>Baggage &amp; Excess Fees</v>
      </c>
      <c r="G336" s="31" t="str">
        <f>'Expense Details'!Q1855</f>
        <v>Lufthansa</v>
      </c>
      <c r="H336" s="33">
        <f>'Expense Details'!V1855</f>
        <v>89.39</v>
      </c>
      <c r="I336" s="33">
        <f>'Expense Details'!Z1855</f>
        <v>120</v>
      </c>
      <c r="J336" s="33">
        <f>H336-I336</f>
        <v>-30.61</v>
      </c>
      <c r="K336" s="34">
        <f>IFERROR(MAX(0,H336/I336-1),0)</f>
        <v>0</v>
      </c>
      <c r="L336" s="31" t="str">
        <f>'Expense Details'!AC1855</f>
        <v>No</v>
      </c>
      <c r="M336" s="35" t="s">
        <v>3503</v>
      </c>
      <c r="N336" s="31" t="str">
        <f>'Expense Details'!AG1855</f>
        <v>Approved</v>
      </c>
      <c r="O336" s="31" t="str">
        <f>'Expense Details'!F1855</f>
        <v>Viktor Petrov</v>
      </c>
    </row>
    <row r="337" spans="1:15">
      <c r="A337" s="31" t="str">
        <f>'Expense Details'!A1857</f>
        <v>EXP-01856</v>
      </c>
      <c r="B337" s="31" t="str">
        <f>'Expense Details'!C1857</f>
        <v>Aisha Bello</v>
      </c>
      <c r="C337" s="31" t="str">
        <f>'Expense Details'!D1857</f>
        <v>Operations</v>
      </c>
      <c r="D337" s="31" t="str">
        <f>'Expense Details'!G1857</f>
        <v>TRP-2025-045</v>
      </c>
      <c r="E337" s="32">
        <f>'Expense Details'!M1857</f>
        <v>45869</v>
      </c>
      <c r="F337" s="31" t="str">
        <f>'Expense Details'!O1857</f>
        <v>Meals - Breakfast</v>
      </c>
      <c r="G337" s="31" t="str">
        <f>'Expense Details'!Q1857</f>
        <v>Hotel Restaurant</v>
      </c>
      <c r="H337" s="33">
        <f>'Expense Details'!V1857</f>
        <v>38.380000000000003</v>
      </c>
      <c r="I337" s="33">
        <f>'Expense Details'!Z1857</f>
        <v>25</v>
      </c>
      <c r="J337" s="33">
        <f>H337-I337</f>
        <v>13.380000000000003</v>
      </c>
      <c r="K337" s="34">
        <f>IFERROR(MAX(0,H337/I337-1),0)</f>
        <v>0.53520000000000012</v>
      </c>
      <c r="L337" s="31" t="str">
        <f>'Expense Details'!AC1857</f>
        <v>Yes</v>
      </c>
      <c r="M337" s="35" t="s">
        <v>3502</v>
      </c>
      <c r="N337" s="31" t="str">
        <f>'Expense Details'!AG1857</f>
        <v>Approved</v>
      </c>
      <c r="O337" s="31" t="str">
        <f>'Expense Details'!F1857</f>
        <v>Viktor Petrov</v>
      </c>
    </row>
    <row r="338" spans="1:15">
      <c r="A338" s="31" t="str">
        <f>'Expense Details'!A1858</f>
        <v>EXP-01857</v>
      </c>
      <c r="B338" s="31" t="str">
        <f>'Expense Details'!C1858</f>
        <v>Viktor Petrov</v>
      </c>
      <c r="C338" s="31" t="str">
        <f>'Expense Details'!D1858</f>
        <v>Operations</v>
      </c>
      <c r="D338" s="31" t="str">
        <f>'Expense Details'!G1858</f>
        <v>TRP-2025-013</v>
      </c>
      <c r="E338" s="32">
        <f>'Expense Details'!M1858</f>
        <v>45870</v>
      </c>
      <c r="F338" s="31" t="str">
        <f>'Expense Details'!O1858</f>
        <v>Airfare</v>
      </c>
      <c r="G338" s="31" t="str">
        <f>'Expense Details'!Q1858</f>
        <v>Air India</v>
      </c>
      <c r="H338" s="33">
        <f>'Expense Details'!V1858</f>
        <v>2024.8161499999999</v>
      </c>
      <c r="I338" s="33">
        <f>'Expense Details'!Z1858</f>
        <v>1400</v>
      </c>
      <c r="J338" s="33">
        <f>H338-I338</f>
        <v>624.81614999999988</v>
      </c>
      <c r="K338" s="34">
        <f>IFERROR(MAX(0,H338/I338-1),0)</f>
        <v>0.44629724999999998</v>
      </c>
      <c r="L338" s="31" t="str">
        <f>'Expense Details'!AC1858</f>
        <v>Yes</v>
      </c>
      <c r="M338" s="35" t="s">
        <v>3502</v>
      </c>
      <c r="N338" s="31" t="str">
        <f>'Expense Details'!AG1858</f>
        <v>Approved</v>
      </c>
      <c r="O338" s="31" t="str">
        <f>'Expense Details'!F1858</f>
        <v>Diane Okafor</v>
      </c>
    </row>
    <row r="339" spans="1:15">
      <c r="A339" s="31" t="str">
        <f>'Expense Details'!A1867</f>
        <v>EXP-01866</v>
      </c>
      <c r="B339" s="31" t="str">
        <f>'Expense Details'!C1867</f>
        <v>Aisha Bello</v>
      </c>
      <c r="C339" s="31" t="str">
        <f>'Expense Details'!D1867</f>
        <v>Operations</v>
      </c>
      <c r="D339" s="31" t="str">
        <f>'Expense Details'!G1867</f>
        <v>TRP-2025-045</v>
      </c>
      <c r="E339" s="32">
        <f>'Expense Details'!M1867</f>
        <v>45870</v>
      </c>
      <c r="F339" s="31" t="str">
        <f>'Expense Details'!O1867</f>
        <v>Hotel / Lodging</v>
      </c>
      <c r="G339" s="31" t="str">
        <f>'Expense Details'!Q1867</f>
        <v>Hilton Garden Inn</v>
      </c>
      <c r="H339" s="33">
        <f>'Expense Details'!V1867</f>
        <v>400.15</v>
      </c>
      <c r="I339" s="33">
        <f>'Expense Details'!Z1867</f>
        <v>280</v>
      </c>
      <c r="J339" s="33">
        <f>H339-I339</f>
        <v>120.14999999999998</v>
      </c>
      <c r="K339" s="34">
        <f>IFERROR(MAX(0,H339/I339-1),0)</f>
        <v>0.42910714285714269</v>
      </c>
      <c r="L339" s="31" t="str">
        <f>'Expense Details'!AC1867</f>
        <v>Yes</v>
      </c>
      <c r="M339" s="35" t="s">
        <v>3502</v>
      </c>
      <c r="N339" s="31" t="str">
        <f>'Expense Details'!AG1867</f>
        <v>Approved</v>
      </c>
      <c r="O339" s="31" t="str">
        <f>'Expense Details'!F1867</f>
        <v>Viktor Petrov</v>
      </c>
    </row>
    <row r="340" spans="1:15">
      <c r="A340" s="31" t="str">
        <f>'Expense Details'!A1870</f>
        <v>EXP-01869</v>
      </c>
      <c r="B340" s="31" t="str">
        <f>'Expense Details'!C1870</f>
        <v>Meera Krishnan</v>
      </c>
      <c r="C340" s="31" t="str">
        <f>'Expense Details'!D1870</f>
        <v>Finance</v>
      </c>
      <c r="D340" s="31" t="str">
        <f>'Expense Details'!G1870</f>
        <v>TRP-2025-009</v>
      </c>
      <c r="E340" s="32">
        <f>'Expense Details'!M1870</f>
        <v>45871</v>
      </c>
      <c r="F340" s="31" t="str">
        <f>'Expense Details'!O1870</f>
        <v>Airfare</v>
      </c>
      <c r="G340" s="31" t="str">
        <f>'Expense Details'!Q1870</f>
        <v>Delta Air Lines</v>
      </c>
      <c r="H340" s="33">
        <f>'Expense Details'!V1870</f>
        <v>4274.3466499999995</v>
      </c>
      <c r="I340" s="33">
        <f>'Expense Details'!Z1870</f>
        <v>1400</v>
      </c>
      <c r="J340" s="33">
        <f>H340-I340</f>
        <v>2874.3466499999995</v>
      </c>
      <c r="K340" s="34">
        <f>IFERROR(MAX(0,H340/I340-1),0)</f>
        <v>2.0531047499999997</v>
      </c>
      <c r="L340" s="31" t="str">
        <f>'Expense Details'!AC1870</f>
        <v>Yes</v>
      </c>
      <c r="M340" s="35" t="s">
        <v>3502</v>
      </c>
      <c r="N340" s="31" t="str">
        <f>'Expense Details'!AG1870</f>
        <v>Approved</v>
      </c>
      <c r="O340" s="31" t="str">
        <f>'Expense Details'!F1870</f>
        <v>David Chen</v>
      </c>
    </row>
    <row r="341" spans="1:15">
      <c r="A341" s="31" t="str">
        <f>'Expense Details'!A1873</f>
        <v>EXP-01872</v>
      </c>
      <c r="B341" s="31" t="str">
        <f>'Expense Details'!C1873</f>
        <v>Meera Krishnan</v>
      </c>
      <c r="C341" s="31" t="str">
        <f>'Expense Details'!D1873</f>
        <v>Finance</v>
      </c>
      <c r="D341" s="31" t="str">
        <f>'Expense Details'!G1873</f>
        <v>TRP-2025-009</v>
      </c>
      <c r="E341" s="32">
        <f>'Expense Details'!M1873</f>
        <v>45871</v>
      </c>
      <c r="F341" s="31" t="str">
        <f>'Expense Details'!O1873</f>
        <v>Meals - Dinner</v>
      </c>
      <c r="G341" s="31" t="str">
        <f>'Expense Details'!Q1873</f>
        <v>Sakura Izakaya</v>
      </c>
      <c r="H341" s="33">
        <f>'Expense Details'!V1873</f>
        <v>103.17265</v>
      </c>
      <c r="I341" s="33">
        <f>'Expense Details'!Z1873</f>
        <v>75</v>
      </c>
      <c r="J341" s="33">
        <f>H341-I341</f>
        <v>28.172650000000004</v>
      </c>
      <c r="K341" s="34">
        <f>IFERROR(MAX(0,H341/I341-1),0)</f>
        <v>0.37563533333333332</v>
      </c>
      <c r="L341" s="31" t="str">
        <f>'Expense Details'!AC1873</f>
        <v>Yes</v>
      </c>
      <c r="M341" s="35" t="s">
        <v>3502</v>
      </c>
      <c r="N341" s="31" t="str">
        <f>'Expense Details'!AG1873</f>
        <v>Approved</v>
      </c>
      <c r="O341" s="31" t="str">
        <f>'Expense Details'!F1873</f>
        <v>David Chen</v>
      </c>
    </row>
    <row r="342" spans="1:15">
      <c r="A342" s="31" t="str">
        <f>'Expense Details'!A1886</f>
        <v>EXP-01885</v>
      </c>
      <c r="B342" s="31" t="str">
        <f>'Expense Details'!C1886</f>
        <v>Meera Krishnan</v>
      </c>
      <c r="C342" s="31" t="str">
        <f>'Expense Details'!D1886</f>
        <v>Finance</v>
      </c>
      <c r="D342" s="31" t="str">
        <f>'Expense Details'!G1886</f>
        <v>TRP-2025-009</v>
      </c>
      <c r="E342" s="32">
        <f>'Expense Details'!M1886</f>
        <v>45872</v>
      </c>
      <c r="F342" s="31" t="str">
        <f>'Expense Details'!O1886</f>
        <v>Meals - Breakfast</v>
      </c>
      <c r="G342" s="31" t="str">
        <f>'Expense Details'!Q1886</f>
        <v>Cafe Nero</v>
      </c>
      <c r="H342" s="33">
        <f>'Expense Details'!V1886</f>
        <v>28.589750000000002</v>
      </c>
      <c r="I342" s="33">
        <f>'Expense Details'!Z1886</f>
        <v>25</v>
      </c>
      <c r="J342" s="33">
        <f>H342-I342</f>
        <v>3.5897500000000022</v>
      </c>
      <c r="K342" s="34">
        <f>IFERROR(MAX(0,H342/I342-1),0)</f>
        <v>0.14359000000000011</v>
      </c>
      <c r="L342" s="31" t="str">
        <f>'Expense Details'!AC1886</f>
        <v>Yes</v>
      </c>
      <c r="M342" s="35" t="s">
        <v>3502</v>
      </c>
      <c r="N342" s="31" t="str">
        <f>'Expense Details'!AG1886</f>
        <v>Approved</v>
      </c>
      <c r="O342" s="31" t="str">
        <f>'Expense Details'!F1886</f>
        <v>David Chen</v>
      </c>
    </row>
    <row r="343" spans="1:15">
      <c r="A343" s="31" t="str">
        <f>'Expense Details'!A1888</f>
        <v>EXP-01887</v>
      </c>
      <c r="B343" s="31" t="str">
        <f>'Expense Details'!C1888</f>
        <v>Meera Krishnan</v>
      </c>
      <c r="C343" s="31" t="str">
        <f>'Expense Details'!D1888</f>
        <v>Finance</v>
      </c>
      <c r="D343" s="31" t="str">
        <f>'Expense Details'!G1888</f>
        <v>TRP-2025-009</v>
      </c>
      <c r="E343" s="32">
        <f>'Expense Details'!M1888</f>
        <v>45872</v>
      </c>
      <c r="F343" s="31" t="str">
        <f>'Expense Details'!O1888</f>
        <v>Meals - Lunch</v>
      </c>
      <c r="G343" s="31" t="str">
        <f>'Expense Details'!Q1888</f>
        <v>Food Court</v>
      </c>
      <c r="H343" s="33">
        <f>'Expense Details'!V1888</f>
        <v>13.888</v>
      </c>
      <c r="I343" s="33">
        <f>'Expense Details'!Z1888</f>
        <v>35</v>
      </c>
      <c r="J343" s="33">
        <f>H343-I343</f>
        <v>-21.112000000000002</v>
      </c>
      <c r="K343" s="34">
        <f>IFERROR(MAX(0,H343/I343-1),0)</f>
        <v>0</v>
      </c>
      <c r="L343" s="31" t="str">
        <f>'Expense Details'!AC1888</f>
        <v>No</v>
      </c>
      <c r="M343" s="35" t="s">
        <v>3503</v>
      </c>
      <c r="N343" s="31" t="str">
        <f>'Expense Details'!AG1888</f>
        <v>Approved</v>
      </c>
      <c r="O343" s="31" t="str">
        <f>'Expense Details'!F1888</f>
        <v>David Chen</v>
      </c>
    </row>
    <row r="344" spans="1:15">
      <c r="A344" s="31" t="str">
        <f>'Expense Details'!A1890</f>
        <v>EXP-01889</v>
      </c>
      <c r="B344" s="31" t="str">
        <f>'Expense Details'!C1890</f>
        <v>Viktor Petrov</v>
      </c>
      <c r="C344" s="31" t="str">
        <f>'Expense Details'!D1890</f>
        <v>Operations</v>
      </c>
      <c r="D344" s="31" t="str">
        <f>'Expense Details'!G1890</f>
        <v>TRP-2025-013</v>
      </c>
      <c r="E344" s="32">
        <f>'Expense Details'!M1890</f>
        <v>45872</v>
      </c>
      <c r="F344" s="31" t="str">
        <f>'Expense Details'!O1890</f>
        <v>Ground Transport - Taxi</v>
      </c>
      <c r="G344" s="31" t="str">
        <f>'Expense Details'!Q1890</f>
        <v>Grab</v>
      </c>
      <c r="H344" s="33">
        <f>'Expense Details'!V1890</f>
        <v>78.1417</v>
      </c>
      <c r="I344" s="33">
        <f>'Expense Details'!Z1890</f>
        <v>60</v>
      </c>
      <c r="J344" s="33">
        <f>H344-I344</f>
        <v>18.1417</v>
      </c>
      <c r="K344" s="34">
        <f>IFERROR(MAX(0,H344/I344-1),0)</f>
        <v>0.30236166666666664</v>
      </c>
      <c r="L344" s="31" t="str">
        <f>'Expense Details'!AC1890</f>
        <v>Yes</v>
      </c>
      <c r="M344" s="35" t="s">
        <v>3502</v>
      </c>
      <c r="N344" s="31" t="str">
        <f>'Expense Details'!AG1890</f>
        <v>Approved</v>
      </c>
      <c r="O344" s="31" t="str">
        <f>'Expense Details'!F1890</f>
        <v>Diane Okafor</v>
      </c>
    </row>
    <row r="345" spans="1:15">
      <c r="A345" s="31" t="str">
        <f>'Expense Details'!A1891</f>
        <v>EXP-01890</v>
      </c>
      <c r="B345" s="31" t="str">
        <f>'Expense Details'!C1891</f>
        <v>Viktor Petrov</v>
      </c>
      <c r="C345" s="31" t="str">
        <f>'Expense Details'!D1891</f>
        <v>Operations</v>
      </c>
      <c r="D345" s="31" t="str">
        <f>'Expense Details'!G1891</f>
        <v>TRP-2025-013</v>
      </c>
      <c r="E345" s="32">
        <f>'Expense Details'!M1891</f>
        <v>45872</v>
      </c>
      <c r="F345" s="31" t="str">
        <f>'Expense Details'!O1891</f>
        <v>Meals - Breakfast</v>
      </c>
      <c r="G345" s="31" t="str">
        <f>'Expense Details'!Q1891</f>
        <v>Starbucks</v>
      </c>
      <c r="H345" s="33">
        <f>'Expense Details'!V1891</f>
        <v>30.347449999999998</v>
      </c>
      <c r="I345" s="33">
        <f>'Expense Details'!Z1891</f>
        <v>25</v>
      </c>
      <c r="J345" s="33">
        <f>H345-I345</f>
        <v>5.3474499999999985</v>
      </c>
      <c r="K345" s="34">
        <f>IFERROR(MAX(0,H345/I345-1),0)</f>
        <v>0.21389799999999992</v>
      </c>
      <c r="L345" s="31" t="str">
        <f>'Expense Details'!AC1891</f>
        <v>Yes</v>
      </c>
      <c r="M345" s="35" t="s">
        <v>3502</v>
      </c>
      <c r="N345" s="31" t="str">
        <f>'Expense Details'!AG1891</f>
        <v>Approved</v>
      </c>
      <c r="O345" s="31" t="str">
        <f>'Expense Details'!F1891</f>
        <v>Diane Okafor</v>
      </c>
    </row>
    <row r="346" spans="1:15">
      <c r="A346" s="31" t="str">
        <f>'Expense Details'!A1894</f>
        <v>EXP-01893</v>
      </c>
      <c r="B346" s="31" t="str">
        <f>'Expense Details'!C1894</f>
        <v>Ravi Chandra</v>
      </c>
      <c r="C346" s="31" t="str">
        <f>'Expense Details'!D1894</f>
        <v>Field Engineering</v>
      </c>
      <c r="D346" s="31" t="str">
        <f>'Expense Details'!G1894</f>
        <v>TRP-2025-038</v>
      </c>
      <c r="E346" s="32">
        <f>'Expense Details'!M1894</f>
        <v>45872</v>
      </c>
      <c r="F346" s="31" t="str">
        <f>'Expense Details'!O1894</f>
        <v>Ground Transport - Taxi</v>
      </c>
      <c r="G346" s="31" t="str">
        <f>'Expense Details'!Q1894</f>
        <v>Uber</v>
      </c>
      <c r="H346" s="33">
        <f>'Expense Details'!V1894</f>
        <v>36.594580000000001</v>
      </c>
      <c r="I346" s="33">
        <f>'Expense Details'!Z1894</f>
        <v>60</v>
      </c>
      <c r="J346" s="33">
        <f>H346-I346</f>
        <v>-23.405419999999999</v>
      </c>
      <c r="K346" s="34">
        <f>IFERROR(MAX(0,H346/I346-1),0)</f>
        <v>0</v>
      </c>
      <c r="L346" s="31" t="str">
        <f>'Expense Details'!AC1894</f>
        <v>No</v>
      </c>
      <c r="M346" s="35" t="s">
        <v>3503</v>
      </c>
      <c r="N346" s="31" t="str">
        <f>'Expense Details'!AG1894</f>
        <v>Pending Approval</v>
      </c>
      <c r="O346" s="31" t="str">
        <f>'Expense Details'!F1894</f>
        <v>Tomas Kovac</v>
      </c>
    </row>
    <row r="347" spans="1:15">
      <c r="A347" s="31" t="str">
        <f>'Expense Details'!A1901</f>
        <v>EXP-01900</v>
      </c>
      <c r="B347" s="31" t="str">
        <f>'Expense Details'!C1901</f>
        <v>Viktor Petrov</v>
      </c>
      <c r="C347" s="31" t="str">
        <f>'Expense Details'!D1901</f>
        <v>Operations</v>
      </c>
      <c r="D347" s="31" t="str">
        <f>'Expense Details'!G1901</f>
        <v>TRP-2025-013</v>
      </c>
      <c r="E347" s="32">
        <f>'Expense Details'!M1901</f>
        <v>45873</v>
      </c>
      <c r="F347" s="31" t="str">
        <f>'Expense Details'!O1901</f>
        <v>Meals - Breakfast</v>
      </c>
      <c r="G347" s="31" t="str">
        <f>'Expense Details'!Q1901</f>
        <v>Starbucks</v>
      </c>
      <c r="H347" s="33">
        <f>'Expense Details'!V1901</f>
        <v>16.025449999999999</v>
      </c>
      <c r="I347" s="33">
        <f>'Expense Details'!Z1901</f>
        <v>25</v>
      </c>
      <c r="J347" s="33">
        <f>H347-I347</f>
        <v>-8.9745500000000007</v>
      </c>
      <c r="K347" s="34">
        <f>IFERROR(MAX(0,H347/I347-1),0)</f>
        <v>0</v>
      </c>
      <c r="L347" s="31" t="str">
        <f>'Expense Details'!AC1901</f>
        <v>No</v>
      </c>
      <c r="M347" s="35" t="s">
        <v>3503</v>
      </c>
      <c r="N347" s="31" t="str">
        <f>'Expense Details'!AG1901</f>
        <v>Approved</v>
      </c>
      <c r="O347" s="31" t="str">
        <f>'Expense Details'!F1901</f>
        <v>Diane Okafor</v>
      </c>
    </row>
    <row r="348" spans="1:15">
      <c r="A348" s="31" t="str">
        <f>'Expense Details'!A1902</f>
        <v>EXP-01901</v>
      </c>
      <c r="B348" s="31" t="str">
        <f>'Expense Details'!C1902</f>
        <v>Viktor Petrov</v>
      </c>
      <c r="C348" s="31" t="str">
        <f>'Expense Details'!D1902</f>
        <v>Operations</v>
      </c>
      <c r="D348" s="31" t="str">
        <f>'Expense Details'!G1902</f>
        <v>TRP-2025-013</v>
      </c>
      <c r="E348" s="32">
        <f>'Expense Details'!M1902</f>
        <v>45873</v>
      </c>
      <c r="F348" s="31" t="str">
        <f>'Expense Details'!O1902</f>
        <v>Meals - Dinner</v>
      </c>
      <c r="G348" s="31" t="str">
        <f>'Expense Details'!Q1902</f>
        <v>Brasserie Lyon</v>
      </c>
      <c r="H348" s="33">
        <f>'Expense Details'!V1902</f>
        <v>115.56335</v>
      </c>
      <c r="I348" s="33">
        <f>'Expense Details'!Z1902</f>
        <v>75</v>
      </c>
      <c r="J348" s="33">
        <f>H348-I348</f>
        <v>40.56335</v>
      </c>
      <c r="K348" s="34">
        <f>IFERROR(MAX(0,H348/I348-1),0)</f>
        <v>0.54084466666666664</v>
      </c>
      <c r="L348" s="31" t="str">
        <f>'Expense Details'!AC1902</f>
        <v>Yes</v>
      </c>
      <c r="M348" s="35" t="s">
        <v>3502</v>
      </c>
      <c r="N348" s="31" t="str">
        <f>'Expense Details'!AG1902</f>
        <v>Approved</v>
      </c>
      <c r="O348" s="31" t="str">
        <f>'Expense Details'!F1902</f>
        <v>Diane Okafor</v>
      </c>
    </row>
    <row r="349" spans="1:15">
      <c r="A349" s="31" t="str">
        <f>'Expense Details'!A1905</f>
        <v>EXP-01904</v>
      </c>
      <c r="B349" s="31" t="str">
        <f>'Expense Details'!C1905</f>
        <v>Meera Krishnan</v>
      </c>
      <c r="C349" s="31" t="str">
        <f>'Expense Details'!D1905</f>
        <v>Finance</v>
      </c>
      <c r="D349" s="31" t="str">
        <f>'Expense Details'!G1905</f>
        <v>TRP-2025-009</v>
      </c>
      <c r="E349" s="32">
        <f>'Expense Details'!M1905</f>
        <v>45874</v>
      </c>
      <c r="F349" s="31" t="str">
        <f>'Expense Details'!O1905</f>
        <v>Meals - Dinner</v>
      </c>
      <c r="G349" s="31" t="str">
        <f>'Expense Details'!Q1905</f>
        <v>Spice Route</v>
      </c>
      <c r="H349" s="33">
        <f>'Expense Details'!V1905</f>
        <v>40.437950000000001</v>
      </c>
      <c r="I349" s="33">
        <f>'Expense Details'!Z1905</f>
        <v>75</v>
      </c>
      <c r="J349" s="33">
        <f>H349-I349</f>
        <v>-34.562049999999999</v>
      </c>
      <c r="K349" s="34">
        <f>IFERROR(MAX(0,H349/I349-1),0)</f>
        <v>0</v>
      </c>
      <c r="L349" s="31" t="str">
        <f>'Expense Details'!AC1905</f>
        <v>No</v>
      </c>
      <c r="M349" s="35" t="s">
        <v>3503</v>
      </c>
      <c r="N349" s="31" t="str">
        <f>'Expense Details'!AG1905</f>
        <v>Approved</v>
      </c>
      <c r="O349" s="31" t="str">
        <f>'Expense Details'!F1905</f>
        <v>David Chen</v>
      </c>
    </row>
    <row r="350" spans="1:15">
      <c r="A350" s="31" t="str">
        <f>'Expense Details'!A1917</f>
        <v>EXP-01916</v>
      </c>
      <c r="B350" s="31" t="str">
        <f>'Expense Details'!C1917</f>
        <v>Meera Krishnan</v>
      </c>
      <c r="C350" s="31" t="str">
        <f>'Expense Details'!D1917</f>
        <v>Finance</v>
      </c>
      <c r="D350" s="31" t="str">
        <f>'Expense Details'!G1917</f>
        <v>TRP-2025-009</v>
      </c>
      <c r="E350" s="32">
        <f>'Expense Details'!M1917</f>
        <v>45877</v>
      </c>
      <c r="F350" s="31" t="str">
        <f>'Expense Details'!O1917</f>
        <v>Meals - Dinner</v>
      </c>
      <c r="G350" s="31" t="str">
        <f>'Expense Details'!Q1917</f>
        <v>Osteria Vela</v>
      </c>
      <c r="H350" s="33">
        <f>'Expense Details'!V1917</f>
        <v>45.070899999999995</v>
      </c>
      <c r="I350" s="33">
        <f>'Expense Details'!Z1917</f>
        <v>75</v>
      </c>
      <c r="J350" s="33">
        <f>H350-I350</f>
        <v>-29.929100000000005</v>
      </c>
      <c r="K350" s="34">
        <f>IFERROR(MAX(0,H350/I350-1),0)</f>
        <v>0</v>
      </c>
      <c r="L350" s="31" t="str">
        <f>'Expense Details'!AC1917</f>
        <v>No</v>
      </c>
      <c r="M350" s="35" t="s">
        <v>3503</v>
      </c>
      <c r="N350" s="31" t="str">
        <f>'Expense Details'!AG1917</f>
        <v>Approved</v>
      </c>
      <c r="O350" s="31" t="str">
        <f>'Expense Details'!F1917</f>
        <v>David Chen</v>
      </c>
    </row>
    <row r="351" spans="1:15">
      <c r="A351" s="31" t="str">
        <f>'Expense Details'!A1921</f>
        <v>EXP-01920</v>
      </c>
      <c r="B351" s="31" t="str">
        <f>'Expense Details'!C1921</f>
        <v>Hannah Weiss</v>
      </c>
      <c r="C351" s="31" t="str">
        <f>'Expense Details'!D1921</f>
        <v>Field Engineering</v>
      </c>
      <c r="D351" s="31" t="str">
        <f>'Expense Details'!G1921</f>
        <v>TRP-2025-085</v>
      </c>
      <c r="E351" s="32">
        <f>'Expense Details'!M1921</f>
        <v>45880</v>
      </c>
      <c r="F351" s="31" t="str">
        <f>'Expense Details'!O1921</f>
        <v>Meals - Breakfast</v>
      </c>
      <c r="G351" s="31" t="str">
        <f>'Expense Details'!Q1921</f>
        <v>Hotel Restaurant</v>
      </c>
      <c r="H351" s="33">
        <f>'Expense Details'!V1921</f>
        <v>21.774480000000001</v>
      </c>
      <c r="I351" s="33">
        <f>'Expense Details'!Z1921</f>
        <v>25</v>
      </c>
      <c r="J351" s="33">
        <f>H351-I351</f>
        <v>-3.2255199999999995</v>
      </c>
      <c r="K351" s="34">
        <f>IFERROR(MAX(0,H351/I351-1),0)</f>
        <v>0</v>
      </c>
      <c r="L351" s="31" t="str">
        <f>'Expense Details'!AC1921</f>
        <v>No</v>
      </c>
      <c r="M351" s="35" t="s">
        <v>3503</v>
      </c>
      <c r="N351" s="31" t="str">
        <f>'Expense Details'!AG1921</f>
        <v>Approved</v>
      </c>
      <c r="O351" s="31" t="str">
        <f>'Expense Details'!F1921</f>
        <v>Tomas Kovac</v>
      </c>
    </row>
    <row r="352" spans="1:15">
      <c r="A352" s="31" t="str">
        <f>'Expense Details'!A1922</f>
        <v>EXP-01921</v>
      </c>
      <c r="B352" s="31" t="str">
        <f>'Expense Details'!C1922</f>
        <v>Hannah Weiss</v>
      </c>
      <c r="C352" s="31" t="str">
        <f>'Expense Details'!D1922</f>
        <v>Field Engineering</v>
      </c>
      <c r="D352" s="31" t="str">
        <f>'Expense Details'!G1922</f>
        <v>TRP-2025-085</v>
      </c>
      <c r="E352" s="32">
        <f>'Expense Details'!M1922</f>
        <v>45880</v>
      </c>
      <c r="F352" s="31" t="str">
        <f>'Expense Details'!O1922</f>
        <v>Meals - Dinner</v>
      </c>
      <c r="G352" s="31" t="str">
        <f>'Expense Details'!Q1922</f>
        <v>Spice Route</v>
      </c>
      <c r="H352" s="33">
        <f>'Expense Details'!V1922</f>
        <v>88.15352</v>
      </c>
      <c r="I352" s="33">
        <f>'Expense Details'!Z1922</f>
        <v>75</v>
      </c>
      <c r="J352" s="33">
        <f>H352-I352</f>
        <v>13.15352</v>
      </c>
      <c r="K352" s="34">
        <f>IFERROR(MAX(0,H352/I352-1),0)</f>
        <v>0.17538026666666662</v>
      </c>
      <c r="L352" s="31" t="str">
        <f>'Expense Details'!AC1922</f>
        <v>Yes</v>
      </c>
      <c r="M352" s="35" t="s">
        <v>3502</v>
      </c>
      <c r="N352" s="31" t="str">
        <f>'Expense Details'!AG1922</f>
        <v>Approved</v>
      </c>
      <c r="O352" s="31" t="str">
        <f>'Expense Details'!F1922</f>
        <v>Tomas Kovac</v>
      </c>
    </row>
    <row r="353" spans="1:15">
      <c r="A353" s="31" t="str">
        <f>'Expense Details'!A1923</f>
        <v>EXP-01922</v>
      </c>
      <c r="B353" s="31" t="str">
        <f>'Expense Details'!C1923</f>
        <v>Hannah Weiss</v>
      </c>
      <c r="C353" s="31" t="str">
        <f>'Expense Details'!D1923</f>
        <v>Field Engineering</v>
      </c>
      <c r="D353" s="31" t="str">
        <f>'Expense Details'!G1923</f>
        <v>TRP-2025-085</v>
      </c>
      <c r="E353" s="32">
        <f>'Expense Details'!M1923</f>
        <v>45881</v>
      </c>
      <c r="F353" s="31" t="str">
        <f>'Expense Details'!O1923</f>
        <v>Car Rental</v>
      </c>
      <c r="G353" s="31" t="str">
        <f>'Expense Details'!Q1923</f>
        <v>Sixt</v>
      </c>
      <c r="H353" s="33">
        <f>'Expense Details'!V1923</f>
        <v>199.63216000000003</v>
      </c>
      <c r="I353" s="33">
        <f>'Expense Details'!Z1923</f>
        <v>240</v>
      </c>
      <c r="J353" s="33">
        <f>H353-I353</f>
        <v>-40.367839999999973</v>
      </c>
      <c r="K353" s="34">
        <f>IFERROR(MAX(0,H353/I353-1),0)</f>
        <v>0</v>
      </c>
      <c r="L353" s="31" t="str">
        <f>'Expense Details'!AC1923</f>
        <v>No</v>
      </c>
      <c r="M353" s="35" t="s">
        <v>3503</v>
      </c>
      <c r="N353" s="31" t="str">
        <f>'Expense Details'!AG1923</f>
        <v>Approved</v>
      </c>
      <c r="O353" s="31" t="str">
        <f>'Expense Details'!F1923</f>
        <v>Tomas Kovac</v>
      </c>
    </row>
    <row r="354" spans="1:15">
      <c r="A354" s="31" t="str">
        <f>'Expense Details'!A1930</f>
        <v>EXP-01929</v>
      </c>
      <c r="B354" s="31" t="str">
        <f>'Expense Details'!C1930</f>
        <v>Marcus Bell</v>
      </c>
      <c r="C354" s="31" t="str">
        <f>'Expense Details'!D1930</f>
        <v>Sales</v>
      </c>
      <c r="D354" s="31" t="str">
        <f>'Expense Details'!G1930</f>
        <v>TRP-2025-094</v>
      </c>
      <c r="E354" s="32">
        <f>'Expense Details'!M1930</f>
        <v>45881</v>
      </c>
      <c r="F354" s="31" t="str">
        <f>'Expense Details'!O1930</f>
        <v>Airfare</v>
      </c>
      <c r="G354" s="31" t="str">
        <f>'Expense Details'!Q1930</f>
        <v>Emirates</v>
      </c>
      <c r="H354" s="33">
        <f>'Expense Details'!V1930</f>
        <v>2207.6163200000001</v>
      </c>
      <c r="I354" s="33">
        <f>'Expense Details'!Z1930</f>
        <v>1400</v>
      </c>
      <c r="J354" s="33">
        <f>H354-I354</f>
        <v>807.61632000000009</v>
      </c>
      <c r="K354" s="34">
        <f>IFERROR(MAX(0,H354/I354-1),0)</f>
        <v>0.57686879999999996</v>
      </c>
      <c r="L354" s="31" t="str">
        <f>'Expense Details'!AC1930</f>
        <v>Yes</v>
      </c>
      <c r="M354" s="35" t="s">
        <v>3502</v>
      </c>
      <c r="N354" s="31" t="str">
        <f>'Expense Details'!AG1930</f>
        <v>Approved</v>
      </c>
      <c r="O354" s="31" t="str">
        <f>'Expense Details'!F1930</f>
        <v>Diane Okafor</v>
      </c>
    </row>
    <row r="355" spans="1:15">
      <c r="A355" s="31" t="str">
        <f>'Expense Details'!A1933</f>
        <v>EXP-01932</v>
      </c>
      <c r="B355" s="31" t="str">
        <f>'Expense Details'!C1933</f>
        <v>Viktor Petrov</v>
      </c>
      <c r="C355" s="31" t="str">
        <f>'Expense Details'!D1933</f>
        <v>Operations</v>
      </c>
      <c r="D355" s="31" t="str">
        <f>'Expense Details'!G1933</f>
        <v>TRP-2025-026</v>
      </c>
      <c r="E355" s="32">
        <f>'Expense Details'!M1933</f>
        <v>45882</v>
      </c>
      <c r="F355" s="31" t="str">
        <f>'Expense Details'!O1933</f>
        <v>Airfare</v>
      </c>
      <c r="G355" s="31" t="str">
        <f>'Expense Details'!Q1933</f>
        <v>British Airways</v>
      </c>
      <c r="H355" s="33">
        <f>'Expense Details'!V1933</f>
        <v>827.74</v>
      </c>
      <c r="I355" s="33">
        <f>'Expense Details'!Z1933</f>
        <v>1400</v>
      </c>
      <c r="J355" s="33">
        <f>H355-I355</f>
        <v>-572.26</v>
      </c>
      <c r="K355" s="34">
        <f>IFERROR(MAX(0,H355/I355-1),0)</f>
        <v>0</v>
      </c>
      <c r="L355" s="31" t="str">
        <f>'Expense Details'!AC1933</f>
        <v>No</v>
      </c>
      <c r="M355" s="35" t="s">
        <v>3503</v>
      </c>
      <c r="N355" s="31" t="str">
        <f>'Expense Details'!AG1933</f>
        <v>Approved</v>
      </c>
      <c r="O355" s="31" t="str">
        <f>'Expense Details'!F1933</f>
        <v>Diane Okafor</v>
      </c>
    </row>
    <row r="356" spans="1:15">
      <c r="A356" s="31" t="str">
        <f>'Expense Details'!A1938</f>
        <v>EXP-01937</v>
      </c>
      <c r="B356" s="31" t="str">
        <f>'Expense Details'!C1938</f>
        <v>Ananya Sengupta</v>
      </c>
      <c r="C356" s="31" t="str">
        <f>'Expense Details'!D1938</f>
        <v>Sales</v>
      </c>
      <c r="D356" s="31" t="str">
        <f>'Expense Details'!G1938</f>
        <v>TRP-2025-032</v>
      </c>
      <c r="E356" s="32">
        <f>'Expense Details'!M1938</f>
        <v>45882</v>
      </c>
      <c r="F356" s="31" t="str">
        <f>'Expense Details'!O1938</f>
        <v>Airfare</v>
      </c>
      <c r="G356" s="31" t="str">
        <f>'Expense Details'!Q1938</f>
        <v>Air India</v>
      </c>
      <c r="H356" s="33">
        <f>'Expense Details'!V1938</f>
        <v>2824.3200999999999</v>
      </c>
      <c r="I356" s="33">
        <f>'Expense Details'!Z1938</f>
        <v>1400</v>
      </c>
      <c r="J356" s="33">
        <f>H356-I356</f>
        <v>1424.3200999999999</v>
      </c>
      <c r="K356" s="34">
        <f>IFERROR(MAX(0,H356/I356-1),0)</f>
        <v>1.0173714999999999</v>
      </c>
      <c r="L356" s="31" t="str">
        <f>'Expense Details'!AC1938</f>
        <v>Yes</v>
      </c>
      <c r="M356" s="35" t="s">
        <v>3502</v>
      </c>
      <c r="N356" s="31" t="str">
        <f>'Expense Details'!AG1938</f>
        <v>Approved</v>
      </c>
      <c r="O356" s="31" t="str">
        <f>'Expense Details'!F1938</f>
        <v>Marcus Bell</v>
      </c>
    </row>
    <row r="357" spans="1:15">
      <c r="A357" s="31" t="str">
        <f>'Expense Details'!A1940</f>
        <v>EXP-01939</v>
      </c>
      <c r="B357" s="31" t="str">
        <f>'Expense Details'!C1940</f>
        <v>Ananya Sengupta</v>
      </c>
      <c r="C357" s="31" t="str">
        <f>'Expense Details'!D1940</f>
        <v>Sales</v>
      </c>
      <c r="D357" s="31" t="str">
        <f>'Expense Details'!G1940</f>
        <v>TRP-2025-032</v>
      </c>
      <c r="E357" s="32">
        <f>'Expense Details'!M1940</f>
        <v>45882</v>
      </c>
      <c r="F357" s="31" t="str">
        <f>'Expense Details'!O1940</f>
        <v>Meals - Dinner</v>
      </c>
      <c r="G357" s="31" t="str">
        <f>'Expense Details'!Q1940</f>
        <v>The Grill House</v>
      </c>
      <c r="H357" s="33">
        <f>'Expense Details'!V1940</f>
        <v>104.60485</v>
      </c>
      <c r="I357" s="33">
        <f>'Expense Details'!Z1940</f>
        <v>75</v>
      </c>
      <c r="J357" s="33">
        <f>H357-I357</f>
        <v>29.604849999999999</v>
      </c>
      <c r="K357" s="34">
        <f>IFERROR(MAX(0,H357/I357-1),0)</f>
        <v>0.39473133333333332</v>
      </c>
      <c r="L357" s="31" t="str">
        <f>'Expense Details'!AC1940</f>
        <v>No</v>
      </c>
      <c r="M357" s="35" t="s">
        <v>3504</v>
      </c>
      <c r="N357" s="31" t="str">
        <f>'Expense Details'!AG1940</f>
        <v>Approved</v>
      </c>
      <c r="O357" s="31" t="str">
        <f>'Expense Details'!F1940</f>
        <v>Marcus Bell</v>
      </c>
    </row>
    <row r="358" spans="1:15">
      <c r="A358" s="31" t="str">
        <f>'Expense Details'!A1952</f>
        <v>EXP-01951</v>
      </c>
      <c r="B358" s="31" t="str">
        <f>'Expense Details'!C1952</f>
        <v>Viktor Petrov</v>
      </c>
      <c r="C358" s="31" t="str">
        <f>'Expense Details'!D1952</f>
        <v>Operations</v>
      </c>
      <c r="D358" s="31" t="str">
        <f>'Expense Details'!G1952</f>
        <v>TRP-2025-026</v>
      </c>
      <c r="E358" s="32">
        <f>'Expense Details'!M1952</f>
        <v>45883</v>
      </c>
      <c r="F358" s="31" t="str">
        <f>'Expense Details'!O1952</f>
        <v>Ground Transport - Taxi</v>
      </c>
      <c r="G358" s="31" t="str">
        <f>'Expense Details'!Q1952</f>
        <v>Ola Cabs</v>
      </c>
      <c r="H358" s="33">
        <f>'Expense Details'!V1952</f>
        <v>56.25</v>
      </c>
      <c r="I358" s="33">
        <f>'Expense Details'!Z1952</f>
        <v>60</v>
      </c>
      <c r="J358" s="33">
        <f>H358-I358</f>
        <v>-3.75</v>
      </c>
      <c r="K358" s="34">
        <f>IFERROR(MAX(0,H358/I358-1),0)</f>
        <v>0</v>
      </c>
      <c r="L358" s="31" t="str">
        <f>'Expense Details'!AC1952</f>
        <v>No</v>
      </c>
      <c r="M358" s="35" t="s">
        <v>3503</v>
      </c>
      <c r="N358" s="31" t="str">
        <f>'Expense Details'!AG1952</f>
        <v>Approved</v>
      </c>
      <c r="O358" s="31" t="str">
        <f>'Expense Details'!F1952</f>
        <v>Diane Okafor</v>
      </c>
    </row>
    <row r="359" spans="1:15">
      <c r="A359" s="31" t="str">
        <f>'Expense Details'!A1953</f>
        <v>EXP-01952</v>
      </c>
      <c r="B359" s="31" t="str">
        <f>'Expense Details'!C1953</f>
        <v>Viktor Petrov</v>
      </c>
      <c r="C359" s="31" t="str">
        <f>'Expense Details'!D1953</f>
        <v>Operations</v>
      </c>
      <c r="D359" s="31" t="str">
        <f>'Expense Details'!G1953</f>
        <v>TRP-2025-026</v>
      </c>
      <c r="E359" s="32">
        <f>'Expense Details'!M1953</f>
        <v>45883</v>
      </c>
      <c r="F359" s="31" t="str">
        <f>'Expense Details'!O1953</f>
        <v>Hotel / Lodging</v>
      </c>
      <c r="G359" s="31" t="str">
        <f>'Expense Details'!Q1953</f>
        <v>Hyatt Place</v>
      </c>
      <c r="H359" s="33">
        <f>'Expense Details'!V1953</f>
        <v>1483.83</v>
      </c>
      <c r="I359" s="33">
        <f>'Expense Details'!Z1953</f>
        <v>1120</v>
      </c>
      <c r="J359" s="33">
        <f>H359-I359</f>
        <v>363.82999999999993</v>
      </c>
      <c r="K359" s="34">
        <f>IFERROR(MAX(0,H359/I359-1),0)</f>
        <v>0.32484821428571431</v>
      </c>
      <c r="L359" s="31" t="str">
        <f>'Expense Details'!AC1953</f>
        <v>Yes</v>
      </c>
      <c r="M359" s="35" t="s">
        <v>3502</v>
      </c>
      <c r="N359" s="31" t="str">
        <f>'Expense Details'!AG1953</f>
        <v>Approved</v>
      </c>
      <c r="O359" s="31" t="str">
        <f>'Expense Details'!F1953</f>
        <v>Diane Okafor</v>
      </c>
    </row>
    <row r="360" spans="1:15">
      <c r="A360" s="31" t="str">
        <f>'Expense Details'!A1959</f>
        <v>EXP-01958</v>
      </c>
      <c r="B360" s="31" t="str">
        <f>'Expense Details'!C1959</f>
        <v>Ananya Sengupta</v>
      </c>
      <c r="C360" s="31" t="str">
        <f>'Expense Details'!D1959</f>
        <v>Sales</v>
      </c>
      <c r="D360" s="31" t="str">
        <f>'Expense Details'!G1959</f>
        <v>TRP-2025-032</v>
      </c>
      <c r="E360" s="32">
        <f>'Expense Details'!M1959</f>
        <v>45883</v>
      </c>
      <c r="F360" s="31" t="str">
        <f>'Expense Details'!O1959</f>
        <v>Hotel / Lodging</v>
      </c>
      <c r="G360" s="31" t="str">
        <f>'Expense Details'!Q1959</f>
        <v>Hilton Garden Inn</v>
      </c>
      <c r="H360" s="33">
        <f>'Expense Details'!V1959</f>
        <v>2147.6381500000002</v>
      </c>
      <c r="I360" s="33">
        <f>'Expense Details'!Z1959</f>
        <v>1960</v>
      </c>
      <c r="J360" s="33">
        <f>H360-I360</f>
        <v>187.63815000000022</v>
      </c>
      <c r="K360" s="34">
        <f>IFERROR(MAX(0,H360/I360-1),0)</f>
        <v>9.5733750000000173E-2</v>
      </c>
      <c r="L360" s="31" t="str">
        <f>'Expense Details'!AC1959</f>
        <v>Yes</v>
      </c>
      <c r="M360" s="35" t="s">
        <v>3502</v>
      </c>
      <c r="N360" s="31" t="str">
        <f>'Expense Details'!AG1959</f>
        <v>Approved</v>
      </c>
      <c r="O360" s="31" t="str">
        <f>'Expense Details'!F1959</f>
        <v>Marcus Bell</v>
      </c>
    </row>
    <row r="361" spans="1:15">
      <c r="A361" s="31" t="str">
        <f>'Expense Details'!A1963</f>
        <v>EXP-01962</v>
      </c>
      <c r="B361" s="31" t="str">
        <f>'Expense Details'!C1963</f>
        <v>Viktor Petrov</v>
      </c>
      <c r="C361" s="31" t="str">
        <f>'Expense Details'!D1963</f>
        <v>Operations</v>
      </c>
      <c r="D361" s="31" t="str">
        <f>'Expense Details'!G1963</f>
        <v>TRP-2025-026</v>
      </c>
      <c r="E361" s="32">
        <f>'Expense Details'!M1963</f>
        <v>45884</v>
      </c>
      <c r="F361" s="31" t="str">
        <f>'Expense Details'!O1963</f>
        <v>Ground Transport - Taxi</v>
      </c>
      <c r="G361" s="31" t="str">
        <f>'Expense Details'!Q1963</f>
        <v>Ola Cabs</v>
      </c>
      <c r="H361" s="33">
        <f>'Expense Details'!V1963</f>
        <v>38.33</v>
      </c>
      <c r="I361" s="33">
        <f>'Expense Details'!Z1963</f>
        <v>60</v>
      </c>
      <c r="J361" s="33">
        <f>H361-I361</f>
        <v>-21.67</v>
      </c>
      <c r="K361" s="34">
        <f>IFERROR(MAX(0,H361/I361-1),0)</f>
        <v>0</v>
      </c>
      <c r="L361" s="31" t="str">
        <f>'Expense Details'!AC1963</f>
        <v>No</v>
      </c>
      <c r="M361" s="35" t="s">
        <v>3503</v>
      </c>
      <c r="N361" s="31" t="str">
        <f>'Expense Details'!AG1963</f>
        <v>Approved</v>
      </c>
      <c r="O361" s="31" t="str">
        <f>'Expense Details'!F1963</f>
        <v>Diane Okafor</v>
      </c>
    </row>
    <row r="362" spans="1:15">
      <c r="A362" s="31" t="str">
        <f>'Expense Details'!A1973</f>
        <v>EXP-01972</v>
      </c>
      <c r="B362" s="31" t="str">
        <f>'Expense Details'!C1973</f>
        <v>Rohit Malhotra</v>
      </c>
      <c r="C362" s="31" t="str">
        <f>'Expense Details'!D1973</f>
        <v>Sales</v>
      </c>
      <c r="D362" s="31" t="str">
        <f>'Expense Details'!G1973</f>
        <v>TRP-2025-063</v>
      </c>
      <c r="E362" s="32">
        <f>'Expense Details'!M1973</f>
        <v>45884</v>
      </c>
      <c r="F362" s="31" t="str">
        <f>'Expense Details'!O1973</f>
        <v>Meals - Lunch</v>
      </c>
      <c r="G362" s="31" t="str">
        <f>'Expense Details'!Q1973</f>
        <v>Local Bistro</v>
      </c>
      <c r="H362" s="33">
        <f>'Expense Details'!V1973</f>
        <v>23.44</v>
      </c>
      <c r="I362" s="33">
        <f>'Expense Details'!Z1973</f>
        <v>35</v>
      </c>
      <c r="J362" s="33">
        <f>H362-I362</f>
        <v>-11.559999999999999</v>
      </c>
      <c r="K362" s="34">
        <f>IFERROR(MAX(0,H362/I362-1),0)</f>
        <v>0</v>
      </c>
      <c r="L362" s="31" t="str">
        <f>'Expense Details'!AC1973</f>
        <v>No</v>
      </c>
      <c r="M362" s="35" t="s">
        <v>3503</v>
      </c>
      <c r="N362" s="31" t="str">
        <f>'Expense Details'!AG1973</f>
        <v>Approved</v>
      </c>
      <c r="O362" s="31" t="str">
        <f>'Expense Details'!F1973</f>
        <v>Ananya Sengupta</v>
      </c>
    </row>
    <row r="363" spans="1:15">
      <c r="A363" s="31" t="str">
        <f>'Expense Details'!A1974</f>
        <v>EXP-01973</v>
      </c>
      <c r="B363" s="31" t="str">
        <f>'Expense Details'!C1974</f>
        <v>Viktor Petrov</v>
      </c>
      <c r="C363" s="31" t="str">
        <f>'Expense Details'!D1974</f>
        <v>Operations</v>
      </c>
      <c r="D363" s="31" t="str">
        <f>'Expense Details'!G1974</f>
        <v>TRP-2025-026</v>
      </c>
      <c r="E363" s="32">
        <f>'Expense Details'!M1974</f>
        <v>45885</v>
      </c>
      <c r="F363" s="31" t="str">
        <f>'Expense Details'!O1974</f>
        <v>Client Gifts</v>
      </c>
      <c r="G363" s="31" t="str">
        <f>'Expense Details'!Q1974</f>
        <v>Corporate Gifting Co.</v>
      </c>
      <c r="H363" s="33">
        <f>'Expense Details'!V1974</f>
        <v>53.4</v>
      </c>
      <c r="I363" s="33">
        <f>'Expense Details'!Z1974</f>
        <v>100</v>
      </c>
      <c r="J363" s="33">
        <f>H363-I363</f>
        <v>-46.6</v>
      </c>
      <c r="K363" s="34">
        <f>IFERROR(MAX(0,H363/I363-1),0)</f>
        <v>0</v>
      </c>
      <c r="L363" s="31" t="str">
        <f>'Expense Details'!AC1974</f>
        <v>No</v>
      </c>
      <c r="M363" s="35" t="s">
        <v>3503</v>
      </c>
      <c r="N363" s="31" t="str">
        <f>'Expense Details'!AG1974</f>
        <v>Approved</v>
      </c>
      <c r="O363" s="31" t="str">
        <f>'Expense Details'!F1974</f>
        <v>Diane Okafor</v>
      </c>
    </row>
    <row r="364" spans="1:15">
      <c r="A364" s="31" t="str">
        <f>'Expense Details'!A1981</f>
        <v>EXP-01980</v>
      </c>
      <c r="B364" s="31" t="str">
        <f>'Expense Details'!C1981</f>
        <v>Paul Nkemelu</v>
      </c>
      <c r="C364" s="31" t="str">
        <f>'Expense Details'!D1981</f>
        <v>Customer Success</v>
      </c>
      <c r="D364" s="31" t="str">
        <f>'Expense Details'!G1981</f>
        <v>TRP-2025-055</v>
      </c>
      <c r="E364" s="32">
        <f>'Expense Details'!M1981</f>
        <v>45885</v>
      </c>
      <c r="F364" s="31" t="str">
        <f>'Expense Details'!O1981</f>
        <v>Airfare</v>
      </c>
      <c r="G364" s="31" t="str">
        <f>'Expense Details'!Q1981</f>
        <v>ANA</v>
      </c>
      <c r="H364" s="33">
        <f>'Expense Details'!V1981</f>
        <v>1239.93326</v>
      </c>
      <c r="I364" s="33">
        <f>'Expense Details'!Z1981</f>
        <v>1400</v>
      </c>
      <c r="J364" s="33">
        <f>H364-I364</f>
        <v>-160.06673999999998</v>
      </c>
      <c r="K364" s="34">
        <f>IFERROR(MAX(0,H364/I364-1),0)</f>
        <v>0</v>
      </c>
      <c r="L364" s="31" t="str">
        <f>'Expense Details'!AC1981</f>
        <v>No</v>
      </c>
      <c r="M364" s="35" t="s">
        <v>3503</v>
      </c>
      <c r="N364" s="31" t="str">
        <f>'Expense Details'!AG1981</f>
        <v>Approved</v>
      </c>
      <c r="O364" s="31" t="str">
        <f>'Expense Details'!F1981</f>
        <v>Diane Okafor</v>
      </c>
    </row>
    <row r="365" spans="1:15">
      <c r="A365" s="31" t="str">
        <f>'Expense Details'!A1985</f>
        <v>EXP-01984</v>
      </c>
      <c r="B365" s="31" t="str">
        <f>'Expense Details'!C1985</f>
        <v>Rohit Malhotra</v>
      </c>
      <c r="C365" s="31" t="str">
        <f>'Expense Details'!D1985</f>
        <v>Sales</v>
      </c>
      <c r="D365" s="31" t="str">
        <f>'Expense Details'!G1985</f>
        <v>TRP-2025-063</v>
      </c>
      <c r="E365" s="32">
        <f>'Expense Details'!M1985</f>
        <v>45885</v>
      </c>
      <c r="F365" s="31" t="str">
        <f>'Expense Details'!O1985</f>
        <v>Ground Transport - Taxi</v>
      </c>
      <c r="G365" s="31" t="str">
        <f>'Expense Details'!Q1985</f>
        <v>Ola Cabs</v>
      </c>
      <c r="H365" s="33">
        <f>'Expense Details'!V1985</f>
        <v>48.03</v>
      </c>
      <c r="I365" s="33">
        <f>'Expense Details'!Z1985</f>
        <v>60</v>
      </c>
      <c r="J365" s="33">
        <f>H365-I365</f>
        <v>-11.969999999999999</v>
      </c>
      <c r="K365" s="34">
        <f>IFERROR(MAX(0,H365/I365-1),0)</f>
        <v>0</v>
      </c>
      <c r="L365" s="31" t="str">
        <f>'Expense Details'!AC1985</f>
        <v>No</v>
      </c>
      <c r="M365" s="35" t="s">
        <v>3503</v>
      </c>
      <c r="N365" s="31" t="str">
        <f>'Expense Details'!AG1985</f>
        <v>Approved</v>
      </c>
      <c r="O365" s="31" t="str">
        <f>'Expense Details'!F1985</f>
        <v>Ananya Sengupta</v>
      </c>
    </row>
    <row r="366" spans="1:15">
      <c r="A366" s="31" t="str">
        <f>'Expense Details'!A1993</f>
        <v>EXP-01992</v>
      </c>
      <c r="B366" s="31" t="str">
        <f>'Expense Details'!C1993</f>
        <v>Ananya Sengupta</v>
      </c>
      <c r="C366" s="31" t="str">
        <f>'Expense Details'!D1993</f>
        <v>Sales</v>
      </c>
      <c r="D366" s="31" t="str">
        <f>'Expense Details'!G1993</f>
        <v>TRP-2025-032</v>
      </c>
      <c r="E366" s="32">
        <f>'Expense Details'!M1993</f>
        <v>45886</v>
      </c>
      <c r="F366" s="31" t="str">
        <f>'Expense Details'!O1993</f>
        <v>Meals - Lunch</v>
      </c>
      <c r="G366" s="31" t="str">
        <f>'Expense Details'!Q1993</f>
        <v>Pret A Manger</v>
      </c>
      <c r="H366" s="33">
        <f>'Expense Details'!V1993</f>
        <v>20.549900000000001</v>
      </c>
      <c r="I366" s="33">
        <f>'Expense Details'!Z1993</f>
        <v>35</v>
      </c>
      <c r="J366" s="33">
        <f>H366-I366</f>
        <v>-14.450099999999999</v>
      </c>
      <c r="K366" s="34">
        <f>IFERROR(MAX(0,H366/I366-1),0)</f>
        <v>0</v>
      </c>
      <c r="L366" s="31" t="str">
        <f>'Expense Details'!AC1993</f>
        <v>No</v>
      </c>
      <c r="M366" s="35" t="s">
        <v>3503</v>
      </c>
      <c r="N366" s="31" t="str">
        <f>'Expense Details'!AG1993</f>
        <v>Approved</v>
      </c>
      <c r="O366" s="31" t="str">
        <f>'Expense Details'!F1993</f>
        <v>Marcus Bell</v>
      </c>
    </row>
    <row r="367" spans="1:15">
      <c r="A367" s="31" t="str">
        <f>'Expense Details'!A1998</f>
        <v>EXP-01997</v>
      </c>
      <c r="B367" s="31" t="str">
        <f>'Expense Details'!C1998</f>
        <v>Rohit Malhotra</v>
      </c>
      <c r="C367" s="31" t="str">
        <f>'Expense Details'!D1998</f>
        <v>Sales</v>
      </c>
      <c r="D367" s="31" t="str">
        <f>'Expense Details'!G1998</f>
        <v>TRP-2025-063</v>
      </c>
      <c r="E367" s="32">
        <f>'Expense Details'!M1998</f>
        <v>45886</v>
      </c>
      <c r="F367" s="31" t="str">
        <f>'Expense Details'!O1998</f>
        <v>Meals - Dinner</v>
      </c>
      <c r="G367" s="31" t="str">
        <f>'Expense Details'!Q1998</f>
        <v>The Grill House</v>
      </c>
      <c r="H367" s="33">
        <f>'Expense Details'!V1998</f>
        <v>47.63</v>
      </c>
      <c r="I367" s="33">
        <f>'Expense Details'!Z1998</f>
        <v>75</v>
      </c>
      <c r="J367" s="33">
        <f>H367-I367</f>
        <v>-27.369999999999997</v>
      </c>
      <c r="K367" s="34">
        <f>IFERROR(MAX(0,H367/I367-1),0)</f>
        <v>0</v>
      </c>
      <c r="L367" s="31" t="str">
        <f>'Expense Details'!AC1998</f>
        <v>No</v>
      </c>
      <c r="M367" s="35" t="s">
        <v>3503</v>
      </c>
      <c r="N367" s="31" t="str">
        <f>'Expense Details'!AG1998</f>
        <v>Approved</v>
      </c>
      <c r="O367" s="31" t="str">
        <f>'Expense Details'!F1998</f>
        <v>Ananya Sengupta</v>
      </c>
    </row>
    <row r="368" spans="1:15">
      <c r="A368" s="31" t="str">
        <f>'Expense Details'!A2010</f>
        <v>EXP-02009</v>
      </c>
      <c r="B368" s="31" t="str">
        <f>'Expense Details'!C2010</f>
        <v>Paul Nkemelu</v>
      </c>
      <c r="C368" s="31" t="str">
        <f>'Expense Details'!D2010</f>
        <v>Customer Success</v>
      </c>
      <c r="D368" s="31" t="str">
        <f>'Expense Details'!G2010</f>
        <v>TRP-2025-055</v>
      </c>
      <c r="E368" s="32">
        <f>'Expense Details'!M2010</f>
        <v>45888</v>
      </c>
      <c r="F368" s="31" t="str">
        <f>'Expense Details'!O2010</f>
        <v>Meals - Breakfast</v>
      </c>
      <c r="G368" s="31" t="str">
        <f>'Expense Details'!Q2010</f>
        <v>Starbucks</v>
      </c>
      <c r="H368" s="33">
        <f>'Expense Details'!V2010</f>
        <v>38.688009999999998</v>
      </c>
      <c r="I368" s="33">
        <f>'Expense Details'!Z2010</f>
        <v>25</v>
      </c>
      <c r="J368" s="33">
        <f>H368-I368</f>
        <v>13.688009999999998</v>
      </c>
      <c r="K368" s="34">
        <f>IFERROR(MAX(0,H368/I368-1),0)</f>
        <v>0.54752040000000002</v>
      </c>
      <c r="L368" s="31" t="str">
        <f>'Expense Details'!AC2010</f>
        <v>Yes</v>
      </c>
      <c r="M368" s="35" t="s">
        <v>3502</v>
      </c>
      <c r="N368" s="31" t="str">
        <f>'Expense Details'!AG2010</f>
        <v>Approved</v>
      </c>
      <c r="O368" s="31" t="str">
        <f>'Expense Details'!F2010</f>
        <v>Diane Okafor</v>
      </c>
    </row>
    <row r="369" spans="1:15">
      <c r="A369" s="31" t="str">
        <f>'Expense Details'!A2014</f>
        <v>EXP-02013</v>
      </c>
      <c r="B369" s="31" t="str">
        <f>'Expense Details'!C2014</f>
        <v>Kenji Watanabe</v>
      </c>
      <c r="C369" s="31" t="str">
        <f>'Expense Details'!D2014</f>
        <v>Product</v>
      </c>
      <c r="D369" s="31" t="str">
        <f>'Expense Details'!G2014</f>
        <v>TRP-2025-021</v>
      </c>
      <c r="E369" s="32">
        <f>'Expense Details'!M2014</f>
        <v>45892</v>
      </c>
      <c r="F369" s="31" t="str">
        <f>'Expense Details'!O2014</f>
        <v>Airfare</v>
      </c>
      <c r="G369" s="31" t="str">
        <f>'Expense Details'!Q2014</f>
        <v>Air India</v>
      </c>
      <c r="H369" s="33">
        <f>'Expense Details'!V2014</f>
        <v>1840.2901999999999</v>
      </c>
      <c r="I369" s="33">
        <f>'Expense Details'!Z2014</f>
        <v>1400</v>
      </c>
      <c r="J369" s="33">
        <f>H369-I369</f>
        <v>440.29019999999991</v>
      </c>
      <c r="K369" s="34">
        <f>IFERROR(MAX(0,H369/I369-1),0)</f>
        <v>0.31449299999999991</v>
      </c>
      <c r="L369" s="31" t="str">
        <f>'Expense Details'!AC2014</f>
        <v>Yes</v>
      </c>
      <c r="M369" s="35" t="s">
        <v>3502</v>
      </c>
      <c r="N369" s="31" t="str">
        <f>'Expense Details'!AG2014</f>
        <v>Pending Approval</v>
      </c>
      <c r="O369" s="31" t="str">
        <f>'Expense Details'!F2014</f>
        <v>Elena Duarte</v>
      </c>
    </row>
    <row r="370" spans="1:15">
      <c r="A370" s="31" t="str">
        <f>'Expense Details'!A2019</f>
        <v>EXP-02018</v>
      </c>
      <c r="B370" s="31" t="str">
        <f>'Expense Details'!C2019</f>
        <v>Fatima Al-Rashid</v>
      </c>
      <c r="C370" s="31" t="str">
        <f>'Expense Details'!D2019</f>
        <v>Marketing</v>
      </c>
      <c r="D370" s="31" t="str">
        <f>'Expense Details'!G2019</f>
        <v>TRP-2025-110</v>
      </c>
      <c r="E370" s="32">
        <f>'Expense Details'!M2019</f>
        <v>45892</v>
      </c>
      <c r="F370" s="31" t="str">
        <f>'Expense Details'!O2019</f>
        <v>Baggage &amp; Excess Fees</v>
      </c>
      <c r="G370" s="31" t="str">
        <f>'Expense Details'!Q2019</f>
        <v>Lufthansa</v>
      </c>
      <c r="H370" s="33">
        <f>'Expense Details'!V2019</f>
        <v>146.53005000000002</v>
      </c>
      <c r="I370" s="33">
        <f>'Expense Details'!Z2019</f>
        <v>120</v>
      </c>
      <c r="J370" s="33">
        <f>H370-I370</f>
        <v>26.530050000000017</v>
      </c>
      <c r="K370" s="34">
        <f>IFERROR(MAX(0,H370/I370-1),0)</f>
        <v>0.22108375000000025</v>
      </c>
      <c r="L370" s="31" t="str">
        <f>'Expense Details'!AC2019</f>
        <v>Yes</v>
      </c>
      <c r="M370" s="35" t="s">
        <v>3502</v>
      </c>
      <c r="N370" s="31" t="str">
        <f>'Expense Details'!AG2019</f>
        <v>Approved</v>
      </c>
      <c r="O370" s="31" t="str">
        <f>'Expense Details'!F2019</f>
        <v>Grace Lin</v>
      </c>
    </row>
    <row r="371" spans="1:15">
      <c r="A371" s="31" t="str">
        <f>'Expense Details'!A2022</f>
        <v>EXP-02021</v>
      </c>
      <c r="B371" s="31" t="str">
        <f>'Expense Details'!C2022</f>
        <v>Fatima Al-Rashid</v>
      </c>
      <c r="C371" s="31" t="str">
        <f>'Expense Details'!D2022</f>
        <v>Marketing</v>
      </c>
      <c r="D371" s="31" t="str">
        <f>'Expense Details'!G2022</f>
        <v>TRP-2025-110</v>
      </c>
      <c r="E371" s="32">
        <f>'Expense Details'!M2022</f>
        <v>45892</v>
      </c>
      <c r="F371" s="31" t="str">
        <f>'Expense Details'!O2022</f>
        <v>Meals - Dinner</v>
      </c>
      <c r="G371" s="31" t="str">
        <f>'Expense Details'!Q2022</f>
        <v>Sakura Izakaya</v>
      </c>
      <c r="H371" s="33">
        <f>'Expense Details'!V2022</f>
        <v>41.716950000000004</v>
      </c>
      <c r="I371" s="33">
        <f>'Expense Details'!Z2022</f>
        <v>75</v>
      </c>
      <c r="J371" s="33">
        <f>H371-I371</f>
        <v>-33.283049999999996</v>
      </c>
      <c r="K371" s="34">
        <f>IFERROR(MAX(0,H371/I371-1),0)</f>
        <v>0</v>
      </c>
      <c r="L371" s="31" t="str">
        <f>'Expense Details'!AC2022</f>
        <v>No</v>
      </c>
      <c r="M371" s="35" t="s">
        <v>3503</v>
      </c>
      <c r="N371" s="31" t="str">
        <f>'Expense Details'!AG2022</f>
        <v>Approved</v>
      </c>
      <c r="O371" s="31" t="str">
        <f>'Expense Details'!F2022</f>
        <v>Grace Lin</v>
      </c>
    </row>
    <row r="372" spans="1:15">
      <c r="A372" s="31" t="str">
        <f>'Expense Details'!A2024</f>
        <v>EXP-02023</v>
      </c>
      <c r="B372" s="31" t="str">
        <f>'Expense Details'!C2024</f>
        <v>Kenji Watanabe</v>
      </c>
      <c r="C372" s="31" t="str">
        <f>'Expense Details'!D2024</f>
        <v>Product</v>
      </c>
      <c r="D372" s="31" t="str">
        <f>'Expense Details'!G2024</f>
        <v>TRP-2025-021</v>
      </c>
      <c r="E372" s="32">
        <f>'Expense Details'!M2024</f>
        <v>45893</v>
      </c>
      <c r="F372" s="31" t="str">
        <f>'Expense Details'!O2024</f>
        <v>Car Rental</v>
      </c>
      <c r="G372" s="31" t="str">
        <f>'Expense Details'!Q2024</f>
        <v>Enterprise</v>
      </c>
      <c r="H372" s="33">
        <f>'Expense Details'!V2024</f>
        <v>1284.9438</v>
      </c>
      <c r="I372" s="33">
        <f>'Expense Details'!Z2024</f>
        <v>840</v>
      </c>
      <c r="J372" s="33">
        <f>H372-I372</f>
        <v>444.94380000000001</v>
      </c>
      <c r="K372" s="34">
        <f>IFERROR(MAX(0,H372/I372-1),0)</f>
        <v>0.52969500000000003</v>
      </c>
      <c r="L372" s="31" t="str">
        <f>'Expense Details'!AC2024</f>
        <v>Yes</v>
      </c>
      <c r="M372" s="35" t="s">
        <v>3502</v>
      </c>
      <c r="N372" s="31" t="str">
        <f>'Expense Details'!AG2024</f>
        <v>Pending Approval</v>
      </c>
      <c r="O372" s="31" t="str">
        <f>'Expense Details'!F2024</f>
        <v>Elena Duarte</v>
      </c>
    </row>
    <row r="373" spans="1:15">
      <c r="A373" s="31" t="str">
        <f>'Expense Details'!A2031</f>
        <v>EXP-02030</v>
      </c>
      <c r="B373" s="31" t="str">
        <f>'Expense Details'!C2031</f>
        <v>Fatima Al-Rashid</v>
      </c>
      <c r="C373" s="31" t="str">
        <f>'Expense Details'!D2031</f>
        <v>Marketing</v>
      </c>
      <c r="D373" s="31" t="str">
        <f>'Expense Details'!G2031</f>
        <v>TRP-2025-075</v>
      </c>
      <c r="E373" s="32">
        <f>'Expense Details'!M2031</f>
        <v>45893</v>
      </c>
      <c r="F373" s="31" t="str">
        <f>'Expense Details'!O2031</f>
        <v>Ground Transport - Taxi</v>
      </c>
      <c r="G373" s="31" t="str">
        <f>'Expense Details'!Q2031</f>
        <v>Grab</v>
      </c>
      <c r="H373" s="33">
        <f>'Expense Details'!V2031</f>
        <v>80.365809999999996</v>
      </c>
      <c r="I373" s="33">
        <f>'Expense Details'!Z2031</f>
        <v>60</v>
      </c>
      <c r="J373" s="33">
        <f>H373-I373</f>
        <v>20.365809999999996</v>
      </c>
      <c r="K373" s="34">
        <f>IFERROR(MAX(0,H373/I373-1),0)</f>
        <v>0.33943016666666659</v>
      </c>
      <c r="L373" s="31" t="str">
        <f>'Expense Details'!AC2031</f>
        <v>Yes</v>
      </c>
      <c r="M373" s="35" t="s">
        <v>3502</v>
      </c>
      <c r="N373" s="31" t="str">
        <f>'Expense Details'!AG2031</f>
        <v>Approved</v>
      </c>
      <c r="O373" s="31" t="str">
        <f>'Expense Details'!F2031</f>
        <v>Grace Lin</v>
      </c>
    </row>
    <row r="374" spans="1:15">
      <c r="A374" s="31" t="str">
        <f>'Expense Details'!A2036</f>
        <v>EXP-02035</v>
      </c>
      <c r="B374" s="31" t="str">
        <f>'Expense Details'!C2036</f>
        <v>Fatima Al-Rashid</v>
      </c>
      <c r="C374" s="31" t="str">
        <f>'Expense Details'!D2036</f>
        <v>Marketing</v>
      </c>
      <c r="D374" s="31" t="str">
        <f>'Expense Details'!G2036</f>
        <v>TRP-2025-110</v>
      </c>
      <c r="E374" s="32">
        <f>'Expense Details'!M2036</f>
        <v>45893</v>
      </c>
      <c r="F374" s="31" t="str">
        <f>'Expense Details'!O2036</f>
        <v>Meals - Breakfast</v>
      </c>
      <c r="G374" s="31" t="str">
        <f>'Expense Details'!Q2036</f>
        <v>Local Bakery</v>
      </c>
      <c r="H374" s="33">
        <f>'Expense Details'!V2036</f>
        <v>30.765350000000002</v>
      </c>
      <c r="I374" s="33">
        <f>'Expense Details'!Z2036</f>
        <v>25</v>
      </c>
      <c r="J374" s="33">
        <f>H374-I374</f>
        <v>5.7653500000000015</v>
      </c>
      <c r="K374" s="34">
        <f>IFERROR(MAX(0,H374/I374-1),0)</f>
        <v>0.2306140000000001</v>
      </c>
      <c r="L374" s="31" t="str">
        <f>'Expense Details'!AC2036</f>
        <v>Yes</v>
      </c>
      <c r="M374" s="35" t="s">
        <v>3502</v>
      </c>
      <c r="N374" s="31" t="str">
        <f>'Expense Details'!AG2036</f>
        <v>Approved</v>
      </c>
      <c r="O374" s="31" t="str">
        <f>'Expense Details'!F2036</f>
        <v>Grace Lin</v>
      </c>
    </row>
    <row r="375" spans="1:15">
      <c r="A375" s="31" t="str">
        <f>'Expense Details'!A2037</f>
        <v>EXP-02036</v>
      </c>
      <c r="B375" s="31" t="str">
        <f>'Expense Details'!C2037</f>
        <v>Fatima Al-Rashid</v>
      </c>
      <c r="C375" s="31" t="str">
        <f>'Expense Details'!D2037</f>
        <v>Marketing</v>
      </c>
      <c r="D375" s="31" t="str">
        <f>'Expense Details'!G2037</f>
        <v>TRP-2025-110</v>
      </c>
      <c r="E375" s="32">
        <f>'Expense Details'!M2037</f>
        <v>45893</v>
      </c>
      <c r="F375" s="31" t="str">
        <f>'Expense Details'!O2037</f>
        <v>Meals - Dinner</v>
      </c>
      <c r="G375" s="31" t="str">
        <f>'Expense Details'!Q2037</f>
        <v>Sakura Izakaya</v>
      </c>
      <c r="H375" s="33">
        <f>'Expense Details'!V2037</f>
        <v>53.880300000000005</v>
      </c>
      <c r="I375" s="33">
        <f>'Expense Details'!Z2037</f>
        <v>75</v>
      </c>
      <c r="J375" s="33">
        <f>H375-I375</f>
        <v>-21.119699999999995</v>
      </c>
      <c r="K375" s="34">
        <f>IFERROR(MAX(0,H375/I375-1),0)</f>
        <v>0</v>
      </c>
      <c r="L375" s="31" t="str">
        <f>'Expense Details'!AC2037</f>
        <v>No</v>
      </c>
      <c r="M375" s="35" t="s">
        <v>3503</v>
      </c>
      <c r="N375" s="31" t="str">
        <f>'Expense Details'!AG2037</f>
        <v>Approved</v>
      </c>
      <c r="O375" s="31" t="str">
        <f>'Expense Details'!F2037</f>
        <v>Grace Lin</v>
      </c>
    </row>
    <row r="376" spans="1:15">
      <c r="A376" s="31" t="str">
        <f>'Expense Details'!A2043</f>
        <v>EXP-02042</v>
      </c>
      <c r="B376" s="31" t="str">
        <f>'Expense Details'!C2043</f>
        <v>Fatima Al-Rashid</v>
      </c>
      <c r="C376" s="31" t="str">
        <f>'Expense Details'!D2043</f>
        <v>Marketing</v>
      </c>
      <c r="D376" s="31" t="str">
        <f>'Expense Details'!G2043</f>
        <v>TRP-2025-075</v>
      </c>
      <c r="E376" s="32">
        <f>'Expense Details'!M2043</f>
        <v>45894</v>
      </c>
      <c r="F376" s="31" t="str">
        <f>'Expense Details'!O2043</f>
        <v>Car Rental</v>
      </c>
      <c r="G376" s="31" t="str">
        <f>'Expense Details'!Q2043</f>
        <v>Avis</v>
      </c>
      <c r="H376" s="33">
        <f>'Expense Details'!V2043</f>
        <v>97.265779999999992</v>
      </c>
      <c r="I376" s="33">
        <f>'Expense Details'!Z2043</f>
        <v>120</v>
      </c>
      <c r="J376" s="33">
        <f>H376-I376</f>
        <v>-22.734220000000008</v>
      </c>
      <c r="K376" s="34">
        <f>IFERROR(MAX(0,H376/I376-1),0)</f>
        <v>0</v>
      </c>
      <c r="L376" s="31" t="str">
        <f>'Expense Details'!AC2043</f>
        <v>No</v>
      </c>
      <c r="M376" s="35" t="s">
        <v>3503</v>
      </c>
      <c r="N376" s="31" t="str">
        <f>'Expense Details'!AG2043</f>
        <v>Approved</v>
      </c>
      <c r="O376" s="31" t="str">
        <f>'Expense Details'!F2043</f>
        <v>Grace Lin</v>
      </c>
    </row>
    <row r="377" spans="1:15">
      <c r="A377" s="31" t="str">
        <f>'Expense Details'!A2053</f>
        <v>EXP-02052</v>
      </c>
      <c r="B377" s="31" t="str">
        <f>'Expense Details'!C2053</f>
        <v>Kenji Watanabe</v>
      </c>
      <c r="C377" s="31" t="str">
        <f>'Expense Details'!D2053</f>
        <v>Product</v>
      </c>
      <c r="D377" s="31" t="str">
        <f>'Expense Details'!G2053</f>
        <v>TRP-2025-021</v>
      </c>
      <c r="E377" s="32">
        <f>'Expense Details'!M2053</f>
        <v>45896</v>
      </c>
      <c r="F377" s="31" t="str">
        <f>'Expense Details'!O2053</f>
        <v>Ground Transport - Taxi</v>
      </c>
      <c r="G377" s="31" t="str">
        <f>'Expense Details'!Q2053</f>
        <v>Local Taxi</v>
      </c>
      <c r="H377" s="33">
        <f>'Expense Details'!V2053</f>
        <v>72.315250000000006</v>
      </c>
      <c r="I377" s="33">
        <f>'Expense Details'!Z2053</f>
        <v>60</v>
      </c>
      <c r="J377" s="33">
        <f>H377-I377</f>
        <v>12.315250000000006</v>
      </c>
      <c r="K377" s="34">
        <f>IFERROR(MAX(0,H377/I377-1),0)</f>
        <v>0.20525416666666674</v>
      </c>
      <c r="L377" s="31" t="str">
        <f>'Expense Details'!AC2053</f>
        <v>Yes</v>
      </c>
      <c r="M377" s="35" t="s">
        <v>3502</v>
      </c>
      <c r="N377" s="31" t="str">
        <f>'Expense Details'!AG2053</f>
        <v>Pending Approval</v>
      </c>
      <c r="O377" s="31" t="str">
        <f>'Expense Details'!F2053</f>
        <v>Elena Duarte</v>
      </c>
    </row>
    <row r="378" spans="1:15">
      <c r="A378" s="31" t="str">
        <f>'Expense Details'!A2056</f>
        <v>EXP-02055</v>
      </c>
      <c r="B378" s="31" t="str">
        <f>'Expense Details'!C2056</f>
        <v>Kenji Watanabe</v>
      </c>
      <c r="C378" s="31" t="str">
        <f>'Expense Details'!D2056</f>
        <v>Product</v>
      </c>
      <c r="D378" s="31" t="str">
        <f>'Expense Details'!G2056</f>
        <v>TRP-2025-021</v>
      </c>
      <c r="E378" s="32">
        <f>'Expense Details'!M2056</f>
        <v>45897</v>
      </c>
      <c r="F378" s="31" t="str">
        <f>'Expense Details'!O2056</f>
        <v>Meals - Dinner</v>
      </c>
      <c r="G378" s="31" t="str">
        <f>'Expense Details'!Q2056</f>
        <v>Osteria Vela</v>
      </c>
      <c r="H378" s="33">
        <f>'Expense Details'!V2056</f>
        <v>40.459649999999996</v>
      </c>
      <c r="I378" s="33">
        <f>'Expense Details'!Z2056</f>
        <v>75</v>
      </c>
      <c r="J378" s="33">
        <f>H378-I378</f>
        <v>-34.540350000000004</v>
      </c>
      <c r="K378" s="34">
        <f>IFERROR(MAX(0,H378/I378-1),0)</f>
        <v>0</v>
      </c>
      <c r="L378" s="31" t="str">
        <f>'Expense Details'!AC2056</f>
        <v>No</v>
      </c>
      <c r="M378" s="35" t="s">
        <v>3503</v>
      </c>
      <c r="N378" s="31" t="str">
        <f>'Expense Details'!AG2056</f>
        <v>Pending Approval</v>
      </c>
      <c r="O378" s="31" t="str">
        <f>'Expense Details'!F2056</f>
        <v>Elena Duarte</v>
      </c>
    </row>
    <row r="379" spans="1:15">
      <c r="A379" s="31" t="str">
        <f>'Expense Details'!A2058</f>
        <v>EXP-02057</v>
      </c>
      <c r="B379" s="31" t="str">
        <f>'Expense Details'!C2058</f>
        <v>Hannah Weiss</v>
      </c>
      <c r="C379" s="31" t="str">
        <f>'Expense Details'!D2058</f>
        <v>Field Engineering</v>
      </c>
      <c r="D379" s="31" t="str">
        <f>'Expense Details'!G2058</f>
        <v>TRP-2025-138</v>
      </c>
      <c r="E379" s="32">
        <f>'Expense Details'!M2058</f>
        <v>45897</v>
      </c>
      <c r="F379" s="31" t="str">
        <f>'Expense Details'!O2058</f>
        <v>Airfare</v>
      </c>
      <c r="G379" s="31" t="str">
        <f>'Expense Details'!Q2058</f>
        <v>Air India</v>
      </c>
      <c r="H379" s="33">
        <f>'Expense Details'!V2058</f>
        <v>2226.3253500000001</v>
      </c>
      <c r="I379" s="33">
        <f>'Expense Details'!Z2058</f>
        <v>1400</v>
      </c>
      <c r="J379" s="33">
        <f>H379-I379</f>
        <v>826.32535000000007</v>
      </c>
      <c r="K379" s="34">
        <f>IFERROR(MAX(0,H379/I379-1),0)</f>
        <v>0.59023239285714291</v>
      </c>
      <c r="L379" s="31" t="str">
        <f>'Expense Details'!AC2058</f>
        <v>No</v>
      </c>
      <c r="M379" s="35" t="s">
        <v>3504</v>
      </c>
      <c r="N379" s="31" t="str">
        <f>'Expense Details'!AG2058</f>
        <v>Approved</v>
      </c>
      <c r="O379" s="31" t="str">
        <f>'Expense Details'!F2058</f>
        <v>Tomas Kovac</v>
      </c>
    </row>
    <row r="380" spans="1:15">
      <c r="A380" s="31" t="str">
        <f>'Expense Details'!A2069</f>
        <v>EXP-02068</v>
      </c>
      <c r="B380" s="31" t="str">
        <f>'Expense Details'!C2069</f>
        <v>Hannah Weiss</v>
      </c>
      <c r="C380" s="31" t="str">
        <f>'Expense Details'!D2069</f>
        <v>Field Engineering</v>
      </c>
      <c r="D380" s="31" t="str">
        <f>'Expense Details'!G2069</f>
        <v>TRP-2025-138</v>
      </c>
      <c r="E380" s="32">
        <f>'Expense Details'!M2069</f>
        <v>45898</v>
      </c>
      <c r="F380" s="31" t="str">
        <f>'Expense Details'!O2069</f>
        <v>Meals - Dinner</v>
      </c>
      <c r="G380" s="31" t="str">
        <f>'Expense Details'!Q2069</f>
        <v>Brasserie Lyon</v>
      </c>
      <c r="H380" s="33">
        <f>'Expense Details'!V2069</f>
        <v>83.846550000000008</v>
      </c>
      <c r="I380" s="33">
        <f>'Expense Details'!Z2069</f>
        <v>75</v>
      </c>
      <c r="J380" s="33">
        <f>H380-I380</f>
        <v>8.8465500000000077</v>
      </c>
      <c r="K380" s="34">
        <f>IFERROR(MAX(0,H380/I380-1),0)</f>
        <v>0.11795400000000011</v>
      </c>
      <c r="L380" s="31" t="str">
        <f>'Expense Details'!AC2069</f>
        <v>Yes</v>
      </c>
      <c r="M380" s="35" t="s">
        <v>3502</v>
      </c>
      <c r="N380" s="31" t="str">
        <f>'Expense Details'!AG2069</f>
        <v>Approved</v>
      </c>
      <c r="O380" s="31" t="str">
        <f>'Expense Details'!F2069</f>
        <v>Tomas Kovac</v>
      </c>
    </row>
    <row r="381" spans="1:15">
      <c r="A381" s="31" t="str">
        <f>'Expense Details'!A2077</f>
        <v>EXP-02076</v>
      </c>
      <c r="B381" s="31" t="str">
        <f>'Expense Details'!C2077</f>
        <v>Hannah Weiss</v>
      </c>
      <c r="C381" s="31" t="str">
        <f>'Expense Details'!D2077</f>
        <v>Field Engineering</v>
      </c>
      <c r="D381" s="31" t="str">
        <f>'Expense Details'!G2077</f>
        <v>TRP-2025-138</v>
      </c>
      <c r="E381" s="32">
        <f>'Expense Details'!M2077</f>
        <v>45900</v>
      </c>
      <c r="F381" s="31" t="str">
        <f>'Expense Details'!O2077</f>
        <v>Meals - Dinner</v>
      </c>
      <c r="G381" s="31" t="str">
        <f>'Expense Details'!Q2077</f>
        <v>Spice Route</v>
      </c>
      <c r="H381" s="33">
        <f>'Expense Details'!V2077</f>
        <v>89.38785</v>
      </c>
      <c r="I381" s="33">
        <f>'Expense Details'!Z2077</f>
        <v>75</v>
      </c>
      <c r="J381" s="33">
        <f>H381-I381</f>
        <v>14.38785</v>
      </c>
      <c r="K381" s="34">
        <f>IFERROR(MAX(0,H381/I381-1),0)</f>
        <v>0.19183799999999995</v>
      </c>
      <c r="L381" s="31" t="str">
        <f>'Expense Details'!AC2077</f>
        <v>Yes</v>
      </c>
      <c r="M381" s="35" t="s">
        <v>3502</v>
      </c>
      <c r="N381" s="31" t="str">
        <f>'Expense Details'!AG2077</f>
        <v>Approved</v>
      </c>
      <c r="O381" s="31" t="str">
        <f>'Expense Details'!F2077</f>
        <v>Tomas Kovac</v>
      </c>
    </row>
    <row r="382" spans="1:15">
      <c r="A382" s="31" t="str">
        <f>'Expense Details'!A2088</f>
        <v>EXP-02087</v>
      </c>
      <c r="B382" s="31" t="str">
        <f>'Expense Details'!C2088</f>
        <v>Viktor Petrov</v>
      </c>
      <c r="C382" s="31" t="str">
        <f>'Expense Details'!D2088</f>
        <v>Operations</v>
      </c>
      <c r="D382" s="31" t="str">
        <f>'Expense Details'!G2088</f>
        <v>TRP-2025-093</v>
      </c>
      <c r="E382" s="32">
        <f>'Expense Details'!M2088</f>
        <v>45907</v>
      </c>
      <c r="F382" s="31" t="str">
        <f>'Expense Details'!O2088</f>
        <v>Airfare</v>
      </c>
      <c r="G382" s="31" t="str">
        <f>'Expense Details'!Q2088</f>
        <v>Air India</v>
      </c>
      <c r="H382" s="33">
        <f>'Expense Details'!V2088</f>
        <v>2852.3862400000003</v>
      </c>
      <c r="I382" s="33">
        <f>'Expense Details'!Z2088</f>
        <v>1400</v>
      </c>
      <c r="J382" s="33">
        <f>H382-I382</f>
        <v>1452.3862400000003</v>
      </c>
      <c r="K382" s="34">
        <f>IFERROR(MAX(0,H382/I382-1),0)</f>
        <v>1.0374187428571431</v>
      </c>
      <c r="L382" s="31" t="str">
        <f>'Expense Details'!AC2088</f>
        <v>Yes</v>
      </c>
      <c r="M382" s="35" t="s">
        <v>3502</v>
      </c>
      <c r="N382" s="31" t="str">
        <f>'Expense Details'!AG2088</f>
        <v>Approved</v>
      </c>
      <c r="O382" s="31" t="str">
        <f>'Expense Details'!F2088</f>
        <v>Diane Okafor</v>
      </c>
    </row>
    <row r="383" spans="1:15">
      <c r="A383" s="31" t="str">
        <f>'Expense Details'!A2093</f>
        <v>EXP-02092</v>
      </c>
      <c r="B383" s="31" t="str">
        <f>'Expense Details'!C2093</f>
        <v>Priya Nair</v>
      </c>
      <c r="C383" s="31" t="str">
        <f>'Expense Details'!D2093</f>
        <v>Field Engineering</v>
      </c>
      <c r="D383" s="31" t="str">
        <f>'Expense Details'!G2093</f>
        <v>TRP-2025-132</v>
      </c>
      <c r="E383" s="32">
        <f>'Expense Details'!M2093</f>
        <v>45907</v>
      </c>
      <c r="F383" s="31" t="str">
        <f>'Expense Details'!O2093</f>
        <v>Hotel / Lodging</v>
      </c>
      <c r="G383" s="31" t="str">
        <f>'Expense Details'!Q2093</f>
        <v>Marriott</v>
      </c>
      <c r="H383" s="33">
        <f>'Expense Details'!V2093</f>
        <v>786.04</v>
      </c>
      <c r="I383" s="33">
        <f>'Expense Details'!Z2093</f>
        <v>1120</v>
      </c>
      <c r="J383" s="33">
        <f>H383-I383</f>
        <v>-333.96000000000004</v>
      </c>
      <c r="K383" s="34">
        <f>IFERROR(MAX(0,H383/I383-1),0)</f>
        <v>0</v>
      </c>
      <c r="L383" s="31" t="str">
        <f>'Expense Details'!AC2093</f>
        <v>No</v>
      </c>
      <c r="M383" s="35" t="s">
        <v>3503</v>
      </c>
      <c r="N383" s="31" t="str">
        <f>'Expense Details'!AG2093</f>
        <v>Approved</v>
      </c>
      <c r="O383" s="31" t="str">
        <f>'Expense Details'!F2093</f>
        <v>Tomas Kovac</v>
      </c>
    </row>
    <row r="384" spans="1:15">
      <c r="A384" s="31" t="str">
        <f>'Expense Details'!A2098</f>
        <v>EXP-02097</v>
      </c>
      <c r="B384" s="31" t="str">
        <f>'Expense Details'!C2098</f>
        <v>Diane Okafor</v>
      </c>
      <c r="C384" s="31" t="str">
        <f>'Expense Details'!D2098</f>
        <v>Executive</v>
      </c>
      <c r="D384" s="31" t="str">
        <f>'Expense Details'!G2098</f>
        <v>TRP-2025-012</v>
      </c>
      <c r="E384" s="32">
        <f>'Expense Details'!M2098</f>
        <v>45908</v>
      </c>
      <c r="F384" s="31" t="str">
        <f>'Expense Details'!O2098</f>
        <v>Meals - Breakfast</v>
      </c>
      <c r="G384" s="31" t="str">
        <f>'Expense Details'!Q2098</f>
        <v>Starbucks</v>
      </c>
      <c r="H384" s="33">
        <f>'Expense Details'!V2098</f>
        <v>37.979999999999997</v>
      </c>
      <c r="I384" s="33">
        <f>'Expense Details'!Z2098</f>
        <v>25</v>
      </c>
      <c r="J384" s="33">
        <f>H384-I384</f>
        <v>12.979999999999997</v>
      </c>
      <c r="K384" s="34">
        <f>IFERROR(MAX(0,H384/I384-1),0)</f>
        <v>0.51919999999999988</v>
      </c>
      <c r="L384" s="31" t="str">
        <f>'Expense Details'!AC2098</f>
        <v>Yes</v>
      </c>
      <c r="M384" s="35" t="s">
        <v>3502</v>
      </c>
      <c r="N384" s="31" t="str">
        <f>'Expense Details'!AG2098</f>
        <v>Pending Approval</v>
      </c>
      <c r="O384" s="31" t="str">
        <f>'Expense Details'!F2098</f>
        <v>Board</v>
      </c>
    </row>
    <row r="385" spans="1:15">
      <c r="A385" s="31" t="str">
        <f>'Expense Details'!A2101</f>
        <v>EXP-02100</v>
      </c>
      <c r="B385" s="31" t="str">
        <f>'Expense Details'!C2101</f>
        <v>Viktor Petrov</v>
      </c>
      <c r="C385" s="31" t="str">
        <f>'Expense Details'!D2101</f>
        <v>Operations</v>
      </c>
      <c r="D385" s="31" t="str">
        <f>'Expense Details'!G2101</f>
        <v>TRP-2025-093</v>
      </c>
      <c r="E385" s="32">
        <f>'Expense Details'!M2101</f>
        <v>45908</v>
      </c>
      <c r="F385" s="31" t="str">
        <f>'Expense Details'!O2101</f>
        <v>Car Rental</v>
      </c>
      <c r="G385" s="31" t="str">
        <f>'Expense Details'!Q2101</f>
        <v>Hertz</v>
      </c>
      <c r="H385" s="33">
        <f>'Expense Details'!V2101</f>
        <v>369.27077000000003</v>
      </c>
      <c r="I385" s="33">
        <f>'Expense Details'!Z2101</f>
        <v>240</v>
      </c>
      <c r="J385" s="33">
        <f>H385-I385</f>
        <v>129.27077000000003</v>
      </c>
      <c r="K385" s="34">
        <f>IFERROR(MAX(0,H385/I385-1),0)</f>
        <v>0.53862820833333336</v>
      </c>
      <c r="L385" s="31" t="str">
        <f>'Expense Details'!AC2101</f>
        <v>Yes</v>
      </c>
      <c r="M385" s="35" t="s">
        <v>3502</v>
      </c>
      <c r="N385" s="31" t="str">
        <f>'Expense Details'!AG2101</f>
        <v>Approved</v>
      </c>
      <c r="O385" s="31" t="str">
        <f>'Expense Details'!F2101</f>
        <v>Diane Okafor</v>
      </c>
    </row>
    <row r="386" spans="1:15">
      <c r="A386" s="31" t="str">
        <f>'Expense Details'!A2102</f>
        <v>EXP-02101</v>
      </c>
      <c r="B386" s="31" t="str">
        <f>'Expense Details'!C2102</f>
        <v>Viktor Petrov</v>
      </c>
      <c r="C386" s="31" t="str">
        <f>'Expense Details'!D2102</f>
        <v>Operations</v>
      </c>
      <c r="D386" s="31" t="str">
        <f>'Expense Details'!G2102</f>
        <v>TRP-2025-093</v>
      </c>
      <c r="E386" s="32">
        <f>'Expense Details'!M2102</f>
        <v>45908</v>
      </c>
      <c r="F386" s="31" t="str">
        <f>'Expense Details'!O2102</f>
        <v>Client Entertainment</v>
      </c>
      <c r="G386" s="31" t="str">
        <f>'Expense Details'!Q2102</f>
        <v>Harbour Club</v>
      </c>
      <c r="H386" s="33">
        <f>'Expense Details'!V2102</f>
        <v>280.35090000000002</v>
      </c>
      <c r="I386" s="33">
        <f>'Expense Details'!Z2102</f>
        <v>200</v>
      </c>
      <c r="J386" s="33">
        <f>H386-I386</f>
        <v>80.350900000000024</v>
      </c>
      <c r="K386" s="34">
        <f>IFERROR(MAX(0,H386/I386-1),0)</f>
        <v>0.40175450000000001</v>
      </c>
      <c r="L386" s="31" t="str">
        <f>'Expense Details'!AC2102</f>
        <v>Yes</v>
      </c>
      <c r="M386" s="35" t="s">
        <v>3502</v>
      </c>
      <c r="N386" s="31" t="str">
        <f>'Expense Details'!AG2102</f>
        <v>Approved</v>
      </c>
      <c r="O386" s="31" t="str">
        <f>'Expense Details'!F2102</f>
        <v>Diane Okafor</v>
      </c>
    </row>
    <row r="387" spans="1:15">
      <c r="A387" s="31" t="str">
        <f>'Expense Details'!A2120</f>
        <v>EXP-02119</v>
      </c>
      <c r="B387" s="31" t="str">
        <f>'Expense Details'!C2120</f>
        <v>Diane Okafor</v>
      </c>
      <c r="C387" s="31" t="str">
        <f>'Expense Details'!D2120</f>
        <v>Executive</v>
      </c>
      <c r="D387" s="31" t="str">
        <f>'Expense Details'!G2120</f>
        <v>TRP-2025-012</v>
      </c>
      <c r="E387" s="32">
        <f>'Expense Details'!M2120</f>
        <v>45910</v>
      </c>
      <c r="F387" s="31" t="str">
        <f>'Expense Details'!O2120</f>
        <v>Ground Transport - Taxi</v>
      </c>
      <c r="G387" s="31" t="str">
        <f>'Expense Details'!Q2120</f>
        <v>Local Taxi</v>
      </c>
      <c r="H387" s="33">
        <f>'Expense Details'!V2120</f>
        <v>69.849999999999994</v>
      </c>
      <c r="I387" s="33">
        <f>'Expense Details'!Z2120</f>
        <v>60</v>
      </c>
      <c r="J387" s="33">
        <f>H387-I387</f>
        <v>9.8499999999999943</v>
      </c>
      <c r="K387" s="34">
        <f>IFERROR(MAX(0,H387/I387-1),0)</f>
        <v>0.16416666666666657</v>
      </c>
      <c r="L387" s="31" t="str">
        <f>'Expense Details'!AC2120</f>
        <v>Yes</v>
      </c>
      <c r="M387" s="35" t="s">
        <v>3502</v>
      </c>
      <c r="N387" s="31" t="str">
        <f>'Expense Details'!AG2120</f>
        <v>Pending Approval</v>
      </c>
      <c r="O387" s="31" t="str">
        <f>'Expense Details'!F2120</f>
        <v>Board</v>
      </c>
    </row>
    <row r="388" spans="1:15">
      <c r="A388" s="31" t="str">
        <f>'Expense Details'!A2121</f>
        <v>EXP-02120</v>
      </c>
      <c r="B388" s="31" t="str">
        <f>'Expense Details'!C2121</f>
        <v>Diane Okafor</v>
      </c>
      <c r="C388" s="31" t="str">
        <f>'Expense Details'!D2121</f>
        <v>Executive</v>
      </c>
      <c r="D388" s="31" t="str">
        <f>'Expense Details'!G2121</f>
        <v>TRP-2025-012</v>
      </c>
      <c r="E388" s="32">
        <f>'Expense Details'!M2121</f>
        <v>45910</v>
      </c>
      <c r="F388" s="31" t="str">
        <f>'Expense Details'!O2121</f>
        <v>Meals - Breakfast</v>
      </c>
      <c r="G388" s="31" t="str">
        <f>'Expense Details'!Q2121</f>
        <v>Cafe Nero</v>
      </c>
      <c r="H388" s="33">
        <f>'Expense Details'!V2121</f>
        <v>16.91</v>
      </c>
      <c r="I388" s="33">
        <f>'Expense Details'!Z2121</f>
        <v>25</v>
      </c>
      <c r="J388" s="33">
        <f>H388-I388</f>
        <v>-8.09</v>
      </c>
      <c r="K388" s="34">
        <f>IFERROR(MAX(0,H388/I388-1),0)</f>
        <v>0</v>
      </c>
      <c r="L388" s="31" t="str">
        <f>'Expense Details'!AC2121</f>
        <v>No</v>
      </c>
      <c r="M388" s="35" t="s">
        <v>3503</v>
      </c>
      <c r="N388" s="31" t="str">
        <f>'Expense Details'!AG2121</f>
        <v>Pending Approval</v>
      </c>
      <c r="O388" s="31" t="str">
        <f>'Expense Details'!F2121</f>
        <v>Board</v>
      </c>
    </row>
    <row r="389" spans="1:15">
      <c r="A389" s="31" t="str">
        <f>'Expense Details'!A2123</f>
        <v>EXP-02122</v>
      </c>
      <c r="B389" s="31" t="str">
        <f>'Expense Details'!C2123</f>
        <v>Kenji Watanabe</v>
      </c>
      <c r="C389" s="31" t="str">
        <f>'Expense Details'!D2123</f>
        <v>Product</v>
      </c>
      <c r="D389" s="31" t="str">
        <f>'Expense Details'!G2123</f>
        <v>TRP-2025-083</v>
      </c>
      <c r="E389" s="32">
        <f>'Expense Details'!M2123</f>
        <v>45910</v>
      </c>
      <c r="F389" s="31" t="str">
        <f>'Expense Details'!O2123</f>
        <v>Airfare</v>
      </c>
      <c r="G389" s="31" t="str">
        <f>'Expense Details'!Q2123</f>
        <v>Lufthansa</v>
      </c>
      <c r="H389" s="33">
        <f>'Expense Details'!V2123</f>
        <v>1427.18319</v>
      </c>
      <c r="I389" s="33">
        <f>'Expense Details'!Z2123</f>
        <v>1400</v>
      </c>
      <c r="J389" s="33">
        <f>H389-I389</f>
        <v>27.183189999999968</v>
      </c>
      <c r="K389" s="34">
        <f>IFERROR(MAX(0,H389/I389-1),0)</f>
        <v>1.9416564285714255E-2</v>
      </c>
      <c r="L389" s="31" t="str">
        <f>'Expense Details'!AC2123</f>
        <v>Yes</v>
      </c>
      <c r="M389" s="35" t="s">
        <v>3502</v>
      </c>
      <c r="N389" s="31" t="str">
        <f>'Expense Details'!AG2123</f>
        <v>Approved</v>
      </c>
      <c r="O389" s="31" t="str">
        <f>'Expense Details'!F2123</f>
        <v>Elena Duarte</v>
      </c>
    </row>
    <row r="390" spans="1:15">
      <c r="A390" s="31" t="str">
        <f>'Expense Details'!A2124</f>
        <v>EXP-02123</v>
      </c>
      <c r="B390" s="31" t="str">
        <f>'Expense Details'!C2124</f>
        <v>Kenji Watanabe</v>
      </c>
      <c r="C390" s="31" t="str">
        <f>'Expense Details'!D2124</f>
        <v>Product</v>
      </c>
      <c r="D390" s="31" t="str">
        <f>'Expense Details'!G2124</f>
        <v>TRP-2025-083</v>
      </c>
      <c r="E390" s="32">
        <f>'Expense Details'!M2124</f>
        <v>45910</v>
      </c>
      <c r="F390" s="31" t="str">
        <f>'Expense Details'!O2124</f>
        <v>Ground Transport - Taxi</v>
      </c>
      <c r="G390" s="31" t="str">
        <f>'Expense Details'!Q2124</f>
        <v>Local Taxi</v>
      </c>
      <c r="H390" s="33">
        <f>'Expense Details'!V2124</f>
        <v>70.151979999999995</v>
      </c>
      <c r="I390" s="33">
        <f>'Expense Details'!Z2124</f>
        <v>60</v>
      </c>
      <c r="J390" s="33">
        <f>H390-I390</f>
        <v>10.151979999999995</v>
      </c>
      <c r="K390" s="34">
        <f>IFERROR(MAX(0,H390/I390-1),0)</f>
        <v>0.16919966666666664</v>
      </c>
      <c r="L390" s="31" t="str">
        <f>'Expense Details'!AC2124</f>
        <v>Yes</v>
      </c>
      <c r="M390" s="35" t="s">
        <v>3502</v>
      </c>
      <c r="N390" s="31" t="str">
        <f>'Expense Details'!AG2124</f>
        <v>Approved</v>
      </c>
      <c r="O390" s="31" t="str">
        <f>'Expense Details'!F2124</f>
        <v>Elena Duarte</v>
      </c>
    </row>
    <row r="391" spans="1:15">
      <c r="A391" s="31" t="str">
        <f>'Expense Details'!A2125</f>
        <v>EXP-02124</v>
      </c>
      <c r="B391" s="31" t="str">
        <f>'Expense Details'!C2125</f>
        <v>Kenji Watanabe</v>
      </c>
      <c r="C391" s="31" t="str">
        <f>'Expense Details'!D2125</f>
        <v>Product</v>
      </c>
      <c r="D391" s="31" t="str">
        <f>'Expense Details'!G2125</f>
        <v>TRP-2025-083</v>
      </c>
      <c r="E391" s="32">
        <f>'Expense Details'!M2125</f>
        <v>45910</v>
      </c>
      <c r="F391" s="31" t="str">
        <f>'Expense Details'!O2125</f>
        <v>Meals - Breakfast</v>
      </c>
      <c r="G391" s="31" t="str">
        <f>'Expense Details'!Q2125</f>
        <v>Starbucks</v>
      </c>
      <c r="H391" s="33">
        <f>'Expense Details'!V2125</f>
        <v>17.444779999999998</v>
      </c>
      <c r="I391" s="33">
        <f>'Expense Details'!Z2125</f>
        <v>25</v>
      </c>
      <c r="J391" s="33">
        <f>H391-I391</f>
        <v>-7.555220000000002</v>
      </c>
      <c r="K391" s="34">
        <f>IFERROR(MAX(0,H391/I391-1),0)</f>
        <v>0</v>
      </c>
      <c r="L391" s="31" t="str">
        <f>'Expense Details'!AC2125</f>
        <v>No</v>
      </c>
      <c r="M391" s="35" t="s">
        <v>3503</v>
      </c>
      <c r="N391" s="31" t="str">
        <f>'Expense Details'!AG2125</f>
        <v>Approved</v>
      </c>
      <c r="O391" s="31" t="str">
        <f>'Expense Details'!F2125</f>
        <v>Elena Duarte</v>
      </c>
    </row>
    <row r="392" spans="1:15">
      <c r="A392" s="31" t="str">
        <f>'Expense Details'!A2133</f>
        <v>EXP-02132</v>
      </c>
      <c r="B392" s="31" t="str">
        <f>'Expense Details'!C2133</f>
        <v>Diane Okafor</v>
      </c>
      <c r="C392" s="31" t="str">
        <f>'Expense Details'!D2133</f>
        <v>Executive</v>
      </c>
      <c r="D392" s="31" t="str">
        <f>'Expense Details'!G2133</f>
        <v>TRP-2025-012</v>
      </c>
      <c r="E392" s="32">
        <f>'Expense Details'!M2133</f>
        <v>45911</v>
      </c>
      <c r="F392" s="31" t="str">
        <f>'Expense Details'!O2133</f>
        <v>Meals - Dinner</v>
      </c>
      <c r="G392" s="31" t="str">
        <f>'Expense Details'!Q2133</f>
        <v>The Grill House</v>
      </c>
      <c r="H392" s="33">
        <f>'Expense Details'!V2133</f>
        <v>85.22</v>
      </c>
      <c r="I392" s="33">
        <f>'Expense Details'!Z2133</f>
        <v>75</v>
      </c>
      <c r="J392" s="33">
        <f>H392-I392</f>
        <v>10.219999999999999</v>
      </c>
      <c r="K392" s="34">
        <f>IFERROR(MAX(0,H392/I392-1),0)</f>
        <v>0.13626666666666676</v>
      </c>
      <c r="L392" s="31" t="str">
        <f>'Expense Details'!AC2133</f>
        <v>Yes</v>
      </c>
      <c r="M392" s="35" t="s">
        <v>3502</v>
      </c>
      <c r="N392" s="31" t="str">
        <f>'Expense Details'!AG2133</f>
        <v>Pending Approval</v>
      </c>
      <c r="O392" s="31" t="str">
        <f>'Expense Details'!F2133</f>
        <v>Board</v>
      </c>
    </row>
    <row r="393" spans="1:15">
      <c r="A393" s="31" t="str">
        <f>'Expense Details'!A2138</f>
        <v>EXP-02137</v>
      </c>
      <c r="B393" s="31" t="str">
        <f>'Expense Details'!C2138</f>
        <v>Kenji Watanabe</v>
      </c>
      <c r="C393" s="31" t="str">
        <f>'Expense Details'!D2138</f>
        <v>Product</v>
      </c>
      <c r="D393" s="31" t="str">
        <f>'Expense Details'!G2138</f>
        <v>TRP-2025-083</v>
      </c>
      <c r="E393" s="32">
        <f>'Expense Details'!M2138</f>
        <v>45911</v>
      </c>
      <c r="F393" s="31" t="str">
        <f>'Expense Details'!O2138</f>
        <v>Meals - Breakfast</v>
      </c>
      <c r="G393" s="31" t="str">
        <f>'Expense Details'!Q2138</f>
        <v>Starbucks</v>
      </c>
      <c r="H393" s="33">
        <f>'Expense Details'!V2138</f>
        <v>38.705039999999997</v>
      </c>
      <c r="I393" s="33">
        <f>'Expense Details'!Z2138</f>
        <v>25</v>
      </c>
      <c r="J393" s="33">
        <f>H393-I393</f>
        <v>13.705039999999997</v>
      </c>
      <c r="K393" s="34">
        <f>IFERROR(MAX(0,H393/I393-1),0)</f>
        <v>0.54820159999999984</v>
      </c>
      <c r="L393" s="31" t="str">
        <f>'Expense Details'!AC2138</f>
        <v>Yes</v>
      </c>
      <c r="M393" s="35" t="s">
        <v>3502</v>
      </c>
      <c r="N393" s="31" t="str">
        <f>'Expense Details'!AG2138</f>
        <v>Approved</v>
      </c>
      <c r="O393" s="31" t="str">
        <f>'Expense Details'!F2138</f>
        <v>Elena Duarte</v>
      </c>
    </row>
    <row r="394" spans="1:15">
      <c r="A394" s="31" t="str">
        <f>'Expense Details'!A2150</f>
        <v>EXP-02149</v>
      </c>
      <c r="B394" s="31" t="str">
        <f>'Expense Details'!C2150</f>
        <v>Elena Duarte</v>
      </c>
      <c r="C394" s="31" t="str">
        <f>'Expense Details'!D2150</f>
        <v>Product</v>
      </c>
      <c r="D394" s="31" t="str">
        <f>'Expense Details'!G2150</f>
        <v>TRP-2025-069</v>
      </c>
      <c r="E394" s="32">
        <f>'Expense Details'!M2150</f>
        <v>45913</v>
      </c>
      <c r="F394" s="31" t="str">
        <f>'Expense Details'!O2150</f>
        <v>Airfare</v>
      </c>
      <c r="G394" s="31" t="str">
        <f>'Expense Details'!Q2150</f>
        <v>Emirates</v>
      </c>
      <c r="H394" s="33">
        <f>'Expense Details'!V2150</f>
        <v>1655.7208499999999</v>
      </c>
      <c r="I394" s="33">
        <f>'Expense Details'!Z2150</f>
        <v>1400</v>
      </c>
      <c r="J394" s="33">
        <f>H394-I394</f>
        <v>255.72084999999993</v>
      </c>
      <c r="K394" s="34">
        <f>IFERROR(MAX(0,H394/I394-1),0)</f>
        <v>0.18265774999999995</v>
      </c>
      <c r="L394" s="31" t="str">
        <f>'Expense Details'!AC2150</f>
        <v>Yes</v>
      </c>
      <c r="M394" s="35" t="s">
        <v>3502</v>
      </c>
      <c r="N394" s="31" t="str">
        <f>'Expense Details'!AG2150</f>
        <v>Approved</v>
      </c>
      <c r="O394" s="31" t="str">
        <f>'Expense Details'!F2150</f>
        <v>Diane Okafor</v>
      </c>
    </row>
    <row r="395" spans="1:15">
      <c r="A395" s="31" t="str">
        <f>'Expense Details'!A2158</f>
        <v>EXP-02157</v>
      </c>
      <c r="B395" s="31" t="str">
        <f>'Expense Details'!C2158</f>
        <v>Kenji Watanabe</v>
      </c>
      <c r="C395" s="31" t="str">
        <f>'Expense Details'!D2158</f>
        <v>Product</v>
      </c>
      <c r="D395" s="31" t="str">
        <f>'Expense Details'!G2158</f>
        <v>TRP-2025-083</v>
      </c>
      <c r="E395" s="32">
        <f>'Expense Details'!M2158</f>
        <v>45913</v>
      </c>
      <c r="F395" s="31" t="str">
        <f>'Expense Details'!O2158</f>
        <v>Meals - Dinner</v>
      </c>
      <c r="G395" s="31" t="str">
        <f>'Expense Details'!Q2158</f>
        <v>The Grill House</v>
      </c>
      <c r="H395" s="33">
        <f>'Expense Details'!V2158</f>
        <v>99.819689999999994</v>
      </c>
      <c r="I395" s="33">
        <f>'Expense Details'!Z2158</f>
        <v>75</v>
      </c>
      <c r="J395" s="33">
        <f>H395-I395</f>
        <v>24.819689999999994</v>
      </c>
      <c r="K395" s="34">
        <f>IFERROR(MAX(0,H395/I395-1),0)</f>
        <v>0.33092919999999992</v>
      </c>
      <c r="L395" s="31" t="str">
        <f>'Expense Details'!AC2158</f>
        <v>No</v>
      </c>
      <c r="M395" s="35" t="s">
        <v>3504</v>
      </c>
      <c r="N395" s="31" t="str">
        <f>'Expense Details'!AG2158</f>
        <v>Approved</v>
      </c>
      <c r="O395" s="31" t="str">
        <f>'Expense Details'!F2158</f>
        <v>Elena Duarte</v>
      </c>
    </row>
    <row r="396" spans="1:15">
      <c r="A396" s="31" t="str">
        <f>'Expense Details'!A2161</f>
        <v>EXP-02160</v>
      </c>
      <c r="B396" s="31" t="str">
        <f>'Expense Details'!C2161</f>
        <v>Diane Okafor</v>
      </c>
      <c r="C396" s="31" t="str">
        <f>'Expense Details'!D2161</f>
        <v>Executive</v>
      </c>
      <c r="D396" s="31" t="str">
        <f>'Expense Details'!G2161</f>
        <v>TRP-2025-012</v>
      </c>
      <c r="E396" s="32">
        <f>'Expense Details'!M2161</f>
        <v>45914</v>
      </c>
      <c r="F396" s="31" t="str">
        <f>'Expense Details'!O2161</f>
        <v>Meals - Dinner</v>
      </c>
      <c r="G396" s="31" t="str">
        <f>'Expense Details'!Q2161</f>
        <v>Brasserie Lyon</v>
      </c>
      <c r="H396" s="33">
        <f>'Expense Details'!V2161</f>
        <v>99.46</v>
      </c>
      <c r="I396" s="33">
        <f>'Expense Details'!Z2161</f>
        <v>75</v>
      </c>
      <c r="J396" s="33">
        <f>H396-I396</f>
        <v>24.459999999999994</v>
      </c>
      <c r="K396" s="34">
        <f>IFERROR(MAX(0,H396/I396-1),0)</f>
        <v>0.32613333333333316</v>
      </c>
      <c r="L396" s="31" t="str">
        <f>'Expense Details'!AC2161</f>
        <v>Yes</v>
      </c>
      <c r="M396" s="35" t="s">
        <v>3502</v>
      </c>
      <c r="N396" s="31" t="str">
        <f>'Expense Details'!AG2161</f>
        <v>Pending Approval</v>
      </c>
      <c r="O396" s="31" t="str">
        <f>'Expense Details'!F2161</f>
        <v>Board</v>
      </c>
    </row>
    <row r="397" spans="1:15">
      <c r="A397" s="31" t="str">
        <f>'Expense Details'!A2163</f>
        <v>EXP-02162</v>
      </c>
      <c r="B397" s="31" t="str">
        <f>'Expense Details'!C2163</f>
        <v>Elena Duarte</v>
      </c>
      <c r="C397" s="31" t="str">
        <f>'Expense Details'!D2163</f>
        <v>Product</v>
      </c>
      <c r="D397" s="31" t="str">
        <f>'Expense Details'!G2163</f>
        <v>TRP-2025-069</v>
      </c>
      <c r="E397" s="32">
        <f>'Expense Details'!M2163</f>
        <v>45914</v>
      </c>
      <c r="F397" s="31" t="str">
        <f>'Expense Details'!O2163</f>
        <v>Car Rental</v>
      </c>
      <c r="G397" s="31" t="str">
        <f>'Expense Details'!Q2163</f>
        <v>Sixt</v>
      </c>
      <c r="H397" s="33">
        <f>'Expense Details'!V2163</f>
        <v>382.22379999999998</v>
      </c>
      <c r="I397" s="33">
        <f>'Expense Details'!Z2163</f>
        <v>720</v>
      </c>
      <c r="J397" s="33">
        <f>H397-I397</f>
        <v>-337.77620000000002</v>
      </c>
      <c r="K397" s="34">
        <f>IFERROR(MAX(0,H397/I397-1),0)</f>
        <v>0</v>
      </c>
      <c r="L397" s="31" t="str">
        <f>'Expense Details'!AC2163</f>
        <v>No</v>
      </c>
      <c r="M397" s="35" t="s">
        <v>3503</v>
      </c>
      <c r="N397" s="31" t="str">
        <f>'Expense Details'!AG2163</f>
        <v>Approved</v>
      </c>
      <c r="O397" s="31" t="str">
        <f>'Expense Details'!F2163</f>
        <v>Diane Okafor</v>
      </c>
    </row>
    <row r="398" spans="1:15">
      <c r="A398" s="31" t="str">
        <f>'Expense Details'!A2174</f>
        <v>EXP-02173</v>
      </c>
      <c r="B398" s="31" t="str">
        <f>'Expense Details'!C2174</f>
        <v>Elena Duarte</v>
      </c>
      <c r="C398" s="31" t="str">
        <f>'Expense Details'!D2174</f>
        <v>Product</v>
      </c>
      <c r="D398" s="31" t="str">
        <f>'Expense Details'!G2174</f>
        <v>TRP-2025-065</v>
      </c>
      <c r="E398" s="32">
        <f>'Expense Details'!M2174</f>
        <v>45916</v>
      </c>
      <c r="F398" s="31" t="str">
        <f>'Expense Details'!O2174</f>
        <v>Baggage &amp; Excess Fees</v>
      </c>
      <c r="G398" s="31" t="str">
        <f>'Expense Details'!Q2174</f>
        <v>Emirates</v>
      </c>
      <c r="H398" s="33">
        <f>'Expense Details'!V2174</f>
        <v>43.5</v>
      </c>
      <c r="I398" s="33">
        <f>'Expense Details'!Z2174</f>
        <v>120</v>
      </c>
      <c r="J398" s="33">
        <f>H398-I398</f>
        <v>-76.5</v>
      </c>
      <c r="K398" s="34">
        <f>IFERROR(MAX(0,H398/I398-1),0)</f>
        <v>0</v>
      </c>
      <c r="L398" s="31" t="str">
        <f>'Expense Details'!AC2174</f>
        <v>No</v>
      </c>
      <c r="M398" s="35" t="s">
        <v>3503</v>
      </c>
      <c r="N398" s="31" t="str">
        <f>'Expense Details'!AG2174</f>
        <v>Approved</v>
      </c>
      <c r="O398" s="31" t="str">
        <f>'Expense Details'!F2174</f>
        <v>Diane Okafor</v>
      </c>
    </row>
    <row r="399" spans="1:15">
      <c r="A399" s="31" t="str">
        <f>'Expense Details'!A2177</f>
        <v>EXP-02176</v>
      </c>
      <c r="B399" s="31" t="str">
        <f>'Expense Details'!C2177</f>
        <v>Elena Duarte</v>
      </c>
      <c r="C399" s="31" t="str">
        <f>'Expense Details'!D2177</f>
        <v>Product</v>
      </c>
      <c r="D399" s="31" t="str">
        <f>'Expense Details'!G2177</f>
        <v>TRP-2025-069</v>
      </c>
      <c r="E399" s="32">
        <f>'Expense Details'!M2177</f>
        <v>45916</v>
      </c>
      <c r="F399" s="31" t="str">
        <f>'Expense Details'!O2177</f>
        <v>Ground Transport - Taxi</v>
      </c>
      <c r="G399" s="31" t="str">
        <f>'Expense Details'!Q2177</f>
        <v>Uber</v>
      </c>
      <c r="H399" s="33">
        <f>'Expense Details'!V2177</f>
        <v>55.009500000000003</v>
      </c>
      <c r="I399" s="33">
        <f>'Expense Details'!Z2177</f>
        <v>60</v>
      </c>
      <c r="J399" s="33">
        <f>H399-I399</f>
        <v>-4.9904999999999973</v>
      </c>
      <c r="K399" s="34">
        <f>IFERROR(MAX(0,H399/I399-1),0)</f>
        <v>0</v>
      </c>
      <c r="L399" s="31" t="str">
        <f>'Expense Details'!AC2177</f>
        <v>No</v>
      </c>
      <c r="M399" s="35" t="s">
        <v>3503</v>
      </c>
      <c r="N399" s="31" t="str">
        <f>'Expense Details'!AG2177</f>
        <v>Approved</v>
      </c>
      <c r="O399" s="31" t="str">
        <f>'Expense Details'!F2177</f>
        <v>Diane Okafor</v>
      </c>
    </row>
    <row r="400" spans="1:15">
      <c r="A400" s="31" t="str">
        <f>'Expense Details'!A2200</f>
        <v>EXP-02199</v>
      </c>
      <c r="B400" s="31" t="str">
        <f>'Expense Details'!C2200</f>
        <v>Elena Duarte</v>
      </c>
      <c r="C400" s="31" t="str">
        <f>'Expense Details'!D2200</f>
        <v>Product</v>
      </c>
      <c r="D400" s="31" t="str">
        <f>'Expense Details'!G2200</f>
        <v>TRP-2025-069</v>
      </c>
      <c r="E400" s="32">
        <f>'Expense Details'!M2200</f>
        <v>45919</v>
      </c>
      <c r="F400" s="31" t="str">
        <f>'Expense Details'!O2200</f>
        <v>Meals - Breakfast</v>
      </c>
      <c r="G400" s="31" t="str">
        <f>'Expense Details'!Q2200</f>
        <v>Starbucks</v>
      </c>
      <c r="H400" s="33">
        <f>'Expense Details'!V2200</f>
        <v>24.2606</v>
      </c>
      <c r="I400" s="33">
        <f>'Expense Details'!Z2200</f>
        <v>25</v>
      </c>
      <c r="J400" s="33">
        <f>H400-I400</f>
        <v>-0.73939999999999984</v>
      </c>
      <c r="K400" s="34">
        <f>IFERROR(MAX(0,H400/I400-1),0)</f>
        <v>0</v>
      </c>
      <c r="L400" s="31" t="str">
        <f>'Expense Details'!AC2200</f>
        <v>No</v>
      </c>
      <c r="M400" s="35" t="s">
        <v>3503</v>
      </c>
      <c r="N400" s="31" t="str">
        <f>'Expense Details'!AG2200</f>
        <v>Approved</v>
      </c>
      <c r="O400" s="31" t="str">
        <f>'Expense Details'!F2200</f>
        <v>Diane Okafor</v>
      </c>
    </row>
    <row r="401" spans="1:15">
      <c r="A401" s="31" t="str">
        <f>'Expense Details'!A2201</f>
        <v>EXP-02200</v>
      </c>
      <c r="B401" s="31" t="str">
        <f>'Expense Details'!C2201</f>
        <v>Elena Duarte</v>
      </c>
      <c r="C401" s="31" t="str">
        <f>'Expense Details'!D2201</f>
        <v>Product</v>
      </c>
      <c r="D401" s="31" t="str">
        <f>'Expense Details'!G2201</f>
        <v>TRP-2025-069</v>
      </c>
      <c r="E401" s="32">
        <f>'Expense Details'!M2201</f>
        <v>45919</v>
      </c>
      <c r="F401" s="31" t="str">
        <f>'Expense Details'!O2201</f>
        <v>Meals - Dinner</v>
      </c>
      <c r="G401" s="31" t="str">
        <f>'Expense Details'!Q2201</f>
        <v>Osteria Vela</v>
      </c>
      <c r="H401" s="33">
        <f>'Expense Details'!V2201</f>
        <v>65.913749999999993</v>
      </c>
      <c r="I401" s="33">
        <f>'Expense Details'!Z2201</f>
        <v>75</v>
      </c>
      <c r="J401" s="33">
        <f>H401-I401</f>
        <v>-9.0862500000000068</v>
      </c>
      <c r="K401" s="34">
        <f>IFERROR(MAX(0,H401/I401-1),0)</f>
        <v>0</v>
      </c>
      <c r="L401" s="31" t="str">
        <f>'Expense Details'!AC2201</f>
        <v>No</v>
      </c>
      <c r="M401" s="35" t="s">
        <v>3503</v>
      </c>
      <c r="N401" s="31" t="str">
        <f>'Expense Details'!AG2201</f>
        <v>Approved</v>
      </c>
      <c r="O401" s="31" t="str">
        <f>'Expense Details'!F2201</f>
        <v>Diane Okafor</v>
      </c>
    </row>
    <row r="402" spans="1:15">
      <c r="A402" s="31" t="str">
        <f>'Expense Details'!A2206</f>
        <v>EXP-02205</v>
      </c>
      <c r="B402" s="31" t="str">
        <f>'Expense Details'!C2206</f>
        <v>Viktor Petrov</v>
      </c>
      <c r="C402" s="31" t="str">
        <f>'Expense Details'!D2206</f>
        <v>Operations</v>
      </c>
      <c r="D402" s="31" t="str">
        <f>'Expense Details'!G2206</f>
        <v>TRP-2025-064</v>
      </c>
      <c r="E402" s="32">
        <f>'Expense Details'!M2206</f>
        <v>45920</v>
      </c>
      <c r="F402" s="31" t="str">
        <f>'Expense Details'!O2206</f>
        <v>Ground Transport - Taxi</v>
      </c>
      <c r="G402" s="31" t="str">
        <f>'Expense Details'!Q2206</f>
        <v>Lyft</v>
      </c>
      <c r="H402" s="33">
        <f>'Expense Details'!V2206</f>
        <v>57.42</v>
      </c>
      <c r="I402" s="33">
        <f>'Expense Details'!Z2206</f>
        <v>60</v>
      </c>
      <c r="J402" s="33">
        <f>H402-I402</f>
        <v>-2.5799999999999983</v>
      </c>
      <c r="K402" s="34">
        <f>IFERROR(MAX(0,H402/I402-1),0)</f>
        <v>0</v>
      </c>
      <c r="L402" s="31" t="str">
        <f>'Expense Details'!AC2206</f>
        <v>No</v>
      </c>
      <c r="M402" s="35" t="s">
        <v>3503</v>
      </c>
      <c r="N402" s="31" t="str">
        <f>'Expense Details'!AG2206</f>
        <v>Pending Approval</v>
      </c>
      <c r="O402" s="31" t="str">
        <f>'Expense Details'!F2206</f>
        <v>Diane Okafor</v>
      </c>
    </row>
    <row r="403" spans="1:15">
      <c r="A403" s="31" t="str">
        <f>'Expense Details'!A2213</f>
        <v>EXP-02212</v>
      </c>
      <c r="B403" s="31" t="str">
        <f>'Expense Details'!C2213</f>
        <v>Viktor Petrov</v>
      </c>
      <c r="C403" s="31" t="str">
        <f>'Expense Details'!D2213</f>
        <v>Operations</v>
      </c>
      <c r="D403" s="31" t="str">
        <f>'Expense Details'!G2213</f>
        <v>TRP-2025-064</v>
      </c>
      <c r="E403" s="32">
        <f>'Expense Details'!M2213</f>
        <v>45921</v>
      </c>
      <c r="F403" s="31" t="str">
        <f>'Expense Details'!O2213</f>
        <v>Meals - Breakfast</v>
      </c>
      <c r="G403" s="31" t="str">
        <f>'Expense Details'!Q2213</f>
        <v>Starbucks</v>
      </c>
      <c r="H403" s="33">
        <f>'Expense Details'!V2213</f>
        <v>9.2899999999999991</v>
      </c>
      <c r="I403" s="33">
        <f>'Expense Details'!Z2213</f>
        <v>25</v>
      </c>
      <c r="J403" s="33">
        <f>H403-I403</f>
        <v>-15.71</v>
      </c>
      <c r="K403" s="34">
        <f>IFERROR(MAX(0,H403/I403-1),0)</f>
        <v>0</v>
      </c>
      <c r="L403" s="31" t="str">
        <f>'Expense Details'!AC2213</f>
        <v>No</v>
      </c>
      <c r="M403" s="35" t="s">
        <v>3503</v>
      </c>
      <c r="N403" s="31" t="str">
        <f>'Expense Details'!AG2213</f>
        <v>Pending Approval</v>
      </c>
      <c r="O403" s="31" t="str">
        <f>'Expense Details'!F2213</f>
        <v>Diane Okafor</v>
      </c>
    </row>
    <row r="404" spans="1:15">
      <c r="A404" s="31" t="str">
        <f>'Expense Details'!A2223</f>
        <v>EXP-02222</v>
      </c>
      <c r="B404" s="31" t="str">
        <f>'Expense Details'!C2223</f>
        <v>Aisha Bello</v>
      </c>
      <c r="C404" s="31" t="str">
        <f>'Expense Details'!D2223</f>
        <v>Operations</v>
      </c>
      <c r="D404" s="31" t="str">
        <f>'Expense Details'!G2223</f>
        <v>TRP-2025-028</v>
      </c>
      <c r="E404" s="32">
        <f>'Expense Details'!M2223</f>
        <v>45923</v>
      </c>
      <c r="F404" s="31" t="str">
        <f>'Expense Details'!O2223</f>
        <v>Airfare</v>
      </c>
      <c r="G404" s="31" t="str">
        <f>'Expense Details'!Q2223</f>
        <v>ANA</v>
      </c>
      <c r="H404" s="33">
        <f>'Expense Details'!V2223</f>
        <v>2550.7797599999999</v>
      </c>
      <c r="I404" s="33">
        <f>'Expense Details'!Z2223</f>
        <v>1400</v>
      </c>
      <c r="J404" s="33">
        <f>H404-I404</f>
        <v>1150.7797599999999</v>
      </c>
      <c r="K404" s="34">
        <f>IFERROR(MAX(0,H404/I404-1),0)</f>
        <v>0.82198554285714276</v>
      </c>
      <c r="L404" s="31" t="str">
        <f>'Expense Details'!AC2223</f>
        <v>Yes</v>
      </c>
      <c r="M404" s="35" t="s">
        <v>3502</v>
      </c>
      <c r="N404" s="31" t="str">
        <f>'Expense Details'!AG2223</f>
        <v>Approved</v>
      </c>
      <c r="O404" s="31" t="str">
        <f>'Expense Details'!F2223</f>
        <v>Viktor Petrov</v>
      </c>
    </row>
    <row r="405" spans="1:15">
      <c r="A405" s="31" t="str">
        <f>'Expense Details'!A2226</f>
        <v>EXP-02225</v>
      </c>
      <c r="B405" s="31" t="str">
        <f>'Expense Details'!C2226</f>
        <v>Viktor Petrov</v>
      </c>
      <c r="C405" s="31" t="str">
        <f>'Expense Details'!D2226</f>
        <v>Operations</v>
      </c>
      <c r="D405" s="31" t="str">
        <f>'Expense Details'!G2226</f>
        <v>TRP-2025-064</v>
      </c>
      <c r="E405" s="32">
        <f>'Expense Details'!M2226</f>
        <v>45923</v>
      </c>
      <c r="F405" s="31" t="str">
        <f>'Expense Details'!O2226</f>
        <v>Meals - Breakfast</v>
      </c>
      <c r="G405" s="31" t="str">
        <f>'Expense Details'!Q2226</f>
        <v>Starbucks</v>
      </c>
      <c r="H405" s="33">
        <f>'Expense Details'!V2226</f>
        <v>31.62</v>
      </c>
      <c r="I405" s="33">
        <f>'Expense Details'!Z2226</f>
        <v>25</v>
      </c>
      <c r="J405" s="33">
        <f>H405-I405</f>
        <v>6.620000000000001</v>
      </c>
      <c r="K405" s="34">
        <f>IFERROR(MAX(0,H405/I405-1),0)</f>
        <v>0.26480000000000015</v>
      </c>
      <c r="L405" s="31" t="str">
        <f>'Expense Details'!AC2226</f>
        <v>Yes</v>
      </c>
      <c r="M405" s="35" t="s">
        <v>3502</v>
      </c>
      <c r="N405" s="31" t="str">
        <f>'Expense Details'!AG2226</f>
        <v>Pending Approval</v>
      </c>
      <c r="O405" s="31" t="str">
        <f>'Expense Details'!F2226</f>
        <v>Diane Okafor</v>
      </c>
    </row>
    <row r="406" spans="1:15">
      <c r="A406" s="31" t="str">
        <f>'Expense Details'!A2231</f>
        <v>EXP-02230</v>
      </c>
      <c r="B406" s="31" t="str">
        <f>'Expense Details'!C2231</f>
        <v>Aisha Bello</v>
      </c>
      <c r="C406" s="31" t="str">
        <f>'Expense Details'!D2231</f>
        <v>Operations</v>
      </c>
      <c r="D406" s="31" t="str">
        <f>'Expense Details'!G2231</f>
        <v>TRP-2025-028</v>
      </c>
      <c r="E406" s="32">
        <f>'Expense Details'!M2231</f>
        <v>45924</v>
      </c>
      <c r="F406" s="31" t="str">
        <f>'Expense Details'!O2231</f>
        <v>Ground Transport - Taxi</v>
      </c>
      <c r="G406" s="31" t="str">
        <f>'Expense Details'!Q2231</f>
        <v>Lyft</v>
      </c>
      <c r="H406" s="33">
        <f>'Expense Details'!V2231</f>
        <v>21.789359999999999</v>
      </c>
      <c r="I406" s="33">
        <f>'Expense Details'!Z2231</f>
        <v>60</v>
      </c>
      <c r="J406" s="33">
        <f>H406-I406</f>
        <v>-38.210639999999998</v>
      </c>
      <c r="K406" s="34">
        <f>IFERROR(MAX(0,H406/I406-1),0)</f>
        <v>0</v>
      </c>
      <c r="L406" s="31" t="str">
        <f>'Expense Details'!AC2231</f>
        <v>No</v>
      </c>
      <c r="M406" s="35" t="s">
        <v>3503</v>
      </c>
      <c r="N406" s="31" t="str">
        <f>'Expense Details'!AG2231</f>
        <v>Approved</v>
      </c>
      <c r="O406" s="31" t="str">
        <f>'Expense Details'!F2231</f>
        <v>Viktor Petrov</v>
      </c>
    </row>
    <row r="407" spans="1:15">
      <c r="A407" s="31" t="str">
        <f>'Expense Details'!A2233</f>
        <v>EXP-02232</v>
      </c>
      <c r="B407" s="31" t="str">
        <f>'Expense Details'!C2233</f>
        <v>Aisha Bello</v>
      </c>
      <c r="C407" s="31" t="str">
        <f>'Expense Details'!D2233</f>
        <v>Operations</v>
      </c>
      <c r="D407" s="31" t="str">
        <f>'Expense Details'!G2233</f>
        <v>TRP-2025-028</v>
      </c>
      <c r="E407" s="32">
        <f>'Expense Details'!M2233</f>
        <v>45924</v>
      </c>
      <c r="F407" s="31" t="str">
        <f>'Expense Details'!O2233</f>
        <v>Meals - Breakfast</v>
      </c>
      <c r="G407" s="31" t="str">
        <f>'Expense Details'!Q2233</f>
        <v>Starbucks</v>
      </c>
      <c r="H407" s="33">
        <f>'Expense Details'!V2233</f>
        <v>29.332319999999999</v>
      </c>
      <c r="I407" s="33">
        <f>'Expense Details'!Z2233</f>
        <v>25</v>
      </c>
      <c r="J407" s="33">
        <f>H407-I407</f>
        <v>4.3323199999999993</v>
      </c>
      <c r="K407" s="34">
        <f>IFERROR(MAX(0,H407/I407-1),0)</f>
        <v>0.17329280000000002</v>
      </c>
      <c r="L407" s="31" t="str">
        <f>'Expense Details'!AC2233</f>
        <v>Yes</v>
      </c>
      <c r="M407" s="35" t="s">
        <v>3502</v>
      </c>
      <c r="N407" s="31" t="str">
        <f>'Expense Details'!AG2233</f>
        <v>Approved</v>
      </c>
      <c r="O407" s="31" t="str">
        <f>'Expense Details'!F2233</f>
        <v>Viktor Petrov</v>
      </c>
    </row>
    <row r="408" spans="1:15">
      <c r="A408" s="31" t="str">
        <f>'Expense Details'!A2235</f>
        <v>EXP-02234</v>
      </c>
      <c r="B408" s="31" t="str">
        <f>'Expense Details'!C2235</f>
        <v>Viktor Petrov</v>
      </c>
      <c r="C408" s="31" t="str">
        <f>'Expense Details'!D2235</f>
        <v>Operations</v>
      </c>
      <c r="D408" s="31" t="str">
        <f>'Expense Details'!G2235</f>
        <v>TRP-2025-064</v>
      </c>
      <c r="E408" s="32">
        <f>'Expense Details'!M2235</f>
        <v>45924</v>
      </c>
      <c r="F408" s="31" t="str">
        <f>'Expense Details'!O2235</f>
        <v>Ground Transport - Taxi</v>
      </c>
      <c r="G408" s="31" t="str">
        <f>'Expense Details'!Q2235</f>
        <v>Uber</v>
      </c>
      <c r="H408" s="33">
        <f>'Expense Details'!V2235</f>
        <v>91.78</v>
      </c>
      <c r="I408" s="33">
        <f>'Expense Details'!Z2235</f>
        <v>60</v>
      </c>
      <c r="J408" s="33">
        <f>H408-I408</f>
        <v>31.78</v>
      </c>
      <c r="K408" s="34">
        <f>IFERROR(MAX(0,H408/I408-1),0)</f>
        <v>0.52966666666666673</v>
      </c>
      <c r="L408" s="31" t="str">
        <f>'Expense Details'!AC2235</f>
        <v>Yes</v>
      </c>
      <c r="M408" s="35" t="s">
        <v>3502</v>
      </c>
      <c r="N408" s="31" t="str">
        <f>'Expense Details'!AG2235</f>
        <v>Pending Approval</v>
      </c>
      <c r="O408" s="31" t="str">
        <f>'Expense Details'!F2235</f>
        <v>Diane Okafor</v>
      </c>
    </row>
    <row r="409" spans="1:15">
      <c r="A409" s="31" t="str">
        <f>'Expense Details'!A2237</f>
        <v>EXP-02236</v>
      </c>
      <c r="B409" s="31" t="str">
        <f>'Expense Details'!C2237</f>
        <v>Viktor Petrov</v>
      </c>
      <c r="C409" s="31" t="str">
        <f>'Expense Details'!D2237</f>
        <v>Operations</v>
      </c>
      <c r="D409" s="31" t="str">
        <f>'Expense Details'!G2237</f>
        <v>TRP-2025-064</v>
      </c>
      <c r="E409" s="32">
        <f>'Expense Details'!M2237</f>
        <v>45924</v>
      </c>
      <c r="F409" s="31" t="str">
        <f>'Expense Details'!O2237</f>
        <v>Meals - Dinner</v>
      </c>
      <c r="G409" s="31" t="str">
        <f>'Expense Details'!Q2237</f>
        <v>Brasserie Lyon</v>
      </c>
      <c r="H409" s="33">
        <f>'Expense Details'!V2237</f>
        <v>110.98</v>
      </c>
      <c r="I409" s="33">
        <f>'Expense Details'!Z2237</f>
        <v>75</v>
      </c>
      <c r="J409" s="33">
        <f>H409-I409</f>
        <v>35.980000000000004</v>
      </c>
      <c r="K409" s="34">
        <f>IFERROR(MAX(0,H409/I409-1),0)</f>
        <v>0.47973333333333334</v>
      </c>
      <c r="L409" s="31" t="str">
        <f>'Expense Details'!AC2237</f>
        <v>Yes</v>
      </c>
      <c r="M409" s="35" t="s">
        <v>3502</v>
      </c>
      <c r="N409" s="31" t="str">
        <f>'Expense Details'!AG2237</f>
        <v>Pending Approval</v>
      </c>
      <c r="O409" s="31" t="str">
        <f>'Expense Details'!F2237</f>
        <v>Diane Okafor</v>
      </c>
    </row>
    <row r="410" spans="1:15">
      <c r="A410" s="31" t="str">
        <f>'Expense Details'!A2239</f>
        <v>EXP-02238</v>
      </c>
      <c r="B410" s="31" t="str">
        <f>'Expense Details'!C2239</f>
        <v>Aisha Bello</v>
      </c>
      <c r="C410" s="31" t="str">
        <f>'Expense Details'!D2239</f>
        <v>Operations</v>
      </c>
      <c r="D410" s="31" t="str">
        <f>'Expense Details'!G2239</f>
        <v>TRP-2025-028</v>
      </c>
      <c r="E410" s="32">
        <f>'Expense Details'!M2239</f>
        <v>45925</v>
      </c>
      <c r="F410" s="31" t="str">
        <f>'Expense Details'!O2239</f>
        <v>Meals - Breakfast</v>
      </c>
      <c r="G410" s="31" t="str">
        <f>'Expense Details'!Q2239</f>
        <v>Hotel Restaurant</v>
      </c>
      <c r="H410" s="33">
        <f>'Expense Details'!V2239</f>
        <v>27.97128</v>
      </c>
      <c r="I410" s="33">
        <f>'Expense Details'!Z2239</f>
        <v>25</v>
      </c>
      <c r="J410" s="33">
        <f>H410-I410</f>
        <v>2.9712800000000001</v>
      </c>
      <c r="K410" s="34">
        <f>IFERROR(MAX(0,H410/I410-1),0)</f>
        <v>0.11885119999999993</v>
      </c>
      <c r="L410" s="31" t="str">
        <f>'Expense Details'!AC2239</f>
        <v>Yes</v>
      </c>
      <c r="M410" s="35" t="s">
        <v>3502</v>
      </c>
      <c r="N410" s="31" t="str">
        <f>'Expense Details'!AG2239</f>
        <v>Approved</v>
      </c>
      <c r="O410" s="31" t="str">
        <f>'Expense Details'!F2239</f>
        <v>Viktor Petrov</v>
      </c>
    </row>
    <row r="411" spans="1:15">
      <c r="A411" s="31" t="str">
        <f>'Expense Details'!A2246</f>
        <v>EXP-02245</v>
      </c>
      <c r="B411" s="31" t="str">
        <f>'Expense Details'!C2246</f>
        <v>Aisha Bello</v>
      </c>
      <c r="C411" s="31" t="str">
        <f>'Expense Details'!D2246</f>
        <v>Operations</v>
      </c>
      <c r="D411" s="31" t="str">
        <f>'Expense Details'!G2246</f>
        <v>TRP-2025-028</v>
      </c>
      <c r="E411" s="32">
        <f>'Expense Details'!M2246</f>
        <v>45926</v>
      </c>
      <c r="F411" s="31" t="str">
        <f>'Expense Details'!O2246</f>
        <v>Meals - Lunch</v>
      </c>
      <c r="G411" s="31" t="str">
        <f>'Expense Details'!Q2246</f>
        <v>Local Bistro</v>
      </c>
      <c r="H411" s="33">
        <f>'Expense Details'!V2246</f>
        <v>27.615120000000001</v>
      </c>
      <c r="I411" s="33">
        <f>'Expense Details'!Z2246</f>
        <v>35</v>
      </c>
      <c r="J411" s="33">
        <f>H411-I411</f>
        <v>-7.384879999999999</v>
      </c>
      <c r="K411" s="34">
        <f>IFERROR(MAX(0,H411/I411-1),0)</f>
        <v>0</v>
      </c>
      <c r="L411" s="31" t="str">
        <f>'Expense Details'!AC2246</f>
        <v>No</v>
      </c>
      <c r="M411" s="35" t="s">
        <v>3503</v>
      </c>
      <c r="N411" s="31" t="str">
        <f>'Expense Details'!AG2246</f>
        <v>Approved</v>
      </c>
      <c r="O411" s="31" t="str">
        <f>'Expense Details'!F2246</f>
        <v>Viktor Petrov</v>
      </c>
    </row>
    <row r="412" spans="1:15">
      <c r="A412" s="31" t="str">
        <f>'Expense Details'!A2254</f>
        <v>EXP-02253</v>
      </c>
      <c r="B412" s="31" t="str">
        <f>'Expense Details'!C2254</f>
        <v>Samuel Adeyemi</v>
      </c>
      <c r="C412" s="31" t="str">
        <f>'Expense Details'!D2254</f>
        <v>Field Engineering</v>
      </c>
      <c r="D412" s="31" t="str">
        <f>'Expense Details'!G2254</f>
        <v>TRP-2025-122</v>
      </c>
      <c r="E412" s="32">
        <f>'Expense Details'!M2254</f>
        <v>45927</v>
      </c>
      <c r="F412" s="31" t="str">
        <f>'Expense Details'!O2254</f>
        <v>Airfare</v>
      </c>
      <c r="G412" s="31" t="str">
        <f>'Expense Details'!Q2254</f>
        <v>United Airlines</v>
      </c>
      <c r="H412" s="33">
        <f>'Expense Details'!V2254</f>
        <v>2562.6329800000003</v>
      </c>
      <c r="I412" s="33">
        <f>'Expense Details'!Z2254</f>
        <v>1400</v>
      </c>
      <c r="J412" s="33">
        <f>H412-I412</f>
        <v>1162.6329800000003</v>
      </c>
      <c r="K412" s="34">
        <f>IFERROR(MAX(0,H412/I412-1),0)</f>
        <v>0.8304521285714288</v>
      </c>
      <c r="L412" s="31" t="str">
        <f>'Expense Details'!AC2254</f>
        <v>Yes</v>
      </c>
      <c r="M412" s="35" t="s">
        <v>3502</v>
      </c>
      <c r="N412" s="31" t="str">
        <f>'Expense Details'!AG2254</f>
        <v>Approved</v>
      </c>
      <c r="O412" s="31" t="str">
        <f>'Expense Details'!F2254</f>
        <v>Tomas Kovac</v>
      </c>
    </row>
    <row r="413" spans="1:15">
      <c r="A413" s="31" t="str">
        <f>'Expense Details'!A2268</f>
        <v>EXP-02267</v>
      </c>
      <c r="B413" s="31" t="str">
        <f>'Expense Details'!C2268</f>
        <v>Samuel Adeyemi</v>
      </c>
      <c r="C413" s="31" t="str">
        <f>'Expense Details'!D2268</f>
        <v>Field Engineering</v>
      </c>
      <c r="D413" s="31" t="str">
        <f>'Expense Details'!G2268</f>
        <v>TRP-2025-122</v>
      </c>
      <c r="E413" s="32">
        <f>'Expense Details'!M2268</f>
        <v>45928</v>
      </c>
      <c r="F413" s="31" t="str">
        <f>'Expense Details'!O2268</f>
        <v>Meals - Lunch</v>
      </c>
      <c r="G413" s="31" t="str">
        <f>'Expense Details'!Q2268</f>
        <v>Local Bistro</v>
      </c>
      <c r="H413" s="33">
        <f>'Expense Details'!V2268</f>
        <v>19.95532</v>
      </c>
      <c r="I413" s="33">
        <f>'Expense Details'!Z2268</f>
        <v>35</v>
      </c>
      <c r="J413" s="33">
        <f>H413-I413</f>
        <v>-15.04468</v>
      </c>
      <c r="K413" s="34">
        <f>IFERROR(MAX(0,H413/I413-1),0)</f>
        <v>0</v>
      </c>
      <c r="L413" s="31" t="str">
        <f>'Expense Details'!AC2268</f>
        <v>No</v>
      </c>
      <c r="M413" s="35" t="s">
        <v>3503</v>
      </c>
      <c r="N413" s="31" t="str">
        <f>'Expense Details'!AG2268</f>
        <v>Approved</v>
      </c>
      <c r="O413" s="31" t="str">
        <f>'Expense Details'!F2268</f>
        <v>Tomas Kovac</v>
      </c>
    </row>
    <row r="414" spans="1:15">
      <c r="A414" s="31" t="str">
        <f>'Expense Details'!A2271</f>
        <v>EXP-02270</v>
      </c>
      <c r="B414" s="31" t="str">
        <f>'Expense Details'!C2271</f>
        <v>Clara Jensen</v>
      </c>
      <c r="C414" s="31" t="str">
        <f>'Expense Details'!D2271</f>
        <v>Sales</v>
      </c>
      <c r="D414" s="31" t="str">
        <f>'Expense Details'!G2271</f>
        <v>TRP-2025-007</v>
      </c>
      <c r="E414" s="32">
        <f>'Expense Details'!M2271</f>
        <v>45929</v>
      </c>
      <c r="F414" s="31" t="str">
        <f>'Expense Details'!O2271</f>
        <v>Meals - Dinner</v>
      </c>
      <c r="G414" s="31" t="str">
        <f>'Expense Details'!Q2271</f>
        <v>The Grill House</v>
      </c>
      <c r="H414" s="33">
        <f>'Expense Details'!V2271</f>
        <v>46.93</v>
      </c>
      <c r="I414" s="33">
        <f>'Expense Details'!Z2271</f>
        <v>75</v>
      </c>
      <c r="J414" s="33">
        <f>H414-I414</f>
        <v>-28.07</v>
      </c>
      <c r="K414" s="34">
        <f>IFERROR(MAX(0,H414/I414-1),0)</f>
        <v>0</v>
      </c>
      <c r="L414" s="31" t="str">
        <f>'Expense Details'!AC2271</f>
        <v>No</v>
      </c>
      <c r="M414" s="35" t="s">
        <v>3503</v>
      </c>
      <c r="N414" s="31" t="str">
        <f>'Expense Details'!AG2271</f>
        <v>Pending Approval</v>
      </c>
      <c r="O414" s="31" t="str">
        <f>'Expense Details'!F2271</f>
        <v>Ananya Sengupta</v>
      </c>
    </row>
    <row r="415" spans="1:15">
      <c r="A415" s="31" t="str">
        <f>'Expense Details'!A2273</f>
        <v>EXP-02272</v>
      </c>
      <c r="B415" s="31" t="str">
        <f>'Expense Details'!C2273</f>
        <v>Aisha Bello</v>
      </c>
      <c r="C415" s="31" t="str">
        <f>'Expense Details'!D2273</f>
        <v>Operations</v>
      </c>
      <c r="D415" s="31" t="str">
        <f>'Expense Details'!G2273</f>
        <v>TRP-2025-028</v>
      </c>
      <c r="E415" s="32">
        <f>'Expense Details'!M2273</f>
        <v>45929</v>
      </c>
      <c r="F415" s="31" t="str">
        <f>'Expense Details'!O2273</f>
        <v>Meals - Lunch</v>
      </c>
      <c r="G415" s="31" t="str">
        <f>'Expense Details'!Q2273</f>
        <v>Sweetgreen</v>
      </c>
      <c r="H415" s="33">
        <f>'Expense Details'!V2273</f>
        <v>44.176559999999995</v>
      </c>
      <c r="I415" s="33">
        <f>'Expense Details'!Z2273</f>
        <v>35</v>
      </c>
      <c r="J415" s="33">
        <f>H415-I415</f>
        <v>9.1765599999999949</v>
      </c>
      <c r="K415" s="34">
        <f>IFERROR(MAX(0,H415/I415-1),0)</f>
        <v>0.26218742857142852</v>
      </c>
      <c r="L415" s="31" t="str">
        <f>'Expense Details'!AC2273</f>
        <v>Yes</v>
      </c>
      <c r="M415" s="35" t="s">
        <v>3502</v>
      </c>
      <c r="N415" s="31" t="str">
        <f>'Expense Details'!AG2273</f>
        <v>Approved</v>
      </c>
      <c r="O415" s="31" t="str">
        <f>'Expense Details'!F2273</f>
        <v>Viktor Petrov</v>
      </c>
    </row>
    <row r="416" spans="1:15">
      <c r="A416" s="31" t="str">
        <f>'Expense Details'!A2282</f>
        <v>EXP-02281</v>
      </c>
      <c r="B416" s="31" t="str">
        <f>'Expense Details'!C2282</f>
        <v>Elena Duarte</v>
      </c>
      <c r="C416" s="31" t="str">
        <f>'Expense Details'!D2282</f>
        <v>Product</v>
      </c>
      <c r="D416" s="31" t="str">
        <f>'Expense Details'!G2282</f>
        <v>TRP-2025-047</v>
      </c>
      <c r="E416" s="32">
        <f>'Expense Details'!M2282</f>
        <v>45931</v>
      </c>
      <c r="F416" s="31" t="str">
        <f>'Expense Details'!O2282</f>
        <v>Airfare</v>
      </c>
      <c r="G416" s="31" t="str">
        <f>'Expense Details'!Q2282</f>
        <v>Delta Air Lines</v>
      </c>
      <c r="H416" s="33">
        <f>'Expense Details'!V2282</f>
        <v>1237.8113999999998</v>
      </c>
      <c r="I416" s="33">
        <f>'Expense Details'!Z2282</f>
        <v>1400</v>
      </c>
      <c r="J416" s="33">
        <f>H416-I416</f>
        <v>-162.18860000000018</v>
      </c>
      <c r="K416" s="34">
        <f>IFERROR(MAX(0,H416/I416-1),0)</f>
        <v>0</v>
      </c>
      <c r="L416" s="31" t="str">
        <f>'Expense Details'!AC2282</f>
        <v>No</v>
      </c>
      <c r="M416" s="35" t="s">
        <v>3503</v>
      </c>
      <c r="N416" s="31" t="str">
        <f>'Expense Details'!AG2282</f>
        <v>Rejected</v>
      </c>
      <c r="O416" s="31" t="str">
        <f>'Expense Details'!F2282</f>
        <v>Diane Okafor</v>
      </c>
    </row>
    <row r="417" spans="1:15">
      <c r="A417" s="31" t="str">
        <f>'Expense Details'!A2289</f>
        <v>EXP-02288</v>
      </c>
      <c r="B417" s="31" t="str">
        <f>'Expense Details'!C2289</f>
        <v>Elena Duarte</v>
      </c>
      <c r="C417" s="31" t="str">
        <f>'Expense Details'!D2289</f>
        <v>Product</v>
      </c>
      <c r="D417" s="31" t="str">
        <f>'Expense Details'!G2289</f>
        <v>TRP-2025-047</v>
      </c>
      <c r="E417" s="32">
        <f>'Expense Details'!M2289</f>
        <v>45932</v>
      </c>
      <c r="F417" s="31" t="str">
        <f>'Expense Details'!O2289</f>
        <v>Car Rental</v>
      </c>
      <c r="G417" s="31" t="str">
        <f>'Expense Details'!Q2289</f>
        <v>Sixt</v>
      </c>
      <c r="H417" s="33">
        <f>'Expense Details'!V2289</f>
        <v>859.85164999999995</v>
      </c>
      <c r="I417" s="33">
        <f>'Expense Details'!Z2289</f>
        <v>600</v>
      </c>
      <c r="J417" s="33">
        <f>H417-I417</f>
        <v>259.85164999999995</v>
      </c>
      <c r="K417" s="34">
        <f>IFERROR(MAX(0,H417/I417-1),0)</f>
        <v>0.4330860833333332</v>
      </c>
      <c r="L417" s="31" t="str">
        <f>'Expense Details'!AC2289</f>
        <v>Yes</v>
      </c>
      <c r="M417" s="35" t="s">
        <v>3502</v>
      </c>
      <c r="N417" s="31" t="str">
        <f>'Expense Details'!AG2289</f>
        <v>Rejected</v>
      </c>
      <c r="O417" s="31" t="str">
        <f>'Expense Details'!F2289</f>
        <v>Diane Okafor</v>
      </c>
    </row>
    <row r="418" spans="1:15">
      <c r="A418" s="31" t="str">
        <f>'Expense Details'!A2295</f>
        <v>EXP-02294</v>
      </c>
      <c r="B418" s="31" t="str">
        <f>'Expense Details'!C2295</f>
        <v>Samuel Adeyemi</v>
      </c>
      <c r="C418" s="31" t="str">
        <f>'Expense Details'!D2295</f>
        <v>Field Engineering</v>
      </c>
      <c r="D418" s="31" t="str">
        <f>'Expense Details'!G2295</f>
        <v>TRP-2025-122</v>
      </c>
      <c r="E418" s="32">
        <f>'Expense Details'!M2295</f>
        <v>45932</v>
      </c>
      <c r="F418" s="31" t="str">
        <f>'Expense Details'!O2295</f>
        <v>Meals - Breakfast</v>
      </c>
      <c r="G418" s="31" t="str">
        <f>'Expense Details'!Q2295</f>
        <v>Hotel Restaurant</v>
      </c>
      <c r="H418" s="33">
        <f>'Expense Details'!V2295</f>
        <v>36.977420000000002</v>
      </c>
      <c r="I418" s="33">
        <f>'Expense Details'!Z2295</f>
        <v>25</v>
      </c>
      <c r="J418" s="33">
        <f>H418-I418</f>
        <v>11.977420000000002</v>
      </c>
      <c r="K418" s="34">
        <f>IFERROR(MAX(0,H418/I418-1),0)</f>
        <v>0.47909679999999999</v>
      </c>
      <c r="L418" s="31" t="str">
        <f>'Expense Details'!AC2295</f>
        <v>Yes</v>
      </c>
      <c r="M418" s="35" t="s">
        <v>3502</v>
      </c>
      <c r="N418" s="31" t="str">
        <f>'Expense Details'!AG2295</f>
        <v>Approved</v>
      </c>
      <c r="O418" s="31" t="str">
        <f>'Expense Details'!F2295</f>
        <v>Tomas Kovac</v>
      </c>
    </row>
    <row r="419" spans="1:15">
      <c r="A419" s="31" t="str">
        <f>'Expense Details'!A2297</f>
        <v>EXP-02296</v>
      </c>
      <c r="B419" s="31" t="str">
        <f>'Expense Details'!C2297</f>
        <v>Elena Duarte</v>
      </c>
      <c r="C419" s="31" t="str">
        <f>'Expense Details'!D2297</f>
        <v>Product</v>
      </c>
      <c r="D419" s="31" t="str">
        <f>'Expense Details'!G2297</f>
        <v>TRP-2025-047</v>
      </c>
      <c r="E419" s="32">
        <f>'Expense Details'!M2297</f>
        <v>45933</v>
      </c>
      <c r="F419" s="31" t="str">
        <f>'Expense Details'!O2297</f>
        <v>Ground Transport - Taxi</v>
      </c>
      <c r="G419" s="31" t="str">
        <f>'Expense Details'!Q2297</f>
        <v>Local Taxi</v>
      </c>
      <c r="H419" s="33">
        <f>'Expense Details'!V2297</f>
        <v>59.262699999999995</v>
      </c>
      <c r="I419" s="33">
        <f>'Expense Details'!Z2297</f>
        <v>60</v>
      </c>
      <c r="J419" s="33">
        <f>H419-I419</f>
        <v>-0.73730000000000473</v>
      </c>
      <c r="K419" s="34">
        <f>IFERROR(MAX(0,H419/I419-1),0)</f>
        <v>0</v>
      </c>
      <c r="L419" s="31" t="str">
        <f>'Expense Details'!AC2297</f>
        <v>No</v>
      </c>
      <c r="M419" s="35" t="s">
        <v>3503</v>
      </c>
      <c r="N419" s="31" t="str">
        <f>'Expense Details'!AG2297</f>
        <v>Rejected</v>
      </c>
      <c r="O419" s="31" t="str">
        <f>'Expense Details'!F2297</f>
        <v>Diane Okafor</v>
      </c>
    </row>
    <row r="420" spans="1:15">
      <c r="A420" s="31" t="str">
        <f>'Expense Details'!A2306</f>
        <v>EXP-02305</v>
      </c>
      <c r="B420" s="31" t="str">
        <f>'Expense Details'!C2306</f>
        <v>Grace Lin</v>
      </c>
      <c r="C420" s="31" t="str">
        <f>'Expense Details'!D2306</f>
        <v>Marketing</v>
      </c>
      <c r="D420" s="31" t="str">
        <f>'Expense Details'!G2306</f>
        <v>TRP-2025-068</v>
      </c>
      <c r="E420" s="32">
        <f>'Expense Details'!M2306</f>
        <v>45934</v>
      </c>
      <c r="F420" s="31" t="str">
        <f>'Expense Details'!O2306</f>
        <v>Airfare</v>
      </c>
      <c r="G420" s="31" t="str">
        <f>'Expense Details'!Q2306</f>
        <v>British Airways</v>
      </c>
      <c r="H420" s="33">
        <f>'Expense Details'!V2306</f>
        <v>2353.26728</v>
      </c>
      <c r="I420" s="33">
        <f>'Expense Details'!Z2306</f>
        <v>1400</v>
      </c>
      <c r="J420" s="33">
        <f>H420-I420</f>
        <v>953.26728000000003</v>
      </c>
      <c r="K420" s="34">
        <f>IFERROR(MAX(0,H420/I420-1),0)</f>
        <v>0.68090519999999999</v>
      </c>
      <c r="L420" s="31" t="str">
        <f>'Expense Details'!AC2306</f>
        <v>Yes</v>
      </c>
      <c r="M420" s="35" t="s">
        <v>3502</v>
      </c>
      <c r="N420" s="31" t="str">
        <f>'Expense Details'!AG2306</f>
        <v>Approved</v>
      </c>
      <c r="O420" s="31" t="str">
        <f>'Expense Details'!F2306</f>
        <v>Diane Okafor</v>
      </c>
    </row>
    <row r="421" spans="1:15">
      <c r="A421" s="31" t="str">
        <f>'Expense Details'!A2311</f>
        <v>EXP-02310</v>
      </c>
      <c r="B421" s="31" t="str">
        <f>'Expense Details'!C2311</f>
        <v>Rohit Malhotra</v>
      </c>
      <c r="C421" s="31" t="str">
        <f>'Expense Details'!D2311</f>
        <v>Sales</v>
      </c>
      <c r="D421" s="31" t="str">
        <f>'Expense Details'!G2311</f>
        <v>TRP-2025-134</v>
      </c>
      <c r="E421" s="32">
        <f>'Expense Details'!M2311</f>
        <v>45934</v>
      </c>
      <c r="F421" s="31" t="str">
        <f>'Expense Details'!O2311</f>
        <v>Airfare</v>
      </c>
      <c r="G421" s="31" t="str">
        <f>'Expense Details'!Q2311</f>
        <v>United Airlines</v>
      </c>
      <c r="H421" s="33">
        <f>'Expense Details'!V2311</f>
        <v>1656.5867000000001</v>
      </c>
      <c r="I421" s="33">
        <f>'Expense Details'!Z2311</f>
        <v>1400</v>
      </c>
      <c r="J421" s="33">
        <f>H421-I421</f>
        <v>256.58670000000006</v>
      </c>
      <c r="K421" s="34">
        <f>IFERROR(MAX(0,H421/I421-1),0)</f>
        <v>0.18327621428571428</v>
      </c>
      <c r="L421" s="31" t="str">
        <f>'Expense Details'!AC2311</f>
        <v>Yes</v>
      </c>
      <c r="M421" s="35" t="s">
        <v>3502</v>
      </c>
      <c r="N421" s="31" t="str">
        <f>'Expense Details'!AG2311</f>
        <v>Approved</v>
      </c>
      <c r="O421" s="31" t="str">
        <f>'Expense Details'!F2311</f>
        <v>Ananya Sengupta</v>
      </c>
    </row>
    <row r="422" spans="1:15">
      <c r="A422" s="31" t="str">
        <f>'Expense Details'!A2316</f>
        <v>EXP-02315</v>
      </c>
      <c r="B422" s="31" t="str">
        <f>'Expense Details'!C2316</f>
        <v>Rohit Malhotra</v>
      </c>
      <c r="C422" s="31" t="str">
        <f>'Expense Details'!D2316</f>
        <v>Sales</v>
      </c>
      <c r="D422" s="31" t="str">
        <f>'Expense Details'!G2316</f>
        <v>TRP-2025-134</v>
      </c>
      <c r="E422" s="32">
        <f>'Expense Details'!M2316</f>
        <v>45934</v>
      </c>
      <c r="F422" s="31" t="str">
        <f>'Expense Details'!O2316</f>
        <v>Meals - Dinner</v>
      </c>
      <c r="G422" s="31" t="str">
        <f>'Expense Details'!Q2316</f>
        <v>Osteria Vela</v>
      </c>
      <c r="H422" s="33">
        <f>'Expense Details'!V2316</f>
        <v>101.68220000000001</v>
      </c>
      <c r="I422" s="33">
        <f>'Expense Details'!Z2316</f>
        <v>75</v>
      </c>
      <c r="J422" s="33">
        <f>H422-I422</f>
        <v>26.682200000000009</v>
      </c>
      <c r="K422" s="34">
        <f>IFERROR(MAX(0,H422/I422-1),0)</f>
        <v>0.35576266666666689</v>
      </c>
      <c r="L422" s="31" t="str">
        <f>'Expense Details'!AC2316</f>
        <v>Yes</v>
      </c>
      <c r="M422" s="35" t="s">
        <v>3502</v>
      </c>
      <c r="N422" s="31" t="str">
        <f>'Expense Details'!AG2316</f>
        <v>Approved</v>
      </c>
      <c r="O422" s="31" t="str">
        <f>'Expense Details'!F2316</f>
        <v>Ananya Sengupta</v>
      </c>
    </row>
    <row r="423" spans="1:15">
      <c r="A423" s="31" t="str">
        <f>'Expense Details'!A2336</f>
        <v>EXP-02335</v>
      </c>
      <c r="B423" s="31" t="str">
        <f>'Expense Details'!C2336</f>
        <v>Elena Duarte</v>
      </c>
      <c r="C423" s="31" t="str">
        <f>'Expense Details'!D2336</f>
        <v>Product</v>
      </c>
      <c r="D423" s="31" t="str">
        <f>'Expense Details'!G2336</f>
        <v>TRP-2025-047</v>
      </c>
      <c r="E423" s="32">
        <f>'Expense Details'!M2336</f>
        <v>45936</v>
      </c>
      <c r="F423" s="31" t="str">
        <f>'Expense Details'!O2336</f>
        <v>Meals - Lunch</v>
      </c>
      <c r="G423" s="31" t="str">
        <f>'Expense Details'!Q2336</f>
        <v>Local Bistro</v>
      </c>
      <c r="H423" s="33">
        <f>'Expense Details'!V2336</f>
        <v>45.754449999999999</v>
      </c>
      <c r="I423" s="33">
        <f>'Expense Details'!Z2336</f>
        <v>35</v>
      </c>
      <c r="J423" s="33">
        <f>H423-I423</f>
        <v>10.754449999999999</v>
      </c>
      <c r="K423" s="34">
        <f>IFERROR(MAX(0,H423/I423-1),0)</f>
        <v>0.30726999999999993</v>
      </c>
      <c r="L423" s="31" t="str">
        <f>'Expense Details'!AC2336</f>
        <v>Yes</v>
      </c>
      <c r="M423" s="35" t="s">
        <v>3502</v>
      </c>
      <c r="N423" s="31" t="str">
        <f>'Expense Details'!AG2336</f>
        <v>Rejected</v>
      </c>
      <c r="O423" s="31" t="str">
        <f>'Expense Details'!F2336</f>
        <v>Diane Okafor</v>
      </c>
    </row>
    <row r="424" spans="1:15">
      <c r="A424" s="31" t="str">
        <f>'Expense Details'!A2340</f>
        <v>EXP-02339</v>
      </c>
      <c r="B424" s="31" t="str">
        <f>'Expense Details'!C2340</f>
        <v>Rohit Malhotra</v>
      </c>
      <c r="C424" s="31" t="str">
        <f>'Expense Details'!D2340</f>
        <v>Sales</v>
      </c>
      <c r="D424" s="31" t="str">
        <f>'Expense Details'!G2340</f>
        <v>TRP-2025-134</v>
      </c>
      <c r="E424" s="32">
        <f>'Expense Details'!M2340</f>
        <v>45936</v>
      </c>
      <c r="F424" s="31" t="str">
        <f>'Expense Details'!O2340</f>
        <v>Fuel / Mileage</v>
      </c>
      <c r="G424" s="31" t="str">
        <f>'Expense Details'!Q2340</f>
        <v>BP</v>
      </c>
      <c r="H424" s="33">
        <f>'Expense Details'!V2340</f>
        <v>130.27295000000001</v>
      </c>
      <c r="I424" s="33">
        <f>'Expense Details'!Z2340</f>
        <v>90</v>
      </c>
      <c r="J424" s="33">
        <f>H424-I424</f>
        <v>40.272950000000009</v>
      </c>
      <c r="K424" s="34">
        <f>IFERROR(MAX(0,H424/I424-1),0)</f>
        <v>0.4474772222222223</v>
      </c>
      <c r="L424" s="31" t="str">
        <f>'Expense Details'!AC2340</f>
        <v>Yes</v>
      </c>
      <c r="M424" s="35" t="s">
        <v>3502</v>
      </c>
      <c r="N424" s="31" t="str">
        <f>'Expense Details'!AG2340</f>
        <v>Approved</v>
      </c>
      <c r="O424" s="31" t="str">
        <f>'Expense Details'!F2340</f>
        <v>Ananya Sengupta</v>
      </c>
    </row>
    <row r="425" spans="1:15">
      <c r="A425" s="31" t="str">
        <f>'Expense Details'!A2345</f>
        <v>EXP-02344</v>
      </c>
      <c r="B425" s="31" t="str">
        <f>'Expense Details'!C2345</f>
        <v>Grace Lin</v>
      </c>
      <c r="C425" s="31" t="str">
        <f>'Expense Details'!D2345</f>
        <v>Marketing</v>
      </c>
      <c r="D425" s="31" t="str">
        <f>'Expense Details'!G2345</f>
        <v>TRP-2025-068</v>
      </c>
      <c r="E425" s="32">
        <f>'Expense Details'!M2345</f>
        <v>45937</v>
      </c>
      <c r="F425" s="31" t="str">
        <f>'Expense Details'!O2345</f>
        <v>Laundry</v>
      </c>
      <c r="G425" s="31" t="str">
        <f>'Expense Details'!Q2345</f>
        <v>Hotel Laundry Service</v>
      </c>
      <c r="H425" s="33">
        <f>'Expense Details'!V2345</f>
        <v>40.141919999999999</v>
      </c>
      <c r="I425" s="33">
        <f>'Expense Details'!Z2345</f>
        <v>30</v>
      </c>
      <c r="J425" s="33">
        <f>H425-I425</f>
        <v>10.141919999999999</v>
      </c>
      <c r="K425" s="34">
        <f>IFERROR(MAX(0,H425/I425-1),0)</f>
        <v>0.33806399999999992</v>
      </c>
      <c r="L425" s="31" t="str">
        <f>'Expense Details'!AC2345</f>
        <v>Yes</v>
      </c>
      <c r="M425" s="35" t="s">
        <v>3502</v>
      </c>
      <c r="N425" s="31" t="str">
        <f>'Expense Details'!AG2345</f>
        <v>Approved</v>
      </c>
      <c r="O425" s="31" t="str">
        <f>'Expense Details'!F2345</f>
        <v>Diane Okafor</v>
      </c>
    </row>
    <row r="426" spans="1:15">
      <c r="A426" s="31" t="str">
        <f>'Expense Details'!A2347</f>
        <v>EXP-02346</v>
      </c>
      <c r="B426" s="31" t="str">
        <f>'Expense Details'!C2347</f>
        <v>Grace Lin</v>
      </c>
      <c r="C426" s="31" t="str">
        <f>'Expense Details'!D2347</f>
        <v>Marketing</v>
      </c>
      <c r="D426" s="31" t="str">
        <f>'Expense Details'!G2347</f>
        <v>TRP-2025-068</v>
      </c>
      <c r="E426" s="32">
        <f>'Expense Details'!M2347</f>
        <v>45937</v>
      </c>
      <c r="F426" s="31" t="str">
        <f>'Expense Details'!O2347</f>
        <v>Meals - Dinner</v>
      </c>
      <c r="G426" s="31" t="str">
        <f>'Expense Details'!Q2347</f>
        <v>Osteria Vela</v>
      </c>
      <c r="H426" s="33">
        <f>'Expense Details'!V2347</f>
        <v>97.12975999999999</v>
      </c>
      <c r="I426" s="33">
        <f>'Expense Details'!Z2347</f>
        <v>75</v>
      </c>
      <c r="J426" s="33">
        <f>H426-I426</f>
        <v>22.12975999999999</v>
      </c>
      <c r="K426" s="34">
        <f>IFERROR(MAX(0,H426/I426-1),0)</f>
        <v>0.2950634666666665</v>
      </c>
      <c r="L426" s="31" t="str">
        <f>'Expense Details'!AC2347</f>
        <v>Yes</v>
      </c>
      <c r="M426" s="35" t="s">
        <v>3502</v>
      </c>
      <c r="N426" s="31" t="str">
        <f>'Expense Details'!AG2347</f>
        <v>Approved</v>
      </c>
      <c r="O426" s="31" t="str">
        <f>'Expense Details'!F2347</f>
        <v>Diane Okafor</v>
      </c>
    </row>
    <row r="427" spans="1:15">
      <c r="A427" s="31" t="str">
        <f>'Expense Details'!A2349</f>
        <v>EXP-02348</v>
      </c>
      <c r="B427" s="31" t="str">
        <f>'Expense Details'!C2349</f>
        <v>Grace Lin</v>
      </c>
      <c r="C427" s="31" t="str">
        <f>'Expense Details'!D2349</f>
        <v>Marketing</v>
      </c>
      <c r="D427" s="31" t="str">
        <f>'Expense Details'!G2349</f>
        <v>TRP-2025-115</v>
      </c>
      <c r="E427" s="32">
        <f>'Expense Details'!M2349</f>
        <v>45937</v>
      </c>
      <c r="F427" s="31" t="str">
        <f>'Expense Details'!O2349</f>
        <v>Airfare</v>
      </c>
      <c r="G427" s="31" t="str">
        <f>'Expense Details'!Q2349</f>
        <v>Delta Air Lines</v>
      </c>
      <c r="H427" s="33">
        <f>'Expense Details'!V2349</f>
        <v>1705.2728</v>
      </c>
      <c r="I427" s="33">
        <f>'Expense Details'!Z2349</f>
        <v>1400</v>
      </c>
      <c r="J427" s="33">
        <f>H427-I427</f>
        <v>305.27279999999996</v>
      </c>
      <c r="K427" s="34">
        <f>IFERROR(MAX(0,H427/I427-1),0)</f>
        <v>0.21805199999999991</v>
      </c>
      <c r="L427" s="31" t="str">
        <f>'Expense Details'!AC2349</f>
        <v>Yes</v>
      </c>
      <c r="M427" s="35" t="s">
        <v>3502</v>
      </c>
      <c r="N427" s="31" t="str">
        <f>'Expense Details'!AG2349</f>
        <v>Approved</v>
      </c>
      <c r="O427" s="31" t="str">
        <f>'Expense Details'!F2349</f>
        <v>Diane Okafor</v>
      </c>
    </row>
    <row r="428" spans="1:15">
      <c r="A428" s="31" t="str">
        <f>'Expense Details'!A2350</f>
        <v>EXP-02349</v>
      </c>
      <c r="B428" s="31" t="str">
        <f>'Expense Details'!C2350</f>
        <v>Grace Lin</v>
      </c>
      <c r="C428" s="31" t="str">
        <f>'Expense Details'!D2350</f>
        <v>Marketing</v>
      </c>
      <c r="D428" s="31" t="str">
        <f>'Expense Details'!G2350</f>
        <v>TRP-2025-115</v>
      </c>
      <c r="E428" s="32">
        <f>'Expense Details'!M2350</f>
        <v>45937</v>
      </c>
      <c r="F428" s="31" t="str">
        <f>'Expense Details'!O2350</f>
        <v>Ground Transport - Taxi</v>
      </c>
      <c r="G428" s="31" t="str">
        <f>'Expense Details'!Q2350</f>
        <v>Lyft</v>
      </c>
      <c r="H428" s="33">
        <f>'Expense Details'!V2350</f>
        <v>22.036349999999999</v>
      </c>
      <c r="I428" s="33">
        <f>'Expense Details'!Z2350</f>
        <v>60</v>
      </c>
      <c r="J428" s="33">
        <f>H428-I428</f>
        <v>-37.963650000000001</v>
      </c>
      <c r="K428" s="34">
        <f>IFERROR(MAX(0,H428/I428-1),0)</f>
        <v>0</v>
      </c>
      <c r="L428" s="31" t="str">
        <f>'Expense Details'!AC2350</f>
        <v>No</v>
      </c>
      <c r="M428" s="35" t="s">
        <v>3503</v>
      </c>
      <c r="N428" s="31" t="str">
        <f>'Expense Details'!AG2350</f>
        <v>Approved</v>
      </c>
      <c r="O428" s="31" t="str">
        <f>'Expense Details'!F2350</f>
        <v>Diane Okafor</v>
      </c>
    </row>
    <row r="429" spans="1:15">
      <c r="A429" s="31" t="str">
        <f>'Expense Details'!A2352</f>
        <v>EXP-02351</v>
      </c>
      <c r="B429" s="31" t="str">
        <f>'Expense Details'!C2352</f>
        <v>Rohit Malhotra</v>
      </c>
      <c r="C429" s="31" t="str">
        <f>'Expense Details'!D2352</f>
        <v>Sales</v>
      </c>
      <c r="D429" s="31" t="str">
        <f>'Expense Details'!G2352</f>
        <v>TRP-2025-134</v>
      </c>
      <c r="E429" s="32">
        <f>'Expense Details'!M2352</f>
        <v>45937</v>
      </c>
      <c r="F429" s="31" t="str">
        <f>'Expense Details'!O2352</f>
        <v>Client Entertainment</v>
      </c>
      <c r="G429" s="31" t="str">
        <f>'Expense Details'!Q2352</f>
        <v>The Chophouse</v>
      </c>
      <c r="H429" s="33">
        <f>'Expense Details'!V2352</f>
        <v>223.8921</v>
      </c>
      <c r="I429" s="33">
        <f>'Expense Details'!Z2352</f>
        <v>200</v>
      </c>
      <c r="J429" s="33">
        <f>H429-I429</f>
        <v>23.892099999999999</v>
      </c>
      <c r="K429" s="34">
        <f>IFERROR(MAX(0,H429/I429-1),0)</f>
        <v>0.11946049999999997</v>
      </c>
      <c r="L429" s="31" t="str">
        <f>'Expense Details'!AC2352</f>
        <v>Yes</v>
      </c>
      <c r="M429" s="35" t="s">
        <v>3502</v>
      </c>
      <c r="N429" s="31" t="str">
        <f>'Expense Details'!AG2352</f>
        <v>Approved</v>
      </c>
      <c r="O429" s="31" t="str">
        <f>'Expense Details'!F2352</f>
        <v>Ananya Sengupta</v>
      </c>
    </row>
    <row r="430" spans="1:15">
      <c r="A430" s="31" t="str">
        <f>'Expense Details'!A2369</f>
        <v>EXP-02368</v>
      </c>
      <c r="B430" s="31" t="str">
        <f>'Expense Details'!C2369</f>
        <v>Grace Lin</v>
      </c>
      <c r="C430" s="31" t="str">
        <f>'Expense Details'!D2369</f>
        <v>Marketing</v>
      </c>
      <c r="D430" s="31" t="str">
        <f>'Expense Details'!G2369</f>
        <v>TRP-2025-115</v>
      </c>
      <c r="E430" s="32">
        <f>'Expense Details'!M2369</f>
        <v>45938</v>
      </c>
      <c r="F430" s="31" t="str">
        <f>'Expense Details'!O2369</f>
        <v>Meals - Lunch</v>
      </c>
      <c r="G430" s="31" t="str">
        <f>'Expense Details'!Q2369</f>
        <v>Food Court</v>
      </c>
      <c r="H430" s="33">
        <f>'Expense Details'!V2369</f>
        <v>47.132399999999997</v>
      </c>
      <c r="I430" s="33">
        <f>'Expense Details'!Z2369</f>
        <v>35</v>
      </c>
      <c r="J430" s="33">
        <f>H430-I430</f>
        <v>12.132399999999997</v>
      </c>
      <c r="K430" s="34">
        <f>IFERROR(MAX(0,H430/I430-1),0)</f>
        <v>0.34663999999999984</v>
      </c>
      <c r="L430" s="31" t="str">
        <f>'Expense Details'!AC2369</f>
        <v>Yes</v>
      </c>
      <c r="M430" s="35" t="s">
        <v>3502</v>
      </c>
      <c r="N430" s="31" t="str">
        <f>'Expense Details'!AG2369</f>
        <v>Approved</v>
      </c>
      <c r="O430" s="31" t="str">
        <f>'Expense Details'!F2369</f>
        <v>Diane Okafor</v>
      </c>
    </row>
    <row r="431" spans="1:15">
      <c r="A431" s="31" t="str">
        <f>'Expense Details'!A2370</f>
        <v>EXP-02369</v>
      </c>
      <c r="B431" s="31" t="str">
        <f>'Expense Details'!C2370</f>
        <v>Grace Lin</v>
      </c>
      <c r="C431" s="31" t="str">
        <f>'Expense Details'!D2370</f>
        <v>Marketing</v>
      </c>
      <c r="D431" s="31" t="str">
        <f>'Expense Details'!G2370</f>
        <v>TRP-2025-115</v>
      </c>
      <c r="E431" s="32">
        <f>'Expense Details'!M2370</f>
        <v>45938</v>
      </c>
      <c r="F431" s="31" t="str">
        <f>'Expense Details'!O2370</f>
        <v>Parking &amp; Tolls</v>
      </c>
      <c r="G431" s="31" t="str">
        <f>'Expense Details'!Q2370</f>
        <v>Toll Authority</v>
      </c>
      <c r="H431" s="33">
        <f>'Expense Details'!V2370</f>
        <v>36.076250000000002</v>
      </c>
      <c r="I431" s="33">
        <f>'Expense Details'!Z2370</f>
        <v>45</v>
      </c>
      <c r="J431" s="33">
        <f>H431-I431</f>
        <v>-8.9237499999999983</v>
      </c>
      <c r="K431" s="34">
        <f>IFERROR(MAX(0,H431/I431-1),0)</f>
        <v>0</v>
      </c>
      <c r="L431" s="31" t="str">
        <f>'Expense Details'!AC2370</f>
        <v>No</v>
      </c>
      <c r="M431" s="35" t="s">
        <v>3503</v>
      </c>
      <c r="N431" s="31" t="str">
        <f>'Expense Details'!AG2370</f>
        <v>Approved</v>
      </c>
      <c r="O431" s="31" t="str">
        <f>'Expense Details'!F2370</f>
        <v>Diane Okafor</v>
      </c>
    </row>
    <row r="432" spans="1:15">
      <c r="A432" s="31" t="str">
        <f>'Expense Details'!A2376</f>
        <v>EXP-02375</v>
      </c>
      <c r="B432" s="31" t="str">
        <f>'Expense Details'!C2376</f>
        <v>Oliver Brandt</v>
      </c>
      <c r="C432" s="31" t="str">
        <f>'Expense Details'!D2376</f>
        <v>Marketing</v>
      </c>
      <c r="D432" s="31" t="str">
        <f>'Expense Details'!G2376</f>
        <v>TRP-2025-040</v>
      </c>
      <c r="E432" s="32">
        <f>'Expense Details'!M2376</f>
        <v>45939</v>
      </c>
      <c r="F432" s="31" t="str">
        <f>'Expense Details'!O2376</f>
        <v>Ground Transport - Taxi</v>
      </c>
      <c r="G432" s="31" t="str">
        <f>'Expense Details'!Q2376</f>
        <v>Uber</v>
      </c>
      <c r="H432" s="33">
        <f>'Expense Details'!V2376</f>
        <v>72.680000000000007</v>
      </c>
      <c r="I432" s="33">
        <f>'Expense Details'!Z2376</f>
        <v>60</v>
      </c>
      <c r="J432" s="33">
        <f>H432-I432</f>
        <v>12.680000000000007</v>
      </c>
      <c r="K432" s="34">
        <f>IFERROR(MAX(0,H432/I432-1),0)</f>
        <v>0.21133333333333337</v>
      </c>
      <c r="L432" s="31" t="str">
        <f>'Expense Details'!AC2376</f>
        <v>Yes</v>
      </c>
      <c r="M432" s="35" t="s">
        <v>3502</v>
      </c>
      <c r="N432" s="31" t="str">
        <f>'Expense Details'!AG2376</f>
        <v>Approved</v>
      </c>
      <c r="O432" s="31" t="str">
        <f>'Expense Details'!F2376</f>
        <v>Grace Lin</v>
      </c>
    </row>
    <row r="433" spans="1:15">
      <c r="A433" s="31" t="str">
        <f>'Expense Details'!A2385</f>
        <v>EXP-02384</v>
      </c>
      <c r="B433" s="31" t="str">
        <f>'Expense Details'!C2385</f>
        <v>Oliver Brandt</v>
      </c>
      <c r="C433" s="31" t="str">
        <f>'Expense Details'!D2385</f>
        <v>Marketing</v>
      </c>
      <c r="D433" s="31" t="str">
        <f>'Expense Details'!G2385</f>
        <v>TRP-2025-040</v>
      </c>
      <c r="E433" s="32">
        <f>'Expense Details'!M2385</f>
        <v>45940</v>
      </c>
      <c r="F433" s="31" t="str">
        <f>'Expense Details'!O2385</f>
        <v>Fuel / Mileage</v>
      </c>
      <c r="G433" s="31" t="str">
        <f>'Expense Details'!Q2385</f>
        <v>Personal Vehicle Mileage</v>
      </c>
      <c r="H433" s="33">
        <f>'Expense Details'!V2385</f>
        <v>87.96</v>
      </c>
      <c r="I433" s="33">
        <f>'Expense Details'!Z2385</f>
        <v>90</v>
      </c>
      <c r="J433" s="33">
        <f>H433-I433</f>
        <v>-2.0400000000000063</v>
      </c>
      <c r="K433" s="34">
        <f>IFERROR(MAX(0,H433/I433-1),0)</f>
        <v>0</v>
      </c>
      <c r="L433" s="31" t="str">
        <f>'Expense Details'!AC2385</f>
        <v>No</v>
      </c>
      <c r="M433" s="35" t="s">
        <v>3503</v>
      </c>
      <c r="N433" s="31" t="str">
        <f>'Expense Details'!AG2385</f>
        <v>Approved</v>
      </c>
      <c r="O433" s="31" t="str">
        <f>'Expense Details'!F2385</f>
        <v>Grace Lin</v>
      </c>
    </row>
    <row r="434" spans="1:15">
      <c r="A434" s="31" t="str">
        <f>'Expense Details'!A2390</f>
        <v>EXP-02389</v>
      </c>
      <c r="B434" s="31" t="str">
        <f>'Expense Details'!C2390</f>
        <v>Grace Lin</v>
      </c>
      <c r="C434" s="31" t="str">
        <f>'Expense Details'!D2390</f>
        <v>Marketing</v>
      </c>
      <c r="D434" s="31" t="str">
        <f>'Expense Details'!G2390</f>
        <v>TRP-2025-068</v>
      </c>
      <c r="E434" s="32">
        <f>'Expense Details'!M2390</f>
        <v>45940</v>
      </c>
      <c r="F434" s="31" t="str">
        <f>'Expense Details'!O2390</f>
        <v>Meals - Dinner</v>
      </c>
      <c r="G434" s="31" t="str">
        <f>'Expense Details'!Q2390</f>
        <v>Osteria Vela</v>
      </c>
      <c r="H434" s="33">
        <f>'Expense Details'!V2390</f>
        <v>90.512239999999991</v>
      </c>
      <c r="I434" s="33">
        <f>'Expense Details'!Z2390</f>
        <v>75</v>
      </c>
      <c r="J434" s="33">
        <f>H434-I434</f>
        <v>15.512239999999991</v>
      </c>
      <c r="K434" s="34">
        <f>IFERROR(MAX(0,H434/I434-1),0)</f>
        <v>0.20682986666666658</v>
      </c>
      <c r="L434" s="31" t="str">
        <f>'Expense Details'!AC2390</f>
        <v>Yes</v>
      </c>
      <c r="M434" s="35" t="s">
        <v>3502</v>
      </c>
      <c r="N434" s="31" t="str">
        <f>'Expense Details'!AG2390</f>
        <v>Approved</v>
      </c>
      <c r="O434" s="31" t="str">
        <f>'Expense Details'!F2390</f>
        <v>Diane Okafor</v>
      </c>
    </row>
    <row r="435" spans="1:15">
      <c r="A435" s="31" t="str">
        <f>'Expense Details'!A2402</f>
        <v>EXP-02401</v>
      </c>
      <c r="B435" s="31" t="str">
        <f>'Expense Details'!C2402</f>
        <v>Sneha Iyer</v>
      </c>
      <c r="C435" s="31" t="str">
        <f>'Expense Details'!D2402</f>
        <v>Customer Success</v>
      </c>
      <c r="D435" s="31" t="str">
        <f>'Expense Details'!G2402</f>
        <v>TRP-2025-057</v>
      </c>
      <c r="E435" s="32">
        <f>'Expense Details'!M2402</f>
        <v>45945</v>
      </c>
      <c r="F435" s="31" t="str">
        <f>'Expense Details'!O2402</f>
        <v>Laundry</v>
      </c>
      <c r="G435" s="31" t="str">
        <f>'Expense Details'!Q2402</f>
        <v>Hotel Laundry Service</v>
      </c>
      <c r="H435" s="33">
        <f>'Expense Details'!V2402</f>
        <v>17.18</v>
      </c>
      <c r="I435" s="33">
        <f>'Expense Details'!Z2402</f>
        <v>30</v>
      </c>
      <c r="J435" s="33">
        <f>H435-I435</f>
        <v>-12.82</v>
      </c>
      <c r="K435" s="34">
        <f>IFERROR(MAX(0,H435/I435-1),0)</f>
        <v>0</v>
      </c>
      <c r="L435" s="31" t="str">
        <f>'Expense Details'!AC2402</f>
        <v>No</v>
      </c>
      <c r="M435" s="35" t="s">
        <v>3503</v>
      </c>
      <c r="N435" s="31" t="str">
        <f>'Expense Details'!AG2402</f>
        <v>Approved</v>
      </c>
      <c r="O435" s="31" t="str">
        <f>'Expense Details'!F2402</f>
        <v>Paul Nkemelu</v>
      </c>
    </row>
    <row r="436" spans="1:15">
      <c r="A436" s="31" t="str">
        <f>'Expense Details'!A2403</f>
        <v>EXP-02402</v>
      </c>
      <c r="B436" s="31" t="str">
        <f>'Expense Details'!C2403</f>
        <v>Sneha Iyer</v>
      </c>
      <c r="C436" s="31" t="str">
        <f>'Expense Details'!D2403</f>
        <v>Customer Success</v>
      </c>
      <c r="D436" s="31" t="str">
        <f>'Expense Details'!G2403</f>
        <v>TRP-2025-057</v>
      </c>
      <c r="E436" s="32">
        <f>'Expense Details'!M2403</f>
        <v>45945</v>
      </c>
      <c r="F436" s="31" t="str">
        <f>'Expense Details'!O2403</f>
        <v>Meals - Breakfast</v>
      </c>
      <c r="G436" s="31" t="str">
        <f>'Expense Details'!Q2403</f>
        <v>Local Bakery</v>
      </c>
      <c r="H436" s="33">
        <f>'Expense Details'!V2403</f>
        <v>12.21</v>
      </c>
      <c r="I436" s="33">
        <f>'Expense Details'!Z2403</f>
        <v>25</v>
      </c>
      <c r="J436" s="33">
        <f>H436-I436</f>
        <v>-12.79</v>
      </c>
      <c r="K436" s="34">
        <f>IFERROR(MAX(0,H436/I436-1),0)</f>
        <v>0</v>
      </c>
      <c r="L436" s="31" t="str">
        <f>'Expense Details'!AC2403</f>
        <v>No</v>
      </c>
      <c r="M436" s="35" t="s">
        <v>3503</v>
      </c>
      <c r="N436" s="31" t="str">
        <f>'Expense Details'!AG2403</f>
        <v>Approved</v>
      </c>
      <c r="O436" s="31" t="str">
        <f>'Expense Details'!F2403</f>
        <v>Paul Nkemelu</v>
      </c>
    </row>
    <row r="437" spans="1:15">
      <c r="A437" s="31" t="str">
        <f>'Expense Details'!A2407</f>
        <v>EXP-02406</v>
      </c>
      <c r="B437" s="31" t="str">
        <f>'Expense Details'!C2407</f>
        <v>Sneha Iyer</v>
      </c>
      <c r="C437" s="31" t="str">
        <f>'Expense Details'!D2407</f>
        <v>Customer Success</v>
      </c>
      <c r="D437" s="31" t="str">
        <f>'Expense Details'!G2407</f>
        <v>TRP-2025-057</v>
      </c>
      <c r="E437" s="32">
        <f>'Expense Details'!M2407</f>
        <v>45946</v>
      </c>
      <c r="F437" s="31" t="str">
        <f>'Expense Details'!O2407</f>
        <v>Meals - Lunch</v>
      </c>
      <c r="G437" s="31" t="str">
        <f>'Expense Details'!Q2407</f>
        <v>Sweetgreen</v>
      </c>
      <c r="H437" s="33">
        <f>'Expense Details'!V2407</f>
        <v>45.88</v>
      </c>
      <c r="I437" s="33">
        <f>'Expense Details'!Z2407</f>
        <v>35</v>
      </c>
      <c r="J437" s="33">
        <f>H437-I437</f>
        <v>10.880000000000003</v>
      </c>
      <c r="K437" s="34">
        <f>IFERROR(MAX(0,H437/I437-1),0)</f>
        <v>0.31085714285714294</v>
      </c>
      <c r="L437" s="31" t="str">
        <f>'Expense Details'!AC2407</f>
        <v>Yes</v>
      </c>
      <c r="M437" s="35" t="s">
        <v>3502</v>
      </c>
      <c r="N437" s="31" t="str">
        <f>'Expense Details'!AG2407</f>
        <v>Approved</v>
      </c>
      <c r="O437" s="31" t="str">
        <f>'Expense Details'!F2407</f>
        <v>Paul Nkemelu</v>
      </c>
    </row>
    <row r="438" spans="1:15">
      <c r="A438" s="31" t="str">
        <f>'Expense Details'!A2408</f>
        <v>EXP-02407</v>
      </c>
      <c r="B438" s="31" t="str">
        <f>'Expense Details'!C2408</f>
        <v>Sneha Iyer</v>
      </c>
      <c r="C438" s="31" t="str">
        <f>'Expense Details'!D2408</f>
        <v>Customer Success</v>
      </c>
      <c r="D438" s="31" t="str">
        <f>'Expense Details'!G2408</f>
        <v>TRP-2025-057</v>
      </c>
      <c r="E438" s="32">
        <f>'Expense Details'!M2408</f>
        <v>45947</v>
      </c>
      <c r="F438" s="31" t="str">
        <f>'Expense Details'!O2408</f>
        <v>Ground Transport - Taxi</v>
      </c>
      <c r="G438" s="31" t="str">
        <f>'Expense Details'!Q2408</f>
        <v>Uber</v>
      </c>
      <c r="H438" s="33">
        <f>'Expense Details'!V2408</f>
        <v>46.46</v>
      </c>
      <c r="I438" s="33">
        <f>'Expense Details'!Z2408</f>
        <v>60</v>
      </c>
      <c r="J438" s="33">
        <f>H438-I438</f>
        <v>-13.54</v>
      </c>
      <c r="K438" s="34">
        <f>IFERROR(MAX(0,H438/I438-1),0)</f>
        <v>0</v>
      </c>
      <c r="L438" s="31" t="str">
        <f>'Expense Details'!AC2408</f>
        <v>No</v>
      </c>
      <c r="M438" s="35" t="s">
        <v>3503</v>
      </c>
      <c r="N438" s="31" t="str">
        <f>'Expense Details'!AG2408</f>
        <v>Approved</v>
      </c>
      <c r="O438" s="31" t="str">
        <f>'Expense Details'!F2408</f>
        <v>Paul Nkemelu</v>
      </c>
    </row>
    <row r="439" spans="1:15">
      <c r="A439" s="31" t="str">
        <f>'Expense Details'!A2410</f>
        <v>EXP-02409</v>
      </c>
      <c r="B439" s="31" t="str">
        <f>'Expense Details'!C2410</f>
        <v>Sneha Iyer</v>
      </c>
      <c r="C439" s="31" t="str">
        <f>'Expense Details'!D2410</f>
        <v>Customer Success</v>
      </c>
      <c r="D439" s="31" t="str">
        <f>'Expense Details'!G2410</f>
        <v>TRP-2025-057</v>
      </c>
      <c r="E439" s="32">
        <f>'Expense Details'!M2410</f>
        <v>45947</v>
      </c>
      <c r="F439" s="31" t="str">
        <f>'Expense Details'!O2410</f>
        <v>Meals - Lunch</v>
      </c>
      <c r="G439" s="31" t="str">
        <f>'Expense Details'!Q2410</f>
        <v>Pret A Manger</v>
      </c>
      <c r="H439" s="33">
        <f>'Expense Details'!V2410</f>
        <v>30.01</v>
      </c>
      <c r="I439" s="33">
        <f>'Expense Details'!Z2410</f>
        <v>35</v>
      </c>
      <c r="J439" s="33">
        <f>H439-I439</f>
        <v>-4.9899999999999984</v>
      </c>
      <c r="K439" s="34">
        <f>IFERROR(MAX(0,H439/I439-1),0)</f>
        <v>0</v>
      </c>
      <c r="L439" s="31" t="str">
        <f>'Expense Details'!AC2410</f>
        <v>No</v>
      </c>
      <c r="M439" s="35" t="s">
        <v>3503</v>
      </c>
      <c r="N439" s="31" t="str">
        <f>'Expense Details'!AG2410</f>
        <v>Approved</v>
      </c>
      <c r="O439" s="31" t="str">
        <f>'Expense Details'!F2410</f>
        <v>Paul Nkemelu</v>
      </c>
    </row>
    <row r="440" spans="1:15">
      <c r="A440" s="31" t="str">
        <f>'Expense Details'!A2411</f>
        <v>EXP-02410</v>
      </c>
      <c r="B440" s="31" t="str">
        <f>'Expense Details'!C2411</f>
        <v>Hannah Weiss</v>
      </c>
      <c r="C440" s="31" t="str">
        <f>'Expense Details'!D2411</f>
        <v>Field Engineering</v>
      </c>
      <c r="D440" s="31" t="str">
        <f>'Expense Details'!G2411</f>
        <v>TRP-2025-014</v>
      </c>
      <c r="E440" s="32">
        <f>'Expense Details'!M2411</f>
        <v>45948</v>
      </c>
      <c r="F440" s="31" t="str">
        <f>'Expense Details'!O2411</f>
        <v>Airfare</v>
      </c>
      <c r="G440" s="31" t="str">
        <f>'Expense Details'!Q2411</f>
        <v>ANA</v>
      </c>
      <c r="H440" s="33">
        <f>'Expense Details'!V2411</f>
        <v>1490.3113600000001</v>
      </c>
      <c r="I440" s="33">
        <f>'Expense Details'!Z2411</f>
        <v>1400</v>
      </c>
      <c r="J440" s="33">
        <f>H440-I440</f>
        <v>90.31136000000015</v>
      </c>
      <c r="K440" s="34">
        <f>IFERROR(MAX(0,H440/I440-1),0)</f>
        <v>6.4508114285714457E-2</v>
      </c>
      <c r="L440" s="31" t="str">
        <f>'Expense Details'!AC2411</f>
        <v>Yes</v>
      </c>
      <c r="M440" s="35" t="s">
        <v>3502</v>
      </c>
      <c r="N440" s="31" t="str">
        <f>'Expense Details'!AG2411</f>
        <v>Approved</v>
      </c>
      <c r="O440" s="31" t="str">
        <f>'Expense Details'!F2411</f>
        <v>Tomas Kovac</v>
      </c>
    </row>
    <row r="441" spans="1:15">
      <c r="A441" s="31" t="str">
        <f>'Expense Details'!A2415</f>
        <v>EXP-02414</v>
      </c>
      <c r="B441" s="31" t="str">
        <f>'Expense Details'!C2415</f>
        <v>Sneha Iyer</v>
      </c>
      <c r="C441" s="31" t="str">
        <f>'Expense Details'!D2415</f>
        <v>Customer Success</v>
      </c>
      <c r="D441" s="31" t="str">
        <f>'Expense Details'!G2415</f>
        <v>TRP-2025-057</v>
      </c>
      <c r="E441" s="32">
        <f>'Expense Details'!M2415</f>
        <v>45948</v>
      </c>
      <c r="F441" s="31" t="str">
        <f>'Expense Details'!O2415</f>
        <v>Ground Transport - Taxi</v>
      </c>
      <c r="G441" s="31" t="str">
        <f>'Expense Details'!Q2415</f>
        <v>Uber</v>
      </c>
      <c r="H441" s="33">
        <f>'Expense Details'!V2415</f>
        <v>27.56</v>
      </c>
      <c r="I441" s="33">
        <f>'Expense Details'!Z2415</f>
        <v>60</v>
      </c>
      <c r="J441" s="33">
        <f>H441-I441</f>
        <v>-32.44</v>
      </c>
      <c r="K441" s="34">
        <f>IFERROR(MAX(0,H441/I441-1),0)</f>
        <v>0</v>
      </c>
      <c r="L441" s="31" t="str">
        <f>'Expense Details'!AC2415</f>
        <v>No</v>
      </c>
      <c r="M441" s="35" t="s">
        <v>3503</v>
      </c>
      <c r="N441" s="31" t="str">
        <f>'Expense Details'!AG2415</f>
        <v>Approved</v>
      </c>
      <c r="O441" s="31" t="str">
        <f>'Expense Details'!F2415</f>
        <v>Paul Nkemelu</v>
      </c>
    </row>
    <row r="442" spans="1:15">
      <c r="A442" s="31" t="str">
        <f>'Expense Details'!A2419</f>
        <v>EXP-02418</v>
      </c>
      <c r="B442" s="31" t="str">
        <f>'Expense Details'!C2419</f>
        <v>Elena Duarte</v>
      </c>
      <c r="C442" s="31" t="str">
        <f>'Expense Details'!D2419</f>
        <v>Product</v>
      </c>
      <c r="D442" s="31" t="str">
        <f>'Expense Details'!G2419</f>
        <v>TRP-2025-101</v>
      </c>
      <c r="E442" s="32">
        <f>'Expense Details'!M2419</f>
        <v>45948</v>
      </c>
      <c r="F442" s="31" t="str">
        <f>'Expense Details'!O2419</f>
        <v>Airfare</v>
      </c>
      <c r="G442" s="31" t="str">
        <f>'Expense Details'!Q2419</f>
        <v>United Airlines</v>
      </c>
      <c r="H442" s="33">
        <f>'Expense Details'!V2419</f>
        <v>518.99</v>
      </c>
      <c r="I442" s="33">
        <f>'Expense Details'!Z2419</f>
        <v>1400</v>
      </c>
      <c r="J442" s="33">
        <f>H442-I442</f>
        <v>-881.01</v>
      </c>
      <c r="K442" s="34">
        <f>IFERROR(MAX(0,H442/I442-1),0)</f>
        <v>0</v>
      </c>
      <c r="L442" s="31" t="str">
        <f>'Expense Details'!AC2419</f>
        <v>No</v>
      </c>
      <c r="M442" s="35" t="s">
        <v>3503</v>
      </c>
      <c r="N442" s="31" t="str">
        <f>'Expense Details'!AG2419</f>
        <v>Rejected</v>
      </c>
      <c r="O442" s="31" t="str">
        <f>'Expense Details'!F2419</f>
        <v>Diane Okafor</v>
      </c>
    </row>
    <row r="443" spans="1:15">
      <c r="A443" s="31" t="str">
        <f>'Expense Details'!A2422</f>
        <v>EXP-02421</v>
      </c>
      <c r="B443" s="31" t="str">
        <f>'Expense Details'!C2422</f>
        <v>Hannah Weiss</v>
      </c>
      <c r="C443" s="31" t="str">
        <f>'Expense Details'!D2422</f>
        <v>Field Engineering</v>
      </c>
      <c r="D443" s="31" t="str">
        <f>'Expense Details'!G2422</f>
        <v>TRP-2025-014</v>
      </c>
      <c r="E443" s="32">
        <f>'Expense Details'!M2422</f>
        <v>45949</v>
      </c>
      <c r="F443" s="31" t="str">
        <f>'Expense Details'!O2422</f>
        <v>Meals - Breakfast</v>
      </c>
      <c r="G443" s="31" t="str">
        <f>'Expense Details'!Q2422</f>
        <v>Starbucks</v>
      </c>
      <c r="H443" s="33">
        <f>'Expense Details'!V2422</f>
        <v>30.8047</v>
      </c>
      <c r="I443" s="33">
        <f>'Expense Details'!Z2422</f>
        <v>25</v>
      </c>
      <c r="J443" s="33">
        <f>H443-I443</f>
        <v>5.8047000000000004</v>
      </c>
      <c r="K443" s="34">
        <f>IFERROR(MAX(0,H443/I443-1),0)</f>
        <v>0.23218800000000006</v>
      </c>
      <c r="L443" s="31" t="str">
        <f>'Expense Details'!AC2422</f>
        <v>Yes</v>
      </c>
      <c r="M443" s="35" t="s">
        <v>3502</v>
      </c>
      <c r="N443" s="31" t="str">
        <f>'Expense Details'!AG2422</f>
        <v>Approved</v>
      </c>
      <c r="O443" s="31" t="str">
        <f>'Expense Details'!F2422</f>
        <v>Tomas Kovac</v>
      </c>
    </row>
    <row r="444" spans="1:15">
      <c r="A444" s="31" t="str">
        <f>'Expense Details'!A2436</f>
        <v>EXP-02435</v>
      </c>
      <c r="B444" s="31" t="str">
        <f>'Expense Details'!C2436</f>
        <v>Elena Duarte</v>
      </c>
      <c r="C444" s="31" t="str">
        <f>'Expense Details'!D2436</f>
        <v>Product</v>
      </c>
      <c r="D444" s="31" t="str">
        <f>'Expense Details'!G2436</f>
        <v>TRP-2025-101</v>
      </c>
      <c r="E444" s="32">
        <f>'Expense Details'!M2436</f>
        <v>45949</v>
      </c>
      <c r="F444" s="31" t="str">
        <f>'Expense Details'!O2436</f>
        <v>Meals - Lunch</v>
      </c>
      <c r="G444" s="31" t="str">
        <f>'Expense Details'!Q2436</f>
        <v>Local Bistro</v>
      </c>
      <c r="H444" s="33">
        <f>'Expense Details'!V2436</f>
        <v>47.2</v>
      </c>
      <c r="I444" s="33">
        <f>'Expense Details'!Z2436</f>
        <v>35</v>
      </c>
      <c r="J444" s="33">
        <f>H444-I444</f>
        <v>12.200000000000003</v>
      </c>
      <c r="K444" s="34">
        <f>IFERROR(MAX(0,H444/I444-1),0)</f>
        <v>0.34857142857142875</v>
      </c>
      <c r="L444" s="31" t="str">
        <f>'Expense Details'!AC2436</f>
        <v>No</v>
      </c>
      <c r="M444" s="35" t="s">
        <v>3504</v>
      </c>
      <c r="N444" s="31" t="str">
        <f>'Expense Details'!AG2436</f>
        <v>Rejected</v>
      </c>
      <c r="O444" s="31" t="str">
        <f>'Expense Details'!F2436</f>
        <v>Diane Okafor</v>
      </c>
    </row>
    <row r="445" spans="1:15">
      <c r="A445" s="31" t="str">
        <f>'Expense Details'!A2438</f>
        <v>EXP-02437</v>
      </c>
      <c r="B445" s="31" t="str">
        <f>'Expense Details'!C2438</f>
        <v>Hannah Weiss</v>
      </c>
      <c r="C445" s="31" t="str">
        <f>'Expense Details'!D2438</f>
        <v>Field Engineering</v>
      </c>
      <c r="D445" s="31" t="str">
        <f>'Expense Details'!G2438</f>
        <v>TRP-2025-014</v>
      </c>
      <c r="E445" s="32">
        <f>'Expense Details'!M2438</f>
        <v>45950</v>
      </c>
      <c r="F445" s="31" t="str">
        <f>'Expense Details'!O2438</f>
        <v>Meals - Dinner</v>
      </c>
      <c r="G445" s="31" t="str">
        <f>'Expense Details'!Q2438</f>
        <v>The Grill House</v>
      </c>
      <c r="H445" s="33">
        <f>'Expense Details'!V2438</f>
        <v>95.37088</v>
      </c>
      <c r="I445" s="33">
        <f>'Expense Details'!Z2438</f>
        <v>75</v>
      </c>
      <c r="J445" s="33">
        <f>H445-I445</f>
        <v>20.37088</v>
      </c>
      <c r="K445" s="34">
        <f>IFERROR(MAX(0,H445/I445-1),0)</f>
        <v>0.27161173333333344</v>
      </c>
      <c r="L445" s="31" t="str">
        <f>'Expense Details'!AC2438</f>
        <v>Yes</v>
      </c>
      <c r="M445" s="35" t="s">
        <v>3502</v>
      </c>
      <c r="N445" s="31" t="str">
        <f>'Expense Details'!AG2438</f>
        <v>Approved</v>
      </c>
      <c r="O445" s="31" t="str">
        <f>'Expense Details'!F2438</f>
        <v>Tomas Kovac</v>
      </c>
    </row>
    <row r="446" spans="1:15">
      <c r="A446" s="31" t="str">
        <f>'Expense Details'!A2441</f>
        <v>EXP-02440</v>
      </c>
      <c r="B446" s="31" t="str">
        <f>'Expense Details'!C2441</f>
        <v>Viktor Petrov</v>
      </c>
      <c r="C446" s="31" t="str">
        <f>'Expense Details'!D2441</f>
        <v>Operations</v>
      </c>
      <c r="D446" s="31" t="str">
        <f>'Expense Details'!G2441</f>
        <v>TRP-2025-034</v>
      </c>
      <c r="E446" s="32">
        <f>'Expense Details'!M2441</f>
        <v>45950</v>
      </c>
      <c r="F446" s="31" t="str">
        <f>'Expense Details'!O2441</f>
        <v>Ground Transport - Taxi</v>
      </c>
      <c r="G446" s="31" t="str">
        <f>'Expense Details'!Q2441</f>
        <v>Lyft</v>
      </c>
      <c r="H446" s="33">
        <f>'Expense Details'!V2441</f>
        <v>47.371099999999991</v>
      </c>
      <c r="I446" s="33">
        <f>'Expense Details'!Z2441</f>
        <v>60</v>
      </c>
      <c r="J446" s="33">
        <f>H446-I446</f>
        <v>-12.628900000000009</v>
      </c>
      <c r="K446" s="34">
        <f>IFERROR(MAX(0,H446/I446-1),0)</f>
        <v>0</v>
      </c>
      <c r="L446" s="31" t="str">
        <f>'Expense Details'!AC2441</f>
        <v>No</v>
      </c>
      <c r="M446" s="35" t="s">
        <v>3503</v>
      </c>
      <c r="N446" s="31" t="str">
        <f>'Expense Details'!AG2441</f>
        <v>Approved</v>
      </c>
      <c r="O446" s="31" t="str">
        <f>'Expense Details'!F2441</f>
        <v>Diane Okafor</v>
      </c>
    </row>
    <row r="447" spans="1:15">
      <c r="A447" s="31" t="str">
        <f>'Expense Details'!A2442</f>
        <v>EXP-02441</v>
      </c>
      <c r="B447" s="31" t="str">
        <f>'Expense Details'!C2442</f>
        <v>Viktor Petrov</v>
      </c>
      <c r="C447" s="31" t="str">
        <f>'Expense Details'!D2442</f>
        <v>Operations</v>
      </c>
      <c r="D447" s="31" t="str">
        <f>'Expense Details'!G2442</f>
        <v>TRP-2025-034</v>
      </c>
      <c r="E447" s="32">
        <f>'Expense Details'!M2442</f>
        <v>45950</v>
      </c>
      <c r="F447" s="31" t="str">
        <f>'Expense Details'!O2442</f>
        <v>Hotel / Lodging</v>
      </c>
      <c r="G447" s="31" t="str">
        <f>'Expense Details'!Q2442</f>
        <v>Hilton Garden Inn</v>
      </c>
      <c r="H447" s="33">
        <f>'Expense Details'!V2442</f>
        <v>376.28884999999997</v>
      </c>
      <c r="I447" s="33">
        <f>'Expense Details'!Z2442</f>
        <v>840</v>
      </c>
      <c r="J447" s="33">
        <f>H447-I447</f>
        <v>-463.71115000000003</v>
      </c>
      <c r="K447" s="34">
        <f>IFERROR(MAX(0,H447/I447-1),0)</f>
        <v>0</v>
      </c>
      <c r="L447" s="31" t="str">
        <f>'Expense Details'!AC2442</f>
        <v>No</v>
      </c>
      <c r="M447" s="35" t="s">
        <v>3503</v>
      </c>
      <c r="N447" s="31" t="str">
        <f>'Expense Details'!AG2442</f>
        <v>Approved</v>
      </c>
      <c r="O447" s="31" t="str">
        <f>'Expense Details'!F2442</f>
        <v>Diane Okafor</v>
      </c>
    </row>
    <row r="448" spans="1:15">
      <c r="A448" s="31" t="str">
        <f>'Expense Details'!A2445</f>
        <v>EXP-02444</v>
      </c>
      <c r="B448" s="31" t="str">
        <f>'Expense Details'!C2445</f>
        <v>Elena Duarte</v>
      </c>
      <c r="C448" s="31" t="str">
        <f>'Expense Details'!D2445</f>
        <v>Product</v>
      </c>
      <c r="D448" s="31" t="str">
        <f>'Expense Details'!G2445</f>
        <v>TRP-2025-101</v>
      </c>
      <c r="E448" s="32">
        <f>'Expense Details'!M2445</f>
        <v>45950</v>
      </c>
      <c r="F448" s="31" t="str">
        <f>'Expense Details'!O2445</f>
        <v>Ground Transport - Taxi</v>
      </c>
      <c r="G448" s="31" t="str">
        <f>'Expense Details'!Q2445</f>
        <v>Grab</v>
      </c>
      <c r="H448" s="33">
        <f>'Expense Details'!V2445</f>
        <v>58.86</v>
      </c>
      <c r="I448" s="33">
        <f>'Expense Details'!Z2445</f>
        <v>60</v>
      </c>
      <c r="J448" s="33">
        <f>H448-I448</f>
        <v>-1.1400000000000006</v>
      </c>
      <c r="K448" s="34">
        <f>IFERROR(MAX(0,H448/I448-1),0)</f>
        <v>0</v>
      </c>
      <c r="L448" s="31" t="str">
        <f>'Expense Details'!AC2445</f>
        <v>No</v>
      </c>
      <c r="M448" s="35" t="s">
        <v>3503</v>
      </c>
      <c r="N448" s="31" t="str">
        <f>'Expense Details'!AG2445</f>
        <v>Rejected</v>
      </c>
      <c r="O448" s="31" t="str">
        <f>'Expense Details'!F2445</f>
        <v>Diane Okafor</v>
      </c>
    </row>
    <row r="449" spans="1:15">
      <c r="A449" s="31" t="str">
        <f>'Expense Details'!A2456</f>
        <v>EXP-02455</v>
      </c>
      <c r="B449" s="31" t="str">
        <f>'Expense Details'!C2456</f>
        <v>Elena Duarte</v>
      </c>
      <c r="C449" s="31" t="str">
        <f>'Expense Details'!D2456</f>
        <v>Product</v>
      </c>
      <c r="D449" s="31" t="str">
        <f>'Expense Details'!G2456</f>
        <v>TRP-2025-101</v>
      </c>
      <c r="E449" s="32">
        <f>'Expense Details'!M2456</f>
        <v>45951</v>
      </c>
      <c r="F449" s="31" t="str">
        <f>'Expense Details'!O2456</f>
        <v>Ground Transport - Taxi</v>
      </c>
      <c r="G449" s="31" t="str">
        <f>'Expense Details'!Q2456</f>
        <v>Ola Cabs</v>
      </c>
      <c r="H449" s="33">
        <f>'Expense Details'!V2456</f>
        <v>69.58</v>
      </c>
      <c r="I449" s="33">
        <f>'Expense Details'!Z2456</f>
        <v>60</v>
      </c>
      <c r="J449" s="33">
        <f>H449-I449</f>
        <v>9.5799999999999983</v>
      </c>
      <c r="K449" s="34">
        <f>IFERROR(MAX(0,H449/I449-1),0)</f>
        <v>0.15966666666666662</v>
      </c>
      <c r="L449" s="31" t="str">
        <f>'Expense Details'!AC2456</f>
        <v>Yes</v>
      </c>
      <c r="M449" s="35" t="s">
        <v>3502</v>
      </c>
      <c r="N449" s="31" t="str">
        <f>'Expense Details'!AG2456</f>
        <v>Rejected</v>
      </c>
      <c r="O449" s="31" t="str">
        <f>'Expense Details'!F2456</f>
        <v>Diane Okafor</v>
      </c>
    </row>
    <row r="450" spans="1:15">
      <c r="A450" s="31" t="str">
        <f>'Expense Details'!A2465</f>
        <v>EXP-02464</v>
      </c>
      <c r="B450" s="31" t="str">
        <f>'Expense Details'!C2465</f>
        <v>Arjun Deshpande</v>
      </c>
      <c r="C450" s="31" t="str">
        <f>'Expense Details'!D2465</f>
        <v>Product</v>
      </c>
      <c r="D450" s="31" t="str">
        <f>'Expense Details'!G2465</f>
        <v>TRP-2025-125</v>
      </c>
      <c r="E450" s="32">
        <f>'Expense Details'!M2465</f>
        <v>45951</v>
      </c>
      <c r="F450" s="31" t="str">
        <f>'Expense Details'!O2465</f>
        <v>Meals - Lunch</v>
      </c>
      <c r="G450" s="31" t="str">
        <f>'Expense Details'!Q2465</f>
        <v>Sweetgreen</v>
      </c>
      <c r="H450" s="33">
        <f>'Expense Details'!V2465</f>
        <v>42.573839999999997</v>
      </c>
      <c r="I450" s="33">
        <f>'Expense Details'!Z2465</f>
        <v>35</v>
      </c>
      <c r="J450" s="33">
        <f>H450-I450</f>
        <v>7.573839999999997</v>
      </c>
      <c r="K450" s="34">
        <f>IFERROR(MAX(0,H450/I450-1),0)</f>
        <v>0.21639542857142846</v>
      </c>
      <c r="L450" s="31" t="str">
        <f>'Expense Details'!AC2465</f>
        <v>Yes</v>
      </c>
      <c r="M450" s="35" t="s">
        <v>3502</v>
      </c>
      <c r="N450" s="31" t="str">
        <f>'Expense Details'!AG2465</f>
        <v>Approved</v>
      </c>
      <c r="O450" s="31" t="str">
        <f>'Expense Details'!F2465</f>
        <v>Elena Duarte</v>
      </c>
    </row>
    <row r="451" spans="1:15">
      <c r="A451" s="31" t="str">
        <f>'Expense Details'!A2475</f>
        <v>EXP-02474</v>
      </c>
      <c r="B451" s="31" t="str">
        <f>'Expense Details'!C2475</f>
        <v>Meera Krishnan</v>
      </c>
      <c r="C451" s="31" t="str">
        <f>'Expense Details'!D2475</f>
        <v>Finance</v>
      </c>
      <c r="D451" s="31" t="str">
        <f>'Expense Details'!G2475</f>
        <v>TRP-2025-127</v>
      </c>
      <c r="E451" s="32">
        <f>'Expense Details'!M2475</f>
        <v>45952</v>
      </c>
      <c r="F451" s="31" t="str">
        <f>'Expense Details'!O2475</f>
        <v>Airfare</v>
      </c>
      <c r="G451" s="31" t="str">
        <f>'Expense Details'!Q2475</f>
        <v>ANA</v>
      </c>
      <c r="H451" s="33">
        <f>'Expense Details'!V2475</f>
        <v>1408.4059499999998</v>
      </c>
      <c r="I451" s="33">
        <f>'Expense Details'!Z2475</f>
        <v>1400</v>
      </c>
      <c r="J451" s="33">
        <f>H451-I451</f>
        <v>8.4059499999998479</v>
      </c>
      <c r="K451" s="34">
        <f>IFERROR(MAX(0,H451/I451-1),0)</f>
        <v>6.0042499999999333E-3</v>
      </c>
      <c r="L451" s="31" t="str">
        <f>'Expense Details'!AC2475</f>
        <v>Yes</v>
      </c>
      <c r="M451" s="35" t="s">
        <v>3502</v>
      </c>
      <c r="N451" s="31" t="str">
        <f>'Expense Details'!AG2475</f>
        <v>Approved</v>
      </c>
      <c r="O451" s="31" t="str">
        <f>'Expense Details'!F2475</f>
        <v>David Chen</v>
      </c>
    </row>
    <row r="452" spans="1:15">
      <c r="A452" s="31" t="str">
        <f>'Expense Details'!A2478</f>
        <v>EXP-02477</v>
      </c>
      <c r="B452" s="31" t="str">
        <f>'Expense Details'!C2478</f>
        <v>Meera Krishnan</v>
      </c>
      <c r="C452" s="31" t="str">
        <f>'Expense Details'!D2478</f>
        <v>Finance</v>
      </c>
      <c r="D452" s="31" t="str">
        <f>'Expense Details'!G2478</f>
        <v>TRP-2025-127</v>
      </c>
      <c r="E452" s="32">
        <f>'Expense Details'!M2478</f>
        <v>45952</v>
      </c>
      <c r="F452" s="31" t="str">
        <f>'Expense Details'!O2478</f>
        <v>Meals - Dinner</v>
      </c>
      <c r="G452" s="31" t="str">
        <f>'Expense Details'!Q2478</f>
        <v>Osteria Vela</v>
      </c>
      <c r="H452" s="33">
        <f>'Expense Details'!V2478</f>
        <v>91.270200000000003</v>
      </c>
      <c r="I452" s="33">
        <f>'Expense Details'!Z2478</f>
        <v>75</v>
      </c>
      <c r="J452" s="33">
        <f>H452-I452</f>
        <v>16.270200000000003</v>
      </c>
      <c r="K452" s="34">
        <f>IFERROR(MAX(0,H452/I452-1),0)</f>
        <v>0.21693600000000002</v>
      </c>
      <c r="L452" s="31" t="str">
        <f>'Expense Details'!AC2478</f>
        <v>Yes</v>
      </c>
      <c r="M452" s="35" t="s">
        <v>3502</v>
      </c>
      <c r="N452" s="31" t="str">
        <f>'Expense Details'!AG2478</f>
        <v>Approved</v>
      </c>
      <c r="O452" s="31" t="str">
        <f>'Expense Details'!F2478</f>
        <v>David Chen</v>
      </c>
    </row>
    <row r="453" spans="1:15">
      <c r="A453" s="31" t="str">
        <f>'Expense Details'!A2479</f>
        <v>EXP-02478</v>
      </c>
      <c r="B453" s="31" t="str">
        <f>'Expense Details'!C2479</f>
        <v>Meera Krishnan</v>
      </c>
      <c r="C453" s="31" t="str">
        <f>'Expense Details'!D2479</f>
        <v>Finance</v>
      </c>
      <c r="D453" s="31" t="str">
        <f>'Expense Details'!G2479</f>
        <v>TRP-2025-127</v>
      </c>
      <c r="E453" s="32">
        <f>'Expense Details'!M2479</f>
        <v>45952</v>
      </c>
      <c r="F453" s="31" t="str">
        <f>'Expense Details'!O2479</f>
        <v>Meals - Lunch</v>
      </c>
      <c r="G453" s="31" t="str">
        <f>'Expense Details'!Q2479</f>
        <v>Pret A Manger</v>
      </c>
      <c r="H453" s="33">
        <f>'Expense Details'!V2479</f>
        <v>38.311350000000004</v>
      </c>
      <c r="I453" s="33">
        <f>'Expense Details'!Z2479</f>
        <v>35</v>
      </c>
      <c r="J453" s="33">
        <f>H453-I453</f>
        <v>3.3113500000000045</v>
      </c>
      <c r="K453" s="34">
        <f>IFERROR(MAX(0,H453/I453-1),0)</f>
        <v>9.4610000000000083E-2</v>
      </c>
      <c r="L453" s="31" t="str">
        <f>'Expense Details'!AC2479</f>
        <v>Yes</v>
      </c>
      <c r="M453" s="35" t="s">
        <v>3502</v>
      </c>
      <c r="N453" s="31" t="str">
        <f>'Expense Details'!AG2479</f>
        <v>Approved</v>
      </c>
      <c r="O453" s="31" t="str">
        <f>'Expense Details'!F2479</f>
        <v>David Chen</v>
      </c>
    </row>
    <row r="454" spans="1:15">
      <c r="A454" s="31" t="str">
        <f>'Expense Details'!A2481</f>
        <v>EXP-02480</v>
      </c>
      <c r="B454" s="31" t="str">
        <f>'Expense Details'!C2481</f>
        <v>Rohit Malhotra</v>
      </c>
      <c r="C454" s="31" t="str">
        <f>'Expense Details'!D2481</f>
        <v>Sales</v>
      </c>
      <c r="D454" s="31" t="str">
        <f>'Expense Details'!G2481</f>
        <v>TRP-2025-004</v>
      </c>
      <c r="E454" s="32">
        <f>'Expense Details'!M2481</f>
        <v>45953</v>
      </c>
      <c r="F454" s="31" t="str">
        <f>'Expense Details'!O2481</f>
        <v>Airfare</v>
      </c>
      <c r="G454" s="31" t="str">
        <f>'Expense Details'!Q2481</f>
        <v>Singapore Airlines</v>
      </c>
      <c r="H454" s="33">
        <f>'Expense Details'!V2481</f>
        <v>3728.4722999999999</v>
      </c>
      <c r="I454" s="33">
        <f>'Expense Details'!Z2481</f>
        <v>1400</v>
      </c>
      <c r="J454" s="33">
        <f>H454-I454</f>
        <v>2328.4722999999999</v>
      </c>
      <c r="K454" s="34">
        <f>IFERROR(MAX(0,H454/I454-1),0)</f>
        <v>1.6631944999999999</v>
      </c>
      <c r="L454" s="31" t="str">
        <f>'Expense Details'!AC2481</f>
        <v>Yes</v>
      </c>
      <c r="M454" s="35" t="s">
        <v>3502</v>
      </c>
      <c r="N454" s="31" t="str">
        <f>'Expense Details'!AG2481</f>
        <v>Approved</v>
      </c>
      <c r="O454" s="31" t="str">
        <f>'Expense Details'!F2481</f>
        <v>Ananya Sengupta</v>
      </c>
    </row>
    <row r="455" spans="1:15">
      <c r="A455" s="31" t="str">
        <f>'Expense Details'!A2486</f>
        <v>EXP-02485</v>
      </c>
      <c r="B455" s="31" t="str">
        <f>'Expense Details'!C2486</f>
        <v>Hannah Weiss</v>
      </c>
      <c r="C455" s="31" t="str">
        <f>'Expense Details'!D2486</f>
        <v>Field Engineering</v>
      </c>
      <c r="D455" s="31" t="str">
        <f>'Expense Details'!G2486</f>
        <v>TRP-2025-029</v>
      </c>
      <c r="E455" s="32">
        <f>'Expense Details'!M2486</f>
        <v>45953</v>
      </c>
      <c r="F455" s="31" t="str">
        <f>'Expense Details'!O2486</f>
        <v>Airfare</v>
      </c>
      <c r="G455" s="31" t="str">
        <f>'Expense Details'!Q2486</f>
        <v>Delta Air Lines</v>
      </c>
      <c r="H455" s="33">
        <f>'Expense Details'!V2486</f>
        <v>882.53</v>
      </c>
      <c r="I455" s="33">
        <f>'Expense Details'!Z2486</f>
        <v>1400</v>
      </c>
      <c r="J455" s="33">
        <f>H455-I455</f>
        <v>-517.47</v>
      </c>
      <c r="K455" s="34">
        <f>IFERROR(MAX(0,H455/I455-1),0)</f>
        <v>0</v>
      </c>
      <c r="L455" s="31" t="str">
        <f>'Expense Details'!AC2486</f>
        <v>No</v>
      </c>
      <c r="M455" s="35" t="s">
        <v>3503</v>
      </c>
      <c r="N455" s="31" t="str">
        <f>'Expense Details'!AG2486</f>
        <v>Approved</v>
      </c>
      <c r="O455" s="31" t="str">
        <f>'Expense Details'!F2486</f>
        <v>Tomas Kovac</v>
      </c>
    </row>
    <row r="456" spans="1:15">
      <c r="A456" s="31" t="str">
        <f>'Expense Details'!A2487</f>
        <v>EXP-02486</v>
      </c>
      <c r="B456" s="31" t="str">
        <f>'Expense Details'!C2487</f>
        <v>Hannah Weiss</v>
      </c>
      <c r="C456" s="31" t="str">
        <f>'Expense Details'!D2487</f>
        <v>Field Engineering</v>
      </c>
      <c r="D456" s="31" t="str">
        <f>'Expense Details'!G2487</f>
        <v>TRP-2025-029</v>
      </c>
      <c r="E456" s="32">
        <f>'Expense Details'!M2487</f>
        <v>45953</v>
      </c>
      <c r="F456" s="31" t="str">
        <f>'Expense Details'!O2487</f>
        <v>Baggage &amp; Excess Fees</v>
      </c>
      <c r="G456" s="31" t="str">
        <f>'Expense Details'!Q2487</f>
        <v>United Airlines</v>
      </c>
      <c r="H456" s="33">
        <f>'Expense Details'!V2487</f>
        <v>167.3</v>
      </c>
      <c r="I456" s="33">
        <f>'Expense Details'!Z2487</f>
        <v>120</v>
      </c>
      <c r="J456" s="33">
        <f>H456-I456</f>
        <v>47.300000000000011</v>
      </c>
      <c r="K456" s="34">
        <f>IFERROR(MAX(0,H456/I456-1),0)</f>
        <v>0.39416666666666678</v>
      </c>
      <c r="L456" s="31" t="str">
        <f>'Expense Details'!AC2487</f>
        <v>Yes</v>
      </c>
      <c r="M456" s="35" t="s">
        <v>3502</v>
      </c>
      <c r="N456" s="31" t="str">
        <f>'Expense Details'!AG2487</f>
        <v>Approved</v>
      </c>
      <c r="O456" s="31" t="str">
        <f>'Expense Details'!F2487</f>
        <v>Tomas Kovac</v>
      </c>
    </row>
    <row r="457" spans="1:15">
      <c r="A457" s="31" t="str">
        <f>'Expense Details'!A2489</f>
        <v>EXP-02488</v>
      </c>
      <c r="B457" s="31" t="str">
        <f>'Expense Details'!C2489</f>
        <v>Hannah Weiss</v>
      </c>
      <c r="C457" s="31" t="str">
        <f>'Expense Details'!D2489</f>
        <v>Field Engineering</v>
      </c>
      <c r="D457" s="31" t="str">
        <f>'Expense Details'!G2489</f>
        <v>TRP-2025-029</v>
      </c>
      <c r="E457" s="32">
        <f>'Expense Details'!M2489</f>
        <v>45953</v>
      </c>
      <c r="F457" s="31" t="str">
        <f>'Expense Details'!O2489</f>
        <v>Meals - Breakfast</v>
      </c>
      <c r="G457" s="31" t="str">
        <f>'Expense Details'!Q2489</f>
        <v>Cafe Nero</v>
      </c>
      <c r="H457" s="33">
        <f>'Expense Details'!V2489</f>
        <v>31.6</v>
      </c>
      <c r="I457" s="33">
        <f>'Expense Details'!Z2489</f>
        <v>25</v>
      </c>
      <c r="J457" s="33">
        <f>H457-I457</f>
        <v>6.6000000000000014</v>
      </c>
      <c r="K457" s="34">
        <f>IFERROR(MAX(0,H457/I457-1),0)</f>
        <v>0.26400000000000001</v>
      </c>
      <c r="L457" s="31" t="str">
        <f>'Expense Details'!AC2489</f>
        <v>Yes</v>
      </c>
      <c r="M457" s="35" t="s">
        <v>3502</v>
      </c>
      <c r="N457" s="31" t="str">
        <f>'Expense Details'!AG2489</f>
        <v>Approved</v>
      </c>
      <c r="O457" s="31" t="str">
        <f>'Expense Details'!F2489</f>
        <v>Tomas Kovac</v>
      </c>
    </row>
    <row r="458" spans="1:15">
      <c r="A458" s="31" t="str">
        <f>'Expense Details'!A2493</f>
        <v>EXP-02492</v>
      </c>
      <c r="B458" s="31" t="str">
        <f>'Expense Details'!C2493</f>
        <v>Arjun Deshpande</v>
      </c>
      <c r="C458" s="31" t="str">
        <f>'Expense Details'!D2493</f>
        <v>Product</v>
      </c>
      <c r="D458" s="31" t="str">
        <f>'Expense Details'!G2493</f>
        <v>TRP-2025-125</v>
      </c>
      <c r="E458" s="32">
        <f>'Expense Details'!M2493</f>
        <v>45953</v>
      </c>
      <c r="F458" s="31" t="str">
        <f>'Expense Details'!O2493</f>
        <v>Meals - Dinner</v>
      </c>
      <c r="G458" s="31" t="str">
        <f>'Expense Details'!Q2493</f>
        <v>Osteria Vela</v>
      </c>
      <c r="H458" s="33">
        <f>'Expense Details'!V2493</f>
        <v>26.750160000000001</v>
      </c>
      <c r="I458" s="33">
        <f>'Expense Details'!Z2493</f>
        <v>75</v>
      </c>
      <c r="J458" s="33">
        <f>H458-I458</f>
        <v>-48.249839999999999</v>
      </c>
      <c r="K458" s="34">
        <f>IFERROR(MAX(0,H458/I458-1),0)</f>
        <v>0</v>
      </c>
      <c r="L458" s="31" t="str">
        <f>'Expense Details'!AC2493</f>
        <v>No</v>
      </c>
      <c r="M458" s="35" t="s">
        <v>3503</v>
      </c>
      <c r="N458" s="31" t="str">
        <f>'Expense Details'!AG2493</f>
        <v>Approved</v>
      </c>
      <c r="O458" s="31" t="str">
        <f>'Expense Details'!F2493</f>
        <v>Elena Duarte</v>
      </c>
    </row>
    <row r="459" spans="1:15">
      <c r="A459" s="31" t="str">
        <f>'Expense Details'!A2511</f>
        <v>EXP-02510</v>
      </c>
      <c r="B459" s="31" t="str">
        <f>'Expense Details'!C2511</f>
        <v>Arjun Deshpande</v>
      </c>
      <c r="C459" s="31" t="str">
        <f>'Expense Details'!D2511</f>
        <v>Product</v>
      </c>
      <c r="D459" s="31" t="str">
        <f>'Expense Details'!G2511</f>
        <v>TRP-2025-125</v>
      </c>
      <c r="E459" s="32">
        <f>'Expense Details'!M2511</f>
        <v>45954</v>
      </c>
      <c r="F459" s="31" t="str">
        <f>'Expense Details'!O2511</f>
        <v>Meals - Dinner</v>
      </c>
      <c r="G459" s="31" t="str">
        <f>'Expense Details'!Q2511</f>
        <v>Brasserie Lyon</v>
      </c>
      <c r="H459" s="33">
        <f>'Expense Details'!V2511</f>
        <v>71.270160000000004</v>
      </c>
      <c r="I459" s="33">
        <f>'Expense Details'!Z2511</f>
        <v>75</v>
      </c>
      <c r="J459" s="33">
        <f>H459-I459</f>
        <v>-3.7298399999999958</v>
      </c>
      <c r="K459" s="34">
        <f>IFERROR(MAX(0,H459/I459-1),0)</f>
        <v>0</v>
      </c>
      <c r="L459" s="31" t="str">
        <f>'Expense Details'!AC2511</f>
        <v>No</v>
      </c>
      <c r="M459" s="35" t="s">
        <v>3503</v>
      </c>
      <c r="N459" s="31" t="str">
        <f>'Expense Details'!AG2511</f>
        <v>Approved</v>
      </c>
      <c r="O459" s="31" t="str">
        <f>'Expense Details'!F2511</f>
        <v>Elena Duarte</v>
      </c>
    </row>
    <row r="460" spans="1:15">
      <c r="A460" s="31" t="str">
        <f>'Expense Details'!A2522</f>
        <v>EXP-02521</v>
      </c>
      <c r="B460" s="31" t="str">
        <f>'Expense Details'!C2522</f>
        <v>Hannah Weiss</v>
      </c>
      <c r="C460" s="31" t="str">
        <f>'Expense Details'!D2522</f>
        <v>Field Engineering</v>
      </c>
      <c r="D460" s="31" t="str">
        <f>'Expense Details'!G2522</f>
        <v>TRP-2025-029</v>
      </c>
      <c r="E460" s="32">
        <f>'Expense Details'!M2522</f>
        <v>45955</v>
      </c>
      <c r="F460" s="31" t="str">
        <f>'Expense Details'!O2522</f>
        <v>Meals - Dinner</v>
      </c>
      <c r="G460" s="31" t="str">
        <f>'Expense Details'!Q2522</f>
        <v>Sakura Izakaya</v>
      </c>
      <c r="H460" s="33">
        <f>'Expense Details'!V2522</f>
        <v>79.14</v>
      </c>
      <c r="I460" s="33">
        <f>'Expense Details'!Z2522</f>
        <v>75</v>
      </c>
      <c r="J460" s="33">
        <f>H460-I460</f>
        <v>4.1400000000000006</v>
      </c>
      <c r="K460" s="34">
        <f>IFERROR(MAX(0,H460/I460-1),0)</f>
        <v>5.5199999999999916E-2</v>
      </c>
      <c r="L460" s="31" t="str">
        <f>'Expense Details'!AC2522</f>
        <v>Yes</v>
      </c>
      <c r="M460" s="35" t="s">
        <v>3502</v>
      </c>
      <c r="N460" s="31" t="str">
        <f>'Expense Details'!AG2522</f>
        <v>Approved</v>
      </c>
      <c r="O460" s="31" t="str">
        <f>'Expense Details'!F2522</f>
        <v>Tomas Kovac</v>
      </c>
    </row>
    <row r="461" spans="1:15">
      <c r="A461" s="31" t="str">
        <f>'Expense Details'!A2525</f>
        <v>EXP-02524</v>
      </c>
      <c r="B461" s="31" t="str">
        <f>'Expense Details'!C2525</f>
        <v>Ravi Chandra</v>
      </c>
      <c r="C461" s="31" t="str">
        <f>'Expense Details'!D2525</f>
        <v>Field Engineering</v>
      </c>
      <c r="D461" s="31" t="str">
        <f>'Expense Details'!G2525</f>
        <v>TRP-2025-049</v>
      </c>
      <c r="E461" s="32">
        <f>'Expense Details'!M2525</f>
        <v>45955</v>
      </c>
      <c r="F461" s="31" t="str">
        <f>'Expense Details'!O2525</f>
        <v>Baggage &amp; Excess Fees</v>
      </c>
      <c r="G461" s="31" t="str">
        <f>'Expense Details'!Q2525</f>
        <v>United Airlines</v>
      </c>
      <c r="H461" s="33">
        <f>'Expense Details'!V2525</f>
        <v>102.14</v>
      </c>
      <c r="I461" s="33">
        <f>'Expense Details'!Z2525</f>
        <v>120</v>
      </c>
      <c r="J461" s="33">
        <f>H461-I461</f>
        <v>-17.86</v>
      </c>
      <c r="K461" s="34">
        <f>IFERROR(MAX(0,H461/I461-1),0)</f>
        <v>0</v>
      </c>
      <c r="L461" s="31" t="str">
        <f>'Expense Details'!AC2525</f>
        <v>No</v>
      </c>
      <c r="M461" s="35" t="s">
        <v>3503</v>
      </c>
      <c r="N461" s="31" t="str">
        <f>'Expense Details'!AG2525</f>
        <v>Approved</v>
      </c>
      <c r="O461" s="31" t="str">
        <f>'Expense Details'!F2525</f>
        <v>Tomas Kovac</v>
      </c>
    </row>
    <row r="462" spans="1:15">
      <c r="A462" s="31" t="str">
        <f>'Expense Details'!A2536</f>
        <v>EXP-02535</v>
      </c>
      <c r="B462" s="31" t="str">
        <f>'Expense Details'!C2536</f>
        <v>Hannah Weiss</v>
      </c>
      <c r="C462" s="31" t="str">
        <f>'Expense Details'!D2536</f>
        <v>Field Engineering</v>
      </c>
      <c r="D462" s="31" t="str">
        <f>'Expense Details'!G2536</f>
        <v>TRP-2025-029</v>
      </c>
      <c r="E462" s="32">
        <f>'Expense Details'!M2536</f>
        <v>45956</v>
      </c>
      <c r="F462" s="31" t="str">
        <f>'Expense Details'!O2536</f>
        <v>Meals - Dinner</v>
      </c>
      <c r="G462" s="31" t="str">
        <f>'Expense Details'!Q2536</f>
        <v>The Grill House</v>
      </c>
      <c r="H462" s="33">
        <f>'Expense Details'!V2536</f>
        <v>82.99</v>
      </c>
      <c r="I462" s="33">
        <f>'Expense Details'!Z2536</f>
        <v>75</v>
      </c>
      <c r="J462" s="33">
        <f>H462-I462</f>
        <v>7.9899999999999949</v>
      </c>
      <c r="K462" s="34">
        <f>IFERROR(MAX(0,H462/I462-1),0)</f>
        <v>0.10653333333333337</v>
      </c>
      <c r="L462" s="31" t="str">
        <f>'Expense Details'!AC2536</f>
        <v>Yes</v>
      </c>
      <c r="M462" s="35" t="s">
        <v>3502</v>
      </c>
      <c r="N462" s="31" t="str">
        <f>'Expense Details'!AG2536</f>
        <v>Approved</v>
      </c>
      <c r="O462" s="31" t="str">
        <f>'Expense Details'!F2536</f>
        <v>Tomas Kovac</v>
      </c>
    </row>
    <row r="463" spans="1:15">
      <c r="A463" s="31" t="str">
        <f>'Expense Details'!A2544</f>
        <v>EXP-02543</v>
      </c>
      <c r="B463" s="31" t="str">
        <f>'Expense Details'!C2544</f>
        <v>Arjun Deshpande</v>
      </c>
      <c r="C463" s="31" t="str">
        <f>'Expense Details'!D2544</f>
        <v>Product</v>
      </c>
      <c r="D463" s="31" t="str">
        <f>'Expense Details'!G2544</f>
        <v>TRP-2025-125</v>
      </c>
      <c r="E463" s="32">
        <f>'Expense Details'!M2544</f>
        <v>45956</v>
      </c>
      <c r="F463" s="31" t="str">
        <f>'Expense Details'!O2544</f>
        <v>Meals - Lunch</v>
      </c>
      <c r="G463" s="31" t="str">
        <f>'Expense Details'!Q2544</f>
        <v>Sweetgreen</v>
      </c>
      <c r="H463" s="33">
        <f>'Expense Details'!V2544</f>
        <v>15.989040000000001</v>
      </c>
      <c r="I463" s="33">
        <f>'Expense Details'!Z2544</f>
        <v>35</v>
      </c>
      <c r="J463" s="33">
        <f>H463-I463</f>
        <v>-19.010959999999997</v>
      </c>
      <c r="K463" s="34">
        <f>IFERROR(MAX(0,H463/I463-1),0)</f>
        <v>0</v>
      </c>
      <c r="L463" s="31" t="str">
        <f>'Expense Details'!AC2544</f>
        <v>No</v>
      </c>
      <c r="M463" s="35" t="s">
        <v>3503</v>
      </c>
      <c r="N463" s="31" t="str">
        <f>'Expense Details'!AG2544</f>
        <v>Approved</v>
      </c>
      <c r="O463" s="31" t="str">
        <f>'Expense Details'!F2544</f>
        <v>Elena Duarte</v>
      </c>
    </row>
    <row r="464" spans="1:15">
      <c r="A464" s="31" t="str">
        <f>'Expense Details'!A2549</f>
        <v>EXP-02548</v>
      </c>
      <c r="B464" s="31" t="str">
        <f>'Expense Details'!C2549</f>
        <v>Hannah Weiss</v>
      </c>
      <c r="C464" s="31" t="str">
        <f>'Expense Details'!D2549</f>
        <v>Field Engineering</v>
      </c>
      <c r="D464" s="31" t="str">
        <f>'Expense Details'!G2549</f>
        <v>TRP-2025-029</v>
      </c>
      <c r="E464" s="32">
        <f>'Expense Details'!M2549</f>
        <v>45957</v>
      </c>
      <c r="F464" s="31" t="str">
        <f>'Expense Details'!O2549</f>
        <v>Meals - Lunch</v>
      </c>
      <c r="G464" s="31" t="str">
        <f>'Expense Details'!Q2549</f>
        <v>Local Bistro</v>
      </c>
      <c r="H464" s="33">
        <f>'Expense Details'!V2549</f>
        <v>19.649999999999999</v>
      </c>
      <c r="I464" s="33">
        <f>'Expense Details'!Z2549</f>
        <v>35</v>
      </c>
      <c r="J464" s="33">
        <f>H464-I464</f>
        <v>-15.350000000000001</v>
      </c>
      <c r="K464" s="34">
        <f>IFERROR(MAX(0,H464/I464-1),0)</f>
        <v>0</v>
      </c>
      <c r="L464" s="31" t="str">
        <f>'Expense Details'!AC2549</f>
        <v>No</v>
      </c>
      <c r="M464" s="35" t="s">
        <v>3503</v>
      </c>
      <c r="N464" s="31" t="str">
        <f>'Expense Details'!AG2549</f>
        <v>Approved</v>
      </c>
      <c r="O464" s="31" t="str">
        <f>'Expense Details'!F2549</f>
        <v>Tomas Kovac</v>
      </c>
    </row>
    <row r="465" spans="1:15">
      <c r="A465" s="31" t="str">
        <f>'Expense Details'!A2557</f>
        <v>EXP-02556</v>
      </c>
      <c r="B465" s="31" t="str">
        <f>'Expense Details'!C2557</f>
        <v>Arjun Deshpande</v>
      </c>
      <c r="C465" s="31" t="str">
        <f>'Expense Details'!D2557</f>
        <v>Product</v>
      </c>
      <c r="D465" s="31" t="str">
        <f>'Expense Details'!G2557</f>
        <v>TRP-2025-125</v>
      </c>
      <c r="E465" s="32">
        <f>'Expense Details'!M2557</f>
        <v>45957</v>
      </c>
      <c r="F465" s="31" t="str">
        <f>'Expense Details'!O2557</f>
        <v>Meals - Lunch</v>
      </c>
      <c r="G465" s="31" t="str">
        <f>'Expense Details'!Q2557</f>
        <v>Food Court</v>
      </c>
      <c r="H465" s="33">
        <f>'Expense Details'!V2557</f>
        <v>42.344879999999996</v>
      </c>
      <c r="I465" s="33">
        <f>'Expense Details'!Z2557</f>
        <v>35</v>
      </c>
      <c r="J465" s="33">
        <f>H465-I465</f>
        <v>7.3448799999999963</v>
      </c>
      <c r="K465" s="34">
        <f>IFERROR(MAX(0,H465/I465-1),0)</f>
        <v>0.2098537142857142</v>
      </c>
      <c r="L465" s="31" t="str">
        <f>'Expense Details'!AC2557</f>
        <v>Yes</v>
      </c>
      <c r="M465" s="35" t="s">
        <v>3502</v>
      </c>
      <c r="N465" s="31" t="str">
        <f>'Expense Details'!AG2557</f>
        <v>Approved</v>
      </c>
      <c r="O465" s="31" t="str">
        <f>'Expense Details'!F2557</f>
        <v>Elena Duarte</v>
      </c>
    </row>
    <row r="466" spans="1:15">
      <c r="A466" s="31" t="str">
        <f>'Expense Details'!A2561</f>
        <v>EXP-02560</v>
      </c>
      <c r="B466" s="31" t="str">
        <f>'Expense Details'!C2561</f>
        <v>Hannah Weiss</v>
      </c>
      <c r="C466" s="31" t="str">
        <f>'Expense Details'!D2561</f>
        <v>Field Engineering</v>
      </c>
      <c r="D466" s="31" t="str">
        <f>'Expense Details'!G2561</f>
        <v>TRP-2025-029</v>
      </c>
      <c r="E466" s="32">
        <f>'Expense Details'!M2561</f>
        <v>45958</v>
      </c>
      <c r="F466" s="31" t="str">
        <f>'Expense Details'!O2561</f>
        <v>Ground Transport - Taxi</v>
      </c>
      <c r="G466" s="31" t="str">
        <f>'Expense Details'!Q2561</f>
        <v>Lyft</v>
      </c>
      <c r="H466" s="33">
        <f>'Expense Details'!V2561</f>
        <v>47.9</v>
      </c>
      <c r="I466" s="33">
        <f>'Expense Details'!Z2561</f>
        <v>60</v>
      </c>
      <c r="J466" s="33">
        <f>H466-I466</f>
        <v>-12.100000000000001</v>
      </c>
      <c r="K466" s="34">
        <f>IFERROR(MAX(0,H466/I466-1),0)</f>
        <v>0</v>
      </c>
      <c r="L466" s="31" t="str">
        <f>'Expense Details'!AC2561</f>
        <v>No</v>
      </c>
      <c r="M466" s="35" t="s">
        <v>3503</v>
      </c>
      <c r="N466" s="31" t="str">
        <f>'Expense Details'!AG2561</f>
        <v>Approved</v>
      </c>
      <c r="O466" s="31" t="str">
        <f>'Expense Details'!F2561</f>
        <v>Tomas Kovac</v>
      </c>
    </row>
    <row r="467" spans="1:15">
      <c r="A467" s="31" t="str">
        <f>'Expense Details'!A2566</f>
        <v>EXP-02565</v>
      </c>
      <c r="B467" s="31" t="str">
        <f>'Expense Details'!C2566</f>
        <v>Ravi Chandra</v>
      </c>
      <c r="C467" s="31" t="str">
        <f>'Expense Details'!D2566</f>
        <v>Field Engineering</v>
      </c>
      <c r="D467" s="31" t="str">
        <f>'Expense Details'!G2566</f>
        <v>TRP-2025-049</v>
      </c>
      <c r="E467" s="32">
        <f>'Expense Details'!M2566</f>
        <v>45958</v>
      </c>
      <c r="F467" s="31" t="str">
        <f>'Expense Details'!O2566</f>
        <v>Meals - Breakfast</v>
      </c>
      <c r="G467" s="31" t="str">
        <f>'Expense Details'!Q2566</f>
        <v>Local Bakery</v>
      </c>
      <c r="H467" s="33">
        <f>'Expense Details'!V2566</f>
        <v>33.97</v>
      </c>
      <c r="I467" s="33">
        <f>'Expense Details'!Z2566</f>
        <v>25</v>
      </c>
      <c r="J467" s="33">
        <f>H467-I467</f>
        <v>8.9699999999999989</v>
      </c>
      <c r="K467" s="34">
        <f>IFERROR(MAX(0,H467/I467-1),0)</f>
        <v>0.35880000000000001</v>
      </c>
      <c r="L467" s="31" t="str">
        <f>'Expense Details'!AC2566</f>
        <v>Yes</v>
      </c>
      <c r="M467" s="35" t="s">
        <v>3502</v>
      </c>
      <c r="N467" s="31" t="str">
        <f>'Expense Details'!AG2566</f>
        <v>Approved</v>
      </c>
      <c r="O467" s="31" t="str">
        <f>'Expense Details'!F2566</f>
        <v>Tomas Kovac</v>
      </c>
    </row>
    <row r="468" spans="1:15">
      <c r="A468" s="31" t="str">
        <f>'Expense Details'!A2569</f>
        <v>EXP-02568</v>
      </c>
      <c r="B468" s="31" t="str">
        <f>'Expense Details'!C2569</f>
        <v>Priya Nair</v>
      </c>
      <c r="C468" s="31" t="str">
        <f>'Expense Details'!D2569</f>
        <v>Field Engineering</v>
      </c>
      <c r="D468" s="31" t="str">
        <f>'Expense Details'!G2569</f>
        <v>TRP-2025-077</v>
      </c>
      <c r="E468" s="32">
        <f>'Expense Details'!M2569</f>
        <v>45958</v>
      </c>
      <c r="F468" s="31" t="str">
        <f>'Expense Details'!O2569</f>
        <v>Airfare</v>
      </c>
      <c r="G468" s="31" t="str">
        <f>'Expense Details'!Q2569</f>
        <v>Lufthansa</v>
      </c>
      <c r="H468" s="33">
        <f>'Expense Details'!V2569</f>
        <v>1907.61445</v>
      </c>
      <c r="I468" s="33">
        <f>'Expense Details'!Z2569</f>
        <v>1400</v>
      </c>
      <c r="J468" s="33">
        <f>H468-I468</f>
        <v>507.61445000000003</v>
      </c>
      <c r="K468" s="34">
        <f>IFERROR(MAX(0,H468/I468-1),0)</f>
        <v>0.36258174999999992</v>
      </c>
      <c r="L468" s="31" t="str">
        <f>'Expense Details'!AC2569</f>
        <v>Yes</v>
      </c>
      <c r="M468" s="35" t="s">
        <v>3502</v>
      </c>
      <c r="N468" s="31" t="str">
        <f>'Expense Details'!AG2569</f>
        <v>Approved</v>
      </c>
      <c r="O468" s="31" t="str">
        <f>'Expense Details'!F2569</f>
        <v>Tomas Kovac</v>
      </c>
    </row>
    <row r="469" spans="1:15">
      <c r="A469" s="31" t="str">
        <f>'Expense Details'!A2576</f>
        <v>EXP-02575</v>
      </c>
      <c r="B469" s="31" t="str">
        <f>'Expense Details'!C2576</f>
        <v>Meera Krishnan</v>
      </c>
      <c r="C469" s="31" t="str">
        <f>'Expense Details'!D2576</f>
        <v>Finance</v>
      </c>
      <c r="D469" s="31" t="str">
        <f>'Expense Details'!G2576</f>
        <v>TRP-2025-127</v>
      </c>
      <c r="E469" s="32">
        <f>'Expense Details'!M2576</f>
        <v>45958</v>
      </c>
      <c r="F469" s="31" t="str">
        <f>'Expense Details'!O2576</f>
        <v>Meals - Breakfast</v>
      </c>
      <c r="G469" s="31" t="str">
        <f>'Expense Details'!Q2576</f>
        <v>Local Bakery</v>
      </c>
      <c r="H469" s="33">
        <f>'Expense Details'!V2576</f>
        <v>31.6386</v>
      </c>
      <c r="I469" s="33">
        <f>'Expense Details'!Z2576</f>
        <v>25</v>
      </c>
      <c r="J469" s="33">
        <f>H469-I469</f>
        <v>6.6386000000000003</v>
      </c>
      <c r="K469" s="34">
        <f>IFERROR(MAX(0,H469/I469-1),0)</f>
        <v>0.265544</v>
      </c>
      <c r="L469" s="31" t="str">
        <f>'Expense Details'!AC2576</f>
        <v>No</v>
      </c>
      <c r="M469" s="35" t="s">
        <v>3504</v>
      </c>
      <c r="N469" s="31" t="str">
        <f>'Expense Details'!AG2576</f>
        <v>Approved</v>
      </c>
      <c r="O469" s="31" t="str">
        <f>'Expense Details'!F2576</f>
        <v>David Chen</v>
      </c>
    </row>
    <row r="470" spans="1:15">
      <c r="A470" s="31" t="str">
        <f>'Expense Details'!A2578</f>
        <v>EXP-02577</v>
      </c>
      <c r="B470" s="31" t="str">
        <f>'Expense Details'!C2578</f>
        <v>Meera Krishnan</v>
      </c>
      <c r="C470" s="31" t="str">
        <f>'Expense Details'!D2578</f>
        <v>Finance</v>
      </c>
      <c r="D470" s="31" t="str">
        <f>'Expense Details'!G2578</f>
        <v>TRP-2025-127</v>
      </c>
      <c r="E470" s="32">
        <f>'Expense Details'!M2578</f>
        <v>45958</v>
      </c>
      <c r="F470" s="31" t="str">
        <f>'Expense Details'!O2578</f>
        <v>Meals - Lunch</v>
      </c>
      <c r="G470" s="31" t="str">
        <f>'Expense Details'!Q2578</f>
        <v>Local Bistro</v>
      </c>
      <c r="H470" s="33">
        <f>'Expense Details'!V2578</f>
        <v>30.04365</v>
      </c>
      <c r="I470" s="33">
        <f>'Expense Details'!Z2578</f>
        <v>35</v>
      </c>
      <c r="J470" s="33">
        <f>H470-I470</f>
        <v>-4.9563500000000005</v>
      </c>
      <c r="K470" s="34">
        <f>IFERROR(MAX(0,H470/I470-1),0)</f>
        <v>0</v>
      </c>
      <c r="L470" s="31" t="str">
        <f>'Expense Details'!AC2578</f>
        <v>No</v>
      </c>
      <c r="M470" s="35" t="s">
        <v>3503</v>
      </c>
      <c r="N470" s="31" t="str">
        <f>'Expense Details'!AG2578</f>
        <v>Approved</v>
      </c>
      <c r="O470" s="31" t="str">
        <f>'Expense Details'!F2578</f>
        <v>David Chen</v>
      </c>
    </row>
    <row r="471" spans="1:15">
      <c r="A471" s="31" t="str">
        <f>'Expense Details'!A2580</f>
        <v>EXP-02579</v>
      </c>
      <c r="B471" s="31" t="str">
        <f>'Expense Details'!C2580</f>
        <v>Aisha Bello</v>
      </c>
      <c r="C471" s="31" t="str">
        <f>'Expense Details'!D2580</f>
        <v>Operations</v>
      </c>
      <c r="D471" s="31" t="str">
        <f>'Expense Details'!G2580</f>
        <v>TRP-2025-011</v>
      </c>
      <c r="E471" s="32">
        <f>'Expense Details'!M2580</f>
        <v>45959</v>
      </c>
      <c r="F471" s="31" t="str">
        <f>'Expense Details'!O2580</f>
        <v>Meals - Dinner</v>
      </c>
      <c r="G471" s="31" t="str">
        <f>'Expense Details'!Q2580</f>
        <v>Osteria Vela</v>
      </c>
      <c r="H471" s="33">
        <f>'Expense Details'!V2580</f>
        <v>112.25</v>
      </c>
      <c r="I471" s="33">
        <f>'Expense Details'!Z2580</f>
        <v>75</v>
      </c>
      <c r="J471" s="33">
        <f>H471-I471</f>
        <v>37.25</v>
      </c>
      <c r="K471" s="34">
        <f>IFERROR(MAX(0,H471/I471-1),0)</f>
        <v>0.49666666666666659</v>
      </c>
      <c r="L471" s="31" t="str">
        <f>'Expense Details'!AC2580</f>
        <v>Yes</v>
      </c>
      <c r="M471" s="35" t="s">
        <v>3502</v>
      </c>
      <c r="N471" s="31" t="str">
        <f>'Expense Details'!AG2580</f>
        <v>Approved</v>
      </c>
      <c r="O471" s="31" t="str">
        <f>'Expense Details'!F2580</f>
        <v>Viktor Petrov</v>
      </c>
    </row>
    <row r="472" spans="1:15">
      <c r="A472" s="31" t="str">
        <f>'Expense Details'!A2581</f>
        <v>EXP-02580</v>
      </c>
      <c r="B472" s="31" t="str">
        <f>'Expense Details'!C2581</f>
        <v>Aisha Bello</v>
      </c>
      <c r="C472" s="31" t="str">
        <f>'Expense Details'!D2581</f>
        <v>Operations</v>
      </c>
      <c r="D472" s="31" t="str">
        <f>'Expense Details'!G2581</f>
        <v>TRP-2025-011</v>
      </c>
      <c r="E472" s="32">
        <f>'Expense Details'!M2581</f>
        <v>45959</v>
      </c>
      <c r="F472" s="31" t="str">
        <f>'Expense Details'!O2581</f>
        <v>Meals - Lunch</v>
      </c>
      <c r="G472" s="31" t="str">
        <f>'Expense Details'!Q2581</f>
        <v>Food Court</v>
      </c>
      <c r="H472" s="33">
        <f>'Expense Details'!V2581</f>
        <v>27.52</v>
      </c>
      <c r="I472" s="33">
        <f>'Expense Details'!Z2581</f>
        <v>35</v>
      </c>
      <c r="J472" s="33">
        <f>H472-I472</f>
        <v>-7.48</v>
      </c>
      <c r="K472" s="34">
        <f>IFERROR(MAX(0,H472/I472-1),0)</f>
        <v>0</v>
      </c>
      <c r="L472" s="31" t="str">
        <f>'Expense Details'!AC2581</f>
        <v>No</v>
      </c>
      <c r="M472" s="35" t="s">
        <v>3503</v>
      </c>
      <c r="N472" s="31" t="str">
        <f>'Expense Details'!AG2581</f>
        <v>Approved</v>
      </c>
      <c r="O472" s="31" t="str">
        <f>'Expense Details'!F2581</f>
        <v>Viktor Petrov</v>
      </c>
    </row>
    <row r="473" spans="1:15">
      <c r="A473" s="31" t="str">
        <f>'Expense Details'!A2582</f>
        <v>EXP-02581</v>
      </c>
      <c r="B473" s="31" t="str">
        <f>'Expense Details'!C2582</f>
        <v>Hannah Weiss</v>
      </c>
      <c r="C473" s="31" t="str">
        <f>'Expense Details'!D2582</f>
        <v>Field Engineering</v>
      </c>
      <c r="D473" s="31" t="str">
        <f>'Expense Details'!G2582</f>
        <v>TRP-2025-029</v>
      </c>
      <c r="E473" s="32">
        <f>'Expense Details'!M2582</f>
        <v>45959</v>
      </c>
      <c r="F473" s="31" t="str">
        <f>'Expense Details'!O2582</f>
        <v>Ground Transport - Taxi</v>
      </c>
      <c r="G473" s="31" t="str">
        <f>'Expense Details'!Q2582</f>
        <v>Grab</v>
      </c>
      <c r="H473" s="33">
        <f>'Expense Details'!V2582</f>
        <v>45.31</v>
      </c>
      <c r="I473" s="33">
        <f>'Expense Details'!Z2582</f>
        <v>60</v>
      </c>
      <c r="J473" s="33">
        <f>H473-I473</f>
        <v>-14.689999999999998</v>
      </c>
      <c r="K473" s="34">
        <f>IFERROR(MAX(0,H473/I473-1),0)</f>
        <v>0</v>
      </c>
      <c r="L473" s="31" t="str">
        <f>'Expense Details'!AC2582</f>
        <v>No</v>
      </c>
      <c r="M473" s="35" t="s">
        <v>3503</v>
      </c>
      <c r="N473" s="31" t="str">
        <f>'Expense Details'!AG2582</f>
        <v>Approved</v>
      </c>
      <c r="O473" s="31" t="str">
        <f>'Expense Details'!F2582</f>
        <v>Tomas Kovac</v>
      </c>
    </row>
    <row r="474" spans="1:15">
      <c r="A474" s="31" t="str">
        <f>'Expense Details'!A2602</f>
        <v>EXP-02601</v>
      </c>
      <c r="B474" s="31" t="str">
        <f>'Expense Details'!C2602</f>
        <v>David Chen</v>
      </c>
      <c r="C474" s="31" t="str">
        <f>'Expense Details'!D2602</f>
        <v>Finance</v>
      </c>
      <c r="D474" s="31" t="str">
        <f>'Expense Details'!G2602</f>
        <v>TRP-2025-087</v>
      </c>
      <c r="E474" s="32">
        <f>'Expense Details'!M2602</f>
        <v>45960</v>
      </c>
      <c r="F474" s="31" t="str">
        <f>'Expense Details'!O2602</f>
        <v>Airfare</v>
      </c>
      <c r="G474" s="31" t="str">
        <f>'Expense Details'!Q2602</f>
        <v>Lufthansa</v>
      </c>
      <c r="H474" s="33">
        <f>'Expense Details'!V2602</f>
        <v>1643.9377500000001</v>
      </c>
      <c r="I474" s="33">
        <f>'Expense Details'!Z2602</f>
        <v>1400</v>
      </c>
      <c r="J474" s="33">
        <f>H474-I474</f>
        <v>243.93775000000005</v>
      </c>
      <c r="K474" s="34">
        <f>IFERROR(MAX(0,H474/I474-1),0)</f>
        <v>0.17424125000000013</v>
      </c>
      <c r="L474" s="31" t="str">
        <f>'Expense Details'!AC2602</f>
        <v>No</v>
      </c>
      <c r="M474" s="35" t="s">
        <v>3504</v>
      </c>
      <c r="N474" s="31" t="str">
        <f>'Expense Details'!AG2602</f>
        <v>Approved</v>
      </c>
      <c r="O474" s="31" t="str">
        <f>'Expense Details'!F2602</f>
        <v>Diane Okafor</v>
      </c>
    </row>
    <row r="475" spans="1:15">
      <c r="A475" s="31" t="str">
        <f>'Expense Details'!A2605</f>
        <v>EXP-02604</v>
      </c>
      <c r="B475" s="31" t="str">
        <f>'Expense Details'!C2605</f>
        <v>David Chen</v>
      </c>
      <c r="C475" s="31" t="str">
        <f>'Expense Details'!D2605</f>
        <v>Finance</v>
      </c>
      <c r="D475" s="31" t="str">
        <f>'Expense Details'!G2605</f>
        <v>TRP-2025-087</v>
      </c>
      <c r="E475" s="32">
        <f>'Expense Details'!M2605</f>
        <v>45960</v>
      </c>
      <c r="F475" s="31" t="str">
        <f>'Expense Details'!O2605</f>
        <v>Meals - Dinner</v>
      </c>
      <c r="G475" s="31" t="str">
        <f>'Expense Details'!Q2605</f>
        <v>The Grill House</v>
      </c>
      <c r="H475" s="33">
        <f>'Expense Details'!V2605</f>
        <v>45.418099999999995</v>
      </c>
      <c r="I475" s="33">
        <f>'Expense Details'!Z2605</f>
        <v>75</v>
      </c>
      <c r="J475" s="33">
        <f>H475-I475</f>
        <v>-29.581900000000005</v>
      </c>
      <c r="K475" s="34">
        <f>IFERROR(MAX(0,H475/I475-1),0)</f>
        <v>0</v>
      </c>
      <c r="L475" s="31" t="str">
        <f>'Expense Details'!AC2605</f>
        <v>No</v>
      </c>
      <c r="M475" s="35" t="s">
        <v>3503</v>
      </c>
      <c r="N475" s="31" t="str">
        <f>'Expense Details'!AG2605</f>
        <v>Approved</v>
      </c>
      <c r="O475" s="31" t="str">
        <f>'Expense Details'!F2605</f>
        <v>Diane Okafor</v>
      </c>
    </row>
    <row r="476" spans="1:15">
      <c r="A476" s="31" t="str">
        <f>'Expense Details'!A2609</f>
        <v>EXP-02608</v>
      </c>
      <c r="B476" s="31" t="str">
        <f>'Expense Details'!C2609</f>
        <v>Aisha Bello</v>
      </c>
      <c r="C476" s="31" t="str">
        <f>'Expense Details'!D2609</f>
        <v>Operations</v>
      </c>
      <c r="D476" s="31" t="str">
        <f>'Expense Details'!G2609</f>
        <v>TRP-2025-011</v>
      </c>
      <c r="E476" s="32">
        <f>'Expense Details'!M2609</f>
        <v>45961</v>
      </c>
      <c r="F476" s="31" t="str">
        <f>'Expense Details'!O2609</f>
        <v>Ground Transport - Taxi</v>
      </c>
      <c r="G476" s="31" t="str">
        <f>'Expense Details'!Q2609</f>
        <v>Uber</v>
      </c>
      <c r="H476" s="33">
        <f>'Expense Details'!V2609</f>
        <v>23.34</v>
      </c>
      <c r="I476" s="33">
        <f>'Expense Details'!Z2609</f>
        <v>60</v>
      </c>
      <c r="J476" s="33">
        <f>H476-I476</f>
        <v>-36.659999999999997</v>
      </c>
      <c r="K476" s="34">
        <f>IFERROR(MAX(0,H476/I476-1),0)</f>
        <v>0</v>
      </c>
      <c r="L476" s="31" t="str">
        <f>'Expense Details'!AC2609</f>
        <v>No</v>
      </c>
      <c r="M476" s="35" t="s">
        <v>3503</v>
      </c>
      <c r="N476" s="31" t="str">
        <f>'Expense Details'!AG2609</f>
        <v>Approved</v>
      </c>
      <c r="O476" s="31" t="str">
        <f>'Expense Details'!F2609</f>
        <v>Viktor Petrov</v>
      </c>
    </row>
    <row r="477" spans="1:15">
      <c r="A477" s="31" t="str">
        <f>'Expense Details'!A2614</f>
        <v>EXP-02613</v>
      </c>
      <c r="B477" s="31" t="str">
        <f>'Expense Details'!C2614</f>
        <v>Hannah Weiss</v>
      </c>
      <c r="C477" s="31" t="str">
        <f>'Expense Details'!D2614</f>
        <v>Field Engineering</v>
      </c>
      <c r="D477" s="31" t="str">
        <f>'Expense Details'!G2614</f>
        <v>TRP-2025-029</v>
      </c>
      <c r="E477" s="32">
        <f>'Expense Details'!M2614</f>
        <v>45961</v>
      </c>
      <c r="F477" s="31" t="str">
        <f>'Expense Details'!O2614</f>
        <v>Meals - Lunch</v>
      </c>
      <c r="G477" s="31" t="str">
        <f>'Expense Details'!Q2614</f>
        <v>Sweetgreen</v>
      </c>
      <c r="H477" s="33">
        <f>'Expense Details'!V2614</f>
        <v>26.21</v>
      </c>
      <c r="I477" s="33">
        <f>'Expense Details'!Z2614</f>
        <v>35</v>
      </c>
      <c r="J477" s="33">
        <f>H477-I477</f>
        <v>-8.7899999999999991</v>
      </c>
      <c r="K477" s="34">
        <f>IFERROR(MAX(0,H477/I477-1),0)</f>
        <v>0</v>
      </c>
      <c r="L477" s="31" t="str">
        <f>'Expense Details'!AC2614</f>
        <v>No</v>
      </c>
      <c r="M477" s="35" t="s">
        <v>3503</v>
      </c>
      <c r="N477" s="31" t="str">
        <f>'Expense Details'!AG2614</f>
        <v>Approved</v>
      </c>
      <c r="O477" s="31" t="str">
        <f>'Expense Details'!F2614</f>
        <v>Tomas Kovac</v>
      </c>
    </row>
    <row r="478" spans="1:15">
      <c r="A478" s="31" t="str">
        <f>'Expense Details'!A2639</f>
        <v>EXP-02638</v>
      </c>
      <c r="B478" s="31" t="str">
        <f>'Expense Details'!C2639</f>
        <v>Ananya Sengupta</v>
      </c>
      <c r="C478" s="31" t="str">
        <f>'Expense Details'!D2639</f>
        <v>Sales</v>
      </c>
      <c r="D478" s="31" t="str">
        <f>'Expense Details'!G2639</f>
        <v>TRP-2025-098</v>
      </c>
      <c r="E478" s="32">
        <f>'Expense Details'!M2639</f>
        <v>45963</v>
      </c>
      <c r="F478" s="31" t="str">
        <f>'Expense Details'!O2639</f>
        <v>Meals - Dinner</v>
      </c>
      <c r="G478" s="31" t="str">
        <f>'Expense Details'!Q2639</f>
        <v>Spice Route</v>
      </c>
      <c r="H478" s="33">
        <f>'Expense Details'!V2639</f>
        <v>101.9683</v>
      </c>
      <c r="I478" s="33">
        <f>'Expense Details'!Z2639</f>
        <v>75</v>
      </c>
      <c r="J478" s="33">
        <f>H478-I478</f>
        <v>26.968299999999999</v>
      </c>
      <c r="K478" s="34">
        <f>IFERROR(MAX(0,H478/I478-1),0)</f>
        <v>0.35957733333333342</v>
      </c>
      <c r="L478" s="31" t="str">
        <f>'Expense Details'!AC2639</f>
        <v>Yes</v>
      </c>
      <c r="M478" s="35" t="s">
        <v>3502</v>
      </c>
      <c r="N478" s="31" t="str">
        <f>'Expense Details'!AG2639</f>
        <v>Approved</v>
      </c>
      <c r="O478" s="31" t="str">
        <f>'Expense Details'!F2639</f>
        <v>Marcus Bell</v>
      </c>
    </row>
    <row r="479" spans="1:15">
      <c r="A479" s="31" t="str">
        <f>'Expense Details'!A2652</f>
        <v>EXP-02651</v>
      </c>
      <c r="B479" s="31" t="str">
        <f>'Expense Details'!C2652</f>
        <v>David Chen</v>
      </c>
      <c r="C479" s="31" t="str">
        <f>'Expense Details'!D2652</f>
        <v>Finance</v>
      </c>
      <c r="D479" s="31" t="str">
        <f>'Expense Details'!G2652</f>
        <v>TRP-2025-087</v>
      </c>
      <c r="E479" s="32">
        <f>'Expense Details'!M2652</f>
        <v>45965</v>
      </c>
      <c r="F479" s="31" t="str">
        <f>'Expense Details'!O2652</f>
        <v>Meals - Dinner</v>
      </c>
      <c r="G479" s="31" t="str">
        <f>'Expense Details'!Q2652</f>
        <v>Sakura Izakaya</v>
      </c>
      <c r="H479" s="33">
        <f>'Expense Details'!V2652</f>
        <v>67.899299999999997</v>
      </c>
      <c r="I479" s="33">
        <f>'Expense Details'!Z2652</f>
        <v>75</v>
      </c>
      <c r="J479" s="33">
        <f>H479-I479</f>
        <v>-7.1007000000000033</v>
      </c>
      <c r="K479" s="34">
        <f>IFERROR(MAX(0,H479/I479-1),0)</f>
        <v>0</v>
      </c>
      <c r="L479" s="31" t="str">
        <f>'Expense Details'!AC2652</f>
        <v>No</v>
      </c>
      <c r="M479" s="35" t="s">
        <v>3503</v>
      </c>
      <c r="N479" s="31" t="str">
        <f>'Expense Details'!AG2652</f>
        <v>Approved</v>
      </c>
      <c r="O479" s="31" t="str">
        <f>'Expense Details'!F2652</f>
        <v>Diane Okafor</v>
      </c>
    </row>
    <row r="480" spans="1:15">
      <c r="A480" s="31" t="str">
        <f>'Expense Details'!A2667</f>
        <v>EXP-02666</v>
      </c>
      <c r="B480" s="31" t="str">
        <f>'Expense Details'!C2667</f>
        <v>Ananya Sengupta</v>
      </c>
      <c r="C480" s="31" t="str">
        <f>'Expense Details'!D2667</f>
        <v>Sales</v>
      </c>
      <c r="D480" s="31" t="str">
        <f>'Expense Details'!G2667</f>
        <v>TRP-2025-098</v>
      </c>
      <c r="E480" s="32">
        <f>'Expense Details'!M2667</f>
        <v>45966</v>
      </c>
      <c r="F480" s="31" t="str">
        <f>'Expense Details'!O2667</f>
        <v>Laundry</v>
      </c>
      <c r="G480" s="31" t="str">
        <f>'Expense Details'!Q2667</f>
        <v>Hotel Laundry Service</v>
      </c>
      <c r="H480" s="33">
        <f>'Expense Details'!V2667</f>
        <v>44.257149999999996</v>
      </c>
      <c r="I480" s="33">
        <f>'Expense Details'!Z2667</f>
        <v>30</v>
      </c>
      <c r="J480" s="33">
        <f>H480-I480</f>
        <v>14.257149999999996</v>
      </c>
      <c r="K480" s="34">
        <f>IFERROR(MAX(0,H480/I480-1),0)</f>
        <v>0.47523833333333321</v>
      </c>
      <c r="L480" s="31" t="str">
        <f>'Expense Details'!AC2667</f>
        <v>Yes</v>
      </c>
      <c r="M480" s="35" t="s">
        <v>3502</v>
      </c>
      <c r="N480" s="31" t="str">
        <f>'Expense Details'!AG2667</f>
        <v>Approved</v>
      </c>
      <c r="O480" s="31" t="str">
        <f>'Expense Details'!F2667</f>
        <v>Marcus Bell</v>
      </c>
    </row>
    <row r="481" spans="1:15">
      <c r="A481" s="31" t="str">
        <f>'Expense Details'!A2669</f>
        <v>EXP-02668</v>
      </c>
      <c r="B481" s="31" t="str">
        <f>'Expense Details'!C2669</f>
        <v>Ananya Sengupta</v>
      </c>
      <c r="C481" s="31" t="str">
        <f>'Expense Details'!D2669</f>
        <v>Sales</v>
      </c>
      <c r="D481" s="31" t="str">
        <f>'Expense Details'!G2669</f>
        <v>TRP-2025-098</v>
      </c>
      <c r="E481" s="32">
        <f>'Expense Details'!M2669</f>
        <v>45966</v>
      </c>
      <c r="F481" s="31" t="str">
        <f>'Expense Details'!O2669</f>
        <v>Meals - Dinner</v>
      </c>
      <c r="G481" s="31" t="str">
        <f>'Expense Details'!Q2669</f>
        <v>The Grill House</v>
      </c>
      <c r="H481" s="33">
        <f>'Expense Details'!V2669</f>
        <v>79.248400000000004</v>
      </c>
      <c r="I481" s="33">
        <f>'Expense Details'!Z2669</f>
        <v>75</v>
      </c>
      <c r="J481" s="33">
        <f>H481-I481</f>
        <v>4.2484000000000037</v>
      </c>
      <c r="K481" s="34">
        <f>IFERROR(MAX(0,H481/I481-1),0)</f>
        <v>5.6645333333333436E-2</v>
      </c>
      <c r="L481" s="31" t="str">
        <f>'Expense Details'!AC2669</f>
        <v>No</v>
      </c>
      <c r="M481" s="35" t="s">
        <v>3504</v>
      </c>
      <c r="N481" s="31" t="str">
        <f>'Expense Details'!AG2669</f>
        <v>Approved</v>
      </c>
      <c r="O481" s="31" t="str">
        <f>'Expense Details'!F2669</f>
        <v>Marcus Bell</v>
      </c>
    </row>
    <row r="482" spans="1:15">
      <c r="A482" s="31" t="str">
        <f>'Expense Details'!A2672</f>
        <v>EXP-02671</v>
      </c>
      <c r="B482" s="31" t="str">
        <f>'Expense Details'!C2672</f>
        <v>Elena Duarte</v>
      </c>
      <c r="C482" s="31" t="str">
        <f>'Expense Details'!D2672</f>
        <v>Product</v>
      </c>
      <c r="D482" s="31" t="str">
        <f>'Expense Details'!G2672</f>
        <v>TRP-2025-042</v>
      </c>
      <c r="E482" s="32">
        <f>'Expense Details'!M2672</f>
        <v>45967</v>
      </c>
      <c r="F482" s="31" t="str">
        <f>'Expense Details'!O2672</f>
        <v>Meals - Breakfast</v>
      </c>
      <c r="G482" s="31" t="str">
        <f>'Expense Details'!Q2672</f>
        <v>Local Bakery</v>
      </c>
      <c r="H482" s="33">
        <f>'Expense Details'!V2672</f>
        <v>13.089919999999998</v>
      </c>
      <c r="I482" s="33">
        <f>'Expense Details'!Z2672</f>
        <v>25</v>
      </c>
      <c r="J482" s="33">
        <f>H482-I482</f>
        <v>-11.910080000000002</v>
      </c>
      <c r="K482" s="34">
        <f>IFERROR(MAX(0,H482/I482-1),0)</f>
        <v>0</v>
      </c>
      <c r="L482" s="31" t="str">
        <f>'Expense Details'!AC2672</f>
        <v>No</v>
      </c>
      <c r="M482" s="35" t="s">
        <v>3503</v>
      </c>
      <c r="N482" s="31" t="str">
        <f>'Expense Details'!AG2672</f>
        <v>Approved</v>
      </c>
      <c r="O482" s="31" t="str">
        <f>'Expense Details'!F2672</f>
        <v>Diane Okafor</v>
      </c>
    </row>
    <row r="483" spans="1:15">
      <c r="A483" s="31" t="str">
        <f>'Expense Details'!A2682</f>
        <v>EXP-02681</v>
      </c>
      <c r="B483" s="31" t="str">
        <f>'Expense Details'!C2682</f>
        <v>Meera Krishnan</v>
      </c>
      <c r="C483" s="31" t="str">
        <f>'Expense Details'!D2682</f>
        <v>Finance</v>
      </c>
      <c r="D483" s="31" t="str">
        <f>'Expense Details'!G2682</f>
        <v>TRP-2025-019</v>
      </c>
      <c r="E483" s="32">
        <f>'Expense Details'!M2682</f>
        <v>45968</v>
      </c>
      <c r="F483" s="31" t="str">
        <f>'Expense Details'!O2682</f>
        <v>Meals - Breakfast</v>
      </c>
      <c r="G483" s="31" t="str">
        <f>'Expense Details'!Q2682</f>
        <v>Local Bakery</v>
      </c>
      <c r="H483" s="33">
        <f>'Expense Details'!V2682</f>
        <v>36.450000000000003</v>
      </c>
      <c r="I483" s="33">
        <f>'Expense Details'!Z2682</f>
        <v>25</v>
      </c>
      <c r="J483" s="33">
        <f>H483-I483</f>
        <v>11.450000000000003</v>
      </c>
      <c r="K483" s="34">
        <f>IFERROR(MAX(0,H483/I483-1),0)</f>
        <v>0.45800000000000018</v>
      </c>
      <c r="L483" s="31" t="str">
        <f>'Expense Details'!AC2682</f>
        <v>Yes</v>
      </c>
      <c r="M483" s="35" t="s">
        <v>3502</v>
      </c>
      <c r="N483" s="31" t="str">
        <f>'Expense Details'!AG2682</f>
        <v>Approved</v>
      </c>
      <c r="O483" s="31" t="str">
        <f>'Expense Details'!F2682</f>
        <v>David Chen</v>
      </c>
    </row>
    <row r="484" spans="1:15">
      <c r="A484" s="31" t="str">
        <f>'Expense Details'!A2683</f>
        <v>EXP-02682</v>
      </c>
      <c r="B484" s="31" t="str">
        <f>'Expense Details'!C2683</f>
        <v>Meera Krishnan</v>
      </c>
      <c r="C484" s="31" t="str">
        <f>'Expense Details'!D2683</f>
        <v>Finance</v>
      </c>
      <c r="D484" s="31" t="str">
        <f>'Expense Details'!G2683</f>
        <v>TRP-2025-019</v>
      </c>
      <c r="E484" s="32">
        <f>'Expense Details'!M2683</f>
        <v>45968</v>
      </c>
      <c r="F484" s="31" t="str">
        <f>'Expense Details'!O2683</f>
        <v>Meals - Dinner</v>
      </c>
      <c r="G484" s="31" t="str">
        <f>'Expense Details'!Q2683</f>
        <v>Sakura Izakaya</v>
      </c>
      <c r="H484" s="33">
        <f>'Expense Details'!V2683</f>
        <v>98.57</v>
      </c>
      <c r="I484" s="33">
        <f>'Expense Details'!Z2683</f>
        <v>75</v>
      </c>
      <c r="J484" s="33">
        <f>H484-I484</f>
        <v>23.569999999999993</v>
      </c>
      <c r="K484" s="34">
        <f>IFERROR(MAX(0,H484/I484-1),0)</f>
        <v>0.31426666666666647</v>
      </c>
      <c r="L484" s="31" t="str">
        <f>'Expense Details'!AC2683</f>
        <v>Yes</v>
      </c>
      <c r="M484" s="35" t="s">
        <v>3502</v>
      </c>
      <c r="N484" s="31" t="str">
        <f>'Expense Details'!AG2683</f>
        <v>Approved</v>
      </c>
      <c r="O484" s="31" t="str">
        <f>'Expense Details'!F2683</f>
        <v>David Chen</v>
      </c>
    </row>
    <row r="485" spans="1:15">
      <c r="A485" s="31" t="str">
        <f>'Expense Details'!A2694</f>
        <v>EXP-02693</v>
      </c>
      <c r="B485" s="31" t="str">
        <f>'Expense Details'!C2694</f>
        <v>Samuel Adeyemi</v>
      </c>
      <c r="C485" s="31" t="str">
        <f>'Expense Details'!D2694</f>
        <v>Field Engineering</v>
      </c>
      <c r="D485" s="31" t="str">
        <f>'Expense Details'!G2694</f>
        <v>TRP-2025-070</v>
      </c>
      <c r="E485" s="32">
        <f>'Expense Details'!M2694</f>
        <v>45971</v>
      </c>
      <c r="F485" s="31" t="str">
        <f>'Expense Details'!O2694</f>
        <v>Airfare</v>
      </c>
      <c r="G485" s="31" t="str">
        <f>'Expense Details'!Q2694</f>
        <v>United Airlines</v>
      </c>
      <c r="H485" s="33">
        <f>'Expense Details'!V2694</f>
        <v>1527.6056099999998</v>
      </c>
      <c r="I485" s="33">
        <f>'Expense Details'!Z2694</f>
        <v>1400</v>
      </c>
      <c r="J485" s="33">
        <f>H485-I485</f>
        <v>127.60560999999984</v>
      </c>
      <c r="K485" s="34">
        <f>IFERROR(MAX(0,H485/I485-1),0)</f>
        <v>9.114686428571428E-2</v>
      </c>
      <c r="L485" s="31" t="str">
        <f>'Expense Details'!AC2694</f>
        <v>Yes</v>
      </c>
      <c r="M485" s="35" t="s">
        <v>3502</v>
      </c>
      <c r="N485" s="31" t="str">
        <f>'Expense Details'!AG2694</f>
        <v>Approved</v>
      </c>
      <c r="O485" s="31" t="str">
        <f>'Expense Details'!F2694</f>
        <v>Tomas Kovac</v>
      </c>
    </row>
    <row r="486" spans="1:15">
      <c r="A486" s="31" t="str">
        <f>'Expense Details'!A2707</f>
        <v>EXP-02706</v>
      </c>
      <c r="B486" s="31" t="str">
        <f>'Expense Details'!C2707</f>
        <v>David Chen</v>
      </c>
      <c r="C486" s="31" t="str">
        <f>'Expense Details'!D2707</f>
        <v>Finance</v>
      </c>
      <c r="D486" s="31" t="str">
        <f>'Expense Details'!G2707</f>
        <v>TRP-2025-067</v>
      </c>
      <c r="E486" s="32">
        <f>'Expense Details'!M2707</f>
        <v>45973</v>
      </c>
      <c r="F486" s="31" t="str">
        <f>'Expense Details'!O2707</f>
        <v>Airfare</v>
      </c>
      <c r="G486" s="31" t="str">
        <f>'Expense Details'!Q2707</f>
        <v>Singapore Airlines</v>
      </c>
      <c r="H486" s="33">
        <f>'Expense Details'!V2707</f>
        <v>1323.82133</v>
      </c>
      <c r="I486" s="33">
        <f>'Expense Details'!Z2707</f>
        <v>1400</v>
      </c>
      <c r="J486" s="33">
        <f>H486-I486</f>
        <v>-76.178670000000011</v>
      </c>
      <c r="K486" s="34">
        <f>IFERROR(MAX(0,H486/I486-1),0)</f>
        <v>0</v>
      </c>
      <c r="L486" s="31" t="str">
        <f>'Expense Details'!AC2707</f>
        <v>No</v>
      </c>
      <c r="M486" s="35" t="s">
        <v>3503</v>
      </c>
      <c r="N486" s="31" t="str">
        <f>'Expense Details'!AG2707</f>
        <v>Approved</v>
      </c>
      <c r="O486" s="31" t="str">
        <f>'Expense Details'!F2707</f>
        <v>Diane Okafor</v>
      </c>
    </row>
    <row r="487" spans="1:15">
      <c r="A487" s="31" t="str">
        <f>'Expense Details'!A2708</f>
        <v>EXP-02707</v>
      </c>
      <c r="B487" s="31" t="str">
        <f>'Expense Details'!C2708</f>
        <v>David Chen</v>
      </c>
      <c r="C487" s="31" t="str">
        <f>'Expense Details'!D2708</f>
        <v>Finance</v>
      </c>
      <c r="D487" s="31" t="str">
        <f>'Expense Details'!G2708</f>
        <v>TRP-2025-067</v>
      </c>
      <c r="E487" s="32">
        <f>'Expense Details'!M2708</f>
        <v>45973</v>
      </c>
      <c r="F487" s="31" t="str">
        <f>'Expense Details'!O2708</f>
        <v>Meals - Breakfast</v>
      </c>
      <c r="G487" s="31" t="str">
        <f>'Expense Details'!Q2708</f>
        <v>Hotel Restaurant</v>
      </c>
      <c r="H487" s="33">
        <f>'Expense Details'!V2708</f>
        <v>35.39817</v>
      </c>
      <c r="I487" s="33">
        <f>'Expense Details'!Z2708</f>
        <v>25</v>
      </c>
      <c r="J487" s="33">
        <f>H487-I487</f>
        <v>10.39817</v>
      </c>
      <c r="K487" s="34">
        <f>IFERROR(MAX(0,H487/I487-1),0)</f>
        <v>0.41592680000000004</v>
      </c>
      <c r="L487" s="31" t="str">
        <f>'Expense Details'!AC2708</f>
        <v>Yes</v>
      </c>
      <c r="M487" s="35" t="s">
        <v>3502</v>
      </c>
      <c r="N487" s="31" t="str">
        <f>'Expense Details'!AG2708</f>
        <v>Approved</v>
      </c>
      <c r="O487" s="31" t="str">
        <f>'Expense Details'!F2708</f>
        <v>Diane Okafor</v>
      </c>
    </row>
    <row r="488" spans="1:15">
      <c r="A488" s="31" t="str">
        <f>'Expense Details'!A2712</f>
        <v>EXP-02711</v>
      </c>
      <c r="B488" s="31" t="str">
        <f>'Expense Details'!C2712</f>
        <v>Samuel Adeyemi</v>
      </c>
      <c r="C488" s="31" t="str">
        <f>'Expense Details'!D2712</f>
        <v>Field Engineering</v>
      </c>
      <c r="D488" s="31" t="str">
        <f>'Expense Details'!G2712</f>
        <v>TRP-2025-070</v>
      </c>
      <c r="E488" s="32">
        <f>'Expense Details'!M2712</f>
        <v>45973</v>
      </c>
      <c r="F488" s="31" t="str">
        <f>'Expense Details'!O2712</f>
        <v>Meals - Dinner</v>
      </c>
      <c r="G488" s="31" t="str">
        <f>'Expense Details'!Q2712</f>
        <v>The Grill House</v>
      </c>
      <c r="H488" s="33">
        <f>'Expense Details'!V2712</f>
        <v>70.104919999999993</v>
      </c>
      <c r="I488" s="33">
        <f>'Expense Details'!Z2712</f>
        <v>75</v>
      </c>
      <c r="J488" s="33">
        <f>H488-I488</f>
        <v>-4.8950800000000072</v>
      </c>
      <c r="K488" s="34">
        <f>IFERROR(MAX(0,H488/I488-1),0)</f>
        <v>0</v>
      </c>
      <c r="L488" s="31" t="str">
        <f>'Expense Details'!AC2712</f>
        <v>No</v>
      </c>
      <c r="M488" s="35" t="s">
        <v>3503</v>
      </c>
      <c r="N488" s="31" t="str">
        <f>'Expense Details'!AG2712</f>
        <v>Approved</v>
      </c>
      <c r="O488" s="31" t="str">
        <f>'Expense Details'!F2712</f>
        <v>Tomas Kovac</v>
      </c>
    </row>
    <row r="489" spans="1:15">
      <c r="A489" s="31" t="str">
        <f>'Expense Details'!A2713</f>
        <v>EXP-02712</v>
      </c>
      <c r="B489" s="31" t="str">
        <f>'Expense Details'!C2713</f>
        <v>Samuel Adeyemi</v>
      </c>
      <c r="C489" s="31" t="str">
        <f>'Expense Details'!D2713</f>
        <v>Field Engineering</v>
      </c>
      <c r="D489" s="31" t="str">
        <f>'Expense Details'!G2713</f>
        <v>TRP-2025-070</v>
      </c>
      <c r="E489" s="32">
        <f>'Expense Details'!M2713</f>
        <v>45973</v>
      </c>
      <c r="F489" s="31" t="str">
        <f>'Expense Details'!O2713</f>
        <v>Meals - Lunch</v>
      </c>
      <c r="G489" s="31" t="str">
        <f>'Expense Details'!Q2713</f>
        <v>Sweetgreen</v>
      </c>
      <c r="H489" s="33">
        <f>'Expense Details'!V2713</f>
        <v>28.00975</v>
      </c>
      <c r="I489" s="33">
        <f>'Expense Details'!Z2713</f>
        <v>35</v>
      </c>
      <c r="J489" s="33">
        <f>H489-I489</f>
        <v>-6.9902499999999996</v>
      </c>
      <c r="K489" s="34">
        <f>IFERROR(MAX(0,H489/I489-1),0)</f>
        <v>0</v>
      </c>
      <c r="L489" s="31" t="str">
        <f>'Expense Details'!AC2713</f>
        <v>No</v>
      </c>
      <c r="M489" s="35" t="s">
        <v>3503</v>
      </c>
      <c r="N489" s="31" t="str">
        <f>'Expense Details'!AG2713</f>
        <v>Approved</v>
      </c>
      <c r="O489" s="31" t="str">
        <f>'Expense Details'!F2713</f>
        <v>Tomas Kovac</v>
      </c>
    </row>
    <row r="490" spans="1:15">
      <c r="A490" s="31" t="str">
        <f>'Expense Details'!A2716</f>
        <v>EXP-02715</v>
      </c>
      <c r="B490" s="31" t="str">
        <f>'Expense Details'!C2716</f>
        <v>Viktor Petrov</v>
      </c>
      <c r="C490" s="31" t="str">
        <f>'Expense Details'!D2716</f>
        <v>Operations</v>
      </c>
      <c r="D490" s="31" t="str">
        <f>'Expense Details'!G2716</f>
        <v>TRP-2025-044</v>
      </c>
      <c r="E490" s="32">
        <f>'Expense Details'!M2716</f>
        <v>45974</v>
      </c>
      <c r="F490" s="31" t="str">
        <f>'Expense Details'!O2716</f>
        <v>Hotel / Lodging</v>
      </c>
      <c r="G490" s="31" t="str">
        <f>'Expense Details'!Q2716</f>
        <v>Novotel</v>
      </c>
      <c r="H490" s="33">
        <f>'Expense Details'!V2716</f>
        <v>1508.63</v>
      </c>
      <c r="I490" s="33">
        <f>'Expense Details'!Z2716</f>
        <v>1120</v>
      </c>
      <c r="J490" s="33">
        <f>H490-I490</f>
        <v>388.63000000000011</v>
      </c>
      <c r="K490" s="34">
        <f>IFERROR(MAX(0,H490/I490-1),0)</f>
        <v>0.34699107142857155</v>
      </c>
      <c r="L490" s="31" t="str">
        <f>'Expense Details'!AC2716</f>
        <v>Yes</v>
      </c>
      <c r="M490" s="35" t="s">
        <v>3502</v>
      </c>
      <c r="N490" s="31" t="str">
        <f>'Expense Details'!AG2716</f>
        <v>Approved</v>
      </c>
      <c r="O490" s="31" t="str">
        <f>'Expense Details'!F2716</f>
        <v>Diane Okafor</v>
      </c>
    </row>
    <row r="491" spans="1:15">
      <c r="A491" s="31" t="str">
        <f>'Expense Details'!A2720</f>
        <v>EXP-02719</v>
      </c>
      <c r="B491" s="31" t="str">
        <f>'Expense Details'!C2720</f>
        <v>Hannah Weiss</v>
      </c>
      <c r="C491" s="31" t="str">
        <f>'Expense Details'!D2720</f>
        <v>Field Engineering</v>
      </c>
      <c r="D491" s="31" t="str">
        <f>'Expense Details'!G2720</f>
        <v>TRP-2025-060</v>
      </c>
      <c r="E491" s="32">
        <f>'Expense Details'!M2720</f>
        <v>45974</v>
      </c>
      <c r="F491" s="31" t="str">
        <f>'Expense Details'!O2720</f>
        <v>Airfare</v>
      </c>
      <c r="G491" s="31" t="str">
        <f>'Expense Details'!Q2720</f>
        <v>United Airlines</v>
      </c>
      <c r="H491" s="33">
        <f>'Expense Details'!V2720</f>
        <v>3501.7398499999999</v>
      </c>
      <c r="I491" s="33">
        <f>'Expense Details'!Z2720</f>
        <v>1400</v>
      </c>
      <c r="J491" s="33">
        <f>H491-I491</f>
        <v>2101.7398499999999</v>
      </c>
      <c r="K491" s="34">
        <f>IFERROR(MAX(0,H491/I491-1),0)</f>
        <v>1.5012427499999998</v>
      </c>
      <c r="L491" s="31" t="str">
        <f>'Expense Details'!AC2720</f>
        <v>Yes</v>
      </c>
      <c r="M491" s="35" t="s">
        <v>3502</v>
      </c>
      <c r="N491" s="31" t="str">
        <f>'Expense Details'!AG2720</f>
        <v>Approved</v>
      </c>
      <c r="O491" s="31" t="str">
        <f>'Expense Details'!F2720</f>
        <v>Tomas Kovac</v>
      </c>
    </row>
    <row r="492" spans="1:15">
      <c r="A492" s="31" t="str">
        <f>'Expense Details'!A2721</f>
        <v>EXP-02720</v>
      </c>
      <c r="B492" s="31" t="str">
        <f>'Expense Details'!C2721</f>
        <v>Hannah Weiss</v>
      </c>
      <c r="C492" s="31" t="str">
        <f>'Expense Details'!D2721</f>
        <v>Field Engineering</v>
      </c>
      <c r="D492" s="31" t="str">
        <f>'Expense Details'!G2721</f>
        <v>TRP-2025-060</v>
      </c>
      <c r="E492" s="32">
        <f>'Expense Details'!M2721</f>
        <v>45974</v>
      </c>
      <c r="F492" s="31" t="str">
        <f>'Expense Details'!O2721</f>
        <v>Baggage &amp; Excess Fees</v>
      </c>
      <c r="G492" s="31" t="str">
        <f>'Expense Details'!Q2721</f>
        <v>Lufthansa</v>
      </c>
      <c r="H492" s="33">
        <f>'Expense Details'!V2721</f>
        <v>132.6087</v>
      </c>
      <c r="I492" s="33">
        <f>'Expense Details'!Z2721</f>
        <v>120</v>
      </c>
      <c r="J492" s="33">
        <f>H492-I492</f>
        <v>12.608699999999999</v>
      </c>
      <c r="K492" s="34">
        <f>IFERROR(MAX(0,H492/I492-1),0)</f>
        <v>0.1050724999999999</v>
      </c>
      <c r="L492" s="31" t="str">
        <f>'Expense Details'!AC2721</f>
        <v>Yes</v>
      </c>
      <c r="M492" s="35" t="s">
        <v>3502</v>
      </c>
      <c r="N492" s="31" t="str">
        <f>'Expense Details'!AG2721</f>
        <v>Approved</v>
      </c>
      <c r="O492" s="31" t="str">
        <f>'Expense Details'!F2721</f>
        <v>Tomas Kovac</v>
      </c>
    </row>
    <row r="493" spans="1:15">
      <c r="A493" s="31" t="str">
        <f>'Expense Details'!A2727</f>
        <v>EXP-02726</v>
      </c>
      <c r="B493" s="31" t="str">
        <f>'Expense Details'!C2727</f>
        <v>David Chen</v>
      </c>
      <c r="C493" s="31" t="str">
        <f>'Expense Details'!D2727</f>
        <v>Finance</v>
      </c>
      <c r="D493" s="31" t="str">
        <f>'Expense Details'!G2727</f>
        <v>TRP-2025-067</v>
      </c>
      <c r="E493" s="32">
        <f>'Expense Details'!M2727</f>
        <v>45974</v>
      </c>
      <c r="F493" s="31" t="str">
        <f>'Expense Details'!O2727</f>
        <v>Ground Transport - Rail</v>
      </c>
      <c r="G493" s="31" t="str">
        <f>'Expense Details'!Q2727</f>
        <v>SNCF</v>
      </c>
      <c r="H493" s="33">
        <f>'Expense Details'!V2727</f>
        <v>182.10953000000001</v>
      </c>
      <c r="I493" s="33">
        <f>'Expense Details'!Z2727</f>
        <v>150</v>
      </c>
      <c r="J493" s="33">
        <f>H493-I493</f>
        <v>32.109530000000007</v>
      </c>
      <c r="K493" s="34">
        <f>IFERROR(MAX(0,H493/I493-1),0)</f>
        <v>0.21406353333333339</v>
      </c>
      <c r="L493" s="31" t="str">
        <f>'Expense Details'!AC2727</f>
        <v>Yes</v>
      </c>
      <c r="M493" s="35" t="s">
        <v>3502</v>
      </c>
      <c r="N493" s="31" t="str">
        <f>'Expense Details'!AG2727</f>
        <v>Approved</v>
      </c>
      <c r="O493" s="31" t="str">
        <f>'Expense Details'!F2727</f>
        <v>Diane Okafor</v>
      </c>
    </row>
    <row r="494" spans="1:15">
      <c r="A494" s="31" t="str">
        <f>'Expense Details'!A2749</f>
        <v>EXP-02748</v>
      </c>
      <c r="B494" s="31" t="str">
        <f>'Expense Details'!C2749</f>
        <v>Viktor Petrov</v>
      </c>
      <c r="C494" s="31" t="str">
        <f>'Expense Details'!D2749</f>
        <v>Operations</v>
      </c>
      <c r="D494" s="31" t="str">
        <f>'Expense Details'!G2749</f>
        <v>TRP-2025-044</v>
      </c>
      <c r="E494" s="32">
        <f>'Expense Details'!M2749</f>
        <v>45976</v>
      </c>
      <c r="F494" s="31" t="str">
        <f>'Expense Details'!O2749</f>
        <v>Meals - Breakfast</v>
      </c>
      <c r="G494" s="31" t="str">
        <f>'Expense Details'!Q2749</f>
        <v>Local Bakery</v>
      </c>
      <c r="H494" s="33">
        <f>'Expense Details'!V2749</f>
        <v>28.62</v>
      </c>
      <c r="I494" s="33">
        <f>'Expense Details'!Z2749</f>
        <v>25</v>
      </c>
      <c r="J494" s="33">
        <f>H494-I494</f>
        <v>3.620000000000001</v>
      </c>
      <c r="K494" s="34">
        <f>IFERROR(MAX(0,H494/I494-1),0)</f>
        <v>0.14480000000000004</v>
      </c>
      <c r="L494" s="31" t="str">
        <f>'Expense Details'!AC2749</f>
        <v>Yes</v>
      </c>
      <c r="M494" s="35" t="s">
        <v>3502</v>
      </c>
      <c r="N494" s="31" t="str">
        <f>'Expense Details'!AG2749</f>
        <v>Approved</v>
      </c>
      <c r="O494" s="31" t="str">
        <f>'Expense Details'!F2749</f>
        <v>Diane Okafor</v>
      </c>
    </row>
    <row r="495" spans="1:15">
      <c r="A495" s="31" t="str">
        <f>'Expense Details'!A2756</f>
        <v>EXP-02755</v>
      </c>
      <c r="B495" s="31" t="str">
        <f>'Expense Details'!C2756</f>
        <v>David Chen</v>
      </c>
      <c r="C495" s="31" t="str">
        <f>'Expense Details'!D2756</f>
        <v>Finance</v>
      </c>
      <c r="D495" s="31" t="str">
        <f>'Expense Details'!G2756</f>
        <v>TRP-2025-067</v>
      </c>
      <c r="E495" s="32">
        <f>'Expense Details'!M2756</f>
        <v>45976</v>
      </c>
      <c r="F495" s="31" t="str">
        <f>'Expense Details'!O2756</f>
        <v>Meals - Lunch</v>
      </c>
      <c r="G495" s="31" t="str">
        <f>'Expense Details'!Q2756</f>
        <v>Pret A Manger</v>
      </c>
      <c r="H495" s="33">
        <f>'Expense Details'!V2756</f>
        <v>18.84572</v>
      </c>
      <c r="I495" s="33">
        <f>'Expense Details'!Z2756</f>
        <v>35</v>
      </c>
      <c r="J495" s="33">
        <f>H495-I495</f>
        <v>-16.15428</v>
      </c>
      <c r="K495" s="34">
        <f>IFERROR(MAX(0,H495/I495-1),0)</f>
        <v>0</v>
      </c>
      <c r="L495" s="31" t="str">
        <f>'Expense Details'!AC2756</f>
        <v>No</v>
      </c>
      <c r="M495" s="35" t="s">
        <v>3503</v>
      </c>
      <c r="N495" s="31" t="str">
        <f>'Expense Details'!AG2756</f>
        <v>Approved</v>
      </c>
      <c r="O495" s="31" t="str">
        <f>'Expense Details'!F2756</f>
        <v>Diane Okafor</v>
      </c>
    </row>
    <row r="496" spans="1:15">
      <c r="A496" s="31" t="str">
        <f>'Expense Details'!A2760</f>
        <v>EXP-02759</v>
      </c>
      <c r="B496" s="31" t="str">
        <f>'Expense Details'!C2760</f>
        <v>Samuel Adeyemi</v>
      </c>
      <c r="C496" s="31" t="str">
        <f>'Expense Details'!D2760</f>
        <v>Field Engineering</v>
      </c>
      <c r="D496" s="31" t="str">
        <f>'Expense Details'!G2760</f>
        <v>TRP-2025-070</v>
      </c>
      <c r="E496" s="32">
        <f>'Expense Details'!M2760</f>
        <v>45976</v>
      </c>
      <c r="F496" s="31" t="str">
        <f>'Expense Details'!O2760</f>
        <v>Meals - Lunch</v>
      </c>
      <c r="G496" s="31" t="str">
        <f>'Expense Details'!Q2760</f>
        <v>Local Bistro</v>
      </c>
      <c r="H496" s="33">
        <f>'Expense Details'!V2760</f>
        <v>42.860799999999998</v>
      </c>
      <c r="I496" s="33">
        <f>'Expense Details'!Z2760</f>
        <v>35</v>
      </c>
      <c r="J496" s="33">
        <f>H496-I496</f>
        <v>7.8607999999999976</v>
      </c>
      <c r="K496" s="34">
        <f>IFERROR(MAX(0,H496/I496-1),0)</f>
        <v>0.22459428571428575</v>
      </c>
      <c r="L496" s="31" t="str">
        <f>'Expense Details'!AC2760</f>
        <v>Yes</v>
      </c>
      <c r="M496" s="35" t="s">
        <v>3502</v>
      </c>
      <c r="N496" s="31" t="str">
        <f>'Expense Details'!AG2760</f>
        <v>Approved</v>
      </c>
      <c r="O496" s="31" t="str">
        <f>'Expense Details'!F2760</f>
        <v>Tomas Kovac</v>
      </c>
    </row>
    <row r="497" spans="1:15">
      <c r="A497" s="31" t="str">
        <f>'Expense Details'!A2768</f>
        <v>EXP-02767</v>
      </c>
      <c r="B497" s="31" t="str">
        <f>'Expense Details'!C2768</f>
        <v>Tomas Kovac</v>
      </c>
      <c r="C497" s="31" t="str">
        <f>'Expense Details'!D2768</f>
        <v>Field Engineering</v>
      </c>
      <c r="D497" s="31" t="str">
        <f>'Expense Details'!G2768</f>
        <v>TRP-2025-082</v>
      </c>
      <c r="E497" s="32">
        <f>'Expense Details'!M2768</f>
        <v>45978</v>
      </c>
      <c r="F497" s="31" t="str">
        <f>'Expense Details'!O2768</f>
        <v>Airfare</v>
      </c>
      <c r="G497" s="31" t="str">
        <f>'Expense Details'!Q2768</f>
        <v>ANA</v>
      </c>
      <c r="H497" s="33">
        <f>'Expense Details'!V2768</f>
        <v>1642.4460799999999</v>
      </c>
      <c r="I497" s="33">
        <f>'Expense Details'!Z2768</f>
        <v>1400</v>
      </c>
      <c r="J497" s="33">
        <f>H497-I497</f>
        <v>242.44607999999994</v>
      </c>
      <c r="K497" s="34">
        <f>IFERROR(MAX(0,H497/I497-1),0)</f>
        <v>0.17317577142857132</v>
      </c>
      <c r="L497" s="31" t="str">
        <f>'Expense Details'!AC2768</f>
        <v>Yes</v>
      </c>
      <c r="M497" s="35" t="s">
        <v>3502</v>
      </c>
      <c r="N497" s="31" t="str">
        <f>'Expense Details'!AG2768</f>
        <v>Approved</v>
      </c>
      <c r="O497" s="31" t="str">
        <f>'Expense Details'!F2768</f>
        <v>Diane Okafor</v>
      </c>
    </row>
    <row r="498" spans="1:15">
      <c r="A498" s="31" t="str">
        <f>'Expense Details'!A2774</f>
        <v>EXP-02773</v>
      </c>
      <c r="B498" s="31" t="str">
        <f>'Expense Details'!C2774</f>
        <v>Tomas Kovac</v>
      </c>
      <c r="C498" s="31" t="str">
        <f>'Expense Details'!D2774</f>
        <v>Field Engineering</v>
      </c>
      <c r="D498" s="31" t="str">
        <f>'Expense Details'!G2774</f>
        <v>TRP-2025-082</v>
      </c>
      <c r="E498" s="32">
        <f>'Expense Details'!M2774</f>
        <v>45979</v>
      </c>
      <c r="F498" s="31" t="str">
        <f>'Expense Details'!O2774</f>
        <v>Ground Transport - Taxi</v>
      </c>
      <c r="G498" s="31" t="str">
        <f>'Expense Details'!Q2774</f>
        <v>Uber</v>
      </c>
      <c r="H498" s="33">
        <f>'Expense Details'!V2774</f>
        <v>46.407780000000002</v>
      </c>
      <c r="I498" s="33">
        <f>'Expense Details'!Z2774</f>
        <v>60</v>
      </c>
      <c r="J498" s="33">
        <f>H498-I498</f>
        <v>-13.592219999999998</v>
      </c>
      <c r="K498" s="34">
        <f>IFERROR(MAX(0,H498/I498-1),0)</f>
        <v>0</v>
      </c>
      <c r="L498" s="31" t="str">
        <f>'Expense Details'!AC2774</f>
        <v>No</v>
      </c>
      <c r="M498" s="35" t="s">
        <v>3503</v>
      </c>
      <c r="N498" s="31" t="str">
        <f>'Expense Details'!AG2774</f>
        <v>Approved</v>
      </c>
      <c r="O498" s="31" t="str">
        <f>'Expense Details'!F2774</f>
        <v>Diane Okafor</v>
      </c>
    </row>
    <row r="499" spans="1:15">
      <c r="A499" s="31" t="str">
        <f>'Expense Details'!A2781</f>
        <v>EXP-02780</v>
      </c>
      <c r="B499" s="31" t="str">
        <f>'Expense Details'!C2781</f>
        <v>Tomas Kovac</v>
      </c>
      <c r="C499" s="31" t="str">
        <f>'Expense Details'!D2781</f>
        <v>Field Engineering</v>
      </c>
      <c r="D499" s="31" t="str">
        <f>'Expense Details'!G2781</f>
        <v>TRP-2025-082</v>
      </c>
      <c r="E499" s="32">
        <f>'Expense Details'!M2781</f>
        <v>45982</v>
      </c>
      <c r="F499" s="31" t="str">
        <f>'Expense Details'!O2781</f>
        <v>Meals - Breakfast</v>
      </c>
      <c r="G499" s="31" t="str">
        <f>'Expense Details'!Q2781</f>
        <v>Hotel Restaurant</v>
      </c>
      <c r="H499" s="33">
        <f>'Expense Details'!V2781</f>
        <v>31.830120000000001</v>
      </c>
      <c r="I499" s="33">
        <f>'Expense Details'!Z2781</f>
        <v>25</v>
      </c>
      <c r="J499" s="33">
        <f>H499-I499</f>
        <v>6.8301200000000009</v>
      </c>
      <c r="K499" s="34">
        <f>IFERROR(MAX(0,H499/I499-1),0)</f>
        <v>0.27320480000000003</v>
      </c>
      <c r="L499" s="31" t="str">
        <f>'Expense Details'!AC2781</f>
        <v>Yes</v>
      </c>
      <c r="M499" s="35" t="s">
        <v>3502</v>
      </c>
      <c r="N499" s="31" t="str">
        <f>'Expense Details'!AG2781</f>
        <v>Approved</v>
      </c>
      <c r="O499" s="31" t="str">
        <f>'Expense Details'!F2781</f>
        <v>Diane Okafor</v>
      </c>
    </row>
    <row r="500" spans="1:15">
      <c r="A500" s="31" t="str">
        <f>'Expense Details'!A2803</f>
        <v>EXP-02802</v>
      </c>
      <c r="B500" s="31" t="str">
        <f>'Expense Details'!C2803</f>
        <v>Sneha Iyer</v>
      </c>
      <c r="C500" s="31" t="str">
        <f>'Expense Details'!D2803</f>
        <v>Customer Success</v>
      </c>
      <c r="D500" s="31" t="str">
        <f>'Expense Details'!G2803</f>
        <v>TRP-2025-079</v>
      </c>
      <c r="E500" s="32">
        <f>'Expense Details'!M2803</f>
        <v>45986</v>
      </c>
      <c r="F500" s="31" t="str">
        <f>'Expense Details'!O2803</f>
        <v>Meals - Lunch</v>
      </c>
      <c r="G500" s="31" t="str">
        <f>'Expense Details'!Q2803</f>
        <v>Pret A Manger</v>
      </c>
      <c r="H500" s="33">
        <f>'Expense Details'!V2803</f>
        <v>24.117100000000001</v>
      </c>
      <c r="I500" s="33">
        <f>'Expense Details'!Z2803</f>
        <v>35</v>
      </c>
      <c r="J500" s="33">
        <f>H500-I500</f>
        <v>-10.882899999999999</v>
      </c>
      <c r="K500" s="34">
        <f>IFERROR(MAX(0,H500/I500-1),0)</f>
        <v>0</v>
      </c>
      <c r="L500" s="31" t="str">
        <f>'Expense Details'!AC2803</f>
        <v>No</v>
      </c>
      <c r="M500" s="35" t="s">
        <v>3503</v>
      </c>
      <c r="N500" s="31" t="str">
        <f>'Expense Details'!AG2803</f>
        <v>Approved</v>
      </c>
      <c r="O500" s="31" t="str">
        <f>'Expense Details'!F2803</f>
        <v>Paul Nkemelu</v>
      </c>
    </row>
    <row r="501" spans="1:15">
      <c r="A501" s="31" t="str">
        <f>'Expense Details'!A2809</f>
        <v>EXP-02808</v>
      </c>
      <c r="B501" s="31" t="str">
        <f>'Expense Details'!C2809</f>
        <v>Sneha Iyer</v>
      </c>
      <c r="C501" s="31" t="str">
        <f>'Expense Details'!D2809</f>
        <v>Customer Success</v>
      </c>
      <c r="D501" s="31" t="str">
        <f>'Expense Details'!G2809</f>
        <v>TRP-2025-079</v>
      </c>
      <c r="E501" s="32">
        <f>'Expense Details'!M2809</f>
        <v>45987</v>
      </c>
      <c r="F501" s="31" t="str">
        <f>'Expense Details'!O2809</f>
        <v>Laundry</v>
      </c>
      <c r="G501" s="31" t="str">
        <f>'Expense Details'!Q2809</f>
        <v>Hotel Laundry Service</v>
      </c>
      <c r="H501" s="33">
        <f>'Expense Details'!V2809</f>
        <v>41.651450000000004</v>
      </c>
      <c r="I501" s="33">
        <f>'Expense Details'!Z2809</f>
        <v>30</v>
      </c>
      <c r="J501" s="33">
        <f>H501-I501</f>
        <v>11.651450000000004</v>
      </c>
      <c r="K501" s="34">
        <f>IFERROR(MAX(0,H501/I501-1),0)</f>
        <v>0.38838166666666685</v>
      </c>
      <c r="L501" s="31" t="str">
        <f>'Expense Details'!AC2809</f>
        <v>No</v>
      </c>
      <c r="M501" s="35" t="s">
        <v>3504</v>
      </c>
      <c r="N501" s="31" t="str">
        <f>'Expense Details'!AG2809</f>
        <v>Approved</v>
      </c>
      <c r="O501" s="31" t="str">
        <f>'Expense Details'!F2809</f>
        <v>Paul Nkemelu</v>
      </c>
    </row>
    <row r="502" spans="1:15">
      <c r="A502" s="31" t="str">
        <f>'Expense Details'!A2815</f>
        <v>EXP-02814</v>
      </c>
      <c r="B502" s="31" t="str">
        <f>'Expense Details'!C2815</f>
        <v>Meera Krishnan</v>
      </c>
      <c r="C502" s="31" t="str">
        <f>'Expense Details'!D2815</f>
        <v>Finance</v>
      </c>
      <c r="D502" s="31" t="str">
        <f>'Expense Details'!G2815</f>
        <v>TRP-2025-074</v>
      </c>
      <c r="E502" s="32">
        <f>'Expense Details'!M2815</f>
        <v>45988</v>
      </c>
      <c r="F502" s="31" t="str">
        <f>'Expense Details'!O2815</f>
        <v>Airfare</v>
      </c>
      <c r="G502" s="31" t="str">
        <f>'Expense Details'!Q2815</f>
        <v>Emirates</v>
      </c>
      <c r="H502" s="33">
        <f>'Expense Details'!V2815</f>
        <v>2666.21992</v>
      </c>
      <c r="I502" s="33">
        <f>'Expense Details'!Z2815</f>
        <v>1400</v>
      </c>
      <c r="J502" s="33">
        <f>H502-I502</f>
        <v>1266.21992</v>
      </c>
      <c r="K502" s="34">
        <f>IFERROR(MAX(0,H502/I502-1),0)</f>
        <v>0.90444279999999999</v>
      </c>
      <c r="L502" s="31" t="str">
        <f>'Expense Details'!AC2815</f>
        <v>Yes</v>
      </c>
      <c r="M502" s="35" t="s">
        <v>3502</v>
      </c>
      <c r="N502" s="31" t="str">
        <f>'Expense Details'!AG2815</f>
        <v>Pending Approval</v>
      </c>
      <c r="O502" s="31" t="str">
        <f>'Expense Details'!F2815</f>
        <v>David Chen</v>
      </c>
    </row>
    <row r="503" spans="1:15">
      <c r="A503" s="31" t="str">
        <f>'Expense Details'!A2819</f>
        <v>EXP-02818</v>
      </c>
      <c r="B503" s="31" t="str">
        <f>'Expense Details'!C2819</f>
        <v>Meera Krishnan</v>
      </c>
      <c r="C503" s="31" t="str">
        <f>'Expense Details'!D2819</f>
        <v>Finance</v>
      </c>
      <c r="D503" s="31" t="str">
        <f>'Expense Details'!G2819</f>
        <v>TRP-2025-074</v>
      </c>
      <c r="E503" s="32">
        <f>'Expense Details'!M2819</f>
        <v>45988</v>
      </c>
      <c r="F503" s="31" t="str">
        <f>'Expense Details'!O2819</f>
        <v>Meals - Breakfast</v>
      </c>
      <c r="G503" s="31" t="str">
        <f>'Expense Details'!Q2819</f>
        <v>Cafe Nero</v>
      </c>
      <c r="H503" s="33">
        <f>'Expense Details'!V2819</f>
        <v>38.074399999999997</v>
      </c>
      <c r="I503" s="33">
        <f>'Expense Details'!Z2819</f>
        <v>25</v>
      </c>
      <c r="J503" s="33">
        <f>H503-I503</f>
        <v>13.074399999999997</v>
      </c>
      <c r="K503" s="34">
        <f>IFERROR(MAX(0,H503/I503-1),0)</f>
        <v>0.52297599999999989</v>
      </c>
      <c r="L503" s="31" t="str">
        <f>'Expense Details'!AC2819</f>
        <v>Yes</v>
      </c>
      <c r="M503" s="35" t="s">
        <v>3502</v>
      </c>
      <c r="N503" s="31" t="str">
        <f>'Expense Details'!AG2819</f>
        <v>Pending Approval</v>
      </c>
      <c r="O503" s="31" t="str">
        <f>'Expense Details'!F2819</f>
        <v>David Chen</v>
      </c>
    </row>
    <row r="504" spans="1:15">
      <c r="A504" s="31" t="str">
        <f>'Expense Details'!A2826</f>
        <v>EXP-02825</v>
      </c>
      <c r="B504" s="31" t="str">
        <f>'Expense Details'!C2826</f>
        <v>Elena Duarte</v>
      </c>
      <c r="C504" s="31" t="str">
        <f>'Expense Details'!D2826</f>
        <v>Product</v>
      </c>
      <c r="D504" s="31" t="str">
        <f>'Expense Details'!G2826</f>
        <v>TRP-2025-100</v>
      </c>
      <c r="E504" s="32">
        <f>'Expense Details'!M2826</f>
        <v>45988</v>
      </c>
      <c r="F504" s="31" t="str">
        <f>'Expense Details'!O2826</f>
        <v>Ground Transport - Taxi</v>
      </c>
      <c r="G504" s="31" t="str">
        <f>'Expense Details'!Q2826</f>
        <v>Local Taxi</v>
      </c>
      <c r="H504" s="33">
        <f>'Expense Details'!V2826</f>
        <v>41.94</v>
      </c>
      <c r="I504" s="33">
        <f>'Expense Details'!Z2826</f>
        <v>60</v>
      </c>
      <c r="J504" s="33">
        <f>H504-I504</f>
        <v>-18.060000000000002</v>
      </c>
      <c r="K504" s="34">
        <f>IFERROR(MAX(0,H504/I504-1),0)</f>
        <v>0</v>
      </c>
      <c r="L504" s="31" t="str">
        <f>'Expense Details'!AC2826</f>
        <v>No</v>
      </c>
      <c r="M504" s="35" t="s">
        <v>3503</v>
      </c>
      <c r="N504" s="31" t="str">
        <f>'Expense Details'!AG2826</f>
        <v>Approved</v>
      </c>
      <c r="O504" s="31" t="str">
        <f>'Expense Details'!F2826</f>
        <v>Diane Okafor</v>
      </c>
    </row>
    <row r="505" spans="1:15">
      <c r="A505" s="31" t="str">
        <f>'Expense Details'!A2828</f>
        <v>EXP-02827</v>
      </c>
      <c r="B505" s="31" t="str">
        <f>'Expense Details'!C2828</f>
        <v>Elena Duarte</v>
      </c>
      <c r="C505" s="31" t="str">
        <f>'Expense Details'!D2828</f>
        <v>Product</v>
      </c>
      <c r="D505" s="31" t="str">
        <f>'Expense Details'!G2828</f>
        <v>TRP-2025-100</v>
      </c>
      <c r="E505" s="32">
        <f>'Expense Details'!M2828</f>
        <v>45988</v>
      </c>
      <c r="F505" s="31" t="str">
        <f>'Expense Details'!O2828</f>
        <v>Meals - Breakfast</v>
      </c>
      <c r="G505" s="31" t="str">
        <f>'Expense Details'!Q2828</f>
        <v>Starbucks</v>
      </c>
      <c r="H505" s="33">
        <f>'Expense Details'!V2828</f>
        <v>33.520000000000003</v>
      </c>
      <c r="I505" s="33">
        <f>'Expense Details'!Z2828</f>
        <v>25</v>
      </c>
      <c r="J505" s="33">
        <f>H505-I505</f>
        <v>8.5200000000000031</v>
      </c>
      <c r="K505" s="34">
        <f>IFERROR(MAX(0,H505/I505-1),0)</f>
        <v>0.34080000000000021</v>
      </c>
      <c r="L505" s="31" t="str">
        <f>'Expense Details'!AC2828</f>
        <v>Yes</v>
      </c>
      <c r="M505" s="35" t="s">
        <v>3502</v>
      </c>
      <c r="N505" s="31" t="str">
        <f>'Expense Details'!AG2828</f>
        <v>Approved</v>
      </c>
      <c r="O505" s="31" t="str">
        <f>'Expense Details'!F2828</f>
        <v>Diane Okafor</v>
      </c>
    </row>
    <row r="506" spans="1:15">
      <c r="A506" s="31" t="str">
        <f>'Expense Details'!A2831</f>
        <v>EXP-02830</v>
      </c>
      <c r="B506" s="31" t="str">
        <f>'Expense Details'!C2831</f>
        <v>Rohit Malhotra</v>
      </c>
      <c r="C506" s="31" t="str">
        <f>'Expense Details'!D2831</f>
        <v>Sales</v>
      </c>
      <c r="D506" s="31" t="str">
        <f>'Expense Details'!G2831</f>
        <v>TRP-2025-051</v>
      </c>
      <c r="E506" s="32">
        <f>'Expense Details'!M2831</f>
        <v>45989</v>
      </c>
      <c r="F506" s="31" t="str">
        <f>'Expense Details'!O2831</f>
        <v>Airfare</v>
      </c>
      <c r="G506" s="31" t="str">
        <f>'Expense Details'!Q2831</f>
        <v>Delta Air Lines</v>
      </c>
      <c r="H506" s="33">
        <f>'Expense Details'!V2831</f>
        <v>1975.9183</v>
      </c>
      <c r="I506" s="33">
        <f>'Expense Details'!Z2831</f>
        <v>1400</v>
      </c>
      <c r="J506" s="33">
        <f>H506-I506</f>
        <v>575.91830000000004</v>
      </c>
      <c r="K506" s="34">
        <f>IFERROR(MAX(0,H506/I506-1),0)</f>
        <v>0.4113702142857143</v>
      </c>
      <c r="L506" s="31" t="str">
        <f>'Expense Details'!AC2831</f>
        <v>Yes</v>
      </c>
      <c r="M506" s="35" t="s">
        <v>3502</v>
      </c>
      <c r="N506" s="31" t="str">
        <f>'Expense Details'!AG2831</f>
        <v>Approved</v>
      </c>
      <c r="O506" s="31" t="str">
        <f>'Expense Details'!F2831</f>
        <v>Ananya Sengupta</v>
      </c>
    </row>
    <row r="507" spans="1:15">
      <c r="A507" s="31" t="str">
        <f>'Expense Details'!A2839</f>
        <v>EXP-02838</v>
      </c>
      <c r="B507" s="31" t="str">
        <f>'Expense Details'!C2839</f>
        <v>Sneha Iyer</v>
      </c>
      <c r="C507" s="31" t="str">
        <f>'Expense Details'!D2839</f>
        <v>Customer Success</v>
      </c>
      <c r="D507" s="31" t="str">
        <f>'Expense Details'!G2839</f>
        <v>TRP-2025-079</v>
      </c>
      <c r="E507" s="32">
        <f>'Expense Details'!M2839</f>
        <v>45989</v>
      </c>
      <c r="F507" s="31" t="str">
        <f>'Expense Details'!O2839</f>
        <v>Ground Transport - Taxi</v>
      </c>
      <c r="G507" s="31" t="str">
        <f>'Expense Details'!Q2839</f>
        <v>Lyft</v>
      </c>
      <c r="H507" s="33">
        <f>'Expense Details'!V2839</f>
        <v>29.402950000000001</v>
      </c>
      <c r="I507" s="33">
        <f>'Expense Details'!Z2839</f>
        <v>60</v>
      </c>
      <c r="J507" s="33">
        <f>H507-I507</f>
        <v>-30.597049999999999</v>
      </c>
      <c r="K507" s="34">
        <f>IFERROR(MAX(0,H507/I507-1),0)</f>
        <v>0</v>
      </c>
      <c r="L507" s="31" t="str">
        <f>'Expense Details'!AC2839</f>
        <v>No</v>
      </c>
      <c r="M507" s="35" t="s">
        <v>3503</v>
      </c>
      <c r="N507" s="31" t="str">
        <f>'Expense Details'!AG2839</f>
        <v>Approved</v>
      </c>
      <c r="O507" s="31" t="str">
        <f>'Expense Details'!F2839</f>
        <v>Paul Nkemelu</v>
      </c>
    </row>
    <row r="508" spans="1:15">
      <c r="A508" s="31" t="str">
        <f>'Expense Details'!A2841</f>
        <v>EXP-02840</v>
      </c>
      <c r="B508" s="31" t="str">
        <f>'Expense Details'!C2841</f>
        <v>Sneha Iyer</v>
      </c>
      <c r="C508" s="31" t="str">
        <f>'Expense Details'!D2841</f>
        <v>Customer Success</v>
      </c>
      <c r="D508" s="31" t="str">
        <f>'Expense Details'!G2841</f>
        <v>TRP-2025-079</v>
      </c>
      <c r="E508" s="32">
        <f>'Expense Details'!M2841</f>
        <v>45989</v>
      </c>
      <c r="F508" s="31" t="str">
        <f>'Expense Details'!O2841</f>
        <v>Meals - Lunch</v>
      </c>
      <c r="G508" s="31" t="str">
        <f>'Expense Details'!Q2841</f>
        <v>Food Court</v>
      </c>
      <c r="H508" s="33">
        <f>'Expense Details'!V2841</f>
        <v>27.739250000000002</v>
      </c>
      <c r="I508" s="33">
        <f>'Expense Details'!Z2841</f>
        <v>35</v>
      </c>
      <c r="J508" s="33">
        <f>H508-I508</f>
        <v>-7.260749999999998</v>
      </c>
      <c r="K508" s="34">
        <f>IFERROR(MAX(0,H508/I508-1),0)</f>
        <v>0</v>
      </c>
      <c r="L508" s="31" t="str">
        <f>'Expense Details'!AC2841</f>
        <v>No</v>
      </c>
      <c r="M508" s="35" t="s">
        <v>3503</v>
      </c>
      <c r="N508" s="31" t="str">
        <f>'Expense Details'!AG2841</f>
        <v>Approved</v>
      </c>
      <c r="O508" s="31" t="str">
        <f>'Expense Details'!F2841</f>
        <v>Paul Nkemelu</v>
      </c>
    </row>
    <row r="509" spans="1:15">
      <c r="A509" s="31" t="str">
        <f>'Expense Details'!A2851</f>
        <v>EXP-02850</v>
      </c>
      <c r="B509" s="31" t="str">
        <f>'Expense Details'!C2851</f>
        <v>Meera Krishnan</v>
      </c>
      <c r="C509" s="31" t="str">
        <f>'Expense Details'!D2851</f>
        <v>Finance</v>
      </c>
      <c r="D509" s="31" t="str">
        <f>'Expense Details'!G2851</f>
        <v>TRP-2025-074</v>
      </c>
      <c r="E509" s="32">
        <f>'Expense Details'!M2851</f>
        <v>45990</v>
      </c>
      <c r="F509" s="31" t="str">
        <f>'Expense Details'!O2851</f>
        <v>Meals - Dinner</v>
      </c>
      <c r="G509" s="31" t="str">
        <f>'Expense Details'!Q2851</f>
        <v>Sakura Izakaya</v>
      </c>
      <c r="H509" s="33">
        <f>'Expense Details'!V2851</f>
        <v>48.251840000000001</v>
      </c>
      <c r="I509" s="33">
        <f>'Expense Details'!Z2851</f>
        <v>75</v>
      </c>
      <c r="J509" s="33">
        <f>H509-I509</f>
        <v>-26.748159999999999</v>
      </c>
      <c r="K509" s="34">
        <f>IFERROR(MAX(0,H509/I509-1),0)</f>
        <v>0</v>
      </c>
      <c r="L509" s="31" t="str">
        <f>'Expense Details'!AC2851</f>
        <v>No</v>
      </c>
      <c r="M509" s="35" t="s">
        <v>3503</v>
      </c>
      <c r="N509" s="31" t="str">
        <f>'Expense Details'!AG2851</f>
        <v>Pending Approval</v>
      </c>
      <c r="O509" s="31" t="str">
        <f>'Expense Details'!F2851</f>
        <v>David Chen</v>
      </c>
    </row>
    <row r="510" spans="1:15">
      <c r="A510" s="31" t="str">
        <f>'Expense Details'!A2854</f>
        <v>EXP-02853</v>
      </c>
      <c r="B510" s="31" t="str">
        <f>'Expense Details'!C2854</f>
        <v>Elena Duarte</v>
      </c>
      <c r="C510" s="31" t="str">
        <f>'Expense Details'!D2854</f>
        <v>Product</v>
      </c>
      <c r="D510" s="31" t="str">
        <f>'Expense Details'!G2854</f>
        <v>TRP-2025-100</v>
      </c>
      <c r="E510" s="32">
        <f>'Expense Details'!M2854</f>
        <v>45990</v>
      </c>
      <c r="F510" s="31" t="str">
        <f>'Expense Details'!O2854</f>
        <v>Meals - Dinner</v>
      </c>
      <c r="G510" s="31" t="str">
        <f>'Expense Details'!Q2854</f>
        <v>Sakura Izakaya</v>
      </c>
      <c r="H510" s="33">
        <f>'Expense Details'!V2854</f>
        <v>110.42</v>
      </c>
      <c r="I510" s="33">
        <f>'Expense Details'!Z2854</f>
        <v>75</v>
      </c>
      <c r="J510" s="33">
        <f>H510-I510</f>
        <v>35.42</v>
      </c>
      <c r="K510" s="34">
        <f>IFERROR(MAX(0,H510/I510-1),0)</f>
        <v>0.47226666666666661</v>
      </c>
      <c r="L510" s="31" t="str">
        <f>'Expense Details'!AC2854</f>
        <v>Yes</v>
      </c>
      <c r="M510" s="35" t="s">
        <v>3502</v>
      </c>
      <c r="N510" s="31" t="str">
        <f>'Expense Details'!AG2854</f>
        <v>Approved</v>
      </c>
      <c r="O510" s="31" t="str">
        <f>'Expense Details'!F2854</f>
        <v>Diane Okafor</v>
      </c>
    </row>
    <row r="511" spans="1:15">
      <c r="A511" s="31" t="str">
        <f>'Expense Details'!A2856</f>
        <v>EXP-02855</v>
      </c>
      <c r="B511" s="31" t="str">
        <f>'Expense Details'!C2856</f>
        <v>Rohit Malhotra</v>
      </c>
      <c r="C511" s="31" t="str">
        <f>'Expense Details'!D2856</f>
        <v>Sales</v>
      </c>
      <c r="D511" s="31" t="str">
        <f>'Expense Details'!G2856</f>
        <v>TRP-2025-051</v>
      </c>
      <c r="E511" s="32">
        <f>'Expense Details'!M2856</f>
        <v>45991</v>
      </c>
      <c r="F511" s="31" t="str">
        <f>'Expense Details'!O2856</f>
        <v>Ground Transport - Taxi</v>
      </c>
      <c r="G511" s="31" t="str">
        <f>'Expense Details'!Q2856</f>
        <v>Uber</v>
      </c>
      <c r="H511" s="33">
        <f>'Expense Details'!V2856</f>
        <v>74.178660000000008</v>
      </c>
      <c r="I511" s="33">
        <f>'Expense Details'!Z2856</f>
        <v>60</v>
      </c>
      <c r="J511" s="33">
        <f>H511-I511</f>
        <v>14.178660000000008</v>
      </c>
      <c r="K511" s="34">
        <f>IFERROR(MAX(0,H511/I511-1),0)</f>
        <v>0.23631100000000016</v>
      </c>
      <c r="L511" s="31" t="str">
        <f>'Expense Details'!AC2856</f>
        <v>Yes</v>
      </c>
      <c r="M511" s="35" t="s">
        <v>3502</v>
      </c>
      <c r="N511" s="31" t="str">
        <f>'Expense Details'!AG2856</f>
        <v>Approved</v>
      </c>
      <c r="O511" s="31" t="str">
        <f>'Expense Details'!F2856</f>
        <v>Ananya Sengupta</v>
      </c>
    </row>
    <row r="512" spans="1:15">
      <c r="A512" s="31" t="str">
        <f>'Expense Details'!A2858</f>
        <v>EXP-02857</v>
      </c>
      <c r="B512" s="31" t="str">
        <f>'Expense Details'!C2858</f>
        <v>Rohit Malhotra</v>
      </c>
      <c r="C512" s="31" t="str">
        <f>'Expense Details'!D2858</f>
        <v>Sales</v>
      </c>
      <c r="D512" s="31" t="str">
        <f>'Expense Details'!G2858</f>
        <v>TRP-2025-051</v>
      </c>
      <c r="E512" s="32">
        <f>'Expense Details'!M2858</f>
        <v>45991</v>
      </c>
      <c r="F512" s="31" t="str">
        <f>'Expense Details'!O2858</f>
        <v>Meals - Dinner</v>
      </c>
      <c r="G512" s="31" t="str">
        <f>'Expense Details'!Q2858</f>
        <v>Osteria Vela</v>
      </c>
      <c r="H512" s="33">
        <f>'Expense Details'!V2858</f>
        <v>55.424900000000001</v>
      </c>
      <c r="I512" s="33">
        <f>'Expense Details'!Z2858</f>
        <v>75</v>
      </c>
      <c r="J512" s="33">
        <f>H512-I512</f>
        <v>-19.575099999999999</v>
      </c>
      <c r="K512" s="34">
        <f>IFERROR(MAX(0,H512/I512-1),0)</f>
        <v>0</v>
      </c>
      <c r="L512" s="31" t="str">
        <f>'Expense Details'!AC2858</f>
        <v>No</v>
      </c>
      <c r="M512" s="35" t="s">
        <v>3503</v>
      </c>
      <c r="N512" s="31" t="str">
        <f>'Expense Details'!AG2858</f>
        <v>Approved</v>
      </c>
      <c r="O512" s="31" t="str">
        <f>'Expense Details'!F2858</f>
        <v>Ananya Sengupta</v>
      </c>
    </row>
    <row r="513" spans="1:15">
      <c r="A513" s="31" t="str">
        <f>'Expense Details'!A2871</f>
        <v>EXP-02870</v>
      </c>
      <c r="B513" s="31" t="str">
        <f>'Expense Details'!C2871</f>
        <v>Meera Krishnan</v>
      </c>
      <c r="C513" s="31" t="str">
        <f>'Expense Details'!D2871</f>
        <v>Finance</v>
      </c>
      <c r="D513" s="31" t="str">
        <f>'Expense Details'!G2871</f>
        <v>TRP-2025-074</v>
      </c>
      <c r="E513" s="32">
        <f>'Expense Details'!M2871</f>
        <v>45992</v>
      </c>
      <c r="F513" s="31" t="str">
        <f>'Expense Details'!O2871</f>
        <v>Meals - Dinner</v>
      </c>
      <c r="G513" s="31" t="str">
        <f>'Expense Details'!Q2871</f>
        <v>Sakura Izakaya</v>
      </c>
      <c r="H513" s="33">
        <f>'Expense Details'!V2871</f>
        <v>94.749200000000002</v>
      </c>
      <c r="I513" s="33">
        <f>'Expense Details'!Z2871</f>
        <v>75</v>
      </c>
      <c r="J513" s="33">
        <f>H513-I513</f>
        <v>19.749200000000002</v>
      </c>
      <c r="K513" s="34">
        <f>IFERROR(MAX(0,H513/I513-1),0)</f>
        <v>0.26332266666666659</v>
      </c>
      <c r="L513" s="31" t="str">
        <f>'Expense Details'!AC2871</f>
        <v>Yes</v>
      </c>
      <c r="M513" s="35" t="s">
        <v>3502</v>
      </c>
      <c r="N513" s="31" t="str">
        <f>'Expense Details'!AG2871</f>
        <v>Pending Approval</v>
      </c>
      <c r="O513" s="31" t="str">
        <f>'Expense Details'!F2871</f>
        <v>David Chen</v>
      </c>
    </row>
    <row r="514" spans="1:15">
      <c r="A514" s="31" t="str">
        <f>'Expense Details'!A2882</f>
        <v>EXP-02881</v>
      </c>
      <c r="B514" s="31" t="str">
        <f>'Expense Details'!C2882</f>
        <v>Elena Duarte</v>
      </c>
      <c r="C514" s="31" t="str">
        <f>'Expense Details'!D2882</f>
        <v>Product</v>
      </c>
      <c r="D514" s="31" t="str">
        <f>'Expense Details'!G2882</f>
        <v>TRP-2025-100</v>
      </c>
      <c r="E514" s="32">
        <f>'Expense Details'!M2882</f>
        <v>45993</v>
      </c>
      <c r="F514" s="31" t="str">
        <f>'Expense Details'!O2882</f>
        <v>Meals - Dinner</v>
      </c>
      <c r="G514" s="31" t="str">
        <f>'Expense Details'!Q2882</f>
        <v>Spice Route</v>
      </c>
      <c r="H514" s="33">
        <f>'Expense Details'!V2882</f>
        <v>115.86</v>
      </c>
      <c r="I514" s="33">
        <f>'Expense Details'!Z2882</f>
        <v>75</v>
      </c>
      <c r="J514" s="33">
        <f>H514-I514</f>
        <v>40.86</v>
      </c>
      <c r="K514" s="34">
        <f>IFERROR(MAX(0,H514/I514-1),0)</f>
        <v>0.54479999999999995</v>
      </c>
      <c r="L514" s="31" t="str">
        <f>'Expense Details'!AC2882</f>
        <v>Yes</v>
      </c>
      <c r="M514" s="35" t="s">
        <v>3502</v>
      </c>
      <c r="N514" s="31" t="str">
        <f>'Expense Details'!AG2882</f>
        <v>Approved</v>
      </c>
      <c r="O514" s="31" t="str">
        <f>'Expense Details'!F2882</f>
        <v>Diane Okafor</v>
      </c>
    </row>
    <row r="515" spans="1:15">
      <c r="A515" s="31" t="str">
        <f>'Expense Details'!A2893</f>
        <v>EXP-02892</v>
      </c>
      <c r="B515" s="31" t="str">
        <f>'Expense Details'!C2893</f>
        <v>Elena Duarte</v>
      </c>
      <c r="C515" s="31" t="str">
        <f>'Expense Details'!D2893</f>
        <v>Product</v>
      </c>
      <c r="D515" s="31" t="str">
        <f>'Expense Details'!G2893</f>
        <v>TRP-2025-100</v>
      </c>
      <c r="E515" s="32">
        <f>'Expense Details'!M2893</f>
        <v>45994</v>
      </c>
      <c r="F515" s="31" t="str">
        <f>'Expense Details'!O2893</f>
        <v>Meals - Lunch</v>
      </c>
      <c r="G515" s="31" t="str">
        <f>'Expense Details'!Q2893</f>
        <v>Local Bistro</v>
      </c>
      <c r="H515" s="33">
        <f>'Expense Details'!V2893</f>
        <v>46.63</v>
      </c>
      <c r="I515" s="33">
        <f>'Expense Details'!Z2893</f>
        <v>35</v>
      </c>
      <c r="J515" s="33">
        <f>H515-I515</f>
        <v>11.630000000000003</v>
      </c>
      <c r="K515" s="34">
        <f>IFERROR(MAX(0,H515/I515-1),0)</f>
        <v>0.3322857142857143</v>
      </c>
      <c r="L515" s="31" t="str">
        <f>'Expense Details'!AC2893</f>
        <v>Yes</v>
      </c>
      <c r="M515" s="35" t="s">
        <v>3502</v>
      </c>
      <c r="N515" s="31" t="str">
        <f>'Expense Details'!AG2893</f>
        <v>Approved</v>
      </c>
      <c r="O515" s="31" t="str">
        <f>'Expense Details'!F2893</f>
        <v>Diane Okafor</v>
      </c>
    </row>
    <row r="516" spans="1:15">
      <c r="A516" s="31" t="str">
        <f>'Expense Details'!A2896</f>
        <v>EXP-02895</v>
      </c>
      <c r="B516" s="31" t="str">
        <f>'Expense Details'!C2896</f>
        <v>Rohit Malhotra</v>
      </c>
      <c r="C516" s="31" t="str">
        <f>'Expense Details'!D2896</f>
        <v>Sales</v>
      </c>
      <c r="D516" s="31" t="str">
        <f>'Expense Details'!G2896</f>
        <v>TRP-2025-051</v>
      </c>
      <c r="E516" s="32">
        <f>'Expense Details'!M2896</f>
        <v>45995</v>
      </c>
      <c r="F516" s="31" t="str">
        <f>'Expense Details'!O2896</f>
        <v>Meals - Lunch</v>
      </c>
      <c r="G516" s="31" t="str">
        <f>'Expense Details'!Q2896</f>
        <v>Local Bistro</v>
      </c>
      <c r="H516" s="33">
        <f>'Expense Details'!V2896</f>
        <v>41.583400000000005</v>
      </c>
      <c r="I516" s="33">
        <f>'Expense Details'!Z2896</f>
        <v>35</v>
      </c>
      <c r="J516" s="33">
        <f>H516-I516</f>
        <v>6.5834000000000046</v>
      </c>
      <c r="K516" s="34">
        <f>IFERROR(MAX(0,H516/I516-1),0)</f>
        <v>0.18809714285714296</v>
      </c>
      <c r="L516" s="31" t="str">
        <f>'Expense Details'!AC2896</f>
        <v>Yes</v>
      </c>
      <c r="M516" s="35" t="s">
        <v>3502</v>
      </c>
      <c r="N516" s="31" t="str">
        <f>'Expense Details'!AG2896</f>
        <v>Approved</v>
      </c>
      <c r="O516" s="31" t="str">
        <f>'Expense Details'!F2896</f>
        <v>Ananya Sengupta</v>
      </c>
    </row>
    <row r="517" spans="1:15">
      <c r="A517" s="31" t="str">
        <f>'Expense Details'!A2907</f>
        <v>EXP-02906</v>
      </c>
      <c r="B517" s="31" t="str">
        <f>'Expense Details'!C2907</f>
        <v>Meera Krishnan</v>
      </c>
      <c r="C517" s="31" t="str">
        <f>'Expense Details'!D2907</f>
        <v>Finance</v>
      </c>
      <c r="D517" s="31" t="str">
        <f>'Expense Details'!G2907</f>
        <v>TRP-2025-074</v>
      </c>
      <c r="E517" s="32">
        <f>'Expense Details'!M2907</f>
        <v>45996</v>
      </c>
      <c r="F517" s="31" t="str">
        <f>'Expense Details'!O2907</f>
        <v>Meals - Breakfast</v>
      </c>
      <c r="G517" s="31" t="str">
        <f>'Expense Details'!Q2907</f>
        <v>Local Bakery</v>
      </c>
      <c r="H517" s="33">
        <f>'Expense Details'!V2907</f>
        <v>30.517759999999999</v>
      </c>
      <c r="I517" s="33">
        <f>'Expense Details'!Z2907</f>
        <v>25</v>
      </c>
      <c r="J517" s="33">
        <f>H517-I517</f>
        <v>5.5177599999999991</v>
      </c>
      <c r="K517" s="34">
        <f>IFERROR(MAX(0,H517/I517-1),0)</f>
        <v>0.22071039999999997</v>
      </c>
      <c r="L517" s="31" t="str">
        <f>'Expense Details'!AC2907</f>
        <v>Yes</v>
      </c>
      <c r="M517" s="35" t="s">
        <v>3502</v>
      </c>
      <c r="N517" s="31" t="str">
        <f>'Expense Details'!AG2907</f>
        <v>Pending Approval</v>
      </c>
      <c r="O517" s="31" t="str">
        <f>'Expense Details'!F2907</f>
        <v>David Chen</v>
      </c>
    </row>
    <row r="518" spans="1:15">
      <c r="A518" s="31" t="str">
        <f>'Expense Details'!A2911</f>
        <v>EXP-02910</v>
      </c>
      <c r="B518" s="31" t="str">
        <f>'Expense Details'!C2911</f>
        <v>Diane Okafor</v>
      </c>
      <c r="C518" s="31" t="str">
        <f>'Expense Details'!D2911</f>
        <v>Executive</v>
      </c>
      <c r="D518" s="31" t="str">
        <f>'Expense Details'!G2911</f>
        <v>TRP-2025-062</v>
      </c>
      <c r="E518" s="32">
        <f>'Expense Details'!M2911</f>
        <v>45997</v>
      </c>
      <c r="F518" s="31" t="str">
        <f>'Expense Details'!O2911</f>
        <v>Meals - Dinner</v>
      </c>
      <c r="G518" s="31" t="str">
        <f>'Expense Details'!Q2911</f>
        <v>The Grill House</v>
      </c>
      <c r="H518" s="33">
        <f>'Expense Details'!V2911</f>
        <v>99.33175</v>
      </c>
      <c r="I518" s="33">
        <f>'Expense Details'!Z2911</f>
        <v>75</v>
      </c>
      <c r="J518" s="33">
        <f>H518-I518</f>
        <v>24.33175</v>
      </c>
      <c r="K518" s="34">
        <f>IFERROR(MAX(0,H518/I518-1),0)</f>
        <v>0.32442333333333329</v>
      </c>
      <c r="L518" s="31" t="str">
        <f>'Expense Details'!AC2911</f>
        <v>Yes</v>
      </c>
      <c r="M518" s="35" t="s">
        <v>3502</v>
      </c>
      <c r="N518" s="31" t="str">
        <f>'Expense Details'!AG2911</f>
        <v>Approved</v>
      </c>
      <c r="O518" s="31" t="str">
        <f>'Expense Details'!F2911</f>
        <v>Board</v>
      </c>
    </row>
    <row r="519" spans="1:15">
      <c r="A519" s="31" t="str">
        <f>'Expense Details'!A2918</f>
        <v>EXP-02917</v>
      </c>
      <c r="B519" s="31" t="str">
        <f>'Expense Details'!C2918</f>
        <v>Aisha Bello</v>
      </c>
      <c r="C519" s="31" t="str">
        <f>'Expense Details'!D2918</f>
        <v>Operations</v>
      </c>
      <c r="D519" s="31" t="str">
        <f>'Expense Details'!G2918</f>
        <v>TRP-2025-059</v>
      </c>
      <c r="E519" s="32">
        <f>'Expense Details'!M2918</f>
        <v>46001</v>
      </c>
      <c r="F519" s="31" t="str">
        <f>'Expense Details'!O2918</f>
        <v>Airfare</v>
      </c>
      <c r="G519" s="31" t="str">
        <f>'Expense Details'!Q2918</f>
        <v>Emirates</v>
      </c>
      <c r="H519" s="33">
        <f>'Expense Details'!V2918</f>
        <v>1913.16624</v>
      </c>
      <c r="I519" s="33">
        <f>'Expense Details'!Z2918</f>
        <v>1400</v>
      </c>
      <c r="J519" s="33">
        <f>H519-I519</f>
        <v>513.16624000000002</v>
      </c>
      <c r="K519" s="34">
        <f>IFERROR(MAX(0,H519/I519-1),0)</f>
        <v>0.3665473142857143</v>
      </c>
      <c r="L519" s="31" t="str">
        <f>'Expense Details'!AC2918</f>
        <v>No</v>
      </c>
      <c r="M519" s="35" t="s">
        <v>3504</v>
      </c>
      <c r="N519" s="31" t="str">
        <f>'Expense Details'!AG2918</f>
        <v>Approved</v>
      </c>
      <c r="O519" s="31" t="str">
        <f>'Expense Details'!F2918</f>
        <v>Viktor Petrov</v>
      </c>
    </row>
    <row r="520" spans="1:15">
      <c r="A520" s="31" t="str">
        <f>'Expense Details'!A2934</f>
        <v>EXP-02933</v>
      </c>
      <c r="B520" s="31" t="str">
        <f>'Expense Details'!C2934</f>
        <v>Aisha Bello</v>
      </c>
      <c r="C520" s="31" t="str">
        <f>'Expense Details'!D2934</f>
        <v>Operations</v>
      </c>
      <c r="D520" s="31" t="str">
        <f>'Expense Details'!G2934</f>
        <v>TRP-2025-059</v>
      </c>
      <c r="E520" s="32">
        <f>'Expense Details'!M2934</f>
        <v>46003</v>
      </c>
      <c r="F520" s="31" t="str">
        <f>'Expense Details'!O2934</f>
        <v>Fuel / Mileage</v>
      </c>
      <c r="G520" s="31" t="str">
        <f>'Expense Details'!Q2934</f>
        <v>BP</v>
      </c>
      <c r="H520" s="33">
        <f>'Expense Details'!V2934</f>
        <v>106.86816</v>
      </c>
      <c r="I520" s="33">
        <f>'Expense Details'!Z2934</f>
        <v>90</v>
      </c>
      <c r="J520" s="33">
        <f>H520-I520</f>
        <v>16.868160000000003</v>
      </c>
      <c r="K520" s="34">
        <f>IFERROR(MAX(0,H520/I520-1),0)</f>
        <v>0.18742400000000004</v>
      </c>
      <c r="L520" s="31" t="str">
        <f>'Expense Details'!AC2934</f>
        <v>Yes</v>
      </c>
      <c r="M520" s="35" t="s">
        <v>3502</v>
      </c>
      <c r="N520" s="31" t="str">
        <f>'Expense Details'!AG2934</f>
        <v>Approved</v>
      </c>
      <c r="O520" s="31" t="str">
        <f>'Expense Details'!F2934</f>
        <v>Viktor Petrov</v>
      </c>
    </row>
    <row r="521" spans="1:15">
      <c r="A521" s="31" t="str">
        <f>'Expense Details'!A2944</f>
        <v>EXP-02943</v>
      </c>
      <c r="B521" s="31" t="str">
        <f>'Expense Details'!C2944</f>
        <v>Aisha Bello</v>
      </c>
      <c r="C521" s="31" t="str">
        <f>'Expense Details'!D2944</f>
        <v>Operations</v>
      </c>
      <c r="D521" s="31" t="str">
        <f>'Expense Details'!G2944</f>
        <v>TRP-2025-059</v>
      </c>
      <c r="E521" s="32">
        <f>'Expense Details'!M2944</f>
        <v>46004</v>
      </c>
      <c r="F521" s="31" t="str">
        <f>'Expense Details'!O2944</f>
        <v>Meals - Dinner</v>
      </c>
      <c r="G521" s="31" t="str">
        <f>'Expense Details'!Q2944</f>
        <v>Osteria Vela</v>
      </c>
      <c r="H521" s="33">
        <f>'Expense Details'!V2944</f>
        <v>103.93494000000001</v>
      </c>
      <c r="I521" s="33">
        <f>'Expense Details'!Z2944</f>
        <v>75</v>
      </c>
      <c r="J521" s="33">
        <f>H521-I521</f>
        <v>28.934940000000012</v>
      </c>
      <c r="K521" s="34">
        <f>IFERROR(MAX(0,H521/I521-1),0)</f>
        <v>0.38579920000000012</v>
      </c>
      <c r="L521" s="31" t="str">
        <f>'Expense Details'!AC2944</f>
        <v>Yes</v>
      </c>
      <c r="M521" s="35" t="s">
        <v>3502</v>
      </c>
      <c r="N521" s="31" t="str">
        <f>'Expense Details'!AG2944</f>
        <v>Approved</v>
      </c>
      <c r="O521" s="31" t="str">
        <f>'Expense Details'!F2944</f>
        <v>Viktor Petrov</v>
      </c>
    </row>
    <row r="522" spans="1:15">
      <c r="A522" s="31" t="str">
        <f>'Expense Details'!A2947</f>
        <v>EXP-02946</v>
      </c>
      <c r="B522" s="31" t="str">
        <f>'Expense Details'!C2947</f>
        <v>Oliver Brandt</v>
      </c>
      <c r="C522" s="31" t="str">
        <f>'Expense Details'!D2947</f>
        <v>Marketing</v>
      </c>
      <c r="D522" s="31" t="str">
        <f>'Expense Details'!G2947</f>
        <v>TRP-2025-008</v>
      </c>
      <c r="E522" s="32">
        <f>'Expense Details'!M2947</f>
        <v>46005</v>
      </c>
      <c r="F522" s="31" t="str">
        <f>'Expense Details'!O2947</f>
        <v>Meals - Dinner</v>
      </c>
      <c r="G522" s="31" t="str">
        <f>'Expense Details'!Q2947</f>
        <v>Spice Route</v>
      </c>
      <c r="H522" s="33">
        <f>'Expense Details'!V2947</f>
        <v>95.512240000000006</v>
      </c>
      <c r="I522" s="33">
        <f>'Expense Details'!Z2947</f>
        <v>75</v>
      </c>
      <c r="J522" s="33">
        <f>H522-I522</f>
        <v>20.512240000000006</v>
      </c>
      <c r="K522" s="34">
        <f>IFERROR(MAX(0,H522/I522-1),0)</f>
        <v>0.27349653333333346</v>
      </c>
      <c r="L522" s="31" t="str">
        <f>'Expense Details'!AC2947</f>
        <v>Yes</v>
      </c>
      <c r="M522" s="35" t="s">
        <v>3502</v>
      </c>
      <c r="N522" s="31" t="str">
        <f>'Expense Details'!AG2947</f>
        <v>Approved</v>
      </c>
      <c r="O522" s="31" t="str">
        <f>'Expense Details'!F2947</f>
        <v>Grace Lin</v>
      </c>
    </row>
    <row r="523" spans="1:15">
      <c r="A523" s="31" t="str">
        <f>'Expense Details'!A2952</f>
        <v>EXP-02951</v>
      </c>
      <c r="B523" s="31" t="str">
        <f>'Expense Details'!C2952</f>
        <v>Aisha Bello</v>
      </c>
      <c r="C523" s="31" t="str">
        <f>'Expense Details'!D2952</f>
        <v>Operations</v>
      </c>
      <c r="D523" s="31" t="str">
        <f>'Expense Details'!G2952</f>
        <v>TRP-2025-059</v>
      </c>
      <c r="E523" s="32">
        <f>'Expense Details'!M2952</f>
        <v>46005</v>
      </c>
      <c r="F523" s="31" t="str">
        <f>'Expense Details'!O2952</f>
        <v>Meals - Dinner</v>
      </c>
      <c r="G523" s="31" t="str">
        <f>'Expense Details'!Q2952</f>
        <v>Osteria Vela</v>
      </c>
      <c r="H523" s="33">
        <f>'Expense Details'!V2952</f>
        <v>96.7727</v>
      </c>
      <c r="I523" s="33">
        <f>'Expense Details'!Z2952</f>
        <v>75</v>
      </c>
      <c r="J523" s="33">
        <f>H523-I523</f>
        <v>21.7727</v>
      </c>
      <c r="K523" s="34">
        <f>IFERROR(MAX(0,H523/I523-1),0)</f>
        <v>0.2903026666666666</v>
      </c>
      <c r="L523" s="31" t="str">
        <f>'Expense Details'!AC2952</f>
        <v>Yes</v>
      </c>
      <c r="M523" s="35" t="s">
        <v>3502</v>
      </c>
      <c r="N523" s="31" t="str">
        <f>'Expense Details'!AG2952</f>
        <v>Approved</v>
      </c>
      <c r="O523" s="31" t="str">
        <f>'Expense Details'!F2952</f>
        <v>Viktor Petrov</v>
      </c>
    </row>
    <row r="524" spans="1:15">
      <c r="A524" s="19" t="s">
        <v>3505</v>
      </c>
      <c r="B524" s="20"/>
      <c r="C524" s="20"/>
      <c r="D524" s="20"/>
      <c r="E524" s="20"/>
      <c r="F524" s="20"/>
      <c r="G524" s="20"/>
      <c r="H524" s="22">
        <f>SUM(H5:H523)</f>
        <v>195570.93947700018</v>
      </c>
      <c r="I524" s="22">
        <f>SUM(I5:I523)</f>
        <v>146440</v>
      </c>
      <c r="J524" s="22">
        <f>SUM(J5:J523)</f>
        <v>49130.939476999942</v>
      </c>
      <c r="K524" s="20"/>
      <c r="L524" s="20"/>
      <c r="M524" s="20"/>
      <c r="N524" s="20"/>
      <c r="O524" s="2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1</cp:revision>
  <dcterms:created xsi:type="dcterms:W3CDTF">2026-09-09T11:30:59Z</dcterms:created>
  <dcterms:modified xsi:type="dcterms:W3CDTF">2026-09-09T11:36:10Z</dcterms:modified>
  <cp:category/>
  <cp:contentStatus/>
</cp:coreProperties>
</file>